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rived Rates" sheetId="1" state="visible" r:id="rId1"/>
    <sheet name="Irish Basis" sheetId="2" state="visible" r:id="rId2"/>
    <sheet name="Review Queue" sheetId="3" state="visible" r:id="rId3"/>
    <sheet name="Resource Rates" sheetId="4" state="visible" r:id="rId4"/>
    <sheet name="Preliminaries (Excluded)" sheetId="5" state="visible" r:id="rId5"/>
    <sheet name="Method &amp; Reconciliation" sheetId="6" state="visible" r:id="rId6"/>
  </sheets>
  <definedNames>
    <definedName name="_xlnm._FilterDatabase" localSheetId="0" hidden="1">'Derived Rates'!$A$4:$X$3797</definedName>
    <definedName name="_xlnm._FilterDatabase" localSheetId="2" hidden="1">'Review Queue'!$A$4:$X$135</definedName>
    <definedName name="_xlnm._FilterDatabase" localSheetId="3" hidden="1">'Resource Rates'!$A$4:$I$547</definedName>
    <definedName name="_xlnm._FilterDatabase" localSheetId="4" hidden="1">'Preliminaries (Excluded)'!$A$4:$L$57</definedName>
  </definedNames>
  <calcPr calcId="124519" fullCalcOnLoad="1"/>
</workbook>
</file>

<file path=xl/styles.xml><?xml version="1.0" encoding="utf-8"?>
<styleSheet xmlns="http://schemas.openxmlformats.org/spreadsheetml/2006/main">
  <numFmts count="4">
    <numFmt numFmtId="164" formatCode="£#,##0.00;-£#,##0.00;&quot;–&quot;"/>
    <numFmt numFmtId="165" formatCode="€#,##0.00;-€#,##0.00;&quot;–&quot;"/>
    <numFmt numFmtId="166" formatCode="0.0%"/>
    <numFmt numFmtId="167" formatCode="0.0000"/>
  </numFmts>
  <fonts count="12">
    <font>
      <name val="Calibri"/>
      <family val="2"/>
      <color theme="1"/>
      <sz val="11"/>
      <scheme val="minor"/>
    </font>
    <font>
      <name val="Arial"/>
      <b val="1"/>
      <color rgb="001F3864"/>
      <sz val="14"/>
    </font>
    <font>
      <name val="Arial"/>
      <i val="1"/>
      <color rgb="00595959"/>
      <sz val="10"/>
    </font>
    <font>
      <name val="Arial"/>
      <b val="1"/>
      <color rgb="00FFFFFF"/>
      <sz val="10"/>
    </font>
    <font>
      <name val="Arial"/>
      <sz val="10"/>
    </font>
    <font>
      <name val="Arial"/>
      <b val="1"/>
      <sz val="10"/>
    </font>
    <font>
      <name val="Arial"/>
      <b val="1"/>
      <color rgb="00FFFFFF"/>
      <sz val="11"/>
    </font>
    <font>
      <name val="Arial"/>
      <b val="1"/>
      <color rgb="000000FF"/>
      <sz val="10"/>
    </font>
    <font>
      <name val="Arial"/>
      <color rgb="00595959"/>
      <sz val="9"/>
    </font>
    <font>
      <name val="Arial"/>
      <b val="1"/>
      <color rgb="00000000"/>
      <sz val="10"/>
    </font>
    <font>
      <name val="Arial"/>
      <color rgb="000000FF"/>
      <sz val="10"/>
    </font>
    <font>
      <name val="Arial"/>
      <sz val="9"/>
    </font>
  </fonts>
  <fills count="10">
    <fill>
      <patternFill/>
    </fill>
    <fill>
      <patternFill patternType="gray125"/>
    </fill>
    <fill>
      <patternFill patternType="solid">
        <fgColor rgb="001F3864"/>
      </patternFill>
    </fill>
    <fill>
      <patternFill patternType="solid">
        <fgColor rgb="00EAF1FA"/>
      </patternFill>
    </fill>
    <fill>
      <patternFill patternType="solid">
        <fgColor rgb="00E2EFDA"/>
      </patternFill>
    </fill>
    <fill>
      <patternFill patternType="solid">
        <fgColor rgb="00E7E6E6"/>
      </patternFill>
    </fill>
    <fill>
      <patternFill patternType="solid">
        <fgColor rgb="00FCE4D6"/>
      </patternFill>
    </fill>
    <fill>
      <patternFill patternType="solid">
        <fgColor rgb="00FFF2CC"/>
      </patternFill>
    </fill>
    <fill>
      <patternFill patternType="solid">
        <fgColor rgb="00EAF3E0"/>
      </patternFill>
    </fill>
    <fill>
      <patternFill patternType="solid">
        <fgColor rgb="00EDEDED"/>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5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1" fontId="4" fillId="0" borderId="1" applyAlignment="1" pivotButton="0" quotePrefix="0" xfId="0">
      <alignment horizontal="center" vertical="top"/>
    </xf>
    <xf numFmtId="0" fontId="4" fillId="0" borderId="1" applyAlignment="1" pivotButton="0" quotePrefix="0" xfId="0">
      <alignment horizontal="left" vertical="top"/>
    </xf>
    <xf numFmtId="0" fontId="4" fillId="0" borderId="1" applyAlignment="1" pivotButton="0" quotePrefix="0" xfId="0">
      <alignment horizontal="center" vertical="top"/>
    </xf>
    <xf numFmtId="2" fontId="4" fillId="0" borderId="1" applyAlignment="1" pivotButton="0" quotePrefix="0" xfId="0">
      <alignment horizontal="right" vertical="top"/>
    </xf>
    <xf numFmtId="164" fontId="4" fillId="0" borderId="1" applyAlignment="1" pivotButton="0" quotePrefix="0" xfId="0">
      <alignment horizontal="right" vertical="top"/>
    </xf>
    <xf numFmtId="164" fontId="5" fillId="0" borderId="1" applyAlignment="1" pivotButton="0" quotePrefix="0" xfId="0">
      <alignment horizontal="right" vertical="top"/>
    </xf>
    <xf numFmtId="165" fontId="4" fillId="0" borderId="1" applyAlignment="1" pivotButton="0" quotePrefix="0" xfId="0">
      <alignment horizontal="right" vertical="top"/>
    </xf>
    <xf numFmtId="165" fontId="5" fillId="3" borderId="1" applyAlignment="1" pivotButton="0" quotePrefix="0" xfId="0">
      <alignment horizontal="right" vertical="top"/>
    </xf>
    <xf numFmtId="0" fontId="4" fillId="4" borderId="1" applyAlignment="1" pivotButton="0" quotePrefix="0" xfId="0">
      <alignment horizontal="center" vertical="top"/>
    </xf>
    <xf numFmtId="164" fontId="4" fillId="0" borderId="1" applyAlignment="1" pivotButton="0" quotePrefix="0" xfId="0">
      <alignment horizontal="right" vertical="top"/>
    </xf>
    <xf numFmtId="0" fontId="4" fillId="5" borderId="1" applyAlignment="1" pivotButton="0" quotePrefix="0" xfId="0">
      <alignment horizontal="center" vertical="top"/>
    </xf>
    <xf numFmtId="0" fontId="4" fillId="6" borderId="1" applyAlignment="1" pivotButton="0" quotePrefix="0" xfId="0">
      <alignment horizontal="left" vertical="top"/>
    </xf>
    <xf numFmtId="0" fontId="4" fillId="7" borderId="1" applyAlignment="1" pivotButton="0" quotePrefix="0" xfId="0">
      <alignment horizontal="center" vertical="top"/>
    </xf>
    <xf numFmtId="0" fontId="4" fillId="6" borderId="1" applyAlignment="1" pivotButton="0" quotePrefix="0" xfId="0">
      <alignment horizontal="center" vertical="top"/>
    </xf>
    <xf numFmtId="0" fontId="4" fillId="8" borderId="1" applyAlignment="1" pivotButton="0" quotePrefix="0" xfId="0">
      <alignment horizontal="center" vertical="top"/>
    </xf>
    <xf numFmtId="0" fontId="6" fillId="2" borderId="1" pivotButton="0" quotePrefix="0" xfId="0"/>
    <xf numFmtId="0" fontId="0" fillId="2" borderId="1" pivotButton="0" quotePrefix="0" xfId="0"/>
    <xf numFmtId="0" fontId="4" fillId="0" borderId="1" pivotButton="0" quotePrefix="0" xfId="0"/>
    <xf numFmtId="167" fontId="7" fillId="7" borderId="1" applyAlignment="1" pivotButton="0" quotePrefix="0" xfId="0">
      <alignment horizontal="right"/>
    </xf>
    <xf numFmtId="0" fontId="8" fillId="0" borderId="0" applyAlignment="1" pivotButton="0" quotePrefix="0" xfId="0">
      <alignment horizontal="left" vertical="top" wrapText="1"/>
    </xf>
    <xf numFmtId="167" fontId="9" fillId="0" borderId="1" applyAlignment="1" pivotButton="0" quotePrefix="0" xfId="0">
      <alignment horizontal="right"/>
    </xf>
    <xf numFmtId="9" fontId="7" fillId="7" borderId="1" applyAlignment="1" pivotButton="0" quotePrefix="0" xfId="0">
      <alignment horizontal="right"/>
    </xf>
    <xf numFmtId="0" fontId="5" fillId="0" borderId="1" pivotButton="0" quotePrefix="0" xfId="0"/>
    <xf numFmtId="0" fontId="5" fillId="9" borderId="1" applyAlignment="1" pivotButton="0" quotePrefix="0" xfId="0">
      <alignment horizontal="center" wrapText="1"/>
    </xf>
    <xf numFmtId="165" fontId="10" fillId="7" borderId="1" applyAlignment="1" pivotButton="0" quotePrefix="0" xfId="0">
      <alignment horizontal="right"/>
    </xf>
    <xf numFmtId="0" fontId="4" fillId="0" borderId="1" applyAlignment="1" pivotButton="0" quotePrefix="0" xfId="0">
      <alignment horizontal="right"/>
    </xf>
    <xf numFmtId="164" fontId="10" fillId="7" borderId="1" applyAlignment="1" pivotButton="0" quotePrefix="0" xfId="0">
      <alignment horizontal="right"/>
    </xf>
    <xf numFmtId="165" fontId="4" fillId="0" borderId="1" applyAlignment="1" pivotButton="0" quotePrefix="0" xfId="0">
      <alignment horizontal="right"/>
    </xf>
    <xf numFmtId="167" fontId="4" fillId="0" borderId="1" applyAlignment="1" pivotButton="0" quotePrefix="0" xfId="0">
      <alignment horizontal="right"/>
    </xf>
    <xf numFmtId="0" fontId="5" fillId="4" borderId="1" pivotButton="0" quotePrefix="0" xfId="0"/>
    <xf numFmtId="0" fontId="0" fillId="4" borderId="1" pivotButton="0" quotePrefix="0" xfId="0"/>
    <xf numFmtId="167" fontId="5" fillId="4" borderId="1" applyAlignment="1" pivotButton="0" quotePrefix="0" xfId="0">
      <alignment horizontal="right"/>
    </xf>
    <xf numFmtId="0" fontId="4"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0" borderId="0" pivotButton="0" quotePrefix="0" xfId="0"/>
    <xf numFmtId="0" fontId="11" fillId="0" borderId="0" applyAlignment="1" pivotButton="0" quotePrefix="0" xfId="0">
      <alignment horizontal="left" vertical="top" wrapText="1"/>
    </xf>
    <xf numFmtId="165" fontId="4" fillId="0" borderId="1" applyAlignment="1" pivotButton="0" quotePrefix="0" xfId="0">
      <alignment horizontal="right" vertical="top"/>
    </xf>
    <xf numFmtId="1" fontId="5" fillId="9" borderId="1" applyAlignment="1" pivotButton="0" quotePrefix="0" xfId="0">
      <alignment horizontal="center" vertical="top"/>
    </xf>
    <xf numFmtId="0" fontId="5" fillId="9" borderId="1" applyAlignment="1" pivotButton="0" quotePrefix="0" xfId="0">
      <alignment horizontal="left" vertical="top"/>
    </xf>
    <xf numFmtId="164" fontId="5" fillId="9" borderId="1" applyAlignment="1" pivotButton="0" quotePrefix="0" xfId="0">
      <alignment horizontal="right" vertical="top"/>
    </xf>
    <xf numFmtId="0" fontId="4" fillId="0" borderId="1" applyAlignment="1" pivotButton="0" quotePrefix="0" xfId="0">
      <alignment horizontal="right" vertical="top"/>
    </xf>
    <xf numFmtId="0" fontId="5" fillId="0" borderId="1" applyAlignment="1" pivotButton="0" quotePrefix="0" xfId="0">
      <alignment horizontal="left" vertical="top"/>
    </xf>
    <xf numFmtId="0" fontId="5" fillId="0" borderId="1" applyAlignment="1" pivotButton="0" quotePrefix="0" xfId="0">
      <alignment horizontal="right" vertical="top"/>
    </xf>
    <xf numFmtId="0" fontId="5" fillId="0" borderId="1" applyAlignment="1" pivotButton="0" quotePrefix="0" xfId="0">
      <alignment horizontal="left" vertical="top" wrapText="1"/>
    </xf>
    <xf numFmtId="0" fontId="4" fillId="4" borderId="1" applyAlignment="1" pivotButton="0" quotePrefix="0" xfId="0">
      <alignment horizontal="left" vertical="top"/>
    </xf>
    <xf numFmtId="0" fontId="4" fillId="8" borderId="1" applyAlignment="1" pivotButton="0" quotePrefix="0" xfId="0">
      <alignment horizontal="left" vertical="top"/>
    </xf>
    <xf numFmtId="0" fontId="4" fillId="7" borderId="1" applyAlignment="1" pivotButton="0" quotePrefix="0" xfId="0">
      <alignment horizontal="left" vertical="top"/>
    </xf>
    <xf numFmtId="0" fontId="4" fillId="5" borderId="1" applyAlignment="1" pivotButton="0" quotePrefix="0" xfId="0">
      <alignment horizontal="left" vertical="top"/>
    </xf>
    <xf numFmtId="3" fontId="5" fillId="0" borderId="1" applyAlignment="1" pivotButton="0" quotePrefix="0" xfId="0">
      <alignment horizontal="right"/>
    </xf>
    <xf numFmtId="164" fontId="5" fillId="0" borderId="1" applyAlignment="1" pivotButton="0" quotePrefix="0" xfId="0">
      <alignment horizontal="right"/>
    </xf>
    <xf numFmtId="165" fontId="5" fillId="0" borderId="1" applyAlignment="1" pivotButton="0" quotePrefix="0" xfId="0">
      <alignment horizontal="right"/>
    </xf>
    <xf numFmtId="166" fontId="5"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797"/>
  <sheetViews>
    <sheetView showGridLines="0" workbookViewId="0">
      <pane ySplit="4" topLeftCell="A5" activePane="bottomLeft" state="frozen"/>
      <selection pane="bottomLeft" activeCell="A1" sqref="A1"/>
    </sheetView>
  </sheetViews>
  <sheetFormatPr baseColWidth="8" defaultRowHeight="15"/>
  <cols>
    <col width="7" customWidth="1" min="1" max="1"/>
    <col width="11" customWidth="1" min="2" max="2"/>
    <col width="30" customWidth="1" min="3" max="3"/>
    <col width="30" customWidth="1" min="4" max="4"/>
    <col width="42" customWidth="1" min="5" max="5"/>
    <col width="52" customWidth="1" min="6" max="6"/>
    <col width="8" customWidth="1" min="7" max="7"/>
    <col width="9" customWidth="1" min="8" max="8"/>
    <col width="12" customWidth="1" min="9" max="9"/>
    <col width="12" customWidth="1" min="10" max="10"/>
    <col width="12" customWidth="1" min="11" max="11"/>
    <col width="13" customWidth="1" min="12" max="12"/>
    <col width="14" customWidth="1" min="13" max="13"/>
    <col width="12" customWidth="1" min="14" max="14"/>
    <col width="12" customWidth="1" min="15" max="15"/>
    <col width="12" customWidth="1" min="16" max="16"/>
    <col width="13" customWidth="1" min="17" max="17"/>
    <col width="15" customWidth="1" min="18" max="18"/>
    <col width="30" customWidth="1" min="19" max="19"/>
    <col width="15" customWidth="1" min="20" max="20"/>
    <col width="15" customWidth="1" min="21" max="21"/>
    <col width="11" customWidth="1" min="22" max="22"/>
    <col width="26" customWidth="1" min="23" max="23"/>
    <col width="95" customWidth="1" min="24" max="24"/>
  </cols>
  <sheetData>
    <row r="1">
      <c r="A1" s="1" t="inlineStr">
        <is>
          <t>Irish Derived Cost Build-up — Spon's Civil Engineering Rates</t>
        </is>
      </c>
    </row>
    <row r="2">
      <c r="A2" s="2" t="inlineStr">
        <is>
          <t>Cost of each item derived from Labour + Plant + Material (+ Sub-contract where the source publishes an all-in specialist rate), then converted to Irish costs in euro using the factors on the 'Irish Basis' sheet. IRISH COST € (column R) is the deliverable; UK COST £ (column M) is the build-up it derives from. Preliminaries / CESMM Class A General Items are excluded.</t>
        </is>
      </c>
    </row>
    <row r="4" ht="30" customHeight="1">
      <c r="A4" s="3" t="inlineStr">
        <is>
          <t>Ref</t>
        </is>
      </c>
      <c r="B4" s="3" t="inlineStr">
        <is>
          <t>Page</t>
        </is>
      </c>
      <c r="C4" s="3" t="inlineStr">
        <is>
          <t>Class</t>
        </is>
      </c>
      <c r="D4" s="3" t="inlineStr">
        <is>
          <t>Section</t>
        </is>
      </c>
      <c r="E4" s="3" t="inlineStr">
        <is>
          <t>Sub-heading</t>
        </is>
      </c>
      <c r="F4" s="3" t="inlineStr">
        <is>
          <t>Item</t>
        </is>
      </c>
      <c r="G4" s="3" t="inlineStr">
        <is>
          <t>Unit</t>
        </is>
      </c>
      <c r="H4" s="3" t="inlineStr">
        <is>
          <t>Gang hrs</t>
        </is>
      </c>
      <c r="I4" s="3" t="inlineStr">
        <is>
          <t>Labour £</t>
        </is>
      </c>
      <c r="J4" s="3" t="inlineStr">
        <is>
          <t>Plant £</t>
        </is>
      </c>
      <c r="K4" s="3" t="inlineStr">
        <is>
          <t>Material £</t>
        </is>
      </c>
      <c r="L4" s="3" t="inlineStr">
        <is>
          <t>Sub-contract £</t>
        </is>
      </c>
      <c r="M4" s="3" t="inlineStr">
        <is>
          <t>UK COST £</t>
        </is>
      </c>
      <c r="N4" s="3" t="inlineStr">
        <is>
          <t>Labour €</t>
        </is>
      </c>
      <c r="O4" s="3" t="inlineStr">
        <is>
          <t>Plant €</t>
        </is>
      </c>
      <c r="P4" s="3" t="inlineStr">
        <is>
          <t>Material €</t>
        </is>
      </c>
      <c r="Q4" s="3" t="inlineStr">
        <is>
          <t>Sub-contract €</t>
        </is>
      </c>
      <c r="R4" s="3" t="inlineStr">
        <is>
          <t>IRISH COST €</t>
        </is>
      </c>
      <c r="S4" s="3" t="inlineStr">
        <is>
          <t>Derivation basis</t>
        </is>
      </c>
      <c r="T4" s="3" t="inlineStr">
        <is>
          <t>Confidence</t>
        </is>
      </c>
      <c r="U4" s="3" t="inlineStr">
        <is>
          <t>Published rate £ (superseded)</t>
        </is>
      </c>
      <c r="V4" s="3" t="inlineStr">
        <is>
          <t>Variance £</t>
        </is>
      </c>
      <c r="W4" s="3" t="inlineStr">
        <is>
          <t>Flag</t>
        </is>
      </c>
      <c r="X4" s="3" t="inlineStr">
        <is>
          <t>Derivation note</t>
        </is>
      </c>
    </row>
    <row r="5" ht="13" customHeight="1">
      <c r="A5" s="4" t="n">
        <v>124</v>
      </c>
      <c r="B5" s="5" t="inlineStr">
        <is>
          <t>IMG_0066</t>
        </is>
      </c>
      <c r="C5" s="5" t="inlineStr">
        <is>
          <t>CLASS B: GROUND INVESTIGATION</t>
        </is>
      </c>
      <c r="D5" s="5" t="inlineStr">
        <is>
          <t>01 TRIAL PITS AND TRENCHES</t>
        </is>
      </c>
      <c r="E5" s="5" t="inlineStr">
        <is>
          <t>Trial holes measured by number; Excavating trial hole; plan size 1.0 x 2.0 m; supports, backfilling</t>
        </is>
      </c>
      <c r="F5" s="5" t="inlineStr">
        <is>
          <t>ne 1.0 m deep</t>
        </is>
      </c>
      <c r="G5" s="6" t="inlineStr">
        <is>
          <t>nr</t>
        </is>
      </c>
      <c r="H5" s="7" t="n">
        <v>0.24</v>
      </c>
      <c r="I5" s="8" t="n">
        <v>32.5</v>
      </c>
      <c r="J5" s="8" t="n">
        <v>89.59</v>
      </c>
      <c r="K5" s="8" t="n">
        <v>0</v>
      </c>
      <c r="L5" s="8" t="n">
        <v>0</v>
      </c>
      <c r="M5" s="9">
        <f>ROUND(SUM(I5:L5),2)</f>
        <v/>
      </c>
      <c r="N5" s="10">
        <f>ROUND(I5*'Irish Basis'!$C$6*'Irish Basis'!$C$5,2)</f>
        <v/>
      </c>
      <c r="O5" s="10">
        <f>ROUND(J5*'Irish Basis'!$C$7*'Irish Basis'!$C$5,2)</f>
        <v/>
      </c>
      <c r="P5" s="10">
        <f>ROUND(K5*'Irish Basis'!$C$8*'Irish Basis'!$C$5,2)</f>
        <v/>
      </c>
      <c r="Q5" s="10">
        <f>ROUND(L5*'Irish Basis'!$C$12*'Irish Basis'!$C$5,2)</f>
        <v/>
      </c>
      <c r="R5" s="11">
        <f>ROUND(SUM(N5:Q5),2)</f>
        <v/>
      </c>
      <c r="S5" s="5" t="inlineStr">
        <is>
          <t>Stated build-up</t>
        </is>
      </c>
      <c r="T5" s="12" t="inlineStr">
        <is>
          <t>High</t>
        </is>
      </c>
      <c r="U5" s="8" t="n">
        <v>122.09</v>
      </c>
      <c r="V5" s="13">
        <f>IF(U5="","",ROUND(M5-U5,2))</f>
        <v/>
      </c>
      <c r="W5" s="5" t="n"/>
      <c r="X5" s="5" t="inlineStr">
        <is>
          <t>Labour + plant + material as published; reconciles to the published rate.</t>
        </is>
      </c>
    </row>
    <row r="6" ht="13" customHeight="1">
      <c r="A6" s="4" t="n">
        <v>125</v>
      </c>
      <c r="B6" s="5" t="inlineStr">
        <is>
          <t>IMG_0066</t>
        </is>
      </c>
      <c r="C6" s="5" t="inlineStr">
        <is>
          <t>CLASS B: GROUND INVESTIGATION</t>
        </is>
      </c>
      <c r="D6" s="5" t="inlineStr">
        <is>
          <t>01 TRIAL PITS AND TRENCHES</t>
        </is>
      </c>
      <c r="E6" s="5" t="inlineStr">
        <is>
          <t>Trial holes measured by number; Excavating trial hole; plan size 1.0 x 2.0 m; supports, backfilling</t>
        </is>
      </c>
      <c r="F6" s="5" t="inlineStr">
        <is>
          <t>1.0-2.0 m deep</t>
        </is>
      </c>
      <c r="G6" s="6" t="inlineStr">
        <is>
          <t>nr</t>
        </is>
      </c>
      <c r="H6" s="7" t="n">
        <v>0.47</v>
      </c>
      <c r="I6" s="8" t="n">
        <v>63.64</v>
      </c>
      <c r="J6" s="8" t="n">
        <v>114.75</v>
      </c>
      <c r="K6" s="8" t="n">
        <v>0</v>
      </c>
      <c r="L6" s="8" t="n">
        <v>0</v>
      </c>
      <c r="M6" s="9">
        <f>ROUND(SUM(I6:L6),2)</f>
        <v/>
      </c>
      <c r="N6" s="10">
        <f>ROUND(I6*'Irish Basis'!$C$6*'Irish Basis'!$C$5,2)</f>
        <v/>
      </c>
      <c r="O6" s="10">
        <f>ROUND(J6*'Irish Basis'!$C$7*'Irish Basis'!$C$5,2)</f>
        <v/>
      </c>
      <c r="P6" s="10">
        <f>ROUND(K6*'Irish Basis'!$C$8*'Irish Basis'!$C$5,2)</f>
        <v/>
      </c>
      <c r="Q6" s="10">
        <f>ROUND(L6*'Irish Basis'!$C$12*'Irish Basis'!$C$5,2)</f>
        <v/>
      </c>
      <c r="R6" s="11">
        <f>ROUND(SUM(N6:Q6),2)</f>
        <v/>
      </c>
      <c r="S6" s="5" t="inlineStr">
        <is>
          <t>Stated build-up</t>
        </is>
      </c>
      <c r="T6" s="12" t="inlineStr">
        <is>
          <t>High</t>
        </is>
      </c>
      <c r="U6" s="8" t="n">
        <v>178.4</v>
      </c>
      <c r="V6" s="13">
        <f>IF(U6="","",ROUND(M6-U6,2))</f>
        <v/>
      </c>
      <c r="W6" s="5" t="n"/>
      <c r="X6" s="5" t="inlineStr">
        <is>
          <t>Labour + plant + material as published; reconciles to the published rate.</t>
        </is>
      </c>
    </row>
    <row r="7" ht="13" customHeight="1">
      <c r="A7" s="4" t="n">
        <v>126</v>
      </c>
      <c r="B7" s="5" t="inlineStr">
        <is>
          <t>IMG_0066</t>
        </is>
      </c>
      <c r="C7" s="5" t="inlineStr">
        <is>
          <t>CLASS B: GROUND INVESTIGATION</t>
        </is>
      </c>
      <c r="D7" s="5" t="inlineStr">
        <is>
          <t>01 TRIAL PITS AND TRENCHES</t>
        </is>
      </c>
      <c r="E7" s="5" t="inlineStr">
        <is>
          <t>Trial holes measured by number; Excavating trial hole; plan size 1.0 x 2.0 m; supports, backfilling</t>
        </is>
      </c>
      <c r="F7" s="5" t="inlineStr">
        <is>
          <t>over 2.0 m deep</t>
        </is>
      </c>
      <c r="G7" s="6" t="inlineStr">
        <is>
          <t>nr</t>
        </is>
      </c>
      <c r="H7" s="7" t="n">
        <v>0.53</v>
      </c>
      <c r="I7" s="8" t="n">
        <v>71.77</v>
      </c>
      <c r="J7" s="8" t="n">
        <v>140.11</v>
      </c>
      <c r="K7" s="8" t="n">
        <v>0</v>
      </c>
      <c r="L7" s="8" t="n">
        <v>0</v>
      </c>
      <c r="M7" s="9">
        <f>ROUND(SUM(I7:L7),2)</f>
        <v/>
      </c>
      <c r="N7" s="10">
        <f>ROUND(I7*'Irish Basis'!$C$6*'Irish Basis'!$C$5,2)</f>
        <v/>
      </c>
      <c r="O7" s="10">
        <f>ROUND(J7*'Irish Basis'!$C$7*'Irish Basis'!$C$5,2)</f>
        <v/>
      </c>
      <c r="P7" s="10">
        <f>ROUND(K7*'Irish Basis'!$C$8*'Irish Basis'!$C$5,2)</f>
        <v/>
      </c>
      <c r="Q7" s="10">
        <f>ROUND(L7*'Irish Basis'!$C$12*'Irish Basis'!$C$5,2)</f>
        <v/>
      </c>
      <c r="R7" s="11">
        <f>ROUND(SUM(N7:Q7),2)</f>
        <v/>
      </c>
      <c r="S7" s="5" t="inlineStr">
        <is>
          <t>Stated build-up</t>
        </is>
      </c>
      <c r="T7" s="12" t="inlineStr">
        <is>
          <t>High</t>
        </is>
      </c>
      <c r="U7" s="8" t="n">
        <v>211.88</v>
      </c>
      <c r="V7" s="13">
        <f>IF(U7="","",ROUND(M7-U7,2))</f>
        <v/>
      </c>
      <c r="W7" s="5" t="n"/>
      <c r="X7" s="5" t="inlineStr">
        <is>
          <t>Labour + plant + material as published; reconciles to the published rate.</t>
        </is>
      </c>
    </row>
    <row r="8" ht="13" customHeight="1">
      <c r="A8" s="4" t="n">
        <v>128</v>
      </c>
      <c r="B8" s="5" t="inlineStr">
        <is>
          <t>IMG_0066</t>
        </is>
      </c>
      <c r="C8" s="5" t="inlineStr">
        <is>
          <t>CLASS B: GROUND INVESTIGATION</t>
        </is>
      </c>
      <c r="D8" s="5" t="inlineStr">
        <is>
          <t>01 TRIAL PITS AND TRENCHES</t>
        </is>
      </c>
      <c r="E8" s="5" t="inlineStr">
        <is>
          <t>Trial holes measured by number; Excavating trial hole in rock or similar; plan size 1.0 x 2.0 m; supports, backfilling</t>
        </is>
      </c>
      <c r="F8" s="5" t="inlineStr">
        <is>
          <t>ne 1.0 m deep</t>
        </is>
      </c>
      <c r="G8" s="6" t="inlineStr">
        <is>
          <t>nr</t>
        </is>
      </c>
      <c r="H8" s="7" t="n">
        <v>0.28</v>
      </c>
      <c r="I8" s="8" t="n">
        <v>37.92</v>
      </c>
      <c r="J8" s="8" t="n">
        <v>96.41</v>
      </c>
      <c r="K8" s="8" t="n">
        <v>0</v>
      </c>
      <c r="L8" s="8" t="n">
        <v>0</v>
      </c>
      <c r="M8" s="9">
        <f>ROUND(SUM(I8:L8),2)</f>
        <v/>
      </c>
      <c r="N8" s="10">
        <f>ROUND(I8*'Irish Basis'!$C$6*'Irish Basis'!$C$5,2)</f>
        <v/>
      </c>
      <c r="O8" s="10">
        <f>ROUND(J8*'Irish Basis'!$C$7*'Irish Basis'!$C$5,2)</f>
        <v/>
      </c>
      <c r="P8" s="10">
        <f>ROUND(K8*'Irish Basis'!$C$8*'Irish Basis'!$C$5,2)</f>
        <v/>
      </c>
      <c r="Q8" s="10">
        <f>ROUND(L8*'Irish Basis'!$C$12*'Irish Basis'!$C$5,2)</f>
        <v/>
      </c>
      <c r="R8" s="11">
        <f>ROUND(SUM(N8:Q8),2)</f>
        <v/>
      </c>
      <c r="S8" s="5" t="inlineStr">
        <is>
          <t>Stated build-up</t>
        </is>
      </c>
      <c r="T8" s="12" t="inlineStr">
        <is>
          <t>High</t>
        </is>
      </c>
      <c r="U8" s="8" t="n">
        <v>134.33</v>
      </c>
      <c r="V8" s="13">
        <f>IF(U8="","",ROUND(M8-U8,2))</f>
        <v/>
      </c>
      <c r="W8" s="5" t="n"/>
      <c r="X8" s="5" t="inlineStr">
        <is>
          <t>Labour + plant + material as published; reconciles to the published rate.</t>
        </is>
      </c>
    </row>
    <row r="9" ht="13" customHeight="1">
      <c r="A9" s="4" t="n">
        <v>129</v>
      </c>
      <c r="B9" s="5" t="inlineStr">
        <is>
          <t>IMG_0066</t>
        </is>
      </c>
      <c r="C9" s="5" t="inlineStr">
        <is>
          <t>CLASS B: GROUND INVESTIGATION</t>
        </is>
      </c>
      <c r="D9" s="5" t="inlineStr">
        <is>
          <t>01 TRIAL PITS AND TRENCHES</t>
        </is>
      </c>
      <c r="E9" s="5" t="inlineStr">
        <is>
          <t>Trial holes measured by number; Excavating trial hole in rock or similar; plan size 1.0 x 2.0 m; supports, backfilling</t>
        </is>
      </c>
      <c r="F9" s="5" t="inlineStr">
        <is>
          <t>1.0-2.0 m deep</t>
        </is>
      </c>
      <c r="G9" s="6" t="inlineStr">
        <is>
          <t>nr</t>
        </is>
      </c>
      <c r="H9" s="7" t="n">
        <v>0.51</v>
      </c>
      <c r="I9" s="8" t="n">
        <v>69.06</v>
      </c>
      <c r="J9" s="8" t="n">
        <v>137.6</v>
      </c>
      <c r="K9" s="8" t="n">
        <v>0</v>
      </c>
      <c r="L9" s="8" t="n">
        <v>0</v>
      </c>
      <c r="M9" s="9">
        <f>ROUND(SUM(I9:L9),2)</f>
        <v/>
      </c>
      <c r="N9" s="10">
        <f>ROUND(I9*'Irish Basis'!$C$6*'Irish Basis'!$C$5,2)</f>
        <v/>
      </c>
      <c r="O9" s="10">
        <f>ROUND(J9*'Irish Basis'!$C$7*'Irish Basis'!$C$5,2)</f>
        <v/>
      </c>
      <c r="P9" s="10">
        <f>ROUND(K9*'Irish Basis'!$C$8*'Irish Basis'!$C$5,2)</f>
        <v/>
      </c>
      <c r="Q9" s="10">
        <f>ROUND(L9*'Irish Basis'!$C$12*'Irish Basis'!$C$5,2)</f>
        <v/>
      </c>
      <c r="R9" s="11">
        <f>ROUND(SUM(N9:Q9),2)</f>
        <v/>
      </c>
      <c r="S9" s="5" t="inlineStr">
        <is>
          <t>Stated build-up</t>
        </is>
      </c>
      <c r="T9" s="12" t="inlineStr">
        <is>
          <t>High</t>
        </is>
      </c>
      <c r="U9" s="8" t="n">
        <v>206.66</v>
      </c>
      <c r="V9" s="13">
        <f>IF(U9="","",ROUND(M9-U9,2))</f>
        <v/>
      </c>
      <c r="W9" s="5" t="n"/>
      <c r="X9" s="5" t="inlineStr">
        <is>
          <t>Labour + plant + material as published; reconciles to the published rate.</t>
        </is>
      </c>
    </row>
    <row r="10" ht="13" customHeight="1">
      <c r="A10" s="4" t="n">
        <v>130</v>
      </c>
      <c r="B10" s="5" t="inlineStr">
        <is>
          <t>IMG_0066</t>
        </is>
      </c>
      <c r="C10" s="5" t="inlineStr">
        <is>
          <t>CLASS B: GROUND INVESTIGATION</t>
        </is>
      </c>
      <c r="D10" s="5" t="inlineStr">
        <is>
          <t>01 TRIAL PITS AND TRENCHES</t>
        </is>
      </c>
      <c r="E10" s="5" t="inlineStr">
        <is>
          <t>Trial holes measured by number; Excavating trial hole in rock or similar; plan size 1.0 x 2.0 m; supports, backfilling</t>
        </is>
      </c>
      <c r="F10" s="5" t="inlineStr">
        <is>
          <t>over 2.0 m deep</t>
        </is>
      </c>
      <c r="G10" s="6" t="inlineStr">
        <is>
          <t>nr</t>
        </is>
      </c>
      <c r="H10" s="7" t="n">
        <v>0.58</v>
      </c>
      <c r="I10" s="8" t="n">
        <v>78.54000000000001</v>
      </c>
      <c r="J10" s="8" t="n">
        <v>164.71</v>
      </c>
      <c r="K10" s="8" t="n">
        <v>0</v>
      </c>
      <c r="L10" s="8" t="n">
        <v>0</v>
      </c>
      <c r="M10" s="9">
        <f>ROUND(SUM(I10:L10),2)</f>
        <v/>
      </c>
      <c r="N10" s="10">
        <f>ROUND(I10*'Irish Basis'!$C$6*'Irish Basis'!$C$5,2)</f>
        <v/>
      </c>
      <c r="O10" s="10">
        <f>ROUND(J10*'Irish Basis'!$C$7*'Irish Basis'!$C$5,2)</f>
        <v/>
      </c>
      <c r="P10" s="10">
        <f>ROUND(K10*'Irish Basis'!$C$8*'Irish Basis'!$C$5,2)</f>
        <v/>
      </c>
      <c r="Q10" s="10">
        <f>ROUND(L10*'Irish Basis'!$C$12*'Irish Basis'!$C$5,2)</f>
        <v/>
      </c>
      <c r="R10" s="11">
        <f>ROUND(SUM(N10:Q10),2)</f>
        <v/>
      </c>
      <c r="S10" s="5" t="inlineStr">
        <is>
          <t>Stated build-up</t>
        </is>
      </c>
      <c r="T10" s="12" t="inlineStr">
        <is>
          <t>High</t>
        </is>
      </c>
      <c r="U10" s="8" t="n">
        <v>243.25</v>
      </c>
      <c r="V10" s="13">
        <f>IF(U10="","",ROUND(M10-U10,2))</f>
        <v/>
      </c>
      <c r="W10" s="5" t="n"/>
      <c r="X10" s="5" t="inlineStr">
        <is>
          <t>Labour + plant + material as published; reconciles to the published rate.</t>
        </is>
      </c>
    </row>
    <row r="11" ht="13" customHeight="1">
      <c r="A11" s="4" t="n">
        <v>132</v>
      </c>
      <c r="B11" s="5" t="inlineStr">
        <is>
          <t>IMG_0066</t>
        </is>
      </c>
      <c r="C11" s="5" t="inlineStr">
        <is>
          <t>CLASS B: GROUND INVESTIGATION</t>
        </is>
      </c>
      <c r="D11" s="5" t="inlineStr">
        <is>
          <t>01 TRIAL PITS AND TRENCHES</t>
        </is>
      </c>
      <c r="E11" s="5" t="inlineStr">
        <is>
          <t>Trial holes measured by depth; Excavating trial hole; plan size 1.0 x 2.0 m; supports, backfilling</t>
        </is>
      </c>
      <c r="F11" s="5" t="inlineStr">
        <is>
          <t>ne 1.0 m deep</t>
        </is>
      </c>
      <c r="G11" s="6" t="inlineStr">
        <is>
          <t>m</t>
        </is>
      </c>
      <c r="H11" s="7" t="n">
        <v>0.24</v>
      </c>
      <c r="I11" s="8" t="n">
        <v>32.5</v>
      </c>
      <c r="J11" s="8" t="n">
        <v>91.39</v>
      </c>
      <c r="K11" s="8" t="n">
        <v>0</v>
      </c>
      <c r="L11" s="8" t="n">
        <v>0</v>
      </c>
      <c r="M11" s="9">
        <f>ROUND(SUM(I11:L11),2)</f>
        <v/>
      </c>
      <c r="N11" s="10">
        <f>ROUND(I11*'Irish Basis'!$C$6*'Irish Basis'!$C$5,2)</f>
        <v/>
      </c>
      <c r="O11" s="10">
        <f>ROUND(J11*'Irish Basis'!$C$7*'Irish Basis'!$C$5,2)</f>
        <v/>
      </c>
      <c r="P11" s="10">
        <f>ROUND(K11*'Irish Basis'!$C$8*'Irish Basis'!$C$5,2)</f>
        <v/>
      </c>
      <c r="Q11" s="10">
        <f>ROUND(L11*'Irish Basis'!$C$12*'Irish Basis'!$C$5,2)</f>
        <v/>
      </c>
      <c r="R11" s="11">
        <f>ROUND(SUM(N11:Q11),2)</f>
        <v/>
      </c>
      <c r="S11" s="5" t="inlineStr">
        <is>
          <t>Stated build-up</t>
        </is>
      </c>
      <c r="T11" s="12" t="inlineStr">
        <is>
          <t>High</t>
        </is>
      </c>
      <c r="U11" s="8" t="n">
        <v>123.89</v>
      </c>
      <c r="V11" s="13">
        <f>IF(U11="","",ROUND(M11-U11,2))</f>
        <v/>
      </c>
      <c r="W11" s="5" t="n"/>
      <c r="X11" s="5" t="inlineStr">
        <is>
          <t>Labour + plant + material as published; reconciles to the published rate.</t>
        </is>
      </c>
    </row>
    <row r="12" ht="13" customHeight="1">
      <c r="A12" s="4" t="n">
        <v>134</v>
      </c>
      <c r="B12" s="5" t="inlineStr">
        <is>
          <t>IMG_0067</t>
        </is>
      </c>
      <c r="C12" s="5" t="inlineStr">
        <is>
          <t>CLASS B: GROUND INVESTIGATION</t>
        </is>
      </c>
      <c r="D12" s="5" t="inlineStr">
        <is>
          <t>01 TRIAL PITS AND TRENCHES</t>
        </is>
      </c>
      <c r="E12" s="5" t="inlineStr">
        <is>
          <t>Trial holes measured by depth; Excavating trial hole; plan size 1.0 x 2.0 m; supports, backfilling (continued)</t>
        </is>
      </c>
      <c r="F12" s="5" t="inlineStr">
        <is>
          <t>1.0-2.0 m deep</t>
        </is>
      </c>
      <c r="G12" s="6" t="inlineStr">
        <is>
          <t>m</t>
        </is>
      </c>
      <c r="H12" s="7" t="n">
        <v>0.53</v>
      </c>
      <c r="I12" s="8" t="n">
        <v>71.77</v>
      </c>
      <c r="J12" s="8" t="n">
        <v>127.86</v>
      </c>
      <c r="K12" s="8" t="n">
        <v>0</v>
      </c>
      <c r="L12" s="8" t="n">
        <v>0</v>
      </c>
      <c r="M12" s="9">
        <f>ROUND(SUM(I12:L12),2)</f>
        <v/>
      </c>
      <c r="N12" s="10">
        <f>ROUND(I12*'Irish Basis'!$C$6*'Irish Basis'!$C$5,2)</f>
        <v/>
      </c>
      <c r="O12" s="10">
        <f>ROUND(J12*'Irish Basis'!$C$7*'Irish Basis'!$C$5,2)</f>
        <v/>
      </c>
      <c r="P12" s="10">
        <f>ROUND(K12*'Irish Basis'!$C$8*'Irish Basis'!$C$5,2)</f>
        <v/>
      </c>
      <c r="Q12" s="10">
        <f>ROUND(L12*'Irish Basis'!$C$12*'Irish Basis'!$C$5,2)</f>
        <v/>
      </c>
      <c r="R12" s="11">
        <f>ROUND(SUM(N12:Q12),2)</f>
        <v/>
      </c>
      <c r="S12" s="5" t="inlineStr">
        <is>
          <t>Stated build-up</t>
        </is>
      </c>
      <c r="T12" s="12" t="inlineStr">
        <is>
          <t>High</t>
        </is>
      </c>
      <c r="U12" s="8" t="n">
        <v>199.63</v>
      </c>
      <c r="V12" s="13">
        <f>IF(U12="","",ROUND(M12-U12,2))</f>
        <v/>
      </c>
      <c r="W12" s="5" t="n"/>
      <c r="X12" s="5" t="inlineStr">
        <is>
          <t>Labour + plant + material as published; reconciles to the published rate.</t>
        </is>
      </c>
    </row>
    <row r="13" ht="13" customHeight="1">
      <c r="A13" s="4" t="n">
        <v>135</v>
      </c>
      <c r="B13" s="5" t="inlineStr">
        <is>
          <t>IMG_0067</t>
        </is>
      </c>
      <c r="C13" s="5" t="inlineStr">
        <is>
          <t>CLASS B: GROUND INVESTIGATION</t>
        </is>
      </c>
      <c r="D13" s="5" t="inlineStr">
        <is>
          <t>01 TRIAL PITS AND TRENCHES</t>
        </is>
      </c>
      <c r="E13" s="5" t="inlineStr">
        <is>
          <t>Trial holes measured by depth; Excavating trial hole; plan size 1.0 x 2.0 m; supports, backfilling (continued)</t>
        </is>
      </c>
      <c r="F13" s="5" t="inlineStr">
        <is>
          <t>2.0-3.0 m deep</t>
        </is>
      </c>
      <c r="G13" s="6" t="inlineStr">
        <is>
          <t>m</t>
        </is>
      </c>
      <c r="H13" s="7" t="n">
        <v>0.59</v>
      </c>
      <c r="I13" s="8" t="n">
        <v>79.89</v>
      </c>
      <c r="J13" s="8" t="n">
        <v>135.29</v>
      </c>
      <c r="K13" s="8" t="n">
        <v>0</v>
      </c>
      <c r="L13" s="8" t="n">
        <v>0</v>
      </c>
      <c r="M13" s="9">
        <f>ROUND(SUM(I13:L13),2)</f>
        <v/>
      </c>
      <c r="N13" s="10">
        <f>ROUND(I13*'Irish Basis'!$C$6*'Irish Basis'!$C$5,2)</f>
        <v/>
      </c>
      <c r="O13" s="10">
        <f>ROUND(J13*'Irish Basis'!$C$7*'Irish Basis'!$C$5,2)</f>
        <v/>
      </c>
      <c r="P13" s="10">
        <f>ROUND(K13*'Irish Basis'!$C$8*'Irish Basis'!$C$5,2)</f>
        <v/>
      </c>
      <c r="Q13" s="10">
        <f>ROUND(L13*'Irish Basis'!$C$12*'Irish Basis'!$C$5,2)</f>
        <v/>
      </c>
      <c r="R13" s="11">
        <f>ROUND(SUM(N13:Q13),2)</f>
        <v/>
      </c>
      <c r="S13" s="5" t="inlineStr">
        <is>
          <t>Stated build-up</t>
        </is>
      </c>
      <c r="T13" s="12" t="inlineStr">
        <is>
          <t>High</t>
        </is>
      </c>
      <c r="U13" s="8" t="n">
        <v>215.18</v>
      </c>
      <c r="V13" s="13">
        <f>IF(U13="","",ROUND(M13-U13,2))</f>
        <v/>
      </c>
      <c r="W13" s="5" t="n"/>
      <c r="X13" s="5" t="inlineStr">
        <is>
          <t>Labour + plant + material as published; reconciles to the published rate.</t>
        </is>
      </c>
    </row>
    <row r="14" ht="13" customHeight="1">
      <c r="A14" s="4" t="n">
        <v>136</v>
      </c>
      <c r="B14" s="5" t="inlineStr">
        <is>
          <t>IMG_0067</t>
        </is>
      </c>
      <c r="C14" s="5" t="inlineStr">
        <is>
          <t>CLASS B: GROUND INVESTIGATION</t>
        </is>
      </c>
      <c r="D14" s="5" t="inlineStr">
        <is>
          <t>01 TRIAL PITS AND TRENCHES</t>
        </is>
      </c>
      <c r="E14" s="5" t="inlineStr">
        <is>
          <t>Trial holes measured by depth; Excavating trial hole; plan size 1.0 x 2.0 m; supports, backfilling (continued)</t>
        </is>
      </c>
      <c r="F14" s="5" t="inlineStr">
        <is>
          <t>3.0-5.0 m deep</t>
        </is>
      </c>
      <c r="G14" s="6" t="inlineStr">
        <is>
          <t>m</t>
        </is>
      </c>
      <c r="H14" s="7" t="n">
        <v>0.65</v>
      </c>
      <c r="I14" s="8" t="n">
        <v>88.02</v>
      </c>
      <c r="J14" s="8" t="n">
        <v>179.68</v>
      </c>
      <c r="K14" s="8" t="n">
        <v>0</v>
      </c>
      <c r="L14" s="8" t="n">
        <v>0</v>
      </c>
      <c r="M14" s="9">
        <f>ROUND(SUM(I14:L14),2)</f>
        <v/>
      </c>
      <c r="N14" s="10">
        <f>ROUND(I14*'Irish Basis'!$C$6*'Irish Basis'!$C$5,2)</f>
        <v/>
      </c>
      <c r="O14" s="10">
        <f>ROUND(J14*'Irish Basis'!$C$7*'Irish Basis'!$C$5,2)</f>
        <v/>
      </c>
      <c r="P14" s="10">
        <f>ROUND(K14*'Irish Basis'!$C$8*'Irish Basis'!$C$5,2)</f>
        <v/>
      </c>
      <c r="Q14" s="10">
        <f>ROUND(L14*'Irish Basis'!$C$12*'Irish Basis'!$C$5,2)</f>
        <v/>
      </c>
      <c r="R14" s="11">
        <f>ROUND(SUM(N14:Q14),2)</f>
        <v/>
      </c>
      <c r="S14" s="5" t="inlineStr">
        <is>
          <t>Stated build-up</t>
        </is>
      </c>
      <c r="T14" s="12" t="inlineStr">
        <is>
          <t>High</t>
        </is>
      </c>
      <c r="U14" s="8" t="n">
        <v>267.7</v>
      </c>
      <c r="V14" s="13">
        <f>IF(U14="","",ROUND(M14-U14,2))</f>
        <v/>
      </c>
      <c r="W14" s="5" t="n"/>
      <c r="X14" s="5" t="inlineStr">
        <is>
          <t>Labour + plant + material as published; reconciles to the published rate.</t>
        </is>
      </c>
    </row>
    <row r="15" ht="13" customHeight="1">
      <c r="A15" s="4" t="n">
        <v>138</v>
      </c>
      <c r="B15" s="5" t="inlineStr">
        <is>
          <t>IMG_0067</t>
        </is>
      </c>
      <c r="C15" s="5" t="inlineStr">
        <is>
          <t>CLASS B: GROUND INVESTIGATION</t>
        </is>
      </c>
      <c r="D15" s="5" t="inlineStr">
        <is>
          <t>01 TRIAL PITS AND TRENCHES</t>
        </is>
      </c>
      <c r="E15" s="5" t="inlineStr">
        <is>
          <t>Excavating trial hole in rock or similar; plan size 1.0 x 2.0 m; supports, backfilling</t>
        </is>
      </c>
      <c r="F15" s="5" t="inlineStr">
        <is>
          <t>ne 1.0 m deep</t>
        </is>
      </c>
      <c r="G15" s="6" t="inlineStr">
        <is>
          <t>m</t>
        </is>
      </c>
      <c r="H15" s="7" t="n">
        <v>2.95</v>
      </c>
      <c r="I15" s="8" t="n">
        <v>399.47</v>
      </c>
      <c r="J15" s="8" t="n">
        <v>615.51</v>
      </c>
      <c r="K15" s="8" t="n">
        <v>0</v>
      </c>
      <c r="L15" s="8" t="n">
        <v>0</v>
      </c>
      <c r="M15" s="9">
        <f>ROUND(SUM(I15:L15),2)</f>
        <v/>
      </c>
      <c r="N15" s="10">
        <f>ROUND(I15*'Irish Basis'!$C$6*'Irish Basis'!$C$5,2)</f>
        <v/>
      </c>
      <c r="O15" s="10">
        <f>ROUND(J15*'Irish Basis'!$C$7*'Irish Basis'!$C$5,2)</f>
        <v/>
      </c>
      <c r="P15" s="10">
        <f>ROUND(K15*'Irish Basis'!$C$8*'Irish Basis'!$C$5,2)</f>
        <v/>
      </c>
      <c r="Q15" s="10">
        <f>ROUND(L15*'Irish Basis'!$C$12*'Irish Basis'!$C$5,2)</f>
        <v/>
      </c>
      <c r="R15" s="11">
        <f>ROUND(SUM(N15:Q15),2)</f>
        <v/>
      </c>
      <c r="S15" s="5" t="inlineStr">
        <is>
          <t>Stated build-up</t>
        </is>
      </c>
      <c r="T15" s="12" t="inlineStr">
        <is>
          <t>High</t>
        </is>
      </c>
      <c r="U15" s="8" t="n">
        <v>1014.98</v>
      </c>
      <c r="V15" s="13">
        <f>IF(U15="","",ROUND(M15-U15,2))</f>
        <v/>
      </c>
      <c r="W15" s="5" t="n"/>
      <c r="X15" s="5" t="inlineStr">
        <is>
          <t>Labour + plant + material as published; reconciles to the published rate.</t>
        </is>
      </c>
    </row>
    <row r="16" ht="13" customHeight="1">
      <c r="A16" s="4" t="n">
        <v>139</v>
      </c>
      <c r="B16" s="5" t="inlineStr">
        <is>
          <t>IMG_0067</t>
        </is>
      </c>
      <c r="C16" s="5" t="inlineStr">
        <is>
          <t>CLASS B: GROUND INVESTIGATION</t>
        </is>
      </c>
      <c r="D16" s="5" t="inlineStr">
        <is>
          <t>01 TRIAL PITS AND TRENCHES</t>
        </is>
      </c>
      <c r="E16" s="5" t="inlineStr">
        <is>
          <t>Excavating trial hole in rock or similar; plan size 1.0 x 2.0 m; supports, backfilling</t>
        </is>
      </c>
      <c r="F16" s="5" t="inlineStr">
        <is>
          <t>1.0-2.0 m deep</t>
        </is>
      </c>
      <c r="G16" s="6" t="inlineStr">
        <is>
          <t>m</t>
        </is>
      </c>
      <c r="H16" s="7" t="n">
        <v>3.65</v>
      </c>
      <c r="I16" s="8" t="n">
        <v>494.26</v>
      </c>
      <c r="J16" s="8" t="n">
        <v>948.3</v>
      </c>
      <c r="K16" s="8" t="n">
        <v>0</v>
      </c>
      <c r="L16" s="8" t="n">
        <v>0</v>
      </c>
      <c r="M16" s="9">
        <f>ROUND(SUM(I16:L16),2)</f>
        <v/>
      </c>
      <c r="N16" s="10">
        <f>ROUND(I16*'Irish Basis'!$C$6*'Irish Basis'!$C$5,2)</f>
        <v/>
      </c>
      <c r="O16" s="10">
        <f>ROUND(J16*'Irish Basis'!$C$7*'Irish Basis'!$C$5,2)</f>
        <v/>
      </c>
      <c r="P16" s="10">
        <f>ROUND(K16*'Irish Basis'!$C$8*'Irish Basis'!$C$5,2)</f>
        <v/>
      </c>
      <c r="Q16" s="10">
        <f>ROUND(L16*'Irish Basis'!$C$12*'Irish Basis'!$C$5,2)</f>
        <v/>
      </c>
      <c r="R16" s="11">
        <f>ROUND(SUM(N16:Q16),2)</f>
        <v/>
      </c>
      <c r="S16" s="5" t="inlineStr">
        <is>
          <t>Stated build-up</t>
        </is>
      </c>
      <c r="T16" s="12" t="inlineStr">
        <is>
          <t>High</t>
        </is>
      </c>
      <c r="U16" s="8" t="n">
        <v>1442.56</v>
      </c>
      <c r="V16" s="13">
        <f>IF(U16="","",ROUND(M16-U16,2))</f>
        <v/>
      </c>
      <c r="W16" s="5" t="n"/>
      <c r="X16" s="5" t="inlineStr">
        <is>
          <t>Labour + plant + material as published; reconciles to the published rate.</t>
        </is>
      </c>
    </row>
    <row r="17" ht="13" customHeight="1">
      <c r="A17" s="4" t="n">
        <v>140</v>
      </c>
      <c r="B17" s="5" t="inlineStr">
        <is>
          <t>IMG_0067</t>
        </is>
      </c>
      <c r="C17" s="5" t="inlineStr">
        <is>
          <t>CLASS B: GROUND INVESTIGATION</t>
        </is>
      </c>
      <c r="D17" s="5" t="inlineStr">
        <is>
          <t>01 TRIAL PITS AND TRENCHES</t>
        </is>
      </c>
      <c r="E17" s="5" t="inlineStr">
        <is>
          <t>Excavating trial hole in rock or similar; plan size 1.0 x 2.0 m; supports, backfilling</t>
        </is>
      </c>
      <c r="F17" s="5" t="inlineStr">
        <is>
          <t>2.0-3.0 m deep</t>
        </is>
      </c>
      <c r="G17" s="6" t="inlineStr">
        <is>
          <t>m</t>
        </is>
      </c>
      <c r="H17" s="7" t="n">
        <v>3.95</v>
      </c>
      <c r="I17" s="8" t="n">
        <v>534.88</v>
      </c>
      <c r="J17" s="8" t="n">
        <v>986.08</v>
      </c>
      <c r="K17" s="8" t="n">
        <v>0</v>
      </c>
      <c r="L17" s="8" t="n">
        <v>0</v>
      </c>
      <c r="M17" s="9">
        <f>ROUND(SUM(I17:L17),2)</f>
        <v/>
      </c>
      <c r="N17" s="10">
        <f>ROUND(I17*'Irish Basis'!$C$6*'Irish Basis'!$C$5,2)</f>
        <v/>
      </c>
      <c r="O17" s="10">
        <f>ROUND(J17*'Irish Basis'!$C$7*'Irish Basis'!$C$5,2)</f>
        <v/>
      </c>
      <c r="P17" s="10">
        <f>ROUND(K17*'Irish Basis'!$C$8*'Irish Basis'!$C$5,2)</f>
        <v/>
      </c>
      <c r="Q17" s="10">
        <f>ROUND(L17*'Irish Basis'!$C$12*'Irish Basis'!$C$5,2)</f>
        <v/>
      </c>
      <c r="R17" s="11">
        <f>ROUND(SUM(N17:Q17),2)</f>
        <v/>
      </c>
      <c r="S17" s="5" t="inlineStr">
        <is>
          <t>Stated build-up</t>
        </is>
      </c>
      <c r="T17" s="12" t="inlineStr">
        <is>
          <t>High</t>
        </is>
      </c>
      <c r="U17" s="8" t="n">
        <v>1520.96</v>
      </c>
      <c r="V17" s="13">
        <f>IF(U17="","",ROUND(M17-U17,2))</f>
        <v/>
      </c>
      <c r="W17" s="5" t="n"/>
      <c r="X17" s="5" t="inlineStr">
        <is>
          <t>Labour + plant + material as published; reconciles to the published rate.</t>
        </is>
      </c>
    </row>
    <row r="18" ht="13" customHeight="1">
      <c r="A18" s="4" t="n">
        <v>141</v>
      </c>
      <c r="B18" s="5" t="inlineStr">
        <is>
          <t>IMG_0067</t>
        </is>
      </c>
      <c r="C18" s="5" t="inlineStr">
        <is>
          <t>CLASS B: GROUND INVESTIGATION</t>
        </is>
      </c>
      <c r="D18" s="5" t="inlineStr">
        <is>
          <t>01 TRIAL PITS AND TRENCHES</t>
        </is>
      </c>
      <c r="E18" s="5" t="inlineStr">
        <is>
          <t>Excavating trial hole in rock or similar; plan size 1.0 x 2.0 m; supports, backfilling</t>
        </is>
      </c>
      <c r="F18" s="5" t="inlineStr">
        <is>
          <t>3.0-5.0 m deep</t>
        </is>
      </c>
      <c r="G18" s="6" t="inlineStr">
        <is>
          <t>m</t>
        </is>
      </c>
      <c r="H18" s="7" t="n">
        <v>4.5</v>
      </c>
      <c r="I18" s="8" t="n">
        <v>609.36</v>
      </c>
      <c r="J18" s="8" t="n">
        <v>1055.1</v>
      </c>
      <c r="K18" s="8" t="n">
        <v>0</v>
      </c>
      <c r="L18" s="8" t="n">
        <v>0</v>
      </c>
      <c r="M18" s="9">
        <f>ROUND(SUM(I18:L18),2)</f>
        <v/>
      </c>
      <c r="N18" s="10">
        <f>ROUND(I18*'Irish Basis'!$C$6*'Irish Basis'!$C$5,2)</f>
        <v/>
      </c>
      <c r="O18" s="10">
        <f>ROUND(J18*'Irish Basis'!$C$7*'Irish Basis'!$C$5,2)</f>
        <v/>
      </c>
      <c r="P18" s="10">
        <f>ROUND(K18*'Irish Basis'!$C$8*'Irish Basis'!$C$5,2)</f>
        <v/>
      </c>
      <c r="Q18" s="10">
        <f>ROUND(L18*'Irish Basis'!$C$12*'Irish Basis'!$C$5,2)</f>
        <v/>
      </c>
      <c r="R18" s="11">
        <f>ROUND(SUM(N18:Q18),2)</f>
        <v/>
      </c>
      <c r="S18" s="5" t="inlineStr">
        <is>
          <t>Stated build-up</t>
        </is>
      </c>
      <c r="T18" s="12" t="inlineStr">
        <is>
          <t>High</t>
        </is>
      </c>
      <c r="U18" s="8" t="n">
        <v>1664.46</v>
      </c>
      <c r="V18" s="13">
        <f>IF(U18="","",ROUND(M18-U18,2))</f>
        <v/>
      </c>
      <c r="W18" s="5" t="n"/>
      <c r="X18" s="5" t="inlineStr">
        <is>
          <t>Labour + plant + material as published; reconciles to the published rate.</t>
        </is>
      </c>
    </row>
    <row r="19" ht="13" customHeight="1">
      <c r="A19" s="4" t="n">
        <v>143</v>
      </c>
      <c r="B19" s="5" t="inlineStr">
        <is>
          <t>IMG_0067</t>
        </is>
      </c>
      <c r="C19" s="5" t="inlineStr">
        <is>
          <t>CLASS B: GROUND INVESTIGATION</t>
        </is>
      </c>
      <c r="D19" s="5" t="inlineStr">
        <is>
          <t>01 TRIAL PITS AND TRENCHES</t>
        </is>
      </c>
      <c r="E19" s="5" t="inlineStr">
        <is>
          <t>Sundries in trial holes</t>
        </is>
      </c>
      <c r="F19" s="5" t="inlineStr">
        <is>
          <t>Removal of obstructions from trial holes irrespective of depth</t>
        </is>
      </c>
      <c r="G19" s="6" t="inlineStr">
        <is>
          <t>hr</t>
        </is>
      </c>
      <c r="H19" s="7" t="n">
        <v>1</v>
      </c>
      <c r="I19" s="8" t="n">
        <v>135.41</v>
      </c>
      <c r="J19" s="8" t="n">
        <v>370.57</v>
      </c>
      <c r="K19" s="8" t="n">
        <v>0</v>
      </c>
      <c r="L19" s="8" t="n">
        <v>0</v>
      </c>
      <c r="M19" s="9">
        <f>ROUND(SUM(I19:L19),2)</f>
        <v/>
      </c>
      <c r="N19" s="10">
        <f>ROUND(I19*'Irish Basis'!$C$6*'Irish Basis'!$C$5,2)</f>
        <v/>
      </c>
      <c r="O19" s="10">
        <f>ROUND(J19*'Irish Basis'!$C$7*'Irish Basis'!$C$5,2)</f>
        <v/>
      </c>
      <c r="P19" s="10">
        <f>ROUND(K19*'Irish Basis'!$C$8*'Irish Basis'!$C$5,2)</f>
        <v/>
      </c>
      <c r="Q19" s="10">
        <f>ROUND(L19*'Irish Basis'!$C$12*'Irish Basis'!$C$5,2)</f>
        <v/>
      </c>
      <c r="R19" s="11">
        <f>ROUND(SUM(N19:Q19),2)</f>
        <v/>
      </c>
      <c r="S19" s="5" t="inlineStr">
        <is>
          <t>Stated build-up</t>
        </is>
      </c>
      <c r="T19" s="12" t="inlineStr">
        <is>
          <t>High</t>
        </is>
      </c>
      <c r="U19" s="8" t="n">
        <v>505.99</v>
      </c>
      <c r="V19" s="13">
        <f>IF(U19="","",ROUND(M19-U19,2))</f>
        <v/>
      </c>
      <c r="W19" s="5" t="n"/>
      <c r="X19" s="5" t="inlineStr">
        <is>
          <t>Labour + plant + material as published; reconciles to the published rate.</t>
        </is>
      </c>
    </row>
    <row r="20" ht="13" customHeight="1">
      <c r="A20" s="4" t="n">
        <v>144</v>
      </c>
      <c r="B20" s="5" t="inlineStr">
        <is>
          <t>IMG_0067</t>
        </is>
      </c>
      <c r="C20" s="5" t="inlineStr">
        <is>
          <t>CLASS B: GROUND INVESTIGATION</t>
        </is>
      </c>
      <c r="D20" s="5" t="inlineStr">
        <is>
          <t>01 TRIAL PITS AND TRENCHES</t>
        </is>
      </c>
      <c r="E20" s="5" t="inlineStr">
        <is>
          <t>Sundries in trial holes</t>
        </is>
      </c>
      <c r="F20" s="5" t="inlineStr">
        <is>
          <t>Pumping; maximum depth 4.0 m minimum 750 litres per hour</t>
        </is>
      </c>
      <c r="G20" s="6" t="inlineStr">
        <is>
          <t>hr</t>
        </is>
      </c>
      <c r="H20" s="7" t="n">
        <v>0.06</v>
      </c>
      <c r="I20" s="8" t="n">
        <v>3.18</v>
      </c>
      <c r="J20" s="8" t="n">
        <v>38.03</v>
      </c>
      <c r="K20" s="8" t="n">
        <v>0</v>
      </c>
      <c r="L20" s="8" t="n">
        <v>0</v>
      </c>
      <c r="M20" s="9">
        <f>ROUND(SUM(I20:L20),2)</f>
        <v/>
      </c>
      <c r="N20" s="10">
        <f>ROUND(I20*'Irish Basis'!$C$6*'Irish Basis'!$C$5,2)</f>
        <v/>
      </c>
      <c r="O20" s="10">
        <f>ROUND(J20*'Irish Basis'!$C$7*'Irish Basis'!$C$5,2)</f>
        <v/>
      </c>
      <c r="P20" s="10">
        <f>ROUND(K20*'Irish Basis'!$C$8*'Irish Basis'!$C$5,2)</f>
        <v/>
      </c>
      <c r="Q20" s="10">
        <f>ROUND(L20*'Irish Basis'!$C$12*'Irish Basis'!$C$5,2)</f>
        <v/>
      </c>
      <c r="R20" s="11">
        <f>ROUND(SUM(N20:Q20),2)</f>
        <v/>
      </c>
      <c r="S20" s="5" t="inlineStr">
        <is>
          <t>Stated build-up</t>
        </is>
      </c>
      <c r="T20" s="12" t="inlineStr">
        <is>
          <t>High</t>
        </is>
      </c>
      <c r="U20" s="8" t="n">
        <v>41.21</v>
      </c>
      <c r="V20" s="13">
        <f>IF(U20="","",ROUND(M20-U20,2))</f>
        <v/>
      </c>
      <c r="W20" s="5" t="n"/>
      <c r="X20" s="5" t="inlineStr">
        <is>
          <t>Labour + plant + material as published; reconciles to the published rate.</t>
        </is>
      </c>
    </row>
    <row r="21" ht="13" customHeight="1">
      <c r="A21" s="4" t="n">
        <v>148</v>
      </c>
      <c r="B21" s="5" t="inlineStr">
        <is>
          <t>IMG_0067</t>
        </is>
      </c>
      <c r="C21" s="5" t="inlineStr">
        <is>
          <t>CLASS B: GROUND INVESTIGATION</t>
        </is>
      </c>
      <c r="D21" s="5" t="inlineStr">
        <is>
          <t>02 LIGHT CABLE PERCUSSION BOREHOLES</t>
        </is>
      </c>
      <c r="E21" s="5" t="inlineStr">
        <is>
          <t>General</t>
        </is>
      </c>
      <c r="F21" s="5" t="inlineStr">
        <is>
          <t>Establishment of standard plant and equipment and removal on completion</t>
        </is>
      </c>
      <c r="G21" s="6" t="inlineStr">
        <is>
          <t>item</t>
        </is>
      </c>
      <c r="H21" s="7" t="n"/>
      <c r="I21" s="8" t="n">
        <v>0</v>
      </c>
      <c r="J21" s="8" t="n">
        <v>0</v>
      </c>
      <c r="K21" s="8" t="n">
        <v>0</v>
      </c>
      <c r="L21" s="8" t="n">
        <v>16858.03</v>
      </c>
      <c r="M21" s="9">
        <f>ROUND(SUM(I21:L21),2)</f>
        <v/>
      </c>
      <c r="N21" s="10">
        <f>ROUND(I21*'Irish Basis'!$C$6*'Irish Basis'!$C$5,2)</f>
        <v/>
      </c>
      <c r="O21" s="10">
        <f>ROUND(J21*'Irish Basis'!$C$7*'Irish Basis'!$C$5,2)</f>
        <v/>
      </c>
      <c r="P21" s="10">
        <f>ROUND(K21*'Irish Basis'!$C$8*'Irish Basis'!$C$5,2)</f>
        <v/>
      </c>
      <c r="Q21" s="10">
        <f>ROUND(L21*'Irish Basis'!$C$12*'Irish Basis'!$C$5,2)</f>
        <v/>
      </c>
      <c r="R21" s="11">
        <f>ROUND(SUM(N21:Q21),2)</f>
        <v/>
      </c>
      <c r="S21" s="5" t="inlineStr">
        <is>
          <t>All-in specialist rate</t>
        </is>
      </c>
      <c r="T21" s="14" t="inlineStr">
        <is>
          <t>All-in (not split)</t>
        </is>
      </c>
      <c r="U21" s="8" t="n">
        <v>16858.03</v>
      </c>
      <c r="V21" s="13">
        <f>IF(U21="","",ROUND(M21-U21,2))</f>
        <v/>
      </c>
      <c r="W21" s="5" t="n"/>
      <c r="X21" s="5" t="inlineStr">
        <is>
          <t>Source publishes a specialist/sub-contract all-in rate; no labour/plant/material build-up exists to derive from.</t>
        </is>
      </c>
    </row>
    <row r="22" ht="13" customHeight="1">
      <c r="A22" s="4" t="n">
        <v>149</v>
      </c>
      <c r="B22" s="5" t="inlineStr">
        <is>
          <t>IMG_0067</t>
        </is>
      </c>
      <c r="C22" s="5" t="inlineStr">
        <is>
          <t>CLASS B: GROUND INVESTIGATION</t>
        </is>
      </c>
      <c r="D22" s="5" t="inlineStr">
        <is>
          <t>02 LIGHT CABLE PERCUSSION BOREHOLES</t>
        </is>
      </c>
      <c r="E22" s="5" t="inlineStr">
        <is>
          <t>General</t>
        </is>
      </c>
      <c r="F22" s="5" t="inlineStr">
        <is>
          <t>Number; 150 mm nominal dia. at base</t>
        </is>
      </c>
      <c r="G22" s="6" t="inlineStr">
        <is>
          <t>nr</t>
        </is>
      </c>
      <c r="H22" s="7" t="n"/>
      <c r="I22" s="8" t="n">
        <v>0</v>
      </c>
      <c r="J22" s="8" t="n">
        <v>0</v>
      </c>
      <c r="K22" s="8" t="n">
        <v>0</v>
      </c>
      <c r="L22" s="8" t="n">
        <v>87.91</v>
      </c>
      <c r="M22" s="9">
        <f>ROUND(SUM(I22:L22),2)</f>
        <v/>
      </c>
      <c r="N22" s="10">
        <f>ROUND(I22*'Irish Basis'!$C$6*'Irish Basis'!$C$5,2)</f>
        <v/>
      </c>
      <c r="O22" s="10">
        <f>ROUND(J22*'Irish Basis'!$C$7*'Irish Basis'!$C$5,2)</f>
        <v/>
      </c>
      <c r="P22" s="10">
        <f>ROUND(K22*'Irish Basis'!$C$8*'Irish Basis'!$C$5,2)</f>
        <v/>
      </c>
      <c r="Q22" s="10">
        <f>ROUND(L22*'Irish Basis'!$C$12*'Irish Basis'!$C$5,2)</f>
        <v/>
      </c>
      <c r="R22" s="11">
        <f>ROUND(SUM(N22:Q22),2)</f>
        <v/>
      </c>
      <c r="S22" s="5" t="inlineStr">
        <is>
          <t>All-in specialist rate</t>
        </is>
      </c>
      <c r="T22" s="14" t="inlineStr">
        <is>
          <t>All-in (not split)</t>
        </is>
      </c>
      <c r="U22" s="8" t="n">
        <v>87.91</v>
      </c>
      <c r="V22" s="13">
        <f>IF(U22="","",ROUND(M22-U22,2))</f>
        <v/>
      </c>
      <c r="W22" s="5" t="n"/>
      <c r="X22" s="5" t="inlineStr">
        <is>
          <t>Source publishes a specialist/sub-contract all-in rate; no labour/plant/material build-up exists to derive from.</t>
        </is>
      </c>
    </row>
    <row r="23" ht="13" customHeight="1">
      <c r="A23" s="4" t="n">
        <v>151</v>
      </c>
      <c r="B23" s="5" t="inlineStr">
        <is>
          <t>IMG_0067</t>
        </is>
      </c>
      <c r="C23" s="5" t="inlineStr">
        <is>
          <t>CLASS B: GROUND INVESTIGATION</t>
        </is>
      </c>
      <c r="D23" s="5" t="inlineStr">
        <is>
          <t>02 LIGHT CABLE PERCUSSION BOREHOLES</t>
        </is>
      </c>
      <c r="E23" s="5" t="inlineStr">
        <is>
          <t>Depth; 150 mm nominal dia. of base</t>
        </is>
      </c>
      <c r="F23" s="5" t="inlineStr">
        <is>
          <t>in holes of maximum depth not exceeding 5 m</t>
        </is>
      </c>
      <c r="G23" s="6" t="inlineStr">
        <is>
          <t>m</t>
        </is>
      </c>
      <c r="H23" s="7" t="n"/>
      <c r="I23" s="8" t="n">
        <v>0</v>
      </c>
      <c r="J23" s="8" t="n">
        <v>0</v>
      </c>
      <c r="K23" s="8" t="n">
        <v>0</v>
      </c>
      <c r="L23" s="8" t="n">
        <v>35.16</v>
      </c>
      <c r="M23" s="9">
        <f>ROUND(SUM(I23:L23),2)</f>
        <v/>
      </c>
      <c r="N23" s="10">
        <f>ROUND(I23*'Irish Basis'!$C$6*'Irish Basis'!$C$5,2)</f>
        <v/>
      </c>
      <c r="O23" s="10">
        <f>ROUND(J23*'Irish Basis'!$C$7*'Irish Basis'!$C$5,2)</f>
        <v/>
      </c>
      <c r="P23" s="10">
        <f>ROUND(K23*'Irish Basis'!$C$8*'Irish Basis'!$C$5,2)</f>
        <v/>
      </c>
      <c r="Q23" s="10">
        <f>ROUND(L23*'Irish Basis'!$C$12*'Irish Basis'!$C$5,2)</f>
        <v/>
      </c>
      <c r="R23" s="11">
        <f>ROUND(SUM(N23:Q23),2)</f>
        <v/>
      </c>
      <c r="S23" s="5" t="inlineStr">
        <is>
          <t>All-in specialist rate</t>
        </is>
      </c>
      <c r="T23" s="14" t="inlineStr">
        <is>
          <t>All-in (not split)</t>
        </is>
      </c>
      <c r="U23" s="8" t="n">
        <v>35.16</v>
      </c>
      <c r="V23" s="13">
        <f>IF(U23="","",ROUND(M23-U23,2))</f>
        <v/>
      </c>
      <c r="W23" s="5" t="n"/>
      <c r="X23" s="5" t="inlineStr">
        <is>
          <t>Source publishes a specialist/sub-contract all-in rate; no labour/plant/material build-up exists to derive from.</t>
        </is>
      </c>
    </row>
    <row r="24" ht="13" customHeight="1">
      <c r="A24" s="4" t="n">
        <v>152</v>
      </c>
      <c r="B24" s="5" t="inlineStr">
        <is>
          <t>IMG_0067</t>
        </is>
      </c>
      <c r="C24" s="5" t="inlineStr">
        <is>
          <t>CLASS B: GROUND INVESTIGATION</t>
        </is>
      </c>
      <c r="D24" s="5" t="inlineStr">
        <is>
          <t>02 LIGHT CABLE PERCUSSION BOREHOLES</t>
        </is>
      </c>
      <c r="E24" s="5" t="inlineStr">
        <is>
          <t>Depth; 150 mm nominal dia. of base</t>
        </is>
      </c>
      <c r="F24" s="5" t="inlineStr">
        <is>
          <t>in holes of maximum depth 5-10 m</t>
        </is>
      </c>
      <c r="G24" s="6" t="inlineStr">
        <is>
          <t>m</t>
        </is>
      </c>
      <c r="H24" s="7" t="n"/>
      <c r="I24" s="8" t="n">
        <v>0</v>
      </c>
      <c r="J24" s="8" t="n">
        <v>0</v>
      </c>
      <c r="K24" s="8" t="n">
        <v>0</v>
      </c>
      <c r="L24" s="8" t="n">
        <v>35.16</v>
      </c>
      <c r="M24" s="9">
        <f>ROUND(SUM(I24:L24),2)</f>
        <v/>
      </c>
      <c r="N24" s="10">
        <f>ROUND(I24*'Irish Basis'!$C$6*'Irish Basis'!$C$5,2)</f>
        <v/>
      </c>
      <c r="O24" s="10">
        <f>ROUND(J24*'Irish Basis'!$C$7*'Irish Basis'!$C$5,2)</f>
        <v/>
      </c>
      <c r="P24" s="10">
        <f>ROUND(K24*'Irish Basis'!$C$8*'Irish Basis'!$C$5,2)</f>
        <v/>
      </c>
      <c r="Q24" s="10">
        <f>ROUND(L24*'Irish Basis'!$C$12*'Irish Basis'!$C$5,2)</f>
        <v/>
      </c>
      <c r="R24" s="11">
        <f>ROUND(SUM(N24:Q24),2)</f>
        <v/>
      </c>
      <c r="S24" s="5" t="inlineStr">
        <is>
          <t>All-in specialist rate</t>
        </is>
      </c>
      <c r="T24" s="14" t="inlineStr">
        <is>
          <t>All-in (not split)</t>
        </is>
      </c>
      <c r="U24" s="8" t="n">
        <v>35.16</v>
      </c>
      <c r="V24" s="13">
        <f>IF(U24="","",ROUND(M24-U24,2))</f>
        <v/>
      </c>
      <c r="W24" s="5" t="n"/>
      <c r="X24" s="5" t="inlineStr">
        <is>
          <t>Source publishes a specialist/sub-contract all-in rate; no labour/plant/material build-up exists to derive from.</t>
        </is>
      </c>
    </row>
    <row r="25" ht="13" customHeight="1">
      <c r="A25" s="4" t="n">
        <v>153</v>
      </c>
      <c r="B25" s="5" t="inlineStr">
        <is>
          <t>IMG_0067</t>
        </is>
      </c>
      <c r="C25" s="5" t="inlineStr">
        <is>
          <t>CLASS B: GROUND INVESTIGATION</t>
        </is>
      </c>
      <c r="D25" s="5" t="inlineStr">
        <is>
          <t>02 LIGHT CABLE PERCUSSION BOREHOLES</t>
        </is>
      </c>
      <c r="E25" s="5" t="inlineStr">
        <is>
          <t>Depth; 150 mm nominal dia. of base</t>
        </is>
      </c>
      <c r="F25" s="5" t="inlineStr">
        <is>
          <t>in holes of maximum depth 10-20 m</t>
        </is>
      </c>
      <c r="G25" s="6" t="inlineStr">
        <is>
          <t>m</t>
        </is>
      </c>
      <c r="H25" s="7" t="n"/>
      <c r="I25" s="8" t="n">
        <v>0</v>
      </c>
      <c r="J25" s="8" t="n">
        <v>0</v>
      </c>
      <c r="K25" s="8" t="n">
        <v>0</v>
      </c>
      <c r="L25" s="8" t="n">
        <v>43.95</v>
      </c>
      <c r="M25" s="9">
        <f>ROUND(SUM(I25:L25),2)</f>
        <v/>
      </c>
      <c r="N25" s="10">
        <f>ROUND(I25*'Irish Basis'!$C$6*'Irish Basis'!$C$5,2)</f>
        <v/>
      </c>
      <c r="O25" s="10">
        <f>ROUND(J25*'Irish Basis'!$C$7*'Irish Basis'!$C$5,2)</f>
        <v/>
      </c>
      <c r="P25" s="10">
        <f>ROUND(K25*'Irish Basis'!$C$8*'Irish Basis'!$C$5,2)</f>
        <v/>
      </c>
      <c r="Q25" s="10">
        <f>ROUND(L25*'Irish Basis'!$C$12*'Irish Basis'!$C$5,2)</f>
        <v/>
      </c>
      <c r="R25" s="11">
        <f>ROUND(SUM(N25:Q25),2)</f>
        <v/>
      </c>
      <c r="S25" s="5" t="inlineStr">
        <is>
          <t>All-in specialist rate</t>
        </is>
      </c>
      <c r="T25" s="14" t="inlineStr">
        <is>
          <t>All-in (not split)</t>
        </is>
      </c>
      <c r="U25" s="8" t="n">
        <v>43.95</v>
      </c>
      <c r="V25" s="13">
        <f>IF(U25="","",ROUND(M25-U25,2))</f>
        <v/>
      </c>
      <c r="W25" s="5" t="n"/>
      <c r="X25" s="5" t="inlineStr">
        <is>
          <t>Source publishes a specialist/sub-contract all-in rate; no labour/plant/material build-up exists to derive from.</t>
        </is>
      </c>
    </row>
    <row r="26" ht="13" customHeight="1">
      <c r="A26" s="4" t="n">
        <v>154</v>
      </c>
      <c r="B26" s="5" t="inlineStr">
        <is>
          <t>IMG_0067</t>
        </is>
      </c>
      <c r="C26" s="5" t="inlineStr">
        <is>
          <t>CLASS B: GROUND INVESTIGATION</t>
        </is>
      </c>
      <c r="D26" s="5" t="inlineStr">
        <is>
          <t>02 LIGHT CABLE PERCUSSION BOREHOLES</t>
        </is>
      </c>
      <c r="E26" s="5" t="inlineStr">
        <is>
          <t>Depth; 150 mm nominal dia. of base</t>
        </is>
      </c>
      <c r="F26" s="5" t="inlineStr">
        <is>
          <t>in holes of maximum depth 20-30 m</t>
        </is>
      </c>
      <c r="G26" s="6" t="inlineStr">
        <is>
          <t>m</t>
        </is>
      </c>
      <c r="H26" s="7" t="n"/>
      <c r="I26" s="8" t="n">
        <v>0</v>
      </c>
      <c r="J26" s="8" t="n">
        <v>0</v>
      </c>
      <c r="K26" s="8" t="n">
        <v>0</v>
      </c>
      <c r="L26" s="8" t="n">
        <v>56.24</v>
      </c>
      <c r="M26" s="9">
        <f>ROUND(SUM(I26:L26),2)</f>
        <v/>
      </c>
      <c r="N26" s="10">
        <f>ROUND(I26*'Irish Basis'!$C$6*'Irish Basis'!$C$5,2)</f>
        <v/>
      </c>
      <c r="O26" s="10">
        <f>ROUND(J26*'Irish Basis'!$C$7*'Irish Basis'!$C$5,2)</f>
        <v/>
      </c>
      <c r="P26" s="10">
        <f>ROUND(K26*'Irish Basis'!$C$8*'Irish Basis'!$C$5,2)</f>
        <v/>
      </c>
      <c r="Q26" s="10">
        <f>ROUND(L26*'Irish Basis'!$C$12*'Irish Basis'!$C$5,2)</f>
        <v/>
      </c>
      <c r="R26" s="11">
        <f>ROUND(SUM(N26:Q26),2)</f>
        <v/>
      </c>
      <c r="S26" s="5" t="inlineStr">
        <is>
          <t>All-in specialist rate</t>
        </is>
      </c>
      <c r="T26" s="14" t="inlineStr">
        <is>
          <t>All-in (not split)</t>
        </is>
      </c>
      <c r="U26" s="8" t="n">
        <v>56.24</v>
      </c>
      <c r="V26" s="13">
        <f>IF(U26="","",ROUND(M26-U26,2))</f>
        <v/>
      </c>
      <c r="W26" s="5" t="n"/>
      <c r="X26" s="5" t="inlineStr">
        <is>
          <t>Source publishes a specialist/sub-contract all-in rate; no labour/plant/material build-up exists to derive from.</t>
        </is>
      </c>
    </row>
    <row r="27" ht="13" customHeight="1">
      <c r="A27" s="4" t="n">
        <v>155</v>
      </c>
      <c r="B27" s="5" t="inlineStr">
        <is>
          <t>IMG_0067</t>
        </is>
      </c>
      <c r="C27" s="5" t="inlineStr">
        <is>
          <t>CLASS B: GROUND INVESTIGATION</t>
        </is>
      </c>
      <c r="D27" s="5" t="inlineStr">
        <is>
          <t>02 LIGHT CABLE PERCUSSION BOREHOLES</t>
        </is>
      </c>
      <c r="E27" s="5" t="inlineStr">
        <is>
          <t>Depth; 150 mm nominal dia. of base</t>
        </is>
      </c>
      <c r="F27" s="5" t="inlineStr">
        <is>
          <t>Depth backfilled; imported pulverised fuel ash</t>
        </is>
      </c>
      <c r="G27" s="6" t="inlineStr">
        <is>
          <t>m</t>
        </is>
      </c>
      <c r="H27" s="7" t="n"/>
      <c r="I27" s="8" t="n">
        <v>0</v>
      </c>
      <c r="J27" s="8" t="n">
        <v>0</v>
      </c>
      <c r="K27" s="8" t="n">
        <v>0</v>
      </c>
      <c r="L27" s="8" t="n">
        <v>9.1</v>
      </c>
      <c r="M27" s="9">
        <f>ROUND(SUM(I27:L27),2)</f>
        <v/>
      </c>
      <c r="N27" s="10">
        <f>ROUND(I27*'Irish Basis'!$C$6*'Irish Basis'!$C$5,2)</f>
        <v/>
      </c>
      <c r="O27" s="10">
        <f>ROUND(J27*'Irish Basis'!$C$7*'Irish Basis'!$C$5,2)</f>
        <v/>
      </c>
      <c r="P27" s="10">
        <f>ROUND(K27*'Irish Basis'!$C$8*'Irish Basis'!$C$5,2)</f>
        <v/>
      </c>
      <c r="Q27" s="10">
        <f>ROUND(L27*'Irish Basis'!$C$12*'Irish Basis'!$C$5,2)</f>
        <v/>
      </c>
      <c r="R27" s="11">
        <f>ROUND(SUM(N27:Q27),2)</f>
        <v/>
      </c>
      <c r="S27" s="5" t="inlineStr">
        <is>
          <t>All-in specialist rate</t>
        </is>
      </c>
      <c r="T27" s="14" t="inlineStr">
        <is>
          <t>All-in (not split)</t>
        </is>
      </c>
      <c r="U27" s="8" t="n">
        <v>9.1</v>
      </c>
      <c r="V27" s="13">
        <f>IF(U27="","",ROUND(M27-U27,2))</f>
        <v/>
      </c>
      <c r="W27" s="5" t="n"/>
      <c r="X27" s="5" t="inlineStr">
        <is>
          <t>Source publishes a specialist/sub-contract all-in rate; no labour/plant/material build-up exists to derive from.</t>
        </is>
      </c>
    </row>
    <row r="28" ht="13" customHeight="1">
      <c r="A28" s="4" t="n">
        <v>156</v>
      </c>
      <c r="B28" s="5" t="inlineStr">
        <is>
          <t>IMG_0067</t>
        </is>
      </c>
      <c r="C28" s="5" t="inlineStr">
        <is>
          <t>CLASS B: GROUND INVESTIGATION</t>
        </is>
      </c>
      <c r="D28" s="5" t="inlineStr">
        <is>
          <t>02 LIGHT CABLE PERCUSSION BOREHOLES</t>
        </is>
      </c>
      <c r="E28" s="5" t="inlineStr">
        <is>
          <t>Depth; 150 mm nominal dia. of base</t>
        </is>
      </c>
      <c r="F28" s="5" t="inlineStr">
        <is>
          <t>Depth backfilled; imported gravel</t>
        </is>
      </c>
      <c r="G28" s="6" t="inlineStr">
        <is>
          <t>m</t>
        </is>
      </c>
      <c r="H28" s="7" t="n"/>
      <c r="I28" s="8" t="n">
        <v>0</v>
      </c>
      <c r="J28" s="8" t="n">
        <v>0</v>
      </c>
      <c r="K28" s="8" t="n">
        <v>0</v>
      </c>
      <c r="L28" s="8" t="n">
        <v>12.73</v>
      </c>
      <c r="M28" s="9">
        <f>ROUND(SUM(I28:L28),2)</f>
        <v/>
      </c>
      <c r="N28" s="10">
        <f>ROUND(I28*'Irish Basis'!$C$6*'Irish Basis'!$C$5,2)</f>
        <v/>
      </c>
      <c r="O28" s="10">
        <f>ROUND(J28*'Irish Basis'!$C$7*'Irish Basis'!$C$5,2)</f>
        <v/>
      </c>
      <c r="P28" s="10">
        <f>ROUND(K28*'Irish Basis'!$C$8*'Irish Basis'!$C$5,2)</f>
        <v/>
      </c>
      <c r="Q28" s="10">
        <f>ROUND(L28*'Irish Basis'!$C$12*'Irish Basis'!$C$5,2)</f>
        <v/>
      </c>
      <c r="R28" s="11">
        <f>ROUND(SUM(N28:Q28),2)</f>
        <v/>
      </c>
      <c r="S28" s="5" t="inlineStr">
        <is>
          <t>All-in specialist rate</t>
        </is>
      </c>
      <c r="T28" s="14" t="inlineStr">
        <is>
          <t>All-in (not split)</t>
        </is>
      </c>
      <c r="U28" s="8" t="n">
        <v>12.73</v>
      </c>
      <c r="V28" s="13">
        <f>IF(U28="","",ROUND(M28-U28,2))</f>
        <v/>
      </c>
      <c r="W28" s="5" t="n"/>
      <c r="X28" s="5" t="inlineStr">
        <is>
          <t>Source publishes a specialist/sub-contract all-in rate; no labour/plant/material build-up exists to derive from.</t>
        </is>
      </c>
    </row>
    <row r="29" ht="13" customHeight="1">
      <c r="A29" s="4" t="n">
        <v>157</v>
      </c>
      <c r="B29" s="5" t="inlineStr">
        <is>
          <t>IMG_0067</t>
        </is>
      </c>
      <c r="C29" s="5" t="inlineStr">
        <is>
          <t>CLASS B: GROUND INVESTIGATION</t>
        </is>
      </c>
      <c r="D29" s="5" t="inlineStr">
        <is>
          <t>02 LIGHT CABLE PERCUSSION BOREHOLES</t>
        </is>
      </c>
      <c r="E29" s="5" t="inlineStr">
        <is>
          <t>Depth; 150 mm nominal dia. of base</t>
        </is>
      </c>
      <c r="F29" s="5" t="inlineStr">
        <is>
          <t>Depth backfilled; bentonite grout</t>
        </is>
      </c>
      <c r="G29" s="6" t="inlineStr">
        <is>
          <t>m</t>
        </is>
      </c>
      <c r="H29" s="7" t="n"/>
      <c r="I29" s="8" t="n">
        <v>0</v>
      </c>
      <c r="J29" s="8" t="n">
        <v>0</v>
      </c>
      <c r="K29" s="8" t="n">
        <v>0</v>
      </c>
      <c r="L29" s="8" t="n">
        <v>18.21</v>
      </c>
      <c r="M29" s="9">
        <f>ROUND(SUM(I29:L29),2)</f>
        <v/>
      </c>
      <c r="N29" s="10">
        <f>ROUND(I29*'Irish Basis'!$C$6*'Irish Basis'!$C$5,2)</f>
        <v/>
      </c>
      <c r="O29" s="10">
        <f>ROUND(J29*'Irish Basis'!$C$7*'Irish Basis'!$C$5,2)</f>
        <v/>
      </c>
      <c r="P29" s="10">
        <f>ROUND(K29*'Irish Basis'!$C$8*'Irish Basis'!$C$5,2)</f>
        <v/>
      </c>
      <c r="Q29" s="10">
        <f>ROUND(L29*'Irish Basis'!$C$12*'Irish Basis'!$C$5,2)</f>
        <v/>
      </c>
      <c r="R29" s="11">
        <f>ROUND(SUM(N29:Q29),2)</f>
        <v/>
      </c>
      <c r="S29" s="5" t="inlineStr">
        <is>
          <t>All-in specialist rate</t>
        </is>
      </c>
      <c r="T29" s="14" t="inlineStr">
        <is>
          <t>All-in (not split)</t>
        </is>
      </c>
      <c r="U29" s="8" t="n">
        <v>18.21</v>
      </c>
      <c r="V29" s="13">
        <f>IF(U29="","",ROUND(M29-U29,2))</f>
        <v/>
      </c>
      <c r="W29" s="5" t="n"/>
      <c r="X29" s="5" t="inlineStr">
        <is>
          <t>Source publishes a specialist/sub-contract all-in rate; no labour/plant/material build-up exists to derive from.</t>
        </is>
      </c>
    </row>
    <row r="30" ht="13" customHeight="1">
      <c r="A30" s="4" t="n">
        <v>158</v>
      </c>
      <c r="B30" s="5" t="inlineStr">
        <is>
          <t>IMG_0067</t>
        </is>
      </c>
      <c r="C30" s="5" t="inlineStr">
        <is>
          <t>CLASS B: GROUND INVESTIGATION</t>
        </is>
      </c>
      <c r="D30" s="5" t="inlineStr">
        <is>
          <t>02 LIGHT CABLE PERCUSSION BOREHOLES</t>
        </is>
      </c>
      <c r="E30" s="5" t="inlineStr">
        <is>
          <t>Depth; 150 mm nominal dia. of base</t>
        </is>
      </c>
      <c r="F30" s="5" t="inlineStr">
        <is>
          <t>Chiselling to prove rock or to penetrate obstructions</t>
        </is>
      </c>
      <c r="G30" s="6" t="inlineStr">
        <is>
          <t>hour</t>
        </is>
      </c>
      <c r="H30" s="7" t="n"/>
      <c r="I30" s="8" t="n">
        <v>0</v>
      </c>
      <c r="J30" s="8" t="n">
        <v>0</v>
      </c>
      <c r="K30" s="8" t="n">
        <v>0</v>
      </c>
      <c r="L30" s="8" t="n">
        <v>87.93000000000001</v>
      </c>
      <c r="M30" s="9">
        <f>ROUND(SUM(I30:L30),2)</f>
        <v/>
      </c>
      <c r="N30" s="10">
        <f>ROUND(I30*'Irish Basis'!$C$6*'Irish Basis'!$C$5,2)</f>
        <v/>
      </c>
      <c r="O30" s="10">
        <f>ROUND(J30*'Irish Basis'!$C$7*'Irish Basis'!$C$5,2)</f>
        <v/>
      </c>
      <c r="P30" s="10">
        <f>ROUND(K30*'Irish Basis'!$C$8*'Irish Basis'!$C$5,2)</f>
        <v/>
      </c>
      <c r="Q30" s="10">
        <f>ROUND(L30*'Irish Basis'!$C$12*'Irish Basis'!$C$5,2)</f>
        <v/>
      </c>
      <c r="R30" s="11">
        <f>ROUND(SUM(N30:Q30),2)</f>
        <v/>
      </c>
      <c r="S30" s="5" t="inlineStr">
        <is>
          <t>All-in specialist rate</t>
        </is>
      </c>
      <c r="T30" s="14" t="inlineStr">
        <is>
          <t>All-in (not split)</t>
        </is>
      </c>
      <c r="U30" s="8" t="n">
        <v>87.93000000000001</v>
      </c>
      <c r="V30" s="13">
        <f>IF(U30="","",ROUND(M30-U30,2))</f>
        <v/>
      </c>
      <c r="W30" s="5" t="n"/>
      <c r="X30" s="5" t="inlineStr">
        <is>
          <t>Source publishes a specialist/sub-contract all-in rate; no labour/plant/material build-up exists to derive from.</t>
        </is>
      </c>
    </row>
    <row r="31" ht="13" customHeight="1">
      <c r="A31" s="4" t="n">
        <v>159</v>
      </c>
      <c r="B31" s="5" t="inlineStr">
        <is>
          <t>IMG_0067</t>
        </is>
      </c>
      <c r="C31" s="5" t="inlineStr">
        <is>
          <t>CLASS B: GROUND INVESTIGATION</t>
        </is>
      </c>
      <c r="D31" s="5" t="inlineStr">
        <is>
          <t>02 LIGHT CABLE PERCUSSION BOREHOLES</t>
        </is>
      </c>
      <c r="E31" s="5" t="inlineStr">
        <is>
          <t>Depth; 150 mm nominal dia. of base</t>
        </is>
      </c>
      <c r="F31" s="5" t="inlineStr">
        <is>
          <t>Standing time of rig and crew</t>
        </is>
      </c>
      <c r="G31" s="6" t="inlineStr">
        <is>
          <t>hour</t>
        </is>
      </c>
      <c r="H31" s="7" t="n"/>
      <c r="I31" s="8" t="n">
        <v>0</v>
      </c>
      <c r="J31" s="8" t="n">
        <v>0</v>
      </c>
      <c r="K31" s="8" t="n">
        <v>0</v>
      </c>
      <c r="L31" s="8" t="n">
        <v>87.93000000000001</v>
      </c>
      <c r="M31" s="9">
        <f>ROUND(SUM(I31:L31),2)</f>
        <v/>
      </c>
      <c r="N31" s="10">
        <f>ROUND(I31*'Irish Basis'!$C$6*'Irish Basis'!$C$5,2)</f>
        <v/>
      </c>
      <c r="O31" s="10">
        <f>ROUND(J31*'Irish Basis'!$C$7*'Irish Basis'!$C$5,2)</f>
        <v/>
      </c>
      <c r="P31" s="10">
        <f>ROUND(K31*'Irish Basis'!$C$8*'Irish Basis'!$C$5,2)</f>
        <v/>
      </c>
      <c r="Q31" s="10">
        <f>ROUND(L31*'Irish Basis'!$C$12*'Irish Basis'!$C$5,2)</f>
        <v/>
      </c>
      <c r="R31" s="11">
        <f>ROUND(SUM(N31:Q31),2)</f>
        <v/>
      </c>
      <c r="S31" s="5" t="inlineStr">
        <is>
          <t>All-in specialist rate</t>
        </is>
      </c>
      <c r="T31" s="14" t="inlineStr">
        <is>
          <t>All-in (not split)</t>
        </is>
      </c>
      <c r="U31" s="8" t="n">
        <v>87.93000000000001</v>
      </c>
      <c r="V31" s="13">
        <f>IF(U31="","",ROUND(M31-U31,2))</f>
        <v/>
      </c>
      <c r="W31" s="5" t="n"/>
      <c r="X31" s="5" t="inlineStr">
        <is>
          <t>Source publishes a specialist/sub-contract all-in rate; no labour/plant/material build-up exists to derive from.</t>
        </is>
      </c>
    </row>
    <row r="32" ht="13" customHeight="1">
      <c r="A32" s="4" t="n">
        <v>162</v>
      </c>
      <c r="B32" s="5" t="inlineStr">
        <is>
          <t>IMG_0067</t>
        </is>
      </c>
      <c r="C32" s="5" t="inlineStr">
        <is>
          <t>CLASS B: GROUND INVESTIGATION</t>
        </is>
      </c>
      <c r="D32" s="5" t="inlineStr">
        <is>
          <t>03 ROTARY DRILLED BOREHOLES</t>
        </is>
      </c>
      <c r="E32" s="5" t="inlineStr"/>
      <c r="F32" s="5" t="inlineStr">
        <is>
          <t>Establishment of standard plant and equipment and removal on completion</t>
        </is>
      </c>
      <c r="G32" s="6" t="inlineStr">
        <is>
          <t>item</t>
        </is>
      </c>
      <c r="H32" s="7" t="n"/>
      <c r="I32" s="8" t="n">
        <v>0</v>
      </c>
      <c r="J32" s="8" t="n">
        <v>0</v>
      </c>
      <c r="K32" s="8" t="n">
        <v>0</v>
      </c>
      <c r="L32" s="8" t="n">
        <v>42145.07</v>
      </c>
      <c r="M32" s="9">
        <f>ROUND(SUM(I32:L32),2)</f>
        <v/>
      </c>
      <c r="N32" s="10">
        <f>ROUND(I32*'Irish Basis'!$C$6*'Irish Basis'!$C$5,2)</f>
        <v/>
      </c>
      <c r="O32" s="10">
        <f>ROUND(J32*'Irish Basis'!$C$7*'Irish Basis'!$C$5,2)</f>
        <v/>
      </c>
      <c r="P32" s="10">
        <f>ROUND(K32*'Irish Basis'!$C$8*'Irish Basis'!$C$5,2)</f>
        <v/>
      </c>
      <c r="Q32" s="10">
        <f>ROUND(L32*'Irish Basis'!$C$12*'Irish Basis'!$C$5,2)</f>
        <v/>
      </c>
      <c r="R32" s="11">
        <f>ROUND(SUM(N32:Q32),2)</f>
        <v/>
      </c>
      <c r="S32" s="5" t="inlineStr">
        <is>
          <t>All-in specialist rate</t>
        </is>
      </c>
      <c r="T32" s="14" t="inlineStr">
        <is>
          <t>All-in (not split)</t>
        </is>
      </c>
      <c r="U32" s="8" t="n">
        <v>42145.07</v>
      </c>
      <c r="V32" s="13">
        <f>IF(U32="","",ROUND(M32-U32,2))</f>
        <v/>
      </c>
      <c r="W32" s="5" t="n"/>
      <c r="X32" s="5" t="inlineStr">
        <is>
          <t>Source publishes a specialist/sub-contract all-in rate; no labour/plant/material build-up exists to derive from.</t>
        </is>
      </c>
    </row>
    <row r="33" ht="13" customHeight="1">
      <c r="A33" s="4" t="n">
        <v>163</v>
      </c>
      <c r="B33" s="5" t="inlineStr">
        <is>
          <t>IMG_0067</t>
        </is>
      </c>
      <c r="C33" s="5" t="inlineStr">
        <is>
          <t>CLASS B: GROUND INVESTIGATION</t>
        </is>
      </c>
      <c r="D33" s="5" t="inlineStr">
        <is>
          <t>03 ROTARY DRILLED BOREHOLES</t>
        </is>
      </c>
      <c r="E33" s="5" t="inlineStr"/>
      <c r="F33" s="5" t="inlineStr">
        <is>
          <t>Setting up at each borehole position</t>
        </is>
      </c>
      <c r="G33" s="6" t="inlineStr">
        <is>
          <t>nr</t>
        </is>
      </c>
      <c r="H33" s="7" t="n"/>
      <c r="I33" s="8" t="n">
        <v>0</v>
      </c>
      <c r="J33" s="8" t="n">
        <v>0</v>
      </c>
      <c r="K33" s="8" t="n">
        <v>0</v>
      </c>
      <c r="L33" s="8" t="n">
        <v>17.58</v>
      </c>
      <c r="M33" s="9">
        <f>ROUND(SUM(I33:L33),2)</f>
        <v/>
      </c>
      <c r="N33" s="10">
        <f>ROUND(I33*'Irish Basis'!$C$6*'Irish Basis'!$C$5,2)</f>
        <v/>
      </c>
      <c r="O33" s="10">
        <f>ROUND(J33*'Irish Basis'!$C$7*'Irish Basis'!$C$5,2)</f>
        <v/>
      </c>
      <c r="P33" s="10">
        <f>ROUND(K33*'Irish Basis'!$C$8*'Irish Basis'!$C$5,2)</f>
        <v/>
      </c>
      <c r="Q33" s="10">
        <f>ROUND(L33*'Irish Basis'!$C$12*'Irish Basis'!$C$5,2)</f>
        <v/>
      </c>
      <c r="R33" s="11">
        <f>ROUND(SUM(N33:Q33),2)</f>
        <v/>
      </c>
      <c r="S33" s="5" t="inlineStr">
        <is>
          <t>All-in specialist rate</t>
        </is>
      </c>
      <c r="T33" s="14" t="inlineStr">
        <is>
          <t>All-in (not split)</t>
        </is>
      </c>
      <c r="U33" s="8" t="n">
        <v>17.58</v>
      </c>
      <c r="V33" s="13">
        <f>IF(U33="","",ROUND(M33-U33,2))</f>
        <v/>
      </c>
      <c r="W33" s="5" t="n"/>
      <c r="X33" s="5" t="inlineStr">
        <is>
          <t>Source publishes a specialist/sub-contract all-in rate; no labour/plant/material build-up exists to derive from.</t>
        </is>
      </c>
    </row>
    <row r="34" ht="13" customHeight="1">
      <c r="A34" s="4" t="n">
        <v>165</v>
      </c>
      <c r="B34" s="5" t="inlineStr">
        <is>
          <t>IMG_0067</t>
        </is>
      </c>
      <c r="C34" s="5" t="inlineStr">
        <is>
          <t>CLASS B: GROUND INVESTIGATION</t>
        </is>
      </c>
      <c r="D34" s="5" t="inlineStr">
        <is>
          <t>03 ROTARY DRILLED BOREHOLES</t>
        </is>
      </c>
      <c r="E34" s="5" t="inlineStr">
        <is>
          <t>Depth without core recovery; nominal minimum core dia. 100 mm</t>
        </is>
      </c>
      <c r="F34" s="5" t="inlineStr">
        <is>
          <t>ne 5.0 m deep</t>
        </is>
      </c>
      <c r="G34" s="6" t="inlineStr">
        <is>
          <t>m</t>
        </is>
      </c>
      <c r="H34" s="7" t="n"/>
      <c r="I34" s="8" t="n">
        <v>0</v>
      </c>
      <c r="J34" s="8" t="n">
        <v>0</v>
      </c>
      <c r="K34" s="8" t="n">
        <v>0</v>
      </c>
      <c r="L34" s="8" t="n">
        <v>99.81999999999999</v>
      </c>
      <c r="M34" s="9">
        <f>ROUND(SUM(I34:L34),2)</f>
        <v/>
      </c>
      <c r="N34" s="10">
        <f>ROUND(I34*'Irish Basis'!$C$6*'Irish Basis'!$C$5,2)</f>
        <v/>
      </c>
      <c r="O34" s="10">
        <f>ROUND(J34*'Irish Basis'!$C$7*'Irish Basis'!$C$5,2)</f>
        <v/>
      </c>
      <c r="P34" s="10">
        <f>ROUND(K34*'Irish Basis'!$C$8*'Irish Basis'!$C$5,2)</f>
        <v/>
      </c>
      <c r="Q34" s="10">
        <f>ROUND(L34*'Irish Basis'!$C$12*'Irish Basis'!$C$5,2)</f>
        <v/>
      </c>
      <c r="R34" s="11">
        <f>ROUND(SUM(N34:Q34),2)</f>
        <v/>
      </c>
      <c r="S34" s="5" t="inlineStr">
        <is>
          <t>All-in specialist rate</t>
        </is>
      </c>
      <c r="T34" s="14" t="inlineStr">
        <is>
          <t>All-in (not split)</t>
        </is>
      </c>
      <c r="U34" s="8" t="n">
        <v>99.81999999999999</v>
      </c>
      <c r="V34" s="13">
        <f>IF(U34="","",ROUND(M34-U34,2))</f>
        <v/>
      </c>
      <c r="W34" s="5" t="n"/>
      <c r="X34" s="5" t="inlineStr">
        <is>
          <t>Source publishes a specialist/sub-contract all-in rate; no labour/plant/material build-up exists to derive from.</t>
        </is>
      </c>
    </row>
    <row r="35" ht="13" customHeight="1">
      <c r="A35" s="4" t="n">
        <v>166</v>
      </c>
      <c r="B35" s="5" t="inlineStr">
        <is>
          <t>IMG_0067</t>
        </is>
      </c>
      <c r="C35" s="5" t="inlineStr">
        <is>
          <t>CLASS B: GROUND INVESTIGATION</t>
        </is>
      </c>
      <c r="D35" s="5" t="inlineStr">
        <is>
          <t>03 ROTARY DRILLED BOREHOLES</t>
        </is>
      </c>
      <c r="E35" s="5" t="inlineStr">
        <is>
          <t>Depth without core recovery; nominal minimum core dia. 100 mm</t>
        </is>
      </c>
      <c r="F35" s="5" t="inlineStr">
        <is>
          <t>5-10 m deep</t>
        </is>
      </c>
      <c r="G35" s="6" t="inlineStr">
        <is>
          <t>m</t>
        </is>
      </c>
      <c r="H35" s="7" t="n"/>
      <c r="I35" s="8" t="n">
        <v>0</v>
      </c>
      <c r="J35" s="8" t="n">
        <v>0</v>
      </c>
      <c r="K35" s="8" t="n">
        <v>0</v>
      </c>
      <c r="L35" s="8" t="n">
        <v>99.81999999999999</v>
      </c>
      <c r="M35" s="9">
        <f>ROUND(SUM(I35:L35),2)</f>
        <v/>
      </c>
      <c r="N35" s="10">
        <f>ROUND(I35*'Irish Basis'!$C$6*'Irish Basis'!$C$5,2)</f>
        <v/>
      </c>
      <c r="O35" s="10">
        <f>ROUND(J35*'Irish Basis'!$C$7*'Irish Basis'!$C$5,2)</f>
        <v/>
      </c>
      <c r="P35" s="10">
        <f>ROUND(K35*'Irish Basis'!$C$8*'Irish Basis'!$C$5,2)</f>
        <v/>
      </c>
      <c r="Q35" s="10">
        <f>ROUND(L35*'Irish Basis'!$C$12*'Irish Basis'!$C$5,2)</f>
        <v/>
      </c>
      <c r="R35" s="11">
        <f>ROUND(SUM(N35:Q35),2)</f>
        <v/>
      </c>
      <c r="S35" s="5" t="inlineStr">
        <is>
          <t>All-in specialist rate</t>
        </is>
      </c>
      <c r="T35" s="14" t="inlineStr">
        <is>
          <t>All-in (not split)</t>
        </is>
      </c>
      <c r="U35" s="8" t="n">
        <v>99.81999999999999</v>
      </c>
      <c r="V35" s="13">
        <f>IF(U35="","",ROUND(M35-U35,2))</f>
        <v/>
      </c>
      <c r="W35" s="5" t="n"/>
      <c r="X35" s="5" t="inlineStr">
        <is>
          <t>Source publishes a specialist/sub-contract all-in rate; no labour/plant/material build-up exists to derive from.</t>
        </is>
      </c>
    </row>
    <row r="36" ht="13" customHeight="1">
      <c r="A36" s="4" t="n">
        <v>167</v>
      </c>
      <c r="B36" s="5" t="inlineStr">
        <is>
          <t>IMG_0067</t>
        </is>
      </c>
      <c r="C36" s="5" t="inlineStr">
        <is>
          <t>CLASS B: GROUND INVESTIGATION</t>
        </is>
      </c>
      <c r="D36" s="5" t="inlineStr">
        <is>
          <t>03 ROTARY DRILLED BOREHOLES</t>
        </is>
      </c>
      <c r="E36" s="5" t="inlineStr">
        <is>
          <t>Depth without core recovery; nominal minimum core dia. 100 mm</t>
        </is>
      </c>
      <c r="F36" s="5" t="inlineStr">
        <is>
          <t>10-20 m deep</t>
        </is>
      </c>
      <c r="G36" s="6" t="inlineStr">
        <is>
          <t>m</t>
        </is>
      </c>
      <c r="H36" s="7" t="n"/>
      <c r="I36" s="8" t="n">
        <v>0</v>
      </c>
      <c r="J36" s="8" t="n">
        <v>0</v>
      </c>
      <c r="K36" s="8" t="n">
        <v>0</v>
      </c>
      <c r="L36" s="8" t="n">
        <v>110.47</v>
      </c>
      <c r="M36" s="9">
        <f>ROUND(SUM(I36:L36),2)</f>
        <v/>
      </c>
      <c r="N36" s="10">
        <f>ROUND(I36*'Irish Basis'!$C$6*'Irish Basis'!$C$5,2)</f>
        <v/>
      </c>
      <c r="O36" s="10">
        <f>ROUND(J36*'Irish Basis'!$C$7*'Irish Basis'!$C$5,2)</f>
        <v/>
      </c>
      <c r="P36" s="10">
        <f>ROUND(K36*'Irish Basis'!$C$8*'Irish Basis'!$C$5,2)</f>
        <v/>
      </c>
      <c r="Q36" s="10">
        <f>ROUND(L36*'Irish Basis'!$C$12*'Irish Basis'!$C$5,2)</f>
        <v/>
      </c>
      <c r="R36" s="11">
        <f>ROUND(SUM(N36:Q36),2)</f>
        <v/>
      </c>
      <c r="S36" s="5" t="inlineStr">
        <is>
          <t>All-in specialist rate</t>
        </is>
      </c>
      <c r="T36" s="14" t="inlineStr">
        <is>
          <t>All-in (not split)</t>
        </is>
      </c>
      <c r="U36" s="8" t="n">
        <v>110.47</v>
      </c>
      <c r="V36" s="13">
        <f>IF(U36="","",ROUND(M36-U36,2))</f>
        <v/>
      </c>
      <c r="W36" s="5" t="n"/>
      <c r="X36" s="5" t="inlineStr">
        <is>
          <t>Source publishes a specialist/sub-contract all-in rate; no labour/plant/material build-up exists to derive from.</t>
        </is>
      </c>
    </row>
    <row r="37" ht="13" customHeight="1">
      <c r="A37" s="4" t="n">
        <v>168</v>
      </c>
      <c r="B37" s="5" t="inlineStr">
        <is>
          <t>IMG_0067</t>
        </is>
      </c>
      <c r="C37" s="5" t="inlineStr">
        <is>
          <t>CLASS B: GROUND INVESTIGATION</t>
        </is>
      </c>
      <c r="D37" s="5" t="inlineStr">
        <is>
          <t>03 ROTARY DRILLED BOREHOLES</t>
        </is>
      </c>
      <c r="E37" s="5" t="inlineStr">
        <is>
          <t>Depth without core recovery; nominal minimum core dia. 100 mm</t>
        </is>
      </c>
      <c r="F37" s="5" t="inlineStr">
        <is>
          <t>20-30 m deep</t>
        </is>
      </c>
      <c r="G37" s="6" t="inlineStr">
        <is>
          <t>m</t>
        </is>
      </c>
      <c r="H37" s="7" t="n"/>
      <c r="I37" s="8" t="n">
        <v>0</v>
      </c>
      <c r="J37" s="8" t="n">
        <v>0</v>
      </c>
      <c r="K37" s="8" t="n">
        <v>0</v>
      </c>
      <c r="L37" s="8" t="n">
        <v>110.47</v>
      </c>
      <c r="M37" s="9">
        <f>ROUND(SUM(I37:L37),2)</f>
        <v/>
      </c>
      <c r="N37" s="10">
        <f>ROUND(I37*'Irish Basis'!$C$6*'Irish Basis'!$C$5,2)</f>
        <v/>
      </c>
      <c r="O37" s="10">
        <f>ROUND(J37*'Irish Basis'!$C$7*'Irish Basis'!$C$5,2)</f>
        <v/>
      </c>
      <c r="P37" s="10">
        <f>ROUND(K37*'Irish Basis'!$C$8*'Irish Basis'!$C$5,2)</f>
        <v/>
      </c>
      <c r="Q37" s="10">
        <f>ROUND(L37*'Irish Basis'!$C$12*'Irish Basis'!$C$5,2)</f>
        <v/>
      </c>
      <c r="R37" s="11">
        <f>ROUND(SUM(N37:Q37),2)</f>
        <v/>
      </c>
      <c r="S37" s="5" t="inlineStr">
        <is>
          <t>All-in specialist rate</t>
        </is>
      </c>
      <c r="T37" s="14" t="inlineStr">
        <is>
          <t>All-in (not split)</t>
        </is>
      </c>
      <c r="U37" s="8" t="n">
        <v>110.47</v>
      </c>
      <c r="V37" s="13">
        <f>IF(U37="","",ROUND(M37-U37,2))</f>
        <v/>
      </c>
      <c r="W37" s="5" t="n"/>
      <c r="X37" s="5" t="inlineStr">
        <is>
          <t>Source publishes a specialist/sub-contract all-in rate; no labour/plant/material build-up exists to derive from.</t>
        </is>
      </c>
    </row>
    <row r="38" ht="13" customHeight="1">
      <c r="A38" s="4" t="n">
        <v>170</v>
      </c>
      <c r="B38" s="5" t="inlineStr">
        <is>
          <t>IMG_0067</t>
        </is>
      </c>
      <c r="C38" s="5" t="inlineStr">
        <is>
          <t>CLASS B: GROUND INVESTIGATION</t>
        </is>
      </c>
      <c r="D38" s="5" t="inlineStr">
        <is>
          <t>03 ROTARY DRILLED BOREHOLES</t>
        </is>
      </c>
      <c r="E38" s="5" t="inlineStr">
        <is>
          <t>Depth with core recovery; nominal minimum core dia. 75 mm</t>
        </is>
      </c>
      <c r="F38" s="5" t="inlineStr">
        <is>
          <t>ne 5.0 m deep</t>
        </is>
      </c>
      <c r="G38" s="6" t="inlineStr">
        <is>
          <t>m</t>
        </is>
      </c>
      <c r="H38" s="7" t="n"/>
      <c r="I38" s="8" t="n">
        <v>0</v>
      </c>
      <c r="J38" s="8" t="n">
        <v>0</v>
      </c>
      <c r="K38" s="8" t="n">
        <v>0</v>
      </c>
      <c r="L38" s="8" t="n">
        <v>163.71</v>
      </c>
      <c r="M38" s="9">
        <f>ROUND(SUM(I38:L38),2)</f>
        <v/>
      </c>
      <c r="N38" s="10">
        <f>ROUND(I38*'Irish Basis'!$C$6*'Irish Basis'!$C$5,2)</f>
        <v/>
      </c>
      <c r="O38" s="10">
        <f>ROUND(J38*'Irish Basis'!$C$7*'Irish Basis'!$C$5,2)</f>
        <v/>
      </c>
      <c r="P38" s="10">
        <f>ROUND(K38*'Irish Basis'!$C$8*'Irish Basis'!$C$5,2)</f>
        <v/>
      </c>
      <c r="Q38" s="10">
        <f>ROUND(L38*'Irish Basis'!$C$12*'Irish Basis'!$C$5,2)</f>
        <v/>
      </c>
      <c r="R38" s="11">
        <f>ROUND(SUM(N38:Q38),2)</f>
        <v/>
      </c>
      <c r="S38" s="5" t="inlineStr">
        <is>
          <t>All-in specialist rate</t>
        </is>
      </c>
      <c r="T38" s="14" t="inlineStr">
        <is>
          <t>All-in (not split)</t>
        </is>
      </c>
      <c r="U38" s="8" t="n">
        <v>163.71</v>
      </c>
      <c r="V38" s="13">
        <f>IF(U38="","",ROUND(M38-U38,2))</f>
        <v/>
      </c>
      <c r="W38" s="5" t="n"/>
      <c r="X38" s="5" t="inlineStr">
        <is>
          <t>Source publishes a specialist/sub-contract all-in rate; no labour/plant/material build-up exists to derive from.</t>
        </is>
      </c>
    </row>
    <row r="39" ht="13" customHeight="1">
      <c r="A39" s="4" t="n">
        <v>171</v>
      </c>
      <c r="B39" s="5" t="inlineStr">
        <is>
          <t>IMG_0067</t>
        </is>
      </c>
      <c r="C39" s="5" t="inlineStr">
        <is>
          <t>CLASS B: GROUND INVESTIGATION</t>
        </is>
      </c>
      <c r="D39" s="5" t="inlineStr">
        <is>
          <t>03 ROTARY DRILLED BOREHOLES</t>
        </is>
      </c>
      <c r="E39" s="5" t="inlineStr">
        <is>
          <t>Depth with core recovery; nominal minimum core dia. 75 mm</t>
        </is>
      </c>
      <c r="F39" s="5" t="inlineStr">
        <is>
          <t>5-10 m deep</t>
        </is>
      </c>
      <c r="G39" s="6" t="inlineStr">
        <is>
          <t>m</t>
        </is>
      </c>
      <c r="H39" s="7" t="n"/>
      <c r="I39" s="8" t="n">
        <v>0</v>
      </c>
      <c r="J39" s="8" t="n">
        <v>0</v>
      </c>
      <c r="K39" s="8" t="n">
        <v>0</v>
      </c>
      <c r="L39" s="8" t="n">
        <v>165.04</v>
      </c>
      <c r="M39" s="9">
        <f>ROUND(SUM(I39:L39),2)</f>
        <v/>
      </c>
      <c r="N39" s="10">
        <f>ROUND(I39*'Irish Basis'!$C$6*'Irish Basis'!$C$5,2)</f>
        <v/>
      </c>
      <c r="O39" s="10">
        <f>ROUND(J39*'Irish Basis'!$C$7*'Irish Basis'!$C$5,2)</f>
        <v/>
      </c>
      <c r="P39" s="10">
        <f>ROUND(K39*'Irish Basis'!$C$8*'Irish Basis'!$C$5,2)</f>
        <v/>
      </c>
      <c r="Q39" s="10">
        <f>ROUND(L39*'Irish Basis'!$C$12*'Irish Basis'!$C$5,2)</f>
        <v/>
      </c>
      <c r="R39" s="11">
        <f>ROUND(SUM(N39:Q39),2)</f>
        <v/>
      </c>
      <c r="S39" s="5" t="inlineStr">
        <is>
          <t>All-in specialist rate</t>
        </is>
      </c>
      <c r="T39" s="14" t="inlineStr">
        <is>
          <t>All-in (not split)</t>
        </is>
      </c>
      <c r="U39" s="8" t="n">
        <v>165.04</v>
      </c>
      <c r="V39" s="13">
        <f>IF(U39="","",ROUND(M39-U39,2))</f>
        <v/>
      </c>
      <c r="W39" s="5" t="n"/>
      <c r="X39" s="5" t="inlineStr">
        <is>
          <t>Source publishes a specialist/sub-contract all-in rate; no labour/plant/material build-up exists to derive from.</t>
        </is>
      </c>
    </row>
    <row r="40" ht="13" customHeight="1">
      <c r="A40" s="4" t="n">
        <v>172</v>
      </c>
      <c r="B40" s="5" t="inlineStr">
        <is>
          <t>IMG_0067</t>
        </is>
      </c>
      <c r="C40" s="5" t="inlineStr">
        <is>
          <t>CLASS B: GROUND INVESTIGATION</t>
        </is>
      </c>
      <c r="D40" s="5" t="inlineStr">
        <is>
          <t>03 ROTARY DRILLED BOREHOLES</t>
        </is>
      </c>
      <c r="E40" s="5" t="inlineStr">
        <is>
          <t>Depth with core recovery; nominal minimum core dia. 75 mm</t>
        </is>
      </c>
      <c r="F40" s="5" t="inlineStr">
        <is>
          <t>10-20 m deep</t>
        </is>
      </c>
      <c r="G40" s="6" t="inlineStr">
        <is>
          <t>m</t>
        </is>
      </c>
      <c r="H40" s="7" t="n"/>
      <c r="I40" s="8" t="n">
        <v>0</v>
      </c>
      <c r="J40" s="8" t="n">
        <v>0</v>
      </c>
      <c r="K40" s="8" t="n">
        <v>0</v>
      </c>
      <c r="L40" s="8" t="n">
        <v>192.99</v>
      </c>
      <c r="M40" s="9">
        <f>ROUND(SUM(I40:L40),2)</f>
        <v/>
      </c>
      <c r="N40" s="10">
        <f>ROUND(I40*'Irish Basis'!$C$6*'Irish Basis'!$C$5,2)</f>
        <v/>
      </c>
      <c r="O40" s="10">
        <f>ROUND(J40*'Irish Basis'!$C$7*'Irish Basis'!$C$5,2)</f>
        <v/>
      </c>
      <c r="P40" s="10">
        <f>ROUND(K40*'Irish Basis'!$C$8*'Irish Basis'!$C$5,2)</f>
        <v/>
      </c>
      <c r="Q40" s="10">
        <f>ROUND(L40*'Irish Basis'!$C$12*'Irish Basis'!$C$5,2)</f>
        <v/>
      </c>
      <c r="R40" s="11">
        <f>ROUND(SUM(N40:Q40),2)</f>
        <v/>
      </c>
      <c r="S40" s="5" t="inlineStr">
        <is>
          <t>All-in specialist rate</t>
        </is>
      </c>
      <c r="T40" s="14" t="inlineStr">
        <is>
          <t>All-in (not split)</t>
        </is>
      </c>
      <c r="U40" s="8" t="n">
        <v>192.99</v>
      </c>
      <c r="V40" s="13">
        <f>IF(U40="","",ROUND(M40-U40,2))</f>
        <v/>
      </c>
      <c r="W40" s="5" t="n"/>
      <c r="X40" s="5" t="inlineStr">
        <is>
          <t>Source publishes a specialist/sub-contract all-in rate; no labour/plant/material build-up exists to derive from.</t>
        </is>
      </c>
    </row>
    <row r="41" ht="13" customHeight="1">
      <c r="A41" s="4" t="n">
        <v>173</v>
      </c>
      <c r="B41" s="5" t="inlineStr">
        <is>
          <t>IMG_0067</t>
        </is>
      </c>
      <c r="C41" s="5" t="inlineStr">
        <is>
          <t>CLASS B: GROUND INVESTIGATION</t>
        </is>
      </c>
      <c r="D41" s="5" t="inlineStr">
        <is>
          <t>03 ROTARY DRILLED BOREHOLES</t>
        </is>
      </c>
      <c r="E41" s="5" t="inlineStr">
        <is>
          <t>Depth with core recovery; nominal minimum core dia. 75 mm</t>
        </is>
      </c>
      <c r="F41" s="5" t="inlineStr">
        <is>
          <t>20-30 m deep</t>
        </is>
      </c>
      <c r="G41" s="6" t="inlineStr">
        <is>
          <t>m</t>
        </is>
      </c>
      <c r="H41" s="7" t="n"/>
      <c r="I41" s="8" t="n">
        <v>0</v>
      </c>
      <c r="J41" s="8" t="n">
        <v>0</v>
      </c>
      <c r="K41" s="8" t="n">
        <v>0</v>
      </c>
      <c r="L41" s="8" t="n">
        <v>263.53</v>
      </c>
      <c r="M41" s="9">
        <f>ROUND(SUM(I41:L41),2)</f>
        <v/>
      </c>
      <c r="N41" s="10">
        <f>ROUND(I41*'Irish Basis'!$C$6*'Irish Basis'!$C$5,2)</f>
        <v/>
      </c>
      <c r="O41" s="10">
        <f>ROUND(J41*'Irish Basis'!$C$7*'Irish Basis'!$C$5,2)</f>
        <v/>
      </c>
      <c r="P41" s="10">
        <f>ROUND(K41*'Irish Basis'!$C$8*'Irish Basis'!$C$5,2)</f>
        <v/>
      </c>
      <c r="Q41" s="10">
        <f>ROUND(L41*'Irish Basis'!$C$12*'Irish Basis'!$C$5,2)</f>
        <v/>
      </c>
      <c r="R41" s="11">
        <f>ROUND(SUM(N41:Q41),2)</f>
        <v/>
      </c>
      <c r="S41" s="5" t="inlineStr">
        <is>
          <t>All-in specialist rate</t>
        </is>
      </c>
      <c r="T41" s="14" t="inlineStr">
        <is>
          <t>All-in (not split)</t>
        </is>
      </c>
      <c r="U41" s="8" t="n">
        <v>263.53</v>
      </c>
      <c r="V41" s="13">
        <f>IF(U41="","",ROUND(M41-U41,2))</f>
        <v/>
      </c>
      <c r="W41" s="5" t="n"/>
      <c r="X41" s="5" t="inlineStr">
        <is>
          <t>Source publishes a specialist/sub-contract all-in rate; no labour/plant/material build-up exists to derive from.</t>
        </is>
      </c>
    </row>
    <row r="42" ht="13" customHeight="1">
      <c r="A42" s="4" t="n">
        <v>174</v>
      </c>
      <c r="B42" s="5" t="inlineStr">
        <is>
          <t>IMG_0067</t>
        </is>
      </c>
      <c r="C42" s="5" t="inlineStr">
        <is>
          <t>CLASS B: GROUND INVESTIGATION</t>
        </is>
      </c>
      <c r="D42" s="5" t="inlineStr">
        <is>
          <t>03 ROTARY DRILLED BOREHOLES</t>
        </is>
      </c>
      <c r="E42" s="5" t="inlineStr">
        <is>
          <t>Depth with core recovery; nominal minimum core dia. 75 mm</t>
        </is>
      </c>
      <c r="F42" s="5" t="inlineStr">
        <is>
          <t>Depth cased; semi-rigid plastic core barrel liner</t>
        </is>
      </c>
      <c r="G42" s="6" t="inlineStr">
        <is>
          <t>m</t>
        </is>
      </c>
      <c r="H42" s="7" t="n"/>
      <c r="I42" s="8" t="n">
        <v>0</v>
      </c>
      <c r="J42" s="8" t="n">
        <v>0</v>
      </c>
      <c r="K42" s="8" t="n">
        <v>0</v>
      </c>
      <c r="L42" s="8" t="n">
        <v>15.97</v>
      </c>
      <c r="M42" s="9">
        <f>ROUND(SUM(I42:L42),2)</f>
        <v/>
      </c>
      <c r="N42" s="10">
        <f>ROUND(I42*'Irish Basis'!$C$6*'Irish Basis'!$C$5,2)</f>
        <v/>
      </c>
      <c r="O42" s="10">
        <f>ROUND(J42*'Irish Basis'!$C$7*'Irish Basis'!$C$5,2)</f>
        <v/>
      </c>
      <c r="P42" s="10">
        <f>ROUND(K42*'Irish Basis'!$C$8*'Irish Basis'!$C$5,2)</f>
        <v/>
      </c>
      <c r="Q42" s="10">
        <f>ROUND(L42*'Irish Basis'!$C$12*'Irish Basis'!$C$5,2)</f>
        <v/>
      </c>
      <c r="R42" s="11">
        <f>ROUND(SUM(N42:Q42),2)</f>
        <v/>
      </c>
      <c r="S42" s="5" t="inlineStr">
        <is>
          <t>All-in specialist rate</t>
        </is>
      </c>
      <c r="T42" s="14" t="inlineStr">
        <is>
          <t>All-in (not split)</t>
        </is>
      </c>
      <c r="U42" s="8" t="n">
        <v>15.97</v>
      </c>
      <c r="V42" s="13">
        <f>IF(U42="","",ROUND(M42-U42,2))</f>
        <v/>
      </c>
      <c r="W42" s="5" t="n"/>
      <c r="X42" s="5" t="inlineStr">
        <is>
          <t>Source publishes a specialist/sub-contract all-in rate; no labour/plant/material build-up exists to derive from.</t>
        </is>
      </c>
    </row>
    <row r="43" ht="13" customHeight="1">
      <c r="A43" s="4" t="n">
        <v>177</v>
      </c>
      <c r="B43" s="5" t="inlineStr">
        <is>
          <t>IMG_0067</t>
        </is>
      </c>
      <c r="C43" s="5" t="inlineStr">
        <is>
          <t>CLASS B: GROUND INVESTIGATION</t>
        </is>
      </c>
      <c r="D43" s="5" t="inlineStr">
        <is>
          <t>04 SAMPLES</t>
        </is>
      </c>
      <c r="E43" s="5" t="inlineStr">
        <is>
          <t>General; From the surface or from trial pits and trenches</t>
        </is>
      </c>
      <c r="F43" s="5" t="inlineStr">
        <is>
          <t>undisturbed soft material; minimum 200 mm cube</t>
        </is>
      </c>
      <c r="G43" s="6" t="inlineStr">
        <is>
          <t>nr</t>
        </is>
      </c>
      <c r="H43" s="7" t="n"/>
      <c r="I43" s="8" t="n">
        <v>0</v>
      </c>
      <c r="J43" s="8" t="n">
        <v>0</v>
      </c>
      <c r="K43" s="8" t="n">
        <v>0</v>
      </c>
      <c r="L43" s="8" t="n">
        <v>28.59</v>
      </c>
      <c r="M43" s="9">
        <f>ROUND(SUM(I43:L43),2)</f>
        <v/>
      </c>
      <c r="N43" s="10">
        <f>ROUND(I43*'Irish Basis'!$C$6*'Irish Basis'!$C$5,2)</f>
        <v/>
      </c>
      <c r="O43" s="10">
        <f>ROUND(J43*'Irish Basis'!$C$7*'Irish Basis'!$C$5,2)</f>
        <v/>
      </c>
      <c r="P43" s="10">
        <f>ROUND(K43*'Irish Basis'!$C$8*'Irish Basis'!$C$5,2)</f>
        <v/>
      </c>
      <c r="Q43" s="10">
        <f>ROUND(L43*'Irish Basis'!$C$12*'Irish Basis'!$C$5,2)</f>
        <v/>
      </c>
      <c r="R43" s="11">
        <f>ROUND(SUM(N43:Q43),2)</f>
        <v/>
      </c>
      <c r="S43" s="5" t="inlineStr">
        <is>
          <t>All-in specialist rate</t>
        </is>
      </c>
      <c r="T43" s="14" t="inlineStr">
        <is>
          <t>All-in (not split)</t>
        </is>
      </c>
      <c r="U43" s="8" t="n">
        <v>28.59</v>
      </c>
      <c r="V43" s="13">
        <f>IF(U43="","",ROUND(M43-U43,2))</f>
        <v/>
      </c>
      <c r="W43" s="5" t="n"/>
      <c r="X43" s="5" t="inlineStr">
        <is>
          <t>Source publishes a specialist/sub-contract all-in rate; no labour/plant/material build-up exists to derive from.</t>
        </is>
      </c>
    </row>
    <row r="44" ht="13" customHeight="1">
      <c r="A44" s="4" t="n">
        <v>178</v>
      </c>
      <c r="B44" s="5" t="inlineStr">
        <is>
          <t>IMG_0067</t>
        </is>
      </c>
      <c r="C44" s="5" t="inlineStr">
        <is>
          <t>CLASS B: GROUND INVESTIGATION</t>
        </is>
      </c>
      <c r="D44" s="5" t="inlineStr">
        <is>
          <t>04 SAMPLES</t>
        </is>
      </c>
      <c r="E44" s="5" t="inlineStr">
        <is>
          <t>General; From the surface or from trial pits and trenches</t>
        </is>
      </c>
      <c r="F44" s="5" t="inlineStr">
        <is>
          <t>disturbed soft material; minimum 5 kg</t>
        </is>
      </c>
      <c r="G44" s="6" t="inlineStr">
        <is>
          <t>nr</t>
        </is>
      </c>
      <c r="H44" s="7" t="n"/>
      <c r="I44" s="8" t="n">
        <v>0</v>
      </c>
      <c r="J44" s="8" t="n">
        <v>0</v>
      </c>
      <c r="K44" s="8" t="n">
        <v>0</v>
      </c>
      <c r="L44" s="8" t="n">
        <v>4.48</v>
      </c>
      <c r="M44" s="9">
        <f>ROUND(SUM(I44:L44),2)</f>
        <v/>
      </c>
      <c r="N44" s="10">
        <f>ROUND(I44*'Irish Basis'!$C$6*'Irish Basis'!$C$5,2)</f>
        <v/>
      </c>
      <c r="O44" s="10">
        <f>ROUND(J44*'Irish Basis'!$C$7*'Irish Basis'!$C$5,2)</f>
        <v/>
      </c>
      <c r="P44" s="10">
        <f>ROUND(K44*'Irish Basis'!$C$8*'Irish Basis'!$C$5,2)</f>
        <v/>
      </c>
      <c r="Q44" s="10">
        <f>ROUND(L44*'Irish Basis'!$C$12*'Irish Basis'!$C$5,2)</f>
        <v/>
      </c>
      <c r="R44" s="11">
        <f>ROUND(SUM(N44:Q44),2)</f>
        <v/>
      </c>
      <c r="S44" s="5" t="inlineStr">
        <is>
          <t>All-in specialist rate</t>
        </is>
      </c>
      <c r="T44" s="14" t="inlineStr">
        <is>
          <t>All-in (not split)</t>
        </is>
      </c>
      <c r="U44" s="8" t="n">
        <v>4.48</v>
      </c>
      <c r="V44" s="13">
        <f>IF(U44="","",ROUND(M44-U44,2))</f>
        <v/>
      </c>
      <c r="W44" s="5" t="n"/>
      <c r="X44" s="5" t="inlineStr">
        <is>
          <t>Source publishes a specialist/sub-contract all-in rate; no labour/plant/material build-up exists to derive from.</t>
        </is>
      </c>
    </row>
    <row r="45" ht="13" customHeight="1">
      <c r="A45" s="4" t="n">
        <v>179</v>
      </c>
      <c r="B45" s="5" t="inlineStr">
        <is>
          <t>IMG_0067</t>
        </is>
      </c>
      <c r="C45" s="5" t="inlineStr">
        <is>
          <t>CLASS B: GROUND INVESTIGATION</t>
        </is>
      </c>
      <c r="D45" s="5" t="inlineStr">
        <is>
          <t>04 SAMPLES</t>
        </is>
      </c>
      <c r="E45" s="5" t="inlineStr">
        <is>
          <t>General; From the surface or from trial pits and trenches</t>
        </is>
      </c>
      <c r="F45" s="5" t="inlineStr">
        <is>
          <t>rock; minimum 5 kg</t>
        </is>
      </c>
      <c r="G45" s="6" t="inlineStr">
        <is>
          <t>nr</t>
        </is>
      </c>
      <c r="H45" s="7" t="n"/>
      <c r="I45" s="8" t="n">
        <v>0</v>
      </c>
      <c r="J45" s="8" t="n">
        <v>0</v>
      </c>
      <c r="K45" s="8" t="n">
        <v>0</v>
      </c>
      <c r="L45" s="8" t="n">
        <v>17.83</v>
      </c>
      <c r="M45" s="9">
        <f>ROUND(SUM(I45:L45),2)</f>
        <v/>
      </c>
      <c r="N45" s="10">
        <f>ROUND(I45*'Irish Basis'!$C$6*'Irish Basis'!$C$5,2)</f>
        <v/>
      </c>
      <c r="O45" s="10">
        <f>ROUND(J45*'Irish Basis'!$C$7*'Irish Basis'!$C$5,2)</f>
        <v/>
      </c>
      <c r="P45" s="10">
        <f>ROUND(K45*'Irish Basis'!$C$8*'Irish Basis'!$C$5,2)</f>
        <v/>
      </c>
      <c r="Q45" s="10">
        <f>ROUND(L45*'Irish Basis'!$C$12*'Irish Basis'!$C$5,2)</f>
        <v/>
      </c>
      <c r="R45" s="11">
        <f>ROUND(SUM(N45:Q45),2)</f>
        <v/>
      </c>
      <c r="S45" s="5" t="inlineStr">
        <is>
          <t>All-in specialist rate</t>
        </is>
      </c>
      <c r="T45" s="14" t="inlineStr">
        <is>
          <t>All-in (not split)</t>
        </is>
      </c>
      <c r="U45" s="8" t="n">
        <v>17.83</v>
      </c>
      <c r="V45" s="13">
        <f>IF(U45="","",ROUND(M45-U45,2))</f>
        <v/>
      </c>
      <c r="W45" s="5" t="n"/>
      <c r="X45" s="5" t="inlineStr">
        <is>
          <t>Source publishes a specialist/sub-contract all-in rate; no labour/plant/material build-up exists to derive from.</t>
        </is>
      </c>
    </row>
    <row r="46" ht="13" customHeight="1">
      <c r="A46" s="4" t="n">
        <v>180</v>
      </c>
      <c r="B46" s="5" t="inlineStr">
        <is>
          <t>IMG_0067</t>
        </is>
      </c>
      <c r="C46" s="5" t="inlineStr">
        <is>
          <t>CLASS B: GROUND INVESTIGATION</t>
        </is>
      </c>
      <c r="D46" s="5" t="inlineStr">
        <is>
          <t>04 SAMPLES</t>
        </is>
      </c>
      <c r="E46" s="5" t="inlineStr">
        <is>
          <t>General; From the surface or from trial pits and trenches</t>
        </is>
      </c>
      <c r="F46" s="5" t="inlineStr">
        <is>
          <t>groundwater; miniumum 1 l</t>
        </is>
      </c>
      <c r="G46" s="6" t="inlineStr">
        <is>
          <t>nr</t>
        </is>
      </c>
      <c r="H46" s="7" t="n"/>
      <c r="I46" s="8" t="n">
        <v>0</v>
      </c>
      <c r="J46" s="8" t="n">
        <v>0</v>
      </c>
      <c r="K46" s="8" t="n">
        <v>0</v>
      </c>
      <c r="L46" s="8" t="n">
        <v>7.93</v>
      </c>
      <c r="M46" s="9">
        <f>ROUND(SUM(I46:L46),2)</f>
        <v/>
      </c>
      <c r="N46" s="10">
        <f>ROUND(I46*'Irish Basis'!$C$6*'Irish Basis'!$C$5,2)</f>
        <v/>
      </c>
      <c r="O46" s="10">
        <f>ROUND(J46*'Irish Basis'!$C$7*'Irish Basis'!$C$5,2)</f>
        <v/>
      </c>
      <c r="P46" s="10">
        <f>ROUND(K46*'Irish Basis'!$C$8*'Irish Basis'!$C$5,2)</f>
        <v/>
      </c>
      <c r="Q46" s="10">
        <f>ROUND(L46*'Irish Basis'!$C$12*'Irish Basis'!$C$5,2)</f>
        <v/>
      </c>
      <c r="R46" s="11">
        <f>ROUND(SUM(N46:Q46),2)</f>
        <v/>
      </c>
      <c r="S46" s="5" t="inlineStr">
        <is>
          <t>All-in specialist rate</t>
        </is>
      </c>
      <c r="T46" s="14" t="inlineStr">
        <is>
          <t>All-in (not split)</t>
        </is>
      </c>
      <c r="U46" s="8" t="n">
        <v>7.93</v>
      </c>
      <c r="V46" s="13">
        <f>IF(U46="","",ROUND(M46-U46,2))</f>
        <v/>
      </c>
      <c r="W46" s="5" t="n"/>
      <c r="X46" s="5" t="inlineStr">
        <is>
          <t>Source publishes a specialist/sub-contract all-in rate; no labour/plant/material build-up exists to derive from.</t>
        </is>
      </c>
    </row>
    <row r="47" ht="13" customHeight="1">
      <c r="A47" s="4" t="n">
        <v>182</v>
      </c>
      <c r="B47" s="5" t="inlineStr">
        <is>
          <t>IMG_0067</t>
        </is>
      </c>
      <c r="C47" s="5" t="inlineStr">
        <is>
          <t>CLASS B: GROUND INVESTIGATION</t>
        </is>
      </c>
      <c r="D47" s="5" t="inlineStr">
        <is>
          <t>04 SAMPLES</t>
        </is>
      </c>
      <c r="E47" s="5" t="inlineStr">
        <is>
          <t>From boreholes</t>
        </is>
      </c>
      <c r="F47" s="5" t="inlineStr">
        <is>
          <t>open tube; 100 mm dia. x 450 mm long</t>
        </is>
      </c>
      <c r="G47" s="6" t="inlineStr">
        <is>
          <t>nr</t>
        </is>
      </c>
      <c r="H47" s="7" t="n"/>
      <c r="I47" s="8" t="n">
        <v>0</v>
      </c>
      <c r="J47" s="8" t="n">
        <v>0</v>
      </c>
      <c r="K47" s="8" t="n">
        <v>0</v>
      </c>
      <c r="L47" s="8" t="n">
        <v>28.17</v>
      </c>
      <c r="M47" s="9">
        <f>ROUND(SUM(I47:L47),2)</f>
        <v/>
      </c>
      <c r="N47" s="10">
        <f>ROUND(I47*'Irish Basis'!$C$6*'Irish Basis'!$C$5,2)</f>
        <v/>
      </c>
      <c r="O47" s="10">
        <f>ROUND(J47*'Irish Basis'!$C$7*'Irish Basis'!$C$5,2)</f>
        <v/>
      </c>
      <c r="P47" s="10">
        <f>ROUND(K47*'Irish Basis'!$C$8*'Irish Basis'!$C$5,2)</f>
        <v/>
      </c>
      <c r="Q47" s="10">
        <f>ROUND(L47*'Irish Basis'!$C$12*'Irish Basis'!$C$5,2)</f>
        <v/>
      </c>
      <c r="R47" s="11">
        <f>ROUND(SUM(N47:Q47),2)</f>
        <v/>
      </c>
      <c r="S47" s="5" t="inlineStr">
        <is>
          <t>All-in specialist rate</t>
        </is>
      </c>
      <c r="T47" s="14" t="inlineStr">
        <is>
          <t>All-in (not split)</t>
        </is>
      </c>
      <c r="U47" s="8" t="n">
        <v>28.17</v>
      </c>
      <c r="V47" s="13">
        <f>IF(U47="","",ROUND(M47-U47,2))</f>
        <v/>
      </c>
      <c r="W47" s="5" t="n"/>
      <c r="X47" s="5" t="inlineStr">
        <is>
          <t>Source publishes a specialist/sub-contract all-in rate; no labour/plant/material build-up exists to derive from.</t>
        </is>
      </c>
    </row>
    <row r="48" ht="13" customHeight="1">
      <c r="A48" s="4" t="n">
        <v>183</v>
      </c>
      <c r="B48" s="5" t="inlineStr">
        <is>
          <t>IMG_0067</t>
        </is>
      </c>
      <c r="C48" s="5" t="inlineStr">
        <is>
          <t>CLASS B: GROUND INVESTIGATION</t>
        </is>
      </c>
      <c r="D48" s="5" t="inlineStr">
        <is>
          <t>04 SAMPLES</t>
        </is>
      </c>
      <c r="E48" s="5" t="inlineStr">
        <is>
          <t>From boreholes</t>
        </is>
      </c>
      <c r="F48" s="5" t="inlineStr">
        <is>
          <t>disturbed; minimum 5 kg</t>
        </is>
      </c>
      <c r="G48" s="6" t="inlineStr">
        <is>
          <t>nr</t>
        </is>
      </c>
      <c r="H48" s="7" t="n"/>
      <c r="I48" s="8" t="n">
        <v>0</v>
      </c>
      <c r="J48" s="8" t="n">
        <v>0</v>
      </c>
      <c r="K48" s="8" t="n">
        <v>0</v>
      </c>
      <c r="L48" s="8" t="n">
        <v>4.36</v>
      </c>
      <c r="M48" s="9">
        <f>ROUND(SUM(I48:L48),2)</f>
        <v/>
      </c>
      <c r="N48" s="10">
        <f>ROUND(I48*'Irish Basis'!$C$6*'Irish Basis'!$C$5,2)</f>
        <v/>
      </c>
      <c r="O48" s="10">
        <f>ROUND(J48*'Irish Basis'!$C$7*'Irish Basis'!$C$5,2)</f>
        <v/>
      </c>
      <c r="P48" s="10">
        <f>ROUND(K48*'Irish Basis'!$C$8*'Irish Basis'!$C$5,2)</f>
        <v/>
      </c>
      <c r="Q48" s="10">
        <f>ROUND(L48*'Irish Basis'!$C$12*'Irish Basis'!$C$5,2)</f>
        <v/>
      </c>
      <c r="R48" s="11">
        <f>ROUND(SUM(N48:Q48),2)</f>
        <v/>
      </c>
      <c r="S48" s="5" t="inlineStr">
        <is>
          <t>All-in specialist rate</t>
        </is>
      </c>
      <c r="T48" s="14" t="inlineStr">
        <is>
          <t>All-in (not split)</t>
        </is>
      </c>
      <c r="U48" s="8" t="n">
        <v>4.36</v>
      </c>
      <c r="V48" s="13">
        <f>IF(U48="","",ROUND(M48-U48,2))</f>
        <v/>
      </c>
      <c r="W48" s="5" t="n"/>
      <c r="X48" s="5" t="inlineStr">
        <is>
          <t>Source publishes a specialist/sub-contract all-in rate; no labour/plant/material build-up exists to derive from.</t>
        </is>
      </c>
    </row>
    <row r="49" ht="13" customHeight="1">
      <c r="A49" s="4" t="n">
        <v>184</v>
      </c>
      <c r="B49" s="5" t="inlineStr">
        <is>
          <t>IMG_0067</t>
        </is>
      </c>
      <c r="C49" s="5" t="inlineStr">
        <is>
          <t>CLASS B: GROUND INVESTIGATION</t>
        </is>
      </c>
      <c r="D49" s="5" t="inlineStr">
        <is>
          <t>04 SAMPLES</t>
        </is>
      </c>
      <c r="E49" s="5" t="inlineStr">
        <is>
          <t>From boreholes</t>
        </is>
      </c>
      <c r="F49" s="5" t="inlineStr">
        <is>
          <t>groundwater; minimum 1 l</t>
        </is>
      </c>
      <c r="G49" s="6" t="inlineStr">
        <is>
          <t>nr</t>
        </is>
      </c>
      <c r="H49" s="7" t="n"/>
      <c r="I49" s="8" t="n">
        <v>0</v>
      </c>
      <c r="J49" s="8" t="n">
        <v>0</v>
      </c>
      <c r="K49" s="8" t="n">
        <v>0</v>
      </c>
      <c r="L49" s="8" t="n">
        <v>6.82</v>
      </c>
      <c r="M49" s="9">
        <f>ROUND(SUM(I49:L49),2)</f>
        <v/>
      </c>
      <c r="N49" s="10">
        <f>ROUND(I49*'Irish Basis'!$C$6*'Irish Basis'!$C$5,2)</f>
        <v/>
      </c>
      <c r="O49" s="10">
        <f>ROUND(J49*'Irish Basis'!$C$7*'Irish Basis'!$C$5,2)</f>
        <v/>
      </c>
      <c r="P49" s="10">
        <f>ROUND(K49*'Irish Basis'!$C$8*'Irish Basis'!$C$5,2)</f>
        <v/>
      </c>
      <c r="Q49" s="10">
        <f>ROUND(L49*'Irish Basis'!$C$12*'Irish Basis'!$C$5,2)</f>
        <v/>
      </c>
      <c r="R49" s="11">
        <f>ROUND(SUM(N49:Q49),2)</f>
        <v/>
      </c>
      <c r="S49" s="5" t="inlineStr">
        <is>
          <t>All-in specialist rate</t>
        </is>
      </c>
      <c r="T49" s="14" t="inlineStr">
        <is>
          <t>All-in (not split)</t>
        </is>
      </c>
      <c r="U49" s="8" t="n">
        <v>6.82</v>
      </c>
      <c r="V49" s="13">
        <f>IF(U49="","",ROUND(M49-U49,2))</f>
        <v/>
      </c>
      <c r="W49" s="5" t="n"/>
      <c r="X49" s="5" t="inlineStr">
        <is>
          <t>Source publishes a specialist/sub-contract all-in rate; no labour/plant/material build-up exists to derive from.</t>
        </is>
      </c>
    </row>
    <row r="50" ht="13" customHeight="1">
      <c r="A50" s="4" t="n">
        <v>185</v>
      </c>
      <c r="B50" s="5" t="inlineStr">
        <is>
          <t>IMG_0067</t>
        </is>
      </c>
      <c r="C50" s="5" t="inlineStr">
        <is>
          <t>CLASS B: GROUND INVESTIGATION</t>
        </is>
      </c>
      <c r="D50" s="5" t="inlineStr">
        <is>
          <t>04 SAMPLES</t>
        </is>
      </c>
      <c r="E50" s="5" t="inlineStr">
        <is>
          <t>From boreholes</t>
        </is>
      </c>
      <c r="F50" s="5" t="inlineStr">
        <is>
          <t>stationary piston</t>
        </is>
      </c>
      <c r="G50" s="6" t="inlineStr">
        <is>
          <t>nr</t>
        </is>
      </c>
      <c r="H50" s="7" t="n"/>
      <c r="I50" s="8" t="n">
        <v>0</v>
      </c>
      <c r="J50" s="8" t="n">
        <v>0</v>
      </c>
      <c r="K50" s="8" t="n">
        <v>0</v>
      </c>
      <c r="L50" s="8" t="n">
        <v>6.94</v>
      </c>
      <c r="M50" s="9">
        <f>ROUND(SUM(I50:L50),2)</f>
        <v/>
      </c>
      <c r="N50" s="10">
        <f>ROUND(I50*'Irish Basis'!$C$6*'Irish Basis'!$C$5,2)</f>
        <v/>
      </c>
      <c r="O50" s="10">
        <f>ROUND(J50*'Irish Basis'!$C$7*'Irish Basis'!$C$5,2)</f>
        <v/>
      </c>
      <c r="P50" s="10">
        <f>ROUND(K50*'Irish Basis'!$C$8*'Irish Basis'!$C$5,2)</f>
        <v/>
      </c>
      <c r="Q50" s="10">
        <f>ROUND(L50*'Irish Basis'!$C$12*'Irish Basis'!$C$5,2)</f>
        <v/>
      </c>
      <c r="R50" s="11">
        <f>ROUND(SUM(N50:Q50),2)</f>
        <v/>
      </c>
      <c r="S50" s="5" t="inlineStr">
        <is>
          <t>All-in specialist rate</t>
        </is>
      </c>
      <c r="T50" s="14" t="inlineStr">
        <is>
          <t>All-in (not split)</t>
        </is>
      </c>
      <c r="U50" s="8" t="n">
        <v>6.94</v>
      </c>
      <c r="V50" s="13">
        <f>IF(U50="","",ROUND(M50-U50,2))</f>
        <v/>
      </c>
      <c r="W50" s="5" t="n"/>
      <c r="X50" s="5" t="inlineStr">
        <is>
          <t>Source publishes a specialist/sub-contract all-in rate; no labour/plant/material build-up exists to derive from.</t>
        </is>
      </c>
    </row>
    <row r="51" ht="13" customHeight="1">
      <c r="A51" s="4" t="n">
        <v>186</v>
      </c>
      <c r="B51" s="5" t="inlineStr">
        <is>
          <t>IMG_0067</t>
        </is>
      </c>
      <c r="C51" s="5" t="inlineStr">
        <is>
          <t>CLASS B: GROUND INVESTIGATION</t>
        </is>
      </c>
      <c r="D51" s="5" t="inlineStr">
        <is>
          <t>04 SAMPLES</t>
        </is>
      </c>
      <c r="E51" s="5" t="inlineStr">
        <is>
          <t>From boreholes</t>
        </is>
      </c>
      <c r="F51" s="5" t="inlineStr">
        <is>
          <t>Swedish foil</t>
        </is>
      </c>
      <c r="G51" s="6" t="inlineStr">
        <is>
          <t>nr</t>
        </is>
      </c>
      <c r="H51" s="7" t="n"/>
      <c r="I51" s="8" t="n">
        <v>0</v>
      </c>
      <c r="J51" s="8" t="n">
        <v>0</v>
      </c>
      <c r="K51" s="8" t="n">
        <v>0</v>
      </c>
      <c r="L51" s="8" t="n">
        <v>44</v>
      </c>
      <c r="M51" s="9">
        <f>ROUND(SUM(I51:L51),2)</f>
        <v/>
      </c>
      <c r="N51" s="10">
        <f>ROUND(I51*'Irish Basis'!$C$6*'Irish Basis'!$C$5,2)</f>
        <v/>
      </c>
      <c r="O51" s="10">
        <f>ROUND(J51*'Irish Basis'!$C$7*'Irish Basis'!$C$5,2)</f>
        <v/>
      </c>
      <c r="P51" s="10">
        <f>ROUND(K51*'Irish Basis'!$C$8*'Irish Basis'!$C$5,2)</f>
        <v/>
      </c>
      <c r="Q51" s="10">
        <f>ROUND(L51*'Irish Basis'!$C$12*'Irish Basis'!$C$5,2)</f>
        <v/>
      </c>
      <c r="R51" s="11">
        <f>ROUND(SUM(N51:Q51),2)</f>
        <v/>
      </c>
      <c r="S51" s="5" t="inlineStr">
        <is>
          <t>All-in specialist rate</t>
        </is>
      </c>
      <c r="T51" s="14" t="inlineStr">
        <is>
          <t>All-in (not split)</t>
        </is>
      </c>
      <c r="U51" s="8" t="n">
        <v>44</v>
      </c>
      <c r="V51" s="13">
        <f>IF(U51="","",ROUND(M51-U51,2))</f>
        <v/>
      </c>
      <c r="W51" s="5" t="n"/>
      <c r="X51" s="5" t="inlineStr">
        <is>
          <t>Source publishes a specialist/sub-contract all-in rate; no labour/plant/material build-up exists to derive from.</t>
        </is>
      </c>
    </row>
    <row r="52" ht="13" customHeight="1">
      <c r="A52" s="4" t="n">
        <v>187</v>
      </c>
      <c r="B52" s="5" t="inlineStr">
        <is>
          <t>IMG_0067</t>
        </is>
      </c>
      <c r="C52" s="5" t="inlineStr">
        <is>
          <t>CLASS B: GROUND INVESTIGATION</t>
        </is>
      </c>
      <c r="D52" s="5" t="inlineStr">
        <is>
          <t>04 SAMPLES</t>
        </is>
      </c>
      <c r="E52" s="5" t="inlineStr">
        <is>
          <t>From boreholes</t>
        </is>
      </c>
      <c r="F52" s="5" t="inlineStr">
        <is>
          <t>Delft</t>
        </is>
      </c>
      <c r="G52" s="6" t="inlineStr">
        <is>
          <t>nr</t>
        </is>
      </c>
      <c r="H52" s="7" t="n"/>
      <c r="I52" s="8" t="n">
        <v>0</v>
      </c>
      <c r="J52" s="8" t="n">
        <v>0</v>
      </c>
      <c r="K52" s="8" t="n">
        <v>0</v>
      </c>
      <c r="L52" s="8" t="n">
        <v>44</v>
      </c>
      <c r="M52" s="9">
        <f>ROUND(SUM(I52:L52),2)</f>
        <v/>
      </c>
      <c r="N52" s="10">
        <f>ROUND(I52*'Irish Basis'!$C$6*'Irish Basis'!$C$5,2)</f>
        <v/>
      </c>
      <c r="O52" s="10">
        <f>ROUND(J52*'Irish Basis'!$C$7*'Irish Basis'!$C$5,2)</f>
        <v/>
      </c>
      <c r="P52" s="10">
        <f>ROUND(K52*'Irish Basis'!$C$8*'Irish Basis'!$C$5,2)</f>
        <v/>
      </c>
      <c r="Q52" s="10">
        <f>ROUND(L52*'Irish Basis'!$C$12*'Irish Basis'!$C$5,2)</f>
        <v/>
      </c>
      <c r="R52" s="11">
        <f>ROUND(SUM(N52:Q52),2)</f>
        <v/>
      </c>
      <c r="S52" s="5" t="inlineStr">
        <is>
          <t>All-in specialist rate</t>
        </is>
      </c>
      <c r="T52" s="14" t="inlineStr">
        <is>
          <t>All-in (not split)</t>
        </is>
      </c>
      <c r="U52" s="8" t="n">
        <v>44</v>
      </c>
      <c r="V52" s="13">
        <f>IF(U52="","",ROUND(M52-U52,2))</f>
        <v/>
      </c>
      <c r="W52" s="5" t="n"/>
      <c r="X52" s="5" t="inlineStr">
        <is>
          <t>Source publishes a specialist/sub-contract all-in rate; no labour/plant/material build-up exists to derive from.</t>
        </is>
      </c>
    </row>
    <row r="53" ht="13" customHeight="1">
      <c r="A53" s="4" t="n">
        <v>188</v>
      </c>
      <c r="B53" s="5" t="inlineStr">
        <is>
          <t>IMG_0067</t>
        </is>
      </c>
      <c r="C53" s="5" t="inlineStr">
        <is>
          <t>CLASS B: GROUND INVESTIGATION</t>
        </is>
      </c>
      <c r="D53" s="5" t="inlineStr">
        <is>
          <t>04 SAMPLES</t>
        </is>
      </c>
      <c r="E53" s="5" t="inlineStr">
        <is>
          <t>From boreholes</t>
        </is>
      </c>
      <c r="F53" s="5" t="inlineStr">
        <is>
          <t>Bishop sand</t>
        </is>
      </c>
      <c r="G53" s="6" t="inlineStr">
        <is>
          <t>nr</t>
        </is>
      </c>
      <c r="H53" s="7" t="n"/>
      <c r="I53" s="8" t="n">
        <v>0</v>
      </c>
      <c r="J53" s="8" t="n">
        <v>0</v>
      </c>
      <c r="K53" s="8" t="n">
        <v>0</v>
      </c>
      <c r="L53" s="8" t="n">
        <v>7.03</v>
      </c>
      <c r="M53" s="9">
        <f>ROUND(SUM(I53:L53),2)</f>
        <v/>
      </c>
      <c r="N53" s="10">
        <f>ROUND(I53*'Irish Basis'!$C$6*'Irish Basis'!$C$5,2)</f>
        <v/>
      </c>
      <c r="O53" s="10">
        <f>ROUND(J53*'Irish Basis'!$C$7*'Irish Basis'!$C$5,2)</f>
        <v/>
      </c>
      <c r="P53" s="10">
        <f>ROUND(K53*'Irish Basis'!$C$8*'Irish Basis'!$C$5,2)</f>
        <v/>
      </c>
      <c r="Q53" s="10">
        <f>ROUND(L53*'Irish Basis'!$C$12*'Irish Basis'!$C$5,2)</f>
        <v/>
      </c>
      <c r="R53" s="11">
        <f>ROUND(SUM(N53:Q53),2)</f>
        <v/>
      </c>
      <c r="S53" s="5" t="inlineStr">
        <is>
          <t>All-in specialist rate</t>
        </is>
      </c>
      <c r="T53" s="14" t="inlineStr">
        <is>
          <t>All-in (not split)</t>
        </is>
      </c>
      <c r="U53" s="8" t="n">
        <v>7.03</v>
      </c>
      <c r="V53" s="13">
        <f>IF(U53="","",ROUND(M53-U53,2))</f>
        <v/>
      </c>
      <c r="W53" s="5" t="n"/>
      <c r="X53" s="5" t="inlineStr">
        <is>
          <t>Source publishes a specialist/sub-contract all-in rate; no labour/plant/material build-up exists to derive from.</t>
        </is>
      </c>
    </row>
    <row r="54" ht="13" customHeight="1">
      <c r="A54" s="4" t="n">
        <v>191</v>
      </c>
      <c r="B54" s="5" t="inlineStr">
        <is>
          <t>IMG_0067</t>
        </is>
      </c>
      <c r="C54" s="5" t="inlineStr">
        <is>
          <t>CLASS B: GROUND INVESTIGATION</t>
        </is>
      </c>
      <c r="D54" s="5" t="inlineStr">
        <is>
          <t>06 INSTRUMENTAL OBSERVATIONS</t>
        </is>
      </c>
      <c r="E54" s="5" t="inlineStr">
        <is>
          <t>General; Pressure head</t>
        </is>
      </c>
      <c r="F54" s="5" t="inlineStr">
        <is>
          <t>standpipe; 75 mm dia. HDPE pipe</t>
        </is>
      </c>
      <c r="G54" s="6" t="inlineStr">
        <is>
          <t>m</t>
        </is>
      </c>
      <c r="H54" s="7" t="n"/>
      <c r="I54" s="8" t="n">
        <v>0</v>
      </c>
      <c r="J54" s="8" t="n">
        <v>0</v>
      </c>
      <c r="K54" s="8" t="n">
        <v>0</v>
      </c>
      <c r="L54" s="8" t="n">
        <v>73.84999999999999</v>
      </c>
      <c r="M54" s="9">
        <f>ROUND(SUM(I54:L54),2)</f>
        <v/>
      </c>
      <c r="N54" s="10">
        <f>ROUND(I54*'Irish Basis'!$C$6*'Irish Basis'!$C$5,2)</f>
        <v/>
      </c>
      <c r="O54" s="10">
        <f>ROUND(J54*'Irish Basis'!$C$7*'Irish Basis'!$C$5,2)</f>
        <v/>
      </c>
      <c r="P54" s="10">
        <f>ROUND(K54*'Irish Basis'!$C$8*'Irish Basis'!$C$5,2)</f>
        <v/>
      </c>
      <c r="Q54" s="10">
        <f>ROUND(L54*'Irish Basis'!$C$12*'Irish Basis'!$C$5,2)</f>
        <v/>
      </c>
      <c r="R54" s="11">
        <f>ROUND(SUM(N54:Q54),2)</f>
        <v/>
      </c>
      <c r="S54" s="5" t="inlineStr">
        <is>
          <t>All-in specialist rate</t>
        </is>
      </c>
      <c r="T54" s="14" t="inlineStr">
        <is>
          <t>All-in (not split)</t>
        </is>
      </c>
      <c r="U54" s="8" t="n">
        <v>73.84999999999999</v>
      </c>
      <c r="V54" s="13">
        <f>IF(U54="","",ROUND(M54-U54,2))</f>
        <v/>
      </c>
      <c r="W54" s="5" t="n"/>
      <c r="X54" s="5" t="inlineStr">
        <is>
          <t>Source publishes a specialist/sub-contract all-in rate; no labour/plant/material build-up exists to derive from.</t>
        </is>
      </c>
    </row>
    <row r="55" ht="13" customHeight="1">
      <c r="A55" s="4" t="n">
        <v>192</v>
      </c>
      <c r="B55" s="5" t="inlineStr">
        <is>
          <t>IMG_0067</t>
        </is>
      </c>
      <c r="C55" s="5" t="inlineStr">
        <is>
          <t>CLASS B: GROUND INVESTIGATION</t>
        </is>
      </c>
      <c r="D55" s="5" t="inlineStr">
        <is>
          <t>06 INSTRUMENTAL OBSERVATIONS</t>
        </is>
      </c>
      <c r="E55" s="5" t="inlineStr">
        <is>
          <t>General; Pressure head</t>
        </is>
      </c>
      <c r="F55" s="5" t="inlineStr">
        <is>
          <t>piezometer</t>
        </is>
      </c>
      <c r="G55" s="6" t="inlineStr">
        <is>
          <t>m</t>
        </is>
      </c>
      <c r="H55" s="7" t="n"/>
      <c r="I55" s="8" t="n">
        <v>0</v>
      </c>
      <c r="J55" s="8" t="n">
        <v>0</v>
      </c>
      <c r="K55" s="8" t="n">
        <v>0</v>
      </c>
      <c r="L55" s="8" t="n">
        <v>117.37</v>
      </c>
      <c r="M55" s="9">
        <f>ROUND(SUM(I55:L55),2)</f>
        <v/>
      </c>
      <c r="N55" s="10">
        <f>ROUND(I55*'Irish Basis'!$C$6*'Irish Basis'!$C$5,2)</f>
        <v/>
      </c>
      <c r="O55" s="10">
        <f>ROUND(J55*'Irish Basis'!$C$7*'Irish Basis'!$C$5,2)</f>
        <v/>
      </c>
      <c r="P55" s="10">
        <f>ROUND(K55*'Irish Basis'!$C$8*'Irish Basis'!$C$5,2)</f>
        <v/>
      </c>
      <c r="Q55" s="10">
        <f>ROUND(L55*'Irish Basis'!$C$12*'Irish Basis'!$C$5,2)</f>
        <v/>
      </c>
      <c r="R55" s="11">
        <f>ROUND(SUM(N55:Q55),2)</f>
        <v/>
      </c>
      <c r="S55" s="5" t="inlineStr">
        <is>
          <t>All-in specialist rate</t>
        </is>
      </c>
      <c r="T55" s="14" t="inlineStr">
        <is>
          <t>All-in (not split)</t>
        </is>
      </c>
      <c r="U55" s="8" t="n">
        <v>117.37</v>
      </c>
      <c r="V55" s="13">
        <f>IF(U55="","",ROUND(M55-U55,2))</f>
        <v/>
      </c>
      <c r="W55" s="5" t="n"/>
      <c r="X55" s="5" t="inlineStr">
        <is>
          <t>Source publishes a specialist/sub-contract all-in rate; no labour/plant/material build-up exists to derive from.</t>
        </is>
      </c>
    </row>
    <row r="56" ht="13" customHeight="1">
      <c r="A56" s="4" t="n">
        <v>193</v>
      </c>
      <c r="B56" s="5" t="inlineStr">
        <is>
          <t>IMG_0067</t>
        </is>
      </c>
      <c r="C56" s="5" t="inlineStr">
        <is>
          <t>CLASS B: GROUND INVESTIGATION</t>
        </is>
      </c>
      <c r="D56" s="5" t="inlineStr">
        <is>
          <t>06 INSTRUMENTAL OBSERVATIONS</t>
        </is>
      </c>
      <c r="E56" s="5" t="inlineStr">
        <is>
          <t>General; Pressure head</t>
        </is>
      </c>
      <c r="F56" s="5" t="inlineStr">
        <is>
          <t>install protective cover</t>
        </is>
      </c>
      <c r="G56" s="6" t="inlineStr">
        <is>
          <t>nr</t>
        </is>
      </c>
      <c r="H56" s="7" t="n"/>
      <c r="I56" s="8" t="n">
        <v>0</v>
      </c>
      <c r="J56" s="8" t="n">
        <v>0</v>
      </c>
      <c r="K56" s="8" t="n">
        <v>0</v>
      </c>
      <c r="L56" s="8" t="n">
        <v>191.22</v>
      </c>
      <c r="M56" s="9">
        <f>ROUND(SUM(I56:L56),2)</f>
        <v/>
      </c>
      <c r="N56" s="10">
        <f>ROUND(I56*'Irish Basis'!$C$6*'Irish Basis'!$C$5,2)</f>
        <v/>
      </c>
      <c r="O56" s="10">
        <f>ROUND(J56*'Irish Basis'!$C$7*'Irish Basis'!$C$5,2)</f>
        <v/>
      </c>
      <c r="P56" s="10">
        <f>ROUND(K56*'Irish Basis'!$C$8*'Irish Basis'!$C$5,2)</f>
        <v/>
      </c>
      <c r="Q56" s="10">
        <f>ROUND(L56*'Irish Basis'!$C$12*'Irish Basis'!$C$5,2)</f>
        <v/>
      </c>
      <c r="R56" s="11">
        <f>ROUND(SUM(N56:Q56),2)</f>
        <v/>
      </c>
      <c r="S56" s="5" t="inlineStr">
        <is>
          <t>All-in specialist rate</t>
        </is>
      </c>
      <c r="T56" s="14" t="inlineStr">
        <is>
          <t>All-in (not split)</t>
        </is>
      </c>
      <c r="U56" s="8" t="n">
        <v>191.22</v>
      </c>
      <c r="V56" s="13">
        <f>IF(U56="","",ROUND(M56-U56,2))</f>
        <v/>
      </c>
      <c r="W56" s="5" t="n"/>
      <c r="X56" s="5" t="inlineStr">
        <is>
          <t>Source publishes a specialist/sub-contract all-in rate; no labour/plant/material build-up exists to derive from.</t>
        </is>
      </c>
    </row>
    <row r="57" ht="13" customHeight="1">
      <c r="A57" s="4" t="n">
        <v>194</v>
      </c>
      <c r="B57" s="5" t="inlineStr">
        <is>
          <t>IMG_0067</t>
        </is>
      </c>
      <c r="C57" s="5" t="inlineStr">
        <is>
          <t>CLASS B: GROUND INVESTIGATION</t>
        </is>
      </c>
      <c r="D57" s="5" t="inlineStr">
        <is>
          <t>06 INSTRUMENTAL OBSERVATIONS</t>
        </is>
      </c>
      <c r="E57" s="5" t="inlineStr">
        <is>
          <t>General; Pressure head</t>
        </is>
      </c>
      <c r="F57" s="5" t="inlineStr">
        <is>
          <t>readings</t>
        </is>
      </c>
      <c r="G57" s="6" t="inlineStr">
        <is>
          <t>nr</t>
        </is>
      </c>
      <c r="H57" s="7" t="n"/>
      <c r="I57" s="8" t="n">
        <v>0</v>
      </c>
      <c r="J57" s="8" t="n">
        <v>0</v>
      </c>
      <c r="K57" s="8" t="n">
        <v>0</v>
      </c>
      <c r="L57" s="8" t="n">
        <v>79.12</v>
      </c>
      <c r="M57" s="9">
        <f>ROUND(SUM(I57:L57),2)</f>
        <v/>
      </c>
      <c r="N57" s="10">
        <f>ROUND(I57*'Irish Basis'!$C$6*'Irish Basis'!$C$5,2)</f>
        <v/>
      </c>
      <c r="O57" s="10">
        <f>ROUND(J57*'Irish Basis'!$C$7*'Irish Basis'!$C$5,2)</f>
        <v/>
      </c>
      <c r="P57" s="10">
        <f>ROUND(K57*'Irish Basis'!$C$8*'Irish Basis'!$C$5,2)</f>
        <v/>
      </c>
      <c r="Q57" s="10">
        <f>ROUND(L57*'Irish Basis'!$C$12*'Irish Basis'!$C$5,2)</f>
        <v/>
      </c>
      <c r="R57" s="11">
        <f>ROUND(SUM(N57:Q57),2)</f>
        <v/>
      </c>
      <c r="S57" s="5" t="inlineStr">
        <is>
          <t>All-in specialist rate</t>
        </is>
      </c>
      <c r="T57" s="14" t="inlineStr">
        <is>
          <t>All-in (not split)</t>
        </is>
      </c>
      <c r="U57" s="8" t="n">
        <v>79.12</v>
      </c>
      <c r="V57" s="13">
        <f>IF(U57="","",ROUND(M57-U57,2))</f>
        <v/>
      </c>
      <c r="W57" s="5" t="n"/>
      <c r="X57" s="5" t="inlineStr">
        <is>
          <t>Source publishes a specialist/sub-contract all-in rate; no labour/plant/material build-up exists to derive from.</t>
        </is>
      </c>
    </row>
    <row r="58" ht="13" customHeight="1">
      <c r="A58" s="4" t="n">
        <v>197</v>
      </c>
      <c r="B58" s="5" t="inlineStr">
        <is>
          <t>IMG_0067</t>
        </is>
      </c>
      <c r="C58" s="5" t="inlineStr">
        <is>
          <t>CLASS B: GROUND INVESTIGATION</t>
        </is>
      </c>
      <c r="D58" s="5" t="inlineStr">
        <is>
          <t>07 LABORATORY TESTS</t>
        </is>
      </c>
      <c r="E58" s="5" t="inlineStr">
        <is>
          <t>General; Classification</t>
        </is>
      </c>
      <c r="F58" s="5" t="inlineStr">
        <is>
          <t>moisture content</t>
        </is>
      </c>
      <c r="G58" s="6" t="inlineStr">
        <is>
          <t>nr</t>
        </is>
      </c>
      <c r="H58" s="7" t="n"/>
      <c r="I58" s="8" t="n">
        <v>0</v>
      </c>
      <c r="J58" s="8" t="n">
        <v>0</v>
      </c>
      <c r="K58" s="8" t="n">
        <v>0</v>
      </c>
      <c r="L58" s="8" t="n">
        <v>7.43</v>
      </c>
      <c r="M58" s="9">
        <f>ROUND(SUM(I58:L58),2)</f>
        <v/>
      </c>
      <c r="N58" s="10">
        <f>ROUND(I58*'Irish Basis'!$C$6*'Irish Basis'!$C$5,2)</f>
        <v/>
      </c>
      <c r="O58" s="10">
        <f>ROUND(J58*'Irish Basis'!$C$7*'Irish Basis'!$C$5,2)</f>
        <v/>
      </c>
      <c r="P58" s="10">
        <f>ROUND(K58*'Irish Basis'!$C$8*'Irish Basis'!$C$5,2)</f>
        <v/>
      </c>
      <c r="Q58" s="10">
        <f>ROUND(L58*'Irish Basis'!$C$12*'Irish Basis'!$C$5,2)</f>
        <v/>
      </c>
      <c r="R58" s="11">
        <f>ROUND(SUM(N58:Q58),2)</f>
        <v/>
      </c>
      <c r="S58" s="5" t="inlineStr">
        <is>
          <t>All-in specialist rate</t>
        </is>
      </c>
      <c r="T58" s="14" t="inlineStr">
        <is>
          <t>All-in (not split)</t>
        </is>
      </c>
      <c r="U58" s="8" t="n">
        <v>7.43</v>
      </c>
      <c r="V58" s="13">
        <f>IF(U58="","",ROUND(M58-U58,2))</f>
        <v/>
      </c>
      <c r="W58" s="5" t="n"/>
      <c r="X58" s="5" t="inlineStr">
        <is>
          <t>Source publishes a specialist/sub-contract all-in rate; no labour/plant/material build-up exists to derive from.</t>
        </is>
      </c>
    </row>
    <row r="59" ht="13" customHeight="1">
      <c r="A59" s="4" t="n">
        <v>198</v>
      </c>
      <c r="B59" s="5" t="inlineStr">
        <is>
          <t>IMG_0067</t>
        </is>
      </c>
      <c r="C59" s="5" t="inlineStr">
        <is>
          <t>CLASS B: GROUND INVESTIGATION</t>
        </is>
      </c>
      <c r="D59" s="5" t="inlineStr">
        <is>
          <t>07 LABORATORY TESTS</t>
        </is>
      </c>
      <c r="E59" s="5" t="inlineStr">
        <is>
          <t>General; Classification</t>
        </is>
      </c>
      <c r="F59" s="5" t="inlineStr">
        <is>
          <t>specific gravity</t>
        </is>
      </c>
      <c r="G59" s="6" t="inlineStr">
        <is>
          <t>nr</t>
        </is>
      </c>
      <c r="H59" s="7" t="n"/>
      <c r="I59" s="8" t="n">
        <v>0</v>
      </c>
      <c r="J59" s="8" t="n">
        <v>0</v>
      </c>
      <c r="K59" s="8" t="n">
        <v>0</v>
      </c>
      <c r="L59" s="8" t="n">
        <v>10.71</v>
      </c>
      <c r="M59" s="9">
        <f>ROUND(SUM(I59:L59),2)</f>
        <v/>
      </c>
      <c r="N59" s="10">
        <f>ROUND(I59*'Irish Basis'!$C$6*'Irish Basis'!$C$5,2)</f>
        <v/>
      </c>
      <c r="O59" s="10">
        <f>ROUND(J59*'Irish Basis'!$C$7*'Irish Basis'!$C$5,2)</f>
        <v/>
      </c>
      <c r="P59" s="10">
        <f>ROUND(K59*'Irish Basis'!$C$8*'Irish Basis'!$C$5,2)</f>
        <v/>
      </c>
      <c r="Q59" s="10">
        <f>ROUND(L59*'Irish Basis'!$C$12*'Irish Basis'!$C$5,2)</f>
        <v/>
      </c>
      <c r="R59" s="11">
        <f>ROUND(SUM(N59:Q59),2)</f>
        <v/>
      </c>
      <c r="S59" s="5" t="inlineStr">
        <is>
          <t>All-in specialist rate</t>
        </is>
      </c>
      <c r="T59" s="14" t="inlineStr">
        <is>
          <t>All-in (not split)</t>
        </is>
      </c>
      <c r="U59" s="8" t="n">
        <v>10.71</v>
      </c>
      <c r="V59" s="13">
        <f>IF(U59="","",ROUND(M59-U59,2))</f>
        <v/>
      </c>
      <c r="W59" s="5" t="n"/>
      <c r="X59" s="5" t="inlineStr">
        <is>
          <t>Source publishes a specialist/sub-contract all-in rate; no labour/plant/material build-up exists to derive from.</t>
        </is>
      </c>
    </row>
    <row r="60" ht="13" customHeight="1">
      <c r="A60" s="4" t="n">
        <v>199</v>
      </c>
      <c r="B60" s="5" t="inlineStr">
        <is>
          <t>IMG_0067</t>
        </is>
      </c>
      <c r="C60" s="5" t="inlineStr">
        <is>
          <t>CLASS B: GROUND INVESTIGATION</t>
        </is>
      </c>
      <c r="D60" s="5" t="inlineStr">
        <is>
          <t>07 LABORATORY TESTS</t>
        </is>
      </c>
      <c r="E60" s="5" t="inlineStr">
        <is>
          <t>General; Classification</t>
        </is>
      </c>
      <c r="F60" s="5" t="inlineStr">
        <is>
          <t>particle size analysis by sieve</t>
        </is>
      </c>
      <c r="G60" s="6" t="inlineStr">
        <is>
          <t>nr</t>
        </is>
      </c>
      <c r="H60" s="7" t="n"/>
      <c r="I60" s="8" t="n">
        <v>0</v>
      </c>
      <c r="J60" s="8" t="n">
        <v>0</v>
      </c>
      <c r="K60" s="8" t="n">
        <v>0</v>
      </c>
      <c r="L60" s="8" t="n">
        <v>44.67</v>
      </c>
      <c r="M60" s="9">
        <f>ROUND(SUM(I60:L60),2)</f>
        <v/>
      </c>
      <c r="N60" s="10">
        <f>ROUND(I60*'Irish Basis'!$C$6*'Irish Basis'!$C$5,2)</f>
        <v/>
      </c>
      <c r="O60" s="10">
        <f>ROUND(J60*'Irish Basis'!$C$7*'Irish Basis'!$C$5,2)</f>
        <v/>
      </c>
      <c r="P60" s="10">
        <f>ROUND(K60*'Irish Basis'!$C$8*'Irish Basis'!$C$5,2)</f>
        <v/>
      </c>
      <c r="Q60" s="10">
        <f>ROUND(L60*'Irish Basis'!$C$12*'Irish Basis'!$C$5,2)</f>
        <v/>
      </c>
      <c r="R60" s="11">
        <f>ROUND(SUM(N60:Q60),2)</f>
        <v/>
      </c>
      <c r="S60" s="5" t="inlineStr">
        <is>
          <t>All-in specialist rate</t>
        </is>
      </c>
      <c r="T60" s="14" t="inlineStr">
        <is>
          <t>All-in (not split)</t>
        </is>
      </c>
      <c r="U60" s="8" t="n">
        <v>44.67</v>
      </c>
      <c r="V60" s="13">
        <f>IF(U60="","",ROUND(M60-U60,2))</f>
        <v/>
      </c>
      <c r="W60" s="5" t="n"/>
      <c r="X60" s="5" t="inlineStr">
        <is>
          <t>Source publishes a specialist/sub-contract all-in rate; no labour/plant/material build-up exists to derive from.</t>
        </is>
      </c>
    </row>
    <row r="61" ht="13" customHeight="1">
      <c r="A61" s="4" t="n">
        <v>200</v>
      </c>
      <c r="B61" s="5" t="inlineStr">
        <is>
          <t>IMG_0067</t>
        </is>
      </c>
      <c r="C61" s="5" t="inlineStr">
        <is>
          <t>CLASS B: GROUND INVESTIGATION</t>
        </is>
      </c>
      <c r="D61" s="5" t="inlineStr">
        <is>
          <t>07 LABORATORY TESTS</t>
        </is>
      </c>
      <c r="E61" s="5" t="inlineStr">
        <is>
          <t>General; Classification</t>
        </is>
      </c>
      <c r="F61" s="5" t="inlineStr">
        <is>
          <t>particle size analysis by pipette or hydrometer</t>
        </is>
      </c>
      <c r="G61" s="6" t="inlineStr">
        <is>
          <t>nr</t>
        </is>
      </c>
      <c r="H61" s="7" t="n"/>
      <c r="I61" s="8" t="n">
        <v>0</v>
      </c>
      <c r="J61" s="8" t="n">
        <v>0</v>
      </c>
      <c r="K61" s="8" t="n">
        <v>0</v>
      </c>
      <c r="L61" s="8" t="n">
        <v>59.55</v>
      </c>
      <c r="M61" s="9">
        <f>ROUND(SUM(I61:L61),2)</f>
        <v/>
      </c>
      <c r="N61" s="10">
        <f>ROUND(I61*'Irish Basis'!$C$6*'Irish Basis'!$C$5,2)</f>
        <v/>
      </c>
      <c r="O61" s="10">
        <f>ROUND(J61*'Irish Basis'!$C$7*'Irish Basis'!$C$5,2)</f>
        <v/>
      </c>
      <c r="P61" s="10">
        <f>ROUND(K61*'Irish Basis'!$C$8*'Irish Basis'!$C$5,2)</f>
        <v/>
      </c>
      <c r="Q61" s="10">
        <f>ROUND(L61*'Irish Basis'!$C$12*'Irish Basis'!$C$5,2)</f>
        <v/>
      </c>
      <c r="R61" s="11">
        <f>ROUND(SUM(N61:Q61),2)</f>
        <v/>
      </c>
      <c r="S61" s="5" t="inlineStr">
        <is>
          <t>All-in specialist rate</t>
        </is>
      </c>
      <c r="T61" s="14" t="inlineStr">
        <is>
          <t>All-in (not split)</t>
        </is>
      </c>
      <c r="U61" s="8" t="n">
        <v>59.55</v>
      </c>
      <c r="V61" s="13">
        <f>IF(U61="","",ROUND(M61-U61,2))</f>
        <v/>
      </c>
      <c r="W61" s="5" t="n"/>
      <c r="X61" s="5" t="inlineStr">
        <is>
          <t>Source publishes a specialist/sub-contract all-in rate; no labour/plant/material build-up exists to derive from.</t>
        </is>
      </c>
    </row>
    <row r="62" ht="13" customHeight="1">
      <c r="A62" s="4" t="n">
        <v>202</v>
      </c>
      <c r="B62" s="5" t="inlineStr">
        <is>
          <t>IMG_0067</t>
        </is>
      </c>
      <c r="C62" s="5" t="inlineStr">
        <is>
          <t>CLASS B: GROUND INVESTIGATION</t>
        </is>
      </c>
      <c r="D62" s="5" t="inlineStr">
        <is>
          <t>07 LABORATORY TESTS</t>
        </is>
      </c>
      <c r="E62" s="5" t="inlineStr">
        <is>
          <t>Chemical content</t>
        </is>
      </c>
      <c r="F62" s="5" t="inlineStr">
        <is>
          <t>organic matter</t>
        </is>
      </c>
      <c r="G62" s="6" t="inlineStr">
        <is>
          <t>nr</t>
        </is>
      </c>
      <c r="H62" s="7" t="n"/>
      <c r="I62" s="8" t="n">
        <v>0</v>
      </c>
      <c r="J62" s="8" t="n">
        <v>0</v>
      </c>
      <c r="K62" s="8" t="n">
        <v>0</v>
      </c>
      <c r="L62" s="8" t="n">
        <v>47.65</v>
      </c>
      <c r="M62" s="9">
        <f>ROUND(SUM(I62:L62),2)</f>
        <v/>
      </c>
      <c r="N62" s="10">
        <f>ROUND(I62*'Irish Basis'!$C$6*'Irish Basis'!$C$5,2)</f>
        <v/>
      </c>
      <c r="O62" s="10">
        <f>ROUND(J62*'Irish Basis'!$C$7*'Irish Basis'!$C$5,2)</f>
        <v/>
      </c>
      <c r="P62" s="10">
        <f>ROUND(K62*'Irish Basis'!$C$8*'Irish Basis'!$C$5,2)</f>
        <v/>
      </c>
      <c r="Q62" s="10">
        <f>ROUND(L62*'Irish Basis'!$C$12*'Irish Basis'!$C$5,2)</f>
        <v/>
      </c>
      <c r="R62" s="11">
        <f>ROUND(SUM(N62:Q62),2)</f>
        <v/>
      </c>
      <c r="S62" s="5" t="inlineStr">
        <is>
          <t>All-in specialist rate</t>
        </is>
      </c>
      <c r="T62" s="14" t="inlineStr">
        <is>
          <t>All-in (not split)</t>
        </is>
      </c>
      <c r="U62" s="8" t="n">
        <v>47.65</v>
      </c>
      <c r="V62" s="13">
        <f>IF(U62="","",ROUND(M62-U62,2))</f>
        <v/>
      </c>
      <c r="W62" s="5" t="n"/>
      <c r="X62" s="5" t="inlineStr">
        <is>
          <t>Source publishes a specialist/sub-contract all-in rate; no labour/plant/material build-up exists to derive from.</t>
        </is>
      </c>
    </row>
    <row r="63" ht="13" customHeight="1">
      <c r="A63" s="4" t="n">
        <v>203</v>
      </c>
      <c r="B63" s="5" t="inlineStr">
        <is>
          <t>IMG_0067</t>
        </is>
      </c>
      <c r="C63" s="5" t="inlineStr">
        <is>
          <t>CLASS B: GROUND INVESTIGATION</t>
        </is>
      </c>
      <c r="D63" s="5" t="inlineStr">
        <is>
          <t>07 LABORATORY TESTS</t>
        </is>
      </c>
      <c r="E63" s="5" t="inlineStr">
        <is>
          <t>Chemical content</t>
        </is>
      </c>
      <c r="F63" s="5" t="inlineStr">
        <is>
          <t>sulphate</t>
        </is>
      </c>
      <c r="G63" s="6" t="inlineStr">
        <is>
          <t>nr</t>
        </is>
      </c>
      <c r="H63" s="7" t="n"/>
      <c r="I63" s="8" t="n">
        <v>0</v>
      </c>
      <c r="J63" s="8" t="n">
        <v>0</v>
      </c>
      <c r="K63" s="8" t="n">
        <v>0</v>
      </c>
      <c r="L63" s="8" t="n">
        <v>32.74</v>
      </c>
      <c r="M63" s="9">
        <f>ROUND(SUM(I63:L63),2)</f>
        <v/>
      </c>
      <c r="N63" s="10">
        <f>ROUND(I63*'Irish Basis'!$C$6*'Irish Basis'!$C$5,2)</f>
        <v/>
      </c>
      <c r="O63" s="10">
        <f>ROUND(J63*'Irish Basis'!$C$7*'Irish Basis'!$C$5,2)</f>
        <v/>
      </c>
      <c r="P63" s="10">
        <f>ROUND(K63*'Irish Basis'!$C$8*'Irish Basis'!$C$5,2)</f>
        <v/>
      </c>
      <c r="Q63" s="10">
        <f>ROUND(L63*'Irish Basis'!$C$12*'Irish Basis'!$C$5,2)</f>
        <v/>
      </c>
      <c r="R63" s="11">
        <f>ROUND(SUM(N63:Q63),2)</f>
        <v/>
      </c>
      <c r="S63" s="5" t="inlineStr">
        <is>
          <t>All-in specialist rate</t>
        </is>
      </c>
      <c r="T63" s="14" t="inlineStr">
        <is>
          <t>All-in (not split)</t>
        </is>
      </c>
      <c r="U63" s="8" t="n">
        <v>32.74</v>
      </c>
      <c r="V63" s="13">
        <f>IF(U63="","",ROUND(M63-U63,2))</f>
        <v/>
      </c>
      <c r="W63" s="5" t="n"/>
      <c r="X63" s="5" t="inlineStr">
        <is>
          <t>Source publishes a specialist/sub-contract all-in rate; no labour/plant/material build-up exists to derive from.</t>
        </is>
      </c>
    </row>
    <row r="64" ht="13" customHeight="1">
      <c r="A64" s="4" t="n">
        <v>204</v>
      </c>
      <c r="B64" s="5" t="inlineStr">
        <is>
          <t>IMG_0067</t>
        </is>
      </c>
      <c r="C64" s="5" t="inlineStr">
        <is>
          <t>CLASS B: GROUND INVESTIGATION</t>
        </is>
      </c>
      <c r="D64" s="5" t="inlineStr">
        <is>
          <t>07 LABORATORY TESTS</t>
        </is>
      </c>
      <c r="E64" s="5" t="inlineStr">
        <is>
          <t>Chemical content</t>
        </is>
      </c>
      <c r="F64" s="5" t="inlineStr">
        <is>
          <t>pH value</t>
        </is>
      </c>
      <c r="G64" s="6" t="inlineStr">
        <is>
          <t>nr</t>
        </is>
      </c>
      <c r="H64" s="7" t="n"/>
      <c r="I64" s="8" t="n">
        <v>0</v>
      </c>
      <c r="J64" s="8" t="n">
        <v>0</v>
      </c>
      <c r="K64" s="8" t="n">
        <v>0</v>
      </c>
      <c r="L64" s="8" t="n">
        <v>10.43</v>
      </c>
      <c r="M64" s="9">
        <f>ROUND(SUM(I64:L64),2)</f>
        <v/>
      </c>
      <c r="N64" s="10">
        <f>ROUND(I64*'Irish Basis'!$C$6*'Irish Basis'!$C$5,2)</f>
        <v/>
      </c>
      <c r="O64" s="10">
        <f>ROUND(J64*'Irish Basis'!$C$7*'Irish Basis'!$C$5,2)</f>
        <v/>
      </c>
      <c r="P64" s="10">
        <f>ROUND(K64*'Irish Basis'!$C$8*'Irish Basis'!$C$5,2)</f>
        <v/>
      </c>
      <c r="Q64" s="10">
        <f>ROUND(L64*'Irish Basis'!$C$12*'Irish Basis'!$C$5,2)</f>
        <v/>
      </c>
      <c r="R64" s="11">
        <f>ROUND(SUM(N64:Q64),2)</f>
        <v/>
      </c>
      <c r="S64" s="5" t="inlineStr">
        <is>
          <t>All-in specialist rate</t>
        </is>
      </c>
      <c r="T64" s="14" t="inlineStr">
        <is>
          <t>All-in (not split)</t>
        </is>
      </c>
      <c r="U64" s="8" t="n">
        <v>10.43</v>
      </c>
      <c r="V64" s="13">
        <f>IF(U64="","",ROUND(M64-U64,2))</f>
        <v/>
      </c>
      <c r="W64" s="5" t="n"/>
      <c r="X64" s="5" t="inlineStr">
        <is>
          <t>Source publishes a specialist/sub-contract all-in rate; no labour/plant/material build-up exists to derive from.</t>
        </is>
      </c>
    </row>
    <row r="65" ht="13" customHeight="1">
      <c r="A65" s="4" t="n">
        <v>205</v>
      </c>
      <c r="B65" s="5" t="inlineStr">
        <is>
          <t>IMG_0067</t>
        </is>
      </c>
      <c r="C65" s="5" t="inlineStr">
        <is>
          <t>CLASS B: GROUND INVESTIGATION</t>
        </is>
      </c>
      <c r="D65" s="5" t="inlineStr">
        <is>
          <t>07 LABORATORY TESTS</t>
        </is>
      </c>
      <c r="E65" s="5" t="inlineStr">
        <is>
          <t>Chemical content</t>
        </is>
      </c>
      <c r="F65" s="5" t="inlineStr">
        <is>
          <t>contaminants; Comprehensive</t>
        </is>
      </c>
      <c r="G65" s="6" t="inlineStr">
        <is>
          <t>nr</t>
        </is>
      </c>
      <c r="H65" s="7" t="n"/>
      <c r="I65" s="8" t="n">
        <v>0</v>
      </c>
      <c r="J65" s="8" t="n">
        <v>0</v>
      </c>
      <c r="K65" s="8" t="n">
        <v>0</v>
      </c>
      <c r="L65" s="8" t="n">
        <v>372.31</v>
      </c>
      <c r="M65" s="9">
        <f>ROUND(SUM(I65:L65),2)</f>
        <v/>
      </c>
      <c r="N65" s="10">
        <f>ROUND(I65*'Irish Basis'!$C$6*'Irish Basis'!$C$5,2)</f>
        <v/>
      </c>
      <c r="O65" s="10">
        <f>ROUND(J65*'Irish Basis'!$C$7*'Irish Basis'!$C$5,2)</f>
        <v/>
      </c>
      <c r="P65" s="10">
        <f>ROUND(K65*'Irish Basis'!$C$8*'Irish Basis'!$C$5,2)</f>
        <v/>
      </c>
      <c r="Q65" s="10">
        <f>ROUND(L65*'Irish Basis'!$C$12*'Irish Basis'!$C$5,2)</f>
        <v/>
      </c>
      <c r="R65" s="11">
        <f>ROUND(SUM(N65:Q65),2)</f>
        <v/>
      </c>
      <c r="S65" s="5" t="inlineStr">
        <is>
          <t>All-in specialist rate</t>
        </is>
      </c>
      <c r="T65" s="14" t="inlineStr">
        <is>
          <t>All-in (not split)</t>
        </is>
      </c>
      <c r="U65" s="8" t="n">
        <v>372.31</v>
      </c>
      <c r="V65" s="13">
        <f>IF(U65="","",ROUND(M65-U65,2))</f>
        <v/>
      </c>
      <c r="W65" s="5" t="n"/>
      <c r="X65" s="5" t="inlineStr">
        <is>
          <t>Source publishes a specialist/sub-contract all-in rate; no labour/plant/material build-up exists to derive from.</t>
        </is>
      </c>
    </row>
    <row r="66" ht="13" customHeight="1">
      <c r="A66" s="4" t="n">
        <v>206</v>
      </c>
      <c r="B66" s="5" t="inlineStr">
        <is>
          <t>IMG_0067</t>
        </is>
      </c>
      <c r="C66" s="5" t="inlineStr">
        <is>
          <t>CLASS B: GROUND INVESTIGATION</t>
        </is>
      </c>
      <c r="D66" s="5" t="inlineStr">
        <is>
          <t>07 LABORATORY TESTS</t>
        </is>
      </c>
      <c r="E66" s="5" t="inlineStr">
        <is>
          <t>Chemical content</t>
        </is>
      </c>
      <c r="F66" s="5" t="inlineStr">
        <is>
          <t>contaminants; Abbreviated</t>
        </is>
      </c>
      <c r="G66" s="6" t="inlineStr">
        <is>
          <t>nr</t>
        </is>
      </c>
      <c r="H66" s="7" t="n"/>
      <c r="I66" s="8" t="n">
        <v>0</v>
      </c>
      <c r="J66" s="8" t="n">
        <v>0</v>
      </c>
      <c r="K66" s="8" t="n">
        <v>0</v>
      </c>
      <c r="L66" s="8" t="n">
        <v>260.6</v>
      </c>
      <c r="M66" s="9">
        <f>ROUND(SUM(I66:L66),2)</f>
        <v/>
      </c>
      <c r="N66" s="10">
        <f>ROUND(I66*'Irish Basis'!$C$6*'Irish Basis'!$C$5,2)</f>
        <v/>
      </c>
      <c r="O66" s="10">
        <f>ROUND(J66*'Irish Basis'!$C$7*'Irish Basis'!$C$5,2)</f>
        <v/>
      </c>
      <c r="P66" s="10">
        <f>ROUND(K66*'Irish Basis'!$C$8*'Irish Basis'!$C$5,2)</f>
        <v/>
      </c>
      <c r="Q66" s="10">
        <f>ROUND(L66*'Irish Basis'!$C$12*'Irish Basis'!$C$5,2)</f>
        <v/>
      </c>
      <c r="R66" s="11">
        <f>ROUND(SUM(N66:Q66),2)</f>
        <v/>
      </c>
      <c r="S66" s="5" t="inlineStr">
        <is>
          <t>All-in specialist rate</t>
        </is>
      </c>
      <c r="T66" s="14" t="inlineStr">
        <is>
          <t>All-in (not split)</t>
        </is>
      </c>
      <c r="U66" s="8" t="n">
        <v>260.6</v>
      </c>
      <c r="V66" s="13">
        <f>IF(U66="","",ROUND(M66-U66,2))</f>
        <v/>
      </c>
      <c r="W66" s="5" t="n"/>
      <c r="X66" s="5" t="inlineStr">
        <is>
          <t>Source publishes a specialist/sub-contract all-in rate; no labour/plant/material build-up exists to derive from.</t>
        </is>
      </c>
    </row>
    <row r="67" ht="13" customHeight="1">
      <c r="A67" s="4" t="n">
        <v>207</v>
      </c>
      <c r="B67" s="5" t="inlineStr">
        <is>
          <t>IMG_0067</t>
        </is>
      </c>
      <c r="C67" s="5" t="inlineStr">
        <is>
          <t>CLASS B: GROUND INVESTIGATION</t>
        </is>
      </c>
      <c r="D67" s="5" t="inlineStr">
        <is>
          <t>07 LABORATORY TESTS</t>
        </is>
      </c>
      <c r="E67" s="5" t="inlineStr">
        <is>
          <t>Chemical content</t>
        </is>
      </c>
      <c r="F67" s="5" t="inlineStr">
        <is>
          <t>contaminants; Mini, Screening</t>
        </is>
      </c>
      <c r="G67" s="6" t="inlineStr">
        <is>
          <t>nr</t>
        </is>
      </c>
      <c r="H67" s="7" t="n"/>
      <c r="I67" s="8" t="n">
        <v>0</v>
      </c>
      <c r="J67" s="8" t="n">
        <v>0</v>
      </c>
      <c r="K67" s="8" t="n">
        <v>0</v>
      </c>
      <c r="L67" s="8" t="n">
        <v>215.95</v>
      </c>
      <c r="M67" s="9">
        <f>ROUND(SUM(I67:L67),2)</f>
        <v/>
      </c>
      <c r="N67" s="10">
        <f>ROUND(I67*'Irish Basis'!$C$6*'Irish Basis'!$C$5,2)</f>
        <v/>
      </c>
      <c r="O67" s="10">
        <f>ROUND(J67*'Irish Basis'!$C$7*'Irish Basis'!$C$5,2)</f>
        <v/>
      </c>
      <c r="P67" s="10">
        <f>ROUND(K67*'Irish Basis'!$C$8*'Irish Basis'!$C$5,2)</f>
        <v/>
      </c>
      <c r="Q67" s="10">
        <f>ROUND(L67*'Irish Basis'!$C$12*'Irish Basis'!$C$5,2)</f>
        <v/>
      </c>
      <c r="R67" s="11">
        <f>ROUND(SUM(N67:Q67),2)</f>
        <v/>
      </c>
      <c r="S67" s="5" t="inlineStr">
        <is>
          <t>All-in specialist rate</t>
        </is>
      </c>
      <c r="T67" s="14" t="inlineStr">
        <is>
          <t>All-in (not split)</t>
        </is>
      </c>
      <c r="U67" s="8" t="n">
        <v>215.95</v>
      </c>
      <c r="V67" s="13">
        <f>IF(U67="","",ROUND(M67-U67,2))</f>
        <v/>
      </c>
      <c r="W67" s="5" t="n"/>
      <c r="X67" s="5" t="inlineStr">
        <is>
          <t>Source publishes a specialist/sub-contract all-in rate; no labour/plant/material build-up exists to derive from.</t>
        </is>
      </c>
    </row>
    <row r="68" ht="13" customHeight="1">
      <c r="A68" s="4" t="n">
        <v>208</v>
      </c>
      <c r="B68" s="5" t="inlineStr">
        <is>
          <t>IMG_0067</t>
        </is>
      </c>
      <c r="C68" s="5" t="inlineStr">
        <is>
          <t>CLASS B: GROUND INVESTIGATION</t>
        </is>
      </c>
      <c r="D68" s="5" t="inlineStr">
        <is>
          <t>07 LABORATORY TESTS</t>
        </is>
      </c>
      <c r="E68" s="5" t="inlineStr">
        <is>
          <t>Chemical content</t>
        </is>
      </c>
      <c r="F68" s="5" t="inlineStr">
        <is>
          <t>contaminants; nitrogen herbicides</t>
        </is>
      </c>
      <c r="G68" s="6" t="inlineStr">
        <is>
          <t>nr</t>
        </is>
      </c>
      <c r="H68" s="7" t="n"/>
      <c r="I68" s="8" t="n">
        <v>0</v>
      </c>
      <c r="J68" s="8" t="n">
        <v>0</v>
      </c>
      <c r="K68" s="8" t="n">
        <v>0</v>
      </c>
      <c r="L68" s="8" t="n">
        <v>193.6</v>
      </c>
      <c r="M68" s="9">
        <f>ROUND(SUM(I68:L68),2)</f>
        <v/>
      </c>
      <c r="N68" s="10">
        <f>ROUND(I68*'Irish Basis'!$C$6*'Irish Basis'!$C$5,2)</f>
        <v/>
      </c>
      <c r="O68" s="10">
        <f>ROUND(J68*'Irish Basis'!$C$7*'Irish Basis'!$C$5,2)</f>
        <v/>
      </c>
      <c r="P68" s="10">
        <f>ROUND(K68*'Irish Basis'!$C$8*'Irish Basis'!$C$5,2)</f>
        <v/>
      </c>
      <c r="Q68" s="10">
        <f>ROUND(L68*'Irish Basis'!$C$12*'Irish Basis'!$C$5,2)</f>
        <v/>
      </c>
      <c r="R68" s="11">
        <f>ROUND(SUM(N68:Q68),2)</f>
        <v/>
      </c>
      <c r="S68" s="5" t="inlineStr">
        <is>
          <t>All-in specialist rate</t>
        </is>
      </c>
      <c r="T68" s="14" t="inlineStr">
        <is>
          <t>All-in (not split)</t>
        </is>
      </c>
      <c r="U68" s="8" t="n">
        <v>193.6</v>
      </c>
      <c r="V68" s="13">
        <f>IF(U68="","",ROUND(M68-U68,2))</f>
        <v/>
      </c>
      <c r="W68" s="5" t="n"/>
      <c r="X68" s="5" t="inlineStr">
        <is>
          <t>Source publishes a specialist/sub-contract all-in rate; no labour/plant/material build-up exists to derive from.</t>
        </is>
      </c>
    </row>
    <row r="69" ht="13" customHeight="1">
      <c r="A69" s="4" t="n">
        <v>209</v>
      </c>
      <c r="B69" s="5" t="inlineStr">
        <is>
          <t>IMG_0067</t>
        </is>
      </c>
      <c r="C69" s="5" t="inlineStr">
        <is>
          <t>CLASS B: GROUND INVESTIGATION</t>
        </is>
      </c>
      <c r="D69" s="5" t="inlineStr">
        <is>
          <t>07 LABORATORY TESTS</t>
        </is>
      </c>
      <c r="E69" s="5" t="inlineStr">
        <is>
          <t>Chemical content</t>
        </is>
      </c>
      <c r="F69" s="5" t="inlineStr">
        <is>
          <t>contaminants; organophosphorus pesticides</t>
        </is>
      </c>
      <c r="G69" s="6" t="inlineStr">
        <is>
          <t>nr</t>
        </is>
      </c>
      <c r="H69" s="7" t="n"/>
      <c r="I69" s="8" t="n">
        <v>0</v>
      </c>
      <c r="J69" s="8" t="n">
        <v>0</v>
      </c>
      <c r="K69" s="8" t="n">
        <v>0</v>
      </c>
      <c r="L69" s="8" t="n">
        <v>163.81</v>
      </c>
      <c r="M69" s="9">
        <f>ROUND(SUM(I69:L69),2)</f>
        <v/>
      </c>
      <c r="N69" s="10">
        <f>ROUND(I69*'Irish Basis'!$C$6*'Irish Basis'!$C$5,2)</f>
        <v/>
      </c>
      <c r="O69" s="10">
        <f>ROUND(J69*'Irish Basis'!$C$7*'Irish Basis'!$C$5,2)</f>
        <v/>
      </c>
      <c r="P69" s="10">
        <f>ROUND(K69*'Irish Basis'!$C$8*'Irish Basis'!$C$5,2)</f>
        <v/>
      </c>
      <c r="Q69" s="10">
        <f>ROUND(L69*'Irish Basis'!$C$12*'Irish Basis'!$C$5,2)</f>
        <v/>
      </c>
      <c r="R69" s="11">
        <f>ROUND(SUM(N69:Q69),2)</f>
        <v/>
      </c>
      <c r="S69" s="5" t="inlineStr">
        <is>
          <t>All-in specialist rate</t>
        </is>
      </c>
      <c r="T69" s="14" t="inlineStr">
        <is>
          <t>All-in (not split)</t>
        </is>
      </c>
      <c r="U69" s="8" t="n">
        <v>163.81</v>
      </c>
      <c r="V69" s="13">
        <f>IF(U69="","",ROUND(M69-U69,2))</f>
        <v/>
      </c>
      <c r="W69" s="5" t="n"/>
      <c r="X69" s="5" t="inlineStr">
        <is>
          <t>Source publishes a specialist/sub-contract all-in rate; no labour/plant/material build-up exists to derive from.</t>
        </is>
      </c>
    </row>
    <row r="70" ht="13" customHeight="1">
      <c r="A70" s="4" t="n">
        <v>210</v>
      </c>
      <c r="B70" s="5" t="inlineStr">
        <is>
          <t>IMG_0067</t>
        </is>
      </c>
      <c r="C70" s="5" t="inlineStr">
        <is>
          <t>CLASS B: GROUND INVESTIGATION</t>
        </is>
      </c>
      <c r="D70" s="5" t="inlineStr">
        <is>
          <t>07 LABORATORY TESTS</t>
        </is>
      </c>
      <c r="E70" s="5" t="inlineStr">
        <is>
          <t>Chemical content</t>
        </is>
      </c>
      <c r="F70" s="5" t="inlineStr">
        <is>
          <t>contaminants; organochlorine pesticides</t>
        </is>
      </c>
      <c r="G70" s="6" t="inlineStr">
        <is>
          <t>nr</t>
        </is>
      </c>
      <c r="H70" s="7" t="n"/>
      <c r="I70" s="8" t="n">
        <v>0</v>
      </c>
      <c r="J70" s="8" t="n">
        <v>0</v>
      </c>
      <c r="K70" s="8" t="n">
        <v>0</v>
      </c>
      <c r="L70" s="8" t="n">
        <v>163.81</v>
      </c>
      <c r="M70" s="9">
        <f>ROUND(SUM(I70:L70),2)</f>
        <v/>
      </c>
      <c r="N70" s="10">
        <f>ROUND(I70*'Irish Basis'!$C$6*'Irish Basis'!$C$5,2)</f>
        <v/>
      </c>
      <c r="O70" s="10">
        <f>ROUND(J70*'Irish Basis'!$C$7*'Irish Basis'!$C$5,2)</f>
        <v/>
      </c>
      <c r="P70" s="10">
        <f>ROUND(K70*'Irish Basis'!$C$8*'Irish Basis'!$C$5,2)</f>
        <v/>
      </c>
      <c r="Q70" s="10">
        <f>ROUND(L70*'Irish Basis'!$C$12*'Irish Basis'!$C$5,2)</f>
        <v/>
      </c>
      <c r="R70" s="11">
        <f>ROUND(SUM(N70:Q70),2)</f>
        <v/>
      </c>
      <c r="S70" s="5" t="inlineStr">
        <is>
          <t>All-in specialist rate</t>
        </is>
      </c>
      <c r="T70" s="14" t="inlineStr">
        <is>
          <t>All-in (not split)</t>
        </is>
      </c>
      <c r="U70" s="8" t="n">
        <v>163.81</v>
      </c>
      <c r="V70" s="13">
        <f>IF(U70="","",ROUND(M70-U70,2))</f>
        <v/>
      </c>
      <c r="W70" s="5" t="n"/>
      <c r="X70" s="5" t="inlineStr">
        <is>
          <t>Source publishes a specialist/sub-contract all-in rate; no labour/plant/material build-up exists to derive from.</t>
        </is>
      </c>
    </row>
    <row r="71" ht="13" customHeight="1">
      <c r="A71" s="4" t="n">
        <v>212</v>
      </c>
      <c r="B71" s="5" t="inlineStr">
        <is>
          <t>IMG_0067</t>
        </is>
      </c>
      <c r="C71" s="5" t="inlineStr">
        <is>
          <t>CLASS B: GROUND INVESTIGATION</t>
        </is>
      </c>
      <c r="D71" s="5" t="inlineStr">
        <is>
          <t>07 LABORATORY TESTS</t>
        </is>
      </c>
      <c r="E71" s="5" t="inlineStr">
        <is>
          <t>Compaction</t>
        </is>
      </c>
      <c r="F71" s="5" t="inlineStr">
        <is>
          <t>standard</t>
        </is>
      </c>
      <c r="G71" s="6" t="inlineStr">
        <is>
          <t>nr</t>
        </is>
      </c>
      <c r="H71" s="7" t="n"/>
      <c r="I71" s="8" t="n">
        <v>0</v>
      </c>
      <c r="J71" s="8" t="n">
        <v>0</v>
      </c>
      <c r="K71" s="8" t="n">
        <v>0</v>
      </c>
      <c r="L71" s="8" t="n">
        <v>193.59</v>
      </c>
      <c r="M71" s="9">
        <f>ROUND(SUM(I71:L71),2)</f>
        <v/>
      </c>
      <c r="N71" s="10">
        <f>ROUND(I71*'Irish Basis'!$C$6*'Irish Basis'!$C$5,2)</f>
        <v/>
      </c>
      <c r="O71" s="10">
        <f>ROUND(J71*'Irish Basis'!$C$7*'Irish Basis'!$C$5,2)</f>
        <v/>
      </c>
      <c r="P71" s="10">
        <f>ROUND(K71*'Irish Basis'!$C$8*'Irish Basis'!$C$5,2)</f>
        <v/>
      </c>
      <c r="Q71" s="10">
        <f>ROUND(L71*'Irish Basis'!$C$12*'Irish Basis'!$C$5,2)</f>
        <v/>
      </c>
      <c r="R71" s="11">
        <f>ROUND(SUM(N71:Q71),2)</f>
        <v/>
      </c>
      <c r="S71" s="5" t="inlineStr">
        <is>
          <t>All-in specialist rate</t>
        </is>
      </c>
      <c r="T71" s="14" t="inlineStr">
        <is>
          <t>All-in (not split)</t>
        </is>
      </c>
      <c r="U71" s="8" t="n">
        <v>193.59</v>
      </c>
      <c r="V71" s="13">
        <f>IF(U71="","",ROUND(M71-U71,2))</f>
        <v/>
      </c>
      <c r="W71" s="5" t="n"/>
      <c r="X71" s="5" t="inlineStr">
        <is>
          <t>Source publishes a specialist/sub-contract all-in rate; no labour/plant/material build-up exists to derive from.</t>
        </is>
      </c>
    </row>
    <row r="72" ht="13" customHeight="1">
      <c r="A72" s="4" t="n">
        <v>213</v>
      </c>
      <c r="B72" s="5" t="inlineStr">
        <is>
          <t>IMG_0067</t>
        </is>
      </c>
      <c r="C72" s="5" t="inlineStr">
        <is>
          <t>CLASS B: GROUND INVESTIGATION</t>
        </is>
      </c>
      <c r="D72" s="5" t="inlineStr">
        <is>
          <t>07 LABORATORY TESTS</t>
        </is>
      </c>
      <c r="E72" s="5" t="inlineStr">
        <is>
          <t>Compaction</t>
        </is>
      </c>
      <c r="F72" s="5" t="inlineStr">
        <is>
          <t>heavy</t>
        </is>
      </c>
      <c r="G72" s="6" t="inlineStr">
        <is>
          <t>nr</t>
        </is>
      </c>
      <c r="H72" s="7" t="n"/>
      <c r="I72" s="8" t="n">
        <v>0</v>
      </c>
      <c r="J72" s="8" t="n">
        <v>0</v>
      </c>
      <c r="K72" s="8" t="n">
        <v>0</v>
      </c>
      <c r="L72" s="8" t="n">
        <v>193.6</v>
      </c>
      <c r="M72" s="9">
        <f>ROUND(SUM(I72:L72),2)</f>
        <v/>
      </c>
      <c r="N72" s="10">
        <f>ROUND(I72*'Irish Basis'!$C$6*'Irish Basis'!$C$5,2)</f>
        <v/>
      </c>
      <c r="O72" s="10">
        <f>ROUND(J72*'Irish Basis'!$C$7*'Irish Basis'!$C$5,2)</f>
        <v/>
      </c>
      <c r="P72" s="10">
        <f>ROUND(K72*'Irish Basis'!$C$8*'Irish Basis'!$C$5,2)</f>
        <v/>
      </c>
      <c r="Q72" s="10">
        <f>ROUND(L72*'Irish Basis'!$C$12*'Irish Basis'!$C$5,2)</f>
        <v/>
      </c>
      <c r="R72" s="11">
        <f>ROUND(SUM(N72:Q72),2)</f>
        <v/>
      </c>
      <c r="S72" s="5" t="inlineStr">
        <is>
          <t>All-in specialist rate</t>
        </is>
      </c>
      <c r="T72" s="14" t="inlineStr">
        <is>
          <t>All-in (not split)</t>
        </is>
      </c>
      <c r="U72" s="8" t="n">
        <v>193.6</v>
      </c>
      <c r="V72" s="13">
        <f>IF(U72="","",ROUND(M72-U72,2))</f>
        <v/>
      </c>
      <c r="W72" s="5" t="n"/>
      <c r="X72" s="5" t="inlineStr">
        <is>
          <t>Source publishes a specialist/sub-contract all-in rate; no labour/plant/material build-up exists to derive from.</t>
        </is>
      </c>
    </row>
    <row r="73" ht="13" customHeight="1">
      <c r="A73" s="4" t="n">
        <v>214</v>
      </c>
      <c r="B73" s="5" t="inlineStr">
        <is>
          <t>IMG_0067</t>
        </is>
      </c>
      <c r="C73" s="5" t="inlineStr">
        <is>
          <t>CLASS B: GROUND INVESTIGATION</t>
        </is>
      </c>
      <c r="D73" s="5" t="inlineStr">
        <is>
          <t>07 LABORATORY TESTS</t>
        </is>
      </c>
      <c r="E73" s="5" t="inlineStr">
        <is>
          <t>Compaction</t>
        </is>
      </c>
      <c r="F73" s="5" t="inlineStr">
        <is>
          <t>vibratory</t>
        </is>
      </c>
      <c r="G73" s="6" t="inlineStr">
        <is>
          <t>nr</t>
        </is>
      </c>
      <c r="H73" s="7" t="n"/>
      <c r="I73" s="8" t="n">
        <v>0</v>
      </c>
      <c r="J73" s="8" t="n">
        <v>0</v>
      </c>
      <c r="K73" s="8" t="n">
        <v>0</v>
      </c>
      <c r="L73" s="8" t="n">
        <v>215.95</v>
      </c>
      <c r="M73" s="9">
        <f>ROUND(SUM(I73:L73),2)</f>
        <v/>
      </c>
      <c r="N73" s="10">
        <f>ROUND(I73*'Irish Basis'!$C$6*'Irish Basis'!$C$5,2)</f>
        <v/>
      </c>
      <c r="O73" s="10">
        <f>ROUND(J73*'Irish Basis'!$C$7*'Irish Basis'!$C$5,2)</f>
        <v/>
      </c>
      <c r="P73" s="10">
        <f>ROUND(K73*'Irish Basis'!$C$8*'Irish Basis'!$C$5,2)</f>
        <v/>
      </c>
      <c r="Q73" s="10">
        <f>ROUND(L73*'Irish Basis'!$C$12*'Irish Basis'!$C$5,2)</f>
        <v/>
      </c>
      <c r="R73" s="11">
        <f>ROUND(SUM(N73:Q73),2)</f>
        <v/>
      </c>
      <c r="S73" s="5" t="inlineStr">
        <is>
          <t>All-in specialist rate</t>
        </is>
      </c>
      <c r="T73" s="14" t="inlineStr">
        <is>
          <t>All-in (not split)</t>
        </is>
      </c>
      <c r="U73" s="8" t="n">
        <v>215.95</v>
      </c>
      <c r="V73" s="13">
        <f>IF(U73="","",ROUND(M73-U73,2))</f>
        <v/>
      </c>
      <c r="W73" s="5" t="n"/>
      <c r="X73" s="5" t="inlineStr">
        <is>
          <t>Source publishes a specialist/sub-contract all-in rate; no labour/plant/material build-up exists to derive from.</t>
        </is>
      </c>
    </row>
    <row r="74" ht="13" customHeight="1">
      <c r="A74" s="4" t="n">
        <v>216</v>
      </c>
      <c r="B74" s="5" t="inlineStr">
        <is>
          <t>IMG_0067</t>
        </is>
      </c>
      <c r="C74" s="5" t="inlineStr">
        <is>
          <t>CLASS B: GROUND INVESTIGATION</t>
        </is>
      </c>
      <c r="D74" s="5" t="inlineStr">
        <is>
          <t>07 LABORATORY TESTS</t>
        </is>
      </c>
      <c r="E74" s="5" t="inlineStr">
        <is>
          <t>Permeability</t>
        </is>
      </c>
      <c r="F74" s="5" t="inlineStr">
        <is>
          <t>falling head</t>
        </is>
      </c>
      <c r="G74" s="6" t="inlineStr">
        <is>
          <t>nr</t>
        </is>
      </c>
      <c r="H74" s="7" t="n"/>
      <c r="I74" s="8" t="n">
        <v>0</v>
      </c>
      <c r="J74" s="8" t="n">
        <v>0</v>
      </c>
      <c r="K74" s="8" t="n">
        <v>0</v>
      </c>
      <c r="L74" s="8" t="n">
        <v>89.36</v>
      </c>
      <c r="M74" s="9">
        <f>ROUND(SUM(I74:L74),2)</f>
        <v/>
      </c>
      <c r="N74" s="10">
        <f>ROUND(I74*'Irish Basis'!$C$6*'Irish Basis'!$C$5,2)</f>
        <v/>
      </c>
      <c r="O74" s="10">
        <f>ROUND(J74*'Irish Basis'!$C$7*'Irish Basis'!$C$5,2)</f>
        <v/>
      </c>
      <c r="P74" s="10">
        <f>ROUND(K74*'Irish Basis'!$C$8*'Irish Basis'!$C$5,2)</f>
        <v/>
      </c>
      <c r="Q74" s="10">
        <f>ROUND(L74*'Irish Basis'!$C$12*'Irish Basis'!$C$5,2)</f>
        <v/>
      </c>
      <c r="R74" s="11">
        <f>ROUND(SUM(N74:Q74),2)</f>
        <v/>
      </c>
      <c r="S74" s="5" t="inlineStr">
        <is>
          <t>All-in specialist rate</t>
        </is>
      </c>
      <c r="T74" s="14" t="inlineStr">
        <is>
          <t>All-in (not split)</t>
        </is>
      </c>
      <c r="U74" s="8" t="n">
        <v>89.36</v>
      </c>
      <c r="V74" s="13">
        <f>IF(U74="","",ROUND(M74-U74,2))</f>
        <v/>
      </c>
      <c r="W74" s="5" t="n"/>
      <c r="X74" s="5" t="inlineStr">
        <is>
          <t>Source publishes a specialist/sub-contract all-in rate; no labour/plant/material build-up exists to derive from.</t>
        </is>
      </c>
    </row>
    <row r="75" ht="13" customHeight="1">
      <c r="A75" s="4" t="n">
        <v>219</v>
      </c>
      <c r="B75" s="5" t="inlineStr">
        <is>
          <t>IMG_0068</t>
        </is>
      </c>
      <c r="C75" s="5" t="inlineStr">
        <is>
          <t>CLASS B: GROUND INVESTIGATION</t>
        </is>
      </c>
      <c r="D75" s="5" t="inlineStr">
        <is>
          <t>07 LABORATORY TESTS</t>
        </is>
      </c>
      <c r="E75" s="5" t="inlineStr">
        <is>
          <t>Soil strength (continued)</t>
        </is>
      </c>
      <c r="F75" s="5" t="inlineStr">
        <is>
          <t>quick undrained triaxial; set of three 38 mm dia. specimens</t>
        </is>
      </c>
      <c r="G75" s="6" t="inlineStr">
        <is>
          <t>nr</t>
        </is>
      </c>
      <c r="H75" s="7" t="n"/>
      <c r="I75" s="8" t="n">
        <v>0</v>
      </c>
      <c r="J75" s="8" t="n">
        <v>0</v>
      </c>
      <c r="K75" s="8" t="n">
        <v>0</v>
      </c>
      <c r="L75" s="8" t="n">
        <v>44.67</v>
      </c>
      <c r="M75" s="9">
        <f>ROUND(SUM(I75:L75),2)</f>
        <v/>
      </c>
      <c r="N75" s="10">
        <f>ROUND(I75*'Irish Basis'!$C$6*'Irish Basis'!$C$5,2)</f>
        <v/>
      </c>
      <c r="O75" s="10">
        <f>ROUND(J75*'Irish Basis'!$C$7*'Irish Basis'!$C$5,2)</f>
        <v/>
      </c>
      <c r="P75" s="10">
        <f>ROUND(K75*'Irish Basis'!$C$8*'Irish Basis'!$C$5,2)</f>
        <v/>
      </c>
      <c r="Q75" s="10">
        <f>ROUND(L75*'Irish Basis'!$C$12*'Irish Basis'!$C$5,2)</f>
        <v/>
      </c>
      <c r="R75" s="11">
        <f>ROUND(SUM(N75:Q75),2)</f>
        <v/>
      </c>
      <c r="S75" s="5" t="inlineStr">
        <is>
          <t>All-in specialist rate</t>
        </is>
      </c>
      <c r="T75" s="14" t="inlineStr">
        <is>
          <t>All-in (not split)</t>
        </is>
      </c>
      <c r="U75" s="8" t="n">
        <v>44.67</v>
      </c>
      <c r="V75" s="13">
        <f>IF(U75="","",ROUND(M75-U75,2))</f>
        <v/>
      </c>
      <c r="W75" s="5" t="n"/>
      <c r="X75" s="5" t="inlineStr">
        <is>
          <t>Source publishes a specialist/sub-contract all-in rate; no labour/plant/material build-up exists to derive from.</t>
        </is>
      </c>
    </row>
    <row r="76" ht="13" customHeight="1">
      <c r="A76" s="4" t="n">
        <v>220</v>
      </c>
      <c r="B76" s="5" t="inlineStr">
        <is>
          <t>IMG_0068</t>
        </is>
      </c>
      <c r="C76" s="5" t="inlineStr">
        <is>
          <t>CLASS B: GROUND INVESTIGATION</t>
        </is>
      </c>
      <c r="D76" s="5" t="inlineStr">
        <is>
          <t>07 LABORATORY TESTS</t>
        </is>
      </c>
      <c r="E76" s="5" t="inlineStr">
        <is>
          <t>Soil strength (continued)</t>
        </is>
      </c>
      <c r="F76" s="5" t="inlineStr">
        <is>
          <t>shear box; peak only; size of shearbox 100 x 100 mm</t>
        </is>
      </c>
      <c r="G76" s="6" t="inlineStr">
        <is>
          <t>nr</t>
        </is>
      </c>
      <c r="H76" s="7" t="n"/>
      <c r="I76" s="8" t="n">
        <v>0</v>
      </c>
      <c r="J76" s="8" t="n">
        <v>0</v>
      </c>
      <c r="K76" s="8" t="n">
        <v>0</v>
      </c>
      <c r="L76" s="8" t="n">
        <v>55.84</v>
      </c>
      <c r="M76" s="9">
        <f>ROUND(SUM(I76:L76),2)</f>
        <v/>
      </c>
      <c r="N76" s="10">
        <f>ROUND(I76*'Irish Basis'!$C$6*'Irish Basis'!$C$5,2)</f>
        <v/>
      </c>
      <c r="O76" s="10">
        <f>ROUND(J76*'Irish Basis'!$C$7*'Irish Basis'!$C$5,2)</f>
        <v/>
      </c>
      <c r="P76" s="10">
        <f>ROUND(K76*'Irish Basis'!$C$8*'Irish Basis'!$C$5,2)</f>
        <v/>
      </c>
      <c r="Q76" s="10">
        <f>ROUND(L76*'Irish Basis'!$C$12*'Irish Basis'!$C$5,2)</f>
        <v/>
      </c>
      <c r="R76" s="11">
        <f>ROUND(SUM(N76:Q76),2)</f>
        <v/>
      </c>
      <c r="S76" s="5" t="inlineStr">
        <is>
          <t>All-in specialist rate</t>
        </is>
      </c>
      <c r="T76" s="14" t="inlineStr">
        <is>
          <t>All-in (not split)</t>
        </is>
      </c>
      <c r="U76" s="8" t="n">
        <v>55.84</v>
      </c>
      <c r="V76" s="13">
        <f>IF(U76="","",ROUND(M76-U76,2))</f>
        <v/>
      </c>
      <c r="W76" s="5" t="n"/>
      <c r="X76" s="5" t="inlineStr">
        <is>
          <t>Source publishes a specialist/sub-contract all-in rate; no labour/plant/material build-up exists to derive from.</t>
        </is>
      </c>
    </row>
    <row r="77" ht="13" customHeight="1">
      <c r="A77" s="4" t="n">
        <v>221</v>
      </c>
      <c r="B77" s="5" t="inlineStr">
        <is>
          <t>IMG_0068</t>
        </is>
      </c>
      <c r="C77" s="5" t="inlineStr">
        <is>
          <t>CLASS B: GROUND INVESTIGATION</t>
        </is>
      </c>
      <c r="D77" s="5" t="inlineStr">
        <is>
          <t>07 LABORATORY TESTS</t>
        </is>
      </c>
      <c r="E77" s="5" t="inlineStr">
        <is>
          <t>Soil strength (continued)</t>
        </is>
      </c>
      <c r="F77" s="5" t="inlineStr">
        <is>
          <t>California bearing ratio; typical</t>
        </is>
      </c>
      <c r="G77" s="6" t="inlineStr">
        <is>
          <t>nr</t>
        </is>
      </c>
      <c r="H77" s="7" t="n"/>
      <c r="I77" s="8" t="n">
        <v>0</v>
      </c>
      <c r="J77" s="8" t="n">
        <v>0</v>
      </c>
      <c r="K77" s="8" t="n">
        <v>0</v>
      </c>
      <c r="L77" s="8" t="n">
        <v>65.53</v>
      </c>
      <c r="M77" s="9">
        <f>ROUND(SUM(I77:L77),2)</f>
        <v/>
      </c>
      <c r="N77" s="10">
        <f>ROUND(I77*'Irish Basis'!$C$6*'Irish Basis'!$C$5,2)</f>
        <v/>
      </c>
      <c r="O77" s="10">
        <f>ROUND(J77*'Irish Basis'!$C$7*'Irish Basis'!$C$5,2)</f>
        <v/>
      </c>
      <c r="P77" s="10">
        <f>ROUND(K77*'Irish Basis'!$C$8*'Irish Basis'!$C$5,2)</f>
        <v/>
      </c>
      <c r="Q77" s="10">
        <f>ROUND(L77*'Irish Basis'!$C$12*'Irish Basis'!$C$5,2)</f>
        <v/>
      </c>
      <c r="R77" s="11">
        <f>ROUND(SUM(N77:Q77),2)</f>
        <v/>
      </c>
      <c r="S77" s="5" t="inlineStr">
        <is>
          <t>All-in specialist rate</t>
        </is>
      </c>
      <c r="T77" s="14" t="inlineStr">
        <is>
          <t>All-in (not split)</t>
        </is>
      </c>
      <c r="U77" s="8" t="n">
        <v>65.53</v>
      </c>
      <c r="V77" s="13">
        <f>IF(U77="","",ROUND(M77-U77,2))</f>
        <v/>
      </c>
      <c r="W77" s="5" t="n"/>
      <c r="X77" s="5" t="inlineStr">
        <is>
          <t>Source publishes a specialist/sub-contract all-in rate; no labour/plant/material build-up exists to derive from.</t>
        </is>
      </c>
    </row>
    <row r="78" ht="13" customHeight="1">
      <c r="A78" s="4" t="n">
        <v>223</v>
      </c>
      <c r="B78" s="5" t="inlineStr">
        <is>
          <t>IMG_0068</t>
        </is>
      </c>
      <c r="C78" s="5" t="inlineStr">
        <is>
          <t>CLASS B: GROUND INVESTIGATION</t>
        </is>
      </c>
      <c r="D78" s="5" t="inlineStr">
        <is>
          <t>07 LABORATORY TESTS</t>
        </is>
      </c>
      <c r="E78" s="5" t="inlineStr">
        <is>
          <t>Rock strength</t>
        </is>
      </c>
      <c r="F78" s="5" t="inlineStr">
        <is>
          <t>point load test; minimum 5 kg sample</t>
        </is>
      </c>
      <c r="G78" s="6" t="inlineStr">
        <is>
          <t>nr</t>
        </is>
      </c>
      <c r="H78" s="7" t="n"/>
      <c r="I78" s="8" t="n">
        <v>0</v>
      </c>
      <c r="J78" s="8" t="n">
        <v>0</v>
      </c>
      <c r="K78" s="8" t="n">
        <v>0</v>
      </c>
      <c r="L78" s="8" t="n">
        <v>96.23</v>
      </c>
      <c r="M78" s="9">
        <f>ROUND(SUM(I78:L78),2)</f>
        <v/>
      </c>
      <c r="N78" s="10">
        <f>ROUND(I78*'Irish Basis'!$C$6*'Irish Basis'!$C$5,2)</f>
        <v/>
      </c>
      <c r="O78" s="10">
        <f>ROUND(J78*'Irish Basis'!$C$7*'Irish Basis'!$C$5,2)</f>
        <v/>
      </c>
      <c r="P78" s="10">
        <f>ROUND(K78*'Irish Basis'!$C$8*'Irish Basis'!$C$5,2)</f>
        <v/>
      </c>
      <c r="Q78" s="10">
        <f>ROUND(L78*'Irish Basis'!$C$12*'Irish Basis'!$C$5,2)</f>
        <v/>
      </c>
      <c r="R78" s="11">
        <f>ROUND(SUM(N78:Q78),2)</f>
        <v/>
      </c>
      <c r="S78" s="5" t="inlineStr">
        <is>
          <t>All-in specialist rate</t>
        </is>
      </c>
      <c r="T78" s="14" t="inlineStr">
        <is>
          <t>All-in (not split)</t>
        </is>
      </c>
      <c r="U78" s="8" t="n">
        <v>96.23</v>
      </c>
      <c r="V78" s="13">
        <f>IF(U78="","",ROUND(M78-U78,2))</f>
        <v/>
      </c>
      <c r="W78" s="5" t="n"/>
      <c r="X78" s="5" t="inlineStr">
        <is>
          <t>Source publishes a specialist/sub-contract all-in rate; no labour/plant/material build-up exists to derive from.</t>
        </is>
      </c>
    </row>
    <row r="79" ht="13" customHeight="1">
      <c r="A79" s="4" t="n">
        <v>226</v>
      </c>
      <c r="B79" s="5" t="inlineStr">
        <is>
          <t>IMG_0068</t>
        </is>
      </c>
      <c r="C79" s="5" t="inlineStr">
        <is>
          <t>CLASS B: GROUND INVESTIGATION</t>
        </is>
      </c>
      <c r="D79" s="5" t="inlineStr">
        <is>
          <t>08 PROFESSIONAL SERVICES</t>
        </is>
      </c>
      <c r="E79" s="5" t="inlineStr">
        <is>
          <t>General</t>
        </is>
      </c>
      <c r="F79" s="5" t="inlineStr">
        <is>
          <t>Technician</t>
        </is>
      </c>
      <c r="G79" s="6" t="inlineStr">
        <is>
          <t>hr</t>
        </is>
      </c>
      <c r="H79" s="7" t="n"/>
      <c r="I79" s="8" t="n">
        <v>0</v>
      </c>
      <c r="J79" s="8" t="n">
        <v>0</v>
      </c>
      <c r="K79" s="8" t="n">
        <v>0</v>
      </c>
      <c r="L79" s="8" t="n">
        <v>61.31</v>
      </c>
      <c r="M79" s="9">
        <f>ROUND(SUM(I79:L79),2)</f>
        <v/>
      </c>
      <c r="N79" s="10">
        <f>ROUND(I79*'Irish Basis'!$C$6*'Irish Basis'!$C$5,2)</f>
        <v/>
      </c>
      <c r="O79" s="10">
        <f>ROUND(J79*'Irish Basis'!$C$7*'Irish Basis'!$C$5,2)</f>
        <v/>
      </c>
      <c r="P79" s="10">
        <f>ROUND(K79*'Irish Basis'!$C$8*'Irish Basis'!$C$5,2)</f>
        <v/>
      </c>
      <c r="Q79" s="10">
        <f>ROUND(L79*'Irish Basis'!$C$12*'Irish Basis'!$C$5,2)</f>
        <v/>
      </c>
      <c r="R79" s="11">
        <f>ROUND(SUM(N79:Q79),2)</f>
        <v/>
      </c>
      <c r="S79" s="5" t="inlineStr">
        <is>
          <t>All-in specialist rate</t>
        </is>
      </c>
      <c r="T79" s="14" t="inlineStr">
        <is>
          <t>All-in (not split)</t>
        </is>
      </c>
      <c r="U79" s="8" t="n">
        <v>61.31</v>
      </c>
      <c r="V79" s="13">
        <f>IF(U79="","",ROUND(M79-U79,2))</f>
        <v/>
      </c>
      <c r="W79" s="5" t="n"/>
      <c r="X79" s="5" t="inlineStr">
        <is>
          <t>Source publishes a specialist/sub-contract all-in rate; no labour/plant/material build-up exists to derive from.</t>
        </is>
      </c>
    </row>
    <row r="80" ht="13" customHeight="1">
      <c r="A80" s="4" t="n">
        <v>227</v>
      </c>
      <c r="B80" s="5" t="inlineStr">
        <is>
          <t>IMG_0068</t>
        </is>
      </c>
      <c r="C80" s="5" t="inlineStr">
        <is>
          <t>CLASS B: GROUND INVESTIGATION</t>
        </is>
      </c>
      <c r="D80" s="5" t="inlineStr">
        <is>
          <t>08 PROFESSIONAL SERVICES</t>
        </is>
      </c>
      <c r="E80" s="5" t="inlineStr">
        <is>
          <t>General</t>
        </is>
      </c>
      <c r="F80" s="5" t="inlineStr">
        <is>
          <t>Technician engineer</t>
        </is>
      </c>
      <c r="G80" s="6" t="inlineStr">
        <is>
          <t>hr</t>
        </is>
      </c>
      <c r="H80" s="7" t="n"/>
      <c r="I80" s="8" t="n">
        <v>0</v>
      </c>
      <c r="J80" s="8" t="n">
        <v>0</v>
      </c>
      <c r="K80" s="8" t="n">
        <v>0</v>
      </c>
      <c r="L80" s="8" t="n">
        <v>84.09999999999999</v>
      </c>
      <c r="M80" s="9">
        <f>ROUND(SUM(I80:L80),2)</f>
        <v/>
      </c>
      <c r="N80" s="10">
        <f>ROUND(I80*'Irish Basis'!$C$6*'Irish Basis'!$C$5,2)</f>
        <v/>
      </c>
      <c r="O80" s="10">
        <f>ROUND(J80*'Irish Basis'!$C$7*'Irish Basis'!$C$5,2)</f>
        <v/>
      </c>
      <c r="P80" s="10">
        <f>ROUND(K80*'Irish Basis'!$C$8*'Irish Basis'!$C$5,2)</f>
        <v/>
      </c>
      <c r="Q80" s="10">
        <f>ROUND(L80*'Irish Basis'!$C$12*'Irish Basis'!$C$5,2)</f>
        <v/>
      </c>
      <c r="R80" s="11">
        <f>ROUND(SUM(N80:Q80),2)</f>
        <v/>
      </c>
      <c r="S80" s="5" t="inlineStr">
        <is>
          <t>All-in specialist rate</t>
        </is>
      </c>
      <c r="T80" s="14" t="inlineStr">
        <is>
          <t>All-in (not split)</t>
        </is>
      </c>
      <c r="U80" s="8" t="n">
        <v>84.09999999999999</v>
      </c>
      <c r="V80" s="13">
        <f>IF(U80="","",ROUND(M80-U80,2))</f>
        <v/>
      </c>
      <c r="W80" s="5" t="n"/>
      <c r="X80" s="5" t="inlineStr">
        <is>
          <t>Source publishes a specialist/sub-contract all-in rate; no labour/plant/material build-up exists to derive from.</t>
        </is>
      </c>
    </row>
    <row r="81" ht="13" customHeight="1">
      <c r="A81" s="4" t="n">
        <v>229</v>
      </c>
      <c r="B81" s="5" t="inlineStr">
        <is>
          <t>IMG_0068</t>
        </is>
      </c>
      <c r="C81" s="5" t="inlineStr">
        <is>
          <t>CLASS B: GROUND INVESTIGATION</t>
        </is>
      </c>
      <c r="D81" s="5" t="inlineStr">
        <is>
          <t>08 PROFESSIONAL SERVICES</t>
        </is>
      </c>
      <c r="E81" s="5" t="inlineStr">
        <is>
          <t>Engineer or geologist</t>
        </is>
      </c>
      <c r="F81" s="5" t="inlineStr">
        <is>
          <t>graduate</t>
        </is>
      </c>
      <c r="G81" s="6" t="inlineStr">
        <is>
          <t>hr</t>
        </is>
      </c>
      <c r="H81" s="7" t="n"/>
      <c r="I81" s="8" t="n">
        <v>0</v>
      </c>
      <c r="J81" s="8" t="n">
        <v>0</v>
      </c>
      <c r="K81" s="8" t="n">
        <v>0</v>
      </c>
      <c r="L81" s="8" t="n">
        <v>84.09999999999999</v>
      </c>
      <c r="M81" s="9">
        <f>ROUND(SUM(I81:L81),2)</f>
        <v/>
      </c>
      <c r="N81" s="10">
        <f>ROUND(I81*'Irish Basis'!$C$6*'Irish Basis'!$C$5,2)</f>
        <v/>
      </c>
      <c r="O81" s="10">
        <f>ROUND(J81*'Irish Basis'!$C$7*'Irish Basis'!$C$5,2)</f>
        <v/>
      </c>
      <c r="P81" s="10">
        <f>ROUND(K81*'Irish Basis'!$C$8*'Irish Basis'!$C$5,2)</f>
        <v/>
      </c>
      <c r="Q81" s="10">
        <f>ROUND(L81*'Irish Basis'!$C$12*'Irish Basis'!$C$5,2)</f>
        <v/>
      </c>
      <c r="R81" s="11">
        <f>ROUND(SUM(N81:Q81),2)</f>
        <v/>
      </c>
      <c r="S81" s="5" t="inlineStr">
        <is>
          <t>All-in specialist rate</t>
        </is>
      </c>
      <c r="T81" s="14" t="inlineStr">
        <is>
          <t>All-in (not split)</t>
        </is>
      </c>
      <c r="U81" s="8" t="n">
        <v>84.09999999999999</v>
      </c>
      <c r="V81" s="13">
        <f>IF(U81="","",ROUND(M81-U81,2))</f>
        <v/>
      </c>
      <c r="W81" s="5" t="n"/>
      <c r="X81" s="5" t="inlineStr">
        <is>
          <t>Source publishes a specialist/sub-contract all-in rate; no labour/plant/material build-up exists to derive from.</t>
        </is>
      </c>
    </row>
    <row r="82" ht="13" customHeight="1">
      <c r="A82" s="4" t="n">
        <v>230</v>
      </c>
      <c r="B82" s="5" t="inlineStr">
        <is>
          <t>IMG_0068</t>
        </is>
      </c>
      <c r="C82" s="5" t="inlineStr">
        <is>
          <t>CLASS B: GROUND INVESTIGATION</t>
        </is>
      </c>
      <c r="D82" s="5" t="inlineStr">
        <is>
          <t>08 PROFESSIONAL SERVICES</t>
        </is>
      </c>
      <c r="E82" s="5" t="inlineStr">
        <is>
          <t>Engineer or geologist</t>
        </is>
      </c>
      <c r="F82" s="5" t="inlineStr">
        <is>
          <t>chartered</t>
        </is>
      </c>
      <c r="G82" s="6" t="inlineStr">
        <is>
          <t>hr</t>
        </is>
      </c>
      <c r="H82" s="7" t="n"/>
      <c r="I82" s="8" t="n">
        <v>0</v>
      </c>
      <c r="J82" s="8" t="n">
        <v>0</v>
      </c>
      <c r="K82" s="8" t="n">
        <v>0</v>
      </c>
      <c r="L82" s="8" t="n">
        <v>104.28</v>
      </c>
      <c r="M82" s="9">
        <f>ROUND(SUM(I82:L82),2)</f>
        <v/>
      </c>
      <c r="N82" s="10">
        <f>ROUND(I82*'Irish Basis'!$C$6*'Irish Basis'!$C$5,2)</f>
        <v/>
      </c>
      <c r="O82" s="10">
        <f>ROUND(J82*'Irish Basis'!$C$7*'Irish Basis'!$C$5,2)</f>
        <v/>
      </c>
      <c r="P82" s="10">
        <f>ROUND(K82*'Irish Basis'!$C$8*'Irish Basis'!$C$5,2)</f>
        <v/>
      </c>
      <c r="Q82" s="10">
        <f>ROUND(L82*'Irish Basis'!$C$12*'Irish Basis'!$C$5,2)</f>
        <v/>
      </c>
      <c r="R82" s="11">
        <f>ROUND(SUM(N82:Q82),2)</f>
        <v/>
      </c>
      <c r="S82" s="5" t="inlineStr">
        <is>
          <t>All-in specialist rate</t>
        </is>
      </c>
      <c r="T82" s="14" t="inlineStr">
        <is>
          <t>All-in (not split)</t>
        </is>
      </c>
      <c r="U82" s="8" t="n">
        <v>104.28</v>
      </c>
      <c r="V82" s="13">
        <f>IF(U82="","",ROUND(M82-U82,2))</f>
        <v/>
      </c>
      <c r="W82" s="5" t="n"/>
      <c r="X82" s="5" t="inlineStr">
        <is>
          <t>Source publishes a specialist/sub-contract all-in rate; no labour/plant/material build-up exists to derive from.</t>
        </is>
      </c>
    </row>
    <row r="83" ht="13" customHeight="1">
      <c r="A83" s="4" t="n">
        <v>231</v>
      </c>
      <c r="B83" s="5" t="inlineStr">
        <is>
          <t>IMG_0068</t>
        </is>
      </c>
      <c r="C83" s="5" t="inlineStr">
        <is>
          <t>CLASS B: GROUND INVESTIGATION</t>
        </is>
      </c>
      <c r="D83" s="5" t="inlineStr">
        <is>
          <t>08 PROFESSIONAL SERVICES</t>
        </is>
      </c>
      <c r="E83" s="5" t="inlineStr">
        <is>
          <t>Engineer or geologist</t>
        </is>
      </c>
      <c r="F83" s="5" t="inlineStr">
        <is>
          <t>principal or consultant</t>
        </is>
      </c>
      <c r="G83" s="6" t="inlineStr">
        <is>
          <t>hr</t>
        </is>
      </c>
      <c r="H83" s="7" t="n"/>
      <c r="I83" s="8" t="n">
        <v>0</v>
      </c>
      <c r="J83" s="8" t="n">
        <v>0</v>
      </c>
      <c r="K83" s="8" t="n">
        <v>0</v>
      </c>
      <c r="L83" s="8" t="n">
        <v>139.71</v>
      </c>
      <c r="M83" s="9">
        <f>ROUND(SUM(I83:L83),2)</f>
        <v/>
      </c>
      <c r="N83" s="10">
        <f>ROUND(I83*'Irish Basis'!$C$6*'Irish Basis'!$C$5,2)</f>
        <v/>
      </c>
      <c r="O83" s="10">
        <f>ROUND(J83*'Irish Basis'!$C$7*'Irish Basis'!$C$5,2)</f>
        <v/>
      </c>
      <c r="P83" s="10">
        <f>ROUND(K83*'Irish Basis'!$C$8*'Irish Basis'!$C$5,2)</f>
        <v/>
      </c>
      <c r="Q83" s="10">
        <f>ROUND(L83*'Irish Basis'!$C$12*'Irish Basis'!$C$5,2)</f>
        <v/>
      </c>
      <c r="R83" s="11">
        <f>ROUND(SUM(N83:Q83),2)</f>
        <v/>
      </c>
      <c r="S83" s="5" t="inlineStr">
        <is>
          <t>All-in specialist rate</t>
        </is>
      </c>
      <c r="T83" s="14" t="inlineStr">
        <is>
          <t>All-in (not split)</t>
        </is>
      </c>
      <c r="U83" s="8" t="n">
        <v>139.71</v>
      </c>
      <c r="V83" s="13">
        <f>IF(U83="","",ROUND(M83-U83,2))</f>
        <v/>
      </c>
      <c r="W83" s="5" t="n"/>
      <c r="X83" s="5" t="inlineStr">
        <is>
          <t>Source publishes a specialist/sub-contract all-in rate; no labour/plant/material build-up exists to derive from.</t>
        </is>
      </c>
    </row>
    <row r="84" ht="13" customHeight="1">
      <c r="A84" s="4" t="n">
        <v>233</v>
      </c>
      <c r="B84" s="5" t="inlineStr">
        <is>
          <t>IMG_0068</t>
        </is>
      </c>
      <c r="C84" s="5" t="inlineStr">
        <is>
          <t>CLASS B: GROUND INVESTIGATION</t>
        </is>
      </c>
      <c r="D84" s="5" t="inlineStr">
        <is>
          <t>08 PROFESSIONAL SERVICES</t>
        </is>
      </c>
      <c r="E84" s="5" t="inlineStr">
        <is>
          <t>Visits to the Site</t>
        </is>
      </c>
      <c r="F84" s="5" t="inlineStr">
        <is>
          <t>technician</t>
        </is>
      </c>
      <c r="G84" s="6" t="inlineStr">
        <is>
          <t>nr</t>
        </is>
      </c>
      <c r="H84" s="7" t="n"/>
      <c r="I84" s="8" t="n">
        <v>0</v>
      </c>
      <c r="J84" s="8" t="n">
        <v>0</v>
      </c>
      <c r="K84" s="8" t="n">
        <v>0</v>
      </c>
      <c r="L84" s="8" t="n">
        <v>61.31</v>
      </c>
      <c r="M84" s="9">
        <f>ROUND(SUM(I84:L84),2)</f>
        <v/>
      </c>
      <c r="N84" s="10">
        <f>ROUND(I84*'Irish Basis'!$C$6*'Irish Basis'!$C$5,2)</f>
        <v/>
      </c>
      <c r="O84" s="10">
        <f>ROUND(J84*'Irish Basis'!$C$7*'Irish Basis'!$C$5,2)</f>
        <v/>
      </c>
      <c r="P84" s="10">
        <f>ROUND(K84*'Irish Basis'!$C$8*'Irish Basis'!$C$5,2)</f>
        <v/>
      </c>
      <c r="Q84" s="10">
        <f>ROUND(L84*'Irish Basis'!$C$12*'Irish Basis'!$C$5,2)</f>
        <v/>
      </c>
      <c r="R84" s="11">
        <f>ROUND(SUM(N84:Q84),2)</f>
        <v/>
      </c>
      <c r="S84" s="5" t="inlineStr">
        <is>
          <t>All-in specialist rate</t>
        </is>
      </c>
      <c r="T84" s="14" t="inlineStr">
        <is>
          <t>All-in (not split)</t>
        </is>
      </c>
      <c r="U84" s="8" t="n">
        <v>61.31</v>
      </c>
      <c r="V84" s="13">
        <f>IF(U84="","",ROUND(M84-U84,2))</f>
        <v/>
      </c>
      <c r="W84" s="5" t="n"/>
      <c r="X84" s="5" t="inlineStr">
        <is>
          <t>Source publishes a specialist/sub-contract all-in rate; no labour/plant/material build-up exists to derive from.</t>
        </is>
      </c>
    </row>
    <row r="85" ht="13" customHeight="1">
      <c r="A85" s="4" t="n">
        <v>234</v>
      </c>
      <c r="B85" s="5" t="inlineStr">
        <is>
          <t>IMG_0068</t>
        </is>
      </c>
      <c r="C85" s="5" t="inlineStr">
        <is>
          <t>CLASS B: GROUND INVESTIGATION</t>
        </is>
      </c>
      <c r="D85" s="5" t="inlineStr">
        <is>
          <t>08 PROFESSIONAL SERVICES</t>
        </is>
      </c>
      <c r="E85" s="5" t="inlineStr">
        <is>
          <t>Visits to the Site</t>
        </is>
      </c>
      <c r="F85" s="5" t="inlineStr">
        <is>
          <t>technician engineer/graduate engineer or geologist</t>
        </is>
      </c>
      <c r="G85" s="6" t="inlineStr">
        <is>
          <t>nr</t>
        </is>
      </c>
      <c r="H85" s="7" t="n"/>
      <c r="I85" s="8" t="n">
        <v>0</v>
      </c>
      <c r="J85" s="8" t="n">
        <v>0</v>
      </c>
      <c r="K85" s="8" t="n">
        <v>0</v>
      </c>
      <c r="L85" s="8" t="n">
        <v>84.09999999999999</v>
      </c>
      <c r="M85" s="9">
        <f>ROUND(SUM(I85:L85),2)</f>
        <v/>
      </c>
      <c r="N85" s="10">
        <f>ROUND(I85*'Irish Basis'!$C$6*'Irish Basis'!$C$5,2)</f>
        <v/>
      </c>
      <c r="O85" s="10">
        <f>ROUND(J85*'Irish Basis'!$C$7*'Irish Basis'!$C$5,2)</f>
        <v/>
      </c>
      <c r="P85" s="10">
        <f>ROUND(K85*'Irish Basis'!$C$8*'Irish Basis'!$C$5,2)</f>
        <v/>
      </c>
      <c r="Q85" s="10">
        <f>ROUND(L85*'Irish Basis'!$C$12*'Irish Basis'!$C$5,2)</f>
        <v/>
      </c>
      <c r="R85" s="11">
        <f>ROUND(SUM(N85:Q85),2)</f>
        <v/>
      </c>
      <c r="S85" s="5" t="inlineStr">
        <is>
          <t>All-in specialist rate</t>
        </is>
      </c>
      <c r="T85" s="14" t="inlineStr">
        <is>
          <t>All-in (not split)</t>
        </is>
      </c>
      <c r="U85" s="8" t="n">
        <v>84.09999999999999</v>
      </c>
      <c r="V85" s="13">
        <f>IF(U85="","",ROUND(M85-U85,2))</f>
        <v/>
      </c>
      <c r="W85" s="5" t="n"/>
      <c r="X85" s="5" t="inlineStr">
        <is>
          <t>Source publishes a specialist/sub-contract all-in rate; no labour/plant/material build-up exists to derive from.</t>
        </is>
      </c>
    </row>
    <row r="86" ht="13" customHeight="1">
      <c r="A86" s="4" t="n">
        <v>235</v>
      </c>
      <c r="B86" s="5" t="inlineStr">
        <is>
          <t>IMG_0068</t>
        </is>
      </c>
      <c r="C86" s="5" t="inlineStr">
        <is>
          <t>CLASS B: GROUND INVESTIGATION</t>
        </is>
      </c>
      <c r="D86" s="5" t="inlineStr">
        <is>
          <t>08 PROFESSIONAL SERVICES</t>
        </is>
      </c>
      <c r="E86" s="5" t="inlineStr">
        <is>
          <t>Visits to the Site</t>
        </is>
      </c>
      <c r="F86" s="5" t="inlineStr">
        <is>
          <t>chartered engineer</t>
        </is>
      </c>
      <c r="G86" s="6" t="inlineStr">
        <is>
          <t>nr</t>
        </is>
      </c>
      <c r="H86" s="7" t="n"/>
      <c r="I86" s="8" t="n">
        <v>0</v>
      </c>
      <c r="J86" s="8" t="n">
        <v>0</v>
      </c>
      <c r="K86" s="8" t="n">
        <v>0</v>
      </c>
      <c r="L86" s="8" t="n">
        <v>104.28</v>
      </c>
      <c r="M86" s="9">
        <f>ROUND(SUM(I86:L86),2)</f>
        <v/>
      </c>
      <c r="N86" s="10">
        <f>ROUND(I86*'Irish Basis'!$C$6*'Irish Basis'!$C$5,2)</f>
        <v/>
      </c>
      <c r="O86" s="10">
        <f>ROUND(J86*'Irish Basis'!$C$7*'Irish Basis'!$C$5,2)</f>
        <v/>
      </c>
      <c r="P86" s="10">
        <f>ROUND(K86*'Irish Basis'!$C$8*'Irish Basis'!$C$5,2)</f>
        <v/>
      </c>
      <c r="Q86" s="10">
        <f>ROUND(L86*'Irish Basis'!$C$12*'Irish Basis'!$C$5,2)</f>
        <v/>
      </c>
      <c r="R86" s="11">
        <f>ROUND(SUM(N86:Q86),2)</f>
        <v/>
      </c>
      <c r="S86" s="5" t="inlineStr">
        <is>
          <t>All-in specialist rate</t>
        </is>
      </c>
      <c r="T86" s="14" t="inlineStr">
        <is>
          <t>All-in (not split)</t>
        </is>
      </c>
      <c r="U86" s="8" t="n">
        <v>104.28</v>
      </c>
      <c r="V86" s="13">
        <f>IF(U86="","",ROUND(M86-U86,2))</f>
        <v/>
      </c>
      <c r="W86" s="5" t="n"/>
      <c r="X86" s="5" t="inlineStr">
        <is>
          <t>Source publishes a specialist/sub-contract all-in rate; no labour/plant/material build-up exists to derive from.</t>
        </is>
      </c>
    </row>
    <row r="87" ht="13" customHeight="1">
      <c r="A87" s="4" t="n">
        <v>236</v>
      </c>
      <c r="B87" s="5" t="inlineStr">
        <is>
          <t>IMG_0068</t>
        </is>
      </c>
      <c r="C87" s="5" t="inlineStr">
        <is>
          <t>CLASS B: GROUND INVESTIGATION</t>
        </is>
      </c>
      <c r="D87" s="5" t="inlineStr">
        <is>
          <t>08 PROFESSIONAL SERVICES</t>
        </is>
      </c>
      <c r="E87" s="5" t="inlineStr">
        <is>
          <t>Visits to the Site</t>
        </is>
      </c>
      <c r="F87" s="5" t="inlineStr">
        <is>
          <t>principal or consultant</t>
        </is>
      </c>
      <c r="G87" s="6" t="inlineStr">
        <is>
          <t>nr</t>
        </is>
      </c>
      <c r="H87" s="7" t="n"/>
      <c r="I87" s="8" t="n">
        <v>0</v>
      </c>
      <c r="J87" s="8" t="n">
        <v>0</v>
      </c>
      <c r="K87" s="8" t="n">
        <v>0</v>
      </c>
      <c r="L87" s="8" t="n">
        <v>139.71</v>
      </c>
      <c r="M87" s="9">
        <f>ROUND(SUM(I87:L87),2)</f>
        <v/>
      </c>
      <c r="N87" s="10">
        <f>ROUND(I87*'Irish Basis'!$C$6*'Irish Basis'!$C$5,2)</f>
        <v/>
      </c>
      <c r="O87" s="10">
        <f>ROUND(J87*'Irish Basis'!$C$7*'Irish Basis'!$C$5,2)</f>
        <v/>
      </c>
      <c r="P87" s="10">
        <f>ROUND(K87*'Irish Basis'!$C$8*'Irish Basis'!$C$5,2)</f>
        <v/>
      </c>
      <c r="Q87" s="10">
        <f>ROUND(L87*'Irish Basis'!$C$12*'Irish Basis'!$C$5,2)</f>
        <v/>
      </c>
      <c r="R87" s="11">
        <f>ROUND(SUM(N87:Q87),2)</f>
        <v/>
      </c>
      <c r="S87" s="5" t="inlineStr">
        <is>
          <t>All-in specialist rate</t>
        </is>
      </c>
      <c r="T87" s="14" t="inlineStr">
        <is>
          <t>All-in (not split)</t>
        </is>
      </c>
      <c r="U87" s="8" t="n">
        <v>139.71</v>
      </c>
      <c r="V87" s="13">
        <f>IF(U87="","",ROUND(M87-U87,2))</f>
        <v/>
      </c>
      <c r="W87" s="5" t="n"/>
      <c r="X87" s="5" t="inlineStr">
        <is>
          <t>Source publishes a specialist/sub-contract all-in rate; no labour/plant/material build-up exists to derive from.</t>
        </is>
      </c>
    </row>
    <row r="88" ht="13" customHeight="1">
      <c r="A88" s="4" t="n">
        <v>237</v>
      </c>
      <c r="B88" s="5" t="inlineStr">
        <is>
          <t>IMG_0068</t>
        </is>
      </c>
      <c r="C88" s="5" t="inlineStr">
        <is>
          <t>CLASS B: GROUND INVESTIGATION</t>
        </is>
      </c>
      <c r="D88" s="5" t="inlineStr">
        <is>
          <t>08 PROFESSIONAL SERVICES</t>
        </is>
      </c>
      <c r="E88" s="5" t="inlineStr">
        <is>
          <t>Visits to the Site</t>
        </is>
      </c>
      <c r="F88" s="5" t="inlineStr">
        <is>
          <t>Overnight stays in connection with visits to the site technician</t>
        </is>
      </c>
      <c r="G88" s="6" t="inlineStr">
        <is>
          <t>nr</t>
        </is>
      </c>
      <c r="H88" s="7" t="n"/>
      <c r="I88" s="8" t="n">
        <v>0</v>
      </c>
      <c r="J88" s="8" t="n">
        <v>0</v>
      </c>
      <c r="K88" s="8" t="n">
        <v>0</v>
      </c>
      <c r="L88" s="8" t="n">
        <v>117.19</v>
      </c>
      <c r="M88" s="9">
        <f>ROUND(SUM(I88:L88),2)</f>
        <v/>
      </c>
      <c r="N88" s="10">
        <f>ROUND(I88*'Irish Basis'!$C$6*'Irish Basis'!$C$5,2)</f>
        <v/>
      </c>
      <c r="O88" s="10">
        <f>ROUND(J88*'Irish Basis'!$C$7*'Irish Basis'!$C$5,2)</f>
        <v/>
      </c>
      <c r="P88" s="10">
        <f>ROUND(K88*'Irish Basis'!$C$8*'Irish Basis'!$C$5,2)</f>
        <v/>
      </c>
      <c r="Q88" s="10">
        <f>ROUND(L88*'Irish Basis'!$C$12*'Irish Basis'!$C$5,2)</f>
        <v/>
      </c>
      <c r="R88" s="11">
        <f>ROUND(SUM(N88:Q88),2)</f>
        <v/>
      </c>
      <c r="S88" s="5" t="inlineStr">
        <is>
          <t>All-in specialist rate</t>
        </is>
      </c>
      <c r="T88" s="14" t="inlineStr">
        <is>
          <t>All-in (not split)</t>
        </is>
      </c>
      <c r="U88" s="8" t="n">
        <v>117.19</v>
      </c>
      <c r="V88" s="13">
        <f>IF(U88="","",ROUND(M88-U88,2))</f>
        <v/>
      </c>
      <c r="W88" s="5" t="n"/>
      <c r="X88" s="5" t="inlineStr">
        <is>
          <t>Source publishes a specialist/sub-contract all-in rate; no labour/plant/material build-up exists to derive from.</t>
        </is>
      </c>
    </row>
    <row r="89" ht="13" customHeight="1">
      <c r="A89" s="4" t="n">
        <v>238</v>
      </c>
      <c r="B89" s="5" t="inlineStr">
        <is>
          <t>IMG_0068</t>
        </is>
      </c>
      <c r="C89" s="5" t="inlineStr">
        <is>
          <t>CLASS B: GROUND INVESTIGATION</t>
        </is>
      </c>
      <c r="D89" s="5" t="inlineStr">
        <is>
          <t>08 PROFESSIONAL SERVICES</t>
        </is>
      </c>
      <c r="E89" s="5" t="inlineStr">
        <is>
          <t>Visits to the Site</t>
        </is>
      </c>
      <c r="F89" s="5" t="inlineStr">
        <is>
          <t>technician engineer/graduate engineer or geologist</t>
        </is>
      </c>
      <c r="G89" s="6" t="inlineStr">
        <is>
          <t>nr</t>
        </is>
      </c>
      <c r="H89" s="7" t="n"/>
      <c r="I89" s="8" t="n">
        <v>0</v>
      </c>
      <c r="J89" s="8" t="n">
        <v>0</v>
      </c>
      <c r="K89" s="8" t="n">
        <v>0</v>
      </c>
      <c r="L89" s="8" t="n">
        <v>116.65</v>
      </c>
      <c r="M89" s="9">
        <f>ROUND(SUM(I89:L89),2)</f>
        <v/>
      </c>
      <c r="N89" s="10">
        <f>ROUND(I89*'Irish Basis'!$C$6*'Irish Basis'!$C$5,2)</f>
        <v/>
      </c>
      <c r="O89" s="10">
        <f>ROUND(J89*'Irish Basis'!$C$7*'Irish Basis'!$C$5,2)</f>
        <v/>
      </c>
      <c r="P89" s="10">
        <f>ROUND(K89*'Irish Basis'!$C$8*'Irish Basis'!$C$5,2)</f>
        <v/>
      </c>
      <c r="Q89" s="10">
        <f>ROUND(L89*'Irish Basis'!$C$12*'Irish Basis'!$C$5,2)</f>
        <v/>
      </c>
      <c r="R89" s="11">
        <f>ROUND(SUM(N89:Q89),2)</f>
        <v/>
      </c>
      <c r="S89" s="5" t="inlineStr">
        <is>
          <t>All-in specialist rate</t>
        </is>
      </c>
      <c r="T89" s="14" t="inlineStr">
        <is>
          <t>All-in (not split)</t>
        </is>
      </c>
      <c r="U89" s="8" t="n">
        <v>116.65</v>
      </c>
      <c r="V89" s="13">
        <f>IF(U89="","",ROUND(M89-U89,2))</f>
        <v/>
      </c>
      <c r="W89" s="5" t="n"/>
      <c r="X89" s="5" t="inlineStr">
        <is>
          <t>Source publishes a specialist/sub-contract all-in rate; no labour/plant/material build-up exists to derive from.</t>
        </is>
      </c>
    </row>
    <row r="90" ht="13" customHeight="1">
      <c r="A90" s="4" t="n">
        <v>239</v>
      </c>
      <c r="B90" s="5" t="inlineStr">
        <is>
          <t>IMG_0068</t>
        </is>
      </c>
      <c r="C90" s="5" t="inlineStr">
        <is>
          <t>CLASS B: GROUND INVESTIGATION</t>
        </is>
      </c>
      <c r="D90" s="5" t="inlineStr">
        <is>
          <t>08 PROFESSIONAL SERVICES</t>
        </is>
      </c>
      <c r="E90" s="5" t="inlineStr">
        <is>
          <t>Visits to the Site</t>
        </is>
      </c>
      <c r="F90" s="5" t="inlineStr">
        <is>
          <t>chartered engineer/senior geologist</t>
        </is>
      </c>
      <c r="G90" s="6" t="inlineStr">
        <is>
          <t>nr</t>
        </is>
      </c>
      <c r="H90" s="7" t="n"/>
      <c r="I90" s="8" t="n">
        <v>0</v>
      </c>
      <c r="J90" s="8" t="n">
        <v>0</v>
      </c>
      <c r="K90" s="8" t="n">
        <v>0</v>
      </c>
      <c r="L90" s="8" t="n">
        <v>151.92</v>
      </c>
      <c r="M90" s="9">
        <f>ROUND(SUM(I90:L90),2)</f>
        <v/>
      </c>
      <c r="N90" s="10">
        <f>ROUND(I90*'Irish Basis'!$C$6*'Irish Basis'!$C$5,2)</f>
        <v/>
      </c>
      <c r="O90" s="10">
        <f>ROUND(J90*'Irish Basis'!$C$7*'Irish Basis'!$C$5,2)</f>
        <v/>
      </c>
      <c r="P90" s="10">
        <f>ROUND(K90*'Irish Basis'!$C$8*'Irish Basis'!$C$5,2)</f>
        <v/>
      </c>
      <c r="Q90" s="10">
        <f>ROUND(L90*'Irish Basis'!$C$12*'Irish Basis'!$C$5,2)</f>
        <v/>
      </c>
      <c r="R90" s="11">
        <f>ROUND(SUM(N90:Q90),2)</f>
        <v/>
      </c>
      <c r="S90" s="5" t="inlineStr">
        <is>
          <t>All-in specialist rate</t>
        </is>
      </c>
      <c r="T90" s="14" t="inlineStr">
        <is>
          <t>All-in (not split)</t>
        </is>
      </c>
      <c r="U90" s="8" t="n">
        <v>151.92</v>
      </c>
      <c r="V90" s="13">
        <f>IF(U90="","",ROUND(M90-U90,2))</f>
        <v/>
      </c>
      <c r="W90" s="5" t="n"/>
      <c r="X90" s="5" t="inlineStr">
        <is>
          <t>Source publishes a specialist/sub-contract all-in rate; no labour/plant/material build-up exists to derive from.</t>
        </is>
      </c>
    </row>
    <row r="91" ht="13" customHeight="1">
      <c r="A91" s="4" t="n">
        <v>240</v>
      </c>
      <c r="B91" s="5" t="inlineStr">
        <is>
          <t>IMG_0068</t>
        </is>
      </c>
      <c r="C91" s="5" t="inlineStr">
        <is>
          <t>CLASS B: GROUND INVESTIGATION</t>
        </is>
      </c>
      <c r="D91" s="5" t="inlineStr">
        <is>
          <t>08 PROFESSIONAL SERVICES</t>
        </is>
      </c>
      <c r="E91" s="5" t="inlineStr">
        <is>
          <t>Visits to the Site</t>
        </is>
      </c>
      <c r="F91" s="5" t="inlineStr">
        <is>
          <t>principal or consultant</t>
        </is>
      </c>
      <c r="G91" s="6" t="inlineStr">
        <is>
          <t>nr</t>
        </is>
      </c>
      <c r="H91" s="7" t="n"/>
      <c r="I91" s="8" t="n">
        <v>0</v>
      </c>
      <c r="J91" s="8" t="n">
        <v>0</v>
      </c>
      <c r="K91" s="8" t="n">
        <v>0</v>
      </c>
      <c r="L91" s="8" t="n">
        <v>151.92</v>
      </c>
      <c r="M91" s="9">
        <f>ROUND(SUM(I91:L91),2)</f>
        <v/>
      </c>
      <c r="N91" s="10">
        <f>ROUND(I91*'Irish Basis'!$C$6*'Irish Basis'!$C$5,2)</f>
        <v/>
      </c>
      <c r="O91" s="10">
        <f>ROUND(J91*'Irish Basis'!$C$7*'Irish Basis'!$C$5,2)</f>
        <v/>
      </c>
      <c r="P91" s="10">
        <f>ROUND(K91*'Irish Basis'!$C$8*'Irish Basis'!$C$5,2)</f>
        <v/>
      </c>
      <c r="Q91" s="10">
        <f>ROUND(L91*'Irish Basis'!$C$12*'Irish Basis'!$C$5,2)</f>
        <v/>
      </c>
      <c r="R91" s="11">
        <f>ROUND(SUM(N91:Q91),2)</f>
        <v/>
      </c>
      <c r="S91" s="5" t="inlineStr">
        <is>
          <t>All-in specialist rate</t>
        </is>
      </c>
      <c r="T91" s="14" t="inlineStr">
        <is>
          <t>All-in (not split)</t>
        </is>
      </c>
      <c r="U91" s="8" t="n">
        <v>151.92</v>
      </c>
      <c r="V91" s="13">
        <f>IF(U91="","",ROUND(M91-U91,2))</f>
        <v/>
      </c>
      <c r="W91" s="5" t="n"/>
      <c r="X91" s="5" t="inlineStr">
        <is>
          <t>Source publishes a specialist/sub-contract all-in rate; no labour/plant/material build-up exists to derive from.</t>
        </is>
      </c>
    </row>
    <row r="92" ht="13" customHeight="1">
      <c r="A92" s="4" t="n">
        <v>245</v>
      </c>
      <c r="B92" s="5" t="inlineStr">
        <is>
          <t>IMG_0068</t>
        </is>
      </c>
      <c r="C92" s="5" t="inlineStr">
        <is>
          <t>CLASS C: GEOTECHNICAL AND OTHER SPECIALIST PROCESSES</t>
        </is>
      </c>
      <c r="D92" s="5" t="inlineStr">
        <is>
          <t>01 DRILLING FOR GROUT HOLES</t>
        </is>
      </c>
      <c r="E92" s="5" t="inlineStr"/>
      <c r="F92" s="5" t="inlineStr">
        <is>
          <t>Establishment of standard drilling plant and equipment and removal on completion</t>
        </is>
      </c>
      <c r="G92" s="6" t="inlineStr">
        <is>
          <t>item</t>
        </is>
      </c>
      <c r="H92" s="7" t="n"/>
      <c r="I92" s="8" t="n">
        <v>0</v>
      </c>
      <c r="J92" s="8" t="n">
        <v>0</v>
      </c>
      <c r="K92" s="8" t="n">
        <v>0</v>
      </c>
      <c r="L92" s="8" t="n">
        <v>16128.32</v>
      </c>
      <c r="M92" s="9">
        <f>ROUND(SUM(I92:L92),2)</f>
        <v/>
      </c>
      <c r="N92" s="10">
        <f>ROUND(I92*'Irish Basis'!$C$6*'Irish Basis'!$C$5,2)</f>
        <v/>
      </c>
      <c r="O92" s="10">
        <f>ROUND(J92*'Irish Basis'!$C$7*'Irish Basis'!$C$5,2)</f>
        <v/>
      </c>
      <c r="P92" s="10">
        <f>ROUND(K92*'Irish Basis'!$C$8*'Irish Basis'!$C$5,2)</f>
        <v/>
      </c>
      <c r="Q92" s="10">
        <f>ROUND(L92*'Irish Basis'!$C$12*'Irish Basis'!$C$5,2)</f>
        <v/>
      </c>
      <c r="R92" s="11">
        <f>ROUND(SUM(N92:Q92),2)</f>
        <v/>
      </c>
      <c r="S92" s="5" t="inlineStr">
        <is>
          <t>All-in specialist rate</t>
        </is>
      </c>
      <c r="T92" s="14" t="inlineStr">
        <is>
          <t>All-in (not split)</t>
        </is>
      </c>
      <c r="U92" s="8" t="n">
        <v>16128.32</v>
      </c>
      <c r="V92" s="13">
        <f>IF(U92="","",ROUND(M92-U92,2))</f>
        <v/>
      </c>
      <c r="W92" s="5" t="n"/>
      <c r="X92" s="5" t="inlineStr">
        <is>
          <t>Source publishes a specialist/sub-contract all-in rate; no labour/plant/material build-up exists to derive from.</t>
        </is>
      </c>
    </row>
    <row r="93" ht="13" customHeight="1">
      <c r="A93" s="4" t="n">
        <v>246</v>
      </c>
      <c r="B93" s="5" t="inlineStr">
        <is>
          <t>IMG_0068</t>
        </is>
      </c>
      <c r="C93" s="5" t="inlineStr">
        <is>
          <t>CLASS C: GEOTECHNICAL AND OTHER SPECIALIST PROCESSES</t>
        </is>
      </c>
      <c r="D93" s="5" t="inlineStr">
        <is>
          <t>01 DRILLING FOR GROUT HOLES</t>
        </is>
      </c>
      <c r="E93" s="5" t="inlineStr"/>
      <c r="F93" s="5" t="inlineStr">
        <is>
          <t>Rate per hole</t>
        </is>
      </c>
      <c r="G93" s="6" t="inlineStr">
        <is>
          <t>nr</t>
        </is>
      </c>
      <c r="H93" s="7" t="n"/>
      <c r="I93" s="8" t="n">
        <v>0</v>
      </c>
      <c r="J93" s="8" t="n">
        <v>0</v>
      </c>
      <c r="K93" s="8" t="n">
        <v>0</v>
      </c>
      <c r="L93" s="8" t="n">
        <v>161.28</v>
      </c>
      <c r="M93" s="9">
        <f>ROUND(SUM(I93:L93),2)</f>
        <v/>
      </c>
      <c r="N93" s="10">
        <f>ROUND(I93*'Irish Basis'!$C$6*'Irish Basis'!$C$5,2)</f>
        <v/>
      </c>
      <c r="O93" s="10">
        <f>ROUND(J93*'Irish Basis'!$C$7*'Irish Basis'!$C$5,2)</f>
        <v/>
      </c>
      <c r="P93" s="10">
        <f>ROUND(K93*'Irish Basis'!$C$8*'Irish Basis'!$C$5,2)</f>
        <v/>
      </c>
      <c r="Q93" s="10">
        <f>ROUND(L93*'Irish Basis'!$C$12*'Irish Basis'!$C$5,2)</f>
        <v/>
      </c>
      <c r="R93" s="11">
        <f>ROUND(SUM(N93:Q93),2)</f>
        <v/>
      </c>
      <c r="S93" s="5" t="inlineStr">
        <is>
          <t>All-in specialist rate</t>
        </is>
      </c>
      <c r="T93" s="14" t="inlineStr">
        <is>
          <t>All-in (not split)</t>
        </is>
      </c>
      <c r="U93" s="8" t="n">
        <v>161.28</v>
      </c>
      <c r="V93" s="13">
        <f>IF(U93="","",ROUND(M93-U93,2))</f>
        <v/>
      </c>
      <c r="W93" s="5" t="n"/>
      <c r="X93" s="5" t="inlineStr">
        <is>
          <t>Source publishes a specialist/sub-contract all-in rate; no labour/plant/material build-up exists to derive from.</t>
        </is>
      </c>
    </row>
    <row r="94" ht="13" customHeight="1">
      <c r="A94" s="4" t="n">
        <v>247</v>
      </c>
      <c r="B94" s="5" t="inlineStr">
        <is>
          <t>IMG_0068</t>
        </is>
      </c>
      <c r="C94" s="5" t="inlineStr">
        <is>
          <t>CLASS C: GEOTECHNICAL AND OTHER SPECIALIST PROCESSES</t>
        </is>
      </c>
      <c r="D94" s="5" t="inlineStr">
        <is>
          <t>01 DRILLING FOR GROUT HOLES</t>
        </is>
      </c>
      <c r="E94" s="5" t="inlineStr"/>
      <c r="F94" s="5" t="inlineStr">
        <is>
          <t>Standing time</t>
        </is>
      </c>
      <c r="G94" s="6" t="inlineStr">
        <is>
          <t>hour</t>
        </is>
      </c>
      <c r="H94" s="7" t="n"/>
      <c r="I94" s="8" t="n">
        <v>0</v>
      </c>
      <c r="J94" s="8" t="n">
        <v>0</v>
      </c>
      <c r="K94" s="8" t="n">
        <v>0</v>
      </c>
      <c r="L94" s="8" t="n">
        <v>351.73</v>
      </c>
      <c r="M94" s="9">
        <f>ROUND(SUM(I94:L94),2)</f>
        <v/>
      </c>
      <c r="N94" s="10">
        <f>ROUND(I94*'Irish Basis'!$C$6*'Irish Basis'!$C$5,2)</f>
        <v/>
      </c>
      <c r="O94" s="10">
        <f>ROUND(J94*'Irish Basis'!$C$7*'Irish Basis'!$C$5,2)</f>
        <v/>
      </c>
      <c r="P94" s="10">
        <f>ROUND(K94*'Irish Basis'!$C$8*'Irish Basis'!$C$5,2)</f>
        <v/>
      </c>
      <c r="Q94" s="10">
        <f>ROUND(L94*'Irish Basis'!$C$12*'Irish Basis'!$C$5,2)</f>
        <v/>
      </c>
      <c r="R94" s="11">
        <f>ROUND(SUM(N94:Q94),2)</f>
        <v/>
      </c>
      <c r="S94" s="5" t="inlineStr">
        <is>
          <t>All-in specialist rate</t>
        </is>
      </c>
      <c r="T94" s="14" t="inlineStr">
        <is>
          <t>All-in (not split)</t>
        </is>
      </c>
      <c r="U94" s="8" t="n">
        <v>351.73</v>
      </c>
      <c r="V94" s="13">
        <f>IF(U94="","",ROUND(M94-U94,2))</f>
        <v/>
      </c>
      <c r="W94" s="5" t="n"/>
      <c r="X94" s="5" t="inlineStr">
        <is>
          <t>Source publishes a specialist/sub-contract all-in rate; no labour/plant/material build-up exists to derive from.</t>
        </is>
      </c>
    </row>
    <row r="95" ht="13" customHeight="1">
      <c r="A95" s="4" t="n">
        <v>248</v>
      </c>
      <c r="B95" s="5" t="inlineStr">
        <is>
          <t>IMG_0068</t>
        </is>
      </c>
      <c r="C95" s="5" t="inlineStr">
        <is>
          <t>CLASS C: GEOTECHNICAL AND OTHER SPECIALIST PROCESSES</t>
        </is>
      </c>
      <c r="D95" s="5" t="inlineStr">
        <is>
          <t>01 DRILLING FOR GROUT HOLES</t>
        </is>
      </c>
      <c r="E95" s="5" t="inlineStr"/>
      <c r="F95" s="5" t="inlineStr">
        <is>
          <t>Multiple water pressure tests</t>
        </is>
      </c>
      <c r="G95" s="6" t="inlineStr">
        <is>
          <t>nr</t>
        </is>
      </c>
      <c r="H95" s="7" t="n"/>
      <c r="I95" s="8" t="n">
        <v>0</v>
      </c>
      <c r="J95" s="8" t="n">
        <v>0</v>
      </c>
      <c r="K95" s="8" t="n">
        <v>0</v>
      </c>
      <c r="L95" s="8" t="n">
        <v>10.76</v>
      </c>
      <c r="M95" s="9">
        <f>ROUND(SUM(I95:L95),2)</f>
        <v/>
      </c>
      <c r="N95" s="10">
        <f>ROUND(I95*'Irish Basis'!$C$6*'Irish Basis'!$C$5,2)</f>
        <v/>
      </c>
      <c r="O95" s="10">
        <f>ROUND(J95*'Irish Basis'!$C$7*'Irish Basis'!$C$5,2)</f>
        <v/>
      </c>
      <c r="P95" s="10">
        <f>ROUND(K95*'Irish Basis'!$C$8*'Irish Basis'!$C$5,2)</f>
        <v/>
      </c>
      <c r="Q95" s="10">
        <f>ROUND(L95*'Irish Basis'!$C$12*'Irish Basis'!$C$5,2)</f>
        <v/>
      </c>
      <c r="R95" s="11">
        <f>ROUND(SUM(N95:Q95),2)</f>
        <v/>
      </c>
      <c r="S95" s="5" t="inlineStr">
        <is>
          <t>All-in specialist rate</t>
        </is>
      </c>
      <c r="T95" s="14" t="inlineStr">
        <is>
          <t>All-in (not split)</t>
        </is>
      </c>
      <c r="U95" s="8" t="n">
        <v>10.76</v>
      </c>
      <c r="V95" s="13">
        <f>IF(U95="","",ROUND(M95-U95,2))</f>
        <v/>
      </c>
      <c r="W95" s="5" t="n"/>
      <c r="X95" s="5" t="inlineStr">
        <is>
          <t>Source publishes a specialist/sub-contract all-in rate; no labour/plant/material build-up exists to derive from.</t>
        </is>
      </c>
    </row>
    <row r="96" ht="13" customHeight="1">
      <c r="A96" s="4" t="n">
        <v>250</v>
      </c>
      <c r="B96" s="5" t="inlineStr">
        <is>
          <t>IMG_0068</t>
        </is>
      </c>
      <c r="C96" s="5" t="inlineStr">
        <is>
          <t>CLASS C: GEOTECHNICAL AND OTHER SPECIALIST PROCESSES</t>
        </is>
      </c>
      <c r="D96" s="5" t="inlineStr">
        <is>
          <t>01 DRILLING FOR GROUT HOLES</t>
        </is>
      </c>
      <c r="E96" s="5" t="inlineStr">
        <is>
          <t>Drilling through material other than rock or artificial hard material; vertically downwards</t>
        </is>
      </c>
      <c r="F96" s="5" t="inlineStr">
        <is>
          <t>depth ne 5 m</t>
        </is>
      </c>
      <c r="G96" s="6" t="inlineStr">
        <is>
          <t>m</t>
        </is>
      </c>
      <c r="H96" s="7" t="n"/>
      <c r="I96" s="8" t="n">
        <v>0</v>
      </c>
      <c r="J96" s="8" t="n">
        <v>0</v>
      </c>
      <c r="K96" s="8" t="n">
        <v>0</v>
      </c>
      <c r="L96" s="8" t="n">
        <v>30.76</v>
      </c>
      <c r="M96" s="9">
        <f>ROUND(SUM(I96:L96),2)</f>
        <v/>
      </c>
      <c r="N96" s="10">
        <f>ROUND(I96*'Irish Basis'!$C$6*'Irish Basis'!$C$5,2)</f>
        <v/>
      </c>
      <c r="O96" s="10">
        <f>ROUND(J96*'Irish Basis'!$C$7*'Irish Basis'!$C$5,2)</f>
        <v/>
      </c>
      <c r="P96" s="10">
        <f>ROUND(K96*'Irish Basis'!$C$8*'Irish Basis'!$C$5,2)</f>
        <v/>
      </c>
      <c r="Q96" s="10">
        <f>ROUND(L96*'Irish Basis'!$C$12*'Irish Basis'!$C$5,2)</f>
        <v/>
      </c>
      <c r="R96" s="11">
        <f>ROUND(SUM(N96:Q96),2)</f>
        <v/>
      </c>
      <c r="S96" s="5" t="inlineStr">
        <is>
          <t>All-in specialist rate</t>
        </is>
      </c>
      <c r="T96" s="14" t="inlineStr">
        <is>
          <t>All-in (not split)</t>
        </is>
      </c>
      <c r="U96" s="8" t="n">
        <v>30.76</v>
      </c>
      <c r="V96" s="13">
        <f>IF(U96="","",ROUND(M96-U96,2))</f>
        <v/>
      </c>
      <c r="W96" s="5" t="n"/>
      <c r="X96" s="5" t="inlineStr">
        <is>
          <t>Source publishes a specialist/sub-contract all-in rate; no labour/plant/material build-up exists to derive from.</t>
        </is>
      </c>
    </row>
    <row r="97" ht="13" customHeight="1">
      <c r="A97" s="4" t="n">
        <v>251</v>
      </c>
      <c r="B97" s="5" t="inlineStr">
        <is>
          <t>IMG_0068</t>
        </is>
      </c>
      <c r="C97" s="5" t="inlineStr">
        <is>
          <t>CLASS C: GEOTECHNICAL AND OTHER SPECIALIST PROCESSES</t>
        </is>
      </c>
      <c r="D97" s="5" t="inlineStr">
        <is>
          <t>01 DRILLING FOR GROUT HOLES</t>
        </is>
      </c>
      <c r="E97" s="5" t="inlineStr">
        <is>
          <t>Drilling through material other than rock or artificial hard material; vertically downwards</t>
        </is>
      </c>
      <c r="F97" s="5" t="inlineStr">
        <is>
          <t>depth 5-10 m</t>
        </is>
      </c>
      <c r="G97" s="6" t="inlineStr">
        <is>
          <t>m</t>
        </is>
      </c>
      <c r="H97" s="7" t="n"/>
      <c r="I97" s="8" t="n">
        <v>0</v>
      </c>
      <c r="J97" s="8" t="n">
        <v>0</v>
      </c>
      <c r="K97" s="8" t="n">
        <v>0</v>
      </c>
      <c r="L97" s="8" t="n">
        <v>35.61</v>
      </c>
      <c r="M97" s="9">
        <f>ROUND(SUM(I97:L97),2)</f>
        <v/>
      </c>
      <c r="N97" s="10">
        <f>ROUND(I97*'Irish Basis'!$C$6*'Irish Basis'!$C$5,2)</f>
        <v/>
      </c>
      <c r="O97" s="10">
        <f>ROUND(J97*'Irish Basis'!$C$7*'Irish Basis'!$C$5,2)</f>
        <v/>
      </c>
      <c r="P97" s="10">
        <f>ROUND(K97*'Irish Basis'!$C$8*'Irish Basis'!$C$5,2)</f>
        <v/>
      </c>
      <c r="Q97" s="10">
        <f>ROUND(L97*'Irish Basis'!$C$12*'Irish Basis'!$C$5,2)</f>
        <v/>
      </c>
      <c r="R97" s="11">
        <f>ROUND(SUM(N97:Q97),2)</f>
        <v/>
      </c>
      <c r="S97" s="5" t="inlineStr">
        <is>
          <t>All-in specialist rate</t>
        </is>
      </c>
      <c r="T97" s="14" t="inlineStr">
        <is>
          <t>All-in (not split)</t>
        </is>
      </c>
      <c r="U97" s="8" t="n">
        <v>35.61</v>
      </c>
      <c r="V97" s="13">
        <f>IF(U97="","",ROUND(M97-U97,2))</f>
        <v/>
      </c>
      <c r="W97" s="5" t="n"/>
      <c r="X97" s="5" t="inlineStr">
        <is>
          <t>Source publishes a specialist/sub-contract all-in rate; no labour/plant/material build-up exists to derive from.</t>
        </is>
      </c>
    </row>
    <row r="98" ht="13" customHeight="1">
      <c r="A98" s="4" t="n">
        <v>252</v>
      </c>
      <c r="B98" s="5" t="inlineStr">
        <is>
          <t>IMG_0068</t>
        </is>
      </c>
      <c r="C98" s="5" t="inlineStr">
        <is>
          <t>CLASS C: GEOTECHNICAL AND OTHER SPECIALIST PROCESSES</t>
        </is>
      </c>
      <c r="D98" s="5" t="inlineStr">
        <is>
          <t>01 DRILLING FOR GROUT HOLES</t>
        </is>
      </c>
      <c r="E98" s="5" t="inlineStr">
        <is>
          <t>Drilling through material other than rock or artificial hard material; vertically downwards</t>
        </is>
      </c>
      <c r="F98" s="5" t="inlineStr">
        <is>
          <t>depth 10-20 m</t>
        </is>
      </c>
      <c r="G98" s="6" t="inlineStr">
        <is>
          <t>m</t>
        </is>
      </c>
      <c r="H98" s="7" t="n"/>
      <c r="I98" s="8" t="n">
        <v>0</v>
      </c>
      <c r="J98" s="8" t="n">
        <v>0</v>
      </c>
      <c r="K98" s="8" t="n">
        <v>0</v>
      </c>
      <c r="L98" s="8" t="n">
        <v>42.19</v>
      </c>
      <c r="M98" s="9">
        <f>ROUND(SUM(I98:L98),2)</f>
        <v/>
      </c>
      <c r="N98" s="10">
        <f>ROUND(I98*'Irish Basis'!$C$6*'Irish Basis'!$C$5,2)</f>
        <v/>
      </c>
      <c r="O98" s="10">
        <f>ROUND(J98*'Irish Basis'!$C$7*'Irish Basis'!$C$5,2)</f>
        <v/>
      </c>
      <c r="P98" s="10">
        <f>ROUND(K98*'Irish Basis'!$C$8*'Irish Basis'!$C$5,2)</f>
        <v/>
      </c>
      <c r="Q98" s="10">
        <f>ROUND(L98*'Irish Basis'!$C$12*'Irish Basis'!$C$5,2)</f>
        <v/>
      </c>
      <c r="R98" s="11">
        <f>ROUND(SUM(N98:Q98),2)</f>
        <v/>
      </c>
      <c r="S98" s="5" t="inlineStr">
        <is>
          <t>All-in specialist rate</t>
        </is>
      </c>
      <c r="T98" s="14" t="inlineStr">
        <is>
          <t>All-in (not split)</t>
        </is>
      </c>
      <c r="U98" s="8" t="n">
        <v>42.19</v>
      </c>
      <c r="V98" s="13">
        <f>IF(U98="","",ROUND(M98-U98,2))</f>
        <v/>
      </c>
      <c r="W98" s="5" t="n"/>
      <c r="X98" s="5" t="inlineStr">
        <is>
          <t>Source publishes a specialist/sub-contract all-in rate; no labour/plant/material build-up exists to derive from.</t>
        </is>
      </c>
    </row>
    <row r="99" ht="13" customHeight="1">
      <c r="A99" s="4" t="n">
        <v>253</v>
      </c>
      <c r="B99" s="5" t="inlineStr">
        <is>
          <t>IMG_0068</t>
        </is>
      </c>
      <c r="C99" s="5" t="inlineStr">
        <is>
          <t>CLASS C: GEOTECHNICAL AND OTHER SPECIALIST PROCESSES</t>
        </is>
      </c>
      <c r="D99" s="5" t="inlineStr">
        <is>
          <t>01 DRILLING FOR GROUT HOLES</t>
        </is>
      </c>
      <c r="E99" s="5" t="inlineStr">
        <is>
          <t>Drilling through material other than rock or artificial hard material; vertically downwards</t>
        </is>
      </c>
      <c r="F99" s="5" t="inlineStr">
        <is>
          <t>depth 20-30 m</t>
        </is>
      </c>
      <c r="G99" s="6" t="inlineStr">
        <is>
          <t>m</t>
        </is>
      </c>
      <c r="H99" s="7" t="n"/>
      <c r="I99" s="8" t="n">
        <v>0</v>
      </c>
      <c r="J99" s="8" t="n">
        <v>0</v>
      </c>
      <c r="K99" s="8" t="n">
        <v>0</v>
      </c>
      <c r="L99" s="8" t="n">
        <v>51.61</v>
      </c>
      <c r="M99" s="9">
        <f>ROUND(SUM(I99:L99),2)</f>
        <v/>
      </c>
      <c r="N99" s="10">
        <f>ROUND(I99*'Irish Basis'!$C$6*'Irish Basis'!$C$5,2)</f>
        <v/>
      </c>
      <c r="O99" s="10">
        <f>ROUND(J99*'Irish Basis'!$C$7*'Irish Basis'!$C$5,2)</f>
        <v/>
      </c>
      <c r="P99" s="10">
        <f>ROUND(K99*'Irish Basis'!$C$8*'Irish Basis'!$C$5,2)</f>
        <v/>
      </c>
      <c r="Q99" s="10">
        <f>ROUND(L99*'Irish Basis'!$C$12*'Irish Basis'!$C$5,2)</f>
        <v/>
      </c>
      <c r="R99" s="11">
        <f>ROUND(SUM(N99:Q99),2)</f>
        <v/>
      </c>
      <c r="S99" s="5" t="inlineStr">
        <is>
          <t>All-in specialist rate</t>
        </is>
      </c>
      <c r="T99" s="14" t="inlineStr">
        <is>
          <t>All-in (not split)</t>
        </is>
      </c>
      <c r="U99" s="8" t="n">
        <v>51.61</v>
      </c>
      <c r="V99" s="13">
        <f>IF(U99="","",ROUND(M99-U99,2))</f>
        <v/>
      </c>
      <c r="W99" s="5" t="n"/>
      <c r="X99" s="5" t="inlineStr">
        <is>
          <t>Source publishes a specialist/sub-contract all-in rate; no labour/plant/material build-up exists to derive from.</t>
        </is>
      </c>
    </row>
    <row r="100" ht="13" customHeight="1">
      <c r="A100" s="4" t="n">
        <v>255</v>
      </c>
      <c r="B100" s="5" t="inlineStr">
        <is>
          <t>IMG_0068</t>
        </is>
      </c>
      <c r="C100" s="5" t="inlineStr">
        <is>
          <t>CLASS C: GEOTECHNICAL AND OTHER SPECIALIST PROCESSES</t>
        </is>
      </c>
      <c r="D100" s="5" t="inlineStr">
        <is>
          <t>01 DRILLING FOR GROUT HOLES</t>
        </is>
      </c>
      <c r="E100" s="5" t="inlineStr">
        <is>
          <t>Downwards at an angle 0-45 deg to the vertical</t>
        </is>
      </c>
      <c r="F100" s="5" t="inlineStr">
        <is>
          <t>depth ne 5 m</t>
        </is>
      </c>
      <c r="G100" s="6" t="inlineStr">
        <is>
          <t>m</t>
        </is>
      </c>
      <c r="H100" s="7" t="n"/>
      <c r="I100" s="8" t="n">
        <v>0</v>
      </c>
      <c r="J100" s="8" t="n">
        <v>0</v>
      </c>
      <c r="K100" s="8" t="n">
        <v>0</v>
      </c>
      <c r="L100" s="8" t="n">
        <v>30.76</v>
      </c>
      <c r="M100" s="9">
        <f>ROUND(SUM(I100:L100),2)</f>
        <v/>
      </c>
      <c r="N100" s="10">
        <f>ROUND(I100*'Irish Basis'!$C$6*'Irish Basis'!$C$5,2)</f>
        <v/>
      </c>
      <c r="O100" s="10">
        <f>ROUND(J100*'Irish Basis'!$C$7*'Irish Basis'!$C$5,2)</f>
        <v/>
      </c>
      <c r="P100" s="10">
        <f>ROUND(K100*'Irish Basis'!$C$8*'Irish Basis'!$C$5,2)</f>
        <v/>
      </c>
      <c r="Q100" s="10">
        <f>ROUND(L100*'Irish Basis'!$C$12*'Irish Basis'!$C$5,2)</f>
        <v/>
      </c>
      <c r="R100" s="11">
        <f>ROUND(SUM(N100:Q100),2)</f>
        <v/>
      </c>
      <c r="S100" s="5" t="inlineStr">
        <is>
          <t>All-in specialist rate</t>
        </is>
      </c>
      <c r="T100" s="14" t="inlineStr">
        <is>
          <t>All-in (not split)</t>
        </is>
      </c>
      <c r="U100" s="8" t="n">
        <v>30.76</v>
      </c>
      <c r="V100" s="13">
        <f>IF(U100="","",ROUND(M100-U100,2))</f>
        <v/>
      </c>
      <c r="W100" s="5" t="n"/>
      <c r="X100" s="5" t="inlineStr">
        <is>
          <t>Source publishes a specialist/sub-contract all-in rate; no labour/plant/material build-up exists to derive from.</t>
        </is>
      </c>
    </row>
    <row r="101" ht="13" customHeight="1">
      <c r="A101" s="4" t="n">
        <v>256</v>
      </c>
      <c r="B101" s="5" t="inlineStr">
        <is>
          <t>IMG_0068</t>
        </is>
      </c>
      <c r="C101" s="5" t="inlineStr">
        <is>
          <t>CLASS C: GEOTECHNICAL AND OTHER SPECIALIST PROCESSES</t>
        </is>
      </c>
      <c r="D101" s="5" t="inlineStr">
        <is>
          <t>01 DRILLING FOR GROUT HOLES</t>
        </is>
      </c>
      <c r="E101" s="5" t="inlineStr">
        <is>
          <t>Downwards at an angle 0-45 deg to the vertical</t>
        </is>
      </c>
      <c r="F101" s="5" t="inlineStr">
        <is>
          <t>depth 5-10 m</t>
        </is>
      </c>
      <c r="G101" s="6" t="inlineStr">
        <is>
          <t>m</t>
        </is>
      </c>
      <c r="H101" s="7" t="n"/>
      <c r="I101" s="8" t="n">
        <v>0</v>
      </c>
      <c r="J101" s="8" t="n">
        <v>0</v>
      </c>
      <c r="K101" s="8" t="n">
        <v>0</v>
      </c>
      <c r="L101" s="8" t="n">
        <v>35.61</v>
      </c>
      <c r="M101" s="9">
        <f>ROUND(SUM(I101:L101),2)</f>
        <v/>
      </c>
      <c r="N101" s="10">
        <f>ROUND(I101*'Irish Basis'!$C$6*'Irish Basis'!$C$5,2)</f>
        <v/>
      </c>
      <c r="O101" s="10">
        <f>ROUND(J101*'Irish Basis'!$C$7*'Irish Basis'!$C$5,2)</f>
        <v/>
      </c>
      <c r="P101" s="10">
        <f>ROUND(K101*'Irish Basis'!$C$8*'Irish Basis'!$C$5,2)</f>
        <v/>
      </c>
      <c r="Q101" s="10">
        <f>ROUND(L101*'Irish Basis'!$C$12*'Irish Basis'!$C$5,2)</f>
        <v/>
      </c>
      <c r="R101" s="11">
        <f>ROUND(SUM(N101:Q101),2)</f>
        <v/>
      </c>
      <c r="S101" s="5" t="inlineStr">
        <is>
          <t>All-in specialist rate</t>
        </is>
      </c>
      <c r="T101" s="14" t="inlineStr">
        <is>
          <t>All-in (not split)</t>
        </is>
      </c>
      <c r="U101" s="8" t="n">
        <v>35.61</v>
      </c>
      <c r="V101" s="13">
        <f>IF(U101="","",ROUND(M101-U101,2))</f>
        <v/>
      </c>
      <c r="W101" s="5" t="n"/>
      <c r="X101" s="5" t="inlineStr">
        <is>
          <t>Source publishes a specialist/sub-contract all-in rate; no labour/plant/material build-up exists to derive from.</t>
        </is>
      </c>
    </row>
    <row r="102" ht="13" customHeight="1">
      <c r="A102" s="4" t="n">
        <v>257</v>
      </c>
      <c r="B102" s="5" t="inlineStr">
        <is>
          <t>IMG_0068</t>
        </is>
      </c>
      <c r="C102" s="5" t="inlineStr">
        <is>
          <t>CLASS C: GEOTECHNICAL AND OTHER SPECIALIST PROCESSES</t>
        </is>
      </c>
      <c r="D102" s="5" t="inlineStr">
        <is>
          <t>01 DRILLING FOR GROUT HOLES</t>
        </is>
      </c>
      <c r="E102" s="5" t="inlineStr">
        <is>
          <t>Downwards at an angle 0-45 deg to the vertical</t>
        </is>
      </c>
      <c r="F102" s="5" t="inlineStr">
        <is>
          <t>depth 10-20 m</t>
        </is>
      </c>
      <c r="G102" s="6" t="inlineStr">
        <is>
          <t>m</t>
        </is>
      </c>
      <c r="H102" s="7" t="n"/>
      <c r="I102" s="8" t="n">
        <v>0</v>
      </c>
      <c r="J102" s="8" t="n">
        <v>0</v>
      </c>
      <c r="K102" s="8" t="n">
        <v>0</v>
      </c>
      <c r="L102" s="8" t="n">
        <v>42.19</v>
      </c>
      <c r="M102" s="9">
        <f>ROUND(SUM(I102:L102),2)</f>
        <v/>
      </c>
      <c r="N102" s="10">
        <f>ROUND(I102*'Irish Basis'!$C$6*'Irish Basis'!$C$5,2)</f>
        <v/>
      </c>
      <c r="O102" s="10">
        <f>ROUND(J102*'Irish Basis'!$C$7*'Irish Basis'!$C$5,2)</f>
        <v/>
      </c>
      <c r="P102" s="10">
        <f>ROUND(K102*'Irish Basis'!$C$8*'Irish Basis'!$C$5,2)</f>
        <v/>
      </c>
      <c r="Q102" s="10">
        <f>ROUND(L102*'Irish Basis'!$C$12*'Irish Basis'!$C$5,2)</f>
        <v/>
      </c>
      <c r="R102" s="11">
        <f>ROUND(SUM(N102:Q102),2)</f>
        <v/>
      </c>
      <c r="S102" s="5" t="inlineStr">
        <is>
          <t>All-in specialist rate</t>
        </is>
      </c>
      <c r="T102" s="14" t="inlineStr">
        <is>
          <t>All-in (not split)</t>
        </is>
      </c>
      <c r="U102" s="8" t="n">
        <v>42.19</v>
      </c>
      <c r="V102" s="13">
        <f>IF(U102="","",ROUND(M102-U102,2))</f>
        <v/>
      </c>
      <c r="W102" s="5" t="n"/>
      <c r="X102" s="5" t="inlineStr">
        <is>
          <t>Source publishes a specialist/sub-contract all-in rate; no labour/plant/material build-up exists to derive from.</t>
        </is>
      </c>
    </row>
    <row r="103" ht="13" customHeight="1">
      <c r="A103" s="4" t="n">
        <v>258</v>
      </c>
      <c r="B103" s="5" t="inlineStr">
        <is>
          <t>IMG_0068</t>
        </is>
      </c>
      <c r="C103" s="5" t="inlineStr">
        <is>
          <t>CLASS C: GEOTECHNICAL AND OTHER SPECIALIST PROCESSES</t>
        </is>
      </c>
      <c r="D103" s="5" t="inlineStr">
        <is>
          <t>01 DRILLING FOR GROUT HOLES</t>
        </is>
      </c>
      <c r="E103" s="5" t="inlineStr">
        <is>
          <t>Downwards at an angle 0-45 deg to the vertical</t>
        </is>
      </c>
      <c r="F103" s="5" t="inlineStr">
        <is>
          <t>depth 20-30 m</t>
        </is>
      </c>
      <c r="G103" s="6" t="inlineStr">
        <is>
          <t>m</t>
        </is>
      </c>
      <c r="H103" s="7" t="n"/>
      <c r="I103" s="8" t="n">
        <v>0</v>
      </c>
      <c r="J103" s="8" t="n">
        <v>0</v>
      </c>
      <c r="K103" s="8" t="n">
        <v>0</v>
      </c>
      <c r="L103" s="8" t="n">
        <v>51.61</v>
      </c>
      <c r="M103" s="9">
        <f>ROUND(SUM(I103:L103),2)</f>
        <v/>
      </c>
      <c r="N103" s="10">
        <f>ROUND(I103*'Irish Basis'!$C$6*'Irish Basis'!$C$5,2)</f>
        <v/>
      </c>
      <c r="O103" s="10">
        <f>ROUND(J103*'Irish Basis'!$C$7*'Irish Basis'!$C$5,2)</f>
        <v/>
      </c>
      <c r="P103" s="10">
        <f>ROUND(K103*'Irish Basis'!$C$8*'Irish Basis'!$C$5,2)</f>
        <v/>
      </c>
      <c r="Q103" s="10">
        <f>ROUND(L103*'Irish Basis'!$C$12*'Irish Basis'!$C$5,2)</f>
        <v/>
      </c>
      <c r="R103" s="11">
        <f>ROUND(SUM(N103:Q103),2)</f>
        <v/>
      </c>
      <c r="S103" s="5" t="inlineStr">
        <is>
          <t>All-in specialist rate</t>
        </is>
      </c>
      <c r="T103" s="14" t="inlineStr">
        <is>
          <t>All-in (not split)</t>
        </is>
      </c>
      <c r="U103" s="8" t="n">
        <v>51.61</v>
      </c>
      <c r="V103" s="13">
        <f>IF(U103="","",ROUND(M103-U103,2))</f>
        <v/>
      </c>
      <c r="W103" s="5" t="n"/>
      <c r="X103" s="5" t="inlineStr">
        <is>
          <t>Source publishes a specialist/sub-contract all-in rate; no labour/plant/material build-up exists to derive from.</t>
        </is>
      </c>
    </row>
    <row r="104" ht="13" customHeight="1">
      <c r="A104" s="4" t="n">
        <v>260</v>
      </c>
      <c r="B104" s="5" t="inlineStr">
        <is>
          <t>IMG_0068</t>
        </is>
      </c>
      <c r="C104" s="5" t="inlineStr">
        <is>
          <t>CLASS C: GEOTECHNICAL AND OTHER SPECIALIST PROCESSES</t>
        </is>
      </c>
      <c r="D104" s="5" t="inlineStr">
        <is>
          <t>01 DRILLING FOR GROUT HOLES</t>
        </is>
      </c>
      <c r="E104" s="5" t="inlineStr">
        <is>
          <t>Horizontally or downwards at an angle less than 45 deg to the horizontal</t>
        </is>
      </c>
      <c r="F104" s="5" t="inlineStr">
        <is>
          <t>depth ne 5 m</t>
        </is>
      </c>
      <c r="G104" s="6" t="inlineStr">
        <is>
          <t>m</t>
        </is>
      </c>
      <c r="H104" s="7" t="n"/>
      <c r="I104" s="8" t="n">
        <v>0</v>
      </c>
      <c r="J104" s="8" t="n">
        <v>0</v>
      </c>
      <c r="K104" s="8" t="n">
        <v>0</v>
      </c>
      <c r="L104" s="8" t="n">
        <v>30.76</v>
      </c>
      <c r="M104" s="9">
        <f>ROUND(SUM(I104:L104),2)</f>
        <v/>
      </c>
      <c r="N104" s="10">
        <f>ROUND(I104*'Irish Basis'!$C$6*'Irish Basis'!$C$5,2)</f>
        <v/>
      </c>
      <c r="O104" s="10">
        <f>ROUND(J104*'Irish Basis'!$C$7*'Irish Basis'!$C$5,2)</f>
        <v/>
      </c>
      <c r="P104" s="10">
        <f>ROUND(K104*'Irish Basis'!$C$8*'Irish Basis'!$C$5,2)</f>
        <v/>
      </c>
      <c r="Q104" s="10">
        <f>ROUND(L104*'Irish Basis'!$C$12*'Irish Basis'!$C$5,2)</f>
        <v/>
      </c>
      <c r="R104" s="11">
        <f>ROUND(SUM(N104:Q104),2)</f>
        <v/>
      </c>
      <c r="S104" s="5" t="inlineStr">
        <is>
          <t>All-in specialist rate</t>
        </is>
      </c>
      <c r="T104" s="14" t="inlineStr">
        <is>
          <t>All-in (not split)</t>
        </is>
      </c>
      <c r="U104" s="8" t="n">
        <v>30.76</v>
      </c>
      <c r="V104" s="13">
        <f>IF(U104="","",ROUND(M104-U104,2))</f>
        <v/>
      </c>
      <c r="W104" s="5" t="n"/>
      <c r="X104" s="5" t="inlineStr">
        <is>
          <t>Source publishes a specialist/sub-contract all-in rate; no labour/plant/material build-up exists to derive from.</t>
        </is>
      </c>
    </row>
    <row r="105" ht="13" customHeight="1">
      <c r="A105" s="4" t="n">
        <v>261</v>
      </c>
      <c r="B105" s="5" t="inlineStr">
        <is>
          <t>IMG_0068</t>
        </is>
      </c>
      <c r="C105" s="5" t="inlineStr">
        <is>
          <t>CLASS C: GEOTECHNICAL AND OTHER SPECIALIST PROCESSES</t>
        </is>
      </c>
      <c r="D105" s="5" t="inlineStr">
        <is>
          <t>01 DRILLING FOR GROUT HOLES</t>
        </is>
      </c>
      <c r="E105" s="5" t="inlineStr">
        <is>
          <t>Horizontally or downwards at an angle less than 45 deg to the horizontal</t>
        </is>
      </c>
      <c r="F105" s="5" t="inlineStr">
        <is>
          <t>depth 5-10 m</t>
        </is>
      </c>
      <c r="G105" s="6" t="inlineStr">
        <is>
          <t>m</t>
        </is>
      </c>
      <c r="H105" s="7" t="n"/>
      <c r="I105" s="8" t="n">
        <v>0</v>
      </c>
      <c r="J105" s="8" t="n">
        <v>0</v>
      </c>
      <c r="K105" s="8" t="n">
        <v>0</v>
      </c>
      <c r="L105" s="8" t="n">
        <v>35.61</v>
      </c>
      <c r="M105" s="9">
        <f>ROUND(SUM(I105:L105),2)</f>
        <v/>
      </c>
      <c r="N105" s="10">
        <f>ROUND(I105*'Irish Basis'!$C$6*'Irish Basis'!$C$5,2)</f>
        <v/>
      </c>
      <c r="O105" s="10">
        <f>ROUND(J105*'Irish Basis'!$C$7*'Irish Basis'!$C$5,2)</f>
        <v/>
      </c>
      <c r="P105" s="10">
        <f>ROUND(K105*'Irish Basis'!$C$8*'Irish Basis'!$C$5,2)</f>
        <v/>
      </c>
      <c r="Q105" s="10">
        <f>ROUND(L105*'Irish Basis'!$C$12*'Irish Basis'!$C$5,2)</f>
        <v/>
      </c>
      <c r="R105" s="11">
        <f>ROUND(SUM(N105:Q105),2)</f>
        <v/>
      </c>
      <c r="S105" s="5" t="inlineStr">
        <is>
          <t>All-in specialist rate</t>
        </is>
      </c>
      <c r="T105" s="14" t="inlineStr">
        <is>
          <t>All-in (not split)</t>
        </is>
      </c>
      <c r="U105" s="8" t="n">
        <v>35.61</v>
      </c>
      <c r="V105" s="13">
        <f>IF(U105="","",ROUND(M105-U105,2))</f>
        <v/>
      </c>
      <c r="W105" s="5" t="n"/>
      <c r="X105" s="5" t="inlineStr">
        <is>
          <t>Source publishes a specialist/sub-contract all-in rate; no labour/plant/material build-up exists to derive from.</t>
        </is>
      </c>
    </row>
    <row r="106" ht="13" customHeight="1">
      <c r="A106" s="4" t="n">
        <v>262</v>
      </c>
      <c r="B106" s="5" t="inlineStr">
        <is>
          <t>IMG_0068</t>
        </is>
      </c>
      <c r="C106" s="5" t="inlineStr">
        <is>
          <t>CLASS C: GEOTECHNICAL AND OTHER SPECIALIST PROCESSES</t>
        </is>
      </c>
      <c r="D106" s="5" t="inlineStr">
        <is>
          <t>01 DRILLING FOR GROUT HOLES</t>
        </is>
      </c>
      <c r="E106" s="5" t="inlineStr">
        <is>
          <t>Horizontally or downwards at an angle less than 45 deg to the horizontal</t>
        </is>
      </c>
      <c r="F106" s="5" t="inlineStr">
        <is>
          <t>depth 10-20 m</t>
        </is>
      </c>
      <c r="G106" s="6" t="inlineStr">
        <is>
          <t>m</t>
        </is>
      </c>
      <c r="H106" s="7" t="n"/>
      <c r="I106" s="8" t="n">
        <v>0</v>
      </c>
      <c r="J106" s="8" t="n">
        <v>0</v>
      </c>
      <c r="K106" s="8" t="n">
        <v>0</v>
      </c>
      <c r="L106" s="8" t="n">
        <v>42.19</v>
      </c>
      <c r="M106" s="9">
        <f>ROUND(SUM(I106:L106),2)</f>
        <v/>
      </c>
      <c r="N106" s="10">
        <f>ROUND(I106*'Irish Basis'!$C$6*'Irish Basis'!$C$5,2)</f>
        <v/>
      </c>
      <c r="O106" s="10">
        <f>ROUND(J106*'Irish Basis'!$C$7*'Irish Basis'!$C$5,2)</f>
        <v/>
      </c>
      <c r="P106" s="10">
        <f>ROUND(K106*'Irish Basis'!$C$8*'Irish Basis'!$C$5,2)</f>
        <v/>
      </c>
      <c r="Q106" s="10">
        <f>ROUND(L106*'Irish Basis'!$C$12*'Irish Basis'!$C$5,2)</f>
        <v/>
      </c>
      <c r="R106" s="11">
        <f>ROUND(SUM(N106:Q106),2)</f>
        <v/>
      </c>
      <c r="S106" s="5" t="inlineStr">
        <is>
          <t>All-in specialist rate</t>
        </is>
      </c>
      <c r="T106" s="14" t="inlineStr">
        <is>
          <t>All-in (not split)</t>
        </is>
      </c>
      <c r="U106" s="8" t="n">
        <v>42.19</v>
      </c>
      <c r="V106" s="13">
        <f>IF(U106="","",ROUND(M106-U106,2))</f>
        <v/>
      </c>
      <c r="W106" s="5" t="n"/>
      <c r="X106" s="5" t="inlineStr">
        <is>
          <t>Source publishes a specialist/sub-contract all-in rate; no labour/plant/material build-up exists to derive from.</t>
        </is>
      </c>
    </row>
    <row r="107" ht="13" customHeight="1">
      <c r="A107" s="4" t="n">
        <v>263</v>
      </c>
      <c r="B107" s="5" t="inlineStr">
        <is>
          <t>IMG_0068</t>
        </is>
      </c>
      <c r="C107" s="5" t="inlineStr">
        <is>
          <t>CLASS C: GEOTECHNICAL AND OTHER SPECIALIST PROCESSES</t>
        </is>
      </c>
      <c r="D107" s="5" t="inlineStr">
        <is>
          <t>01 DRILLING FOR GROUT HOLES</t>
        </is>
      </c>
      <c r="E107" s="5" t="inlineStr">
        <is>
          <t>Horizontally or downwards at an angle less than 45 deg to the horizontal</t>
        </is>
      </c>
      <c r="F107" s="5" t="inlineStr">
        <is>
          <t>depth 20-30 m</t>
        </is>
      </c>
      <c r="G107" s="6" t="inlineStr">
        <is>
          <t>m</t>
        </is>
      </c>
      <c r="H107" s="7" t="n"/>
      <c r="I107" s="8" t="n">
        <v>0</v>
      </c>
      <c r="J107" s="8" t="n">
        <v>0</v>
      </c>
      <c r="K107" s="8" t="n">
        <v>0</v>
      </c>
      <c r="L107" s="8" t="n">
        <v>51.61</v>
      </c>
      <c r="M107" s="9">
        <f>ROUND(SUM(I107:L107),2)</f>
        <v/>
      </c>
      <c r="N107" s="10">
        <f>ROUND(I107*'Irish Basis'!$C$6*'Irish Basis'!$C$5,2)</f>
        <v/>
      </c>
      <c r="O107" s="10">
        <f>ROUND(J107*'Irish Basis'!$C$7*'Irish Basis'!$C$5,2)</f>
        <v/>
      </c>
      <c r="P107" s="10">
        <f>ROUND(K107*'Irish Basis'!$C$8*'Irish Basis'!$C$5,2)</f>
        <v/>
      </c>
      <c r="Q107" s="10">
        <f>ROUND(L107*'Irish Basis'!$C$12*'Irish Basis'!$C$5,2)</f>
        <v/>
      </c>
      <c r="R107" s="11">
        <f>ROUND(SUM(N107:Q107),2)</f>
        <v/>
      </c>
      <c r="S107" s="5" t="inlineStr">
        <is>
          <t>All-in specialist rate</t>
        </is>
      </c>
      <c r="T107" s="14" t="inlineStr">
        <is>
          <t>All-in (not split)</t>
        </is>
      </c>
      <c r="U107" s="8" t="n">
        <v>51.61</v>
      </c>
      <c r="V107" s="13">
        <f>IF(U107="","",ROUND(M107-U107,2))</f>
        <v/>
      </c>
      <c r="W107" s="5" t="n"/>
      <c r="X107" s="5" t="inlineStr">
        <is>
          <t>Source publishes a specialist/sub-contract all-in rate; no labour/plant/material build-up exists to derive from.</t>
        </is>
      </c>
    </row>
    <row r="108" ht="13" customHeight="1">
      <c r="A108" s="4" t="n">
        <v>265</v>
      </c>
      <c r="B108" s="5" t="inlineStr">
        <is>
          <t>IMG_0068</t>
        </is>
      </c>
      <c r="C108" s="5" t="inlineStr">
        <is>
          <t>CLASS C: GEOTECHNICAL AND OTHER SPECIALIST PROCESSES</t>
        </is>
      </c>
      <c r="D108" s="5" t="inlineStr">
        <is>
          <t>01 DRILLING FOR GROUT HOLES</t>
        </is>
      </c>
      <c r="E108" s="5" t="inlineStr">
        <is>
          <t>Upwards at an angle 0-45 deg to the horizontal</t>
        </is>
      </c>
      <c r="F108" s="5" t="inlineStr">
        <is>
          <t>depth ne 5 m</t>
        </is>
      </c>
      <c r="G108" s="6" t="inlineStr">
        <is>
          <t>m</t>
        </is>
      </c>
      <c r="H108" s="7" t="n"/>
      <c r="I108" s="8" t="n">
        <v>0</v>
      </c>
      <c r="J108" s="8" t="n">
        <v>0</v>
      </c>
      <c r="K108" s="8" t="n">
        <v>0</v>
      </c>
      <c r="L108" s="8" t="n">
        <v>50.67</v>
      </c>
      <c r="M108" s="9">
        <f>ROUND(SUM(I108:L108),2)</f>
        <v/>
      </c>
      <c r="N108" s="10">
        <f>ROUND(I108*'Irish Basis'!$C$6*'Irish Basis'!$C$5,2)</f>
        <v/>
      </c>
      <c r="O108" s="10">
        <f>ROUND(J108*'Irish Basis'!$C$7*'Irish Basis'!$C$5,2)</f>
        <v/>
      </c>
      <c r="P108" s="10">
        <f>ROUND(K108*'Irish Basis'!$C$8*'Irish Basis'!$C$5,2)</f>
        <v/>
      </c>
      <c r="Q108" s="10">
        <f>ROUND(L108*'Irish Basis'!$C$12*'Irish Basis'!$C$5,2)</f>
        <v/>
      </c>
      <c r="R108" s="11">
        <f>ROUND(SUM(N108:Q108),2)</f>
        <v/>
      </c>
      <c r="S108" s="5" t="inlineStr">
        <is>
          <t>All-in specialist rate</t>
        </is>
      </c>
      <c r="T108" s="14" t="inlineStr">
        <is>
          <t>All-in (not split)</t>
        </is>
      </c>
      <c r="U108" s="8" t="n">
        <v>50.67</v>
      </c>
      <c r="V108" s="13">
        <f>IF(U108="","",ROUND(M108-U108,2))</f>
        <v/>
      </c>
      <c r="W108" s="5" t="n"/>
      <c r="X108" s="5" t="inlineStr">
        <is>
          <t>Source publishes a specialist/sub-contract all-in rate; no labour/plant/material build-up exists to derive from.</t>
        </is>
      </c>
    </row>
    <row r="109" ht="13" customHeight="1">
      <c r="A109" s="4" t="n">
        <v>266</v>
      </c>
      <c r="B109" s="5" t="inlineStr">
        <is>
          <t>IMG_0068</t>
        </is>
      </c>
      <c r="C109" s="5" t="inlineStr">
        <is>
          <t>CLASS C: GEOTECHNICAL AND OTHER SPECIALIST PROCESSES</t>
        </is>
      </c>
      <c r="D109" s="5" t="inlineStr">
        <is>
          <t>01 DRILLING FOR GROUT HOLES</t>
        </is>
      </c>
      <c r="E109" s="5" t="inlineStr">
        <is>
          <t>Upwards at an angle 0-45 deg to the horizontal</t>
        </is>
      </c>
      <c r="F109" s="5" t="inlineStr">
        <is>
          <t>depth 5-10 m</t>
        </is>
      </c>
      <c r="G109" s="6" t="inlineStr">
        <is>
          <t>m</t>
        </is>
      </c>
      <c r="H109" s="7" t="n"/>
      <c r="I109" s="8" t="n">
        <v>0</v>
      </c>
      <c r="J109" s="8" t="n">
        <v>0</v>
      </c>
      <c r="K109" s="8" t="n">
        <v>0</v>
      </c>
      <c r="L109" s="8" t="n">
        <v>61.63</v>
      </c>
      <c r="M109" s="9">
        <f>ROUND(SUM(I109:L109),2)</f>
        <v/>
      </c>
      <c r="N109" s="10">
        <f>ROUND(I109*'Irish Basis'!$C$6*'Irish Basis'!$C$5,2)</f>
        <v/>
      </c>
      <c r="O109" s="10">
        <f>ROUND(J109*'Irish Basis'!$C$7*'Irish Basis'!$C$5,2)</f>
        <v/>
      </c>
      <c r="P109" s="10">
        <f>ROUND(K109*'Irish Basis'!$C$8*'Irish Basis'!$C$5,2)</f>
        <v/>
      </c>
      <c r="Q109" s="10">
        <f>ROUND(L109*'Irish Basis'!$C$12*'Irish Basis'!$C$5,2)</f>
        <v/>
      </c>
      <c r="R109" s="11">
        <f>ROUND(SUM(N109:Q109),2)</f>
        <v/>
      </c>
      <c r="S109" s="5" t="inlineStr">
        <is>
          <t>All-in specialist rate</t>
        </is>
      </c>
      <c r="T109" s="14" t="inlineStr">
        <is>
          <t>All-in (not split)</t>
        </is>
      </c>
      <c r="U109" s="8" t="n">
        <v>61.63</v>
      </c>
      <c r="V109" s="13">
        <f>IF(U109="","",ROUND(M109-U109,2))</f>
        <v/>
      </c>
      <c r="W109" s="5" t="n"/>
      <c r="X109" s="5" t="inlineStr">
        <is>
          <t>Source publishes a specialist/sub-contract all-in rate; no labour/plant/material build-up exists to derive from.</t>
        </is>
      </c>
    </row>
    <row r="110" ht="13" customHeight="1">
      <c r="A110" s="4" t="n">
        <v>267</v>
      </c>
      <c r="B110" s="5" t="inlineStr">
        <is>
          <t>IMG_0068</t>
        </is>
      </c>
      <c r="C110" s="5" t="inlineStr">
        <is>
          <t>CLASS C: GEOTECHNICAL AND OTHER SPECIALIST PROCESSES</t>
        </is>
      </c>
      <c r="D110" s="5" t="inlineStr">
        <is>
          <t>01 DRILLING FOR GROUT HOLES</t>
        </is>
      </c>
      <c r="E110" s="5" t="inlineStr">
        <is>
          <t>Upwards at an angle 0-45 deg to the horizontal</t>
        </is>
      </c>
      <c r="F110" s="5" t="inlineStr">
        <is>
          <t>depth 10-20 m</t>
        </is>
      </c>
      <c r="G110" s="6" t="inlineStr">
        <is>
          <t>m</t>
        </is>
      </c>
      <c r="H110" s="7" t="n"/>
      <c r="I110" s="8" t="n">
        <v>0</v>
      </c>
      <c r="J110" s="8" t="n">
        <v>0</v>
      </c>
      <c r="K110" s="8" t="n">
        <v>0</v>
      </c>
      <c r="L110" s="8" t="n">
        <v>65.73</v>
      </c>
      <c r="M110" s="9">
        <f>ROUND(SUM(I110:L110),2)</f>
        <v/>
      </c>
      <c r="N110" s="10">
        <f>ROUND(I110*'Irish Basis'!$C$6*'Irish Basis'!$C$5,2)</f>
        <v/>
      </c>
      <c r="O110" s="10">
        <f>ROUND(J110*'Irish Basis'!$C$7*'Irish Basis'!$C$5,2)</f>
        <v/>
      </c>
      <c r="P110" s="10">
        <f>ROUND(K110*'Irish Basis'!$C$8*'Irish Basis'!$C$5,2)</f>
        <v/>
      </c>
      <c r="Q110" s="10">
        <f>ROUND(L110*'Irish Basis'!$C$12*'Irish Basis'!$C$5,2)</f>
        <v/>
      </c>
      <c r="R110" s="11">
        <f>ROUND(SUM(N110:Q110),2)</f>
        <v/>
      </c>
      <c r="S110" s="5" t="inlineStr">
        <is>
          <t>All-in specialist rate</t>
        </is>
      </c>
      <c r="T110" s="14" t="inlineStr">
        <is>
          <t>All-in (not split)</t>
        </is>
      </c>
      <c r="U110" s="8" t="n">
        <v>65.73</v>
      </c>
      <c r="V110" s="13">
        <f>IF(U110="","",ROUND(M110-U110,2))</f>
        <v/>
      </c>
      <c r="W110" s="5" t="n"/>
      <c r="X110" s="5" t="inlineStr">
        <is>
          <t>Source publishes a specialist/sub-contract all-in rate; no labour/plant/material build-up exists to derive from.</t>
        </is>
      </c>
    </row>
    <row r="111" ht="13" customHeight="1">
      <c r="A111" s="4" t="n">
        <v>268</v>
      </c>
      <c r="B111" s="5" t="inlineStr">
        <is>
          <t>IMG_0068</t>
        </is>
      </c>
      <c r="C111" s="5" t="inlineStr">
        <is>
          <t>CLASS C: GEOTECHNICAL AND OTHER SPECIALIST PROCESSES</t>
        </is>
      </c>
      <c r="D111" s="5" t="inlineStr">
        <is>
          <t>01 DRILLING FOR GROUT HOLES</t>
        </is>
      </c>
      <c r="E111" s="5" t="inlineStr">
        <is>
          <t>Upwards at an angle 0-45 deg to the horizontal</t>
        </is>
      </c>
      <c r="F111" s="5" t="inlineStr">
        <is>
          <t>depth 20-30 m</t>
        </is>
      </c>
      <c r="G111" s="6" t="inlineStr">
        <is>
          <t>m</t>
        </is>
      </c>
      <c r="H111" s="7" t="n"/>
      <c r="I111" s="8" t="n">
        <v>0</v>
      </c>
      <c r="J111" s="8" t="n">
        <v>0</v>
      </c>
      <c r="K111" s="8" t="n">
        <v>0</v>
      </c>
      <c r="L111" s="8" t="n">
        <v>70.12</v>
      </c>
      <c r="M111" s="9">
        <f>ROUND(SUM(I111:L111),2)</f>
        <v/>
      </c>
      <c r="N111" s="10">
        <f>ROUND(I111*'Irish Basis'!$C$6*'Irish Basis'!$C$5,2)</f>
        <v/>
      </c>
      <c r="O111" s="10">
        <f>ROUND(J111*'Irish Basis'!$C$7*'Irish Basis'!$C$5,2)</f>
        <v/>
      </c>
      <c r="P111" s="10">
        <f>ROUND(K111*'Irish Basis'!$C$8*'Irish Basis'!$C$5,2)</f>
        <v/>
      </c>
      <c r="Q111" s="10">
        <f>ROUND(L111*'Irish Basis'!$C$12*'Irish Basis'!$C$5,2)</f>
        <v/>
      </c>
      <c r="R111" s="11">
        <f>ROUND(SUM(N111:Q111),2)</f>
        <v/>
      </c>
      <c r="S111" s="5" t="inlineStr">
        <is>
          <t>All-in specialist rate</t>
        </is>
      </c>
      <c r="T111" s="14" t="inlineStr">
        <is>
          <t>All-in (not split)</t>
        </is>
      </c>
      <c r="U111" s="8" t="n">
        <v>70.12</v>
      </c>
      <c r="V111" s="13">
        <f>IF(U111="","",ROUND(M111-U111,2))</f>
        <v/>
      </c>
      <c r="W111" s="5" t="n"/>
      <c r="X111" s="5" t="inlineStr">
        <is>
          <t>Source publishes a specialist/sub-contract all-in rate; no labour/plant/material build-up exists to derive from.</t>
        </is>
      </c>
    </row>
    <row r="112" ht="13" customHeight="1">
      <c r="A112" s="4" t="n">
        <v>270</v>
      </c>
      <c r="B112" s="5" t="inlineStr">
        <is>
          <t>IMG_0068</t>
        </is>
      </c>
      <c r="C112" s="5" t="inlineStr">
        <is>
          <t>CLASS C: GEOTECHNICAL AND OTHER SPECIALIST PROCESSES</t>
        </is>
      </c>
      <c r="D112" s="5" t="inlineStr">
        <is>
          <t>01 DRILLING FOR GROUT HOLES</t>
        </is>
      </c>
      <c r="E112" s="5" t="inlineStr">
        <is>
          <t>Upwards at an angle less than 45 deg to the vertical</t>
        </is>
      </c>
      <c r="F112" s="5" t="inlineStr">
        <is>
          <t>depth ne 5 m</t>
        </is>
      </c>
      <c r="G112" s="6" t="inlineStr">
        <is>
          <t>m</t>
        </is>
      </c>
      <c r="H112" s="7" t="n"/>
      <c r="I112" s="8" t="n">
        <v>0</v>
      </c>
      <c r="J112" s="8" t="n">
        <v>0</v>
      </c>
      <c r="K112" s="8" t="n">
        <v>0</v>
      </c>
      <c r="L112" s="8" t="n">
        <v>50.67</v>
      </c>
      <c r="M112" s="9">
        <f>ROUND(SUM(I112:L112),2)</f>
        <v/>
      </c>
      <c r="N112" s="10">
        <f>ROUND(I112*'Irish Basis'!$C$6*'Irish Basis'!$C$5,2)</f>
        <v/>
      </c>
      <c r="O112" s="10">
        <f>ROUND(J112*'Irish Basis'!$C$7*'Irish Basis'!$C$5,2)</f>
        <v/>
      </c>
      <c r="P112" s="10">
        <f>ROUND(K112*'Irish Basis'!$C$8*'Irish Basis'!$C$5,2)</f>
        <v/>
      </c>
      <c r="Q112" s="10">
        <f>ROUND(L112*'Irish Basis'!$C$12*'Irish Basis'!$C$5,2)</f>
        <v/>
      </c>
      <c r="R112" s="11">
        <f>ROUND(SUM(N112:Q112),2)</f>
        <v/>
      </c>
      <c r="S112" s="5" t="inlineStr">
        <is>
          <t>All-in specialist rate</t>
        </is>
      </c>
      <c r="T112" s="14" t="inlineStr">
        <is>
          <t>All-in (not split)</t>
        </is>
      </c>
      <c r="U112" s="8" t="n">
        <v>50.67</v>
      </c>
      <c r="V112" s="13">
        <f>IF(U112="","",ROUND(M112-U112,2))</f>
        <v/>
      </c>
      <c r="W112" s="5" t="n"/>
      <c r="X112" s="5" t="inlineStr">
        <is>
          <t>Source publishes a specialist/sub-contract all-in rate; no labour/plant/material build-up exists to derive from.</t>
        </is>
      </c>
    </row>
    <row r="113" ht="13" customHeight="1">
      <c r="A113" s="4" t="n">
        <v>271</v>
      </c>
      <c r="B113" s="5" t="inlineStr">
        <is>
          <t>IMG_0068</t>
        </is>
      </c>
      <c r="C113" s="5" t="inlineStr">
        <is>
          <t>CLASS C: GEOTECHNICAL AND OTHER SPECIALIST PROCESSES</t>
        </is>
      </c>
      <c r="D113" s="5" t="inlineStr">
        <is>
          <t>01 DRILLING FOR GROUT HOLES</t>
        </is>
      </c>
      <c r="E113" s="5" t="inlineStr">
        <is>
          <t>Upwards at an angle less than 45 deg to the vertical</t>
        </is>
      </c>
      <c r="F113" s="5" t="inlineStr">
        <is>
          <t>depth 5-10 m</t>
        </is>
      </c>
      <c r="G113" s="6" t="inlineStr">
        <is>
          <t>m</t>
        </is>
      </c>
      <c r="H113" s="7" t="n"/>
      <c r="I113" s="8" t="n">
        <v>0</v>
      </c>
      <c r="J113" s="8" t="n">
        <v>0</v>
      </c>
      <c r="K113" s="8" t="n">
        <v>0</v>
      </c>
      <c r="L113" s="8" t="n">
        <v>61.63</v>
      </c>
      <c r="M113" s="9">
        <f>ROUND(SUM(I113:L113),2)</f>
        <v/>
      </c>
      <c r="N113" s="10">
        <f>ROUND(I113*'Irish Basis'!$C$6*'Irish Basis'!$C$5,2)</f>
        <v/>
      </c>
      <c r="O113" s="10">
        <f>ROUND(J113*'Irish Basis'!$C$7*'Irish Basis'!$C$5,2)</f>
        <v/>
      </c>
      <c r="P113" s="10">
        <f>ROUND(K113*'Irish Basis'!$C$8*'Irish Basis'!$C$5,2)</f>
        <v/>
      </c>
      <c r="Q113" s="10">
        <f>ROUND(L113*'Irish Basis'!$C$12*'Irish Basis'!$C$5,2)</f>
        <v/>
      </c>
      <c r="R113" s="11">
        <f>ROUND(SUM(N113:Q113),2)</f>
        <v/>
      </c>
      <c r="S113" s="5" t="inlineStr">
        <is>
          <t>All-in specialist rate</t>
        </is>
      </c>
      <c r="T113" s="14" t="inlineStr">
        <is>
          <t>All-in (not split)</t>
        </is>
      </c>
      <c r="U113" s="8" t="n">
        <v>61.63</v>
      </c>
      <c r="V113" s="13">
        <f>IF(U113="","",ROUND(M113-U113,2))</f>
        <v/>
      </c>
      <c r="W113" s="5" t="n"/>
      <c r="X113" s="5" t="inlineStr">
        <is>
          <t>Source publishes a specialist/sub-contract all-in rate; no labour/plant/material build-up exists to derive from.</t>
        </is>
      </c>
    </row>
    <row r="114" ht="13" customHeight="1">
      <c r="A114" s="4" t="n">
        <v>272</v>
      </c>
      <c r="B114" s="5" t="inlineStr">
        <is>
          <t>IMG_0068</t>
        </is>
      </c>
      <c r="C114" s="5" t="inlineStr">
        <is>
          <t>CLASS C: GEOTECHNICAL AND OTHER SPECIALIST PROCESSES</t>
        </is>
      </c>
      <c r="D114" s="5" t="inlineStr">
        <is>
          <t>01 DRILLING FOR GROUT HOLES</t>
        </is>
      </c>
      <c r="E114" s="5" t="inlineStr">
        <is>
          <t>Upwards at an angle less than 45 deg to the vertical</t>
        </is>
      </c>
      <c r="F114" s="5" t="inlineStr">
        <is>
          <t>depth 10-20 m</t>
        </is>
      </c>
      <c r="G114" s="6" t="inlineStr">
        <is>
          <t>m</t>
        </is>
      </c>
      <c r="H114" s="7" t="n"/>
      <c r="I114" s="8" t="n">
        <v>0</v>
      </c>
      <c r="J114" s="8" t="n">
        <v>0</v>
      </c>
      <c r="K114" s="8" t="n">
        <v>0</v>
      </c>
      <c r="L114" s="8" t="n">
        <v>65.73</v>
      </c>
      <c r="M114" s="9">
        <f>ROUND(SUM(I114:L114),2)</f>
        <v/>
      </c>
      <c r="N114" s="10">
        <f>ROUND(I114*'Irish Basis'!$C$6*'Irish Basis'!$C$5,2)</f>
        <v/>
      </c>
      <c r="O114" s="10">
        <f>ROUND(J114*'Irish Basis'!$C$7*'Irish Basis'!$C$5,2)</f>
        <v/>
      </c>
      <c r="P114" s="10">
        <f>ROUND(K114*'Irish Basis'!$C$8*'Irish Basis'!$C$5,2)</f>
        <v/>
      </c>
      <c r="Q114" s="10">
        <f>ROUND(L114*'Irish Basis'!$C$12*'Irish Basis'!$C$5,2)</f>
        <v/>
      </c>
      <c r="R114" s="11">
        <f>ROUND(SUM(N114:Q114),2)</f>
        <v/>
      </c>
      <c r="S114" s="5" t="inlineStr">
        <is>
          <t>All-in specialist rate</t>
        </is>
      </c>
      <c r="T114" s="14" t="inlineStr">
        <is>
          <t>All-in (not split)</t>
        </is>
      </c>
      <c r="U114" s="8" t="n">
        <v>65.73</v>
      </c>
      <c r="V114" s="13">
        <f>IF(U114="","",ROUND(M114-U114,2))</f>
        <v/>
      </c>
      <c r="W114" s="5" t="n"/>
      <c r="X114" s="5" t="inlineStr">
        <is>
          <t>Source publishes a specialist/sub-contract all-in rate; no labour/plant/material build-up exists to derive from.</t>
        </is>
      </c>
    </row>
    <row r="115" ht="13" customHeight="1">
      <c r="A115" s="4" t="n">
        <v>273</v>
      </c>
      <c r="B115" s="5" t="inlineStr">
        <is>
          <t>IMG_0068</t>
        </is>
      </c>
      <c r="C115" s="5" t="inlineStr">
        <is>
          <t>CLASS C: GEOTECHNICAL AND OTHER SPECIALIST PROCESSES</t>
        </is>
      </c>
      <c r="D115" s="5" t="inlineStr">
        <is>
          <t>01 DRILLING FOR GROUT HOLES</t>
        </is>
      </c>
      <c r="E115" s="5" t="inlineStr">
        <is>
          <t>Upwards at an angle less than 45 deg to the vertical</t>
        </is>
      </c>
      <c r="F115" s="5" t="inlineStr">
        <is>
          <t>depth 20-30 m</t>
        </is>
      </c>
      <c r="G115" s="6" t="inlineStr">
        <is>
          <t>m</t>
        </is>
      </c>
      <c r="H115" s="7" t="n"/>
      <c r="I115" s="8" t="n">
        <v>0</v>
      </c>
      <c r="J115" s="8" t="n">
        <v>0</v>
      </c>
      <c r="K115" s="8" t="n">
        <v>0</v>
      </c>
      <c r="L115" s="8" t="n">
        <v>70.12</v>
      </c>
      <c r="M115" s="9">
        <f>ROUND(SUM(I115:L115),2)</f>
        <v/>
      </c>
      <c r="N115" s="10">
        <f>ROUND(I115*'Irish Basis'!$C$6*'Irish Basis'!$C$5,2)</f>
        <v/>
      </c>
      <c r="O115" s="10">
        <f>ROUND(J115*'Irish Basis'!$C$7*'Irish Basis'!$C$5,2)</f>
        <v/>
      </c>
      <c r="P115" s="10">
        <f>ROUND(K115*'Irish Basis'!$C$8*'Irish Basis'!$C$5,2)</f>
        <v/>
      </c>
      <c r="Q115" s="10">
        <f>ROUND(L115*'Irish Basis'!$C$12*'Irish Basis'!$C$5,2)</f>
        <v/>
      </c>
      <c r="R115" s="11">
        <f>ROUND(SUM(N115:Q115),2)</f>
        <v/>
      </c>
      <c r="S115" s="5" t="inlineStr">
        <is>
          <t>All-in specialist rate</t>
        </is>
      </c>
      <c r="T115" s="14" t="inlineStr">
        <is>
          <t>All-in (not split)</t>
        </is>
      </c>
      <c r="U115" s="8" t="n">
        <v>70.12</v>
      </c>
      <c r="V115" s="13">
        <f>IF(U115="","",ROUND(M115-U115,2))</f>
        <v/>
      </c>
      <c r="W115" s="5" t="n"/>
      <c r="X115" s="5" t="inlineStr">
        <is>
          <t>Source publishes a specialist/sub-contract all-in rate; no labour/plant/material build-up exists to derive from.</t>
        </is>
      </c>
    </row>
    <row r="116" ht="13" customHeight="1">
      <c r="A116" s="4" t="n">
        <v>275</v>
      </c>
      <c r="B116" s="5" t="inlineStr">
        <is>
          <t>IMG_0068</t>
        </is>
      </c>
      <c r="C116" s="5" t="inlineStr">
        <is>
          <t>CLASS C: GEOTECHNICAL AND OTHER SPECIALIST PROCESSES</t>
        </is>
      </c>
      <c r="D116" s="5" t="inlineStr">
        <is>
          <t>01 DRILLING FOR GROUT HOLES</t>
        </is>
      </c>
      <c r="E116" s="5" t="inlineStr">
        <is>
          <t>Drilling through rock or artificial hard material; vertically downwards</t>
        </is>
      </c>
      <c r="F116" s="5" t="inlineStr">
        <is>
          <t>depth ne 5 m</t>
        </is>
      </c>
      <c r="G116" s="6" t="inlineStr">
        <is>
          <t>m</t>
        </is>
      </c>
      <c r="H116" s="7" t="n"/>
      <c r="I116" s="8" t="n">
        <v>0</v>
      </c>
      <c r="J116" s="8" t="n">
        <v>0</v>
      </c>
      <c r="K116" s="8" t="n">
        <v>0</v>
      </c>
      <c r="L116" s="8" t="n">
        <v>32.94</v>
      </c>
      <c r="M116" s="9">
        <f>ROUND(SUM(I116:L116),2)</f>
        <v/>
      </c>
      <c r="N116" s="10">
        <f>ROUND(I116*'Irish Basis'!$C$6*'Irish Basis'!$C$5,2)</f>
        <v/>
      </c>
      <c r="O116" s="10">
        <f>ROUND(J116*'Irish Basis'!$C$7*'Irish Basis'!$C$5,2)</f>
        <v/>
      </c>
      <c r="P116" s="10">
        <f>ROUND(K116*'Irish Basis'!$C$8*'Irish Basis'!$C$5,2)</f>
        <v/>
      </c>
      <c r="Q116" s="10">
        <f>ROUND(L116*'Irish Basis'!$C$12*'Irish Basis'!$C$5,2)</f>
        <v/>
      </c>
      <c r="R116" s="11">
        <f>ROUND(SUM(N116:Q116),2)</f>
        <v/>
      </c>
      <c r="S116" s="5" t="inlineStr">
        <is>
          <t>All-in specialist rate</t>
        </is>
      </c>
      <c r="T116" s="14" t="inlineStr">
        <is>
          <t>All-in (not split)</t>
        </is>
      </c>
      <c r="U116" s="8" t="n">
        <v>32.94</v>
      </c>
      <c r="V116" s="13">
        <f>IF(U116="","",ROUND(M116-U116,2))</f>
        <v/>
      </c>
      <c r="W116" s="5" t="n"/>
      <c r="X116" s="5" t="inlineStr">
        <is>
          <t>Source publishes a specialist/sub-contract all-in rate; no labour/plant/material build-up exists to derive from.</t>
        </is>
      </c>
    </row>
    <row r="117" ht="13" customHeight="1">
      <c r="A117" s="4" t="n">
        <v>276</v>
      </c>
      <c r="B117" s="5" t="inlineStr">
        <is>
          <t>IMG_0068</t>
        </is>
      </c>
      <c r="C117" s="5" t="inlineStr">
        <is>
          <t>CLASS C: GEOTECHNICAL AND OTHER SPECIALIST PROCESSES</t>
        </is>
      </c>
      <c r="D117" s="5" t="inlineStr">
        <is>
          <t>01 DRILLING FOR GROUT HOLES</t>
        </is>
      </c>
      <c r="E117" s="5" t="inlineStr">
        <is>
          <t>Drilling through rock or artificial hard material; vertically downwards</t>
        </is>
      </c>
      <c r="F117" s="5" t="inlineStr">
        <is>
          <t>depth 5-10 m</t>
        </is>
      </c>
      <c r="G117" s="6" t="inlineStr">
        <is>
          <t>m</t>
        </is>
      </c>
      <c r="H117" s="7" t="n"/>
      <c r="I117" s="8" t="n">
        <v>0</v>
      </c>
      <c r="J117" s="8" t="n">
        <v>0</v>
      </c>
      <c r="K117" s="8" t="n">
        <v>0</v>
      </c>
      <c r="L117" s="8" t="n">
        <v>40.44</v>
      </c>
      <c r="M117" s="9">
        <f>ROUND(SUM(I117:L117),2)</f>
        <v/>
      </c>
      <c r="N117" s="10">
        <f>ROUND(I117*'Irish Basis'!$C$6*'Irish Basis'!$C$5,2)</f>
        <v/>
      </c>
      <c r="O117" s="10">
        <f>ROUND(J117*'Irish Basis'!$C$7*'Irish Basis'!$C$5,2)</f>
        <v/>
      </c>
      <c r="P117" s="10">
        <f>ROUND(K117*'Irish Basis'!$C$8*'Irish Basis'!$C$5,2)</f>
        <v/>
      </c>
      <c r="Q117" s="10">
        <f>ROUND(L117*'Irish Basis'!$C$12*'Irish Basis'!$C$5,2)</f>
        <v/>
      </c>
      <c r="R117" s="11">
        <f>ROUND(SUM(N117:Q117),2)</f>
        <v/>
      </c>
      <c r="S117" s="5" t="inlineStr">
        <is>
          <t>All-in specialist rate</t>
        </is>
      </c>
      <c r="T117" s="14" t="inlineStr">
        <is>
          <t>All-in (not split)</t>
        </is>
      </c>
      <c r="U117" s="8" t="n">
        <v>40.44</v>
      </c>
      <c r="V117" s="13">
        <f>IF(U117="","",ROUND(M117-U117,2))</f>
        <v/>
      </c>
      <c r="W117" s="5" t="n"/>
      <c r="X117" s="5" t="inlineStr">
        <is>
          <t>Source publishes a specialist/sub-contract all-in rate; no labour/plant/material build-up exists to derive from.</t>
        </is>
      </c>
    </row>
    <row r="118" ht="13" customHeight="1">
      <c r="A118" s="4" t="n">
        <v>277</v>
      </c>
      <c r="B118" s="5" t="inlineStr">
        <is>
          <t>IMG_0068</t>
        </is>
      </c>
      <c r="C118" s="5" t="inlineStr">
        <is>
          <t>CLASS C: GEOTECHNICAL AND OTHER SPECIALIST PROCESSES</t>
        </is>
      </c>
      <c r="D118" s="5" t="inlineStr">
        <is>
          <t>01 DRILLING FOR GROUT HOLES</t>
        </is>
      </c>
      <c r="E118" s="5" t="inlineStr">
        <is>
          <t>Drilling through rock or artificial hard material; vertically downwards</t>
        </is>
      </c>
      <c r="F118" s="5" t="inlineStr">
        <is>
          <t>depth 10-20 m</t>
        </is>
      </c>
      <c r="G118" s="6" t="inlineStr">
        <is>
          <t>m</t>
        </is>
      </c>
      <c r="H118" s="7" t="n"/>
      <c r="I118" s="8" t="n">
        <v>0</v>
      </c>
      <c r="J118" s="8" t="n">
        <v>0</v>
      </c>
      <c r="K118" s="8" t="n">
        <v>0</v>
      </c>
      <c r="L118" s="8" t="n">
        <v>49.21</v>
      </c>
      <c r="M118" s="9">
        <f>ROUND(SUM(I118:L118),2)</f>
        <v/>
      </c>
      <c r="N118" s="10">
        <f>ROUND(I118*'Irish Basis'!$C$6*'Irish Basis'!$C$5,2)</f>
        <v/>
      </c>
      <c r="O118" s="10">
        <f>ROUND(J118*'Irish Basis'!$C$7*'Irish Basis'!$C$5,2)</f>
        <v/>
      </c>
      <c r="P118" s="10">
        <f>ROUND(K118*'Irish Basis'!$C$8*'Irish Basis'!$C$5,2)</f>
        <v/>
      </c>
      <c r="Q118" s="10">
        <f>ROUND(L118*'Irish Basis'!$C$12*'Irish Basis'!$C$5,2)</f>
        <v/>
      </c>
      <c r="R118" s="11">
        <f>ROUND(SUM(N118:Q118),2)</f>
        <v/>
      </c>
      <c r="S118" s="5" t="inlineStr">
        <is>
          <t>All-in specialist rate</t>
        </is>
      </c>
      <c r="T118" s="14" t="inlineStr">
        <is>
          <t>All-in (not split)</t>
        </is>
      </c>
      <c r="U118" s="8" t="n">
        <v>49.21</v>
      </c>
      <c r="V118" s="13">
        <f>IF(U118="","",ROUND(M118-U118,2))</f>
        <v/>
      </c>
      <c r="W118" s="5" t="n"/>
      <c r="X118" s="5" t="inlineStr">
        <is>
          <t>Source publishes a specialist/sub-contract all-in rate; no labour/plant/material build-up exists to derive from.</t>
        </is>
      </c>
    </row>
    <row r="119" ht="13" customHeight="1">
      <c r="A119" s="4" t="n">
        <v>278</v>
      </c>
      <c r="B119" s="5" t="inlineStr">
        <is>
          <t>IMG_0068</t>
        </is>
      </c>
      <c r="C119" s="5" t="inlineStr">
        <is>
          <t>CLASS C: GEOTECHNICAL AND OTHER SPECIALIST PROCESSES</t>
        </is>
      </c>
      <c r="D119" s="5" t="inlineStr">
        <is>
          <t>01 DRILLING FOR GROUT HOLES</t>
        </is>
      </c>
      <c r="E119" s="5" t="inlineStr">
        <is>
          <t>Drilling through rock or artificial hard material; vertically downwards</t>
        </is>
      </c>
      <c r="F119" s="5" t="inlineStr">
        <is>
          <t>depth 20-30 m</t>
        </is>
      </c>
      <c r="G119" s="6" t="inlineStr">
        <is>
          <t>m</t>
        </is>
      </c>
      <c r="H119" s="7" t="n"/>
      <c r="I119" s="8" t="n">
        <v>0</v>
      </c>
      <c r="J119" s="8" t="n">
        <v>0</v>
      </c>
      <c r="K119" s="8" t="n">
        <v>0</v>
      </c>
      <c r="L119" s="8" t="n">
        <v>61.51</v>
      </c>
      <c r="M119" s="9">
        <f>ROUND(SUM(I119:L119),2)</f>
        <v/>
      </c>
      <c r="N119" s="10">
        <f>ROUND(I119*'Irish Basis'!$C$6*'Irish Basis'!$C$5,2)</f>
        <v/>
      </c>
      <c r="O119" s="10">
        <f>ROUND(J119*'Irish Basis'!$C$7*'Irish Basis'!$C$5,2)</f>
        <v/>
      </c>
      <c r="P119" s="10">
        <f>ROUND(K119*'Irish Basis'!$C$8*'Irish Basis'!$C$5,2)</f>
        <v/>
      </c>
      <c r="Q119" s="10">
        <f>ROUND(L119*'Irish Basis'!$C$12*'Irish Basis'!$C$5,2)</f>
        <v/>
      </c>
      <c r="R119" s="11">
        <f>ROUND(SUM(N119:Q119),2)</f>
        <v/>
      </c>
      <c r="S119" s="5" t="inlineStr">
        <is>
          <t>All-in specialist rate</t>
        </is>
      </c>
      <c r="T119" s="14" t="inlineStr">
        <is>
          <t>All-in (not split)</t>
        </is>
      </c>
      <c r="U119" s="8" t="n">
        <v>61.51</v>
      </c>
      <c r="V119" s="13">
        <f>IF(U119="","",ROUND(M119-U119,2))</f>
        <v/>
      </c>
      <c r="W119" s="5" t="n"/>
      <c r="X119" s="5" t="inlineStr">
        <is>
          <t>Source publishes a specialist/sub-contract all-in rate; no labour/plant/material build-up exists to derive from.</t>
        </is>
      </c>
    </row>
    <row r="120" ht="13" customHeight="1">
      <c r="A120" s="4" t="n">
        <v>280</v>
      </c>
      <c r="B120" s="5" t="inlineStr">
        <is>
          <t>IMG_0068</t>
        </is>
      </c>
      <c r="C120" s="5" t="inlineStr">
        <is>
          <t>CLASS C: GEOTECHNICAL AND OTHER SPECIALIST PROCESSES</t>
        </is>
      </c>
      <c r="D120" s="5" t="inlineStr">
        <is>
          <t>01 DRILLING FOR GROUT HOLES</t>
        </is>
      </c>
      <c r="E120" s="5" t="inlineStr">
        <is>
          <t>Drilling through rock or artificial hard material; downwards at an angle 0-45 deg to the vertical</t>
        </is>
      </c>
      <c r="F120" s="5" t="inlineStr">
        <is>
          <t>depth ne 5 m</t>
        </is>
      </c>
      <c r="G120" s="6" t="inlineStr">
        <is>
          <t>m</t>
        </is>
      </c>
      <c r="H120" s="7" t="n"/>
      <c r="I120" s="8" t="n">
        <v>0</v>
      </c>
      <c r="J120" s="8" t="n">
        <v>0</v>
      </c>
      <c r="K120" s="8" t="n">
        <v>0</v>
      </c>
      <c r="L120" s="8" t="n">
        <v>32.94</v>
      </c>
      <c r="M120" s="9">
        <f>ROUND(SUM(I120:L120),2)</f>
        <v/>
      </c>
      <c r="N120" s="10">
        <f>ROUND(I120*'Irish Basis'!$C$6*'Irish Basis'!$C$5,2)</f>
        <v/>
      </c>
      <c r="O120" s="10">
        <f>ROUND(J120*'Irish Basis'!$C$7*'Irish Basis'!$C$5,2)</f>
        <v/>
      </c>
      <c r="P120" s="10">
        <f>ROUND(K120*'Irish Basis'!$C$8*'Irish Basis'!$C$5,2)</f>
        <v/>
      </c>
      <c r="Q120" s="10">
        <f>ROUND(L120*'Irish Basis'!$C$12*'Irish Basis'!$C$5,2)</f>
        <v/>
      </c>
      <c r="R120" s="11">
        <f>ROUND(SUM(N120:Q120),2)</f>
        <v/>
      </c>
      <c r="S120" s="5" t="inlineStr">
        <is>
          <t>All-in specialist rate</t>
        </is>
      </c>
      <c r="T120" s="14" t="inlineStr">
        <is>
          <t>All-in (not split)</t>
        </is>
      </c>
      <c r="U120" s="8" t="n">
        <v>32.94</v>
      </c>
      <c r="V120" s="13">
        <f>IF(U120="","",ROUND(M120-U120,2))</f>
        <v/>
      </c>
      <c r="W120" s="5" t="n"/>
      <c r="X120" s="5" t="inlineStr">
        <is>
          <t>Source publishes a specialist/sub-contract all-in rate; no labour/plant/material build-up exists to derive from.</t>
        </is>
      </c>
    </row>
    <row r="121" ht="13" customHeight="1">
      <c r="A121" s="4" t="n">
        <v>281</v>
      </c>
      <c r="B121" s="5" t="inlineStr">
        <is>
          <t>IMG_0068</t>
        </is>
      </c>
      <c r="C121" s="5" t="inlineStr">
        <is>
          <t>CLASS C: GEOTECHNICAL AND OTHER SPECIALIST PROCESSES</t>
        </is>
      </c>
      <c r="D121" s="5" t="inlineStr">
        <is>
          <t>01 DRILLING FOR GROUT HOLES</t>
        </is>
      </c>
      <c r="E121" s="5" t="inlineStr">
        <is>
          <t>Drilling through rock or artificial hard material; downwards at an angle 0-45 deg to the vertical</t>
        </is>
      </c>
      <c r="F121" s="5" t="inlineStr">
        <is>
          <t>depth 5-10 m</t>
        </is>
      </c>
      <c r="G121" s="6" t="inlineStr">
        <is>
          <t>m</t>
        </is>
      </c>
      <c r="H121" s="7" t="n"/>
      <c r="I121" s="8" t="n">
        <v>0</v>
      </c>
      <c r="J121" s="8" t="n">
        <v>0</v>
      </c>
      <c r="K121" s="8" t="n">
        <v>0</v>
      </c>
      <c r="L121" s="8" t="n">
        <v>40.44</v>
      </c>
      <c r="M121" s="9">
        <f>ROUND(SUM(I121:L121),2)</f>
        <v/>
      </c>
      <c r="N121" s="10">
        <f>ROUND(I121*'Irish Basis'!$C$6*'Irish Basis'!$C$5,2)</f>
        <v/>
      </c>
      <c r="O121" s="10">
        <f>ROUND(J121*'Irish Basis'!$C$7*'Irish Basis'!$C$5,2)</f>
        <v/>
      </c>
      <c r="P121" s="10">
        <f>ROUND(K121*'Irish Basis'!$C$8*'Irish Basis'!$C$5,2)</f>
        <v/>
      </c>
      <c r="Q121" s="10">
        <f>ROUND(L121*'Irish Basis'!$C$12*'Irish Basis'!$C$5,2)</f>
        <v/>
      </c>
      <c r="R121" s="11">
        <f>ROUND(SUM(N121:Q121),2)</f>
        <v/>
      </c>
      <c r="S121" s="5" t="inlineStr">
        <is>
          <t>All-in specialist rate</t>
        </is>
      </c>
      <c r="T121" s="14" t="inlineStr">
        <is>
          <t>All-in (not split)</t>
        </is>
      </c>
      <c r="U121" s="8" t="n">
        <v>40.44</v>
      </c>
      <c r="V121" s="13">
        <f>IF(U121="","",ROUND(M121-U121,2))</f>
        <v/>
      </c>
      <c r="W121" s="5" t="n"/>
      <c r="X121" s="5" t="inlineStr">
        <is>
          <t>Source publishes a specialist/sub-contract all-in rate; no labour/plant/material build-up exists to derive from.</t>
        </is>
      </c>
    </row>
    <row r="122" ht="13" customHeight="1">
      <c r="A122" s="4" t="n">
        <v>282</v>
      </c>
      <c r="B122" s="5" t="inlineStr">
        <is>
          <t>IMG_0068</t>
        </is>
      </c>
      <c r="C122" s="5" t="inlineStr">
        <is>
          <t>CLASS C: GEOTECHNICAL AND OTHER SPECIALIST PROCESSES</t>
        </is>
      </c>
      <c r="D122" s="5" t="inlineStr">
        <is>
          <t>01 DRILLING FOR GROUT HOLES</t>
        </is>
      </c>
      <c r="E122" s="5" t="inlineStr">
        <is>
          <t>Drilling through rock or artificial hard material; downwards at an angle 0-45 deg to the vertical</t>
        </is>
      </c>
      <c r="F122" s="5" t="inlineStr">
        <is>
          <t>depth 10-20 m</t>
        </is>
      </c>
      <c r="G122" s="6" t="inlineStr">
        <is>
          <t>m</t>
        </is>
      </c>
      <c r="H122" s="7" t="n"/>
      <c r="I122" s="8" t="n">
        <v>0</v>
      </c>
      <c r="J122" s="8" t="n">
        <v>0</v>
      </c>
      <c r="K122" s="8" t="n">
        <v>0</v>
      </c>
      <c r="L122" s="8" t="n">
        <v>49.21</v>
      </c>
      <c r="M122" s="9">
        <f>ROUND(SUM(I122:L122),2)</f>
        <v/>
      </c>
      <c r="N122" s="10">
        <f>ROUND(I122*'Irish Basis'!$C$6*'Irish Basis'!$C$5,2)</f>
        <v/>
      </c>
      <c r="O122" s="10">
        <f>ROUND(J122*'Irish Basis'!$C$7*'Irish Basis'!$C$5,2)</f>
        <v/>
      </c>
      <c r="P122" s="10">
        <f>ROUND(K122*'Irish Basis'!$C$8*'Irish Basis'!$C$5,2)</f>
        <v/>
      </c>
      <c r="Q122" s="10">
        <f>ROUND(L122*'Irish Basis'!$C$12*'Irish Basis'!$C$5,2)</f>
        <v/>
      </c>
      <c r="R122" s="11">
        <f>ROUND(SUM(N122:Q122),2)</f>
        <v/>
      </c>
      <c r="S122" s="5" t="inlineStr">
        <is>
          <t>All-in specialist rate</t>
        </is>
      </c>
      <c r="T122" s="14" t="inlineStr">
        <is>
          <t>All-in (not split)</t>
        </is>
      </c>
      <c r="U122" s="8" t="n">
        <v>49.21</v>
      </c>
      <c r="V122" s="13">
        <f>IF(U122="","",ROUND(M122-U122,2))</f>
        <v/>
      </c>
      <c r="W122" s="5" t="n"/>
      <c r="X122" s="5" t="inlineStr">
        <is>
          <t>Source publishes a specialist/sub-contract all-in rate; no labour/plant/material build-up exists to derive from.</t>
        </is>
      </c>
    </row>
    <row r="123" ht="13" customHeight="1">
      <c r="A123" s="4" t="n">
        <v>283</v>
      </c>
      <c r="B123" s="5" t="inlineStr">
        <is>
          <t>IMG_0068</t>
        </is>
      </c>
      <c r="C123" s="5" t="inlineStr">
        <is>
          <t>CLASS C: GEOTECHNICAL AND OTHER SPECIALIST PROCESSES</t>
        </is>
      </c>
      <c r="D123" s="5" t="inlineStr">
        <is>
          <t>01 DRILLING FOR GROUT HOLES</t>
        </is>
      </c>
      <c r="E123" s="5" t="inlineStr">
        <is>
          <t>Drilling through rock or artificial hard material; downwards at an angle 0-45 deg to the vertical</t>
        </is>
      </c>
      <c r="F123" s="5" t="inlineStr">
        <is>
          <t>depth 20-30 m</t>
        </is>
      </c>
      <c r="G123" s="6" t="inlineStr">
        <is>
          <t>m</t>
        </is>
      </c>
      <c r="H123" s="7" t="n"/>
      <c r="I123" s="8" t="n">
        <v>0</v>
      </c>
      <c r="J123" s="8" t="n">
        <v>0</v>
      </c>
      <c r="K123" s="8" t="n">
        <v>0</v>
      </c>
      <c r="L123" s="8" t="n">
        <v>61.51</v>
      </c>
      <c r="M123" s="9">
        <f>ROUND(SUM(I123:L123),2)</f>
        <v/>
      </c>
      <c r="N123" s="10">
        <f>ROUND(I123*'Irish Basis'!$C$6*'Irish Basis'!$C$5,2)</f>
        <v/>
      </c>
      <c r="O123" s="10">
        <f>ROUND(J123*'Irish Basis'!$C$7*'Irish Basis'!$C$5,2)</f>
        <v/>
      </c>
      <c r="P123" s="10">
        <f>ROUND(K123*'Irish Basis'!$C$8*'Irish Basis'!$C$5,2)</f>
        <v/>
      </c>
      <c r="Q123" s="10">
        <f>ROUND(L123*'Irish Basis'!$C$12*'Irish Basis'!$C$5,2)</f>
        <v/>
      </c>
      <c r="R123" s="11">
        <f>ROUND(SUM(N123:Q123),2)</f>
        <v/>
      </c>
      <c r="S123" s="5" t="inlineStr">
        <is>
          <t>All-in specialist rate</t>
        </is>
      </c>
      <c r="T123" s="14" t="inlineStr">
        <is>
          <t>All-in (not split)</t>
        </is>
      </c>
      <c r="U123" s="8" t="n">
        <v>61.51</v>
      </c>
      <c r="V123" s="13">
        <f>IF(U123="","",ROUND(M123-U123,2))</f>
        <v/>
      </c>
      <c r="W123" s="5" t="n"/>
      <c r="X123" s="5" t="inlineStr">
        <is>
          <t>Source publishes a specialist/sub-contract all-in rate; no labour/plant/material build-up exists to derive from.</t>
        </is>
      </c>
    </row>
    <row r="124" ht="13" customHeight="1">
      <c r="A124" s="4" t="n">
        <v>285</v>
      </c>
      <c r="B124" s="5" t="inlineStr">
        <is>
          <t>IMG_0068</t>
        </is>
      </c>
      <c r="C124" s="5" t="inlineStr">
        <is>
          <t>CLASS C: GEOTECHNICAL AND OTHER SPECIALIST PROCESSES</t>
        </is>
      </c>
      <c r="D124" s="5" t="inlineStr">
        <is>
          <t>01 DRILLING FOR GROUT HOLES</t>
        </is>
      </c>
      <c r="E124" s="5" t="inlineStr">
        <is>
          <t>Drilling through rock or artificial hard material; horizontally or downwards at an angle less than 45 deg to the horizontal</t>
        </is>
      </c>
      <c r="F124" s="5" t="inlineStr">
        <is>
          <t>depth ne 5 m</t>
        </is>
      </c>
      <c r="G124" s="6" t="inlineStr">
        <is>
          <t>m</t>
        </is>
      </c>
      <c r="H124" s="7" t="n"/>
      <c r="I124" s="8" t="n">
        <v>0</v>
      </c>
      <c r="J124" s="8" t="n">
        <v>0</v>
      </c>
      <c r="K124" s="8" t="n">
        <v>0</v>
      </c>
      <c r="L124" s="8" t="n">
        <v>32.94</v>
      </c>
      <c r="M124" s="9">
        <f>ROUND(SUM(I124:L124),2)</f>
        <v/>
      </c>
      <c r="N124" s="10">
        <f>ROUND(I124*'Irish Basis'!$C$6*'Irish Basis'!$C$5,2)</f>
        <v/>
      </c>
      <c r="O124" s="10">
        <f>ROUND(J124*'Irish Basis'!$C$7*'Irish Basis'!$C$5,2)</f>
        <v/>
      </c>
      <c r="P124" s="10">
        <f>ROUND(K124*'Irish Basis'!$C$8*'Irish Basis'!$C$5,2)</f>
        <v/>
      </c>
      <c r="Q124" s="10">
        <f>ROUND(L124*'Irish Basis'!$C$12*'Irish Basis'!$C$5,2)</f>
        <v/>
      </c>
      <c r="R124" s="11">
        <f>ROUND(SUM(N124:Q124),2)</f>
        <v/>
      </c>
      <c r="S124" s="5" t="inlineStr">
        <is>
          <t>All-in specialist rate</t>
        </is>
      </c>
      <c r="T124" s="14" t="inlineStr">
        <is>
          <t>All-in (not split)</t>
        </is>
      </c>
      <c r="U124" s="8" t="n">
        <v>32.94</v>
      </c>
      <c r="V124" s="13">
        <f>IF(U124="","",ROUND(M124-U124,2))</f>
        <v/>
      </c>
      <c r="W124" s="5" t="n"/>
      <c r="X124" s="5" t="inlineStr">
        <is>
          <t>Source publishes a specialist/sub-contract all-in rate; no labour/plant/material build-up exists to derive from.</t>
        </is>
      </c>
    </row>
    <row r="125" ht="13" customHeight="1">
      <c r="A125" s="4" t="n">
        <v>286</v>
      </c>
      <c r="B125" s="5" t="inlineStr">
        <is>
          <t>IMG_0068</t>
        </is>
      </c>
      <c r="C125" s="5" t="inlineStr">
        <is>
          <t>CLASS C: GEOTECHNICAL AND OTHER SPECIALIST PROCESSES</t>
        </is>
      </c>
      <c r="D125" s="5" t="inlineStr">
        <is>
          <t>01 DRILLING FOR GROUT HOLES</t>
        </is>
      </c>
      <c r="E125" s="5" t="inlineStr">
        <is>
          <t>Drilling through rock or artificial hard material; horizontally or downwards at an angle less than 45 deg to the horizontal</t>
        </is>
      </c>
      <c r="F125" s="5" t="inlineStr">
        <is>
          <t>depth 5-10 m</t>
        </is>
      </c>
      <c r="G125" s="6" t="inlineStr">
        <is>
          <t>m</t>
        </is>
      </c>
      <c r="H125" s="7" t="n"/>
      <c r="I125" s="8" t="n">
        <v>0</v>
      </c>
      <c r="J125" s="8" t="n">
        <v>0</v>
      </c>
      <c r="K125" s="8" t="n">
        <v>0</v>
      </c>
      <c r="L125" s="8" t="n">
        <v>40.44</v>
      </c>
      <c r="M125" s="9">
        <f>ROUND(SUM(I125:L125),2)</f>
        <v/>
      </c>
      <c r="N125" s="10">
        <f>ROUND(I125*'Irish Basis'!$C$6*'Irish Basis'!$C$5,2)</f>
        <v/>
      </c>
      <c r="O125" s="10">
        <f>ROUND(J125*'Irish Basis'!$C$7*'Irish Basis'!$C$5,2)</f>
        <v/>
      </c>
      <c r="P125" s="10">
        <f>ROUND(K125*'Irish Basis'!$C$8*'Irish Basis'!$C$5,2)</f>
        <v/>
      </c>
      <c r="Q125" s="10">
        <f>ROUND(L125*'Irish Basis'!$C$12*'Irish Basis'!$C$5,2)</f>
        <v/>
      </c>
      <c r="R125" s="11">
        <f>ROUND(SUM(N125:Q125),2)</f>
        <v/>
      </c>
      <c r="S125" s="5" t="inlineStr">
        <is>
          <t>All-in specialist rate</t>
        </is>
      </c>
      <c r="T125" s="14" t="inlineStr">
        <is>
          <t>All-in (not split)</t>
        </is>
      </c>
      <c r="U125" s="8" t="n">
        <v>40.44</v>
      </c>
      <c r="V125" s="13">
        <f>IF(U125="","",ROUND(M125-U125,2))</f>
        <v/>
      </c>
      <c r="W125" s="5" t="n"/>
      <c r="X125" s="5" t="inlineStr">
        <is>
          <t>Source publishes a specialist/sub-contract all-in rate; no labour/plant/material build-up exists to derive from.</t>
        </is>
      </c>
    </row>
    <row r="126" ht="13" customHeight="1">
      <c r="A126" s="4" t="n">
        <v>287</v>
      </c>
      <c r="B126" s="5" t="inlineStr">
        <is>
          <t>IMG_0068</t>
        </is>
      </c>
      <c r="C126" s="5" t="inlineStr">
        <is>
          <t>CLASS C: GEOTECHNICAL AND OTHER SPECIALIST PROCESSES</t>
        </is>
      </c>
      <c r="D126" s="5" t="inlineStr">
        <is>
          <t>01 DRILLING FOR GROUT HOLES</t>
        </is>
      </c>
      <c r="E126" s="5" t="inlineStr">
        <is>
          <t>Drilling through rock or artificial hard material; horizontally or downwards at an angle less than 45 deg to the horizontal</t>
        </is>
      </c>
      <c r="F126" s="5" t="inlineStr">
        <is>
          <t>depth 10-20 m</t>
        </is>
      </c>
      <c r="G126" s="6" t="inlineStr">
        <is>
          <t>m</t>
        </is>
      </c>
      <c r="H126" s="7" t="n"/>
      <c r="I126" s="8" t="n">
        <v>0</v>
      </c>
      <c r="J126" s="8" t="n">
        <v>0</v>
      </c>
      <c r="K126" s="8" t="n">
        <v>0</v>
      </c>
      <c r="L126" s="8" t="n">
        <v>49.21</v>
      </c>
      <c r="M126" s="9">
        <f>ROUND(SUM(I126:L126),2)</f>
        <v/>
      </c>
      <c r="N126" s="10">
        <f>ROUND(I126*'Irish Basis'!$C$6*'Irish Basis'!$C$5,2)</f>
        <v/>
      </c>
      <c r="O126" s="10">
        <f>ROUND(J126*'Irish Basis'!$C$7*'Irish Basis'!$C$5,2)</f>
        <v/>
      </c>
      <c r="P126" s="10">
        <f>ROUND(K126*'Irish Basis'!$C$8*'Irish Basis'!$C$5,2)</f>
        <v/>
      </c>
      <c r="Q126" s="10">
        <f>ROUND(L126*'Irish Basis'!$C$12*'Irish Basis'!$C$5,2)</f>
        <v/>
      </c>
      <c r="R126" s="11">
        <f>ROUND(SUM(N126:Q126),2)</f>
        <v/>
      </c>
      <c r="S126" s="5" t="inlineStr">
        <is>
          <t>All-in specialist rate</t>
        </is>
      </c>
      <c r="T126" s="14" t="inlineStr">
        <is>
          <t>All-in (not split)</t>
        </is>
      </c>
      <c r="U126" s="8" t="n">
        <v>49.21</v>
      </c>
      <c r="V126" s="13">
        <f>IF(U126="","",ROUND(M126-U126,2))</f>
        <v/>
      </c>
      <c r="W126" s="5" t="n"/>
      <c r="X126" s="5" t="inlineStr">
        <is>
          <t>Source publishes a specialist/sub-contract all-in rate; no labour/plant/material build-up exists to derive from.</t>
        </is>
      </c>
    </row>
    <row r="127" ht="13" customHeight="1">
      <c r="A127" s="4" t="n">
        <v>288</v>
      </c>
      <c r="B127" s="5" t="inlineStr">
        <is>
          <t>IMG_0068</t>
        </is>
      </c>
      <c r="C127" s="5" t="inlineStr">
        <is>
          <t>CLASS C: GEOTECHNICAL AND OTHER SPECIALIST PROCESSES</t>
        </is>
      </c>
      <c r="D127" s="5" t="inlineStr">
        <is>
          <t>01 DRILLING FOR GROUT HOLES</t>
        </is>
      </c>
      <c r="E127" s="5" t="inlineStr">
        <is>
          <t>Drilling through rock or artificial hard material; horizontally or downwards at an angle less than 45 deg to the horizontal</t>
        </is>
      </c>
      <c r="F127" s="5" t="inlineStr">
        <is>
          <t>depth 20-30 m</t>
        </is>
      </c>
      <c r="G127" s="6" t="inlineStr">
        <is>
          <t>m</t>
        </is>
      </c>
      <c r="H127" s="7" t="n"/>
      <c r="I127" s="8" t="n">
        <v>0</v>
      </c>
      <c r="J127" s="8" t="n">
        <v>0</v>
      </c>
      <c r="K127" s="8" t="n">
        <v>0</v>
      </c>
      <c r="L127" s="8" t="n">
        <v>61.51</v>
      </c>
      <c r="M127" s="9">
        <f>ROUND(SUM(I127:L127),2)</f>
        <v/>
      </c>
      <c r="N127" s="10">
        <f>ROUND(I127*'Irish Basis'!$C$6*'Irish Basis'!$C$5,2)</f>
        <v/>
      </c>
      <c r="O127" s="10">
        <f>ROUND(J127*'Irish Basis'!$C$7*'Irish Basis'!$C$5,2)</f>
        <v/>
      </c>
      <c r="P127" s="10">
        <f>ROUND(K127*'Irish Basis'!$C$8*'Irish Basis'!$C$5,2)</f>
        <v/>
      </c>
      <c r="Q127" s="10">
        <f>ROUND(L127*'Irish Basis'!$C$12*'Irish Basis'!$C$5,2)</f>
        <v/>
      </c>
      <c r="R127" s="11">
        <f>ROUND(SUM(N127:Q127),2)</f>
        <v/>
      </c>
      <c r="S127" s="5" t="inlineStr">
        <is>
          <t>All-in specialist rate</t>
        </is>
      </c>
      <c r="T127" s="14" t="inlineStr">
        <is>
          <t>All-in (not split)</t>
        </is>
      </c>
      <c r="U127" s="8" t="n">
        <v>61.51</v>
      </c>
      <c r="V127" s="13">
        <f>IF(U127="","",ROUND(M127-U127,2))</f>
        <v/>
      </c>
      <c r="W127" s="5" t="n"/>
      <c r="X127" s="5" t="inlineStr">
        <is>
          <t>Source publishes a specialist/sub-contract all-in rate; no labour/plant/material build-up exists to derive from.</t>
        </is>
      </c>
    </row>
    <row r="128" ht="13" customHeight="1">
      <c r="A128" s="4" t="n">
        <v>290</v>
      </c>
      <c r="B128" s="5" t="inlineStr">
        <is>
          <t>IMG_0068</t>
        </is>
      </c>
      <c r="C128" s="5" t="inlineStr">
        <is>
          <t>CLASS C: GEOTECHNICAL AND OTHER SPECIALIST PROCESSES</t>
        </is>
      </c>
      <c r="D128" s="5" t="inlineStr">
        <is>
          <t>01 DRILLING FOR GROUT HOLES</t>
        </is>
      </c>
      <c r="E128" s="5" t="inlineStr">
        <is>
          <t>Drilling through rock or artificial hard material; upwards at an angle 0-45 deg to the horizontal</t>
        </is>
      </c>
      <c r="F128" s="5" t="inlineStr">
        <is>
          <t>depth ne 5 m</t>
        </is>
      </c>
      <c r="G128" s="6" t="inlineStr">
        <is>
          <t>m</t>
        </is>
      </c>
      <c r="H128" s="7" t="n"/>
      <c r="I128" s="8" t="n">
        <v>0</v>
      </c>
      <c r="J128" s="8" t="n">
        <v>0</v>
      </c>
      <c r="K128" s="8" t="n">
        <v>0</v>
      </c>
      <c r="L128" s="8" t="n">
        <v>36.98</v>
      </c>
      <c r="M128" s="9">
        <f>ROUND(SUM(I128:L128),2)</f>
        <v/>
      </c>
      <c r="N128" s="10">
        <f>ROUND(I128*'Irish Basis'!$C$6*'Irish Basis'!$C$5,2)</f>
        <v/>
      </c>
      <c r="O128" s="10">
        <f>ROUND(J128*'Irish Basis'!$C$7*'Irish Basis'!$C$5,2)</f>
        <v/>
      </c>
      <c r="P128" s="10">
        <f>ROUND(K128*'Irish Basis'!$C$8*'Irish Basis'!$C$5,2)</f>
        <v/>
      </c>
      <c r="Q128" s="10">
        <f>ROUND(L128*'Irish Basis'!$C$12*'Irish Basis'!$C$5,2)</f>
        <v/>
      </c>
      <c r="R128" s="11">
        <f>ROUND(SUM(N128:Q128),2)</f>
        <v/>
      </c>
      <c r="S128" s="5" t="inlineStr">
        <is>
          <t>All-in specialist rate</t>
        </is>
      </c>
      <c r="T128" s="14" t="inlineStr">
        <is>
          <t>All-in (not split)</t>
        </is>
      </c>
      <c r="U128" s="8" t="n">
        <v>36.98</v>
      </c>
      <c r="V128" s="13">
        <f>IF(U128="","",ROUND(M128-U128,2))</f>
        <v/>
      </c>
      <c r="W128" s="5" t="n"/>
      <c r="X128" s="5" t="inlineStr">
        <is>
          <t>Source publishes a specialist/sub-contract all-in rate; no labour/plant/material build-up exists to derive from.</t>
        </is>
      </c>
    </row>
    <row r="129" ht="13" customHeight="1">
      <c r="A129" s="4" t="n">
        <v>291</v>
      </c>
      <c r="B129" s="5" t="inlineStr">
        <is>
          <t>IMG_0068</t>
        </is>
      </c>
      <c r="C129" s="5" t="inlineStr">
        <is>
          <t>CLASS C: GEOTECHNICAL AND OTHER SPECIALIST PROCESSES</t>
        </is>
      </c>
      <c r="D129" s="5" t="inlineStr">
        <is>
          <t>01 DRILLING FOR GROUT HOLES</t>
        </is>
      </c>
      <c r="E129" s="5" t="inlineStr">
        <is>
          <t>Drilling through rock or artificial hard material; upwards at an angle 0-45 deg to the horizontal</t>
        </is>
      </c>
      <c r="F129" s="5" t="inlineStr">
        <is>
          <t>depth 5-10 m</t>
        </is>
      </c>
      <c r="G129" s="6" t="inlineStr">
        <is>
          <t>m</t>
        </is>
      </c>
      <c r="H129" s="7" t="n"/>
      <c r="I129" s="8" t="n">
        <v>0</v>
      </c>
      <c r="J129" s="8" t="n">
        <v>0</v>
      </c>
      <c r="K129" s="8" t="n">
        <v>0</v>
      </c>
      <c r="L129" s="8" t="n">
        <v>70.12</v>
      </c>
      <c r="M129" s="9">
        <f>ROUND(SUM(I129:L129),2)</f>
        <v/>
      </c>
      <c r="N129" s="10">
        <f>ROUND(I129*'Irish Basis'!$C$6*'Irish Basis'!$C$5,2)</f>
        <v/>
      </c>
      <c r="O129" s="10">
        <f>ROUND(J129*'Irish Basis'!$C$7*'Irish Basis'!$C$5,2)</f>
        <v/>
      </c>
      <c r="P129" s="10">
        <f>ROUND(K129*'Irish Basis'!$C$8*'Irish Basis'!$C$5,2)</f>
        <v/>
      </c>
      <c r="Q129" s="10">
        <f>ROUND(L129*'Irish Basis'!$C$12*'Irish Basis'!$C$5,2)</f>
        <v/>
      </c>
      <c r="R129" s="11">
        <f>ROUND(SUM(N129:Q129),2)</f>
        <v/>
      </c>
      <c r="S129" s="5" t="inlineStr">
        <is>
          <t>All-in specialist rate</t>
        </is>
      </c>
      <c r="T129" s="14" t="inlineStr">
        <is>
          <t>All-in (not split)</t>
        </is>
      </c>
      <c r="U129" s="8" t="n">
        <v>70.12</v>
      </c>
      <c r="V129" s="13">
        <f>IF(U129="","",ROUND(M129-U129,2))</f>
        <v/>
      </c>
      <c r="W129" s="5" t="n"/>
      <c r="X129" s="5" t="inlineStr">
        <is>
          <t>Source publishes a specialist/sub-contract all-in rate; no labour/plant/material build-up exists to derive from.</t>
        </is>
      </c>
    </row>
    <row r="130" ht="13" customHeight="1">
      <c r="A130" s="4" t="n">
        <v>292</v>
      </c>
      <c r="B130" s="5" t="inlineStr">
        <is>
          <t>IMG_0068</t>
        </is>
      </c>
      <c r="C130" s="5" t="inlineStr">
        <is>
          <t>CLASS C: GEOTECHNICAL AND OTHER SPECIALIST PROCESSES</t>
        </is>
      </c>
      <c r="D130" s="5" t="inlineStr">
        <is>
          <t>01 DRILLING FOR GROUT HOLES</t>
        </is>
      </c>
      <c r="E130" s="5" t="inlineStr">
        <is>
          <t>Drilling through rock or artificial hard material; upwards at an angle 0-45 deg to the horizontal</t>
        </is>
      </c>
      <c r="F130" s="5" t="inlineStr">
        <is>
          <t>depth 10-20 m</t>
        </is>
      </c>
      <c r="G130" s="6" t="inlineStr">
        <is>
          <t>m</t>
        </is>
      </c>
      <c r="H130" s="7" t="n"/>
      <c r="I130" s="8" t="n">
        <v>0</v>
      </c>
      <c r="J130" s="8" t="n">
        <v>0</v>
      </c>
      <c r="K130" s="8" t="n">
        <v>0</v>
      </c>
      <c r="L130" s="8" t="n">
        <v>79.7</v>
      </c>
      <c r="M130" s="9">
        <f>ROUND(SUM(I130:L130),2)</f>
        <v/>
      </c>
      <c r="N130" s="10">
        <f>ROUND(I130*'Irish Basis'!$C$6*'Irish Basis'!$C$5,2)</f>
        <v/>
      </c>
      <c r="O130" s="10">
        <f>ROUND(J130*'Irish Basis'!$C$7*'Irish Basis'!$C$5,2)</f>
        <v/>
      </c>
      <c r="P130" s="10">
        <f>ROUND(K130*'Irish Basis'!$C$8*'Irish Basis'!$C$5,2)</f>
        <v/>
      </c>
      <c r="Q130" s="10">
        <f>ROUND(L130*'Irish Basis'!$C$12*'Irish Basis'!$C$5,2)</f>
        <v/>
      </c>
      <c r="R130" s="11">
        <f>ROUND(SUM(N130:Q130),2)</f>
        <v/>
      </c>
      <c r="S130" s="5" t="inlineStr">
        <is>
          <t>All-in specialist rate</t>
        </is>
      </c>
      <c r="T130" s="14" t="inlineStr">
        <is>
          <t>All-in (not split)</t>
        </is>
      </c>
      <c r="U130" s="8" t="n">
        <v>79.7</v>
      </c>
      <c r="V130" s="13">
        <f>IF(U130="","",ROUND(M130-U130,2))</f>
        <v/>
      </c>
      <c r="W130" s="5" t="n"/>
      <c r="X130" s="5" t="inlineStr">
        <is>
          <t>Source publishes a specialist/sub-contract all-in rate; no labour/plant/material build-up exists to derive from.</t>
        </is>
      </c>
    </row>
    <row r="131" ht="13" customHeight="1">
      <c r="A131" s="4" t="n">
        <v>293</v>
      </c>
      <c r="B131" s="5" t="inlineStr">
        <is>
          <t>IMG_0068</t>
        </is>
      </c>
      <c r="C131" s="5" t="inlineStr">
        <is>
          <t>CLASS C: GEOTECHNICAL AND OTHER SPECIALIST PROCESSES</t>
        </is>
      </c>
      <c r="D131" s="5" t="inlineStr">
        <is>
          <t>01 DRILLING FOR GROUT HOLES</t>
        </is>
      </c>
      <c r="E131" s="5" t="inlineStr">
        <is>
          <t>Drilling through rock or artificial hard material; upwards at an angle 0-45 deg to the horizontal</t>
        </is>
      </c>
      <c r="F131" s="5" t="inlineStr">
        <is>
          <t>depth 20-30 m</t>
        </is>
      </c>
      <c r="G131" s="6" t="inlineStr">
        <is>
          <t>m</t>
        </is>
      </c>
      <c r="H131" s="7" t="n"/>
      <c r="I131" s="8" t="n">
        <v>0</v>
      </c>
      <c r="J131" s="8" t="n">
        <v>0</v>
      </c>
      <c r="K131" s="8" t="n">
        <v>0</v>
      </c>
      <c r="L131" s="8" t="n">
        <v>89.43000000000001</v>
      </c>
      <c r="M131" s="9">
        <f>ROUND(SUM(I131:L131),2)</f>
        <v/>
      </c>
      <c r="N131" s="10">
        <f>ROUND(I131*'Irish Basis'!$C$6*'Irish Basis'!$C$5,2)</f>
        <v/>
      </c>
      <c r="O131" s="10">
        <f>ROUND(J131*'Irish Basis'!$C$7*'Irish Basis'!$C$5,2)</f>
        <v/>
      </c>
      <c r="P131" s="10">
        <f>ROUND(K131*'Irish Basis'!$C$8*'Irish Basis'!$C$5,2)</f>
        <v/>
      </c>
      <c r="Q131" s="10">
        <f>ROUND(L131*'Irish Basis'!$C$12*'Irish Basis'!$C$5,2)</f>
        <v/>
      </c>
      <c r="R131" s="11">
        <f>ROUND(SUM(N131:Q131),2)</f>
        <v/>
      </c>
      <c r="S131" s="5" t="inlineStr">
        <is>
          <t>All-in specialist rate</t>
        </is>
      </c>
      <c r="T131" s="14" t="inlineStr">
        <is>
          <t>All-in (not split)</t>
        </is>
      </c>
      <c r="U131" s="8" t="n">
        <v>89.43000000000001</v>
      </c>
      <c r="V131" s="13">
        <f>IF(U131="","",ROUND(M131-U131,2))</f>
        <v/>
      </c>
      <c r="W131" s="5" t="n"/>
      <c r="X131" s="5" t="inlineStr">
        <is>
          <t>Source publishes a specialist/sub-contract all-in rate; no labour/plant/material build-up exists to derive from.</t>
        </is>
      </c>
    </row>
    <row r="132" ht="13" customHeight="1">
      <c r="A132" s="4" t="n">
        <v>296</v>
      </c>
      <c r="B132" s="5" t="inlineStr">
        <is>
          <t>IMG_0069</t>
        </is>
      </c>
      <c r="C132" s="5" t="inlineStr">
        <is>
          <t>CLASS C: GEOTECHNICAL AND OTHER SPECIALIST PROCESSES</t>
        </is>
      </c>
      <c r="D132" s="5" t="inlineStr">
        <is>
          <t>01 DRILLING FOR GROUT HOLES</t>
        </is>
      </c>
      <c r="E132" s="5" t="inlineStr">
        <is>
          <t>Drilling through rock or artificial hard material; upwards at an angle less than 45 deg to the horizontal (continued)</t>
        </is>
      </c>
      <c r="F132" s="5" t="inlineStr">
        <is>
          <t>depth ne 5 m</t>
        </is>
      </c>
      <c r="G132" s="6" t="inlineStr">
        <is>
          <t>m</t>
        </is>
      </c>
      <c r="H132" s="7" t="n"/>
      <c r="I132" s="8" t="n">
        <v>0</v>
      </c>
      <c r="J132" s="8" t="n">
        <v>0</v>
      </c>
      <c r="K132" s="8" t="n">
        <v>0</v>
      </c>
      <c r="L132" s="8" t="n">
        <v>36.98</v>
      </c>
      <c r="M132" s="9">
        <f>ROUND(SUM(I132:L132),2)</f>
        <v/>
      </c>
      <c r="N132" s="10">
        <f>ROUND(I132*'Irish Basis'!$C$6*'Irish Basis'!$C$5,2)</f>
        <v/>
      </c>
      <c r="O132" s="10">
        <f>ROUND(J132*'Irish Basis'!$C$7*'Irish Basis'!$C$5,2)</f>
        <v/>
      </c>
      <c r="P132" s="10">
        <f>ROUND(K132*'Irish Basis'!$C$8*'Irish Basis'!$C$5,2)</f>
        <v/>
      </c>
      <c r="Q132" s="10">
        <f>ROUND(L132*'Irish Basis'!$C$12*'Irish Basis'!$C$5,2)</f>
        <v/>
      </c>
      <c r="R132" s="11">
        <f>ROUND(SUM(N132:Q132),2)</f>
        <v/>
      </c>
      <c r="S132" s="5" t="inlineStr">
        <is>
          <t>All-in specialist rate</t>
        </is>
      </c>
      <c r="T132" s="14" t="inlineStr">
        <is>
          <t>All-in (not split)</t>
        </is>
      </c>
      <c r="U132" s="8" t="n">
        <v>36.98</v>
      </c>
      <c r="V132" s="13">
        <f>IF(U132="","",ROUND(M132-U132,2))</f>
        <v/>
      </c>
      <c r="W132" s="5" t="n"/>
      <c r="X132" s="5" t="inlineStr">
        <is>
          <t>Source publishes a specialist/sub-contract all-in rate; no labour/plant/material build-up exists to derive from.</t>
        </is>
      </c>
    </row>
    <row r="133" ht="13" customHeight="1">
      <c r="A133" s="4" t="n">
        <v>297</v>
      </c>
      <c r="B133" s="5" t="inlineStr">
        <is>
          <t>IMG_0069</t>
        </is>
      </c>
      <c r="C133" s="5" t="inlineStr">
        <is>
          <t>CLASS C: GEOTECHNICAL AND OTHER SPECIALIST PROCESSES</t>
        </is>
      </c>
      <c r="D133" s="5" t="inlineStr">
        <is>
          <t>01 DRILLING FOR GROUT HOLES</t>
        </is>
      </c>
      <c r="E133" s="5" t="inlineStr">
        <is>
          <t>Drilling through rock or artificial hard material; upwards at an angle less than 45 deg to the horizontal (continued)</t>
        </is>
      </c>
      <c r="F133" s="5" t="inlineStr">
        <is>
          <t>depth 5-10 m</t>
        </is>
      </c>
      <c r="G133" s="6" t="inlineStr">
        <is>
          <t>m</t>
        </is>
      </c>
      <c r="H133" s="7" t="n"/>
      <c r="I133" s="8" t="n">
        <v>0</v>
      </c>
      <c r="J133" s="8" t="n">
        <v>0</v>
      </c>
      <c r="K133" s="8" t="n">
        <v>0</v>
      </c>
      <c r="L133" s="8" t="n">
        <v>70.12</v>
      </c>
      <c r="M133" s="9">
        <f>ROUND(SUM(I133:L133),2)</f>
        <v/>
      </c>
      <c r="N133" s="10">
        <f>ROUND(I133*'Irish Basis'!$C$6*'Irish Basis'!$C$5,2)</f>
        <v/>
      </c>
      <c r="O133" s="10">
        <f>ROUND(J133*'Irish Basis'!$C$7*'Irish Basis'!$C$5,2)</f>
        <v/>
      </c>
      <c r="P133" s="10">
        <f>ROUND(K133*'Irish Basis'!$C$8*'Irish Basis'!$C$5,2)</f>
        <v/>
      </c>
      <c r="Q133" s="10">
        <f>ROUND(L133*'Irish Basis'!$C$12*'Irish Basis'!$C$5,2)</f>
        <v/>
      </c>
      <c r="R133" s="11">
        <f>ROUND(SUM(N133:Q133),2)</f>
        <v/>
      </c>
      <c r="S133" s="5" t="inlineStr">
        <is>
          <t>All-in specialist rate</t>
        </is>
      </c>
      <c r="T133" s="14" t="inlineStr">
        <is>
          <t>All-in (not split)</t>
        </is>
      </c>
      <c r="U133" s="8" t="n">
        <v>70.12</v>
      </c>
      <c r="V133" s="13">
        <f>IF(U133="","",ROUND(M133-U133,2))</f>
        <v/>
      </c>
      <c r="W133" s="5" t="n"/>
      <c r="X133" s="5" t="inlineStr">
        <is>
          <t>Source publishes a specialist/sub-contract all-in rate; no labour/plant/material build-up exists to derive from.</t>
        </is>
      </c>
    </row>
    <row r="134" ht="13" customHeight="1">
      <c r="A134" s="4" t="n">
        <v>298</v>
      </c>
      <c r="B134" s="5" t="inlineStr">
        <is>
          <t>IMG_0069</t>
        </is>
      </c>
      <c r="C134" s="5" t="inlineStr">
        <is>
          <t>CLASS C: GEOTECHNICAL AND OTHER SPECIALIST PROCESSES</t>
        </is>
      </c>
      <c r="D134" s="5" t="inlineStr">
        <is>
          <t>01 DRILLING FOR GROUT HOLES</t>
        </is>
      </c>
      <c r="E134" s="5" t="inlineStr">
        <is>
          <t>Drilling through rock or artificial hard material; upwards at an angle less than 45 deg to the horizontal (continued)</t>
        </is>
      </c>
      <c r="F134" s="5" t="inlineStr">
        <is>
          <t>depth 10-20 m</t>
        </is>
      </c>
      <c r="G134" s="6" t="inlineStr">
        <is>
          <t>m</t>
        </is>
      </c>
      <c r="H134" s="7" t="n"/>
      <c r="I134" s="8" t="n">
        <v>0</v>
      </c>
      <c r="J134" s="8" t="n">
        <v>0</v>
      </c>
      <c r="K134" s="8" t="n">
        <v>0</v>
      </c>
      <c r="L134" s="8" t="n">
        <v>79.7</v>
      </c>
      <c r="M134" s="9">
        <f>ROUND(SUM(I134:L134),2)</f>
        <v/>
      </c>
      <c r="N134" s="10">
        <f>ROUND(I134*'Irish Basis'!$C$6*'Irish Basis'!$C$5,2)</f>
        <v/>
      </c>
      <c r="O134" s="10">
        <f>ROUND(J134*'Irish Basis'!$C$7*'Irish Basis'!$C$5,2)</f>
        <v/>
      </c>
      <c r="P134" s="10">
        <f>ROUND(K134*'Irish Basis'!$C$8*'Irish Basis'!$C$5,2)</f>
        <v/>
      </c>
      <c r="Q134" s="10">
        <f>ROUND(L134*'Irish Basis'!$C$12*'Irish Basis'!$C$5,2)</f>
        <v/>
      </c>
      <c r="R134" s="11">
        <f>ROUND(SUM(N134:Q134),2)</f>
        <v/>
      </c>
      <c r="S134" s="5" t="inlineStr">
        <is>
          <t>All-in specialist rate</t>
        </is>
      </c>
      <c r="T134" s="14" t="inlineStr">
        <is>
          <t>All-in (not split)</t>
        </is>
      </c>
      <c r="U134" s="8" t="n">
        <v>79.7</v>
      </c>
      <c r="V134" s="13">
        <f>IF(U134="","",ROUND(M134-U134,2))</f>
        <v/>
      </c>
      <c r="W134" s="5" t="n"/>
      <c r="X134" s="5" t="inlineStr">
        <is>
          <t>Source publishes a specialist/sub-contract all-in rate; no labour/plant/material build-up exists to derive from.</t>
        </is>
      </c>
    </row>
    <row r="135" ht="13" customHeight="1">
      <c r="A135" s="4" t="n">
        <v>299</v>
      </c>
      <c r="B135" s="5" t="inlineStr">
        <is>
          <t>IMG_0069</t>
        </is>
      </c>
      <c r="C135" s="5" t="inlineStr">
        <is>
          <t>CLASS C: GEOTECHNICAL AND OTHER SPECIALIST PROCESSES</t>
        </is>
      </c>
      <c r="D135" s="5" t="inlineStr">
        <is>
          <t>01 DRILLING FOR GROUT HOLES</t>
        </is>
      </c>
      <c r="E135" s="5" t="inlineStr">
        <is>
          <t>Drilling through rock or artificial hard material; upwards at an angle less than 45 deg to the horizontal (continued)</t>
        </is>
      </c>
      <c r="F135" s="5" t="inlineStr">
        <is>
          <t>depth 20-30 m</t>
        </is>
      </c>
      <c r="G135" s="6" t="inlineStr">
        <is>
          <t>m</t>
        </is>
      </c>
      <c r="H135" s="7" t="n"/>
      <c r="I135" s="8" t="n">
        <v>0</v>
      </c>
      <c r="J135" s="8" t="n">
        <v>0</v>
      </c>
      <c r="K135" s="8" t="n">
        <v>0</v>
      </c>
      <c r="L135" s="8" t="n">
        <v>89.43000000000001</v>
      </c>
      <c r="M135" s="9">
        <f>ROUND(SUM(I135:L135),2)</f>
        <v/>
      </c>
      <c r="N135" s="10">
        <f>ROUND(I135*'Irish Basis'!$C$6*'Irish Basis'!$C$5,2)</f>
        <v/>
      </c>
      <c r="O135" s="10">
        <f>ROUND(J135*'Irish Basis'!$C$7*'Irish Basis'!$C$5,2)</f>
        <v/>
      </c>
      <c r="P135" s="10">
        <f>ROUND(K135*'Irish Basis'!$C$8*'Irish Basis'!$C$5,2)</f>
        <v/>
      </c>
      <c r="Q135" s="10">
        <f>ROUND(L135*'Irish Basis'!$C$12*'Irish Basis'!$C$5,2)</f>
        <v/>
      </c>
      <c r="R135" s="11">
        <f>ROUND(SUM(N135:Q135),2)</f>
        <v/>
      </c>
      <c r="S135" s="5" t="inlineStr">
        <is>
          <t>All-in specialist rate</t>
        </is>
      </c>
      <c r="T135" s="14" t="inlineStr">
        <is>
          <t>All-in (not split)</t>
        </is>
      </c>
      <c r="U135" s="8" t="n">
        <v>89.43000000000001</v>
      </c>
      <c r="V135" s="13">
        <f>IF(U135="","",ROUND(M135-U135,2))</f>
        <v/>
      </c>
      <c r="W135" s="5" t="n"/>
      <c r="X135" s="5" t="inlineStr">
        <is>
          <t>Source publishes a specialist/sub-contract all-in rate; no labour/plant/material build-up exists to derive from.</t>
        </is>
      </c>
    </row>
    <row r="136" ht="13" customHeight="1">
      <c r="A136" s="4" t="n">
        <v>303</v>
      </c>
      <c r="B136" s="5" t="inlineStr">
        <is>
          <t>IMG_0069</t>
        </is>
      </c>
      <c r="C136" s="5" t="inlineStr">
        <is>
          <t>CLASS C: GEOTECHNICAL AND OTHER SPECIALIST PROCESSES</t>
        </is>
      </c>
      <c r="D136" s="5" t="inlineStr">
        <is>
          <t>04 GROUT MATERIALS AND INJECTION</t>
        </is>
      </c>
      <c r="E136" s="5" t="inlineStr">
        <is>
          <t>Materials</t>
        </is>
      </c>
      <c r="F136" s="5" t="inlineStr">
        <is>
          <t>ordinary portland cement</t>
        </is>
      </c>
      <c r="G136" s="6" t="inlineStr">
        <is>
          <t>t</t>
        </is>
      </c>
      <c r="H136" s="7" t="n"/>
      <c r="I136" s="8" t="n">
        <v>0</v>
      </c>
      <c r="J136" s="8" t="n">
        <v>0</v>
      </c>
      <c r="K136" s="8" t="n">
        <v>0</v>
      </c>
      <c r="L136" s="8" t="n">
        <v>200.69</v>
      </c>
      <c r="M136" s="9">
        <f>ROUND(SUM(I136:L136),2)</f>
        <v/>
      </c>
      <c r="N136" s="10">
        <f>ROUND(I136*'Irish Basis'!$C$6*'Irish Basis'!$C$5,2)</f>
        <v/>
      </c>
      <c r="O136" s="10">
        <f>ROUND(J136*'Irish Basis'!$C$7*'Irish Basis'!$C$5,2)</f>
        <v/>
      </c>
      <c r="P136" s="10">
        <f>ROUND(K136*'Irish Basis'!$C$8*'Irish Basis'!$C$5,2)</f>
        <v/>
      </c>
      <c r="Q136" s="10">
        <f>ROUND(L136*'Irish Basis'!$C$12*'Irish Basis'!$C$5,2)</f>
        <v/>
      </c>
      <c r="R136" s="11">
        <f>ROUND(SUM(N136:Q136),2)</f>
        <v/>
      </c>
      <c r="S136" s="5" t="inlineStr">
        <is>
          <t>All-in specialist rate</t>
        </is>
      </c>
      <c r="T136" s="14" t="inlineStr">
        <is>
          <t>All-in (not split)</t>
        </is>
      </c>
      <c r="U136" s="8" t="n">
        <v>200.69</v>
      </c>
      <c r="V136" s="13">
        <f>IF(U136="","",ROUND(M136-U136,2))</f>
        <v/>
      </c>
      <c r="W136" s="5" t="n"/>
      <c r="X136" s="5" t="inlineStr">
        <is>
          <t>Source publishes a specialist/sub-contract all-in rate; no labour/plant/material build-up exists to derive from.</t>
        </is>
      </c>
    </row>
    <row r="137" ht="13" customHeight="1">
      <c r="A137" s="4" t="n">
        <v>304</v>
      </c>
      <c r="B137" s="5" t="inlineStr">
        <is>
          <t>IMG_0069</t>
        </is>
      </c>
      <c r="C137" s="5" t="inlineStr">
        <is>
          <t>CLASS C: GEOTECHNICAL AND OTHER SPECIALIST PROCESSES</t>
        </is>
      </c>
      <c r="D137" s="5" t="inlineStr">
        <is>
          <t>04 GROUT MATERIALS AND INJECTION</t>
        </is>
      </c>
      <c r="E137" s="5" t="inlineStr">
        <is>
          <t>Materials</t>
        </is>
      </c>
      <c r="F137" s="5" t="inlineStr">
        <is>
          <t>sulphate-resistant cement</t>
        </is>
      </c>
      <c r="G137" s="6" t="inlineStr">
        <is>
          <t>t</t>
        </is>
      </c>
      <c r="H137" s="7" t="n"/>
      <c r="I137" s="8" t="n">
        <v>0</v>
      </c>
      <c r="J137" s="8" t="n">
        <v>0</v>
      </c>
      <c r="K137" s="8" t="n">
        <v>0</v>
      </c>
      <c r="L137" s="8" t="n">
        <v>204.34</v>
      </c>
      <c r="M137" s="9">
        <f>ROUND(SUM(I137:L137),2)</f>
        <v/>
      </c>
      <c r="N137" s="10">
        <f>ROUND(I137*'Irish Basis'!$C$6*'Irish Basis'!$C$5,2)</f>
        <v/>
      </c>
      <c r="O137" s="10">
        <f>ROUND(J137*'Irish Basis'!$C$7*'Irish Basis'!$C$5,2)</f>
        <v/>
      </c>
      <c r="P137" s="10">
        <f>ROUND(K137*'Irish Basis'!$C$8*'Irish Basis'!$C$5,2)</f>
        <v/>
      </c>
      <c r="Q137" s="10">
        <f>ROUND(L137*'Irish Basis'!$C$12*'Irish Basis'!$C$5,2)</f>
        <v/>
      </c>
      <c r="R137" s="11">
        <f>ROUND(SUM(N137:Q137),2)</f>
        <v/>
      </c>
      <c r="S137" s="5" t="inlineStr">
        <is>
          <t>All-in specialist rate</t>
        </is>
      </c>
      <c r="T137" s="14" t="inlineStr">
        <is>
          <t>All-in (not split)</t>
        </is>
      </c>
      <c r="U137" s="8" t="n">
        <v>204.34</v>
      </c>
      <c r="V137" s="13">
        <f>IF(U137="","",ROUND(M137-U137,2))</f>
        <v/>
      </c>
      <c r="W137" s="5" t="n"/>
      <c r="X137" s="5" t="inlineStr">
        <is>
          <t>Source publishes a specialist/sub-contract all-in rate; no labour/plant/material build-up exists to derive from.</t>
        </is>
      </c>
    </row>
    <row r="138" ht="13" customHeight="1">
      <c r="A138" s="4" t="n">
        <v>305</v>
      </c>
      <c r="B138" s="5" t="inlineStr">
        <is>
          <t>IMG_0069</t>
        </is>
      </c>
      <c r="C138" s="5" t="inlineStr">
        <is>
          <t>CLASS C: GEOTECHNICAL AND OTHER SPECIALIST PROCESSES</t>
        </is>
      </c>
      <c r="D138" s="5" t="inlineStr">
        <is>
          <t>04 GROUT MATERIALS AND INJECTION</t>
        </is>
      </c>
      <c r="E138" s="5" t="inlineStr">
        <is>
          <t>Materials</t>
        </is>
      </c>
      <c r="F138" s="5" t="inlineStr">
        <is>
          <t>cement grout</t>
        </is>
      </c>
      <c r="G138" s="6" t="inlineStr">
        <is>
          <t>t</t>
        </is>
      </c>
      <c r="H138" s="7" t="n"/>
      <c r="I138" s="8" t="n">
        <v>0</v>
      </c>
      <c r="J138" s="8" t="n">
        <v>0</v>
      </c>
      <c r="K138" s="8" t="n">
        <v>0</v>
      </c>
      <c r="L138" s="8" t="n">
        <v>296.65</v>
      </c>
      <c r="M138" s="9">
        <f>ROUND(SUM(I138:L138),2)</f>
        <v/>
      </c>
      <c r="N138" s="10">
        <f>ROUND(I138*'Irish Basis'!$C$6*'Irish Basis'!$C$5,2)</f>
        <v/>
      </c>
      <c r="O138" s="10">
        <f>ROUND(J138*'Irish Basis'!$C$7*'Irish Basis'!$C$5,2)</f>
        <v/>
      </c>
      <c r="P138" s="10">
        <f>ROUND(K138*'Irish Basis'!$C$8*'Irish Basis'!$C$5,2)</f>
        <v/>
      </c>
      <c r="Q138" s="10">
        <f>ROUND(L138*'Irish Basis'!$C$12*'Irish Basis'!$C$5,2)</f>
        <v/>
      </c>
      <c r="R138" s="11">
        <f>ROUND(SUM(N138:Q138),2)</f>
        <v/>
      </c>
      <c r="S138" s="5" t="inlineStr">
        <is>
          <t>All-in specialist rate</t>
        </is>
      </c>
      <c r="T138" s="14" t="inlineStr">
        <is>
          <t>All-in (not split)</t>
        </is>
      </c>
      <c r="U138" s="8" t="n">
        <v>296.65</v>
      </c>
      <c r="V138" s="13">
        <f>IF(U138="","",ROUND(M138-U138,2))</f>
        <v/>
      </c>
      <c r="W138" s="5" t="n"/>
      <c r="X138" s="5" t="inlineStr">
        <is>
          <t>Source publishes a specialist/sub-contract all-in rate; no labour/plant/material build-up exists to derive from.</t>
        </is>
      </c>
    </row>
    <row r="139" ht="13" customHeight="1">
      <c r="A139" s="4" t="n">
        <v>306</v>
      </c>
      <c r="B139" s="5" t="inlineStr">
        <is>
          <t>IMG_0069</t>
        </is>
      </c>
      <c r="C139" s="5" t="inlineStr">
        <is>
          <t>CLASS C: GEOTECHNICAL AND OTHER SPECIALIST PROCESSES</t>
        </is>
      </c>
      <c r="D139" s="5" t="inlineStr">
        <is>
          <t>04 GROUT MATERIALS AND INJECTION</t>
        </is>
      </c>
      <c r="E139" s="5" t="inlineStr">
        <is>
          <t>Materials</t>
        </is>
      </c>
      <c r="F139" s="5" t="inlineStr">
        <is>
          <t>pulverised fuel ash</t>
        </is>
      </c>
      <c r="G139" s="6" t="inlineStr">
        <is>
          <t>t</t>
        </is>
      </c>
      <c r="H139" s="7" t="n"/>
      <c r="I139" s="8" t="n">
        <v>0</v>
      </c>
      <c r="J139" s="8" t="n">
        <v>0</v>
      </c>
      <c r="K139" s="8" t="n">
        <v>0</v>
      </c>
      <c r="L139" s="8" t="n">
        <v>28.77</v>
      </c>
      <c r="M139" s="9">
        <f>ROUND(SUM(I139:L139),2)</f>
        <v/>
      </c>
      <c r="N139" s="10">
        <f>ROUND(I139*'Irish Basis'!$C$6*'Irish Basis'!$C$5,2)</f>
        <v/>
      </c>
      <c r="O139" s="10">
        <f>ROUND(J139*'Irish Basis'!$C$7*'Irish Basis'!$C$5,2)</f>
        <v/>
      </c>
      <c r="P139" s="10">
        <f>ROUND(K139*'Irish Basis'!$C$8*'Irish Basis'!$C$5,2)</f>
        <v/>
      </c>
      <c r="Q139" s="10">
        <f>ROUND(L139*'Irish Basis'!$C$12*'Irish Basis'!$C$5,2)</f>
        <v/>
      </c>
      <c r="R139" s="11">
        <f>ROUND(SUM(N139:Q139),2)</f>
        <v/>
      </c>
      <c r="S139" s="5" t="inlineStr">
        <is>
          <t>All-in specialist rate</t>
        </is>
      </c>
      <c r="T139" s="14" t="inlineStr">
        <is>
          <t>All-in (not split)</t>
        </is>
      </c>
      <c r="U139" s="8" t="n">
        <v>28.77</v>
      </c>
      <c r="V139" s="13">
        <f>IF(U139="","",ROUND(M139-U139,2))</f>
        <v/>
      </c>
      <c r="W139" s="5" t="n"/>
      <c r="X139" s="5" t="inlineStr">
        <is>
          <t>Source publishes a specialist/sub-contract all-in rate; no labour/plant/material build-up exists to derive from.</t>
        </is>
      </c>
    </row>
    <row r="140" ht="13" customHeight="1">
      <c r="A140" s="4" t="n">
        <v>307</v>
      </c>
      <c r="B140" s="5" t="inlineStr">
        <is>
          <t>IMG_0069</t>
        </is>
      </c>
      <c r="C140" s="5" t="inlineStr">
        <is>
          <t>CLASS C: GEOTECHNICAL AND OTHER SPECIALIST PROCESSES</t>
        </is>
      </c>
      <c r="D140" s="5" t="inlineStr">
        <is>
          <t>04 GROUT MATERIALS AND INJECTION</t>
        </is>
      </c>
      <c r="E140" s="5" t="inlineStr">
        <is>
          <t>Materials</t>
        </is>
      </c>
      <c r="F140" s="5" t="inlineStr">
        <is>
          <t>sand</t>
        </is>
      </c>
      <c r="G140" s="6" t="inlineStr">
        <is>
          <t>t</t>
        </is>
      </c>
      <c r="H140" s="7" t="n"/>
      <c r="I140" s="8" t="n">
        <v>0</v>
      </c>
      <c r="J140" s="8" t="n">
        <v>0</v>
      </c>
      <c r="K140" s="8" t="n">
        <v>0</v>
      </c>
      <c r="L140" s="8" t="n">
        <v>37.73</v>
      </c>
      <c r="M140" s="9">
        <f>ROUND(SUM(I140:L140),2)</f>
        <v/>
      </c>
      <c r="N140" s="10">
        <f>ROUND(I140*'Irish Basis'!$C$6*'Irish Basis'!$C$5,2)</f>
        <v/>
      </c>
      <c r="O140" s="10">
        <f>ROUND(J140*'Irish Basis'!$C$7*'Irish Basis'!$C$5,2)</f>
        <v/>
      </c>
      <c r="P140" s="10">
        <f>ROUND(K140*'Irish Basis'!$C$8*'Irish Basis'!$C$5,2)</f>
        <v/>
      </c>
      <c r="Q140" s="10">
        <f>ROUND(L140*'Irish Basis'!$C$12*'Irish Basis'!$C$5,2)</f>
        <v/>
      </c>
      <c r="R140" s="11">
        <f>ROUND(SUM(N140:Q140),2)</f>
        <v/>
      </c>
      <c r="S140" s="5" t="inlineStr">
        <is>
          <t>All-in specialist rate</t>
        </is>
      </c>
      <c r="T140" s="14" t="inlineStr">
        <is>
          <t>All-in (not split)</t>
        </is>
      </c>
      <c r="U140" s="8" t="n">
        <v>37.73</v>
      </c>
      <c r="V140" s="13">
        <f>IF(U140="","",ROUND(M140-U140,2))</f>
        <v/>
      </c>
      <c r="W140" s="5" t="n"/>
      <c r="X140" s="5" t="inlineStr">
        <is>
          <t>Source publishes a specialist/sub-contract all-in rate; no labour/plant/material build-up exists to derive from.</t>
        </is>
      </c>
    </row>
    <row r="141" ht="13" customHeight="1">
      <c r="A141" s="4" t="n">
        <v>308</v>
      </c>
      <c r="B141" s="5" t="inlineStr">
        <is>
          <t>IMG_0069</t>
        </is>
      </c>
      <c r="C141" s="5" t="inlineStr">
        <is>
          <t>CLASS C: GEOTECHNICAL AND OTHER SPECIALIST PROCESSES</t>
        </is>
      </c>
      <c r="D141" s="5" t="inlineStr">
        <is>
          <t>04 GROUT MATERIALS AND INJECTION</t>
        </is>
      </c>
      <c r="E141" s="5" t="inlineStr">
        <is>
          <t>Materials</t>
        </is>
      </c>
      <c r="F141" s="5" t="inlineStr">
        <is>
          <t>pea gravel</t>
        </is>
      </c>
      <c r="G141" s="6" t="inlineStr">
        <is>
          <t>t</t>
        </is>
      </c>
      <c r="H141" s="7" t="n"/>
      <c r="I141" s="8" t="n">
        <v>0</v>
      </c>
      <c r="J141" s="8" t="n">
        <v>0</v>
      </c>
      <c r="K141" s="8" t="n">
        <v>0</v>
      </c>
      <c r="L141" s="8" t="n">
        <v>37.73</v>
      </c>
      <c r="M141" s="9">
        <f>ROUND(SUM(I141:L141),2)</f>
        <v/>
      </c>
      <c r="N141" s="10">
        <f>ROUND(I141*'Irish Basis'!$C$6*'Irish Basis'!$C$5,2)</f>
        <v/>
      </c>
      <c r="O141" s="10">
        <f>ROUND(J141*'Irish Basis'!$C$7*'Irish Basis'!$C$5,2)</f>
        <v/>
      </c>
      <c r="P141" s="10">
        <f>ROUND(K141*'Irish Basis'!$C$8*'Irish Basis'!$C$5,2)</f>
        <v/>
      </c>
      <c r="Q141" s="10">
        <f>ROUND(L141*'Irish Basis'!$C$12*'Irish Basis'!$C$5,2)</f>
        <v/>
      </c>
      <c r="R141" s="11">
        <f>ROUND(SUM(N141:Q141),2)</f>
        <v/>
      </c>
      <c r="S141" s="5" t="inlineStr">
        <is>
          <t>All-in specialist rate</t>
        </is>
      </c>
      <c r="T141" s="14" t="inlineStr">
        <is>
          <t>All-in (not split)</t>
        </is>
      </c>
      <c r="U141" s="8" t="n">
        <v>37.73</v>
      </c>
      <c r="V141" s="13">
        <f>IF(U141="","",ROUND(M141-U141,2))</f>
        <v/>
      </c>
      <c r="W141" s="5" t="n"/>
      <c r="X141" s="5" t="inlineStr">
        <is>
          <t>Source publishes a specialist/sub-contract all-in rate; no labour/plant/material build-up exists to derive from.</t>
        </is>
      </c>
    </row>
    <row r="142" ht="13" customHeight="1">
      <c r="A142" s="4" t="n">
        <v>309</v>
      </c>
      <c r="B142" s="5" t="inlineStr">
        <is>
          <t>IMG_0069</t>
        </is>
      </c>
      <c r="C142" s="5" t="inlineStr">
        <is>
          <t>CLASS C: GEOTECHNICAL AND OTHER SPECIALIST PROCESSES</t>
        </is>
      </c>
      <c r="D142" s="5" t="inlineStr">
        <is>
          <t>04 GROUT MATERIALS AND INJECTION</t>
        </is>
      </c>
      <c r="E142" s="5" t="inlineStr">
        <is>
          <t>Materials</t>
        </is>
      </c>
      <c r="F142" s="5" t="inlineStr">
        <is>
          <t>bentonite (2:1)</t>
        </is>
      </c>
      <c r="G142" s="6" t="inlineStr">
        <is>
          <t>t</t>
        </is>
      </c>
      <c r="H142" s="7" t="n"/>
      <c r="I142" s="8" t="n">
        <v>0</v>
      </c>
      <c r="J142" s="8" t="n">
        <v>0</v>
      </c>
      <c r="K142" s="8" t="n">
        <v>0</v>
      </c>
      <c r="L142" s="8" t="n">
        <v>259.11</v>
      </c>
      <c r="M142" s="9">
        <f>ROUND(SUM(I142:L142),2)</f>
        <v/>
      </c>
      <c r="N142" s="10">
        <f>ROUND(I142*'Irish Basis'!$C$6*'Irish Basis'!$C$5,2)</f>
        <v/>
      </c>
      <c r="O142" s="10">
        <f>ROUND(J142*'Irish Basis'!$C$7*'Irish Basis'!$C$5,2)</f>
        <v/>
      </c>
      <c r="P142" s="10">
        <f>ROUND(K142*'Irish Basis'!$C$8*'Irish Basis'!$C$5,2)</f>
        <v/>
      </c>
      <c r="Q142" s="10">
        <f>ROUND(L142*'Irish Basis'!$C$12*'Irish Basis'!$C$5,2)</f>
        <v/>
      </c>
      <c r="R142" s="11">
        <f>ROUND(SUM(N142:Q142),2)</f>
        <v/>
      </c>
      <c r="S142" s="5" t="inlineStr">
        <is>
          <t>All-in specialist rate</t>
        </is>
      </c>
      <c r="T142" s="14" t="inlineStr">
        <is>
          <t>All-in (not split)</t>
        </is>
      </c>
      <c r="U142" s="8" t="n">
        <v>259.11</v>
      </c>
      <c r="V142" s="13">
        <f>IF(U142="","",ROUND(M142-U142,2))</f>
        <v/>
      </c>
      <c r="W142" s="5" t="n"/>
      <c r="X142" s="5" t="inlineStr">
        <is>
          <t>Source publishes a specialist/sub-contract all-in rate; no labour/plant/material build-up exists to derive from.</t>
        </is>
      </c>
    </row>
    <row r="143" ht="13" customHeight="1">
      <c r="A143" s="4" t="n">
        <v>311</v>
      </c>
      <c r="B143" s="5" t="inlineStr">
        <is>
          <t>IMG_0069</t>
        </is>
      </c>
      <c r="C143" s="5" t="inlineStr">
        <is>
          <t>CLASS C: GEOTECHNICAL AND OTHER SPECIALIST PROCESSES</t>
        </is>
      </c>
      <c r="D143" s="5" t="inlineStr">
        <is>
          <t>04 GROUT MATERIALS AND INJECTION</t>
        </is>
      </c>
      <c r="E143" s="5" t="inlineStr">
        <is>
          <t>Injection</t>
        </is>
      </c>
      <c r="F143" s="5" t="inlineStr">
        <is>
          <t>establishment of standard injection plant and removal on completion</t>
        </is>
      </c>
      <c r="G143" s="6" t="inlineStr">
        <is>
          <t>item</t>
        </is>
      </c>
      <c r="H143" s="7" t="n"/>
      <c r="I143" s="8" t="n">
        <v>0</v>
      </c>
      <c r="J143" s="8" t="n">
        <v>0</v>
      </c>
      <c r="K143" s="8" t="n">
        <v>0</v>
      </c>
      <c r="L143" s="8" t="n">
        <v>18125.94</v>
      </c>
      <c r="M143" s="9">
        <f>ROUND(SUM(I143:L143),2)</f>
        <v/>
      </c>
      <c r="N143" s="10">
        <f>ROUND(I143*'Irish Basis'!$C$6*'Irish Basis'!$C$5,2)</f>
        <v/>
      </c>
      <c r="O143" s="10">
        <f>ROUND(J143*'Irish Basis'!$C$7*'Irish Basis'!$C$5,2)</f>
        <v/>
      </c>
      <c r="P143" s="10">
        <f>ROUND(K143*'Irish Basis'!$C$8*'Irish Basis'!$C$5,2)</f>
        <v/>
      </c>
      <c r="Q143" s="10">
        <f>ROUND(L143*'Irish Basis'!$C$12*'Irish Basis'!$C$5,2)</f>
        <v/>
      </c>
      <c r="R143" s="11">
        <f>ROUND(SUM(N143:Q143),2)</f>
        <v/>
      </c>
      <c r="S143" s="5" t="inlineStr">
        <is>
          <t>All-in specialist rate</t>
        </is>
      </c>
      <c r="T143" s="14" t="inlineStr">
        <is>
          <t>All-in (not split)</t>
        </is>
      </c>
      <c r="U143" s="8" t="n">
        <v>18125.94</v>
      </c>
      <c r="V143" s="13">
        <f>IF(U143="","",ROUND(M143-U143,2))</f>
        <v/>
      </c>
      <c r="W143" s="5" t="n"/>
      <c r="X143" s="5" t="inlineStr">
        <is>
          <t>Source publishes a specialist/sub-contract all-in rate; no labour/plant/material build-up exists to derive from.</t>
        </is>
      </c>
    </row>
    <row r="144" ht="13" customHeight="1">
      <c r="A144" s="4" t="n">
        <v>312</v>
      </c>
      <c r="B144" s="5" t="inlineStr">
        <is>
          <t>IMG_0069</t>
        </is>
      </c>
      <c r="C144" s="5" t="inlineStr">
        <is>
          <t>CLASS C: GEOTECHNICAL AND OTHER SPECIALIST PROCESSES</t>
        </is>
      </c>
      <c r="D144" s="5" t="inlineStr">
        <is>
          <t>04 GROUT MATERIALS AND INJECTION</t>
        </is>
      </c>
      <c r="E144" s="5" t="inlineStr">
        <is>
          <t>Injection</t>
        </is>
      </c>
      <c r="F144" s="5" t="inlineStr">
        <is>
          <t>standing time</t>
        </is>
      </c>
      <c r="G144" s="6" t="inlineStr">
        <is>
          <t>hr</t>
        </is>
      </c>
      <c r="H144" s="7" t="n"/>
      <c r="I144" s="8" t="n">
        <v>0</v>
      </c>
      <c r="J144" s="8" t="n">
        <v>0</v>
      </c>
      <c r="K144" s="8" t="n">
        <v>0</v>
      </c>
      <c r="L144" s="8" t="n">
        <v>351.73</v>
      </c>
      <c r="M144" s="9">
        <f>ROUND(SUM(I144:L144),2)</f>
        <v/>
      </c>
      <c r="N144" s="10">
        <f>ROUND(I144*'Irish Basis'!$C$6*'Irish Basis'!$C$5,2)</f>
        <v/>
      </c>
      <c r="O144" s="10">
        <f>ROUND(J144*'Irish Basis'!$C$7*'Irish Basis'!$C$5,2)</f>
        <v/>
      </c>
      <c r="P144" s="10">
        <f>ROUND(K144*'Irish Basis'!$C$8*'Irish Basis'!$C$5,2)</f>
        <v/>
      </c>
      <c r="Q144" s="10">
        <f>ROUND(L144*'Irish Basis'!$C$12*'Irish Basis'!$C$5,2)</f>
        <v/>
      </c>
      <c r="R144" s="11">
        <f>ROUND(SUM(N144:Q144),2)</f>
        <v/>
      </c>
      <c r="S144" s="5" t="inlineStr">
        <is>
          <t>All-in specialist rate</t>
        </is>
      </c>
      <c r="T144" s="14" t="inlineStr">
        <is>
          <t>All-in (not split)</t>
        </is>
      </c>
      <c r="U144" s="8" t="n">
        <v>351.73</v>
      </c>
      <c r="V144" s="13">
        <f>IF(U144="","",ROUND(M144-U144,2))</f>
        <v/>
      </c>
      <c r="W144" s="5" t="n"/>
      <c r="X144" s="5" t="inlineStr">
        <is>
          <t>Source publishes a specialist/sub-contract all-in rate; no labour/plant/material build-up exists to derive from.</t>
        </is>
      </c>
    </row>
    <row r="145" ht="13" customHeight="1">
      <c r="A145" s="4" t="n">
        <v>313</v>
      </c>
      <c r="B145" s="5" t="inlineStr">
        <is>
          <t>IMG_0069</t>
        </is>
      </c>
      <c r="C145" s="5" t="inlineStr">
        <is>
          <t>CLASS C: GEOTECHNICAL AND OTHER SPECIALIST PROCESSES</t>
        </is>
      </c>
      <c r="D145" s="5" t="inlineStr">
        <is>
          <t>04 GROUT MATERIALS AND INJECTION</t>
        </is>
      </c>
      <c r="E145" s="5" t="inlineStr">
        <is>
          <t>Injection</t>
        </is>
      </c>
      <c r="F145" s="5" t="inlineStr">
        <is>
          <t>number of injections</t>
        </is>
      </c>
      <c r="G145" s="6" t="inlineStr">
        <is>
          <t>nr</t>
        </is>
      </c>
      <c r="H145" s="7" t="n"/>
      <c r="I145" s="8" t="n">
        <v>0</v>
      </c>
      <c r="J145" s="8" t="n">
        <v>0</v>
      </c>
      <c r="K145" s="8" t="n">
        <v>0</v>
      </c>
      <c r="L145" s="8" t="n">
        <v>109.4</v>
      </c>
      <c r="M145" s="9">
        <f>ROUND(SUM(I145:L145),2)</f>
        <v/>
      </c>
      <c r="N145" s="10">
        <f>ROUND(I145*'Irish Basis'!$C$6*'Irish Basis'!$C$5,2)</f>
        <v/>
      </c>
      <c r="O145" s="10">
        <f>ROUND(J145*'Irish Basis'!$C$7*'Irish Basis'!$C$5,2)</f>
        <v/>
      </c>
      <c r="P145" s="10">
        <f>ROUND(K145*'Irish Basis'!$C$8*'Irish Basis'!$C$5,2)</f>
        <v/>
      </c>
      <c r="Q145" s="10">
        <f>ROUND(L145*'Irish Basis'!$C$12*'Irish Basis'!$C$5,2)</f>
        <v/>
      </c>
      <c r="R145" s="11">
        <f>ROUND(SUM(N145:Q145),2)</f>
        <v/>
      </c>
      <c r="S145" s="5" t="inlineStr">
        <is>
          <t>All-in specialist rate</t>
        </is>
      </c>
      <c r="T145" s="14" t="inlineStr">
        <is>
          <t>All-in (not split)</t>
        </is>
      </c>
      <c r="U145" s="8" t="n">
        <v>109.4</v>
      </c>
      <c r="V145" s="13">
        <f>IF(U145="","",ROUND(M145-U145,2))</f>
        <v/>
      </c>
      <c r="W145" s="5" t="n"/>
      <c r="X145" s="5" t="inlineStr">
        <is>
          <t>Source publishes a specialist/sub-contract all-in rate; no labour/plant/material build-up exists to derive from.</t>
        </is>
      </c>
    </row>
    <row r="146" ht="13" customHeight="1">
      <c r="A146" s="4" t="n">
        <v>314</v>
      </c>
      <c r="B146" s="5" t="inlineStr">
        <is>
          <t>IMG_0069</t>
        </is>
      </c>
      <c r="C146" s="5" t="inlineStr">
        <is>
          <t>CLASS C: GEOTECHNICAL AND OTHER SPECIALIST PROCESSES</t>
        </is>
      </c>
      <c r="D146" s="5" t="inlineStr">
        <is>
          <t>04 GROUT MATERIALS AND INJECTION</t>
        </is>
      </c>
      <c r="E146" s="5" t="inlineStr">
        <is>
          <t>Injection</t>
        </is>
      </c>
      <c r="F146" s="5" t="inlineStr">
        <is>
          <t>neat cement grout</t>
        </is>
      </c>
      <c r="G146" s="6" t="inlineStr">
        <is>
          <t>t</t>
        </is>
      </c>
      <c r="H146" s="7" t="n"/>
      <c r="I146" s="8" t="n">
        <v>0</v>
      </c>
      <c r="J146" s="8" t="n">
        <v>0</v>
      </c>
      <c r="K146" s="8" t="n">
        <v>0</v>
      </c>
      <c r="L146" s="8" t="n">
        <v>185.95</v>
      </c>
      <c r="M146" s="9">
        <f>ROUND(SUM(I146:L146),2)</f>
        <v/>
      </c>
      <c r="N146" s="10">
        <f>ROUND(I146*'Irish Basis'!$C$6*'Irish Basis'!$C$5,2)</f>
        <v/>
      </c>
      <c r="O146" s="10">
        <f>ROUND(J146*'Irish Basis'!$C$7*'Irish Basis'!$C$5,2)</f>
        <v/>
      </c>
      <c r="P146" s="10">
        <f>ROUND(K146*'Irish Basis'!$C$8*'Irish Basis'!$C$5,2)</f>
        <v/>
      </c>
      <c r="Q146" s="10">
        <f>ROUND(L146*'Irish Basis'!$C$12*'Irish Basis'!$C$5,2)</f>
        <v/>
      </c>
      <c r="R146" s="11">
        <f>ROUND(SUM(N146:Q146),2)</f>
        <v/>
      </c>
      <c r="S146" s="5" t="inlineStr">
        <is>
          <t>All-in specialist rate</t>
        </is>
      </c>
      <c r="T146" s="14" t="inlineStr">
        <is>
          <t>All-in (not split)</t>
        </is>
      </c>
      <c r="U146" s="8" t="n">
        <v>185.95</v>
      </c>
      <c r="V146" s="13">
        <f>IF(U146="","",ROUND(M146-U146,2))</f>
        <v/>
      </c>
      <c r="W146" s="5" t="n"/>
      <c r="X146" s="5" t="inlineStr">
        <is>
          <t>Source publishes a specialist/sub-contract all-in rate; no labour/plant/material build-up exists to derive from.</t>
        </is>
      </c>
    </row>
    <row r="147" ht="13" customHeight="1">
      <c r="A147" s="4" t="n">
        <v>315</v>
      </c>
      <c r="B147" s="5" t="inlineStr">
        <is>
          <t>IMG_0069</t>
        </is>
      </c>
      <c r="C147" s="5" t="inlineStr">
        <is>
          <t>CLASS C: GEOTECHNICAL AND OTHER SPECIALIST PROCESSES</t>
        </is>
      </c>
      <c r="D147" s="5" t="inlineStr">
        <is>
          <t>04 GROUT MATERIALS AND INJECTION</t>
        </is>
      </c>
      <c r="E147" s="5" t="inlineStr">
        <is>
          <t>Injection</t>
        </is>
      </c>
      <c r="F147" s="5" t="inlineStr">
        <is>
          <t>cement/PFA grout</t>
        </is>
      </c>
      <c r="G147" s="6" t="inlineStr">
        <is>
          <t>t</t>
        </is>
      </c>
      <c r="H147" s="7" t="n"/>
      <c r="I147" s="8" t="n">
        <v>0</v>
      </c>
      <c r="J147" s="8" t="n">
        <v>0</v>
      </c>
      <c r="K147" s="8" t="n">
        <v>0</v>
      </c>
      <c r="L147" s="8" t="n">
        <v>114.33</v>
      </c>
      <c r="M147" s="9">
        <f>ROUND(SUM(I147:L147),2)</f>
        <v/>
      </c>
      <c r="N147" s="10">
        <f>ROUND(I147*'Irish Basis'!$C$6*'Irish Basis'!$C$5,2)</f>
        <v/>
      </c>
      <c r="O147" s="10">
        <f>ROUND(J147*'Irish Basis'!$C$7*'Irish Basis'!$C$5,2)</f>
        <v/>
      </c>
      <c r="P147" s="10">
        <f>ROUND(K147*'Irish Basis'!$C$8*'Irish Basis'!$C$5,2)</f>
        <v/>
      </c>
      <c r="Q147" s="10">
        <f>ROUND(L147*'Irish Basis'!$C$12*'Irish Basis'!$C$5,2)</f>
        <v/>
      </c>
      <c r="R147" s="11">
        <f>ROUND(SUM(N147:Q147),2)</f>
        <v/>
      </c>
      <c r="S147" s="5" t="inlineStr">
        <is>
          <t>All-in specialist rate</t>
        </is>
      </c>
      <c r="T147" s="14" t="inlineStr">
        <is>
          <t>All-in (not split)</t>
        </is>
      </c>
      <c r="U147" s="8" t="n">
        <v>114.33</v>
      </c>
      <c r="V147" s="13">
        <f>IF(U147="","",ROUND(M147-U147,2))</f>
        <v/>
      </c>
      <c r="W147" s="5" t="n"/>
      <c r="X147" s="5" t="inlineStr">
        <is>
          <t>Source publishes a specialist/sub-contract all-in rate; no labour/plant/material build-up exists to derive from.</t>
        </is>
      </c>
    </row>
    <row r="148" ht="13" customHeight="1">
      <c r="A148" s="4" t="n">
        <v>319</v>
      </c>
      <c r="B148" s="5" t="inlineStr">
        <is>
          <t>IMG_0069</t>
        </is>
      </c>
      <c r="C148" s="5" t="inlineStr">
        <is>
          <t>CLASS C: GEOTECHNICAL AND OTHER SPECIALIST PROCESSES</t>
        </is>
      </c>
      <c r="D148" s="5" t="inlineStr">
        <is>
          <t>05 DIAPHRAGM WALLS</t>
        </is>
      </c>
      <c r="E148" s="5" t="inlineStr"/>
      <c r="F148" s="5" t="inlineStr">
        <is>
          <t>Establishment of standard plant and equipment including bentonite storage tanks and removal on completion</t>
        </is>
      </c>
      <c r="G148" s="6" t="inlineStr">
        <is>
          <t>item</t>
        </is>
      </c>
      <c r="H148" s="7" t="n"/>
      <c r="I148" s="8" t="n">
        <v>0</v>
      </c>
      <c r="J148" s="8" t="n">
        <v>0</v>
      </c>
      <c r="K148" s="8" t="n">
        <v>0</v>
      </c>
      <c r="L148" s="8" t="n">
        <v>549099.11</v>
      </c>
      <c r="M148" s="9">
        <f>ROUND(SUM(I148:L148),2)</f>
        <v/>
      </c>
      <c r="N148" s="10">
        <f>ROUND(I148*'Irish Basis'!$C$6*'Irish Basis'!$C$5,2)</f>
        <v/>
      </c>
      <c r="O148" s="10">
        <f>ROUND(J148*'Irish Basis'!$C$7*'Irish Basis'!$C$5,2)</f>
        <v/>
      </c>
      <c r="P148" s="10">
        <f>ROUND(K148*'Irish Basis'!$C$8*'Irish Basis'!$C$5,2)</f>
        <v/>
      </c>
      <c r="Q148" s="10">
        <f>ROUND(L148*'Irish Basis'!$C$12*'Irish Basis'!$C$5,2)</f>
        <v/>
      </c>
      <c r="R148" s="11">
        <f>ROUND(SUM(N148:Q148),2)</f>
        <v/>
      </c>
      <c r="S148" s="5" t="inlineStr">
        <is>
          <t>All-in specialist rate</t>
        </is>
      </c>
      <c r="T148" s="14" t="inlineStr">
        <is>
          <t>All-in (not split)</t>
        </is>
      </c>
      <c r="U148" s="8" t="n">
        <v>549099.11</v>
      </c>
      <c r="V148" s="13">
        <f>IF(U148="","",ROUND(M148-U148,2))</f>
        <v/>
      </c>
      <c r="W148" s="15" t="inlineStr">
        <is>
          <t>Probable source error — verify</t>
        </is>
      </c>
      <c r="X148" s="5" t="inlineStr">
        <is>
          <t>Source publishes a specialist/sub-contract all-in rate; no labour/plant/material build-up exists to derive from. This is 28x the next highest item in the class (£19,700.58) and out of line with comparable rates in the same section — likely a mis-read digit in the source scan. Verify before use.</t>
        </is>
      </c>
    </row>
    <row r="149" ht="13" customHeight="1">
      <c r="A149" s="4" t="n">
        <v>320</v>
      </c>
      <c r="B149" s="5" t="inlineStr">
        <is>
          <t>IMG_0069</t>
        </is>
      </c>
      <c r="C149" s="5" t="inlineStr">
        <is>
          <t>CLASS C: GEOTECHNICAL AND OTHER SPECIALIST PROCESSES</t>
        </is>
      </c>
      <c r="D149" s="5" t="inlineStr">
        <is>
          <t>05 DIAPHRAGM WALLS</t>
        </is>
      </c>
      <c r="E149" s="5" t="inlineStr"/>
      <c r="F149" s="5" t="inlineStr">
        <is>
          <t>Standing time</t>
        </is>
      </c>
      <c r="G149" s="6" t="inlineStr">
        <is>
          <t>hour</t>
        </is>
      </c>
      <c r="H149" s="7" t="n"/>
      <c r="I149" s="8" t="n">
        <v>0</v>
      </c>
      <c r="J149" s="8" t="n">
        <v>0</v>
      </c>
      <c r="K149" s="8" t="n">
        <v>0</v>
      </c>
      <c r="L149" s="8" t="n">
        <v>1406.91</v>
      </c>
      <c r="M149" s="9">
        <f>ROUND(SUM(I149:L149),2)</f>
        <v/>
      </c>
      <c r="N149" s="10">
        <f>ROUND(I149*'Irish Basis'!$C$6*'Irish Basis'!$C$5,2)</f>
        <v/>
      </c>
      <c r="O149" s="10">
        <f>ROUND(J149*'Irish Basis'!$C$7*'Irish Basis'!$C$5,2)</f>
        <v/>
      </c>
      <c r="P149" s="10">
        <f>ROUND(K149*'Irish Basis'!$C$8*'Irish Basis'!$C$5,2)</f>
        <v/>
      </c>
      <c r="Q149" s="10">
        <f>ROUND(L149*'Irish Basis'!$C$12*'Irish Basis'!$C$5,2)</f>
        <v/>
      </c>
      <c r="R149" s="11">
        <f>ROUND(SUM(N149:Q149),2)</f>
        <v/>
      </c>
      <c r="S149" s="5" t="inlineStr">
        <is>
          <t>All-in specialist rate</t>
        </is>
      </c>
      <c r="T149" s="14" t="inlineStr">
        <is>
          <t>All-in (not split)</t>
        </is>
      </c>
      <c r="U149" s="8" t="n">
        <v>1406.91</v>
      </c>
      <c r="V149" s="13">
        <f>IF(U149="","",ROUND(M149-U149,2))</f>
        <v/>
      </c>
      <c r="W149" s="5" t="n"/>
      <c r="X149" s="5" t="inlineStr">
        <is>
          <t>Source publishes a specialist/sub-contract all-in rate; no labour/plant/material build-up exists to derive from.</t>
        </is>
      </c>
    </row>
    <row r="150" ht="13" customHeight="1">
      <c r="A150" s="4" t="n">
        <v>321</v>
      </c>
      <c r="B150" s="5" t="inlineStr">
        <is>
          <t>IMG_0069</t>
        </is>
      </c>
      <c r="C150" s="5" t="inlineStr">
        <is>
          <t>CLASS C: GEOTECHNICAL AND OTHER SPECIALIST PROCESSES</t>
        </is>
      </c>
      <c r="D150" s="5" t="inlineStr">
        <is>
          <t>05 DIAPHRAGM WALLS</t>
        </is>
      </c>
      <c r="E150" s="5" t="inlineStr"/>
      <c r="F150" s="5" t="inlineStr">
        <is>
          <t>Excavation, disposal of soil and placing of concrete</t>
        </is>
      </c>
      <c r="G150" s="6" t="inlineStr">
        <is>
          <t>m3</t>
        </is>
      </c>
      <c r="H150" s="7" t="n"/>
      <c r="I150" s="8" t="n">
        <v>0</v>
      </c>
      <c r="J150" s="8" t="n">
        <v>0</v>
      </c>
      <c r="K150" s="8" t="n">
        <v>0</v>
      </c>
      <c r="L150" s="8" t="n">
        <v>713.14</v>
      </c>
      <c r="M150" s="9">
        <f>ROUND(SUM(I150:L150),2)</f>
        <v/>
      </c>
      <c r="N150" s="10">
        <f>ROUND(I150*'Irish Basis'!$C$6*'Irish Basis'!$C$5,2)</f>
        <v/>
      </c>
      <c r="O150" s="10">
        <f>ROUND(J150*'Irish Basis'!$C$7*'Irish Basis'!$C$5,2)</f>
        <v/>
      </c>
      <c r="P150" s="10">
        <f>ROUND(K150*'Irish Basis'!$C$8*'Irish Basis'!$C$5,2)</f>
        <v/>
      </c>
      <c r="Q150" s="10">
        <f>ROUND(L150*'Irish Basis'!$C$12*'Irish Basis'!$C$5,2)</f>
        <v/>
      </c>
      <c r="R150" s="11">
        <f>ROUND(SUM(N150:Q150),2)</f>
        <v/>
      </c>
      <c r="S150" s="5" t="inlineStr">
        <is>
          <t>All-in specialist rate</t>
        </is>
      </c>
      <c r="T150" s="14" t="inlineStr">
        <is>
          <t>All-in (not split)</t>
        </is>
      </c>
      <c r="U150" s="8" t="n">
        <v>713.14</v>
      </c>
      <c r="V150" s="13">
        <f>IF(U150="","",ROUND(M150-U150,2))</f>
        <v/>
      </c>
      <c r="W150" s="5" t="n"/>
      <c r="X150" s="5" t="inlineStr">
        <is>
          <t>Source publishes a specialist/sub-contract all-in rate; no labour/plant/material build-up exists to derive from.</t>
        </is>
      </c>
    </row>
    <row r="151" ht="13" customHeight="1">
      <c r="A151" s="4" t="n">
        <v>322</v>
      </c>
      <c r="B151" s="5" t="inlineStr">
        <is>
          <t>IMG_0069</t>
        </is>
      </c>
      <c r="C151" s="5" t="inlineStr">
        <is>
          <t>CLASS C: GEOTECHNICAL AND OTHER SPECIALIST PROCESSES</t>
        </is>
      </c>
      <c r="D151" s="5" t="inlineStr">
        <is>
          <t>05 DIAPHRAGM WALLS</t>
        </is>
      </c>
      <c r="E151" s="5" t="inlineStr"/>
      <c r="F151" s="5" t="inlineStr">
        <is>
          <t>Provide and place reinforcement cages</t>
        </is>
      </c>
      <c r="G151" s="6" t="inlineStr">
        <is>
          <t>tonne</t>
        </is>
      </c>
      <c r="H151" s="7" t="n"/>
      <c r="I151" s="8" t="n">
        <v>0</v>
      </c>
      <c r="J151" s="8" t="n">
        <v>0</v>
      </c>
      <c r="K151" s="8" t="n">
        <v>0</v>
      </c>
      <c r="L151" s="8" t="n">
        <v>1215.52</v>
      </c>
      <c r="M151" s="9">
        <f>ROUND(SUM(I151:L151),2)</f>
        <v/>
      </c>
      <c r="N151" s="10">
        <f>ROUND(I151*'Irish Basis'!$C$6*'Irish Basis'!$C$5,2)</f>
        <v/>
      </c>
      <c r="O151" s="10">
        <f>ROUND(J151*'Irish Basis'!$C$7*'Irish Basis'!$C$5,2)</f>
        <v/>
      </c>
      <c r="P151" s="10">
        <f>ROUND(K151*'Irish Basis'!$C$8*'Irish Basis'!$C$5,2)</f>
        <v/>
      </c>
      <c r="Q151" s="10">
        <f>ROUND(L151*'Irish Basis'!$C$12*'Irish Basis'!$C$5,2)</f>
        <v/>
      </c>
      <c r="R151" s="11">
        <f>ROUND(SUM(N151:Q151),2)</f>
        <v/>
      </c>
      <c r="S151" s="5" t="inlineStr">
        <is>
          <t>All-in specialist rate</t>
        </is>
      </c>
      <c r="T151" s="14" t="inlineStr">
        <is>
          <t>All-in (not split)</t>
        </is>
      </c>
      <c r="U151" s="8" t="n">
        <v>1215.52</v>
      </c>
      <c r="V151" s="13">
        <f>IF(U151="","",ROUND(M151-U151,2))</f>
        <v/>
      </c>
      <c r="W151" s="5" t="n"/>
      <c r="X151" s="5" t="inlineStr">
        <is>
          <t>Source publishes a specialist/sub-contract all-in rate; no labour/plant/material build-up exists to derive from.</t>
        </is>
      </c>
    </row>
    <row r="152" ht="13" customHeight="1">
      <c r="A152" s="4" t="n">
        <v>323</v>
      </c>
      <c r="B152" s="5" t="inlineStr">
        <is>
          <t>IMG_0069</t>
        </is>
      </c>
      <c r="C152" s="5" t="inlineStr">
        <is>
          <t>CLASS C: GEOTECHNICAL AND OTHER SPECIALIST PROCESSES</t>
        </is>
      </c>
      <c r="D152" s="5" t="inlineStr">
        <is>
          <t>05 DIAPHRAGM WALLS</t>
        </is>
      </c>
      <c r="E152" s="5" t="inlineStr"/>
      <c r="F152" s="5" t="inlineStr">
        <is>
          <t>Excavate/chisel in hard material/rock</t>
        </is>
      </c>
      <c r="G152" s="6" t="inlineStr">
        <is>
          <t>hour</t>
        </is>
      </c>
      <c r="H152" s="7" t="n"/>
      <c r="I152" s="8" t="n">
        <v>0</v>
      </c>
      <c r="J152" s="8" t="n">
        <v>0</v>
      </c>
      <c r="K152" s="8" t="n">
        <v>0</v>
      </c>
      <c r="L152" s="8" t="n">
        <v>1579.31</v>
      </c>
      <c r="M152" s="9">
        <f>ROUND(SUM(I152:L152),2)</f>
        <v/>
      </c>
      <c r="N152" s="10">
        <f>ROUND(I152*'Irish Basis'!$C$6*'Irish Basis'!$C$5,2)</f>
        <v/>
      </c>
      <c r="O152" s="10">
        <f>ROUND(J152*'Irish Basis'!$C$7*'Irish Basis'!$C$5,2)</f>
        <v/>
      </c>
      <c r="P152" s="10">
        <f>ROUND(K152*'Irish Basis'!$C$8*'Irish Basis'!$C$5,2)</f>
        <v/>
      </c>
      <c r="Q152" s="10">
        <f>ROUND(L152*'Irish Basis'!$C$12*'Irish Basis'!$C$5,2)</f>
        <v/>
      </c>
      <c r="R152" s="11">
        <f>ROUND(SUM(N152:Q152),2)</f>
        <v/>
      </c>
      <c r="S152" s="5" t="inlineStr">
        <is>
          <t>All-in specialist rate</t>
        </is>
      </c>
      <c r="T152" s="14" t="inlineStr">
        <is>
          <t>All-in (not split)</t>
        </is>
      </c>
      <c r="U152" s="8" t="n">
        <v>1579.31</v>
      </c>
      <c r="V152" s="13">
        <f>IF(U152="","",ROUND(M152-U152,2))</f>
        <v/>
      </c>
      <c r="W152" s="5" t="n"/>
      <c r="X152" s="5" t="inlineStr">
        <is>
          <t>Source publishes a specialist/sub-contract all-in rate; no labour/plant/material build-up exists to derive from.</t>
        </is>
      </c>
    </row>
    <row r="153" ht="13" customHeight="1">
      <c r="A153" s="4" t="n">
        <v>324</v>
      </c>
      <c r="B153" s="5" t="inlineStr">
        <is>
          <t>IMG_0069</t>
        </is>
      </c>
      <c r="C153" s="5" t="inlineStr">
        <is>
          <t>CLASS C: GEOTECHNICAL AND OTHER SPECIALIST PROCESSES</t>
        </is>
      </c>
      <c r="D153" s="5" t="inlineStr">
        <is>
          <t>05 DIAPHRAGM WALLS</t>
        </is>
      </c>
      <c r="E153" s="5" t="inlineStr"/>
      <c r="F153" s="5" t="inlineStr">
        <is>
          <t>Waterproofed joints</t>
        </is>
      </c>
      <c r="G153" s="6" t="inlineStr">
        <is>
          <t>m</t>
        </is>
      </c>
      <c r="H153" s="7" t="n"/>
      <c r="I153" s="8" t="n">
        <v>0</v>
      </c>
      <c r="J153" s="8" t="n">
        <v>0</v>
      </c>
      <c r="K153" s="8" t="n">
        <v>0</v>
      </c>
      <c r="L153" s="8" t="n">
        <v>10.54</v>
      </c>
      <c r="M153" s="9">
        <f>ROUND(SUM(I153:L153),2)</f>
        <v/>
      </c>
      <c r="N153" s="10">
        <f>ROUND(I153*'Irish Basis'!$C$6*'Irish Basis'!$C$5,2)</f>
        <v/>
      </c>
      <c r="O153" s="10">
        <f>ROUND(J153*'Irish Basis'!$C$7*'Irish Basis'!$C$5,2)</f>
        <v/>
      </c>
      <c r="P153" s="10">
        <f>ROUND(K153*'Irish Basis'!$C$8*'Irish Basis'!$C$5,2)</f>
        <v/>
      </c>
      <c r="Q153" s="10">
        <f>ROUND(L153*'Irish Basis'!$C$12*'Irish Basis'!$C$5,2)</f>
        <v/>
      </c>
      <c r="R153" s="11">
        <f>ROUND(SUM(N153:Q153),2)</f>
        <v/>
      </c>
      <c r="S153" s="5" t="inlineStr">
        <is>
          <t>All-in specialist rate</t>
        </is>
      </c>
      <c r="T153" s="14" t="inlineStr">
        <is>
          <t>All-in (not split)</t>
        </is>
      </c>
      <c r="U153" s="8" t="n">
        <v>10.54</v>
      </c>
      <c r="V153" s="13">
        <f>IF(U153="","",ROUND(M153-U153,2))</f>
        <v/>
      </c>
      <c r="W153" s="5" t="n"/>
      <c r="X153" s="5" t="inlineStr">
        <is>
          <t>Source publishes a specialist/sub-contract all-in rate; no labour/plant/material build-up exists to derive from.</t>
        </is>
      </c>
    </row>
    <row r="154" ht="13" customHeight="1">
      <c r="A154" s="4" t="n">
        <v>325</v>
      </c>
      <c r="B154" s="5" t="inlineStr">
        <is>
          <t>IMG_0069</t>
        </is>
      </c>
      <c r="C154" s="5" t="inlineStr">
        <is>
          <t>CLASS C: GEOTECHNICAL AND OTHER SPECIALIST PROCESSES</t>
        </is>
      </c>
      <c r="D154" s="5" t="inlineStr">
        <is>
          <t>05 DIAPHRAGM WALLS</t>
        </is>
      </c>
      <c r="E154" s="5" t="inlineStr"/>
      <c r="F154" s="5" t="inlineStr">
        <is>
          <t>Guide walls (twin)</t>
        </is>
      </c>
      <c r="G154" s="6" t="inlineStr">
        <is>
          <t>m</t>
        </is>
      </c>
      <c r="H154" s="7" t="n"/>
      <c r="I154" s="8" t="n">
        <v>0</v>
      </c>
      <c r="J154" s="8" t="n">
        <v>0</v>
      </c>
      <c r="K154" s="8" t="n">
        <v>0</v>
      </c>
      <c r="L154" s="8" t="n">
        <v>861.5700000000001</v>
      </c>
      <c r="M154" s="9">
        <f>ROUND(SUM(I154:L154),2)</f>
        <v/>
      </c>
      <c r="N154" s="10">
        <f>ROUND(I154*'Irish Basis'!$C$6*'Irish Basis'!$C$5,2)</f>
        <v/>
      </c>
      <c r="O154" s="10">
        <f>ROUND(J154*'Irish Basis'!$C$7*'Irish Basis'!$C$5,2)</f>
        <v/>
      </c>
      <c r="P154" s="10">
        <f>ROUND(K154*'Irish Basis'!$C$8*'Irish Basis'!$C$5,2)</f>
        <v/>
      </c>
      <c r="Q154" s="10">
        <f>ROUND(L154*'Irish Basis'!$C$12*'Irish Basis'!$C$5,2)</f>
        <v/>
      </c>
      <c r="R154" s="11">
        <f>ROUND(SUM(N154:Q154),2)</f>
        <v/>
      </c>
      <c r="S154" s="5" t="inlineStr">
        <is>
          <t>All-in specialist rate</t>
        </is>
      </c>
      <c r="T154" s="14" t="inlineStr">
        <is>
          <t>All-in (not split)</t>
        </is>
      </c>
      <c r="U154" s="8" t="n">
        <v>861.5700000000001</v>
      </c>
      <c r="V154" s="13">
        <f>IF(U154="","",ROUND(M154-U154,2))</f>
        <v/>
      </c>
      <c r="W154" s="5" t="n"/>
      <c r="X154" s="5" t="inlineStr">
        <is>
          <t>Source publishes a specialist/sub-contract all-in rate; no labour/plant/material build-up exists to derive from.</t>
        </is>
      </c>
    </row>
    <row r="155" ht="13" customHeight="1">
      <c r="A155" s="4" t="n">
        <v>329</v>
      </c>
      <c r="B155" s="5" t="inlineStr">
        <is>
          <t>IMG_0069</t>
        </is>
      </c>
      <c r="C155" s="5" t="inlineStr">
        <is>
          <t>CLASS C: GEOTECHNICAL AND OTHER SPECIALIST PROCESSES</t>
        </is>
      </c>
      <c r="D155" s="5" t="inlineStr">
        <is>
          <t>06 GROUND REINFORCEMENT</t>
        </is>
      </c>
      <c r="E155" s="5" t="inlineStr"/>
      <c r="F155" s="5" t="inlineStr">
        <is>
          <t>Establishment of standard plant and equipment and removal on completion</t>
        </is>
      </c>
      <c r="G155" s="6" t="inlineStr">
        <is>
          <t>item</t>
        </is>
      </c>
      <c r="H155" s="7" t="n"/>
      <c r="I155" s="8" t="n">
        <v>0</v>
      </c>
      <c r="J155" s="8" t="n">
        <v>0</v>
      </c>
      <c r="K155" s="8" t="n">
        <v>0</v>
      </c>
      <c r="L155" s="8" t="n">
        <v>18125.94</v>
      </c>
      <c r="M155" s="9">
        <f>ROUND(SUM(I155:L155),2)</f>
        <v/>
      </c>
      <c r="N155" s="10">
        <f>ROUND(I155*'Irish Basis'!$C$6*'Irish Basis'!$C$5,2)</f>
        <v/>
      </c>
      <c r="O155" s="10">
        <f>ROUND(J155*'Irish Basis'!$C$7*'Irish Basis'!$C$5,2)</f>
        <v/>
      </c>
      <c r="P155" s="10">
        <f>ROUND(K155*'Irish Basis'!$C$8*'Irish Basis'!$C$5,2)</f>
        <v/>
      </c>
      <c r="Q155" s="10">
        <f>ROUND(L155*'Irish Basis'!$C$12*'Irish Basis'!$C$5,2)</f>
        <v/>
      </c>
      <c r="R155" s="11">
        <f>ROUND(SUM(N155:Q155),2)</f>
        <v/>
      </c>
      <c r="S155" s="5" t="inlineStr">
        <is>
          <t>All-in specialist rate</t>
        </is>
      </c>
      <c r="T155" s="14" t="inlineStr">
        <is>
          <t>All-in (not split)</t>
        </is>
      </c>
      <c r="U155" s="8" t="n">
        <v>18125.94</v>
      </c>
      <c r="V155" s="13">
        <f>IF(U155="","",ROUND(M155-U155,2))</f>
        <v/>
      </c>
      <c r="W155" s="5" t="n"/>
      <c r="X155" s="5" t="inlineStr">
        <is>
          <t>Source publishes a specialist/sub-contract all-in rate; no labour/plant/material build-up exists to derive from.</t>
        </is>
      </c>
    </row>
    <row r="156" ht="13" customHeight="1">
      <c r="A156" s="4" t="n">
        <v>330</v>
      </c>
      <c r="B156" s="5" t="inlineStr">
        <is>
          <t>IMG_0069</t>
        </is>
      </c>
      <c r="C156" s="5" t="inlineStr">
        <is>
          <t>CLASS C: GEOTECHNICAL AND OTHER SPECIALIST PROCESSES</t>
        </is>
      </c>
      <c r="D156" s="5" t="inlineStr">
        <is>
          <t>06 GROUND REINFORCEMENT</t>
        </is>
      </c>
      <c r="E156" s="5" t="inlineStr"/>
      <c r="F156" s="5" t="inlineStr">
        <is>
          <t>Standing time</t>
        </is>
      </c>
      <c r="G156" s="6" t="inlineStr">
        <is>
          <t>hour</t>
        </is>
      </c>
      <c r="H156" s="7" t="n"/>
      <c r="I156" s="8" t="n">
        <v>0</v>
      </c>
      <c r="J156" s="8" t="n">
        <v>0</v>
      </c>
      <c r="K156" s="8" t="n">
        <v>0</v>
      </c>
      <c r="L156" s="8" t="n">
        <v>351.73</v>
      </c>
      <c r="M156" s="9">
        <f>ROUND(SUM(I156:L156),2)</f>
        <v/>
      </c>
      <c r="N156" s="10">
        <f>ROUND(I156*'Irish Basis'!$C$6*'Irish Basis'!$C$5,2)</f>
        <v/>
      </c>
      <c r="O156" s="10">
        <f>ROUND(J156*'Irish Basis'!$C$7*'Irish Basis'!$C$5,2)</f>
        <v/>
      </c>
      <c r="P156" s="10">
        <f>ROUND(K156*'Irish Basis'!$C$8*'Irish Basis'!$C$5,2)</f>
        <v/>
      </c>
      <c r="Q156" s="10">
        <f>ROUND(L156*'Irish Basis'!$C$12*'Irish Basis'!$C$5,2)</f>
        <v/>
      </c>
      <c r="R156" s="11">
        <f>ROUND(SUM(N156:Q156),2)</f>
        <v/>
      </c>
      <c r="S156" s="5" t="inlineStr">
        <is>
          <t>All-in specialist rate</t>
        </is>
      </c>
      <c r="T156" s="14" t="inlineStr">
        <is>
          <t>All-in (not split)</t>
        </is>
      </c>
      <c r="U156" s="8" t="n">
        <v>351.73</v>
      </c>
      <c r="V156" s="13">
        <f>IF(U156="","",ROUND(M156-U156,2))</f>
        <v/>
      </c>
      <c r="W156" s="5" t="n"/>
      <c r="X156" s="5" t="inlineStr">
        <is>
          <t>Source publishes a specialist/sub-contract all-in rate; no labour/plant/material build-up exists to derive from.</t>
        </is>
      </c>
    </row>
    <row r="157" ht="13" customHeight="1">
      <c r="A157" s="4" t="n">
        <v>332</v>
      </c>
      <c r="B157" s="5" t="inlineStr">
        <is>
          <t>IMG_0069</t>
        </is>
      </c>
      <c r="C157" s="5" t="inlineStr">
        <is>
          <t>CLASS C: GEOTECHNICAL AND OTHER SPECIALIST PROCESSES</t>
        </is>
      </c>
      <c r="D157" s="5" t="inlineStr">
        <is>
          <t>06 GROUND REINFORCEMENT</t>
        </is>
      </c>
      <c r="E157" s="5" t="inlineStr">
        <is>
          <t>Ground anchorages; temporary or permanent</t>
        </is>
      </c>
      <c r="F157" s="5" t="inlineStr">
        <is>
          <t>15.0 m maximum depth; in rock, alluvial or clay; 0-50 t load</t>
        </is>
      </c>
      <c r="G157" s="6" t="inlineStr">
        <is>
          <t>m</t>
        </is>
      </c>
      <c r="H157" s="7" t="n"/>
      <c r="I157" s="8" t="n">
        <v>0</v>
      </c>
      <c r="J157" s="8" t="n">
        <v>0</v>
      </c>
      <c r="K157" s="8" t="n">
        <v>0</v>
      </c>
      <c r="L157" s="8" t="n">
        <v>62.32</v>
      </c>
      <c r="M157" s="9">
        <f>ROUND(SUM(I157:L157),2)</f>
        <v/>
      </c>
      <c r="N157" s="10">
        <f>ROUND(I157*'Irish Basis'!$C$6*'Irish Basis'!$C$5,2)</f>
        <v/>
      </c>
      <c r="O157" s="10">
        <f>ROUND(J157*'Irish Basis'!$C$7*'Irish Basis'!$C$5,2)</f>
        <v/>
      </c>
      <c r="P157" s="10">
        <f>ROUND(K157*'Irish Basis'!$C$8*'Irish Basis'!$C$5,2)</f>
        <v/>
      </c>
      <c r="Q157" s="10">
        <f>ROUND(L157*'Irish Basis'!$C$12*'Irish Basis'!$C$5,2)</f>
        <v/>
      </c>
      <c r="R157" s="11">
        <f>ROUND(SUM(N157:Q157),2)</f>
        <v/>
      </c>
      <c r="S157" s="5" t="inlineStr">
        <is>
          <t>All-in specialist rate</t>
        </is>
      </c>
      <c r="T157" s="14" t="inlineStr">
        <is>
          <t>All-in (not split)</t>
        </is>
      </c>
      <c r="U157" s="8" t="n">
        <v>62.32</v>
      </c>
      <c r="V157" s="13">
        <f>IF(U157="","",ROUND(M157-U157,2))</f>
        <v/>
      </c>
      <c r="W157" s="5" t="n"/>
      <c r="X157" s="5" t="inlineStr">
        <is>
          <t>Source publishes a specialist/sub-contract all-in rate; no labour/plant/material build-up exists to derive from.</t>
        </is>
      </c>
    </row>
    <row r="158" ht="13" customHeight="1">
      <c r="A158" s="4" t="n">
        <v>333</v>
      </c>
      <c r="B158" s="5" t="inlineStr">
        <is>
          <t>IMG_0069</t>
        </is>
      </c>
      <c r="C158" s="5" t="inlineStr">
        <is>
          <t>CLASS C: GEOTECHNICAL AND OTHER SPECIALIST PROCESSES</t>
        </is>
      </c>
      <c r="D158" s="5" t="inlineStr">
        <is>
          <t>06 GROUND REINFORCEMENT</t>
        </is>
      </c>
      <c r="E158" s="5" t="inlineStr">
        <is>
          <t>Ground anchorages; temporary or permanent</t>
        </is>
      </c>
      <c r="F158" s="5" t="inlineStr">
        <is>
          <t>15.0 m maximum depth; in rock or alluvial; 50-90 t load</t>
        </is>
      </c>
      <c r="G158" s="6" t="inlineStr">
        <is>
          <t>m</t>
        </is>
      </c>
      <c r="H158" s="7" t="n"/>
      <c r="I158" s="8" t="n">
        <v>0</v>
      </c>
      <c r="J158" s="8" t="n">
        <v>0</v>
      </c>
      <c r="K158" s="8" t="n">
        <v>0</v>
      </c>
      <c r="L158" s="8" t="n">
        <v>88.02</v>
      </c>
      <c r="M158" s="9">
        <f>ROUND(SUM(I158:L158),2)</f>
        <v/>
      </c>
      <c r="N158" s="10">
        <f>ROUND(I158*'Irish Basis'!$C$6*'Irish Basis'!$C$5,2)</f>
        <v/>
      </c>
      <c r="O158" s="10">
        <f>ROUND(J158*'Irish Basis'!$C$7*'Irish Basis'!$C$5,2)</f>
        <v/>
      </c>
      <c r="P158" s="10">
        <f>ROUND(K158*'Irish Basis'!$C$8*'Irish Basis'!$C$5,2)</f>
        <v/>
      </c>
      <c r="Q158" s="10">
        <f>ROUND(L158*'Irish Basis'!$C$12*'Irish Basis'!$C$5,2)</f>
        <v/>
      </c>
      <c r="R158" s="11">
        <f>ROUND(SUM(N158:Q158),2)</f>
        <v/>
      </c>
      <c r="S158" s="5" t="inlineStr">
        <is>
          <t>All-in specialist rate</t>
        </is>
      </c>
      <c r="T158" s="14" t="inlineStr">
        <is>
          <t>All-in (not split)</t>
        </is>
      </c>
      <c r="U158" s="8" t="n">
        <v>88.02</v>
      </c>
      <c r="V158" s="13">
        <f>IF(U158="","",ROUND(M158-U158,2))</f>
        <v/>
      </c>
      <c r="W158" s="5" t="n"/>
      <c r="X158" s="5" t="inlineStr">
        <is>
          <t>Source publishes a specialist/sub-contract all-in rate; no labour/plant/material build-up exists to derive from.</t>
        </is>
      </c>
    </row>
    <row r="159" ht="13" customHeight="1">
      <c r="A159" s="4" t="n">
        <v>334</v>
      </c>
      <c r="B159" s="5" t="inlineStr">
        <is>
          <t>IMG_0069</t>
        </is>
      </c>
      <c r="C159" s="5" t="inlineStr">
        <is>
          <t>CLASS C: GEOTECHNICAL AND OTHER SPECIALIST PROCESSES</t>
        </is>
      </c>
      <c r="D159" s="5" t="inlineStr">
        <is>
          <t>06 GROUND REINFORCEMENT</t>
        </is>
      </c>
      <c r="E159" s="5" t="inlineStr">
        <is>
          <t>Ground anchorages; temporary or permanent</t>
        </is>
      </c>
      <c r="F159" s="5" t="inlineStr">
        <is>
          <t>15.0 m maximum depth; in rock only; 90-150 t load</t>
        </is>
      </c>
      <c r="G159" s="6" t="inlineStr">
        <is>
          <t>m</t>
        </is>
      </c>
      <c r="H159" s="7" t="n"/>
      <c r="I159" s="8" t="n">
        <v>0</v>
      </c>
      <c r="J159" s="8" t="n">
        <v>0</v>
      </c>
      <c r="K159" s="8" t="n">
        <v>0</v>
      </c>
      <c r="L159" s="8" t="n">
        <v>181.09</v>
      </c>
      <c r="M159" s="9">
        <f>ROUND(SUM(I159:L159),2)</f>
        <v/>
      </c>
      <c r="N159" s="10">
        <f>ROUND(I159*'Irish Basis'!$C$6*'Irish Basis'!$C$5,2)</f>
        <v/>
      </c>
      <c r="O159" s="10">
        <f>ROUND(J159*'Irish Basis'!$C$7*'Irish Basis'!$C$5,2)</f>
        <v/>
      </c>
      <c r="P159" s="10">
        <f>ROUND(K159*'Irish Basis'!$C$8*'Irish Basis'!$C$5,2)</f>
        <v/>
      </c>
      <c r="Q159" s="10">
        <f>ROUND(L159*'Irish Basis'!$C$12*'Irish Basis'!$C$5,2)</f>
        <v/>
      </c>
      <c r="R159" s="11">
        <f>ROUND(SUM(N159:Q159),2)</f>
        <v/>
      </c>
      <c r="S159" s="5" t="inlineStr">
        <is>
          <t>All-in specialist rate</t>
        </is>
      </c>
      <c r="T159" s="14" t="inlineStr">
        <is>
          <t>All-in (not split)</t>
        </is>
      </c>
      <c r="U159" s="8" t="n">
        <v>181.09</v>
      </c>
      <c r="V159" s="13">
        <f>IF(U159="","",ROUND(M159-U159,2))</f>
        <v/>
      </c>
      <c r="W159" s="5" t="n"/>
      <c r="X159" s="5" t="inlineStr">
        <is>
          <t>Source publishes a specialist/sub-contract all-in rate; no labour/plant/material build-up exists to derive from.</t>
        </is>
      </c>
    </row>
    <row r="160" ht="13" customHeight="1">
      <c r="A160" s="4" t="n">
        <v>336</v>
      </c>
      <c r="B160" s="5" t="inlineStr">
        <is>
          <t>IMG_0069</t>
        </is>
      </c>
      <c r="C160" s="5" t="inlineStr">
        <is>
          <t>CLASS C: GEOTECHNICAL AND OTHER SPECIALIST PROCESSES</t>
        </is>
      </c>
      <c r="D160" s="5" t="inlineStr">
        <is>
          <t>06 GROUND REINFORCEMENT</t>
        </is>
      </c>
      <c r="E160" s="5" t="inlineStr">
        <is>
          <t>Temporary tendons</t>
        </is>
      </c>
      <c r="F160" s="5" t="inlineStr">
        <is>
          <t>in rock, alluvial or clay; 0-50 t load</t>
        </is>
      </c>
      <c r="G160" s="6" t="inlineStr">
        <is>
          <t>m</t>
        </is>
      </c>
      <c r="H160" s="7" t="n"/>
      <c r="I160" s="8" t="n">
        <v>0</v>
      </c>
      <c r="J160" s="8" t="n">
        <v>0</v>
      </c>
      <c r="K160" s="8" t="n">
        <v>0</v>
      </c>
      <c r="L160" s="8" t="n">
        <v>47.76</v>
      </c>
      <c r="M160" s="9">
        <f>ROUND(SUM(I160:L160),2)</f>
        <v/>
      </c>
      <c r="N160" s="10">
        <f>ROUND(I160*'Irish Basis'!$C$6*'Irish Basis'!$C$5,2)</f>
        <v/>
      </c>
      <c r="O160" s="10">
        <f>ROUND(J160*'Irish Basis'!$C$7*'Irish Basis'!$C$5,2)</f>
        <v/>
      </c>
      <c r="P160" s="10">
        <f>ROUND(K160*'Irish Basis'!$C$8*'Irish Basis'!$C$5,2)</f>
        <v/>
      </c>
      <c r="Q160" s="10">
        <f>ROUND(L160*'Irish Basis'!$C$12*'Irish Basis'!$C$5,2)</f>
        <v/>
      </c>
      <c r="R160" s="11">
        <f>ROUND(SUM(N160:Q160),2)</f>
        <v/>
      </c>
      <c r="S160" s="5" t="inlineStr">
        <is>
          <t>All-in specialist rate</t>
        </is>
      </c>
      <c r="T160" s="14" t="inlineStr">
        <is>
          <t>All-in (not split)</t>
        </is>
      </c>
      <c r="U160" s="8" t="n">
        <v>47.76</v>
      </c>
      <c r="V160" s="13">
        <f>IF(U160="","",ROUND(M160-U160,2))</f>
        <v/>
      </c>
      <c r="W160" s="5" t="n"/>
      <c r="X160" s="5" t="inlineStr">
        <is>
          <t>Source publishes a specialist/sub-contract all-in rate; no labour/plant/material build-up exists to derive from.</t>
        </is>
      </c>
    </row>
    <row r="161" ht="13" customHeight="1">
      <c r="A161" s="4" t="n">
        <v>337</v>
      </c>
      <c r="B161" s="5" t="inlineStr">
        <is>
          <t>IMG_0069</t>
        </is>
      </c>
      <c r="C161" s="5" t="inlineStr">
        <is>
          <t>CLASS C: GEOTECHNICAL AND OTHER SPECIALIST PROCESSES</t>
        </is>
      </c>
      <c r="D161" s="5" t="inlineStr">
        <is>
          <t>06 GROUND REINFORCEMENT</t>
        </is>
      </c>
      <c r="E161" s="5" t="inlineStr">
        <is>
          <t>Temporary tendons</t>
        </is>
      </c>
      <c r="F161" s="5" t="inlineStr">
        <is>
          <t>in rock or alluvial; 50-90 t load</t>
        </is>
      </c>
      <c r="G161" s="6" t="inlineStr">
        <is>
          <t>m</t>
        </is>
      </c>
      <c r="H161" s="7" t="n"/>
      <c r="I161" s="8" t="n">
        <v>0</v>
      </c>
      <c r="J161" s="8" t="n">
        <v>0</v>
      </c>
      <c r="K161" s="8" t="n">
        <v>0</v>
      </c>
      <c r="L161" s="8" t="n">
        <v>69.12</v>
      </c>
      <c r="M161" s="9">
        <f>ROUND(SUM(I161:L161),2)</f>
        <v/>
      </c>
      <c r="N161" s="10">
        <f>ROUND(I161*'Irish Basis'!$C$6*'Irish Basis'!$C$5,2)</f>
        <v/>
      </c>
      <c r="O161" s="10">
        <f>ROUND(J161*'Irish Basis'!$C$7*'Irish Basis'!$C$5,2)</f>
        <v/>
      </c>
      <c r="P161" s="10">
        <f>ROUND(K161*'Irish Basis'!$C$8*'Irish Basis'!$C$5,2)</f>
        <v/>
      </c>
      <c r="Q161" s="10">
        <f>ROUND(L161*'Irish Basis'!$C$12*'Irish Basis'!$C$5,2)</f>
        <v/>
      </c>
      <c r="R161" s="11">
        <f>ROUND(SUM(N161:Q161),2)</f>
        <v/>
      </c>
      <c r="S161" s="5" t="inlineStr">
        <is>
          <t>All-in specialist rate</t>
        </is>
      </c>
      <c r="T161" s="14" t="inlineStr">
        <is>
          <t>All-in (not split)</t>
        </is>
      </c>
      <c r="U161" s="8" t="n">
        <v>69.12</v>
      </c>
      <c r="V161" s="13">
        <f>IF(U161="","",ROUND(M161-U161,2))</f>
        <v/>
      </c>
      <c r="W161" s="5" t="n"/>
      <c r="X161" s="5" t="inlineStr">
        <is>
          <t>Source publishes a specialist/sub-contract all-in rate; no labour/plant/material build-up exists to derive from.</t>
        </is>
      </c>
    </row>
    <row r="162" ht="13" customHeight="1">
      <c r="A162" s="4" t="n">
        <v>338</v>
      </c>
      <c r="B162" s="5" t="inlineStr">
        <is>
          <t>IMG_0069</t>
        </is>
      </c>
      <c r="C162" s="5" t="inlineStr">
        <is>
          <t>CLASS C: GEOTECHNICAL AND OTHER SPECIALIST PROCESSES</t>
        </is>
      </c>
      <c r="D162" s="5" t="inlineStr">
        <is>
          <t>06 GROUND REINFORCEMENT</t>
        </is>
      </c>
      <c r="E162" s="5" t="inlineStr">
        <is>
          <t>Temporary tendons</t>
        </is>
      </c>
      <c r="F162" s="5" t="inlineStr">
        <is>
          <t>in rock only; 90-150 t load</t>
        </is>
      </c>
      <c r="G162" s="6" t="inlineStr">
        <is>
          <t>m</t>
        </is>
      </c>
      <c r="H162" s="7" t="n"/>
      <c r="I162" s="8" t="n">
        <v>0</v>
      </c>
      <c r="J162" s="8" t="n">
        <v>0</v>
      </c>
      <c r="K162" s="8" t="n">
        <v>0</v>
      </c>
      <c r="L162" s="8" t="n">
        <v>91.75</v>
      </c>
      <c r="M162" s="9">
        <f>ROUND(SUM(I162:L162),2)</f>
        <v/>
      </c>
      <c r="N162" s="10">
        <f>ROUND(I162*'Irish Basis'!$C$6*'Irish Basis'!$C$5,2)</f>
        <v/>
      </c>
      <c r="O162" s="10">
        <f>ROUND(J162*'Irish Basis'!$C$7*'Irish Basis'!$C$5,2)</f>
        <v/>
      </c>
      <c r="P162" s="10">
        <f>ROUND(K162*'Irish Basis'!$C$8*'Irish Basis'!$C$5,2)</f>
        <v/>
      </c>
      <c r="Q162" s="10">
        <f>ROUND(L162*'Irish Basis'!$C$12*'Irish Basis'!$C$5,2)</f>
        <v/>
      </c>
      <c r="R162" s="11">
        <f>ROUND(SUM(N162:Q162),2)</f>
        <v/>
      </c>
      <c r="S162" s="5" t="inlineStr">
        <is>
          <t>All-in specialist rate</t>
        </is>
      </c>
      <c r="T162" s="14" t="inlineStr">
        <is>
          <t>All-in (not split)</t>
        </is>
      </c>
      <c r="U162" s="8" t="n">
        <v>91.75</v>
      </c>
      <c r="V162" s="13">
        <f>IF(U162="","",ROUND(M162-U162,2))</f>
        <v/>
      </c>
      <c r="W162" s="5" t="n"/>
      <c r="X162" s="5" t="inlineStr">
        <is>
          <t>Source publishes a specialist/sub-contract all-in rate; no labour/plant/material build-up exists to derive from.</t>
        </is>
      </c>
    </row>
    <row r="163" ht="13" customHeight="1">
      <c r="A163" s="4" t="n">
        <v>340</v>
      </c>
      <c r="B163" s="5" t="inlineStr">
        <is>
          <t>IMG_0069</t>
        </is>
      </c>
      <c r="C163" s="5" t="inlineStr">
        <is>
          <t>CLASS C: GEOTECHNICAL AND OTHER SPECIALIST PROCESSES</t>
        </is>
      </c>
      <c r="D163" s="5" t="inlineStr">
        <is>
          <t>06 GROUND REINFORCEMENT</t>
        </is>
      </c>
      <c r="E163" s="5" t="inlineStr">
        <is>
          <t>Permanent tendons</t>
        </is>
      </c>
      <c r="F163" s="5" t="inlineStr">
        <is>
          <t>in rock, alluvial or clay; 0-50 t load</t>
        </is>
      </c>
      <c r="G163" s="6" t="inlineStr">
        <is>
          <t>m</t>
        </is>
      </c>
      <c r="H163" s="7" t="n"/>
      <c r="I163" s="8" t="n">
        <v>0</v>
      </c>
      <c r="J163" s="8" t="n">
        <v>0</v>
      </c>
      <c r="K163" s="8" t="n">
        <v>0</v>
      </c>
      <c r="L163" s="8" t="n">
        <v>47.76</v>
      </c>
      <c r="M163" s="9">
        <f>ROUND(SUM(I163:L163),2)</f>
        <v/>
      </c>
      <c r="N163" s="10">
        <f>ROUND(I163*'Irish Basis'!$C$6*'Irish Basis'!$C$5,2)</f>
        <v/>
      </c>
      <c r="O163" s="10">
        <f>ROUND(J163*'Irish Basis'!$C$7*'Irish Basis'!$C$5,2)</f>
        <v/>
      </c>
      <c r="P163" s="10">
        <f>ROUND(K163*'Irish Basis'!$C$8*'Irish Basis'!$C$5,2)</f>
        <v/>
      </c>
      <c r="Q163" s="10">
        <f>ROUND(L163*'Irish Basis'!$C$12*'Irish Basis'!$C$5,2)</f>
        <v/>
      </c>
      <c r="R163" s="11">
        <f>ROUND(SUM(N163:Q163),2)</f>
        <v/>
      </c>
      <c r="S163" s="5" t="inlineStr">
        <is>
          <t>All-in specialist rate</t>
        </is>
      </c>
      <c r="T163" s="14" t="inlineStr">
        <is>
          <t>All-in (not split)</t>
        </is>
      </c>
      <c r="U163" s="8" t="n">
        <v>47.76</v>
      </c>
      <c r="V163" s="13">
        <f>IF(U163="","",ROUND(M163-U163,2))</f>
        <v/>
      </c>
      <c r="W163" s="5" t="n"/>
      <c r="X163" s="5" t="inlineStr">
        <is>
          <t>Source publishes a specialist/sub-contract all-in rate; no labour/plant/material build-up exists to derive from.</t>
        </is>
      </c>
    </row>
    <row r="164" ht="13" customHeight="1">
      <c r="A164" s="4" t="n">
        <v>341</v>
      </c>
      <c r="B164" s="5" t="inlineStr">
        <is>
          <t>IMG_0069</t>
        </is>
      </c>
      <c r="C164" s="5" t="inlineStr">
        <is>
          <t>CLASS C: GEOTECHNICAL AND OTHER SPECIALIST PROCESSES</t>
        </is>
      </c>
      <c r="D164" s="5" t="inlineStr">
        <is>
          <t>06 GROUND REINFORCEMENT</t>
        </is>
      </c>
      <c r="E164" s="5" t="inlineStr">
        <is>
          <t>Permanent tendons</t>
        </is>
      </c>
      <c r="F164" s="5" t="inlineStr">
        <is>
          <t>in rock or alluvial; 50-90 t load</t>
        </is>
      </c>
      <c r="G164" s="6" t="inlineStr">
        <is>
          <t>m</t>
        </is>
      </c>
      <c r="H164" s="7" t="n"/>
      <c r="I164" s="8" t="n">
        <v>0</v>
      </c>
      <c r="J164" s="8" t="n">
        <v>0</v>
      </c>
      <c r="K164" s="8" t="n">
        <v>0</v>
      </c>
      <c r="L164" s="8" t="n">
        <v>69.12</v>
      </c>
      <c r="M164" s="9">
        <f>ROUND(SUM(I164:L164),2)</f>
        <v/>
      </c>
      <c r="N164" s="10">
        <f>ROUND(I164*'Irish Basis'!$C$6*'Irish Basis'!$C$5,2)</f>
        <v/>
      </c>
      <c r="O164" s="10">
        <f>ROUND(J164*'Irish Basis'!$C$7*'Irish Basis'!$C$5,2)</f>
        <v/>
      </c>
      <c r="P164" s="10">
        <f>ROUND(K164*'Irish Basis'!$C$8*'Irish Basis'!$C$5,2)</f>
        <v/>
      </c>
      <c r="Q164" s="10">
        <f>ROUND(L164*'Irish Basis'!$C$12*'Irish Basis'!$C$5,2)</f>
        <v/>
      </c>
      <c r="R164" s="11">
        <f>ROUND(SUM(N164:Q164),2)</f>
        <v/>
      </c>
      <c r="S164" s="5" t="inlineStr">
        <is>
          <t>All-in specialist rate</t>
        </is>
      </c>
      <c r="T164" s="14" t="inlineStr">
        <is>
          <t>All-in (not split)</t>
        </is>
      </c>
      <c r="U164" s="8" t="n">
        <v>69.12</v>
      </c>
      <c r="V164" s="13">
        <f>IF(U164="","",ROUND(M164-U164,2))</f>
        <v/>
      </c>
      <c r="W164" s="5" t="n"/>
      <c r="X164" s="5" t="inlineStr">
        <is>
          <t>Source publishes a specialist/sub-contract all-in rate; no labour/plant/material build-up exists to derive from.</t>
        </is>
      </c>
    </row>
    <row r="165" ht="13" customHeight="1">
      <c r="A165" s="4" t="n">
        <v>342</v>
      </c>
      <c r="B165" s="5" t="inlineStr">
        <is>
          <t>IMG_0069</t>
        </is>
      </c>
      <c r="C165" s="5" t="inlineStr">
        <is>
          <t>CLASS C: GEOTECHNICAL AND OTHER SPECIALIST PROCESSES</t>
        </is>
      </c>
      <c r="D165" s="5" t="inlineStr">
        <is>
          <t>06 GROUND REINFORCEMENT</t>
        </is>
      </c>
      <c r="E165" s="5" t="inlineStr">
        <is>
          <t>Permanent tendons</t>
        </is>
      </c>
      <c r="F165" s="5" t="inlineStr">
        <is>
          <t>in rock only; 90-150 t load</t>
        </is>
      </c>
      <c r="G165" s="6" t="inlineStr">
        <is>
          <t>m</t>
        </is>
      </c>
      <c r="H165" s="7" t="n"/>
      <c r="I165" s="8" t="n">
        <v>0</v>
      </c>
      <c r="J165" s="8" t="n">
        <v>0</v>
      </c>
      <c r="K165" s="8" t="n">
        <v>0</v>
      </c>
      <c r="L165" s="8" t="n">
        <v>146.79</v>
      </c>
      <c r="M165" s="9">
        <f>ROUND(SUM(I165:L165),2)</f>
        <v/>
      </c>
      <c r="N165" s="10">
        <f>ROUND(I165*'Irish Basis'!$C$6*'Irish Basis'!$C$5,2)</f>
        <v/>
      </c>
      <c r="O165" s="10">
        <f>ROUND(J165*'Irish Basis'!$C$7*'Irish Basis'!$C$5,2)</f>
        <v/>
      </c>
      <c r="P165" s="10">
        <f>ROUND(K165*'Irish Basis'!$C$8*'Irish Basis'!$C$5,2)</f>
        <v/>
      </c>
      <c r="Q165" s="10">
        <f>ROUND(L165*'Irish Basis'!$C$12*'Irish Basis'!$C$5,2)</f>
        <v/>
      </c>
      <c r="R165" s="11">
        <f>ROUND(SUM(N165:Q165),2)</f>
        <v/>
      </c>
      <c r="S165" s="5" t="inlineStr">
        <is>
          <t>All-in specialist rate</t>
        </is>
      </c>
      <c r="T165" s="14" t="inlineStr">
        <is>
          <t>All-in (not split)</t>
        </is>
      </c>
      <c r="U165" s="8" t="n">
        <v>146.79</v>
      </c>
      <c r="V165" s="13">
        <f>IF(U165="","",ROUND(M165-U165,2))</f>
        <v/>
      </c>
      <c r="W165" s="5" t="n"/>
      <c r="X165" s="5" t="inlineStr">
        <is>
          <t>Source publishes a specialist/sub-contract all-in rate; no labour/plant/material build-up exists to derive from.</t>
        </is>
      </c>
    </row>
    <row r="166" ht="13" customHeight="1">
      <c r="A166" s="4" t="n">
        <v>346</v>
      </c>
      <c r="B166" s="5" t="inlineStr">
        <is>
          <t>IMG_0069</t>
        </is>
      </c>
      <c r="C166" s="5" t="inlineStr">
        <is>
          <t>CLASS C: GEOTECHNICAL AND OTHER SPECIALIST PROCESSES</t>
        </is>
      </c>
      <c r="D166" s="5" t="inlineStr">
        <is>
          <t>07 SAND, BAND AND WICK DRAINS</t>
        </is>
      </c>
      <c r="E166" s="5" t="inlineStr"/>
      <c r="F166" s="5" t="inlineStr">
        <is>
          <t>Establishment of standard plant and equipment and removal on completion</t>
        </is>
      </c>
      <c r="G166" s="6" t="inlineStr">
        <is>
          <t>item</t>
        </is>
      </c>
      <c r="H166" s="7" t="n"/>
      <c r="I166" s="8" t="n">
        <v>0</v>
      </c>
      <c r="J166" s="8" t="n">
        <v>0</v>
      </c>
      <c r="K166" s="8" t="n">
        <v>0</v>
      </c>
      <c r="L166" s="8" t="n">
        <v>10875.57</v>
      </c>
      <c r="M166" s="9">
        <f>ROUND(SUM(I166:L166),2)</f>
        <v/>
      </c>
      <c r="N166" s="10">
        <f>ROUND(I166*'Irish Basis'!$C$6*'Irish Basis'!$C$5,2)</f>
        <v/>
      </c>
      <c r="O166" s="10">
        <f>ROUND(J166*'Irish Basis'!$C$7*'Irish Basis'!$C$5,2)</f>
        <v/>
      </c>
      <c r="P166" s="10">
        <f>ROUND(K166*'Irish Basis'!$C$8*'Irish Basis'!$C$5,2)</f>
        <v/>
      </c>
      <c r="Q166" s="10">
        <f>ROUND(L166*'Irish Basis'!$C$12*'Irish Basis'!$C$5,2)</f>
        <v/>
      </c>
      <c r="R166" s="11">
        <f>ROUND(SUM(N166:Q166),2)</f>
        <v/>
      </c>
      <c r="S166" s="5" t="inlineStr">
        <is>
          <t>All-in specialist rate</t>
        </is>
      </c>
      <c r="T166" s="14" t="inlineStr">
        <is>
          <t>All-in (not split)</t>
        </is>
      </c>
      <c r="U166" s="8" t="n">
        <v>10875.57</v>
      </c>
      <c r="V166" s="13">
        <f>IF(U166="","",ROUND(M166-U166,2))</f>
        <v/>
      </c>
      <c r="W166" s="5" t="n"/>
      <c r="X166" s="5" t="inlineStr">
        <is>
          <t>Source publishes a specialist/sub-contract all-in rate; no labour/plant/material build-up exists to derive from.</t>
        </is>
      </c>
    </row>
    <row r="167" ht="13" customHeight="1">
      <c r="A167" s="4" t="n">
        <v>347</v>
      </c>
      <c r="B167" s="5" t="inlineStr">
        <is>
          <t>IMG_0069</t>
        </is>
      </c>
      <c r="C167" s="5" t="inlineStr">
        <is>
          <t>CLASS C: GEOTECHNICAL AND OTHER SPECIALIST PROCESSES</t>
        </is>
      </c>
      <c r="D167" s="5" t="inlineStr">
        <is>
          <t>07 SAND, BAND AND WICK DRAINS</t>
        </is>
      </c>
      <c r="E167" s="5" t="inlineStr"/>
      <c r="F167" s="5" t="inlineStr">
        <is>
          <t>Standing time</t>
        </is>
      </c>
      <c r="G167" s="6" t="inlineStr">
        <is>
          <t>hour</t>
        </is>
      </c>
      <c r="H167" s="7" t="n"/>
      <c r="I167" s="8" t="n">
        <v>0</v>
      </c>
      <c r="J167" s="8" t="n">
        <v>0</v>
      </c>
      <c r="K167" s="8" t="n">
        <v>0</v>
      </c>
      <c r="L167" s="8" t="n">
        <v>351.73</v>
      </c>
      <c r="M167" s="9">
        <f>ROUND(SUM(I167:L167),2)</f>
        <v/>
      </c>
      <c r="N167" s="10">
        <f>ROUND(I167*'Irish Basis'!$C$6*'Irish Basis'!$C$5,2)</f>
        <v/>
      </c>
      <c r="O167" s="10">
        <f>ROUND(J167*'Irish Basis'!$C$7*'Irish Basis'!$C$5,2)</f>
        <v/>
      </c>
      <c r="P167" s="10">
        <f>ROUND(K167*'Irish Basis'!$C$8*'Irish Basis'!$C$5,2)</f>
        <v/>
      </c>
      <c r="Q167" s="10">
        <f>ROUND(L167*'Irish Basis'!$C$12*'Irish Basis'!$C$5,2)</f>
        <v/>
      </c>
      <c r="R167" s="11">
        <f>ROUND(SUM(N167:Q167),2)</f>
        <v/>
      </c>
      <c r="S167" s="5" t="inlineStr">
        <is>
          <t>All-in specialist rate</t>
        </is>
      </c>
      <c r="T167" s="14" t="inlineStr">
        <is>
          <t>All-in (not split)</t>
        </is>
      </c>
      <c r="U167" s="8" t="n">
        <v>351.73</v>
      </c>
      <c r="V167" s="13">
        <f>IF(U167="","",ROUND(M167-U167,2))</f>
        <v/>
      </c>
      <c r="W167" s="5" t="n"/>
      <c r="X167" s="5" t="inlineStr">
        <is>
          <t>Source publishes a specialist/sub-contract all-in rate; no labour/plant/material build-up exists to derive from.</t>
        </is>
      </c>
    </row>
    <row r="168" ht="13" customHeight="1">
      <c r="A168" s="4" t="n">
        <v>348</v>
      </c>
      <c r="B168" s="5" t="inlineStr">
        <is>
          <t>IMG_0069</t>
        </is>
      </c>
      <c r="C168" s="5" t="inlineStr">
        <is>
          <t>CLASS C: GEOTECHNICAL AND OTHER SPECIALIST PROCESSES</t>
        </is>
      </c>
      <c r="D168" s="5" t="inlineStr">
        <is>
          <t>07 SAND, BAND AND WICK DRAINS</t>
        </is>
      </c>
      <c r="E168" s="5" t="inlineStr"/>
      <c r="F168" s="5" t="inlineStr">
        <is>
          <t>Set up installation equipment at each drain position Install drains maximum depth 10-15 m</t>
        </is>
      </c>
      <c r="G168" s="6" t="inlineStr">
        <is>
          <t>nr</t>
        </is>
      </c>
      <c r="H168" s="7" t="n"/>
      <c r="I168" s="8" t="n">
        <v>0</v>
      </c>
      <c r="J168" s="8" t="n">
        <v>0</v>
      </c>
      <c r="K168" s="8" t="n">
        <v>0</v>
      </c>
      <c r="L168" s="8" t="n">
        <v>2.76</v>
      </c>
      <c r="M168" s="9">
        <f>ROUND(SUM(I168:L168),2)</f>
        <v/>
      </c>
      <c r="N168" s="10">
        <f>ROUND(I168*'Irish Basis'!$C$6*'Irish Basis'!$C$5,2)</f>
        <v/>
      </c>
      <c r="O168" s="10">
        <f>ROUND(J168*'Irish Basis'!$C$7*'Irish Basis'!$C$5,2)</f>
        <v/>
      </c>
      <c r="P168" s="10">
        <f>ROUND(K168*'Irish Basis'!$C$8*'Irish Basis'!$C$5,2)</f>
        <v/>
      </c>
      <c r="Q168" s="10">
        <f>ROUND(L168*'Irish Basis'!$C$12*'Irish Basis'!$C$5,2)</f>
        <v/>
      </c>
      <c r="R168" s="11">
        <f>ROUND(SUM(N168:Q168),2)</f>
        <v/>
      </c>
      <c r="S168" s="5" t="inlineStr">
        <is>
          <t>All-in specialist rate</t>
        </is>
      </c>
      <c r="T168" s="14" t="inlineStr">
        <is>
          <t>All-in (not split)</t>
        </is>
      </c>
      <c r="U168" s="8" t="n">
        <v>2.76</v>
      </c>
      <c r="V168" s="13">
        <f>IF(U168="","",ROUND(M168-U168,2))</f>
        <v/>
      </c>
      <c r="W168" s="5" t="n"/>
      <c r="X168" s="5" t="inlineStr">
        <is>
          <t>Source publishes a specialist/sub-contract all-in rate; no labour/plant/material build-up exists to derive from.</t>
        </is>
      </c>
    </row>
    <row r="169" ht="13" customHeight="1">
      <c r="A169" s="4" t="n">
        <v>349</v>
      </c>
      <c r="B169" s="5" t="inlineStr">
        <is>
          <t>IMG_0069</t>
        </is>
      </c>
      <c r="C169" s="5" t="inlineStr">
        <is>
          <t>CLASS C: GEOTECHNICAL AND OTHER SPECIALIST PROCESSES</t>
        </is>
      </c>
      <c r="D169" s="5" t="inlineStr">
        <is>
          <t>07 SAND, BAND AND WICK DRAINS</t>
        </is>
      </c>
      <c r="E169" s="5" t="inlineStr"/>
      <c r="F169" s="5" t="inlineStr">
        <is>
          <t>Install drains maximum depth over 15 m</t>
        </is>
      </c>
      <c r="G169" s="6" t="inlineStr">
        <is>
          <t>m</t>
        </is>
      </c>
      <c r="H169" s="7" t="n"/>
      <c r="I169" s="8" t="n">
        <v>0</v>
      </c>
      <c r="J169" s="8" t="n">
        <v>0</v>
      </c>
      <c r="K169" s="8" t="n">
        <v>0</v>
      </c>
      <c r="L169" s="8" t="n">
        <v>2.57</v>
      </c>
      <c r="M169" s="9">
        <f>ROUND(SUM(I169:L169),2)</f>
        <v/>
      </c>
      <c r="N169" s="10">
        <f>ROUND(I169*'Irish Basis'!$C$6*'Irish Basis'!$C$5,2)</f>
        <v/>
      </c>
      <c r="O169" s="10">
        <f>ROUND(J169*'Irish Basis'!$C$7*'Irish Basis'!$C$5,2)</f>
        <v/>
      </c>
      <c r="P169" s="10">
        <f>ROUND(K169*'Irish Basis'!$C$8*'Irish Basis'!$C$5,2)</f>
        <v/>
      </c>
      <c r="Q169" s="10">
        <f>ROUND(L169*'Irish Basis'!$C$12*'Irish Basis'!$C$5,2)</f>
        <v/>
      </c>
      <c r="R169" s="11">
        <f>ROUND(SUM(N169:Q169),2)</f>
        <v/>
      </c>
      <c r="S169" s="5" t="inlineStr">
        <is>
          <t>All-in specialist rate</t>
        </is>
      </c>
      <c r="T169" s="14" t="inlineStr">
        <is>
          <t>All-in (not split)</t>
        </is>
      </c>
      <c r="U169" s="8" t="n">
        <v>2.57</v>
      </c>
      <c r="V169" s="13">
        <f>IF(U169="","",ROUND(M169-U169,2))</f>
        <v/>
      </c>
      <c r="W169" s="5" t="n"/>
      <c r="X169" s="5" t="inlineStr">
        <is>
          <t>Source publishes a specialist/sub-contract all-in rate; no labour/plant/material build-up exists to derive from.</t>
        </is>
      </c>
    </row>
    <row r="170" ht="13" customHeight="1">
      <c r="A170" s="4" t="n">
        <v>351</v>
      </c>
      <c r="B170" s="5" t="inlineStr">
        <is>
          <t>IMG_0069</t>
        </is>
      </c>
      <c r="C170" s="5" t="inlineStr">
        <is>
          <t>CLASS C: GEOTECHNICAL AND OTHER SPECIALIST PROCESSES</t>
        </is>
      </c>
      <c r="D170" s="5" t="inlineStr">
        <is>
          <t>07 SAND, BAND AND WICK DRAINS</t>
        </is>
      </c>
      <c r="E170" s="5" t="inlineStr"/>
      <c r="F170" s="5" t="inlineStr">
        <is>
          <t>establishment of standard drilling plant and equipment and removal on completion</t>
        </is>
      </c>
      <c r="G170" s="6" t="inlineStr">
        <is>
          <t>item</t>
        </is>
      </c>
      <c r="H170" s="7" t="n"/>
      <c r="I170" s="8" t="n">
        <v>0</v>
      </c>
      <c r="J170" s="8" t="n">
        <v>0</v>
      </c>
      <c r="K170" s="8" t="n">
        <v>0</v>
      </c>
      <c r="L170" s="8" t="n">
        <v>3688.02</v>
      </c>
      <c r="M170" s="9">
        <f>ROUND(SUM(I170:L170),2)</f>
        <v/>
      </c>
      <c r="N170" s="10">
        <f>ROUND(I170*'Irish Basis'!$C$6*'Irish Basis'!$C$5,2)</f>
        <v/>
      </c>
      <c r="O170" s="10">
        <f>ROUND(J170*'Irish Basis'!$C$7*'Irish Basis'!$C$5,2)</f>
        <v/>
      </c>
      <c r="P170" s="10">
        <f>ROUND(K170*'Irish Basis'!$C$8*'Irish Basis'!$C$5,2)</f>
        <v/>
      </c>
      <c r="Q170" s="10">
        <f>ROUND(L170*'Irish Basis'!$C$12*'Irish Basis'!$C$5,2)</f>
        <v/>
      </c>
      <c r="R170" s="11">
        <f>ROUND(SUM(N170:Q170),2)</f>
        <v/>
      </c>
      <c r="S170" s="5" t="inlineStr">
        <is>
          <t>All-in specialist rate</t>
        </is>
      </c>
      <c r="T170" s="14" t="inlineStr">
        <is>
          <t>All-in (not split)</t>
        </is>
      </c>
      <c r="U170" s="8" t="n">
        <v>3688.02</v>
      </c>
      <c r="V170" s="13">
        <f>IF(U170="","",ROUND(M170-U170,2))</f>
        <v/>
      </c>
      <c r="W170" s="5" t="n"/>
      <c r="X170" s="5" t="inlineStr">
        <is>
          <t>Source publishes a specialist/sub-contract all-in rate; no labour/plant/material build-up exists to derive from.</t>
        </is>
      </c>
    </row>
    <row r="171" ht="13" customHeight="1">
      <c r="A171" s="4" t="n">
        <v>352</v>
      </c>
      <c r="B171" s="5" t="inlineStr">
        <is>
          <t>IMG_0069</t>
        </is>
      </c>
      <c r="C171" s="5" t="inlineStr">
        <is>
          <t>CLASS C: GEOTECHNICAL AND OTHER SPECIALIST PROCESSES</t>
        </is>
      </c>
      <c r="D171" s="5" t="inlineStr">
        <is>
          <t>07 SAND, BAND AND WICK DRAINS</t>
        </is>
      </c>
      <c r="E171" s="5" t="inlineStr"/>
      <c r="F171" s="5" t="inlineStr">
        <is>
          <t>set up at each drain position</t>
        </is>
      </c>
      <c r="G171" s="6" t="inlineStr">
        <is>
          <t>nr</t>
        </is>
      </c>
      <c r="H171" s="7" t="n"/>
      <c r="I171" s="8" t="n">
        <v>0</v>
      </c>
      <c r="J171" s="8" t="n">
        <v>0</v>
      </c>
      <c r="K171" s="8" t="n">
        <v>0</v>
      </c>
      <c r="L171" s="8" t="n">
        <v>8.94</v>
      </c>
      <c r="M171" s="9">
        <f>ROUND(SUM(I171:L171),2)</f>
        <v/>
      </c>
      <c r="N171" s="10">
        <f>ROUND(I171*'Irish Basis'!$C$6*'Irish Basis'!$C$5,2)</f>
        <v/>
      </c>
      <c r="O171" s="10">
        <f>ROUND(J171*'Irish Basis'!$C$7*'Irish Basis'!$C$5,2)</f>
        <v/>
      </c>
      <c r="P171" s="10">
        <f>ROUND(K171*'Irish Basis'!$C$8*'Irish Basis'!$C$5,2)</f>
        <v/>
      </c>
      <c r="Q171" s="10">
        <f>ROUND(L171*'Irish Basis'!$C$12*'Irish Basis'!$C$5,2)</f>
        <v/>
      </c>
      <c r="R171" s="11">
        <f>ROUND(SUM(N171:Q171),2)</f>
        <v/>
      </c>
      <c r="S171" s="5" t="inlineStr">
        <is>
          <t>All-in specialist rate</t>
        </is>
      </c>
      <c r="T171" s="14" t="inlineStr">
        <is>
          <t>All-in (not split)</t>
        </is>
      </c>
      <c r="U171" s="8" t="n">
        <v>8.94</v>
      </c>
      <c r="V171" s="13">
        <f>IF(U171="","",ROUND(M171-U171,2))</f>
        <v/>
      </c>
      <c r="W171" s="5" t="n"/>
      <c r="X171" s="5" t="inlineStr">
        <is>
          <t>Source publishes a specialist/sub-contract all-in rate; no labour/plant/material build-up exists to derive from.</t>
        </is>
      </c>
    </row>
    <row r="172" ht="13" customHeight="1">
      <c r="A172" s="4" t="n">
        <v>353</v>
      </c>
      <c r="B172" s="5" t="inlineStr">
        <is>
          <t>IMG_0069</t>
        </is>
      </c>
      <c r="C172" s="5" t="inlineStr">
        <is>
          <t>CLASS C: GEOTECHNICAL AND OTHER SPECIALIST PROCESSES</t>
        </is>
      </c>
      <c r="D172" s="5" t="inlineStr">
        <is>
          <t>07 SAND, BAND AND WICK DRAINS</t>
        </is>
      </c>
      <c r="E172" s="5" t="inlineStr"/>
      <c r="F172" s="5" t="inlineStr">
        <is>
          <t>drilling for vertical band drains up to a maximum depth of 3 m</t>
        </is>
      </c>
      <c r="G172" s="6" t="inlineStr">
        <is>
          <t>m</t>
        </is>
      </c>
      <c r="H172" s="7" t="n"/>
      <c r="I172" s="8" t="n">
        <v>0</v>
      </c>
      <c r="J172" s="8" t="n">
        <v>0</v>
      </c>
      <c r="K172" s="8" t="n">
        <v>0</v>
      </c>
      <c r="L172" s="8" t="n">
        <v>19.4</v>
      </c>
      <c r="M172" s="9">
        <f>ROUND(SUM(I172:L172),2)</f>
        <v/>
      </c>
      <c r="N172" s="10">
        <f>ROUND(I172*'Irish Basis'!$C$6*'Irish Basis'!$C$5,2)</f>
        <v/>
      </c>
      <c r="O172" s="10">
        <f>ROUND(J172*'Irish Basis'!$C$7*'Irish Basis'!$C$5,2)</f>
        <v/>
      </c>
      <c r="P172" s="10">
        <f>ROUND(K172*'Irish Basis'!$C$8*'Irish Basis'!$C$5,2)</f>
        <v/>
      </c>
      <c r="Q172" s="10">
        <f>ROUND(L172*'Irish Basis'!$C$12*'Irish Basis'!$C$5,2)</f>
        <v/>
      </c>
      <c r="R172" s="11">
        <f>ROUND(SUM(N172:Q172),2)</f>
        <v/>
      </c>
      <c r="S172" s="5" t="inlineStr">
        <is>
          <t>All-in specialist rate</t>
        </is>
      </c>
      <c r="T172" s="14" t="inlineStr">
        <is>
          <t>All-in (not split)</t>
        </is>
      </c>
      <c r="U172" s="8" t="n">
        <v>19.4</v>
      </c>
      <c r="V172" s="13">
        <f>IF(U172="","",ROUND(M172-U172,2))</f>
        <v/>
      </c>
      <c r="W172" s="5" t="n"/>
      <c r="X172" s="5" t="inlineStr">
        <is>
          <t>Source publishes a specialist/sub-contract all-in rate; no labour/plant/material build-up exists to derive from.</t>
        </is>
      </c>
    </row>
    <row r="173" ht="13" customHeight="1">
      <c r="A173" s="4" t="n">
        <v>361</v>
      </c>
      <c r="B173" s="5" t="inlineStr">
        <is>
          <t>IMG_0070</t>
        </is>
      </c>
      <c r="C173" s="5" t="inlineStr">
        <is>
          <t>CLASS C: GEOTECHNICAL AND OTHER SPECIALIST PROCESSES</t>
        </is>
      </c>
      <c r="D173" s="5" t="inlineStr">
        <is>
          <t>08 VIBRO-FLOTATION AND DYNAMIC COMPACTION</t>
        </is>
      </c>
      <c r="E173" s="5" t="inlineStr">
        <is>
          <t>Plant mobilization</t>
        </is>
      </c>
      <c r="F173" s="5" t="inlineStr">
        <is>
          <t>establishment of standard plant and equipment and removal on completion</t>
        </is>
      </c>
      <c r="G173" s="6" t="inlineStr">
        <is>
          <t>m</t>
        </is>
      </c>
      <c r="H173" s="7" t="n"/>
      <c r="I173" s="8" t="n">
        <v>0</v>
      </c>
      <c r="J173" s="8" t="n">
        <v>0</v>
      </c>
      <c r="K173" s="8" t="n">
        <v>0</v>
      </c>
      <c r="L173" s="8" t="n">
        <v>7249.14</v>
      </c>
      <c r="M173" s="9">
        <f>ROUND(SUM(I173:L173),2)</f>
        <v/>
      </c>
      <c r="N173" s="10">
        <f>ROUND(I173*'Irish Basis'!$C$6*'Irish Basis'!$C$5,2)</f>
        <v/>
      </c>
      <c r="O173" s="10">
        <f>ROUND(J173*'Irish Basis'!$C$7*'Irish Basis'!$C$5,2)</f>
        <v/>
      </c>
      <c r="P173" s="10">
        <f>ROUND(K173*'Irish Basis'!$C$8*'Irish Basis'!$C$5,2)</f>
        <v/>
      </c>
      <c r="Q173" s="10">
        <f>ROUND(L173*'Irish Basis'!$C$12*'Irish Basis'!$C$5,2)</f>
        <v/>
      </c>
      <c r="R173" s="11">
        <f>ROUND(SUM(N173:Q173),2)</f>
        <v/>
      </c>
      <c r="S173" s="5" t="inlineStr">
        <is>
          <t>All-in specialist rate</t>
        </is>
      </c>
      <c r="T173" s="14" t="inlineStr">
        <is>
          <t>All-in (not split)</t>
        </is>
      </c>
      <c r="U173" s="8" t="n">
        <v>7249.14</v>
      </c>
      <c r="V173" s="13">
        <f>IF(U173="","",ROUND(M173-U173,2))</f>
        <v/>
      </c>
      <c r="W173" s="5" t="n"/>
      <c r="X173" s="5" t="inlineStr">
        <is>
          <t>Source publishes a specialist/sub-contract all-in rate; no labour/plant/material build-up exists to derive from.</t>
        </is>
      </c>
    </row>
    <row r="174" ht="13" customHeight="1">
      <c r="A174" s="4" t="n">
        <v>362</v>
      </c>
      <c r="B174" s="5" t="inlineStr">
        <is>
          <t>IMG_0070</t>
        </is>
      </c>
      <c r="C174" s="5" t="inlineStr">
        <is>
          <t>CLASS C: GEOTECHNICAL AND OTHER SPECIALIST PROCESSES</t>
        </is>
      </c>
      <c r="D174" s="5" t="inlineStr">
        <is>
          <t>08 VIBRO-FLOTATION AND DYNAMIC COMPACTION</t>
        </is>
      </c>
      <c r="E174" s="5" t="inlineStr">
        <is>
          <t>Plant mobilization</t>
        </is>
      </c>
      <c r="F174" s="5" t="inlineStr">
        <is>
          <t>standing time</t>
        </is>
      </c>
      <c r="G174" s="6" t="inlineStr">
        <is>
          <t>m</t>
        </is>
      </c>
      <c r="H174" s="7" t="n"/>
      <c r="I174" s="8" t="n">
        <v>0</v>
      </c>
      <c r="J174" s="8" t="n">
        <v>317.24</v>
      </c>
      <c r="K174" s="8" t="n">
        <v>0</v>
      </c>
      <c r="L174" s="8" t="n">
        <v>0</v>
      </c>
      <c r="M174" s="9">
        <f>ROUND(SUM(I174:L174),2)</f>
        <v/>
      </c>
      <c r="N174" s="10">
        <f>ROUND(I174*'Irish Basis'!$C$6*'Irish Basis'!$C$5,2)</f>
        <v/>
      </c>
      <c r="O174" s="10">
        <f>ROUND(J174*'Irish Basis'!$C$7*'Irish Basis'!$C$5,2)</f>
        <v/>
      </c>
      <c r="P174" s="10">
        <f>ROUND(K174*'Irish Basis'!$C$8*'Irish Basis'!$C$5,2)</f>
        <v/>
      </c>
      <c r="Q174" s="10">
        <f>ROUND(L174*'Irish Basis'!$C$12*'Irish Basis'!$C$5,2)</f>
        <v/>
      </c>
      <c r="R174" s="11">
        <f>ROUND(SUM(N174:Q174),2)</f>
        <v/>
      </c>
      <c r="S174" s="5" t="inlineStr">
        <is>
          <t>Stated build-up</t>
        </is>
      </c>
      <c r="T174" s="12" t="inlineStr">
        <is>
          <t>High</t>
        </is>
      </c>
      <c r="U174" s="8" t="n">
        <v>317.24</v>
      </c>
      <c r="V174" s="13">
        <f>IF(U174="","",ROUND(M174-U174,2))</f>
        <v/>
      </c>
      <c r="W174" s="5" t="n"/>
      <c r="X174" s="5" t="inlineStr">
        <is>
          <t>Labour + plant + material as published; reconciles to the published rate.</t>
        </is>
      </c>
    </row>
    <row r="175" ht="13" customHeight="1">
      <c r="A175" s="4" t="n">
        <v>364</v>
      </c>
      <c r="B175" s="5" t="inlineStr">
        <is>
          <t>IMG_0070</t>
        </is>
      </c>
      <c r="C175" s="5" t="inlineStr">
        <is>
          <t>CLASS C: GEOTECHNICAL AND OTHER SPECIALIST PROCESSES</t>
        </is>
      </c>
      <c r="D175" s="5" t="inlineStr">
        <is>
          <t>08 VIBRO-FLOTATION AND DYNAMIC COMPACTION</t>
        </is>
      </c>
      <c r="E175" s="5" t="inlineStr">
        <is>
          <t>Construct stone columns to a depth ne 4 m</t>
        </is>
      </c>
      <c r="F175" s="5" t="inlineStr">
        <is>
          <t>dry formed</t>
        </is>
      </c>
      <c r="G175" s="6" t="inlineStr">
        <is>
          <t>m</t>
        </is>
      </c>
      <c r="H175" s="7" t="n">
        <v>1</v>
      </c>
      <c r="I175" s="8" t="n">
        <v>73.81999999999999</v>
      </c>
      <c r="J175" s="8" t="n">
        <v>0</v>
      </c>
      <c r="K175" s="8" t="n">
        <v>0</v>
      </c>
      <c r="L175" s="8" t="n">
        <v>0</v>
      </c>
      <c r="M175" s="9">
        <f>ROUND(SUM(I175:L175),2)</f>
        <v/>
      </c>
      <c r="N175" s="10">
        <f>ROUND(I175*'Irish Basis'!$C$6*'Irish Basis'!$C$5,2)</f>
        <v/>
      </c>
      <c r="O175" s="10">
        <f>ROUND(J175*'Irish Basis'!$C$7*'Irish Basis'!$C$5,2)</f>
        <v/>
      </c>
      <c r="P175" s="10">
        <f>ROUND(K175*'Irish Basis'!$C$8*'Irish Basis'!$C$5,2)</f>
        <v/>
      </c>
      <c r="Q175" s="10">
        <f>ROUND(L175*'Irish Basis'!$C$12*'Irish Basis'!$C$5,2)</f>
        <v/>
      </c>
      <c r="R175" s="11">
        <f>ROUND(SUM(N175:Q175),2)</f>
        <v/>
      </c>
      <c r="S175" s="5" t="inlineStr">
        <is>
          <t>Stated build-up</t>
        </is>
      </c>
      <c r="T175" s="12" t="inlineStr">
        <is>
          <t>High</t>
        </is>
      </c>
      <c r="U175" s="8" t="n">
        <v>73.81999999999999</v>
      </c>
      <c r="V175" s="13">
        <f>IF(U175="","",ROUND(M175-U175,2))</f>
        <v/>
      </c>
      <c r="W175" s="5" t="n"/>
      <c r="X175" s="5" t="inlineStr">
        <is>
          <t>Labour + plant + material as published; reconciles to the published rate.</t>
        </is>
      </c>
    </row>
    <row r="176" ht="13" customHeight="1">
      <c r="A176" s="4" t="n">
        <v>365</v>
      </c>
      <c r="B176" s="5" t="inlineStr">
        <is>
          <t>IMG_0070</t>
        </is>
      </c>
      <c r="C176" s="5" t="inlineStr">
        <is>
          <t>CLASS C: GEOTECHNICAL AND OTHER SPECIALIST PROCESSES</t>
        </is>
      </c>
      <c r="D176" s="5" t="inlineStr">
        <is>
          <t>08 VIBRO-FLOTATION AND DYNAMIC COMPACTION</t>
        </is>
      </c>
      <c r="E176" s="5" t="inlineStr">
        <is>
          <t>Construct stone columns to a depth ne 4 m</t>
        </is>
      </c>
      <c r="F176" s="5" t="inlineStr">
        <is>
          <t>water jet formed</t>
        </is>
      </c>
      <c r="G176" s="6" t="inlineStr">
        <is>
          <t>m</t>
        </is>
      </c>
      <c r="H176" s="7" t="n"/>
      <c r="I176" s="8" t="n">
        <v>0</v>
      </c>
      <c r="J176" s="8" t="n">
        <v>0</v>
      </c>
      <c r="K176" s="8" t="n">
        <v>0</v>
      </c>
      <c r="L176" s="8" t="n">
        <v>489.89</v>
      </c>
      <c r="M176" s="9">
        <f>ROUND(SUM(I176:L176),2)</f>
        <v/>
      </c>
      <c r="N176" s="10">
        <f>ROUND(I176*'Irish Basis'!$C$6*'Irish Basis'!$C$5,2)</f>
        <v/>
      </c>
      <c r="O176" s="10">
        <f>ROUND(J176*'Irish Basis'!$C$7*'Irish Basis'!$C$5,2)</f>
        <v/>
      </c>
      <c r="P176" s="10">
        <f>ROUND(K176*'Irish Basis'!$C$8*'Irish Basis'!$C$5,2)</f>
        <v/>
      </c>
      <c r="Q176" s="10">
        <f>ROUND(L176*'Irish Basis'!$C$12*'Irish Basis'!$C$5,2)</f>
        <v/>
      </c>
      <c r="R176" s="11">
        <f>ROUND(SUM(N176:Q176),2)</f>
        <v/>
      </c>
      <c r="S176" s="5" t="inlineStr">
        <is>
          <t>All-in specialist rate</t>
        </is>
      </c>
      <c r="T176" s="14" t="inlineStr">
        <is>
          <t>All-in (not split)</t>
        </is>
      </c>
      <c r="U176" s="8" t="n">
        <v>489.89</v>
      </c>
      <c r="V176" s="13">
        <f>IF(U176="","",ROUND(M176-U176,2))</f>
        <v/>
      </c>
      <c r="W176" s="5" t="n"/>
      <c r="X176" s="5" t="inlineStr">
        <is>
          <t>Source publishes a specialist/sub-contract all-in rate; no labour/plant/material build-up exists to derive from.</t>
        </is>
      </c>
    </row>
    <row r="177" ht="13" customHeight="1">
      <c r="A177" s="4" t="n">
        <v>367</v>
      </c>
      <c r="B177" s="5" t="inlineStr">
        <is>
          <t>IMG_0070</t>
        </is>
      </c>
      <c r="C177" s="5" t="inlineStr">
        <is>
          <t>CLASS C: GEOTECHNICAL AND OTHER SPECIALIST PROCESSES</t>
        </is>
      </c>
      <c r="D177" s="5" t="inlineStr">
        <is>
          <t>08 VIBRO-FLOTATION AND DYNAMIC COMPACTION</t>
        </is>
      </c>
      <c r="E177" s="5" t="inlineStr">
        <is>
          <t>Plate bearing test</t>
        </is>
      </c>
      <c r="F177" s="5" t="inlineStr">
        <is>
          <t>ne 11 t or 2 hour duration</t>
        </is>
      </c>
      <c r="G177" s="6" t="inlineStr">
        <is>
          <t>nr</t>
        </is>
      </c>
      <c r="H177" s="7" t="n"/>
      <c r="I177" s="8" t="n">
        <v>0</v>
      </c>
      <c r="J177" s="8" t="n">
        <v>0</v>
      </c>
      <c r="K177" s="8" t="n">
        <v>0</v>
      </c>
      <c r="L177" s="8" t="n">
        <v>761.83</v>
      </c>
      <c r="M177" s="9">
        <f>ROUND(SUM(I177:L177),2)</f>
        <v/>
      </c>
      <c r="N177" s="10">
        <f>ROUND(I177*'Irish Basis'!$C$6*'Irish Basis'!$C$5,2)</f>
        <v/>
      </c>
      <c r="O177" s="10">
        <f>ROUND(J177*'Irish Basis'!$C$7*'Irish Basis'!$C$5,2)</f>
        <v/>
      </c>
      <c r="P177" s="10">
        <f>ROUND(K177*'Irish Basis'!$C$8*'Irish Basis'!$C$5,2)</f>
        <v/>
      </c>
      <c r="Q177" s="10">
        <f>ROUND(L177*'Irish Basis'!$C$12*'Irish Basis'!$C$5,2)</f>
        <v/>
      </c>
      <c r="R177" s="11">
        <f>ROUND(SUM(N177:Q177),2)</f>
        <v/>
      </c>
      <c r="S177" s="5" t="inlineStr">
        <is>
          <t>All-in specialist rate</t>
        </is>
      </c>
      <c r="T177" s="14" t="inlineStr">
        <is>
          <t>All-in (not split)</t>
        </is>
      </c>
      <c r="U177" s="8" t="n">
        <v>761.83</v>
      </c>
      <c r="V177" s="13">
        <f>IF(U177="","",ROUND(M177-U177,2))</f>
        <v/>
      </c>
      <c r="W177" s="5" t="n"/>
      <c r="X177" s="5" t="inlineStr">
        <is>
          <t>Source publishes a specialist/sub-contract all-in rate; no labour/plant/material build-up exists to derive from.</t>
        </is>
      </c>
    </row>
    <row r="178" ht="13" customHeight="1">
      <c r="A178" s="4" t="n">
        <v>368</v>
      </c>
      <c r="B178" s="5" t="inlineStr">
        <is>
          <t>IMG_0070</t>
        </is>
      </c>
      <c r="C178" s="5" t="inlineStr">
        <is>
          <t>CLASS C: GEOTECHNICAL AND OTHER SPECIALIST PROCESSES</t>
        </is>
      </c>
      <c r="D178" s="5" t="inlineStr">
        <is>
          <t>08 VIBRO-FLOTATION AND DYNAMIC COMPACTION</t>
        </is>
      </c>
      <c r="E178" s="5" t="inlineStr">
        <is>
          <t>Plate bearing test</t>
        </is>
      </c>
      <c r="F178" s="5" t="inlineStr">
        <is>
          <t>zone specification testing</t>
        </is>
      </c>
      <c r="G178" s="6" t="inlineStr">
        <is>
          <t>nr</t>
        </is>
      </c>
      <c r="H178" s="7" t="n"/>
      <c r="I178" s="8" t="n">
        <v>0</v>
      </c>
      <c r="J178" s="8" t="n">
        <v>0</v>
      </c>
      <c r="K178" s="8" t="n">
        <v>0</v>
      </c>
      <c r="L178" s="8" t="n">
        <v>15236.55</v>
      </c>
      <c r="M178" s="9">
        <f>ROUND(SUM(I178:L178),2)</f>
        <v/>
      </c>
      <c r="N178" s="10">
        <f>ROUND(I178*'Irish Basis'!$C$6*'Irish Basis'!$C$5,2)</f>
        <v/>
      </c>
      <c r="O178" s="10">
        <f>ROUND(J178*'Irish Basis'!$C$7*'Irish Basis'!$C$5,2)</f>
        <v/>
      </c>
      <c r="P178" s="10">
        <f>ROUND(K178*'Irish Basis'!$C$8*'Irish Basis'!$C$5,2)</f>
        <v/>
      </c>
      <c r="Q178" s="10">
        <f>ROUND(L178*'Irish Basis'!$C$12*'Irish Basis'!$C$5,2)</f>
        <v/>
      </c>
      <c r="R178" s="11">
        <f>ROUND(SUM(N178:Q178),2)</f>
        <v/>
      </c>
      <c r="S178" s="5" t="inlineStr">
        <is>
          <t>All-in specialist rate</t>
        </is>
      </c>
      <c r="T178" s="14" t="inlineStr">
        <is>
          <t>All-in (not split)</t>
        </is>
      </c>
      <c r="U178" s="8" t="n">
        <v>15236.55</v>
      </c>
      <c r="V178" s="13">
        <f>IF(U178="","",ROUND(M178-U178,2))</f>
        <v/>
      </c>
      <c r="W178" s="5" t="n"/>
      <c r="X178" s="5" t="inlineStr">
        <is>
          <t>Source publishes a specialist/sub-contract all-in rate; no labour/plant/material build-up exists to derive from.</t>
        </is>
      </c>
    </row>
    <row r="179" ht="13" customHeight="1">
      <c r="A179" s="4" t="n">
        <v>370</v>
      </c>
      <c r="B179" s="5" t="inlineStr">
        <is>
          <t>IMG_0070</t>
        </is>
      </c>
      <c r="C179" s="5" t="inlineStr">
        <is>
          <t>CLASS C: GEOTECHNICAL AND OTHER SPECIALIST PROCESSES</t>
        </is>
      </c>
      <c r="D179" s="5" t="inlineStr">
        <is>
          <t>08 VIBRO-FLOTATION AND DYNAMIC COMPACTION</t>
        </is>
      </c>
      <c r="E179" s="5" t="inlineStr">
        <is>
          <t>Vibro flotation</t>
        </is>
      </c>
      <c r="F179" s="5" t="inlineStr">
        <is>
          <t>Depth not exceeding 5 m</t>
        </is>
      </c>
      <c r="G179" s="6" t="inlineStr">
        <is>
          <t>m</t>
        </is>
      </c>
      <c r="H179" s="7" t="n">
        <v>0.6</v>
      </c>
      <c r="I179" s="8" t="n">
        <v>19.07</v>
      </c>
      <c r="J179" s="8" t="n">
        <v>56.33</v>
      </c>
      <c r="K179" s="8" t="n">
        <v>0</v>
      </c>
      <c r="L179" s="8" t="n">
        <v>2436.35</v>
      </c>
      <c r="M179" s="9">
        <f>ROUND(SUM(I179:L179),2)</f>
        <v/>
      </c>
      <c r="N179" s="10">
        <f>ROUND(I179*'Irish Basis'!$C$6*'Irish Basis'!$C$5,2)</f>
        <v/>
      </c>
      <c r="O179" s="10">
        <f>ROUND(J179*'Irish Basis'!$C$7*'Irish Basis'!$C$5,2)</f>
        <v/>
      </c>
      <c r="P179" s="10">
        <f>ROUND(K179*'Irish Basis'!$C$8*'Irish Basis'!$C$5,2)</f>
        <v/>
      </c>
      <c r="Q179" s="10">
        <f>ROUND(L179*'Irish Basis'!$C$12*'Irish Basis'!$C$5,2)</f>
        <v/>
      </c>
      <c r="R179" s="11">
        <f>ROUND(SUM(N179:Q179),2)</f>
        <v/>
      </c>
      <c r="S179" s="5" t="inlineStr">
        <is>
          <t>Stated components + specialist balance</t>
        </is>
      </c>
      <c r="T179" s="16" t="inlineStr">
        <is>
          <t>Medium</t>
        </is>
      </c>
      <c r="U179" s="8" t="n">
        <v>2511.75</v>
      </c>
      <c r="V179" s="13">
        <f>IF(U179="","",ROUND(M179-U179,2))</f>
        <v/>
      </c>
      <c r="W179" s="15" t="inlineStr">
        <is>
          <t>Large unexplained balance</t>
        </is>
      </c>
      <c r="X179" s="5" t="inlineStr">
        <is>
          <t>Published plant/labour retained; the £2,436.35 balance of the specialist all-in rate is not broken down in the source.</t>
        </is>
      </c>
    </row>
    <row r="180" ht="13" customHeight="1">
      <c r="A180" s="4" t="n">
        <v>371</v>
      </c>
      <c r="B180" s="5" t="inlineStr">
        <is>
          <t>IMG_0070</t>
        </is>
      </c>
      <c r="C180" s="5" t="inlineStr">
        <is>
          <t>CLASS C: GEOTECHNICAL AND OTHER SPECIALIST PROCESSES</t>
        </is>
      </c>
      <c r="D180" s="5" t="inlineStr">
        <is>
          <t>08 VIBRO-FLOTATION AND DYNAMIC COMPACTION</t>
        </is>
      </c>
      <c r="E180" s="5" t="inlineStr">
        <is>
          <t>Vibro flotation</t>
        </is>
      </c>
      <c r="F180" s="5" t="inlineStr">
        <is>
          <t>Depth: 5 m-10 m</t>
        </is>
      </c>
      <c r="G180" s="6" t="inlineStr">
        <is>
          <t>m</t>
        </is>
      </c>
      <c r="H180" s="7" t="n">
        <v>1.5</v>
      </c>
      <c r="I180" s="8" t="n">
        <v>47.69</v>
      </c>
      <c r="J180" s="8" t="n">
        <v>29.8</v>
      </c>
      <c r="K180" s="8" t="n">
        <v>0</v>
      </c>
      <c r="L180" s="8" t="n">
        <v>3070.38</v>
      </c>
      <c r="M180" s="9">
        <f>ROUND(SUM(I180:L180),2)</f>
        <v/>
      </c>
      <c r="N180" s="10">
        <f>ROUND(I180*'Irish Basis'!$C$6*'Irish Basis'!$C$5,2)</f>
        <v/>
      </c>
      <c r="O180" s="10">
        <f>ROUND(J180*'Irish Basis'!$C$7*'Irish Basis'!$C$5,2)</f>
        <v/>
      </c>
      <c r="P180" s="10">
        <f>ROUND(K180*'Irish Basis'!$C$8*'Irish Basis'!$C$5,2)</f>
        <v/>
      </c>
      <c r="Q180" s="10">
        <f>ROUND(L180*'Irish Basis'!$C$12*'Irish Basis'!$C$5,2)</f>
        <v/>
      </c>
      <c r="R180" s="11">
        <f>ROUND(SUM(N180:Q180),2)</f>
        <v/>
      </c>
      <c r="S180" s="5" t="inlineStr">
        <is>
          <t>Stated components + specialist balance</t>
        </is>
      </c>
      <c r="T180" s="16" t="inlineStr">
        <is>
          <t>Medium</t>
        </is>
      </c>
      <c r="U180" s="8" t="n">
        <v>3147.87</v>
      </c>
      <c r="V180" s="13">
        <f>IF(U180="","",ROUND(M180-U180,2))</f>
        <v/>
      </c>
      <c r="W180" s="15" t="inlineStr">
        <is>
          <t>Large unexplained balance</t>
        </is>
      </c>
      <c r="X180" s="5" t="inlineStr">
        <is>
          <t>Published plant/labour retained; the £3,070.38 balance of the specialist all-in rate is not broken down in the source.</t>
        </is>
      </c>
    </row>
    <row r="181" ht="13" customHeight="1">
      <c r="A181" s="4" t="n">
        <v>372</v>
      </c>
      <c r="B181" s="5" t="inlineStr">
        <is>
          <t>IMG_0070</t>
        </is>
      </c>
      <c r="C181" s="5" t="inlineStr">
        <is>
          <t>CLASS C: GEOTECHNICAL AND OTHER SPECIALIST PROCESSES</t>
        </is>
      </c>
      <c r="D181" s="5" t="inlineStr">
        <is>
          <t>08 VIBRO-FLOTATION AND DYNAMIC COMPACTION</t>
        </is>
      </c>
      <c r="E181" s="5" t="inlineStr">
        <is>
          <t>Vibro flotation</t>
        </is>
      </c>
      <c r="F181" s="5" t="inlineStr">
        <is>
          <t>Depth: 10 m-20 m</t>
        </is>
      </c>
      <c r="G181" s="6" t="inlineStr">
        <is>
          <t>m</t>
        </is>
      </c>
      <c r="H181" s="7" t="n">
        <v>1.5</v>
      </c>
      <c r="I181" s="8" t="n">
        <v>47.69</v>
      </c>
      <c r="J181" s="8" t="n">
        <v>53.89</v>
      </c>
      <c r="K181" s="8" t="n">
        <v>0</v>
      </c>
      <c r="L181" s="8" t="n">
        <v>4283.89</v>
      </c>
      <c r="M181" s="9">
        <f>ROUND(SUM(I181:L181),2)</f>
        <v/>
      </c>
      <c r="N181" s="10">
        <f>ROUND(I181*'Irish Basis'!$C$6*'Irish Basis'!$C$5,2)</f>
        <v/>
      </c>
      <c r="O181" s="10">
        <f>ROUND(J181*'Irish Basis'!$C$7*'Irish Basis'!$C$5,2)</f>
        <v/>
      </c>
      <c r="P181" s="10">
        <f>ROUND(K181*'Irish Basis'!$C$8*'Irish Basis'!$C$5,2)</f>
        <v/>
      </c>
      <c r="Q181" s="10">
        <f>ROUND(L181*'Irish Basis'!$C$12*'Irish Basis'!$C$5,2)</f>
        <v/>
      </c>
      <c r="R181" s="11">
        <f>ROUND(SUM(N181:Q181),2)</f>
        <v/>
      </c>
      <c r="S181" s="5" t="inlineStr">
        <is>
          <t>Stated components + specialist balance</t>
        </is>
      </c>
      <c r="T181" s="16" t="inlineStr">
        <is>
          <t>Medium</t>
        </is>
      </c>
      <c r="U181" s="8" t="n">
        <v>4385.47</v>
      </c>
      <c r="V181" s="13">
        <f>IF(U181="","",ROUND(M181-U181,2))</f>
        <v/>
      </c>
      <c r="W181" s="15" t="inlineStr">
        <is>
          <t>Large unexplained balance</t>
        </is>
      </c>
      <c r="X181" s="5" t="inlineStr">
        <is>
          <t>Published plant/labour retained; the £4,283.89 balance of the specialist all-in rate is not broken down in the source.</t>
        </is>
      </c>
    </row>
    <row r="182" ht="13" customHeight="1">
      <c r="A182" s="4" t="n">
        <v>373</v>
      </c>
      <c r="B182" s="5" t="inlineStr">
        <is>
          <t>IMG_0070</t>
        </is>
      </c>
      <c r="C182" s="5" t="inlineStr">
        <is>
          <t>CLASS C: GEOTECHNICAL AND OTHER SPECIALIST PROCESSES</t>
        </is>
      </c>
      <c r="D182" s="5" t="inlineStr">
        <is>
          <t>08 VIBRO-FLOTATION AND DYNAMIC COMPACTION</t>
        </is>
      </c>
      <c r="E182" s="5" t="inlineStr">
        <is>
          <t>Vibro flotation</t>
        </is>
      </c>
      <c r="F182" s="5" t="inlineStr">
        <is>
          <t>Depth: 30 m-40 m</t>
        </is>
      </c>
      <c r="G182" s="6" t="inlineStr">
        <is>
          <t>m</t>
        </is>
      </c>
      <c r="H182" s="7" t="n">
        <v>3</v>
      </c>
      <c r="I182" s="8" t="n">
        <v>95.37</v>
      </c>
      <c r="J182" s="8" t="n">
        <v>59.59</v>
      </c>
      <c r="K182" s="8" t="n">
        <v>0</v>
      </c>
      <c r="L182" s="8" t="n">
        <v>6924.55</v>
      </c>
      <c r="M182" s="9">
        <f>ROUND(SUM(I182:L182),2)</f>
        <v/>
      </c>
      <c r="N182" s="10">
        <f>ROUND(I182*'Irish Basis'!$C$6*'Irish Basis'!$C$5,2)</f>
        <v/>
      </c>
      <c r="O182" s="10">
        <f>ROUND(J182*'Irish Basis'!$C$7*'Irish Basis'!$C$5,2)</f>
        <v/>
      </c>
      <c r="P182" s="10">
        <f>ROUND(K182*'Irish Basis'!$C$8*'Irish Basis'!$C$5,2)</f>
        <v/>
      </c>
      <c r="Q182" s="10">
        <f>ROUND(L182*'Irish Basis'!$C$12*'Irish Basis'!$C$5,2)</f>
        <v/>
      </c>
      <c r="R182" s="11">
        <f>ROUND(SUM(N182:Q182),2)</f>
        <v/>
      </c>
      <c r="S182" s="5" t="inlineStr">
        <is>
          <t>Stated components + specialist balance</t>
        </is>
      </c>
      <c r="T182" s="16" t="inlineStr">
        <is>
          <t>Medium</t>
        </is>
      </c>
      <c r="U182" s="8" t="n">
        <v>7079.51</v>
      </c>
      <c r="V182" s="13">
        <f>IF(U182="","",ROUND(M182-U182,2))</f>
        <v/>
      </c>
      <c r="W182" s="15" t="inlineStr">
        <is>
          <t>Large unexplained balance</t>
        </is>
      </c>
      <c r="X182" s="5" t="inlineStr">
        <is>
          <t>Published plant/labour retained; the £6,924.55 balance of the specialist all-in rate is not broken down in the source.</t>
        </is>
      </c>
    </row>
    <row r="183" ht="13" customHeight="1">
      <c r="A183" s="4" t="n">
        <v>378</v>
      </c>
      <c r="B183" s="5" t="inlineStr">
        <is>
          <t>IMG_0070</t>
        </is>
      </c>
      <c r="C183" s="5" t="inlineStr">
        <is>
          <t>CLASS C: GEOTECHNICAL AND OTHER SPECIALIST PROCESSES</t>
        </is>
      </c>
      <c r="D183" s="5" t="inlineStr">
        <is>
          <t>08 VIBRO-FLOTATION AND DYNAMIC COMPACTION</t>
        </is>
      </c>
      <c r="E183" s="5" t="inlineStr">
        <is>
          <t>DYNAMIC COMPACTION</t>
        </is>
      </c>
      <c r="F183" s="5" t="inlineStr">
        <is>
          <t>Establishment of standard plant and equipment and removal on completion.</t>
        </is>
      </c>
      <c r="G183" s="6" t="inlineStr">
        <is>
          <t>item</t>
        </is>
      </c>
      <c r="H183" s="7" t="n"/>
      <c r="I183" s="8" t="n">
        <v>0</v>
      </c>
      <c r="J183" s="8" t="n">
        <v>0</v>
      </c>
      <c r="K183" s="8" t="n">
        <v>0</v>
      </c>
      <c r="L183" s="8" t="n">
        <v>19700.58</v>
      </c>
      <c r="M183" s="9">
        <f>ROUND(SUM(I183:L183),2)</f>
        <v/>
      </c>
      <c r="N183" s="10">
        <f>ROUND(I183*'Irish Basis'!$C$6*'Irish Basis'!$C$5,2)</f>
        <v/>
      </c>
      <c r="O183" s="10">
        <f>ROUND(J183*'Irish Basis'!$C$7*'Irish Basis'!$C$5,2)</f>
        <v/>
      </c>
      <c r="P183" s="10">
        <f>ROUND(K183*'Irish Basis'!$C$8*'Irish Basis'!$C$5,2)</f>
        <v/>
      </c>
      <c r="Q183" s="10">
        <f>ROUND(L183*'Irish Basis'!$C$12*'Irish Basis'!$C$5,2)</f>
        <v/>
      </c>
      <c r="R183" s="11">
        <f>ROUND(SUM(N183:Q183),2)</f>
        <v/>
      </c>
      <c r="S183" s="5" t="inlineStr">
        <is>
          <t>All-in specialist rate</t>
        </is>
      </c>
      <c r="T183" s="14" t="inlineStr">
        <is>
          <t>All-in (not split)</t>
        </is>
      </c>
      <c r="U183" s="8" t="n">
        <v>19700.58</v>
      </c>
      <c r="V183" s="13">
        <f>IF(U183="","",ROUND(M183-U183,2))</f>
        <v/>
      </c>
      <c r="W183" s="5" t="n"/>
      <c r="X183" s="5" t="inlineStr">
        <is>
          <t>Source publishes a specialist/sub-contract all-in rate; no labour/plant/material build-up exists to derive from.</t>
        </is>
      </c>
    </row>
    <row r="184" ht="13" customHeight="1">
      <c r="A184" s="4" t="n">
        <v>379</v>
      </c>
      <c r="B184" s="5" t="inlineStr">
        <is>
          <t>IMG_0070</t>
        </is>
      </c>
      <c r="C184" s="5" t="inlineStr">
        <is>
          <t>CLASS C: GEOTECHNICAL AND OTHER SPECIALIST PROCESSES</t>
        </is>
      </c>
      <c r="D184" s="5" t="inlineStr">
        <is>
          <t>08 VIBRO-FLOTATION AND DYNAMIC COMPACTION</t>
        </is>
      </c>
      <c r="E184" s="5" t="inlineStr">
        <is>
          <t>DYNAMIC COMPACTION</t>
        </is>
      </c>
      <c r="F184" s="5" t="inlineStr">
        <is>
          <t>Ground treatment</t>
        </is>
      </c>
      <c r="G184" s="6" t="inlineStr">
        <is>
          <t>m2</t>
        </is>
      </c>
      <c r="H184" s="7" t="n"/>
      <c r="I184" s="8" t="n">
        <v>0</v>
      </c>
      <c r="J184" s="8" t="n">
        <v>0</v>
      </c>
      <c r="K184" s="8" t="n">
        <v>0</v>
      </c>
      <c r="L184" s="8" t="n">
        <v>3.09</v>
      </c>
      <c r="M184" s="9">
        <f>ROUND(SUM(I184:L184),2)</f>
        <v/>
      </c>
      <c r="N184" s="10">
        <f>ROUND(I184*'Irish Basis'!$C$6*'Irish Basis'!$C$5,2)</f>
        <v/>
      </c>
      <c r="O184" s="10">
        <f>ROUND(J184*'Irish Basis'!$C$7*'Irish Basis'!$C$5,2)</f>
        <v/>
      </c>
      <c r="P184" s="10">
        <f>ROUND(K184*'Irish Basis'!$C$8*'Irish Basis'!$C$5,2)</f>
        <v/>
      </c>
      <c r="Q184" s="10">
        <f>ROUND(L184*'Irish Basis'!$C$12*'Irish Basis'!$C$5,2)</f>
        <v/>
      </c>
      <c r="R184" s="11">
        <f>ROUND(SUM(N184:Q184),2)</f>
        <v/>
      </c>
      <c r="S184" s="5" t="inlineStr">
        <is>
          <t>All-in specialist rate</t>
        </is>
      </c>
      <c r="T184" s="14" t="inlineStr">
        <is>
          <t>All-in (not split)</t>
        </is>
      </c>
      <c r="U184" s="8" t="n">
        <v>3.09</v>
      </c>
      <c r="V184" s="13">
        <f>IF(U184="","",ROUND(M184-U184,2))</f>
        <v/>
      </c>
      <c r="W184" s="5" t="n"/>
      <c r="X184" s="5" t="inlineStr">
        <is>
          <t>Source publishes a specialist/sub-contract all-in rate; no labour/plant/material build-up exists to derive from.</t>
        </is>
      </c>
    </row>
    <row r="185" ht="13" customHeight="1">
      <c r="A185" s="4" t="n">
        <v>380</v>
      </c>
      <c r="B185" s="5" t="inlineStr">
        <is>
          <t>IMG_0070</t>
        </is>
      </c>
      <c r="C185" s="5" t="inlineStr">
        <is>
          <t>CLASS C: GEOTECHNICAL AND OTHER SPECIALIST PROCESSES</t>
        </is>
      </c>
      <c r="D185" s="5" t="inlineStr">
        <is>
          <t>08 VIBRO-FLOTATION AND DYNAMIC COMPACTION</t>
        </is>
      </c>
      <c r="E185" s="5" t="inlineStr">
        <is>
          <t>DYNAMIC COMPACTION</t>
        </is>
      </c>
      <c r="F185" s="5" t="inlineStr">
        <is>
          <t>Laying free-draining granular blanket layer as both working surface and backfill material (300 mm thickness required of filter material)</t>
        </is>
      </c>
      <c r="G185" s="6" t="inlineStr">
        <is>
          <t>m2</t>
        </is>
      </c>
      <c r="H185" s="7" t="n"/>
      <c r="I185" s="8" t="n">
        <v>0</v>
      </c>
      <c r="J185" s="8" t="n">
        <v>0</v>
      </c>
      <c r="K185" s="8" t="n">
        <v>0</v>
      </c>
      <c r="L185" s="8" t="n">
        <v>15.04</v>
      </c>
      <c r="M185" s="9">
        <f>ROUND(SUM(I185:L185),2)</f>
        <v/>
      </c>
      <c r="N185" s="10">
        <f>ROUND(I185*'Irish Basis'!$C$6*'Irish Basis'!$C$5,2)</f>
        <v/>
      </c>
      <c r="O185" s="10">
        <f>ROUND(J185*'Irish Basis'!$C$7*'Irish Basis'!$C$5,2)</f>
        <v/>
      </c>
      <c r="P185" s="10">
        <f>ROUND(K185*'Irish Basis'!$C$8*'Irish Basis'!$C$5,2)</f>
        <v/>
      </c>
      <c r="Q185" s="10">
        <f>ROUND(L185*'Irish Basis'!$C$12*'Irish Basis'!$C$5,2)</f>
        <v/>
      </c>
      <c r="R185" s="11">
        <f>ROUND(SUM(N185:Q185),2)</f>
        <v/>
      </c>
      <c r="S185" s="5" t="inlineStr">
        <is>
          <t>All-in specialist rate</t>
        </is>
      </c>
      <c r="T185" s="14" t="inlineStr">
        <is>
          <t>All-in (not split)</t>
        </is>
      </c>
      <c r="U185" s="8" t="n">
        <v>15.04</v>
      </c>
      <c r="V185" s="13">
        <f>IF(U185="","",ROUND(M185-U185,2))</f>
        <v/>
      </c>
      <c r="W185" s="5" t="n"/>
      <c r="X185" s="5" t="inlineStr">
        <is>
          <t>Source publishes a specialist/sub-contract all-in rate; no labour/plant/material build-up exists to derive from.</t>
        </is>
      </c>
    </row>
    <row r="186" ht="13" customHeight="1">
      <c r="A186" s="4" t="n">
        <v>381</v>
      </c>
      <c r="B186" s="5" t="inlineStr">
        <is>
          <t>IMG_0070</t>
        </is>
      </c>
      <c r="C186" s="5" t="inlineStr">
        <is>
          <t>CLASS C: GEOTECHNICAL AND OTHER SPECIALIST PROCESSES</t>
        </is>
      </c>
      <c r="D186" s="5" t="inlineStr">
        <is>
          <t>08 VIBRO-FLOTATION AND DYNAMIC COMPACTION</t>
        </is>
      </c>
      <c r="E186" s="5" t="inlineStr">
        <is>
          <t>DYNAMIC COMPACTION</t>
        </is>
      </c>
      <c r="F186" s="5" t="inlineStr">
        <is>
          <t>Control testing including levelling, piezometers and penetrameter testing</t>
        </is>
      </c>
      <c r="G186" s="6" t="inlineStr">
        <is>
          <t>m2</t>
        </is>
      </c>
      <c r="H186" s="7" t="n"/>
      <c r="I186" s="8" t="n">
        <v>0</v>
      </c>
      <c r="J186" s="8" t="n">
        <v>0</v>
      </c>
      <c r="K186" s="8" t="n">
        <v>0</v>
      </c>
      <c r="L186" s="8" t="n">
        <v>6.61</v>
      </c>
      <c r="M186" s="9">
        <f>ROUND(SUM(I186:L186),2)</f>
        <v/>
      </c>
      <c r="N186" s="10">
        <f>ROUND(I186*'Irish Basis'!$C$6*'Irish Basis'!$C$5,2)</f>
        <v/>
      </c>
      <c r="O186" s="10">
        <f>ROUND(J186*'Irish Basis'!$C$7*'Irish Basis'!$C$5,2)</f>
        <v/>
      </c>
      <c r="P186" s="10">
        <f>ROUND(K186*'Irish Basis'!$C$8*'Irish Basis'!$C$5,2)</f>
        <v/>
      </c>
      <c r="Q186" s="10">
        <f>ROUND(L186*'Irish Basis'!$C$12*'Irish Basis'!$C$5,2)</f>
        <v/>
      </c>
      <c r="R186" s="11">
        <f>ROUND(SUM(N186:Q186),2)</f>
        <v/>
      </c>
      <c r="S186" s="5" t="inlineStr">
        <is>
          <t>All-in specialist rate</t>
        </is>
      </c>
      <c r="T186" s="14" t="inlineStr">
        <is>
          <t>All-in (not split)</t>
        </is>
      </c>
      <c r="U186" s="8" t="n">
        <v>6.61</v>
      </c>
      <c r="V186" s="13">
        <f>IF(U186="","",ROUND(M186-U186,2))</f>
        <v/>
      </c>
      <c r="W186" s="5" t="n"/>
      <c r="X186" s="5" t="inlineStr">
        <is>
          <t>Source publishes a specialist/sub-contract all-in rate; no labour/plant/material build-up exists to derive from.</t>
        </is>
      </c>
    </row>
    <row r="187" ht="13" customHeight="1">
      <c r="A187" s="4" t="n">
        <v>382</v>
      </c>
      <c r="B187" s="5" t="inlineStr">
        <is>
          <t>IMG_0070</t>
        </is>
      </c>
      <c r="C187" s="5" t="inlineStr">
        <is>
          <t>CLASS C: GEOTECHNICAL AND OTHER SPECIALIST PROCESSES</t>
        </is>
      </c>
      <c r="D187" s="5" t="inlineStr">
        <is>
          <t>08 VIBRO-FLOTATION AND DYNAMIC COMPACTION</t>
        </is>
      </c>
      <c r="E187" s="5" t="inlineStr">
        <is>
          <t>DYNAMIC COMPACTION</t>
        </is>
      </c>
      <c r="F187" s="5" t="inlineStr">
        <is>
          <t>Kentledge load test</t>
        </is>
      </c>
      <c r="G187" s="6" t="inlineStr">
        <is>
          <t>nr</t>
        </is>
      </c>
      <c r="H187" s="7" t="n"/>
      <c r="I187" s="8" t="n">
        <v>0</v>
      </c>
      <c r="J187" s="8" t="n">
        <v>0</v>
      </c>
      <c r="K187" s="8" t="n">
        <v>0</v>
      </c>
      <c r="L187" s="8" t="n">
        <v>14108.16</v>
      </c>
      <c r="M187" s="9">
        <f>ROUND(SUM(I187:L187),2)</f>
        <v/>
      </c>
      <c r="N187" s="10">
        <f>ROUND(I187*'Irish Basis'!$C$6*'Irish Basis'!$C$5,2)</f>
        <v/>
      </c>
      <c r="O187" s="10">
        <f>ROUND(J187*'Irish Basis'!$C$7*'Irish Basis'!$C$5,2)</f>
        <v/>
      </c>
      <c r="P187" s="10">
        <f>ROUND(K187*'Irish Basis'!$C$8*'Irish Basis'!$C$5,2)</f>
        <v/>
      </c>
      <c r="Q187" s="10">
        <f>ROUND(L187*'Irish Basis'!$C$12*'Irish Basis'!$C$5,2)</f>
        <v/>
      </c>
      <c r="R187" s="11">
        <f>ROUND(SUM(N187:Q187),2)</f>
        <v/>
      </c>
      <c r="S187" s="5" t="inlineStr">
        <is>
          <t>All-in specialist rate</t>
        </is>
      </c>
      <c r="T187" s="14" t="inlineStr">
        <is>
          <t>All-in (not split)</t>
        </is>
      </c>
      <c r="U187" s="8" t="n">
        <v>14108.16</v>
      </c>
      <c r="V187" s="13">
        <f>IF(U187="","",ROUND(M187-U187,2))</f>
        <v/>
      </c>
      <c r="W187" s="5" t="n"/>
      <c r="X187" s="5" t="inlineStr">
        <is>
          <t>Source publishes a specialist/sub-contract all-in rate; no labour/plant/material build-up exists to derive from.</t>
        </is>
      </c>
    </row>
    <row r="188" ht="13" customHeight="1">
      <c r="A188" s="4" t="n">
        <v>385</v>
      </c>
      <c r="B188" s="5" t="inlineStr">
        <is>
          <t>IMG_0070</t>
        </is>
      </c>
      <c r="C188" s="5" t="inlineStr">
        <is>
          <t>CLASS C: GEOTECHNICAL AND OTHER SPECIALIST PROCESSES</t>
        </is>
      </c>
      <c r="D188" s="5" t="inlineStr">
        <is>
          <t>08 VIBRO-FLOTATION AND DYNAMIC COMPACTION</t>
        </is>
      </c>
      <c r="E188" s="5" t="inlineStr">
        <is>
          <t>CONSOLIDATION OF ABANDONED MINE WORKINGS</t>
        </is>
      </c>
      <c r="F188" s="5" t="inlineStr">
        <is>
          <t>Transport plant, labour and all equipment to and from site (max. 50 miles)</t>
        </is>
      </c>
      <c r="G188" s="6" t="inlineStr">
        <is>
          <t>item</t>
        </is>
      </c>
      <c r="H188" s="7" t="n"/>
      <c r="I188" s="8" t="n">
        <v>0</v>
      </c>
      <c r="J188" s="8" t="n">
        <v>0</v>
      </c>
      <c r="K188" s="8" t="n">
        <v>0</v>
      </c>
      <c r="L188" s="8" t="n">
        <v>665.39</v>
      </c>
      <c r="M188" s="9">
        <f>ROUND(SUM(I188:L188),2)</f>
        <v/>
      </c>
      <c r="N188" s="10">
        <f>ROUND(I188*'Irish Basis'!$C$6*'Irish Basis'!$C$5,2)</f>
        <v/>
      </c>
      <c r="O188" s="10">
        <f>ROUND(J188*'Irish Basis'!$C$7*'Irish Basis'!$C$5,2)</f>
        <v/>
      </c>
      <c r="P188" s="10">
        <f>ROUND(K188*'Irish Basis'!$C$8*'Irish Basis'!$C$5,2)</f>
        <v/>
      </c>
      <c r="Q188" s="10">
        <f>ROUND(L188*'Irish Basis'!$C$12*'Irish Basis'!$C$5,2)</f>
        <v/>
      </c>
      <c r="R188" s="11">
        <f>ROUND(SUM(N188:Q188),2)</f>
        <v/>
      </c>
      <c r="S188" s="5" t="inlineStr">
        <is>
          <t>All-in specialist rate</t>
        </is>
      </c>
      <c r="T188" s="14" t="inlineStr">
        <is>
          <t>All-in (not split)</t>
        </is>
      </c>
      <c r="U188" s="8" t="n">
        <v>665.39</v>
      </c>
      <c r="V188" s="13">
        <f>IF(U188="","",ROUND(M188-U188,2))</f>
        <v/>
      </c>
      <c r="W188" s="5" t="n"/>
      <c r="X188" s="5" t="inlineStr">
        <is>
          <t>Source publishes a specialist/sub-contract all-in rate; no labour/plant/material build-up exists to derive from.</t>
        </is>
      </c>
    </row>
    <row r="189" ht="13" customHeight="1">
      <c r="A189" s="4" t="n">
        <v>387</v>
      </c>
      <c r="B189" s="5" t="inlineStr">
        <is>
          <t>IMG_0070</t>
        </is>
      </c>
      <c r="C189" s="5" t="inlineStr">
        <is>
          <t>CLASS C: GEOTECHNICAL AND OTHER SPECIALIST PROCESSES</t>
        </is>
      </c>
      <c r="D189" s="5" t="inlineStr">
        <is>
          <t>08 VIBRO-FLOTATION AND DYNAMIC COMPACTION</t>
        </is>
      </c>
      <c r="E189" s="5" t="inlineStr">
        <is>
          <t>Drilling bore holes</t>
        </is>
      </c>
      <c r="F189" s="5" t="inlineStr">
        <is>
          <t>move to each seperate bore position; erect equipment; dismantle prior to next move</t>
        </is>
      </c>
      <c r="G189" s="6" t="inlineStr">
        <is>
          <t>nr</t>
        </is>
      </c>
      <c r="H189" s="7" t="n"/>
      <c r="I189" s="8" t="n">
        <v>0</v>
      </c>
      <c r="J189" s="8" t="n">
        <v>0</v>
      </c>
      <c r="K189" s="8" t="n">
        <v>0</v>
      </c>
      <c r="L189" s="8" t="n">
        <v>58.67</v>
      </c>
      <c r="M189" s="9">
        <f>ROUND(SUM(I189:L189),2)</f>
        <v/>
      </c>
      <c r="N189" s="10">
        <f>ROUND(I189*'Irish Basis'!$C$6*'Irish Basis'!$C$5,2)</f>
        <v/>
      </c>
      <c r="O189" s="10">
        <f>ROUND(J189*'Irish Basis'!$C$7*'Irish Basis'!$C$5,2)</f>
        <v/>
      </c>
      <c r="P189" s="10">
        <f>ROUND(K189*'Irish Basis'!$C$8*'Irish Basis'!$C$5,2)</f>
        <v/>
      </c>
      <c r="Q189" s="10">
        <f>ROUND(L189*'Irish Basis'!$C$12*'Irish Basis'!$C$5,2)</f>
        <v/>
      </c>
      <c r="R189" s="11">
        <f>ROUND(SUM(N189:Q189),2)</f>
        <v/>
      </c>
      <c r="S189" s="5" t="inlineStr">
        <is>
          <t>All-in specialist rate</t>
        </is>
      </c>
      <c r="T189" s="14" t="inlineStr">
        <is>
          <t>All-in (not split)</t>
        </is>
      </c>
      <c r="U189" s="8" t="n">
        <v>58.67</v>
      </c>
      <c r="V189" s="13">
        <f>IF(U189="","",ROUND(M189-U189,2))</f>
        <v/>
      </c>
      <c r="W189" s="5" t="n"/>
      <c r="X189" s="5" t="inlineStr">
        <is>
          <t>Source publishes a specialist/sub-contract all-in rate; no labour/plant/material build-up exists to derive from.</t>
        </is>
      </c>
    </row>
    <row r="190" ht="13" customHeight="1">
      <c r="A190" s="4" t="n">
        <v>388</v>
      </c>
      <c r="B190" s="5" t="inlineStr">
        <is>
          <t>IMG_0070</t>
        </is>
      </c>
      <c r="C190" s="5" t="inlineStr">
        <is>
          <t>CLASS C: GEOTECHNICAL AND OTHER SPECIALIST PROCESSES</t>
        </is>
      </c>
      <c r="D190" s="5" t="inlineStr">
        <is>
          <t>08 VIBRO-FLOTATION AND DYNAMIC COMPACTION</t>
        </is>
      </c>
      <c r="E190" s="5" t="inlineStr">
        <is>
          <t>Drilling bore holes</t>
        </is>
      </c>
      <c r="F190" s="5" t="inlineStr">
        <is>
          <t>drill 50 mm dia. bore holes</t>
        </is>
      </c>
      <c r="G190" s="6" t="inlineStr">
        <is>
          <t>m</t>
        </is>
      </c>
      <c r="H190" s="7" t="n"/>
      <c r="I190" s="8" t="n">
        <v>0</v>
      </c>
      <c r="J190" s="8" t="n">
        <v>0</v>
      </c>
      <c r="K190" s="8" t="n">
        <v>0</v>
      </c>
      <c r="L190" s="8" t="n">
        <v>16.31</v>
      </c>
      <c r="M190" s="9">
        <f>ROUND(SUM(I190:L190),2)</f>
        <v/>
      </c>
      <c r="N190" s="10">
        <f>ROUND(I190*'Irish Basis'!$C$6*'Irish Basis'!$C$5,2)</f>
        <v/>
      </c>
      <c r="O190" s="10">
        <f>ROUND(J190*'Irish Basis'!$C$7*'Irish Basis'!$C$5,2)</f>
        <v/>
      </c>
      <c r="P190" s="10">
        <f>ROUND(K190*'Irish Basis'!$C$8*'Irish Basis'!$C$5,2)</f>
        <v/>
      </c>
      <c r="Q190" s="10">
        <f>ROUND(L190*'Irish Basis'!$C$12*'Irish Basis'!$C$5,2)</f>
        <v/>
      </c>
      <c r="R190" s="11">
        <f>ROUND(SUM(N190:Q190),2)</f>
        <v/>
      </c>
      <c r="S190" s="5" t="inlineStr">
        <is>
          <t>All-in specialist rate</t>
        </is>
      </c>
      <c r="T190" s="14" t="inlineStr">
        <is>
          <t>All-in (not split)</t>
        </is>
      </c>
      <c r="U190" s="8" t="n">
        <v>16.31</v>
      </c>
      <c r="V190" s="13">
        <f>IF(U190="","",ROUND(M190-U190,2))</f>
        <v/>
      </c>
      <c r="W190" s="5" t="n"/>
      <c r="X190" s="5" t="inlineStr">
        <is>
          <t>Source publishes a specialist/sub-contract all-in rate; no labour/plant/material build-up exists to derive from.</t>
        </is>
      </c>
    </row>
    <row r="191" ht="13" customHeight="1">
      <c r="A191" s="4" t="n">
        <v>389</v>
      </c>
      <c r="B191" s="5" t="inlineStr">
        <is>
          <t>IMG_0070</t>
        </is>
      </c>
      <c r="C191" s="5" t="inlineStr">
        <is>
          <t>CLASS C: GEOTECHNICAL AND OTHER SPECIALIST PROCESSES</t>
        </is>
      </c>
      <c r="D191" s="5" t="inlineStr">
        <is>
          <t>08 VIBRO-FLOTATION AND DYNAMIC COMPACTION</t>
        </is>
      </c>
      <c r="E191" s="5" t="inlineStr">
        <is>
          <t>Drilling bore holes</t>
        </is>
      </c>
      <c r="F191" s="5" t="inlineStr">
        <is>
          <t>drill 100 mm dia. bore holes for pea gravel injection</t>
        </is>
      </c>
      <c r="G191" s="6" t="inlineStr">
        <is>
          <t>m</t>
        </is>
      </c>
      <c r="H191" s="7" t="n"/>
      <c r="I191" s="8" t="n">
        <v>0</v>
      </c>
      <c r="J191" s="8" t="n">
        <v>0</v>
      </c>
      <c r="K191" s="8" t="n">
        <v>0</v>
      </c>
      <c r="L191" s="8" t="n">
        <v>28.52</v>
      </c>
      <c r="M191" s="9">
        <f>ROUND(SUM(I191:L191),2)</f>
        <v/>
      </c>
      <c r="N191" s="10">
        <f>ROUND(I191*'Irish Basis'!$C$6*'Irish Basis'!$C$5,2)</f>
        <v/>
      </c>
      <c r="O191" s="10">
        <f>ROUND(J191*'Irish Basis'!$C$7*'Irish Basis'!$C$5,2)</f>
        <v/>
      </c>
      <c r="P191" s="10">
        <f>ROUND(K191*'Irish Basis'!$C$8*'Irish Basis'!$C$5,2)</f>
        <v/>
      </c>
      <c r="Q191" s="10">
        <f>ROUND(L191*'Irish Basis'!$C$12*'Irish Basis'!$C$5,2)</f>
        <v/>
      </c>
      <c r="R191" s="11">
        <f>ROUND(SUM(N191:Q191),2)</f>
        <v/>
      </c>
      <c r="S191" s="5" t="inlineStr">
        <is>
          <t>All-in specialist rate</t>
        </is>
      </c>
      <c r="T191" s="14" t="inlineStr">
        <is>
          <t>All-in (not split)</t>
        </is>
      </c>
      <c r="U191" s="8" t="n">
        <v>28.52</v>
      </c>
      <c r="V191" s="13">
        <f>IF(U191="","",ROUND(M191-U191,2))</f>
        <v/>
      </c>
      <c r="W191" s="5" t="n"/>
      <c r="X191" s="5" t="inlineStr">
        <is>
          <t>Source publishes a specialist/sub-contract all-in rate; no labour/plant/material build-up exists to derive from.</t>
        </is>
      </c>
    </row>
    <row r="192" ht="13" customHeight="1">
      <c r="A192" s="4" t="n">
        <v>390</v>
      </c>
      <c r="B192" s="5" t="inlineStr">
        <is>
          <t>IMG_0070</t>
        </is>
      </c>
      <c r="C192" s="5" t="inlineStr">
        <is>
          <t>CLASS C: GEOTECHNICAL AND OTHER SPECIALIST PROCESSES</t>
        </is>
      </c>
      <c r="D192" s="5" t="inlineStr">
        <is>
          <t>08 VIBRO-FLOTATION AND DYNAMIC COMPACTION</t>
        </is>
      </c>
      <c r="E192" s="5" t="inlineStr">
        <is>
          <t>Drilling bore holes</t>
        </is>
      </c>
      <c r="F192" s="5" t="inlineStr">
        <is>
          <t>extra for casing, when required</t>
        </is>
      </c>
      <c r="G192" s="6" t="inlineStr">
        <is>
          <t>m</t>
        </is>
      </c>
      <c r="H192" s="7" t="n"/>
      <c r="I192" s="8" t="n">
        <v>0</v>
      </c>
      <c r="J192" s="8" t="n">
        <v>0</v>
      </c>
      <c r="K192" s="8" t="n">
        <v>0</v>
      </c>
      <c r="L192" s="8" t="n">
        <v>24.43</v>
      </c>
      <c r="M192" s="9">
        <f>ROUND(SUM(I192:L192),2)</f>
        <v/>
      </c>
      <c r="N192" s="10">
        <f>ROUND(I192*'Irish Basis'!$C$6*'Irish Basis'!$C$5,2)</f>
        <v/>
      </c>
      <c r="O192" s="10">
        <f>ROUND(J192*'Irish Basis'!$C$7*'Irish Basis'!$C$5,2)</f>
        <v/>
      </c>
      <c r="P192" s="10">
        <f>ROUND(K192*'Irish Basis'!$C$8*'Irish Basis'!$C$5,2)</f>
        <v/>
      </c>
      <c r="Q192" s="10">
        <f>ROUND(L192*'Irish Basis'!$C$12*'Irish Basis'!$C$5,2)</f>
        <v/>
      </c>
      <c r="R192" s="11">
        <f>ROUND(SUM(N192:Q192),2)</f>
        <v/>
      </c>
      <c r="S192" s="5" t="inlineStr">
        <is>
          <t>All-in specialist rate</t>
        </is>
      </c>
      <c r="T192" s="14" t="inlineStr">
        <is>
          <t>All-in (not split)</t>
        </is>
      </c>
      <c r="U192" s="8" t="n">
        <v>24.43</v>
      </c>
      <c r="V192" s="13">
        <f>IF(U192="","",ROUND(M192-U192,2))</f>
        <v/>
      </c>
      <c r="W192" s="5" t="n"/>
      <c r="X192" s="5" t="inlineStr">
        <is>
          <t>Source publishes a specialist/sub-contract all-in rate; no labour/plant/material build-up exists to derive from.</t>
        </is>
      </c>
    </row>
    <row r="193" ht="13" customHeight="1">
      <c r="A193" s="4" t="n">
        <v>391</v>
      </c>
      <c r="B193" s="5" t="inlineStr">
        <is>
          <t>IMG_0070</t>
        </is>
      </c>
      <c r="C193" s="5" t="inlineStr">
        <is>
          <t>CLASS C: GEOTECHNICAL AND OTHER SPECIALIST PROCESSES</t>
        </is>
      </c>
      <c r="D193" s="5" t="inlineStr">
        <is>
          <t>08 VIBRO-FLOTATION AND DYNAMIC COMPACTION</t>
        </is>
      </c>
      <c r="E193" s="5" t="inlineStr">
        <is>
          <t>Drilling bore holes</t>
        </is>
      </c>
      <c r="F193" s="5" t="inlineStr">
        <is>
          <t>standing time for drilling rig and crew</t>
        </is>
      </c>
      <c r="G193" s="6" t="inlineStr">
        <is>
          <t>hr</t>
        </is>
      </c>
      <c r="H193" s="7" t="n"/>
      <c r="I193" s="8" t="n">
        <v>0</v>
      </c>
      <c r="J193" s="8" t="n">
        <v>0</v>
      </c>
      <c r="K193" s="8" t="n">
        <v>0</v>
      </c>
      <c r="L193" s="8" t="n">
        <v>163</v>
      </c>
      <c r="M193" s="9">
        <f>ROUND(SUM(I193:L193),2)</f>
        <v/>
      </c>
      <c r="N193" s="10">
        <f>ROUND(I193*'Irish Basis'!$C$6*'Irish Basis'!$C$5,2)</f>
        <v/>
      </c>
      <c r="O193" s="10">
        <f>ROUND(J193*'Irish Basis'!$C$7*'Irish Basis'!$C$5,2)</f>
        <v/>
      </c>
      <c r="P193" s="10">
        <f>ROUND(K193*'Irish Basis'!$C$8*'Irish Basis'!$C$5,2)</f>
        <v/>
      </c>
      <c r="Q193" s="10">
        <f>ROUND(L193*'Irish Basis'!$C$12*'Irish Basis'!$C$5,2)</f>
        <v/>
      </c>
      <c r="R193" s="11">
        <f>ROUND(SUM(N193:Q193),2)</f>
        <v/>
      </c>
      <c r="S193" s="5" t="inlineStr">
        <is>
          <t>All-in specialist rate</t>
        </is>
      </c>
      <c r="T193" s="14" t="inlineStr">
        <is>
          <t>All-in (not split)</t>
        </is>
      </c>
      <c r="U193" s="8" t="n">
        <v>163</v>
      </c>
      <c r="V193" s="13">
        <f>IF(U193="","",ROUND(M193-U193,2))</f>
        <v/>
      </c>
      <c r="W193" s="5" t="n"/>
      <c r="X193" s="5" t="inlineStr">
        <is>
          <t>Source publishes a specialist/sub-contract all-in rate; no labour/plant/material build-up exists to derive from.</t>
        </is>
      </c>
    </row>
    <row r="194" ht="13" customHeight="1">
      <c r="A194" s="4" t="n">
        <v>393</v>
      </c>
      <c r="B194" s="5" t="inlineStr">
        <is>
          <t>IMG_0070</t>
        </is>
      </c>
      <c r="C194" s="5" t="inlineStr">
        <is>
          <t>CLASS C: GEOTECHNICAL AND OTHER SPECIALIST PROCESSES</t>
        </is>
      </c>
      <c r="D194" s="5" t="inlineStr">
        <is>
          <t>08 VIBRO-FLOTATION AND DYNAMIC COMPACTION</t>
        </is>
      </c>
      <c r="E194" s="5" t="inlineStr">
        <is>
          <t>Grouting drilled bore holes</t>
        </is>
      </c>
      <c r="F194" s="5" t="inlineStr">
        <is>
          <t>connecting grout lines</t>
        </is>
      </c>
      <c r="G194" s="6" t="inlineStr">
        <is>
          <t>m</t>
        </is>
      </c>
      <c r="H194" s="7" t="n"/>
      <c r="I194" s="8" t="n">
        <v>0</v>
      </c>
      <c r="J194" s="8" t="n">
        <v>0</v>
      </c>
      <c r="K194" s="8" t="n">
        <v>0</v>
      </c>
      <c r="L194" s="8" t="n">
        <v>32.02</v>
      </c>
      <c r="M194" s="9">
        <f>ROUND(SUM(I194:L194),2)</f>
        <v/>
      </c>
      <c r="N194" s="10">
        <f>ROUND(I194*'Irish Basis'!$C$6*'Irish Basis'!$C$5,2)</f>
        <v/>
      </c>
      <c r="O194" s="10">
        <f>ROUND(J194*'Irish Basis'!$C$7*'Irish Basis'!$C$5,2)</f>
        <v/>
      </c>
      <c r="P194" s="10">
        <f>ROUND(K194*'Irish Basis'!$C$8*'Irish Basis'!$C$5,2)</f>
        <v/>
      </c>
      <c r="Q194" s="10">
        <f>ROUND(L194*'Irish Basis'!$C$12*'Irish Basis'!$C$5,2)</f>
        <v/>
      </c>
      <c r="R194" s="11">
        <f>ROUND(SUM(N194:Q194),2)</f>
        <v/>
      </c>
      <c r="S194" s="5" t="inlineStr">
        <is>
          <t>All-in specialist rate</t>
        </is>
      </c>
      <c r="T194" s="14" t="inlineStr">
        <is>
          <t>All-in (not split)</t>
        </is>
      </c>
      <c r="U194" s="8" t="n">
        <v>32.02</v>
      </c>
      <c r="V194" s="13">
        <f>IF(U194="","",ROUND(M194-U194,2))</f>
        <v/>
      </c>
      <c r="W194" s="5" t="n"/>
      <c r="X194" s="5" t="inlineStr">
        <is>
          <t>Source publishes a specialist/sub-contract all-in rate; no labour/plant/material build-up exists to derive from.</t>
        </is>
      </c>
    </row>
    <row r="195" ht="13" customHeight="1">
      <c r="A195" s="4" t="n">
        <v>394</v>
      </c>
      <c r="B195" s="5" t="inlineStr">
        <is>
          <t>IMG_0070</t>
        </is>
      </c>
      <c r="C195" s="5" t="inlineStr">
        <is>
          <t>CLASS C: GEOTECHNICAL AND OTHER SPECIALIST PROCESSES</t>
        </is>
      </c>
      <c r="D195" s="5" t="inlineStr">
        <is>
          <t>08 VIBRO-FLOTATION AND DYNAMIC COMPACTION</t>
        </is>
      </c>
      <c r="E195" s="5" t="inlineStr">
        <is>
          <t>Grouting drilled bore holes</t>
        </is>
      </c>
      <c r="F195" s="5" t="inlineStr">
        <is>
          <t>injection of grout</t>
        </is>
      </c>
      <c r="G195" s="6" t="inlineStr">
        <is>
          <t>t</t>
        </is>
      </c>
      <c r="H195" s="7" t="n"/>
      <c r="I195" s="8" t="n">
        <v>0</v>
      </c>
      <c r="J195" s="8" t="n">
        <v>0</v>
      </c>
      <c r="K195" s="8" t="n">
        <v>0</v>
      </c>
      <c r="L195" s="8" t="n">
        <v>128.15</v>
      </c>
      <c r="M195" s="9">
        <f>ROUND(SUM(I195:L195),2)</f>
        <v/>
      </c>
      <c r="N195" s="10">
        <f>ROUND(I195*'Irish Basis'!$C$6*'Irish Basis'!$C$5,2)</f>
        <v/>
      </c>
      <c r="O195" s="10">
        <f>ROUND(J195*'Irish Basis'!$C$7*'Irish Basis'!$C$5,2)</f>
        <v/>
      </c>
      <c r="P195" s="10">
        <f>ROUND(K195*'Irish Basis'!$C$8*'Irish Basis'!$C$5,2)</f>
        <v/>
      </c>
      <c r="Q195" s="10">
        <f>ROUND(L195*'Irish Basis'!$C$12*'Irish Basis'!$C$5,2)</f>
        <v/>
      </c>
      <c r="R195" s="11">
        <f>ROUND(SUM(N195:Q195),2)</f>
        <v/>
      </c>
      <c r="S195" s="5" t="inlineStr">
        <is>
          <t>All-in specialist rate</t>
        </is>
      </c>
      <c r="T195" s="14" t="inlineStr">
        <is>
          <t>All-in (not split)</t>
        </is>
      </c>
      <c r="U195" s="8" t="n">
        <v>128.15</v>
      </c>
      <c r="V195" s="13">
        <f>IF(U195="","",ROUND(M195-U195,2))</f>
        <v/>
      </c>
      <c r="W195" s="5" t="n"/>
      <c r="X195" s="5" t="inlineStr">
        <is>
          <t>Source publishes a specialist/sub-contract all-in rate; no labour/plant/material build-up exists to derive from.</t>
        </is>
      </c>
    </row>
    <row r="196" ht="13" customHeight="1">
      <c r="A196" s="4" t="n">
        <v>395</v>
      </c>
      <c r="B196" s="5" t="inlineStr">
        <is>
          <t>IMG_0070</t>
        </is>
      </c>
      <c r="C196" s="5" t="inlineStr">
        <is>
          <t>CLASS C: GEOTECHNICAL AND OTHER SPECIALIST PROCESSES</t>
        </is>
      </c>
      <c r="D196" s="5" t="inlineStr">
        <is>
          <t>08 VIBRO-FLOTATION AND DYNAMIC COMPACTION</t>
        </is>
      </c>
      <c r="E196" s="5" t="inlineStr">
        <is>
          <t>Grouting drilled bore holes</t>
        </is>
      </c>
      <c r="F196" s="5" t="inlineStr">
        <is>
          <t>add for pea gravel injection</t>
        </is>
      </c>
      <c r="G196" s="6" t="inlineStr">
        <is>
          <t>t</t>
        </is>
      </c>
      <c r="H196" s="7" t="n"/>
      <c r="I196" s="8" t="n">
        <v>0</v>
      </c>
      <c r="J196" s="8" t="n">
        <v>0</v>
      </c>
      <c r="K196" s="8" t="n">
        <v>0</v>
      </c>
      <c r="L196" s="8" t="n">
        <v>150.63</v>
      </c>
      <c r="M196" s="9">
        <f>ROUND(SUM(I196:L196),2)</f>
        <v/>
      </c>
      <c r="N196" s="10">
        <f>ROUND(I196*'Irish Basis'!$C$6*'Irish Basis'!$C$5,2)</f>
        <v/>
      </c>
      <c r="O196" s="10">
        <f>ROUND(J196*'Irish Basis'!$C$7*'Irish Basis'!$C$5,2)</f>
        <v/>
      </c>
      <c r="P196" s="10">
        <f>ROUND(K196*'Irish Basis'!$C$8*'Irish Basis'!$C$5,2)</f>
        <v/>
      </c>
      <c r="Q196" s="10">
        <f>ROUND(L196*'Irish Basis'!$C$12*'Irish Basis'!$C$5,2)</f>
        <v/>
      </c>
      <c r="R196" s="11">
        <f>ROUND(SUM(N196:Q196),2)</f>
        <v/>
      </c>
      <c r="S196" s="5" t="inlineStr">
        <is>
          <t>All-in specialist rate</t>
        </is>
      </c>
      <c r="T196" s="14" t="inlineStr">
        <is>
          <t>All-in (not split)</t>
        </is>
      </c>
      <c r="U196" s="8" t="n">
        <v>150.63</v>
      </c>
      <c r="V196" s="13">
        <f>IF(U196="","",ROUND(M196-U196,2))</f>
        <v/>
      </c>
      <c r="W196" s="5" t="n"/>
      <c r="X196" s="5" t="inlineStr">
        <is>
          <t>Source publishes a specialist/sub-contract all-in rate; no labour/plant/material build-up exists to derive from.</t>
        </is>
      </c>
    </row>
    <row r="197" ht="13" customHeight="1">
      <c r="A197" s="4" t="n">
        <v>396</v>
      </c>
      <c r="B197" s="5" t="inlineStr">
        <is>
          <t>IMG_0070</t>
        </is>
      </c>
      <c r="C197" s="5" t="inlineStr">
        <is>
          <t>CLASS C: GEOTECHNICAL AND OTHER SPECIALIST PROCESSES</t>
        </is>
      </c>
      <c r="D197" s="5" t="inlineStr">
        <is>
          <t>08 VIBRO-FLOTATION AND DYNAMIC COMPACTION</t>
        </is>
      </c>
      <c r="E197" s="5" t="inlineStr">
        <is>
          <t>Grouting drilled bore holes</t>
        </is>
      </c>
      <c r="F197" s="5" t="inlineStr">
        <is>
          <t>standing time for grouting rig and crew</t>
        </is>
      </c>
      <c r="G197" s="6" t="inlineStr">
        <is>
          <t>hour</t>
        </is>
      </c>
      <c r="H197" s="7" t="n"/>
      <c r="I197" s="8" t="n">
        <v>0</v>
      </c>
      <c r="J197" s="8" t="n">
        <v>0</v>
      </c>
      <c r="K197" s="8" t="n">
        <v>0</v>
      </c>
      <c r="L197" s="8" t="n">
        <v>269.89</v>
      </c>
      <c r="M197" s="9">
        <f>ROUND(SUM(I197:L197),2)</f>
        <v/>
      </c>
      <c r="N197" s="10">
        <f>ROUND(I197*'Irish Basis'!$C$6*'Irish Basis'!$C$5,2)</f>
        <v/>
      </c>
      <c r="O197" s="10">
        <f>ROUND(J197*'Irish Basis'!$C$7*'Irish Basis'!$C$5,2)</f>
        <v/>
      </c>
      <c r="P197" s="10">
        <f>ROUND(K197*'Irish Basis'!$C$8*'Irish Basis'!$C$5,2)</f>
        <v/>
      </c>
      <c r="Q197" s="10">
        <f>ROUND(L197*'Irish Basis'!$C$12*'Irish Basis'!$C$5,2)</f>
        <v/>
      </c>
      <c r="R197" s="11">
        <f>ROUND(SUM(N197:Q197),2)</f>
        <v/>
      </c>
      <c r="S197" s="5" t="inlineStr">
        <is>
          <t>All-in specialist rate</t>
        </is>
      </c>
      <c r="T197" s="14" t="inlineStr">
        <is>
          <t>All-in (not split)</t>
        </is>
      </c>
      <c r="U197" s="8" t="n">
        <v>269.89</v>
      </c>
      <c r="V197" s="13">
        <f>IF(U197="","",ROUND(M197-U197,2))</f>
        <v/>
      </c>
      <c r="W197" s="5" t="n"/>
      <c r="X197" s="5" t="inlineStr">
        <is>
          <t>Source publishes a specialist/sub-contract all-in rate; no labour/plant/material build-up exists to derive from.</t>
        </is>
      </c>
    </row>
    <row r="198" ht="13" customHeight="1">
      <c r="A198" s="4" t="n">
        <v>398</v>
      </c>
      <c r="B198" s="5" t="inlineStr">
        <is>
          <t>IMG_0070</t>
        </is>
      </c>
      <c r="C198" s="5" t="inlineStr">
        <is>
          <t>CLASS C: GEOTECHNICAL AND OTHER SPECIALIST PROCESSES</t>
        </is>
      </c>
      <c r="D198" s="5" t="inlineStr">
        <is>
          <t>08 VIBRO-FLOTATION AND DYNAMIC COMPACTION</t>
        </is>
      </c>
      <c r="E198" s="5" t="inlineStr">
        <is>
          <t>Provide materials for grouting</t>
        </is>
      </c>
      <c r="F198" s="5" t="inlineStr">
        <is>
          <t>ordinary portland cement</t>
        </is>
      </c>
      <c r="G198" s="6" t="inlineStr">
        <is>
          <t>t</t>
        </is>
      </c>
      <c r="H198" s="7" t="n"/>
      <c r="I198" s="8" t="n">
        <v>0</v>
      </c>
      <c r="J198" s="8" t="n">
        <v>0</v>
      </c>
      <c r="K198" s="8" t="n">
        <v>0</v>
      </c>
      <c r="L198" s="8" t="n">
        <v>200.69</v>
      </c>
      <c r="M198" s="9">
        <f>ROUND(SUM(I198:L198),2)</f>
        <v/>
      </c>
      <c r="N198" s="10">
        <f>ROUND(I198*'Irish Basis'!$C$6*'Irish Basis'!$C$5,2)</f>
        <v/>
      </c>
      <c r="O198" s="10">
        <f>ROUND(J198*'Irish Basis'!$C$7*'Irish Basis'!$C$5,2)</f>
        <v/>
      </c>
      <c r="P198" s="10">
        <f>ROUND(K198*'Irish Basis'!$C$8*'Irish Basis'!$C$5,2)</f>
        <v/>
      </c>
      <c r="Q198" s="10">
        <f>ROUND(L198*'Irish Basis'!$C$12*'Irish Basis'!$C$5,2)</f>
        <v/>
      </c>
      <c r="R198" s="11">
        <f>ROUND(SUM(N198:Q198),2)</f>
        <v/>
      </c>
      <c r="S198" s="5" t="inlineStr">
        <is>
          <t>All-in specialist rate</t>
        </is>
      </c>
      <c r="T198" s="14" t="inlineStr">
        <is>
          <t>All-in (not split)</t>
        </is>
      </c>
      <c r="U198" s="8" t="n">
        <v>200.69</v>
      </c>
      <c r="V198" s="13">
        <f>IF(U198="","",ROUND(M198-U198,2))</f>
        <v/>
      </c>
      <c r="W198" s="5" t="n"/>
      <c r="X198" s="5" t="inlineStr">
        <is>
          <t>Source publishes a specialist/sub-contract all-in rate; no labour/plant/material build-up exists to derive from.</t>
        </is>
      </c>
    </row>
    <row r="199" ht="13" customHeight="1">
      <c r="A199" s="4" t="n">
        <v>399</v>
      </c>
      <c r="B199" s="5" t="inlineStr">
        <is>
          <t>IMG_0070</t>
        </is>
      </c>
      <c r="C199" s="5" t="inlineStr">
        <is>
          <t>CLASS C: GEOTECHNICAL AND OTHER SPECIALIST PROCESSES</t>
        </is>
      </c>
      <c r="D199" s="5" t="inlineStr">
        <is>
          <t>08 VIBRO-FLOTATION AND DYNAMIC COMPACTION</t>
        </is>
      </c>
      <c r="E199" s="5" t="inlineStr">
        <is>
          <t>Provide materials for grouting</t>
        </is>
      </c>
      <c r="F199" s="5" t="inlineStr">
        <is>
          <t>sulphate-resistant cement</t>
        </is>
      </c>
      <c r="G199" s="6" t="inlineStr">
        <is>
          <t>t</t>
        </is>
      </c>
      <c r="H199" s="7" t="n"/>
      <c r="I199" s="8" t="n">
        <v>0</v>
      </c>
      <c r="J199" s="8" t="n">
        <v>0</v>
      </c>
      <c r="K199" s="8" t="n">
        <v>0</v>
      </c>
      <c r="L199" s="8" t="n">
        <v>204.34</v>
      </c>
      <c r="M199" s="9">
        <f>ROUND(SUM(I199:L199),2)</f>
        <v/>
      </c>
      <c r="N199" s="10">
        <f>ROUND(I199*'Irish Basis'!$C$6*'Irish Basis'!$C$5,2)</f>
        <v/>
      </c>
      <c r="O199" s="10">
        <f>ROUND(J199*'Irish Basis'!$C$7*'Irish Basis'!$C$5,2)</f>
        <v/>
      </c>
      <c r="P199" s="10">
        <f>ROUND(K199*'Irish Basis'!$C$8*'Irish Basis'!$C$5,2)</f>
        <v/>
      </c>
      <c r="Q199" s="10">
        <f>ROUND(L199*'Irish Basis'!$C$12*'Irish Basis'!$C$5,2)</f>
        <v/>
      </c>
      <c r="R199" s="11">
        <f>ROUND(SUM(N199:Q199),2)</f>
        <v/>
      </c>
      <c r="S199" s="5" t="inlineStr">
        <is>
          <t>All-in specialist rate</t>
        </is>
      </c>
      <c r="T199" s="14" t="inlineStr">
        <is>
          <t>All-in (not split)</t>
        </is>
      </c>
      <c r="U199" s="8" t="n">
        <v>204.34</v>
      </c>
      <c r="V199" s="13">
        <f>IF(U199="","",ROUND(M199-U199,2))</f>
        <v/>
      </c>
      <c r="W199" s="5" t="n"/>
      <c r="X199" s="5" t="inlineStr">
        <is>
          <t>Source publishes a specialist/sub-contract all-in rate; no labour/plant/material build-up exists to derive from.</t>
        </is>
      </c>
    </row>
    <row r="200" ht="13" customHeight="1">
      <c r="A200" s="4" t="n">
        <v>400</v>
      </c>
      <c r="B200" s="5" t="inlineStr">
        <is>
          <t>IMG_0070</t>
        </is>
      </c>
      <c r="C200" s="5" t="inlineStr">
        <is>
          <t>CLASS C: GEOTECHNICAL AND OTHER SPECIALIST PROCESSES</t>
        </is>
      </c>
      <c r="D200" s="5" t="inlineStr">
        <is>
          <t>08 VIBRO-FLOTATION AND DYNAMIC COMPACTION</t>
        </is>
      </c>
      <c r="E200" s="5" t="inlineStr">
        <is>
          <t>Provide materials for grouting</t>
        </is>
      </c>
      <c r="F200" s="5" t="inlineStr">
        <is>
          <t>pulverised fuel ash (PFA)</t>
        </is>
      </c>
      <c r="G200" s="6" t="inlineStr">
        <is>
          <t>t</t>
        </is>
      </c>
      <c r="H200" s="7" t="n"/>
      <c r="I200" s="8" t="n">
        <v>0</v>
      </c>
      <c r="J200" s="8" t="n">
        <v>0</v>
      </c>
      <c r="K200" s="8" t="n">
        <v>0</v>
      </c>
      <c r="L200" s="8" t="n">
        <v>28.77</v>
      </c>
      <c r="M200" s="9">
        <f>ROUND(SUM(I200:L200),2)</f>
        <v/>
      </c>
      <c r="N200" s="10">
        <f>ROUND(I200*'Irish Basis'!$C$6*'Irish Basis'!$C$5,2)</f>
        <v/>
      </c>
      <c r="O200" s="10">
        <f>ROUND(J200*'Irish Basis'!$C$7*'Irish Basis'!$C$5,2)</f>
        <v/>
      </c>
      <c r="P200" s="10">
        <f>ROUND(K200*'Irish Basis'!$C$8*'Irish Basis'!$C$5,2)</f>
        <v/>
      </c>
      <c r="Q200" s="10">
        <f>ROUND(L200*'Irish Basis'!$C$12*'Irish Basis'!$C$5,2)</f>
        <v/>
      </c>
      <c r="R200" s="11">
        <f>ROUND(SUM(N200:Q200),2)</f>
        <v/>
      </c>
      <c r="S200" s="5" t="inlineStr">
        <is>
          <t>All-in specialist rate</t>
        </is>
      </c>
      <c r="T200" s="14" t="inlineStr">
        <is>
          <t>All-in (not split)</t>
        </is>
      </c>
      <c r="U200" s="8" t="n">
        <v>28.77</v>
      </c>
      <c r="V200" s="13">
        <f>IF(U200="","",ROUND(M200-U200,2))</f>
        <v/>
      </c>
      <c r="W200" s="5" t="n"/>
      <c r="X200" s="5" t="inlineStr">
        <is>
          <t>Source publishes a specialist/sub-contract all-in rate; no labour/plant/material build-up exists to derive from.</t>
        </is>
      </c>
    </row>
    <row r="201" ht="13" customHeight="1">
      <c r="A201" s="4" t="n">
        <v>401</v>
      </c>
      <c r="B201" s="5" t="inlineStr">
        <is>
          <t>IMG_0070</t>
        </is>
      </c>
      <c r="C201" s="5" t="inlineStr">
        <is>
          <t>CLASS C: GEOTECHNICAL AND OTHER SPECIALIST PROCESSES</t>
        </is>
      </c>
      <c r="D201" s="5" t="inlineStr">
        <is>
          <t>08 VIBRO-FLOTATION AND DYNAMIC COMPACTION</t>
        </is>
      </c>
      <c r="E201" s="5" t="inlineStr">
        <is>
          <t>Provide materials for grouting</t>
        </is>
      </c>
      <c r="F201" s="5" t="inlineStr">
        <is>
          <t>sand</t>
        </is>
      </c>
      <c r="G201" s="6" t="inlineStr">
        <is>
          <t>t</t>
        </is>
      </c>
      <c r="H201" s="7" t="n"/>
      <c r="I201" s="8" t="n">
        <v>0</v>
      </c>
      <c r="J201" s="8" t="n">
        <v>0</v>
      </c>
      <c r="K201" s="8" t="n">
        <v>0</v>
      </c>
      <c r="L201" s="8" t="n">
        <v>37.73</v>
      </c>
      <c r="M201" s="9">
        <f>ROUND(SUM(I201:L201),2)</f>
        <v/>
      </c>
      <c r="N201" s="10">
        <f>ROUND(I201*'Irish Basis'!$C$6*'Irish Basis'!$C$5,2)</f>
        <v/>
      </c>
      <c r="O201" s="10">
        <f>ROUND(J201*'Irish Basis'!$C$7*'Irish Basis'!$C$5,2)</f>
        <v/>
      </c>
      <c r="P201" s="10">
        <f>ROUND(K201*'Irish Basis'!$C$8*'Irish Basis'!$C$5,2)</f>
        <v/>
      </c>
      <c r="Q201" s="10">
        <f>ROUND(L201*'Irish Basis'!$C$12*'Irish Basis'!$C$5,2)</f>
        <v/>
      </c>
      <c r="R201" s="11">
        <f>ROUND(SUM(N201:Q201),2)</f>
        <v/>
      </c>
      <c r="S201" s="5" t="inlineStr">
        <is>
          <t>All-in specialist rate</t>
        </is>
      </c>
      <c r="T201" s="14" t="inlineStr">
        <is>
          <t>All-in (not split)</t>
        </is>
      </c>
      <c r="U201" s="8" t="n">
        <v>37.73</v>
      </c>
      <c r="V201" s="13">
        <f>IF(U201="","",ROUND(M201-U201,2))</f>
        <v/>
      </c>
      <c r="W201" s="5" t="n"/>
      <c r="X201" s="5" t="inlineStr">
        <is>
          <t>Source publishes a specialist/sub-contract all-in rate; no labour/plant/material build-up exists to derive from.</t>
        </is>
      </c>
    </row>
    <row r="202" ht="13" customHeight="1">
      <c r="A202" s="4" t="n">
        <v>402</v>
      </c>
      <c r="B202" s="5" t="inlineStr">
        <is>
          <t>IMG_0070</t>
        </is>
      </c>
      <c r="C202" s="5" t="inlineStr">
        <is>
          <t>CLASS C: GEOTECHNICAL AND OTHER SPECIALIST PROCESSES</t>
        </is>
      </c>
      <c r="D202" s="5" t="inlineStr">
        <is>
          <t>08 VIBRO-FLOTATION AND DYNAMIC COMPACTION</t>
        </is>
      </c>
      <c r="E202" s="5" t="inlineStr">
        <is>
          <t>Provide materials for grouting</t>
        </is>
      </c>
      <c r="F202" s="5" t="inlineStr">
        <is>
          <t>pea gravel</t>
        </is>
      </c>
      <c r="G202" s="6" t="inlineStr">
        <is>
          <t>t</t>
        </is>
      </c>
      <c r="H202" s="7" t="n"/>
      <c r="I202" s="8" t="n">
        <v>0</v>
      </c>
      <c r="J202" s="8" t="n">
        <v>0</v>
      </c>
      <c r="K202" s="8" t="n">
        <v>0</v>
      </c>
      <c r="L202" s="8" t="n">
        <v>314.46</v>
      </c>
      <c r="M202" s="9">
        <f>ROUND(SUM(I202:L202),2)</f>
        <v/>
      </c>
      <c r="N202" s="10">
        <f>ROUND(I202*'Irish Basis'!$C$6*'Irish Basis'!$C$5,2)</f>
        <v/>
      </c>
      <c r="O202" s="10">
        <f>ROUND(J202*'Irish Basis'!$C$7*'Irish Basis'!$C$5,2)</f>
        <v/>
      </c>
      <c r="P202" s="10">
        <f>ROUND(K202*'Irish Basis'!$C$8*'Irish Basis'!$C$5,2)</f>
        <v/>
      </c>
      <c r="Q202" s="10">
        <f>ROUND(L202*'Irish Basis'!$C$12*'Irish Basis'!$C$5,2)</f>
        <v/>
      </c>
      <c r="R202" s="11">
        <f>ROUND(SUM(N202:Q202),2)</f>
        <v/>
      </c>
      <c r="S202" s="5" t="inlineStr">
        <is>
          <t>All-in specialist rate</t>
        </is>
      </c>
      <c r="T202" s="14" t="inlineStr">
        <is>
          <t>All-in (not split)</t>
        </is>
      </c>
      <c r="U202" s="8" t="n">
        <v>314.46</v>
      </c>
      <c r="V202" s="13">
        <f>IF(U202="","",ROUND(M202-U202,2))</f>
        <v/>
      </c>
      <c r="W202" s="5" t="n"/>
      <c r="X202" s="5" t="inlineStr">
        <is>
          <t>Source publishes a specialist/sub-contract all-in rate; no labour/plant/material build-up exists to derive from.</t>
        </is>
      </c>
    </row>
    <row r="203" ht="13" customHeight="1">
      <c r="A203" s="4" t="n">
        <v>403</v>
      </c>
      <c r="B203" s="5" t="inlineStr">
        <is>
          <t>IMG_0070</t>
        </is>
      </c>
      <c r="C203" s="5" t="inlineStr">
        <is>
          <t>CLASS C: GEOTECHNICAL AND OTHER SPECIALIST PROCESSES</t>
        </is>
      </c>
      <c r="D203" s="5" t="inlineStr">
        <is>
          <t>08 VIBRO-FLOTATION AND DYNAMIC COMPACTION</t>
        </is>
      </c>
      <c r="E203" s="5" t="inlineStr">
        <is>
          <t>Provide materials for grouting</t>
        </is>
      </c>
      <c r="F203" s="5" t="inlineStr">
        <is>
          <t>bentonite (2:1)</t>
        </is>
      </c>
      <c r="G203" s="6" t="inlineStr">
        <is>
          <t>t</t>
        </is>
      </c>
      <c r="H203" s="7" t="n"/>
      <c r="I203" s="8" t="n">
        <v>0</v>
      </c>
      <c r="J203" s="8" t="n">
        <v>0</v>
      </c>
      <c r="K203" s="8" t="n">
        <v>0</v>
      </c>
      <c r="L203" s="8" t="n">
        <v>259.11</v>
      </c>
      <c r="M203" s="9">
        <f>ROUND(SUM(I203:L203),2)</f>
        <v/>
      </c>
      <c r="N203" s="10">
        <f>ROUND(I203*'Irish Basis'!$C$6*'Irish Basis'!$C$5,2)</f>
        <v/>
      </c>
      <c r="O203" s="10">
        <f>ROUND(J203*'Irish Basis'!$C$7*'Irish Basis'!$C$5,2)</f>
        <v/>
      </c>
      <c r="P203" s="10">
        <f>ROUND(K203*'Irish Basis'!$C$8*'Irish Basis'!$C$5,2)</f>
        <v/>
      </c>
      <c r="Q203" s="10">
        <f>ROUND(L203*'Irish Basis'!$C$12*'Irish Basis'!$C$5,2)</f>
        <v/>
      </c>
      <c r="R203" s="11">
        <f>ROUND(SUM(N203:Q203),2)</f>
        <v/>
      </c>
      <c r="S203" s="5" t="inlineStr">
        <is>
          <t>All-in specialist rate</t>
        </is>
      </c>
      <c r="T203" s="14" t="inlineStr">
        <is>
          <t>All-in (not split)</t>
        </is>
      </c>
      <c r="U203" s="8" t="n">
        <v>259.11</v>
      </c>
      <c r="V203" s="13">
        <f>IF(U203="","",ROUND(M203-U203,2))</f>
        <v/>
      </c>
      <c r="W203" s="5" t="n"/>
      <c r="X203" s="5" t="inlineStr">
        <is>
          <t>Source publishes a specialist/sub-contract all-in rate; no labour/plant/material build-up exists to derive from.</t>
        </is>
      </c>
    </row>
    <row r="204" ht="13" customHeight="1">
      <c r="A204" s="4" t="n">
        <v>404</v>
      </c>
      <c r="B204" s="5" t="inlineStr">
        <is>
          <t>IMG_0070</t>
        </is>
      </c>
      <c r="C204" s="5" t="inlineStr">
        <is>
          <t>CLASS C: GEOTECHNICAL AND OTHER SPECIALIST PROCESSES</t>
        </is>
      </c>
      <c r="D204" s="5" t="inlineStr">
        <is>
          <t>08 VIBRO-FLOTATION AND DYNAMIC COMPACTION</t>
        </is>
      </c>
      <c r="E204" s="5" t="inlineStr">
        <is>
          <t>Provide materials for grouting</t>
        </is>
      </c>
      <c r="F204" s="5" t="inlineStr">
        <is>
          <t>cement grout</t>
        </is>
      </c>
      <c r="G204" s="6" t="inlineStr">
        <is>
          <t>t</t>
        </is>
      </c>
      <c r="H204" s="7" t="n"/>
      <c r="I204" s="8" t="n">
        <v>0</v>
      </c>
      <c r="J204" s="8" t="n">
        <v>0</v>
      </c>
      <c r="K204" s="8" t="n">
        <v>0</v>
      </c>
      <c r="L204" s="8" t="n">
        <v>296.65</v>
      </c>
      <c r="M204" s="9">
        <f>ROUND(SUM(I204:L204),2)</f>
        <v/>
      </c>
      <c r="N204" s="10">
        <f>ROUND(I204*'Irish Basis'!$C$6*'Irish Basis'!$C$5,2)</f>
        <v/>
      </c>
      <c r="O204" s="10">
        <f>ROUND(J204*'Irish Basis'!$C$7*'Irish Basis'!$C$5,2)</f>
        <v/>
      </c>
      <c r="P204" s="10">
        <f>ROUND(K204*'Irish Basis'!$C$8*'Irish Basis'!$C$5,2)</f>
        <v/>
      </c>
      <c r="Q204" s="10">
        <f>ROUND(L204*'Irish Basis'!$C$12*'Irish Basis'!$C$5,2)</f>
        <v/>
      </c>
      <c r="R204" s="11">
        <f>ROUND(SUM(N204:Q204),2)</f>
        <v/>
      </c>
      <c r="S204" s="5" t="inlineStr">
        <is>
          <t>All-in specialist rate</t>
        </is>
      </c>
      <c r="T204" s="14" t="inlineStr">
        <is>
          <t>All-in (not split)</t>
        </is>
      </c>
      <c r="U204" s="8" t="n">
        <v>296.65</v>
      </c>
      <c r="V204" s="13">
        <f>IF(U204="","",ROUND(M204-U204,2))</f>
        <v/>
      </c>
      <c r="W204" s="5" t="n"/>
      <c r="X204" s="5" t="inlineStr">
        <is>
          <t>Source publishes a specialist/sub-contract all-in rate; no labour/plant/material build-up exists to derive from.</t>
        </is>
      </c>
    </row>
    <row r="205" ht="13" customHeight="1">
      <c r="A205" s="4" t="n">
        <v>406</v>
      </c>
      <c r="B205" s="5" t="inlineStr">
        <is>
          <t>IMG_0070</t>
        </is>
      </c>
      <c r="C205" s="5" t="inlineStr">
        <is>
          <t>CLASS C: GEOTECHNICAL AND OTHER SPECIALIST PROCESSES</t>
        </is>
      </c>
      <c r="D205" s="5" t="inlineStr">
        <is>
          <t>08 VIBRO-FLOTATION AND DYNAMIC COMPACTION</t>
        </is>
      </c>
      <c r="E205" s="5" t="inlineStr">
        <is>
          <t>Capping to old shafts or similar; reinforced concrete grade C20P, 20 mm aggregate; thickness</t>
        </is>
      </c>
      <c r="F205" s="5" t="inlineStr">
        <is>
          <t>ne 150 mm</t>
        </is>
      </c>
      <c r="G205" s="6" t="inlineStr">
        <is>
          <t>m3</t>
        </is>
      </c>
      <c r="H205" s="7" t="n"/>
      <c r="I205" s="8" t="n">
        <v>0</v>
      </c>
      <c r="J205" s="8" t="n">
        <v>0</v>
      </c>
      <c r="K205" s="8" t="n">
        <v>0</v>
      </c>
      <c r="L205" s="8" t="n">
        <v>312.93</v>
      </c>
      <c r="M205" s="9">
        <f>ROUND(SUM(I205:L205),2)</f>
        <v/>
      </c>
      <c r="N205" s="10">
        <f>ROUND(I205*'Irish Basis'!$C$6*'Irish Basis'!$C$5,2)</f>
        <v/>
      </c>
      <c r="O205" s="10">
        <f>ROUND(J205*'Irish Basis'!$C$7*'Irish Basis'!$C$5,2)</f>
        <v/>
      </c>
      <c r="P205" s="10">
        <f>ROUND(K205*'Irish Basis'!$C$8*'Irish Basis'!$C$5,2)</f>
        <v/>
      </c>
      <c r="Q205" s="10">
        <f>ROUND(L205*'Irish Basis'!$C$12*'Irish Basis'!$C$5,2)</f>
        <v/>
      </c>
      <c r="R205" s="11">
        <f>ROUND(SUM(N205:Q205),2)</f>
        <v/>
      </c>
      <c r="S205" s="5" t="inlineStr">
        <is>
          <t>All-in specialist rate</t>
        </is>
      </c>
      <c r="T205" s="14" t="inlineStr">
        <is>
          <t>All-in (not split)</t>
        </is>
      </c>
      <c r="U205" s="8" t="n">
        <v>312.93</v>
      </c>
      <c r="V205" s="13">
        <f>IF(U205="","",ROUND(M205-U205,2))</f>
        <v/>
      </c>
      <c r="W205" s="5" t="n"/>
      <c r="X205" s="5" t="inlineStr">
        <is>
          <t>Source publishes a specialist/sub-contract all-in rate; no labour/plant/material build-up exists to derive from.</t>
        </is>
      </c>
    </row>
    <row r="206" ht="13" customHeight="1">
      <c r="A206" s="4" t="n">
        <v>407</v>
      </c>
      <c r="B206" s="5" t="inlineStr">
        <is>
          <t>IMG_0070</t>
        </is>
      </c>
      <c r="C206" s="5" t="inlineStr">
        <is>
          <t>CLASS C: GEOTECHNICAL AND OTHER SPECIALIST PROCESSES</t>
        </is>
      </c>
      <c r="D206" s="5" t="inlineStr">
        <is>
          <t>08 VIBRO-FLOTATION AND DYNAMIC COMPACTION</t>
        </is>
      </c>
      <c r="E206" s="5" t="inlineStr">
        <is>
          <t>Capping to old shafts or similar; reinforced concrete grade C20P, 20 mm aggregate; thickness</t>
        </is>
      </c>
      <c r="F206" s="5" t="inlineStr">
        <is>
          <t>150-300 mm</t>
        </is>
      </c>
      <c r="G206" s="6" t="inlineStr">
        <is>
          <t>m3</t>
        </is>
      </c>
      <c r="H206" s="7" t="n"/>
      <c r="I206" s="8" t="n">
        <v>0</v>
      </c>
      <c r="J206" s="8" t="n">
        <v>0</v>
      </c>
      <c r="K206" s="8" t="n">
        <v>0</v>
      </c>
      <c r="L206" s="8" t="n">
        <v>304</v>
      </c>
      <c r="M206" s="9">
        <f>ROUND(SUM(I206:L206),2)</f>
        <v/>
      </c>
      <c r="N206" s="10">
        <f>ROUND(I206*'Irish Basis'!$C$6*'Irish Basis'!$C$5,2)</f>
        <v/>
      </c>
      <c r="O206" s="10">
        <f>ROUND(J206*'Irish Basis'!$C$7*'Irish Basis'!$C$5,2)</f>
        <v/>
      </c>
      <c r="P206" s="10">
        <f>ROUND(K206*'Irish Basis'!$C$8*'Irish Basis'!$C$5,2)</f>
        <v/>
      </c>
      <c r="Q206" s="10">
        <f>ROUND(L206*'Irish Basis'!$C$12*'Irish Basis'!$C$5,2)</f>
        <v/>
      </c>
      <c r="R206" s="11">
        <f>ROUND(SUM(N206:Q206),2)</f>
        <v/>
      </c>
      <c r="S206" s="5" t="inlineStr">
        <is>
          <t>All-in specialist rate</t>
        </is>
      </c>
      <c r="T206" s="14" t="inlineStr">
        <is>
          <t>All-in (not split)</t>
        </is>
      </c>
      <c r="U206" s="8" t="n">
        <v>304</v>
      </c>
      <c r="V206" s="13">
        <f>IF(U206="","",ROUND(M206-U206,2))</f>
        <v/>
      </c>
      <c r="W206" s="5" t="n"/>
      <c r="X206" s="5" t="inlineStr">
        <is>
          <t>Source publishes a specialist/sub-contract all-in rate; no labour/plant/material build-up exists to derive from.</t>
        </is>
      </c>
    </row>
    <row r="207" ht="13" customHeight="1">
      <c r="A207" s="4" t="n">
        <v>408</v>
      </c>
      <c r="B207" s="5" t="inlineStr">
        <is>
          <t>IMG_0070</t>
        </is>
      </c>
      <c r="C207" s="5" t="inlineStr">
        <is>
          <t>CLASS C: GEOTECHNICAL AND OTHER SPECIALIST PROCESSES</t>
        </is>
      </c>
      <c r="D207" s="5" t="inlineStr">
        <is>
          <t>08 VIBRO-FLOTATION AND DYNAMIC COMPACTION</t>
        </is>
      </c>
      <c r="E207" s="5" t="inlineStr">
        <is>
          <t>Capping to old shafts or similar; reinforced concrete grade C20P, 20 mm aggregate; thickness</t>
        </is>
      </c>
      <c r="F207" s="5" t="inlineStr">
        <is>
          <t>300-500 mm</t>
        </is>
      </c>
      <c r="G207" s="6" t="inlineStr">
        <is>
          <t>m3</t>
        </is>
      </c>
      <c r="H207" s="7" t="n"/>
      <c r="I207" s="8" t="n">
        <v>0</v>
      </c>
      <c r="J207" s="8" t="n">
        <v>0</v>
      </c>
      <c r="K207" s="8" t="n">
        <v>0</v>
      </c>
      <c r="L207" s="8" t="n">
        <v>295.05</v>
      </c>
      <c r="M207" s="9">
        <f>ROUND(SUM(I207:L207),2)</f>
        <v/>
      </c>
      <c r="N207" s="10">
        <f>ROUND(I207*'Irish Basis'!$C$6*'Irish Basis'!$C$5,2)</f>
        <v/>
      </c>
      <c r="O207" s="10">
        <f>ROUND(J207*'Irish Basis'!$C$7*'Irish Basis'!$C$5,2)</f>
        <v/>
      </c>
      <c r="P207" s="10">
        <f>ROUND(K207*'Irish Basis'!$C$8*'Irish Basis'!$C$5,2)</f>
        <v/>
      </c>
      <c r="Q207" s="10">
        <f>ROUND(L207*'Irish Basis'!$C$12*'Irish Basis'!$C$5,2)</f>
        <v/>
      </c>
      <c r="R207" s="11">
        <f>ROUND(SUM(N207:Q207),2)</f>
        <v/>
      </c>
      <c r="S207" s="5" t="inlineStr">
        <is>
          <t>All-in specialist rate</t>
        </is>
      </c>
      <c r="T207" s="14" t="inlineStr">
        <is>
          <t>All-in (not split)</t>
        </is>
      </c>
      <c r="U207" s="8" t="n">
        <v>295.05</v>
      </c>
      <c r="V207" s="13">
        <f>IF(U207="","",ROUND(M207-U207,2))</f>
        <v/>
      </c>
      <c r="W207" s="5" t="n"/>
      <c r="X207" s="5" t="inlineStr">
        <is>
          <t>Source publishes a specialist/sub-contract all-in rate; no labour/plant/material build-up exists to derive from.</t>
        </is>
      </c>
    </row>
    <row r="208" ht="13" customHeight="1">
      <c r="A208" s="4" t="n">
        <v>409</v>
      </c>
      <c r="B208" s="5" t="inlineStr">
        <is>
          <t>IMG_0070</t>
        </is>
      </c>
      <c r="C208" s="5" t="inlineStr">
        <is>
          <t>CLASS C: GEOTECHNICAL AND OTHER SPECIALIST PROCESSES</t>
        </is>
      </c>
      <c r="D208" s="5" t="inlineStr">
        <is>
          <t>08 VIBRO-FLOTATION AND DYNAMIC COMPACTION</t>
        </is>
      </c>
      <c r="E208" s="5" t="inlineStr">
        <is>
          <t>Capping to old shafts or similar; reinforced concrete grade C20P, 20 mm aggregate; thickness</t>
        </is>
      </c>
      <c r="F208" s="5" t="inlineStr">
        <is>
          <t>over 500 mm</t>
        </is>
      </c>
      <c r="G208" s="6" t="inlineStr">
        <is>
          <t>m3</t>
        </is>
      </c>
      <c r="H208" s="7" t="n"/>
      <c r="I208" s="8" t="n">
        <v>0</v>
      </c>
      <c r="J208" s="8" t="n">
        <v>0</v>
      </c>
      <c r="K208" s="8" t="n">
        <v>0</v>
      </c>
      <c r="L208" s="8" t="n">
        <v>241.4</v>
      </c>
      <c r="M208" s="9">
        <f>ROUND(SUM(I208:L208),2)</f>
        <v/>
      </c>
      <c r="N208" s="10">
        <f>ROUND(I208*'Irish Basis'!$C$6*'Irish Basis'!$C$5,2)</f>
        <v/>
      </c>
      <c r="O208" s="10">
        <f>ROUND(J208*'Irish Basis'!$C$7*'Irish Basis'!$C$5,2)</f>
        <v/>
      </c>
      <c r="P208" s="10">
        <f>ROUND(K208*'Irish Basis'!$C$8*'Irish Basis'!$C$5,2)</f>
        <v/>
      </c>
      <c r="Q208" s="10">
        <f>ROUND(L208*'Irish Basis'!$C$12*'Irish Basis'!$C$5,2)</f>
        <v/>
      </c>
      <c r="R208" s="11">
        <f>ROUND(SUM(N208:Q208),2)</f>
        <v/>
      </c>
      <c r="S208" s="5" t="inlineStr">
        <is>
          <t>All-in specialist rate</t>
        </is>
      </c>
      <c r="T208" s="14" t="inlineStr">
        <is>
          <t>All-in (not split)</t>
        </is>
      </c>
      <c r="U208" s="8" t="n">
        <v>241.4</v>
      </c>
      <c r="V208" s="13">
        <f>IF(U208="","",ROUND(M208-U208,2))</f>
        <v/>
      </c>
      <c r="W208" s="5" t="n"/>
      <c r="X208" s="5" t="inlineStr">
        <is>
          <t>Source publishes a specialist/sub-contract all-in rate; no labour/plant/material build-up exists to derive from.</t>
        </is>
      </c>
    </row>
    <row r="209" ht="13" customHeight="1">
      <c r="A209" s="4" t="n">
        <v>411</v>
      </c>
      <c r="B209" s="5" t="inlineStr">
        <is>
          <t>IMG_0070</t>
        </is>
      </c>
      <c r="C209" s="5" t="inlineStr">
        <is>
          <t>CLASS C: GEOTECHNICAL AND OTHER SPECIALIST PROCESSES</t>
        </is>
      </c>
      <c r="D209" s="5" t="inlineStr">
        <is>
          <t>08 VIBRO-FLOTATION AND DYNAMIC COMPACTION</t>
        </is>
      </c>
      <c r="E209" s="5" t="inlineStr">
        <is>
          <t>Mild steel bars BS4449; supplied in bent and cut lengths</t>
        </is>
      </c>
      <c r="F209" s="5" t="inlineStr">
        <is>
          <t>6 mm nominal size</t>
        </is>
      </c>
      <c r="G209" s="6" t="inlineStr">
        <is>
          <t>t</t>
        </is>
      </c>
      <c r="H209" s="7" t="n"/>
      <c r="I209" s="8" t="n">
        <v>0</v>
      </c>
      <c r="J209" s="8" t="n">
        <v>0</v>
      </c>
      <c r="K209" s="8" t="n">
        <v>0</v>
      </c>
      <c r="L209" s="8" t="n">
        <v>1593.98</v>
      </c>
      <c r="M209" s="9">
        <f>ROUND(SUM(I209:L209),2)</f>
        <v/>
      </c>
      <c r="N209" s="10">
        <f>ROUND(I209*'Irish Basis'!$C$6*'Irish Basis'!$C$5,2)</f>
        <v/>
      </c>
      <c r="O209" s="10">
        <f>ROUND(J209*'Irish Basis'!$C$7*'Irish Basis'!$C$5,2)</f>
        <v/>
      </c>
      <c r="P209" s="10">
        <f>ROUND(K209*'Irish Basis'!$C$8*'Irish Basis'!$C$5,2)</f>
        <v/>
      </c>
      <c r="Q209" s="10">
        <f>ROUND(L209*'Irish Basis'!$C$12*'Irish Basis'!$C$5,2)</f>
        <v/>
      </c>
      <c r="R209" s="11">
        <f>ROUND(SUM(N209:Q209),2)</f>
        <v/>
      </c>
      <c r="S209" s="5" t="inlineStr">
        <is>
          <t>All-in specialist rate</t>
        </is>
      </c>
      <c r="T209" s="14" t="inlineStr">
        <is>
          <t>All-in (not split)</t>
        </is>
      </c>
      <c r="U209" s="8" t="n">
        <v>1593.98</v>
      </c>
      <c r="V209" s="13">
        <f>IF(U209="","",ROUND(M209-U209,2))</f>
        <v/>
      </c>
      <c r="W209" s="5" t="n"/>
      <c r="X209" s="5" t="inlineStr">
        <is>
          <t>Source publishes a specialist/sub-contract all-in rate; no labour/plant/material build-up exists to derive from.</t>
        </is>
      </c>
    </row>
    <row r="210" ht="13" customHeight="1">
      <c r="A210" s="4" t="n">
        <v>412</v>
      </c>
      <c r="B210" s="5" t="inlineStr">
        <is>
          <t>IMG_0070</t>
        </is>
      </c>
      <c r="C210" s="5" t="inlineStr">
        <is>
          <t>CLASS C: GEOTECHNICAL AND OTHER SPECIALIST PROCESSES</t>
        </is>
      </c>
      <c r="D210" s="5" t="inlineStr">
        <is>
          <t>08 VIBRO-FLOTATION AND DYNAMIC COMPACTION</t>
        </is>
      </c>
      <c r="E210" s="5" t="inlineStr">
        <is>
          <t>Mild steel bars BS4449; supplied in bent and cut lengths</t>
        </is>
      </c>
      <c r="F210" s="5" t="inlineStr">
        <is>
          <t>8 mm nominal size</t>
        </is>
      </c>
      <c r="G210" s="6" t="inlineStr">
        <is>
          <t>t</t>
        </is>
      </c>
      <c r="H210" s="7" t="n"/>
      <c r="I210" s="8" t="n">
        <v>0</v>
      </c>
      <c r="J210" s="8" t="n">
        <v>0</v>
      </c>
      <c r="K210" s="8" t="n">
        <v>0</v>
      </c>
      <c r="L210" s="8" t="n">
        <v>1594</v>
      </c>
      <c r="M210" s="9">
        <f>ROUND(SUM(I210:L210),2)</f>
        <v/>
      </c>
      <c r="N210" s="10">
        <f>ROUND(I210*'Irish Basis'!$C$6*'Irish Basis'!$C$5,2)</f>
        <v/>
      </c>
      <c r="O210" s="10">
        <f>ROUND(J210*'Irish Basis'!$C$7*'Irish Basis'!$C$5,2)</f>
        <v/>
      </c>
      <c r="P210" s="10">
        <f>ROUND(K210*'Irish Basis'!$C$8*'Irish Basis'!$C$5,2)</f>
        <v/>
      </c>
      <c r="Q210" s="10">
        <f>ROUND(L210*'Irish Basis'!$C$12*'Irish Basis'!$C$5,2)</f>
        <v/>
      </c>
      <c r="R210" s="11">
        <f>ROUND(SUM(N210:Q210),2)</f>
        <v/>
      </c>
      <c r="S210" s="5" t="inlineStr">
        <is>
          <t>All-in specialist rate</t>
        </is>
      </c>
      <c r="T210" s="14" t="inlineStr">
        <is>
          <t>All-in (not split)</t>
        </is>
      </c>
      <c r="U210" s="8" t="n">
        <v>1594</v>
      </c>
      <c r="V210" s="13">
        <f>IF(U210="","",ROUND(M210-U210,2))</f>
        <v/>
      </c>
      <c r="W210" s="5" t="n"/>
      <c r="X210" s="5" t="inlineStr">
        <is>
          <t>Source publishes a specialist/sub-contract all-in rate; no labour/plant/material build-up exists to derive from.</t>
        </is>
      </c>
    </row>
    <row r="211" ht="13" customHeight="1">
      <c r="A211" s="4" t="n">
        <v>413</v>
      </c>
      <c r="B211" s="5" t="inlineStr">
        <is>
          <t>IMG_0070</t>
        </is>
      </c>
      <c r="C211" s="5" t="inlineStr">
        <is>
          <t>CLASS C: GEOTECHNICAL AND OTHER SPECIALIST PROCESSES</t>
        </is>
      </c>
      <c r="D211" s="5" t="inlineStr">
        <is>
          <t>08 VIBRO-FLOTATION AND DYNAMIC COMPACTION</t>
        </is>
      </c>
      <c r="E211" s="5" t="inlineStr">
        <is>
          <t>Mild steel bars BS4449; supplied in bent and cut lengths</t>
        </is>
      </c>
      <c r="F211" s="5" t="inlineStr">
        <is>
          <t>10 mm nominal size</t>
        </is>
      </c>
      <c r="G211" s="6" t="inlineStr">
        <is>
          <t>t</t>
        </is>
      </c>
      <c r="H211" s="7" t="n"/>
      <c r="I211" s="8" t="n">
        <v>0</v>
      </c>
      <c r="J211" s="8" t="n">
        <v>0</v>
      </c>
      <c r="K211" s="8" t="n">
        <v>0</v>
      </c>
      <c r="L211" s="8" t="n">
        <v>1594</v>
      </c>
      <c r="M211" s="9">
        <f>ROUND(SUM(I211:L211),2)</f>
        <v/>
      </c>
      <c r="N211" s="10">
        <f>ROUND(I211*'Irish Basis'!$C$6*'Irish Basis'!$C$5,2)</f>
        <v/>
      </c>
      <c r="O211" s="10">
        <f>ROUND(J211*'Irish Basis'!$C$7*'Irish Basis'!$C$5,2)</f>
        <v/>
      </c>
      <c r="P211" s="10">
        <f>ROUND(K211*'Irish Basis'!$C$8*'Irish Basis'!$C$5,2)</f>
        <v/>
      </c>
      <c r="Q211" s="10">
        <f>ROUND(L211*'Irish Basis'!$C$12*'Irish Basis'!$C$5,2)</f>
        <v/>
      </c>
      <c r="R211" s="11">
        <f>ROUND(SUM(N211:Q211),2)</f>
        <v/>
      </c>
      <c r="S211" s="5" t="inlineStr">
        <is>
          <t>All-in specialist rate</t>
        </is>
      </c>
      <c r="T211" s="14" t="inlineStr">
        <is>
          <t>All-in (not split)</t>
        </is>
      </c>
      <c r="U211" s="8" t="n">
        <v>1594</v>
      </c>
      <c r="V211" s="13">
        <f>IF(U211="","",ROUND(M211-U211,2))</f>
        <v/>
      </c>
      <c r="W211" s="5" t="n"/>
      <c r="X211" s="5" t="inlineStr">
        <is>
          <t>Source publishes a specialist/sub-contract all-in rate; no labour/plant/material build-up exists to derive from.</t>
        </is>
      </c>
    </row>
    <row r="212" ht="13" customHeight="1">
      <c r="A212" s="4" t="n">
        <v>414</v>
      </c>
      <c r="B212" s="5" t="inlineStr">
        <is>
          <t>IMG_0070</t>
        </is>
      </c>
      <c r="C212" s="5" t="inlineStr">
        <is>
          <t>CLASS C: GEOTECHNICAL AND OTHER SPECIALIST PROCESSES</t>
        </is>
      </c>
      <c r="D212" s="5" t="inlineStr">
        <is>
          <t>08 VIBRO-FLOTATION AND DYNAMIC COMPACTION</t>
        </is>
      </c>
      <c r="E212" s="5" t="inlineStr">
        <is>
          <t>Mild steel bars BS4449; supplied in bent and cut lengths</t>
        </is>
      </c>
      <c r="F212" s="5" t="inlineStr">
        <is>
          <t>12 mm nominal size</t>
        </is>
      </c>
      <c r="G212" s="6" t="inlineStr">
        <is>
          <t>t</t>
        </is>
      </c>
      <c r="H212" s="7" t="n"/>
      <c r="I212" s="8" t="n">
        <v>0</v>
      </c>
      <c r="J212" s="8" t="n">
        <v>0</v>
      </c>
      <c r="K212" s="8" t="n">
        <v>0</v>
      </c>
      <c r="L212" s="8" t="n">
        <v>1594</v>
      </c>
      <c r="M212" s="9">
        <f>ROUND(SUM(I212:L212),2)</f>
        <v/>
      </c>
      <c r="N212" s="10">
        <f>ROUND(I212*'Irish Basis'!$C$6*'Irish Basis'!$C$5,2)</f>
        <v/>
      </c>
      <c r="O212" s="10">
        <f>ROUND(J212*'Irish Basis'!$C$7*'Irish Basis'!$C$5,2)</f>
        <v/>
      </c>
      <c r="P212" s="10">
        <f>ROUND(K212*'Irish Basis'!$C$8*'Irish Basis'!$C$5,2)</f>
        <v/>
      </c>
      <c r="Q212" s="10">
        <f>ROUND(L212*'Irish Basis'!$C$12*'Irish Basis'!$C$5,2)</f>
        <v/>
      </c>
      <c r="R212" s="11">
        <f>ROUND(SUM(N212:Q212),2)</f>
        <v/>
      </c>
      <c r="S212" s="5" t="inlineStr">
        <is>
          <t>All-in specialist rate</t>
        </is>
      </c>
      <c r="T212" s="14" t="inlineStr">
        <is>
          <t>All-in (not split)</t>
        </is>
      </c>
      <c r="U212" s="8" t="n">
        <v>1594</v>
      </c>
      <c r="V212" s="13">
        <f>IF(U212="","",ROUND(M212-U212,2))</f>
        <v/>
      </c>
      <c r="W212" s="5" t="n"/>
      <c r="X212" s="5" t="inlineStr">
        <is>
          <t>Source publishes a specialist/sub-contract all-in rate; no labour/plant/material build-up exists to derive from.</t>
        </is>
      </c>
    </row>
    <row r="213" ht="13" customHeight="1">
      <c r="A213" s="4" t="n">
        <v>415</v>
      </c>
      <c r="B213" s="5" t="inlineStr">
        <is>
          <t>IMG_0070</t>
        </is>
      </c>
      <c r="C213" s="5" t="inlineStr">
        <is>
          <t>CLASS C: GEOTECHNICAL AND OTHER SPECIALIST PROCESSES</t>
        </is>
      </c>
      <c r="D213" s="5" t="inlineStr">
        <is>
          <t>08 VIBRO-FLOTATION AND DYNAMIC COMPACTION</t>
        </is>
      </c>
      <c r="E213" s="5" t="inlineStr">
        <is>
          <t>Mild steel bars BS4449; supplied in bent and cut lengths</t>
        </is>
      </c>
      <c r="F213" s="5" t="inlineStr">
        <is>
          <t>16 mm nominal size</t>
        </is>
      </c>
      <c r="G213" s="6" t="inlineStr">
        <is>
          <t>t</t>
        </is>
      </c>
      <c r="H213" s="7" t="n"/>
      <c r="I213" s="8" t="n">
        <v>0</v>
      </c>
      <c r="J213" s="8" t="n">
        <v>0</v>
      </c>
      <c r="K213" s="8" t="n">
        <v>0</v>
      </c>
      <c r="L213" s="8" t="n">
        <v>1594</v>
      </c>
      <c r="M213" s="9">
        <f>ROUND(SUM(I213:L213),2)</f>
        <v/>
      </c>
      <c r="N213" s="10">
        <f>ROUND(I213*'Irish Basis'!$C$6*'Irish Basis'!$C$5,2)</f>
        <v/>
      </c>
      <c r="O213" s="10">
        <f>ROUND(J213*'Irish Basis'!$C$7*'Irish Basis'!$C$5,2)</f>
        <v/>
      </c>
      <c r="P213" s="10">
        <f>ROUND(K213*'Irish Basis'!$C$8*'Irish Basis'!$C$5,2)</f>
        <v/>
      </c>
      <c r="Q213" s="10">
        <f>ROUND(L213*'Irish Basis'!$C$12*'Irish Basis'!$C$5,2)</f>
        <v/>
      </c>
      <c r="R213" s="11">
        <f>ROUND(SUM(N213:Q213),2)</f>
        <v/>
      </c>
      <c r="S213" s="5" t="inlineStr">
        <is>
          <t>All-in specialist rate</t>
        </is>
      </c>
      <c r="T213" s="14" t="inlineStr">
        <is>
          <t>All-in (not split)</t>
        </is>
      </c>
      <c r="U213" s="8" t="n">
        <v>1594</v>
      </c>
      <c r="V213" s="13">
        <f>IF(U213="","",ROUND(M213-U213,2))</f>
        <v/>
      </c>
      <c r="W213" s="5" t="n"/>
      <c r="X213" s="5" t="inlineStr">
        <is>
          <t>Source publishes a specialist/sub-contract all-in rate; no labour/plant/material build-up exists to derive from.</t>
        </is>
      </c>
    </row>
    <row r="214" ht="13" customHeight="1">
      <c r="A214" s="4" t="n">
        <v>416</v>
      </c>
      <c r="B214" s="5" t="inlineStr">
        <is>
          <t>IMG_0070</t>
        </is>
      </c>
      <c r="C214" s="5" t="inlineStr">
        <is>
          <t>CLASS C: GEOTECHNICAL AND OTHER SPECIALIST PROCESSES</t>
        </is>
      </c>
      <c r="D214" s="5" t="inlineStr">
        <is>
          <t>08 VIBRO-FLOTATION AND DYNAMIC COMPACTION</t>
        </is>
      </c>
      <c r="E214" s="5" t="inlineStr">
        <is>
          <t>Mild steel bars BS4449; supplied in bent and cut lengths</t>
        </is>
      </c>
      <c r="F214" s="5" t="inlineStr">
        <is>
          <t>20 mm nominal size</t>
        </is>
      </c>
      <c r="G214" s="6" t="inlineStr">
        <is>
          <t>t</t>
        </is>
      </c>
      <c r="H214" s="7" t="n"/>
      <c r="I214" s="8" t="n">
        <v>0</v>
      </c>
      <c r="J214" s="8" t="n">
        <v>0</v>
      </c>
      <c r="K214" s="8" t="n">
        <v>0</v>
      </c>
      <c r="L214" s="8" t="n">
        <v>1594</v>
      </c>
      <c r="M214" s="9">
        <f>ROUND(SUM(I214:L214),2)</f>
        <v/>
      </c>
      <c r="N214" s="10">
        <f>ROUND(I214*'Irish Basis'!$C$6*'Irish Basis'!$C$5,2)</f>
        <v/>
      </c>
      <c r="O214" s="10">
        <f>ROUND(J214*'Irish Basis'!$C$7*'Irish Basis'!$C$5,2)</f>
        <v/>
      </c>
      <c r="P214" s="10">
        <f>ROUND(K214*'Irish Basis'!$C$8*'Irish Basis'!$C$5,2)</f>
        <v/>
      </c>
      <c r="Q214" s="10">
        <f>ROUND(L214*'Irish Basis'!$C$12*'Irish Basis'!$C$5,2)</f>
        <v/>
      </c>
      <c r="R214" s="11">
        <f>ROUND(SUM(N214:Q214),2)</f>
        <v/>
      </c>
      <c r="S214" s="5" t="inlineStr">
        <is>
          <t>All-in specialist rate</t>
        </is>
      </c>
      <c r="T214" s="14" t="inlineStr">
        <is>
          <t>All-in (not split)</t>
        </is>
      </c>
      <c r="U214" s="8" t="n">
        <v>1594</v>
      </c>
      <c r="V214" s="13">
        <f>IF(U214="","",ROUND(M214-U214,2))</f>
        <v/>
      </c>
      <c r="W214" s="5" t="n"/>
      <c r="X214" s="5" t="inlineStr">
        <is>
          <t>Source publishes a specialist/sub-contract all-in rate; no labour/plant/material build-up exists to derive from.</t>
        </is>
      </c>
    </row>
    <row r="215" ht="13" customHeight="1">
      <c r="A215" s="4" t="n">
        <v>418</v>
      </c>
      <c r="B215" s="5" t="inlineStr">
        <is>
          <t>IMG_0070</t>
        </is>
      </c>
      <c r="C215" s="5" t="inlineStr">
        <is>
          <t>CLASS C: GEOTECHNICAL AND OTHER SPECIALIST PROCESSES</t>
        </is>
      </c>
      <c r="D215" s="5" t="inlineStr">
        <is>
          <t>08 VIBRO-FLOTATION AND DYNAMIC COMPACTION</t>
        </is>
      </c>
      <c r="E215" s="5" t="inlineStr">
        <is>
          <t>High yield steel bars BS4449 or 4461; supplied in bent and cut lengths</t>
        </is>
      </c>
      <c r="F215" s="5" t="inlineStr">
        <is>
          <t>6 mm nominal size</t>
        </is>
      </c>
      <c r="G215" s="6" t="inlineStr">
        <is>
          <t>t</t>
        </is>
      </c>
      <c r="H215" s="7" t="n"/>
      <c r="I215" s="8" t="n">
        <v>0</v>
      </c>
      <c r="J215" s="8" t="n">
        <v>0</v>
      </c>
      <c r="K215" s="8" t="n">
        <v>0</v>
      </c>
      <c r="L215" s="8" t="n">
        <v>1593.98</v>
      </c>
      <c r="M215" s="9">
        <f>ROUND(SUM(I215:L215),2)</f>
        <v/>
      </c>
      <c r="N215" s="10">
        <f>ROUND(I215*'Irish Basis'!$C$6*'Irish Basis'!$C$5,2)</f>
        <v/>
      </c>
      <c r="O215" s="10">
        <f>ROUND(J215*'Irish Basis'!$C$7*'Irish Basis'!$C$5,2)</f>
        <v/>
      </c>
      <c r="P215" s="10">
        <f>ROUND(K215*'Irish Basis'!$C$8*'Irish Basis'!$C$5,2)</f>
        <v/>
      </c>
      <c r="Q215" s="10">
        <f>ROUND(L215*'Irish Basis'!$C$12*'Irish Basis'!$C$5,2)</f>
        <v/>
      </c>
      <c r="R215" s="11">
        <f>ROUND(SUM(N215:Q215),2)</f>
        <v/>
      </c>
      <c r="S215" s="5" t="inlineStr">
        <is>
          <t>All-in specialist rate</t>
        </is>
      </c>
      <c r="T215" s="14" t="inlineStr">
        <is>
          <t>All-in (not split)</t>
        </is>
      </c>
      <c r="U215" s="8" t="n">
        <v>1593.98</v>
      </c>
      <c r="V215" s="13">
        <f>IF(U215="","",ROUND(M215-U215,2))</f>
        <v/>
      </c>
      <c r="W215" s="5" t="n"/>
      <c r="X215" s="5" t="inlineStr">
        <is>
          <t>Source publishes a specialist/sub-contract all-in rate; no labour/plant/material build-up exists to derive from.</t>
        </is>
      </c>
    </row>
    <row r="216" ht="13" customHeight="1">
      <c r="A216" s="4" t="n">
        <v>419</v>
      </c>
      <c r="B216" s="5" t="inlineStr">
        <is>
          <t>IMG_0070</t>
        </is>
      </c>
      <c r="C216" s="5" t="inlineStr">
        <is>
          <t>CLASS C: GEOTECHNICAL AND OTHER SPECIALIST PROCESSES</t>
        </is>
      </c>
      <c r="D216" s="5" t="inlineStr">
        <is>
          <t>08 VIBRO-FLOTATION AND DYNAMIC COMPACTION</t>
        </is>
      </c>
      <c r="E216" s="5" t="inlineStr">
        <is>
          <t>High yield steel bars BS4449 or 4461; supplied in bent and cut lengths</t>
        </is>
      </c>
      <c r="F216" s="5" t="inlineStr">
        <is>
          <t>8 mm nominal size</t>
        </is>
      </c>
      <c r="G216" s="6" t="inlineStr">
        <is>
          <t>t</t>
        </is>
      </c>
      <c r="H216" s="7" t="n"/>
      <c r="I216" s="8" t="n">
        <v>0</v>
      </c>
      <c r="J216" s="8" t="n">
        <v>0</v>
      </c>
      <c r="K216" s="8" t="n">
        <v>0</v>
      </c>
      <c r="L216" s="8" t="n">
        <v>1594</v>
      </c>
      <c r="M216" s="9">
        <f>ROUND(SUM(I216:L216),2)</f>
        <v/>
      </c>
      <c r="N216" s="10">
        <f>ROUND(I216*'Irish Basis'!$C$6*'Irish Basis'!$C$5,2)</f>
        <v/>
      </c>
      <c r="O216" s="10">
        <f>ROUND(J216*'Irish Basis'!$C$7*'Irish Basis'!$C$5,2)</f>
        <v/>
      </c>
      <c r="P216" s="10">
        <f>ROUND(K216*'Irish Basis'!$C$8*'Irish Basis'!$C$5,2)</f>
        <v/>
      </c>
      <c r="Q216" s="10">
        <f>ROUND(L216*'Irish Basis'!$C$12*'Irish Basis'!$C$5,2)</f>
        <v/>
      </c>
      <c r="R216" s="11">
        <f>ROUND(SUM(N216:Q216),2)</f>
        <v/>
      </c>
      <c r="S216" s="5" t="inlineStr">
        <is>
          <t>All-in specialist rate</t>
        </is>
      </c>
      <c r="T216" s="14" t="inlineStr">
        <is>
          <t>All-in (not split)</t>
        </is>
      </c>
      <c r="U216" s="8" t="n">
        <v>1594</v>
      </c>
      <c r="V216" s="13">
        <f>IF(U216="","",ROUND(M216-U216,2))</f>
        <v/>
      </c>
      <c r="W216" s="5" t="n"/>
      <c r="X216" s="5" t="inlineStr">
        <is>
          <t>Source publishes a specialist/sub-contract all-in rate; no labour/plant/material build-up exists to derive from.</t>
        </is>
      </c>
    </row>
    <row r="217" ht="13" customHeight="1">
      <c r="A217" s="4" t="n">
        <v>420</v>
      </c>
      <c r="B217" s="5" t="inlineStr">
        <is>
          <t>IMG_0070</t>
        </is>
      </c>
      <c r="C217" s="5" t="inlineStr">
        <is>
          <t>CLASS C: GEOTECHNICAL AND OTHER SPECIALIST PROCESSES</t>
        </is>
      </c>
      <c r="D217" s="5" t="inlineStr">
        <is>
          <t>08 VIBRO-FLOTATION AND DYNAMIC COMPACTION</t>
        </is>
      </c>
      <c r="E217" s="5" t="inlineStr">
        <is>
          <t>High yield steel bars BS4449 or 4461; supplied in bent and cut lengths</t>
        </is>
      </c>
      <c r="F217" s="5" t="inlineStr">
        <is>
          <t>10 mm nominal size</t>
        </is>
      </c>
      <c r="G217" s="6" t="inlineStr">
        <is>
          <t>t</t>
        </is>
      </c>
      <c r="H217" s="7" t="n"/>
      <c r="I217" s="8" t="n">
        <v>0</v>
      </c>
      <c r="J217" s="8" t="n">
        <v>0</v>
      </c>
      <c r="K217" s="8" t="n">
        <v>0</v>
      </c>
      <c r="L217" s="8" t="n">
        <v>1594</v>
      </c>
      <c r="M217" s="9">
        <f>ROUND(SUM(I217:L217),2)</f>
        <v/>
      </c>
      <c r="N217" s="10">
        <f>ROUND(I217*'Irish Basis'!$C$6*'Irish Basis'!$C$5,2)</f>
        <v/>
      </c>
      <c r="O217" s="10">
        <f>ROUND(J217*'Irish Basis'!$C$7*'Irish Basis'!$C$5,2)</f>
        <v/>
      </c>
      <c r="P217" s="10">
        <f>ROUND(K217*'Irish Basis'!$C$8*'Irish Basis'!$C$5,2)</f>
        <v/>
      </c>
      <c r="Q217" s="10">
        <f>ROUND(L217*'Irish Basis'!$C$12*'Irish Basis'!$C$5,2)</f>
        <v/>
      </c>
      <c r="R217" s="11">
        <f>ROUND(SUM(N217:Q217),2)</f>
        <v/>
      </c>
      <c r="S217" s="5" t="inlineStr">
        <is>
          <t>All-in specialist rate</t>
        </is>
      </c>
      <c r="T217" s="14" t="inlineStr">
        <is>
          <t>All-in (not split)</t>
        </is>
      </c>
      <c r="U217" s="8" t="n">
        <v>1594</v>
      </c>
      <c r="V217" s="13">
        <f>IF(U217="","",ROUND(M217-U217,2))</f>
        <v/>
      </c>
      <c r="W217" s="5" t="n"/>
      <c r="X217" s="5" t="inlineStr">
        <is>
          <t>Source publishes a specialist/sub-contract all-in rate; no labour/plant/material build-up exists to derive from.</t>
        </is>
      </c>
    </row>
    <row r="218" ht="13" customHeight="1">
      <c r="A218" s="4" t="n">
        <v>421</v>
      </c>
      <c r="B218" s="5" t="inlineStr">
        <is>
          <t>IMG_0070</t>
        </is>
      </c>
      <c r="C218" s="5" t="inlineStr">
        <is>
          <t>CLASS C: GEOTECHNICAL AND OTHER SPECIALIST PROCESSES</t>
        </is>
      </c>
      <c r="D218" s="5" t="inlineStr">
        <is>
          <t>08 VIBRO-FLOTATION AND DYNAMIC COMPACTION</t>
        </is>
      </c>
      <c r="E218" s="5" t="inlineStr">
        <is>
          <t>High yield steel bars BS4449 or 4461; supplied in bent and cut lengths</t>
        </is>
      </c>
      <c r="F218" s="5" t="inlineStr">
        <is>
          <t>12 mm nominal size</t>
        </is>
      </c>
      <c r="G218" s="6" t="inlineStr">
        <is>
          <t>t</t>
        </is>
      </c>
      <c r="H218" s="7" t="n"/>
      <c r="I218" s="8" t="n">
        <v>0</v>
      </c>
      <c r="J218" s="8" t="n">
        <v>0</v>
      </c>
      <c r="K218" s="8" t="n">
        <v>0</v>
      </c>
      <c r="L218" s="8" t="n">
        <v>1594</v>
      </c>
      <c r="M218" s="9">
        <f>ROUND(SUM(I218:L218),2)</f>
        <v/>
      </c>
      <c r="N218" s="10">
        <f>ROUND(I218*'Irish Basis'!$C$6*'Irish Basis'!$C$5,2)</f>
        <v/>
      </c>
      <c r="O218" s="10">
        <f>ROUND(J218*'Irish Basis'!$C$7*'Irish Basis'!$C$5,2)</f>
        <v/>
      </c>
      <c r="P218" s="10">
        <f>ROUND(K218*'Irish Basis'!$C$8*'Irish Basis'!$C$5,2)</f>
        <v/>
      </c>
      <c r="Q218" s="10">
        <f>ROUND(L218*'Irish Basis'!$C$12*'Irish Basis'!$C$5,2)</f>
        <v/>
      </c>
      <c r="R218" s="11">
        <f>ROUND(SUM(N218:Q218),2)</f>
        <v/>
      </c>
      <c r="S218" s="5" t="inlineStr">
        <is>
          <t>All-in specialist rate</t>
        </is>
      </c>
      <c r="T218" s="14" t="inlineStr">
        <is>
          <t>All-in (not split)</t>
        </is>
      </c>
      <c r="U218" s="8" t="n">
        <v>1594</v>
      </c>
      <c r="V218" s="13">
        <f>IF(U218="","",ROUND(M218-U218,2))</f>
        <v/>
      </c>
      <c r="W218" s="5" t="n"/>
      <c r="X218" s="5" t="inlineStr">
        <is>
          <t>Source publishes a specialist/sub-contract all-in rate; no labour/plant/material build-up exists to derive from.</t>
        </is>
      </c>
    </row>
    <row r="219" ht="13" customHeight="1">
      <c r="A219" s="4" t="n">
        <v>422</v>
      </c>
      <c r="B219" s="5" t="inlineStr">
        <is>
          <t>IMG_0070</t>
        </is>
      </c>
      <c r="C219" s="5" t="inlineStr">
        <is>
          <t>CLASS C: GEOTECHNICAL AND OTHER SPECIALIST PROCESSES</t>
        </is>
      </c>
      <c r="D219" s="5" t="inlineStr">
        <is>
          <t>08 VIBRO-FLOTATION AND DYNAMIC COMPACTION</t>
        </is>
      </c>
      <c r="E219" s="5" t="inlineStr">
        <is>
          <t>High yield steel bars BS4449 or 4461; supplied in bent and cut lengths</t>
        </is>
      </c>
      <c r="F219" s="5" t="inlineStr">
        <is>
          <t>16 mm nominal size</t>
        </is>
      </c>
      <c r="G219" s="6" t="inlineStr">
        <is>
          <t>t</t>
        </is>
      </c>
      <c r="H219" s="7" t="n"/>
      <c r="I219" s="8" t="n">
        <v>0</v>
      </c>
      <c r="J219" s="8" t="n">
        <v>0</v>
      </c>
      <c r="K219" s="8" t="n">
        <v>0</v>
      </c>
      <c r="L219" s="8" t="n">
        <v>1594</v>
      </c>
      <c r="M219" s="9">
        <f>ROUND(SUM(I219:L219),2)</f>
        <v/>
      </c>
      <c r="N219" s="10">
        <f>ROUND(I219*'Irish Basis'!$C$6*'Irish Basis'!$C$5,2)</f>
        <v/>
      </c>
      <c r="O219" s="10">
        <f>ROUND(J219*'Irish Basis'!$C$7*'Irish Basis'!$C$5,2)</f>
        <v/>
      </c>
      <c r="P219" s="10">
        <f>ROUND(K219*'Irish Basis'!$C$8*'Irish Basis'!$C$5,2)</f>
        <v/>
      </c>
      <c r="Q219" s="10">
        <f>ROUND(L219*'Irish Basis'!$C$12*'Irish Basis'!$C$5,2)</f>
        <v/>
      </c>
      <c r="R219" s="11">
        <f>ROUND(SUM(N219:Q219),2)</f>
        <v/>
      </c>
      <c r="S219" s="5" t="inlineStr">
        <is>
          <t>All-in specialist rate</t>
        </is>
      </c>
      <c r="T219" s="14" t="inlineStr">
        <is>
          <t>All-in (not split)</t>
        </is>
      </c>
      <c r="U219" s="8" t="n">
        <v>1594</v>
      </c>
      <c r="V219" s="13">
        <f>IF(U219="","",ROUND(M219-U219,2))</f>
        <v/>
      </c>
      <c r="W219" s="5" t="n"/>
      <c r="X219" s="5" t="inlineStr">
        <is>
          <t>Source publishes a specialist/sub-contract all-in rate; no labour/plant/material build-up exists to derive from.</t>
        </is>
      </c>
    </row>
    <row r="220" ht="13" customHeight="1">
      <c r="A220" s="4" t="n">
        <v>424</v>
      </c>
      <c r="B220" s="5" t="inlineStr">
        <is>
          <t>IMG_0071</t>
        </is>
      </c>
      <c r="C220" s="5" t="inlineStr">
        <is>
          <t>CLASS C: GEOTECHNICAL AND OTHER SPECIALIST PROCESSES</t>
        </is>
      </c>
      <c r="D220" s="5" t="inlineStr">
        <is>
          <t>08 VIBRO-FLOTATION AND DYNAMIC COMPACTION</t>
        </is>
      </c>
      <c r="E220" s="5" t="inlineStr">
        <is>
          <t>High yield steel bars BS4449 or 4461; supplied in bent and cut lengths (continued)</t>
        </is>
      </c>
      <c r="F220" s="5" t="inlineStr">
        <is>
          <t>20 mm nominal size</t>
        </is>
      </c>
      <c r="G220" s="6" t="inlineStr">
        <is>
          <t>t</t>
        </is>
      </c>
      <c r="H220" s="7" t="n"/>
      <c r="I220" s="8" t="n">
        <v>0</v>
      </c>
      <c r="J220" s="8" t="n">
        <v>0</v>
      </c>
      <c r="K220" s="8" t="n">
        <v>0</v>
      </c>
      <c r="L220" s="8" t="n">
        <v>1594</v>
      </c>
      <c r="M220" s="9">
        <f>ROUND(SUM(I220:L220),2)</f>
        <v/>
      </c>
      <c r="N220" s="10">
        <f>ROUND(I220*'Irish Basis'!$C$6*'Irish Basis'!$C$5,2)</f>
        <v/>
      </c>
      <c r="O220" s="10">
        <f>ROUND(J220*'Irish Basis'!$C$7*'Irish Basis'!$C$5,2)</f>
        <v/>
      </c>
      <c r="P220" s="10">
        <f>ROUND(K220*'Irish Basis'!$C$8*'Irish Basis'!$C$5,2)</f>
        <v/>
      </c>
      <c r="Q220" s="10">
        <f>ROUND(L220*'Irish Basis'!$C$12*'Irish Basis'!$C$5,2)</f>
        <v/>
      </c>
      <c r="R220" s="11">
        <f>ROUND(SUM(N220:Q220),2)</f>
        <v/>
      </c>
      <c r="S220" s="5" t="inlineStr">
        <is>
          <t>All-in specialist rate</t>
        </is>
      </c>
      <c r="T220" s="14" t="inlineStr">
        <is>
          <t>All-in (not split)</t>
        </is>
      </c>
      <c r="U220" s="8" t="n">
        <v>1594</v>
      </c>
      <c r="V220" s="13">
        <f>IF(U220="","",ROUND(M220-U220,2))</f>
        <v/>
      </c>
      <c r="W220" s="5" t="n"/>
      <c r="X220" s="5" t="inlineStr">
        <is>
          <t>Source publishes a specialist/sub-contract all-in rate; no labour/plant/material build-up exists to derive from.</t>
        </is>
      </c>
    </row>
    <row r="221" ht="13" customHeight="1">
      <c r="A221" s="4" t="n">
        <v>429</v>
      </c>
      <c r="B221" s="5" t="inlineStr">
        <is>
          <t>IMG_0071</t>
        </is>
      </c>
      <c r="C221" s="5" t="inlineStr">
        <is>
          <t>CLASS D: DEMOLITION AND SITE CLEARANCE</t>
        </is>
      </c>
      <c r="D221" s="5" t="inlineStr">
        <is>
          <t>01 SITE CLEARANCE</t>
        </is>
      </c>
      <c r="E221" s="5" t="inlineStr">
        <is>
          <t>Clear site vegetation</t>
        </is>
      </c>
      <c r="F221" s="5" t="inlineStr">
        <is>
          <t>generally</t>
        </is>
      </c>
      <c r="G221" s="6" t="inlineStr">
        <is>
          <t>ha</t>
        </is>
      </c>
      <c r="H221" s="7" t="n"/>
      <c r="I221" s="8" t="n">
        <v>0</v>
      </c>
      <c r="J221" s="8" t="n">
        <v>0</v>
      </c>
      <c r="K221" s="8" t="n">
        <v>0</v>
      </c>
      <c r="L221" s="8" t="n">
        <v>1873.21</v>
      </c>
      <c r="M221" s="9">
        <f>ROUND(SUM(I221:L221),2)</f>
        <v/>
      </c>
      <c r="N221" s="10">
        <f>ROUND(I221*'Irish Basis'!$C$6*'Irish Basis'!$C$5,2)</f>
        <v/>
      </c>
      <c r="O221" s="10">
        <f>ROUND(J221*'Irish Basis'!$C$7*'Irish Basis'!$C$5,2)</f>
        <v/>
      </c>
      <c r="P221" s="10">
        <f>ROUND(K221*'Irish Basis'!$C$8*'Irish Basis'!$C$5,2)</f>
        <v/>
      </c>
      <c r="Q221" s="10">
        <f>ROUND(L221*'Irish Basis'!$C$12*'Irish Basis'!$C$5,2)</f>
        <v/>
      </c>
      <c r="R221" s="11">
        <f>ROUND(SUM(N221:Q221),2)</f>
        <v/>
      </c>
      <c r="S221" s="5" t="inlineStr">
        <is>
          <t>All-in specialist rate</t>
        </is>
      </c>
      <c r="T221" s="14" t="inlineStr">
        <is>
          <t>All-in (not split)</t>
        </is>
      </c>
      <c r="U221" s="8" t="n">
        <v>1873.21</v>
      </c>
      <c r="V221" s="13">
        <f>IF(U221="","",ROUND(M221-U221,2))</f>
        <v/>
      </c>
      <c r="W221" s="5" t="n"/>
      <c r="X221" s="5" t="inlineStr">
        <is>
          <t>Source publishes a specialist/sub-contract all-in rate; no labour/plant/material build-up exists to derive from.</t>
        </is>
      </c>
    </row>
    <row r="222" ht="13" customHeight="1">
      <c r="A222" s="4" t="n">
        <v>430</v>
      </c>
      <c r="B222" s="5" t="inlineStr">
        <is>
          <t>IMG_0071</t>
        </is>
      </c>
      <c r="C222" s="5" t="inlineStr">
        <is>
          <t>CLASS D: DEMOLITION AND SITE CLEARANCE</t>
        </is>
      </c>
      <c r="D222" s="5" t="inlineStr">
        <is>
          <t>01 SITE CLEARANCE</t>
        </is>
      </c>
      <c r="E222" s="5" t="inlineStr">
        <is>
          <t>Clear site vegetation</t>
        </is>
      </c>
      <c r="F222" s="5" t="inlineStr">
        <is>
          <t>Invasive plant species</t>
        </is>
      </c>
      <c r="G222" s="6" t="inlineStr">
        <is>
          <t>ha</t>
        </is>
      </c>
      <c r="H222" s="7" t="n"/>
      <c r="I222" s="8" t="n">
        <v>0</v>
      </c>
      <c r="J222" s="8" t="n">
        <v>0</v>
      </c>
      <c r="K222" s="8" t="n">
        <v>0</v>
      </c>
      <c r="L222" s="8" t="n">
        <v>5163.02</v>
      </c>
      <c r="M222" s="9">
        <f>ROUND(SUM(I222:L222),2)</f>
        <v/>
      </c>
      <c r="N222" s="10">
        <f>ROUND(I222*'Irish Basis'!$C$6*'Irish Basis'!$C$5,2)</f>
        <v/>
      </c>
      <c r="O222" s="10">
        <f>ROUND(J222*'Irish Basis'!$C$7*'Irish Basis'!$C$5,2)</f>
        <v/>
      </c>
      <c r="P222" s="10">
        <f>ROUND(K222*'Irish Basis'!$C$8*'Irish Basis'!$C$5,2)</f>
        <v/>
      </c>
      <c r="Q222" s="10">
        <f>ROUND(L222*'Irish Basis'!$C$12*'Irish Basis'!$C$5,2)</f>
        <v/>
      </c>
      <c r="R222" s="11">
        <f>ROUND(SUM(N222:Q222),2)</f>
        <v/>
      </c>
      <c r="S222" s="5" t="inlineStr">
        <is>
          <t>All-in specialist rate</t>
        </is>
      </c>
      <c r="T222" s="14" t="inlineStr">
        <is>
          <t>All-in (not split)</t>
        </is>
      </c>
      <c r="U222" s="8" t="n">
        <v>5163.02</v>
      </c>
      <c r="V222" s="13">
        <f>IF(U222="","",ROUND(M222-U222,2))</f>
        <v/>
      </c>
      <c r="W222" s="5" t="n"/>
      <c r="X222" s="5" t="inlineStr">
        <is>
          <t>Source publishes a specialist/sub-contract all-in rate; no labour/plant/material build-up exists to derive from.</t>
        </is>
      </c>
    </row>
    <row r="223" ht="13" customHeight="1">
      <c r="A223" s="4" t="n">
        <v>431</v>
      </c>
      <c r="B223" s="5" t="inlineStr">
        <is>
          <t>IMG_0071</t>
        </is>
      </c>
      <c r="C223" s="5" t="inlineStr">
        <is>
          <t>CLASS D: DEMOLITION AND SITE CLEARANCE</t>
        </is>
      </c>
      <c r="D223" s="5" t="inlineStr">
        <is>
          <t>01 SITE CLEARANCE</t>
        </is>
      </c>
      <c r="E223" s="5" t="inlineStr">
        <is>
          <t>Clear site vegetation</t>
        </is>
      </c>
      <c r="F223" s="5" t="inlineStr">
        <is>
          <t>areas below tidal level</t>
        </is>
      </c>
      <c r="G223" s="6" t="inlineStr">
        <is>
          <t>ha</t>
        </is>
      </c>
      <c r="H223" s="7" t="n"/>
      <c r="I223" s="8" t="n">
        <v>0</v>
      </c>
      <c r="J223" s="8" t="n">
        <v>0</v>
      </c>
      <c r="K223" s="8" t="n">
        <v>0</v>
      </c>
      <c r="L223" s="8" t="n">
        <v>6310.39</v>
      </c>
      <c r="M223" s="9">
        <f>ROUND(SUM(I223:L223),2)</f>
        <v/>
      </c>
      <c r="N223" s="10">
        <f>ROUND(I223*'Irish Basis'!$C$6*'Irish Basis'!$C$5,2)</f>
        <v/>
      </c>
      <c r="O223" s="10">
        <f>ROUND(J223*'Irish Basis'!$C$7*'Irish Basis'!$C$5,2)</f>
        <v/>
      </c>
      <c r="P223" s="10">
        <f>ROUND(K223*'Irish Basis'!$C$8*'Irish Basis'!$C$5,2)</f>
        <v/>
      </c>
      <c r="Q223" s="10">
        <f>ROUND(L223*'Irish Basis'!$C$12*'Irish Basis'!$C$5,2)</f>
        <v/>
      </c>
      <c r="R223" s="11">
        <f>ROUND(SUM(N223:Q223),2)</f>
        <v/>
      </c>
      <c r="S223" s="5" t="inlineStr">
        <is>
          <t>All-in specialist rate</t>
        </is>
      </c>
      <c r="T223" s="14" t="inlineStr">
        <is>
          <t>All-in (not split)</t>
        </is>
      </c>
      <c r="U223" s="8" t="n">
        <v>6310.39</v>
      </c>
      <c r="V223" s="13">
        <f>IF(U223="","",ROUND(M223-U223,2))</f>
        <v/>
      </c>
      <c r="W223" s="5" t="n"/>
      <c r="X223" s="5" t="inlineStr">
        <is>
          <t>Source publishes a specialist/sub-contract all-in rate; no labour/plant/material build-up exists to derive from.</t>
        </is>
      </c>
    </row>
    <row r="224" ht="13" customHeight="1">
      <c r="A224" s="4" t="n">
        <v>435</v>
      </c>
      <c r="B224" s="5" t="inlineStr">
        <is>
          <t>IMG_0071</t>
        </is>
      </c>
      <c r="C224" s="5" t="inlineStr">
        <is>
          <t>CLASS D: DEMOLITION AND SITE CLEARANCE</t>
        </is>
      </c>
      <c r="D224" s="5" t="inlineStr">
        <is>
          <t>01 SITE CLEARANCE</t>
        </is>
      </c>
      <c r="E224" s="5" t="inlineStr">
        <is>
          <t>Drilling with rotary percussion drills</t>
        </is>
      </c>
      <c r="F224" s="5" t="inlineStr">
        <is>
          <t>105-110 mm dia.; hard rock</t>
        </is>
      </c>
      <c r="G224" s="6" t="inlineStr">
        <is>
          <t>m</t>
        </is>
      </c>
      <c r="H224" s="7" t="n"/>
      <c r="I224" s="8" t="n">
        <v>0</v>
      </c>
      <c r="J224" s="8" t="n">
        <v>0</v>
      </c>
      <c r="K224" s="8" t="n">
        <v>0</v>
      </c>
      <c r="L224" s="8" t="n">
        <v>25.47</v>
      </c>
      <c r="M224" s="9">
        <f>ROUND(SUM(I224:L224),2)</f>
        <v/>
      </c>
      <c r="N224" s="10">
        <f>ROUND(I224*'Irish Basis'!$C$6*'Irish Basis'!$C$5,2)</f>
        <v/>
      </c>
      <c r="O224" s="10">
        <f>ROUND(J224*'Irish Basis'!$C$7*'Irish Basis'!$C$5,2)</f>
        <v/>
      </c>
      <c r="P224" s="10">
        <f>ROUND(K224*'Irish Basis'!$C$8*'Irish Basis'!$C$5,2)</f>
        <v/>
      </c>
      <c r="Q224" s="10">
        <f>ROUND(L224*'Irish Basis'!$C$12*'Irish Basis'!$C$5,2)</f>
        <v/>
      </c>
      <c r="R224" s="11">
        <f>ROUND(SUM(N224:Q224),2)</f>
        <v/>
      </c>
      <c r="S224" s="5" t="inlineStr">
        <is>
          <t>All-in specialist rate</t>
        </is>
      </c>
      <c r="T224" s="14" t="inlineStr">
        <is>
          <t>All-in (not split)</t>
        </is>
      </c>
      <c r="U224" s="8" t="n">
        <v>25.47</v>
      </c>
      <c r="V224" s="13">
        <f>IF(U224="","",ROUND(M224-U224,2))</f>
        <v/>
      </c>
      <c r="W224" s="5" t="n"/>
      <c r="X224" s="5" t="inlineStr">
        <is>
          <t>Source publishes a specialist/sub-contract all-in rate; no labour/plant/material build-up exists to derive from.</t>
        </is>
      </c>
    </row>
    <row r="225" ht="13" customHeight="1">
      <c r="A225" s="4" t="n">
        <v>436</v>
      </c>
      <c r="B225" s="5" t="inlineStr">
        <is>
          <t>IMG_0071</t>
        </is>
      </c>
      <c r="C225" s="5" t="inlineStr">
        <is>
          <t>CLASS D: DEMOLITION AND SITE CLEARANCE</t>
        </is>
      </c>
      <c r="D225" s="5" t="inlineStr">
        <is>
          <t>01 SITE CLEARANCE</t>
        </is>
      </c>
      <c r="E225" s="5" t="inlineStr">
        <is>
          <t>Drilling with rotary percussion drills</t>
        </is>
      </c>
      <c r="F225" s="5" t="inlineStr">
        <is>
          <t>105-110 mm dia.; sandstone</t>
        </is>
      </c>
      <c r="G225" s="6" t="inlineStr">
        <is>
          <t>m</t>
        </is>
      </c>
      <c r="H225" s="7" t="n"/>
      <c r="I225" s="8" t="n">
        <v>0</v>
      </c>
      <c r="J225" s="8" t="n">
        <v>0</v>
      </c>
      <c r="K225" s="8" t="n">
        <v>0</v>
      </c>
      <c r="L225" s="8" t="n">
        <v>12.82</v>
      </c>
      <c r="M225" s="9">
        <f>ROUND(SUM(I225:L225),2)</f>
        <v/>
      </c>
      <c r="N225" s="10">
        <f>ROUND(I225*'Irish Basis'!$C$6*'Irish Basis'!$C$5,2)</f>
        <v/>
      </c>
      <c r="O225" s="10">
        <f>ROUND(J225*'Irish Basis'!$C$7*'Irish Basis'!$C$5,2)</f>
        <v/>
      </c>
      <c r="P225" s="10">
        <f>ROUND(K225*'Irish Basis'!$C$8*'Irish Basis'!$C$5,2)</f>
        <v/>
      </c>
      <c r="Q225" s="10">
        <f>ROUND(L225*'Irish Basis'!$C$12*'Irish Basis'!$C$5,2)</f>
        <v/>
      </c>
      <c r="R225" s="11">
        <f>ROUND(SUM(N225:Q225),2)</f>
        <v/>
      </c>
      <c r="S225" s="5" t="inlineStr">
        <is>
          <t>All-in specialist rate</t>
        </is>
      </c>
      <c r="T225" s="14" t="inlineStr">
        <is>
          <t>All-in (not split)</t>
        </is>
      </c>
      <c r="U225" s="8" t="n">
        <v>12.82</v>
      </c>
      <c r="V225" s="13">
        <f>IF(U225="","",ROUND(M225-U225,2))</f>
        <v/>
      </c>
      <c r="W225" s="5" t="n"/>
      <c r="X225" s="5" t="inlineStr">
        <is>
          <t>Source publishes a specialist/sub-contract all-in rate; no labour/plant/material build-up exists to derive from.</t>
        </is>
      </c>
    </row>
    <row r="226" ht="13" customHeight="1">
      <c r="A226" s="4" t="n">
        <v>437</v>
      </c>
      <c r="B226" s="5" t="inlineStr">
        <is>
          <t>IMG_0071</t>
        </is>
      </c>
      <c r="C226" s="5" t="inlineStr">
        <is>
          <t>CLASS D: DEMOLITION AND SITE CLEARANCE</t>
        </is>
      </c>
      <c r="D226" s="5" t="inlineStr">
        <is>
          <t>01 SITE CLEARANCE</t>
        </is>
      </c>
      <c r="E226" s="5" t="inlineStr">
        <is>
          <t>Drilling with rotary percussion drills</t>
        </is>
      </c>
      <c r="F226" s="5" t="inlineStr">
        <is>
          <t>125 mm dia.; hard rock</t>
        </is>
      </c>
      <c r="G226" s="6" t="inlineStr">
        <is>
          <t>m</t>
        </is>
      </c>
      <c r="H226" s="7" t="n"/>
      <c r="I226" s="8" t="n">
        <v>0</v>
      </c>
      <c r="J226" s="8" t="n">
        <v>0</v>
      </c>
      <c r="K226" s="8" t="n">
        <v>0</v>
      </c>
      <c r="L226" s="8" t="n">
        <v>20.08</v>
      </c>
      <c r="M226" s="9">
        <f>ROUND(SUM(I226:L226),2)</f>
        <v/>
      </c>
      <c r="N226" s="10">
        <f>ROUND(I226*'Irish Basis'!$C$6*'Irish Basis'!$C$5,2)</f>
        <v/>
      </c>
      <c r="O226" s="10">
        <f>ROUND(J226*'Irish Basis'!$C$7*'Irish Basis'!$C$5,2)</f>
        <v/>
      </c>
      <c r="P226" s="10">
        <f>ROUND(K226*'Irish Basis'!$C$8*'Irish Basis'!$C$5,2)</f>
        <v/>
      </c>
      <c r="Q226" s="10">
        <f>ROUND(L226*'Irish Basis'!$C$12*'Irish Basis'!$C$5,2)</f>
        <v/>
      </c>
      <c r="R226" s="11">
        <f>ROUND(SUM(N226:Q226),2)</f>
        <v/>
      </c>
      <c r="S226" s="5" t="inlineStr">
        <is>
          <t>All-in specialist rate</t>
        </is>
      </c>
      <c r="T226" s="14" t="inlineStr">
        <is>
          <t>All-in (not split)</t>
        </is>
      </c>
      <c r="U226" s="8" t="n">
        <v>20.08</v>
      </c>
      <c r="V226" s="13">
        <f>IF(U226="","",ROUND(M226-U226,2))</f>
        <v/>
      </c>
      <c r="W226" s="5" t="n"/>
      <c r="X226" s="5" t="inlineStr">
        <is>
          <t>Source publishes a specialist/sub-contract all-in rate; no labour/plant/material build-up exists to derive from.</t>
        </is>
      </c>
    </row>
    <row r="227" ht="13" customHeight="1">
      <c r="A227" s="4" t="n">
        <v>438</v>
      </c>
      <c r="B227" s="5" t="inlineStr">
        <is>
          <t>IMG_0071</t>
        </is>
      </c>
      <c r="C227" s="5" t="inlineStr">
        <is>
          <t>CLASS D: DEMOLITION AND SITE CLEARANCE</t>
        </is>
      </c>
      <c r="D227" s="5" t="inlineStr">
        <is>
          <t>01 SITE CLEARANCE</t>
        </is>
      </c>
      <c r="E227" s="5" t="inlineStr">
        <is>
          <t>Drilling with rotary percussion drills</t>
        </is>
      </c>
      <c r="F227" s="5" t="inlineStr">
        <is>
          <t>125 mm dia.; sandstone</t>
        </is>
      </c>
      <c r="G227" s="6" t="inlineStr">
        <is>
          <t>m</t>
        </is>
      </c>
      <c r="H227" s="7" t="n"/>
      <c r="I227" s="8" t="n">
        <v>0</v>
      </c>
      <c r="J227" s="8" t="n">
        <v>0</v>
      </c>
      <c r="K227" s="8" t="n">
        <v>0</v>
      </c>
      <c r="L227" s="8" t="n">
        <v>18.18</v>
      </c>
      <c r="M227" s="9">
        <f>ROUND(SUM(I227:L227),2)</f>
        <v/>
      </c>
      <c r="N227" s="10">
        <f>ROUND(I227*'Irish Basis'!$C$6*'Irish Basis'!$C$5,2)</f>
        <v/>
      </c>
      <c r="O227" s="10">
        <f>ROUND(J227*'Irish Basis'!$C$7*'Irish Basis'!$C$5,2)</f>
        <v/>
      </c>
      <c r="P227" s="10">
        <f>ROUND(K227*'Irish Basis'!$C$8*'Irish Basis'!$C$5,2)</f>
        <v/>
      </c>
      <c r="Q227" s="10">
        <f>ROUND(L227*'Irish Basis'!$C$12*'Irish Basis'!$C$5,2)</f>
        <v/>
      </c>
      <c r="R227" s="11">
        <f>ROUND(SUM(N227:Q227),2)</f>
        <v/>
      </c>
      <c r="S227" s="5" t="inlineStr">
        <is>
          <t>All-in specialist rate</t>
        </is>
      </c>
      <c r="T227" s="14" t="inlineStr">
        <is>
          <t>All-in (not split)</t>
        </is>
      </c>
      <c r="U227" s="8" t="n">
        <v>18.18</v>
      </c>
      <c r="V227" s="13">
        <f>IF(U227="","",ROUND(M227-U227,2))</f>
        <v/>
      </c>
      <c r="W227" s="5" t="n"/>
      <c r="X227" s="5" t="inlineStr">
        <is>
          <t>Source publishes a specialist/sub-contract all-in rate; no labour/plant/material build-up exists to derive from.</t>
        </is>
      </c>
    </row>
    <row r="228" ht="13" customHeight="1">
      <c r="A228" s="4" t="n">
        <v>439</v>
      </c>
      <c r="B228" s="5" t="inlineStr">
        <is>
          <t>IMG_0071</t>
        </is>
      </c>
      <c r="C228" s="5" t="inlineStr">
        <is>
          <t>CLASS D: DEMOLITION AND SITE CLEARANCE</t>
        </is>
      </c>
      <c r="D228" s="5" t="inlineStr">
        <is>
          <t>01 SITE CLEARANCE</t>
        </is>
      </c>
      <c r="E228" s="5" t="inlineStr">
        <is>
          <t>Drilling with rotary percussion drills</t>
        </is>
      </c>
      <c r="F228" s="5" t="inlineStr">
        <is>
          <t>165 mm dia.; hard rock</t>
        </is>
      </c>
      <c r="G228" s="6" t="inlineStr">
        <is>
          <t>m</t>
        </is>
      </c>
      <c r="H228" s="7" t="n"/>
      <c r="I228" s="8" t="n">
        <v>0</v>
      </c>
      <c r="J228" s="8" t="n">
        <v>0</v>
      </c>
      <c r="K228" s="8" t="n">
        <v>0</v>
      </c>
      <c r="L228" s="8" t="n">
        <v>20.79</v>
      </c>
      <c r="M228" s="9">
        <f>ROUND(SUM(I228:L228),2)</f>
        <v/>
      </c>
      <c r="N228" s="10">
        <f>ROUND(I228*'Irish Basis'!$C$6*'Irish Basis'!$C$5,2)</f>
        <v/>
      </c>
      <c r="O228" s="10">
        <f>ROUND(J228*'Irish Basis'!$C$7*'Irish Basis'!$C$5,2)</f>
        <v/>
      </c>
      <c r="P228" s="10">
        <f>ROUND(K228*'Irish Basis'!$C$8*'Irish Basis'!$C$5,2)</f>
        <v/>
      </c>
      <c r="Q228" s="10">
        <f>ROUND(L228*'Irish Basis'!$C$12*'Irish Basis'!$C$5,2)</f>
        <v/>
      </c>
      <c r="R228" s="11">
        <f>ROUND(SUM(N228:Q228),2)</f>
        <v/>
      </c>
      <c r="S228" s="5" t="inlineStr">
        <is>
          <t>All-in specialist rate</t>
        </is>
      </c>
      <c r="T228" s="14" t="inlineStr">
        <is>
          <t>All-in (not split)</t>
        </is>
      </c>
      <c r="U228" s="8" t="n">
        <v>20.79</v>
      </c>
      <c r="V228" s="13">
        <f>IF(U228="","",ROUND(M228-U228,2))</f>
        <v/>
      </c>
      <c r="W228" s="5" t="n"/>
      <c r="X228" s="5" t="inlineStr">
        <is>
          <t>Source publishes a specialist/sub-contract all-in rate; no labour/plant/material build-up exists to derive from.</t>
        </is>
      </c>
    </row>
    <row r="229" ht="13" customHeight="1">
      <c r="A229" s="4" t="n">
        <v>440</v>
      </c>
      <c r="B229" s="5" t="inlineStr">
        <is>
          <t>IMG_0071</t>
        </is>
      </c>
      <c r="C229" s="5" t="inlineStr">
        <is>
          <t>CLASS D: DEMOLITION AND SITE CLEARANCE</t>
        </is>
      </c>
      <c r="D229" s="5" t="inlineStr">
        <is>
          <t>01 SITE CLEARANCE</t>
        </is>
      </c>
      <c r="E229" s="5" t="inlineStr">
        <is>
          <t>Drilling with rotary percussion drills</t>
        </is>
      </c>
      <c r="F229" s="5" t="inlineStr">
        <is>
          <t>165 mm dia.; sandstone Drilling and blasting in open cut for bulk excavation</t>
        </is>
      </c>
      <c r="G229" s="6" t="inlineStr">
        <is>
          <t>m</t>
        </is>
      </c>
      <c r="H229" s="7" t="n"/>
      <c r="I229" s="8" t="n">
        <v>0</v>
      </c>
      <c r="J229" s="8" t="n">
        <v>0</v>
      </c>
      <c r="K229" s="8" t="n">
        <v>0</v>
      </c>
      <c r="L229" s="8" t="n">
        <v>23.02</v>
      </c>
      <c r="M229" s="9">
        <f>ROUND(SUM(I229:L229),2)</f>
        <v/>
      </c>
      <c r="N229" s="10">
        <f>ROUND(I229*'Irish Basis'!$C$6*'Irish Basis'!$C$5,2)</f>
        <v/>
      </c>
      <c r="O229" s="10">
        <f>ROUND(J229*'Irish Basis'!$C$7*'Irish Basis'!$C$5,2)</f>
        <v/>
      </c>
      <c r="P229" s="10">
        <f>ROUND(K229*'Irish Basis'!$C$8*'Irish Basis'!$C$5,2)</f>
        <v/>
      </c>
      <c r="Q229" s="10">
        <f>ROUND(L229*'Irish Basis'!$C$12*'Irish Basis'!$C$5,2)</f>
        <v/>
      </c>
      <c r="R229" s="11">
        <f>ROUND(SUM(N229:Q229),2)</f>
        <v/>
      </c>
      <c r="S229" s="5" t="inlineStr">
        <is>
          <t>All-in specialist rate</t>
        </is>
      </c>
      <c r="T229" s="14" t="inlineStr">
        <is>
          <t>All-in (not split)</t>
        </is>
      </c>
      <c r="U229" s="8" t="n">
        <v>23.02</v>
      </c>
      <c r="V229" s="13">
        <f>IF(U229="","",ROUND(M229-U229,2))</f>
        <v/>
      </c>
      <c r="W229" s="5" t="n"/>
      <c r="X229" s="5" t="inlineStr">
        <is>
          <t>Source publishes a specialist/sub-contract all-in rate; no labour/plant/material build-up exists to derive from.</t>
        </is>
      </c>
    </row>
    <row r="230" ht="13" customHeight="1">
      <c r="A230" s="4" t="n">
        <v>442</v>
      </c>
      <c r="B230" s="5" t="inlineStr">
        <is>
          <t>IMG_0071</t>
        </is>
      </c>
      <c r="C230" s="5" t="inlineStr">
        <is>
          <t>CLASS D: DEMOLITION AND SITE CLEARANCE</t>
        </is>
      </c>
      <c r="D230" s="5" t="inlineStr">
        <is>
          <t>01 SITE CLEARANCE</t>
        </is>
      </c>
      <c r="E230" s="5" t="inlineStr">
        <is>
          <t>Drilling and blasting in open cut for bulk excavation excluding cost of excavation or trimming</t>
        </is>
      </c>
      <c r="F230" s="5" t="inlineStr">
        <is>
          <t>hard rock</t>
        </is>
      </c>
      <c r="G230" s="6" t="inlineStr">
        <is>
          <t>m</t>
        </is>
      </c>
      <c r="H230" s="7" t="n"/>
      <c r="I230" s="8" t="n">
        <v>0</v>
      </c>
      <c r="J230" s="8" t="n">
        <v>0</v>
      </c>
      <c r="K230" s="8" t="n">
        <v>0</v>
      </c>
      <c r="L230" s="8" t="n">
        <v>5.24</v>
      </c>
      <c r="M230" s="9">
        <f>ROUND(SUM(I230:L230),2)</f>
        <v/>
      </c>
      <c r="N230" s="10">
        <f>ROUND(I230*'Irish Basis'!$C$6*'Irish Basis'!$C$5,2)</f>
        <v/>
      </c>
      <c r="O230" s="10">
        <f>ROUND(J230*'Irish Basis'!$C$7*'Irish Basis'!$C$5,2)</f>
        <v/>
      </c>
      <c r="P230" s="10">
        <f>ROUND(K230*'Irish Basis'!$C$8*'Irish Basis'!$C$5,2)</f>
        <v/>
      </c>
      <c r="Q230" s="10">
        <f>ROUND(L230*'Irish Basis'!$C$12*'Irish Basis'!$C$5,2)</f>
        <v/>
      </c>
      <c r="R230" s="11">
        <f>ROUND(SUM(N230:Q230),2)</f>
        <v/>
      </c>
      <c r="S230" s="5" t="inlineStr">
        <is>
          <t>All-in specialist rate</t>
        </is>
      </c>
      <c r="T230" s="14" t="inlineStr">
        <is>
          <t>All-in (not split)</t>
        </is>
      </c>
      <c r="U230" s="8" t="n">
        <v>5.24</v>
      </c>
      <c r="V230" s="13">
        <f>IF(U230="","",ROUND(M230-U230,2))</f>
        <v/>
      </c>
      <c r="W230" s="5" t="n"/>
      <c r="X230" s="5" t="inlineStr">
        <is>
          <t>Source publishes a specialist/sub-contract all-in rate; no labour/plant/material build-up exists to derive from.</t>
        </is>
      </c>
    </row>
    <row r="231" ht="13" customHeight="1">
      <c r="A231" s="4" t="n">
        <v>443</v>
      </c>
      <c r="B231" s="5" t="inlineStr">
        <is>
          <t>IMG_0071</t>
        </is>
      </c>
      <c r="C231" s="5" t="inlineStr">
        <is>
          <t>CLASS D: DEMOLITION AND SITE CLEARANCE</t>
        </is>
      </c>
      <c r="D231" s="5" t="inlineStr">
        <is>
          <t>01 SITE CLEARANCE</t>
        </is>
      </c>
      <c r="E231" s="5" t="inlineStr">
        <is>
          <t>Drilling and blasting in open cut for bulk excavation excluding cost of excavation or trimming</t>
        </is>
      </c>
      <c r="F231" s="5" t="inlineStr">
        <is>
          <t>sandstone</t>
        </is>
      </c>
      <c r="G231" s="6" t="inlineStr">
        <is>
          <t>m</t>
        </is>
      </c>
      <c r="H231" s="7" t="n"/>
      <c r="I231" s="8" t="n">
        <v>0</v>
      </c>
      <c r="J231" s="8" t="n">
        <v>0</v>
      </c>
      <c r="K231" s="8" t="n">
        <v>0</v>
      </c>
      <c r="L231" s="8" t="n">
        <v>7.92</v>
      </c>
      <c r="M231" s="9">
        <f>ROUND(SUM(I231:L231),2)</f>
        <v/>
      </c>
      <c r="N231" s="10">
        <f>ROUND(I231*'Irish Basis'!$C$6*'Irish Basis'!$C$5,2)</f>
        <v/>
      </c>
      <c r="O231" s="10">
        <f>ROUND(J231*'Irish Basis'!$C$7*'Irish Basis'!$C$5,2)</f>
        <v/>
      </c>
      <c r="P231" s="10">
        <f>ROUND(K231*'Irish Basis'!$C$8*'Irish Basis'!$C$5,2)</f>
        <v/>
      </c>
      <c r="Q231" s="10">
        <f>ROUND(L231*'Irish Basis'!$C$12*'Irish Basis'!$C$5,2)</f>
        <v/>
      </c>
      <c r="R231" s="11">
        <f>ROUND(SUM(N231:Q231),2)</f>
        <v/>
      </c>
      <c r="S231" s="5" t="inlineStr">
        <is>
          <t>All-in specialist rate</t>
        </is>
      </c>
      <c r="T231" s="14" t="inlineStr">
        <is>
          <t>All-in (not split)</t>
        </is>
      </c>
      <c r="U231" s="8" t="n">
        <v>7.92</v>
      </c>
      <c r="V231" s="13">
        <f>IF(U231="","",ROUND(M231-U231,2))</f>
        <v/>
      </c>
      <c r="W231" s="5" t="n"/>
      <c r="X231" s="5" t="inlineStr">
        <is>
          <t>Source publishes a specialist/sub-contract all-in rate; no labour/plant/material build-up exists to derive from.</t>
        </is>
      </c>
    </row>
    <row r="232" ht="13" customHeight="1">
      <c r="A232" s="4" t="n">
        <v>445</v>
      </c>
      <c r="B232" s="5" t="inlineStr">
        <is>
          <t>IMG_0071</t>
        </is>
      </c>
      <c r="C232" s="5" t="inlineStr">
        <is>
          <t>CLASS D: DEMOLITION AND SITE CLEARANCE</t>
        </is>
      </c>
      <c r="D232" s="5" t="inlineStr">
        <is>
          <t>01 SITE CLEARANCE</t>
        </is>
      </c>
      <c r="E232" s="5" t="inlineStr">
        <is>
          <t>Drilling and blasting for quarry operations with face height exceeding 10 m</t>
        </is>
      </c>
      <c r="F232" s="5" t="inlineStr">
        <is>
          <t>hard rock</t>
        </is>
      </c>
      <c r="G232" s="6" t="inlineStr">
        <is>
          <t>m</t>
        </is>
      </c>
      <c r="H232" s="7" t="n"/>
      <c r="I232" s="8" t="n">
        <v>0</v>
      </c>
      <c r="J232" s="8" t="n">
        <v>0</v>
      </c>
      <c r="K232" s="8" t="n">
        <v>0</v>
      </c>
      <c r="L232" s="8" t="n">
        <v>5.5</v>
      </c>
      <c r="M232" s="9">
        <f>ROUND(SUM(I232:L232),2)</f>
        <v/>
      </c>
      <c r="N232" s="10">
        <f>ROUND(I232*'Irish Basis'!$C$6*'Irish Basis'!$C$5,2)</f>
        <v/>
      </c>
      <c r="O232" s="10">
        <f>ROUND(J232*'Irish Basis'!$C$7*'Irish Basis'!$C$5,2)</f>
        <v/>
      </c>
      <c r="P232" s="10">
        <f>ROUND(K232*'Irish Basis'!$C$8*'Irish Basis'!$C$5,2)</f>
        <v/>
      </c>
      <c r="Q232" s="10">
        <f>ROUND(L232*'Irish Basis'!$C$12*'Irish Basis'!$C$5,2)</f>
        <v/>
      </c>
      <c r="R232" s="11">
        <f>ROUND(SUM(N232:Q232),2)</f>
        <v/>
      </c>
      <c r="S232" s="5" t="inlineStr">
        <is>
          <t>All-in specialist rate</t>
        </is>
      </c>
      <c r="T232" s="14" t="inlineStr">
        <is>
          <t>All-in (not split)</t>
        </is>
      </c>
      <c r="U232" s="8" t="n">
        <v>5.5</v>
      </c>
      <c r="V232" s="13">
        <f>IF(U232="","",ROUND(M232-U232,2))</f>
        <v/>
      </c>
      <c r="W232" s="5" t="n"/>
      <c r="X232" s="5" t="inlineStr">
        <is>
          <t>Source publishes a specialist/sub-contract all-in rate; no labour/plant/material build-up exists to derive from.</t>
        </is>
      </c>
    </row>
    <row r="233" ht="13" customHeight="1">
      <c r="A233" s="4" t="n">
        <v>446</v>
      </c>
      <c r="B233" s="5" t="inlineStr">
        <is>
          <t>IMG_0071</t>
        </is>
      </c>
      <c r="C233" s="5" t="inlineStr">
        <is>
          <t>CLASS D: DEMOLITION AND SITE CLEARANCE</t>
        </is>
      </c>
      <c r="D233" s="5" t="inlineStr">
        <is>
          <t>01 SITE CLEARANCE</t>
        </is>
      </c>
      <c r="E233" s="5" t="inlineStr">
        <is>
          <t>Drilling and blasting for quarry operations with face height exceeding 10 m</t>
        </is>
      </c>
      <c r="F233" s="5" t="inlineStr">
        <is>
          <t>sandstone</t>
        </is>
      </c>
      <c r="G233" s="6" t="inlineStr">
        <is>
          <t>m</t>
        </is>
      </c>
      <c r="H233" s="7" t="n"/>
      <c r="I233" s="8" t="n">
        <v>0</v>
      </c>
      <c r="J233" s="8" t="n">
        <v>0</v>
      </c>
      <c r="K233" s="8" t="n">
        <v>0</v>
      </c>
      <c r="L233" s="8" t="n">
        <v>5.5</v>
      </c>
      <c r="M233" s="9">
        <f>ROUND(SUM(I233:L233),2)</f>
        <v/>
      </c>
      <c r="N233" s="10">
        <f>ROUND(I233*'Irish Basis'!$C$6*'Irish Basis'!$C$5,2)</f>
        <v/>
      </c>
      <c r="O233" s="10">
        <f>ROUND(J233*'Irish Basis'!$C$7*'Irish Basis'!$C$5,2)</f>
        <v/>
      </c>
      <c r="P233" s="10">
        <f>ROUND(K233*'Irish Basis'!$C$8*'Irish Basis'!$C$5,2)</f>
        <v/>
      </c>
      <c r="Q233" s="10">
        <f>ROUND(L233*'Irish Basis'!$C$12*'Irish Basis'!$C$5,2)</f>
        <v/>
      </c>
      <c r="R233" s="11">
        <f>ROUND(SUM(N233:Q233),2)</f>
        <v/>
      </c>
      <c r="S233" s="5" t="inlineStr">
        <is>
          <t>All-in specialist rate</t>
        </is>
      </c>
      <c r="T233" s="14" t="inlineStr">
        <is>
          <t>All-in (not split)</t>
        </is>
      </c>
      <c r="U233" s="8" t="n">
        <v>5.5</v>
      </c>
      <c r="V233" s="13">
        <f>IF(U233="","",ROUND(M233-U233,2))</f>
        <v/>
      </c>
      <c r="W233" s="5" t="n"/>
      <c r="X233" s="5" t="inlineStr">
        <is>
          <t>Source publishes a specialist/sub-contract all-in rate; no labour/plant/material build-up exists to derive from.</t>
        </is>
      </c>
    </row>
    <row r="234" ht="13" customHeight="1">
      <c r="A234" s="4" t="n">
        <v>448</v>
      </c>
      <c r="B234" s="5" t="inlineStr">
        <is>
          <t>IMG_0071</t>
        </is>
      </c>
      <c r="C234" s="5" t="inlineStr">
        <is>
          <t>CLASS D: DEMOLITION AND SITE CLEARANCE</t>
        </is>
      </c>
      <c r="D234" s="5" t="inlineStr">
        <is>
          <t>01 SITE CLEARANCE</t>
        </is>
      </c>
      <c r="E234" s="5" t="inlineStr">
        <is>
          <t>Drilling and blasting in trenches excluding cost of excavation or trimming</t>
        </is>
      </c>
      <c r="F234" s="5" t="inlineStr">
        <is>
          <t>trench width ne 1.0 m</t>
        </is>
      </c>
      <c r="G234" s="6" t="inlineStr">
        <is>
          <t>m</t>
        </is>
      </c>
      <c r="H234" s="7" t="n"/>
      <c r="I234" s="8" t="n">
        <v>0</v>
      </c>
      <c r="J234" s="8" t="n">
        <v>0</v>
      </c>
      <c r="K234" s="8" t="n">
        <v>0</v>
      </c>
      <c r="L234" s="8" t="n">
        <v>43.72</v>
      </c>
      <c r="M234" s="9">
        <f>ROUND(SUM(I234:L234),2)</f>
        <v/>
      </c>
      <c r="N234" s="10">
        <f>ROUND(I234*'Irish Basis'!$C$6*'Irish Basis'!$C$5,2)</f>
        <v/>
      </c>
      <c r="O234" s="10">
        <f>ROUND(J234*'Irish Basis'!$C$7*'Irish Basis'!$C$5,2)</f>
        <v/>
      </c>
      <c r="P234" s="10">
        <f>ROUND(K234*'Irish Basis'!$C$8*'Irish Basis'!$C$5,2)</f>
        <v/>
      </c>
      <c r="Q234" s="10">
        <f>ROUND(L234*'Irish Basis'!$C$12*'Irish Basis'!$C$5,2)</f>
        <v/>
      </c>
      <c r="R234" s="11">
        <f>ROUND(SUM(N234:Q234),2)</f>
        <v/>
      </c>
      <c r="S234" s="5" t="inlineStr">
        <is>
          <t>All-in specialist rate</t>
        </is>
      </c>
      <c r="T234" s="14" t="inlineStr">
        <is>
          <t>All-in (not split)</t>
        </is>
      </c>
      <c r="U234" s="8" t="n">
        <v>43.72</v>
      </c>
      <c r="V234" s="13">
        <f>IF(U234="","",ROUND(M234-U234,2))</f>
        <v/>
      </c>
      <c r="W234" s="5" t="n"/>
      <c r="X234" s="5" t="inlineStr">
        <is>
          <t>Source publishes a specialist/sub-contract all-in rate; no labour/plant/material build-up exists to derive from.</t>
        </is>
      </c>
    </row>
    <row r="235" ht="13" customHeight="1">
      <c r="A235" s="4" t="n">
        <v>449</v>
      </c>
      <c r="B235" s="5" t="inlineStr">
        <is>
          <t>IMG_0071</t>
        </is>
      </c>
      <c r="C235" s="5" t="inlineStr">
        <is>
          <t>CLASS D: DEMOLITION AND SITE CLEARANCE</t>
        </is>
      </c>
      <c r="D235" s="5" t="inlineStr">
        <is>
          <t>01 SITE CLEARANCE</t>
        </is>
      </c>
      <c r="E235" s="5" t="inlineStr">
        <is>
          <t>Drilling and blasting in trenches excluding cost of excavation or trimming</t>
        </is>
      </c>
      <c r="F235" s="5" t="inlineStr">
        <is>
          <t>trench width 1.0-1.5 m</t>
        </is>
      </c>
      <c r="G235" s="6" t="inlineStr">
        <is>
          <t>m</t>
        </is>
      </c>
      <c r="H235" s="7" t="n"/>
      <c r="I235" s="8" t="n">
        <v>0</v>
      </c>
      <c r="J235" s="8" t="n">
        <v>0</v>
      </c>
      <c r="K235" s="8" t="n">
        <v>0</v>
      </c>
      <c r="L235" s="8" t="n">
        <v>38.22</v>
      </c>
      <c r="M235" s="9">
        <f>ROUND(SUM(I235:L235),2)</f>
        <v/>
      </c>
      <c r="N235" s="10">
        <f>ROUND(I235*'Irish Basis'!$C$6*'Irish Basis'!$C$5,2)</f>
        <v/>
      </c>
      <c r="O235" s="10">
        <f>ROUND(J235*'Irish Basis'!$C$7*'Irish Basis'!$C$5,2)</f>
        <v/>
      </c>
      <c r="P235" s="10">
        <f>ROUND(K235*'Irish Basis'!$C$8*'Irish Basis'!$C$5,2)</f>
        <v/>
      </c>
      <c r="Q235" s="10">
        <f>ROUND(L235*'Irish Basis'!$C$12*'Irish Basis'!$C$5,2)</f>
        <v/>
      </c>
      <c r="R235" s="11">
        <f>ROUND(SUM(N235:Q235),2)</f>
        <v/>
      </c>
      <c r="S235" s="5" t="inlineStr">
        <is>
          <t>All-in specialist rate</t>
        </is>
      </c>
      <c r="T235" s="14" t="inlineStr">
        <is>
          <t>All-in (not split)</t>
        </is>
      </c>
      <c r="U235" s="8" t="n">
        <v>38.22</v>
      </c>
      <c r="V235" s="13">
        <f>IF(U235="","",ROUND(M235-U235,2))</f>
        <v/>
      </c>
      <c r="W235" s="5" t="n"/>
      <c r="X235" s="5" t="inlineStr">
        <is>
          <t>Source publishes a specialist/sub-contract all-in rate; no labour/plant/material build-up exists to derive from.</t>
        </is>
      </c>
    </row>
    <row r="236" ht="13" customHeight="1">
      <c r="A236" s="4" t="n">
        <v>450</v>
      </c>
      <c r="B236" s="5" t="inlineStr">
        <is>
          <t>IMG_0071</t>
        </is>
      </c>
      <c r="C236" s="5" t="inlineStr">
        <is>
          <t>CLASS D: DEMOLITION AND SITE CLEARANCE</t>
        </is>
      </c>
      <c r="D236" s="5" t="inlineStr">
        <is>
          <t>01 SITE CLEARANCE</t>
        </is>
      </c>
      <c r="E236" s="5" t="inlineStr">
        <is>
          <t>Drilling and blasting in trenches excluding cost of excavation or trimming</t>
        </is>
      </c>
      <c r="F236" s="5" t="inlineStr">
        <is>
          <t>trench width over 1.5 m</t>
        </is>
      </c>
      <c r="G236" s="6" t="inlineStr">
        <is>
          <t>m</t>
        </is>
      </c>
      <c r="H236" s="7" t="n"/>
      <c r="I236" s="8" t="n">
        <v>0</v>
      </c>
      <c r="J236" s="8" t="n">
        <v>0</v>
      </c>
      <c r="K236" s="8" t="n">
        <v>0</v>
      </c>
      <c r="L236" s="8" t="n">
        <v>32.12</v>
      </c>
      <c r="M236" s="9">
        <f>ROUND(SUM(I236:L236),2)</f>
        <v/>
      </c>
      <c r="N236" s="10">
        <f>ROUND(I236*'Irish Basis'!$C$6*'Irish Basis'!$C$5,2)</f>
        <v/>
      </c>
      <c r="O236" s="10">
        <f>ROUND(J236*'Irish Basis'!$C$7*'Irish Basis'!$C$5,2)</f>
        <v/>
      </c>
      <c r="P236" s="10">
        <f>ROUND(K236*'Irish Basis'!$C$8*'Irish Basis'!$C$5,2)</f>
        <v/>
      </c>
      <c r="Q236" s="10">
        <f>ROUND(L236*'Irish Basis'!$C$12*'Irish Basis'!$C$5,2)</f>
        <v/>
      </c>
      <c r="R236" s="11">
        <f>ROUND(SUM(N236:Q236),2)</f>
        <v/>
      </c>
      <c r="S236" s="5" t="inlineStr">
        <is>
          <t>All-in specialist rate</t>
        </is>
      </c>
      <c r="T236" s="14" t="inlineStr">
        <is>
          <t>All-in (not split)</t>
        </is>
      </c>
      <c r="U236" s="8" t="n">
        <v>32.12</v>
      </c>
      <c r="V236" s="13">
        <f>IF(U236="","",ROUND(M236-U236,2))</f>
        <v/>
      </c>
      <c r="W236" s="5" t="n"/>
      <c r="X236" s="5" t="inlineStr">
        <is>
          <t>Source publishes a specialist/sub-contract all-in rate; no labour/plant/material build-up exists to derive from.</t>
        </is>
      </c>
    </row>
    <row r="237" ht="13" customHeight="1">
      <c r="A237" s="4" t="n">
        <v>452</v>
      </c>
      <c r="B237" s="5" t="inlineStr">
        <is>
          <t>IMG_0071</t>
        </is>
      </c>
      <c r="C237" s="5" t="inlineStr">
        <is>
          <t>CLASS D: DEMOLITION AND SITE CLEARANCE</t>
        </is>
      </c>
      <c r="D237" s="5" t="inlineStr">
        <is>
          <t>01 SITE CLEARANCE</t>
        </is>
      </c>
      <c r="E237" s="5" t="inlineStr">
        <is>
          <t>Secondary blasting to boulders</t>
        </is>
      </c>
      <c r="F237" s="5" t="inlineStr">
        <is>
          <t>pop shooting</t>
        </is>
      </c>
      <c r="G237" s="6" t="inlineStr">
        <is>
          <t>m</t>
        </is>
      </c>
      <c r="H237" s="7" t="n"/>
      <c r="I237" s="8" t="n">
        <v>0</v>
      </c>
      <c r="J237" s="8" t="n">
        <v>0</v>
      </c>
      <c r="K237" s="8" t="n">
        <v>0</v>
      </c>
      <c r="L237" s="8" t="n">
        <v>13.77</v>
      </c>
      <c r="M237" s="9">
        <f>ROUND(SUM(I237:L237),2)</f>
        <v/>
      </c>
      <c r="N237" s="10">
        <f>ROUND(I237*'Irish Basis'!$C$6*'Irish Basis'!$C$5,2)</f>
        <v/>
      </c>
      <c r="O237" s="10">
        <f>ROUND(J237*'Irish Basis'!$C$7*'Irish Basis'!$C$5,2)</f>
        <v/>
      </c>
      <c r="P237" s="10">
        <f>ROUND(K237*'Irish Basis'!$C$8*'Irish Basis'!$C$5,2)</f>
        <v/>
      </c>
      <c r="Q237" s="10">
        <f>ROUND(L237*'Irish Basis'!$C$12*'Irish Basis'!$C$5,2)</f>
        <v/>
      </c>
      <c r="R237" s="11">
        <f>ROUND(SUM(N237:Q237),2)</f>
        <v/>
      </c>
      <c r="S237" s="5" t="inlineStr">
        <is>
          <t>All-in specialist rate</t>
        </is>
      </c>
      <c r="T237" s="14" t="inlineStr">
        <is>
          <t>All-in (not split)</t>
        </is>
      </c>
      <c r="U237" s="8" t="n">
        <v>13.77</v>
      </c>
      <c r="V237" s="13">
        <f>IF(U237="","",ROUND(M237-U237,2))</f>
        <v/>
      </c>
      <c r="W237" s="5" t="n"/>
      <c r="X237" s="5" t="inlineStr">
        <is>
          <t>Source publishes a specialist/sub-contract all-in rate; no labour/plant/material build-up exists to derive from.</t>
        </is>
      </c>
    </row>
    <row r="238" ht="13" customHeight="1">
      <c r="A238" s="4" t="n">
        <v>453</v>
      </c>
      <c r="B238" s="5" t="inlineStr">
        <is>
          <t>IMG_0071</t>
        </is>
      </c>
      <c r="C238" s="5" t="inlineStr">
        <is>
          <t>CLASS D: DEMOLITION AND SITE CLEARANCE</t>
        </is>
      </c>
      <c r="D238" s="5" t="inlineStr">
        <is>
          <t>01 SITE CLEARANCE</t>
        </is>
      </c>
      <c r="E238" s="5" t="inlineStr">
        <is>
          <t>Secondary blasting to boulders</t>
        </is>
      </c>
      <c r="F238" s="5" t="inlineStr">
        <is>
          <t>plaster shooting</t>
        </is>
      </c>
      <c r="G238" s="6" t="inlineStr">
        <is>
          <t>m</t>
        </is>
      </c>
      <c r="H238" s="7" t="n"/>
      <c r="I238" s="8" t="n">
        <v>0</v>
      </c>
      <c r="J238" s="8" t="n">
        <v>0</v>
      </c>
      <c r="K238" s="8" t="n">
        <v>0</v>
      </c>
      <c r="L238" s="8" t="n">
        <v>7.36</v>
      </c>
      <c r="M238" s="9">
        <f>ROUND(SUM(I238:L238),2)</f>
        <v/>
      </c>
      <c r="N238" s="10">
        <f>ROUND(I238*'Irish Basis'!$C$6*'Irish Basis'!$C$5,2)</f>
        <v/>
      </c>
      <c r="O238" s="10">
        <f>ROUND(J238*'Irish Basis'!$C$7*'Irish Basis'!$C$5,2)</f>
        <v/>
      </c>
      <c r="P238" s="10">
        <f>ROUND(K238*'Irish Basis'!$C$8*'Irish Basis'!$C$5,2)</f>
        <v/>
      </c>
      <c r="Q238" s="10">
        <f>ROUND(L238*'Irish Basis'!$C$12*'Irish Basis'!$C$5,2)</f>
        <v/>
      </c>
      <c r="R238" s="11">
        <f>ROUND(SUM(N238:Q238),2)</f>
        <v/>
      </c>
      <c r="S238" s="5" t="inlineStr">
        <is>
          <t>All-in specialist rate</t>
        </is>
      </c>
      <c r="T238" s="14" t="inlineStr">
        <is>
          <t>All-in (not split)</t>
        </is>
      </c>
      <c r="U238" s="8" t="n">
        <v>7.36</v>
      </c>
      <c r="V238" s="13">
        <f>IF(U238="","",ROUND(M238-U238,2))</f>
        <v/>
      </c>
      <c r="W238" s="5" t="n"/>
      <c r="X238" s="5" t="inlineStr">
        <is>
          <t>Source publishes a specialist/sub-contract all-in rate; no labour/plant/material build-up exists to derive from.</t>
        </is>
      </c>
    </row>
    <row r="239" ht="13" customHeight="1">
      <c r="A239" s="4" t="n">
        <v>457</v>
      </c>
      <c r="B239" s="5" t="inlineStr">
        <is>
          <t>IMG_0071</t>
        </is>
      </c>
      <c r="C239" s="5" t="inlineStr">
        <is>
          <t>CLASS D: DEMOLITION AND SITE CLEARANCE</t>
        </is>
      </c>
      <c r="D239" s="5" t="inlineStr">
        <is>
          <t>02 TREES</t>
        </is>
      </c>
      <c r="E239" s="5" t="inlineStr">
        <is>
          <t>Remove trees</t>
        </is>
      </c>
      <c r="F239" s="5" t="inlineStr">
        <is>
          <t>girth 500 mm-1 m</t>
        </is>
      </c>
      <c r="G239" s="6" t="inlineStr">
        <is>
          <t>nr</t>
        </is>
      </c>
      <c r="H239" s="7" t="n"/>
      <c r="I239" s="8" t="n">
        <v>0</v>
      </c>
      <c r="J239" s="8" t="n">
        <v>0</v>
      </c>
      <c r="K239" s="8" t="n">
        <v>0</v>
      </c>
      <c r="L239" s="8" t="n">
        <v>67.23999999999999</v>
      </c>
      <c r="M239" s="9">
        <f>ROUND(SUM(I239:L239),2)</f>
        <v/>
      </c>
      <c r="N239" s="10">
        <f>ROUND(I239*'Irish Basis'!$C$6*'Irish Basis'!$C$5,2)</f>
        <v/>
      </c>
      <c r="O239" s="10">
        <f>ROUND(J239*'Irish Basis'!$C$7*'Irish Basis'!$C$5,2)</f>
        <v/>
      </c>
      <c r="P239" s="10">
        <f>ROUND(K239*'Irish Basis'!$C$8*'Irish Basis'!$C$5,2)</f>
        <v/>
      </c>
      <c r="Q239" s="10">
        <f>ROUND(L239*'Irish Basis'!$C$12*'Irish Basis'!$C$5,2)</f>
        <v/>
      </c>
      <c r="R239" s="11">
        <f>ROUND(SUM(N239:Q239),2)</f>
        <v/>
      </c>
      <c r="S239" s="5" t="inlineStr">
        <is>
          <t>All-in specialist rate</t>
        </is>
      </c>
      <c r="T239" s="14" t="inlineStr">
        <is>
          <t>All-in (not split)</t>
        </is>
      </c>
      <c r="U239" s="8" t="n">
        <v>67.23999999999999</v>
      </c>
      <c r="V239" s="13">
        <f>IF(U239="","",ROUND(M239-U239,2))</f>
        <v/>
      </c>
      <c r="W239" s="5" t="n"/>
      <c r="X239" s="5" t="inlineStr">
        <is>
          <t>Source publishes a specialist/sub-contract all-in rate; no labour/plant/material build-up exists to derive from.</t>
        </is>
      </c>
    </row>
    <row r="240" ht="13" customHeight="1">
      <c r="A240" s="4" t="n">
        <v>458</v>
      </c>
      <c r="B240" s="5" t="inlineStr">
        <is>
          <t>IMG_0071</t>
        </is>
      </c>
      <c r="C240" s="5" t="inlineStr">
        <is>
          <t>CLASS D: DEMOLITION AND SITE CLEARANCE</t>
        </is>
      </c>
      <c r="D240" s="5" t="inlineStr">
        <is>
          <t>02 TREES</t>
        </is>
      </c>
      <c r="E240" s="5" t="inlineStr">
        <is>
          <t>Remove trees</t>
        </is>
      </c>
      <c r="F240" s="5" t="inlineStr">
        <is>
          <t>girth 1-2 m</t>
        </is>
      </c>
      <c r="G240" s="6" t="inlineStr">
        <is>
          <t>nr</t>
        </is>
      </c>
      <c r="H240" s="7" t="n"/>
      <c r="I240" s="8" t="n">
        <v>0</v>
      </c>
      <c r="J240" s="8" t="n">
        <v>0</v>
      </c>
      <c r="K240" s="8" t="n">
        <v>0</v>
      </c>
      <c r="L240" s="8" t="n">
        <v>114.19</v>
      </c>
      <c r="M240" s="9">
        <f>ROUND(SUM(I240:L240),2)</f>
        <v/>
      </c>
      <c r="N240" s="10">
        <f>ROUND(I240*'Irish Basis'!$C$6*'Irish Basis'!$C$5,2)</f>
        <v/>
      </c>
      <c r="O240" s="10">
        <f>ROUND(J240*'Irish Basis'!$C$7*'Irish Basis'!$C$5,2)</f>
        <v/>
      </c>
      <c r="P240" s="10">
        <f>ROUND(K240*'Irish Basis'!$C$8*'Irish Basis'!$C$5,2)</f>
        <v/>
      </c>
      <c r="Q240" s="10">
        <f>ROUND(L240*'Irish Basis'!$C$12*'Irish Basis'!$C$5,2)</f>
        <v/>
      </c>
      <c r="R240" s="11">
        <f>ROUND(SUM(N240:Q240),2)</f>
        <v/>
      </c>
      <c r="S240" s="5" t="inlineStr">
        <is>
          <t>All-in specialist rate</t>
        </is>
      </c>
      <c r="T240" s="14" t="inlineStr">
        <is>
          <t>All-in (not split)</t>
        </is>
      </c>
      <c r="U240" s="8" t="n">
        <v>114.19</v>
      </c>
      <c r="V240" s="13">
        <f>IF(U240="","",ROUND(M240-U240,2))</f>
        <v/>
      </c>
      <c r="W240" s="5" t="n"/>
      <c r="X240" s="5" t="inlineStr">
        <is>
          <t>Source publishes a specialist/sub-contract all-in rate; no labour/plant/material build-up exists to derive from.</t>
        </is>
      </c>
    </row>
    <row r="241" ht="13" customHeight="1">
      <c r="A241" s="4" t="n">
        <v>459</v>
      </c>
      <c r="B241" s="5" t="inlineStr">
        <is>
          <t>IMG_0071</t>
        </is>
      </c>
      <c r="C241" s="5" t="inlineStr">
        <is>
          <t>CLASS D: DEMOLITION AND SITE CLEARANCE</t>
        </is>
      </c>
      <c r="D241" s="5" t="inlineStr">
        <is>
          <t>02 TREES</t>
        </is>
      </c>
      <c r="E241" s="5" t="inlineStr">
        <is>
          <t>Remove trees</t>
        </is>
      </c>
      <c r="F241" s="5" t="inlineStr">
        <is>
          <t>girth 2-3 m</t>
        </is>
      </c>
      <c r="G241" s="6" t="inlineStr">
        <is>
          <t>nr</t>
        </is>
      </c>
      <c r="H241" s="7" t="n"/>
      <c r="I241" s="8" t="n">
        <v>0</v>
      </c>
      <c r="J241" s="8" t="n">
        <v>0</v>
      </c>
      <c r="K241" s="8" t="n">
        <v>0</v>
      </c>
      <c r="L241" s="8" t="n">
        <v>395.85</v>
      </c>
      <c r="M241" s="9">
        <f>ROUND(SUM(I241:L241),2)</f>
        <v/>
      </c>
      <c r="N241" s="10">
        <f>ROUND(I241*'Irish Basis'!$C$6*'Irish Basis'!$C$5,2)</f>
        <v/>
      </c>
      <c r="O241" s="10">
        <f>ROUND(J241*'Irish Basis'!$C$7*'Irish Basis'!$C$5,2)</f>
        <v/>
      </c>
      <c r="P241" s="10">
        <f>ROUND(K241*'Irish Basis'!$C$8*'Irish Basis'!$C$5,2)</f>
        <v/>
      </c>
      <c r="Q241" s="10">
        <f>ROUND(L241*'Irish Basis'!$C$12*'Irish Basis'!$C$5,2)</f>
        <v/>
      </c>
      <c r="R241" s="11">
        <f>ROUND(SUM(N241:Q241),2)</f>
        <v/>
      </c>
      <c r="S241" s="5" t="inlineStr">
        <is>
          <t>All-in specialist rate</t>
        </is>
      </c>
      <c r="T241" s="14" t="inlineStr">
        <is>
          <t>All-in (not split)</t>
        </is>
      </c>
      <c r="U241" s="8" t="n">
        <v>395.85</v>
      </c>
      <c r="V241" s="13">
        <f>IF(U241="","",ROUND(M241-U241,2))</f>
        <v/>
      </c>
      <c r="W241" s="5" t="n"/>
      <c r="X241" s="5" t="inlineStr">
        <is>
          <t>Source publishes a specialist/sub-contract all-in rate; no labour/plant/material build-up exists to derive from.</t>
        </is>
      </c>
    </row>
    <row r="242" ht="13" customHeight="1">
      <c r="A242" s="4" t="n">
        <v>460</v>
      </c>
      <c r="B242" s="5" t="inlineStr">
        <is>
          <t>IMG_0071</t>
        </is>
      </c>
      <c r="C242" s="5" t="inlineStr">
        <is>
          <t>CLASS D: DEMOLITION AND SITE CLEARANCE</t>
        </is>
      </c>
      <c r="D242" s="5" t="inlineStr">
        <is>
          <t>02 TREES</t>
        </is>
      </c>
      <c r="E242" s="5" t="inlineStr">
        <is>
          <t>Remove trees</t>
        </is>
      </c>
      <c r="F242" s="5" t="inlineStr">
        <is>
          <t>girth 3-5 m</t>
        </is>
      </c>
      <c r="G242" s="6" t="inlineStr">
        <is>
          <t>nr</t>
        </is>
      </c>
      <c r="H242" s="7" t="n"/>
      <c r="I242" s="8" t="n">
        <v>0</v>
      </c>
      <c r="J242" s="8" t="n">
        <v>0</v>
      </c>
      <c r="K242" s="8" t="n">
        <v>0</v>
      </c>
      <c r="L242" s="8" t="n">
        <v>1433.69</v>
      </c>
      <c r="M242" s="9">
        <f>ROUND(SUM(I242:L242),2)</f>
        <v/>
      </c>
      <c r="N242" s="10">
        <f>ROUND(I242*'Irish Basis'!$C$6*'Irish Basis'!$C$5,2)</f>
        <v/>
      </c>
      <c r="O242" s="10">
        <f>ROUND(J242*'Irish Basis'!$C$7*'Irish Basis'!$C$5,2)</f>
        <v/>
      </c>
      <c r="P242" s="10">
        <f>ROUND(K242*'Irish Basis'!$C$8*'Irish Basis'!$C$5,2)</f>
        <v/>
      </c>
      <c r="Q242" s="10">
        <f>ROUND(L242*'Irish Basis'!$C$12*'Irish Basis'!$C$5,2)</f>
        <v/>
      </c>
      <c r="R242" s="11">
        <f>ROUND(SUM(N242:Q242),2)</f>
        <v/>
      </c>
      <c r="S242" s="5" t="inlineStr">
        <is>
          <t>All-in specialist rate</t>
        </is>
      </c>
      <c r="T242" s="14" t="inlineStr">
        <is>
          <t>All-in (not split)</t>
        </is>
      </c>
      <c r="U242" s="8" t="n">
        <v>1433.69</v>
      </c>
      <c r="V242" s="13">
        <f>IF(U242="","",ROUND(M242-U242,2))</f>
        <v/>
      </c>
      <c r="W242" s="5" t="n"/>
      <c r="X242" s="5" t="inlineStr">
        <is>
          <t>Source publishes a specialist/sub-contract all-in rate; no labour/plant/material build-up exists to derive from.</t>
        </is>
      </c>
    </row>
    <row r="243" ht="13" customHeight="1">
      <c r="A243" s="4" t="n">
        <v>461</v>
      </c>
      <c r="B243" s="5" t="inlineStr">
        <is>
          <t>IMG_0071</t>
        </is>
      </c>
      <c r="C243" s="5" t="inlineStr">
        <is>
          <t>CLASS D: DEMOLITION AND SITE CLEARANCE</t>
        </is>
      </c>
      <c r="D243" s="5" t="inlineStr">
        <is>
          <t>02 TREES</t>
        </is>
      </c>
      <c r="E243" s="5" t="inlineStr">
        <is>
          <t>Remove trees</t>
        </is>
      </c>
      <c r="F243" s="5" t="inlineStr">
        <is>
          <t>girth 7 m</t>
        </is>
      </c>
      <c r="G243" s="6" t="inlineStr">
        <is>
          <t>nr</t>
        </is>
      </c>
      <c r="H243" s="7" t="n"/>
      <c r="I243" s="8" t="n">
        <v>0</v>
      </c>
      <c r="J243" s="8" t="n">
        <v>0</v>
      </c>
      <c r="K243" s="8" t="n">
        <v>0</v>
      </c>
      <c r="L243" s="8" t="n">
        <v>2009.71</v>
      </c>
      <c r="M243" s="9">
        <f>ROUND(SUM(I243:L243),2)</f>
        <v/>
      </c>
      <c r="N243" s="10">
        <f>ROUND(I243*'Irish Basis'!$C$6*'Irish Basis'!$C$5,2)</f>
        <v/>
      </c>
      <c r="O243" s="10">
        <f>ROUND(J243*'Irish Basis'!$C$7*'Irish Basis'!$C$5,2)</f>
        <v/>
      </c>
      <c r="P243" s="10">
        <f>ROUND(K243*'Irish Basis'!$C$8*'Irish Basis'!$C$5,2)</f>
        <v/>
      </c>
      <c r="Q243" s="10">
        <f>ROUND(L243*'Irish Basis'!$C$12*'Irish Basis'!$C$5,2)</f>
        <v/>
      </c>
      <c r="R243" s="11">
        <f>ROUND(SUM(N243:Q243),2)</f>
        <v/>
      </c>
      <c r="S243" s="5" t="inlineStr">
        <is>
          <t>All-in specialist rate</t>
        </is>
      </c>
      <c r="T243" s="14" t="inlineStr">
        <is>
          <t>All-in (not split)</t>
        </is>
      </c>
      <c r="U243" s="8" t="n">
        <v>2009.71</v>
      </c>
      <c r="V243" s="13">
        <f>IF(U243="","",ROUND(M243-U243,2))</f>
        <v/>
      </c>
      <c r="W243" s="5" t="n"/>
      <c r="X243" s="5" t="inlineStr">
        <is>
          <t>Source publishes a specialist/sub-contract all-in rate; no labour/plant/material build-up exists to derive from.</t>
        </is>
      </c>
    </row>
    <row r="244" ht="13" customHeight="1">
      <c r="A244" s="4" t="n">
        <v>464</v>
      </c>
      <c r="B244" s="5" t="inlineStr">
        <is>
          <t>IMG_0071</t>
        </is>
      </c>
      <c r="C244" s="5" t="inlineStr">
        <is>
          <t>CLASS D: DEMOLITION AND SITE CLEARANCE</t>
        </is>
      </c>
      <c r="D244" s="5" t="inlineStr">
        <is>
          <t>03 STUMPS</t>
        </is>
      </c>
      <c r="E244" s="5" t="inlineStr">
        <is>
          <t>Remove stumps and cart away; Clearance of stumps</t>
        </is>
      </c>
      <c r="F244" s="5" t="inlineStr">
        <is>
          <t>dia. 150-500 mm</t>
        </is>
      </c>
      <c r="G244" s="6" t="inlineStr">
        <is>
          <t>nr</t>
        </is>
      </c>
      <c r="H244" s="7" t="n"/>
      <c r="I244" s="8" t="n">
        <v>0</v>
      </c>
      <c r="J244" s="8" t="n">
        <v>0</v>
      </c>
      <c r="K244" s="8" t="n">
        <v>0</v>
      </c>
      <c r="L244" s="8" t="n">
        <v>69.84</v>
      </c>
      <c r="M244" s="9">
        <f>ROUND(SUM(I244:L244),2)</f>
        <v/>
      </c>
      <c r="N244" s="10">
        <f>ROUND(I244*'Irish Basis'!$C$6*'Irish Basis'!$C$5,2)</f>
        <v/>
      </c>
      <c r="O244" s="10">
        <f>ROUND(J244*'Irish Basis'!$C$7*'Irish Basis'!$C$5,2)</f>
        <v/>
      </c>
      <c r="P244" s="10">
        <f>ROUND(K244*'Irish Basis'!$C$8*'Irish Basis'!$C$5,2)</f>
        <v/>
      </c>
      <c r="Q244" s="10">
        <f>ROUND(L244*'Irish Basis'!$C$12*'Irish Basis'!$C$5,2)</f>
        <v/>
      </c>
      <c r="R244" s="11">
        <f>ROUND(SUM(N244:Q244),2)</f>
        <v/>
      </c>
      <c r="S244" s="5" t="inlineStr">
        <is>
          <t>All-in specialist rate</t>
        </is>
      </c>
      <c r="T244" s="14" t="inlineStr">
        <is>
          <t>All-in (not split)</t>
        </is>
      </c>
      <c r="U244" s="8" t="n">
        <v>69.84</v>
      </c>
      <c r="V244" s="13">
        <f>IF(U244="","",ROUND(M244-U244,2))</f>
        <v/>
      </c>
      <c r="W244" s="5" t="n"/>
      <c r="X244" s="5" t="inlineStr">
        <is>
          <t>Source publishes a specialist/sub-contract all-in rate; no labour/plant/material build-up exists to derive from.</t>
        </is>
      </c>
    </row>
    <row r="245" ht="13" customHeight="1">
      <c r="A245" s="4" t="n">
        <v>465</v>
      </c>
      <c r="B245" s="5" t="inlineStr">
        <is>
          <t>IMG_0071</t>
        </is>
      </c>
      <c r="C245" s="5" t="inlineStr">
        <is>
          <t>CLASS D: DEMOLITION AND SITE CLEARANCE</t>
        </is>
      </c>
      <c r="D245" s="5" t="inlineStr">
        <is>
          <t>03 STUMPS</t>
        </is>
      </c>
      <c r="E245" s="5" t="inlineStr">
        <is>
          <t>Remove stumps and cart away; Clearance of stumps</t>
        </is>
      </c>
      <c r="F245" s="5" t="inlineStr">
        <is>
          <t>dia. 500 mm-1 m</t>
        </is>
      </c>
      <c r="G245" s="6" t="inlineStr">
        <is>
          <t>nr</t>
        </is>
      </c>
      <c r="H245" s="7" t="n"/>
      <c r="I245" s="8" t="n">
        <v>0</v>
      </c>
      <c r="J245" s="8" t="n">
        <v>0</v>
      </c>
      <c r="K245" s="8" t="n">
        <v>0</v>
      </c>
      <c r="L245" s="8" t="n">
        <v>131.93</v>
      </c>
      <c r="M245" s="9">
        <f>ROUND(SUM(I245:L245),2)</f>
        <v/>
      </c>
      <c r="N245" s="10">
        <f>ROUND(I245*'Irish Basis'!$C$6*'Irish Basis'!$C$5,2)</f>
        <v/>
      </c>
      <c r="O245" s="10">
        <f>ROUND(J245*'Irish Basis'!$C$7*'Irish Basis'!$C$5,2)</f>
        <v/>
      </c>
      <c r="P245" s="10">
        <f>ROUND(K245*'Irish Basis'!$C$8*'Irish Basis'!$C$5,2)</f>
        <v/>
      </c>
      <c r="Q245" s="10">
        <f>ROUND(L245*'Irish Basis'!$C$12*'Irish Basis'!$C$5,2)</f>
        <v/>
      </c>
      <c r="R245" s="11">
        <f>ROUND(SUM(N245:Q245),2)</f>
        <v/>
      </c>
      <c r="S245" s="5" t="inlineStr">
        <is>
          <t>All-in specialist rate</t>
        </is>
      </c>
      <c r="T245" s="14" t="inlineStr">
        <is>
          <t>All-in (not split)</t>
        </is>
      </c>
      <c r="U245" s="8" t="n">
        <v>131.93</v>
      </c>
      <c r="V245" s="13">
        <f>IF(U245="","",ROUND(M245-U245,2))</f>
        <v/>
      </c>
      <c r="W245" s="5" t="n"/>
      <c r="X245" s="5" t="inlineStr">
        <is>
          <t>Source publishes a specialist/sub-contract all-in rate; no labour/plant/material build-up exists to derive from.</t>
        </is>
      </c>
    </row>
    <row r="246" ht="13" customHeight="1">
      <c r="A246" s="4" t="n">
        <v>466</v>
      </c>
      <c r="B246" s="5" t="inlineStr">
        <is>
          <t>IMG_0071</t>
        </is>
      </c>
      <c r="C246" s="5" t="inlineStr">
        <is>
          <t>CLASS D: DEMOLITION AND SITE CLEARANCE</t>
        </is>
      </c>
      <c r="D246" s="5" t="inlineStr">
        <is>
          <t>03 STUMPS</t>
        </is>
      </c>
      <c r="E246" s="5" t="inlineStr">
        <is>
          <t>Remove stumps and cart away; Clearance of stumps</t>
        </is>
      </c>
      <c r="F246" s="5" t="inlineStr">
        <is>
          <t>dia. 2 m</t>
        </is>
      </c>
      <c r="G246" s="6" t="inlineStr">
        <is>
          <t>nr</t>
        </is>
      </c>
      <c r="H246" s="7" t="n"/>
      <c r="I246" s="8" t="n">
        <v>0</v>
      </c>
      <c r="J246" s="8" t="n">
        <v>0</v>
      </c>
      <c r="K246" s="8" t="n">
        <v>0</v>
      </c>
      <c r="L246" s="8" t="n">
        <v>199.18</v>
      </c>
      <c r="M246" s="9">
        <f>ROUND(SUM(I246:L246),2)</f>
        <v/>
      </c>
      <c r="N246" s="10">
        <f>ROUND(I246*'Irish Basis'!$C$6*'Irish Basis'!$C$5,2)</f>
        <v/>
      </c>
      <c r="O246" s="10">
        <f>ROUND(J246*'Irish Basis'!$C$7*'Irish Basis'!$C$5,2)</f>
        <v/>
      </c>
      <c r="P246" s="10">
        <f>ROUND(K246*'Irish Basis'!$C$8*'Irish Basis'!$C$5,2)</f>
        <v/>
      </c>
      <c r="Q246" s="10">
        <f>ROUND(L246*'Irish Basis'!$C$12*'Irish Basis'!$C$5,2)</f>
        <v/>
      </c>
      <c r="R246" s="11">
        <f>ROUND(SUM(N246:Q246),2)</f>
        <v/>
      </c>
      <c r="S246" s="5" t="inlineStr">
        <is>
          <t>All-in specialist rate</t>
        </is>
      </c>
      <c r="T246" s="14" t="inlineStr">
        <is>
          <t>All-in (not split)</t>
        </is>
      </c>
      <c r="U246" s="8" t="n">
        <v>199.18</v>
      </c>
      <c r="V246" s="13">
        <f>IF(U246="","",ROUND(M246-U246,2))</f>
        <v/>
      </c>
      <c r="W246" s="5" t="n"/>
      <c r="X246" s="5" t="inlineStr">
        <is>
          <t>Source publishes a specialist/sub-contract all-in rate; no labour/plant/material build-up exists to derive from.</t>
        </is>
      </c>
    </row>
    <row r="247" ht="13" customHeight="1">
      <c r="A247" s="4" t="n">
        <v>468</v>
      </c>
      <c r="B247" s="5" t="inlineStr">
        <is>
          <t>IMG_0071</t>
        </is>
      </c>
      <c r="C247" s="5" t="inlineStr">
        <is>
          <t>CLASS D: DEMOLITION AND SITE CLEARANCE</t>
        </is>
      </c>
      <c r="D247" s="5" t="inlineStr">
        <is>
          <t>03 STUMPS</t>
        </is>
      </c>
      <c r="E247" s="5" t="inlineStr">
        <is>
          <t>Clearance of stumps; backfilling holes with topsoil from site</t>
        </is>
      </c>
      <c r="F247" s="5" t="inlineStr">
        <is>
          <t>dia. 150-500 mm</t>
        </is>
      </c>
      <c r="G247" s="6" t="inlineStr">
        <is>
          <t>nr</t>
        </is>
      </c>
      <c r="H247" s="7" t="n"/>
      <c r="I247" s="8" t="n">
        <v>0</v>
      </c>
      <c r="J247" s="8" t="n">
        <v>0</v>
      </c>
      <c r="K247" s="8" t="n">
        <v>0</v>
      </c>
      <c r="L247" s="8" t="n">
        <v>84.84999999999999</v>
      </c>
      <c r="M247" s="9">
        <f>ROUND(SUM(I247:L247),2)</f>
        <v/>
      </c>
      <c r="N247" s="10">
        <f>ROUND(I247*'Irish Basis'!$C$6*'Irish Basis'!$C$5,2)</f>
        <v/>
      </c>
      <c r="O247" s="10">
        <f>ROUND(J247*'Irish Basis'!$C$7*'Irish Basis'!$C$5,2)</f>
        <v/>
      </c>
      <c r="P247" s="10">
        <f>ROUND(K247*'Irish Basis'!$C$8*'Irish Basis'!$C$5,2)</f>
        <v/>
      </c>
      <c r="Q247" s="10">
        <f>ROUND(L247*'Irish Basis'!$C$12*'Irish Basis'!$C$5,2)</f>
        <v/>
      </c>
      <c r="R247" s="11">
        <f>ROUND(SUM(N247:Q247),2)</f>
        <v/>
      </c>
      <c r="S247" s="5" t="inlineStr">
        <is>
          <t>All-in specialist rate</t>
        </is>
      </c>
      <c r="T247" s="14" t="inlineStr">
        <is>
          <t>All-in (not split)</t>
        </is>
      </c>
      <c r="U247" s="8" t="n">
        <v>84.84999999999999</v>
      </c>
      <c r="V247" s="13">
        <f>IF(U247="","",ROUND(M247-U247,2))</f>
        <v/>
      </c>
      <c r="W247" s="5" t="n"/>
      <c r="X247" s="5" t="inlineStr">
        <is>
          <t>Source publishes a specialist/sub-contract all-in rate; no labour/plant/material build-up exists to derive from.</t>
        </is>
      </c>
    </row>
    <row r="248" ht="13" customHeight="1">
      <c r="A248" s="4" t="n">
        <v>469</v>
      </c>
      <c r="B248" s="5" t="inlineStr">
        <is>
          <t>IMG_0071</t>
        </is>
      </c>
      <c r="C248" s="5" t="inlineStr">
        <is>
          <t>CLASS D: DEMOLITION AND SITE CLEARANCE</t>
        </is>
      </c>
      <c r="D248" s="5" t="inlineStr">
        <is>
          <t>03 STUMPS</t>
        </is>
      </c>
      <c r="E248" s="5" t="inlineStr">
        <is>
          <t>Clearance of stumps; backfilling holes with topsoil from site</t>
        </is>
      </c>
      <c r="F248" s="5" t="inlineStr">
        <is>
          <t>dia. 500 mm-1 m</t>
        </is>
      </c>
      <c r="G248" s="6" t="inlineStr">
        <is>
          <t>nr</t>
        </is>
      </c>
      <c r="H248" s="7" t="n"/>
      <c r="I248" s="8" t="n">
        <v>0</v>
      </c>
      <c r="J248" s="8" t="n">
        <v>0</v>
      </c>
      <c r="K248" s="8" t="n">
        <v>0</v>
      </c>
      <c r="L248" s="8" t="n">
        <v>187.54</v>
      </c>
      <c r="M248" s="9">
        <f>ROUND(SUM(I248:L248),2)</f>
        <v/>
      </c>
      <c r="N248" s="10">
        <f>ROUND(I248*'Irish Basis'!$C$6*'Irish Basis'!$C$5,2)</f>
        <v/>
      </c>
      <c r="O248" s="10">
        <f>ROUND(J248*'Irish Basis'!$C$7*'Irish Basis'!$C$5,2)</f>
        <v/>
      </c>
      <c r="P248" s="10">
        <f>ROUND(K248*'Irish Basis'!$C$8*'Irish Basis'!$C$5,2)</f>
        <v/>
      </c>
      <c r="Q248" s="10">
        <f>ROUND(L248*'Irish Basis'!$C$12*'Irish Basis'!$C$5,2)</f>
        <v/>
      </c>
      <c r="R248" s="11">
        <f>ROUND(SUM(N248:Q248),2)</f>
        <v/>
      </c>
      <c r="S248" s="5" t="inlineStr">
        <is>
          <t>All-in specialist rate</t>
        </is>
      </c>
      <c r="T248" s="14" t="inlineStr">
        <is>
          <t>All-in (not split)</t>
        </is>
      </c>
      <c r="U248" s="8" t="n">
        <v>187.54</v>
      </c>
      <c r="V248" s="13">
        <f>IF(U248="","",ROUND(M248-U248,2))</f>
        <v/>
      </c>
      <c r="W248" s="5" t="n"/>
      <c r="X248" s="5" t="inlineStr">
        <is>
          <t>Source publishes a specialist/sub-contract all-in rate; no labour/plant/material build-up exists to derive from.</t>
        </is>
      </c>
    </row>
    <row r="249" ht="13" customHeight="1">
      <c r="A249" s="4" t="n">
        <v>470</v>
      </c>
      <c r="B249" s="5" t="inlineStr">
        <is>
          <t>IMG_0071</t>
        </is>
      </c>
      <c r="C249" s="5" t="inlineStr">
        <is>
          <t>CLASS D: DEMOLITION AND SITE CLEARANCE</t>
        </is>
      </c>
      <c r="D249" s="5" t="inlineStr">
        <is>
          <t>03 STUMPS</t>
        </is>
      </c>
      <c r="E249" s="5" t="inlineStr">
        <is>
          <t>Clearance of stumps; backfilling holes with topsoil from site</t>
        </is>
      </c>
      <c r="F249" s="5" t="inlineStr">
        <is>
          <t>dia. 2 m</t>
        </is>
      </c>
      <c r="G249" s="6" t="inlineStr">
        <is>
          <t>nr</t>
        </is>
      </c>
      <c r="H249" s="7" t="n"/>
      <c r="I249" s="8" t="n">
        <v>0</v>
      </c>
      <c r="J249" s="8" t="n">
        <v>0</v>
      </c>
      <c r="K249" s="8" t="n">
        <v>0</v>
      </c>
      <c r="L249" s="8" t="n">
        <v>403.54</v>
      </c>
      <c r="M249" s="9">
        <f>ROUND(SUM(I249:L249),2)</f>
        <v/>
      </c>
      <c r="N249" s="10">
        <f>ROUND(I249*'Irish Basis'!$C$6*'Irish Basis'!$C$5,2)</f>
        <v/>
      </c>
      <c r="O249" s="10">
        <f>ROUND(J249*'Irish Basis'!$C$7*'Irish Basis'!$C$5,2)</f>
        <v/>
      </c>
      <c r="P249" s="10">
        <f>ROUND(K249*'Irish Basis'!$C$8*'Irish Basis'!$C$5,2)</f>
        <v/>
      </c>
      <c r="Q249" s="10">
        <f>ROUND(L249*'Irish Basis'!$C$12*'Irish Basis'!$C$5,2)</f>
        <v/>
      </c>
      <c r="R249" s="11">
        <f>ROUND(SUM(N249:Q249),2)</f>
        <v/>
      </c>
      <c r="S249" s="5" t="inlineStr">
        <is>
          <t>All-in specialist rate</t>
        </is>
      </c>
      <c r="T249" s="14" t="inlineStr">
        <is>
          <t>All-in (not split)</t>
        </is>
      </c>
      <c r="U249" s="8" t="n">
        <v>403.54</v>
      </c>
      <c r="V249" s="13">
        <f>IF(U249="","",ROUND(M249-U249,2))</f>
        <v/>
      </c>
      <c r="W249" s="5" t="n"/>
      <c r="X249" s="5" t="inlineStr">
        <is>
          <t>Source publishes a specialist/sub-contract all-in rate; no labour/plant/material build-up exists to derive from.</t>
        </is>
      </c>
    </row>
    <row r="250" ht="13" customHeight="1">
      <c r="A250" s="4" t="n">
        <v>472</v>
      </c>
      <c r="B250" s="5" t="inlineStr">
        <is>
          <t>IMG_0071</t>
        </is>
      </c>
      <c r="C250" s="5" t="inlineStr">
        <is>
          <t>CLASS D: DEMOLITION AND SITE CLEARANCE</t>
        </is>
      </c>
      <c r="D250" s="5" t="inlineStr">
        <is>
          <t>03 STUMPS</t>
        </is>
      </c>
      <c r="E250" s="5" t="inlineStr">
        <is>
          <t>Clearance of stumps; backfilling holes with imported hardcore</t>
        </is>
      </c>
      <c r="F250" s="5" t="inlineStr">
        <is>
          <t>dia. 150-500 mm</t>
        </is>
      </c>
      <c r="G250" s="6" t="inlineStr">
        <is>
          <t>nr</t>
        </is>
      </c>
      <c r="H250" s="7" t="n"/>
      <c r="I250" s="8" t="n">
        <v>0</v>
      </c>
      <c r="J250" s="8" t="n">
        <v>0</v>
      </c>
      <c r="K250" s="8" t="n">
        <v>0</v>
      </c>
      <c r="L250" s="8" t="n">
        <v>98.81999999999999</v>
      </c>
      <c r="M250" s="9">
        <f>ROUND(SUM(I250:L250),2)</f>
        <v/>
      </c>
      <c r="N250" s="10">
        <f>ROUND(I250*'Irish Basis'!$C$6*'Irish Basis'!$C$5,2)</f>
        <v/>
      </c>
      <c r="O250" s="10">
        <f>ROUND(J250*'Irish Basis'!$C$7*'Irish Basis'!$C$5,2)</f>
        <v/>
      </c>
      <c r="P250" s="10">
        <f>ROUND(K250*'Irish Basis'!$C$8*'Irish Basis'!$C$5,2)</f>
        <v/>
      </c>
      <c r="Q250" s="10">
        <f>ROUND(L250*'Irish Basis'!$C$12*'Irish Basis'!$C$5,2)</f>
        <v/>
      </c>
      <c r="R250" s="11">
        <f>ROUND(SUM(N250:Q250),2)</f>
        <v/>
      </c>
      <c r="S250" s="5" t="inlineStr">
        <is>
          <t>All-in specialist rate</t>
        </is>
      </c>
      <c r="T250" s="14" t="inlineStr">
        <is>
          <t>All-in (not split)</t>
        </is>
      </c>
      <c r="U250" s="8" t="n">
        <v>98.81999999999999</v>
      </c>
      <c r="V250" s="13">
        <f>IF(U250="","",ROUND(M250-U250,2))</f>
        <v/>
      </c>
      <c r="W250" s="5" t="n"/>
      <c r="X250" s="5" t="inlineStr">
        <is>
          <t>Source publishes a specialist/sub-contract all-in rate; no labour/plant/material build-up exists to derive from.</t>
        </is>
      </c>
    </row>
    <row r="251" ht="13" customHeight="1">
      <c r="A251" s="4" t="n">
        <v>473</v>
      </c>
      <c r="B251" s="5" t="inlineStr">
        <is>
          <t>IMG_0071</t>
        </is>
      </c>
      <c r="C251" s="5" t="inlineStr">
        <is>
          <t>CLASS D: DEMOLITION AND SITE CLEARANCE</t>
        </is>
      </c>
      <c r="D251" s="5" t="inlineStr">
        <is>
          <t>03 STUMPS</t>
        </is>
      </c>
      <c r="E251" s="5" t="inlineStr">
        <is>
          <t>Clearance of stumps; backfilling holes with imported hardcore</t>
        </is>
      </c>
      <c r="F251" s="5" t="inlineStr">
        <is>
          <t>dia. 500 mm-1 m</t>
        </is>
      </c>
      <c r="G251" s="6" t="inlineStr">
        <is>
          <t>nr</t>
        </is>
      </c>
      <c r="H251" s="7" t="n"/>
      <c r="I251" s="8" t="n">
        <v>0</v>
      </c>
      <c r="J251" s="8" t="n">
        <v>0</v>
      </c>
      <c r="K251" s="8" t="n">
        <v>0</v>
      </c>
      <c r="L251" s="8" t="n">
        <v>343.65</v>
      </c>
      <c r="M251" s="9">
        <f>ROUND(SUM(I251:L251),2)</f>
        <v/>
      </c>
      <c r="N251" s="10">
        <f>ROUND(I251*'Irish Basis'!$C$6*'Irish Basis'!$C$5,2)</f>
        <v/>
      </c>
      <c r="O251" s="10">
        <f>ROUND(J251*'Irish Basis'!$C$7*'Irish Basis'!$C$5,2)</f>
        <v/>
      </c>
      <c r="P251" s="10">
        <f>ROUND(K251*'Irish Basis'!$C$8*'Irish Basis'!$C$5,2)</f>
        <v/>
      </c>
      <c r="Q251" s="10">
        <f>ROUND(L251*'Irish Basis'!$C$12*'Irish Basis'!$C$5,2)</f>
        <v/>
      </c>
      <c r="R251" s="11">
        <f>ROUND(SUM(N251:Q251),2)</f>
        <v/>
      </c>
      <c r="S251" s="5" t="inlineStr">
        <is>
          <t>All-in specialist rate</t>
        </is>
      </c>
      <c r="T251" s="14" t="inlineStr">
        <is>
          <t>All-in (not split)</t>
        </is>
      </c>
      <c r="U251" s="8" t="n">
        <v>343.65</v>
      </c>
      <c r="V251" s="13">
        <f>IF(U251="","",ROUND(M251-U251,2))</f>
        <v/>
      </c>
      <c r="W251" s="5" t="n"/>
      <c r="X251" s="5" t="inlineStr">
        <is>
          <t>Source publishes a specialist/sub-contract all-in rate; no labour/plant/material build-up exists to derive from.</t>
        </is>
      </c>
    </row>
    <row r="252" ht="13" customHeight="1">
      <c r="A252" s="4" t="n">
        <v>474</v>
      </c>
      <c r="B252" s="5" t="inlineStr">
        <is>
          <t>IMG_0071</t>
        </is>
      </c>
      <c r="C252" s="5" t="inlineStr">
        <is>
          <t>CLASS D: DEMOLITION AND SITE CLEARANCE</t>
        </is>
      </c>
      <c r="D252" s="5" t="inlineStr">
        <is>
          <t>03 STUMPS</t>
        </is>
      </c>
      <c r="E252" s="5" t="inlineStr">
        <is>
          <t>Clearance of stumps; backfilling holes with imported hardcore</t>
        </is>
      </c>
      <c r="F252" s="5" t="inlineStr">
        <is>
          <t>dia. 2 m</t>
        </is>
      </c>
      <c r="G252" s="6" t="inlineStr">
        <is>
          <t>nr</t>
        </is>
      </c>
      <c r="H252" s="7" t="n"/>
      <c r="I252" s="8" t="n">
        <v>0</v>
      </c>
      <c r="J252" s="8" t="n">
        <v>0</v>
      </c>
      <c r="K252" s="8" t="n">
        <v>0</v>
      </c>
      <c r="L252" s="8" t="n">
        <v>1131.72</v>
      </c>
      <c r="M252" s="9">
        <f>ROUND(SUM(I252:L252),2)</f>
        <v/>
      </c>
      <c r="N252" s="10">
        <f>ROUND(I252*'Irish Basis'!$C$6*'Irish Basis'!$C$5,2)</f>
        <v/>
      </c>
      <c r="O252" s="10">
        <f>ROUND(J252*'Irish Basis'!$C$7*'Irish Basis'!$C$5,2)</f>
        <v/>
      </c>
      <c r="P252" s="10">
        <f>ROUND(K252*'Irish Basis'!$C$8*'Irish Basis'!$C$5,2)</f>
        <v/>
      </c>
      <c r="Q252" s="10">
        <f>ROUND(L252*'Irish Basis'!$C$12*'Irish Basis'!$C$5,2)</f>
        <v/>
      </c>
      <c r="R252" s="11">
        <f>ROUND(SUM(N252:Q252),2)</f>
        <v/>
      </c>
      <c r="S252" s="5" t="inlineStr">
        <is>
          <t>All-in specialist rate</t>
        </is>
      </c>
      <c r="T252" s="14" t="inlineStr">
        <is>
          <t>All-in (not split)</t>
        </is>
      </c>
      <c r="U252" s="8" t="n">
        <v>1131.72</v>
      </c>
      <c r="V252" s="13">
        <f>IF(U252="","",ROUND(M252-U252,2))</f>
        <v/>
      </c>
      <c r="W252" s="5" t="n"/>
      <c r="X252" s="5" t="inlineStr">
        <is>
          <t>Source publishes a specialist/sub-contract all-in rate; no labour/plant/material build-up exists to derive from.</t>
        </is>
      </c>
    </row>
    <row r="253" ht="13" customHeight="1">
      <c r="A253" s="4" t="n">
        <v>478</v>
      </c>
      <c r="B253" s="5" t="inlineStr">
        <is>
          <t>IMG_0071</t>
        </is>
      </c>
      <c r="C253" s="5" t="inlineStr">
        <is>
          <t>CLASS D: DEMOLITION AND SITE CLEARANCE</t>
        </is>
      </c>
      <c r="D253" s="5" t="inlineStr">
        <is>
          <t>04 BUILDINGS</t>
        </is>
      </c>
      <c r="E253" s="5" t="inlineStr">
        <is>
          <t>Demolish building to ground level and dispose off site</t>
        </is>
      </c>
      <c r="F253" s="5" t="inlineStr">
        <is>
          <t>brickwork with timber floor and roof</t>
        </is>
      </c>
      <c r="G253" s="6" t="inlineStr">
        <is>
          <t>m3</t>
        </is>
      </c>
      <c r="H253" s="7" t="n"/>
      <c r="I253" s="8" t="n">
        <v>0</v>
      </c>
      <c r="J253" s="8" t="n">
        <v>0</v>
      </c>
      <c r="K253" s="8" t="n">
        <v>0</v>
      </c>
      <c r="L253" s="8" t="n">
        <v>10.83</v>
      </c>
      <c r="M253" s="9">
        <f>ROUND(SUM(I253:L253),2)</f>
        <v/>
      </c>
      <c r="N253" s="10">
        <f>ROUND(I253*'Irish Basis'!$C$6*'Irish Basis'!$C$5,2)</f>
        <v/>
      </c>
      <c r="O253" s="10">
        <f>ROUND(J253*'Irish Basis'!$C$7*'Irish Basis'!$C$5,2)</f>
        <v/>
      </c>
      <c r="P253" s="10">
        <f>ROUND(K253*'Irish Basis'!$C$8*'Irish Basis'!$C$5,2)</f>
        <v/>
      </c>
      <c r="Q253" s="10">
        <f>ROUND(L253*'Irish Basis'!$C$12*'Irish Basis'!$C$5,2)</f>
        <v/>
      </c>
      <c r="R253" s="11">
        <f>ROUND(SUM(N253:Q253),2)</f>
        <v/>
      </c>
      <c r="S253" s="5" t="inlineStr">
        <is>
          <t>All-in specialist rate</t>
        </is>
      </c>
      <c r="T253" s="14" t="inlineStr">
        <is>
          <t>All-in (not split)</t>
        </is>
      </c>
      <c r="U253" s="8" t="n">
        <v>10.83</v>
      </c>
      <c r="V253" s="13">
        <f>IF(U253="","",ROUND(M253-U253,2))</f>
        <v/>
      </c>
      <c r="W253" s="5" t="n"/>
      <c r="X253" s="5" t="inlineStr">
        <is>
          <t>Source publishes a specialist/sub-contract all-in rate; no labour/plant/material build-up exists to derive from.</t>
        </is>
      </c>
    </row>
    <row r="254" ht="13" customHeight="1">
      <c r="A254" s="4" t="n">
        <v>479</v>
      </c>
      <c r="B254" s="5" t="inlineStr">
        <is>
          <t>IMG_0071</t>
        </is>
      </c>
      <c r="C254" s="5" t="inlineStr">
        <is>
          <t>CLASS D: DEMOLITION AND SITE CLEARANCE</t>
        </is>
      </c>
      <c r="D254" s="5" t="inlineStr">
        <is>
          <t>04 BUILDINGS</t>
        </is>
      </c>
      <c r="E254" s="5" t="inlineStr">
        <is>
          <t>Demolish building to ground level and dispose off site</t>
        </is>
      </c>
      <c r="F254" s="5" t="inlineStr">
        <is>
          <t>brickwork with concrete floor and roof</t>
        </is>
      </c>
      <c r="G254" s="6" t="inlineStr">
        <is>
          <t>m3</t>
        </is>
      </c>
      <c r="H254" s="7" t="n"/>
      <c r="I254" s="8" t="n">
        <v>0</v>
      </c>
      <c r="J254" s="8" t="n">
        <v>0</v>
      </c>
      <c r="K254" s="8" t="n">
        <v>0</v>
      </c>
      <c r="L254" s="8" t="n">
        <v>18.06</v>
      </c>
      <c r="M254" s="9">
        <f>ROUND(SUM(I254:L254),2)</f>
        <v/>
      </c>
      <c r="N254" s="10">
        <f>ROUND(I254*'Irish Basis'!$C$6*'Irish Basis'!$C$5,2)</f>
        <v/>
      </c>
      <c r="O254" s="10">
        <f>ROUND(J254*'Irish Basis'!$C$7*'Irish Basis'!$C$5,2)</f>
        <v/>
      </c>
      <c r="P254" s="10">
        <f>ROUND(K254*'Irish Basis'!$C$8*'Irish Basis'!$C$5,2)</f>
        <v/>
      </c>
      <c r="Q254" s="10">
        <f>ROUND(L254*'Irish Basis'!$C$12*'Irish Basis'!$C$5,2)</f>
        <v/>
      </c>
      <c r="R254" s="11">
        <f>ROUND(SUM(N254:Q254),2)</f>
        <v/>
      </c>
      <c r="S254" s="5" t="inlineStr">
        <is>
          <t>All-in specialist rate</t>
        </is>
      </c>
      <c r="T254" s="14" t="inlineStr">
        <is>
          <t>All-in (not split)</t>
        </is>
      </c>
      <c r="U254" s="8" t="n">
        <v>18.06</v>
      </c>
      <c r="V254" s="13">
        <f>IF(U254="","",ROUND(M254-U254,2))</f>
        <v/>
      </c>
      <c r="W254" s="5" t="n"/>
      <c r="X254" s="5" t="inlineStr">
        <is>
          <t>Source publishes a specialist/sub-contract all-in rate; no labour/plant/material build-up exists to derive from.</t>
        </is>
      </c>
    </row>
    <row r="255" ht="13" customHeight="1">
      <c r="A255" s="4" t="n">
        <v>480</v>
      </c>
      <c r="B255" s="5" t="inlineStr">
        <is>
          <t>IMG_0071</t>
        </is>
      </c>
      <c r="C255" s="5" t="inlineStr">
        <is>
          <t>CLASS D: DEMOLITION AND SITE CLEARANCE</t>
        </is>
      </c>
      <c r="D255" s="5" t="inlineStr">
        <is>
          <t>04 BUILDINGS</t>
        </is>
      </c>
      <c r="E255" s="5" t="inlineStr">
        <is>
          <t>Demolish building to ground level and dispose off site</t>
        </is>
      </c>
      <c r="F255" s="5" t="inlineStr">
        <is>
          <t>masonry with timber floor and roof</t>
        </is>
      </c>
      <c r="G255" s="6" t="inlineStr">
        <is>
          <t>m3</t>
        </is>
      </c>
      <c r="H255" s="7" t="n"/>
      <c r="I255" s="8" t="n">
        <v>0</v>
      </c>
      <c r="J255" s="8" t="n">
        <v>0</v>
      </c>
      <c r="K255" s="8" t="n">
        <v>0</v>
      </c>
      <c r="L255" s="8" t="n">
        <v>14.16</v>
      </c>
      <c r="M255" s="9">
        <f>ROUND(SUM(I255:L255),2)</f>
        <v/>
      </c>
      <c r="N255" s="10">
        <f>ROUND(I255*'Irish Basis'!$C$6*'Irish Basis'!$C$5,2)</f>
        <v/>
      </c>
      <c r="O255" s="10">
        <f>ROUND(J255*'Irish Basis'!$C$7*'Irish Basis'!$C$5,2)</f>
        <v/>
      </c>
      <c r="P255" s="10">
        <f>ROUND(K255*'Irish Basis'!$C$8*'Irish Basis'!$C$5,2)</f>
        <v/>
      </c>
      <c r="Q255" s="10">
        <f>ROUND(L255*'Irish Basis'!$C$12*'Irish Basis'!$C$5,2)</f>
        <v/>
      </c>
      <c r="R255" s="11">
        <f>ROUND(SUM(N255:Q255),2)</f>
        <v/>
      </c>
      <c r="S255" s="5" t="inlineStr">
        <is>
          <t>All-in specialist rate</t>
        </is>
      </c>
      <c r="T255" s="14" t="inlineStr">
        <is>
          <t>All-in (not split)</t>
        </is>
      </c>
      <c r="U255" s="8" t="n">
        <v>14.16</v>
      </c>
      <c r="V255" s="13">
        <f>IF(U255="","",ROUND(M255-U255,2))</f>
        <v/>
      </c>
      <c r="W255" s="5" t="n"/>
      <c r="X255" s="5" t="inlineStr">
        <is>
          <t>Source publishes a specialist/sub-contract all-in rate; no labour/plant/material build-up exists to derive from.</t>
        </is>
      </c>
    </row>
    <row r="256" ht="13" customHeight="1">
      <c r="A256" s="4" t="n">
        <v>481</v>
      </c>
      <c r="B256" s="5" t="inlineStr">
        <is>
          <t>IMG_0071</t>
        </is>
      </c>
      <c r="C256" s="5" t="inlineStr">
        <is>
          <t>CLASS D: DEMOLITION AND SITE CLEARANCE</t>
        </is>
      </c>
      <c r="D256" s="5" t="inlineStr">
        <is>
          <t>04 BUILDINGS</t>
        </is>
      </c>
      <c r="E256" s="5" t="inlineStr">
        <is>
          <t>Demolish building to ground level and dispose off site</t>
        </is>
      </c>
      <c r="F256" s="5" t="inlineStr">
        <is>
          <t>reinforced concrete frame with brick infill</t>
        </is>
      </c>
      <c r="G256" s="6" t="inlineStr">
        <is>
          <t>m3</t>
        </is>
      </c>
      <c r="H256" s="7" t="n"/>
      <c r="I256" s="8" t="n">
        <v>0</v>
      </c>
      <c r="J256" s="8" t="n">
        <v>0</v>
      </c>
      <c r="K256" s="8" t="n">
        <v>0</v>
      </c>
      <c r="L256" s="8" t="n">
        <v>18.87</v>
      </c>
      <c r="M256" s="9">
        <f>ROUND(SUM(I256:L256),2)</f>
        <v/>
      </c>
      <c r="N256" s="10">
        <f>ROUND(I256*'Irish Basis'!$C$6*'Irish Basis'!$C$5,2)</f>
        <v/>
      </c>
      <c r="O256" s="10">
        <f>ROUND(J256*'Irish Basis'!$C$7*'Irish Basis'!$C$5,2)</f>
        <v/>
      </c>
      <c r="P256" s="10">
        <f>ROUND(K256*'Irish Basis'!$C$8*'Irish Basis'!$C$5,2)</f>
        <v/>
      </c>
      <c r="Q256" s="10">
        <f>ROUND(L256*'Irish Basis'!$C$12*'Irish Basis'!$C$5,2)</f>
        <v/>
      </c>
      <c r="R256" s="11">
        <f>ROUND(SUM(N256:Q256),2)</f>
        <v/>
      </c>
      <c r="S256" s="5" t="inlineStr">
        <is>
          <t>All-in specialist rate</t>
        </is>
      </c>
      <c r="T256" s="14" t="inlineStr">
        <is>
          <t>All-in (not split)</t>
        </is>
      </c>
      <c r="U256" s="8" t="n">
        <v>18.87</v>
      </c>
      <c r="V256" s="13">
        <f>IF(U256="","",ROUND(M256-U256,2))</f>
        <v/>
      </c>
      <c r="W256" s="5" t="n"/>
      <c r="X256" s="5" t="inlineStr">
        <is>
          <t>Source publishes a specialist/sub-contract all-in rate; no labour/plant/material build-up exists to derive from.</t>
        </is>
      </c>
    </row>
    <row r="257" ht="13" customHeight="1">
      <c r="A257" s="4" t="n">
        <v>482</v>
      </c>
      <c r="B257" s="5" t="inlineStr">
        <is>
          <t>IMG_0071</t>
        </is>
      </c>
      <c r="C257" s="5" t="inlineStr">
        <is>
          <t>CLASS D: DEMOLITION AND SITE CLEARANCE</t>
        </is>
      </c>
      <c r="D257" s="5" t="inlineStr">
        <is>
          <t>04 BUILDINGS</t>
        </is>
      </c>
      <c r="E257" s="5" t="inlineStr">
        <is>
          <t>Demolish building to ground level and dispose off site</t>
        </is>
      </c>
      <c r="F257" s="5" t="inlineStr">
        <is>
          <t>steel frame with brick cladding</t>
        </is>
      </c>
      <c r="G257" s="6" t="inlineStr">
        <is>
          <t>m3</t>
        </is>
      </c>
      <c r="H257" s="7" t="n"/>
      <c r="I257" s="8" t="n">
        <v>0</v>
      </c>
      <c r="J257" s="8" t="n">
        <v>0</v>
      </c>
      <c r="K257" s="8" t="n">
        <v>0</v>
      </c>
      <c r="L257" s="8" t="n">
        <v>10.25</v>
      </c>
      <c r="M257" s="9">
        <f>ROUND(SUM(I257:L257),2)</f>
        <v/>
      </c>
      <c r="N257" s="10">
        <f>ROUND(I257*'Irish Basis'!$C$6*'Irish Basis'!$C$5,2)</f>
        <v/>
      </c>
      <c r="O257" s="10">
        <f>ROUND(J257*'Irish Basis'!$C$7*'Irish Basis'!$C$5,2)</f>
        <v/>
      </c>
      <c r="P257" s="10">
        <f>ROUND(K257*'Irish Basis'!$C$8*'Irish Basis'!$C$5,2)</f>
        <v/>
      </c>
      <c r="Q257" s="10">
        <f>ROUND(L257*'Irish Basis'!$C$12*'Irish Basis'!$C$5,2)</f>
        <v/>
      </c>
      <c r="R257" s="11">
        <f>ROUND(SUM(N257:Q257),2)</f>
        <v/>
      </c>
      <c r="S257" s="5" t="inlineStr">
        <is>
          <t>All-in specialist rate</t>
        </is>
      </c>
      <c r="T257" s="14" t="inlineStr">
        <is>
          <t>All-in (not split)</t>
        </is>
      </c>
      <c r="U257" s="8" t="n">
        <v>10.25</v>
      </c>
      <c r="V257" s="13">
        <f>IF(U257="","",ROUND(M257-U257,2))</f>
        <v/>
      </c>
      <c r="W257" s="5" t="n"/>
      <c r="X257" s="5" t="inlineStr">
        <is>
          <t>Source publishes a specialist/sub-contract all-in rate; no labour/plant/material build-up exists to derive from.</t>
        </is>
      </c>
    </row>
    <row r="258" ht="13" customHeight="1">
      <c r="A258" s="4" t="n">
        <v>483</v>
      </c>
      <c r="B258" s="5" t="inlineStr">
        <is>
          <t>IMG_0071</t>
        </is>
      </c>
      <c r="C258" s="5" t="inlineStr">
        <is>
          <t>CLASS D: DEMOLITION AND SITE CLEARANCE</t>
        </is>
      </c>
      <c r="D258" s="5" t="inlineStr">
        <is>
          <t>04 BUILDINGS</t>
        </is>
      </c>
      <c r="E258" s="5" t="inlineStr">
        <is>
          <t>Demolish building to ground level and dispose off site</t>
        </is>
      </c>
      <c r="F258" s="5" t="inlineStr">
        <is>
          <t>steel frame with sheet cladding timber</t>
        </is>
      </c>
      <c r="G258" s="6" t="inlineStr">
        <is>
          <t>m3</t>
        </is>
      </c>
      <c r="H258" s="7" t="n"/>
      <c r="I258" s="8" t="n">
        <v>0</v>
      </c>
      <c r="J258" s="8" t="n">
        <v>0</v>
      </c>
      <c r="K258" s="8" t="n">
        <v>0</v>
      </c>
      <c r="L258" s="8" t="n">
        <v>9.76</v>
      </c>
      <c r="M258" s="9">
        <f>ROUND(SUM(I258:L258),2)</f>
        <v/>
      </c>
      <c r="N258" s="10">
        <f>ROUND(I258*'Irish Basis'!$C$6*'Irish Basis'!$C$5,2)</f>
        <v/>
      </c>
      <c r="O258" s="10">
        <f>ROUND(J258*'Irish Basis'!$C$7*'Irish Basis'!$C$5,2)</f>
        <v/>
      </c>
      <c r="P258" s="10">
        <f>ROUND(K258*'Irish Basis'!$C$8*'Irish Basis'!$C$5,2)</f>
        <v/>
      </c>
      <c r="Q258" s="10">
        <f>ROUND(L258*'Irish Basis'!$C$12*'Irish Basis'!$C$5,2)</f>
        <v/>
      </c>
      <c r="R258" s="11">
        <f>ROUND(SUM(N258:Q258),2)</f>
        <v/>
      </c>
      <c r="S258" s="5" t="inlineStr">
        <is>
          <t>All-in specialist rate</t>
        </is>
      </c>
      <c r="T258" s="14" t="inlineStr">
        <is>
          <t>All-in (not split)</t>
        </is>
      </c>
      <c r="U258" s="8" t="n">
        <v>9.76</v>
      </c>
      <c r="V258" s="13">
        <f>IF(U258="","",ROUND(M258-U258,2))</f>
        <v/>
      </c>
      <c r="W258" s="5" t="n"/>
      <c r="X258" s="5" t="inlineStr">
        <is>
          <t>Source publishes a specialist/sub-contract all-in rate; no labour/plant/material build-up exists to derive from.</t>
        </is>
      </c>
    </row>
    <row r="259" ht="13" customHeight="1">
      <c r="A259" s="4" t="n">
        <v>484</v>
      </c>
      <c r="B259" s="5" t="inlineStr">
        <is>
          <t>IMG_0071</t>
        </is>
      </c>
      <c r="C259" s="5" t="inlineStr">
        <is>
          <t>CLASS D: DEMOLITION AND SITE CLEARANCE</t>
        </is>
      </c>
      <c r="D259" s="5" t="inlineStr">
        <is>
          <t>04 BUILDINGS</t>
        </is>
      </c>
      <c r="E259" s="5" t="inlineStr">
        <is>
          <t>Demolish building to ground level and dispose off site</t>
        </is>
      </c>
      <c r="F259" s="5" t="inlineStr">
        <is>
          <t>(unlabelled row following steel frame with sheet cladding timber)</t>
        </is>
      </c>
      <c r="G259" s="6" t="inlineStr">
        <is>
          <t>m3</t>
        </is>
      </c>
      <c r="H259" s="7" t="n"/>
      <c r="I259" s="8" t="n">
        <v>0</v>
      </c>
      <c r="J259" s="8" t="n">
        <v>0</v>
      </c>
      <c r="K259" s="8" t="n">
        <v>0</v>
      </c>
      <c r="L259" s="8" t="n">
        <v>8.75</v>
      </c>
      <c r="M259" s="9">
        <f>ROUND(SUM(I259:L259),2)</f>
        <v/>
      </c>
      <c r="N259" s="10">
        <f>ROUND(I259*'Irish Basis'!$C$6*'Irish Basis'!$C$5,2)</f>
        <v/>
      </c>
      <c r="O259" s="10">
        <f>ROUND(J259*'Irish Basis'!$C$7*'Irish Basis'!$C$5,2)</f>
        <v/>
      </c>
      <c r="P259" s="10">
        <f>ROUND(K259*'Irish Basis'!$C$8*'Irish Basis'!$C$5,2)</f>
        <v/>
      </c>
      <c r="Q259" s="10">
        <f>ROUND(L259*'Irish Basis'!$C$12*'Irish Basis'!$C$5,2)</f>
        <v/>
      </c>
      <c r="R259" s="11">
        <f>ROUND(SUM(N259:Q259),2)</f>
        <v/>
      </c>
      <c r="S259" s="5" t="inlineStr">
        <is>
          <t>All-in specialist rate</t>
        </is>
      </c>
      <c r="T259" s="14" t="inlineStr">
        <is>
          <t>All-in (not split)</t>
        </is>
      </c>
      <c r="U259" s="8" t="n">
        <v>8.75</v>
      </c>
      <c r="V259" s="13">
        <f>IF(U259="","",ROUND(M259-U259,2))</f>
        <v/>
      </c>
      <c r="W259" s="5" t="n"/>
      <c r="X259" s="5" t="inlineStr">
        <is>
          <t>Source publishes a specialist/sub-contract all-in rate; no labour/plant/material build-up exists to derive from.</t>
        </is>
      </c>
    </row>
    <row r="260" ht="13" customHeight="1">
      <c r="A260" s="4" t="n">
        <v>486</v>
      </c>
      <c r="B260" s="5" t="inlineStr">
        <is>
          <t>IMG_0071</t>
        </is>
      </c>
      <c r="C260" s="5" t="inlineStr">
        <is>
          <t>CLASS D: DEMOLITION AND SITE CLEARANCE</t>
        </is>
      </c>
      <c r="D260" s="5" t="inlineStr">
        <is>
          <t>04 BUILDINGS</t>
        </is>
      </c>
      <c r="E260" s="5" t="inlineStr">
        <is>
          <t>Demolish buildings with asbestos linings to ground level and dispose off site</t>
        </is>
      </c>
      <c r="F260" s="5" t="inlineStr">
        <is>
          <t>brick with concrete floor and roof</t>
        </is>
      </c>
      <c r="G260" s="6" t="inlineStr">
        <is>
          <t>m3</t>
        </is>
      </c>
      <c r="H260" s="7" t="n"/>
      <c r="I260" s="8" t="n">
        <v>0</v>
      </c>
      <c r="J260" s="8" t="n">
        <v>0</v>
      </c>
      <c r="K260" s="8" t="n">
        <v>0</v>
      </c>
      <c r="L260" s="8" t="n">
        <v>43.92</v>
      </c>
      <c r="M260" s="9">
        <f>ROUND(SUM(I260:L260),2)</f>
        <v/>
      </c>
      <c r="N260" s="10">
        <f>ROUND(I260*'Irish Basis'!$C$6*'Irish Basis'!$C$5,2)</f>
        <v/>
      </c>
      <c r="O260" s="10">
        <f>ROUND(J260*'Irish Basis'!$C$7*'Irish Basis'!$C$5,2)</f>
        <v/>
      </c>
      <c r="P260" s="10">
        <f>ROUND(K260*'Irish Basis'!$C$8*'Irish Basis'!$C$5,2)</f>
        <v/>
      </c>
      <c r="Q260" s="10">
        <f>ROUND(L260*'Irish Basis'!$C$12*'Irish Basis'!$C$5,2)</f>
        <v/>
      </c>
      <c r="R260" s="11">
        <f>ROUND(SUM(N260:Q260),2)</f>
        <v/>
      </c>
      <c r="S260" s="5" t="inlineStr">
        <is>
          <t>All-in specialist rate</t>
        </is>
      </c>
      <c r="T260" s="14" t="inlineStr">
        <is>
          <t>All-in (not split)</t>
        </is>
      </c>
      <c r="U260" s="8" t="n">
        <v>43.92</v>
      </c>
      <c r="V260" s="13">
        <f>IF(U260="","",ROUND(M260-U260,2))</f>
        <v/>
      </c>
      <c r="W260" s="5" t="n"/>
      <c r="X260" s="5" t="inlineStr">
        <is>
          <t>Source publishes a specialist/sub-contract all-in rate; no labour/plant/material build-up exists to derive from.</t>
        </is>
      </c>
    </row>
    <row r="261" ht="13" customHeight="1">
      <c r="A261" s="4" t="n">
        <v>487</v>
      </c>
      <c r="B261" s="5" t="inlineStr">
        <is>
          <t>IMG_0071</t>
        </is>
      </c>
      <c r="C261" s="5" t="inlineStr">
        <is>
          <t>CLASS D: DEMOLITION AND SITE CLEARANCE</t>
        </is>
      </c>
      <c r="D261" s="5" t="inlineStr">
        <is>
          <t>04 BUILDINGS</t>
        </is>
      </c>
      <c r="E261" s="5" t="inlineStr">
        <is>
          <t>Demolish buildings with asbestos linings to ground level and dispose off site</t>
        </is>
      </c>
      <c r="F261" s="5" t="inlineStr">
        <is>
          <t>reinforced concrete frame with brick infill</t>
        </is>
      </c>
      <c r="G261" s="6" t="inlineStr">
        <is>
          <t>m3</t>
        </is>
      </c>
      <c r="H261" s="7" t="n"/>
      <c r="I261" s="8" t="n">
        <v>0</v>
      </c>
      <c r="J261" s="8" t="n">
        <v>0</v>
      </c>
      <c r="K261" s="8" t="n">
        <v>0</v>
      </c>
      <c r="L261" s="8" t="n">
        <v>45.71</v>
      </c>
      <c r="M261" s="9">
        <f>ROUND(SUM(I261:L261),2)</f>
        <v/>
      </c>
      <c r="N261" s="10">
        <f>ROUND(I261*'Irish Basis'!$C$6*'Irish Basis'!$C$5,2)</f>
        <v/>
      </c>
      <c r="O261" s="10">
        <f>ROUND(J261*'Irish Basis'!$C$7*'Irish Basis'!$C$5,2)</f>
        <v/>
      </c>
      <c r="P261" s="10">
        <f>ROUND(K261*'Irish Basis'!$C$8*'Irish Basis'!$C$5,2)</f>
        <v/>
      </c>
      <c r="Q261" s="10">
        <f>ROUND(L261*'Irish Basis'!$C$12*'Irish Basis'!$C$5,2)</f>
        <v/>
      </c>
      <c r="R261" s="11">
        <f>ROUND(SUM(N261:Q261),2)</f>
        <v/>
      </c>
      <c r="S261" s="5" t="inlineStr">
        <is>
          <t>All-in specialist rate</t>
        </is>
      </c>
      <c r="T261" s="14" t="inlineStr">
        <is>
          <t>All-in (not split)</t>
        </is>
      </c>
      <c r="U261" s="8" t="n">
        <v>45.71</v>
      </c>
      <c r="V261" s="13">
        <f>IF(U261="","",ROUND(M261-U261,2))</f>
        <v/>
      </c>
      <c r="W261" s="5" t="n"/>
      <c r="X261" s="5" t="inlineStr">
        <is>
          <t>Source publishes a specialist/sub-contract all-in rate; no labour/plant/material build-up exists to derive from.</t>
        </is>
      </c>
    </row>
    <row r="262" ht="13" customHeight="1">
      <c r="A262" s="4" t="n">
        <v>488</v>
      </c>
      <c r="B262" s="5" t="inlineStr">
        <is>
          <t>IMG_0071</t>
        </is>
      </c>
      <c r="C262" s="5" t="inlineStr">
        <is>
          <t>CLASS D: DEMOLITION AND SITE CLEARANCE</t>
        </is>
      </c>
      <c r="D262" s="5" t="inlineStr">
        <is>
          <t>04 BUILDINGS</t>
        </is>
      </c>
      <c r="E262" s="5" t="inlineStr">
        <is>
          <t>Demolish buildings with asbestos linings to ground level and dispose off site</t>
        </is>
      </c>
      <c r="F262" s="5" t="inlineStr">
        <is>
          <t>steel frame with brick cladding</t>
        </is>
      </c>
      <c r="G262" s="6" t="inlineStr">
        <is>
          <t>m3</t>
        </is>
      </c>
      <c r="H262" s="7" t="n"/>
      <c r="I262" s="8" t="n">
        <v>0</v>
      </c>
      <c r="J262" s="8" t="n">
        <v>0</v>
      </c>
      <c r="K262" s="8" t="n">
        <v>0</v>
      </c>
      <c r="L262" s="8" t="n">
        <v>25</v>
      </c>
      <c r="M262" s="9">
        <f>ROUND(SUM(I262:L262),2)</f>
        <v/>
      </c>
      <c r="N262" s="10">
        <f>ROUND(I262*'Irish Basis'!$C$6*'Irish Basis'!$C$5,2)</f>
        <v/>
      </c>
      <c r="O262" s="10">
        <f>ROUND(J262*'Irish Basis'!$C$7*'Irish Basis'!$C$5,2)</f>
        <v/>
      </c>
      <c r="P262" s="10">
        <f>ROUND(K262*'Irish Basis'!$C$8*'Irish Basis'!$C$5,2)</f>
        <v/>
      </c>
      <c r="Q262" s="10">
        <f>ROUND(L262*'Irish Basis'!$C$12*'Irish Basis'!$C$5,2)</f>
        <v/>
      </c>
      <c r="R262" s="11">
        <f>ROUND(SUM(N262:Q262),2)</f>
        <v/>
      </c>
      <c r="S262" s="5" t="inlineStr">
        <is>
          <t>All-in specialist rate</t>
        </is>
      </c>
      <c r="T262" s="14" t="inlineStr">
        <is>
          <t>All-in (not split)</t>
        </is>
      </c>
      <c r="U262" s="8" t="n">
        <v>25</v>
      </c>
      <c r="V262" s="13">
        <f>IF(U262="","",ROUND(M262-U262,2))</f>
        <v/>
      </c>
      <c r="W262" s="5" t="n"/>
      <c r="X262" s="5" t="inlineStr">
        <is>
          <t>Source publishes a specialist/sub-contract all-in rate; no labour/plant/material build-up exists to derive from.</t>
        </is>
      </c>
    </row>
    <row r="263" ht="13" customHeight="1">
      <c r="A263" s="4" t="n">
        <v>489</v>
      </c>
      <c r="B263" s="5" t="inlineStr">
        <is>
          <t>IMG_0071</t>
        </is>
      </c>
      <c r="C263" s="5" t="inlineStr">
        <is>
          <t>CLASS D: DEMOLITION AND SITE CLEARANCE</t>
        </is>
      </c>
      <c r="D263" s="5" t="inlineStr">
        <is>
          <t>04 BUILDINGS</t>
        </is>
      </c>
      <c r="E263" s="5" t="inlineStr">
        <is>
          <t>Demolish buildings with asbestos linings to ground level and dispose off site</t>
        </is>
      </c>
      <c r="F263" s="5" t="inlineStr">
        <is>
          <t>steel frame with sheet cladding</t>
        </is>
      </c>
      <c r="G263" s="6" t="inlineStr">
        <is>
          <t>m3</t>
        </is>
      </c>
      <c r="H263" s="7" t="n"/>
      <c r="I263" s="8" t="n">
        <v>0</v>
      </c>
      <c r="J263" s="8" t="n">
        <v>0</v>
      </c>
      <c r="K263" s="8" t="n">
        <v>0</v>
      </c>
      <c r="L263" s="8" t="n">
        <v>25.96</v>
      </c>
      <c r="M263" s="9">
        <f>ROUND(SUM(I263:L263),2)</f>
        <v/>
      </c>
      <c r="N263" s="10">
        <f>ROUND(I263*'Irish Basis'!$C$6*'Irish Basis'!$C$5,2)</f>
        <v/>
      </c>
      <c r="O263" s="10">
        <f>ROUND(J263*'Irish Basis'!$C$7*'Irish Basis'!$C$5,2)</f>
        <v/>
      </c>
      <c r="P263" s="10">
        <f>ROUND(K263*'Irish Basis'!$C$8*'Irish Basis'!$C$5,2)</f>
        <v/>
      </c>
      <c r="Q263" s="10">
        <f>ROUND(L263*'Irish Basis'!$C$12*'Irish Basis'!$C$5,2)</f>
        <v/>
      </c>
      <c r="R263" s="11">
        <f>ROUND(SUM(N263:Q263),2)</f>
        <v/>
      </c>
      <c r="S263" s="5" t="inlineStr">
        <is>
          <t>All-in specialist rate</t>
        </is>
      </c>
      <c r="T263" s="14" t="inlineStr">
        <is>
          <t>All-in (not split)</t>
        </is>
      </c>
      <c r="U263" s="8" t="n">
        <v>25.96</v>
      </c>
      <c r="V263" s="13">
        <f>IF(U263="","",ROUND(M263-U263,2))</f>
        <v/>
      </c>
      <c r="W263" s="5" t="n"/>
      <c r="X263" s="5" t="inlineStr">
        <is>
          <t>Source publishes a specialist/sub-contract all-in rate; no labour/plant/material build-up exists to derive from.</t>
        </is>
      </c>
    </row>
    <row r="264" ht="13" customHeight="1">
      <c r="A264" s="4" t="n">
        <v>492</v>
      </c>
      <c r="B264" s="5" t="inlineStr">
        <is>
          <t>IMG_0071</t>
        </is>
      </c>
      <c r="C264" s="5" t="inlineStr">
        <is>
          <t>CLASS D: DEMOLITION AND SITE CLEARANCE</t>
        </is>
      </c>
      <c r="D264" s="5" t="inlineStr">
        <is>
          <t>05 OTHER STRUCTURES</t>
        </is>
      </c>
      <c r="E264" s="5" t="inlineStr"/>
      <c r="F264" s="5" t="inlineStr">
        <is>
          <t>Demolish walls to ground level and dispose off site reinforced concrete wall</t>
        </is>
      </c>
      <c r="G264" s="6" t="inlineStr">
        <is>
          <t>m3</t>
        </is>
      </c>
      <c r="H264" s="7" t="n"/>
      <c r="I264" s="8" t="n">
        <v>0</v>
      </c>
      <c r="J264" s="8" t="n">
        <v>0</v>
      </c>
      <c r="K264" s="8" t="n">
        <v>0</v>
      </c>
      <c r="L264" s="8" t="n">
        <v>242.17</v>
      </c>
      <c r="M264" s="9">
        <f>ROUND(SUM(I264:L264),2)</f>
        <v/>
      </c>
      <c r="N264" s="10">
        <f>ROUND(I264*'Irish Basis'!$C$6*'Irish Basis'!$C$5,2)</f>
        <v/>
      </c>
      <c r="O264" s="10">
        <f>ROUND(J264*'Irish Basis'!$C$7*'Irish Basis'!$C$5,2)</f>
        <v/>
      </c>
      <c r="P264" s="10">
        <f>ROUND(K264*'Irish Basis'!$C$8*'Irish Basis'!$C$5,2)</f>
        <v/>
      </c>
      <c r="Q264" s="10">
        <f>ROUND(L264*'Irish Basis'!$C$12*'Irish Basis'!$C$5,2)</f>
        <v/>
      </c>
      <c r="R264" s="11">
        <f>ROUND(SUM(N264:Q264),2)</f>
        <v/>
      </c>
      <c r="S264" s="5" t="inlineStr">
        <is>
          <t>All-in specialist rate</t>
        </is>
      </c>
      <c r="T264" s="14" t="inlineStr">
        <is>
          <t>All-in (not split)</t>
        </is>
      </c>
      <c r="U264" s="8" t="n">
        <v>242.17</v>
      </c>
      <c r="V264" s="13">
        <f>IF(U264="","",ROUND(M264-U264,2))</f>
        <v/>
      </c>
      <c r="W264" s="5" t="n"/>
      <c r="X264" s="5" t="inlineStr">
        <is>
          <t>Source publishes a specialist/sub-contract all-in rate; no labour/plant/material build-up exists to derive from.</t>
        </is>
      </c>
    </row>
    <row r="265" ht="13" customHeight="1">
      <c r="A265" s="4" t="n">
        <v>493</v>
      </c>
      <c r="B265" s="5" t="inlineStr">
        <is>
          <t>IMG_0071</t>
        </is>
      </c>
      <c r="C265" s="5" t="inlineStr">
        <is>
          <t>CLASS D: DEMOLITION AND SITE CLEARANCE</t>
        </is>
      </c>
      <c r="D265" s="5" t="inlineStr">
        <is>
          <t>05 OTHER STRUCTURES</t>
        </is>
      </c>
      <c r="E265" s="5" t="inlineStr"/>
      <c r="F265" s="5" t="inlineStr">
        <is>
          <t>brick or masonry wall</t>
        </is>
      </c>
      <c r="G265" s="6" t="inlineStr">
        <is>
          <t>m3</t>
        </is>
      </c>
      <c r="H265" s="7" t="n"/>
      <c r="I265" s="8" t="n">
        <v>0</v>
      </c>
      <c r="J265" s="8" t="n">
        <v>0</v>
      </c>
      <c r="K265" s="8" t="n">
        <v>0</v>
      </c>
      <c r="L265" s="8" t="n">
        <v>112.09</v>
      </c>
      <c r="M265" s="9">
        <f>ROUND(SUM(I265:L265),2)</f>
        <v/>
      </c>
      <c r="N265" s="10">
        <f>ROUND(I265*'Irish Basis'!$C$6*'Irish Basis'!$C$5,2)</f>
        <v/>
      </c>
      <c r="O265" s="10">
        <f>ROUND(J265*'Irish Basis'!$C$7*'Irish Basis'!$C$5,2)</f>
        <v/>
      </c>
      <c r="P265" s="10">
        <f>ROUND(K265*'Irish Basis'!$C$8*'Irish Basis'!$C$5,2)</f>
        <v/>
      </c>
      <c r="Q265" s="10">
        <f>ROUND(L265*'Irish Basis'!$C$12*'Irish Basis'!$C$5,2)</f>
        <v/>
      </c>
      <c r="R265" s="11">
        <f>ROUND(SUM(N265:Q265),2)</f>
        <v/>
      </c>
      <c r="S265" s="5" t="inlineStr">
        <is>
          <t>All-in specialist rate</t>
        </is>
      </c>
      <c r="T265" s="14" t="inlineStr">
        <is>
          <t>All-in (not split)</t>
        </is>
      </c>
      <c r="U265" s="8" t="n">
        <v>112.09</v>
      </c>
      <c r="V265" s="13">
        <f>IF(U265="","",ROUND(M265-U265,2))</f>
        <v/>
      </c>
      <c r="W265" s="5" t="n"/>
      <c r="X265" s="5" t="inlineStr">
        <is>
          <t>Source publishes a specialist/sub-contract all-in rate; no labour/plant/material build-up exists to derive from.</t>
        </is>
      </c>
    </row>
    <row r="266" ht="13" customHeight="1">
      <c r="A266" s="4" t="n">
        <v>494</v>
      </c>
      <c r="B266" s="5" t="inlineStr">
        <is>
          <t>IMG_0071</t>
        </is>
      </c>
      <c r="C266" s="5" t="inlineStr">
        <is>
          <t>CLASS D: DEMOLITION AND SITE CLEARANCE</t>
        </is>
      </c>
      <c r="D266" s="5" t="inlineStr">
        <is>
          <t>05 OTHER STRUCTURES</t>
        </is>
      </c>
      <c r="E266" s="5" t="inlineStr"/>
      <c r="F266" s="5" t="inlineStr">
        <is>
          <t>brick or masonry retaining wall</t>
        </is>
      </c>
      <c r="G266" s="6" t="inlineStr">
        <is>
          <t>m3</t>
        </is>
      </c>
      <c r="H266" s="7" t="n"/>
      <c r="I266" s="8" t="n">
        <v>0</v>
      </c>
      <c r="J266" s="8" t="n">
        <v>0</v>
      </c>
      <c r="K266" s="8" t="n">
        <v>0</v>
      </c>
      <c r="L266" s="8" t="n">
        <v>136.98</v>
      </c>
      <c r="M266" s="9">
        <f>ROUND(SUM(I266:L266),2)</f>
        <v/>
      </c>
      <c r="N266" s="10">
        <f>ROUND(I266*'Irish Basis'!$C$6*'Irish Basis'!$C$5,2)</f>
        <v/>
      </c>
      <c r="O266" s="10">
        <f>ROUND(J266*'Irish Basis'!$C$7*'Irish Basis'!$C$5,2)</f>
        <v/>
      </c>
      <c r="P266" s="10">
        <f>ROUND(K266*'Irish Basis'!$C$8*'Irish Basis'!$C$5,2)</f>
        <v/>
      </c>
      <c r="Q266" s="10">
        <f>ROUND(L266*'Irish Basis'!$C$12*'Irish Basis'!$C$5,2)</f>
        <v/>
      </c>
      <c r="R266" s="11">
        <f>ROUND(SUM(N266:Q266),2)</f>
        <v/>
      </c>
      <c r="S266" s="5" t="inlineStr">
        <is>
          <t>All-in specialist rate</t>
        </is>
      </c>
      <c r="T266" s="14" t="inlineStr">
        <is>
          <t>All-in (not split)</t>
        </is>
      </c>
      <c r="U266" s="8" t="n">
        <v>136.98</v>
      </c>
      <c r="V266" s="13">
        <f>IF(U266="","",ROUND(M266-U266,2))</f>
        <v/>
      </c>
      <c r="W266" s="5" t="n"/>
      <c r="X266" s="5" t="inlineStr">
        <is>
          <t>Source publishes a specialist/sub-contract all-in rate; no labour/plant/material build-up exists to derive from.</t>
        </is>
      </c>
    </row>
    <row r="267" ht="13" customHeight="1">
      <c r="A267" s="4" t="n">
        <v>497</v>
      </c>
      <c r="B267" s="5" t="inlineStr">
        <is>
          <t>IMG_0071</t>
        </is>
      </c>
      <c r="C267" s="5" t="inlineStr">
        <is>
          <t>CLASS D: DEMOLITION AND SITE CLEARANCE</t>
        </is>
      </c>
      <c r="D267" s="5" t="inlineStr">
        <is>
          <t>06 PIPELINES</t>
        </is>
      </c>
      <c r="E267" s="5" t="inlineStr">
        <is>
          <t>Removal of redundant services</t>
        </is>
      </c>
      <c r="F267" s="5" t="inlineStr">
        <is>
          <t>electric cable; LV</t>
        </is>
      </c>
      <c r="G267" s="6" t="inlineStr">
        <is>
          <t>m</t>
        </is>
      </c>
      <c r="H267" s="7" t="n"/>
      <c r="I267" s="8" t="n">
        <v>0</v>
      </c>
      <c r="J267" s="8" t="n">
        <v>0</v>
      </c>
      <c r="K267" s="8" t="n">
        <v>0</v>
      </c>
      <c r="L267" s="8" t="n">
        <v>4.18</v>
      </c>
      <c r="M267" s="9">
        <f>ROUND(SUM(I267:L267),2)</f>
        <v/>
      </c>
      <c r="N267" s="10">
        <f>ROUND(I267*'Irish Basis'!$C$6*'Irish Basis'!$C$5,2)</f>
        <v/>
      </c>
      <c r="O267" s="10">
        <f>ROUND(J267*'Irish Basis'!$C$7*'Irish Basis'!$C$5,2)</f>
        <v/>
      </c>
      <c r="P267" s="10">
        <f>ROUND(K267*'Irish Basis'!$C$8*'Irish Basis'!$C$5,2)</f>
        <v/>
      </c>
      <c r="Q267" s="10">
        <f>ROUND(L267*'Irish Basis'!$C$12*'Irish Basis'!$C$5,2)</f>
        <v/>
      </c>
      <c r="R267" s="11">
        <f>ROUND(SUM(N267:Q267),2)</f>
        <v/>
      </c>
      <c r="S267" s="5" t="inlineStr">
        <is>
          <t>All-in specialist rate</t>
        </is>
      </c>
      <c r="T267" s="14" t="inlineStr">
        <is>
          <t>All-in (not split)</t>
        </is>
      </c>
      <c r="U267" s="8" t="n">
        <v>4.18</v>
      </c>
      <c r="V267" s="13">
        <f>IF(U267="","",ROUND(M267-U267,2))</f>
        <v/>
      </c>
      <c r="W267" s="5" t="n"/>
      <c r="X267" s="5" t="inlineStr">
        <is>
          <t>Source publishes a specialist/sub-contract all-in rate; no labour/plant/material build-up exists to derive from.</t>
        </is>
      </c>
    </row>
    <row r="268" ht="13" customHeight="1">
      <c r="A268" s="4" t="n">
        <v>498</v>
      </c>
      <c r="B268" s="5" t="inlineStr">
        <is>
          <t>IMG_0071</t>
        </is>
      </c>
      <c r="C268" s="5" t="inlineStr">
        <is>
          <t>CLASS D: DEMOLITION AND SITE CLEARANCE</t>
        </is>
      </c>
      <c r="D268" s="5" t="inlineStr">
        <is>
          <t>06 PIPELINES</t>
        </is>
      </c>
      <c r="E268" s="5" t="inlineStr">
        <is>
          <t>Removal of redundant services</t>
        </is>
      </c>
      <c r="F268" s="5" t="inlineStr">
        <is>
          <t>75 mm dia. water main; low pressure</t>
        </is>
      </c>
      <c r="G268" s="6" t="inlineStr">
        <is>
          <t>m</t>
        </is>
      </c>
      <c r="H268" s="7" t="n"/>
      <c r="I268" s="8" t="n">
        <v>0</v>
      </c>
      <c r="J268" s="8" t="n">
        <v>0</v>
      </c>
      <c r="K268" s="8" t="n">
        <v>0</v>
      </c>
      <c r="L268" s="8" t="n">
        <v>8.369999999999999</v>
      </c>
      <c r="M268" s="9">
        <f>ROUND(SUM(I268:L268),2)</f>
        <v/>
      </c>
      <c r="N268" s="10">
        <f>ROUND(I268*'Irish Basis'!$C$6*'Irish Basis'!$C$5,2)</f>
        <v/>
      </c>
      <c r="O268" s="10">
        <f>ROUND(J268*'Irish Basis'!$C$7*'Irish Basis'!$C$5,2)</f>
        <v/>
      </c>
      <c r="P268" s="10">
        <f>ROUND(K268*'Irish Basis'!$C$8*'Irish Basis'!$C$5,2)</f>
        <v/>
      </c>
      <c r="Q268" s="10">
        <f>ROUND(L268*'Irish Basis'!$C$12*'Irish Basis'!$C$5,2)</f>
        <v/>
      </c>
      <c r="R268" s="11">
        <f>ROUND(SUM(N268:Q268),2)</f>
        <v/>
      </c>
      <c r="S268" s="5" t="inlineStr">
        <is>
          <t>All-in specialist rate</t>
        </is>
      </c>
      <c r="T268" s="14" t="inlineStr">
        <is>
          <t>All-in (not split)</t>
        </is>
      </c>
      <c r="U268" s="8" t="n">
        <v>8.369999999999999</v>
      </c>
      <c r="V268" s="13">
        <f>IF(U268="","",ROUND(M268-U268,2))</f>
        <v/>
      </c>
      <c r="W268" s="5" t="n"/>
      <c r="X268" s="5" t="inlineStr">
        <is>
          <t>Source publishes a specialist/sub-contract all-in rate; no labour/plant/material build-up exists to derive from.</t>
        </is>
      </c>
    </row>
    <row r="269" ht="13" customHeight="1">
      <c r="A269" s="4" t="n">
        <v>500</v>
      </c>
      <c r="B269" s="5" t="inlineStr">
        <is>
          <t>IMG_0072</t>
        </is>
      </c>
      <c r="C269" s="5" t="inlineStr">
        <is>
          <t>CLASS D: DEMOLITION AND SITE CLEARANCE</t>
        </is>
      </c>
      <c r="D269" s="5" t="inlineStr">
        <is>
          <t>06 PIPELINES</t>
        </is>
      </c>
      <c r="E269" s="5" t="inlineStr">
        <is>
          <t>Removal of redundant services (continued)</t>
        </is>
      </c>
      <c r="F269" s="5" t="inlineStr">
        <is>
          <t>150 mm dia. gas main; low pressure</t>
        </is>
      </c>
      <c r="G269" s="6" t="inlineStr">
        <is>
          <t>m</t>
        </is>
      </c>
      <c r="H269" s="7" t="n"/>
      <c r="I269" s="8" t="n">
        <v>0</v>
      </c>
      <c r="J269" s="8" t="n">
        <v>0</v>
      </c>
      <c r="K269" s="8" t="n">
        <v>0</v>
      </c>
      <c r="L269" s="8" t="n">
        <v>10.04</v>
      </c>
      <c r="M269" s="9">
        <f>ROUND(SUM(I269:L269),2)</f>
        <v/>
      </c>
      <c r="N269" s="10">
        <f>ROUND(I269*'Irish Basis'!$C$6*'Irish Basis'!$C$5,2)</f>
        <v/>
      </c>
      <c r="O269" s="10">
        <f>ROUND(J269*'Irish Basis'!$C$7*'Irish Basis'!$C$5,2)</f>
        <v/>
      </c>
      <c r="P269" s="10">
        <f>ROUND(K269*'Irish Basis'!$C$8*'Irish Basis'!$C$5,2)</f>
        <v/>
      </c>
      <c r="Q269" s="10">
        <f>ROUND(L269*'Irish Basis'!$C$12*'Irish Basis'!$C$5,2)</f>
        <v/>
      </c>
      <c r="R269" s="11">
        <f>ROUND(SUM(N269:Q269),2)</f>
        <v/>
      </c>
      <c r="S269" s="5" t="inlineStr">
        <is>
          <t>All-in specialist rate</t>
        </is>
      </c>
      <c r="T269" s="14" t="inlineStr">
        <is>
          <t>All-in (not split)</t>
        </is>
      </c>
      <c r="U269" s="8" t="n">
        <v>10.04</v>
      </c>
      <c r="V269" s="13">
        <f>IF(U269="","",ROUND(M269-U269,2))</f>
        <v/>
      </c>
      <c r="W269" s="5" t="n"/>
      <c r="X269" s="5" t="inlineStr">
        <is>
          <t>Source publishes a specialist/sub-contract all-in rate; no labour/plant/material build-up exists to derive from.</t>
        </is>
      </c>
    </row>
    <row r="270" ht="13" customHeight="1">
      <c r="A270" s="4" t="n">
        <v>501</v>
      </c>
      <c r="B270" s="5" t="inlineStr">
        <is>
          <t>IMG_0072</t>
        </is>
      </c>
      <c r="C270" s="5" t="inlineStr">
        <is>
          <t>CLASS D: DEMOLITION AND SITE CLEARANCE</t>
        </is>
      </c>
      <c r="D270" s="5" t="inlineStr">
        <is>
          <t>06 PIPELINES</t>
        </is>
      </c>
      <c r="E270" s="5" t="inlineStr">
        <is>
          <t>Removal of redundant services (continued)</t>
        </is>
      </c>
      <c r="F270" s="5" t="inlineStr">
        <is>
          <t>earthenware ducts; one way</t>
        </is>
      </c>
      <c r="G270" s="6" t="inlineStr">
        <is>
          <t>m</t>
        </is>
      </c>
      <c r="H270" s="7" t="n"/>
      <c r="I270" s="8" t="n">
        <v>0</v>
      </c>
      <c r="J270" s="8" t="n">
        <v>0</v>
      </c>
      <c r="K270" s="8" t="n">
        <v>0</v>
      </c>
      <c r="L270" s="8" t="n">
        <v>4.18</v>
      </c>
      <c r="M270" s="9">
        <f>ROUND(SUM(I270:L270),2)</f>
        <v/>
      </c>
      <c r="N270" s="10">
        <f>ROUND(I270*'Irish Basis'!$C$6*'Irish Basis'!$C$5,2)</f>
        <v/>
      </c>
      <c r="O270" s="10">
        <f>ROUND(J270*'Irish Basis'!$C$7*'Irish Basis'!$C$5,2)</f>
        <v/>
      </c>
      <c r="P270" s="10">
        <f>ROUND(K270*'Irish Basis'!$C$8*'Irish Basis'!$C$5,2)</f>
        <v/>
      </c>
      <c r="Q270" s="10">
        <f>ROUND(L270*'Irish Basis'!$C$12*'Irish Basis'!$C$5,2)</f>
        <v/>
      </c>
      <c r="R270" s="11">
        <f>ROUND(SUM(N270:Q270),2)</f>
        <v/>
      </c>
      <c r="S270" s="5" t="inlineStr">
        <is>
          <t>All-in specialist rate</t>
        </is>
      </c>
      <c r="T270" s="14" t="inlineStr">
        <is>
          <t>All-in (not split)</t>
        </is>
      </c>
      <c r="U270" s="8" t="n">
        <v>4.18</v>
      </c>
      <c r="V270" s="13">
        <f>IF(U270="","",ROUND(M270-U270,2))</f>
        <v/>
      </c>
      <c r="W270" s="5" t="n"/>
      <c r="X270" s="5" t="inlineStr">
        <is>
          <t>Source publishes a specialist/sub-contract all-in rate; no labour/plant/material build-up exists to derive from.</t>
        </is>
      </c>
    </row>
    <row r="271" ht="13" customHeight="1">
      <c r="A271" s="4" t="n">
        <v>502</v>
      </c>
      <c r="B271" s="5" t="inlineStr">
        <is>
          <t>IMG_0072</t>
        </is>
      </c>
      <c r="C271" s="5" t="inlineStr">
        <is>
          <t>CLASS D: DEMOLITION AND SITE CLEARANCE</t>
        </is>
      </c>
      <c r="D271" s="5" t="inlineStr">
        <is>
          <t>06 PIPELINES</t>
        </is>
      </c>
      <c r="E271" s="5" t="inlineStr">
        <is>
          <t>Removal of redundant services (continued)</t>
        </is>
      </c>
      <c r="F271" s="5" t="inlineStr">
        <is>
          <t>earthenware ducts; two way</t>
        </is>
      </c>
      <c r="G271" s="6" t="inlineStr">
        <is>
          <t>m</t>
        </is>
      </c>
      <c r="H271" s="7" t="n"/>
      <c r="I271" s="8" t="n">
        <v>0</v>
      </c>
      <c r="J271" s="8" t="n">
        <v>0</v>
      </c>
      <c r="K271" s="8" t="n">
        <v>0</v>
      </c>
      <c r="L271" s="8" t="n">
        <v>8.380000000000001</v>
      </c>
      <c r="M271" s="9">
        <f>ROUND(SUM(I271:L271),2)</f>
        <v/>
      </c>
      <c r="N271" s="10">
        <f>ROUND(I271*'Irish Basis'!$C$6*'Irish Basis'!$C$5,2)</f>
        <v/>
      </c>
      <c r="O271" s="10">
        <f>ROUND(J271*'Irish Basis'!$C$7*'Irish Basis'!$C$5,2)</f>
        <v/>
      </c>
      <c r="P271" s="10">
        <f>ROUND(K271*'Irish Basis'!$C$8*'Irish Basis'!$C$5,2)</f>
        <v/>
      </c>
      <c r="Q271" s="10">
        <f>ROUND(L271*'Irish Basis'!$C$12*'Irish Basis'!$C$5,2)</f>
        <v/>
      </c>
      <c r="R271" s="11">
        <f>ROUND(SUM(N271:Q271),2)</f>
        <v/>
      </c>
      <c r="S271" s="5" t="inlineStr">
        <is>
          <t>All-in specialist rate</t>
        </is>
      </c>
      <c r="T271" s="14" t="inlineStr">
        <is>
          <t>All-in (not split)</t>
        </is>
      </c>
      <c r="U271" s="8" t="n">
        <v>8.380000000000001</v>
      </c>
      <c r="V271" s="13">
        <f>IF(U271="","",ROUND(M271-U271,2))</f>
        <v/>
      </c>
      <c r="W271" s="5" t="n"/>
      <c r="X271" s="5" t="inlineStr">
        <is>
          <t>Source publishes a specialist/sub-contract all-in rate; no labour/plant/material build-up exists to derive from.</t>
        </is>
      </c>
    </row>
    <row r="272" ht="13" customHeight="1">
      <c r="A272" s="4" t="n">
        <v>503</v>
      </c>
      <c r="B272" s="5" t="inlineStr">
        <is>
          <t>IMG_0072</t>
        </is>
      </c>
      <c r="C272" s="5" t="inlineStr">
        <is>
          <t>CLASS D: DEMOLITION AND SITE CLEARANCE</t>
        </is>
      </c>
      <c r="D272" s="5" t="inlineStr">
        <is>
          <t>06 PIPELINES</t>
        </is>
      </c>
      <c r="E272" s="5" t="inlineStr">
        <is>
          <t>Removal of redundant services (continued)</t>
        </is>
      </c>
      <c r="F272" s="5" t="inlineStr">
        <is>
          <t>100 or 150 mm dia. sewer or drain</t>
        </is>
      </c>
      <c r="G272" s="6" t="inlineStr">
        <is>
          <t>m</t>
        </is>
      </c>
      <c r="H272" s="7" t="n"/>
      <c r="I272" s="8" t="n">
        <v>0</v>
      </c>
      <c r="J272" s="8" t="n">
        <v>0</v>
      </c>
      <c r="K272" s="8" t="n">
        <v>0</v>
      </c>
      <c r="L272" s="8" t="n">
        <v>18.02</v>
      </c>
      <c r="M272" s="9">
        <f>ROUND(SUM(I272:L272),2)</f>
        <v/>
      </c>
      <c r="N272" s="10">
        <f>ROUND(I272*'Irish Basis'!$C$6*'Irish Basis'!$C$5,2)</f>
        <v/>
      </c>
      <c r="O272" s="10">
        <f>ROUND(J272*'Irish Basis'!$C$7*'Irish Basis'!$C$5,2)</f>
        <v/>
      </c>
      <c r="P272" s="10">
        <f>ROUND(K272*'Irish Basis'!$C$8*'Irish Basis'!$C$5,2)</f>
        <v/>
      </c>
      <c r="Q272" s="10">
        <f>ROUND(L272*'Irish Basis'!$C$12*'Irish Basis'!$C$5,2)</f>
        <v/>
      </c>
      <c r="R272" s="11">
        <f>ROUND(SUM(N272:Q272),2)</f>
        <v/>
      </c>
      <c r="S272" s="5" t="inlineStr">
        <is>
          <t>All-in specialist rate</t>
        </is>
      </c>
      <c r="T272" s="14" t="inlineStr">
        <is>
          <t>All-in (not split)</t>
        </is>
      </c>
      <c r="U272" s="8" t="n">
        <v>18.02</v>
      </c>
      <c r="V272" s="13">
        <f>IF(U272="","",ROUND(M272-U272,2))</f>
        <v/>
      </c>
      <c r="W272" s="5" t="n"/>
      <c r="X272" s="5" t="inlineStr">
        <is>
          <t>Source publishes a specialist/sub-contract all-in rate; no labour/plant/material build-up exists to derive from.</t>
        </is>
      </c>
    </row>
    <row r="273" ht="13" customHeight="1">
      <c r="A273" s="4" t="n">
        <v>504</v>
      </c>
      <c r="B273" s="5" t="inlineStr">
        <is>
          <t>IMG_0072</t>
        </is>
      </c>
      <c r="C273" s="5" t="inlineStr">
        <is>
          <t>CLASS D: DEMOLITION AND SITE CLEARANCE</t>
        </is>
      </c>
      <c r="D273" s="5" t="inlineStr">
        <is>
          <t>06 PIPELINES</t>
        </is>
      </c>
      <c r="E273" s="5" t="inlineStr">
        <is>
          <t>Removal of redundant services (continued)</t>
        </is>
      </c>
      <c r="F273" s="5" t="inlineStr">
        <is>
          <t>225 mm dia. sewer or drain</t>
        </is>
      </c>
      <c r="G273" s="6" t="inlineStr">
        <is>
          <t>m</t>
        </is>
      </c>
      <c r="H273" s="7" t="n"/>
      <c r="I273" s="8" t="n">
        <v>0</v>
      </c>
      <c r="J273" s="8" t="n">
        <v>0</v>
      </c>
      <c r="K273" s="8" t="n">
        <v>0</v>
      </c>
      <c r="L273" s="8" t="n">
        <v>26.2</v>
      </c>
      <c r="M273" s="9">
        <f>ROUND(SUM(I273:L273),2)</f>
        <v/>
      </c>
      <c r="N273" s="10">
        <f>ROUND(I273*'Irish Basis'!$C$6*'Irish Basis'!$C$5,2)</f>
        <v/>
      </c>
      <c r="O273" s="10">
        <f>ROUND(J273*'Irish Basis'!$C$7*'Irish Basis'!$C$5,2)</f>
        <v/>
      </c>
      <c r="P273" s="10">
        <f>ROUND(K273*'Irish Basis'!$C$8*'Irish Basis'!$C$5,2)</f>
        <v/>
      </c>
      <c r="Q273" s="10">
        <f>ROUND(L273*'Irish Basis'!$C$12*'Irish Basis'!$C$5,2)</f>
        <v/>
      </c>
      <c r="R273" s="11">
        <f>ROUND(SUM(N273:Q273),2)</f>
        <v/>
      </c>
      <c r="S273" s="5" t="inlineStr">
        <is>
          <t>All-in specialist rate</t>
        </is>
      </c>
      <c r="T273" s="14" t="inlineStr">
        <is>
          <t>All-in (not split)</t>
        </is>
      </c>
      <c r="U273" s="8" t="n">
        <v>26.2</v>
      </c>
      <c r="V273" s="13">
        <f>IF(U273="","",ROUND(M273-U273,2))</f>
        <v/>
      </c>
      <c r="W273" s="5" t="n"/>
      <c r="X273" s="5" t="inlineStr">
        <is>
          <t>Source publishes a specialist/sub-contract all-in rate; no labour/plant/material build-up exists to derive from.</t>
        </is>
      </c>
    </row>
    <row r="274" ht="13" customHeight="1">
      <c r="A274" s="4" t="n">
        <v>505</v>
      </c>
      <c r="B274" s="5" t="inlineStr">
        <is>
          <t>IMG_0072</t>
        </is>
      </c>
      <c r="C274" s="5" t="inlineStr">
        <is>
          <t>CLASS D: DEMOLITION AND SITE CLEARANCE</t>
        </is>
      </c>
      <c r="D274" s="5" t="inlineStr">
        <is>
          <t>06 PIPELINES</t>
        </is>
      </c>
      <c r="E274" s="5" t="inlineStr">
        <is>
          <t>Removal of redundant services (continued)</t>
        </is>
      </c>
      <c r="F274" s="5" t="inlineStr">
        <is>
          <t>300 mm dia. sewer or drain</t>
        </is>
      </c>
      <c r="G274" s="6" t="inlineStr">
        <is>
          <t>m</t>
        </is>
      </c>
      <c r="H274" s="7" t="n"/>
      <c r="I274" s="8" t="n">
        <v>0</v>
      </c>
      <c r="J274" s="8" t="n">
        <v>0</v>
      </c>
      <c r="K274" s="8" t="n">
        <v>0</v>
      </c>
      <c r="L274" s="8" t="n">
        <v>29.48</v>
      </c>
      <c r="M274" s="9">
        <f>ROUND(SUM(I274:L274),2)</f>
        <v/>
      </c>
      <c r="N274" s="10">
        <f>ROUND(I274*'Irish Basis'!$C$6*'Irish Basis'!$C$5,2)</f>
        <v/>
      </c>
      <c r="O274" s="10">
        <f>ROUND(J274*'Irish Basis'!$C$7*'Irish Basis'!$C$5,2)</f>
        <v/>
      </c>
      <c r="P274" s="10">
        <f>ROUND(K274*'Irish Basis'!$C$8*'Irish Basis'!$C$5,2)</f>
        <v/>
      </c>
      <c r="Q274" s="10">
        <f>ROUND(L274*'Irish Basis'!$C$12*'Irish Basis'!$C$5,2)</f>
        <v/>
      </c>
      <c r="R274" s="11">
        <f>ROUND(SUM(N274:Q274),2)</f>
        <v/>
      </c>
      <c r="S274" s="5" t="inlineStr">
        <is>
          <t>All-in specialist rate</t>
        </is>
      </c>
      <c r="T274" s="14" t="inlineStr">
        <is>
          <t>All-in (not split)</t>
        </is>
      </c>
      <c r="U274" s="8" t="n">
        <v>29.48</v>
      </c>
      <c r="V274" s="13">
        <f>IF(U274="","",ROUND(M274-U274,2))</f>
        <v/>
      </c>
      <c r="W274" s="5" t="n"/>
      <c r="X274" s="5" t="inlineStr">
        <is>
          <t>Source publishes a specialist/sub-contract all-in rate; no labour/plant/material build-up exists to derive from.</t>
        </is>
      </c>
    </row>
    <row r="275" ht="13" customHeight="1">
      <c r="A275" s="4" t="n">
        <v>506</v>
      </c>
      <c r="B275" s="5" t="inlineStr">
        <is>
          <t>IMG_0072</t>
        </is>
      </c>
      <c r="C275" s="5" t="inlineStr">
        <is>
          <t>CLASS D: DEMOLITION AND SITE CLEARANCE</t>
        </is>
      </c>
      <c r="D275" s="5" t="inlineStr">
        <is>
          <t>06 PIPELINES</t>
        </is>
      </c>
      <c r="E275" s="5" t="inlineStr">
        <is>
          <t>Removal of redundant services (continued)</t>
        </is>
      </c>
      <c r="F275" s="5" t="inlineStr">
        <is>
          <t>450 mm dia. sewer or drain</t>
        </is>
      </c>
      <c r="G275" s="6" t="inlineStr">
        <is>
          <t>m</t>
        </is>
      </c>
      <c r="H275" s="7" t="n"/>
      <c r="I275" s="8" t="n">
        <v>0</v>
      </c>
      <c r="J275" s="8" t="n">
        <v>0</v>
      </c>
      <c r="K275" s="8" t="n">
        <v>0</v>
      </c>
      <c r="L275" s="8" t="n">
        <v>36.01</v>
      </c>
      <c r="M275" s="9">
        <f>ROUND(SUM(I275:L275),2)</f>
        <v/>
      </c>
      <c r="N275" s="10">
        <f>ROUND(I275*'Irish Basis'!$C$6*'Irish Basis'!$C$5,2)</f>
        <v/>
      </c>
      <c r="O275" s="10">
        <f>ROUND(J275*'Irish Basis'!$C$7*'Irish Basis'!$C$5,2)</f>
        <v/>
      </c>
      <c r="P275" s="10">
        <f>ROUND(K275*'Irish Basis'!$C$8*'Irish Basis'!$C$5,2)</f>
        <v/>
      </c>
      <c r="Q275" s="10">
        <f>ROUND(L275*'Irish Basis'!$C$12*'Irish Basis'!$C$5,2)</f>
        <v/>
      </c>
      <c r="R275" s="11">
        <f>ROUND(SUM(N275:Q275),2)</f>
        <v/>
      </c>
      <c r="S275" s="5" t="inlineStr">
        <is>
          <t>All-in specialist rate</t>
        </is>
      </c>
      <c r="T275" s="14" t="inlineStr">
        <is>
          <t>All-in (not split)</t>
        </is>
      </c>
      <c r="U275" s="8" t="n">
        <v>36.01</v>
      </c>
      <c r="V275" s="13">
        <f>IF(U275="","",ROUND(M275-U275,2))</f>
        <v/>
      </c>
      <c r="W275" s="5" t="n"/>
      <c r="X275" s="5" t="inlineStr">
        <is>
          <t>Source publishes a specialist/sub-contract all-in rate; no labour/plant/material build-up exists to derive from.</t>
        </is>
      </c>
    </row>
    <row r="276" ht="13" customHeight="1">
      <c r="A276" s="4" t="n">
        <v>507</v>
      </c>
      <c r="B276" s="5" t="inlineStr">
        <is>
          <t>IMG_0072</t>
        </is>
      </c>
      <c r="C276" s="5" t="inlineStr">
        <is>
          <t>CLASS D: DEMOLITION AND SITE CLEARANCE</t>
        </is>
      </c>
      <c r="D276" s="5" t="inlineStr">
        <is>
          <t>06 PIPELINES</t>
        </is>
      </c>
      <c r="E276" s="5" t="inlineStr">
        <is>
          <t>Removal of redundant services (continued)</t>
        </is>
      </c>
      <c r="F276" s="5" t="inlineStr">
        <is>
          <t>750 mm dia. sewer or drain</t>
        </is>
      </c>
      <c r="G276" s="6" t="inlineStr">
        <is>
          <t>m</t>
        </is>
      </c>
      <c r="H276" s="7" t="n"/>
      <c r="I276" s="8" t="n">
        <v>0</v>
      </c>
      <c r="J276" s="8" t="n">
        <v>0</v>
      </c>
      <c r="K276" s="8" t="n">
        <v>0</v>
      </c>
      <c r="L276" s="8" t="n">
        <v>45.8</v>
      </c>
      <c r="M276" s="9">
        <f>ROUND(SUM(I276:L276),2)</f>
        <v/>
      </c>
      <c r="N276" s="10">
        <f>ROUND(I276*'Irish Basis'!$C$6*'Irish Basis'!$C$5,2)</f>
        <v/>
      </c>
      <c r="O276" s="10">
        <f>ROUND(J276*'Irish Basis'!$C$7*'Irish Basis'!$C$5,2)</f>
        <v/>
      </c>
      <c r="P276" s="10">
        <f>ROUND(K276*'Irish Basis'!$C$8*'Irish Basis'!$C$5,2)</f>
        <v/>
      </c>
      <c r="Q276" s="10">
        <f>ROUND(L276*'Irish Basis'!$C$12*'Irish Basis'!$C$5,2)</f>
        <v/>
      </c>
      <c r="R276" s="11">
        <f>ROUND(SUM(N276:Q276),2)</f>
        <v/>
      </c>
      <c r="S276" s="5" t="inlineStr">
        <is>
          <t>All-in specialist rate</t>
        </is>
      </c>
      <c r="T276" s="14" t="inlineStr">
        <is>
          <t>All-in (not split)</t>
        </is>
      </c>
      <c r="U276" s="8" t="n">
        <v>45.8</v>
      </c>
      <c r="V276" s="13">
        <f>IF(U276="","",ROUND(M276-U276,2))</f>
        <v/>
      </c>
      <c r="W276" s="5" t="n"/>
      <c r="X276" s="5" t="inlineStr">
        <is>
          <t>Source publishes a specialist/sub-contract all-in rate; no labour/plant/material build-up exists to derive from.</t>
        </is>
      </c>
    </row>
    <row r="277" ht="13" customHeight="1">
      <c r="A277" s="4" t="n">
        <v>508</v>
      </c>
      <c r="B277" s="5" t="inlineStr">
        <is>
          <t>IMG_0072</t>
        </is>
      </c>
      <c r="C277" s="5" t="inlineStr">
        <is>
          <t>CLASS D: DEMOLITION AND SITE CLEARANCE</t>
        </is>
      </c>
      <c r="D277" s="5" t="inlineStr">
        <is>
          <t>06 PIPELINES</t>
        </is>
      </c>
      <c r="E277" s="5" t="inlineStr">
        <is>
          <t>Removal of redundant services (continued)</t>
        </is>
      </c>
      <c r="F277" s="5" t="inlineStr">
        <is>
          <t>extra for breaking up concrete surround</t>
        </is>
      </c>
      <c r="G277" s="6" t="inlineStr">
        <is>
          <t>m</t>
        </is>
      </c>
      <c r="H277" s="7" t="n"/>
      <c r="I277" s="8" t="n">
        <v>0</v>
      </c>
      <c r="J277" s="8" t="n">
        <v>0</v>
      </c>
      <c r="K277" s="8" t="n">
        <v>0</v>
      </c>
      <c r="L277" s="8" t="n">
        <v>45.8</v>
      </c>
      <c r="M277" s="9">
        <f>ROUND(SUM(I277:L277),2)</f>
        <v/>
      </c>
      <c r="N277" s="10">
        <f>ROUND(I277*'Irish Basis'!$C$6*'Irish Basis'!$C$5,2)</f>
        <v/>
      </c>
      <c r="O277" s="10">
        <f>ROUND(J277*'Irish Basis'!$C$7*'Irish Basis'!$C$5,2)</f>
        <v/>
      </c>
      <c r="P277" s="10">
        <f>ROUND(K277*'Irish Basis'!$C$8*'Irish Basis'!$C$5,2)</f>
        <v/>
      </c>
      <c r="Q277" s="10">
        <f>ROUND(L277*'Irish Basis'!$C$12*'Irish Basis'!$C$5,2)</f>
        <v/>
      </c>
      <c r="R277" s="11">
        <f>ROUND(SUM(N277:Q277),2)</f>
        <v/>
      </c>
      <c r="S277" s="5" t="inlineStr">
        <is>
          <t>All-in specialist rate</t>
        </is>
      </c>
      <c r="T277" s="14" t="inlineStr">
        <is>
          <t>All-in (not split)</t>
        </is>
      </c>
      <c r="U277" s="8" t="n">
        <v>45.8</v>
      </c>
      <c r="V277" s="13">
        <f>IF(U277="","",ROUND(M277-U277,2))</f>
        <v/>
      </c>
      <c r="W277" s="5" t="n"/>
      <c r="X277" s="5" t="inlineStr">
        <is>
          <t>Source publishes a specialist/sub-contract all-in rate; no labour/plant/material build-up exists to derive from.</t>
        </is>
      </c>
    </row>
    <row r="278" ht="13" customHeight="1">
      <c r="A278" s="4" t="n">
        <v>510</v>
      </c>
      <c r="B278" s="5" t="inlineStr">
        <is>
          <t>IMG_0072</t>
        </is>
      </c>
      <c r="C278" s="5" t="inlineStr">
        <is>
          <t>CLASS D: DEMOLITION AND SITE CLEARANCE</t>
        </is>
      </c>
      <c r="D278" s="5" t="inlineStr">
        <is>
          <t>06 PIPELINES</t>
        </is>
      </c>
      <c r="E278" s="5" t="inlineStr">
        <is>
          <t>Grouting redundant drains or sewers</t>
        </is>
      </c>
      <c r="F278" s="5" t="inlineStr">
        <is>
          <t>100 mm dia.</t>
        </is>
      </c>
      <c r="G278" s="6" t="inlineStr">
        <is>
          <t>m</t>
        </is>
      </c>
      <c r="H278" s="7" t="n"/>
      <c r="I278" s="8" t="n">
        <v>0</v>
      </c>
      <c r="J278" s="8" t="n">
        <v>0</v>
      </c>
      <c r="K278" s="8" t="n">
        <v>0</v>
      </c>
      <c r="L278" s="8" t="n">
        <v>10.04</v>
      </c>
      <c r="M278" s="9">
        <f>ROUND(SUM(I278:L278),2)</f>
        <v/>
      </c>
      <c r="N278" s="10">
        <f>ROUND(I278*'Irish Basis'!$C$6*'Irish Basis'!$C$5,2)</f>
        <v/>
      </c>
      <c r="O278" s="10">
        <f>ROUND(J278*'Irish Basis'!$C$7*'Irish Basis'!$C$5,2)</f>
        <v/>
      </c>
      <c r="P278" s="10">
        <f>ROUND(K278*'Irish Basis'!$C$8*'Irish Basis'!$C$5,2)</f>
        <v/>
      </c>
      <c r="Q278" s="10">
        <f>ROUND(L278*'Irish Basis'!$C$12*'Irish Basis'!$C$5,2)</f>
        <v/>
      </c>
      <c r="R278" s="11">
        <f>ROUND(SUM(N278:Q278),2)</f>
        <v/>
      </c>
      <c r="S278" s="5" t="inlineStr">
        <is>
          <t>All-in specialist rate</t>
        </is>
      </c>
      <c r="T278" s="14" t="inlineStr">
        <is>
          <t>All-in (not split)</t>
        </is>
      </c>
      <c r="U278" s="8" t="n">
        <v>10.04</v>
      </c>
      <c r="V278" s="13">
        <f>IF(U278="","",ROUND(M278-U278,2))</f>
        <v/>
      </c>
      <c r="W278" s="5" t="n"/>
      <c r="X278" s="5" t="inlineStr">
        <is>
          <t>Source publishes a specialist/sub-contract all-in rate; no labour/plant/material build-up exists to derive from.</t>
        </is>
      </c>
    </row>
    <row r="279" ht="13" customHeight="1">
      <c r="A279" s="4" t="n">
        <v>511</v>
      </c>
      <c r="B279" s="5" t="inlineStr">
        <is>
          <t>IMG_0072</t>
        </is>
      </c>
      <c r="C279" s="5" t="inlineStr">
        <is>
          <t>CLASS D: DEMOLITION AND SITE CLEARANCE</t>
        </is>
      </c>
      <c r="D279" s="5" t="inlineStr">
        <is>
          <t>06 PIPELINES</t>
        </is>
      </c>
      <c r="E279" s="5" t="inlineStr">
        <is>
          <t>Grouting redundant drains or sewers</t>
        </is>
      </c>
      <c r="F279" s="5" t="inlineStr">
        <is>
          <t>150 mm dia.</t>
        </is>
      </c>
      <c r="G279" s="6" t="inlineStr">
        <is>
          <t>m</t>
        </is>
      </c>
      <c r="H279" s="7" t="n"/>
      <c r="I279" s="8" t="n">
        <v>0</v>
      </c>
      <c r="J279" s="8" t="n">
        <v>0</v>
      </c>
      <c r="K279" s="8" t="n">
        <v>0</v>
      </c>
      <c r="L279" s="8" t="n">
        <v>24.55</v>
      </c>
      <c r="M279" s="9">
        <f>ROUND(SUM(I279:L279),2)</f>
        <v/>
      </c>
      <c r="N279" s="10">
        <f>ROUND(I279*'Irish Basis'!$C$6*'Irish Basis'!$C$5,2)</f>
        <v/>
      </c>
      <c r="O279" s="10">
        <f>ROUND(J279*'Irish Basis'!$C$7*'Irish Basis'!$C$5,2)</f>
        <v/>
      </c>
      <c r="P279" s="10">
        <f>ROUND(K279*'Irish Basis'!$C$8*'Irish Basis'!$C$5,2)</f>
        <v/>
      </c>
      <c r="Q279" s="10">
        <f>ROUND(L279*'Irish Basis'!$C$12*'Irish Basis'!$C$5,2)</f>
        <v/>
      </c>
      <c r="R279" s="11">
        <f>ROUND(SUM(N279:Q279),2)</f>
        <v/>
      </c>
      <c r="S279" s="5" t="inlineStr">
        <is>
          <t>All-in specialist rate</t>
        </is>
      </c>
      <c r="T279" s="14" t="inlineStr">
        <is>
          <t>All-in (not split)</t>
        </is>
      </c>
      <c r="U279" s="8" t="n">
        <v>24.55</v>
      </c>
      <c r="V279" s="13">
        <f>IF(U279="","",ROUND(M279-U279,2))</f>
        <v/>
      </c>
      <c r="W279" s="5" t="n"/>
      <c r="X279" s="5" t="inlineStr">
        <is>
          <t>Source publishes a specialist/sub-contract all-in rate; no labour/plant/material build-up exists to derive from.</t>
        </is>
      </c>
    </row>
    <row r="280" ht="13" customHeight="1">
      <c r="A280" s="4" t="n">
        <v>512</v>
      </c>
      <c r="B280" s="5" t="inlineStr">
        <is>
          <t>IMG_0072</t>
        </is>
      </c>
      <c r="C280" s="5" t="inlineStr">
        <is>
          <t>CLASS D: DEMOLITION AND SITE CLEARANCE</t>
        </is>
      </c>
      <c r="D280" s="5" t="inlineStr">
        <is>
          <t>06 PIPELINES</t>
        </is>
      </c>
      <c r="E280" s="5" t="inlineStr">
        <is>
          <t>Grouting redundant drains or sewers</t>
        </is>
      </c>
      <c r="F280" s="5" t="inlineStr">
        <is>
          <t>225 mm dia.</t>
        </is>
      </c>
      <c r="G280" s="6" t="inlineStr">
        <is>
          <t>m</t>
        </is>
      </c>
      <c r="H280" s="7" t="n"/>
      <c r="I280" s="8" t="n">
        <v>0</v>
      </c>
      <c r="J280" s="8" t="n">
        <v>0</v>
      </c>
      <c r="K280" s="8" t="n">
        <v>0</v>
      </c>
      <c r="L280" s="8" t="n">
        <v>57.29</v>
      </c>
      <c r="M280" s="9">
        <f>ROUND(SUM(I280:L280),2)</f>
        <v/>
      </c>
      <c r="N280" s="10">
        <f>ROUND(I280*'Irish Basis'!$C$6*'Irish Basis'!$C$5,2)</f>
        <v/>
      </c>
      <c r="O280" s="10">
        <f>ROUND(J280*'Irish Basis'!$C$7*'Irish Basis'!$C$5,2)</f>
        <v/>
      </c>
      <c r="P280" s="10">
        <f>ROUND(K280*'Irish Basis'!$C$8*'Irish Basis'!$C$5,2)</f>
        <v/>
      </c>
      <c r="Q280" s="10">
        <f>ROUND(L280*'Irish Basis'!$C$12*'Irish Basis'!$C$5,2)</f>
        <v/>
      </c>
      <c r="R280" s="11">
        <f>ROUND(SUM(N280:Q280),2)</f>
        <v/>
      </c>
      <c r="S280" s="5" t="inlineStr">
        <is>
          <t>All-in specialist rate</t>
        </is>
      </c>
      <c r="T280" s="14" t="inlineStr">
        <is>
          <t>All-in (not split)</t>
        </is>
      </c>
      <c r="U280" s="8" t="n">
        <v>57.29</v>
      </c>
      <c r="V280" s="13">
        <f>IF(U280="","",ROUND(M280-U280,2))</f>
        <v/>
      </c>
      <c r="W280" s="5" t="n"/>
      <c r="X280" s="5" t="inlineStr">
        <is>
          <t>Source publishes a specialist/sub-contract all-in rate; no labour/plant/material build-up exists to derive from.</t>
        </is>
      </c>
    </row>
    <row r="281" ht="13" customHeight="1">
      <c r="A281" s="4" t="n">
        <v>513</v>
      </c>
      <c r="B281" s="5" t="inlineStr">
        <is>
          <t>IMG_0072</t>
        </is>
      </c>
      <c r="C281" s="5" t="inlineStr">
        <is>
          <t>CLASS D: DEMOLITION AND SITE CLEARANCE</t>
        </is>
      </c>
      <c r="D281" s="5" t="inlineStr">
        <is>
          <t>06 PIPELINES</t>
        </is>
      </c>
      <c r="E281" s="5" t="inlineStr">
        <is>
          <t>Grouting redundant drains or sewers</t>
        </is>
      </c>
      <c r="F281" s="5" t="inlineStr">
        <is>
          <t>manhole chambers</t>
        </is>
      </c>
      <c r="G281" s="6" t="inlineStr">
        <is>
          <t>m3</t>
        </is>
      </c>
      <c r="H281" s="7" t="n"/>
      <c r="I281" s="8" t="n">
        <v>0</v>
      </c>
      <c r="J281" s="8" t="n">
        <v>0</v>
      </c>
      <c r="K281" s="8" t="n">
        <v>0</v>
      </c>
      <c r="L281" s="8" t="n">
        <v>1391.27</v>
      </c>
      <c r="M281" s="9">
        <f>ROUND(SUM(I281:L281),2)</f>
        <v/>
      </c>
      <c r="N281" s="10">
        <f>ROUND(I281*'Irish Basis'!$C$6*'Irish Basis'!$C$5,2)</f>
        <v/>
      </c>
      <c r="O281" s="10">
        <f>ROUND(J281*'Irish Basis'!$C$7*'Irish Basis'!$C$5,2)</f>
        <v/>
      </c>
      <c r="P281" s="10">
        <f>ROUND(K281*'Irish Basis'!$C$8*'Irish Basis'!$C$5,2)</f>
        <v/>
      </c>
      <c r="Q281" s="10">
        <f>ROUND(L281*'Irish Basis'!$C$12*'Irish Basis'!$C$5,2)</f>
        <v/>
      </c>
      <c r="R281" s="11">
        <f>ROUND(SUM(N281:Q281),2)</f>
        <v/>
      </c>
      <c r="S281" s="5" t="inlineStr">
        <is>
          <t>All-in specialist rate</t>
        </is>
      </c>
      <c r="T281" s="14" t="inlineStr">
        <is>
          <t>All-in (not split)</t>
        </is>
      </c>
      <c r="U281" s="8" t="n">
        <v>1391.27</v>
      </c>
      <c r="V281" s="13">
        <f>IF(U281="","",ROUND(M281-U281,2))</f>
        <v/>
      </c>
      <c r="W281" s="5" t="n"/>
      <c r="X281" s="5" t="inlineStr">
        <is>
          <t>Source publishes a specialist/sub-contract all-in rate; no labour/plant/material build-up exists to derive from.</t>
        </is>
      </c>
    </row>
    <row r="282" ht="13" customHeight="1">
      <c r="A282" s="4" t="n">
        <v>589</v>
      </c>
      <c r="B282" s="5" t="inlineStr">
        <is>
          <t>IMG_0073</t>
        </is>
      </c>
      <c r="C282" s="5" t="inlineStr">
        <is>
          <t>CLASS E: EARTHWORKS</t>
        </is>
      </c>
      <c r="D282" s="5" t="inlineStr">
        <is>
          <t>01 EXCAVATION BY DREDGING</t>
        </is>
      </c>
      <c r="E282" s="5" t="inlineStr">
        <is>
          <t>In tidal locations, creating new channels on approaches to quays and similar locations or within dock systems</t>
        </is>
      </c>
      <c r="F282" s="5" t="inlineStr">
        <is>
          <t>approximate daily cost of backhoe dredger and two hopper barges £12,500; average production 100 m3/hr, 1,500 m3/day; locate, load, deposit and relocate</t>
        </is>
      </c>
      <c r="G282" s="6" t="inlineStr">
        <is>
          <t>m3</t>
        </is>
      </c>
      <c r="H282" s="7" t="n"/>
      <c r="I282" s="8" t="n">
        <v>4.13</v>
      </c>
      <c r="J282" s="8" t="n">
        <v>8.710000000000001</v>
      </c>
      <c r="K282" s="8" t="n">
        <v>0</v>
      </c>
      <c r="L282" s="8" t="n">
        <v>0</v>
      </c>
      <c r="M282" s="9">
        <f>ROUND(SUM(I282:L282),2)</f>
        <v/>
      </c>
      <c r="N282" s="10">
        <f>ROUND(I282*'Irish Basis'!$C$6*'Irish Basis'!$C$5,2)</f>
        <v/>
      </c>
      <c r="O282" s="10">
        <f>ROUND(J282*'Irish Basis'!$C$7*'Irish Basis'!$C$5,2)</f>
        <v/>
      </c>
      <c r="P282" s="10">
        <f>ROUND(K282*'Irish Basis'!$C$8*'Irish Basis'!$C$5,2)</f>
        <v/>
      </c>
      <c r="Q282" s="10">
        <f>ROUND(L282*'Irish Basis'!$C$12*'Irish Basis'!$C$5,2)</f>
        <v/>
      </c>
      <c r="R282" s="11">
        <f>ROUND(SUM(N282:Q282),2)</f>
        <v/>
      </c>
      <c r="S282" s="5" t="inlineStr">
        <is>
          <t>Apportioned (class)</t>
        </is>
      </c>
      <c r="T282" s="17" t="inlineStr">
        <is>
          <t>Low</t>
        </is>
      </c>
      <c r="U282" s="8" t="n">
        <v>12.84</v>
      </c>
      <c r="V282" s="13">
        <f>IF(U282="","",ROUND(M282-U282,2))</f>
        <v/>
      </c>
      <c r="W282" s="15" t="inlineStr">
        <is>
          <t>Apportioned at class level</t>
        </is>
      </c>
      <c r="X282" s="5" t="inlineStr">
        <is>
          <t>Split from published rate using median L/P/M shares of 306 comparable build-ups at class level (32/68/0).</t>
        </is>
      </c>
    </row>
    <row r="283" ht="13" customHeight="1">
      <c r="A283" s="4" t="n">
        <v>592</v>
      </c>
      <c r="B283" s="5" t="inlineStr">
        <is>
          <t>IMG_0073</t>
        </is>
      </c>
      <c r="C283" s="5" t="inlineStr">
        <is>
          <t>CLASS E: EARTHWORKS</t>
        </is>
      </c>
      <c r="D283" s="5" t="inlineStr">
        <is>
          <t>01 EXCAVATION BY DREDGING</t>
        </is>
      </c>
      <c r="E283" s="5" t="inlineStr">
        <is>
          <t>For general bed lowering or in maintaining shipping channels in rivers, estuaries or deltas</t>
        </is>
      </c>
      <c r="F283" s="5" t="inlineStr">
        <is>
          <t>locate, load, deposit and relocate</t>
        </is>
      </c>
      <c r="G283" s="6" t="inlineStr">
        <is>
          <t>tonne</t>
        </is>
      </c>
      <c r="H283" s="7" t="n"/>
      <c r="I283" s="8" t="n">
        <v>1.67</v>
      </c>
      <c r="J283" s="8" t="n">
        <v>3.53</v>
      </c>
      <c r="K283" s="8" t="n">
        <v>0</v>
      </c>
      <c r="L283" s="8" t="n">
        <v>0</v>
      </c>
      <c r="M283" s="9">
        <f>ROUND(SUM(I283:L283),2)</f>
        <v/>
      </c>
      <c r="N283" s="10">
        <f>ROUND(I283*'Irish Basis'!$C$6*'Irish Basis'!$C$5,2)</f>
        <v/>
      </c>
      <c r="O283" s="10">
        <f>ROUND(J283*'Irish Basis'!$C$7*'Irish Basis'!$C$5,2)</f>
        <v/>
      </c>
      <c r="P283" s="10">
        <f>ROUND(K283*'Irish Basis'!$C$8*'Irish Basis'!$C$5,2)</f>
        <v/>
      </c>
      <c r="Q283" s="10">
        <f>ROUND(L283*'Irish Basis'!$C$12*'Irish Basis'!$C$5,2)</f>
        <v/>
      </c>
      <c r="R283" s="11">
        <f>ROUND(SUM(N283:Q283),2)</f>
        <v/>
      </c>
      <c r="S283" s="5" t="inlineStr">
        <is>
          <t>Apportioned (class)</t>
        </is>
      </c>
      <c r="T283" s="17" t="inlineStr">
        <is>
          <t>Low</t>
        </is>
      </c>
      <c r="U283" s="8" t="n">
        <v>5.2</v>
      </c>
      <c r="V283" s="13">
        <f>IF(U283="","",ROUND(M283-U283,2))</f>
        <v/>
      </c>
      <c r="W283" s="15" t="inlineStr">
        <is>
          <t>Apportioned at class level</t>
        </is>
      </c>
      <c r="X283" s="5" t="inlineStr">
        <is>
          <t>Split from published rate using median L/P/M shares of 306 comparable build-ups at class level (32/68/0).</t>
        </is>
      </c>
    </row>
    <row r="284" ht="13" customHeight="1">
      <c r="A284" s="4" t="n">
        <v>595</v>
      </c>
      <c r="B284" s="5" t="inlineStr">
        <is>
          <t>IMG_0073</t>
        </is>
      </c>
      <c r="C284" s="5" t="inlineStr">
        <is>
          <t>CLASS E: EARTHWORKS</t>
        </is>
      </c>
      <c r="D284" s="5" t="inlineStr">
        <is>
          <t>01 EXCAVATION BY DREDGING</t>
        </is>
      </c>
      <c r="E284" s="5" t="inlineStr">
        <is>
          <t>Harbour bed control</t>
        </is>
      </c>
      <c r="F284" s="5" t="inlineStr">
        <is>
          <t>average pumping capacity of silt/sand type materials containing maximum 30% volume of solids would be about 8,000 m3/day based on 24 hour working. Daily cost (hire basis) in the region of £20,000 including all floating equipment and discharge pipes, maintenance and all labour and plant to service but excluding mobilization/ initial set-up and demobilization costs (minimum £10,000).</t>
        </is>
      </c>
      <c r="G284" s="6" t="inlineStr">
        <is>
          <t>m3</t>
        </is>
      </c>
      <c r="H284" s="7" t="n"/>
      <c r="I284" s="8" t="n">
        <v>1.54</v>
      </c>
      <c r="J284" s="8" t="n">
        <v>3.25</v>
      </c>
      <c r="K284" s="8" t="n">
        <v>0</v>
      </c>
      <c r="L284" s="8" t="n">
        <v>0</v>
      </c>
      <c r="M284" s="9">
        <f>ROUND(SUM(I284:L284),2)</f>
        <v/>
      </c>
      <c r="N284" s="10">
        <f>ROUND(I284*'Irish Basis'!$C$6*'Irish Basis'!$C$5,2)</f>
        <v/>
      </c>
      <c r="O284" s="10">
        <f>ROUND(J284*'Irish Basis'!$C$7*'Irish Basis'!$C$5,2)</f>
        <v/>
      </c>
      <c r="P284" s="10">
        <f>ROUND(K284*'Irish Basis'!$C$8*'Irish Basis'!$C$5,2)</f>
        <v/>
      </c>
      <c r="Q284" s="10">
        <f>ROUND(L284*'Irish Basis'!$C$12*'Irish Basis'!$C$5,2)</f>
        <v/>
      </c>
      <c r="R284" s="11">
        <f>ROUND(SUM(N284:Q284),2)</f>
        <v/>
      </c>
      <c r="S284" s="5" t="inlineStr">
        <is>
          <t>Apportioned (class)</t>
        </is>
      </c>
      <c r="T284" s="17" t="inlineStr">
        <is>
          <t>Low</t>
        </is>
      </c>
      <c r="U284" s="8" t="n">
        <v>4.79</v>
      </c>
      <c r="V284" s="13">
        <f>IF(U284="","",ROUND(M284-U284,2))</f>
        <v/>
      </c>
      <c r="W284" s="15" t="inlineStr">
        <is>
          <t>Apportioned at class level</t>
        </is>
      </c>
      <c r="X284" s="5" t="inlineStr">
        <is>
          <t>Split from published rate using median L/P/M shares of 306 comparable build-ups at class level (32/68/0).</t>
        </is>
      </c>
    </row>
    <row r="285" ht="13" customHeight="1">
      <c r="A285" s="4" t="n">
        <v>598</v>
      </c>
      <c r="B285" s="5" t="inlineStr">
        <is>
          <t>IMG_0073</t>
        </is>
      </c>
      <c r="C285" s="5" t="inlineStr">
        <is>
          <t>CLASS E: EARTHWORKS</t>
        </is>
      </c>
      <c r="D285" s="5" t="inlineStr">
        <is>
          <t>01 EXCAVATION BY DREDGING</t>
        </is>
      </c>
      <c r="E285" s="5" t="inlineStr">
        <is>
          <t>For use in lakes, canals, rivers, industrial lagoons and from silted locations in dock systems</t>
        </is>
      </c>
      <c r="F285" s="5" t="inlineStr">
        <is>
          <t>average pumping output 30 m3 per hour and approximate average costs (excluding mobilization and demobilization costs ranging between £3,000 and £6,000 apiece)</t>
        </is>
      </c>
      <c r="G285" s="6" t="inlineStr">
        <is>
          <t>m3</t>
        </is>
      </c>
      <c r="H285" s="7" t="n"/>
      <c r="I285" s="8" t="n">
        <v>2.84</v>
      </c>
      <c r="J285" s="8" t="n">
        <v>5.97</v>
      </c>
      <c r="K285" s="8" t="n">
        <v>0</v>
      </c>
      <c r="L285" s="8" t="n">
        <v>0</v>
      </c>
      <c r="M285" s="9">
        <f>ROUND(SUM(I285:L285),2)</f>
        <v/>
      </c>
      <c r="N285" s="10">
        <f>ROUND(I285*'Irish Basis'!$C$6*'Irish Basis'!$C$5,2)</f>
        <v/>
      </c>
      <c r="O285" s="10">
        <f>ROUND(J285*'Irish Basis'!$C$7*'Irish Basis'!$C$5,2)</f>
        <v/>
      </c>
      <c r="P285" s="10">
        <f>ROUND(K285*'Irish Basis'!$C$8*'Irish Basis'!$C$5,2)</f>
        <v/>
      </c>
      <c r="Q285" s="10">
        <f>ROUND(L285*'Irish Basis'!$C$12*'Irish Basis'!$C$5,2)</f>
        <v/>
      </c>
      <c r="R285" s="11">
        <f>ROUND(SUM(N285:Q285),2)</f>
        <v/>
      </c>
      <c r="S285" s="5" t="inlineStr">
        <is>
          <t>Apportioned (class)</t>
        </is>
      </c>
      <c r="T285" s="17" t="inlineStr">
        <is>
          <t>Low</t>
        </is>
      </c>
      <c r="U285" s="8" t="n">
        <v>8.81</v>
      </c>
      <c r="V285" s="13">
        <f>IF(U285="","",ROUND(M285-U285,2))</f>
        <v/>
      </c>
      <c r="W285" s="15" t="inlineStr">
        <is>
          <t>Apportioned at class level</t>
        </is>
      </c>
      <c r="X285" s="5" t="inlineStr">
        <is>
          <t>Split from published rate using median L/P/M shares of 306 comparable build-ups at class level (32/68/0).</t>
        </is>
      </c>
    </row>
    <row r="286" ht="13" customHeight="1">
      <c r="A286" s="4" t="n">
        <v>603</v>
      </c>
      <c r="B286" s="5" t="inlineStr">
        <is>
          <t>IMG_0074</t>
        </is>
      </c>
      <c r="C286" s="5" t="inlineStr">
        <is>
          <t>CLASS E: EARTHWORKS</t>
        </is>
      </c>
      <c r="D286" s="5" t="inlineStr">
        <is>
          <t>02 EXCAVATION FOR CUTTINGS</t>
        </is>
      </c>
      <c r="E286" s="5" t="inlineStr">
        <is>
          <t>Excavate topsoil (continued)</t>
        </is>
      </c>
      <c r="F286" s="5" t="inlineStr">
        <is>
          <t>maximum depth ne 0.25 m</t>
        </is>
      </c>
      <c r="G286" s="6" t="inlineStr">
        <is>
          <t>m3</t>
        </is>
      </c>
      <c r="H286" s="7" t="n">
        <v>0.03</v>
      </c>
      <c r="I286" s="8" t="n">
        <v>2.21</v>
      </c>
      <c r="J286" s="8" t="n">
        <v>3.28</v>
      </c>
      <c r="K286" s="8" t="n">
        <v>0</v>
      </c>
      <c r="L286" s="8" t="n">
        <v>0</v>
      </c>
      <c r="M286" s="9">
        <f>ROUND(SUM(I286:L286),2)</f>
        <v/>
      </c>
      <c r="N286" s="10">
        <f>ROUND(I286*'Irish Basis'!$C$6*'Irish Basis'!$C$5,2)</f>
        <v/>
      </c>
      <c r="O286" s="10">
        <f>ROUND(J286*'Irish Basis'!$C$7*'Irish Basis'!$C$5,2)</f>
        <v/>
      </c>
      <c r="P286" s="10">
        <f>ROUND(K286*'Irish Basis'!$C$8*'Irish Basis'!$C$5,2)</f>
        <v/>
      </c>
      <c r="Q286" s="10">
        <f>ROUND(L286*'Irish Basis'!$C$12*'Irish Basis'!$C$5,2)</f>
        <v/>
      </c>
      <c r="R286" s="11">
        <f>ROUND(SUM(N286:Q286),2)</f>
        <v/>
      </c>
      <c r="S286" s="5" t="inlineStr">
        <is>
          <t>Stated build-up</t>
        </is>
      </c>
      <c r="T286" s="12" t="inlineStr">
        <is>
          <t>High</t>
        </is>
      </c>
      <c r="U286" s="8" t="n">
        <v>5.5</v>
      </c>
      <c r="V286" s="13">
        <f>IF(U286="","",ROUND(M286-U286,2))</f>
        <v/>
      </c>
      <c r="W286" s="5" t="n"/>
      <c r="X286" s="5" t="inlineStr">
        <is>
          <t>Labour + plant + material as published; reconciles to the published rate.</t>
        </is>
      </c>
    </row>
    <row r="287" ht="13" customHeight="1">
      <c r="A287" s="4" t="n">
        <v>605</v>
      </c>
      <c r="B287" s="5" t="inlineStr">
        <is>
          <t>IMG_0074</t>
        </is>
      </c>
      <c r="C287" s="5" t="inlineStr">
        <is>
          <t>CLASS E: EARTHWORKS</t>
        </is>
      </c>
      <c r="D287" s="5" t="inlineStr">
        <is>
          <t>02 EXCAVATION FOR CUTTINGS</t>
        </is>
      </c>
      <c r="E287" s="5" t="inlineStr">
        <is>
          <t>Excavate material other than topsoil, rock or artificial hard material</t>
        </is>
      </c>
      <c r="F287" s="5" t="inlineStr">
        <is>
          <t>ne 0.25 m maximum depth</t>
        </is>
      </c>
      <c r="G287" s="6" t="inlineStr">
        <is>
          <t>m3</t>
        </is>
      </c>
      <c r="H287" s="7" t="n">
        <v>0.03</v>
      </c>
      <c r="I287" s="8" t="n">
        <v>2.21</v>
      </c>
      <c r="J287" s="8" t="n">
        <v>3.28</v>
      </c>
      <c r="K287" s="8" t="n">
        <v>0</v>
      </c>
      <c r="L287" s="8" t="n">
        <v>0</v>
      </c>
      <c r="M287" s="9">
        <f>ROUND(SUM(I287:L287),2)</f>
        <v/>
      </c>
      <c r="N287" s="10">
        <f>ROUND(I287*'Irish Basis'!$C$6*'Irish Basis'!$C$5,2)</f>
        <v/>
      </c>
      <c r="O287" s="10">
        <f>ROUND(J287*'Irish Basis'!$C$7*'Irish Basis'!$C$5,2)</f>
        <v/>
      </c>
      <c r="P287" s="10">
        <f>ROUND(K287*'Irish Basis'!$C$8*'Irish Basis'!$C$5,2)</f>
        <v/>
      </c>
      <c r="Q287" s="10">
        <f>ROUND(L287*'Irish Basis'!$C$12*'Irish Basis'!$C$5,2)</f>
        <v/>
      </c>
      <c r="R287" s="11">
        <f>ROUND(SUM(N287:Q287),2)</f>
        <v/>
      </c>
      <c r="S287" s="5" t="inlineStr">
        <is>
          <t>Stated build-up</t>
        </is>
      </c>
      <c r="T287" s="12" t="inlineStr">
        <is>
          <t>High</t>
        </is>
      </c>
      <c r="U287" s="8" t="n">
        <v>5.5</v>
      </c>
      <c r="V287" s="13">
        <f>IF(U287="","",ROUND(M287-U287,2))</f>
        <v/>
      </c>
      <c r="W287" s="5" t="n"/>
      <c r="X287" s="5" t="inlineStr">
        <is>
          <t>Labour + plant + material as published; reconciles to the published rate.</t>
        </is>
      </c>
    </row>
    <row r="288" ht="13" customHeight="1">
      <c r="A288" s="4" t="n">
        <v>606</v>
      </c>
      <c r="B288" s="5" t="inlineStr">
        <is>
          <t>IMG_0074</t>
        </is>
      </c>
      <c r="C288" s="5" t="inlineStr">
        <is>
          <t>CLASS E: EARTHWORKS</t>
        </is>
      </c>
      <c r="D288" s="5" t="inlineStr">
        <is>
          <t>02 EXCAVATION FOR CUTTINGS</t>
        </is>
      </c>
      <c r="E288" s="5" t="inlineStr">
        <is>
          <t>Excavate material other than topsoil, rock or artificial hard material</t>
        </is>
      </c>
      <c r="F288" s="5" t="inlineStr">
        <is>
          <t>0.25-0.5 m maximum depth</t>
        </is>
      </c>
      <c r="G288" s="6" t="inlineStr">
        <is>
          <t>m3</t>
        </is>
      </c>
      <c r="H288" s="7" t="n">
        <v>0.03</v>
      </c>
      <c r="I288" s="8" t="n">
        <v>2.21</v>
      </c>
      <c r="J288" s="8" t="n">
        <v>3.28</v>
      </c>
      <c r="K288" s="8" t="n">
        <v>0</v>
      </c>
      <c r="L288" s="8" t="n">
        <v>0</v>
      </c>
      <c r="M288" s="9">
        <f>ROUND(SUM(I288:L288),2)</f>
        <v/>
      </c>
      <c r="N288" s="10">
        <f>ROUND(I288*'Irish Basis'!$C$6*'Irish Basis'!$C$5,2)</f>
        <v/>
      </c>
      <c r="O288" s="10">
        <f>ROUND(J288*'Irish Basis'!$C$7*'Irish Basis'!$C$5,2)</f>
        <v/>
      </c>
      <c r="P288" s="10">
        <f>ROUND(K288*'Irish Basis'!$C$8*'Irish Basis'!$C$5,2)</f>
        <v/>
      </c>
      <c r="Q288" s="10">
        <f>ROUND(L288*'Irish Basis'!$C$12*'Irish Basis'!$C$5,2)</f>
        <v/>
      </c>
      <c r="R288" s="11">
        <f>ROUND(SUM(N288:Q288),2)</f>
        <v/>
      </c>
      <c r="S288" s="5" t="inlineStr">
        <is>
          <t>Stated build-up</t>
        </is>
      </c>
      <c r="T288" s="12" t="inlineStr">
        <is>
          <t>High</t>
        </is>
      </c>
      <c r="U288" s="8" t="n">
        <v>5.5</v>
      </c>
      <c r="V288" s="13">
        <f>IF(U288="","",ROUND(M288-U288,2))</f>
        <v/>
      </c>
      <c r="W288" s="5" t="n"/>
      <c r="X288" s="5" t="inlineStr">
        <is>
          <t>Labour + plant + material as published; reconciles to the published rate.</t>
        </is>
      </c>
    </row>
    <row r="289" ht="13" customHeight="1">
      <c r="A289" s="4" t="n">
        <v>607</v>
      </c>
      <c r="B289" s="5" t="inlineStr">
        <is>
          <t>IMG_0074</t>
        </is>
      </c>
      <c r="C289" s="5" t="inlineStr">
        <is>
          <t>CLASS E: EARTHWORKS</t>
        </is>
      </c>
      <c r="D289" s="5" t="inlineStr">
        <is>
          <t>02 EXCAVATION FOR CUTTINGS</t>
        </is>
      </c>
      <c r="E289" s="5" t="inlineStr">
        <is>
          <t>Excavate material other than topsoil, rock or artificial hard material</t>
        </is>
      </c>
      <c r="F289" s="5" t="inlineStr">
        <is>
          <t>0.5-1.0 m maximum depth</t>
        </is>
      </c>
      <c r="G289" s="6" t="inlineStr">
        <is>
          <t>m3</t>
        </is>
      </c>
      <c r="H289" s="7" t="n">
        <v>0.04</v>
      </c>
      <c r="I289" s="8" t="n">
        <v>2.95</v>
      </c>
      <c r="J289" s="8" t="n">
        <v>4.24</v>
      </c>
      <c r="K289" s="8" t="n">
        <v>0</v>
      </c>
      <c r="L289" s="8" t="n">
        <v>0</v>
      </c>
      <c r="M289" s="9">
        <f>ROUND(SUM(I289:L289),2)</f>
        <v/>
      </c>
      <c r="N289" s="10">
        <f>ROUND(I289*'Irish Basis'!$C$6*'Irish Basis'!$C$5,2)</f>
        <v/>
      </c>
      <c r="O289" s="10">
        <f>ROUND(J289*'Irish Basis'!$C$7*'Irish Basis'!$C$5,2)</f>
        <v/>
      </c>
      <c r="P289" s="10">
        <f>ROUND(K289*'Irish Basis'!$C$8*'Irish Basis'!$C$5,2)</f>
        <v/>
      </c>
      <c r="Q289" s="10">
        <f>ROUND(L289*'Irish Basis'!$C$12*'Irish Basis'!$C$5,2)</f>
        <v/>
      </c>
      <c r="R289" s="11">
        <f>ROUND(SUM(N289:Q289),2)</f>
        <v/>
      </c>
      <c r="S289" s="5" t="inlineStr">
        <is>
          <t>Stated build-up</t>
        </is>
      </c>
      <c r="T289" s="12" t="inlineStr">
        <is>
          <t>High</t>
        </is>
      </c>
      <c r="U289" s="8" t="n">
        <v>7.2</v>
      </c>
      <c r="V289" s="13">
        <f>IF(U289="","",ROUND(M289-U289,2))</f>
        <v/>
      </c>
      <c r="W289" s="5" t="n"/>
      <c r="X289" s="5" t="inlineStr">
        <is>
          <t>Labour + plant + material as published; reconciles to the published rate.</t>
        </is>
      </c>
    </row>
    <row r="290" ht="13" customHeight="1">
      <c r="A290" s="4" t="n">
        <v>608</v>
      </c>
      <c r="B290" s="5" t="inlineStr">
        <is>
          <t>IMG_0074</t>
        </is>
      </c>
      <c r="C290" s="5" t="inlineStr">
        <is>
          <t>CLASS E: EARTHWORKS</t>
        </is>
      </c>
      <c r="D290" s="5" t="inlineStr">
        <is>
          <t>02 EXCAVATION FOR CUTTINGS</t>
        </is>
      </c>
      <c r="E290" s="5" t="inlineStr">
        <is>
          <t>Excavate material other than topsoil, rock or artificial hard material</t>
        </is>
      </c>
      <c r="F290" s="5" t="inlineStr">
        <is>
          <t>1.0-2.0 m maximum depth</t>
        </is>
      </c>
      <c r="G290" s="6" t="inlineStr">
        <is>
          <t>m3</t>
        </is>
      </c>
      <c r="H290" s="7" t="n">
        <v>0.06</v>
      </c>
      <c r="I290" s="8" t="n">
        <v>4.43</v>
      </c>
      <c r="J290" s="8" t="n">
        <v>6.44</v>
      </c>
      <c r="K290" s="8" t="n">
        <v>0</v>
      </c>
      <c r="L290" s="8" t="n">
        <v>0</v>
      </c>
      <c r="M290" s="9">
        <f>ROUND(SUM(I290:L290),2)</f>
        <v/>
      </c>
      <c r="N290" s="10">
        <f>ROUND(I290*'Irish Basis'!$C$6*'Irish Basis'!$C$5,2)</f>
        <v/>
      </c>
      <c r="O290" s="10">
        <f>ROUND(J290*'Irish Basis'!$C$7*'Irish Basis'!$C$5,2)</f>
        <v/>
      </c>
      <c r="P290" s="10">
        <f>ROUND(K290*'Irish Basis'!$C$8*'Irish Basis'!$C$5,2)</f>
        <v/>
      </c>
      <c r="Q290" s="10">
        <f>ROUND(L290*'Irish Basis'!$C$12*'Irish Basis'!$C$5,2)</f>
        <v/>
      </c>
      <c r="R290" s="11">
        <f>ROUND(SUM(N290:Q290),2)</f>
        <v/>
      </c>
      <c r="S290" s="5" t="inlineStr">
        <is>
          <t>Stated build-up</t>
        </is>
      </c>
      <c r="T290" s="12" t="inlineStr">
        <is>
          <t>High</t>
        </is>
      </c>
      <c r="U290" s="8" t="n">
        <v>10.87</v>
      </c>
      <c r="V290" s="13">
        <f>IF(U290="","",ROUND(M290-U290,2))</f>
        <v/>
      </c>
      <c r="W290" s="5" t="n"/>
      <c r="X290" s="5" t="inlineStr">
        <is>
          <t>Labour + plant + material as published; reconciles to the published rate.</t>
        </is>
      </c>
    </row>
    <row r="291" ht="13" customHeight="1">
      <c r="A291" s="4" t="n">
        <v>609</v>
      </c>
      <c r="B291" s="5" t="inlineStr">
        <is>
          <t>IMG_0074</t>
        </is>
      </c>
      <c r="C291" s="5" t="inlineStr">
        <is>
          <t>CLASS E: EARTHWORKS</t>
        </is>
      </c>
      <c r="D291" s="5" t="inlineStr">
        <is>
          <t>02 EXCAVATION FOR CUTTINGS</t>
        </is>
      </c>
      <c r="E291" s="5" t="inlineStr">
        <is>
          <t>Excavate material other than topsoil, rock or artificial hard material</t>
        </is>
      </c>
      <c r="F291" s="5" t="inlineStr">
        <is>
          <t>2.0-5.0 m maximum depth</t>
        </is>
      </c>
      <c r="G291" s="6" t="inlineStr">
        <is>
          <t>m3</t>
        </is>
      </c>
      <c r="H291" s="7" t="n">
        <v>0.1</v>
      </c>
      <c r="I291" s="8" t="n">
        <v>7.38</v>
      </c>
      <c r="J291" s="8" t="n">
        <v>10.69</v>
      </c>
      <c r="K291" s="8" t="n">
        <v>0</v>
      </c>
      <c r="L291" s="8" t="n">
        <v>0</v>
      </c>
      <c r="M291" s="9">
        <f>ROUND(SUM(I291:L291),2)</f>
        <v/>
      </c>
      <c r="N291" s="10">
        <f>ROUND(I291*'Irish Basis'!$C$6*'Irish Basis'!$C$5,2)</f>
        <v/>
      </c>
      <c r="O291" s="10">
        <f>ROUND(J291*'Irish Basis'!$C$7*'Irish Basis'!$C$5,2)</f>
        <v/>
      </c>
      <c r="P291" s="10">
        <f>ROUND(K291*'Irish Basis'!$C$8*'Irish Basis'!$C$5,2)</f>
        <v/>
      </c>
      <c r="Q291" s="10">
        <f>ROUND(L291*'Irish Basis'!$C$12*'Irish Basis'!$C$5,2)</f>
        <v/>
      </c>
      <c r="R291" s="11">
        <f>ROUND(SUM(N291:Q291),2)</f>
        <v/>
      </c>
      <c r="S291" s="5" t="inlineStr">
        <is>
          <t>Stated build-up</t>
        </is>
      </c>
      <c r="T291" s="12" t="inlineStr">
        <is>
          <t>High</t>
        </is>
      </c>
      <c r="U291" s="8" t="n">
        <v>18.07</v>
      </c>
      <c r="V291" s="13">
        <f>IF(U291="","",ROUND(M291-U291,2))</f>
        <v/>
      </c>
      <c r="W291" s="5" t="n"/>
      <c r="X291" s="5" t="inlineStr">
        <is>
          <t>Labour + plant + material as published; reconciles to the published rate.</t>
        </is>
      </c>
    </row>
    <row r="292" ht="13" customHeight="1">
      <c r="A292" s="4" t="n">
        <v>610</v>
      </c>
      <c r="B292" s="5" t="inlineStr">
        <is>
          <t>IMG_0074</t>
        </is>
      </c>
      <c r="C292" s="5" t="inlineStr">
        <is>
          <t>CLASS E: EARTHWORKS</t>
        </is>
      </c>
      <c r="D292" s="5" t="inlineStr">
        <is>
          <t>02 EXCAVATION FOR CUTTINGS</t>
        </is>
      </c>
      <c r="E292" s="5" t="inlineStr">
        <is>
          <t>Excavate material other than topsoil, rock or artificial hard material</t>
        </is>
      </c>
      <c r="F292" s="5" t="inlineStr">
        <is>
          <t>5.0-10.0 m maximum depth</t>
        </is>
      </c>
      <c r="G292" s="6" t="inlineStr">
        <is>
          <t>m3</t>
        </is>
      </c>
      <c r="H292" s="7" t="n">
        <v>0.2</v>
      </c>
      <c r="I292" s="8" t="n">
        <v>14.76</v>
      </c>
      <c r="J292" s="8" t="n">
        <v>21.52</v>
      </c>
      <c r="K292" s="8" t="n">
        <v>0</v>
      </c>
      <c r="L292" s="8" t="n">
        <v>0</v>
      </c>
      <c r="M292" s="9">
        <f>ROUND(SUM(I292:L292),2)</f>
        <v/>
      </c>
      <c r="N292" s="10">
        <f>ROUND(I292*'Irish Basis'!$C$6*'Irish Basis'!$C$5,2)</f>
        <v/>
      </c>
      <c r="O292" s="10">
        <f>ROUND(J292*'Irish Basis'!$C$7*'Irish Basis'!$C$5,2)</f>
        <v/>
      </c>
      <c r="P292" s="10">
        <f>ROUND(K292*'Irish Basis'!$C$8*'Irish Basis'!$C$5,2)</f>
        <v/>
      </c>
      <c r="Q292" s="10">
        <f>ROUND(L292*'Irish Basis'!$C$12*'Irish Basis'!$C$5,2)</f>
        <v/>
      </c>
      <c r="R292" s="11">
        <f>ROUND(SUM(N292:Q292),2)</f>
        <v/>
      </c>
      <c r="S292" s="5" t="inlineStr">
        <is>
          <t>Stated build-up</t>
        </is>
      </c>
      <c r="T292" s="12" t="inlineStr">
        <is>
          <t>High</t>
        </is>
      </c>
      <c r="U292" s="8" t="n">
        <v>36.28</v>
      </c>
      <c r="V292" s="13">
        <f>IF(U292="","",ROUND(M292-U292,2))</f>
        <v/>
      </c>
      <c r="W292" s="5" t="n"/>
      <c r="X292" s="5" t="inlineStr">
        <is>
          <t>Labour + plant + material as published; reconciles to the published rate.</t>
        </is>
      </c>
    </row>
    <row r="293" ht="13" customHeight="1">
      <c r="A293" s="4" t="n">
        <v>611</v>
      </c>
      <c r="B293" s="5" t="inlineStr">
        <is>
          <t>IMG_0074</t>
        </is>
      </c>
      <c r="C293" s="5" t="inlineStr">
        <is>
          <t>CLASS E: EARTHWORKS</t>
        </is>
      </c>
      <c r="D293" s="5" t="inlineStr">
        <is>
          <t>02 EXCAVATION FOR CUTTINGS</t>
        </is>
      </c>
      <c r="E293" s="5" t="inlineStr">
        <is>
          <t>Excavate material other than topsoil, rock or artificial hard material</t>
        </is>
      </c>
      <c r="F293" s="5" t="inlineStr">
        <is>
          <t>10.0-15.0 m maximum depth</t>
        </is>
      </c>
      <c r="G293" s="6" t="inlineStr">
        <is>
          <t>m3</t>
        </is>
      </c>
      <c r="H293" s="7" t="n">
        <v>0.29</v>
      </c>
      <c r="I293" s="8" t="n">
        <v>21.4</v>
      </c>
      <c r="J293" s="8" t="n">
        <v>31.13</v>
      </c>
      <c r="K293" s="8" t="n">
        <v>0</v>
      </c>
      <c r="L293" s="8" t="n">
        <v>0</v>
      </c>
      <c r="M293" s="9">
        <f>ROUND(SUM(I293:L293),2)</f>
        <v/>
      </c>
      <c r="N293" s="10">
        <f>ROUND(I293*'Irish Basis'!$C$6*'Irish Basis'!$C$5,2)</f>
        <v/>
      </c>
      <c r="O293" s="10">
        <f>ROUND(J293*'Irish Basis'!$C$7*'Irish Basis'!$C$5,2)</f>
        <v/>
      </c>
      <c r="P293" s="10">
        <f>ROUND(K293*'Irish Basis'!$C$8*'Irish Basis'!$C$5,2)</f>
        <v/>
      </c>
      <c r="Q293" s="10">
        <f>ROUND(L293*'Irish Basis'!$C$12*'Irish Basis'!$C$5,2)</f>
        <v/>
      </c>
      <c r="R293" s="11">
        <f>ROUND(SUM(N293:Q293),2)</f>
        <v/>
      </c>
      <c r="S293" s="5" t="inlineStr">
        <is>
          <t>Stated build-up</t>
        </is>
      </c>
      <c r="T293" s="12" t="inlineStr">
        <is>
          <t>High</t>
        </is>
      </c>
      <c r="U293" s="8" t="n">
        <v>52.52</v>
      </c>
      <c r="V293" s="13">
        <f>IF(U293="","",ROUND(M293-U293,2))</f>
        <v/>
      </c>
      <c r="W293" s="5" t="n"/>
      <c r="X293" s="5" t="inlineStr">
        <is>
          <t>Labour + plant + material as published; reconciles to the published rate.</t>
        </is>
      </c>
    </row>
    <row r="294" ht="13" customHeight="1">
      <c r="A294" s="4" t="n">
        <v>614</v>
      </c>
      <c r="B294" s="5" t="inlineStr">
        <is>
          <t>IMG_0074</t>
        </is>
      </c>
      <c r="C294" s="5" t="inlineStr">
        <is>
          <t>CLASS E: EARTHWORKS</t>
        </is>
      </c>
      <c r="D294" s="5" t="inlineStr">
        <is>
          <t>02 EXCAVATION FOR CUTTINGS</t>
        </is>
      </c>
      <c r="E294" s="5" t="inlineStr">
        <is>
          <t>Excavate rock (medium hard)</t>
        </is>
      </c>
      <c r="F294" s="5" t="inlineStr">
        <is>
          <t>ne 0.25 m maximum depth</t>
        </is>
      </c>
      <c r="G294" s="6" t="inlineStr">
        <is>
          <t>m3</t>
        </is>
      </c>
      <c r="H294" s="7" t="n">
        <v>0.31</v>
      </c>
      <c r="I294" s="8" t="n">
        <v>22.87</v>
      </c>
      <c r="J294" s="8" t="n">
        <v>33.3</v>
      </c>
      <c r="K294" s="8" t="n">
        <v>0</v>
      </c>
      <c r="L294" s="8" t="n">
        <v>0</v>
      </c>
      <c r="M294" s="9">
        <f>ROUND(SUM(I294:L294),2)</f>
        <v/>
      </c>
      <c r="N294" s="10">
        <f>ROUND(I294*'Irish Basis'!$C$6*'Irish Basis'!$C$5,2)</f>
        <v/>
      </c>
      <c r="O294" s="10">
        <f>ROUND(J294*'Irish Basis'!$C$7*'Irish Basis'!$C$5,2)</f>
        <v/>
      </c>
      <c r="P294" s="10">
        <f>ROUND(K294*'Irish Basis'!$C$8*'Irish Basis'!$C$5,2)</f>
        <v/>
      </c>
      <c r="Q294" s="10">
        <f>ROUND(L294*'Irish Basis'!$C$12*'Irish Basis'!$C$5,2)</f>
        <v/>
      </c>
      <c r="R294" s="11">
        <f>ROUND(SUM(N294:Q294),2)</f>
        <v/>
      </c>
      <c r="S294" s="5" t="inlineStr">
        <is>
          <t>Stated build-up</t>
        </is>
      </c>
      <c r="T294" s="12" t="inlineStr">
        <is>
          <t>High</t>
        </is>
      </c>
      <c r="U294" s="8" t="n">
        <v>56.17</v>
      </c>
      <c r="V294" s="13">
        <f>IF(U294="","",ROUND(M294-U294,2))</f>
        <v/>
      </c>
      <c r="W294" s="5" t="n"/>
      <c r="X294" s="5" t="inlineStr">
        <is>
          <t>Labour + plant + material as published; reconciles to the published rate.</t>
        </is>
      </c>
    </row>
    <row r="295" ht="13" customHeight="1">
      <c r="A295" s="4" t="n">
        <v>615</v>
      </c>
      <c r="B295" s="5" t="inlineStr">
        <is>
          <t>IMG_0074</t>
        </is>
      </c>
      <c r="C295" s="5" t="inlineStr">
        <is>
          <t>CLASS E: EARTHWORKS</t>
        </is>
      </c>
      <c r="D295" s="5" t="inlineStr">
        <is>
          <t>02 EXCAVATION FOR CUTTINGS</t>
        </is>
      </c>
      <c r="E295" s="5" t="inlineStr">
        <is>
          <t>Excavate rock (medium hard)</t>
        </is>
      </c>
      <c r="F295" s="5" t="inlineStr">
        <is>
          <t>0.25-0.5 m maximum depth</t>
        </is>
      </c>
      <c r="G295" s="6" t="inlineStr">
        <is>
          <t>m3</t>
        </is>
      </c>
      <c r="H295" s="7" t="n">
        <v>0.43</v>
      </c>
      <c r="I295" s="8" t="n">
        <v>31.73</v>
      </c>
      <c r="J295" s="8" t="n">
        <v>46.18</v>
      </c>
      <c r="K295" s="8" t="n">
        <v>0</v>
      </c>
      <c r="L295" s="8" t="n">
        <v>0</v>
      </c>
      <c r="M295" s="9">
        <f>ROUND(SUM(I295:L295),2)</f>
        <v/>
      </c>
      <c r="N295" s="10">
        <f>ROUND(I295*'Irish Basis'!$C$6*'Irish Basis'!$C$5,2)</f>
        <v/>
      </c>
      <c r="O295" s="10">
        <f>ROUND(J295*'Irish Basis'!$C$7*'Irish Basis'!$C$5,2)</f>
        <v/>
      </c>
      <c r="P295" s="10">
        <f>ROUND(K295*'Irish Basis'!$C$8*'Irish Basis'!$C$5,2)</f>
        <v/>
      </c>
      <c r="Q295" s="10">
        <f>ROUND(L295*'Irish Basis'!$C$12*'Irish Basis'!$C$5,2)</f>
        <v/>
      </c>
      <c r="R295" s="11">
        <f>ROUND(SUM(N295:Q295),2)</f>
        <v/>
      </c>
      <c r="S295" s="5" t="inlineStr">
        <is>
          <t>Stated build-up</t>
        </is>
      </c>
      <c r="T295" s="12" t="inlineStr">
        <is>
          <t>High</t>
        </is>
      </c>
      <c r="U295" s="8" t="n">
        <v>77.91</v>
      </c>
      <c r="V295" s="13">
        <f>IF(U295="","",ROUND(M295-U295,2))</f>
        <v/>
      </c>
      <c r="W295" s="5" t="n"/>
      <c r="X295" s="5" t="inlineStr">
        <is>
          <t>Labour + plant + material as published; reconciles to the published rate.</t>
        </is>
      </c>
    </row>
    <row r="296" ht="13" customHeight="1">
      <c r="A296" s="4" t="n">
        <v>616</v>
      </c>
      <c r="B296" s="5" t="inlineStr">
        <is>
          <t>IMG_0074</t>
        </is>
      </c>
      <c r="C296" s="5" t="inlineStr">
        <is>
          <t>CLASS E: EARTHWORKS</t>
        </is>
      </c>
      <c r="D296" s="5" t="inlineStr">
        <is>
          <t>02 EXCAVATION FOR CUTTINGS</t>
        </is>
      </c>
      <c r="E296" s="5" t="inlineStr">
        <is>
          <t>Excavate rock (medium hard)</t>
        </is>
      </c>
      <c r="F296" s="5" t="inlineStr">
        <is>
          <t>0.5-1.0 m maximum depth</t>
        </is>
      </c>
      <c r="G296" s="6" t="inlineStr">
        <is>
          <t>m3</t>
        </is>
      </c>
      <c r="H296" s="7" t="n">
        <v>0.58</v>
      </c>
      <c r="I296" s="8" t="n">
        <v>42.79</v>
      </c>
      <c r="J296" s="8" t="n">
        <v>62.23</v>
      </c>
      <c r="K296" s="8" t="n">
        <v>0</v>
      </c>
      <c r="L296" s="8" t="n">
        <v>0</v>
      </c>
      <c r="M296" s="9">
        <f>ROUND(SUM(I296:L296),2)</f>
        <v/>
      </c>
      <c r="N296" s="10">
        <f>ROUND(I296*'Irish Basis'!$C$6*'Irish Basis'!$C$5,2)</f>
        <v/>
      </c>
      <c r="O296" s="10">
        <f>ROUND(J296*'Irish Basis'!$C$7*'Irish Basis'!$C$5,2)</f>
        <v/>
      </c>
      <c r="P296" s="10">
        <f>ROUND(K296*'Irish Basis'!$C$8*'Irish Basis'!$C$5,2)</f>
        <v/>
      </c>
      <c r="Q296" s="10">
        <f>ROUND(L296*'Irish Basis'!$C$12*'Irish Basis'!$C$5,2)</f>
        <v/>
      </c>
      <c r="R296" s="11">
        <f>ROUND(SUM(N296:Q296),2)</f>
        <v/>
      </c>
      <c r="S296" s="5" t="inlineStr">
        <is>
          <t>Stated build-up</t>
        </is>
      </c>
      <c r="T296" s="12" t="inlineStr">
        <is>
          <t>High</t>
        </is>
      </c>
      <c r="U296" s="8" t="n">
        <v>105.02</v>
      </c>
      <c r="V296" s="13">
        <f>IF(U296="","",ROUND(M296-U296,2))</f>
        <v/>
      </c>
      <c r="W296" s="5" t="n"/>
      <c r="X296" s="5" t="inlineStr">
        <is>
          <t>Labour + plant + material as published; reconciles to the published rate.</t>
        </is>
      </c>
    </row>
    <row r="297" ht="13" customHeight="1">
      <c r="A297" s="4" t="n">
        <v>617</v>
      </c>
      <c r="B297" s="5" t="inlineStr">
        <is>
          <t>IMG_0074</t>
        </is>
      </c>
      <c r="C297" s="5" t="inlineStr">
        <is>
          <t>CLASS E: EARTHWORKS</t>
        </is>
      </c>
      <c r="D297" s="5" t="inlineStr">
        <is>
          <t>02 EXCAVATION FOR CUTTINGS</t>
        </is>
      </c>
      <c r="E297" s="5" t="inlineStr">
        <is>
          <t>Excavate rock (medium hard)</t>
        </is>
      </c>
      <c r="F297" s="5" t="inlineStr">
        <is>
          <t>1.0-2.0 m maximum depth</t>
        </is>
      </c>
      <c r="G297" s="6" t="inlineStr">
        <is>
          <t>m3</t>
        </is>
      </c>
      <c r="H297" s="7" t="n">
        <v>0.8</v>
      </c>
      <c r="I297" s="8" t="n">
        <v>59.02</v>
      </c>
      <c r="J297" s="8" t="n">
        <v>86.04000000000001</v>
      </c>
      <c r="K297" s="8" t="n">
        <v>0</v>
      </c>
      <c r="L297" s="8" t="n">
        <v>0</v>
      </c>
      <c r="M297" s="9">
        <f>ROUND(SUM(I297:L297),2)</f>
        <v/>
      </c>
      <c r="N297" s="10">
        <f>ROUND(I297*'Irish Basis'!$C$6*'Irish Basis'!$C$5,2)</f>
        <v/>
      </c>
      <c r="O297" s="10">
        <f>ROUND(J297*'Irish Basis'!$C$7*'Irish Basis'!$C$5,2)</f>
        <v/>
      </c>
      <c r="P297" s="10">
        <f>ROUND(K297*'Irish Basis'!$C$8*'Irish Basis'!$C$5,2)</f>
        <v/>
      </c>
      <c r="Q297" s="10">
        <f>ROUND(L297*'Irish Basis'!$C$12*'Irish Basis'!$C$5,2)</f>
        <v/>
      </c>
      <c r="R297" s="11">
        <f>ROUND(SUM(N297:Q297),2)</f>
        <v/>
      </c>
      <c r="S297" s="5" t="inlineStr">
        <is>
          <t>Stated build-up</t>
        </is>
      </c>
      <c r="T297" s="12" t="inlineStr">
        <is>
          <t>High</t>
        </is>
      </c>
      <c r="U297" s="8" t="n">
        <v>145.06</v>
      </c>
      <c r="V297" s="13">
        <f>IF(U297="","",ROUND(M297-U297,2))</f>
        <v/>
      </c>
      <c r="W297" s="5" t="n"/>
      <c r="X297" s="5" t="inlineStr">
        <is>
          <t>Labour + plant + material as published; reconciles to the published rate.</t>
        </is>
      </c>
    </row>
    <row r="298" ht="13" customHeight="1">
      <c r="A298" s="4" t="n">
        <v>619</v>
      </c>
      <c r="B298" s="5" t="inlineStr">
        <is>
          <t>IMG_0074</t>
        </is>
      </c>
      <c r="C298" s="5" t="inlineStr">
        <is>
          <t>CLASS E: EARTHWORKS</t>
        </is>
      </c>
      <c r="D298" s="5" t="inlineStr">
        <is>
          <t>02 EXCAVATION FOR CUTTINGS</t>
        </is>
      </c>
      <c r="E298" s="5" t="inlineStr">
        <is>
          <t>Excavate unreinforced concrete exposed at the commencing surface</t>
        </is>
      </c>
      <c r="F298" s="5" t="inlineStr">
        <is>
          <t>ne 0.25 m maximum depth</t>
        </is>
      </c>
      <c r="G298" s="6" t="inlineStr">
        <is>
          <t>m3</t>
        </is>
      </c>
      <c r="H298" s="7" t="n">
        <v>0.57</v>
      </c>
      <c r="I298" s="8" t="n">
        <v>42.06</v>
      </c>
      <c r="J298" s="8" t="n">
        <v>61.26</v>
      </c>
      <c r="K298" s="8" t="n">
        <v>0</v>
      </c>
      <c r="L298" s="8" t="n">
        <v>0</v>
      </c>
      <c r="M298" s="9">
        <f>ROUND(SUM(I298:L298),2)</f>
        <v/>
      </c>
      <c r="N298" s="10">
        <f>ROUND(I298*'Irish Basis'!$C$6*'Irish Basis'!$C$5,2)</f>
        <v/>
      </c>
      <c r="O298" s="10">
        <f>ROUND(J298*'Irish Basis'!$C$7*'Irish Basis'!$C$5,2)</f>
        <v/>
      </c>
      <c r="P298" s="10">
        <f>ROUND(K298*'Irish Basis'!$C$8*'Irish Basis'!$C$5,2)</f>
        <v/>
      </c>
      <c r="Q298" s="10">
        <f>ROUND(L298*'Irish Basis'!$C$12*'Irish Basis'!$C$5,2)</f>
        <v/>
      </c>
      <c r="R298" s="11">
        <f>ROUND(SUM(N298:Q298),2)</f>
        <v/>
      </c>
      <c r="S298" s="5" t="inlineStr">
        <is>
          <t>Stated build-up</t>
        </is>
      </c>
      <c r="T298" s="12" t="inlineStr">
        <is>
          <t>High</t>
        </is>
      </c>
      <c r="U298" s="8" t="n">
        <v>103.32</v>
      </c>
      <c r="V298" s="13">
        <f>IF(U298="","",ROUND(M298-U298,2))</f>
        <v/>
      </c>
      <c r="W298" s="5" t="n"/>
      <c r="X298" s="5" t="inlineStr">
        <is>
          <t>Labour + plant + material as published; reconciles to the published rate.</t>
        </is>
      </c>
    </row>
    <row r="299" ht="13" customHeight="1">
      <c r="A299" s="4" t="n">
        <v>620</v>
      </c>
      <c r="B299" s="5" t="inlineStr">
        <is>
          <t>IMG_0074</t>
        </is>
      </c>
      <c r="C299" s="5" t="inlineStr">
        <is>
          <t>CLASS E: EARTHWORKS</t>
        </is>
      </c>
      <c r="D299" s="5" t="inlineStr">
        <is>
          <t>02 EXCAVATION FOR CUTTINGS</t>
        </is>
      </c>
      <c r="E299" s="5" t="inlineStr">
        <is>
          <t>Excavate unreinforced concrete exposed at the commencing surface</t>
        </is>
      </c>
      <c r="F299" s="5" t="inlineStr">
        <is>
          <t>0.25-0.5 m maximum depth</t>
        </is>
      </c>
      <c r="G299" s="6" t="inlineStr">
        <is>
          <t>m3</t>
        </is>
      </c>
      <c r="H299" s="7" t="n">
        <v>0.6</v>
      </c>
      <c r="I299" s="8" t="n">
        <v>44.27</v>
      </c>
      <c r="J299" s="8" t="n">
        <v>64.42</v>
      </c>
      <c r="K299" s="8" t="n">
        <v>0</v>
      </c>
      <c r="L299" s="8" t="n">
        <v>0</v>
      </c>
      <c r="M299" s="9">
        <f>ROUND(SUM(I299:L299),2)</f>
        <v/>
      </c>
      <c r="N299" s="10">
        <f>ROUND(I299*'Irish Basis'!$C$6*'Irish Basis'!$C$5,2)</f>
        <v/>
      </c>
      <c r="O299" s="10">
        <f>ROUND(J299*'Irish Basis'!$C$7*'Irish Basis'!$C$5,2)</f>
        <v/>
      </c>
      <c r="P299" s="10">
        <f>ROUND(K299*'Irish Basis'!$C$8*'Irish Basis'!$C$5,2)</f>
        <v/>
      </c>
      <c r="Q299" s="10">
        <f>ROUND(L299*'Irish Basis'!$C$12*'Irish Basis'!$C$5,2)</f>
        <v/>
      </c>
      <c r="R299" s="11">
        <f>ROUND(SUM(N299:Q299),2)</f>
        <v/>
      </c>
      <c r="S299" s="5" t="inlineStr">
        <is>
          <t>Stated build-up</t>
        </is>
      </c>
      <c r="T299" s="12" t="inlineStr">
        <is>
          <t>High</t>
        </is>
      </c>
      <c r="U299" s="8" t="n">
        <v>108.69</v>
      </c>
      <c r="V299" s="13">
        <f>IF(U299="","",ROUND(M299-U299,2))</f>
        <v/>
      </c>
      <c r="W299" s="5" t="n"/>
      <c r="X299" s="5" t="inlineStr">
        <is>
          <t>Labour + plant + material as published; reconciles to the published rate.</t>
        </is>
      </c>
    </row>
    <row r="300" ht="13" customHeight="1">
      <c r="A300" s="4" t="n">
        <v>621</v>
      </c>
      <c r="B300" s="5" t="inlineStr">
        <is>
          <t>IMG_0074</t>
        </is>
      </c>
      <c r="C300" s="5" t="inlineStr">
        <is>
          <t>CLASS E: EARTHWORKS</t>
        </is>
      </c>
      <c r="D300" s="5" t="inlineStr">
        <is>
          <t>02 EXCAVATION FOR CUTTINGS</t>
        </is>
      </c>
      <c r="E300" s="5" t="inlineStr">
        <is>
          <t>Excavate unreinforced concrete exposed at the commencing surface</t>
        </is>
      </c>
      <c r="F300" s="5" t="inlineStr">
        <is>
          <t>0.5-1.0 m maximum depth</t>
        </is>
      </c>
      <c r="G300" s="6" t="inlineStr">
        <is>
          <t>m3</t>
        </is>
      </c>
      <c r="H300" s="7" t="n">
        <v>0.67</v>
      </c>
      <c r="I300" s="8" t="n">
        <v>49.43</v>
      </c>
      <c r="J300" s="8" t="n">
        <v>71.95</v>
      </c>
      <c r="K300" s="8" t="n">
        <v>0</v>
      </c>
      <c r="L300" s="8" t="n">
        <v>0</v>
      </c>
      <c r="M300" s="9">
        <f>ROUND(SUM(I300:L300),2)</f>
        <v/>
      </c>
      <c r="N300" s="10">
        <f>ROUND(I300*'Irish Basis'!$C$6*'Irish Basis'!$C$5,2)</f>
        <v/>
      </c>
      <c r="O300" s="10">
        <f>ROUND(J300*'Irish Basis'!$C$7*'Irish Basis'!$C$5,2)</f>
        <v/>
      </c>
      <c r="P300" s="10">
        <f>ROUND(K300*'Irish Basis'!$C$8*'Irish Basis'!$C$5,2)</f>
        <v/>
      </c>
      <c r="Q300" s="10">
        <f>ROUND(L300*'Irish Basis'!$C$12*'Irish Basis'!$C$5,2)</f>
        <v/>
      </c>
      <c r="R300" s="11">
        <f>ROUND(SUM(N300:Q300),2)</f>
        <v/>
      </c>
      <c r="S300" s="5" t="inlineStr">
        <is>
          <t>Stated build-up</t>
        </is>
      </c>
      <c r="T300" s="12" t="inlineStr">
        <is>
          <t>High</t>
        </is>
      </c>
      <c r="U300" s="8" t="n">
        <v>121.38</v>
      </c>
      <c r="V300" s="13">
        <f>IF(U300="","",ROUND(M300-U300,2))</f>
        <v/>
      </c>
      <c r="W300" s="5" t="n"/>
      <c r="X300" s="5" t="inlineStr">
        <is>
          <t>Labour + plant + material as published; reconciles to the published rate.</t>
        </is>
      </c>
    </row>
    <row r="301" ht="13" customHeight="1">
      <c r="A301" s="4" t="n">
        <v>622</v>
      </c>
      <c r="B301" s="5" t="inlineStr">
        <is>
          <t>IMG_0074</t>
        </is>
      </c>
      <c r="C301" s="5" t="inlineStr">
        <is>
          <t>CLASS E: EARTHWORKS</t>
        </is>
      </c>
      <c r="D301" s="5" t="inlineStr">
        <is>
          <t>02 EXCAVATION FOR CUTTINGS</t>
        </is>
      </c>
      <c r="E301" s="5" t="inlineStr">
        <is>
          <t>Excavate unreinforced concrete exposed at the commencing surface</t>
        </is>
      </c>
      <c r="F301" s="5" t="inlineStr">
        <is>
          <t>1.0-2.0 m maximum depth</t>
        </is>
      </c>
      <c r="G301" s="6" t="inlineStr">
        <is>
          <t>m3</t>
        </is>
      </c>
      <c r="H301" s="7" t="n">
        <v>0.7</v>
      </c>
      <c r="I301" s="8" t="n">
        <v>51.65</v>
      </c>
      <c r="J301" s="8" t="n">
        <v>75.11</v>
      </c>
      <c r="K301" s="8" t="n">
        <v>0</v>
      </c>
      <c r="L301" s="8" t="n">
        <v>0</v>
      </c>
      <c r="M301" s="9">
        <f>ROUND(SUM(I301:L301),2)</f>
        <v/>
      </c>
      <c r="N301" s="10">
        <f>ROUND(I301*'Irish Basis'!$C$6*'Irish Basis'!$C$5,2)</f>
        <v/>
      </c>
      <c r="O301" s="10">
        <f>ROUND(J301*'Irish Basis'!$C$7*'Irish Basis'!$C$5,2)</f>
        <v/>
      </c>
      <c r="P301" s="10">
        <f>ROUND(K301*'Irish Basis'!$C$8*'Irish Basis'!$C$5,2)</f>
        <v/>
      </c>
      <c r="Q301" s="10">
        <f>ROUND(L301*'Irish Basis'!$C$12*'Irish Basis'!$C$5,2)</f>
        <v/>
      </c>
      <c r="R301" s="11">
        <f>ROUND(SUM(N301:Q301),2)</f>
        <v/>
      </c>
      <c r="S301" s="5" t="inlineStr">
        <is>
          <t>Stated build-up</t>
        </is>
      </c>
      <c r="T301" s="12" t="inlineStr">
        <is>
          <t>High</t>
        </is>
      </c>
      <c r="U301" s="8" t="n">
        <v>126.76</v>
      </c>
      <c r="V301" s="13">
        <f>IF(U301="","",ROUND(M301-U301,2))</f>
        <v/>
      </c>
      <c r="W301" s="5" t="n"/>
      <c r="X301" s="5" t="inlineStr">
        <is>
          <t>Labour + plant + material as published; reconciles to the published rate.</t>
        </is>
      </c>
    </row>
    <row r="302" ht="13" customHeight="1">
      <c r="A302" s="4" t="n">
        <v>624</v>
      </c>
      <c r="B302" s="5" t="inlineStr">
        <is>
          <t>IMG_0074</t>
        </is>
      </c>
      <c r="C302" s="5" t="inlineStr">
        <is>
          <t>CLASS E: EARTHWORKS</t>
        </is>
      </c>
      <c r="D302" s="5" t="inlineStr">
        <is>
          <t>02 EXCAVATION FOR CUTTINGS</t>
        </is>
      </c>
      <c r="E302" s="5" t="inlineStr">
        <is>
          <t>Excavate reinforced concrete exposed at the commencing surface</t>
        </is>
      </c>
      <c r="F302" s="5" t="inlineStr">
        <is>
          <t>ne 0.25 m maximum depth</t>
        </is>
      </c>
      <c r="G302" s="6" t="inlineStr">
        <is>
          <t>m3</t>
        </is>
      </c>
      <c r="H302" s="7" t="n">
        <v>0.9</v>
      </c>
      <c r="I302" s="8" t="n">
        <v>66.40000000000001</v>
      </c>
      <c r="J302" s="8" t="n">
        <v>96.64</v>
      </c>
      <c r="K302" s="8" t="n">
        <v>0</v>
      </c>
      <c r="L302" s="8" t="n">
        <v>0</v>
      </c>
      <c r="M302" s="9">
        <f>ROUND(SUM(I302:L302),2)</f>
        <v/>
      </c>
      <c r="N302" s="10">
        <f>ROUND(I302*'Irish Basis'!$C$6*'Irish Basis'!$C$5,2)</f>
        <v/>
      </c>
      <c r="O302" s="10">
        <f>ROUND(J302*'Irish Basis'!$C$7*'Irish Basis'!$C$5,2)</f>
        <v/>
      </c>
      <c r="P302" s="10">
        <f>ROUND(K302*'Irish Basis'!$C$8*'Irish Basis'!$C$5,2)</f>
        <v/>
      </c>
      <c r="Q302" s="10">
        <f>ROUND(L302*'Irish Basis'!$C$12*'Irish Basis'!$C$5,2)</f>
        <v/>
      </c>
      <c r="R302" s="11">
        <f>ROUND(SUM(N302:Q302),2)</f>
        <v/>
      </c>
      <c r="S302" s="5" t="inlineStr">
        <is>
          <t>Stated build-up</t>
        </is>
      </c>
      <c r="T302" s="12" t="inlineStr">
        <is>
          <t>High</t>
        </is>
      </c>
      <c r="U302" s="8" t="n">
        <v>163.04</v>
      </c>
      <c r="V302" s="13">
        <f>IF(U302="","",ROUND(M302-U302,2))</f>
        <v/>
      </c>
      <c r="W302" s="5" t="n"/>
      <c r="X302" s="5" t="inlineStr">
        <is>
          <t>Labour + plant + material as published; reconciles to the published rate.</t>
        </is>
      </c>
    </row>
    <row r="303" ht="13" customHeight="1">
      <c r="A303" s="4" t="n">
        <v>625</v>
      </c>
      <c r="B303" s="5" t="inlineStr">
        <is>
          <t>IMG_0074</t>
        </is>
      </c>
      <c r="C303" s="5" t="inlineStr">
        <is>
          <t>CLASS E: EARTHWORKS</t>
        </is>
      </c>
      <c r="D303" s="5" t="inlineStr">
        <is>
          <t>02 EXCAVATION FOR CUTTINGS</t>
        </is>
      </c>
      <c r="E303" s="5" t="inlineStr">
        <is>
          <t>Excavate reinforced concrete exposed at the commencing surface</t>
        </is>
      </c>
      <c r="F303" s="5" t="inlineStr">
        <is>
          <t>0.25-0.5 m maximum depth</t>
        </is>
      </c>
      <c r="G303" s="6" t="inlineStr">
        <is>
          <t>m3</t>
        </is>
      </c>
      <c r="H303" s="7" t="n">
        <v>0.9</v>
      </c>
      <c r="I303" s="8" t="n">
        <v>66.40000000000001</v>
      </c>
      <c r="J303" s="8" t="n">
        <v>96.64</v>
      </c>
      <c r="K303" s="8" t="n">
        <v>0</v>
      </c>
      <c r="L303" s="8" t="n">
        <v>0</v>
      </c>
      <c r="M303" s="9">
        <f>ROUND(SUM(I303:L303),2)</f>
        <v/>
      </c>
      <c r="N303" s="10">
        <f>ROUND(I303*'Irish Basis'!$C$6*'Irish Basis'!$C$5,2)</f>
        <v/>
      </c>
      <c r="O303" s="10">
        <f>ROUND(J303*'Irish Basis'!$C$7*'Irish Basis'!$C$5,2)</f>
        <v/>
      </c>
      <c r="P303" s="10">
        <f>ROUND(K303*'Irish Basis'!$C$8*'Irish Basis'!$C$5,2)</f>
        <v/>
      </c>
      <c r="Q303" s="10">
        <f>ROUND(L303*'Irish Basis'!$C$12*'Irish Basis'!$C$5,2)</f>
        <v/>
      </c>
      <c r="R303" s="11">
        <f>ROUND(SUM(N303:Q303),2)</f>
        <v/>
      </c>
      <c r="S303" s="5" t="inlineStr">
        <is>
          <t>Stated build-up</t>
        </is>
      </c>
      <c r="T303" s="12" t="inlineStr">
        <is>
          <t>High</t>
        </is>
      </c>
      <c r="U303" s="8" t="n">
        <v>163.04</v>
      </c>
      <c r="V303" s="13">
        <f>IF(U303="","",ROUND(M303-U303,2))</f>
        <v/>
      </c>
      <c r="W303" s="5" t="n"/>
      <c r="X303" s="5" t="inlineStr">
        <is>
          <t>Labour + plant + material as published; reconciles to the published rate.</t>
        </is>
      </c>
    </row>
    <row r="304" ht="13" customHeight="1">
      <c r="A304" s="4" t="n">
        <v>626</v>
      </c>
      <c r="B304" s="5" t="inlineStr">
        <is>
          <t>IMG_0074</t>
        </is>
      </c>
      <c r="C304" s="5" t="inlineStr">
        <is>
          <t>CLASS E: EARTHWORKS</t>
        </is>
      </c>
      <c r="D304" s="5" t="inlineStr">
        <is>
          <t>02 EXCAVATION FOR CUTTINGS</t>
        </is>
      </c>
      <c r="E304" s="5" t="inlineStr">
        <is>
          <t>Excavate reinforced concrete exposed at the commencing surface</t>
        </is>
      </c>
      <c r="F304" s="5" t="inlineStr">
        <is>
          <t>0.5-1.0 m maximum depth</t>
        </is>
      </c>
      <c r="G304" s="6" t="inlineStr">
        <is>
          <t>m3</t>
        </is>
      </c>
      <c r="H304" s="7" t="n">
        <v>0.95</v>
      </c>
      <c r="I304" s="8" t="n">
        <v>70.09</v>
      </c>
      <c r="J304" s="8" t="n">
        <v>101.99</v>
      </c>
      <c r="K304" s="8" t="n">
        <v>0</v>
      </c>
      <c r="L304" s="8" t="n">
        <v>0</v>
      </c>
      <c r="M304" s="9">
        <f>ROUND(SUM(I304:L304),2)</f>
        <v/>
      </c>
      <c r="N304" s="10">
        <f>ROUND(I304*'Irish Basis'!$C$6*'Irish Basis'!$C$5,2)</f>
        <v/>
      </c>
      <c r="O304" s="10">
        <f>ROUND(J304*'Irish Basis'!$C$7*'Irish Basis'!$C$5,2)</f>
        <v/>
      </c>
      <c r="P304" s="10">
        <f>ROUND(K304*'Irish Basis'!$C$8*'Irish Basis'!$C$5,2)</f>
        <v/>
      </c>
      <c r="Q304" s="10">
        <f>ROUND(L304*'Irish Basis'!$C$12*'Irish Basis'!$C$5,2)</f>
        <v/>
      </c>
      <c r="R304" s="11">
        <f>ROUND(SUM(N304:Q304),2)</f>
        <v/>
      </c>
      <c r="S304" s="5" t="inlineStr">
        <is>
          <t>Stated build-up</t>
        </is>
      </c>
      <c r="T304" s="12" t="inlineStr">
        <is>
          <t>High</t>
        </is>
      </c>
      <c r="U304" s="8" t="n">
        <v>172.09</v>
      </c>
      <c r="V304" s="13">
        <f>IF(U304="","",ROUND(M304-U304,2))</f>
        <v/>
      </c>
      <c r="W304" s="5" t="n"/>
      <c r="X304" s="5" t="inlineStr">
        <is>
          <t>Labour + plant + material as published; reconciles to the published rate.</t>
        </is>
      </c>
    </row>
    <row r="305" ht="13" customHeight="1">
      <c r="A305" s="4" t="n">
        <v>627</v>
      </c>
      <c r="B305" s="5" t="inlineStr">
        <is>
          <t>IMG_0074</t>
        </is>
      </c>
      <c r="C305" s="5" t="inlineStr">
        <is>
          <t>CLASS E: EARTHWORKS</t>
        </is>
      </c>
      <c r="D305" s="5" t="inlineStr">
        <is>
          <t>02 EXCAVATION FOR CUTTINGS</t>
        </is>
      </c>
      <c r="E305" s="5" t="inlineStr">
        <is>
          <t>Excavate reinforced concrete exposed at the commencing surface</t>
        </is>
      </c>
      <c r="F305" s="5" t="inlineStr">
        <is>
          <t>1.0-2.0 m maximum depth</t>
        </is>
      </c>
      <c r="G305" s="6" t="inlineStr">
        <is>
          <t>m3</t>
        </is>
      </c>
      <c r="H305" s="7" t="n">
        <v>1.08</v>
      </c>
      <c r="I305" s="8" t="n">
        <v>79.68000000000001</v>
      </c>
      <c r="J305" s="8" t="n">
        <v>115.96</v>
      </c>
      <c r="K305" s="8" t="n">
        <v>0</v>
      </c>
      <c r="L305" s="8" t="n">
        <v>0</v>
      </c>
      <c r="M305" s="9">
        <f>ROUND(SUM(I305:L305),2)</f>
        <v/>
      </c>
      <c r="N305" s="10">
        <f>ROUND(I305*'Irish Basis'!$C$6*'Irish Basis'!$C$5,2)</f>
        <v/>
      </c>
      <c r="O305" s="10">
        <f>ROUND(J305*'Irish Basis'!$C$7*'Irish Basis'!$C$5,2)</f>
        <v/>
      </c>
      <c r="P305" s="10">
        <f>ROUND(K305*'Irish Basis'!$C$8*'Irish Basis'!$C$5,2)</f>
        <v/>
      </c>
      <c r="Q305" s="10">
        <f>ROUND(L305*'Irish Basis'!$C$12*'Irish Basis'!$C$5,2)</f>
        <v/>
      </c>
      <c r="R305" s="11">
        <f>ROUND(SUM(N305:Q305),2)</f>
        <v/>
      </c>
      <c r="S305" s="5" t="inlineStr">
        <is>
          <t>Stated build-up</t>
        </is>
      </c>
      <c r="T305" s="12" t="inlineStr">
        <is>
          <t>High</t>
        </is>
      </c>
      <c r="U305" s="8" t="n">
        <v>195.65</v>
      </c>
      <c r="V305" s="13">
        <f>IF(U305="","",ROUND(M305-U305,2))</f>
        <v/>
      </c>
      <c r="W305" s="5" t="n"/>
      <c r="X305" s="5" t="inlineStr">
        <is>
          <t>Labour + plant + material as published; reconciles to the published rate.</t>
        </is>
      </c>
    </row>
    <row r="306" ht="13" customHeight="1">
      <c r="A306" s="4" t="n">
        <v>629</v>
      </c>
      <c r="B306" s="5" t="inlineStr">
        <is>
          <t>IMG_0074</t>
        </is>
      </c>
      <c r="C306" s="5" t="inlineStr">
        <is>
          <t>CLASS E: EARTHWORKS</t>
        </is>
      </c>
      <c r="D306" s="5" t="inlineStr">
        <is>
          <t>02 EXCAVATION FOR CUTTINGS</t>
        </is>
      </c>
      <c r="E306" s="5" t="inlineStr">
        <is>
          <t>Excavate unreinforced concrete not exposed at the commencing surface</t>
        </is>
      </c>
      <c r="F306" s="5" t="inlineStr">
        <is>
          <t>ne 0.25 m maximum depth</t>
        </is>
      </c>
      <c r="G306" s="6" t="inlineStr">
        <is>
          <t>m3</t>
        </is>
      </c>
      <c r="H306" s="7" t="n">
        <v>0.65</v>
      </c>
      <c r="I306" s="8" t="n">
        <v>47.96</v>
      </c>
      <c r="J306" s="8" t="n">
        <v>69.78</v>
      </c>
      <c r="K306" s="8" t="n">
        <v>0</v>
      </c>
      <c r="L306" s="8" t="n">
        <v>0</v>
      </c>
      <c r="M306" s="9">
        <f>ROUND(SUM(I306:L306),2)</f>
        <v/>
      </c>
      <c r="N306" s="10">
        <f>ROUND(I306*'Irish Basis'!$C$6*'Irish Basis'!$C$5,2)</f>
        <v/>
      </c>
      <c r="O306" s="10">
        <f>ROUND(J306*'Irish Basis'!$C$7*'Irish Basis'!$C$5,2)</f>
        <v/>
      </c>
      <c r="P306" s="10">
        <f>ROUND(K306*'Irish Basis'!$C$8*'Irish Basis'!$C$5,2)</f>
        <v/>
      </c>
      <c r="Q306" s="10">
        <f>ROUND(L306*'Irish Basis'!$C$12*'Irish Basis'!$C$5,2)</f>
        <v/>
      </c>
      <c r="R306" s="11">
        <f>ROUND(SUM(N306:Q306),2)</f>
        <v/>
      </c>
      <c r="S306" s="5" t="inlineStr">
        <is>
          <t>Stated build-up</t>
        </is>
      </c>
      <c r="T306" s="12" t="inlineStr">
        <is>
          <t>High</t>
        </is>
      </c>
      <c r="U306" s="8" t="n">
        <v>117.74</v>
      </c>
      <c r="V306" s="13">
        <f>IF(U306="","",ROUND(M306-U306,2))</f>
        <v/>
      </c>
      <c r="W306" s="5" t="n"/>
      <c r="X306" s="5" t="inlineStr">
        <is>
          <t>Labour + plant + material as published; reconciles to the published rate.</t>
        </is>
      </c>
    </row>
    <row r="307" ht="13" customHeight="1">
      <c r="A307" s="4" t="n">
        <v>630</v>
      </c>
      <c r="B307" s="5" t="inlineStr">
        <is>
          <t>IMG_0074</t>
        </is>
      </c>
      <c r="C307" s="5" t="inlineStr">
        <is>
          <t>CLASS E: EARTHWORKS</t>
        </is>
      </c>
      <c r="D307" s="5" t="inlineStr">
        <is>
          <t>02 EXCAVATION FOR CUTTINGS</t>
        </is>
      </c>
      <c r="E307" s="5" t="inlineStr">
        <is>
          <t>Excavate unreinforced concrete not exposed at the commencing surface</t>
        </is>
      </c>
      <c r="F307" s="5" t="inlineStr">
        <is>
          <t>0.25-0.5 m maximum depth</t>
        </is>
      </c>
      <c r="G307" s="6" t="inlineStr">
        <is>
          <t>m3</t>
        </is>
      </c>
      <c r="H307" s="7" t="n">
        <v>0.67</v>
      </c>
      <c r="I307" s="8" t="n">
        <v>49.43</v>
      </c>
      <c r="J307" s="8" t="n">
        <v>71.95</v>
      </c>
      <c r="K307" s="8" t="n">
        <v>0</v>
      </c>
      <c r="L307" s="8" t="n">
        <v>0</v>
      </c>
      <c r="M307" s="9">
        <f>ROUND(SUM(I307:L307),2)</f>
        <v/>
      </c>
      <c r="N307" s="10">
        <f>ROUND(I307*'Irish Basis'!$C$6*'Irish Basis'!$C$5,2)</f>
        <v/>
      </c>
      <c r="O307" s="10">
        <f>ROUND(J307*'Irish Basis'!$C$7*'Irish Basis'!$C$5,2)</f>
        <v/>
      </c>
      <c r="P307" s="10">
        <f>ROUND(K307*'Irish Basis'!$C$8*'Irish Basis'!$C$5,2)</f>
        <v/>
      </c>
      <c r="Q307" s="10">
        <f>ROUND(L307*'Irish Basis'!$C$12*'Irish Basis'!$C$5,2)</f>
        <v/>
      </c>
      <c r="R307" s="11">
        <f>ROUND(SUM(N307:Q307),2)</f>
        <v/>
      </c>
      <c r="S307" s="5" t="inlineStr">
        <is>
          <t>Stated build-up</t>
        </is>
      </c>
      <c r="T307" s="12" t="inlineStr">
        <is>
          <t>High</t>
        </is>
      </c>
      <c r="U307" s="8" t="n">
        <v>121.38</v>
      </c>
      <c r="V307" s="13">
        <f>IF(U307="","",ROUND(M307-U307,2))</f>
        <v/>
      </c>
      <c r="W307" s="5" t="n"/>
      <c r="X307" s="5" t="inlineStr">
        <is>
          <t>Labour + plant + material as published; reconciles to the published rate.</t>
        </is>
      </c>
    </row>
    <row r="308" ht="13" customHeight="1">
      <c r="A308" s="4" t="n">
        <v>631</v>
      </c>
      <c r="B308" s="5" t="inlineStr">
        <is>
          <t>IMG_0074</t>
        </is>
      </c>
      <c r="C308" s="5" t="inlineStr">
        <is>
          <t>CLASS E: EARTHWORKS</t>
        </is>
      </c>
      <c r="D308" s="5" t="inlineStr">
        <is>
          <t>02 EXCAVATION FOR CUTTINGS</t>
        </is>
      </c>
      <c r="E308" s="5" t="inlineStr">
        <is>
          <t>Excavate unreinforced concrete not exposed at the commencing surface</t>
        </is>
      </c>
      <c r="F308" s="5" t="inlineStr">
        <is>
          <t>0.5-1.0 m maximum depth</t>
        </is>
      </c>
      <c r="G308" s="6" t="inlineStr">
        <is>
          <t>m3</t>
        </is>
      </c>
      <c r="H308" s="7" t="n">
        <v>0.6899999999999999</v>
      </c>
      <c r="I308" s="8" t="n">
        <v>50.91</v>
      </c>
      <c r="J308" s="8" t="n">
        <v>74.15000000000001</v>
      </c>
      <c r="K308" s="8" t="n">
        <v>0</v>
      </c>
      <c r="L308" s="8" t="n">
        <v>0</v>
      </c>
      <c r="M308" s="9">
        <f>ROUND(SUM(I308:L308),2)</f>
        <v/>
      </c>
      <c r="N308" s="10">
        <f>ROUND(I308*'Irish Basis'!$C$6*'Irish Basis'!$C$5,2)</f>
        <v/>
      </c>
      <c r="O308" s="10">
        <f>ROUND(J308*'Irish Basis'!$C$7*'Irish Basis'!$C$5,2)</f>
        <v/>
      </c>
      <c r="P308" s="10">
        <f>ROUND(K308*'Irish Basis'!$C$8*'Irish Basis'!$C$5,2)</f>
        <v/>
      </c>
      <c r="Q308" s="10">
        <f>ROUND(L308*'Irish Basis'!$C$12*'Irish Basis'!$C$5,2)</f>
        <v/>
      </c>
      <c r="R308" s="11">
        <f>ROUND(SUM(N308:Q308),2)</f>
        <v/>
      </c>
      <c r="S308" s="5" t="inlineStr">
        <is>
          <t>Stated build-up</t>
        </is>
      </c>
      <c r="T308" s="12" t="inlineStr">
        <is>
          <t>High</t>
        </is>
      </c>
      <c r="U308" s="8" t="n">
        <v>125.06</v>
      </c>
      <c r="V308" s="13">
        <f>IF(U308="","",ROUND(M308-U308,2))</f>
        <v/>
      </c>
      <c r="W308" s="5" t="n"/>
      <c r="X308" s="5" t="inlineStr">
        <is>
          <t>Labour + plant + material as published; reconciles to the published rate.</t>
        </is>
      </c>
    </row>
    <row r="309" ht="13" customHeight="1">
      <c r="A309" s="4" t="n">
        <v>632</v>
      </c>
      <c r="B309" s="5" t="inlineStr">
        <is>
          <t>IMG_0074</t>
        </is>
      </c>
      <c r="C309" s="5" t="inlineStr">
        <is>
          <t>CLASS E: EARTHWORKS</t>
        </is>
      </c>
      <c r="D309" s="5" t="inlineStr">
        <is>
          <t>02 EXCAVATION FOR CUTTINGS</t>
        </is>
      </c>
      <c r="E309" s="5" t="inlineStr">
        <is>
          <t>Excavate unreinforced concrete not exposed at the commencing surface</t>
        </is>
      </c>
      <c r="F309" s="5" t="inlineStr">
        <is>
          <t>1.0-2.0 m maximum depth</t>
        </is>
      </c>
      <c r="G309" s="6" t="inlineStr">
        <is>
          <t>m3</t>
        </is>
      </c>
      <c r="H309" s="7" t="n">
        <v>0.72</v>
      </c>
      <c r="I309" s="8" t="n">
        <v>53.12</v>
      </c>
      <c r="J309" s="8" t="n">
        <v>77.31</v>
      </c>
      <c r="K309" s="8" t="n">
        <v>0</v>
      </c>
      <c r="L309" s="8" t="n">
        <v>0</v>
      </c>
      <c r="M309" s="9">
        <f>ROUND(SUM(I309:L309),2)</f>
        <v/>
      </c>
      <c r="N309" s="10">
        <f>ROUND(I309*'Irish Basis'!$C$6*'Irish Basis'!$C$5,2)</f>
        <v/>
      </c>
      <c r="O309" s="10">
        <f>ROUND(J309*'Irish Basis'!$C$7*'Irish Basis'!$C$5,2)</f>
        <v/>
      </c>
      <c r="P309" s="10">
        <f>ROUND(K309*'Irish Basis'!$C$8*'Irish Basis'!$C$5,2)</f>
        <v/>
      </c>
      <c r="Q309" s="10">
        <f>ROUND(L309*'Irish Basis'!$C$12*'Irish Basis'!$C$5,2)</f>
        <v/>
      </c>
      <c r="R309" s="11">
        <f>ROUND(SUM(N309:Q309),2)</f>
        <v/>
      </c>
      <c r="S309" s="5" t="inlineStr">
        <is>
          <t>Stated build-up</t>
        </is>
      </c>
      <c r="T309" s="12" t="inlineStr">
        <is>
          <t>High</t>
        </is>
      </c>
      <c r="U309" s="8" t="n">
        <v>130.43</v>
      </c>
      <c r="V309" s="13">
        <f>IF(U309="","",ROUND(M309-U309,2))</f>
        <v/>
      </c>
      <c r="W309" s="5" t="n"/>
      <c r="X309" s="5" t="inlineStr">
        <is>
          <t>Labour + plant + material as published; reconciles to the published rate.</t>
        </is>
      </c>
    </row>
    <row r="310" ht="13" customHeight="1">
      <c r="A310" s="4" t="n">
        <v>636</v>
      </c>
      <c r="B310" s="5" t="inlineStr">
        <is>
          <t>IMG_0074</t>
        </is>
      </c>
      <c r="C310" s="5" t="inlineStr">
        <is>
          <t>CLASS E: EARTHWORKS</t>
        </is>
      </c>
      <c r="D310" s="5" t="inlineStr">
        <is>
          <t>03 EXCAVATION FOR FOUNDATIONS</t>
        </is>
      </c>
      <c r="E310" s="5" t="inlineStr">
        <is>
          <t>Excavate topsoil</t>
        </is>
      </c>
      <c r="F310" s="5" t="inlineStr">
        <is>
          <t>maximum depth ne 0.25 m</t>
        </is>
      </c>
      <c r="G310" s="6" t="inlineStr">
        <is>
          <t>m3</t>
        </is>
      </c>
      <c r="H310" s="7" t="n">
        <v>0.03</v>
      </c>
      <c r="I310" s="8" t="n">
        <v>1.97</v>
      </c>
      <c r="J310" s="8" t="n">
        <v>3.28</v>
      </c>
      <c r="K310" s="8" t="n">
        <v>0</v>
      </c>
      <c r="L310" s="8" t="n">
        <v>0</v>
      </c>
      <c r="M310" s="9">
        <f>ROUND(SUM(I310:L310),2)</f>
        <v/>
      </c>
      <c r="N310" s="10">
        <f>ROUND(I310*'Irish Basis'!$C$6*'Irish Basis'!$C$5,2)</f>
        <v/>
      </c>
      <c r="O310" s="10">
        <f>ROUND(J310*'Irish Basis'!$C$7*'Irish Basis'!$C$5,2)</f>
        <v/>
      </c>
      <c r="P310" s="10">
        <f>ROUND(K310*'Irish Basis'!$C$8*'Irish Basis'!$C$5,2)</f>
        <v/>
      </c>
      <c r="Q310" s="10">
        <f>ROUND(L310*'Irish Basis'!$C$12*'Irish Basis'!$C$5,2)</f>
        <v/>
      </c>
      <c r="R310" s="11">
        <f>ROUND(SUM(N310:Q310),2)</f>
        <v/>
      </c>
      <c r="S310" s="5" t="inlineStr">
        <is>
          <t>Stated build-up</t>
        </is>
      </c>
      <c r="T310" s="12" t="inlineStr">
        <is>
          <t>High</t>
        </is>
      </c>
      <c r="U310" s="8" t="n">
        <v>5.25</v>
      </c>
      <c r="V310" s="13">
        <f>IF(U310="","",ROUND(M310-U310,2))</f>
        <v/>
      </c>
      <c r="W310" s="5" t="n"/>
      <c r="X310" s="5" t="inlineStr">
        <is>
          <t>Labour + plant + material as published; reconciles to the published rate.</t>
        </is>
      </c>
    </row>
    <row r="311" ht="13" customHeight="1">
      <c r="A311" s="4" t="n">
        <v>638</v>
      </c>
      <c r="B311" s="5" t="inlineStr">
        <is>
          <t>IMG_0074</t>
        </is>
      </c>
      <c r="C311" s="5" t="inlineStr">
        <is>
          <t>CLASS E: EARTHWORKS</t>
        </is>
      </c>
      <c r="D311" s="5" t="inlineStr">
        <is>
          <t>03 EXCAVATION FOR FOUNDATIONS</t>
        </is>
      </c>
      <c r="E311" s="5" t="inlineStr">
        <is>
          <t>Excavate material other than topsoil, rock or artificial hard material</t>
        </is>
      </c>
      <c r="F311" s="5" t="inlineStr">
        <is>
          <t>0.25-0.5 m deep</t>
        </is>
      </c>
      <c r="G311" s="6" t="inlineStr">
        <is>
          <t>m3</t>
        </is>
      </c>
      <c r="H311" s="7" t="n">
        <v>0.05</v>
      </c>
      <c r="I311" s="8" t="n">
        <v>3.28</v>
      </c>
      <c r="J311" s="8" t="n">
        <v>5.45</v>
      </c>
      <c r="K311" s="8" t="n">
        <v>0</v>
      </c>
      <c r="L311" s="8" t="n">
        <v>0</v>
      </c>
      <c r="M311" s="9">
        <f>ROUND(SUM(I311:L311),2)</f>
        <v/>
      </c>
      <c r="N311" s="10">
        <f>ROUND(I311*'Irish Basis'!$C$6*'Irish Basis'!$C$5,2)</f>
        <v/>
      </c>
      <c r="O311" s="10">
        <f>ROUND(J311*'Irish Basis'!$C$7*'Irish Basis'!$C$5,2)</f>
        <v/>
      </c>
      <c r="P311" s="10">
        <f>ROUND(K311*'Irish Basis'!$C$8*'Irish Basis'!$C$5,2)</f>
        <v/>
      </c>
      <c r="Q311" s="10">
        <f>ROUND(L311*'Irish Basis'!$C$12*'Irish Basis'!$C$5,2)</f>
        <v/>
      </c>
      <c r="R311" s="11">
        <f>ROUND(SUM(N311:Q311),2)</f>
        <v/>
      </c>
      <c r="S311" s="5" t="inlineStr">
        <is>
          <t>Stated build-up</t>
        </is>
      </c>
      <c r="T311" s="12" t="inlineStr">
        <is>
          <t>High</t>
        </is>
      </c>
      <c r="U311" s="8" t="n">
        <v>8.720000000000001</v>
      </c>
      <c r="V311" s="13">
        <f>IF(U311="","",ROUND(M311-U311,2))</f>
        <v/>
      </c>
      <c r="W311" s="5" t="n"/>
      <c r="X311" s="5" t="inlineStr">
        <is>
          <t>Labour + plant + material as published; reconciles to the published rate.</t>
        </is>
      </c>
    </row>
    <row r="312" ht="13" customHeight="1">
      <c r="A312" s="4" t="n">
        <v>639</v>
      </c>
      <c r="B312" s="5" t="inlineStr">
        <is>
          <t>IMG_0074</t>
        </is>
      </c>
      <c r="C312" s="5" t="inlineStr">
        <is>
          <t>CLASS E: EARTHWORKS</t>
        </is>
      </c>
      <c r="D312" s="5" t="inlineStr">
        <is>
          <t>03 EXCAVATION FOR FOUNDATIONS</t>
        </is>
      </c>
      <c r="E312" s="5" t="inlineStr">
        <is>
          <t>Excavate material other than topsoil, rock or artificial hard material</t>
        </is>
      </c>
      <c r="F312" s="5" t="inlineStr">
        <is>
          <t>0.5-1.0 m deep</t>
        </is>
      </c>
      <c r="G312" s="6" t="inlineStr">
        <is>
          <t>m3</t>
        </is>
      </c>
      <c r="H312" s="7" t="n">
        <v>0.06</v>
      </c>
      <c r="I312" s="8" t="n">
        <v>3.93</v>
      </c>
      <c r="J312" s="8" t="n">
        <v>6.44</v>
      </c>
      <c r="K312" s="8" t="n">
        <v>0</v>
      </c>
      <c r="L312" s="8" t="n">
        <v>0</v>
      </c>
      <c r="M312" s="9">
        <f>ROUND(SUM(I312:L312),2)</f>
        <v/>
      </c>
      <c r="N312" s="10">
        <f>ROUND(I312*'Irish Basis'!$C$6*'Irish Basis'!$C$5,2)</f>
        <v/>
      </c>
      <c r="O312" s="10">
        <f>ROUND(J312*'Irish Basis'!$C$7*'Irish Basis'!$C$5,2)</f>
        <v/>
      </c>
      <c r="P312" s="10">
        <f>ROUND(K312*'Irish Basis'!$C$8*'Irish Basis'!$C$5,2)</f>
        <v/>
      </c>
      <c r="Q312" s="10">
        <f>ROUND(L312*'Irish Basis'!$C$12*'Irish Basis'!$C$5,2)</f>
        <v/>
      </c>
      <c r="R312" s="11">
        <f>ROUND(SUM(N312:Q312),2)</f>
        <v/>
      </c>
      <c r="S312" s="5" t="inlineStr">
        <is>
          <t>Stated build-up</t>
        </is>
      </c>
      <c r="T312" s="12" t="inlineStr">
        <is>
          <t>High</t>
        </is>
      </c>
      <c r="U312" s="8" t="n">
        <v>10.37</v>
      </c>
      <c r="V312" s="13">
        <f>IF(U312="","",ROUND(M312-U312,2))</f>
        <v/>
      </c>
      <c r="W312" s="5" t="n"/>
      <c r="X312" s="5" t="inlineStr">
        <is>
          <t>Labour + plant + material as published; reconciles to the published rate.</t>
        </is>
      </c>
    </row>
    <row r="313" ht="13" customHeight="1">
      <c r="A313" s="4" t="n">
        <v>640</v>
      </c>
      <c r="B313" s="5" t="inlineStr">
        <is>
          <t>IMG_0074</t>
        </is>
      </c>
      <c r="C313" s="5" t="inlineStr">
        <is>
          <t>CLASS E: EARTHWORKS</t>
        </is>
      </c>
      <c r="D313" s="5" t="inlineStr">
        <is>
          <t>03 EXCAVATION FOR FOUNDATIONS</t>
        </is>
      </c>
      <c r="E313" s="5" t="inlineStr">
        <is>
          <t>Excavate material other than topsoil, rock or artificial hard material</t>
        </is>
      </c>
      <c r="F313" s="5" t="inlineStr">
        <is>
          <t>1.0-2.0 m deep</t>
        </is>
      </c>
      <c r="G313" s="6" t="inlineStr">
        <is>
          <t>m3</t>
        </is>
      </c>
      <c r="H313" s="7" t="n">
        <v>0.07000000000000001</v>
      </c>
      <c r="I313" s="8" t="n">
        <v>4.59</v>
      </c>
      <c r="J313" s="8" t="n">
        <v>7.44</v>
      </c>
      <c r="K313" s="8" t="n">
        <v>0</v>
      </c>
      <c r="L313" s="8" t="n">
        <v>0</v>
      </c>
      <c r="M313" s="9">
        <f>ROUND(SUM(I313:L313),2)</f>
        <v/>
      </c>
      <c r="N313" s="10">
        <f>ROUND(I313*'Irish Basis'!$C$6*'Irish Basis'!$C$5,2)</f>
        <v/>
      </c>
      <c r="O313" s="10">
        <f>ROUND(J313*'Irish Basis'!$C$7*'Irish Basis'!$C$5,2)</f>
        <v/>
      </c>
      <c r="P313" s="10">
        <f>ROUND(K313*'Irish Basis'!$C$8*'Irish Basis'!$C$5,2)</f>
        <v/>
      </c>
      <c r="Q313" s="10">
        <f>ROUND(L313*'Irish Basis'!$C$12*'Irish Basis'!$C$5,2)</f>
        <v/>
      </c>
      <c r="R313" s="11">
        <f>ROUND(SUM(N313:Q313),2)</f>
        <v/>
      </c>
      <c r="S313" s="5" t="inlineStr">
        <is>
          <t>Stated build-up</t>
        </is>
      </c>
      <c r="T313" s="12" t="inlineStr">
        <is>
          <t>High</t>
        </is>
      </c>
      <c r="U313" s="8" t="n">
        <v>12.03</v>
      </c>
      <c r="V313" s="13">
        <f>IF(U313="","",ROUND(M313-U313,2))</f>
        <v/>
      </c>
      <c r="W313" s="5" t="n"/>
      <c r="X313" s="5" t="inlineStr">
        <is>
          <t>Labour + plant + material as published; reconciles to the published rate.</t>
        </is>
      </c>
    </row>
    <row r="314" ht="13" customHeight="1">
      <c r="A314" s="4" t="n">
        <v>641</v>
      </c>
      <c r="B314" s="5" t="inlineStr">
        <is>
          <t>IMG_0074</t>
        </is>
      </c>
      <c r="C314" s="5" t="inlineStr">
        <is>
          <t>CLASS E: EARTHWORKS</t>
        </is>
      </c>
      <c r="D314" s="5" t="inlineStr">
        <is>
          <t>03 EXCAVATION FOR FOUNDATIONS</t>
        </is>
      </c>
      <c r="E314" s="5" t="inlineStr">
        <is>
          <t>Excavate material other than topsoil, rock or artificial hard material</t>
        </is>
      </c>
      <c r="F314" s="5" t="inlineStr">
        <is>
          <t>2.0-5.0 m deep</t>
        </is>
      </c>
      <c r="G314" s="6" t="inlineStr">
        <is>
          <t>m3</t>
        </is>
      </c>
      <c r="H314" s="7" t="n">
        <v>0.12</v>
      </c>
      <c r="I314" s="8" t="n">
        <v>7.86</v>
      </c>
      <c r="J314" s="8" t="n">
        <v>12.88</v>
      </c>
      <c r="K314" s="8" t="n">
        <v>0</v>
      </c>
      <c r="L314" s="8" t="n">
        <v>0</v>
      </c>
      <c r="M314" s="9">
        <f>ROUND(SUM(I314:L314),2)</f>
        <v/>
      </c>
      <c r="N314" s="10">
        <f>ROUND(I314*'Irish Basis'!$C$6*'Irish Basis'!$C$5,2)</f>
        <v/>
      </c>
      <c r="O314" s="10">
        <f>ROUND(J314*'Irish Basis'!$C$7*'Irish Basis'!$C$5,2)</f>
        <v/>
      </c>
      <c r="P314" s="10">
        <f>ROUND(K314*'Irish Basis'!$C$8*'Irish Basis'!$C$5,2)</f>
        <v/>
      </c>
      <c r="Q314" s="10">
        <f>ROUND(L314*'Irish Basis'!$C$12*'Irish Basis'!$C$5,2)</f>
        <v/>
      </c>
      <c r="R314" s="11">
        <f>ROUND(SUM(N314:Q314),2)</f>
        <v/>
      </c>
      <c r="S314" s="5" t="inlineStr">
        <is>
          <t>Stated build-up</t>
        </is>
      </c>
      <c r="T314" s="12" t="inlineStr">
        <is>
          <t>High</t>
        </is>
      </c>
      <c r="U314" s="8" t="n">
        <v>20.75</v>
      </c>
      <c r="V314" s="13">
        <f>IF(U314="","",ROUND(M314-U314,2))</f>
        <v/>
      </c>
      <c r="W314" s="5" t="n"/>
      <c r="X314" s="5" t="inlineStr">
        <is>
          <t>Labour + plant + material as published; reconciles to the published rate.</t>
        </is>
      </c>
    </row>
    <row r="315" ht="13" customHeight="1">
      <c r="A315" s="4" t="n">
        <v>642</v>
      </c>
      <c r="B315" s="5" t="inlineStr">
        <is>
          <t>IMG_0074</t>
        </is>
      </c>
      <c r="C315" s="5" t="inlineStr">
        <is>
          <t>CLASS E: EARTHWORKS</t>
        </is>
      </c>
      <c r="D315" s="5" t="inlineStr">
        <is>
          <t>03 EXCAVATION FOR FOUNDATIONS</t>
        </is>
      </c>
      <c r="E315" s="5" t="inlineStr">
        <is>
          <t>Excavate material other than topsoil, rock or artificial hard material</t>
        </is>
      </c>
      <c r="F315" s="5" t="inlineStr">
        <is>
          <t>5.0-10.0 m deep</t>
        </is>
      </c>
      <c r="G315" s="6" t="inlineStr">
        <is>
          <t>m3</t>
        </is>
      </c>
      <c r="H315" s="7" t="n">
        <v>0.23</v>
      </c>
      <c r="I315" s="8" t="n">
        <v>15.07</v>
      </c>
      <c r="J315" s="8" t="n">
        <v>24.77</v>
      </c>
      <c r="K315" s="8" t="n">
        <v>0</v>
      </c>
      <c r="L315" s="8" t="n">
        <v>0</v>
      </c>
      <c r="M315" s="9">
        <f>ROUND(SUM(I315:L315),2)</f>
        <v/>
      </c>
      <c r="N315" s="10">
        <f>ROUND(I315*'Irish Basis'!$C$6*'Irish Basis'!$C$5,2)</f>
        <v/>
      </c>
      <c r="O315" s="10">
        <f>ROUND(J315*'Irish Basis'!$C$7*'Irish Basis'!$C$5,2)</f>
        <v/>
      </c>
      <c r="P315" s="10">
        <f>ROUND(K315*'Irish Basis'!$C$8*'Irish Basis'!$C$5,2)</f>
        <v/>
      </c>
      <c r="Q315" s="10">
        <f>ROUND(L315*'Irish Basis'!$C$12*'Irish Basis'!$C$5,2)</f>
        <v/>
      </c>
      <c r="R315" s="11">
        <f>ROUND(SUM(N315:Q315),2)</f>
        <v/>
      </c>
      <c r="S315" s="5" t="inlineStr">
        <is>
          <t>Stated build-up</t>
        </is>
      </c>
      <c r="T315" s="12" t="inlineStr">
        <is>
          <t>High</t>
        </is>
      </c>
      <c r="U315" s="8" t="n">
        <v>39.84</v>
      </c>
      <c r="V315" s="13">
        <f>IF(U315="","",ROUND(M315-U315,2))</f>
        <v/>
      </c>
      <c r="W315" s="5" t="n"/>
      <c r="X315" s="5" t="inlineStr">
        <is>
          <t>Labour + plant + material as published; reconciles to the published rate.</t>
        </is>
      </c>
    </row>
    <row r="316" ht="13" customHeight="1">
      <c r="A316" s="4" t="n">
        <v>645</v>
      </c>
      <c r="B316" s="5" t="inlineStr">
        <is>
          <t>IMG_0074</t>
        </is>
      </c>
      <c r="C316" s="5" t="inlineStr">
        <is>
          <t>CLASS E: EARTHWORKS</t>
        </is>
      </c>
      <c r="D316" s="5" t="inlineStr">
        <is>
          <t>03 EXCAVATION FOR FOUNDATIONS</t>
        </is>
      </c>
      <c r="E316" s="5" t="inlineStr">
        <is>
          <t>Excavate unreinforced concrete exposed at the commencing surface</t>
        </is>
      </c>
      <c r="F316" s="5" t="inlineStr">
        <is>
          <t>ne 0.25 m maximum depth</t>
        </is>
      </c>
      <c r="G316" s="6" t="inlineStr">
        <is>
          <t>m3</t>
        </is>
      </c>
      <c r="H316" s="7" t="n">
        <v>0.6</v>
      </c>
      <c r="I316" s="8" t="n">
        <v>39.32</v>
      </c>
      <c r="J316" s="8" t="n">
        <v>64.42</v>
      </c>
      <c r="K316" s="8" t="n">
        <v>0</v>
      </c>
      <c r="L316" s="8" t="n">
        <v>0</v>
      </c>
      <c r="M316" s="9">
        <f>ROUND(SUM(I316:L316),2)</f>
        <v/>
      </c>
      <c r="N316" s="10">
        <f>ROUND(I316*'Irish Basis'!$C$6*'Irish Basis'!$C$5,2)</f>
        <v/>
      </c>
      <c r="O316" s="10">
        <f>ROUND(J316*'Irish Basis'!$C$7*'Irish Basis'!$C$5,2)</f>
        <v/>
      </c>
      <c r="P316" s="10">
        <f>ROUND(K316*'Irish Basis'!$C$8*'Irish Basis'!$C$5,2)</f>
        <v/>
      </c>
      <c r="Q316" s="10">
        <f>ROUND(L316*'Irish Basis'!$C$12*'Irish Basis'!$C$5,2)</f>
        <v/>
      </c>
      <c r="R316" s="11">
        <f>ROUND(SUM(N316:Q316),2)</f>
        <v/>
      </c>
      <c r="S316" s="5" t="inlineStr">
        <is>
          <t>Stated build-up</t>
        </is>
      </c>
      <c r="T316" s="12" t="inlineStr">
        <is>
          <t>High</t>
        </is>
      </c>
      <c r="U316" s="8" t="n">
        <v>103.74</v>
      </c>
      <c r="V316" s="13">
        <f>IF(U316="","",ROUND(M316-U316,2))</f>
        <v/>
      </c>
      <c r="W316" s="5" t="n"/>
      <c r="X316" s="5" t="inlineStr">
        <is>
          <t>Labour + plant + material as published; reconciles to the published rate.</t>
        </is>
      </c>
    </row>
    <row r="317" ht="13" customHeight="1">
      <c r="A317" s="4" t="n">
        <v>646</v>
      </c>
      <c r="B317" s="5" t="inlineStr">
        <is>
          <t>IMG_0074</t>
        </is>
      </c>
      <c r="C317" s="5" t="inlineStr">
        <is>
          <t>CLASS E: EARTHWORKS</t>
        </is>
      </c>
      <c r="D317" s="5" t="inlineStr">
        <is>
          <t>03 EXCAVATION FOR FOUNDATIONS</t>
        </is>
      </c>
      <c r="E317" s="5" t="inlineStr">
        <is>
          <t>Excavate unreinforced concrete exposed at the commencing surface</t>
        </is>
      </c>
      <c r="F317" s="5" t="inlineStr">
        <is>
          <t>0.25-0.5 m maximum depth</t>
        </is>
      </c>
      <c r="G317" s="6" t="inlineStr">
        <is>
          <t>m3</t>
        </is>
      </c>
      <c r="H317" s="7" t="n">
        <v>0.66</v>
      </c>
      <c r="I317" s="8" t="n">
        <v>43.25</v>
      </c>
      <c r="J317" s="8" t="n">
        <v>70.87</v>
      </c>
      <c r="K317" s="8" t="n">
        <v>0</v>
      </c>
      <c r="L317" s="8" t="n">
        <v>0</v>
      </c>
      <c r="M317" s="9">
        <f>ROUND(SUM(I317:L317),2)</f>
        <v/>
      </c>
      <c r="N317" s="10">
        <f>ROUND(I317*'Irish Basis'!$C$6*'Irish Basis'!$C$5,2)</f>
        <v/>
      </c>
      <c r="O317" s="10">
        <f>ROUND(J317*'Irish Basis'!$C$7*'Irish Basis'!$C$5,2)</f>
        <v/>
      </c>
      <c r="P317" s="10">
        <f>ROUND(K317*'Irish Basis'!$C$8*'Irish Basis'!$C$5,2)</f>
        <v/>
      </c>
      <c r="Q317" s="10">
        <f>ROUND(L317*'Irish Basis'!$C$12*'Irish Basis'!$C$5,2)</f>
        <v/>
      </c>
      <c r="R317" s="11">
        <f>ROUND(SUM(N317:Q317),2)</f>
        <v/>
      </c>
      <c r="S317" s="5" t="inlineStr">
        <is>
          <t>Stated build-up</t>
        </is>
      </c>
      <c r="T317" s="12" t="inlineStr">
        <is>
          <t>High</t>
        </is>
      </c>
      <c r="U317" s="8" t="n">
        <v>114.11</v>
      </c>
      <c r="V317" s="13">
        <f>IF(U317="","",ROUND(M317-U317,2))</f>
        <v/>
      </c>
      <c r="W317" s="5" t="n"/>
      <c r="X317" s="5" t="inlineStr">
        <is>
          <t>Labour + plant + material as published; reconciles to the published rate.</t>
        </is>
      </c>
    </row>
    <row r="318" ht="13" customHeight="1">
      <c r="A318" s="4" t="n">
        <v>647</v>
      </c>
      <c r="B318" s="5" t="inlineStr">
        <is>
          <t>IMG_0074</t>
        </is>
      </c>
      <c r="C318" s="5" t="inlineStr">
        <is>
          <t>CLASS E: EARTHWORKS</t>
        </is>
      </c>
      <c r="D318" s="5" t="inlineStr">
        <is>
          <t>03 EXCAVATION FOR FOUNDATIONS</t>
        </is>
      </c>
      <c r="E318" s="5" t="inlineStr">
        <is>
          <t>Excavate unreinforced concrete exposed at the commencing surface</t>
        </is>
      </c>
      <c r="F318" s="5" t="inlineStr">
        <is>
          <t>0.5-1.0 m maximum depth</t>
        </is>
      </c>
      <c r="G318" s="6" t="inlineStr">
        <is>
          <t>m3</t>
        </is>
      </c>
      <c r="H318" s="7" t="n">
        <v>0.72</v>
      </c>
      <c r="I318" s="8" t="n">
        <v>47.18</v>
      </c>
      <c r="J318" s="8" t="n">
        <v>77.31</v>
      </c>
      <c r="K318" s="8" t="n">
        <v>0</v>
      </c>
      <c r="L318" s="8" t="n">
        <v>0</v>
      </c>
      <c r="M318" s="9">
        <f>ROUND(SUM(I318:L318),2)</f>
        <v/>
      </c>
      <c r="N318" s="10">
        <f>ROUND(I318*'Irish Basis'!$C$6*'Irish Basis'!$C$5,2)</f>
        <v/>
      </c>
      <c r="O318" s="10">
        <f>ROUND(J318*'Irish Basis'!$C$7*'Irish Basis'!$C$5,2)</f>
        <v/>
      </c>
      <c r="P318" s="10">
        <f>ROUND(K318*'Irish Basis'!$C$8*'Irish Basis'!$C$5,2)</f>
        <v/>
      </c>
      <c r="Q318" s="10">
        <f>ROUND(L318*'Irish Basis'!$C$12*'Irish Basis'!$C$5,2)</f>
        <v/>
      </c>
      <c r="R318" s="11">
        <f>ROUND(SUM(N318:Q318),2)</f>
        <v/>
      </c>
      <c r="S318" s="5" t="inlineStr">
        <is>
          <t>Stated build-up</t>
        </is>
      </c>
      <c r="T318" s="12" t="inlineStr">
        <is>
          <t>High</t>
        </is>
      </c>
      <c r="U318" s="8" t="n">
        <v>124.49</v>
      </c>
      <c r="V318" s="13">
        <f>IF(U318="","",ROUND(M318-U318,2))</f>
        <v/>
      </c>
      <c r="W318" s="5" t="n"/>
      <c r="X318" s="5" t="inlineStr">
        <is>
          <t>Labour + plant + material as published; reconciles to the published rate.</t>
        </is>
      </c>
    </row>
    <row r="319" ht="13" customHeight="1">
      <c r="A319" s="4" t="n">
        <v>648</v>
      </c>
      <c r="B319" s="5" t="inlineStr">
        <is>
          <t>IMG_0074</t>
        </is>
      </c>
      <c r="C319" s="5" t="inlineStr">
        <is>
          <t>CLASS E: EARTHWORKS</t>
        </is>
      </c>
      <c r="D319" s="5" t="inlineStr">
        <is>
          <t>03 EXCAVATION FOR FOUNDATIONS</t>
        </is>
      </c>
      <c r="E319" s="5" t="inlineStr">
        <is>
          <t>Excavate unreinforced concrete exposed at the commencing surface</t>
        </is>
      </c>
      <c r="F319" s="5" t="inlineStr">
        <is>
          <t>1.0-2.0 m maximum depth</t>
        </is>
      </c>
      <c r="G319" s="6" t="inlineStr">
        <is>
          <t>m3</t>
        </is>
      </c>
      <c r="H319" s="7" t="n">
        <v>0.8</v>
      </c>
      <c r="I319" s="8" t="n">
        <v>52.42</v>
      </c>
      <c r="J319" s="8" t="n">
        <v>86.04000000000001</v>
      </c>
      <c r="K319" s="8" t="n">
        <v>0</v>
      </c>
      <c r="L319" s="8" t="n">
        <v>0</v>
      </c>
      <c r="M319" s="9">
        <f>ROUND(SUM(I319:L319),2)</f>
        <v/>
      </c>
      <c r="N319" s="10">
        <f>ROUND(I319*'Irish Basis'!$C$6*'Irish Basis'!$C$5,2)</f>
        <v/>
      </c>
      <c r="O319" s="10">
        <f>ROUND(J319*'Irish Basis'!$C$7*'Irish Basis'!$C$5,2)</f>
        <v/>
      </c>
      <c r="P319" s="10">
        <f>ROUND(K319*'Irish Basis'!$C$8*'Irish Basis'!$C$5,2)</f>
        <v/>
      </c>
      <c r="Q319" s="10">
        <f>ROUND(L319*'Irish Basis'!$C$12*'Irish Basis'!$C$5,2)</f>
        <v/>
      </c>
      <c r="R319" s="11">
        <f>ROUND(SUM(N319:Q319),2)</f>
        <v/>
      </c>
      <c r="S319" s="5" t="inlineStr">
        <is>
          <t>Stated build-up</t>
        </is>
      </c>
      <c r="T319" s="12" t="inlineStr">
        <is>
          <t>High</t>
        </is>
      </c>
      <c r="U319" s="8" t="n">
        <v>138.46</v>
      </c>
      <c r="V319" s="13">
        <f>IF(U319="","",ROUND(M319-U319,2))</f>
        <v/>
      </c>
      <c r="W319" s="5" t="n"/>
      <c r="X319" s="5" t="inlineStr">
        <is>
          <t>Labour + plant + material as published; reconciles to the published rate.</t>
        </is>
      </c>
    </row>
    <row r="320" ht="13" customHeight="1">
      <c r="A320" s="4" t="n">
        <v>650</v>
      </c>
      <c r="B320" s="5" t="inlineStr">
        <is>
          <t>IMG_0074</t>
        </is>
      </c>
      <c r="C320" s="5" t="inlineStr">
        <is>
          <t>CLASS E: EARTHWORKS</t>
        </is>
      </c>
      <c r="D320" s="5" t="inlineStr">
        <is>
          <t>03 EXCAVATION FOR FOUNDATIONS</t>
        </is>
      </c>
      <c r="E320" s="5" t="inlineStr">
        <is>
          <t>Excavate reinforced concrete exposed at the commencing surface</t>
        </is>
      </c>
      <c r="F320" s="5" t="inlineStr">
        <is>
          <t>ne 0.25 m maximum depth</t>
        </is>
      </c>
      <c r="G320" s="6" t="inlineStr">
        <is>
          <t>m3</t>
        </is>
      </c>
      <c r="H320" s="7" t="n">
        <v>0.9399999999999999</v>
      </c>
      <c r="I320" s="8" t="n">
        <v>61.6</v>
      </c>
      <c r="J320" s="8" t="n">
        <v>100.79</v>
      </c>
      <c r="K320" s="8" t="n">
        <v>0</v>
      </c>
      <c r="L320" s="8" t="n">
        <v>0</v>
      </c>
      <c r="M320" s="9">
        <f>ROUND(SUM(I320:L320),2)</f>
        <v/>
      </c>
      <c r="N320" s="10">
        <f>ROUND(I320*'Irish Basis'!$C$6*'Irish Basis'!$C$5,2)</f>
        <v/>
      </c>
      <c r="O320" s="10">
        <f>ROUND(J320*'Irish Basis'!$C$7*'Irish Basis'!$C$5,2)</f>
        <v/>
      </c>
      <c r="P320" s="10">
        <f>ROUND(K320*'Irish Basis'!$C$8*'Irish Basis'!$C$5,2)</f>
        <v/>
      </c>
      <c r="Q320" s="10">
        <f>ROUND(L320*'Irish Basis'!$C$12*'Irish Basis'!$C$5,2)</f>
        <v/>
      </c>
      <c r="R320" s="11">
        <f>ROUND(SUM(N320:Q320),2)</f>
        <v/>
      </c>
      <c r="S320" s="5" t="inlineStr">
        <is>
          <t>Stated build-up</t>
        </is>
      </c>
      <c r="T320" s="12" t="inlineStr">
        <is>
          <t>High</t>
        </is>
      </c>
      <c r="U320" s="8" t="n">
        <v>162.39</v>
      </c>
      <c r="V320" s="13">
        <f>IF(U320="","",ROUND(M320-U320,2))</f>
        <v/>
      </c>
      <c r="W320" s="5" t="n"/>
      <c r="X320" s="5" t="inlineStr">
        <is>
          <t>Labour + plant + material as published; reconciles to the published rate.</t>
        </is>
      </c>
    </row>
    <row r="321" ht="13" customHeight="1">
      <c r="A321" s="4" t="n">
        <v>651</v>
      </c>
      <c r="B321" s="5" t="inlineStr">
        <is>
          <t>IMG_0074</t>
        </is>
      </c>
      <c r="C321" s="5" t="inlineStr">
        <is>
          <t>CLASS E: EARTHWORKS</t>
        </is>
      </c>
      <c r="D321" s="5" t="inlineStr">
        <is>
          <t>03 EXCAVATION FOR FOUNDATIONS</t>
        </is>
      </c>
      <c r="E321" s="5" t="inlineStr">
        <is>
          <t>Excavate reinforced concrete exposed at the commencing surface</t>
        </is>
      </c>
      <c r="F321" s="5" t="inlineStr">
        <is>
          <t>0.25-0.5 m maximum depth</t>
        </is>
      </c>
      <c r="G321" s="6" t="inlineStr">
        <is>
          <t>m3</t>
        </is>
      </c>
      <c r="H321" s="7" t="n">
        <v>0.98</v>
      </c>
      <c r="I321" s="8" t="n">
        <v>64.22</v>
      </c>
      <c r="J321" s="8" t="n">
        <v>105.36</v>
      </c>
      <c r="K321" s="8" t="n">
        <v>0</v>
      </c>
      <c r="L321" s="8" t="n">
        <v>0</v>
      </c>
      <c r="M321" s="9">
        <f>ROUND(SUM(I321:L321),2)</f>
        <v/>
      </c>
      <c r="N321" s="10">
        <f>ROUND(I321*'Irish Basis'!$C$6*'Irish Basis'!$C$5,2)</f>
        <v/>
      </c>
      <c r="O321" s="10">
        <f>ROUND(J321*'Irish Basis'!$C$7*'Irish Basis'!$C$5,2)</f>
        <v/>
      </c>
      <c r="P321" s="10">
        <f>ROUND(K321*'Irish Basis'!$C$8*'Irish Basis'!$C$5,2)</f>
        <v/>
      </c>
      <c r="Q321" s="10">
        <f>ROUND(L321*'Irish Basis'!$C$12*'Irish Basis'!$C$5,2)</f>
        <v/>
      </c>
      <c r="R321" s="11">
        <f>ROUND(SUM(N321:Q321),2)</f>
        <v/>
      </c>
      <c r="S321" s="5" t="inlineStr">
        <is>
          <t>Stated build-up</t>
        </is>
      </c>
      <c r="T321" s="12" t="inlineStr">
        <is>
          <t>High</t>
        </is>
      </c>
      <c r="U321" s="8" t="n">
        <v>169.58</v>
      </c>
      <c r="V321" s="13">
        <f>IF(U321="","",ROUND(M321-U321,2))</f>
        <v/>
      </c>
      <c r="W321" s="5" t="n"/>
      <c r="X321" s="5" t="inlineStr">
        <is>
          <t>Labour + plant + material as published; reconciles to the published rate.</t>
        </is>
      </c>
    </row>
    <row r="322" ht="13" customHeight="1">
      <c r="A322" s="4" t="n">
        <v>652</v>
      </c>
      <c r="B322" s="5" t="inlineStr">
        <is>
          <t>IMG_0074</t>
        </is>
      </c>
      <c r="C322" s="5" t="inlineStr">
        <is>
          <t>CLASS E: EARTHWORKS</t>
        </is>
      </c>
      <c r="D322" s="5" t="inlineStr">
        <is>
          <t>03 EXCAVATION FOR FOUNDATIONS</t>
        </is>
      </c>
      <c r="E322" s="5" t="inlineStr">
        <is>
          <t>Excavate reinforced concrete exposed at the commencing surface</t>
        </is>
      </c>
      <c r="F322" s="5" t="inlineStr">
        <is>
          <t>0.5-1.0 m maximum depth</t>
        </is>
      </c>
      <c r="G322" s="6" t="inlineStr">
        <is>
          <t>m3</t>
        </is>
      </c>
      <c r="H322" s="7" t="n">
        <v>1</v>
      </c>
      <c r="I322" s="8" t="n">
        <v>65.53</v>
      </c>
      <c r="J322" s="8" t="n">
        <v>107.32</v>
      </c>
      <c r="K322" s="8" t="n">
        <v>0</v>
      </c>
      <c r="L322" s="8" t="n">
        <v>0</v>
      </c>
      <c r="M322" s="9">
        <f>ROUND(SUM(I322:L322),2)</f>
        <v/>
      </c>
      <c r="N322" s="10">
        <f>ROUND(I322*'Irish Basis'!$C$6*'Irish Basis'!$C$5,2)</f>
        <v/>
      </c>
      <c r="O322" s="10">
        <f>ROUND(J322*'Irish Basis'!$C$7*'Irish Basis'!$C$5,2)</f>
        <v/>
      </c>
      <c r="P322" s="10">
        <f>ROUND(K322*'Irish Basis'!$C$8*'Irish Basis'!$C$5,2)</f>
        <v/>
      </c>
      <c r="Q322" s="10">
        <f>ROUND(L322*'Irish Basis'!$C$12*'Irish Basis'!$C$5,2)</f>
        <v/>
      </c>
      <c r="R322" s="11">
        <f>ROUND(SUM(N322:Q322),2)</f>
        <v/>
      </c>
      <c r="S322" s="5" t="inlineStr">
        <is>
          <t>Stated build-up</t>
        </is>
      </c>
      <c r="T322" s="12" t="inlineStr">
        <is>
          <t>High</t>
        </is>
      </c>
      <c r="U322" s="8" t="n">
        <v>172.85</v>
      </c>
      <c r="V322" s="13">
        <f>IF(U322="","",ROUND(M322-U322,2))</f>
        <v/>
      </c>
      <c r="W322" s="5" t="n"/>
      <c r="X322" s="5" t="inlineStr">
        <is>
          <t>Labour + plant + material as published; reconciles to the published rate.</t>
        </is>
      </c>
    </row>
    <row r="323" ht="13" customHeight="1">
      <c r="A323" s="4" t="n">
        <v>653</v>
      </c>
      <c r="B323" s="5" t="inlineStr">
        <is>
          <t>IMG_0074</t>
        </is>
      </c>
      <c r="C323" s="5" t="inlineStr">
        <is>
          <t>CLASS E: EARTHWORKS</t>
        </is>
      </c>
      <c r="D323" s="5" t="inlineStr">
        <is>
          <t>03 EXCAVATION FOR FOUNDATIONS</t>
        </is>
      </c>
      <c r="E323" s="5" t="inlineStr">
        <is>
          <t>Excavate reinforced concrete exposed at the commencing surface</t>
        </is>
      </c>
      <c r="F323" s="5" t="inlineStr">
        <is>
          <t>1.0-2.0 m maximum depth</t>
        </is>
      </c>
      <c r="G323" s="6" t="inlineStr">
        <is>
          <t>m3</t>
        </is>
      </c>
      <c r="H323" s="7" t="n">
        <v>1.04</v>
      </c>
      <c r="I323" s="8" t="n">
        <v>68.15000000000001</v>
      </c>
      <c r="J323" s="8" t="n">
        <v>111.81</v>
      </c>
      <c r="K323" s="8" t="n">
        <v>0</v>
      </c>
      <c r="L323" s="8" t="n">
        <v>0</v>
      </c>
      <c r="M323" s="9">
        <f>ROUND(SUM(I323:L323),2)</f>
        <v/>
      </c>
      <c r="N323" s="10">
        <f>ROUND(I323*'Irish Basis'!$C$6*'Irish Basis'!$C$5,2)</f>
        <v/>
      </c>
      <c r="O323" s="10">
        <f>ROUND(J323*'Irish Basis'!$C$7*'Irish Basis'!$C$5,2)</f>
        <v/>
      </c>
      <c r="P323" s="10">
        <f>ROUND(K323*'Irish Basis'!$C$8*'Irish Basis'!$C$5,2)</f>
        <v/>
      </c>
      <c r="Q323" s="10">
        <f>ROUND(L323*'Irish Basis'!$C$12*'Irish Basis'!$C$5,2)</f>
        <v/>
      </c>
      <c r="R323" s="11">
        <f>ROUND(SUM(N323:Q323),2)</f>
        <v/>
      </c>
      <c r="S323" s="5" t="inlineStr">
        <is>
          <t>Stated build-up</t>
        </is>
      </c>
      <c r="T323" s="12" t="inlineStr">
        <is>
          <t>High</t>
        </is>
      </c>
      <c r="U323" s="8" t="n">
        <v>179.95</v>
      </c>
      <c r="V323" s="13">
        <f>IF(U323="","",ROUND(M323-U323,2))</f>
        <v/>
      </c>
      <c r="W323" s="5" t="n"/>
      <c r="X323" s="5" t="inlineStr">
        <is>
          <t>Labour + plant + material as published; reconciles to the published rate.</t>
        </is>
      </c>
    </row>
    <row r="324" ht="13" customHeight="1">
      <c r="A324" s="4" t="n">
        <v>655</v>
      </c>
      <c r="B324" s="5" t="inlineStr">
        <is>
          <t>IMG_0074</t>
        </is>
      </c>
      <c r="C324" s="5" t="inlineStr">
        <is>
          <t>CLASS E: EARTHWORKS</t>
        </is>
      </c>
      <c r="D324" s="5" t="inlineStr">
        <is>
          <t>03 EXCAVATION FOR FOUNDATIONS</t>
        </is>
      </c>
      <c r="E324" s="5" t="inlineStr">
        <is>
          <t>Excavate tarmacadam exposed at the commencing surface</t>
        </is>
      </c>
      <c r="F324" s="5" t="inlineStr">
        <is>
          <t>ne 0.25 m maximum depth</t>
        </is>
      </c>
      <c r="G324" s="6" t="inlineStr">
        <is>
          <t>m3</t>
        </is>
      </c>
      <c r="H324" s="7" t="n">
        <v>0.3</v>
      </c>
      <c r="I324" s="8" t="n">
        <v>19.66</v>
      </c>
      <c r="J324" s="8" t="n">
        <v>32.21</v>
      </c>
      <c r="K324" s="8" t="n">
        <v>0</v>
      </c>
      <c r="L324" s="8" t="n">
        <v>0</v>
      </c>
      <c r="M324" s="9">
        <f>ROUND(SUM(I324:L324),2)</f>
        <v/>
      </c>
      <c r="N324" s="10">
        <f>ROUND(I324*'Irish Basis'!$C$6*'Irish Basis'!$C$5,2)</f>
        <v/>
      </c>
      <c r="O324" s="10">
        <f>ROUND(J324*'Irish Basis'!$C$7*'Irish Basis'!$C$5,2)</f>
        <v/>
      </c>
      <c r="P324" s="10">
        <f>ROUND(K324*'Irish Basis'!$C$8*'Irish Basis'!$C$5,2)</f>
        <v/>
      </c>
      <c r="Q324" s="10">
        <f>ROUND(L324*'Irish Basis'!$C$12*'Irish Basis'!$C$5,2)</f>
        <v/>
      </c>
      <c r="R324" s="11">
        <f>ROUND(SUM(N324:Q324),2)</f>
        <v/>
      </c>
      <c r="S324" s="5" t="inlineStr">
        <is>
          <t>Stated build-up</t>
        </is>
      </c>
      <c r="T324" s="12" t="inlineStr">
        <is>
          <t>High</t>
        </is>
      </c>
      <c r="U324" s="8" t="n">
        <v>51.87</v>
      </c>
      <c r="V324" s="13">
        <f>IF(U324="","",ROUND(M324-U324,2))</f>
        <v/>
      </c>
      <c r="W324" s="5" t="n"/>
      <c r="X324" s="5" t="inlineStr">
        <is>
          <t>Labour + plant + material as published; reconciles to the published rate.</t>
        </is>
      </c>
    </row>
    <row r="325" ht="13" customHeight="1">
      <c r="A325" s="4" t="n">
        <v>656</v>
      </c>
      <c r="B325" s="5" t="inlineStr">
        <is>
          <t>IMG_0074</t>
        </is>
      </c>
      <c r="C325" s="5" t="inlineStr">
        <is>
          <t>CLASS E: EARTHWORKS</t>
        </is>
      </c>
      <c r="D325" s="5" t="inlineStr">
        <is>
          <t>03 EXCAVATION FOR FOUNDATIONS</t>
        </is>
      </c>
      <c r="E325" s="5" t="inlineStr">
        <is>
          <t>Excavate tarmacadam exposed at the commencing surface</t>
        </is>
      </c>
      <c r="F325" s="5" t="inlineStr">
        <is>
          <t>0.25-0.5 m maximum depth</t>
        </is>
      </c>
      <c r="G325" s="6" t="inlineStr">
        <is>
          <t>m3</t>
        </is>
      </c>
      <c r="H325" s="7" t="n">
        <v>0.34</v>
      </c>
      <c r="I325" s="8" t="n">
        <v>22.28</v>
      </c>
      <c r="J325" s="8" t="n">
        <v>36.37</v>
      </c>
      <c r="K325" s="8" t="n">
        <v>0</v>
      </c>
      <c r="L325" s="8" t="n">
        <v>0</v>
      </c>
      <c r="M325" s="9">
        <f>ROUND(SUM(I325:L325),2)</f>
        <v/>
      </c>
      <c r="N325" s="10">
        <f>ROUND(I325*'Irish Basis'!$C$6*'Irish Basis'!$C$5,2)</f>
        <v/>
      </c>
      <c r="O325" s="10">
        <f>ROUND(J325*'Irish Basis'!$C$7*'Irish Basis'!$C$5,2)</f>
        <v/>
      </c>
      <c r="P325" s="10">
        <f>ROUND(K325*'Irish Basis'!$C$8*'Irish Basis'!$C$5,2)</f>
        <v/>
      </c>
      <c r="Q325" s="10">
        <f>ROUND(L325*'Irish Basis'!$C$12*'Irish Basis'!$C$5,2)</f>
        <v/>
      </c>
      <c r="R325" s="11">
        <f>ROUND(SUM(N325:Q325),2)</f>
        <v/>
      </c>
      <c r="S325" s="5" t="inlineStr">
        <is>
          <t>Stated build-up</t>
        </is>
      </c>
      <c r="T325" s="12" t="inlineStr">
        <is>
          <t>High</t>
        </is>
      </c>
      <c r="U325" s="8" t="n">
        <v>58.65</v>
      </c>
      <c r="V325" s="13">
        <f>IF(U325="","",ROUND(M325-U325,2))</f>
        <v/>
      </c>
      <c r="W325" s="5" t="n"/>
      <c r="X325" s="5" t="inlineStr">
        <is>
          <t>Labour + plant + material as published; reconciles to the published rate.</t>
        </is>
      </c>
    </row>
    <row r="326" ht="13" customHeight="1">
      <c r="A326" s="4" t="n">
        <v>657</v>
      </c>
      <c r="B326" s="5" t="inlineStr">
        <is>
          <t>IMG_0074</t>
        </is>
      </c>
      <c r="C326" s="5" t="inlineStr">
        <is>
          <t>CLASS E: EARTHWORKS</t>
        </is>
      </c>
      <c r="D326" s="5" t="inlineStr">
        <is>
          <t>03 EXCAVATION FOR FOUNDATIONS</t>
        </is>
      </c>
      <c r="E326" s="5" t="inlineStr">
        <is>
          <t>Excavate tarmacadam exposed at the commencing surface</t>
        </is>
      </c>
      <c r="F326" s="5" t="inlineStr">
        <is>
          <t>0.5-1.0 m maximum depth</t>
        </is>
      </c>
      <c r="G326" s="6" t="inlineStr">
        <is>
          <t>m3</t>
        </is>
      </c>
      <c r="H326" s="7" t="n">
        <v>0.37</v>
      </c>
      <c r="I326" s="8" t="n">
        <v>24.25</v>
      </c>
      <c r="J326" s="8" t="n">
        <v>39.65</v>
      </c>
      <c r="K326" s="8" t="n">
        <v>0</v>
      </c>
      <c r="L326" s="8" t="n">
        <v>0</v>
      </c>
      <c r="M326" s="9">
        <f>ROUND(SUM(I326:L326),2)</f>
        <v/>
      </c>
      <c r="N326" s="10">
        <f>ROUND(I326*'Irish Basis'!$C$6*'Irish Basis'!$C$5,2)</f>
        <v/>
      </c>
      <c r="O326" s="10">
        <f>ROUND(J326*'Irish Basis'!$C$7*'Irish Basis'!$C$5,2)</f>
        <v/>
      </c>
      <c r="P326" s="10">
        <f>ROUND(K326*'Irish Basis'!$C$8*'Irish Basis'!$C$5,2)</f>
        <v/>
      </c>
      <c r="Q326" s="10">
        <f>ROUND(L326*'Irish Basis'!$C$12*'Irish Basis'!$C$5,2)</f>
        <v/>
      </c>
      <c r="R326" s="11">
        <f>ROUND(SUM(N326:Q326),2)</f>
        <v/>
      </c>
      <c r="S326" s="5" t="inlineStr">
        <is>
          <t>Stated build-up</t>
        </is>
      </c>
      <c r="T326" s="12" t="inlineStr">
        <is>
          <t>High</t>
        </is>
      </c>
      <c r="U326" s="8" t="n">
        <v>63.9</v>
      </c>
      <c r="V326" s="13">
        <f>IF(U326="","",ROUND(M326-U326,2))</f>
        <v/>
      </c>
      <c r="W326" s="5" t="n"/>
      <c r="X326" s="5" t="inlineStr">
        <is>
          <t>Labour + plant + material as published; reconciles to the published rate.</t>
        </is>
      </c>
    </row>
    <row r="327" ht="13" customHeight="1">
      <c r="A327" s="4" t="n">
        <v>658</v>
      </c>
      <c r="B327" s="5" t="inlineStr">
        <is>
          <t>IMG_0074</t>
        </is>
      </c>
      <c r="C327" s="5" t="inlineStr">
        <is>
          <t>CLASS E: EARTHWORKS</t>
        </is>
      </c>
      <c r="D327" s="5" t="inlineStr">
        <is>
          <t>03 EXCAVATION FOR FOUNDATIONS</t>
        </is>
      </c>
      <c r="E327" s="5" t="inlineStr">
        <is>
          <t>Excavate tarmacadam exposed at the commencing surface</t>
        </is>
      </c>
      <c r="F327" s="5" t="inlineStr">
        <is>
          <t>1.0-2.0 m maximum depth</t>
        </is>
      </c>
      <c r="G327" s="6" t="inlineStr">
        <is>
          <t>m3</t>
        </is>
      </c>
      <c r="H327" s="7" t="n">
        <v>0.4</v>
      </c>
      <c r="I327" s="8" t="n">
        <v>26.21</v>
      </c>
      <c r="J327" s="8" t="n">
        <v>42.81</v>
      </c>
      <c r="K327" s="8" t="n">
        <v>0</v>
      </c>
      <c r="L327" s="8" t="n">
        <v>0</v>
      </c>
      <c r="M327" s="9">
        <f>ROUND(SUM(I327:L327),2)</f>
        <v/>
      </c>
      <c r="N327" s="10">
        <f>ROUND(I327*'Irish Basis'!$C$6*'Irish Basis'!$C$5,2)</f>
        <v/>
      </c>
      <c r="O327" s="10">
        <f>ROUND(J327*'Irish Basis'!$C$7*'Irish Basis'!$C$5,2)</f>
        <v/>
      </c>
      <c r="P327" s="10">
        <f>ROUND(K327*'Irish Basis'!$C$8*'Irish Basis'!$C$5,2)</f>
        <v/>
      </c>
      <c r="Q327" s="10">
        <f>ROUND(L327*'Irish Basis'!$C$12*'Irish Basis'!$C$5,2)</f>
        <v/>
      </c>
      <c r="R327" s="11">
        <f>ROUND(SUM(N327:Q327),2)</f>
        <v/>
      </c>
      <c r="S327" s="5" t="inlineStr">
        <is>
          <t>Stated build-up</t>
        </is>
      </c>
      <c r="T327" s="12" t="inlineStr">
        <is>
          <t>High</t>
        </is>
      </c>
      <c r="U327" s="8" t="n">
        <v>69.02</v>
      </c>
      <c r="V327" s="13">
        <f>IF(U327="","",ROUND(M327-U327,2))</f>
        <v/>
      </c>
      <c r="W327" s="5" t="n"/>
      <c r="X327" s="5" t="inlineStr">
        <is>
          <t>Labour + plant + material as published; reconciles to the published rate.</t>
        </is>
      </c>
    </row>
    <row r="328" ht="13" customHeight="1">
      <c r="A328" s="4" t="n">
        <v>660</v>
      </c>
      <c r="B328" s="5" t="inlineStr">
        <is>
          <t>IMG_0074</t>
        </is>
      </c>
      <c r="C328" s="5" t="inlineStr">
        <is>
          <t>CLASS E: EARTHWORKS</t>
        </is>
      </c>
      <c r="D328" s="5" t="inlineStr">
        <is>
          <t>03 EXCAVATION FOR FOUNDATIONS</t>
        </is>
      </c>
      <c r="E328" s="5" t="inlineStr">
        <is>
          <t>Excavate unreinforced concrete not exposed at the commencing surface</t>
        </is>
      </c>
      <c r="F328" s="5" t="inlineStr">
        <is>
          <t>ne 0.25 m maximum depth</t>
        </is>
      </c>
      <c r="G328" s="6" t="inlineStr">
        <is>
          <t>m3</t>
        </is>
      </c>
      <c r="H328" s="7" t="n">
        <v>0.7</v>
      </c>
      <c r="I328" s="8" t="n">
        <v>45.87</v>
      </c>
      <c r="J328" s="8" t="n">
        <v>75.02</v>
      </c>
      <c r="K328" s="8" t="n">
        <v>0</v>
      </c>
      <c r="L328" s="8" t="n">
        <v>0</v>
      </c>
      <c r="M328" s="9">
        <f>ROUND(SUM(I328:L328),2)</f>
        <v/>
      </c>
      <c r="N328" s="10">
        <f>ROUND(I328*'Irish Basis'!$C$6*'Irish Basis'!$C$5,2)</f>
        <v/>
      </c>
      <c r="O328" s="10">
        <f>ROUND(J328*'Irish Basis'!$C$7*'Irish Basis'!$C$5,2)</f>
        <v/>
      </c>
      <c r="P328" s="10">
        <f>ROUND(K328*'Irish Basis'!$C$8*'Irish Basis'!$C$5,2)</f>
        <v/>
      </c>
      <c r="Q328" s="10">
        <f>ROUND(L328*'Irish Basis'!$C$12*'Irish Basis'!$C$5,2)</f>
        <v/>
      </c>
      <c r="R328" s="11">
        <f>ROUND(SUM(N328:Q328),2)</f>
        <v/>
      </c>
      <c r="S328" s="5" t="inlineStr">
        <is>
          <t>Stated build-up</t>
        </is>
      </c>
      <c r="T328" s="12" t="inlineStr">
        <is>
          <t>High</t>
        </is>
      </c>
      <c r="U328" s="8" t="n">
        <v>120.89</v>
      </c>
      <c r="V328" s="13">
        <f>IF(U328="","",ROUND(M328-U328,2))</f>
        <v/>
      </c>
      <c r="W328" s="5" t="n"/>
      <c r="X328" s="5" t="inlineStr">
        <is>
          <t>Labour + plant + material as published; reconciles to the published rate.</t>
        </is>
      </c>
    </row>
    <row r="329" ht="13" customHeight="1">
      <c r="A329" s="4" t="n">
        <v>661</v>
      </c>
      <c r="B329" s="5" t="inlineStr">
        <is>
          <t>IMG_0074</t>
        </is>
      </c>
      <c r="C329" s="5" t="inlineStr">
        <is>
          <t>CLASS E: EARTHWORKS</t>
        </is>
      </c>
      <c r="D329" s="5" t="inlineStr">
        <is>
          <t>03 EXCAVATION FOR FOUNDATIONS</t>
        </is>
      </c>
      <c r="E329" s="5" t="inlineStr">
        <is>
          <t>Excavate unreinforced concrete not exposed at the commencing surface</t>
        </is>
      </c>
      <c r="F329" s="5" t="inlineStr">
        <is>
          <t>0.25-0.5 m maximum depth</t>
        </is>
      </c>
      <c r="G329" s="6" t="inlineStr">
        <is>
          <t>m3</t>
        </is>
      </c>
      <c r="H329" s="7" t="n">
        <v>0.85</v>
      </c>
      <c r="I329" s="8" t="n">
        <v>55.7</v>
      </c>
      <c r="J329" s="8" t="n">
        <v>91.19</v>
      </c>
      <c r="K329" s="8" t="n">
        <v>0</v>
      </c>
      <c r="L329" s="8" t="n">
        <v>0</v>
      </c>
      <c r="M329" s="9">
        <f>ROUND(SUM(I329:L329),2)</f>
        <v/>
      </c>
      <c r="N329" s="10">
        <f>ROUND(I329*'Irish Basis'!$C$6*'Irish Basis'!$C$5,2)</f>
        <v/>
      </c>
      <c r="O329" s="10">
        <f>ROUND(J329*'Irish Basis'!$C$7*'Irish Basis'!$C$5,2)</f>
        <v/>
      </c>
      <c r="P329" s="10">
        <f>ROUND(K329*'Irish Basis'!$C$8*'Irish Basis'!$C$5,2)</f>
        <v/>
      </c>
      <c r="Q329" s="10">
        <f>ROUND(L329*'Irish Basis'!$C$12*'Irish Basis'!$C$5,2)</f>
        <v/>
      </c>
      <c r="R329" s="11">
        <f>ROUND(SUM(N329:Q329),2)</f>
        <v/>
      </c>
      <c r="S329" s="5" t="inlineStr">
        <is>
          <t>Stated build-up</t>
        </is>
      </c>
      <c r="T329" s="12" t="inlineStr">
        <is>
          <t>High</t>
        </is>
      </c>
      <c r="U329" s="8" t="n">
        <v>146.89</v>
      </c>
      <c r="V329" s="13">
        <f>IF(U329="","",ROUND(M329-U329,2))</f>
        <v/>
      </c>
      <c r="W329" s="5" t="n"/>
      <c r="X329" s="5" t="inlineStr">
        <is>
          <t>Labour + plant + material as published; reconciles to the published rate.</t>
        </is>
      </c>
    </row>
    <row r="330" ht="13" customHeight="1">
      <c r="A330" s="4" t="n">
        <v>662</v>
      </c>
      <c r="B330" s="5" t="inlineStr">
        <is>
          <t>IMG_0074</t>
        </is>
      </c>
      <c r="C330" s="5" t="inlineStr">
        <is>
          <t>CLASS E: EARTHWORKS</t>
        </is>
      </c>
      <c r="D330" s="5" t="inlineStr">
        <is>
          <t>03 EXCAVATION FOR FOUNDATIONS</t>
        </is>
      </c>
      <c r="E330" s="5" t="inlineStr">
        <is>
          <t>Excavate unreinforced concrete not exposed at the commencing surface</t>
        </is>
      </c>
      <c r="F330" s="5" t="inlineStr">
        <is>
          <t>0.5-1.0 m maximum depth</t>
        </is>
      </c>
      <c r="G330" s="6" t="inlineStr">
        <is>
          <t>m3</t>
        </is>
      </c>
      <c r="H330" s="7" t="n">
        <v>0.96</v>
      </c>
      <c r="I330" s="8" t="n">
        <v>62.91</v>
      </c>
      <c r="J330" s="8" t="n">
        <v>103.08</v>
      </c>
      <c r="K330" s="8" t="n">
        <v>0</v>
      </c>
      <c r="L330" s="8" t="n">
        <v>0</v>
      </c>
      <c r="M330" s="9">
        <f>ROUND(SUM(I330:L330),2)</f>
        <v/>
      </c>
      <c r="N330" s="10">
        <f>ROUND(I330*'Irish Basis'!$C$6*'Irish Basis'!$C$5,2)</f>
        <v/>
      </c>
      <c r="O330" s="10">
        <f>ROUND(J330*'Irish Basis'!$C$7*'Irish Basis'!$C$5,2)</f>
        <v/>
      </c>
      <c r="P330" s="10">
        <f>ROUND(K330*'Irish Basis'!$C$8*'Irish Basis'!$C$5,2)</f>
        <v/>
      </c>
      <c r="Q330" s="10">
        <f>ROUND(L330*'Irish Basis'!$C$12*'Irish Basis'!$C$5,2)</f>
        <v/>
      </c>
      <c r="R330" s="11">
        <f>ROUND(SUM(N330:Q330),2)</f>
        <v/>
      </c>
      <c r="S330" s="5" t="inlineStr">
        <is>
          <t>Stated build-up</t>
        </is>
      </c>
      <c r="T330" s="12" t="inlineStr">
        <is>
          <t>High</t>
        </is>
      </c>
      <c r="U330" s="8" t="n">
        <v>165.98</v>
      </c>
      <c r="V330" s="13">
        <f>IF(U330="","",ROUND(M330-U330,2))</f>
        <v/>
      </c>
      <c r="W330" s="5" t="n"/>
      <c r="X330" s="5" t="inlineStr">
        <is>
          <t>Labour + plant + material as published; reconciles to the published rate.</t>
        </is>
      </c>
    </row>
    <row r="331" ht="13" customHeight="1">
      <c r="A331" s="4" t="n">
        <v>663</v>
      </c>
      <c r="B331" s="5" t="inlineStr">
        <is>
          <t>IMG_0074</t>
        </is>
      </c>
      <c r="C331" s="5" t="inlineStr">
        <is>
          <t>CLASS E: EARTHWORKS</t>
        </is>
      </c>
      <c r="D331" s="5" t="inlineStr">
        <is>
          <t>03 EXCAVATION FOR FOUNDATIONS</t>
        </is>
      </c>
      <c r="E331" s="5" t="inlineStr">
        <is>
          <t>Excavate unreinforced concrete not exposed at the commencing surface</t>
        </is>
      </c>
      <c r="F331" s="5" t="inlineStr">
        <is>
          <t>1.0-2.0 m maximum depth</t>
        </is>
      </c>
      <c r="G331" s="6" t="inlineStr">
        <is>
          <t>m3</t>
        </is>
      </c>
      <c r="H331" s="7" t="n">
        <v>1.02</v>
      </c>
      <c r="I331" s="8" t="n">
        <v>66.84</v>
      </c>
      <c r="J331" s="8" t="n">
        <v>109.52</v>
      </c>
      <c r="K331" s="8" t="n">
        <v>0</v>
      </c>
      <c r="L331" s="8" t="n">
        <v>0</v>
      </c>
      <c r="M331" s="9">
        <f>ROUND(SUM(I331:L331),2)</f>
        <v/>
      </c>
      <c r="N331" s="10">
        <f>ROUND(I331*'Irish Basis'!$C$6*'Irish Basis'!$C$5,2)</f>
        <v/>
      </c>
      <c r="O331" s="10">
        <f>ROUND(J331*'Irish Basis'!$C$7*'Irish Basis'!$C$5,2)</f>
        <v/>
      </c>
      <c r="P331" s="10">
        <f>ROUND(K331*'Irish Basis'!$C$8*'Irish Basis'!$C$5,2)</f>
        <v/>
      </c>
      <c r="Q331" s="10">
        <f>ROUND(L331*'Irish Basis'!$C$12*'Irish Basis'!$C$5,2)</f>
        <v/>
      </c>
      <c r="R331" s="11">
        <f>ROUND(SUM(N331:Q331),2)</f>
        <v/>
      </c>
      <c r="S331" s="5" t="inlineStr">
        <is>
          <t>Stated build-up</t>
        </is>
      </c>
      <c r="T331" s="12" t="inlineStr">
        <is>
          <t>High</t>
        </is>
      </c>
      <c r="U331" s="8" t="n">
        <v>176.36</v>
      </c>
      <c r="V331" s="13">
        <f>IF(U331="","",ROUND(M331-U331,2))</f>
        <v/>
      </c>
      <c r="W331" s="5" t="n"/>
      <c r="X331" s="5" t="inlineStr">
        <is>
          <t>Labour + plant + material as published; reconciles to the published rate.</t>
        </is>
      </c>
    </row>
    <row r="332" ht="13" customHeight="1">
      <c r="A332" s="4" t="n">
        <v>667</v>
      </c>
      <c r="B332" s="5" t="inlineStr">
        <is>
          <t>IMG_0074</t>
        </is>
      </c>
      <c r="C332" s="5" t="inlineStr">
        <is>
          <t>CLASS E: EARTHWORKS</t>
        </is>
      </c>
      <c r="D332" s="5" t="inlineStr">
        <is>
          <t>04 GENERAL EXCAVATION</t>
        </is>
      </c>
      <c r="E332" s="5" t="inlineStr">
        <is>
          <t>Excavate topsoil</t>
        </is>
      </c>
      <c r="F332" s="5" t="inlineStr">
        <is>
          <t>maximum depth ne 0.25 m</t>
        </is>
      </c>
      <c r="G332" s="6" t="inlineStr">
        <is>
          <t>m3</t>
        </is>
      </c>
      <c r="H332" s="7" t="n">
        <v>0.03</v>
      </c>
      <c r="I332" s="8" t="n">
        <v>2.09</v>
      </c>
      <c r="J332" s="8" t="n">
        <v>3.28</v>
      </c>
      <c r="K332" s="8" t="n">
        <v>0</v>
      </c>
      <c r="L332" s="8" t="n">
        <v>0</v>
      </c>
      <c r="M332" s="9">
        <f>ROUND(SUM(I332:L332),2)</f>
        <v/>
      </c>
      <c r="N332" s="10">
        <f>ROUND(I332*'Irish Basis'!$C$6*'Irish Basis'!$C$5,2)</f>
        <v/>
      </c>
      <c r="O332" s="10">
        <f>ROUND(J332*'Irish Basis'!$C$7*'Irish Basis'!$C$5,2)</f>
        <v/>
      </c>
      <c r="P332" s="10">
        <f>ROUND(K332*'Irish Basis'!$C$8*'Irish Basis'!$C$5,2)</f>
        <v/>
      </c>
      <c r="Q332" s="10">
        <f>ROUND(L332*'Irish Basis'!$C$12*'Irish Basis'!$C$5,2)</f>
        <v/>
      </c>
      <c r="R332" s="11">
        <f>ROUND(SUM(N332:Q332),2)</f>
        <v/>
      </c>
      <c r="S332" s="5" t="inlineStr">
        <is>
          <t>Stated build-up</t>
        </is>
      </c>
      <c r="T332" s="12" t="inlineStr">
        <is>
          <t>High</t>
        </is>
      </c>
      <c r="U332" s="8" t="n">
        <v>5.37</v>
      </c>
      <c r="V332" s="13">
        <f>IF(U332="","",ROUND(M332-U332,2))</f>
        <v/>
      </c>
      <c r="W332" s="5" t="n"/>
      <c r="X332" s="5" t="inlineStr">
        <is>
          <t>Labour + plant + material as published; reconciles to the published rate.</t>
        </is>
      </c>
    </row>
    <row r="333" ht="13" customHeight="1">
      <c r="A333" s="4" t="n">
        <v>669</v>
      </c>
      <c r="B333" s="5" t="inlineStr">
        <is>
          <t>IMG_0074</t>
        </is>
      </c>
      <c r="C333" s="5" t="inlineStr">
        <is>
          <t>CLASS E: EARTHWORKS</t>
        </is>
      </c>
      <c r="D333" s="5" t="inlineStr">
        <is>
          <t>04 GENERAL EXCAVATION</t>
        </is>
      </c>
      <c r="E333" s="5" t="inlineStr">
        <is>
          <t>Excavate material other than topsoil, rock or artificial hard material</t>
        </is>
      </c>
      <c r="F333" s="5" t="inlineStr">
        <is>
          <t>ne 0.25 m maximum depth</t>
        </is>
      </c>
      <c r="G333" s="6" t="inlineStr">
        <is>
          <t>m3</t>
        </is>
      </c>
      <c r="H333" s="7" t="n">
        <v>0.03</v>
      </c>
      <c r="I333" s="8" t="n">
        <v>2.09</v>
      </c>
      <c r="J333" s="8" t="n">
        <v>3.16</v>
      </c>
      <c r="K333" s="8" t="n">
        <v>0</v>
      </c>
      <c r="L333" s="8" t="n">
        <v>0</v>
      </c>
      <c r="M333" s="9">
        <f>ROUND(SUM(I333:L333),2)</f>
        <v/>
      </c>
      <c r="N333" s="10">
        <f>ROUND(I333*'Irish Basis'!$C$6*'Irish Basis'!$C$5,2)</f>
        <v/>
      </c>
      <c r="O333" s="10">
        <f>ROUND(J333*'Irish Basis'!$C$7*'Irish Basis'!$C$5,2)</f>
        <v/>
      </c>
      <c r="P333" s="10">
        <f>ROUND(K333*'Irish Basis'!$C$8*'Irish Basis'!$C$5,2)</f>
        <v/>
      </c>
      <c r="Q333" s="10">
        <f>ROUND(L333*'Irish Basis'!$C$12*'Irish Basis'!$C$5,2)</f>
        <v/>
      </c>
      <c r="R333" s="11">
        <f>ROUND(SUM(N333:Q333),2)</f>
        <v/>
      </c>
      <c r="S333" s="5" t="inlineStr">
        <is>
          <t>Stated build-up</t>
        </is>
      </c>
      <c r="T333" s="12" t="inlineStr">
        <is>
          <t>High</t>
        </is>
      </c>
      <c r="U333" s="8" t="n">
        <v>5.25</v>
      </c>
      <c r="V333" s="13">
        <f>IF(U333="","",ROUND(M333-U333,2))</f>
        <v/>
      </c>
      <c r="W333" s="5" t="n"/>
      <c r="X333" s="5" t="inlineStr">
        <is>
          <t>Labour + plant + material as published; reconciles to the published rate.</t>
        </is>
      </c>
    </row>
    <row r="334" ht="13" customHeight="1">
      <c r="A334" s="4" t="n">
        <v>670</v>
      </c>
      <c r="B334" s="5" t="inlineStr">
        <is>
          <t>IMG_0074</t>
        </is>
      </c>
      <c r="C334" s="5" t="inlineStr">
        <is>
          <t>CLASS E: EARTHWORKS</t>
        </is>
      </c>
      <c r="D334" s="5" t="inlineStr">
        <is>
          <t>04 GENERAL EXCAVATION</t>
        </is>
      </c>
      <c r="E334" s="5" t="inlineStr">
        <is>
          <t>Excavate material other than topsoil, rock or artificial hard material</t>
        </is>
      </c>
      <c r="F334" s="5" t="inlineStr">
        <is>
          <t>0.25-0.5 m maximum depth</t>
        </is>
      </c>
      <c r="G334" s="6" t="inlineStr">
        <is>
          <t>m3</t>
        </is>
      </c>
      <c r="H334" s="7" t="n">
        <v>0.03</v>
      </c>
      <c r="I334" s="8" t="n">
        <v>2.09</v>
      </c>
      <c r="J334" s="8" t="n">
        <v>3.28</v>
      </c>
      <c r="K334" s="8" t="n">
        <v>0</v>
      </c>
      <c r="L334" s="8" t="n">
        <v>0</v>
      </c>
      <c r="M334" s="9">
        <f>ROUND(SUM(I334:L334),2)</f>
        <v/>
      </c>
      <c r="N334" s="10">
        <f>ROUND(I334*'Irish Basis'!$C$6*'Irish Basis'!$C$5,2)</f>
        <v/>
      </c>
      <c r="O334" s="10">
        <f>ROUND(J334*'Irish Basis'!$C$7*'Irish Basis'!$C$5,2)</f>
        <v/>
      </c>
      <c r="P334" s="10">
        <f>ROUND(K334*'Irish Basis'!$C$8*'Irish Basis'!$C$5,2)</f>
        <v/>
      </c>
      <c r="Q334" s="10">
        <f>ROUND(L334*'Irish Basis'!$C$12*'Irish Basis'!$C$5,2)</f>
        <v/>
      </c>
      <c r="R334" s="11">
        <f>ROUND(SUM(N334:Q334),2)</f>
        <v/>
      </c>
      <c r="S334" s="5" t="inlineStr">
        <is>
          <t>Stated build-up</t>
        </is>
      </c>
      <c r="T334" s="12" t="inlineStr">
        <is>
          <t>High</t>
        </is>
      </c>
      <c r="U334" s="8" t="n">
        <v>5.37</v>
      </c>
      <c r="V334" s="13">
        <f>IF(U334="","",ROUND(M334-U334,2))</f>
        <v/>
      </c>
      <c r="W334" s="5" t="n"/>
      <c r="X334" s="5" t="inlineStr">
        <is>
          <t>Labour + plant + material as published; reconciles to the published rate.</t>
        </is>
      </c>
    </row>
    <row r="335" ht="13" customHeight="1">
      <c r="A335" s="4" t="n">
        <v>671</v>
      </c>
      <c r="B335" s="5" t="inlineStr">
        <is>
          <t>IMG_0074</t>
        </is>
      </c>
      <c r="C335" s="5" t="inlineStr">
        <is>
          <t>CLASS E: EARTHWORKS</t>
        </is>
      </c>
      <c r="D335" s="5" t="inlineStr">
        <is>
          <t>04 GENERAL EXCAVATION</t>
        </is>
      </c>
      <c r="E335" s="5" t="inlineStr">
        <is>
          <t>Excavate material other than topsoil, rock or artificial hard material</t>
        </is>
      </c>
      <c r="F335" s="5" t="inlineStr">
        <is>
          <t>0.5-1.0 m maximum depth</t>
        </is>
      </c>
      <c r="G335" s="6" t="inlineStr">
        <is>
          <t>m3</t>
        </is>
      </c>
      <c r="H335" s="7" t="n">
        <v>0.04</v>
      </c>
      <c r="I335" s="8" t="n">
        <v>2.79</v>
      </c>
      <c r="J335" s="8" t="n">
        <v>4.24</v>
      </c>
      <c r="K335" s="8" t="n">
        <v>0</v>
      </c>
      <c r="L335" s="8" t="n">
        <v>0</v>
      </c>
      <c r="M335" s="9">
        <f>ROUND(SUM(I335:L335),2)</f>
        <v/>
      </c>
      <c r="N335" s="10">
        <f>ROUND(I335*'Irish Basis'!$C$6*'Irish Basis'!$C$5,2)</f>
        <v/>
      </c>
      <c r="O335" s="10">
        <f>ROUND(J335*'Irish Basis'!$C$7*'Irish Basis'!$C$5,2)</f>
        <v/>
      </c>
      <c r="P335" s="10">
        <f>ROUND(K335*'Irish Basis'!$C$8*'Irish Basis'!$C$5,2)</f>
        <v/>
      </c>
      <c r="Q335" s="10">
        <f>ROUND(L335*'Irish Basis'!$C$12*'Irish Basis'!$C$5,2)</f>
        <v/>
      </c>
      <c r="R335" s="11">
        <f>ROUND(SUM(N335:Q335),2)</f>
        <v/>
      </c>
      <c r="S335" s="5" t="inlineStr">
        <is>
          <t>Stated build-up</t>
        </is>
      </c>
      <c r="T335" s="12" t="inlineStr">
        <is>
          <t>High</t>
        </is>
      </c>
      <c r="U335" s="8" t="n">
        <v>7.04</v>
      </c>
      <c r="V335" s="13">
        <f>IF(U335="","",ROUND(M335-U335,2))</f>
        <v/>
      </c>
      <c r="W335" s="5" t="n"/>
      <c r="X335" s="5" t="inlineStr">
        <is>
          <t>Labour + plant + material as published; reconciles to the published rate.</t>
        </is>
      </c>
    </row>
    <row r="336" ht="13" customHeight="1">
      <c r="A336" s="4" t="n">
        <v>672</v>
      </c>
      <c r="B336" s="5" t="inlineStr">
        <is>
          <t>IMG_0074</t>
        </is>
      </c>
      <c r="C336" s="5" t="inlineStr">
        <is>
          <t>CLASS E: EARTHWORKS</t>
        </is>
      </c>
      <c r="D336" s="5" t="inlineStr">
        <is>
          <t>04 GENERAL EXCAVATION</t>
        </is>
      </c>
      <c r="E336" s="5" t="inlineStr">
        <is>
          <t>Excavate material other than topsoil, rock or artificial hard material</t>
        </is>
      </c>
      <c r="F336" s="5" t="inlineStr">
        <is>
          <t>1.0-2.0 m maximum depth</t>
        </is>
      </c>
      <c r="G336" s="6" t="inlineStr">
        <is>
          <t>m3</t>
        </is>
      </c>
      <c r="H336" s="7" t="n">
        <v>0.06</v>
      </c>
      <c r="I336" s="8" t="n">
        <v>4.19</v>
      </c>
      <c r="J336" s="8" t="n">
        <v>6.44</v>
      </c>
      <c r="K336" s="8" t="n">
        <v>0</v>
      </c>
      <c r="L336" s="8" t="n">
        <v>0</v>
      </c>
      <c r="M336" s="9">
        <f>ROUND(SUM(I336:L336),2)</f>
        <v/>
      </c>
      <c r="N336" s="10">
        <f>ROUND(I336*'Irish Basis'!$C$6*'Irish Basis'!$C$5,2)</f>
        <v/>
      </c>
      <c r="O336" s="10">
        <f>ROUND(J336*'Irish Basis'!$C$7*'Irish Basis'!$C$5,2)</f>
        <v/>
      </c>
      <c r="P336" s="10">
        <f>ROUND(K336*'Irish Basis'!$C$8*'Irish Basis'!$C$5,2)</f>
        <v/>
      </c>
      <c r="Q336" s="10">
        <f>ROUND(L336*'Irish Basis'!$C$12*'Irish Basis'!$C$5,2)</f>
        <v/>
      </c>
      <c r="R336" s="11">
        <f>ROUND(SUM(N336:Q336),2)</f>
        <v/>
      </c>
      <c r="S336" s="5" t="inlineStr">
        <is>
          <t>Stated build-up</t>
        </is>
      </c>
      <c r="T336" s="12" t="inlineStr">
        <is>
          <t>High</t>
        </is>
      </c>
      <c r="U336" s="8" t="n">
        <v>10.63</v>
      </c>
      <c r="V336" s="13">
        <f>IF(U336="","",ROUND(M336-U336,2))</f>
        <v/>
      </c>
      <c r="W336" s="5" t="n"/>
      <c r="X336" s="5" t="inlineStr">
        <is>
          <t>Labour + plant + material as published; reconciles to the published rate.</t>
        </is>
      </c>
    </row>
    <row r="337" ht="13" customHeight="1">
      <c r="A337" s="4" t="n">
        <v>673</v>
      </c>
      <c r="B337" s="5" t="inlineStr">
        <is>
          <t>IMG_0074</t>
        </is>
      </c>
      <c r="C337" s="5" t="inlineStr">
        <is>
          <t>CLASS E: EARTHWORKS</t>
        </is>
      </c>
      <c r="D337" s="5" t="inlineStr">
        <is>
          <t>04 GENERAL EXCAVATION</t>
        </is>
      </c>
      <c r="E337" s="5" t="inlineStr">
        <is>
          <t>Excavate material other than topsoil, rock or artificial hard material</t>
        </is>
      </c>
      <c r="F337" s="5" t="inlineStr">
        <is>
          <t>2.0-5.0 m maximum depth</t>
        </is>
      </c>
      <c r="G337" s="6" t="inlineStr">
        <is>
          <t>m3</t>
        </is>
      </c>
      <c r="H337" s="7" t="n">
        <v>0.1</v>
      </c>
      <c r="I337" s="8" t="n">
        <v>6.98</v>
      </c>
      <c r="J337" s="8" t="n">
        <v>10.69</v>
      </c>
      <c r="K337" s="8" t="n">
        <v>0</v>
      </c>
      <c r="L337" s="8" t="n">
        <v>0</v>
      </c>
      <c r="M337" s="9">
        <f>ROUND(SUM(I337:L337),2)</f>
        <v/>
      </c>
      <c r="N337" s="10">
        <f>ROUND(I337*'Irish Basis'!$C$6*'Irish Basis'!$C$5,2)</f>
        <v/>
      </c>
      <c r="O337" s="10">
        <f>ROUND(J337*'Irish Basis'!$C$7*'Irish Basis'!$C$5,2)</f>
        <v/>
      </c>
      <c r="P337" s="10">
        <f>ROUND(K337*'Irish Basis'!$C$8*'Irish Basis'!$C$5,2)</f>
        <v/>
      </c>
      <c r="Q337" s="10">
        <f>ROUND(L337*'Irish Basis'!$C$12*'Irish Basis'!$C$5,2)</f>
        <v/>
      </c>
      <c r="R337" s="11">
        <f>ROUND(SUM(N337:Q337),2)</f>
        <v/>
      </c>
      <c r="S337" s="5" t="inlineStr">
        <is>
          <t>Stated build-up</t>
        </is>
      </c>
      <c r="T337" s="12" t="inlineStr">
        <is>
          <t>High</t>
        </is>
      </c>
      <c r="U337" s="8" t="n">
        <v>17.66</v>
      </c>
      <c r="V337" s="13">
        <f>IF(U337="","",ROUND(M337-U337,2))</f>
        <v/>
      </c>
      <c r="W337" s="5" t="n"/>
      <c r="X337" s="5" t="inlineStr">
        <is>
          <t>Labour + plant + material as published; reconciles to the published rate.</t>
        </is>
      </c>
    </row>
    <row r="338" ht="13" customHeight="1">
      <c r="A338" s="4" t="n">
        <v>674</v>
      </c>
      <c r="B338" s="5" t="inlineStr">
        <is>
          <t>IMG_0074</t>
        </is>
      </c>
      <c r="C338" s="5" t="inlineStr">
        <is>
          <t>CLASS E: EARTHWORKS</t>
        </is>
      </c>
      <c r="D338" s="5" t="inlineStr">
        <is>
          <t>04 GENERAL EXCAVATION</t>
        </is>
      </c>
      <c r="E338" s="5" t="inlineStr">
        <is>
          <t>Excavate material other than topsoil, rock or artificial hard material</t>
        </is>
      </c>
      <c r="F338" s="5" t="inlineStr">
        <is>
          <t>5.0-10.0 m maximum depth</t>
        </is>
      </c>
      <c r="G338" s="6" t="inlineStr">
        <is>
          <t>m3</t>
        </is>
      </c>
      <c r="H338" s="7" t="n">
        <v>0.2</v>
      </c>
      <c r="I338" s="8" t="n">
        <v>13.95</v>
      </c>
      <c r="J338" s="8" t="n">
        <v>21.52</v>
      </c>
      <c r="K338" s="8" t="n">
        <v>0</v>
      </c>
      <c r="L338" s="8" t="n">
        <v>0</v>
      </c>
      <c r="M338" s="9">
        <f>ROUND(SUM(I338:L338),2)</f>
        <v/>
      </c>
      <c r="N338" s="10">
        <f>ROUND(I338*'Irish Basis'!$C$6*'Irish Basis'!$C$5,2)</f>
        <v/>
      </c>
      <c r="O338" s="10">
        <f>ROUND(J338*'Irish Basis'!$C$7*'Irish Basis'!$C$5,2)</f>
        <v/>
      </c>
      <c r="P338" s="10">
        <f>ROUND(K338*'Irish Basis'!$C$8*'Irish Basis'!$C$5,2)</f>
        <v/>
      </c>
      <c r="Q338" s="10">
        <f>ROUND(L338*'Irish Basis'!$C$12*'Irish Basis'!$C$5,2)</f>
        <v/>
      </c>
      <c r="R338" s="11">
        <f>ROUND(SUM(N338:Q338),2)</f>
        <v/>
      </c>
      <c r="S338" s="5" t="inlineStr">
        <is>
          <t>Stated build-up</t>
        </is>
      </c>
      <c r="T338" s="12" t="inlineStr">
        <is>
          <t>High</t>
        </is>
      </c>
      <c r="U338" s="8" t="n">
        <v>35.48</v>
      </c>
      <c r="V338" s="13">
        <f>IF(U338="","",ROUND(M338-U338,2))</f>
        <v/>
      </c>
      <c r="W338" s="5" t="n"/>
      <c r="X338" s="5" t="inlineStr">
        <is>
          <t>Labour + plant + material as published; reconciles to the published rate.</t>
        </is>
      </c>
    </row>
    <row r="339" ht="13" customHeight="1">
      <c r="A339" s="4" t="n">
        <v>675</v>
      </c>
      <c r="B339" s="5" t="inlineStr">
        <is>
          <t>IMG_0074</t>
        </is>
      </c>
      <c r="C339" s="5" t="inlineStr">
        <is>
          <t>CLASS E: EARTHWORKS</t>
        </is>
      </c>
      <c r="D339" s="5" t="inlineStr">
        <is>
          <t>04 GENERAL EXCAVATION</t>
        </is>
      </c>
      <c r="E339" s="5" t="inlineStr">
        <is>
          <t>Excavate material other than topsoil, rock or artificial hard material</t>
        </is>
      </c>
      <c r="F339" s="5" t="inlineStr">
        <is>
          <t>10.0-15.0 m maximum depth</t>
        </is>
      </c>
      <c r="G339" s="6" t="inlineStr">
        <is>
          <t>m3</t>
        </is>
      </c>
      <c r="H339" s="7" t="n">
        <v>0.29</v>
      </c>
      <c r="I339" s="8" t="n">
        <v>20.23</v>
      </c>
      <c r="J339" s="8" t="n">
        <v>31.13</v>
      </c>
      <c r="K339" s="8" t="n">
        <v>0</v>
      </c>
      <c r="L339" s="8" t="n">
        <v>0</v>
      </c>
      <c r="M339" s="9">
        <f>ROUND(SUM(I339:L339),2)</f>
        <v/>
      </c>
      <c r="N339" s="10">
        <f>ROUND(I339*'Irish Basis'!$C$6*'Irish Basis'!$C$5,2)</f>
        <v/>
      </c>
      <c r="O339" s="10">
        <f>ROUND(J339*'Irish Basis'!$C$7*'Irish Basis'!$C$5,2)</f>
        <v/>
      </c>
      <c r="P339" s="10">
        <f>ROUND(K339*'Irish Basis'!$C$8*'Irish Basis'!$C$5,2)</f>
        <v/>
      </c>
      <c r="Q339" s="10">
        <f>ROUND(L339*'Irish Basis'!$C$12*'Irish Basis'!$C$5,2)</f>
        <v/>
      </c>
      <c r="R339" s="11">
        <f>ROUND(SUM(N339:Q339),2)</f>
        <v/>
      </c>
      <c r="S339" s="5" t="inlineStr">
        <is>
          <t>Stated build-up</t>
        </is>
      </c>
      <c r="T339" s="12" t="inlineStr">
        <is>
          <t>High</t>
        </is>
      </c>
      <c r="U339" s="8" t="n">
        <v>51.36</v>
      </c>
      <c r="V339" s="13">
        <f>IF(U339="","",ROUND(M339-U339,2))</f>
        <v/>
      </c>
      <c r="W339" s="5" t="n"/>
      <c r="X339" s="5" t="inlineStr">
        <is>
          <t>Labour + plant + material as published; reconciles to the published rate.</t>
        </is>
      </c>
    </row>
    <row r="340" ht="13" customHeight="1">
      <c r="A340" s="4" t="n">
        <v>678</v>
      </c>
      <c r="B340" s="5" t="inlineStr">
        <is>
          <t>IMG_0074</t>
        </is>
      </c>
      <c r="C340" s="5" t="inlineStr">
        <is>
          <t>CLASS E: EARTHWORKS</t>
        </is>
      </c>
      <c r="D340" s="5" t="inlineStr">
        <is>
          <t>04 GENERAL EXCAVATION</t>
        </is>
      </c>
      <c r="E340" s="5" t="inlineStr">
        <is>
          <t>Excavate rock (medium hard)</t>
        </is>
      </c>
      <c r="F340" s="5" t="inlineStr">
        <is>
          <t>ne 0.25 m maximum depth</t>
        </is>
      </c>
      <c r="G340" s="6" t="inlineStr">
        <is>
          <t>m3</t>
        </is>
      </c>
      <c r="H340" s="7" t="n">
        <v>0.31</v>
      </c>
      <c r="I340" s="8" t="n">
        <v>21.62</v>
      </c>
      <c r="J340" s="8" t="n">
        <v>33.3</v>
      </c>
      <c r="K340" s="8" t="n">
        <v>0</v>
      </c>
      <c r="L340" s="8" t="n">
        <v>0</v>
      </c>
      <c r="M340" s="9">
        <f>ROUND(SUM(I340:L340),2)</f>
        <v/>
      </c>
      <c r="N340" s="10">
        <f>ROUND(I340*'Irish Basis'!$C$6*'Irish Basis'!$C$5,2)</f>
        <v/>
      </c>
      <c r="O340" s="10">
        <f>ROUND(J340*'Irish Basis'!$C$7*'Irish Basis'!$C$5,2)</f>
        <v/>
      </c>
      <c r="P340" s="10">
        <f>ROUND(K340*'Irish Basis'!$C$8*'Irish Basis'!$C$5,2)</f>
        <v/>
      </c>
      <c r="Q340" s="10">
        <f>ROUND(L340*'Irish Basis'!$C$12*'Irish Basis'!$C$5,2)</f>
        <v/>
      </c>
      <c r="R340" s="11">
        <f>ROUND(SUM(N340:Q340),2)</f>
        <v/>
      </c>
      <c r="S340" s="5" t="inlineStr">
        <is>
          <t>Stated build-up</t>
        </is>
      </c>
      <c r="T340" s="12" t="inlineStr">
        <is>
          <t>High</t>
        </is>
      </c>
      <c r="U340" s="8" t="n">
        <v>54.92</v>
      </c>
      <c r="V340" s="13">
        <f>IF(U340="","",ROUND(M340-U340,2))</f>
        <v/>
      </c>
      <c r="W340" s="5" t="n"/>
      <c r="X340" s="5" t="inlineStr">
        <is>
          <t>Labour + plant + material as published; reconciles to the published rate.</t>
        </is>
      </c>
    </row>
    <row r="341" ht="13" customHeight="1">
      <c r="A341" s="4" t="n">
        <v>679</v>
      </c>
      <c r="B341" s="5" t="inlineStr">
        <is>
          <t>IMG_0074</t>
        </is>
      </c>
      <c r="C341" s="5" t="inlineStr">
        <is>
          <t>CLASS E: EARTHWORKS</t>
        </is>
      </c>
      <c r="D341" s="5" t="inlineStr">
        <is>
          <t>04 GENERAL EXCAVATION</t>
        </is>
      </c>
      <c r="E341" s="5" t="inlineStr">
        <is>
          <t>Excavate rock (medium hard)</t>
        </is>
      </c>
      <c r="F341" s="5" t="inlineStr">
        <is>
          <t>0.25-0.5 m maximum depth</t>
        </is>
      </c>
      <c r="G341" s="6" t="inlineStr">
        <is>
          <t>m3</t>
        </is>
      </c>
      <c r="H341" s="7" t="n">
        <v>0.43</v>
      </c>
      <c r="I341" s="8" t="n">
        <v>30</v>
      </c>
      <c r="J341" s="8" t="n">
        <v>46.18</v>
      </c>
      <c r="K341" s="8" t="n">
        <v>0</v>
      </c>
      <c r="L341" s="8" t="n">
        <v>0</v>
      </c>
      <c r="M341" s="9">
        <f>ROUND(SUM(I341:L341),2)</f>
        <v/>
      </c>
      <c r="N341" s="10">
        <f>ROUND(I341*'Irish Basis'!$C$6*'Irish Basis'!$C$5,2)</f>
        <v/>
      </c>
      <c r="O341" s="10">
        <f>ROUND(J341*'Irish Basis'!$C$7*'Irish Basis'!$C$5,2)</f>
        <v/>
      </c>
      <c r="P341" s="10">
        <f>ROUND(K341*'Irish Basis'!$C$8*'Irish Basis'!$C$5,2)</f>
        <v/>
      </c>
      <c r="Q341" s="10">
        <f>ROUND(L341*'Irish Basis'!$C$12*'Irish Basis'!$C$5,2)</f>
        <v/>
      </c>
      <c r="R341" s="11">
        <f>ROUND(SUM(N341:Q341),2)</f>
        <v/>
      </c>
      <c r="S341" s="5" t="inlineStr">
        <is>
          <t>Stated build-up</t>
        </is>
      </c>
      <c r="T341" s="12" t="inlineStr">
        <is>
          <t>High</t>
        </is>
      </c>
      <c r="U341" s="8" t="n">
        <v>76.18000000000001</v>
      </c>
      <c r="V341" s="13">
        <f>IF(U341="","",ROUND(M341-U341,2))</f>
        <v/>
      </c>
      <c r="W341" s="5" t="n"/>
      <c r="X341" s="5" t="inlineStr">
        <is>
          <t>Labour + plant + material as published; reconciles to the published rate.</t>
        </is>
      </c>
    </row>
    <row r="342" ht="13" customHeight="1">
      <c r="A342" s="4" t="n">
        <v>680</v>
      </c>
      <c r="B342" s="5" t="inlineStr">
        <is>
          <t>IMG_0074</t>
        </is>
      </c>
      <c r="C342" s="5" t="inlineStr">
        <is>
          <t>CLASS E: EARTHWORKS</t>
        </is>
      </c>
      <c r="D342" s="5" t="inlineStr">
        <is>
          <t>04 GENERAL EXCAVATION</t>
        </is>
      </c>
      <c r="E342" s="5" t="inlineStr">
        <is>
          <t>Excavate rock (medium hard)</t>
        </is>
      </c>
      <c r="F342" s="5" t="inlineStr">
        <is>
          <t>0.5-1.0 m maximum depth</t>
        </is>
      </c>
      <c r="G342" s="6" t="inlineStr">
        <is>
          <t>m3</t>
        </is>
      </c>
      <c r="H342" s="7" t="n">
        <v>0.58</v>
      </c>
      <c r="I342" s="8" t="n">
        <v>40.46</v>
      </c>
      <c r="J342" s="8" t="n">
        <v>62.23</v>
      </c>
      <c r="K342" s="8" t="n">
        <v>0</v>
      </c>
      <c r="L342" s="8" t="n">
        <v>0</v>
      </c>
      <c r="M342" s="9">
        <f>ROUND(SUM(I342:L342),2)</f>
        <v/>
      </c>
      <c r="N342" s="10">
        <f>ROUND(I342*'Irish Basis'!$C$6*'Irish Basis'!$C$5,2)</f>
        <v/>
      </c>
      <c r="O342" s="10">
        <f>ROUND(J342*'Irish Basis'!$C$7*'Irish Basis'!$C$5,2)</f>
        <v/>
      </c>
      <c r="P342" s="10">
        <f>ROUND(K342*'Irish Basis'!$C$8*'Irish Basis'!$C$5,2)</f>
        <v/>
      </c>
      <c r="Q342" s="10">
        <f>ROUND(L342*'Irish Basis'!$C$12*'Irish Basis'!$C$5,2)</f>
        <v/>
      </c>
      <c r="R342" s="11">
        <f>ROUND(SUM(N342:Q342),2)</f>
        <v/>
      </c>
      <c r="S342" s="5" t="inlineStr">
        <is>
          <t>Stated build-up</t>
        </is>
      </c>
      <c r="T342" s="12" t="inlineStr">
        <is>
          <t>High</t>
        </is>
      </c>
      <c r="U342" s="8" t="n">
        <v>102.69</v>
      </c>
      <c r="V342" s="13">
        <f>IF(U342="","",ROUND(M342-U342,2))</f>
        <v/>
      </c>
      <c r="W342" s="5" t="n"/>
      <c r="X342" s="5" t="inlineStr">
        <is>
          <t>Labour + plant + material as published; reconciles to the published rate.</t>
        </is>
      </c>
    </row>
    <row r="343" ht="13" customHeight="1">
      <c r="A343" s="4" t="n">
        <v>681</v>
      </c>
      <c r="B343" s="5" t="inlineStr">
        <is>
          <t>IMG_0074</t>
        </is>
      </c>
      <c r="C343" s="5" t="inlineStr">
        <is>
          <t>CLASS E: EARTHWORKS</t>
        </is>
      </c>
      <c r="D343" s="5" t="inlineStr">
        <is>
          <t>04 GENERAL EXCAVATION</t>
        </is>
      </c>
      <c r="E343" s="5" t="inlineStr">
        <is>
          <t>Excavate rock (medium hard)</t>
        </is>
      </c>
      <c r="F343" s="5" t="inlineStr">
        <is>
          <t>1.0-2.0 m maximum depth</t>
        </is>
      </c>
      <c r="G343" s="6" t="inlineStr">
        <is>
          <t>m3</t>
        </is>
      </c>
      <c r="H343" s="7" t="n">
        <v>0.8</v>
      </c>
      <c r="I343" s="8" t="n">
        <v>55.81</v>
      </c>
      <c r="J343" s="8" t="n">
        <v>86.04000000000001</v>
      </c>
      <c r="K343" s="8" t="n">
        <v>0</v>
      </c>
      <c r="L343" s="8" t="n">
        <v>0</v>
      </c>
      <c r="M343" s="9">
        <f>ROUND(SUM(I343:L343),2)</f>
        <v/>
      </c>
      <c r="N343" s="10">
        <f>ROUND(I343*'Irish Basis'!$C$6*'Irish Basis'!$C$5,2)</f>
        <v/>
      </c>
      <c r="O343" s="10">
        <f>ROUND(J343*'Irish Basis'!$C$7*'Irish Basis'!$C$5,2)</f>
        <v/>
      </c>
      <c r="P343" s="10">
        <f>ROUND(K343*'Irish Basis'!$C$8*'Irish Basis'!$C$5,2)</f>
        <v/>
      </c>
      <c r="Q343" s="10">
        <f>ROUND(L343*'Irish Basis'!$C$12*'Irish Basis'!$C$5,2)</f>
        <v/>
      </c>
      <c r="R343" s="11">
        <f>ROUND(SUM(N343:Q343),2)</f>
        <v/>
      </c>
      <c r="S343" s="5" t="inlineStr">
        <is>
          <t>Stated build-up</t>
        </is>
      </c>
      <c r="T343" s="12" t="inlineStr">
        <is>
          <t>High</t>
        </is>
      </c>
      <c r="U343" s="8" t="n">
        <v>141.84</v>
      </c>
      <c r="V343" s="13">
        <f>IF(U343="","",ROUND(M343-U343,2))</f>
        <v/>
      </c>
      <c r="W343" s="5" t="n"/>
      <c r="X343" s="5" t="inlineStr">
        <is>
          <t>Labour + plant + material as published; reconciles to the published rate.</t>
        </is>
      </c>
    </row>
    <row r="344" ht="13" customHeight="1">
      <c r="A344" s="4" t="n">
        <v>683</v>
      </c>
      <c r="B344" s="5" t="inlineStr">
        <is>
          <t>IMG_0074</t>
        </is>
      </c>
      <c r="C344" s="5" t="inlineStr">
        <is>
          <t>CLASS E: EARTHWORKS</t>
        </is>
      </c>
      <c r="D344" s="5" t="inlineStr">
        <is>
          <t>04 GENERAL EXCAVATION</t>
        </is>
      </c>
      <c r="E344" s="5" t="inlineStr">
        <is>
          <t>Excavate unreinforced concrete exposed at the commencing surface</t>
        </is>
      </c>
      <c r="F344" s="5" t="inlineStr">
        <is>
          <t>ne 0.25 m maximum depth</t>
        </is>
      </c>
      <c r="G344" s="6" t="inlineStr">
        <is>
          <t>m3</t>
        </is>
      </c>
      <c r="H344" s="7" t="n">
        <v>0.57</v>
      </c>
      <c r="I344" s="8" t="n">
        <v>39.76</v>
      </c>
      <c r="J344" s="8" t="n">
        <v>61.26</v>
      </c>
      <c r="K344" s="8" t="n">
        <v>0</v>
      </c>
      <c r="L344" s="8" t="n">
        <v>0</v>
      </c>
      <c r="M344" s="9">
        <f>ROUND(SUM(I344:L344),2)</f>
        <v/>
      </c>
      <c r="N344" s="10">
        <f>ROUND(I344*'Irish Basis'!$C$6*'Irish Basis'!$C$5,2)</f>
        <v/>
      </c>
      <c r="O344" s="10">
        <f>ROUND(J344*'Irish Basis'!$C$7*'Irish Basis'!$C$5,2)</f>
        <v/>
      </c>
      <c r="P344" s="10">
        <f>ROUND(K344*'Irish Basis'!$C$8*'Irish Basis'!$C$5,2)</f>
        <v/>
      </c>
      <c r="Q344" s="10">
        <f>ROUND(L344*'Irish Basis'!$C$12*'Irish Basis'!$C$5,2)</f>
        <v/>
      </c>
      <c r="R344" s="11">
        <f>ROUND(SUM(N344:Q344),2)</f>
        <v/>
      </c>
      <c r="S344" s="5" t="inlineStr">
        <is>
          <t>Stated build-up</t>
        </is>
      </c>
      <c r="T344" s="12" t="inlineStr">
        <is>
          <t>High</t>
        </is>
      </c>
      <c r="U344" s="8" t="n">
        <v>101.03</v>
      </c>
      <c r="V344" s="13">
        <f>IF(U344="","",ROUND(M344-U344,2))</f>
        <v/>
      </c>
      <c r="W344" s="5" t="n"/>
      <c r="X344" s="5" t="inlineStr">
        <is>
          <t>Labour + plant + material as published; reconciles to the published rate.</t>
        </is>
      </c>
    </row>
    <row r="345" ht="13" customHeight="1">
      <c r="A345" s="4" t="n">
        <v>685</v>
      </c>
      <c r="B345" s="5" t="inlineStr">
        <is>
          <t>IMG_0075</t>
        </is>
      </c>
      <c r="C345" s="5" t="inlineStr">
        <is>
          <t>CLASS E: EARTHWORKS</t>
        </is>
      </c>
      <c r="D345" s="5" t="inlineStr">
        <is>
          <t>04 GENERAL EXCAVATION</t>
        </is>
      </c>
      <c r="E345" s="5" t="inlineStr">
        <is>
          <t>Excavate unreinforced concrete exposed at the commencing surface (continued)</t>
        </is>
      </c>
      <c r="F345" s="5" t="inlineStr">
        <is>
          <t>0.25-0.5 m maximum depth</t>
        </is>
      </c>
      <c r="G345" s="6" t="inlineStr">
        <is>
          <t>m3</t>
        </is>
      </c>
      <c r="H345" s="7" t="n">
        <v>0.6</v>
      </c>
      <c r="I345" s="8" t="n">
        <v>41.85</v>
      </c>
      <c r="J345" s="8" t="n">
        <v>64.42</v>
      </c>
      <c r="K345" s="8" t="n">
        <v>0</v>
      </c>
      <c r="L345" s="8" t="n">
        <v>0</v>
      </c>
      <c r="M345" s="9">
        <f>ROUND(SUM(I345:L345),2)</f>
        <v/>
      </c>
      <c r="N345" s="10">
        <f>ROUND(I345*'Irish Basis'!$C$6*'Irish Basis'!$C$5,2)</f>
        <v/>
      </c>
      <c r="O345" s="10">
        <f>ROUND(J345*'Irish Basis'!$C$7*'Irish Basis'!$C$5,2)</f>
        <v/>
      </c>
      <c r="P345" s="10">
        <f>ROUND(K345*'Irish Basis'!$C$8*'Irish Basis'!$C$5,2)</f>
        <v/>
      </c>
      <c r="Q345" s="10">
        <f>ROUND(L345*'Irish Basis'!$C$12*'Irish Basis'!$C$5,2)</f>
        <v/>
      </c>
      <c r="R345" s="11">
        <f>ROUND(SUM(N345:Q345),2)</f>
        <v/>
      </c>
      <c r="S345" s="5" t="inlineStr">
        <is>
          <t>Stated build-up</t>
        </is>
      </c>
      <c r="T345" s="12" t="inlineStr">
        <is>
          <t>High</t>
        </is>
      </c>
      <c r="U345" s="8" t="n">
        <v>106.28</v>
      </c>
      <c r="V345" s="13">
        <f>IF(U345="","",ROUND(M345-U345,2))</f>
        <v/>
      </c>
      <c r="W345" s="5" t="n"/>
      <c r="X345" s="5" t="inlineStr">
        <is>
          <t>Labour + plant + material as published; reconciles to the published rate.</t>
        </is>
      </c>
    </row>
    <row r="346" ht="13" customHeight="1">
      <c r="A346" s="4" t="n">
        <v>686</v>
      </c>
      <c r="B346" s="5" t="inlineStr">
        <is>
          <t>IMG_0075</t>
        </is>
      </c>
      <c r="C346" s="5" t="inlineStr">
        <is>
          <t>CLASS E: EARTHWORKS</t>
        </is>
      </c>
      <c r="D346" s="5" t="inlineStr">
        <is>
          <t>04 GENERAL EXCAVATION</t>
        </is>
      </c>
      <c r="E346" s="5" t="inlineStr">
        <is>
          <t>Excavate unreinforced concrete exposed at the commencing surface (continued)</t>
        </is>
      </c>
      <c r="F346" s="5" t="inlineStr">
        <is>
          <t>0.5-1.0 m maximum depth</t>
        </is>
      </c>
      <c r="G346" s="6" t="inlineStr">
        <is>
          <t>m3</t>
        </is>
      </c>
      <c r="H346" s="7" t="n">
        <v>0.67</v>
      </c>
      <c r="I346" s="8" t="n">
        <v>46.74</v>
      </c>
      <c r="J346" s="8" t="n">
        <v>71.95</v>
      </c>
      <c r="K346" s="8" t="n">
        <v>0</v>
      </c>
      <c r="L346" s="8" t="n">
        <v>0</v>
      </c>
      <c r="M346" s="9">
        <f>ROUND(SUM(I346:L346),2)</f>
        <v/>
      </c>
      <c r="N346" s="10">
        <f>ROUND(I346*'Irish Basis'!$C$6*'Irish Basis'!$C$5,2)</f>
        <v/>
      </c>
      <c r="O346" s="10">
        <f>ROUND(J346*'Irish Basis'!$C$7*'Irish Basis'!$C$5,2)</f>
        <v/>
      </c>
      <c r="P346" s="10">
        <f>ROUND(K346*'Irish Basis'!$C$8*'Irish Basis'!$C$5,2)</f>
        <v/>
      </c>
      <c r="Q346" s="10">
        <f>ROUND(L346*'Irish Basis'!$C$12*'Irish Basis'!$C$5,2)</f>
        <v/>
      </c>
      <c r="R346" s="11">
        <f>ROUND(SUM(N346:Q346),2)</f>
        <v/>
      </c>
      <c r="S346" s="5" t="inlineStr">
        <is>
          <t>Stated build-up</t>
        </is>
      </c>
      <c r="T346" s="12" t="inlineStr">
        <is>
          <t>High</t>
        </is>
      </c>
      <c r="U346" s="8" t="n">
        <v>118.69</v>
      </c>
      <c r="V346" s="13">
        <f>IF(U346="","",ROUND(M346-U346,2))</f>
        <v/>
      </c>
      <c r="W346" s="5" t="n"/>
      <c r="X346" s="5" t="inlineStr">
        <is>
          <t>Labour + plant + material as published; reconciles to the published rate.</t>
        </is>
      </c>
    </row>
    <row r="347" ht="13" customHeight="1">
      <c r="A347" s="4" t="n">
        <v>687</v>
      </c>
      <c r="B347" s="5" t="inlineStr">
        <is>
          <t>IMG_0075</t>
        </is>
      </c>
      <c r="C347" s="5" t="inlineStr">
        <is>
          <t>CLASS E: EARTHWORKS</t>
        </is>
      </c>
      <c r="D347" s="5" t="inlineStr">
        <is>
          <t>04 GENERAL EXCAVATION</t>
        </is>
      </c>
      <c r="E347" s="5" t="inlineStr">
        <is>
          <t>Excavate unreinforced concrete exposed at the commencing surface (continued)</t>
        </is>
      </c>
      <c r="F347" s="5" t="inlineStr">
        <is>
          <t>1.0-2.0 m maximum depth</t>
        </is>
      </c>
      <c r="G347" s="6" t="inlineStr">
        <is>
          <t>m3</t>
        </is>
      </c>
      <c r="H347" s="7" t="n">
        <v>0.7</v>
      </c>
      <c r="I347" s="8" t="n">
        <v>48.83</v>
      </c>
      <c r="J347" s="8" t="n">
        <v>75.11</v>
      </c>
      <c r="K347" s="8" t="n">
        <v>0</v>
      </c>
      <c r="L347" s="8" t="n">
        <v>0</v>
      </c>
      <c r="M347" s="9">
        <f>ROUND(SUM(I347:L347),2)</f>
        <v/>
      </c>
      <c r="N347" s="10">
        <f>ROUND(I347*'Irish Basis'!$C$6*'Irish Basis'!$C$5,2)</f>
        <v/>
      </c>
      <c r="O347" s="10">
        <f>ROUND(J347*'Irish Basis'!$C$7*'Irish Basis'!$C$5,2)</f>
        <v/>
      </c>
      <c r="P347" s="10">
        <f>ROUND(K347*'Irish Basis'!$C$8*'Irish Basis'!$C$5,2)</f>
        <v/>
      </c>
      <c r="Q347" s="10">
        <f>ROUND(L347*'Irish Basis'!$C$12*'Irish Basis'!$C$5,2)</f>
        <v/>
      </c>
      <c r="R347" s="11">
        <f>ROUND(SUM(N347:Q347),2)</f>
        <v/>
      </c>
      <c r="S347" s="5" t="inlineStr">
        <is>
          <t>Stated build-up</t>
        </is>
      </c>
      <c r="T347" s="12" t="inlineStr">
        <is>
          <t>High</t>
        </is>
      </c>
      <c r="U347" s="8" t="n">
        <v>123.94</v>
      </c>
      <c r="V347" s="13">
        <f>IF(U347="","",ROUND(M347-U347,2))</f>
        <v/>
      </c>
      <c r="W347" s="5" t="n"/>
      <c r="X347" s="5" t="inlineStr">
        <is>
          <t>Labour + plant + material as published; reconciles to the published rate.</t>
        </is>
      </c>
    </row>
    <row r="348" ht="13" customHeight="1">
      <c r="A348" s="4" t="n">
        <v>689</v>
      </c>
      <c r="B348" s="5" t="inlineStr">
        <is>
          <t>IMG_0075</t>
        </is>
      </c>
      <c r="C348" s="5" t="inlineStr">
        <is>
          <t>CLASS E: EARTHWORKS</t>
        </is>
      </c>
      <c r="D348" s="5" t="inlineStr">
        <is>
          <t>04 GENERAL EXCAVATION</t>
        </is>
      </c>
      <c r="E348" s="5" t="inlineStr">
        <is>
          <t>Excavate reinforced concrete exposed at the commencing surface</t>
        </is>
      </c>
      <c r="F348" s="5" t="inlineStr">
        <is>
          <t>ne 0.25 m maximum depth</t>
        </is>
      </c>
      <c r="G348" s="6" t="inlineStr">
        <is>
          <t>m3</t>
        </is>
      </c>
      <c r="H348" s="7" t="n">
        <v>0.9</v>
      </c>
      <c r="I348" s="8" t="n">
        <v>62.78</v>
      </c>
      <c r="J348" s="8" t="n">
        <v>96.64</v>
      </c>
      <c r="K348" s="8" t="n">
        <v>0</v>
      </c>
      <c r="L348" s="8" t="n">
        <v>0</v>
      </c>
      <c r="M348" s="9">
        <f>ROUND(SUM(I348:L348),2)</f>
        <v/>
      </c>
      <c r="N348" s="10">
        <f>ROUND(I348*'Irish Basis'!$C$6*'Irish Basis'!$C$5,2)</f>
        <v/>
      </c>
      <c r="O348" s="10">
        <f>ROUND(J348*'Irish Basis'!$C$7*'Irish Basis'!$C$5,2)</f>
        <v/>
      </c>
      <c r="P348" s="10">
        <f>ROUND(K348*'Irish Basis'!$C$8*'Irish Basis'!$C$5,2)</f>
        <v/>
      </c>
      <c r="Q348" s="10">
        <f>ROUND(L348*'Irish Basis'!$C$12*'Irish Basis'!$C$5,2)</f>
        <v/>
      </c>
      <c r="R348" s="11">
        <f>ROUND(SUM(N348:Q348),2)</f>
        <v/>
      </c>
      <c r="S348" s="5" t="inlineStr">
        <is>
          <t>Stated build-up</t>
        </is>
      </c>
      <c r="T348" s="12" t="inlineStr">
        <is>
          <t>High</t>
        </is>
      </c>
      <c r="U348" s="8" t="n">
        <v>159.42</v>
      </c>
      <c r="V348" s="13">
        <f>IF(U348="","",ROUND(M348-U348,2))</f>
        <v/>
      </c>
      <c r="W348" s="5" t="n"/>
      <c r="X348" s="5" t="inlineStr">
        <is>
          <t>Labour + plant + material as published; reconciles to the published rate.</t>
        </is>
      </c>
    </row>
    <row r="349" ht="13" customHeight="1">
      <c r="A349" s="4" t="n">
        <v>690</v>
      </c>
      <c r="B349" s="5" t="inlineStr">
        <is>
          <t>IMG_0075</t>
        </is>
      </c>
      <c r="C349" s="5" t="inlineStr">
        <is>
          <t>CLASS E: EARTHWORKS</t>
        </is>
      </c>
      <c r="D349" s="5" t="inlineStr">
        <is>
          <t>04 GENERAL EXCAVATION</t>
        </is>
      </c>
      <c r="E349" s="5" t="inlineStr">
        <is>
          <t>Excavate reinforced concrete exposed at the commencing surface</t>
        </is>
      </c>
      <c r="F349" s="5" t="inlineStr">
        <is>
          <t>0.25-0.5 m maximum depth</t>
        </is>
      </c>
      <c r="G349" s="6" t="inlineStr">
        <is>
          <t>m3</t>
        </is>
      </c>
      <c r="H349" s="7" t="n">
        <v>0.9</v>
      </c>
      <c r="I349" s="8" t="n">
        <v>62.78</v>
      </c>
      <c r="J349" s="8" t="n">
        <v>96.64</v>
      </c>
      <c r="K349" s="8" t="n">
        <v>0</v>
      </c>
      <c r="L349" s="8" t="n">
        <v>0</v>
      </c>
      <c r="M349" s="9">
        <f>ROUND(SUM(I349:L349),2)</f>
        <v/>
      </c>
      <c r="N349" s="10">
        <f>ROUND(I349*'Irish Basis'!$C$6*'Irish Basis'!$C$5,2)</f>
        <v/>
      </c>
      <c r="O349" s="10">
        <f>ROUND(J349*'Irish Basis'!$C$7*'Irish Basis'!$C$5,2)</f>
        <v/>
      </c>
      <c r="P349" s="10">
        <f>ROUND(K349*'Irish Basis'!$C$8*'Irish Basis'!$C$5,2)</f>
        <v/>
      </c>
      <c r="Q349" s="10">
        <f>ROUND(L349*'Irish Basis'!$C$12*'Irish Basis'!$C$5,2)</f>
        <v/>
      </c>
      <c r="R349" s="11">
        <f>ROUND(SUM(N349:Q349),2)</f>
        <v/>
      </c>
      <c r="S349" s="5" t="inlineStr">
        <is>
          <t>Stated build-up</t>
        </is>
      </c>
      <c r="T349" s="12" t="inlineStr">
        <is>
          <t>High</t>
        </is>
      </c>
      <c r="U349" s="8" t="n">
        <v>159.42</v>
      </c>
      <c r="V349" s="13">
        <f>IF(U349="","",ROUND(M349-U349,2))</f>
        <v/>
      </c>
      <c r="W349" s="5" t="n"/>
      <c r="X349" s="5" t="inlineStr">
        <is>
          <t>Labour + plant + material as published; reconciles to the published rate.</t>
        </is>
      </c>
    </row>
    <row r="350" ht="13" customHeight="1">
      <c r="A350" s="4" t="n">
        <v>691</v>
      </c>
      <c r="B350" s="5" t="inlineStr">
        <is>
          <t>IMG_0075</t>
        </is>
      </c>
      <c r="C350" s="5" t="inlineStr">
        <is>
          <t>CLASS E: EARTHWORKS</t>
        </is>
      </c>
      <c r="D350" s="5" t="inlineStr">
        <is>
          <t>04 GENERAL EXCAVATION</t>
        </is>
      </c>
      <c r="E350" s="5" t="inlineStr">
        <is>
          <t>Excavate reinforced concrete exposed at the commencing surface</t>
        </is>
      </c>
      <c r="F350" s="5" t="inlineStr">
        <is>
          <t>0.5-1.0 m maximum depth</t>
        </is>
      </c>
      <c r="G350" s="6" t="inlineStr">
        <is>
          <t>m3</t>
        </is>
      </c>
      <c r="H350" s="7" t="n">
        <v>0.95</v>
      </c>
      <c r="I350" s="8" t="n">
        <v>66.27</v>
      </c>
      <c r="J350" s="8" t="n">
        <v>101.99</v>
      </c>
      <c r="K350" s="8" t="n">
        <v>0</v>
      </c>
      <c r="L350" s="8" t="n">
        <v>0</v>
      </c>
      <c r="M350" s="9">
        <f>ROUND(SUM(I350:L350),2)</f>
        <v/>
      </c>
      <c r="N350" s="10">
        <f>ROUND(I350*'Irish Basis'!$C$6*'Irish Basis'!$C$5,2)</f>
        <v/>
      </c>
      <c r="O350" s="10">
        <f>ROUND(J350*'Irish Basis'!$C$7*'Irish Basis'!$C$5,2)</f>
        <v/>
      </c>
      <c r="P350" s="10">
        <f>ROUND(K350*'Irish Basis'!$C$8*'Irish Basis'!$C$5,2)</f>
        <v/>
      </c>
      <c r="Q350" s="10">
        <f>ROUND(L350*'Irish Basis'!$C$12*'Irish Basis'!$C$5,2)</f>
        <v/>
      </c>
      <c r="R350" s="11">
        <f>ROUND(SUM(N350:Q350),2)</f>
        <v/>
      </c>
      <c r="S350" s="5" t="inlineStr">
        <is>
          <t>Stated build-up</t>
        </is>
      </c>
      <c r="T350" s="12" t="inlineStr">
        <is>
          <t>High</t>
        </is>
      </c>
      <c r="U350" s="8" t="n">
        <v>168.26</v>
      </c>
      <c r="V350" s="13">
        <f>IF(U350="","",ROUND(M350-U350,2))</f>
        <v/>
      </c>
      <c r="W350" s="5" t="n"/>
      <c r="X350" s="5" t="inlineStr">
        <is>
          <t>Labour + plant + material as published; reconciles to the published rate.</t>
        </is>
      </c>
    </row>
    <row r="351" ht="13" customHeight="1">
      <c r="A351" s="4" t="n">
        <v>692</v>
      </c>
      <c r="B351" s="5" t="inlineStr">
        <is>
          <t>IMG_0075</t>
        </is>
      </c>
      <c r="C351" s="5" t="inlineStr">
        <is>
          <t>CLASS E: EARTHWORKS</t>
        </is>
      </c>
      <c r="D351" s="5" t="inlineStr">
        <is>
          <t>04 GENERAL EXCAVATION</t>
        </is>
      </c>
      <c r="E351" s="5" t="inlineStr">
        <is>
          <t>Excavate reinforced concrete exposed at the commencing surface</t>
        </is>
      </c>
      <c r="F351" s="5" t="inlineStr">
        <is>
          <t>1.0-2.0 m maximum depth</t>
        </is>
      </c>
      <c r="G351" s="6" t="inlineStr">
        <is>
          <t>m3</t>
        </is>
      </c>
      <c r="H351" s="7" t="n">
        <v>1.08</v>
      </c>
      <c r="I351" s="8" t="n">
        <v>75.34</v>
      </c>
      <c r="J351" s="8" t="n">
        <v>115.96</v>
      </c>
      <c r="K351" s="8" t="n">
        <v>0</v>
      </c>
      <c r="L351" s="8" t="n">
        <v>0</v>
      </c>
      <c r="M351" s="9">
        <f>ROUND(SUM(I351:L351),2)</f>
        <v/>
      </c>
      <c r="N351" s="10">
        <f>ROUND(I351*'Irish Basis'!$C$6*'Irish Basis'!$C$5,2)</f>
        <v/>
      </c>
      <c r="O351" s="10">
        <f>ROUND(J351*'Irish Basis'!$C$7*'Irish Basis'!$C$5,2)</f>
        <v/>
      </c>
      <c r="P351" s="10">
        <f>ROUND(K351*'Irish Basis'!$C$8*'Irish Basis'!$C$5,2)</f>
        <v/>
      </c>
      <c r="Q351" s="10">
        <f>ROUND(L351*'Irish Basis'!$C$12*'Irish Basis'!$C$5,2)</f>
        <v/>
      </c>
      <c r="R351" s="11">
        <f>ROUND(SUM(N351:Q351),2)</f>
        <v/>
      </c>
      <c r="S351" s="5" t="inlineStr">
        <is>
          <t>Stated build-up</t>
        </is>
      </c>
      <c r="T351" s="12" t="inlineStr">
        <is>
          <t>High</t>
        </is>
      </c>
      <c r="U351" s="8" t="n">
        <v>191.3</v>
      </c>
      <c r="V351" s="13">
        <f>IF(U351="","",ROUND(M351-U351,2))</f>
        <v/>
      </c>
      <c r="W351" s="5" t="n"/>
      <c r="X351" s="5" t="inlineStr">
        <is>
          <t>Labour + plant + material as published; reconciles to the published rate.</t>
        </is>
      </c>
    </row>
    <row r="352" ht="13" customHeight="1">
      <c r="A352" s="4" t="n">
        <v>694</v>
      </c>
      <c r="B352" s="5" t="inlineStr">
        <is>
          <t>IMG_0075</t>
        </is>
      </c>
      <c r="C352" s="5" t="inlineStr">
        <is>
          <t>CLASS E: EARTHWORKS</t>
        </is>
      </c>
      <c r="D352" s="5" t="inlineStr">
        <is>
          <t>04 GENERAL EXCAVATION</t>
        </is>
      </c>
      <c r="E352" s="5" t="inlineStr">
        <is>
          <t>Excavate unreinforced concrete not exposed at the commencing surface</t>
        </is>
      </c>
      <c r="F352" s="5" t="inlineStr">
        <is>
          <t>ne 0.25 m maximum depth</t>
        </is>
      </c>
      <c r="G352" s="6" t="inlineStr">
        <is>
          <t>m3</t>
        </is>
      </c>
      <c r="H352" s="7" t="n">
        <v>0.65</v>
      </c>
      <c r="I352" s="8" t="n">
        <v>45.34</v>
      </c>
      <c r="J352" s="8" t="n">
        <v>69.78</v>
      </c>
      <c r="K352" s="8" t="n">
        <v>0</v>
      </c>
      <c r="L352" s="8" t="n">
        <v>0</v>
      </c>
      <c r="M352" s="9">
        <f>ROUND(SUM(I352:L352),2)</f>
        <v/>
      </c>
      <c r="N352" s="10">
        <f>ROUND(I352*'Irish Basis'!$C$6*'Irish Basis'!$C$5,2)</f>
        <v/>
      </c>
      <c r="O352" s="10">
        <f>ROUND(J352*'Irish Basis'!$C$7*'Irish Basis'!$C$5,2)</f>
        <v/>
      </c>
      <c r="P352" s="10">
        <f>ROUND(K352*'Irish Basis'!$C$8*'Irish Basis'!$C$5,2)</f>
        <v/>
      </c>
      <c r="Q352" s="10">
        <f>ROUND(L352*'Irish Basis'!$C$12*'Irish Basis'!$C$5,2)</f>
        <v/>
      </c>
      <c r="R352" s="11">
        <f>ROUND(SUM(N352:Q352),2)</f>
        <v/>
      </c>
      <c r="S352" s="5" t="inlineStr">
        <is>
          <t>Stated build-up</t>
        </is>
      </c>
      <c r="T352" s="12" t="inlineStr">
        <is>
          <t>High</t>
        </is>
      </c>
      <c r="U352" s="8" t="n">
        <v>115.12</v>
      </c>
      <c r="V352" s="13">
        <f>IF(U352="","",ROUND(M352-U352,2))</f>
        <v/>
      </c>
      <c r="W352" s="5" t="n"/>
      <c r="X352" s="5" t="inlineStr">
        <is>
          <t>Labour + plant + material as published; reconciles to the published rate.</t>
        </is>
      </c>
    </row>
    <row r="353" ht="13" customHeight="1">
      <c r="A353" s="4" t="n">
        <v>695</v>
      </c>
      <c r="B353" s="5" t="inlineStr">
        <is>
          <t>IMG_0075</t>
        </is>
      </c>
      <c r="C353" s="5" t="inlineStr">
        <is>
          <t>CLASS E: EARTHWORKS</t>
        </is>
      </c>
      <c r="D353" s="5" t="inlineStr">
        <is>
          <t>04 GENERAL EXCAVATION</t>
        </is>
      </c>
      <c r="E353" s="5" t="inlineStr">
        <is>
          <t>Excavate unreinforced concrete not exposed at the commencing surface</t>
        </is>
      </c>
      <c r="F353" s="5" t="inlineStr">
        <is>
          <t>0.25-0.5 m maximum depth</t>
        </is>
      </c>
      <c r="G353" s="6" t="inlineStr">
        <is>
          <t>m3</t>
        </is>
      </c>
      <c r="H353" s="7" t="n">
        <v>0.67</v>
      </c>
      <c r="I353" s="8" t="n">
        <v>46.74</v>
      </c>
      <c r="J353" s="8" t="n">
        <v>71.95</v>
      </c>
      <c r="K353" s="8" t="n">
        <v>0</v>
      </c>
      <c r="L353" s="8" t="n">
        <v>0</v>
      </c>
      <c r="M353" s="9">
        <f>ROUND(SUM(I353:L353),2)</f>
        <v/>
      </c>
      <c r="N353" s="10">
        <f>ROUND(I353*'Irish Basis'!$C$6*'Irish Basis'!$C$5,2)</f>
        <v/>
      </c>
      <c r="O353" s="10">
        <f>ROUND(J353*'Irish Basis'!$C$7*'Irish Basis'!$C$5,2)</f>
        <v/>
      </c>
      <c r="P353" s="10">
        <f>ROUND(K353*'Irish Basis'!$C$8*'Irish Basis'!$C$5,2)</f>
        <v/>
      </c>
      <c r="Q353" s="10">
        <f>ROUND(L353*'Irish Basis'!$C$12*'Irish Basis'!$C$5,2)</f>
        <v/>
      </c>
      <c r="R353" s="11">
        <f>ROUND(SUM(N353:Q353),2)</f>
        <v/>
      </c>
      <c r="S353" s="5" t="inlineStr">
        <is>
          <t>Stated build-up</t>
        </is>
      </c>
      <c r="T353" s="12" t="inlineStr">
        <is>
          <t>High</t>
        </is>
      </c>
      <c r="U353" s="8" t="n">
        <v>118.69</v>
      </c>
      <c r="V353" s="13">
        <f>IF(U353="","",ROUND(M353-U353,2))</f>
        <v/>
      </c>
      <c r="W353" s="5" t="n"/>
      <c r="X353" s="5" t="inlineStr">
        <is>
          <t>Labour + plant + material as published; reconciles to the published rate.</t>
        </is>
      </c>
    </row>
    <row r="354" ht="13" customHeight="1">
      <c r="A354" s="4" t="n">
        <v>696</v>
      </c>
      <c r="B354" s="5" t="inlineStr">
        <is>
          <t>IMG_0075</t>
        </is>
      </c>
      <c r="C354" s="5" t="inlineStr">
        <is>
          <t>CLASS E: EARTHWORKS</t>
        </is>
      </c>
      <c r="D354" s="5" t="inlineStr">
        <is>
          <t>04 GENERAL EXCAVATION</t>
        </is>
      </c>
      <c r="E354" s="5" t="inlineStr">
        <is>
          <t>Excavate unreinforced concrete not exposed at the commencing surface</t>
        </is>
      </c>
      <c r="F354" s="5" t="inlineStr">
        <is>
          <t>0.5-1.0 m maximum depth</t>
        </is>
      </c>
      <c r="G354" s="6" t="inlineStr">
        <is>
          <t>m3</t>
        </is>
      </c>
      <c r="H354" s="7" t="n">
        <v>0.6899999999999999</v>
      </c>
      <c r="I354" s="8" t="n">
        <v>48.13</v>
      </c>
      <c r="J354" s="8" t="n">
        <v>74.15000000000001</v>
      </c>
      <c r="K354" s="8" t="n">
        <v>0</v>
      </c>
      <c r="L354" s="8" t="n">
        <v>0</v>
      </c>
      <c r="M354" s="9">
        <f>ROUND(SUM(I354:L354),2)</f>
        <v/>
      </c>
      <c r="N354" s="10">
        <f>ROUND(I354*'Irish Basis'!$C$6*'Irish Basis'!$C$5,2)</f>
        <v/>
      </c>
      <c r="O354" s="10">
        <f>ROUND(J354*'Irish Basis'!$C$7*'Irish Basis'!$C$5,2)</f>
        <v/>
      </c>
      <c r="P354" s="10">
        <f>ROUND(K354*'Irish Basis'!$C$8*'Irish Basis'!$C$5,2)</f>
        <v/>
      </c>
      <c r="Q354" s="10">
        <f>ROUND(L354*'Irish Basis'!$C$12*'Irish Basis'!$C$5,2)</f>
        <v/>
      </c>
      <c r="R354" s="11">
        <f>ROUND(SUM(N354:Q354),2)</f>
        <v/>
      </c>
      <c r="S354" s="5" t="inlineStr">
        <is>
          <t>Stated build-up</t>
        </is>
      </c>
      <c r="T354" s="12" t="inlineStr">
        <is>
          <t>High</t>
        </is>
      </c>
      <c r="U354" s="8" t="n">
        <v>122.28</v>
      </c>
      <c r="V354" s="13">
        <f>IF(U354="","",ROUND(M354-U354,2))</f>
        <v/>
      </c>
      <c r="W354" s="5" t="n"/>
      <c r="X354" s="5" t="inlineStr">
        <is>
          <t>Labour + plant + material as published; reconciles to the published rate.</t>
        </is>
      </c>
    </row>
    <row r="355" ht="13" customHeight="1">
      <c r="A355" s="4" t="n">
        <v>697</v>
      </c>
      <c r="B355" s="5" t="inlineStr">
        <is>
          <t>IMG_0075</t>
        </is>
      </c>
      <c r="C355" s="5" t="inlineStr">
        <is>
          <t>CLASS E: EARTHWORKS</t>
        </is>
      </c>
      <c r="D355" s="5" t="inlineStr">
        <is>
          <t>04 GENERAL EXCAVATION</t>
        </is>
      </c>
      <c r="E355" s="5" t="inlineStr">
        <is>
          <t>Excavate unreinforced concrete not exposed at the commencing surface</t>
        </is>
      </c>
      <c r="F355" s="5" t="inlineStr">
        <is>
          <t>1.0-2.0 m maximum depth</t>
        </is>
      </c>
      <c r="G355" s="6" t="inlineStr">
        <is>
          <t>m3</t>
        </is>
      </c>
      <c r="H355" s="7" t="n">
        <v>0.72</v>
      </c>
      <c r="I355" s="8" t="n">
        <v>50.23</v>
      </c>
      <c r="J355" s="8" t="n">
        <v>77.31</v>
      </c>
      <c r="K355" s="8" t="n">
        <v>0</v>
      </c>
      <c r="L355" s="8" t="n">
        <v>0</v>
      </c>
      <c r="M355" s="9">
        <f>ROUND(SUM(I355:L355),2)</f>
        <v/>
      </c>
      <c r="N355" s="10">
        <f>ROUND(I355*'Irish Basis'!$C$6*'Irish Basis'!$C$5,2)</f>
        <v/>
      </c>
      <c r="O355" s="10">
        <f>ROUND(J355*'Irish Basis'!$C$7*'Irish Basis'!$C$5,2)</f>
        <v/>
      </c>
      <c r="P355" s="10">
        <f>ROUND(K355*'Irish Basis'!$C$8*'Irish Basis'!$C$5,2)</f>
        <v/>
      </c>
      <c r="Q355" s="10">
        <f>ROUND(L355*'Irish Basis'!$C$12*'Irish Basis'!$C$5,2)</f>
        <v/>
      </c>
      <c r="R355" s="11">
        <f>ROUND(SUM(N355:Q355),2)</f>
        <v/>
      </c>
      <c r="S355" s="5" t="inlineStr">
        <is>
          <t>Stated build-up</t>
        </is>
      </c>
      <c r="T355" s="12" t="inlineStr">
        <is>
          <t>High</t>
        </is>
      </c>
      <c r="U355" s="8" t="n">
        <v>127.53</v>
      </c>
      <c r="V355" s="13">
        <f>IF(U355="","",ROUND(M355-U355,2))</f>
        <v/>
      </c>
      <c r="W355" s="5" t="n"/>
      <c r="X355" s="5" t="inlineStr">
        <is>
          <t>Labour + plant + material as published; reconciles to the published rate.</t>
        </is>
      </c>
    </row>
    <row r="356" ht="13" customHeight="1">
      <c r="A356" s="4" t="n">
        <v>704</v>
      </c>
      <c r="B356" s="5" t="inlineStr">
        <is>
          <t>IMG_0075</t>
        </is>
      </c>
      <c r="C356" s="5" t="inlineStr">
        <is>
          <t>CLASS E: EARTHWORKS</t>
        </is>
      </c>
      <c r="D356" s="5" t="inlineStr">
        <is>
          <t>EARTH MOVING</t>
        </is>
      </c>
      <c r="E356" s="5" t="inlineStr">
        <is>
          <t>Dragline (for excavations requiring a long reach and long discharge, mainly in clearing streams and rivers)</t>
        </is>
      </c>
      <c r="F356" s="5" t="inlineStr">
        <is>
          <t>bucket capacity ne 1.15 m3</t>
        </is>
      </c>
      <c r="G356" s="6" t="inlineStr">
        <is>
          <t>m3</t>
        </is>
      </c>
      <c r="H356" s="7" t="n">
        <v>0.06</v>
      </c>
      <c r="I356" s="8" t="n">
        <v>2.69</v>
      </c>
      <c r="J356" s="8" t="n">
        <v>7.14</v>
      </c>
      <c r="K356" s="8" t="n">
        <v>0</v>
      </c>
      <c r="L356" s="8" t="n">
        <v>0</v>
      </c>
      <c r="M356" s="9">
        <f>ROUND(SUM(I356:L356),2)</f>
        <v/>
      </c>
      <c r="N356" s="10">
        <f>ROUND(I356*'Irish Basis'!$C$6*'Irish Basis'!$C$5,2)</f>
        <v/>
      </c>
      <c r="O356" s="10">
        <f>ROUND(J356*'Irish Basis'!$C$7*'Irish Basis'!$C$5,2)</f>
        <v/>
      </c>
      <c r="P356" s="10">
        <f>ROUND(K356*'Irish Basis'!$C$8*'Irish Basis'!$C$5,2)</f>
        <v/>
      </c>
      <c r="Q356" s="10">
        <f>ROUND(L356*'Irish Basis'!$C$12*'Irish Basis'!$C$5,2)</f>
        <v/>
      </c>
      <c r="R356" s="11">
        <f>ROUND(SUM(N356:Q356),2)</f>
        <v/>
      </c>
      <c r="S356" s="5" t="inlineStr">
        <is>
          <t>Stated build-up</t>
        </is>
      </c>
      <c r="T356" s="12" t="inlineStr">
        <is>
          <t>High</t>
        </is>
      </c>
      <c r="U356" s="8" t="n">
        <v>9.83</v>
      </c>
      <c r="V356" s="13">
        <f>IF(U356="","",ROUND(M356-U356,2))</f>
        <v/>
      </c>
      <c r="W356" s="5" t="n"/>
      <c r="X356" s="5" t="inlineStr">
        <is>
          <t>Labour + plant + material as published; reconciles to the published rate.</t>
        </is>
      </c>
    </row>
    <row r="357" ht="13" customHeight="1">
      <c r="A357" s="4" t="n">
        <v>705</v>
      </c>
      <c r="B357" s="5" t="inlineStr">
        <is>
          <t>IMG_0075</t>
        </is>
      </c>
      <c r="C357" s="5" t="inlineStr">
        <is>
          <t>CLASS E: EARTHWORKS</t>
        </is>
      </c>
      <c r="D357" s="5" t="inlineStr">
        <is>
          <t>EARTH MOVING</t>
        </is>
      </c>
      <c r="E357" s="5" t="inlineStr">
        <is>
          <t>Dragline (for excavations requiring a long reach and long discharge, mainly in clearing streams and rivers)</t>
        </is>
      </c>
      <c r="F357" s="5" t="inlineStr">
        <is>
          <t>bucket capacity ne 2.00 m3</t>
        </is>
      </c>
      <c r="G357" s="6" t="inlineStr">
        <is>
          <t>m3</t>
        </is>
      </c>
      <c r="H357" s="7" t="n">
        <v>0.03</v>
      </c>
      <c r="I357" s="8" t="n">
        <v>1.35</v>
      </c>
      <c r="J357" s="8" t="n">
        <v>6.32</v>
      </c>
      <c r="K357" s="8" t="n">
        <v>0</v>
      </c>
      <c r="L357" s="8" t="n">
        <v>0</v>
      </c>
      <c r="M357" s="9">
        <f>ROUND(SUM(I357:L357),2)</f>
        <v/>
      </c>
      <c r="N357" s="10">
        <f>ROUND(I357*'Irish Basis'!$C$6*'Irish Basis'!$C$5,2)</f>
        <v/>
      </c>
      <c r="O357" s="10">
        <f>ROUND(J357*'Irish Basis'!$C$7*'Irish Basis'!$C$5,2)</f>
        <v/>
      </c>
      <c r="P357" s="10">
        <f>ROUND(K357*'Irish Basis'!$C$8*'Irish Basis'!$C$5,2)</f>
        <v/>
      </c>
      <c r="Q357" s="10">
        <f>ROUND(L357*'Irish Basis'!$C$12*'Irish Basis'!$C$5,2)</f>
        <v/>
      </c>
      <c r="R357" s="11">
        <f>ROUND(SUM(N357:Q357),2)</f>
        <v/>
      </c>
      <c r="S357" s="5" t="inlineStr">
        <is>
          <t>Stated build-up</t>
        </is>
      </c>
      <c r="T357" s="12" t="inlineStr">
        <is>
          <t>High</t>
        </is>
      </c>
      <c r="U357" s="8" t="n">
        <v>7.66</v>
      </c>
      <c r="V357" s="13">
        <f>IF(U357="","",ROUND(M357-U357,2))</f>
        <v/>
      </c>
      <c r="W357" s="5" t="n"/>
      <c r="X357" s="5" t="inlineStr">
        <is>
          <t>Labour + plant + material as published; reconciles to the published rate.</t>
        </is>
      </c>
    </row>
    <row r="358" ht="13" customHeight="1">
      <c r="A358" s="4" t="n">
        <v>706</v>
      </c>
      <c r="B358" s="5" t="inlineStr">
        <is>
          <t>IMG_0075</t>
        </is>
      </c>
      <c r="C358" s="5" t="inlineStr">
        <is>
          <t>CLASS E: EARTHWORKS</t>
        </is>
      </c>
      <c r="D358" s="5" t="inlineStr">
        <is>
          <t>EARTH MOVING</t>
        </is>
      </c>
      <c r="E358" s="5" t="inlineStr">
        <is>
          <t>Dragline (for excavations requiring a long reach and long discharge, mainly in clearing streams and rivers)</t>
        </is>
      </c>
      <c r="F358" s="5" t="inlineStr">
        <is>
          <t>bucket capacity ne 3.00 m3</t>
        </is>
      </c>
      <c r="G358" s="6" t="inlineStr">
        <is>
          <t>m3</t>
        </is>
      </c>
      <c r="H358" s="7" t="n">
        <v>0.02</v>
      </c>
      <c r="I358" s="8" t="n">
        <v>0.9</v>
      </c>
      <c r="J358" s="8" t="n">
        <v>5.72</v>
      </c>
      <c r="K358" s="8" t="n">
        <v>0</v>
      </c>
      <c r="L358" s="8" t="n">
        <v>0</v>
      </c>
      <c r="M358" s="9">
        <f>ROUND(SUM(I358:L358),2)</f>
        <v/>
      </c>
      <c r="N358" s="10">
        <f>ROUND(I358*'Irish Basis'!$C$6*'Irish Basis'!$C$5,2)</f>
        <v/>
      </c>
      <c r="O358" s="10">
        <f>ROUND(J358*'Irish Basis'!$C$7*'Irish Basis'!$C$5,2)</f>
        <v/>
      </c>
      <c r="P358" s="10">
        <f>ROUND(K358*'Irish Basis'!$C$8*'Irish Basis'!$C$5,2)</f>
        <v/>
      </c>
      <c r="Q358" s="10">
        <f>ROUND(L358*'Irish Basis'!$C$12*'Irish Basis'!$C$5,2)</f>
        <v/>
      </c>
      <c r="R358" s="11">
        <f>ROUND(SUM(N358:Q358),2)</f>
        <v/>
      </c>
      <c r="S358" s="5" t="inlineStr">
        <is>
          <t>Stated build-up</t>
        </is>
      </c>
      <c r="T358" s="12" t="inlineStr">
        <is>
          <t>High</t>
        </is>
      </c>
      <c r="U358" s="8" t="n">
        <v>6.62</v>
      </c>
      <c r="V358" s="13">
        <f>IF(U358="","",ROUND(M358-U358,2))</f>
        <v/>
      </c>
      <c r="W358" s="5" t="n"/>
      <c r="X358" s="5" t="inlineStr">
        <is>
          <t>Labour + plant + material as published; reconciles to the published rate.</t>
        </is>
      </c>
    </row>
    <row r="359" ht="13" customHeight="1">
      <c r="A359" s="4" t="n">
        <v>708</v>
      </c>
      <c r="B359" s="5" t="inlineStr">
        <is>
          <t>IMG_0075</t>
        </is>
      </c>
      <c r="C359" s="5" t="inlineStr">
        <is>
          <t>CLASS E: EARTHWORKS</t>
        </is>
      </c>
      <c r="D359" s="5" t="inlineStr">
        <is>
          <t>EARTH MOVING</t>
        </is>
      </c>
      <c r="E359" s="5" t="inlineStr">
        <is>
          <t>Hydraulic backacter (for all types of excavation and loading, including trenches, breaking hard ground, etc.)</t>
        </is>
      </c>
      <c r="F359" s="5" t="inlineStr">
        <is>
          <t>bucket capacity ne 0.40 m3</t>
        </is>
      </c>
      <c r="G359" s="6" t="inlineStr">
        <is>
          <t>m3</t>
        </is>
      </c>
      <c r="H359" s="7" t="n">
        <v>0.05</v>
      </c>
      <c r="I359" s="8" t="n">
        <v>2.24</v>
      </c>
      <c r="J359" s="8" t="n">
        <v>3.88</v>
      </c>
      <c r="K359" s="8" t="n">
        <v>0</v>
      </c>
      <c r="L359" s="8" t="n">
        <v>0</v>
      </c>
      <c r="M359" s="9">
        <f>ROUND(SUM(I359:L359),2)</f>
        <v/>
      </c>
      <c r="N359" s="10">
        <f>ROUND(I359*'Irish Basis'!$C$6*'Irish Basis'!$C$5,2)</f>
        <v/>
      </c>
      <c r="O359" s="10">
        <f>ROUND(J359*'Irish Basis'!$C$7*'Irish Basis'!$C$5,2)</f>
        <v/>
      </c>
      <c r="P359" s="10">
        <f>ROUND(K359*'Irish Basis'!$C$8*'Irish Basis'!$C$5,2)</f>
        <v/>
      </c>
      <c r="Q359" s="10">
        <f>ROUND(L359*'Irish Basis'!$C$12*'Irish Basis'!$C$5,2)</f>
        <v/>
      </c>
      <c r="R359" s="11">
        <f>ROUND(SUM(N359:Q359),2)</f>
        <v/>
      </c>
      <c r="S359" s="5" t="inlineStr">
        <is>
          <t>Stated build-up</t>
        </is>
      </c>
      <c r="T359" s="12" t="inlineStr">
        <is>
          <t>High</t>
        </is>
      </c>
      <c r="U359" s="8" t="n">
        <v>6.12</v>
      </c>
      <c r="V359" s="13">
        <f>IF(U359="","",ROUND(M359-U359,2))</f>
        <v/>
      </c>
      <c r="W359" s="5" t="n"/>
      <c r="X359" s="5" t="inlineStr">
        <is>
          <t>Labour + plant + material as published; reconciles to the published rate.</t>
        </is>
      </c>
    </row>
    <row r="360" ht="13" customHeight="1">
      <c r="A360" s="4" t="n">
        <v>709</v>
      </c>
      <c r="B360" s="5" t="inlineStr">
        <is>
          <t>IMG_0075</t>
        </is>
      </c>
      <c r="C360" s="5" t="inlineStr">
        <is>
          <t>CLASS E: EARTHWORKS</t>
        </is>
      </c>
      <c r="D360" s="5" t="inlineStr">
        <is>
          <t>EARTH MOVING</t>
        </is>
      </c>
      <c r="E360" s="5" t="inlineStr">
        <is>
          <t>Hydraulic backacter (for all types of excavation and loading, including trenches, breaking hard ground, etc.)</t>
        </is>
      </c>
      <c r="F360" s="5" t="inlineStr">
        <is>
          <t>bucket capacity ne 1.00 m3</t>
        </is>
      </c>
      <c r="G360" s="6" t="inlineStr">
        <is>
          <t>m3</t>
        </is>
      </c>
      <c r="H360" s="7" t="n">
        <v>0.02</v>
      </c>
      <c r="I360" s="8" t="n">
        <v>0.9</v>
      </c>
      <c r="J360" s="8" t="n">
        <v>2.34</v>
      </c>
      <c r="K360" s="8" t="n">
        <v>0</v>
      </c>
      <c r="L360" s="8" t="n">
        <v>0</v>
      </c>
      <c r="M360" s="9">
        <f>ROUND(SUM(I360:L360),2)</f>
        <v/>
      </c>
      <c r="N360" s="10">
        <f>ROUND(I360*'Irish Basis'!$C$6*'Irish Basis'!$C$5,2)</f>
        <v/>
      </c>
      <c r="O360" s="10">
        <f>ROUND(J360*'Irish Basis'!$C$7*'Irish Basis'!$C$5,2)</f>
        <v/>
      </c>
      <c r="P360" s="10">
        <f>ROUND(K360*'Irish Basis'!$C$8*'Irish Basis'!$C$5,2)</f>
        <v/>
      </c>
      <c r="Q360" s="10">
        <f>ROUND(L360*'Irish Basis'!$C$12*'Irish Basis'!$C$5,2)</f>
        <v/>
      </c>
      <c r="R360" s="11">
        <f>ROUND(SUM(N360:Q360),2)</f>
        <v/>
      </c>
      <c r="S360" s="5" t="inlineStr">
        <is>
          <t>Stated build-up</t>
        </is>
      </c>
      <c r="T360" s="12" t="inlineStr">
        <is>
          <t>High</t>
        </is>
      </c>
      <c r="U360" s="8" t="n">
        <v>3.24</v>
      </c>
      <c r="V360" s="13">
        <f>IF(U360="","",ROUND(M360-U360,2))</f>
        <v/>
      </c>
      <c r="W360" s="5" t="n"/>
      <c r="X360" s="5" t="inlineStr">
        <is>
          <t>Labour + plant + material as published; reconciles to the published rate.</t>
        </is>
      </c>
    </row>
    <row r="361" ht="13" customHeight="1">
      <c r="A361" s="4" t="n">
        <v>710</v>
      </c>
      <c r="B361" s="5" t="inlineStr">
        <is>
          <t>IMG_0075</t>
        </is>
      </c>
      <c r="C361" s="5" t="inlineStr">
        <is>
          <t>CLASS E: EARTHWORKS</t>
        </is>
      </c>
      <c r="D361" s="5" t="inlineStr">
        <is>
          <t>EARTH MOVING</t>
        </is>
      </c>
      <c r="E361" s="5" t="inlineStr">
        <is>
          <t>Hydraulic backacter (for all types of excavation and loading, including trenches, breaking hard ground, etc.)</t>
        </is>
      </c>
      <c r="F361" s="5" t="inlineStr">
        <is>
          <t>bucket capacity ne 1.60 m3</t>
        </is>
      </c>
      <c r="G361" s="6" t="inlineStr">
        <is>
          <t>m3</t>
        </is>
      </c>
      <c r="H361" s="7" t="n">
        <v>0.01</v>
      </c>
      <c r="I361" s="8" t="n">
        <v>0.45</v>
      </c>
      <c r="J361" s="8" t="n">
        <v>2.36</v>
      </c>
      <c r="K361" s="8" t="n">
        <v>0</v>
      </c>
      <c r="L361" s="8" t="n">
        <v>0</v>
      </c>
      <c r="M361" s="9">
        <f>ROUND(SUM(I361:L361),2)</f>
        <v/>
      </c>
      <c r="N361" s="10">
        <f>ROUND(I361*'Irish Basis'!$C$6*'Irish Basis'!$C$5,2)</f>
        <v/>
      </c>
      <c r="O361" s="10">
        <f>ROUND(J361*'Irish Basis'!$C$7*'Irish Basis'!$C$5,2)</f>
        <v/>
      </c>
      <c r="P361" s="10">
        <f>ROUND(K361*'Irish Basis'!$C$8*'Irish Basis'!$C$5,2)</f>
        <v/>
      </c>
      <c r="Q361" s="10">
        <f>ROUND(L361*'Irish Basis'!$C$12*'Irish Basis'!$C$5,2)</f>
        <v/>
      </c>
      <c r="R361" s="11">
        <f>ROUND(SUM(N361:Q361),2)</f>
        <v/>
      </c>
      <c r="S361" s="5" t="inlineStr">
        <is>
          <t>Stated build-up</t>
        </is>
      </c>
      <c r="T361" s="12" t="inlineStr">
        <is>
          <t>High</t>
        </is>
      </c>
      <c r="U361" s="8" t="n">
        <v>2.81</v>
      </c>
      <c r="V361" s="13">
        <f>IF(U361="","",ROUND(M361-U361,2))</f>
        <v/>
      </c>
      <c r="W361" s="5" t="n"/>
      <c r="X361" s="5" t="inlineStr">
        <is>
          <t>Labour + plant + material as published; reconciles to the published rate.</t>
        </is>
      </c>
    </row>
    <row r="362" ht="13" customHeight="1">
      <c r="A362" s="4" t="n">
        <v>712</v>
      </c>
      <c r="B362" s="5" t="inlineStr">
        <is>
          <t>IMG_0075</t>
        </is>
      </c>
      <c r="C362" s="5" t="inlineStr">
        <is>
          <t>CLASS E: EARTHWORKS</t>
        </is>
      </c>
      <c r="D362" s="5" t="inlineStr">
        <is>
          <t>EARTH MOVING</t>
        </is>
      </c>
      <c r="E362" s="5" t="inlineStr">
        <is>
          <t>Hydraulic face shovel (predominantly for excavating cuttings and embankments over 2 m high requiring high output)</t>
        </is>
      </c>
      <c r="F362" s="5" t="inlineStr">
        <is>
          <t>bucket capacity ne 1.50 m3</t>
        </is>
      </c>
      <c r="G362" s="6" t="inlineStr">
        <is>
          <t>m3</t>
        </is>
      </c>
      <c r="H362" s="7" t="n">
        <v>0.04</v>
      </c>
      <c r="I362" s="8" t="n">
        <v>1.8</v>
      </c>
      <c r="J362" s="8" t="n">
        <v>6.63</v>
      </c>
      <c r="K362" s="8" t="n">
        <v>0</v>
      </c>
      <c r="L362" s="8" t="n">
        <v>0</v>
      </c>
      <c r="M362" s="9">
        <f>ROUND(SUM(I362:L362),2)</f>
        <v/>
      </c>
      <c r="N362" s="10">
        <f>ROUND(I362*'Irish Basis'!$C$6*'Irish Basis'!$C$5,2)</f>
        <v/>
      </c>
      <c r="O362" s="10">
        <f>ROUND(J362*'Irish Basis'!$C$7*'Irish Basis'!$C$5,2)</f>
        <v/>
      </c>
      <c r="P362" s="10">
        <f>ROUND(K362*'Irish Basis'!$C$8*'Irish Basis'!$C$5,2)</f>
        <v/>
      </c>
      <c r="Q362" s="10">
        <f>ROUND(L362*'Irish Basis'!$C$12*'Irish Basis'!$C$5,2)</f>
        <v/>
      </c>
      <c r="R362" s="11">
        <f>ROUND(SUM(N362:Q362),2)</f>
        <v/>
      </c>
      <c r="S362" s="5" t="inlineStr">
        <is>
          <t>Stated build-up</t>
        </is>
      </c>
      <c r="T362" s="12" t="inlineStr">
        <is>
          <t>High</t>
        </is>
      </c>
      <c r="U362" s="8" t="n">
        <v>8.42</v>
      </c>
      <c r="V362" s="13">
        <f>IF(U362="","",ROUND(M362-U362,2))</f>
        <v/>
      </c>
      <c r="W362" s="5" t="n"/>
      <c r="X362" s="5" t="inlineStr">
        <is>
          <t>Labour + plant + material as published; reconciles to the published rate.</t>
        </is>
      </c>
    </row>
    <row r="363" ht="13" customHeight="1">
      <c r="A363" s="4" t="n">
        <v>713</v>
      </c>
      <c r="B363" s="5" t="inlineStr">
        <is>
          <t>IMG_0075</t>
        </is>
      </c>
      <c r="C363" s="5" t="inlineStr">
        <is>
          <t>CLASS E: EARTHWORKS</t>
        </is>
      </c>
      <c r="D363" s="5" t="inlineStr">
        <is>
          <t>EARTH MOVING</t>
        </is>
      </c>
      <c r="E363" s="5" t="inlineStr">
        <is>
          <t>Hydraulic face shovel (predominantly for excavating cuttings and embankments over 2 m high requiring high output)</t>
        </is>
      </c>
      <c r="F363" s="5" t="inlineStr">
        <is>
          <t>bucket capacity ne 2.60 m3</t>
        </is>
      </c>
      <c r="G363" s="6" t="inlineStr">
        <is>
          <t>m3</t>
        </is>
      </c>
      <c r="H363" s="7" t="n">
        <v>0.02</v>
      </c>
      <c r="I363" s="8" t="n">
        <v>0.9</v>
      </c>
      <c r="J363" s="8" t="n">
        <v>4.51</v>
      </c>
      <c r="K363" s="8" t="n">
        <v>0</v>
      </c>
      <c r="L363" s="8" t="n">
        <v>0</v>
      </c>
      <c r="M363" s="9">
        <f>ROUND(SUM(I363:L363),2)</f>
        <v/>
      </c>
      <c r="N363" s="10">
        <f>ROUND(I363*'Irish Basis'!$C$6*'Irish Basis'!$C$5,2)</f>
        <v/>
      </c>
      <c r="O363" s="10">
        <f>ROUND(J363*'Irish Basis'!$C$7*'Irish Basis'!$C$5,2)</f>
        <v/>
      </c>
      <c r="P363" s="10">
        <f>ROUND(K363*'Irish Basis'!$C$8*'Irish Basis'!$C$5,2)</f>
        <v/>
      </c>
      <c r="Q363" s="10">
        <f>ROUND(L363*'Irish Basis'!$C$12*'Irish Basis'!$C$5,2)</f>
        <v/>
      </c>
      <c r="R363" s="11">
        <f>ROUND(SUM(N363:Q363),2)</f>
        <v/>
      </c>
      <c r="S363" s="5" t="inlineStr">
        <is>
          <t>Stated build-up</t>
        </is>
      </c>
      <c r="T363" s="12" t="inlineStr">
        <is>
          <t>High</t>
        </is>
      </c>
      <c r="U363" s="8" t="n">
        <v>5.41</v>
      </c>
      <c r="V363" s="13">
        <f>IF(U363="","",ROUND(M363-U363,2))</f>
        <v/>
      </c>
      <c r="W363" s="5" t="n"/>
      <c r="X363" s="5" t="inlineStr">
        <is>
          <t>Labour + plant + material as published; reconciles to the published rate.</t>
        </is>
      </c>
    </row>
    <row r="364" ht="13" customHeight="1">
      <c r="A364" s="4" t="n">
        <v>714</v>
      </c>
      <c r="B364" s="5" t="inlineStr">
        <is>
          <t>IMG_0075</t>
        </is>
      </c>
      <c r="C364" s="5" t="inlineStr">
        <is>
          <t>CLASS E: EARTHWORKS</t>
        </is>
      </c>
      <c r="D364" s="5" t="inlineStr">
        <is>
          <t>EARTH MOVING</t>
        </is>
      </c>
      <c r="E364" s="5" t="inlineStr">
        <is>
          <t>Hydraulic face shovel (predominantly for excavating cuttings and embankments over 2 m high requiring high output)</t>
        </is>
      </c>
      <c r="F364" s="5" t="inlineStr">
        <is>
          <t>bucket capacity ne 3.40 m3</t>
        </is>
      </c>
      <c r="G364" s="6" t="inlineStr">
        <is>
          <t>m3</t>
        </is>
      </c>
      <c r="H364" s="7" t="n">
        <v>0.01</v>
      </c>
      <c r="I364" s="8" t="n">
        <v>0.45</v>
      </c>
      <c r="J364" s="8" t="n">
        <v>3.25</v>
      </c>
      <c r="K364" s="8" t="n">
        <v>0</v>
      </c>
      <c r="L364" s="8" t="n">
        <v>0</v>
      </c>
      <c r="M364" s="9">
        <f>ROUND(SUM(I364:L364),2)</f>
        <v/>
      </c>
      <c r="N364" s="10">
        <f>ROUND(I364*'Irish Basis'!$C$6*'Irish Basis'!$C$5,2)</f>
        <v/>
      </c>
      <c r="O364" s="10">
        <f>ROUND(J364*'Irish Basis'!$C$7*'Irish Basis'!$C$5,2)</f>
        <v/>
      </c>
      <c r="P364" s="10">
        <f>ROUND(K364*'Irish Basis'!$C$8*'Irish Basis'!$C$5,2)</f>
        <v/>
      </c>
      <c r="Q364" s="10">
        <f>ROUND(L364*'Irish Basis'!$C$12*'Irish Basis'!$C$5,2)</f>
        <v/>
      </c>
      <c r="R364" s="11">
        <f>ROUND(SUM(N364:Q364),2)</f>
        <v/>
      </c>
      <c r="S364" s="5" t="inlineStr">
        <is>
          <t>Stated build-up</t>
        </is>
      </c>
      <c r="T364" s="12" t="inlineStr">
        <is>
          <t>High</t>
        </is>
      </c>
      <c r="U364" s="8" t="n">
        <v>3.7</v>
      </c>
      <c r="V364" s="13">
        <f>IF(U364="","",ROUND(M364-U364,2))</f>
        <v/>
      </c>
      <c r="W364" s="5" t="n"/>
      <c r="X364" s="5" t="inlineStr">
        <is>
          <t>Labour + plant + material as published; reconciles to the published rate.</t>
        </is>
      </c>
    </row>
    <row r="365" ht="13" customHeight="1">
      <c r="A365" s="4" t="n">
        <v>715</v>
      </c>
      <c r="B365" s="5" t="inlineStr">
        <is>
          <t>IMG_0075</t>
        </is>
      </c>
      <c r="C365" s="5" t="inlineStr">
        <is>
          <t>CLASS E: EARTHWORKS</t>
        </is>
      </c>
      <c r="D365" s="5" t="inlineStr">
        <is>
          <t>EARTH MOVING</t>
        </is>
      </c>
      <c r="E365" s="5" t="inlineStr">
        <is>
          <t>Hydraulic face shovel (predominantly for excavating cuttings and embankments over 2 m high requiring high output)</t>
        </is>
      </c>
      <c r="F365" s="5" t="inlineStr">
        <is>
          <t>bucket capacity ne 3.40 m3</t>
        </is>
      </c>
      <c r="G365" s="6" t="inlineStr">
        <is>
          <t>m3</t>
        </is>
      </c>
      <c r="H365" s="7" t="n">
        <v>0.01</v>
      </c>
      <c r="I365" s="8" t="n">
        <v>0.45</v>
      </c>
      <c r="J365" s="8" t="n">
        <v>3.25</v>
      </c>
      <c r="K365" s="8" t="n">
        <v>0</v>
      </c>
      <c r="L365" s="8" t="n">
        <v>0</v>
      </c>
      <c r="M365" s="9">
        <f>ROUND(SUM(I365:L365),2)</f>
        <v/>
      </c>
      <c r="N365" s="10">
        <f>ROUND(I365*'Irish Basis'!$C$6*'Irish Basis'!$C$5,2)</f>
        <v/>
      </c>
      <c r="O365" s="10">
        <f>ROUND(J365*'Irish Basis'!$C$7*'Irish Basis'!$C$5,2)</f>
        <v/>
      </c>
      <c r="P365" s="10">
        <f>ROUND(K365*'Irish Basis'!$C$8*'Irish Basis'!$C$5,2)</f>
        <v/>
      </c>
      <c r="Q365" s="10">
        <f>ROUND(L365*'Irish Basis'!$C$12*'Irish Basis'!$C$5,2)</f>
        <v/>
      </c>
      <c r="R365" s="11">
        <f>ROUND(SUM(N365:Q365),2)</f>
        <v/>
      </c>
      <c r="S365" s="5" t="inlineStr">
        <is>
          <t>Stated build-up</t>
        </is>
      </c>
      <c r="T365" s="12" t="inlineStr">
        <is>
          <t>High</t>
        </is>
      </c>
      <c r="U365" s="8" t="n">
        <v>3.7</v>
      </c>
      <c r="V365" s="13">
        <f>IF(U365="","",ROUND(M365-U365,2))</f>
        <v/>
      </c>
      <c r="W365" s="5" t="n"/>
      <c r="X365" s="5" t="inlineStr">
        <is>
          <t>Labour + plant + material as published; reconciles to the published rate.</t>
        </is>
      </c>
    </row>
    <row r="366" ht="13" customHeight="1">
      <c r="A366" s="4" t="n">
        <v>717</v>
      </c>
      <c r="B366" s="5" t="inlineStr">
        <is>
          <t>IMG_0075</t>
        </is>
      </c>
      <c r="C366" s="5" t="inlineStr">
        <is>
          <t>CLASS E: EARTHWORKS</t>
        </is>
      </c>
      <c r="D366" s="5" t="inlineStr">
        <is>
          <t>EARTH MOVING</t>
        </is>
      </c>
      <c r="E366" s="5" t="inlineStr">
        <is>
          <t>Tractor loader (for loading, carrying, placing materials, spreading and levelling, some site clearance operations and reducing levels)</t>
        </is>
      </c>
      <c r="F366" s="5" t="inlineStr">
        <is>
          <t>bucket capacity ne 0.80 m3</t>
        </is>
      </c>
      <c r="G366" s="6" t="inlineStr">
        <is>
          <t>m3</t>
        </is>
      </c>
      <c r="H366" s="7" t="n">
        <v>0.02</v>
      </c>
      <c r="I366" s="8" t="n">
        <v>0.9</v>
      </c>
      <c r="J366" s="8" t="n">
        <v>1.57</v>
      </c>
      <c r="K366" s="8" t="n">
        <v>0</v>
      </c>
      <c r="L366" s="8" t="n">
        <v>0</v>
      </c>
      <c r="M366" s="9">
        <f>ROUND(SUM(I366:L366),2)</f>
        <v/>
      </c>
      <c r="N366" s="10">
        <f>ROUND(I366*'Irish Basis'!$C$6*'Irish Basis'!$C$5,2)</f>
        <v/>
      </c>
      <c r="O366" s="10">
        <f>ROUND(J366*'Irish Basis'!$C$7*'Irish Basis'!$C$5,2)</f>
        <v/>
      </c>
      <c r="P366" s="10">
        <f>ROUND(K366*'Irish Basis'!$C$8*'Irish Basis'!$C$5,2)</f>
        <v/>
      </c>
      <c r="Q366" s="10">
        <f>ROUND(L366*'Irish Basis'!$C$12*'Irish Basis'!$C$5,2)</f>
        <v/>
      </c>
      <c r="R366" s="11">
        <f>ROUND(SUM(N366:Q366),2)</f>
        <v/>
      </c>
      <c r="S366" s="5" t="inlineStr">
        <is>
          <t>Stated build-up</t>
        </is>
      </c>
      <c r="T366" s="12" t="inlineStr">
        <is>
          <t>High</t>
        </is>
      </c>
      <c r="U366" s="8" t="n">
        <v>2.46</v>
      </c>
      <c r="V366" s="13">
        <f>IF(U366="","",ROUND(M366-U366,2))</f>
        <v/>
      </c>
      <c r="W366" s="5" t="n"/>
      <c r="X366" s="5" t="inlineStr">
        <is>
          <t>Labour + plant + material as published; reconciles to the published rate.</t>
        </is>
      </c>
    </row>
    <row r="367" ht="13" customHeight="1">
      <c r="A367" s="4" t="n">
        <v>718</v>
      </c>
      <c r="B367" s="5" t="inlineStr">
        <is>
          <t>IMG_0075</t>
        </is>
      </c>
      <c r="C367" s="5" t="inlineStr">
        <is>
          <t>CLASS E: EARTHWORKS</t>
        </is>
      </c>
      <c r="D367" s="5" t="inlineStr">
        <is>
          <t>EARTH MOVING</t>
        </is>
      </c>
      <c r="E367" s="5" t="inlineStr">
        <is>
          <t>Tractor loader (for loading, carrying, placing materials, spreading and levelling, some site clearance operations and reducing levels)</t>
        </is>
      </c>
      <c r="F367" s="5" t="inlineStr">
        <is>
          <t>bucket capacity ne 1.50 m3</t>
        </is>
      </c>
      <c r="G367" s="6" t="inlineStr">
        <is>
          <t>m3</t>
        </is>
      </c>
      <c r="H367" s="7" t="n">
        <v>0.01</v>
      </c>
      <c r="I367" s="8" t="n">
        <v>0.45</v>
      </c>
      <c r="J367" s="8" t="n">
        <v>1.32</v>
      </c>
      <c r="K367" s="8" t="n">
        <v>0</v>
      </c>
      <c r="L367" s="8" t="n">
        <v>0</v>
      </c>
      <c r="M367" s="9">
        <f>ROUND(SUM(I367:L367),2)</f>
        <v/>
      </c>
      <c r="N367" s="10">
        <f>ROUND(I367*'Irish Basis'!$C$6*'Irish Basis'!$C$5,2)</f>
        <v/>
      </c>
      <c r="O367" s="10">
        <f>ROUND(J367*'Irish Basis'!$C$7*'Irish Basis'!$C$5,2)</f>
        <v/>
      </c>
      <c r="P367" s="10">
        <f>ROUND(K367*'Irish Basis'!$C$8*'Irish Basis'!$C$5,2)</f>
        <v/>
      </c>
      <c r="Q367" s="10">
        <f>ROUND(L367*'Irish Basis'!$C$12*'Irish Basis'!$C$5,2)</f>
        <v/>
      </c>
      <c r="R367" s="11">
        <f>ROUND(SUM(N367:Q367),2)</f>
        <v/>
      </c>
      <c r="S367" s="5" t="inlineStr">
        <is>
          <t>Stated build-up</t>
        </is>
      </c>
      <c r="T367" s="12" t="inlineStr">
        <is>
          <t>High</t>
        </is>
      </c>
      <c r="U367" s="8" t="n">
        <v>1.77</v>
      </c>
      <c r="V367" s="13">
        <f>IF(U367="","",ROUND(M367-U367,2))</f>
        <v/>
      </c>
      <c r="W367" s="5" t="n"/>
      <c r="X367" s="5" t="inlineStr">
        <is>
          <t>Labour + plant + material as published; reconciles to the published rate.</t>
        </is>
      </c>
    </row>
    <row r="368" ht="13" customHeight="1">
      <c r="A368" s="4" t="n">
        <v>719</v>
      </c>
      <c r="B368" s="5" t="inlineStr">
        <is>
          <t>IMG_0075</t>
        </is>
      </c>
      <c r="C368" s="5" t="inlineStr">
        <is>
          <t>CLASS E: EARTHWORKS</t>
        </is>
      </c>
      <c r="D368" s="5" t="inlineStr">
        <is>
          <t>EARTH MOVING</t>
        </is>
      </c>
      <c r="E368" s="5" t="inlineStr">
        <is>
          <t>Tractor loader (for loading, carrying, placing materials, spreading and levelling, some site clearance operations and reducing levels)</t>
        </is>
      </c>
      <c r="F368" s="5" t="inlineStr">
        <is>
          <t>bucket capacity ne 3.00 m3</t>
        </is>
      </c>
      <c r="G368" s="6" t="inlineStr">
        <is>
          <t>m3</t>
        </is>
      </c>
      <c r="H368" s="7" t="n">
        <v>0.01</v>
      </c>
      <c r="I368" s="8" t="n">
        <v>0.31</v>
      </c>
      <c r="J368" s="8" t="n">
        <v>1.8</v>
      </c>
      <c r="K368" s="8" t="n">
        <v>0</v>
      </c>
      <c r="L368" s="8" t="n">
        <v>0</v>
      </c>
      <c r="M368" s="9">
        <f>ROUND(SUM(I368:L368),2)</f>
        <v/>
      </c>
      <c r="N368" s="10">
        <f>ROUND(I368*'Irish Basis'!$C$6*'Irish Basis'!$C$5,2)</f>
        <v/>
      </c>
      <c r="O368" s="10">
        <f>ROUND(J368*'Irish Basis'!$C$7*'Irish Basis'!$C$5,2)</f>
        <v/>
      </c>
      <c r="P368" s="10">
        <f>ROUND(K368*'Irish Basis'!$C$8*'Irish Basis'!$C$5,2)</f>
        <v/>
      </c>
      <c r="Q368" s="10">
        <f>ROUND(L368*'Irish Basis'!$C$12*'Irish Basis'!$C$5,2)</f>
        <v/>
      </c>
      <c r="R368" s="11">
        <f>ROUND(SUM(N368:Q368),2)</f>
        <v/>
      </c>
      <c r="S368" s="5" t="inlineStr">
        <is>
          <t>Stated build-up</t>
        </is>
      </c>
      <c r="T368" s="12" t="inlineStr">
        <is>
          <t>High</t>
        </is>
      </c>
      <c r="U368" s="8" t="n">
        <v>2.12</v>
      </c>
      <c r="V368" s="13">
        <f>IF(U368="","",ROUND(M368-U368,2))</f>
        <v/>
      </c>
      <c r="W368" s="5" t="n"/>
      <c r="X368" s="5" t="inlineStr">
        <is>
          <t>Labour + plant + material as published; reconciles to the published rate.</t>
        </is>
      </c>
    </row>
    <row r="369" ht="13" customHeight="1">
      <c r="A369" s="4" t="n">
        <v>721</v>
      </c>
      <c r="B369" s="5" t="inlineStr">
        <is>
          <t>IMG_0075</t>
        </is>
      </c>
      <c r="C369" s="5" t="inlineStr">
        <is>
          <t>CLASS E: EARTHWORKS</t>
        </is>
      </c>
      <c r="D369" s="5" t="inlineStr">
        <is>
          <t>EARTH MOVING</t>
        </is>
      </c>
      <c r="E369" s="5" t="inlineStr">
        <is>
          <t>Multipurpose wheeled loader/backhoe (versatile machine for small to medium excavations, trenches, loading, carrying and back filling)</t>
        </is>
      </c>
      <c r="F369" s="5" t="inlineStr">
        <is>
          <t>bucket capacity ne 0.76 m3</t>
        </is>
      </c>
      <c r="G369" s="6" t="inlineStr">
        <is>
          <t>m3</t>
        </is>
      </c>
      <c r="H369" s="7" t="n">
        <v>0.08</v>
      </c>
      <c r="I369" s="8" t="n">
        <v>3.59</v>
      </c>
      <c r="J369" s="8" t="n">
        <v>3.89</v>
      </c>
      <c r="K369" s="8" t="n">
        <v>0</v>
      </c>
      <c r="L369" s="8" t="n">
        <v>0</v>
      </c>
      <c r="M369" s="9">
        <f>ROUND(SUM(I369:L369),2)</f>
        <v/>
      </c>
      <c r="N369" s="10">
        <f>ROUND(I369*'Irish Basis'!$C$6*'Irish Basis'!$C$5,2)</f>
        <v/>
      </c>
      <c r="O369" s="10">
        <f>ROUND(J369*'Irish Basis'!$C$7*'Irish Basis'!$C$5,2)</f>
        <v/>
      </c>
      <c r="P369" s="10">
        <f>ROUND(K369*'Irish Basis'!$C$8*'Irish Basis'!$C$5,2)</f>
        <v/>
      </c>
      <c r="Q369" s="10">
        <f>ROUND(L369*'Irish Basis'!$C$12*'Irish Basis'!$C$5,2)</f>
        <v/>
      </c>
      <c r="R369" s="11">
        <f>ROUND(SUM(N369:Q369),2)</f>
        <v/>
      </c>
      <c r="S369" s="5" t="inlineStr">
        <is>
          <t>Stated build-up</t>
        </is>
      </c>
      <c r="T369" s="12" t="inlineStr">
        <is>
          <t>High</t>
        </is>
      </c>
      <c r="U369" s="8" t="n">
        <v>7.48</v>
      </c>
      <c r="V369" s="13">
        <f>IF(U369="","",ROUND(M369-U369,2))</f>
        <v/>
      </c>
      <c r="W369" s="5" t="n"/>
      <c r="X369" s="5" t="inlineStr">
        <is>
          <t>Labour + plant + material as published; reconciles to the published rate.</t>
        </is>
      </c>
    </row>
    <row r="370" ht="13" customHeight="1">
      <c r="A370" s="4" t="n">
        <v>722</v>
      </c>
      <c r="B370" s="5" t="inlineStr">
        <is>
          <t>IMG_0075</t>
        </is>
      </c>
      <c r="C370" s="5" t="inlineStr">
        <is>
          <t>CLASS E: EARTHWORKS</t>
        </is>
      </c>
      <c r="D370" s="5" t="inlineStr">
        <is>
          <t>EARTH MOVING</t>
        </is>
      </c>
      <c r="E370" s="5" t="inlineStr">
        <is>
          <t>Multipurpose wheeled loader/backhoe (versatile machine for small to medium excavations, trenches, loading, carrying and back filling)</t>
        </is>
      </c>
      <c r="F370" s="5" t="inlineStr">
        <is>
          <t>bucket capacity ne 1.00 m3</t>
        </is>
      </c>
      <c r="G370" s="6" t="inlineStr">
        <is>
          <t>m3</t>
        </is>
      </c>
      <c r="H370" s="7" t="n">
        <v>0.06</v>
      </c>
      <c r="I370" s="8" t="n">
        <v>2.69</v>
      </c>
      <c r="J370" s="8" t="n">
        <v>3.88</v>
      </c>
      <c r="K370" s="8" t="n">
        <v>0</v>
      </c>
      <c r="L370" s="8" t="n">
        <v>0</v>
      </c>
      <c r="M370" s="9">
        <f>ROUND(SUM(I370:L370),2)</f>
        <v/>
      </c>
      <c r="N370" s="10">
        <f>ROUND(I370*'Irish Basis'!$C$6*'Irish Basis'!$C$5,2)</f>
        <v/>
      </c>
      <c r="O370" s="10">
        <f>ROUND(J370*'Irish Basis'!$C$7*'Irish Basis'!$C$5,2)</f>
        <v/>
      </c>
      <c r="P370" s="10">
        <f>ROUND(K370*'Irish Basis'!$C$8*'Irish Basis'!$C$5,2)</f>
        <v/>
      </c>
      <c r="Q370" s="10">
        <f>ROUND(L370*'Irish Basis'!$C$12*'Irish Basis'!$C$5,2)</f>
        <v/>
      </c>
      <c r="R370" s="11">
        <f>ROUND(SUM(N370:Q370),2)</f>
        <v/>
      </c>
      <c r="S370" s="5" t="inlineStr">
        <is>
          <t>Stated build-up</t>
        </is>
      </c>
      <c r="T370" s="12" t="inlineStr">
        <is>
          <t>High</t>
        </is>
      </c>
      <c r="U370" s="8" t="n">
        <v>6.57</v>
      </c>
      <c r="V370" s="13">
        <f>IF(U370="","",ROUND(M370-U370,2))</f>
        <v/>
      </c>
      <c r="W370" s="5" t="n"/>
      <c r="X370" s="5" t="inlineStr">
        <is>
          <t>Labour + plant + material as published; reconciles to the published rate.</t>
        </is>
      </c>
    </row>
    <row r="371" ht="13" customHeight="1">
      <c r="A371" s="4" t="n">
        <v>726</v>
      </c>
      <c r="B371" s="5" t="inlineStr">
        <is>
          <t>IMG_0075</t>
        </is>
      </c>
      <c r="C371" s="5" t="inlineStr">
        <is>
          <t>CLASS E: EARTHWORKS</t>
        </is>
      </c>
      <c r="D371" s="5" t="inlineStr">
        <is>
          <t>EARTH MOVING</t>
        </is>
      </c>
      <c r="E371" s="5" t="inlineStr">
        <is>
          <t>Loading loose material into transport by wheeled loader</t>
        </is>
      </c>
      <c r="F371" s="5" t="inlineStr">
        <is>
          <t>ne 2.1 m3 capacity</t>
        </is>
      </c>
      <c r="G371" s="6" t="inlineStr">
        <is>
          <t>m3</t>
        </is>
      </c>
      <c r="H371" s="7" t="n">
        <v>0.02</v>
      </c>
      <c r="I371" s="8" t="n">
        <v>0.9</v>
      </c>
      <c r="J371" s="8" t="n">
        <v>2.14</v>
      </c>
      <c r="K371" s="8" t="n">
        <v>0</v>
      </c>
      <c r="L371" s="8" t="n">
        <v>0</v>
      </c>
      <c r="M371" s="9">
        <f>ROUND(SUM(I371:L371),2)</f>
        <v/>
      </c>
      <c r="N371" s="10">
        <f>ROUND(I371*'Irish Basis'!$C$6*'Irish Basis'!$C$5,2)</f>
        <v/>
      </c>
      <c r="O371" s="10">
        <f>ROUND(J371*'Irish Basis'!$C$7*'Irish Basis'!$C$5,2)</f>
        <v/>
      </c>
      <c r="P371" s="10">
        <f>ROUND(K371*'Irish Basis'!$C$8*'Irish Basis'!$C$5,2)</f>
        <v/>
      </c>
      <c r="Q371" s="10">
        <f>ROUND(L371*'Irish Basis'!$C$12*'Irish Basis'!$C$5,2)</f>
        <v/>
      </c>
      <c r="R371" s="11">
        <f>ROUND(SUM(N371:Q371),2)</f>
        <v/>
      </c>
      <c r="S371" s="5" t="inlineStr">
        <is>
          <t>Stated build-up</t>
        </is>
      </c>
      <c r="T371" s="12" t="inlineStr">
        <is>
          <t>High</t>
        </is>
      </c>
      <c r="U371" s="8" t="n">
        <v>3.04</v>
      </c>
      <c r="V371" s="13">
        <f>IF(U371="","",ROUND(M371-U371,2))</f>
        <v/>
      </c>
      <c r="W371" s="5" t="n"/>
      <c r="X371" s="5" t="inlineStr">
        <is>
          <t>Labour + plant + material as published; reconciles to the published rate.</t>
        </is>
      </c>
    </row>
    <row r="372" ht="13" customHeight="1">
      <c r="A372" s="4" t="n">
        <v>727</v>
      </c>
      <c r="B372" s="5" t="inlineStr">
        <is>
          <t>IMG_0075</t>
        </is>
      </c>
      <c r="C372" s="5" t="inlineStr">
        <is>
          <t>CLASS E: EARTHWORKS</t>
        </is>
      </c>
      <c r="D372" s="5" t="inlineStr">
        <is>
          <t>EARTH MOVING</t>
        </is>
      </c>
      <c r="E372" s="5" t="inlineStr">
        <is>
          <t>Loading loose material into transport by wheeled loader</t>
        </is>
      </c>
      <c r="F372" s="5" t="inlineStr">
        <is>
          <t>ne 5.4 m3 capacity</t>
        </is>
      </c>
      <c r="G372" s="6" t="inlineStr">
        <is>
          <t>m3</t>
        </is>
      </c>
      <c r="H372" s="7" t="n">
        <v>0.01</v>
      </c>
      <c r="I372" s="8" t="n">
        <v>0.45</v>
      </c>
      <c r="J372" s="8" t="n">
        <v>3.2</v>
      </c>
      <c r="K372" s="8" t="n">
        <v>0</v>
      </c>
      <c r="L372" s="8" t="n">
        <v>0</v>
      </c>
      <c r="M372" s="9">
        <f>ROUND(SUM(I372:L372),2)</f>
        <v/>
      </c>
      <c r="N372" s="10">
        <f>ROUND(I372*'Irish Basis'!$C$6*'Irish Basis'!$C$5,2)</f>
        <v/>
      </c>
      <c r="O372" s="10">
        <f>ROUND(J372*'Irish Basis'!$C$7*'Irish Basis'!$C$5,2)</f>
        <v/>
      </c>
      <c r="P372" s="10">
        <f>ROUND(K372*'Irish Basis'!$C$8*'Irish Basis'!$C$5,2)</f>
        <v/>
      </c>
      <c r="Q372" s="10">
        <f>ROUND(L372*'Irish Basis'!$C$12*'Irish Basis'!$C$5,2)</f>
        <v/>
      </c>
      <c r="R372" s="11">
        <f>ROUND(SUM(N372:Q372),2)</f>
        <v/>
      </c>
      <c r="S372" s="5" t="inlineStr">
        <is>
          <t>Stated build-up</t>
        </is>
      </c>
      <c r="T372" s="12" t="inlineStr">
        <is>
          <t>High</t>
        </is>
      </c>
      <c r="U372" s="8" t="n">
        <v>3.65</v>
      </c>
      <c r="V372" s="13">
        <f>IF(U372="","",ROUND(M372-U372,2))</f>
        <v/>
      </c>
      <c r="W372" s="5" t="n"/>
      <c r="X372" s="5" t="inlineStr">
        <is>
          <t>Labour + plant + material as published; reconciles to the published rate.</t>
        </is>
      </c>
    </row>
    <row r="373" ht="13" customHeight="1">
      <c r="A373" s="4" t="n">
        <v>728</v>
      </c>
      <c r="B373" s="5" t="inlineStr">
        <is>
          <t>IMG_0075</t>
        </is>
      </c>
      <c r="C373" s="5" t="inlineStr">
        <is>
          <t>CLASS E: EARTHWORKS</t>
        </is>
      </c>
      <c r="D373" s="5" t="inlineStr">
        <is>
          <t>EARTH MOVING</t>
        </is>
      </c>
      <c r="E373" s="5" t="inlineStr">
        <is>
          <t>Loading loose material into transport by wheeled loader</t>
        </is>
      </c>
      <c r="F373" s="5" t="inlineStr">
        <is>
          <t>ne 10.5 m3 capacity</t>
        </is>
      </c>
      <c r="G373" s="6" t="inlineStr">
        <is>
          <t>m3</t>
        </is>
      </c>
      <c r="H373" s="7" t="n">
        <v>0.01</v>
      </c>
      <c r="I373" s="8" t="n">
        <v>0.31</v>
      </c>
      <c r="J373" s="8" t="n">
        <v>2.93</v>
      </c>
      <c r="K373" s="8" t="n">
        <v>0</v>
      </c>
      <c r="L373" s="8" t="n">
        <v>0</v>
      </c>
      <c r="M373" s="9">
        <f>ROUND(SUM(I373:L373),2)</f>
        <v/>
      </c>
      <c r="N373" s="10">
        <f>ROUND(I373*'Irish Basis'!$C$6*'Irish Basis'!$C$5,2)</f>
        <v/>
      </c>
      <c r="O373" s="10">
        <f>ROUND(J373*'Irish Basis'!$C$7*'Irish Basis'!$C$5,2)</f>
        <v/>
      </c>
      <c r="P373" s="10">
        <f>ROUND(K373*'Irish Basis'!$C$8*'Irish Basis'!$C$5,2)</f>
        <v/>
      </c>
      <c r="Q373" s="10">
        <f>ROUND(L373*'Irish Basis'!$C$12*'Irish Basis'!$C$5,2)</f>
        <v/>
      </c>
      <c r="R373" s="11">
        <f>ROUND(SUM(N373:Q373),2)</f>
        <v/>
      </c>
      <c r="S373" s="5" t="inlineStr">
        <is>
          <t>Stated build-up</t>
        </is>
      </c>
      <c r="T373" s="12" t="inlineStr">
        <is>
          <t>High</t>
        </is>
      </c>
      <c r="U373" s="8" t="n">
        <v>3.25</v>
      </c>
      <c r="V373" s="13">
        <f>IF(U373="","",ROUND(M373-U373,2))</f>
        <v/>
      </c>
      <c r="W373" s="5" t="n"/>
      <c r="X373" s="5" t="inlineStr">
        <is>
          <t>Labour + plant + material as published; reconciles to the published rate.</t>
        </is>
      </c>
    </row>
    <row r="374" ht="13" customHeight="1">
      <c r="A374" s="4" t="n">
        <v>730</v>
      </c>
      <c r="B374" s="5" t="inlineStr">
        <is>
          <t>IMG_0075</t>
        </is>
      </c>
      <c r="C374" s="5" t="inlineStr">
        <is>
          <t>CLASS E: EARTHWORKS</t>
        </is>
      </c>
      <c r="D374" s="5" t="inlineStr">
        <is>
          <t>EARTH MOVING</t>
        </is>
      </c>
      <c r="E374" s="5" t="inlineStr">
        <is>
          <t>Transport material within site by dump truck (rear dump)</t>
        </is>
      </c>
      <c r="F374" s="5" t="inlineStr">
        <is>
          <t>ne 24 m3 heaped capacity, distance travelled ne 0.5 Km</t>
        </is>
      </c>
      <c r="G374" s="6" t="inlineStr">
        <is>
          <t>m3</t>
        </is>
      </c>
      <c r="H374" s="7" t="n">
        <v>0.03</v>
      </c>
      <c r="I374" s="8" t="n">
        <v>1.35</v>
      </c>
      <c r="J374" s="8" t="n">
        <v>6.34</v>
      </c>
      <c r="K374" s="8" t="n">
        <v>0</v>
      </c>
      <c r="L374" s="8" t="n">
        <v>0</v>
      </c>
      <c r="M374" s="9">
        <f>ROUND(SUM(I374:L374),2)</f>
        <v/>
      </c>
      <c r="N374" s="10">
        <f>ROUND(I374*'Irish Basis'!$C$6*'Irish Basis'!$C$5,2)</f>
        <v/>
      </c>
      <c r="O374" s="10">
        <f>ROUND(J374*'Irish Basis'!$C$7*'Irish Basis'!$C$5,2)</f>
        <v/>
      </c>
      <c r="P374" s="10">
        <f>ROUND(K374*'Irish Basis'!$C$8*'Irish Basis'!$C$5,2)</f>
        <v/>
      </c>
      <c r="Q374" s="10">
        <f>ROUND(L374*'Irish Basis'!$C$12*'Irish Basis'!$C$5,2)</f>
        <v/>
      </c>
      <c r="R374" s="11">
        <f>ROUND(SUM(N374:Q374),2)</f>
        <v/>
      </c>
      <c r="S374" s="5" t="inlineStr">
        <is>
          <t>Stated build-up</t>
        </is>
      </c>
      <c r="T374" s="12" t="inlineStr">
        <is>
          <t>High</t>
        </is>
      </c>
      <c r="U374" s="8" t="n">
        <v>7.69</v>
      </c>
      <c r="V374" s="13">
        <f>IF(U374="","",ROUND(M374-U374,2))</f>
        <v/>
      </c>
      <c r="W374" s="5" t="n"/>
      <c r="X374" s="5" t="inlineStr">
        <is>
          <t>Labour + plant + material as published; reconciles to the published rate.</t>
        </is>
      </c>
    </row>
    <row r="375" ht="13" customHeight="1">
      <c r="A375" s="4" t="n">
        <v>731</v>
      </c>
      <c r="B375" s="5" t="inlineStr">
        <is>
          <t>IMG_0075</t>
        </is>
      </c>
      <c r="C375" s="5" t="inlineStr">
        <is>
          <t>CLASS E: EARTHWORKS</t>
        </is>
      </c>
      <c r="D375" s="5" t="inlineStr">
        <is>
          <t>EARTH MOVING</t>
        </is>
      </c>
      <c r="E375" s="5" t="inlineStr">
        <is>
          <t>Transport material within site by dump truck (rear dump)</t>
        </is>
      </c>
      <c r="F375" s="5" t="inlineStr">
        <is>
          <t>add per 0.5 Km additional distance</t>
        </is>
      </c>
      <c r="G375" s="6" t="inlineStr">
        <is>
          <t>m3/0.5 Km</t>
        </is>
      </c>
      <c r="H375" s="7" t="n">
        <v>0.01</v>
      </c>
      <c r="I375" s="8" t="n">
        <v>0.45</v>
      </c>
      <c r="J375" s="8" t="n">
        <v>2.11</v>
      </c>
      <c r="K375" s="8" t="n">
        <v>0</v>
      </c>
      <c r="L375" s="8" t="n">
        <v>0</v>
      </c>
      <c r="M375" s="9">
        <f>ROUND(SUM(I375:L375),2)</f>
        <v/>
      </c>
      <c r="N375" s="10">
        <f>ROUND(I375*'Irish Basis'!$C$6*'Irish Basis'!$C$5,2)</f>
        <v/>
      </c>
      <c r="O375" s="10">
        <f>ROUND(J375*'Irish Basis'!$C$7*'Irish Basis'!$C$5,2)</f>
        <v/>
      </c>
      <c r="P375" s="10">
        <f>ROUND(K375*'Irish Basis'!$C$8*'Irish Basis'!$C$5,2)</f>
        <v/>
      </c>
      <c r="Q375" s="10">
        <f>ROUND(L375*'Irish Basis'!$C$12*'Irish Basis'!$C$5,2)</f>
        <v/>
      </c>
      <c r="R375" s="11">
        <f>ROUND(SUM(N375:Q375),2)</f>
        <v/>
      </c>
      <c r="S375" s="5" t="inlineStr">
        <is>
          <t>Stated build-up</t>
        </is>
      </c>
      <c r="T375" s="12" t="inlineStr">
        <is>
          <t>High</t>
        </is>
      </c>
      <c r="U375" s="8" t="n">
        <v>2.56</v>
      </c>
      <c r="V375" s="13">
        <f>IF(U375="","",ROUND(M375-U375,2))</f>
        <v/>
      </c>
      <c r="W375" s="5" t="n"/>
      <c r="X375" s="5" t="inlineStr">
        <is>
          <t>Labour + plant + material as published; reconciles to the published rate.</t>
        </is>
      </c>
    </row>
    <row r="376" ht="13" customHeight="1">
      <c r="A376" s="4" t="n">
        <v>732</v>
      </c>
      <c r="B376" s="5" t="inlineStr">
        <is>
          <t>IMG_0075</t>
        </is>
      </c>
      <c r="C376" s="5" t="inlineStr">
        <is>
          <t>CLASS E: EARTHWORKS</t>
        </is>
      </c>
      <c r="D376" s="5" t="inlineStr">
        <is>
          <t>EARTH MOVING</t>
        </is>
      </c>
      <c r="E376" s="5" t="inlineStr">
        <is>
          <t>Transport material within site by dump truck (rear dump)</t>
        </is>
      </c>
      <c r="F376" s="5" t="inlineStr">
        <is>
          <t>ne 57 m3 heaped capacity, distance travelled ne 0.5 Km</t>
        </is>
      </c>
      <c r="G376" s="6" t="inlineStr">
        <is>
          <t>m3</t>
        </is>
      </c>
      <c r="H376" s="7" t="n">
        <v>0.03</v>
      </c>
      <c r="I376" s="8" t="n">
        <v>1.59</v>
      </c>
      <c r="J376" s="8" t="n">
        <v>7.4</v>
      </c>
      <c r="K376" s="8" t="n">
        <v>0</v>
      </c>
      <c r="L376" s="8" t="n">
        <v>0</v>
      </c>
      <c r="M376" s="9">
        <f>ROUND(SUM(I376:L376),2)</f>
        <v/>
      </c>
      <c r="N376" s="10">
        <f>ROUND(I376*'Irish Basis'!$C$6*'Irish Basis'!$C$5,2)</f>
        <v/>
      </c>
      <c r="O376" s="10">
        <f>ROUND(J376*'Irish Basis'!$C$7*'Irish Basis'!$C$5,2)</f>
        <v/>
      </c>
      <c r="P376" s="10">
        <f>ROUND(K376*'Irish Basis'!$C$8*'Irish Basis'!$C$5,2)</f>
        <v/>
      </c>
      <c r="Q376" s="10">
        <f>ROUND(L376*'Irish Basis'!$C$12*'Irish Basis'!$C$5,2)</f>
        <v/>
      </c>
      <c r="R376" s="11">
        <f>ROUND(SUM(N376:Q376),2)</f>
        <v/>
      </c>
      <c r="S376" s="5" t="inlineStr">
        <is>
          <t>Stated build-up</t>
        </is>
      </c>
      <c r="T376" s="12" t="inlineStr">
        <is>
          <t>High</t>
        </is>
      </c>
      <c r="U376" s="8" t="n">
        <v>8.99</v>
      </c>
      <c r="V376" s="13">
        <f>IF(U376="","",ROUND(M376-U376,2))</f>
        <v/>
      </c>
      <c r="W376" s="5" t="n"/>
      <c r="X376" s="5" t="inlineStr">
        <is>
          <t>Labour + plant + material as published; reconciles to the published rate.</t>
        </is>
      </c>
    </row>
    <row r="377" ht="13" customHeight="1">
      <c r="A377" s="4" t="n">
        <v>733</v>
      </c>
      <c r="B377" s="5" t="inlineStr">
        <is>
          <t>IMG_0075</t>
        </is>
      </c>
      <c r="C377" s="5" t="inlineStr">
        <is>
          <t>CLASS E: EARTHWORKS</t>
        </is>
      </c>
      <c r="D377" s="5" t="inlineStr">
        <is>
          <t>EARTH MOVING</t>
        </is>
      </c>
      <c r="E377" s="5" t="inlineStr">
        <is>
          <t>Transport material within site by dump truck (rear dump)</t>
        </is>
      </c>
      <c r="F377" s="5" t="inlineStr">
        <is>
          <t>add per 0.5 Km additional distance</t>
        </is>
      </c>
      <c r="G377" s="6" t="inlineStr">
        <is>
          <t>m3/0.5 Km</t>
        </is>
      </c>
      <c r="H377" s="7" t="n">
        <v>0.03</v>
      </c>
      <c r="I377" s="8" t="n">
        <v>1.59</v>
      </c>
      <c r="J377" s="8" t="n">
        <v>3.7</v>
      </c>
      <c r="K377" s="8" t="n">
        <v>0</v>
      </c>
      <c r="L377" s="8" t="n">
        <v>0</v>
      </c>
      <c r="M377" s="9">
        <f>ROUND(SUM(I377:L377),2)</f>
        <v/>
      </c>
      <c r="N377" s="10">
        <f>ROUND(I377*'Irish Basis'!$C$6*'Irish Basis'!$C$5,2)</f>
        <v/>
      </c>
      <c r="O377" s="10">
        <f>ROUND(J377*'Irish Basis'!$C$7*'Irish Basis'!$C$5,2)</f>
        <v/>
      </c>
      <c r="P377" s="10">
        <f>ROUND(K377*'Irish Basis'!$C$8*'Irish Basis'!$C$5,2)</f>
        <v/>
      </c>
      <c r="Q377" s="10">
        <f>ROUND(L377*'Irish Basis'!$C$12*'Irish Basis'!$C$5,2)</f>
        <v/>
      </c>
      <c r="R377" s="11">
        <f>ROUND(SUM(N377:Q377),2)</f>
        <v/>
      </c>
      <c r="S377" s="5" t="inlineStr">
        <is>
          <t>Stated build-up</t>
        </is>
      </c>
      <c r="T377" s="12" t="inlineStr">
        <is>
          <t>High</t>
        </is>
      </c>
      <c r="U377" s="8" t="n">
        <v>5.29</v>
      </c>
      <c r="V377" s="13">
        <f>IF(U377="","",ROUND(M377-U377,2))</f>
        <v/>
      </c>
      <c r="W377" s="5" t="n"/>
      <c r="X377" s="5" t="inlineStr">
        <is>
          <t>Labour + plant + material as published; reconciles to the published rate.</t>
        </is>
      </c>
    </row>
    <row r="378" ht="13" customHeight="1">
      <c r="A378" s="4" t="n">
        <v>735</v>
      </c>
      <c r="B378" s="5" t="inlineStr">
        <is>
          <t>IMG_0075</t>
        </is>
      </c>
      <c r="C378" s="5" t="inlineStr">
        <is>
          <t>CLASS E: EARTHWORKS</t>
        </is>
      </c>
      <c r="D378" s="5" t="inlineStr">
        <is>
          <t>EARTH MOVING</t>
        </is>
      </c>
      <c r="E378" s="5" t="inlineStr">
        <is>
          <t>Transport material within site by dump truck (articulated)</t>
        </is>
      </c>
      <c r="F378" s="5" t="inlineStr">
        <is>
          <t>ne 32 t payload, distance travelled ne 0.5 Km</t>
        </is>
      </c>
      <c r="G378" s="6" t="inlineStr">
        <is>
          <t>m3</t>
        </is>
      </c>
      <c r="H378" s="7" t="n">
        <v>0.04</v>
      </c>
      <c r="I378" s="8" t="n">
        <v>2.12</v>
      </c>
      <c r="J378" s="8" t="n">
        <v>5.85</v>
      </c>
      <c r="K378" s="8" t="n">
        <v>0</v>
      </c>
      <c r="L378" s="8" t="n">
        <v>0</v>
      </c>
      <c r="M378" s="9">
        <f>ROUND(SUM(I378:L378),2)</f>
        <v/>
      </c>
      <c r="N378" s="10">
        <f>ROUND(I378*'Irish Basis'!$C$6*'Irish Basis'!$C$5,2)</f>
        <v/>
      </c>
      <c r="O378" s="10">
        <f>ROUND(J378*'Irish Basis'!$C$7*'Irish Basis'!$C$5,2)</f>
        <v/>
      </c>
      <c r="P378" s="10">
        <f>ROUND(K378*'Irish Basis'!$C$8*'Irish Basis'!$C$5,2)</f>
        <v/>
      </c>
      <c r="Q378" s="10">
        <f>ROUND(L378*'Irish Basis'!$C$12*'Irish Basis'!$C$5,2)</f>
        <v/>
      </c>
      <c r="R378" s="11">
        <f>ROUND(SUM(N378:Q378),2)</f>
        <v/>
      </c>
      <c r="S378" s="5" t="inlineStr">
        <is>
          <t>Stated build-up</t>
        </is>
      </c>
      <c r="T378" s="12" t="inlineStr">
        <is>
          <t>High</t>
        </is>
      </c>
      <c r="U378" s="8" t="n">
        <v>7.97</v>
      </c>
      <c r="V378" s="13">
        <f>IF(U378="","",ROUND(M378-U378,2))</f>
        <v/>
      </c>
      <c r="W378" s="5" t="n"/>
      <c r="X378" s="5" t="inlineStr">
        <is>
          <t>Labour + plant + material as published; reconciles to the published rate.</t>
        </is>
      </c>
    </row>
    <row r="379" ht="13" customHeight="1">
      <c r="A379" s="4" t="n">
        <v>736</v>
      </c>
      <c r="B379" s="5" t="inlineStr">
        <is>
          <t>IMG_0075</t>
        </is>
      </c>
      <c r="C379" s="5" t="inlineStr">
        <is>
          <t>CLASS E: EARTHWORKS</t>
        </is>
      </c>
      <c r="D379" s="5" t="inlineStr">
        <is>
          <t>EARTH MOVING</t>
        </is>
      </c>
      <c r="E379" s="5" t="inlineStr">
        <is>
          <t>Transport material within site by dump truck (articulated)</t>
        </is>
      </c>
      <c r="F379" s="5" t="inlineStr">
        <is>
          <t>add per 0.5 Km additional distance</t>
        </is>
      </c>
      <c r="G379" s="6" t="inlineStr">
        <is>
          <t>m3/0.5 Km</t>
        </is>
      </c>
      <c r="H379" s="7" t="n">
        <v>0.02</v>
      </c>
      <c r="I379" s="8" t="n">
        <v>1.06</v>
      </c>
      <c r="J379" s="8" t="n">
        <v>2.92</v>
      </c>
      <c r="K379" s="8" t="n">
        <v>0</v>
      </c>
      <c r="L379" s="8" t="n">
        <v>0</v>
      </c>
      <c r="M379" s="9">
        <f>ROUND(SUM(I379:L379),2)</f>
        <v/>
      </c>
      <c r="N379" s="10">
        <f>ROUND(I379*'Irish Basis'!$C$6*'Irish Basis'!$C$5,2)</f>
        <v/>
      </c>
      <c r="O379" s="10">
        <f>ROUND(J379*'Irish Basis'!$C$7*'Irish Basis'!$C$5,2)</f>
        <v/>
      </c>
      <c r="P379" s="10">
        <f>ROUND(K379*'Irish Basis'!$C$8*'Irish Basis'!$C$5,2)</f>
        <v/>
      </c>
      <c r="Q379" s="10">
        <f>ROUND(L379*'Irish Basis'!$C$12*'Irish Basis'!$C$5,2)</f>
        <v/>
      </c>
      <c r="R379" s="11">
        <f>ROUND(SUM(N379:Q379),2)</f>
        <v/>
      </c>
      <c r="S379" s="5" t="inlineStr">
        <is>
          <t>Stated build-up</t>
        </is>
      </c>
      <c r="T379" s="12" t="inlineStr">
        <is>
          <t>High</t>
        </is>
      </c>
      <c r="U379" s="8" t="n">
        <v>3.98</v>
      </c>
      <c r="V379" s="13">
        <f>IF(U379="","",ROUND(M379-U379,2))</f>
        <v/>
      </c>
      <c r="W379" s="5" t="n"/>
      <c r="X379" s="5" t="inlineStr">
        <is>
          <t>Labour + plant + material as published; reconciles to the published rate.</t>
        </is>
      </c>
    </row>
    <row r="380" ht="13" customHeight="1">
      <c r="A380" s="4" t="n">
        <v>738</v>
      </c>
      <c r="B380" s="5" t="inlineStr">
        <is>
          <t>IMG_0075</t>
        </is>
      </c>
      <c r="C380" s="5" t="inlineStr">
        <is>
          <t>CLASS E: EARTHWORKS</t>
        </is>
      </c>
      <c r="D380" s="5" t="inlineStr">
        <is>
          <t>EARTH MOVING</t>
        </is>
      </c>
      <c r="E380" s="5" t="inlineStr">
        <is>
          <t>Transport material within or off site by tipping lorry</t>
        </is>
      </c>
      <c r="F380" s="5" t="inlineStr">
        <is>
          <t>ne 10 t payload, distance travelled ne 1 Km</t>
        </is>
      </c>
      <c r="G380" s="6" t="inlineStr">
        <is>
          <t>m3</t>
        </is>
      </c>
      <c r="H380" s="7" t="n">
        <v>0.05</v>
      </c>
      <c r="I380" s="8" t="n">
        <v>1.95</v>
      </c>
      <c r="J380" s="8" t="n">
        <v>4.66</v>
      </c>
      <c r="K380" s="8" t="n">
        <v>0</v>
      </c>
      <c r="L380" s="8" t="n">
        <v>0</v>
      </c>
      <c r="M380" s="9">
        <f>ROUND(SUM(I380:L380),2)</f>
        <v/>
      </c>
      <c r="N380" s="10">
        <f>ROUND(I380*'Irish Basis'!$C$6*'Irish Basis'!$C$5,2)</f>
        <v/>
      </c>
      <c r="O380" s="10">
        <f>ROUND(J380*'Irish Basis'!$C$7*'Irish Basis'!$C$5,2)</f>
        <v/>
      </c>
      <c r="P380" s="10">
        <f>ROUND(K380*'Irish Basis'!$C$8*'Irish Basis'!$C$5,2)</f>
        <v/>
      </c>
      <c r="Q380" s="10">
        <f>ROUND(L380*'Irish Basis'!$C$12*'Irish Basis'!$C$5,2)</f>
        <v/>
      </c>
      <c r="R380" s="11">
        <f>ROUND(SUM(N380:Q380),2)</f>
        <v/>
      </c>
      <c r="S380" s="5" t="inlineStr">
        <is>
          <t>Stated build-up</t>
        </is>
      </c>
      <c r="T380" s="12" t="inlineStr">
        <is>
          <t>High</t>
        </is>
      </c>
      <c r="U380" s="8" t="n">
        <v>6.61</v>
      </c>
      <c r="V380" s="13">
        <f>IF(U380="","",ROUND(M380-U380,2))</f>
        <v/>
      </c>
      <c r="W380" s="5" t="n"/>
      <c r="X380" s="5" t="inlineStr">
        <is>
          <t>Labour + plant + material as published; reconciles to the published rate.</t>
        </is>
      </c>
    </row>
    <row r="381" ht="13" customHeight="1">
      <c r="A381" s="4" t="n">
        <v>739</v>
      </c>
      <c r="B381" s="5" t="inlineStr">
        <is>
          <t>IMG_0075</t>
        </is>
      </c>
      <c r="C381" s="5" t="inlineStr">
        <is>
          <t>CLASS E: EARTHWORKS</t>
        </is>
      </c>
      <c r="D381" s="5" t="inlineStr">
        <is>
          <t>EARTH MOVING</t>
        </is>
      </c>
      <c r="E381" s="5" t="inlineStr">
        <is>
          <t>Transport material within or off site by tipping lorry</t>
        </is>
      </c>
      <c r="F381" s="5" t="inlineStr">
        <is>
          <t>add per 1 Km additional distance</t>
        </is>
      </c>
      <c r="G381" s="6" t="inlineStr">
        <is>
          <t>m3/Km</t>
        </is>
      </c>
      <c r="H381" s="7" t="n">
        <v>0.03</v>
      </c>
      <c r="I381" s="8" t="n">
        <v>0.97</v>
      </c>
      <c r="J381" s="8" t="n">
        <v>2.33</v>
      </c>
      <c r="K381" s="8" t="n">
        <v>0</v>
      </c>
      <c r="L381" s="8" t="n">
        <v>0</v>
      </c>
      <c r="M381" s="9">
        <f>ROUND(SUM(I381:L381),2)</f>
        <v/>
      </c>
      <c r="N381" s="10">
        <f>ROUND(I381*'Irish Basis'!$C$6*'Irish Basis'!$C$5,2)</f>
        <v/>
      </c>
      <c r="O381" s="10">
        <f>ROUND(J381*'Irish Basis'!$C$7*'Irish Basis'!$C$5,2)</f>
        <v/>
      </c>
      <c r="P381" s="10">
        <f>ROUND(K381*'Irish Basis'!$C$8*'Irish Basis'!$C$5,2)</f>
        <v/>
      </c>
      <c r="Q381" s="10">
        <f>ROUND(L381*'Irish Basis'!$C$12*'Irish Basis'!$C$5,2)</f>
        <v/>
      </c>
      <c r="R381" s="11">
        <f>ROUND(SUM(N381:Q381),2)</f>
        <v/>
      </c>
      <c r="S381" s="5" t="inlineStr">
        <is>
          <t>Stated build-up</t>
        </is>
      </c>
      <c r="T381" s="12" t="inlineStr">
        <is>
          <t>High</t>
        </is>
      </c>
      <c r="U381" s="8" t="n">
        <v>3.31</v>
      </c>
      <c r="V381" s="13">
        <f>IF(U381="","",ROUND(M381-U381,2))</f>
        <v/>
      </c>
      <c r="W381" s="5" t="n"/>
      <c r="X381" s="5" t="inlineStr">
        <is>
          <t>Labour + plant + material as published; reconciles to the published rate.</t>
        </is>
      </c>
    </row>
    <row r="382" ht="13" customHeight="1">
      <c r="A382" s="4" t="n">
        <v>740</v>
      </c>
      <c r="B382" s="5" t="inlineStr">
        <is>
          <t>IMG_0075</t>
        </is>
      </c>
      <c r="C382" s="5" t="inlineStr">
        <is>
          <t>CLASS E: EARTHWORKS</t>
        </is>
      </c>
      <c r="D382" s="5" t="inlineStr">
        <is>
          <t>EARTH MOVING</t>
        </is>
      </c>
      <c r="E382" s="5" t="inlineStr">
        <is>
          <t>Transport material within or off site by tipping lorry</t>
        </is>
      </c>
      <c r="F382" s="5" t="inlineStr">
        <is>
          <t>10-15 t payload, distance travelled ne 1 Km</t>
        </is>
      </c>
      <c r="G382" s="6" t="inlineStr">
        <is>
          <t>m3</t>
        </is>
      </c>
      <c r="H382" s="7" t="n">
        <v>0.04</v>
      </c>
      <c r="I382" s="8" t="n">
        <v>1.56</v>
      </c>
      <c r="J382" s="8" t="n">
        <v>4.55</v>
      </c>
      <c r="K382" s="8" t="n">
        <v>0</v>
      </c>
      <c r="L382" s="8" t="n">
        <v>0</v>
      </c>
      <c r="M382" s="9">
        <f>ROUND(SUM(I382:L382),2)</f>
        <v/>
      </c>
      <c r="N382" s="10">
        <f>ROUND(I382*'Irish Basis'!$C$6*'Irish Basis'!$C$5,2)</f>
        <v/>
      </c>
      <c r="O382" s="10">
        <f>ROUND(J382*'Irish Basis'!$C$7*'Irish Basis'!$C$5,2)</f>
        <v/>
      </c>
      <c r="P382" s="10">
        <f>ROUND(K382*'Irish Basis'!$C$8*'Irish Basis'!$C$5,2)</f>
        <v/>
      </c>
      <c r="Q382" s="10">
        <f>ROUND(L382*'Irish Basis'!$C$12*'Irish Basis'!$C$5,2)</f>
        <v/>
      </c>
      <c r="R382" s="11">
        <f>ROUND(SUM(N382:Q382),2)</f>
        <v/>
      </c>
      <c r="S382" s="5" t="inlineStr">
        <is>
          <t>Stated build-up</t>
        </is>
      </c>
      <c r="T382" s="12" t="inlineStr">
        <is>
          <t>High</t>
        </is>
      </c>
      <c r="U382" s="8" t="n">
        <v>6.11</v>
      </c>
      <c r="V382" s="13">
        <f>IF(U382="","",ROUND(M382-U382,2))</f>
        <v/>
      </c>
      <c r="W382" s="5" t="n"/>
      <c r="X382" s="5" t="inlineStr">
        <is>
          <t>Labour + plant + material as published; reconciles to the published rate.</t>
        </is>
      </c>
    </row>
    <row r="383" ht="13" customHeight="1">
      <c r="A383" s="4" t="n">
        <v>741</v>
      </c>
      <c r="B383" s="5" t="inlineStr">
        <is>
          <t>IMG_0075</t>
        </is>
      </c>
      <c r="C383" s="5" t="inlineStr">
        <is>
          <t>CLASS E: EARTHWORKS</t>
        </is>
      </c>
      <c r="D383" s="5" t="inlineStr">
        <is>
          <t>EARTH MOVING</t>
        </is>
      </c>
      <c r="E383" s="5" t="inlineStr">
        <is>
          <t>Transport material within or off site by tipping lorry</t>
        </is>
      </c>
      <c r="F383" s="5" t="inlineStr">
        <is>
          <t>add per 1 Km additional distance</t>
        </is>
      </c>
      <c r="G383" s="6" t="inlineStr">
        <is>
          <t>m3/Km</t>
        </is>
      </c>
      <c r="H383" s="7" t="n">
        <v>0.02</v>
      </c>
      <c r="I383" s="8" t="n">
        <v>0.78</v>
      </c>
      <c r="J383" s="8" t="n">
        <v>2.27</v>
      </c>
      <c r="K383" s="8" t="n">
        <v>0</v>
      </c>
      <c r="L383" s="8" t="n">
        <v>0</v>
      </c>
      <c r="M383" s="9">
        <f>ROUND(SUM(I383:L383),2)</f>
        <v/>
      </c>
      <c r="N383" s="10">
        <f>ROUND(I383*'Irish Basis'!$C$6*'Irish Basis'!$C$5,2)</f>
        <v/>
      </c>
      <c r="O383" s="10">
        <f>ROUND(J383*'Irish Basis'!$C$7*'Irish Basis'!$C$5,2)</f>
        <v/>
      </c>
      <c r="P383" s="10">
        <f>ROUND(K383*'Irish Basis'!$C$8*'Irish Basis'!$C$5,2)</f>
        <v/>
      </c>
      <c r="Q383" s="10">
        <f>ROUND(L383*'Irish Basis'!$C$12*'Irish Basis'!$C$5,2)</f>
        <v/>
      </c>
      <c r="R383" s="11">
        <f>ROUND(SUM(N383:Q383),2)</f>
        <v/>
      </c>
      <c r="S383" s="5" t="inlineStr">
        <is>
          <t>Stated build-up</t>
        </is>
      </c>
      <c r="T383" s="12" t="inlineStr">
        <is>
          <t>High</t>
        </is>
      </c>
      <c r="U383" s="8" t="n">
        <v>3.05</v>
      </c>
      <c r="V383" s="13">
        <f>IF(U383="","",ROUND(M383-U383,2))</f>
        <v/>
      </c>
      <c r="W383" s="5" t="n"/>
      <c r="X383" s="5" t="inlineStr">
        <is>
          <t>Labour + plant + material as published; reconciles to the published rate.</t>
        </is>
      </c>
    </row>
    <row r="384" ht="13" customHeight="1">
      <c r="A384" s="4" t="n">
        <v>742</v>
      </c>
      <c r="B384" s="5" t="inlineStr">
        <is>
          <t>IMG_0075</t>
        </is>
      </c>
      <c r="C384" s="5" t="inlineStr">
        <is>
          <t>CLASS E: EARTHWORKS</t>
        </is>
      </c>
      <c r="D384" s="5" t="inlineStr">
        <is>
          <t>EARTH MOVING</t>
        </is>
      </c>
      <c r="E384" s="5" t="inlineStr">
        <is>
          <t>Transport material within or off site by tipping lorry</t>
        </is>
      </c>
      <c r="F384" s="5" t="inlineStr">
        <is>
          <t>15-25 t payload, distance travelled ne 1 Km</t>
        </is>
      </c>
      <c r="G384" s="6" t="inlineStr">
        <is>
          <t>m3</t>
        </is>
      </c>
      <c r="H384" s="7" t="n">
        <v>0.03</v>
      </c>
      <c r="I384" s="8" t="n">
        <v>1.35</v>
      </c>
      <c r="J384" s="8" t="n">
        <v>3.91</v>
      </c>
      <c r="K384" s="8" t="n">
        <v>0</v>
      </c>
      <c r="L384" s="8" t="n">
        <v>0</v>
      </c>
      <c r="M384" s="9">
        <f>ROUND(SUM(I384:L384),2)</f>
        <v/>
      </c>
      <c r="N384" s="10">
        <f>ROUND(I384*'Irish Basis'!$C$6*'Irish Basis'!$C$5,2)</f>
        <v/>
      </c>
      <c r="O384" s="10">
        <f>ROUND(J384*'Irish Basis'!$C$7*'Irish Basis'!$C$5,2)</f>
        <v/>
      </c>
      <c r="P384" s="10">
        <f>ROUND(K384*'Irish Basis'!$C$8*'Irish Basis'!$C$5,2)</f>
        <v/>
      </c>
      <c r="Q384" s="10">
        <f>ROUND(L384*'Irish Basis'!$C$12*'Irish Basis'!$C$5,2)</f>
        <v/>
      </c>
      <c r="R384" s="11">
        <f>ROUND(SUM(N384:Q384),2)</f>
        <v/>
      </c>
      <c r="S384" s="5" t="inlineStr">
        <is>
          <t>Stated build-up</t>
        </is>
      </c>
      <c r="T384" s="12" t="inlineStr">
        <is>
          <t>High</t>
        </is>
      </c>
      <c r="U384" s="8" t="n">
        <v>5.26</v>
      </c>
      <c r="V384" s="13">
        <f>IF(U384="","",ROUND(M384-U384,2))</f>
        <v/>
      </c>
      <c r="W384" s="5" t="n"/>
      <c r="X384" s="5" t="inlineStr">
        <is>
          <t>Labour + plant + material as published; reconciles to the published rate.</t>
        </is>
      </c>
    </row>
    <row r="385" ht="13" customHeight="1">
      <c r="A385" s="4" t="n">
        <v>743</v>
      </c>
      <c r="B385" s="5" t="inlineStr">
        <is>
          <t>IMG_0075</t>
        </is>
      </c>
      <c r="C385" s="5" t="inlineStr">
        <is>
          <t>CLASS E: EARTHWORKS</t>
        </is>
      </c>
      <c r="D385" s="5" t="inlineStr">
        <is>
          <t>EARTH MOVING</t>
        </is>
      </c>
      <c r="E385" s="5" t="inlineStr">
        <is>
          <t>Transport material within or off site by tipping lorry</t>
        </is>
      </c>
      <c r="F385" s="5" t="inlineStr">
        <is>
          <t>add per 1 Km additional distance</t>
        </is>
      </c>
      <c r="G385" s="6" t="inlineStr">
        <is>
          <t>m3/Km</t>
        </is>
      </c>
      <c r="H385" s="7" t="n">
        <v>0.02</v>
      </c>
      <c r="I385" s="8" t="n">
        <v>0.67</v>
      </c>
      <c r="J385" s="8" t="n">
        <v>1.96</v>
      </c>
      <c r="K385" s="8" t="n">
        <v>0</v>
      </c>
      <c r="L385" s="8" t="n">
        <v>0</v>
      </c>
      <c r="M385" s="9">
        <f>ROUND(SUM(I385:L385),2)</f>
        <v/>
      </c>
      <c r="N385" s="10">
        <f>ROUND(I385*'Irish Basis'!$C$6*'Irish Basis'!$C$5,2)</f>
        <v/>
      </c>
      <c r="O385" s="10">
        <f>ROUND(J385*'Irish Basis'!$C$7*'Irish Basis'!$C$5,2)</f>
        <v/>
      </c>
      <c r="P385" s="10">
        <f>ROUND(K385*'Irish Basis'!$C$8*'Irish Basis'!$C$5,2)</f>
        <v/>
      </c>
      <c r="Q385" s="10">
        <f>ROUND(L385*'Irish Basis'!$C$12*'Irish Basis'!$C$5,2)</f>
        <v/>
      </c>
      <c r="R385" s="11">
        <f>ROUND(SUM(N385:Q385),2)</f>
        <v/>
      </c>
      <c r="S385" s="5" t="inlineStr">
        <is>
          <t>Stated build-up</t>
        </is>
      </c>
      <c r="T385" s="12" t="inlineStr">
        <is>
          <t>High</t>
        </is>
      </c>
      <c r="U385" s="8" t="n">
        <v>2.63</v>
      </c>
      <c r="V385" s="13">
        <f>IF(U385="","",ROUND(M385-U385,2))</f>
        <v/>
      </c>
      <c r="W385" s="5" t="n"/>
      <c r="X385" s="5" t="inlineStr">
        <is>
          <t>Labour + plant + material as published; reconciles to the published rate.</t>
        </is>
      </c>
    </row>
    <row r="386" ht="13" customHeight="1">
      <c r="A386" s="4" t="n">
        <v>747</v>
      </c>
      <c r="B386" s="5" t="inlineStr">
        <is>
          <t>IMG_0076</t>
        </is>
      </c>
      <c r="C386" s="5" t="inlineStr">
        <is>
          <t>CLASS E: EARTHWORKS</t>
        </is>
      </c>
      <c r="D386" s="5" t="inlineStr">
        <is>
          <t>EARTH MOVING</t>
        </is>
      </c>
      <c r="E386" s="5" t="inlineStr">
        <is>
          <t>Bulldozer up to 74 KW (CAT D4H sized machine used for site strip, reducing levels or grading and spreading materials over smaller sites)</t>
        </is>
      </c>
      <c r="F386" s="5" t="inlineStr">
        <is>
          <t>average push one way 10 m</t>
        </is>
      </c>
      <c r="G386" s="6" t="inlineStr">
        <is>
          <t>m3</t>
        </is>
      </c>
      <c r="H386" s="7" t="n">
        <v>0.03</v>
      </c>
      <c r="I386" s="8" t="n">
        <v>1.17</v>
      </c>
      <c r="J386" s="8" t="n">
        <v>2.76</v>
      </c>
      <c r="K386" s="8" t="n">
        <v>0</v>
      </c>
      <c r="L386" s="8" t="n">
        <v>0</v>
      </c>
      <c r="M386" s="9">
        <f>ROUND(SUM(I386:L386),2)</f>
        <v/>
      </c>
      <c r="N386" s="10">
        <f>ROUND(I386*'Irish Basis'!$C$6*'Irish Basis'!$C$5,2)</f>
        <v/>
      </c>
      <c r="O386" s="10">
        <f>ROUND(J386*'Irish Basis'!$C$7*'Irish Basis'!$C$5,2)</f>
        <v/>
      </c>
      <c r="P386" s="10">
        <f>ROUND(K386*'Irish Basis'!$C$8*'Irish Basis'!$C$5,2)</f>
        <v/>
      </c>
      <c r="Q386" s="10">
        <f>ROUND(L386*'Irish Basis'!$C$12*'Irish Basis'!$C$5,2)</f>
        <v/>
      </c>
      <c r="R386" s="11">
        <f>ROUND(SUM(N386:Q386),2)</f>
        <v/>
      </c>
      <c r="S386" s="5" t="inlineStr">
        <is>
          <t>Stated build-up</t>
        </is>
      </c>
      <c r="T386" s="12" t="inlineStr">
        <is>
          <t>High</t>
        </is>
      </c>
      <c r="U386" s="8" t="n">
        <v>3.93</v>
      </c>
      <c r="V386" s="13">
        <f>IF(U386="","",ROUND(M386-U386,2))</f>
        <v/>
      </c>
      <c r="W386" s="5" t="n"/>
      <c r="X386" s="5" t="inlineStr">
        <is>
          <t>Labour + plant + material as published; reconciles to the published rate.</t>
        </is>
      </c>
    </row>
    <row r="387" ht="13" customHeight="1">
      <c r="A387" s="4" t="n">
        <v>748</v>
      </c>
      <c r="B387" s="5" t="inlineStr">
        <is>
          <t>IMG_0076</t>
        </is>
      </c>
      <c r="C387" s="5" t="inlineStr">
        <is>
          <t>CLASS E: EARTHWORKS</t>
        </is>
      </c>
      <c r="D387" s="5" t="inlineStr">
        <is>
          <t>EARTH MOVING</t>
        </is>
      </c>
      <c r="E387" s="5" t="inlineStr">
        <is>
          <t>Bulldozer up to 74 KW (CAT D4H sized machine used for site strip, reducing levels or grading and spreading materials over smaller sites)</t>
        </is>
      </c>
      <c r="F387" s="5" t="inlineStr">
        <is>
          <t>average push one way 30 m</t>
        </is>
      </c>
      <c r="G387" s="6" t="inlineStr">
        <is>
          <t>m3</t>
        </is>
      </c>
      <c r="H387" s="7" t="n">
        <v>0.08</v>
      </c>
      <c r="I387" s="8" t="n">
        <v>3.12</v>
      </c>
      <c r="J387" s="8" t="n">
        <v>7.37</v>
      </c>
      <c r="K387" s="8" t="n">
        <v>0</v>
      </c>
      <c r="L387" s="8" t="n">
        <v>0</v>
      </c>
      <c r="M387" s="9">
        <f>ROUND(SUM(I387:L387),2)</f>
        <v/>
      </c>
      <c r="N387" s="10">
        <f>ROUND(I387*'Irish Basis'!$C$6*'Irish Basis'!$C$5,2)</f>
        <v/>
      </c>
      <c r="O387" s="10">
        <f>ROUND(J387*'Irish Basis'!$C$7*'Irish Basis'!$C$5,2)</f>
        <v/>
      </c>
      <c r="P387" s="10">
        <f>ROUND(K387*'Irish Basis'!$C$8*'Irish Basis'!$C$5,2)</f>
        <v/>
      </c>
      <c r="Q387" s="10">
        <f>ROUND(L387*'Irish Basis'!$C$12*'Irish Basis'!$C$5,2)</f>
        <v/>
      </c>
      <c r="R387" s="11">
        <f>ROUND(SUM(N387:Q387),2)</f>
        <v/>
      </c>
      <c r="S387" s="5" t="inlineStr">
        <is>
          <t>Stated build-up</t>
        </is>
      </c>
      <c r="T387" s="12" t="inlineStr">
        <is>
          <t>High</t>
        </is>
      </c>
      <c r="U387" s="8" t="n">
        <v>10.49</v>
      </c>
      <c r="V387" s="13">
        <f>IF(U387="","",ROUND(M387-U387,2))</f>
        <v/>
      </c>
      <c r="W387" s="5" t="n"/>
      <c r="X387" s="5" t="inlineStr">
        <is>
          <t>Labour + plant + material as published; reconciles to the published rate.</t>
        </is>
      </c>
    </row>
    <row r="388" ht="13" customHeight="1">
      <c r="A388" s="4" t="n">
        <v>749</v>
      </c>
      <c r="B388" s="5" t="inlineStr">
        <is>
          <t>IMG_0076</t>
        </is>
      </c>
      <c r="C388" s="5" t="inlineStr">
        <is>
          <t>CLASS E: EARTHWORKS</t>
        </is>
      </c>
      <c r="D388" s="5" t="inlineStr">
        <is>
          <t>EARTH MOVING</t>
        </is>
      </c>
      <c r="E388" s="5" t="inlineStr">
        <is>
          <t>Bulldozer up to 74 KW (CAT D4H sized machine used for site strip, reducing levels or grading and spreading materials over smaller sites)</t>
        </is>
      </c>
      <c r="F388" s="5" t="inlineStr">
        <is>
          <t>average push one way 50 m</t>
        </is>
      </c>
      <c r="G388" s="6" t="inlineStr">
        <is>
          <t>m3</t>
        </is>
      </c>
      <c r="H388" s="7" t="n">
        <v>0.14</v>
      </c>
      <c r="I388" s="8" t="n">
        <v>5.45</v>
      </c>
      <c r="J388" s="8" t="n">
        <v>12.9</v>
      </c>
      <c r="K388" s="8" t="n">
        <v>0</v>
      </c>
      <c r="L388" s="8" t="n">
        <v>0</v>
      </c>
      <c r="M388" s="9">
        <f>ROUND(SUM(I388:L388),2)</f>
        <v/>
      </c>
      <c r="N388" s="10">
        <f>ROUND(I388*'Irish Basis'!$C$6*'Irish Basis'!$C$5,2)</f>
        <v/>
      </c>
      <c r="O388" s="10">
        <f>ROUND(J388*'Irish Basis'!$C$7*'Irish Basis'!$C$5,2)</f>
        <v/>
      </c>
      <c r="P388" s="10">
        <f>ROUND(K388*'Irish Basis'!$C$8*'Irish Basis'!$C$5,2)</f>
        <v/>
      </c>
      <c r="Q388" s="10">
        <f>ROUND(L388*'Irish Basis'!$C$12*'Irish Basis'!$C$5,2)</f>
        <v/>
      </c>
      <c r="R388" s="11">
        <f>ROUND(SUM(N388:Q388),2)</f>
        <v/>
      </c>
      <c r="S388" s="5" t="inlineStr">
        <is>
          <t>Stated build-up</t>
        </is>
      </c>
      <c r="T388" s="12" t="inlineStr">
        <is>
          <t>High</t>
        </is>
      </c>
      <c r="U388" s="8" t="n">
        <v>18.36</v>
      </c>
      <c r="V388" s="13">
        <f>IF(U388="","",ROUND(M388-U388,2))</f>
        <v/>
      </c>
      <c r="W388" s="5" t="n"/>
      <c r="X388" s="5" t="inlineStr">
        <is>
          <t>Labour + plant + material as published; reconciles to the published rate.</t>
        </is>
      </c>
    </row>
    <row r="389" ht="13" customHeight="1">
      <c r="A389" s="4" t="n">
        <v>750</v>
      </c>
      <c r="B389" s="5" t="inlineStr">
        <is>
          <t>IMG_0076</t>
        </is>
      </c>
      <c r="C389" s="5" t="inlineStr">
        <is>
          <t>CLASS E: EARTHWORKS</t>
        </is>
      </c>
      <c r="D389" s="5" t="inlineStr">
        <is>
          <t>EARTH MOVING</t>
        </is>
      </c>
      <c r="E389" s="5" t="inlineStr">
        <is>
          <t>Bulldozer up to 74 KW (CAT D4H sized machine used for site strip, reducing levels or grading and spreading materials over smaller sites)</t>
        </is>
      </c>
      <c r="F389" s="5" t="inlineStr">
        <is>
          <t>average push one way 100 m</t>
        </is>
      </c>
      <c r="G389" s="6" t="inlineStr">
        <is>
          <t>m3</t>
        </is>
      </c>
      <c r="H389" s="7" t="n">
        <v>0.29</v>
      </c>
      <c r="I389" s="8" t="n">
        <v>11.3</v>
      </c>
      <c r="J389" s="8" t="n">
        <v>26.73</v>
      </c>
      <c r="K389" s="8" t="n">
        <v>0</v>
      </c>
      <c r="L389" s="8" t="n">
        <v>0</v>
      </c>
      <c r="M389" s="9">
        <f>ROUND(SUM(I389:L389),2)</f>
        <v/>
      </c>
      <c r="N389" s="10">
        <f>ROUND(I389*'Irish Basis'!$C$6*'Irish Basis'!$C$5,2)</f>
        <v/>
      </c>
      <c r="O389" s="10">
        <f>ROUND(J389*'Irish Basis'!$C$7*'Irish Basis'!$C$5,2)</f>
        <v/>
      </c>
      <c r="P389" s="10">
        <f>ROUND(K389*'Irish Basis'!$C$8*'Irish Basis'!$C$5,2)</f>
        <v/>
      </c>
      <c r="Q389" s="10">
        <f>ROUND(L389*'Irish Basis'!$C$12*'Irish Basis'!$C$5,2)</f>
        <v/>
      </c>
      <c r="R389" s="11">
        <f>ROUND(SUM(N389:Q389),2)</f>
        <v/>
      </c>
      <c r="S389" s="5" t="inlineStr">
        <is>
          <t>Stated build-up</t>
        </is>
      </c>
      <c r="T389" s="12" t="inlineStr">
        <is>
          <t>High</t>
        </is>
      </c>
      <c r="U389" s="8" t="n">
        <v>38.02</v>
      </c>
      <c r="V389" s="13">
        <f>IF(U389="","",ROUND(M389-U389,2))</f>
        <v/>
      </c>
      <c r="W389" s="5" t="n"/>
      <c r="X389" s="5" t="inlineStr">
        <is>
          <t>Labour + plant + material as published; reconciles to the published rate.</t>
        </is>
      </c>
    </row>
    <row r="390" ht="13" customHeight="1">
      <c r="A390" s="4" t="n">
        <v>752</v>
      </c>
      <c r="B390" s="5" t="inlineStr">
        <is>
          <t>IMG_0076</t>
        </is>
      </c>
      <c r="C390" s="5" t="inlineStr">
        <is>
          <t>CLASS E: EARTHWORKS</t>
        </is>
      </c>
      <c r="D390" s="5" t="inlineStr">
        <is>
          <t>EARTH MOVING</t>
        </is>
      </c>
      <c r="E390" s="5" t="inlineStr">
        <is>
          <t>Bulldozer up to 104 KW (CAT D6E sized machine for reducing levels, excavating to greater depths at steeper inclines, grading surfaces, small cut and fill operations; maximum push 100 m)</t>
        </is>
      </c>
      <c r="F390" s="5" t="inlineStr">
        <is>
          <t>average push one way 10 m</t>
        </is>
      </c>
      <c r="G390" s="6" t="inlineStr">
        <is>
          <t>m3</t>
        </is>
      </c>
      <c r="H390" s="7" t="n">
        <v>0.03</v>
      </c>
      <c r="I390" s="8" t="n">
        <v>1.35</v>
      </c>
      <c r="J390" s="8" t="n">
        <v>4.61</v>
      </c>
      <c r="K390" s="8" t="n">
        <v>0</v>
      </c>
      <c r="L390" s="8" t="n">
        <v>0</v>
      </c>
      <c r="M390" s="9">
        <f>ROUND(SUM(I390:L390),2)</f>
        <v/>
      </c>
      <c r="N390" s="10">
        <f>ROUND(I390*'Irish Basis'!$C$6*'Irish Basis'!$C$5,2)</f>
        <v/>
      </c>
      <c r="O390" s="10">
        <f>ROUND(J390*'Irish Basis'!$C$7*'Irish Basis'!$C$5,2)</f>
        <v/>
      </c>
      <c r="P390" s="10">
        <f>ROUND(K390*'Irish Basis'!$C$8*'Irish Basis'!$C$5,2)</f>
        <v/>
      </c>
      <c r="Q390" s="10">
        <f>ROUND(L390*'Irish Basis'!$C$12*'Irish Basis'!$C$5,2)</f>
        <v/>
      </c>
      <c r="R390" s="11">
        <f>ROUND(SUM(N390:Q390),2)</f>
        <v/>
      </c>
      <c r="S390" s="5" t="inlineStr">
        <is>
          <t>Stated build-up</t>
        </is>
      </c>
      <c r="T390" s="12" t="inlineStr">
        <is>
          <t>High</t>
        </is>
      </c>
      <c r="U390" s="8" t="n">
        <v>5.95</v>
      </c>
      <c r="V390" s="13">
        <f>IF(U390="","",ROUND(M390-U390,2))</f>
        <v/>
      </c>
      <c r="W390" s="5" t="n"/>
      <c r="X390" s="5" t="inlineStr">
        <is>
          <t>Labour + plant + material as published; reconciles to the published rate.</t>
        </is>
      </c>
    </row>
    <row r="391" ht="13" customHeight="1">
      <c r="A391" s="4" t="n">
        <v>753</v>
      </c>
      <c r="B391" s="5" t="inlineStr">
        <is>
          <t>IMG_0076</t>
        </is>
      </c>
      <c r="C391" s="5" t="inlineStr">
        <is>
          <t>CLASS E: EARTHWORKS</t>
        </is>
      </c>
      <c r="D391" s="5" t="inlineStr">
        <is>
          <t>EARTH MOVING</t>
        </is>
      </c>
      <c r="E391" s="5" t="inlineStr">
        <is>
          <t>Bulldozer up to 104 KW (CAT D6E sized machine for reducing levels, excavating to greater depths at steeper inclines, grading surfaces, small cut and fill operations; maximum push 100 m)</t>
        </is>
      </c>
      <c r="F391" s="5" t="inlineStr">
        <is>
          <t>average push one way 30 m</t>
        </is>
      </c>
      <c r="G391" s="6" t="inlineStr">
        <is>
          <t>m3</t>
        </is>
      </c>
      <c r="H391" s="7" t="n">
        <v>0.07000000000000001</v>
      </c>
      <c r="I391" s="8" t="n">
        <v>3.14</v>
      </c>
      <c r="J391" s="8" t="n">
        <v>10.75</v>
      </c>
      <c r="K391" s="8" t="n">
        <v>0</v>
      </c>
      <c r="L391" s="8" t="n">
        <v>0</v>
      </c>
      <c r="M391" s="9">
        <f>ROUND(SUM(I391:L391),2)</f>
        <v/>
      </c>
      <c r="N391" s="10">
        <f>ROUND(I391*'Irish Basis'!$C$6*'Irish Basis'!$C$5,2)</f>
        <v/>
      </c>
      <c r="O391" s="10">
        <f>ROUND(J391*'Irish Basis'!$C$7*'Irish Basis'!$C$5,2)</f>
        <v/>
      </c>
      <c r="P391" s="10">
        <f>ROUND(K391*'Irish Basis'!$C$8*'Irish Basis'!$C$5,2)</f>
        <v/>
      </c>
      <c r="Q391" s="10">
        <f>ROUND(L391*'Irish Basis'!$C$12*'Irish Basis'!$C$5,2)</f>
        <v/>
      </c>
      <c r="R391" s="11">
        <f>ROUND(SUM(N391:Q391),2)</f>
        <v/>
      </c>
      <c r="S391" s="5" t="inlineStr">
        <is>
          <t>Stated build-up</t>
        </is>
      </c>
      <c r="T391" s="12" t="inlineStr">
        <is>
          <t>High</t>
        </is>
      </c>
      <c r="U391" s="8" t="n">
        <v>13.89</v>
      </c>
      <c r="V391" s="13">
        <f>IF(U391="","",ROUND(M391-U391,2))</f>
        <v/>
      </c>
      <c r="W391" s="5" t="n"/>
      <c r="X391" s="5" t="inlineStr">
        <is>
          <t>Labour + plant + material as published; reconciles to the published rate.</t>
        </is>
      </c>
    </row>
    <row r="392" ht="13" customHeight="1">
      <c r="A392" s="4" t="n">
        <v>754</v>
      </c>
      <c r="B392" s="5" t="inlineStr">
        <is>
          <t>IMG_0076</t>
        </is>
      </c>
      <c r="C392" s="5" t="inlineStr">
        <is>
          <t>CLASS E: EARTHWORKS</t>
        </is>
      </c>
      <c r="D392" s="5" t="inlineStr">
        <is>
          <t>EARTH MOVING</t>
        </is>
      </c>
      <c r="E392" s="5" t="inlineStr">
        <is>
          <t>Bulldozer up to 104 KW (CAT D6E sized machine for reducing levels, excavating to greater depths at steeper inclines, grading surfaces, small cut and fill operations; maximum push 100 m)</t>
        </is>
      </c>
      <c r="F392" s="5" t="inlineStr">
        <is>
          <t>average push one way 50 m</t>
        </is>
      </c>
      <c r="G392" s="6" t="inlineStr">
        <is>
          <t>m3</t>
        </is>
      </c>
      <c r="H392" s="7" t="n">
        <v>0.09</v>
      </c>
      <c r="I392" s="8" t="n">
        <v>4.04</v>
      </c>
      <c r="J392" s="8" t="n">
        <v>13.82</v>
      </c>
      <c r="K392" s="8" t="n">
        <v>0</v>
      </c>
      <c r="L392" s="8" t="n">
        <v>0</v>
      </c>
      <c r="M392" s="9">
        <f>ROUND(SUM(I392:L392),2)</f>
        <v/>
      </c>
      <c r="N392" s="10">
        <f>ROUND(I392*'Irish Basis'!$C$6*'Irish Basis'!$C$5,2)</f>
        <v/>
      </c>
      <c r="O392" s="10">
        <f>ROUND(J392*'Irish Basis'!$C$7*'Irish Basis'!$C$5,2)</f>
        <v/>
      </c>
      <c r="P392" s="10">
        <f>ROUND(K392*'Irish Basis'!$C$8*'Irish Basis'!$C$5,2)</f>
        <v/>
      </c>
      <c r="Q392" s="10">
        <f>ROUND(L392*'Irish Basis'!$C$12*'Irish Basis'!$C$5,2)</f>
        <v/>
      </c>
      <c r="R392" s="11">
        <f>ROUND(SUM(N392:Q392),2)</f>
        <v/>
      </c>
      <c r="S392" s="5" t="inlineStr">
        <is>
          <t>Stated build-up</t>
        </is>
      </c>
      <c r="T392" s="12" t="inlineStr">
        <is>
          <t>High</t>
        </is>
      </c>
      <c r="U392" s="8" t="n">
        <v>17.86</v>
      </c>
      <c r="V392" s="13">
        <f>IF(U392="","",ROUND(M392-U392,2))</f>
        <v/>
      </c>
      <c r="W392" s="5" t="n"/>
      <c r="X392" s="5" t="inlineStr">
        <is>
          <t>Labour + plant + material as published; reconciles to the published rate.</t>
        </is>
      </c>
    </row>
    <row r="393" ht="13" customHeight="1">
      <c r="A393" s="4" t="n">
        <v>755</v>
      </c>
      <c r="B393" s="5" t="inlineStr">
        <is>
          <t>IMG_0076</t>
        </is>
      </c>
      <c r="C393" s="5" t="inlineStr">
        <is>
          <t>CLASS E: EARTHWORKS</t>
        </is>
      </c>
      <c r="D393" s="5" t="inlineStr">
        <is>
          <t>EARTH MOVING</t>
        </is>
      </c>
      <c r="E393" s="5" t="inlineStr">
        <is>
          <t>Bulldozer up to 104 KW (CAT D6E sized machine for reducing levels, excavating to greater depths at steeper inclines, grading surfaces, small cut and fill operations; maximum push 100 m)</t>
        </is>
      </c>
      <c r="F393" s="5" t="inlineStr">
        <is>
          <t>average push one way 100 m</t>
        </is>
      </c>
      <c r="G393" s="6" t="inlineStr">
        <is>
          <t>m3</t>
        </is>
      </c>
      <c r="H393" s="7" t="n">
        <v>0.19</v>
      </c>
      <c r="I393" s="8" t="n">
        <v>8.529999999999999</v>
      </c>
      <c r="J393" s="8" t="n">
        <v>29.18</v>
      </c>
      <c r="K393" s="8" t="n">
        <v>0</v>
      </c>
      <c r="L393" s="8" t="n">
        <v>0</v>
      </c>
      <c r="M393" s="9">
        <f>ROUND(SUM(I393:L393),2)</f>
        <v/>
      </c>
      <c r="N393" s="10">
        <f>ROUND(I393*'Irish Basis'!$C$6*'Irish Basis'!$C$5,2)</f>
        <v/>
      </c>
      <c r="O393" s="10">
        <f>ROUND(J393*'Irish Basis'!$C$7*'Irish Basis'!$C$5,2)</f>
        <v/>
      </c>
      <c r="P393" s="10">
        <f>ROUND(K393*'Irish Basis'!$C$8*'Irish Basis'!$C$5,2)</f>
        <v/>
      </c>
      <c r="Q393" s="10">
        <f>ROUND(L393*'Irish Basis'!$C$12*'Irish Basis'!$C$5,2)</f>
        <v/>
      </c>
      <c r="R393" s="11">
        <f>ROUND(SUM(N393:Q393),2)</f>
        <v/>
      </c>
      <c r="S393" s="5" t="inlineStr">
        <is>
          <t>Stated build-up</t>
        </is>
      </c>
      <c r="T393" s="12" t="inlineStr">
        <is>
          <t>High</t>
        </is>
      </c>
      <c r="U393" s="8" t="n">
        <v>37.71</v>
      </c>
      <c r="V393" s="13">
        <f>IF(U393="","",ROUND(M393-U393,2))</f>
        <v/>
      </c>
      <c r="W393" s="5" t="n"/>
      <c r="X393" s="5" t="inlineStr">
        <is>
          <t>Labour + plant + material as published; reconciles to the published rate.</t>
        </is>
      </c>
    </row>
    <row r="394" ht="13" customHeight="1">
      <c r="A394" s="4" t="n">
        <v>757</v>
      </c>
      <c r="B394" s="5" t="inlineStr">
        <is>
          <t>IMG_0076</t>
        </is>
      </c>
      <c r="C394" s="5" t="inlineStr">
        <is>
          <t>CLASS E: EARTHWORKS</t>
        </is>
      </c>
      <c r="D394" s="5" t="inlineStr">
        <is>
          <t>EARTH MOVING</t>
        </is>
      </c>
      <c r="E394" s="5" t="inlineStr">
        <is>
          <t>Bull or Angle Dozer up to 212 KW (CAT D8N sized machine for high output, ripping and excavating by reducing levels at steeper inclines or in harder material than with D6E, larger cut and fill operations used in conjunction with towed or SP scrapers. Spreading and grading over large areas; maximum push 100 m)</t>
        </is>
      </c>
      <c r="F394" s="5" t="inlineStr">
        <is>
          <t>average push one way 10 m</t>
        </is>
      </c>
      <c r="G394" s="6" t="inlineStr">
        <is>
          <t>m3</t>
        </is>
      </c>
      <c r="H394" s="7" t="n">
        <v>0.03</v>
      </c>
      <c r="I394" s="8" t="n">
        <v>1.35</v>
      </c>
      <c r="J394" s="8" t="n">
        <v>8.5</v>
      </c>
      <c r="K394" s="8" t="n">
        <v>0</v>
      </c>
      <c r="L394" s="8" t="n">
        <v>0</v>
      </c>
      <c r="M394" s="9">
        <f>ROUND(SUM(I394:L394),2)</f>
        <v/>
      </c>
      <c r="N394" s="10">
        <f>ROUND(I394*'Irish Basis'!$C$6*'Irish Basis'!$C$5,2)</f>
        <v/>
      </c>
      <c r="O394" s="10">
        <f>ROUND(J394*'Irish Basis'!$C$7*'Irish Basis'!$C$5,2)</f>
        <v/>
      </c>
      <c r="P394" s="10">
        <f>ROUND(K394*'Irish Basis'!$C$8*'Irish Basis'!$C$5,2)</f>
        <v/>
      </c>
      <c r="Q394" s="10">
        <f>ROUND(L394*'Irish Basis'!$C$12*'Irish Basis'!$C$5,2)</f>
        <v/>
      </c>
      <c r="R394" s="11">
        <f>ROUND(SUM(N394:Q394),2)</f>
        <v/>
      </c>
      <c r="S394" s="5" t="inlineStr">
        <is>
          <t>Stated build-up</t>
        </is>
      </c>
      <c r="T394" s="12" t="inlineStr">
        <is>
          <t>High</t>
        </is>
      </c>
      <c r="U394" s="8" t="n">
        <v>9.85</v>
      </c>
      <c r="V394" s="13">
        <f>IF(U394="","",ROUND(M394-U394,2))</f>
        <v/>
      </c>
      <c r="W394" s="5" t="n"/>
      <c r="X394" s="5" t="inlineStr">
        <is>
          <t>Labour + plant + material as published; reconciles to the published rate.</t>
        </is>
      </c>
    </row>
    <row r="395" ht="13" customHeight="1">
      <c r="A395" s="4" t="n">
        <v>758</v>
      </c>
      <c r="B395" s="5" t="inlineStr">
        <is>
          <t>IMG_0076</t>
        </is>
      </c>
      <c r="C395" s="5" t="inlineStr">
        <is>
          <t>CLASS E: EARTHWORKS</t>
        </is>
      </c>
      <c r="D395" s="5" t="inlineStr">
        <is>
          <t>EARTH MOVING</t>
        </is>
      </c>
      <c r="E395" s="5" t="inlineStr">
        <is>
          <t>Bull or Angle Dozer up to 212 KW (CAT D8N sized machine for high output, ripping and excavating by reducing levels at steeper inclines or in harder material than with D6E, larger cut and fill operations used in conjunction with towed or SP scrapers. Spreading and grading over large areas; maximum push 100 m)</t>
        </is>
      </c>
      <c r="F395" s="5" t="inlineStr">
        <is>
          <t>average push one way 30 m</t>
        </is>
      </c>
      <c r="G395" s="6" t="inlineStr">
        <is>
          <t>m3</t>
        </is>
      </c>
      <c r="H395" s="7" t="n">
        <v>0.06</v>
      </c>
      <c r="I395" s="8" t="n">
        <v>2.69</v>
      </c>
      <c r="J395" s="8" t="n">
        <v>17.01</v>
      </c>
      <c r="K395" s="8" t="n">
        <v>0</v>
      </c>
      <c r="L395" s="8" t="n">
        <v>0</v>
      </c>
      <c r="M395" s="9">
        <f>ROUND(SUM(I395:L395),2)</f>
        <v/>
      </c>
      <c r="N395" s="10">
        <f>ROUND(I395*'Irish Basis'!$C$6*'Irish Basis'!$C$5,2)</f>
        <v/>
      </c>
      <c r="O395" s="10">
        <f>ROUND(J395*'Irish Basis'!$C$7*'Irish Basis'!$C$5,2)</f>
        <v/>
      </c>
      <c r="P395" s="10">
        <f>ROUND(K395*'Irish Basis'!$C$8*'Irish Basis'!$C$5,2)</f>
        <v/>
      </c>
      <c r="Q395" s="10">
        <f>ROUND(L395*'Irish Basis'!$C$12*'Irish Basis'!$C$5,2)</f>
        <v/>
      </c>
      <c r="R395" s="11">
        <f>ROUND(SUM(N395:Q395),2)</f>
        <v/>
      </c>
      <c r="S395" s="5" t="inlineStr">
        <is>
          <t>Stated build-up</t>
        </is>
      </c>
      <c r="T395" s="12" t="inlineStr">
        <is>
          <t>High</t>
        </is>
      </c>
      <c r="U395" s="8" t="n">
        <v>19.7</v>
      </c>
      <c r="V395" s="13">
        <f>IF(U395="","",ROUND(M395-U395,2))</f>
        <v/>
      </c>
      <c r="W395" s="5" t="n"/>
      <c r="X395" s="5" t="inlineStr">
        <is>
          <t>Labour + plant + material as published; reconciles to the published rate.</t>
        </is>
      </c>
    </row>
    <row r="396" ht="13" customHeight="1">
      <c r="A396" s="4" t="n">
        <v>759</v>
      </c>
      <c r="B396" s="5" t="inlineStr">
        <is>
          <t>IMG_0076</t>
        </is>
      </c>
      <c r="C396" s="5" t="inlineStr">
        <is>
          <t>CLASS E: EARTHWORKS</t>
        </is>
      </c>
      <c r="D396" s="5" t="inlineStr">
        <is>
          <t>EARTH MOVING</t>
        </is>
      </c>
      <c r="E396" s="5" t="inlineStr">
        <is>
          <t>Bull or Angle Dozer up to 212 KW (CAT D8N sized machine for high output, ripping and excavating by reducing levels at steeper inclines or in harder material than with D6E, larger cut and fill operations used in conjunction with towed or SP scrapers. Spreading and grading over large areas; maximum push 100 m)</t>
        </is>
      </c>
      <c r="F396" s="5" t="inlineStr">
        <is>
          <t>average push one way 50 m</t>
        </is>
      </c>
      <c r="G396" s="6" t="inlineStr">
        <is>
          <t>m3</t>
        </is>
      </c>
      <c r="H396" s="7" t="n">
        <v>0.07000000000000001</v>
      </c>
      <c r="I396" s="8" t="n">
        <v>3.14</v>
      </c>
      <c r="J396" s="8" t="n">
        <v>19.84</v>
      </c>
      <c r="K396" s="8" t="n">
        <v>0</v>
      </c>
      <c r="L396" s="8" t="n">
        <v>0</v>
      </c>
      <c r="M396" s="9">
        <f>ROUND(SUM(I396:L396),2)</f>
        <v/>
      </c>
      <c r="N396" s="10">
        <f>ROUND(I396*'Irish Basis'!$C$6*'Irish Basis'!$C$5,2)</f>
        <v/>
      </c>
      <c r="O396" s="10">
        <f>ROUND(J396*'Irish Basis'!$C$7*'Irish Basis'!$C$5,2)</f>
        <v/>
      </c>
      <c r="P396" s="10">
        <f>ROUND(K396*'Irish Basis'!$C$8*'Irish Basis'!$C$5,2)</f>
        <v/>
      </c>
      <c r="Q396" s="10">
        <f>ROUND(L396*'Irish Basis'!$C$12*'Irish Basis'!$C$5,2)</f>
        <v/>
      </c>
      <c r="R396" s="11">
        <f>ROUND(SUM(N396:Q396),2)</f>
        <v/>
      </c>
      <c r="S396" s="5" t="inlineStr">
        <is>
          <t>Stated build-up</t>
        </is>
      </c>
      <c r="T396" s="12" t="inlineStr">
        <is>
          <t>High</t>
        </is>
      </c>
      <c r="U396" s="8" t="n">
        <v>22.99</v>
      </c>
      <c r="V396" s="13">
        <f>IF(U396="","",ROUND(M396-U396,2))</f>
        <v/>
      </c>
      <c r="W396" s="5" t="n"/>
      <c r="X396" s="5" t="inlineStr">
        <is>
          <t>Labour + plant + material as published; reconciles to the published rate.</t>
        </is>
      </c>
    </row>
    <row r="397" ht="13" customHeight="1">
      <c r="A397" s="4" t="n">
        <v>760</v>
      </c>
      <c r="B397" s="5" t="inlineStr">
        <is>
          <t>IMG_0076</t>
        </is>
      </c>
      <c r="C397" s="5" t="inlineStr">
        <is>
          <t>CLASS E: EARTHWORKS</t>
        </is>
      </c>
      <c r="D397" s="5" t="inlineStr">
        <is>
          <t>EARTH MOVING</t>
        </is>
      </c>
      <c r="E397" s="5" t="inlineStr">
        <is>
          <t>Bull or Angle Dozer up to 212 KW (CAT D8N sized machine for high output, ripping and excavating by reducing levels at steeper inclines or in harder material than with D6E, larger cut and fill operations used in conjunction with towed or SP scrapers. Spreading and grading over large areas; maximum push 100 m)</t>
        </is>
      </c>
      <c r="F397" s="5" t="inlineStr">
        <is>
          <t>average push one way 100 m</t>
        </is>
      </c>
      <c r="G397" s="6" t="inlineStr">
        <is>
          <t>m3</t>
        </is>
      </c>
      <c r="H397" s="7" t="n">
        <v>0.11</v>
      </c>
      <c r="I397" s="8" t="n">
        <v>4.94</v>
      </c>
      <c r="J397" s="8" t="n">
        <v>31.18</v>
      </c>
      <c r="K397" s="8" t="n">
        <v>0</v>
      </c>
      <c r="L397" s="8" t="n">
        <v>0</v>
      </c>
      <c r="M397" s="9">
        <f>ROUND(SUM(I397:L397),2)</f>
        <v/>
      </c>
      <c r="N397" s="10">
        <f>ROUND(I397*'Irish Basis'!$C$6*'Irish Basis'!$C$5,2)</f>
        <v/>
      </c>
      <c r="O397" s="10">
        <f>ROUND(J397*'Irish Basis'!$C$7*'Irish Basis'!$C$5,2)</f>
        <v/>
      </c>
      <c r="P397" s="10">
        <f>ROUND(K397*'Irish Basis'!$C$8*'Irish Basis'!$C$5,2)</f>
        <v/>
      </c>
      <c r="Q397" s="10">
        <f>ROUND(L397*'Irish Basis'!$C$12*'Irish Basis'!$C$5,2)</f>
        <v/>
      </c>
      <c r="R397" s="11">
        <f>ROUND(SUM(N397:Q397),2)</f>
        <v/>
      </c>
      <c r="S397" s="5" t="inlineStr">
        <is>
          <t>Stated build-up</t>
        </is>
      </c>
      <c r="T397" s="12" t="inlineStr">
        <is>
          <t>High</t>
        </is>
      </c>
      <c r="U397" s="8" t="n">
        <v>36.12</v>
      </c>
      <c r="V397" s="13">
        <f>IF(U397="","",ROUND(M397-U397,2))</f>
        <v/>
      </c>
      <c r="W397" s="5" t="n"/>
      <c r="X397" s="5" t="inlineStr">
        <is>
          <t>Labour + plant + material as published; reconciles to the published rate.</t>
        </is>
      </c>
    </row>
    <row r="398" ht="13" customHeight="1">
      <c r="A398" s="4" t="n">
        <v>762</v>
      </c>
      <c r="B398" s="5" t="inlineStr">
        <is>
          <t>IMG_0076</t>
        </is>
      </c>
      <c r="C398" s="5" t="inlineStr">
        <is>
          <t>CLASS E: EARTHWORKS</t>
        </is>
      </c>
      <c r="D398" s="5" t="inlineStr">
        <is>
          <t>EARTH MOVING</t>
        </is>
      </c>
      <c r="E398" s="5" t="inlineStr">
        <is>
          <t>Motorized scraper, 15 m3 capacity (for excavating larger volumes over large haul lengths, excavating to reduce levels and also levelling ground, grading large sites, moving and tipping material including hard material - used in open cast sites)</t>
        </is>
      </c>
      <c r="F398" s="5" t="inlineStr">
        <is>
          <t>average haul one way 500 m</t>
        </is>
      </c>
      <c r="G398" s="6" t="inlineStr">
        <is>
          <t>m3</t>
        </is>
      </c>
      <c r="H398" s="7" t="n"/>
      <c r="I398" s="8" t="n">
        <v>0.18</v>
      </c>
      <c r="J398" s="8" t="n">
        <v>1.14</v>
      </c>
      <c r="K398" s="8" t="n">
        <v>0</v>
      </c>
      <c r="L398" s="8" t="n">
        <v>0</v>
      </c>
      <c r="M398" s="9">
        <f>ROUND(SUM(I398:L398),2)</f>
        <v/>
      </c>
      <c r="N398" s="10">
        <f>ROUND(I398*'Irish Basis'!$C$6*'Irish Basis'!$C$5,2)</f>
        <v/>
      </c>
      <c r="O398" s="10">
        <f>ROUND(J398*'Irish Basis'!$C$7*'Irish Basis'!$C$5,2)</f>
        <v/>
      </c>
      <c r="P398" s="10">
        <f>ROUND(K398*'Irish Basis'!$C$8*'Irish Basis'!$C$5,2)</f>
        <v/>
      </c>
      <c r="Q398" s="10">
        <f>ROUND(L398*'Irish Basis'!$C$12*'Irish Basis'!$C$5,2)</f>
        <v/>
      </c>
      <c r="R398" s="11">
        <f>ROUND(SUM(N398:Q398),2)</f>
        <v/>
      </c>
      <c r="S398" s="5" t="inlineStr">
        <is>
          <t>Stated build-up</t>
        </is>
      </c>
      <c r="T398" s="12" t="inlineStr">
        <is>
          <t>High</t>
        </is>
      </c>
      <c r="U398" s="8" t="n">
        <v>1.32</v>
      </c>
      <c r="V398" s="13">
        <f>IF(U398="","",ROUND(M398-U398,2))</f>
        <v/>
      </c>
      <c r="W398" s="5" t="n"/>
      <c r="X398" s="5" t="inlineStr">
        <is>
          <t>Labour + plant + material as published; reconciles to the published rate.</t>
        </is>
      </c>
    </row>
    <row r="399" ht="13" customHeight="1">
      <c r="A399" s="4" t="n">
        <v>763</v>
      </c>
      <c r="B399" s="5" t="inlineStr">
        <is>
          <t>IMG_0076</t>
        </is>
      </c>
      <c r="C399" s="5" t="inlineStr">
        <is>
          <t>CLASS E: EARTHWORKS</t>
        </is>
      </c>
      <c r="D399" s="5" t="inlineStr">
        <is>
          <t>EARTH MOVING</t>
        </is>
      </c>
      <c r="E399" s="5" t="inlineStr">
        <is>
          <t>Motorized scraper, 15 m3 capacity (for excavating larger volumes over large haul lengths, excavating to reduce levels and also levelling ground, grading large sites, moving and tipping material including hard material - used in open cast sites)</t>
        </is>
      </c>
      <c r="F399" s="5" t="inlineStr">
        <is>
          <t>average haul one way 1,000 m</t>
        </is>
      </c>
      <c r="G399" s="6" t="inlineStr">
        <is>
          <t>m3</t>
        </is>
      </c>
      <c r="H399" s="7" t="n">
        <v>0.01</v>
      </c>
      <c r="I399" s="8" t="n">
        <v>0.27</v>
      </c>
      <c r="J399" s="8" t="n">
        <v>1.71</v>
      </c>
      <c r="K399" s="8" t="n">
        <v>0</v>
      </c>
      <c r="L399" s="8" t="n">
        <v>0</v>
      </c>
      <c r="M399" s="9">
        <f>ROUND(SUM(I399:L399),2)</f>
        <v/>
      </c>
      <c r="N399" s="10">
        <f>ROUND(I399*'Irish Basis'!$C$6*'Irish Basis'!$C$5,2)</f>
        <v/>
      </c>
      <c r="O399" s="10">
        <f>ROUND(J399*'Irish Basis'!$C$7*'Irish Basis'!$C$5,2)</f>
        <v/>
      </c>
      <c r="P399" s="10">
        <f>ROUND(K399*'Irish Basis'!$C$8*'Irish Basis'!$C$5,2)</f>
        <v/>
      </c>
      <c r="Q399" s="10">
        <f>ROUND(L399*'Irish Basis'!$C$12*'Irish Basis'!$C$5,2)</f>
        <v/>
      </c>
      <c r="R399" s="11">
        <f>ROUND(SUM(N399:Q399),2)</f>
        <v/>
      </c>
      <c r="S399" s="5" t="inlineStr">
        <is>
          <t>Stated build-up</t>
        </is>
      </c>
      <c r="T399" s="12" t="inlineStr">
        <is>
          <t>High</t>
        </is>
      </c>
      <c r="U399" s="8" t="n">
        <v>1.98</v>
      </c>
      <c r="V399" s="13">
        <f>IF(U399="","",ROUND(M399-U399,2))</f>
        <v/>
      </c>
      <c r="W399" s="5" t="n"/>
      <c r="X399" s="5" t="inlineStr">
        <is>
          <t>Labour + plant + material as published; reconciles to the published rate.</t>
        </is>
      </c>
    </row>
    <row r="400" ht="13" customHeight="1">
      <c r="A400" s="4" t="n">
        <v>764</v>
      </c>
      <c r="B400" s="5" t="inlineStr">
        <is>
          <t>IMG_0076</t>
        </is>
      </c>
      <c r="C400" s="5" t="inlineStr">
        <is>
          <t>CLASS E: EARTHWORKS</t>
        </is>
      </c>
      <c r="D400" s="5" t="inlineStr">
        <is>
          <t>EARTH MOVING</t>
        </is>
      </c>
      <c r="E400" s="5" t="inlineStr">
        <is>
          <t>Motorized scraper, 15 m3 capacity (for excavating larger volumes over large haul lengths, excavating to reduce levels and also levelling ground, grading large sites, moving and tipping material including hard material - used in open cast sites)</t>
        </is>
      </c>
      <c r="F400" s="5" t="inlineStr">
        <is>
          <t>average haul one way 2,000 m</t>
        </is>
      </c>
      <c r="G400" s="6" t="inlineStr">
        <is>
          <t>m3</t>
        </is>
      </c>
      <c r="H400" s="7" t="n">
        <v>0.01</v>
      </c>
      <c r="I400" s="8" t="n">
        <v>0.36</v>
      </c>
      <c r="J400" s="8" t="n">
        <v>2.28</v>
      </c>
      <c r="K400" s="8" t="n">
        <v>0</v>
      </c>
      <c r="L400" s="8" t="n">
        <v>0</v>
      </c>
      <c r="M400" s="9">
        <f>ROUND(SUM(I400:L400),2)</f>
        <v/>
      </c>
      <c r="N400" s="10">
        <f>ROUND(I400*'Irish Basis'!$C$6*'Irish Basis'!$C$5,2)</f>
        <v/>
      </c>
      <c r="O400" s="10">
        <f>ROUND(J400*'Irish Basis'!$C$7*'Irish Basis'!$C$5,2)</f>
        <v/>
      </c>
      <c r="P400" s="10">
        <f>ROUND(K400*'Irish Basis'!$C$8*'Irish Basis'!$C$5,2)</f>
        <v/>
      </c>
      <c r="Q400" s="10">
        <f>ROUND(L400*'Irish Basis'!$C$12*'Irish Basis'!$C$5,2)</f>
        <v/>
      </c>
      <c r="R400" s="11">
        <f>ROUND(SUM(N400:Q400),2)</f>
        <v/>
      </c>
      <c r="S400" s="5" t="inlineStr">
        <is>
          <t>Stated build-up</t>
        </is>
      </c>
      <c r="T400" s="12" t="inlineStr">
        <is>
          <t>High</t>
        </is>
      </c>
      <c r="U400" s="8" t="n">
        <v>2.64</v>
      </c>
      <c r="V400" s="13">
        <f>IF(U400="","",ROUND(M400-U400,2))</f>
        <v/>
      </c>
      <c r="W400" s="5" t="n"/>
      <c r="X400" s="5" t="inlineStr">
        <is>
          <t>Labour + plant + material as published; reconciles to the published rate.</t>
        </is>
      </c>
    </row>
    <row r="401" ht="13" customHeight="1">
      <c r="A401" s="4" t="n">
        <v>765</v>
      </c>
      <c r="B401" s="5" t="inlineStr">
        <is>
          <t>IMG_0076</t>
        </is>
      </c>
      <c r="C401" s="5" t="inlineStr">
        <is>
          <t>CLASS E: EARTHWORKS</t>
        </is>
      </c>
      <c r="D401" s="5" t="inlineStr">
        <is>
          <t>EARTH MOVING</t>
        </is>
      </c>
      <c r="E401" s="5" t="inlineStr">
        <is>
          <t>Motorized scraper, 15 m3 capacity (for excavating larger volumes over large haul lengths, excavating to reduce levels and also levelling ground, grading large sites, moving and tipping material including hard material - used in open cast sites)</t>
        </is>
      </c>
      <c r="F401" s="5" t="inlineStr">
        <is>
          <t>average haul one way 3,000 m</t>
        </is>
      </c>
      <c r="G401" s="6" t="inlineStr">
        <is>
          <t>m3</t>
        </is>
      </c>
      <c r="H401" s="7" t="n">
        <v>0.01</v>
      </c>
      <c r="I401" s="8" t="n">
        <v>0.45</v>
      </c>
      <c r="J401" s="8" t="n">
        <v>2.85</v>
      </c>
      <c r="K401" s="8" t="n">
        <v>0</v>
      </c>
      <c r="L401" s="8" t="n">
        <v>0</v>
      </c>
      <c r="M401" s="9">
        <f>ROUND(SUM(I401:L401),2)</f>
        <v/>
      </c>
      <c r="N401" s="10">
        <f>ROUND(I401*'Irish Basis'!$C$6*'Irish Basis'!$C$5,2)</f>
        <v/>
      </c>
      <c r="O401" s="10">
        <f>ROUND(J401*'Irish Basis'!$C$7*'Irish Basis'!$C$5,2)</f>
        <v/>
      </c>
      <c r="P401" s="10">
        <f>ROUND(K401*'Irish Basis'!$C$8*'Irish Basis'!$C$5,2)</f>
        <v/>
      </c>
      <c r="Q401" s="10">
        <f>ROUND(L401*'Irish Basis'!$C$12*'Irish Basis'!$C$5,2)</f>
        <v/>
      </c>
      <c r="R401" s="11">
        <f>ROUND(SUM(N401:Q401),2)</f>
        <v/>
      </c>
      <c r="S401" s="5" t="inlineStr">
        <is>
          <t>Stated build-up</t>
        </is>
      </c>
      <c r="T401" s="12" t="inlineStr">
        <is>
          <t>High</t>
        </is>
      </c>
      <c r="U401" s="8" t="n">
        <v>3.3</v>
      </c>
      <c r="V401" s="13">
        <f>IF(U401="","",ROUND(M401-U401,2))</f>
        <v/>
      </c>
      <c r="W401" s="5" t="n"/>
      <c r="X401" s="5" t="inlineStr">
        <is>
          <t>Labour + plant + material as published; reconciles to the published rate.</t>
        </is>
      </c>
    </row>
    <row r="402" ht="13" customHeight="1">
      <c r="A402" s="4" t="n">
        <v>767</v>
      </c>
      <c r="B402" s="5" t="inlineStr">
        <is>
          <t>IMG_0076</t>
        </is>
      </c>
      <c r="C402" s="5" t="inlineStr">
        <is>
          <t>CLASS E: EARTHWORKS</t>
        </is>
      </c>
      <c r="D402" s="5" t="inlineStr">
        <is>
          <t>EARTH MOVING</t>
        </is>
      </c>
      <c r="E402" s="5" t="inlineStr">
        <is>
          <t>Twin engined motorized scraper, 16 m3 capacity</t>
        </is>
      </c>
      <c r="F402" s="5" t="inlineStr">
        <is>
          <t>average haul one way 500 m</t>
        </is>
      </c>
      <c r="G402" s="6" t="inlineStr">
        <is>
          <t>m3</t>
        </is>
      </c>
      <c r="H402" s="7" t="n"/>
      <c r="I402" s="8" t="n">
        <v>0.13</v>
      </c>
      <c r="J402" s="8" t="n">
        <v>1.15</v>
      </c>
      <c r="K402" s="8" t="n">
        <v>0</v>
      </c>
      <c r="L402" s="8" t="n">
        <v>0</v>
      </c>
      <c r="M402" s="9">
        <f>ROUND(SUM(I402:L402),2)</f>
        <v/>
      </c>
      <c r="N402" s="10">
        <f>ROUND(I402*'Irish Basis'!$C$6*'Irish Basis'!$C$5,2)</f>
        <v/>
      </c>
      <c r="O402" s="10">
        <f>ROUND(J402*'Irish Basis'!$C$7*'Irish Basis'!$C$5,2)</f>
        <v/>
      </c>
      <c r="P402" s="10">
        <f>ROUND(K402*'Irish Basis'!$C$8*'Irish Basis'!$C$5,2)</f>
        <v/>
      </c>
      <c r="Q402" s="10">
        <f>ROUND(L402*'Irish Basis'!$C$12*'Irish Basis'!$C$5,2)</f>
        <v/>
      </c>
      <c r="R402" s="11">
        <f>ROUND(SUM(N402:Q402),2)</f>
        <v/>
      </c>
      <c r="S402" s="5" t="inlineStr">
        <is>
          <t>Stated build-up</t>
        </is>
      </c>
      <c r="T402" s="12" t="inlineStr">
        <is>
          <t>High</t>
        </is>
      </c>
      <c r="U402" s="8" t="n">
        <v>1.29</v>
      </c>
      <c r="V402" s="13">
        <f>IF(U402="","",ROUND(M402-U402,2))</f>
        <v/>
      </c>
      <c r="W402" s="5" t="n"/>
      <c r="X402" s="5" t="inlineStr">
        <is>
          <t>Labour + plant + material as published; reconciles to the published rate.</t>
        </is>
      </c>
    </row>
    <row r="403" ht="13" customHeight="1">
      <c r="A403" s="4" t="n">
        <v>768</v>
      </c>
      <c r="B403" s="5" t="inlineStr">
        <is>
          <t>IMG_0076</t>
        </is>
      </c>
      <c r="C403" s="5" t="inlineStr">
        <is>
          <t>CLASS E: EARTHWORKS</t>
        </is>
      </c>
      <c r="D403" s="5" t="inlineStr">
        <is>
          <t>EARTH MOVING</t>
        </is>
      </c>
      <c r="E403" s="5" t="inlineStr">
        <is>
          <t>Twin engined motorized scraper, 16 m3 capacity</t>
        </is>
      </c>
      <c r="F403" s="5" t="inlineStr">
        <is>
          <t>average haul one way 1,000 m</t>
        </is>
      </c>
      <c r="G403" s="6" t="inlineStr">
        <is>
          <t>m3</t>
        </is>
      </c>
      <c r="H403" s="7" t="n"/>
      <c r="I403" s="8" t="n">
        <v>0.18</v>
      </c>
      <c r="J403" s="8" t="n">
        <v>1.54</v>
      </c>
      <c r="K403" s="8" t="n">
        <v>0</v>
      </c>
      <c r="L403" s="8" t="n">
        <v>0</v>
      </c>
      <c r="M403" s="9">
        <f>ROUND(SUM(I403:L403),2)</f>
        <v/>
      </c>
      <c r="N403" s="10">
        <f>ROUND(I403*'Irish Basis'!$C$6*'Irish Basis'!$C$5,2)</f>
        <v/>
      </c>
      <c r="O403" s="10">
        <f>ROUND(J403*'Irish Basis'!$C$7*'Irish Basis'!$C$5,2)</f>
        <v/>
      </c>
      <c r="P403" s="10">
        <f>ROUND(K403*'Irish Basis'!$C$8*'Irish Basis'!$C$5,2)</f>
        <v/>
      </c>
      <c r="Q403" s="10">
        <f>ROUND(L403*'Irish Basis'!$C$12*'Irish Basis'!$C$5,2)</f>
        <v/>
      </c>
      <c r="R403" s="11">
        <f>ROUND(SUM(N403:Q403),2)</f>
        <v/>
      </c>
      <c r="S403" s="5" t="inlineStr">
        <is>
          <t>Stated build-up</t>
        </is>
      </c>
      <c r="T403" s="12" t="inlineStr">
        <is>
          <t>High</t>
        </is>
      </c>
      <c r="U403" s="8" t="n">
        <v>1.72</v>
      </c>
      <c r="V403" s="13">
        <f>IF(U403="","",ROUND(M403-U403,2))</f>
        <v/>
      </c>
      <c r="W403" s="5" t="n"/>
      <c r="X403" s="5" t="inlineStr">
        <is>
          <t>Labour + plant + material as published; reconciles to the published rate.</t>
        </is>
      </c>
    </row>
    <row r="404" ht="13" customHeight="1">
      <c r="A404" s="4" t="n">
        <v>769</v>
      </c>
      <c r="B404" s="5" t="inlineStr">
        <is>
          <t>IMG_0076</t>
        </is>
      </c>
      <c r="C404" s="5" t="inlineStr">
        <is>
          <t>CLASS E: EARTHWORKS</t>
        </is>
      </c>
      <c r="D404" s="5" t="inlineStr">
        <is>
          <t>EARTH MOVING</t>
        </is>
      </c>
      <c r="E404" s="5" t="inlineStr">
        <is>
          <t>Twin engined motorized scraper, 16 m3 capacity</t>
        </is>
      </c>
      <c r="F404" s="5" t="inlineStr">
        <is>
          <t>average haul one way 2,000 m</t>
        </is>
      </c>
      <c r="G404" s="6" t="inlineStr">
        <is>
          <t>m3</t>
        </is>
      </c>
      <c r="H404" s="7" t="n">
        <v>0.01</v>
      </c>
      <c r="I404" s="8" t="n">
        <v>0.22</v>
      </c>
      <c r="J404" s="8" t="n">
        <v>1.92</v>
      </c>
      <c r="K404" s="8" t="n">
        <v>0</v>
      </c>
      <c r="L404" s="8" t="n">
        <v>0</v>
      </c>
      <c r="M404" s="9">
        <f>ROUND(SUM(I404:L404),2)</f>
        <v/>
      </c>
      <c r="N404" s="10">
        <f>ROUND(I404*'Irish Basis'!$C$6*'Irish Basis'!$C$5,2)</f>
        <v/>
      </c>
      <c r="O404" s="10">
        <f>ROUND(J404*'Irish Basis'!$C$7*'Irish Basis'!$C$5,2)</f>
        <v/>
      </c>
      <c r="P404" s="10">
        <f>ROUND(K404*'Irish Basis'!$C$8*'Irish Basis'!$C$5,2)</f>
        <v/>
      </c>
      <c r="Q404" s="10">
        <f>ROUND(L404*'Irish Basis'!$C$12*'Irish Basis'!$C$5,2)</f>
        <v/>
      </c>
      <c r="R404" s="11">
        <f>ROUND(SUM(N404:Q404),2)</f>
        <v/>
      </c>
      <c r="S404" s="5" t="inlineStr">
        <is>
          <t>Stated build-up</t>
        </is>
      </c>
      <c r="T404" s="12" t="inlineStr">
        <is>
          <t>High</t>
        </is>
      </c>
      <c r="U404" s="8" t="n">
        <v>2.15</v>
      </c>
      <c r="V404" s="13">
        <f>IF(U404="","",ROUND(M404-U404,2))</f>
        <v/>
      </c>
      <c r="W404" s="5" t="n"/>
      <c r="X404" s="5" t="inlineStr">
        <is>
          <t>Labour + plant + material as published; reconciles to the published rate.</t>
        </is>
      </c>
    </row>
    <row r="405" ht="13" customHeight="1">
      <c r="A405" s="4" t="n">
        <v>770</v>
      </c>
      <c r="B405" s="5" t="inlineStr">
        <is>
          <t>IMG_0076</t>
        </is>
      </c>
      <c r="C405" s="5" t="inlineStr">
        <is>
          <t>CLASS E: EARTHWORKS</t>
        </is>
      </c>
      <c r="D405" s="5" t="inlineStr">
        <is>
          <t>EARTH MOVING</t>
        </is>
      </c>
      <c r="E405" s="5" t="inlineStr">
        <is>
          <t>Twin engined motorized scraper, 16 m3 capacity</t>
        </is>
      </c>
      <c r="F405" s="5" t="inlineStr">
        <is>
          <t>average haul one way 3,000 m</t>
        </is>
      </c>
      <c r="G405" s="6" t="inlineStr">
        <is>
          <t>m3</t>
        </is>
      </c>
      <c r="H405" s="7" t="n">
        <v>0.01</v>
      </c>
      <c r="I405" s="8" t="n">
        <v>0.31</v>
      </c>
      <c r="J405" s="8" t="n">
        <v>2.69</v>
      </c>
      <c r="K405" s="8" t="n">
        <v>0</v>
      </c>
      <c r="L405" s="8" t="n">
        <v>0</v>
      </c>
      <c r="M405" s="9">
        <f>ROUND(SUM(I405:L405),2)</f>
        <v/>
      </c>
      <c r="N405" s="10">
        <f>ROUND(I405*'Irish Basis'!$C$6*'Irish Basis'!$C$5,2)</f>
        <v/>
      </c>
      <c r="O405" s="10">
        <f>ROUND(J405*'Irish Basis'!$C$7*'Irish Basis'!$C$5,2)</f>
        <v/>
      </c>
      <c r="P405" s="10">
        <f>ROUND(K405*'Irish Basis'!$C$8*'Irish Basis'!$C$5,2)</f>
        <v/>
      </c>
      <c r="Q405" s="10">
        <f>ROUND(L405*'Irish Basis'!$C$12*'Irish Basis'!$C$5,2)</f>
        <v/>
      </c>
      <c r="R405" s="11">
        <f>ROUND(SUM(N405:Q405),2)</f>
        <v/>
      </c>
      <c r="S405" s="5" t="inlineStr">
        <is>
          <t>Stated build-up</t>
        </is>
      </c>
      <c r="T405" s="12" t="inlineStr">
        <is>
          <t>High</t>
        </is>
      </c>
      <c r="U405" s="8" t="n">
        <v>3.01</v>
      </c>
      <c r="V405" s="13">
        <f>IF(U405="","",ROUND(M405-U405,2))</f>
        <v/>
      </c>
      <c r="W405" s="5" t="n"/>
      <c r="X405" s="5" t="inlineStr">
        <is>
          <t>Labour + plant + material as published; reconciles to the published rate.</t>
        </is>
      </c>
    </row>
    <row r="406" ht="13" customHeight="1">
      <c r="A406" s="4" t="n">
        <v>772</v>
      </c>
      <c r="B406" s="5" t="inlineStr">
        <is>
          <t>IMG_0076</t>
        </is>
      </c>
      <c r="C406" s="5" t="inlineStr">
        <is>
          <t>CLASS E: EARTHWORKS</t>
        </is>
      </c>
      <c r="D406" s="5" t="inlineStr">
        <is>
          <t>EARTH MOVING</t>
        </is>
      </c>
      <c r="E406" s="5" t="inlineStr">
        <is>
          <t>Twin engined motorized scraper, 34 m3 capacity</t>
        </is>
      </c>
      <c r="F406" s="5" t="inlineStr">
        <is>
          <t>average haul one way 500 m</t>
        </is>
      </c>
      <c r="G406" s="6" t="inlineStr">
        <is>
          <t>m3</t>
        </is>
      </c>
      <c r="H406" s="7" t="n"/>
      <c r="I406" s="8" t="n">
        <v>0.09</v>
      </c>
      <c r="J406" s="8" t="n">
        <v>1.59</v>
      </c>
      <c r="K406" s="8" t="n">
        <v>0</v>
      </c>
      <c r="L406" s="8" t="n">
        <v>0</v>
      </c>
      <c r="M406" s="9">
        <f>ROUND(SUM(I406:L406),2)</f>
        <v/>
      </c>
      <c r="N406" s="10">
        <f>ROUND(I406*'Irish Basis'!$C$6*'Irish Basis'!$C$5,2)</f>
        <v/>
      </c>
      <c r="O406" s="10">
        <f>ROUND(J406*'Irish Basis'!$C$7*'Irish Basis'!$C$5,2)</f>
        <v/>
      </c>
      <c r="P406" s="10">
        <f>ROUND(K406*'Irish Basis'!$C$8*'Irish Basis'!$C$5,2)</f>
        <v/>
      </c>
      <c r="Q406" s="10">
        <f>ROUND(L406*'Irish Basis'!$C$12*'Irish Basis'!$C$5,2)</f>
        <v/>
      </c>
      <c r="R406" s="11">
        <f>ROUND(SUM(N406:Q406),2)</f>
        <v/>
      </c>
      <c r="S406" s="5" t="inlineStr">
        <is>
          <t>Stated build-up</t>
        </is>
      </c>
      <c r="T406" s="12" t="inlineStr">
        <is>
          <t>High</t>
        </is>
      </c>
      <c r="U406" s="8" t="n">
        <v>1.68</v>
      </c>
      <c r="V406" s="13">
        <f>IF(U406="","",ROUND(M406-U406,2))</f>
        <v/>
      </c>
      <c r="W406" s="5" t="n"/>
      <c r="X406" s="5" t="inlineStr">
        <is>
          <t>Labour + plant + material as published; reconciles to the published rate.</t>
        </is>
      </c>
    </row>
    <row r="407" ht="13" customHeight="1">
      <c r="A407" s="4" t="n">
        <v>773</v>
      </c>
      <c r="B407" s="5" t="inlineStr">
        <is>
          <t>IMG_0076</t>
        </is>
      </c>
      <c r="C407" s="5" t="inlineStr">
        <is>
          <t>CLASS E: EARTHWORKS</t>
        </is>
      </c>
      <c r="D407" s="5" t="inlineStr">
        <is>
          <t>EARTH MOVING</t>
        </is>
      </c>
      <c r="E407" s="5" t="inlineStr">
        <is>
          <t>Twin engined motorized scraper, 34 m3 capacity</t>
        </is>
      </c>
      <c r="F407" s="5" t="inlineStr">
        <is>
          <t>average haul one way 1,000 m</t>
        </is>
      </c>
      <c r="G407" s="6" t="inlineStr">
        <is>
          <t>m3</t>
        </is>
      </c>
      <c r="H407" s="7" t="n"/>
      <c r="I407" s="8" t="n">
        <v>0.13</v>
      </c>
      <c r="J407" s="8" t="n">
        <v>2.38</v>
      </c>
      <c r="K407" s="8" t="n">
        <v>0</v>
      </c>
      <c r="L407" s="8" t="n">
        <v>0</v>
      </c>
      <c r="M407" s="9">
        <f>ROUND(SUM(I407:L407),2)</f>
        <v/>
      </c>
      <c r="N407" s="10">
        <f>ROUND(I407*'Irish Basis'!$C$6*'Irish Basis'!$C$5,2)</f>
        <v/>
      </c>
      <c r="O407" s="10">
        <f>ROUND(J407*'Irish Basis'!$C$7*'Irish Basis'!$C$5,2)</f>
        <v/>
      </c>
      <c r="P407" s="10">
        <f>ROUND(K407*'Irish Basis'!$C$8*'Irish Basis'!$C$5,2)</f>
        <v/>
      </c>
      <c r="Q407" s="10">
        <f>ROUND(L407*'Irish Basis'!$C$12*'Irish Basis'!$C$5,2)</f>
        <v/>
      </c>
      <c r="R407" s="11">
        <f>ROUND(SUM(N407:Q407),2)</f>
        <v/>
      </c>
      <c r="S407" s="5" t="inlineStr">
        <is>
          <t>Stated build-up</t>
        </is>
      </c>
      <c r="T407" s="12" t="inlineStr">
        <is>
          <t>High</t>
        </is>
      </c>
      <c r="U407" s="8" t="n">
        <v>2.52</v>
      </c>
      <c r="V407" s="13">
        <f>IF(U407="","",ROUND(M407-U407,2))</f>
        <v/>
      </c>
      <c r="W407" s="5" t="n"/>
      <c r="X407" s="5" t="inlineStr">
        <is>
          <t>Labour + plant + material as published; reconciles to the published rate.</t>
        </is>
      </c>
    </row>
    <row r="408" ht="13" customHeight="1">
      <c r="A408" s="4" t="n">
        <v>774</v>
      </c>
      <c r="B408" s="5" t="inlineStr">
        <is>
          <t>IMG_0076</t>
        </is>
      </c>
      <c r="C408" s="5" t="inlineStr">
        <is>
          <t>CLASS E: EARTHWORKS</t>
        </is>
      </c>
      <c r="D408" s="5" t="inlineStr">
        <is>
          <t>EARTH MOVING</t>
        </is>
      </c>
      <c r="E408" s="5" t="inlineStr">
        <is>
          <t>Twin engined motorized scraper, 34 m3 capacity</t>
        </is>
      </c>
      <c r="F408" s="5" t="inlineStr">
        <is>
          <t>average haul one way 2,000 m</t>
        </is>
      </c>
      <c r="G408" s="6" t="inlineStr">
        <is>
          <t>m3</t>
        </is>
      </c>
      <c r="H408" s="7" t="n"/>
      <c r="I408" s="8" t="n">
        <v>0.13</v>
      </c>
      <c r="J408" s="8" t="n">
        <v>2.38</v>
      </c>
      <c r="K408" s="8" t="n">
        <v>0</v>
      </c>
      <c r="L408" s="8" t="n">
        <v>0</v>
      </c>
      <c r="M408" s="9">
        <f>ROUND(SUM(I408:L408),2)</f>
        <v/>
      </c>
      <c r="N408" s="10">
        <f>ROUND(I408*'Irish Basis'!$C$6*'Irish Basis'!$C$5,2)</f>
        <v/>
      </c>
      <c r="O408" s="10">
        <f>ROUND(J408*'Irish Basis'!$C$7*'Irish Basis'!$C$5,2)</f>
        <v/>
      </c>
      <c r="P408" s="10">
        <f>ROUND(K408*'Irish Basis'!$C$8*'Irish Basis'!$C$5,2)</f>
        <v/>
      </c>
      <c r="Q408" s="10">
        <f>ROUND(L408*'Irish Basis'!$C$12*'Irish Basis'!$C$5,2)</f>
        <v/>
      </c>
      <c r="R408" s="11">
        <f>ROUND(SUM(N408:Q408),2)</f>
        <v/>
      </c>
      <c r="S408" s="5" t="inlineStr">
        <is>
          <t>Stated build-up</t>
        </is>
      </c>
      <c r="T408" s="12" t="inlineStr">
        <is>
          <t>High</t>
        </is>
      </c>
      <c r="U408" s="8" t="n">
        <v>2.52</v>
      </c>
      <c r="V408" s="13">
        <f>IF(U408="","",ROUND(M408-U408,2))</f>
        <v/>
      </c>
      <c r="W408" s="5" t="n"/>
      <c r="X408" s="5" t="inlineStr">
        <is>
          <t>Labour + plant + material as published; reconciles to the published rate.</t>
        </is>
      </c>
    </row>
    <row r="409" ht="13" customHeight="1">
      <c r="A409" s="4" t="n">
        <v>775</v>
      </c>
      <c r="B409" s="5" t="inlineStr">
        <is>
          <t>IMG_0076</t>
        </is>
      </c>
      <c r="C409" s="5" t="inlineStr">
        <is>
          <t>CLASS E: EARTHWORKS</t>
        </is>
      </c>
      <c r="D409" s="5" t="inlineStr">
        <is>
          <t>EARTH MOVING</t>
        </is>
      </c>
      <c r="E409" s="5" t="inlineStr">
        <is>
          <t>Twin engined motorized scraper, 34 m3 capacity</t>
        </is>
      </c>
      <c r="F409" s="5" t="inlineStr">
        <is>
          <t>average haul one way 3,000 m</t>
        </is>
      </c>
      <c r="G409" s="6" t="inlineStr">
        <is>
          <t>m3</t>
        </is>
      </c>
      <c r="H409" s="7" t="n"/>
      <c r="I409" s="8" t="n">
        <v>0.18</v>
      </c>
      <c r="J409" s="8" t="n">
        <v>3.18</v>
      </c>
      <c r="K409" s="8" t="n">
        <v>0</v>
      </c>
      <c r="L409" s="8" t="n">
        <v>0</v>
      </c>
      <c r="M409" s="9">
        <f>ROUND(SUM(I409:L409),2)</f>
        <v/>
      </c>
      <c r="N409" s="10">
        <f>ROUND(I409*'Irish Basis'!$C$6*'Irish Basis'!$C$5,2)</f>
        <v/>
      </c>
      <c r="O409" s="10">
        <f>ROUND(J409*'Irish Basis'!$C$7*'Irish Basis'!$C$5,2)</f>
        <v/>
      </c>
      <c r="P409" s="10">
        <f>ROUND(K409*'Irish Basis'!$C$8*'Irish Basis'!$C$5,2)</f>
        <v/>
      </c>
      <c r="Q409" s="10">
        <f>ROUND(L409*'Irish Basis'!$C$12*'Irish Basis'!$C$5,2)</f>
        <v/>
      </c>
      <c r="R409" s="11">
        <f>ROUND(SUM(N409:Q409),2)</f>
        <v/>
      </c>
      <c r="S409" s="5" t="inlineStr">
        <is>
          <t>Stated build-up</t>
        </is>
      </c>
      <c r="T409" s="12" t="inlineStr">
        <is>
          <t>High</t>
        </is>
      </c>
      <c r="U409" s="8" t="n">
        <v>3.36</v>
      </c>
      <c r="V409" s="13">
        <f>IF(U409="","",ROUND(M409-U409,2))</f>
        <v/>
      </c>
      <c r="W409" s="5" t="n"/>
      <c r="X409" s="5" t="inlineStr">
        <is>
          <t>Labour + plant + material as published; reconciles to the published rate.</t>
        </is>
      </c>
    </row>
    <row r="410" ht="13" customHeight="1">
      <c r="A410" s="4" t="n">
        <v>779</v>
      </c>
      <c r="B410" s="5" t="inlineStr">
        <is>
          <t>IMG_0076</t>
        </is>
      </c>
      <c r="C410" s="5" t="inlineStr">
        <is>
          <t>CLASS E: EARTHWORKS</t>
        </is>
      </c>
      <c r="D410" s="5" t="inlineStr">
        <is>
          <t>EARTH MOVING</t>
        </is>
      </c>
      <c r="E410" s="5" t="inlineStr">
        <is>
          <t>Excavate and load into skip or dumper bucket</t>
        </is>
      </c>
      <c r="F410" s="5" t="inlineStr">
        <is>
          <t>loose material</t>
        </is>
      </c>
      <c r="G410" s="6" t="inlineStr">
        <is>
          <t>m3</t>
        </is>
      </c>
      <c r="H410" s="7" t="n">
        <v>2.02</v>
      </c>
      <c r="I410" s="8" t="n">
        <v>49.84</v>
      </c>
      <c r="J410" s="8" t="n">
        <v>0</v>
      </c>
      <c r="K410" s="8" t="n">
        <v>0</v>
      </c>
      <c r="L410" s="8" t="n">
        <v>0</v>
      </c>
      <c r="M410" s="9">
        <f>ROUND(SUM(I410:L410),2)</f>
        <v/>
      </c>
      <c r="N410" s="10">
        <f>ROUND(I410*'Irish Basis'!$C$6*'Irish Basis'!$C$5,2)</f>
        <v/>
      </c>
      <c r="O410" s="10">
        <f>ROUND(J410*'Irish Basis'!$C$7*'Irish Basis'!$C$5,2)</f>
        <v/>
      </c>
      <c r="P410" s="10">
        <f>ROUND(K410*'Irish Basis'!$C$8*'Irish Basis'!$C$5,2)</f>
        <v/>
      </c>
      <c r="Q410" s="10">
        <f>ROUND(L410*'Irish Basis'!$C$12*'Irish Basis'!$C$5,2)</f>
        <v/>
      </c>
      <c r="R410" s="11">
        <f>ROUND(SUM(N410:Q410),2)</f>
        <v/>
      </c>
      <c r="S410" s="5" t="inlineStr">
        <is>
          <t>Stated build-up</t>
        </is>
      </c>
      <c r="T410" s="12" t="inlineStr">
        <is>
          <t>High</t>
        </is>
      </c>
      <c r="U410" s="8" t="n">
        <v>49.84</v>
      </c>
      <c r="V410" s="13">
        <f>IF(U410="","",ROUND(M410-U410,2))</f>
        <v/>
      </c>
      <c r="W410" s="5" t="n"/>
      <c r="X410" s="5" t="inlineStr">
        <is>
          <t>Labour + plant + material as published; reconciles to the published rate.</t>
        </is>
      </c>
    </row>
    <row r="411" ht="13" customHeight="1">
      <c r="A411" s="4" t="n">
        <v>780</v>
      </c>
      <c r="B411" s="5" t="inlineStr">
        <is>
          <t>IMG_0076</t>
        </is>
      </c>
      <c r="C411" s="5" t="inlineStr">
        <is>
          <t>CLASS E: EARTHWORKS</t>
        </is>
      </c>
      <c r="D411" s="5" t="inlineStr">
        <is>
          <t>EARTH MOVING</t>
        </is>
      </c>
      <c r="E411" s="5" t="inlineStr">
        <is>
          <t>Excavate and load into skip or dumper bucket</t>
        </is>
      </c>
      <c r="F411" s="5" t="inlineStr">
        <is>
          <t>compacted soil or clay</t>
        </is>
      </c>
      <c r="G411" s="6" t="inlineStr">
        <is>
          <t>m3</t>
        </is>
      </c>
      <c r="H411" s="7" t="n">
        <v>3.15</v>
      </c>
      <c r="I411" s="8" t="n">
        <v>77.73</v>
      </c>
      <c r="J411" s="8" t="n">
        <v>0</v>
      </c>
      <c r="K411" s="8" t="n">
        <v>0</v>
      </c>
      <c r="L411" s="8" t="n">
        <v>0</v>
      </c>
      <c r="M411" s="9">
        <f>ROUND(SUM(I411:L411),2)</f>
        <v/>
      </c>
      <c r="N411" s="10">
        <f>ROUND(I411*'Irish Basis'!$C$6*'Irish Basis'!$C$5,2)</f>
        <v/>
      </c>
      <c r="O411" s="10">
        <f>ROUND(J411*'Irish Basis'!$C$7*'Irish Basis'!$C$5,2)</f>
        <v/>
      </c>
      <c r="P411" s="10">
        <f>ROUND(K411*'Irish Basis'!$C$8*'Irish Basis'!$C$5,2)</f>
        <v/>
      </c>
      <c r="Q411" s="10">
        <f>ROUND(L411*'Irish Basis'!$C$12*'Irish Basis'!$C$5,2)</f>
        <v/>
      </c>
      <c r="R411" s="11">
        <f>ROUND(SUM(N411:Q411),2)</f>
        <v/>
      </c>
      <c r="S411" s="5" t="inlineStr">
        <is>
          <t>Stated build-up</t>
        </is>
      </c>
      <c r="T411" s="12" t="inlineStr">
        <is>
          <t>High</t>
        </is>
      </c>
      <c r="U411" s="8" t="n">
        <v>77.73</v>
      </c>
      <c r="V411" s="13">
        <f>IF(U411="","",ROUND(M411-U411,2))</f>
        <v/>
      </c>
      <c r="W411" s="5" t="n"/>
      <c r="X411" s="5" t="inlineStr">
        <is>
          <t>Labour + plant + material as published; reconciles to the published rate.</t>
        </is>
      </c>
    </row>
    <row r="412" ht="13" customHeight="1">
      <c r="A412" s="4" t="n">
        <v>781</v>
      </c>
      <c r="B412" s="5" t="inlineStr">
        <is>
          <t>IMG_0076</t>
        </is>
      </c>
      <c r="C412" s="5" t="inlineStr">
        <is>
          <t>CLASS E: EARTHWORKS</t>
        </is>
      </c>
      <c r="D412" s="5" t="inlineStr">
        <is>
          <t>EARTH MOVING</t>
        </is>
      </c>
      <c r="E412" s="5" t="inlineStr">
        <is>
          <t>Excavate and load into skip or dumper bucket</t>
        </is>
      </c>
      <c r="F412" s="5" t="inlineStr">
        <is>
          <t>mass concrete or sandstone</t>
        </is>
      </c>
      <c r="G412" s="6" t="inlineStr">
        <is>
          <t>m3</t>
        </is>
      </c>
      <c r="H412" s="7" t="n">
        <v>3</v>
      </c>
      <c r="I412" s="8" t="n">
        <v>74.03</v>
      </c>
      <c r="J412" s="8" t="n">
        <v>0</v>
      </c>
      <c r="K412" s="8" t="n">
        <v>0</v>
      </c>
      <c r="L412" s="8" t="n">
        <v>0</v>
      </c>
      <c r="M412" s="9">
        <f>ROUND(SUM(I412:L412),2)</f>
        <v/>
      </c>
      <c r="N412" s="10">
        <f>ROUND(I412*'Irish Basis'!$C$6*'Irish Basis'!$C$5,2)</f>
        <v/>
      </c>
      <c r="O412" s="10">
        <f>ROUND(J412*'Irish Basis'!$C$7*'Irish Basis'!$C$5,2)</f>
        <v/>
      </c>
      <c r="P412" s="10">
        <f>ROUND(K412*'Irish Basis'!$C$8*'Irish Basis'!$C$5,2)</f>
        <v/>
      </c>
      <c r="Q412" s="10">
        <f>ROUND(L412*'Irish Basis'!$C$12*'Irish Basis'!$C$5,2)</f>
        <v/>
      </c>
      <c r="R412" s="11">
        <f>ROUND(SUM(N412:Q412),2)</f>
        <v/>
      </c>
      <c r="S412" s="5" t="inlineStr">
        <is>
          <t>Stated build-up</t>
        </is>
      </c>
      <c r="T412" s="12" t="inlineStr">
        <is>
          <t>High</t>
        </is>
      </c>
      <c r="U412" s="8" t="n">
        <v>74.03</v>
      </c>
      <c r="V412" s="13">
        <f>IF(U412="","",ROUND(M412-U412,2))</f>
        <v/>
      </c>
      <c r="W412" s="5" t="n"/>
      <c r="X412" s="5" t="inlineStr">
        <is>
          <t>Labour + plant + material as published; reconciles to the published rate.</t>
        </is>
      </c>
    </row>
    <row r="413" ht="13" customHeight="1">
      <c r="A413" s="4" t="n">
        <v>782</v>
      </c>
      <c r="B413" s="5" t="inlineStr">
        <is>
          <t>IMG_0076</t>
        </is>
      </c>
      <c r="C413" s="5" t="inlineStr">
        <is>
          <t>CLASS E: EARTHWORKS</t>
        </is>
      </c>
      <c r="D413" s="5" t="inlineStr">
        <is>
          <t>EARTH MOVING</t>
        </is>
      </c>
      <c r="E413" s="5" t="inlineStr">
        <is>
          <t>Excavate and load into skip or dumper bucket</t>
        </is>
      </c>
      <c r="F413" s="5" t="inlineStr">
        <is>
          <t>broken rock</t>
        </is>
      </c>
      <c r="G413" s="6" t="inlineStr">
        <is>
          <t>m3</t>
        </is>
      </c>
      <c r="H413" s="7" t="n">
        <v>2.95</v>
      </c>
      <c r="I413" s="8" t="n">
        <v>72.79000000000001</v>
      </c>
      <c r="J413" s="8" t="n">
        <v>0</v>
      </c>
      <c r="K413" s="8" t="n">
        <v>0</v>
      </c>
      <c r="L413" s="8" t="n">
        <v>0</v>
      </c>
      <c r="M413" s="9">
        <f>ROUND(SUM(I413:L413),2)</f>
        <v/>
      </c>
      <c r="N413" s="10">
        <f>ROUND(I413*'Irish Basis'!$C$6*'Irish Basis'!$C$5,2)</f>
        <v/>
      </c>
      <c r="O413" s="10">
        <f>ROUND(J413*'Irish Basis'!$C$7*'Irish Basis'!$C$5,2)</f>
        <v/>
      </c>
      <c r="P413" s="10">
        <f>ROUND(K413*'Irish Basis'!$C$8*'Irish Basis'!$C$5,2)</f>
        <v/>
      </c>
      <c r="Q413" s="10">
        <f>ROUND(L413*'Irish Basis'!$C$12*'Irish Basis'!$C$5,2)</f>
        <v/>
      </c>
      <c r="R413" s="11">
        <f>ROUND(SUM(N413:Q413),2)</f>
        <v/>
      </c>
      <c r="S413" s="5" t="inlineStr">
        <is>
          <t>Stated build-up</t>
        </is>
      </c>
      <c r="T413" s="12" t="inlineStr">
        <is>
          <t>High</t>
        </is>
      </c>
      <c r="U413" s="8" t="n">
        <v>72.79000000000001</v>
      </c>
      <c r="V413" s="13">
        <f>IF(U413="","",ROUND(M413-U413,2))</f>
        <v/>
      </c>
      <c r="W413" s="5" t="n"/>
      <c r="X413" s="5" t="inlineStr">
        <is>
          <t>Labour + plant + material as published; reconciles to the published rate.</t>
        </is>
      </c>
    </row>
    <row r="414" ht="13" customHeight="1">
      <c r="A414" s="4" t="n">
        <v>783</v>
      </c>
      <c r="B414" s="5" t="inlineStr">
        <is>
          <t>IMG_0076</t>
        </is>
      </c>
      <c r="C414" s="5" t="inlineStr">
        <is>
          <t>CLASS E: EARTHWORKS</t>
        </is>
      </c>
      <c r="D414" s="5" t="inlineStr">
        <is>
          <t>EARTH MOVING</t>
        </is>
      </c>
      <c r="E414" s="5" t="inlineStr">
        <is>
          <t>Excavate and load into skip or dumper bucket</t>
        </is>
      </c>
      <c r="F414" s="5" t="inlineStr">
        <is>
          <t>existing subbase or pipe surrounds</t>
        </is>
      </c>
      <c r="G414" s="6" t="inlineStr">
        <is>
          <t>m3</t>
        </is>
      </c>
      <c r="H414" s="7" t="n">
        <v>3.12</v>
      </c>
      <c r="I414" s="8" t="n">
        <v>76.98999999999999</v>
      </c>
      <c r="J414" s="8" t="n">
        <v>0</v>
      </c>
      <c r="K414" s="8" t="n">
        <v>0</v>
      </c>
      <c r="L414" s="8" t="n">
        <v>0</v>
      </c>
      <c r="M414" s="9">
        <f>ROUND(SUM(I414:L414),2)</f>
        <v/>
      </c>
      <c r="N414" s="10">
        <f>ROUND(I414*'Irish Basis'!$C$6*'Irish Basis'!$C$5,2)</f>
        <v/>
      </c>
      <c r="O414" s="10">
        <f>ROUND(J414*'Irish Basis'!$C$7*'Irish Basis'!$C$5,2)</f>
        <v/>
      </c>
      <c r="P414" s="10">
        <f>ROUND(K414*'Irish Basis'!$C$8*'Irish Basis'!$C$5,2)</f>
        <v/>
      </c>
      <c r="Q414" s="10">
        <f>ROUND(L414*'Irish Basis'!$C$12*'Irish Basis'!$C$5,2)</f>
        <v/>
      </c>
      <c r="R414" s="11">
        <f>ROUND(SUM(N414:Q414),2)</f>
        <v/>
      </c>
      <c r="S414" s="5" t="inlineStr">
        <is>
          <t>Stated build-up</t>
        </is>
      </c>
      <c r="T414" s="12" t="inlineStr">
        <is>
          <t>High</t>
        </is>
      </c>
      <c r="U414" s="8" t="n">
        <v>76.98999999999999</v>
      </c>
      <c r="V414" s="13">
        <f>IF(U414="","",ROUND(M414-U414,2))</f>
        <v/>
      </c>
      <c r="W414" s="5" t="n"/>
      <c r="X414" s="5" t="inlineStr">
        <is>
          <t>Labour + plant + material as published; reconciles to the published rate.</t>
        </is>
      </c>
    </row>
    <row r="415" ht="13" customHeight="1">
      <c r="A415" s="4" t="n">
        <v>785</v>
      </c>
      <c r="B415" s="5" t="inlineStr">
        <is>
          <t>IMG_0076</t>
        </is>
      </c>
      <c r="C415" s="5" t="inlineStr">
        <is>
          <t>CLASS E: EARTHWORKS</t>
        </is>
      </c>
      <c r="D415" s="5" t="inlineStr">
        <is>
          <t>EARTH MOVING</t>
        </is>
      </c>
      <c r="E415" s="5" t="inlineStr">
        <is>
          <t>Excavate by hand using pneumatic equipment; excavate below ground using 1.80 m3/min single tool compressor and pneumatic breaker and load material into skip or dumper bucket</t>
        </is>
      </c>
      <c r="F415" s="5" t="inlineStr">
        <is>
          <t>rock (medium drill)</t>
        </is>
      </c>
      <c r="G415" s="6" t="inlineStr">
        <is>
          <t>m3</t>
        </is>
      </c>
      <c r="H415" s="7" t="n">
        <v>0.5</v>
      </c>
      <c r="I415" s="8" t="n">
        <v>12.34</v>
      </c>
      <c r="J415" s="8" t="n">
        <v>38.62</v>
      </c>
      <c r="K415" s="8" t="n">
        <v>0</v>
      </c>
      <c r="L415" s="8" t="n">
        <v>0</v>
      </c>
      <c r="M415" s="9">
        <f>ROUND(SUM(I415:L415),2)</f>
        <v/>
      </c>
      <c r="N415" s="10">
        <f>ROUND(I415*'Irish Basis'!$C$6*'Irish Basis'!$C$5,2)</f>
        <v/>
      </c>
      <c r="O415" s="10">
        <f>ROUND(J415*'Irish Basis'!$C$7*'Irish Basis'!$C$5,2)</f>
        <v/>
      </c>
      <c r="P415" s="10">
        <f>ROUND(K415*'Irish Basis'!$C$8*'Irish Basis'!$C$5,2)</f>
        <v/>
      </c>
      <c r="Q415" s="10">
        <f>ROUND(L415*'Irish Basis'!$C$12*'Irish Basis'!$C$5,2)</f>
        <v/>
      </c>
      <c r="R415" s="11">
        <f>ROUND(SUM(N415:Q415),2)</f>
        <v/>
      </c>
      <c r="S415" s="5" t="inlineStr">
        <is>
          <t>Stated build-up</t>
        </is>
      </c>
      <c r="T415" s="12" t="inlineStr">
        <is>
          <t>High</t>
        </is>
      </c>
      <c r="U415" s="8" t="n">
        <v>50.96</v>
      </c>
      <c r="V415" s="13">
        <f>IF(U415="","",ROUND(M415-U415,2))</f>
        <v/>
      </c>
      <c r="W415" s="5" t="n"/>
      <c r="X415" s="5" t="inlineStr">
        <is>
          <t>Labour + plant + material as published; reconciles to the published rate.</t>
        </is>
      </c>
    </row>
    <row r="416" ht="13" customHeight="1">
      <c r="A416" s="4" t="n">
        <v>786</v>
      </c>
      <c r="B416" s="5" t="inlineStr">
        <is>
          <t>IMG_0076</t>
        </is>
      </c>
      <c r="C416" s="5" t="inlineStr">
        <is>
          <t>CLASS E: EARTHWORKS</t>
        </is>
      </c>
      <c r="D416" s="5" t="inlineStr">
        <is>
          <t>EARTH MOVING</t>
        </is>
      </c>
      <c r="E416" s="5" t="inlineStr">
        <is>
          <t>Excavate by hand using pneumatic equipment; excavate below ground using 1.80 m3/min single tool compressor and pneumatic breaker and load material into skip or dumper bucket</t>
        </is>
      </c>
      <c r="F416" s="5" t="inlineStr">
        <is>
          <t>brickwork or mass concrete</t>
        </is>
      </c>
      <c r="G416" s="6" t="inlineStr">
        <is>
          <t>m3</t>
        </is>
      </c>
      <c r="H416" s="7" t="n">
        <v>2.76</v>
      </c>
      <c r="I416" s="8" t="n">
        <v>68.09999999999999</v>
      </c>
      <c r="J416" s="8" t="n">
        <v>49.41</v>
      </c>
      <c r="K416" s="8" t="n">
        <v>0</v>
      </c>
      <c r="L416" s="8" t="n">
        <v>0</v>
      </c>
      <c r="M416" s="9">
        <f>ROUND(SUM(I416:L416),2)</f>
        <v/>
      </c>
      <c r="N416" s="10">
        <f>ROUND(I416*'Irish Basis'!$C$6*'Irish Basis'!$C$5,2)</f>
        <v/>
      </c>
      <c r="O416" s="10">
        <f>ROUND(J416*'Irish Basis'!$C$7*'Irish Basis'!$C$5,2)</f>
        <v/>
      </c>
      <c r="P416" s="10">
        <f>ROUND(K416*'Irish Basis'!$C$8*'Irish Basis'!$C$5,2)</f>
        <v/>
      </c>
      <c r="Q416" s="10">
        <f>ROUND(L416*'Irish Basis'!$C$12*'Irish Basis'!$C$5,2)</f>
        <v/>
      </c>
      <c r="R416" s="11">
        <f>ROUND(SUM(N416:Q416),2)</f>
        <v/>
      </c>
      <c r="S416" s="5" t="inlineStr">
        <is>
          <t>Stated build-up</t>
        </is>
      </c>
      <c r="T416" s="12" t="inlineStr">
        <is>
          <t>High</t>
        </is>
      </c>
      <c r="U416" s="8" t="n">
        <v>117.52</v>
      </c>
      <c r="V416" s="13">
        <f>IF(U416="","",ROUND(M416-U416,2))</f>
        <v/>
      </c>
      <c r="W416" s="5" t="n"/>
      <c r="X416" s="5" t="inlineStr">
        <is>
          <t>Labour + plant + material as published; reconciles to the published rate.</t>
        </is>
      </c>
    </row>
    <row r="417" ht="13" customHeight="1">
      <c r="A417" s="4" t="n">
        <v>787</v>
      </c>
      <c r="B417" s="5" t="inlineStr">
        <is>
          <t>IMG_0076</t>
        </is>
      </c>
      <c r="C417" s="5" t="inlineStr">
        <is>
          <t>CLASS E: EARTHWORKS</t>
        </is>
      </c>
      <c r="D417" s="5" t="inlineStr">
        <is>
          <t>EARTH MOVING</t>
        </is>
      </c>
      <c r="E417" s="5" t="inlineStr">
        <is>
          <t>Excavate by hand using pneumatic equipment; excavate below ground using 1.80 m3/min single tool compressor and pneumatic breaker and load material into skip or dumper bucket</t>
        </is>
      </c>
      <c r="F417" s="5" t="inlineStr">
        <is>
          <t>reinforced concrete</t>
        </is>
      </c>
      <c r="G417" s="6" t="inlineStr">
        <is>
          <t>m3</t>
        </is>
      </c>
      <c r="H417" s="7" t="n">
        <v>3.87</v>
      </c>
      <c r="I417" s="8" t="n">
        <v>95.48999999999999</v>
      </c>
      <c r="J417" s="8" t="n">
        <v>67.03</v>
      </c>
      <c r="K417" s="8" t="n">
        <v>0</v>
      </c>
      <c r="L417" s="8" t="n">
        <v>0</v>
      </c>
      <c r="M417" s="9">
        <f>ROUND(SUM(I417:L417),2)</f>
        <v/>
      </c>
      <c r="N417" s="10">
        <f>ROUND(I417*'Irish Basis'!$C$6*'Irish Basis'!$C$5,2)</f>
        <v/>
      </c>
      <c r="O417" s="10">
        <f>ROUND(J417*'Irish Basis'!$C$7*'Irish Basis'!$C$5,2)</f>
        <v/>
      </c>
      <c r="P417" s="10">
        <f>ROUND(K417*'Irish Basis'!$C$8*'Irish Basis'!$C$5,2)</f>
        <v/>
      </c>
      <c r="Q417" s="10">
        <f>ROUND(L417*'Irish Basis'!$C$12*'Irish Basis'!$C$5,2)</f>
        <v/>
      </c>
      <c r="R417" s="11">
        <f>ROUND(SUM(N417:Q417),2)</f>
        <v/>
      </c>
      <c r="S417" s="5" t="inlineStr">
        <is>
          <t>Stated build-up</t>
        </is>
      </c>
      <c r="T417" s="12" t="inlineStr">
        <is>
          <t>High</t>
        </is>
      </c>
      <c r="U417" s="8" t="n">
        <v>162.52</v>
      </c>
      <c r="V417" s="13">
        <f>IF(U417="","",ROUND(M417-U417,2))</f>
        <v/>
      </c>
      <c r="W417" s="5" t="n"/>
      <c r="X417" s="5" t="inlineStr">
        <is>
          <t>Labour + plant + material as published; reconciles to the published rate.</t>
        </is>
      </c>
    </row>
    <row r="418" ht="13" customHeight="1">
      <c r="A418" s="4" t="n">
        <v>788</v>
      </c>
      <c r="B418" s="5" t="inlineStr">
        <is>
          <t>IMG_0076</t>
        </is>
      </c>
      <c r="C418" s="5" t="inlineStr">
        <is>
          <t>CLASS E: EARTHWORKS</t>
        </is>
      </c>
      <c r="D418" s="5" t="inlineStr">
        <is>
          <t>EARTH MOVING</t>
        </is>
      </c>
      <c r="E418" s="5" t="inlineStr">
        <is>
          <t>Excavate by hand using pneumatic equipment; excavate below ground using 1.80 m3/min single tool compressor and pneumatic breaker and load material into skip or dumper bucket</t>
        </is>
      </c>
      <c r="F418" s="5" t="inlineStr">
        <is>
          <t>asphalt in carriageways</t>
        </is>
      </c>
      <c r="G418" s="6" t="inlineStr">
        <is>
          <t>m3</t>
        </is>
      </c>
      <c r="H418" s="7" t="n">
        <v>1.15</v>
      </c>
      <c r="I418" s="8" t="n">
        <v>28.38</v>
      </c>
      <c r="J418" s="8" t="n">
        <v>26.98</v>
      </c>
      <c r="K418" s="8" t="n">
        <v>0</v>
      </c>
      <c r="L418" s="8" t="n">
        <v>0</v>
      </c>
      <c r="M418" s="9">
        <f>ROUND(SUM(I418:L418),2)</f>
        <v/>
      </c>
      <c r="N418" s="10">
        <f>ROUND(I418*'Irish Basis'!$C$6*'Irish Basis'!$C$5,2)</f>
        <v/>
      </c>
      <c r="O418" s="10">
        <f>ROUND(J418*'Irish Basis'!$C$7*'Irish Basis'!$C$5,2)</f>
        <v/>
      </c>
      <c r="P418" s="10">
        <f>ROUND(K418*'Irish Basis'!$C$8*'Irish Basis'!$C$5,2)</f>
        <v/>
      </c>
      <c r="Q418" s="10">
        <f>ROUND(L418*'Irish Basis'!$C$12*'Irish Basis'!$C$5,2)</f>
        <v/>
      </c>
      <c r="R418" s="11">
        <f>ROUND(SUM(N418:Q418),2)</f>
        <v/>
      </c>
      <c r="S418" s="5" t="inlineStr">
        <is>
          <t>Stated build-up</t>
        </is>
      </c>
      <c r="T418" s="12" t="inlineStr">
        <is>
          <t>High</t>
        </is>
      </c>
      <c r="U418" s="8" t="n">
        <v>55.35</v>
      </c>
      <c r="V418" s="13">
        <f>IF(U418="","",ROUND(M418-U418,2))</f>
        <v/>
      </c>
      <c r="W418" s="5" t="n"/>
      <c r="X418" s="5" t="inlineStr">
        <is>
          <t>Labour + plant + material as published; reconciles to the published rate.</t>
        </is>
      </c>
    </row>
    <row r="419" ht="13" customHeight="1">
      <c r="A419" s="4" t="n">
        <v>790</v>
      </c>
      <c r="B419" s="5" t="inlineStr">
        <is>
          <t>IMG_0076</t>
        </is>
      </c>
      <c r="C419" s="5" t="inlineStr">
        <is>
          <t>CLASS E: EARTHWORKS</t>
        </is>
      </c>
      <c r="D419" s="5" t="inlineStr">
        <is>
          <t>EARTH MOVING</t>
        </is>
      </c>
      <c r="E419" s="5" t="inlineStr">
        <is>
          <t>Comparative prices for ancillary equipment; excavate using 6 tonne to break out (JCB 3CX and Montalbert 125 breaker)</t>
        </is>
      </c>
      <c r="F419" s="5" t="inlineStr">
        <is>
          <t>medium hard rock</t>
        </is>
      </c>
      <c r="G419" s="6" t="inlineStr">
        <is>
          <t>m3</t>
        </is>
      </c>
      <c r="H419" s="7" t="n">
        <v>0.43</v>
      </c>
      <c r="I419" s="8" t="n">
        <v>16.75</v>
      </c>
      <c r="J419" s="8" t="n">
        <v>36.1</v>
      </c>
      <c r="K419" s="8" t="n">
        <v>0</v>
      </c>
      <c r="L419" s="8" t="n">
        <v>0</v>
      </c>
      <c r="M419" s="9">
        <f>ROUND(SUM(I419:L419),2)</f>
        <v/>
      </c>
      <c r="N419" s="10">
        <f>ROUND(I419*'Irish Basis'!$C$6*'Irish Basis'!$C$5,2)</f>
        <v/>
      </c>
      <c r="O419" s="10">
        <f>ROUND(J419*'Irish Basis'!$C$7*'Irish Basis'!$C$5,2)</f>
        <v/>
      </c>
      <c r="P419" s="10">
        <f>ROUND(K419*'Irish Basis'!$C$8*'Irish Basis'!$C$5,2)</f>
        <v/>
      </c>
      <c r="Q419" s="10">
        <f>ROUND(L419*'Irish Basis'!$C$12*'Irish Basis'!$C$5,2)</f>
        <v/>
      </c>
      <c r="R419" s="11">
        <f>ROUND(SUM(N419:Q419),2)</f>
        <v/>
      </c>
      <c r="S419" s="5" t="inlineStr">
        <is>
          <t>Stated build-up</t>
        </is>
      </c>
      <c r="T419" s="12" t="inlineStr">
        <is>
          <t>High</t>
        </is>
      </c>
      <c r="U419" s="8" t="n">
        <v>52.85</v>
      </c>
      <c r="V419" s="13">
        <f>IF(U419="","",ROUND(M419-U419,2))</f>
        <v/>
      </c>
      <c r="W419" s="5" t="n"/>
      <c r="X419" s="5" t="inlineStr">
        <is>
          <t>Labour + plant + material as published; reconciles to the published rate.</t>
        </is>
      </c>
    </row>
    <row r="420" ht="13" customHeight="1">
      <c r="A420" s="4" t="n">
        <v>791</v>
      </c>
      <c r="B420" s="5" t="inlineStr">
        <is>
          <t>IMG_0076</t>
        </is>
      </c>
      <c r="C420" s="5" t="inlineStr">
        <is>
          <t>CLASS E: EARTHWORKS</t>
        </is>
      </c>
      <c r="D420" s="5" t="inlineStr">
        <is>
          <t>EARTH MOVING</t>
        </is>
      </c>
      <c r="E420" s="5" t="inlineStr">
        <is>
          <t>Comparative prices for ancillary equipment; excavate using 6 tonne to break out (JCB 3CX and Montalbert 125 breaker)</t>
        </is>
      </c>
      <c r="F420" s="5" t="inlineStr">
        <is>
          <t>brickwork or mass concrete</t>
        </is>
      </c>
      <c r="G420" s="6" t="inlineStr">
        <is>
          <t>m3</t>
        </is>
      </c>
      <c r="H420" s="7" t="n">
        <v>0.54</v>
      </c>
      <c r="I420" s="8" t="n">
        <v>21.04</v>
      </c>
      <c r="J420" s="8" t="n">
        <v>44.01</v>
      </c>
      <c r="K420" s="8" t="n">
        <v>0</v>
      </c>
      <c r="L420" s="8" t="n">
        <v>0</v>
      </c>
      <c r="M420" s="9">
        <f>ROUND(SUM(I420:L420),2)</f>
        <v/>
      </c>
      <c r="N420" s="10">
        <f>ROUND(I420*'Irish Basis'!$C$6*'Irish Basis'!$C$5,2)</f>
        <v/>
      </c>
      <c r="O420" s="10">
        <f>ROUND(J420*'Irish Basis'!$C$7*'Irish Basis'!$C$5,2)</f>
        <v/>
      </c>
      <c r="P420" s="10">
        <f>ROUND(K420*'Irish Basis'!$C$8*'Irish Basis'!$C$5,2)</f>
        <v/>
      </c>
      <c r="Q420" s="10">
        <f>ROUND(L420*'Irish Basis'!$C$12*'Irish Basis'!$C$5,2)</f>
        <v/>
      </c>
      <c r="R420" s="11">
        <f>ROUND(SUM(N420:Q420),2)</f>
        <v/>
      </c>
      <c r="S420" s="5" t="inlineStr">
        <is>
          <t>Stated build-up</t>
        </is>
      </c>
      <c r="T420" s="12" t="inlineStr">
        <is>
          <t>High</t>
        </is>
      </c>
      <c r="U420" s="8" t="n">
        <v>65.05</v>
      </c>
      <c r="V420" s="13">
        <f>IF(U420="","",ROUND(M420-U420,2))</f>
        <v/>
      </c>
      <c r="W420" s="5" t="n"/>
      <c r="X420" s="5" t="inlineStr">
        <is>
          <t>Labour + plant + material as published; reconciles to the published rate.</t>
        </is>
      </c>
    </row>
    <row r="421" ht="13" customHeight="1">
      <c r="A421" s="4" t="n">
        <v>792</v>
      </c>
      <c r="B421" s="5" t="inlineStr">
        <is>
          <t>IMG_0076</t>
        </is>
      </c>
      <c r="C421" s="5" t="inlineStr">
        <is>
          <t>CLASS E: EARTHWORKS</t>
        </is>
      </c>
      <c r="D421" s="5" t="inlineStr">
        <is>
          <t>EARTH MOVING</t>
        </is>
      </c>
      <c r="E421" s="5" t="inlineStr">
        <is>
          <t>Comparative prices for ancillary equipment; excavate using 6 tonne to break out (JCB 3CX and Montalbert 125 breaker)</t>
        </is>
      </c>
      <c r="F421" s="5" t="inlineStr">
        <is>
          <t>reinforced concrete</t>
        </is>
      </c>
      <c r="G421" s="6" t="inlineStr">
        <is>
          <t>m3</t>
        </is>
      </c>
      <c r="H421" s="7" t="n">
        <v>0.64</v>
      </c>
      <c r="I421" s="8" t="n">
        <v>24.93</v>
      </c>
      <c r="J421" s="8" t="n">
        <v>52.16</v>
      </c>
      <c r="K421" s="8" t="n">
        <v>0</v>
      </c>
      <c r="L421" s="8" t="n">
        <v>0</v>
      </c>
      <c r="M421" s="9">
        <f>ROUND(SUM(I421:L421),2)</f>
        <v/>
      </c>
      <c r="N421" s="10">
        <f>ROUND(I421*'Irish Basis'!$C$6*'Irish Basis'!$C$5,2)</f>
        <v/>
      </c>
      <c r="O421" s="10">
        <f>ROUND(J421*'Irish Basis'!$C$7*'Irish Basis'!$C$5,2)</f>
        <v/>
      </c>
      <c r="P421" s="10">
        <f>ROUND(K421*'Irish Basis'!$C$8*'Irish Basis'!$C$5,2)</f>
        <v/>
      </c>
      <c r="Q421" s="10">
        <f>ROUND(L421*'Irish Basis'!$C$12*'Irish Basis'!$C$5,2)</f>
        <v/>
      </c>
      <c r="R421" s="11">
        <f>ROUND(SUM(N421:Q421),2)</f>
        <v/>
      </c>
      <c r="S421" s="5" t="inlineStr">
        <is>
          <t>Stated build-up</t>
        </is>
      </c>
      <c r="T421" s="12" t="inlineStr">
        <is>
          <t>High</t>
        </is>
      </c>
      <c r="U421" s="8" t="n">
        <v>77.09</v>
      </c>
      <c r="V421" s="13">
        <f>IF(U421="","",ROUND(M421-U421,2))</f>
        <v/>
      </c>
      <c r="W421" s="5" t="n"/>
      <c r="X421" s="5" t="inlineStr">
        <is>
          <t>Labour + plant + material as published; reconciles to the published rate.</t>
        </is>
      </c>
    </row>
    <row r="422" ht="13" customHeight="1">
      <c r="A422" s="4" t="n">
        <v>794</v>
      </c>
      <c r="B422" s="5" t="inlineStr">
        <is>
          <t>IMG_0076</t>
        </is>
      </c>
      <c r="C422" s="5" t="inlineStr">
        <is>
          <t>CLASS E: EARTHWORKS</t>
        </is>
      </c>
      <c r="D422" s="5" t="inlineStr">
        <is>
          <t>EARTH MOVING</t>
        </is>
      </c>
      <c r="E422" s="5" t="inlineStr">
        <is>
          <t>Load material into skip or dumper bucket using a 11.5 tonne crawler backacter with 0.80 m3 rock bucket</t>
        </is>
      </c>
      <c r="F422" s="5" t="inlineStr">
        <is>
          <t>medium hard rock</t>
        </is>
      </c>
      <c r="G422" s="6" t="inlineStr">
        <is>
          <t>m3</t>
        </is>
      </c>
      <c r="H422" s="7" t="n">
        <v>0.07000000000000001</v>
      </c>
      <c r="I422" s="8" t="n">
        <v>2.73</v>
      </c>
      <c r="J422" s="8" t="n">
        <v>5.82</v>
      </c>
      <c r="K422" s="8" t="n">
        <v>0</v>
      </c>
      <c r="L422" s="8" t="n">
        <v>0</v>
      </c>
      <c r="M422" s="9">
        <f>ROUND(SUM(I422:L422),2)</f>
        <v/>
      </c>
      <c r="N422" s="10">
        <f>ROUND(I422*'Irish Basis'!$C$6*'Irish Basis'!$C$5,2)</f>
        <v/>
      </c>
      <c r="O422" s="10">
        <f>ROUND(J422*'Irish Basis'!$C$7*'Irish Basis'!$C$5,2)</f>
        <v/>
      </c>
      <c r="P422" s="10">
        <f>ROUND(K422*'Irish Basis'!$C$8*'Irish Basis'!$C$5,2)</f>
        <v/>
      </c>
      <c r="Q422" s="10">
        <f>ROUND(L422*'Irish Basis'!$C$12*'Irish Basis'!$C$5,2)</f>
        <v/>
      </c>
      <c r="R422" s="11">
        <f>ROUND(SUM(N422:Q422),2)</f>
        <v/>
      </c>
      <c r="S422" s="5" t="inlineStr">
        <is>
          <t>Stated build-up</t>
        </is>
      </c>
      <c r="T422" s="12" t="inlineStr">
        <is>
          <t>High</t>
        </is>
      </c>
      <c r="U422" s="8" t="n">
        <v>8.550000000000001</v>
      </c>
      <c r="V422" s="13">
        <f>IF(U422="","",ROUND(M422-U422,2))</f>
        <v/>
      </c>
      <c r="W422" s="5" t="n"/>
      <c r="X422" s="5" t="inlineStr">
        <is>
          <t>Labour + plant + material as published; reconciles to the published rate.</t>
        </is>
      </c>
    </row>
    <row r="423" ht="13" customHeight="1">
      <c r="A423" s="4" t="n">
        <v>795</v>
      </c>
      <c r="B423" s="5" t="inlineStr">
        <is>
          <t>IMG_0076</t>
        </is>
      </c>
      <c r="C423" s="5" t="inlineStr">
        <is>
          <t>CLASS E: EARTHWORKS</t>
        </is>
      </c>
      <c r="D423" s="5" t="inlineStr">
        <is>
          <t>EARTH MOVING</t>
        </is>
      </c>
      <c r="E423" s="5" t="inlineStr">
        <is>
          <t>Load material into skip or dumper bucket using a 11.5 tonne crawler backacter with 0.80 m3 rock bucket</t>
        </is>
      </c>
      <c r="F423" s="5" t="inlineStr">
        <is>
          <t>brickwork or mass concrete</t>
        </is>
      </c>
      <c r="G423" s="6" t="inlineStr">
        <is>
          <t>m3</t>
        </is>
      </c>
      <c r="H423" s="7" t="n">
        <v>0.08</v>
      </c>
      <c r="I423" s="8" t="n">
        <v>3.12</v>
      </c>
      <c r="J423" s="8" t="n">
        <v>6.64</v>
      </c>
      <c r="K423" s="8" t="n">
        <v>0</v>
      </c>
      <c r="L423" s="8" t="n">
        <v>0</v>
      </c>
      <c r="M423" s="9">
        <f>ROUND(SUM(I423:L423),2)</f>
        <v/>
      </c>
      <c r="N423" s="10">
        <f>ROUND(I423*'Irish Basis'!$C$6*'Irish Basis'!$C$5,2)</f>
        <v/>
      </c>
      <c r="O423" s="10">
        <f>ROUND(J423*'Irish Basis'!$C$7*'Irish Basis'!$C$5,2)</f>
        <v/>
      </c>
      <c r="P423" s="10">
        <f>ROUND(K423*'Irish Basis'!$C$8*'Irish Basis'!$C$5,2)</f>
        <v/>
      </c>
      <c r="Q423" s="10">
        <f>ROUND(L423*'Irish Basis'!$C$12*'Irish Basis'!$C$5,2)</f>
        <v/>
      </c>
      <c r="R423" s="11">
        <f>ROUND(SUM(N423:Q423),2)</f>
        <v/>
      </c>
      <c r="S423" s="5" t="inlineStr">
        <is>
          <t>Stated build-up</t>
        </is>
      </c>
      <c r="T423" s="12" t="inlineStr">
        <is>
          <t>High</t>
        </is>
      </c>
      <c r="U423" s="8" t="n">
        <v>9.75</v>
      </c>
      <c r="V423" s="13">
        <f>IF(U423="","",ROUND(M423-U423,2))</f>
        <v/>
      </c>
      <c r="W423" s="5" t="n"/>
      <c r="X423" s="5" t="inlineStr">
        <is>
          <t>Labour + plant + material as published; reconciles to the published rate.</t>
        </is>
      </c>
    </row>
    <row r="424" ht="13" customHeight="1">
      <c r="A424" s="4" t="n">
        <v>796</v>
      </c>
      <c r="B424" s="5" t="inlineStr">
        <is>
          <t>IMG_0076</t>
        </is>
      </c>
      <c r="C424" s="5" t="inlineStr">
        <is>
          <t>CLASS E: EARTHWORKS</t>
        </is>
      </c>
      <c r="D424" s="5" t="inlineStr">
        <is>
          <t>EARTH MOVING</t>
        </is>
      </c>
      <c r="E424" s="5" t="inlineStr">
        <is>
          <t>Load material into skip or dumper bucket using a 11.5 tonne crawler backacter with 0.80 m3 rock bucket</t>
        </is>
      </c>
      <c r="F424" s="5" t="inlineStr">
        <is>
          <t>reinforced concrete</t>
        </is>
      </c>
      <c r="G424" s="6" t="inlineStr">
        <is>
          <t>m3</t>
        </is>
      </c>
      <c r="H424" s="7" t="n">
        <v>0.09</v>
      </c>
      <c r="I424" s="8" t="n">
        <v>3.51</v>
      </c>
      <c r="J424" s="8" t="n">
        <v>7.46</v>
      </c>
      <c r="K424" s="8" t="n">
        <v>0</v>
      </c>
      <c r="L424" s="8" t="n">
        <v>0</v>
      </c>
      <c r="M424" s="9">
        <f>ROUND(SUM(I424:L424),2)</f>
        <v/>
      </c>
      <c r="N424" s="10">
        <f>ROUND(I424*'Irish Basis'!$C$6*'Irish Basis'!$C$5,2)</f>
        <v/>
      </c>
      <c r="O424" s="10">
        <f>ROUND(J424*'Irish Basis'!$C$7*'Irish Basis'!$C$5,2)</f>
        <v/>
      </c>
      <c r="P424" s="10">
        <f>ROUND(K424*'Irish Basis'!$C$8*'Irish Basis'!$C$5,2)</f>
        <v/>
      </c>
      <c r="Q424" s="10">
        <f>ROUND(L424*'Irish Basis'!$C$12*'Irish Basis'!$C$5,2)</f>
        <v/>
      </c>
      <c r="R424" s="11">
        <f>ROUND(SUM(N424:Q424),2)</f>
        <v/>
      </c>
      <c r="S424" s="5" t="inlineStr">
        <is>
          <t>Stated build-up</t>
        </is>
      </c>
      <c r="T424" s="12" t="inlineStr">
        <is>
          <t>High</t>
        </is>
      </c>
      <c r="U424" s="8" t="n">
        <v>10.96</v>
      </c>
      <c r="V424" s="13">
        <f>IF(U424="","",ROUND(M424-U424,2))</f>
        <v/>
      </c>
      <c r="W424" s="5" t="n"/>
      <c r="X424" s="5" t="inlineStr">
        <is>
          <t>Labour + plant + material as published; reconciles to the published rate.</t>
        </is>
      </c>
    </row>
    <row r="425" ht="13" customHeight="1">
      <c r="A425" s="4" t="n">
        <v>800</v>
      </c>
      <c r="B425" s="5" t="inlineStr">
        <is>
          <t>IMG_0076</t>
        </is>
      </c>
      <c r="C425" s="5" t="inlineStr">
        <is>
          <t>CLASS E: EARTHWORKS</t>
        </is>
      </c>
      <c r="D425" s="5" t="inlineStr">
        <is>
          <t>05 EXCAVATION ANCILLARIES</t>
        </is>
      </c>
      <c r="E425" s="5" t="inlineStr">
        <is>
          <t>Trimming topsoil; using D4H dozer</t>
        </is>
      </c>
      <c r="F425" s="5" t="inlineStr">
        <is>
          <t>horizontal</t>
        </is>
      </c>
      <c r="G425" s="6" t="inlineStr">
        <is>
          <t>m2</t>
        </is>
      </c>
      <c r="H425" s="7" t="n">
        <v>0.04</v>
      </c>
      <c r="I425" s="8" t="n">
        <v>1.37</v>
      </c>
      <c r="J425" s="8" t="n">
        <v>1.84</v>
      </c>
      <c r="K425" s="8" t="n">
        <v>0</v>
      </c>
      <c r="L425" s="8" t="n">
        <v>0</v>
      </c>
      <c r="M425" s="9">
        <f>ROUND(SUM(I425:L425),2)</f>
        <v/>
      </c>
      <c r="N425" s="10">
        <f>ROUND(I425*'Irish Basis'!$C$6*'Irish Basis'!$C$5,2)</f>
        <v/>
      </c>
      <c r="O425" s="10">
        <f>ROUND(J425*'Irish Basis'!$C$7*'Irish Basis'!$C$5,2)</f>
        <v/>
      </c>
      <c r="P425" s="10">
        <f>ROUND(K425*'Irish Basis'!$C$8*'Irish Basis'!$C$5,2)</f>
        <v/>
      </c>
      <c r="Q425" s="10">
        <f>ROUND(L425*'Irish Basis'!$C$12*'Irish Basis'!$C$5,2)</f>
        <v/>
      </c>
      <c r="R425" s="11">
        <f>ROUND(SUM(N425:Q425),2)</f>
        <v/>
      </c>
      <c r="S425" s="5" t="inlineStr">
        <is>
          <t>Stated build-up</t>
        </is>
      </c>
      <c r="T425" s="12" t="inlineStr">
        <is>
          <t>High</t>
        </is>
      </c>
      <c r="U425" s="8" t="n">
        <v>3.21</v>
      </c>
      <c r="V425" s="13">
        <f>IF(U425="","",ROUND(M425-U425,2))</f>
        <v/>
      </c>
      <c r="W425" s="5" t="n"/>
      <c r="X425" s="5" t="inlineStr">
        <is>
          <t>Labour + plant + material as published; reconciles to the published rate.</t>
        </is>
      </c>
    </row>
    <row r="426" ht="13" customHeight="1">
      <c r="A426" s="4" t="n">
        <v>801</v>
      </c>
      <c r="B426" s="5" t="inlineStr">
        <is>
          <t>IMG_0076</t>
        </is>
      </c>
      <c r="C426" s="5" t="inlineStr">
        <is>
          <t>CLASS E: EARTHWORKS</t>
        </is>
      </c>
      <c r="D426" s="5" t="inlineStr">
        <is>
          <t>05 EXCAVATION ANCILLARIES</t>
        </is>
      </c>
      <c r="E426" s="5" t="inlineStr">
        <is>
          <t>Trimming topsoil; using D4H dozer</t>
        </is>
      </c>
      <c r="F426" s="5" t="inlineStr">
        <is>
          <t>10-45 deg to horizontal</t>
        </is>
      </c>
      <c r="G426" s="6" t="inlineStr">
        <is>
          <t>m2</t>
        </is>
      </c>
      <c r="H426" s="7" t="n">
        <v>0.05</v>
      </c>
      <c r="I426" s="8" t="n">
        <v>1.71</v>
      </c>
      <c r="J426" s="8" t="n">
        <v>2.3</v>
      </c>
      <c r="K426" s="8" t="n">
        <v>0</v>
      </c>
      <c r="L426" s="8" t="n">
        <v>0</v>
      </c>
      <c r="M426" s="9">
        <f>ROUND(SUM(I426:L426),2)</f>
        <v/>
      </c>
      <c r="N426" s="10">
        <f>ROUND(I426*'Irish Basis'!$C$6*'Irish Basis'!$C$5,2)</f>
        <v/>
      </c>
      <c r="O426" s="10">
        <f>ROUND(J426*'Irish Basis'!$C$7*'Irish Basis'!$C$5,2)</f>
        <v/>
      </c>
      <c r="P426" s="10">
        <f>ROUND(K426*'Irish Basis'!$C$8*'Irish Basis'!$C$5,2)</f>
        <v/>
      </c>
      <c r="Q426" s="10">
        <f>ROUND(L426*'Irish Basis'!$C$12*'Irish Basis'!$C$5,2)</f>
        <v/>
      </c>
      <c r="R426" s="11">
        <f>ROUND(SUM(N426:Q426),2)</f>
        <v/>
      </c>
      <c r="S426" s="5" t="inlineStr">
        <is>
          <t>Stated build-up</t>
        </is>
      </c>
      <c r="T426" s="12" t="inlineStr">
        <is>
          <t>High</t>
        </is>
      </c>
      <c r="U426" s="8" t="n">
        <v>4.02</v>
      </c>
      <c r="V426" s="13">
        <f>IF(U426="","",ROUND(M426-U426,2))</f>
        <v/>
      </c>
      <c r="W426" s="5" t="n"/>
      <c r="X426" s="5" t="inlineStr">
        <is>
          <t>Labour + plant + material as published; reconciles to the published rate.</t>
        </is>
      </c>
    </row>
    <row r="427" ht="13" customHeight="1">
      <c r="A427" s="4" t="n">
        <v>803</v>
      </c>
      <c r="B427" s="5" t="inlineStr">
        <is>
          <t>IMG_0076</t>
        </is>
      </c>
      <c r="C427" s="5" t="inlineStr">
        <is>
          <t>CLASS E: EARTHWORKS</t>
        </is>
      </c>
      <c r="D427" s="5" t="inlineStr">
        <is>
          <t>05 EXCAVATION ANCILLARIES</t>
        </is>
      </c>
      <c r="E427" s="5" t="inlineStr">
        <is>
          <t>Trimming material other than topsoil, rock or artificial hard material; using D4H dozer, tractor loader or motor grader average rate</t>
        </is>
      </c>
      <c r="F427" s="5" t="inlineStr">
        <is>
          <t>horizontal</t>
        </is>
      </c>
      <c r="G427" s="6" t="inlineStr">
        <is>
          <t>m2</t>
        </is>
      </c>
      <c r="H427" s="7" t="n">
        <v>0.04</v>
      </c>
      <c r="I427" s="8" t="n">
        <v>1.37</v>
      </c>
      <c r="J427" s="8" t="n">
        <v>2.51</v>
      </c>
      <c r="K427" s="8" t="n">
        <v>0</v>
      </c>
      <c r="L427" s="8" t="n">
        <v>0</v>
      </c>
      <c r="M427" s="9">
        <f>ROUND(SUM(I427:L427),2)</f>
        <v/>
      </c>
      <c r="N427" s="10">
        <f>ROUND(I427*'Irish Basis'!$C$6*'Irish Basis'!$C$5,2)</f>
        <v/>
      </c>
      <c r="O427" s="10">
        <f>ROUND(J427*'Irish Basis'!$C$7*'Irish Basis'!$C$5,2)</f>
        <v/>
      </c>
      <c r="P427" s="10">
        <f>ROUND(K427*'Irish Basis'!$C$8*'Irish Basis'!$C$5,2)</f>
        <v/>
      </c>
      <c r="Q427" s="10">
        <f>ROUND(L427*'Irish Basis'!$C$12*'Irish Basis'!$C$5,2)</f>
        <v/>
      </c>
      <c r="R427" s="11">
        <f>ROUND(SUM(N427:Q427),2)</f>
        <v/>
      </c>
      <c r="S427" s="5" t="inlineStr">
        <is>
          <t>Stated build-up</t>
        </is>
      </c>
      <c r="T427" s="12" t="inlineStr">
        <is>
          <t>High</t>
        </is>
      </c>
      <c r="U427" s="8" t="n">
        <v>3.88</v>
      </c>
      <c r="V427" s="13">
        <f>IF(U427="","",ROUND(M427-U427,2))</f>
        <v/>
      </c>
      <c r="W427" s="5" t="n"/>
      <c r="X427" s="5" t="inlineStr">
        <is>
          <t>Labour + plant + material as published; reconciles to the published rate.</t>
        </is>
      </c>
    </row>
    <row r="428" ht="13" customHeight="1">
      <c r="A428" s="4" t="n">
        <v>804</v>
      </c>
      <c r="B428" s="5" t="inlineStr">
        <is>
          <t>IMG_0076</t>
        </is>
      </c>
      <c r="C428" s="5" t="inlineStr">
        <is>
          <t>CLASS E: EARTHWORKS</t>
        </is>
      </c>
      <c r="D428" s="5" t="inlineStr">
        <is>
          <t>05 EXCAVATION ANCILLARIES</t>
        </is>
      </c>
      <c r="E428" s="5" t="inlineStr">
        <is>
          <t>Trimming material other than topsoil, rock or artificial hard material; using D4H dozer, tractor loader or motor grader average rate</t>
        </is>
      </c>
      <c r="F428" s="5" t="inlineStr">
        <is>
          <t>10-45 deg to horizontal</t>
        </is>
      </c>
      <c r="G428" s="6" t="inlineStr">
        <is>
          <t>m2</t>
        </is>
      </c>
      <c r="H428" s="7" t="n">
        <v>0.04</v>
      </c>
      <c r="I428" s="8" t="n">
        <v>1.37</v>
      </c>
      <c r="J428" s="8" t="n">
        <v>2.51</v>
      </c>
      <c r="K428" s="8" t="n">
        <v>0</v>
      </c>
      <c r="L428" s="8" t="n">
        <v>0</v>
      </c>
      <c r="M428" s="9">
        <f>ROUND(SUM(I428:L428),2)</f>
        <v/>
      </c>
      <c r="N428" s="10">
        <f>ROUND(I428*'Irish Basis'!$C$6*'Irish Basis'!$C$5,2)</f>
        <v/>
      </c>
      <c r="O428" s="10">
        <f>ROUND(J428*'Irish Basis'!$C$7*'Irish Basis'!$C$5,2)</f>
        <v/>
      </c>
      <c r="P428" s="10">
        <f>ROUND(K428*'Irish Basis'!$C$8*'Irish Basis'!$C$5,2)</f>
        <v/>
      </c>
      <c r="Q428" s="10">
        <f>ROUND(L428*'Irish Basis'!$C$12*'Irish Basis'!$C$5,2)</f>
        <v/>
      </c>
      <c r="R428" s="11">
        <f>ROUND(SUM(N428:Q428),2)</f>
        <v/>
      </c>
      <c r="S428" s="5" t="inlineStr">
        <is>
          <t>Stated build-up</t>
        </is>
      </c>
      <c r="T428" s="12" t="inlineStr">
        <is>
          <t>High</t>
        </is>
      </c>
      <c r="U428" s="8" t="n">
        <v>3.88</v>
      </c>
      <c r="V428" s="13">
        <f>IF(U428="","",ROUND(M428-U428,2))</f>
        <v/>
      </c>
      <c r="W428" s="5" t="n"/>
      <c r="X428" s="5" t="inlineStr">
        <is>
          <t>Labour + plant + material as published; reconciles to the published rate.</t>
        </is>
      </c>
    </row>
    <row r="429" ht="13" customHeight="1">
      <c r="A429" s="4" t="n">
        <v>805</v>
      </c>
      <c r="B429" s="5" t="inlineStr">
        <is>
          <t>IMG_0076</t>
        </is>
      </c>
      <c r="C429" s="5" t="inlineStr">
        <is>
          <t>CLASS E: EARTHWORKS</t>
        </is>
      </c>
      <c r="D429" s="5" t="inlineStr">
        <is>
          <t>05 EXCAVATION ANCILLARIES</t>
        </is>
      </c>
      <c r="E429" s="5" t="inlineStr">
        <is>
          <t>Trimming material other than topsoil, rock or artificial hard material; using D4H dozer, tractor loader or motor grader average rate</t>
        </is>
      </c>
      <c r="F429" s="5" t="inlineStr">
        <is>
          <t>45-90 deg to horizontal</t>
        </is>
      </c>
      <c r="G429" s="6" t="inlineStr">
        <is>
          <t>m2</t>
        </is>
      </c>
      <c r="H429" s="7" t="n">
        <v>0.06</v>
      </c>
      <c r="I429" s="8" t="n">
        <v>2.05</v>
      </c>
      <c r="J429" s="8" t="n">
        <v>3.75</v>
      </c>
      <c r="K429" s="8" t="n">
        <v>0</v>
      </c>
      <c r="L429" s="8" t="n">
        <v>0</v>
      </c>
      <c r="M429" s="9">
        <f>ROUND(SUM(I429:L429),2)</f>
        <v/>
      </c>
      <c r="N429" s="10">
        <f>ROUND(I429*'Irish Basis'!$C$6*'Irish Basis'!$C$5,2)</f>
        <v/>
      </c>
      <c r="O429" s="10">
        <f>ROUND(J429*'Irish Basis'!$C$7*'Irish Basis'!$C$5,2)</f>
        <v/>
      </c>
      <c r="P429" s="10">
        <f>ROUND(K429*'Irish Basis'!$C$8*'Irish Basis'!$C$5,2)</f>
        <v/>
      </c>
      <c r="Q429" s="10">
        <f>ROUND(L429*'Irish Basis'!$C$12*'Irish Basis'!$C$5,2)</f>
        <v/>
      </c>
      <c r="R429" s="11">
        <f>ROUND(SUM(N429:Q429),2)</f>
        <v/>
      </c>
      <c r="S429" s="5" t="inlineStr">
        <is>
          <t>Stated build-up</t>
        </is>
      </c>
      <c r="T429" s="12" t="inlineStr">
        <is>
          <t>High</t>
        </is>
      </c>
      <c r="U429" s="8" t="n">
        <v>5.8</v>
      </c>
      <c r="V429" s="13">
        <f>IF(U429="","",ROUND(M429-U429,2))</f>
        <v/>
      </c>
      <c r="W429" s="5" t="n"/>
      <c r="X429" s="5" t="inlineStr">
        <is>
          <t>Labour + plant + material as published; reconciles to the published rate.</t>
        </is>
      </c>
    </row>
    <row r="430" ht="13" customHeight="1">
      <c r="A430" s="4" t="n">
        <v>807</v>
      </c>
      <c r="B430" s="5" t="inlineStr">
        <is>
          <t>IMG_0076</t>
        </is>
      </c>
      <c r="C430" s="5" t="inlineStr">
        <is>
          <t>CLASS E: EARTHWORKS</t>
        </is>
      </c>
      <c r="D430" s="5" t="inlineStr">
        <is>
          <t>05 EXCAVATION ANCILLARIES</t>
        </is>
      </c>
      <c r="E430" s="5" t="inlineStr">
        <is>
          <t>Trimming rock; using D6E dozer</t>
        </is>
      </c>
      <c r="F430" s="5" t="inlineStr">
        <is>
          <t>horizontal</t>
        </is>
      </c>
      <c r="G430" s="6" t="inlineStr">
        <is>
          <t>m2</t>
        </is>
      </c>
      <c r="H430" s="7" t="n">
        <v>0.08</v>
      </c>
      <c r="I430" s="8" t="n">
        <v>2.74</v>
      </c>
      <c r="J430" s="8" t="n">
        <v>61.44</v>
      </c>
      <c r="K430" s="8" t="n">
        <v>0</v>
      </c>
      <c r="L430" s="8" t="n">
        <v>0</v>
      </c>
      <c r="M430" s="9">
        <f>ROUND(SUM(I430:L430),2)</f>
        <v/>
      </c>
      <c r="N430" s="10">
        <f>ROUND(I430*'Irish Basis'!$C$6*'Irish Basis'!$C$5,2)</f>
        <v/>
      </c>
      <c r="O430" s="10">
        <f>ROUND(J430*'Irish Basis'!$C$7*'Irish Basis'!$C$5,2)</f>
        <v/>
      </c>
      <c r="P430" s="10">
        <f>ROUND(K430*'Irish Basis'!$C$8*'Irish Basis'!$C$5,2)</f>
        <v/>
      </c>
      <c r="Q430" s="10">
        <f>ROUND(L430*'Irish Basis'!$C$12*'Irish Basis'!$C$5,2)</f>
        <v/>
      </c>
      <c r="R430" s="11">
        <f>ROUND(SUM(N430:Q430),2)</f>
        <v/>
      </c>
      <c r="S430" s="5" t="inlineStr">
        <is>
          <t>Stated build-up</t>
        </is>
      </c>
      <c r="T430" s="12" t="inlineStr">
        <is>
          <t>High</t>
        </is>
      </c>
      <c r="U430" s="8" t="n">
        <v>64.18000000000001</v>
      </c>
      <c r="V430" s="13">
        <f>IF(U430="","",ROUND(M430-U430,2))</f>
        <v/>
      </c>
      <c r="W430" s="5" t="n"/>
      <c r="X430" s="5" t="inlineStr">
        <is>
          <t>Labour + plant + material as published; reconciles to the published rate.</t>
        </is>
      </c>
    </row>
    <row r="431" ht="13" customHeight="1">
      <c r="A431" s="4" t="n">
        <v>808</v>
      </c>
      <c r="B431" s="5" t="inlineStr">
        <is>
          <t>IMG_0076</t>
        </is>
      </c>
      <c r="C431" s="5" t="inlineStr">
        <is>
          <t>CLASS E: EARTHWORKS</t>
        </is>
      </c>
      <c r="D431" s="5" t="inlineStr">
        <is>
          <t>05 EXCAVATION ANCILLARIES</t>
        </is>
      </c>
      <c r="E431" s="5" t="inlineStr">
        <is>
          <t>Trimming rock; using D6E dozer</t>
        </is>
      </c>
      <c r="F431" s="5" t="inlineStr">
        <is>
          <t>10-45 deg to horizontal</t>
        </is>
      </c>
      <c r="G431" s="6" t="inlineStr">
        <is>
          <t>m2</t>
        </is>
      </c>
      <c r="H431" s="7" t="n">
        <v>0.8</v>
      </c>
      <c r="I431" s="8" t="n">
        <v>27.38</v>
      </c>
      <c r="J431" s="8" t="n">
        <v>61.44</v>
      </c>
      <c r="K431" s="8" t="n">
        <v>0</v>
      </c>
      <c r="L431" s="8" t="n">
        <v>0</v>
      </c>
      <c r="M431" s="9">
        <f>ROUND(SUM(I431:L431),2)</f>
        <v/>
      </c>
      <c r="N431" s="10">
        <f>ROUND(I431*'Irish Basis'!$C$6*'Irish Basis'!$C$5,2)</f>
        <v/>
      </c>
      <c r="O431" s="10">
        <f>ROUND(J431*'Irish Basis'!$C$7*'Irish Basis'!$C$5,2)</f>
        <v/>
      </c>
      <c r="P431" s="10">
        <f>ROUND(K431*'Irish Basis'!$C$8*'Irish Basis'!$C$5,2)</f>
        <v/>
      </c>
      <c r="Q431" s="10">
        <f>ROUND(L431*'Irish Basis'!$C$12*'Irish Basis'!$C$5,2)</f>
        <v/>
      </c>
      <c r="R431" s="11">
        <f>ROUND(SUM(N431:Q431),2)</f>
        <v/>
      </c>
      <c r="S431" s="5" t="inlineStr">
        <is>
          <t>Stated build-up</t>
        </is>
      </c>
      <c r="T431" s="12" t="inlineStr">
        <is>
          <t>High</t>
        </is>
      </c>
      <c r="U431" s="8" t="n">
        <v>88.81999999999999</v>
      </c>
      <c r="V431" s="13">
        <f>IF(U431="","",ROUND(M431-U431,2))</f>
        <v/>
      </c>
      <c r="W431" s="5" t="n"/>
      <c r="X431" s="5" t="inlineStr">
        <is>
          <t>Labour + plant + material as published; reconciles to the published rate.</t>
        </is>
      </c>
    </row>
    <row r="432" ht="13" customHeight="1">
      <c r="A432" s="4" t="n">
        <v>809</v>
      </c>
      <c r="B432" s="5" t="inlineStr">
        <is>
          <t>IMG_0076</t>
        </is>
      </c>
      <c r="C432" s="5" t="inlineStr">
        <is>
          <t>CLASS E: EARTHWORKS</t>
        </is>
      </c>
      <c r="D432" s="5" t="inlineStr">
        <is>
          <t>05 EXCAVATION ANCILLARIES</t>
        </is>
      </c>
      <c r="E432" s="5" t="inlineStr">
        <is>
          <t>Trimming rock; using D6E dozer</t>
        </is>
      </c>
      <c r="F432" s="5" t="inlineStr">
        <is>
          <t>45-90 deg to horizontal</t>
        </is>
      </c>
      <c r="G432" s="6" t="inlineStr">
        <is>
          <t>m2</t>
        </is>
      </c>
      <c r="H432" s="7" t="n">
        <v>1.06</v>
      </c>
      <c r="I432" s="8" t="n">
        <v>36.28</v>
      </c>
      <c r="J432" s="8" t="n">
        <v>81.41</v>
      </c>
      <c r="K432" s="8" t="n">
        <v>0</v>
      </c>
      <c r="L432" s="8" t="n">
        <v>0</v>
      </c>
      <c r="M432" s="9">
        <f>ROUND(SUM(I432:L432),2)</f>
        <v/>
      </c>
      <c r="N432" s="10">
        <f>ROUND(I432*'Irish Basis'!$C$6*'Irish Basis'!$C$5,2)</f>
        <v/>
      </c>
      <c r="O432" s="10">
        <f>ROUND(J432*'Irish Basis'!$C$7*'Irish Basis'!$C$5,2)</f>
        <v/>
      </c>
      <c r="P432" s="10">
        <f>ROUND(K432*'Irish Basis'!$C$8*'Irish Basis'!$C$5,2)</f>
        <v/>
      </c>
      <c r="Q432" s="10">
        <f>ROUND(L432*'Irish Basis'!$C$12*'Irish Basis'!$C$5,2)</f>
        <v/>
      </c>
      <c r="R432" s="11">
        <f>ROUND(SUM(N432:Q432),2)</f>
        <v/>
      </c>
      <c r="S432" s="5" t="inlineStr">
        <is>
          <t>Stated build-up</t>
        </is>
      </c>
      <c r="T432" s="12" t="inlineStr">
        <is>
          <t>High</t>
        </is>
      </c>
      <c r="U432" s="8" t="n">
        <v>117.68</v>
      </c>
      <c r="V432" s="13">
        <f>IF(U432="","",ROUND(M432-U432,2))</f>
        <v/>
      </c>
      <c r="W432" s="5" t="n"/>
      <c r="X432" s="5" t="inlineStr">
        <is>
          <t>Labour + plant + material as published; reconciles to the published rate.</t>
        </is>
      </c>
    </row>
    <row r="433" ht="13" customHeight="1">
      <c r="A433" s="4" t="n">
        <v>810</v>
      </c>
      <c r="B433" s="5" t="inlineStr">
        <is>
          <t>IMG_0076</t>
        </is>
      </c>
      <c r="C433" s="5" t="inlineStr">
        <is>
          <t>CLASS E: EARTHWORKS</t>
        </is>
      </c>
      <c r="D433" s="5" t="inlineStr">
        <is>
          <t>05 EXCAVATION ANCILLARIES</t>
        </is>
      </c>
      <c r="E433" s="5" t="inlineStr">
        <is>
          <t>Trimming rock; using D6E dozer</t>
        </is>
      </c>
      <c r="F433" s="5" t="inlineStr">
        <is>
          <t>vertical</t>
        </is>
      </c>
      <c r="G433" s="6" t="inlineStr">
        <is>
          <t>m2</t>
        </is>
      </c>
      <c r="H433" s="7" t="n">
        <v>1.06</v>
      </c>
      <c r="I433" s="8" t="n">
        <v>36.28</v>
      </c>
      <c r="J433" s="8" t="n">
        <v>81.41</v>
      </c>
      <c r="K433" s="8" t="n">
        <v>0</v>
      </c>
      <c r="L433" s="8" t="n">
        <v>0</v>
      </c>
      <c r="M433" s="9">
        <f>ROUND(SUM(I433:L433),2)</f>
        <v/>
      </c>
      <c r="N433" s="10">
        <f>ROUND(I433*'Irish Basis'!$C$6*'Irish Basis'!$C$5,2)</f>
        <v/>
      </c>
      <c r="O433" s="10">
        <f>ROUND(J433*'Irish Basis'!$C$7*'Irish Basis'!$C$5,2)</f>
        <v/>
      </c>
      <c r="P433" s="10">
        <f>ROUND(K433*'Irish Basis'!$C$8*'Irish Basis'!$C$5,2)</f>
        <v/>
      </c>
      <c r="Q433" s="10">
        <f>ROUND(L433*'Irish Basis'!$C$12*'Irish Basis'!$C$5,2)</f>
        <v/>
      </c>
      <c r="R433" s="11">
        <f>ROUND(SUM(N433:Q433),2)</f>
        <v/>
      </c>
      <c r="S433" s="5" t="inlineStr">
        <is>
          <t>Stated build-up</t>
        </is>
      </c>
      <c r="T433" s="12" t="inlineStr">
        <is>
          <t>High</t>
        </is>
      </c>
      <c r="U433" s="8" t="n">
        <v>117.68</v>
      </c>
      <c r="V433" s="13">
        <f>IF(U433="","",ROUND(M433-U433,2))</f>
        <v/>
      </c>
      <c r="W433" s="5" t="n"/>
      <c r="X433" s="5" t="inlineStr">
        <is>
          <t>Labour + plant + material as published; reconciles to the published rate.</t>
        </is>
      </c>
    </row>
    <row r="434" ht="13" customHeight="1">
      <c r="A434" s="4" t="n">
        <v>812</v>
      </c>
      <c r="B434" s="5" t="inlineStr">
        <is>
          <t>IMG_0076</t>
        </is>
      </c>
      <c r="C434" s="5" t="inlineStr">
        <is>
          <t>CLASS E: EARTHWORKS</t>
        </is>
      </c>
      <c r="D434" s="5" t="inlineStr">
        <is>
          <t>05 EXCAVATION ANCILLARIES</t>
        </is>
      </c>
      <c r="E434" s="5" t="inlineStr">
        <is>
          <t>Preparation of topsoil; using D4H dozer, tractor loader or motor grader average rate</t>
        </is>
      </c>
      <c r="F434" s="5" t="inlineStr">
        <is>
          <t>horizontal</t>
        </is>
      </c>
      <c r="G434" s="6" t="inlineStr">
        <is>
          <t>m2</t>
        </is>
      </c>
      <c r="H434" s="7" t="n">
        <v>0.06</v>
      </c>
      <c r="I434" s="8" t="n">
        <v>2.05</v>
      </c>
      <c r="J434" s="8" t="n">
        <v>3.37</v>
      </c>
      <c r="K434" s="8" t="n">
        <v>0</v>
      </c>
      <c r="L434" s="8" t="n">
        <v>0</v>
      </c>
      <c r="M434" s="9">
        <f>ROUND(SUM(I434:L434),2)</f>
        <v/>
      </c>
      <c r="N434" s="10">
        <f>ROUND(I434*'Irish Basis'!$C$6*'Irish Basis'!$C$5,2)</f>
        <v/>
      </c>
      <c r="O434" s="10">
        <f>ROUND(J434*'Irish Basis'!$C$7*'Irish Basis'!$C$5,2)</f>
        <v/>
      </c>
      <c r="P434" s="10">
        <f>ROUND(K434*'Irish Basis'!$C$8*'Irish Basis'!$C$5,2)</f>
        <v/>
      </c>
      <c r="Q434" s="10">
        <f>ROUND(L434*'Irish Basis'!$C$12*'Irish Basis'!$C$5,2)</f>
        <v/>
      </c>
      <c r="R434" s="11">
        <f>ROUND(SUM(N434:Q434),2)</f>
        <v/>
      </c>
      <c r="S434" s="5" t="inlineStr">
        <is>
          <t>Stated build-up</t>
        </is>
      </c>
      <c r="T434" s="12" t="inlineStr">
        <is>
          <t>High</t>
        </is>
      </c>
      <c r="U434" s="8" t="n">
        <v>5.42</v>
      </c>
      <c r="V434" s="13">
        <f>IF(U434="","",ROUND(M434-U434,2))</f>
        <v/>
      </c>
      <c r="W434" s="5" t="n"/>
      <c r="X434" s="5" t="inlineStr">
        <is>
          <t>Labour + plant + material as published; reconciles to the published rate.</t>
        </is>
      </c>
    </row>
    <row r="435" ht="13" customHeight="1">
      <c r="A435" s="4" t="n">
        <v>814</v>
      </c>
      <c r="B435" s="5" t="inlineStr">
        <is>
          <t>IMG_0077</t>
        </is>
      </c>
      <c r="C435" s="5" t="inlineStr">
        <is>
          <t>CLASS E: EARTHWORKS</t>
        </is>
      </c>
      <c r="D435" s="5" t="inlineStr">
        <is>
          <t>05 EXCAVATION ANCILLARIES</t>
        </is>
      </c>
      <c r="E435" s="5" t="inlineStr">
        <is>
          <t>Preparation of topsoil; using D4H dozer, tractor loader or motor grader average rate (continued)</t>
        </is>
      </c>
      <c r="F435" s="5" t="inlineStr">
        <is>
          <t>10-45 deg to horizontal</t>
        </is>
      </c>
      <c r="G435" s="6" t="inlineStr">
        <is>
          <t>m2</t>
        </is>
      </c>
      <c r="H435" s="7" t="n">
        <v>0.06</v>
      </c>
      <c r="I435" s="8" t="n">
        <v>2.05</v>
      </c>
      <c r="J435" s="8" t="n">
        <v>3.37</v>
      </c>
      <c r="K435" s="8" t="n">
        <v>0</v>
      </c>
      <c r="L435" s="8" t="n">
        <v>0</v>
      </c>
      <c r="M435" s="9">
        <f>ROUND(SUM(I435:L435),2)</f>
        <v/>
      </c>
      <c r="N435" s="10">
        <f>ROUND(I435*'Irish Basis'!$C$6*'Irish Basis'!$C$5,2)</f>
        <v/>
      </c>
      <c r="O435" s="10">
        <f>ROUND(J435*'Irish Basis'!$C$7*'Irish Basis'!$C$5,2)</f>
        <v/>
      </c>
      <c r="P435" s="10">
        <f>ROUND(K435*'Irish Basis'!$C$8*'Irish Basis'!$C$5,2)</f>
        <v/>
      </c>
      <c r="Q435" s="10">
        <f>ROUND(L435*'Irish Basis'!$C$12*'Irish Basis'!$C$5,2)</f>
        <v/>
      </c>
      <c r="R435" s="11">
        <f>ROUND(SUM(N435:Q435),2)</f>
        <v/>
      </c>
      <c r="S435" s="5" t="inlineStr">
        <is>
          <t>Stated build-up</t>
        </is>
      </c>
      <c r="T435" s="12" t="inlineStr">
        <is>
          <t>High</t>
        </is>
      </c>
      <c r="U435" s="8" t="n">
        <v>5.42</v>
      </c>
      <c r="V435" s="13">
        <f>IF(U435="","",ROUND(M435-U435,2))</f>
        <v/>
      </c>
      <c r="W435" s="5" t="n"/>
      <c r="X435" s="5" t="inlineStr">
        <is>
          <t>Labour + plant + material as published; reconciles to the published rate.</t>
        </is>
      </c>
    </row>
    <row r="436" ht="13" customHeight="1">
      <c r="A436" s="4" t="n">
        <v>816</v>
      </c>
      <c r="B436" s="5" t="inlineStr">
        <is>
          <t>IMG_0077</t>
        </is>
      </c>
      <c r="C436" s="5" t="inlineStr">
        <is>
          <t>CLASS E: EARTHWORKS</t>
        </is>
      </c>
      <c r="D436" s="5" t="inlineStr">
        <is>
          <t>05 EXCAVATION ANCILLARIES</t>
        </is>
      </c>
      <c r="E436" s="5" t="inlineStr">
        <is>
          <t>Preparation of material other than rock or artificial hard material; using D6E dozer, tractor loader or motor grader average rate</t>
        </is>
      </c>
      <c r="F436" s="5" t="inlineStr">
        <is>
          <t>horizontal</t>
        </is>
      </c>
      <c r="G436" s="6" t="inlineStr">
        <is>
          <t>m2</t>
        </is>
      </c>
      <c r="H436" s="7" t="n">
        <v>0.06</v>
      </c>
      <c r="I436" s="8" t="n">
        <v>2.05</v>
      </c>
      <c r="J436" s="8" t="n">
        <v>4.36</v>
      </c>
      <c r="K436" s="8" t="n">
        <v>0</v>
      </c>
      <c r="L436" s="8" t="n">
        <v>0</v>
      </c>
      <c r="M436" s="9">
        <f>ROUND(SUM(I436:L436),2)</f>
        <v/>
      </c>
      <c r="N436" s="10">
        <f>ROUND(I436*'Irish Basis'!$C$6*'Irish Basis'!$C$5,2)</f>
        <v/>
      </c>
      <c r="O436" s="10">
        <f>ROUND(J436*'Irish Basis'!$C$7*'Irish Basis'!$C$5,2)</f>
        <v/>
      </c>
      <c r="P436" s="10">
        <f>ROUND(K436*'Irish Basis'!$C$8*'Irish Basis'!$C$5,2)</f>
        <v/>
      </c>
      <c r="Q436" s="10">
        <f>ROUND(L436*'Irish Basis'!$C$12*'Irish Basis'!$C$5,2)</f>
        <v/>
      </c>
      <c r="R436" s="11">
        <f>ROUND(SUM(N436:Q436),2)</f>
        <v/>
      </c>
      <c r="S436" s="5" t="inlineStr">
        <is>
          <t>Stated build-up</t>
        </is>
      </c>
      <c r="T436" s="12" t="inlineStr">
        <is>
          <t>High</t>
        </is>
      </c>
      <c r="U436" s="8" t="n">
        <v>6.42</v>
      </c>
      <c r="V436" s="13">
        <f>IF(U436="","",ROUND(M436-U436,2))</f>
        <v/>
      </c>
      <c r="W436" s="5" t="n"/>
      <c r="X436" s="5" t="inlineStr">
        <is>
          <t>Labour + plant + material as published; reconciles to the published rate.</t>
        </is>
      </c>
    </row>
    <row r="437" ht="13" customHeight="1">
      <c r="A437" s="4" t="n">
        <v>817</v>
      </c>
      <c r="B437" s="5" t="inlineStr">
        <is>
          <t>IMG_0077</t>
        </is>
      </c>
      <c r="C437" s="5" t="inlineStr">
        <is>
          <t>CLASS E: EARTHWORKS</t>
        </is>
      </c>
      <c r="D437" s="5" t="inlineStr">
        <is>
          <t>05 EXCAVATION ANCILLARIES</t>
        </is>
      </c>
      <c r="E437" s="5" t="inlineStr">
        <is>
          <t>Preparation of material other than rock or artificial hard material; using D6E dozer, tractor loader or motor grader average rate</t>
        </is>
      </c>
      <c r="F437" s="5" t="inlineStr">
        <is>
          <t>10-45 deg to horizontal</t>
        </is>
      </c>
      <c r="G437" s="6" t="inlineStr">
        <is>
          <t>m2</t>
        </is>
      </c>
      <c r="H437" s="7" t="n">
        <v>0.06</v>
      </c>
      <c r="I437" s="8" t="n">
        <v>2.05</v>
      </c>
      <c r="J437" s="8" t="n">
        <v>4.36</v>
      </c>
      <c r="K437" s="8" t="n">
        <v>0</v>
      </c>
      <c r="L437" s="8" t="n">
        <v>0</v>
      </c>
      <c r="M437" s="9">
        <f>ROUND(SUM(I437:L437),2)</f>
        <v/>
      </c>
      <c r="N437" s="10">
        <f>ROUND(I437*'Irish Basis'!$C$6*'Irish Basis'!$C$5,2)</f>
        <v/>
      </c>
      <c r="O437" s="10">
        <f>ROUND(J437*'Irish Basis'!$C$7*'Irish Basis'!$C$5,2)</f>
        <v/>
      </c>
      <c r="P437" s="10">
        <f>ROUND(K437*'Irish Basis'!$C$8*'Irish Basis'!$C$5,2)</f>
        <v/>
      </c>
      <c r="Q437" s="10">
        <f>ROUND(L437*'Irish Basis'!$C$12*'Irish Basis'!$C$5,2)</f>
        <v/>
      </c>
      <c r="R437" s="11">
        <f>ROUND(SUM(N437:Q437),2)</f>
        <v/>
      </c>
      <c r="S437" s="5" t="inlineStr">
        <is>
          <t>Stated build-up</t>
        </is>
      </c>
      <c r="T437" s="12" t="inlineStr">
        <is>
          <t>High</t>
        </is>
      </c>
      <c r="U437" s="8" t="n">
        <v>6.42</v>
      </c>
      <c r="V437" s="13">
        <f>IF(U437="","",ROUND(M437-U437,2))</f>
        <v/>
      </c>
      <c r="W437" s="5" t="n"/>
      <c r="X437" s="5" t="inlineStr">
        <is>
          <t>Labour + plant + material as published; reconciles to the published rate.</t>
        </is>
      </c>
    </row>
    <row r="438" ht="13" customHeight="1">
      <c r="A438" s="4" t="n">
        <v>818</v>
      </c>
      <c r="B438" s="5" t="inlineStr">
        <is>
          <t>IMG_0077</t>
        </is>
      </c>
      <c r="C438" s="5" t="inlineStr">
        <is>
          <t>CLASS E: EARTHWORKS</t>
        </is>
      </c>
      <c r="D438" s="5" t="inlineStr">
        <is>
          <t>05 EXCAVATION ANCILLARIES</t>
        </is>
      </c>
      <c r="E438" s="5" t="inlineStr">
        <is>
          <t>Preparation of material other than rock or artificial hard material; using D6E dozer, tractor loader or motor grader average rate</t>
        </is>
      </c>
      <c r="F438" s="5" t="inlineStr">
        <is>
          <t>45-90 deg to horizontal</t>
        </is>
      </c>
      <c r="G438" s="6" t="inlineStr">
        <is>
          <t>m2</t>
        </is>
      </c>
      <c r="H438" s="7" t="n">
        <v>0.06</v>
      </c>
      <c r="I438" s="8" t="n">
        <v>2.05</v>
      </c>
      <c r="J438" s="8" t="n">
        <v>4.36</v>
      </c>
      <c r="K438" s="8" t="n">
        <v>0</v>
      </c>
      <c r="L438" s="8" t="n">
        <v>0</v>
      </c>
      <c r="M438" s="9">
        <f>ROUND(SUM(I438:L438),2)</f>
        <v/>
      </c>
      <c r="N438" s="10">
        <f>ROUND(I438*'Irish Basis'!$C$6*'Irish Basis'!$C$5,2)</f>
        <v/>
      </c>
      <c r="O438" s="10">
        <f>ROUND(J438*'Irish Basis'!$C$7*'Irish Basis'!$C$5,2)</f>
        <v/>
      </c>
      <c r="P438" s="10">
        <f>ROUND(K438*'Irish Basis'!$C$8*'Irish Basis'!$C$5,2)</f>
        <v/>
      </c>
      <c r="Q438" s="10">
        <f>ROUND(L438*'Irish Basis'!$C$12*'Irish Basis'!$C$5,2)</f>
        <v/>
      </c>
      <c r="R438" s="11">
        <f>ROUND(SUM(N438:Q438),2)</f>
        <v/>
      </c>
      <c r="S438" s="5" t="inlineStr">
        <is>
          <t>Stated build-up</t>
        </is>
      </c>
      <c r="T438" s="12" t="inlineStr">
        <is>
          <t>High</t>
        </is>
      </c>
      <c r="U438" s="8" t="n">
        <v>6.42</v>
      </c>
      <c r="V438" s="13">
        <f>IF(U438="","",ROUND(M438-U438,2))</f>
        <v/>
      </c>
      <c r="W438" s="5" t="n"/>
      <c r="X438" s="5" t="inlineStr">
        <is>
          <t>Labour + plant + material as published; reconciles to the published rate.</t>
        </is>
      </c>
    </row>
    <row r="439" ht="13" customHeight="1">
      <c r="A439" s="4" t="n">
        <v>820</v>
      </c>
      <c r="B439" s="5" t="inlineStr">
        <is>
          <t>IMG_0077</t>
        </is>
      </c>
      <c r="C439" s="5" t="inlineStr">
        <is>
          <t>CLASS E: EARTHWORKS</t>
        </is>
      </c>
      <c r="D439" s="5" t="inlineStr">
        <is>
          <t>05 EXCAVATION ANCILLARIES</t>
        </is>
      </c>
      <c r="E439" s="5" t="inlineStr">
        <is>
          <t>Preparation of rock; using D6E dozer</t>
        </is>
      </c>
      <c r="F439" s="5" t="inlineStr">
        <is>
          <t>horizontal</t>
        </is>
      </c>
      <c r="G439" s="6" t="inlineStr">
        <is>
          <t>m2</t>
        </is>
      </c>
      <c r="H439" s="7" t="n">
        <v>0.8</v>
      </c>
      <c r="I439" s="8" t="n">
        <v>27.38</v>
      </c>
      <c r="J439" s="8" t="n">
        <v>61.44</v>
      </c>
      <c r="K439" s="8" t="n">
        <v>0</v>
      </c>
      <c r="L439" s="8" t="n">
        <v>0</v>
      </c>
      <c r="M439" s="9">
        <f>ROUND(SUM(I439:L439),2)</f>
        <v/>
      </c>
      <c r="N439" s="10">
        <f>ROUND(I439*'Irish Basis'!$C$6*'Irish Basis'!$C$5,2)</f>
        <v/>
      </c>
      <c r="O439" s="10">
        <f>ROUND(J439*'Irish Basis'!$C$7*'Irish Basis'!$C$5,2)</f>
        <v/>
      </c>
      <c r="P439" s="10">
        <f>ROUND(K439*'Irish Basis'!$C$8*'Irish Basis'!$C$5,2)</f>
        <v/>
      </c>
      <c r="Q439" s="10">
        <f>ROUND(L439*'Irish Basis'!$C$12*'Irish Basis'!$C$5,2)</f>
        <v/>
      </c>
      <c r="R439" s="11">
        <f>ROUND(SUM(N439:Q439),2)</f>
        <v/>
      </c>
      <c r="S439" s="5" t="inlineStr">
        <is>
          <t>Stated build-up</t>
        </is>
      </c>
      <c r="T439" s="12" t="inlineStr">
        <is>
          <t>High</t>
        </is>
      </c>
      <c r="U439" s="8" t="n">
        <v>88.81999999999999</v>
      </c>
      <c r="V439" s="13">
        <f>IF(U439="","",ROUND(M439-U439,2))</f>
        <v/>
      </c>
      <c r="W439" s="5" t="n"/>
      <c r="X439" s="5" t="inlineStr">
        <is>
          <t>Labour + plant + material as published; reconciles to the published rate.</t>
        </is>
      </c>
    </row>
    <row r="440" ht="13" customHeight="1">
      <c r="A440" s="4" t="n">
        <v>821</v>
      </c>
      <c r="B440" s="5" t="inlineStr">
        <is>
          <t>IMG_0077</t>
        </is>
      </c>
      <c r="C440" s="5" t="inlineStr">
        <is>
          <t>CLASS E: EARTHWORKS</t>
        </is>
      </c>
      <c r="D440" s="5" t="inlineStr">
        <is>
          <t>05 EXCAVATION ANCILLARIES</t>
        </is>
      </c>
      <c r="E440" s="5" t="inlineStr">
        <is>
          <t>Preparation of rock; using D6E dozer</t>
        </is>
      </c>
      <c r="F440" s="5" t="inlineStr">
        <is>
          <t>10-45 deg to horizontal</t>
        </is>
      </c>
      <c r="G440" s="6" t="inlineStr">
        <is>
          <t>m2</t>
        </is>
      </c>
      <c r="H440" s="7" t="n">
        <v>0.6</v>
      </c>
      <c r="I440" s="8" t="n">
        <v>20.53</v>
      </c>
      <c r="J440" s="8" t="n">
        <v>46.08</v>
      </c>
      <c r="K440" s="8" t="n">
        <v>0</v>
      </c>
      <c r="L440" s="8" t="n">
        <v>0</v>
      </c>
      <c r="M440" s="9">
        <f>ROUND(SUM(I440:L440),2)</f>
        <v/>
      </c>
      <c r="N440" s="10">
        <f>ROUND(I440*'Irish Basis'!$C$6*'Irish Basis'!$C$5,2)</f>
        <v/>
      </c>
      <c r="O440" s="10">
        <f>ROUND(J440*'Irish Basis'!$C$7*'Irish Basis'!$C$5,2)</f>
        <v/>
      </c>
      <c r="P440" s="10">
        <f>ROUND(K440*'Irish Basis'!$C$8*'Irish Basis'!$C$5,2)</f>
        <v/>
      </c>
      <c r="Q440" s="10">
        <f>ROUND(L440*'Irish Basis'!$C$12*'Irish Basis'!$C$5,2)</f>
        <v/>
      </c>
      <c r="R440" s="11">
        <f>ROUND(SUM(N440:Q440),2)</f>
        <v/>
      </c>
      <c r="S440" s="5" t="inlineStr">
        <is>
          <t>Stated build-up</t>
        </is>
      </c>
      <c r="T440" s="12" t="inlineStr">
        <is>
          <t>High</t>
        </is>
      </c>
      <c r="U440" s="8" t="n">
        <v>66.61</v>
      </c>
      <c r="V440" s="13">
        <f>IF(U440="","",ROUND(M440-U440,2))</f>
        <v/>
      </c>
      <c r="W440" s="5" t="n"/>
      <c r="X440" s="5" t="inlineStr">
        <is>
          <t>Labour + plant + material as published; reconciles to the published rate.</t>
        </is>
      </c>
    </row>
    <row r="441" ht="13" customHeight="1">
      <c r="A441" s="4" t="n">
        <v>822</v>
      </c>
      <c r="B441" s="5" t="inlineStr">
        <is>
          <t>IMG_0077</t>
        </is>
      </c>
      <c r="C441" s="5" t="inlineStr">
        <is>
          <t>CLASS E: EARTHWORKS</t>
        </is>
      </c>
      <c r="D441" s="5" t="inlineStr">
        <is>
          <t>05 EXCAVATION ANCILLARIES</t>
        </is>
      </c>
      <c r="E441" s="5" t="inlineStr">
        <is>
          <t>Preparation of rock; using D6E dozer</t>
        </is>
      </c>
      <c r="F441" s="5" t="inlineStr">
        <is>
          <t>45-90 deg to horizontal</t>
        </is>
      </c>
      <c r="G441" s="6" t="inlineStr">
        <is>
          <t>m2</t>
        </is>
      </c>
      <c r="H441" s="7" t="n">
        <v>0.6</v>
      </c>
      <c r="I441" s="8" t="n">
        <v>20.53</v>
      </c>
      <c r="J441" s="8" t="n">
        <v>46.08</v>
      </c>
      <c r="K441" s="8" t="n">
        <v>0</v>
      </c>
      <c r="L441" s="8" t="n">
        <v>0</v>
      </c>
      <c r="M441" s="9">
        <f>ROUND(SUM(I441:L441),2)</f>
        <v/>
      </c>
      <c r="N441" s="10">
        <f>ROUND(I441*'Irish Basis'!$C$6*'Irish Basis'!$C$5,2)</f>
        <v/>
      </c>
      <c r="O441" s="10">
        <f>ROUND(J441*'Irish Basis'!$C$7*'Irish Basis'!$C$5,2)</f>
        <v/>
      </c>
      <c r="P441" s="10">
        <f>ROUND(K441*'Irish Basis'!$C$8*'Irish Basis'!$C$5,2)</f>
        <v/>
      </c>
      <c r="Q441" s="10">
        <f>ROUND(L441*'Irish Basis'!$C$12*'Irish Basis'!$C$5,2)</f>
        <v/>
      </c>
      <c r="R441" s="11">
        <f>ROUND(SUM(N441:Q441),2)</f>
        <v/>
      </c>
      <c r="S441" s="5" t="inlineStr">
        <is>
          <t>Stated build-up</t>
        </is>
      </c>
      <c r="T441" s="12" t="inlineStr">
        <is>
          <t>High</t>
        </is>
      </c>
      <c r="U441" s="8" t="n">
        <v>66.61</v>
      </c>
      <c r="V441" s="13">
        <f>IF(U441="","",ROUND(M441-U441,2))</f>
        <v/>
      </c>
      <c r="W441" s="5" t="n"/>
      <c r="X441" s="5" t="inlineStr">
        <is>
          <t>Labour + plant + material as published; reconciles to the published rate.</t>
        </is>
      </c>
    </row>
    <row r="442" ht="13" customHeight="1">
      <c r="A442" s="4" t="n">
        <v>825</v>
      </c>
      <c r="B442" s="5" t="inlineStr">
        <is>
          <t>IMG_0077</t>
        </is>
      </c>
      <c r="C442" s="5" t="inlineStr">
        <is>
          <t>CLASS E: EARTHWORKS</t>
        </is>
      </c>
      <c r="D442" s="5" t="inlineStr">
        <is>
          <t>05 EXCAVATION ANCILLARIES</t>
        </is>
      </c>
      <c r="E442" s="5" t="inlineStr">
        <is>
          <t>Disposal of excavated topsoil</t>
        </is>
      </c>
      <c r="F442" s="5" t="inlineStr">
        <is>
          <t>storage on site; 100 m maximum distance</t>
        </is>
      </c>
      <c r="G442" s="6" t="inlineStr">
        <is>
          <t>m3</t>
        </is>
      </c>
      <c r="H442" s="7" t="n">
        <v>0.05</v>
      </c>
      <c r="I442" s="8" t="n">
        <v>2.24</v>
      </c>
      <c r="J442" s="8" t="n">
        <v>6.11</v>
      </c>
      <c r="K442" s="8" t="n">
        <v>0</v>
      </c>
      <c r="L442" s="8" t="n">
        <v>0</v>
      </c>
      <c r="M442" s="9">
        <f>ROUND(SUM(I442:L442),2)</f>
        <v/>
      </c>
      <c r="N442" s="10">
        <f>ROUND(I442*'Irish Basis'!$C$6*'Irish Basis'!$C$5,2)</f>
        <v/>
      </c>
      <c r="O442" s="10">
        <f>ROUND(J442*'Irish Basis'!$C$7*'Irish Basis'!$C$5,2)</f>
        <v/>
      </c>
      <c r="P442" s="10">
        <f>ROUND(K442*'Irish Basis'!$C$8*'Irish Basis'!$C$5,2)</f>
        <v/>
      </c>
      <c r="Q442" s="10">
        <f>ROUND(L442*'Irish Basis'!$C$12*'Irish Basis'!$C$5,2)</f>
        <v/>
      </c>
      <c r="R442" s="11">
        <f>ROUND(SUM(N442:Q442),2)</f>
        <v/>
      </c>
      <c r="S442" s="5" t="inlineStr">
        <is>
          <t>Stated build-up</t>
        </is>
      </c>
      <c r="T442" s="12" t="inlineStr">
        <is>
          <t>High</t>
        </is>
      </c>
      <c r="U442" s="8" t="n">
        <v>8.35</v>
      </c>
      <c r="V442" s="13">
        <f>IF(U442="","",ROUND(M442-U442,2))</f>
        <v/>
      </c>
      <c r="W442" s="5" t="n"/>
      <c r="X442" s="5" t="inlineStr">
        <is>
          <t>Labour + plant + material as published; reconciles to the published rate.</t>
        </is>
      </c>
    </row>
    <row r="443" ht="13" customHeight="1">
      <c r="A443" s="4" t="n">
        <v>826</v>
      </c>
      <c r="B443" s="5" t="inlineStr">
        <is>
          <t>IMG_0077</t>
        </is>
      </c>
      <c r="C443" s="5" t="inlineStr">
        <is>
          <t>CLASS E: EARTHWORKS</t>
        </is>
      </c>
      <c r="D443" s="5" t="inlineStr">
        <is>
          <t>05 EXCAVATION ANCILLARIES</t>
        </is>
      </c>
      <c r="E443" s="5" t="inlineStr">
        <is>
          <t>Disposal of excavated topsoil</t>
        </is>
      </c>
      <c r="F443" s="5" t="inlineStr">
        <is>
          <t>removal; 5 km distance</t>
        </is>
      </c>
      <c r="G443" s="6" t="inlineStr">
        <is>
          <t>m3</t>
        </is>
      </c>
      <c r="H443" s="7" t="n">
        <v>0.11</v>
      </c>
      <c r="I443" s="8" t="n">
        <v>4.94</v>
      </c>
      <c r="J443" s="8" t="n">
        <v>15.83</v>
      </c>
      <c r="K443" s="8" t="n">
        <v>0</v>
      </c>
      <c r="L443" s="8" t="n">
        <v>0</v>
      </c>
      <c r="M443" s="9">
        <f>ROUND(SUM(I443:L443),2)</f>
        <v/>
      </c>
      <c r="N443" s="10">
        <f>ROUND(I443*'Irish Basis'!$C$6*'Irish Basis'!$C$5,2)</f>
        <v/>
      </c>
      <c r="O443" s="10">
        <f>ROUND(J443*'Irish Basis'!$C$7*'Irish Basis'!$C$5,2)</f>
        <v/>
      </c>
      <c r="P443" s="10">
        <f>ROUND(K443*'Irish Basis'!$C$8*'Irish Basis'!$C$5,2)</f>
        <v/>
      </c>
      <c r="Q443" s="10">
        <f>ROUND(L443*'Irish Basis'!$C$12*'Irish Basis'!$C$5,2)</f>
        <v/>
      </c>
      <c r="R443" s="11">
        <f>ROUND(SUM(N443:Q443),2)</f>
        <v/>
      </c>
      <c r="S443" s="5" t="inlineStr">
        <is>
          <t>Stated build-up</t>
        </is>
      </c>
      <c r="T443" s="12" t="inlineStr">
        <is>
          <t>High</t>
        </is>
      </c>
      <c r="U443" s="8" t="n">
        <v>20.76</v>
      </c>
      <c r="V443" s="13">
        <f>IF(U443="","",ROUND(M443-U443,2))</f>
        <v/>
      </c>
      <c r="W443" s="5" t="n"/>
      <c r="X443" s="5" t="inlineStr">
        <is>
          <t>Labour + plant + material as published; reconciles to the published rate.</t>
        </is>
      </c>
    </row>
    <row r="444" ht="13" customHeight="1">
      <c r="A444" s="4" t="n">
        <v>827</v>
      </c>
      <c r="B444" s="5" t="inlineStr">
        <is>
          <t>IMG_0077</t>
        </is>
      </c>
      <c r="C444" s="5" t="inlineStr">
        <is>
          <t>CLASS E: EARTHWORKS</t>
        </is>
      </c>
      <c r="D444" s="5" t="inlineStr">
        <is>
          <t>05 EXCAVATION ANCILLARIES</t>
        </is>
      </c>
      <c r="E444" s="5" t="inlineStr">
        <is>
          <t>Disposal of excavated topsoil</t>
        </is>
      </c>
      <c r="F444" s="5" t="inlineStr">
        <is>
          <t>removal; 15 km distance</t>
        </is>
      </c>
      <c r="G444" s="6" t="inlineStr">
        <is>
          <t>m3</t>
        </is>
      </c>
      <c r="H444" s="7" t="n">
        <v>0.21</v>
      </c>
      <c r="I444" s="8" t="n">
        <v>9.43</v>
      </c>
      <c r="J444" s="8" t="n">
        <v>30.21</v>
      </c>
      <c r="K444" s="8" t="n">
        <v>0</v>
      </c>
      <c r="L444" s="8" t="n">
        <v>0</v>
      </c>
      <c r="M444" s="9">
        <f>ROUND(SUM(I444:L444),2)</f>
        <v/>
      </c>
      <c r="N444" s="10">
        <f>ROUND(I444*'Irish Basis'!$C$6*'Irish Basis'!$C$5,2)</f>
        <v/>
      </c>
      <c r="O444" s="10">
        <f>ROUND(J444*'Irish Basis'!$C$7*'Irish Basis'!$C$5,2)</f>
        <v/>
      </c>
      <c r="P444" s="10">
        <f>ROUND(K444*'Irish Basis'!$C$8*'Irish Basis'!$C$5,2)</f>
        <v/>
      </c>
      <c r="Q444" s="10">
        <f>ROUND(L444*'Irish Basis'!$C$12*'Irish Basis'!$C$5,2)</f>
        <v/>
      </c>
      <c r="R444" s="11">
        <f>ROUND(SUM(N444:Q444),2)</f>
        <v/>
      </c>
      <c r="S444" s="5" t="inlineStr">
        <is>
          <t>Stated build-up</t>
        </is>
      </c>
      <c r="T444" s="12" t="inlineStr">
        <is>
          <t>High</t>
        </is>
      </c>
      <c r="U444" s="8" t="n">
        <v>39.64</v>
      </c>
      <c r="V444" s="13">
        <f>IF(U444="","",ROUND(M444-U444,2))</f>
        <v/>
      </c>
      <c r="W444" s="5" t="n"/>
      <c r="X444" s="5" t="inlineStr">
        <is>
          <t>Labour + plant + material as published; reconciles to the published rate.</t>
        </is>
      </c>
    </row>
    <row r="445" ht="13" customHeight="1">
      <c r="A445" s="4" t="n">
        <v>829</v>
      </c>
      <c r="B445" s="5" t="inlineStr">
        <is>
          <t>IMG_0077</t>
        </is>
      </c>
      <c r="C445" s="5" t="inlineStr">
        <is>
          <t>CLASS E: EARTHWORKS</t>
        </is>
      </c>
      <c r="D445" s="5" t="inlineStr">
        <is>
          <t>05 EXCAVATION ANCILLARIES</t>
        </is>
      </c>
      <c r="E445" s="5" t="inlineStr">
        <is>
          <t>Disposal of excavated earth other than rock or artificial hard material</t>
        </is>
      </c>
      <c r="F445" s="5" t="inlineStr">
        <is>
          <t>storage on site; 100 m maximum distance; using 22.5 t ADT</t>
        </is>
      </c>
      <c r="G445" s="6" t="inlineStr">
        <is>
          <t>m3</t>
        </is>
      </c>
      <c r="H445" s="7" t="n">
        <v>0.05</v>
      </c>
      <c r="I445" s="8" t="n">
        <v>2.24</v>
      </c>
      <c r="J445" s="8" t="n">
        <v>6.11</v>
      </c>
      <c r="K445" s="8" t="n">
        <v>0</v>
      </c>
      <c r="L445" s="8" t="n">
        <v>0</v>
      </c>
      <c r="M445" s="9">
        <f>ROUND(SUM(I445:L445),2)</f>
        <v/>
      </c>
      <c r="N445" s="10">
        <f>ROUND(I445*'Irish Basis'!$C$6*'Irish Basis'!$C$5,2)</f>
        <v/>
      </c>
      <c r="O445" s="10">
        <f>ROUND(J445*'Irish Basis'!$C$7*'Irish Basis'!$C$5,2)</f>
        <v/>
      </c>
      <c r="P445" s="10">
        <f>ROUND(K445*'Irish Basis'!$C$8*'Irish Basis'!$C$5,2)</f>
        <v/>
      </c>
      <c r="Q445" s="10">
        <f>ROUND(L445*'Irish Basis'!$C$12*'Irish Basis'!$C$5,2)</f>
        <v/>
      </c>
      <c r="R445" s="11">
        <f>ROUND(SUM(N445:Q445),2)</f>
        <v/>
      </c>
      <c r="S445" s="5" t="inlineStr">
        <is>
          <t>Stated build-up</t>
        </is>
      </c>
      <c r="T445" s="12" t="inlineStr">
        <is>
          <t>High</t>
        </is>
      </c>
      <c r="U445" s="8" t="n">
        <v>8.35</v>
      </c>
      <c r="V445" s="13">
        <f>IF(U445="","",ROUND(M445-U445,2))</f>
        <v/>
      </c>
      <c r="W445" s="5" t="n"/>
      <c r="X445" s="5" t="inlineStr">
        <is>
          <t>Labour + plant + material as published; reconciles to the published rate.</t>
        </is>
      </c>
    </row>
    <row r="446" ht="13" customHeight="1">
      <c r="A446" s="4" t="n">
        <v>830</v>
      </c>
      <c r="B446" s="5" t="inlineStr">
        <is>
          <t>IMG_0077</t>
        </is>
      </c>
      <c r="C446" s="5" t="inlineStr">
        <is>
          <t>CLASS E: EARTHWORKS</t>
        </is>
      </c>
      <c r="D446" s="5" t="inlineStr">
        <is>
          <t>05 EXCAVATION ANCILLARIES</t>
        </is>
      </c>
      <c r="E446" s="5" t="inlineStr">
        <is>
          <t>Disposal of excavated earth other than rock or artificial hard material</t>
        </is>
      </c>
      <c r="F446" s="5" t="inlineStr">
        <is>
          <t>removal; 5 km distance; using 20 t tipper</t>
        </is>
      </c>
      <c r="G446" s="6" t="inlineStr">
        <is>
          <t>m3</t>
        </is>
      </c>
      <c r="H446" s="7" t="n">
        <v>0.12</v>
      </c>
      <c r="I446" s="8" t="n">
        <v>5.39</v>
      </c>
      <c r="J446" s="8" t="n">
        <v>17.26</v>
      </c>
      <c r="K446" s="8" t="n">
        <v>0</v>
      </c>
      <c r="L446" s="8" t="n">
        <v>0</v>
      </c>
      <c r="M446" s="9">
        <f>ROUND(SUM(I446:L446),2)</f>
        <v/>
      </c>
      <c r="N446" s="10">
        <f>ROUND(I446*'Irish Basis'!$C$6*'Irish Basis'!$C$5,2)</f>
        <v/>
      </c>
      <c r="O446" s="10">
        <f>ROUND(J446*'Irish Basis'!$C$7*'Irish Basis'!$C$5,2)</f>
        <v/>
      </c>
      <c r="P446" s="10">
        <f>ROUND(K446*'Irish Basis'!$C$8*'Irish Basis'!$C$5,2)</f>
        <v/>
      </c>
      <c r="Q446" s="10">
        <f>ROUND(L446*'Irish Basis'!$C$12*'Irish Basis'!$C$5,2)</f>
        <v/>
      </c>
      <c r="R446" s="11">
        <f>ROUND(SUM(N446:Q446),2)</f>
        <v/>
      </c>
      <c r="S446" s="5" t="inlineStr">
        <is>
          <t>Stated build-up</t>
        </is>
      </c>
      <c r="T446" s="12" t="inlineStr">
        <is>
          <t>High</t>
        </is>
      </c>
      <c r="U446" s="8" t="n">
        <v>22.65</v>
      </c>
      <c r="V446" s="13">
        <f>IF(U446="","",ROUND(M446-U446,2))</f>
        <v/>
      </c>
      <c r="W446" s="5" t="n"/>
      <c r="X446" s="5" t="inlineStr">
        <is>
          <t>Labour + plant + material as published; reconciles to the published rate.</t>
        </is>
      </c>
    </row>
    <row r="447" ht="13" customHeight="1">
      <c r="A447" s="4" t="n">
        <v>831</v>
      </c>
      <c r="B447" s="5" t="inlineStr">
        <is>
          <t>IMG_0077</t>
        </is>
      </c>
      <c r="C447" s="5" t="inlineStr">
        <is>
          <t>CLASS E: EARTHWORKS</t>
        </is>
      </c>
      <c r="D447" s="5" t="inlineStr">
        <is>
          <t>05 EXCAVATION ANCILLARIES</t>
        </is>
      </c>
      <c r="E447" s="5" t="inlineStr">
        <is>
          <t>Disposal of excavated earth other than rock or artificial hard material</t>
        </is>
      </c>
      <c r="F447" s="5" t="inlineStr">
        <is>
          <t>removal; 15 km distance; using 20 t tipper</t>
        </is>
      </c>
      <c r="G447" s="6" t="inlineStr">
        <is>
          <t>m3</t>
        </is>
      </c>
      <c r="H447" s="7" t="n">
        <v>0.22</v>
      </c>
      <c r="I447" s="8" t="n">
        <v>9.880000000000001</v>
      </c>
      <c r="J447" s="8" t="n">
        <v>31.65</v>
      </c>
      <c r="K447" s="8" t="n">
        <v>0</v>
      </c>
      <c r="L447" s="8" t="n">
        <v>0</v>
      </c>
      <c r="M447" s="9">
        <f>ROUND(SUM(I447:L447),2)</f>
        <v/>
      </c>
      <c r="N447" s="10">
        <f>ROUND(I447*'Irish Basis'!$C$6*'Irish Basis'!$C$5,2)</f>
        <v/>
      </c>
      <c r="O447" s="10">
        <f>ROUND(J447*'Irish Basis'!$C$7*'Irish Basis'!$C$5,2)</f>
        <v/>
      </c>
      <c r="P447" s="10">
        <f>ROUND(K447*'Irish Basis'!$C$8*'Irish Basis'!$C$5,2)</f>
        <v/>
      </c>
      <c r="Q447" s="10">
        <f>ROUND(L447*'Irish Basis'!$C$12*'Irish Basis'!$C$5,2)</f>
        <v/>
      </c>
      <c r="R447" s="11">
        <f>ROUND(SUM(N447:Q447),2)</f>
        <v/>
      </c>
      <c r="S447" s="5" t="inlineStr">
        <is>
          <t>Stated build-up</t>
        </is>
      </c>
      <c r="T447" s="12" t="inlineStr">
        <is>
          <t>High</t>
        </is>
      </c>
      <c r="U447" s="8" t="n">
        <v>41.53</v>
      </c>
      <c r="V447" s="13">
        <f>IF(U447="","",ROUND(M447-U447,2))</f>
        <v/>
      </c>
      <c r="W447" s="5" t="n"/>
      <c r="X447" s="5" t="inlineStr">
        <is>
          <t>Labour + plant + material as published; reconciles to the published rate.</t>
        </is>
      </c>
    </row>
    <row r="448" ht="13" customHeight="1">
      <c r="A448" s="4" t="n">
        <v>833</v>
      </c>
      <c r="B448" s="5" t="inlineStr">
        <is>
          <t>IMG_0077</t>
        </is>
      </c>
      <c r="C448" s="5" t="inlineStr">
        <is>
          <t>CLASS E: EARTHWORKS</t>
        </is>
      </c>
      <c r="D448" s="5" t="inlineStr">
        <is>
          <t>05 EXCAVATION ANCILLARIES</t>
        </is>
      </c>
      <c r="E448" s="5" t="inlineStr">
        <is>
          <t>Disposal of excavated rock or artificial hard material</t>
        </is>
      </c>
      <c r="F448" s="5" t="inlineStr">
        <is>
          <t>storage on site; 100 m maximum distance; using 22.5 t ADT</t>
        </is>
      </c>
      <c r="G448" s="6" t="inlineStr">
        <is>
          <t>m3</t>
        </is>
      </c>
      <c r="H448" s="7" t="n">
        <v>0.06</v>
      </c>
      <c r="I448" s="8" t="n">
        <v>2.69</v>
      </c>
      <c r="J448" s="8" t="n">
        <v>7.33</v>
      </c>
      <c r="K448" s="8" t="n">
        <v>0</v>
      </c>
      <c r="L448" s="8" t="n">
        <v>0</v>
      </c>
      <c r="M448" s="9">
        <f>ROUND(SUM(I448:L448),2)</f>
        <v/>
      </c>
      <c r="N448" s="10">
        <f>ROUND(I448*'Irish Basis'!$C$6*'Irish Basis'!$C$5,2)</f>
        <v/>
      </c>
      <c r="O448" s="10">
        <f>ROUND(J448*'Irish Basis'!$C$7*'Irish Basis'!$C$5,2)</f>
        <v/>
      </c>
      <c r="P448" s="10">
        <f>ROUND(K448*'Irish Basis'!$C$8*'Irish Basis'!$C$5,2)</f>
        <v/>
      </c>
      <c r="Q448" s="10">
        <f>ROUND(L448*'Irish Basis'!$C$12*'Irish Basis'!$C$5,2)</f>
        <v/>
      </c>
      <c r="R448" s="11">
        <f>ROUND(SUM(N448:Q448),2)</f>
        <v/>
      </c>
      <c r="S448" s="5" t="inlineStr">
        <is>
          <t>Stated build-up</t>
        </is>
      </c>
      <c r="T448" s="12" t="inlineStr">
        <is>
          <t>High</t>
        </is>
      </c>
      <c r="U448" s="8" t="n">
        <v>10.02</v>
      </c>
      <c r="V448" s="13">
        <f>IF(U448="","",ROUND(M448-U448,2))</f>
        <v/>
      </c>
      <c r="W448" s="5" t="n"/>
      <c r="X448" s="5" t="inlineStr">
        <is>
          <t>Labour + plant + material as published; reconciles to the published rate.</t>
        </is>
      </c>
    </row>
    <row r="449" ht="13" customHeight="1">
      <c r="A449" s="4" t="n">
        <v>834</v>
      </c>
      <c r="B449" s="5" t="inlineStr">
        <is>
          <t>IMG_0077</t>
        </is>
      </c>
      <c r="C449" s="5" t="inlineStr">
        <is>
          <t>CLASS E: EARTHWORKS</t>
        </is>
      </c>
      <c r="D449" s="5" t="inlineStr">
        <is>
          <t>05 EXCAVATION ANCILLARIES</t>
        </is>
      </c>
      <c r="E449" s="5" t="inlineStr">
        <is>
          <t>Disposal of excavated rock or artificial hard material</t>
        </is>
      </c>
      <c r="F449" s="5" t="inlineStr">
        <is>
          <t>removal; 5 km distance; using 20 t tipper</t>
        </is>
      </c>
      <c r="G449" s="6" t="inlineStr">
        <is>
          <t>m3</t>
        </is>
      </c>
      <c r="H449" s="7" t="n">
        <v>0.13</v>
      </c>
      <c r="I449" s="8" t="n">
        <v>5.84</v>
      </c>
      <c r="J449" s="8" t="n">
        <v>18.7</v>
      </c>
      <c r="K449" s="8" t="n">
        <v>0</v>
      </c>
      <c r="L449" s="8" t="n">
        <v>0</v>
      </c>
      <c r="M449" s="9">
        <f>ROUND(SUM(I449:L449),2)</f>
        <v/>
      </c>
      <c r="N449" s="10">
        <f>ROUND(I449*'Irish Basis'!$C$6*'Irish Basis'!$C$5,2)</f>
        <v/>
      </c>
      <c r="O449" s="10">
        <f>ROUND(J449*'Irish Basis'!$C$7*'Irish Basis'!$C$5,2)</f>
        <v/>
      </c>
      <c r="P449" s="10">
        <f>ROUND(K449*'Irish Basis'!$C$8*'Irish Basis'!$C$5,2)</f>
        <v/>
      </c>
      <c r="Q449" s="10">
        <f>ROUND(L449*'Irish Basis'!$C$12*'Irish Basis'!$C$5,2)</f>
        <v/>
      </c>
      <c r="R449" s="11">
        <f>ROUND(SUM(N449:Q449),2)</f>
        <v/>
      </c>
      <c r="S449" s="5" t="inlineStr">
        <is>
          <t>Stated build-up</t>
        </is>
      </c>
      <c r="T449" s="12" t="inlineStr">
        <is>
          <t>High</t>
        </is>
      </c>
      <c r="U449" s="8" t="n">
        <v>24.54</v>
      </c>
      <c r="V449" s="13">
        <f>IF(U449="","",ROUND(M449-U449,2))</f>
        <v/>
      </c>
      <c r="W449" s="5" t="n"/>
      <c r="X449" s="5" t="inlineStr">
        <is>
          <t>Labour + plant + material as published; reconciles to the published rate.</t>
        </is>
      </c>
    </row>
    <row r="450" ht="13" customHeight="1">
      <c r="A450" s="4" t="n">
        <v>835</v>
      </c>
      <c r="B450" s="5" t="inlineStr">
        <is>
          <t>IMG_0077</t>
        </is>
      </c>
      <c r="C450" s="5" t="inlineStr">
        <is>
          <t>CLASS E: EARTHWORKS</t>
        </is>
      </c>
      <c r="D450" s="5" t="inlineStr">
        <is>
          <t>05 EXCAVATION ANCILLARIES</t>
        </is>
      </c>
      <c r="E450" s="5" t="inlineStr">
        <is>
          <t>Disposal of excavated rock or artificial hard material</t>
        </is>
      </c>
      <c r="F450" s="5" t="inlineStr">
        <is>
          <t>removal; 15 km distance; using 20 t tipper</t>
        </is>
      </c>
      <c r="G450" s="6" t="inlineStr">
        <is>
          <t>m3</t>
        </is>
      </c>
      <c r="H450" s="7" t="n">
        <v>0.23</v>
      </c>
      <c r="I450" s="8" t="n">
        <v>10.33</v>
      </c>
      <c r="J450" s="8" t="n">
        <v>33.09</v>
      </c>
      <c r="K450" s="8" t="n">
        <v>0</v>
      </c>
      <c r="L450" s="8" t="n">
        <v>0</v>
      </c>
      <c r="M450" s="9">
        <f>ROUND(SUM(I450:L450),2)</f>
        <v/>
      </c>
      <c r="N450" s="10">
        <f>ROUND(I450*'Irish Basis'!$C$6*'Irish Basis'!$C$5,2)</f>
        <v/>
      </c>
      <c r="O450" s="10">
        <f>ROUND(J450*'Irish Basis'!$C$7*'Irish Basis'!$C$5,2)</f>
        <v/>
      </c>
      <c r="P450" s="10">
        <f>ROUND(K450*'Irish Basis'!$C$8*'Irish Basis'!$C$5,2)</f>
        <v/>
      </c>
      <c r="Q450" s="10">
        <f>ROUND(L450*'Irish Basis'!$C$12*'Irish Basis'!$C$5,2)</f>
        <v/>
      </c>
      <c r="R450" s="11">
        <f>ROUND(SUM(N450:Q450),2)</f>
        <v/>
      </c>
      <c r="S450" s="5" t="inlineStr">
        <is>
          <t>Stated build-up</t>
        </is>
      </c>
      <c r="T450" s="12" t="inlineStr">
        <is>
          <t>High</t>
        </is>
      </c>
      <c r="U450" s="8" t="n">
        <v>43.42</v>
      </c>
      <c r="V450" s="13">
        <f>IF(U450="","",ROUND(M450-U450,2))</f>
        <v/>
      </c>
      <c r="W450" s="5" t="n"/>
      <c r="X450" s="5" t="inlineStr">
        <is>
          <t>Labour + plant + material as published; reconciles to the published rate.</t>
        </is>
      </c>
    </row>
    <row r="451" ht="13" customHeight="1">
      <c r="A451" s="4" t="n">
        <v>837</v>
      </c>
      <c r="B451" s="5" t="inlineStr">
        <is>
          <t>IMG_0077</t>
        </is>
      </c>
      <c r="C451" s="5" t="inlineStr">
        <is>
          <t>CLASS E: EARTHWORKS</t>
        </is>
      </c>
      <c r="D451" s="5" t="inlineStr">
        <is>
          <t>05 EXCAVATION ANCILLARIES</t>
        </is>
      </c>
      <c r="E451" s="5" t="inlineStr">
        <is>
          <t>Add to the above rates where tipping charges apply</t>
        </is>
      </c>
      <c r="F451" s="5" t="inlineStr">
        <is>
          <t>non-hazardous waste</t>
        </is>
      </c>
      <c r="G451" s="6" t="inlineStr">
        <is>
          <t>m3</t>
        </is>
      </c>
      <c r="H451" s="7" t="n"/>
      <c r="I451" s="8" t="n">
        <v>19.53</v>
      </c>
      <c r="J451" s="8" t="n">
        <v>50.38</v>
      </c>
      <c r="K451" s="8" t="n">
        <v>0</v>
      </c>
      <c r="L451" s="8" t="n">
        <v>0</v>
      </c>
      <c r="M451" s="9">
        <f>ROUND(SUM(I451:L451),2)</f>
        <v/>
      </c>
      <c r="N451" s="10">
        <f>ROUND(I451*'Irish Basis'!$C$6*'Irish Basis'!$C$5,2)</f>
        <v/>
      </c>
      <c r="O451" s="10">
        <f>ROUND(J451*'Irish Basis'!$C$7*'Irish Basis'!$C$5,2)</f>
        <v/>
      </c>
      <c r="P451" s="10">
        <f>ROUND(K451*'Irish Basis'!$C$8*'Irish Basis'!$C$5,2)</f>
        <v/>
      </c>
      <c r="Q451" s="10">
        <f>ROUND(L451*'Irish Basis'!$C$12*'Irish Basis'!$C$5,2)</f>
        <v/>
      </c>
      <c r="R451" s="11">
        <f>ROUND(SUM(N451:Q451),2)</f>
        <v/>
      </c>
      <c r="S451" s="5" t="inlineStr">
        <is>
          <t>Apportioned (section)</t>
        </is>
      </c>
      <c r="T451" s="16" t="inlineStr">
        <is>
          <t>Medium</t>
        </is>
      </c>
      <c r="U451" s="8" t="n">
        <v>69.91</v>
      </c>
      <c r="V451" s="13">
        <f>IF(U451="","",ROUND(M451-U451,2))</f>
        <v/>
      </c>
      <c r="W451" s="5" t="n"/>
      <c r="X451" s="5" t="inlineStr">
        <is>
          <t>Split from published rate using median L/P/M shares of 39 comparable build-ups at section level (28/72/0).</t>
        </is>
      </c>
    </row>
    <row r="452" ht="13" customHeight="1">
      <c r="A452" s="4" t="n">
        <v>838</v>
      </c>
      <c r="B452" s="5" t="inlineStr">
        <is>
          <t>IMG_0077</t>
        </is>
      </c>
      <c r="C452" s="5" t="inlineStr">
        <is>
          <t>CLASS E: EARTHWORKS</t>
        </is>
      </c>
      <c r="D452" s="5" t="inlineStr">
        <is>
          <t>05 EXCAVATION ANCILLARIES</t>
        </is>
      </c>
      <c r="E452" s="5" t="inlineStr">
        <is>
          <t>Add to the above rates where tipping charges apply</t>
        </is>
      </c>
      <c r="F452" s="5" t="inlineStr">
        <is>
          <t>hazardous waste</t>
        </is>
      </c>
      <c r="G452" s="6" t="inlineStr">
        <is>
          <t>m3</t>
        </is>
      </c>
      <c r="H452" s="7" t="n"/>
      <c r="I452" s="8" t="n">
        <v>58.59</v>
      </c>
      <c r="J452" s="8" t="n">
        <v>151.08</v>
      </c>
      <c r="K452" s="8" t="n">
        <v>0</v>
      </c>
      <c r="L452" s="8" t="n">
        <v>0</v>
      </c>
      <c r="M452" s="9">
        <f>ROUND(SUM(I452:L452),2)</f>
        <v/>
      </c>
      <c r="N452" s="10">
        <f>ROUND(I452*'Irish Basis'!$C$6*'Irish Basis'!$C$5,2)</f>
        <v/>
      </c>
      <c r="O452" s="10">
        <f>ROUND(J452*'Irish Basis'!$C$7*'Irish Basis'!$C$5,2)</f>
        <v/>
      </c>
      <c r="P452" s="10">
        <f>ROUND(K452*'Irish Basis'!$C$8*'Irish Basis'!$C$5,2)</f>
        <v/>
      </c>
      <c r="Q452" s="10">
        <f>ROUND(L452*'Irish Basis'!$C$12*'Irish Basis'!$C$5,2)</f>
        <v/>
      </c>
      <c r="R452" s="11">
        <f>ROUND(SUM(N452:Q452),2)</f>
        <v/>
      </c>
      <c r="S452" s="5" t="inlineStr">
        <is>
          <t>Apportioned (section)</t>
        </is>
      </c>
      <c r="T452" s="16" t="inlineStr">
        <is>
          <t>Medium</t>
        </is>
      </c>
      <c r="U452" s="8" t="n">
        <v>209.67</v>
      </c>
      <c r="V452" s="13">
        <f>IF(U452="","",ROUND(M452-U452,2))</f>
        <v/>
      </c>
      <c r="W452" s="5" t="n"/>
      <c r="X452" s="5" t="inlineStr">
        <is>
          <t>Split from published rate using median L/P/M shares of 39 comparable build-ups at section level (28/72/0).</t>
        </is>
      </c>
    </row>
    <row r="453" ht="13" customHeight="1">
      <c r="A453" s="4" t="n">
        <v>839</v>
      </c>
      <c r="B453" s="5" t="inlineStr">
        <is>
          <t>IMG_0077</t>
        </is>
      </c>
      <c r="C453" s="5" t="inlineStr">
        <is>
          <t>CLASS E: EARTHWORKS</t>
        </is>
      </c>
      <c r="D453" s="5" t="inlineStr">
        <is>
          <t>05 EXCAVATION ANCILLARIES</t>
        </is>
      </c>
      <c r="E453" s="5" t="inlineStr">
        <is>
          <t>Add to the above rates where tipping charges apply</t>
        </is>
      </c>
      <c r="F453" s="5" t="inlineStr">
        <is>
          <t>special waste</t>
        </is>
      </c>
      <c r="G453" s="6" t="inlineStr">
        <is>
          <t>m3</t>
        </is>
      </c>
      <c r="H453" s="7" t="n"/>
      <c r="I453" s="8" t="n">
        <v>61.85</v>
      </c>
      <c r="J453" s="8" t="n">
        <v>159.5</v>
      </c>
      <c r="K453" s="8" t="n">
        <v>0</v>
      </c>
      <c r="L453" s="8" t="n">
        <v>0</v>
      </c>
      <c r="M453" s="9">
        <f>ROUND(SUM(I453:L453),2)</f>
        <v/>
      </c>
      <c r="N453" s="10">
        <f>ROUND(I453*'Irish Basis'!$C$6*'Irish Basis'!$C$5,2)</f>
        <v/>
      </c>
      <c r="O453" s="10">
        <f>ROUND(J453*'Irish Basis'!$C$7*'Irish Basis'!$C$5,2)</f>
        <v/>
      </c>
      <c r="P453" s="10">
        <f>ROUND(K453*'Irish Basis'!$C$8*'Irish Basis'!$C$5,2)</f>
        <v/>
      </c>
      <c r="Q453" s="10">
        <f>ROUND(L453*'Irish Basis'!$C$12*'Irish Basis'!$C$5,2)</f>
        <v/>
      </c>
      <c r="R453" s="11">
        <f>ROUND(SUM(N453:Q453),2)</f>
        <v/>
      </c>
      <c r="S453" s="5" t="inlineStr">
        <is>
          <t>Apportioned (section)</t>
        </is>
      </c>
      <c r="T453" s="16" t="inlineStr">
        <is>
          <t>Medium</t>
        </is>
      </c>
      <c r="U453" s="8" t="n">
        <v>221.35</v>
      </c>
      <c r="V453" s="13">
        <f>IF(U453="","",ROUND(M453-U453,2))</f>
        <v/>
      </c>
      <c r="W453" s="5" t="n"/>
      <c r="X453" s="5" t="inlineStr">
        <is>
          <t>Split from published rate using median L/P/M shares of 39 comparable build-ups at section level (28/72/0).</t>
        </is>
      </c>
    </row>
    <row r="454" ht="13" customHeight="1">
      <c r="A454" s="4" t="n">
        <v>840</v>
      </c>
      <c r="B454" s="5" t="inlineStr">
        <is>
          <t>IMG_0077</t>
        </is>
      </c>
      <c r="C454" s="5" t="inlineStr">
        <is>
          <t>CLASS E: EARTHWORKS</t>
        </is>
      </c>
      <c r="D454" s="5" t="inlineStr">
        <is>
          <t>05 EXCAVATION ANCILLARIES</t>
        </is>
      </c>
      <c r="E454" s="5" t="inlineStr">
        <is>
          <t>Add to the above rates where tipping charges apply</t>
        </is>
      </c>
      <c r="F454" s="5" t="inlineStr">
        <is>
          <t>contaminated liquid</t>
        </is>
      </c>
      <c r="G454" s="6" t="inlineStr">
        <is>
          <t>m3</t>
        </is>
      </c>
      <c r="H454" s="7" t="n"/>
      <c r="I454" s="8" t="n">
        <v>78.12</v>
      </c>
      <c r="J454" s="8" t="n">
        <v>201.44</v>
      </c>
      <c r="K454" s="8" t="n">
        <v>0</v>
      </c>
      <c r="L454" s="8" t="n">
        <v>0</v>
      </c>
      <c r="M454" s="9">
        <f>ROUND(SUM(I454:L454),2)</f>
        <v/>
      </c>
      <c r="N454" s="10">
        <f>ROUND(I454*'Irish Basis'!$C$6*'Irish Basis'!$C$5,2)</f>
        <v/>
      </c>
      <c r="O454" s="10">
        <f>ROUND(J454*'Irish Basis'!$C$7*'Irish Basis'!$C$5,2)</f>
        <v/>
      </c>
      <c r="P454" s="10">
        <f>ROUND(K454*'Irish Basis'!$C$8*'Irish Basis'!$C$5,2)</f>
        <v/>
      </c>
      <c r="Q454" s="10">
        <f>ROUND(L454*'Irish Basis'!$C$12*'Irish Basis'!$C$5,2)</f>
        <v/>
      </c>
      <c r="R454" s="11">
        <f>ROUND(SUM(N454:Q454),2)</f>
        <v/>
      </c>
      <c r="S454" s="5" t="inlineStr">
        <is>
          <t>Apportioned (section)</t>
        </is>
      </c>
      <c r="T454" s="16" t="inlineStr">
        <is>
          <t>Medium</t>
        </is>
      </c>
      <c r="U454" s="8" t="n">
        <v>279.56</v>
      </c>
      <c r="V454" s="13">
        <f>IF(U454="","",ROUND(M454-U454,2))</f>
        <v/>
      </c>
      <c r="W454" s="5" t="n"/>
      <c r="X454" s="5" t="inlineStr">
        <is>
          <t>Split from published rate using median L/P/M shares of 39 comparable build-ups at section level (28/72/0).</t>
        </is>
      </c>
    </row>
    <row r="455" ht="13" customHeight="1">
      <c r="A455" s="4" t="n">
        <v>841</v>
      </c>
      <c r="B455" s="5" t="inlineStr">
        <is>
          <t>IMG_0077</t>
        </is>
      </c>
      <c r="C455" s="5" t="inlineStr">
        <is>
          <t>CLASS E: EARTHWORKS</t>
        </is>
      </c>
      <c r="D455" s="5" t="inlineStr">
        <is>
          <t>05 EXCAVATION ANCILLARIES</t>
        </is>
      </c>
      <c r="E455" s="5" t="inlineStr">
        <is>
          <t>Add to the above rates where tipping charges apply</t>
        </is>
      </c>
      <c r="F455" s="5" t="inlineStr">
        <is>
          <t>contaminated sludge</t>
        </is>
      </c>
      <c r="G455" s="6" t="inlineStr">
        <is>
          <t>m3</t>
        </is>
      </c>
      <c r="H455" s="7" t="n"/>
      <c r="I455" s="8" t="n">
        <v>97.66</v>
      </c>
      <c r="J455" s="8" t="n">
        <v>251.85</v>
      </c>
      <c r="K455" s="8" t="n">
        <v>0</v>
      </c>
      <c r="L455" s="8" t="n">
        <v>0</v>
      </c>
      <c r="M455" s="9">
        <f>ROUND(SUM(I455:L455),2)</f>
        <v/>
      </c>
      <c r="N455" s="10">
        <f>ROUND(I455*'Irish Basis'!$C$6*'Irish Basis'!$C$5,2)</f>
        <v/>
      </c>
      <c r="O455" s="10">
        <f>ROUND(J455*'Irish Basis'!$C$7*'Irish Basis'!$C$5,2)</f>
        <v/>
      </c>
      <c r="P455" s="10">
        <f>ROUND(K455*'Irish Basis'!$C$8*'Irish Basis'!$C$5,2)</f>
        <v/>
      </c>
      <c r="Q455" s="10">
        <f>ROUND(L455*'Irish Basis'!$C$12*'Irish Basis'!$C$5,2)</f>
        <v/>
      </c>
      <c r="R455" s="11">
        <f>ROUND(SUM(N455:Q455),2)</f>
        <v/>
      </c>
      <c r="S455" s="5" t="inlineStr">
        <is>
          <t>Apportioned (section)</t>
        </is>
      </c>
      <c r="T455" s="16" t="inlineStr">
        <is>
          <t>Medium</t>
        </is>
      </c>
      <c r="U455" s="8" t="n">
        <v>349.51</v>
      </c>
      <c r="V455" s="13">
        <f>IF(U455="","",ROUND(M455-U455,2))</f>
        <v/>
      </c>
      <c r="W455" s="5" t="n"/>
      <c r="X455" s="5" t="inlineStr">
        <is>
          <t>Split from published rate using median L/P/M shares of 39 comparable build-ups at section level (28/72/0).</t>
        </is>
      </c>
    </row>
    <row r="456" ht="13" customHeight="1">
      <c r="A456" s="4" t="n">
        <v>843</v>
      </c>
      <c r="B456" s="5" t="inlineStr">
        <is>
          <t>IMG_0077</t>
        </is>
      </c>
      <c r="C456" s="5" t="inlineStr">
        <is>
          <t>CLASS E: EARTHWORKS</t>
        </is>
      </c>
      <c r="D456" s="5" t="inlineStr">
        <is>
          <t>05 EXCAVATION ANCILLARIES</t>
        </is>
      </c>
      <c r="E456" s="5" t="inlineStr">
        <is>
          <t>Add to the above rates where Landfill Tax applies</t>
        </is>
      </c>
      <c r="F456" s="5" t="inlineStr">
        <is>
          <t>inactive or inert waste material</t>
        </is>
      </c>
      <c r="G456" s="6" t="inlineStr">
        <is>
          <t>m3</t>
        </is>
      </c>
      <c r="H456" s="7" t="n"/>
      <c r="I456" s="8" t="n">
        <v>1.7</v>
      </c>
      <c r="J456" s="8" t="n">
        <v>4.38</v>
      </c>
      <c r="K456" s="8" t="n">
        <v>0</v>
      </c>
      <c r="L456" s="8" t="n">
        <v>0</v>
      </c>
      <c r="M456" s="9">
        <f>ROUND(SUM(I456:L456),2)</f>
        <v/>
      </c>
      <c r="N456" s="10">
        <f>ROUND(I456*'Irish Basis'!$C$6*'Irish Basis'!$C$5,2)</f>
        <v/>
      </c>
      <c r="O456" s="10">
        <f>ROUND(J456*'Irish Basis'!$C$7*'Irish Basis'!$C$5,2)</f>
        <v/>
      </c>
      <c r="P456" s="10">
        <f>ROUND(K456*'Irish Basis'!$C$8*'Irish Basis'!$C$5,2)</f>
        <v/>
      </c>
      <c r="Q456" s="10">
        <f>ROUND(L456*'Irish Basis'!$C$12*'Irish Basis'!$C$5,2)</f>
        <v/>
      </c>
      <c r="R456" s="11">
        <f>ROUND(SUM(N456:Q456),2)</f>
        <v/>
      </c>
      <c r="S456" s="5" t="inlineStr">
        <is>
          <t>Apportioned (section)</t>
        </is>
      </c>
      <c r="T456" s="16" t="inlineStr">
        <is>
          <t>Medium</t>
        </is>
      </c>
      <c r="U456" s="8" t="n">
        <v>6.08</v>
      </c>
      <c r="V456" s="13">
        <f>IF(U456="","",ROUND(M456-U456,2))</f>
        <v/>
      </c>
      <c r="W456" s="5" t="n"/>
      <c r="X456" s="5" t="inlineStr">
        <is>
          <t>Split from published rate using median L/P/M shares of 39 comparable build-ups at section level (28/72/0).</t>
        </is>
      </c>
    </row>
    <row r="457" ht="13" customHeight="1">
      <c r="A457" s="4" t="n">
        <v>844</v>
      </c>
      <c r="B457" s="5" t="inlineStr">
        <is>
          <t>IMG_0077</t>
        </is>
      </c>
      <c r="C457" s="5" t="inlineStr">
        <is>
          <t>CLASS E: EARTHWORKS</t>
        </is>
      </c>
      <c r="D457" s="5" t="inlineStr">
        <is>
          <t>05 EXCAVATION ANCILLARIES</t>
        </is>
      </c>
      <c r="E457" s="5" t="inlineStr">
        <is>
          <t>Add to the above rates where Landfill Tax applies</t>
        </is>
      </c>
      <c r="F457" s="5" t="inlineStr">
        <is>
          <t>other taxable waste material</t>
        </is>
      </c>
      <c r="G457" s="6" t="inlineStr">
        <is>
          <t>m3</t>
        </is>
      </c>
      <c r="H457" s="7" t="n"/>
      <c r="I457" s="8" t="n">
        <v>52.88</v>
      </c>
      <c r="J457" s="8" t="n">
        <v>136.35</v>
      </c>
      <c r="K457" s="8" t="n">
        <v>0</v>
      </c>
      <c r="L457" s="8" t="n">
        <v>0</v>
      </c>
      <c r="M457" s="9">
        <f>ROUND(SUM(I457:L457),2)</f>
        <v/>
      </c>
      <c r="N457" s="10">
        <f>ROUND(I457*'Irish Basis'!$C$6*'Irish Basis'!$C$5,2)</f>
        <v/>
      </c>
      <c r="O457" s="10">
        <f>ROUND(J457*'Irish Basis'!$C$7*'Irish Basis'!$C$5,2)</f>
        <v/>
      </c>
      <c r="P457" s="10">
        <f>ROUND(K457*'Irish Basis'!$C$8*'Irish Basis'!$C$5,2)</f>
        <v/>
      </c>
      <c r="Q457" s="10">
        <f>ROUND(L457*'Irish Basis'!$C$12*'Irish Basis'!$C$5,2)</f>
        <v/>
      </c>
      <c r="R457" s="11">
        <f>ROUND(SUM(N457:Q457),2)</f>
        <v/>
      </c>
      <c r="S457" s="5" t="inlineStr">
        <is>
          <t>Apportioned (section)</t>
        </is>
      </c>
      <c r="T457" s="16" t="inlineStr">
        <is>
          <t>Medium</t>
        </is>
      </c>
      <c r="U457" s="8" t="n">
        <v>189.23</v>
      </c>
      <c r="V457" s="13">
        <f>IF(U457="","",ROUND(M457-U457,2))</f>
        <v/>
      </c>
      <c r="W457" s="5" t="n"/>
      <c r="X457" s="5" t="inlineStr">
        <is>
          <t>Split from published rate using median L/P/M shares of 39 comparable build-ups at section level (28/72/0).</t>
        </is>
      </c>
    </row>
    <row r="458" ht="13" customHeight="1">
      <c r="A458" s="4" t="n">
        <v>847</v>
      </c>
      <c r="B458" s="5" t="inlineStr">
        <is>
          <t>IMG_0077</t>
        </is>
      </c>
      <c r="C458" s="5" t="inlineStr">
        <is>
          <t>CLASS E: EARTHWORKS</t>
        </is>
      </c>
      <c r="D458" s="5" t="inlineStr">
        <is>
          <t>05 EXCAVATION ANCILLARIES</t>
        </is>
      </c>
      <c r="E458" s="5" t="inlineStr">
        <is>
          <t>Double handling of excavated topsoil; using 1.5 m3 tractor loader and 22.5 t ADT</t>
        </is>
      </c>
      <c r="F458" s="5" t="inlineStr">
        <is>
          <t>300 m average distance moved</t>
        </is>
      </c>
      <c r="G458" s="6" t="inlineStr">
        <is>
          <t>m3</t>
        </is>
      </c>
      <c r="H458" s="7" t="n">
        <v>0.08</v>
      </c>
      <c r="I458" s="8" t="n">
        <v>3.59</v>
      </c>
      <c r="J458" s="8" t="n">
        <v>10.18</v>
      </c>
      <c r="K458" s="8" t="n">
        <v>0</v>
      </c>
      <c r="L458" s="8" t="n">
        <v>0</v>
      </c>
      <c r="M458" s="9">
        <f>ROUND(SUM(I458:L458),2)</f>
        <v/>
      </c>
      <c r="N458" s="10">
        <f>ROUND(I458*'Irish Basis'!$C$6*'Irish Basis'!$C$5,2)</f>
        <v/>
      </c>
      <c r="O458" s="10">
        <f>ROUND(J458*'Irish Basis'!$C$7*'Irish Basis'!$C$5,2)</f>
        <v/>
      </c>
      <c r="P458" s="10">
        <f>ROUND(K458*'Irish Basis'!$C$8*'Irish Basis'!$C$5,2)</f>
        <v/>
      </c>
      <c r="Q458" s="10">
        <f>ROUND(L458*'Irish Basis'!$C$12*'Irish Basis'!$C$5,2)</f>
        <v/>
      </c>
      <c r="R458" s="11">
        <f>ROUND(SUM(N458:Q458),2)</f>
        <v/>
      </c>
      <c r="S458" s="5" t="inlineStr">
        <is>
          <t>Stated build-up</t>
        </is>
      </c>
      <c r="T458" s="12" t="inlineStr">
        <is>
          <t>High</t>
        </is>
      </c>
      <c r="U458" s="8" t="n">
        <v>13.77</v>
      </c>
      <c r="V458" s="13">
        <f>IF(U458="","",ROUND(M458-U458,2))</f>
        <v/>
      </c>
      <c r="W458" s="5" t="n"/>
      <c r="X458" s="5" t="inlineStr">
        <is>
          <t>Labour + plant + material as published; reconciles to the published rate.</t>
        </is>
      </c>
    </row>
    <row r="459" ht="13" customHeight="1">
      <c r="A459" s="4" t="n">
        <v>848</v>
      </c>
      <c r="B459" s="5" t="inlineStr">
        <is>
          <t>IMG_0077</t>
        </is>
      </c>
      <c r="C459" s="5" t="inlineStr">
        <is>
          <t>CLASS E: EARTHWORKS</t>
        </is>
      </c>
      <c r="D459" s="5" t="inlineStr">
        <is>
          <t>05 EXCAVATION ANCILLARIES</t>
        </is>
      </c>
      <c r="E459" s="5" t="inlineStr">
        <is>
          <t>Double handling of excavated topsoil; using 1.5 m3 tractor loader and 22.5 t ADT</t>
        </is>
      </c>
      <c r="F459" s="5" t="inlineStr">
        <is>
          <t>600 m average distance moved</t>
        </is>
      </c>
      <c r="G459" s="6" t="inlineStr">
        <is>
          <t>m3</t>
        </is>
      </c>
      <c r="H459" s="7" t="n">
        <v>0.1</v>
      </c>
      <c r="I459" s="8" t="n">
        <v>4.49</v>
      </c>
      <c r="J459" s="8" t="n">
        <v>12.72</v>
      </c>
      <c r="K459" s="8" t="n">
        <v>0</v>
      </c>
      <c r="L459" s="8" t="n">
        <v>0</v>
      </c>
      <c r="M459" s="9">
        <f>ROUND(SUM(I459:L459),2)</f>
        <v/>
      </c>
      <c r="N459" s="10">
        <f>ROUND(I459*'Irish Basis'!$C$6*'Irish Basis'!$C$5,2)</f>
        <v/>
      </c>
      <c r="O459" s="10">
        <f>ROUND(J459*'Irish Basis'!$C$7*'Irish Basis'!$C$5,2)</f>
        <v/>
      </c>
      <c r="P459" s="10">
        <f>ROUND(K459*'Irish Basis'!$C$8*'Irish Basis'!$C$5,2)</f>
        <v/>
      </c>
      <c r="Q459" s="10">
        <f>ROUND(L459*'Irish Basis'!$C$12*'Irish Basis'!$C$5,2)</f>
        <v/>
      </c>
      <c r="R459" s="11">
        <f>ROUND(SUM(N459:Q459),2)</f>
        <v/>
      </c>
      <c r="S459" s="5" t="inlineStr">
        <is>
          <t>Stated build-up</t>
        </is>
      </c>
      <c r="T459" s="12" t="inlineStr">
        <is>
          <t>High</t>
        </is>
      </c>
      <c r="U459" s="8" t="n">
        <v>17.21</v>
      </c>
      <c r="V459" s="13">
        <f>IF(U459="","",ROUND(M459-U459,2))</f>
        <v/>
      </c>
      <c r="W459" s="5" t="n"/>
      <c r="X459" s="5" t="inlineStr">
        <is>
          <t>Labour + plant + material as published; reconciles to the published rate.</t>
        </is>
      </c>
    </row>
    <row r="460" ht="13" customHeight="1">
      <c r="A460" s="4" t="n">
        <v>849</v>
      </c>
      <c r="B460" s="5" t="inlineStr">
        <is>
          <t>IMG_0077</t>
        </is>
      </c>
      <c r="C460" s="5" t="inlineStr">
        <is>
          <t>CLASS E: EARTHWORKS</t>
        </is>
      </c>
      <c r="D460" s="5" t="inlineStr">
        <is>
          <t>05 EXCAVATION ANCILLARIES</t>
        </is>
      </c>
      <c r="E460" s="5" t="inlineStr">
        <is>
          <t>Double handling of excavated topsoil; using 1.5 m3 tractor loader and 22.5 t ADT</t>
        </is>
      </c>
      <c r="F460" s="5" t="inlineStr">
        <is>
          <t>1000 m average distance moved</t>
        </is>
      </c>
      <c r="G460" s="6" t="inlineStr">
        <is>
          <t>m3</t>
        </is>
      </c>
      <c r="H460" s="7" t="n">
        <v>0.12</v>
      </c>
      <c r="I460" s="8" t="n">
        <v>5.39</v>
      </c>
      <c r="J460" s="8" t="n">
        <v>15.27</v>
      </c>
      <c r="K460" s="8" t="n">
        <v>0</v>
      </c>
      <c r="L460" s="8" t="n">
        <v>0</v>
      </c>
      <c r="M460" s="9">
        <f>ROUND(SUM(I460:L460),2)</f>
        <v/>
      </c>
      <c r="N460" s="10">
        <f>ROUND(I460*'Irish Basis'!$C$6*'Irish Basis'!$C$5,2)</f>
        <v/>
      </c>
      <c r="O460" s="10">
        <f>ROUND(J460*'Irish Basis'!$C$7*'Irish Basis'!$C$5,2)</f>
        <v/>
      </c>
      <c r="P460" s="10">
        <f>ROUND(K460*'Irish Basis'!$C$8*'Irish Basis'!$C$5,2)</f>
        <v/>
      </c>
      <c r="Q460" s="10">
        <f>ROUND(L460*'Irish Basis'!$C$12*'Irish Basis'!$C$5,2)</f>
        <v/>
      </c>
      <c r="R460" s="11">
        <f>ROUND(SUM(N460:Q460),2)</f>
        <v/>
      </c>
      <c r="S460" s="5" t="inlineStr">
        <is>
          <t>Stated build-up</t>
        </is>
      </c>
      <c r="T460" s="12" t="inlineStr">
        <is>
          <t>High</t>
        </is>
      </c>
      <c r="U460" s="8" t="n">
        <v>20.65</v>
      </c>
      <c r="V460" s="13">
        <f>IF(U460="","",ROUND(M460-U460,2))</f>
        <v/>
      </c>
      <c r="W460" s="5" t="n"/>
      <c r="X460" s="5" t="inlineStr">
        <is>
          <t>Labour + plant + material as published; reconciles to the published rate.</t>
        </is>
      </c>
    </row>
    <row r="461" ht="13" customHeight="1">
      <c r="A461" s="4" t="n">
        <v>851</v>
      </c>
      <c r="B461" s="5" t="inlineStr">
        <is>
          <t>IMG_0077</t>
        </is>
      </c>
      <c r="C461" s="5" t="inlineStr">
        <is>
          <t>CLASS E: EARTHWORKS</t>
        </is>
      </c>
      <c r="D461" s="5" t="inlineStr">
        <is>
          <t>05 EXCAVATION ANCILLARIES</t>
        </is>
      </c>
      <c r="E461" s="5" t="inlineStr">
        <is>
          <t>Double handling of excavated earth other than rock or artificial hard material; using 1.5 m3 tractor loader and 22.5 t ADT</t>
        </is>
      </c>
      <c r="F461" s="5" t="inlineStr">
        <is>
          <t>300 m average distance moved</t>
        </is>
      </c>
      <c r="G461" s="6" t="inlineStr">
        <is>
          <t>m3</t>
        </is>
      </c>
      <c r="H461" s="7" t="n">
        <v>0.08</v>
      </c>
      <c r="I461" s="8" t="n">
        <v>3.59</v>
      </c>
      <c r="J461" s="8" t="n">
        <v>10.18</v>
      </c>
      <c r="K461" s="8" t="n">
        <v>0</v>
      </c>
      <c r="L461" s="8" t="n">
        <v>0</v>
      </c>
      <c r="M461" s="9">
        <f>ROUND(SUM(I461:L461),2)</f>
        <v/>
      </c>
      <c r="N461" s="10">
        <f>ROUND(I461*'Irish Basis'!$C$6*'Irish Basis'!$C$5,2)</f>
        <v/>
      </c>
      <c r="O461" s="10">
        <f>ROUND(J461*'Irish Basis'!$C$7*'Irish Basis'!$C$5,2)</f>
        <v/>
      </c>
      <c r="P461" s="10">
        <f>ROUND(K461*'Irish Basis'!$C$8*'Irish Basis'!$C$5,2)</f>
        <v/>
      </c>
      <c r="Q461" s="10">
        <f>ROUND(L461*'Irish Basis'!$C$12*'Irish Basis'!$C$5,2)</f>
        <v/>
      </c>
      <c r="R461" s="11">
        <f>ROUND(SUM(N461:Q461),2)</f>
        <v/>
      </c>
      <c r="S461" s="5" t="inlineStr">
        <is>
          <t>Stated build-up</t>
        </is>
      </c>
      <c r="T461" s="12" t="inlineStr">
        <is>
          <t>High</t>
        </is>
      </c>
      <c r="U461" s="8" t="n">
        <v>13.77</v>
      </c>
      <c r="V461" s="13">
        <f>IF(U461="","",ROUND(M461-U461,2))</f>
        <v/>
      </c>
      <c r="W461" s="5" t="n"/>
      <c r="X461" s="5" t="inlineStr">
        <is>
          <t>Labour + plant + material as published; reconciles to the published rate.</t>
        </is>
      </c>
    </row>
    <row r="462" ht="13" customHeight="1">
      <c r="A462" s="4" t="n">
        <v>852</v>
      </c>
      <c r="B462" s="5" t="inlineStr">
        <is>
          <t>IMG_0077</t>
        </is>
      </c>
      <c r="C462" s="5" t="inlineStr">
        <is>
          <t>CLASS E: EARTHWORKS</t>
        </is>
      </c>
      <c r="D462" s="5" t="inlineStr">
        <is>
          <t>05 EXCAVATION ANCILLARIES</t>
        </is>
      </c>
      <c r="E462" s="5" t="inlineStr">
        <is>
          <t>Double handling of excavated earth other than rock or artificial hard material; using 1.5 m3 tractor loader and 22.5 t ADT</t>
        </is>
      </c>
      <c r="F462" s="5" t="inlineStr">
        <is>
          <t>600 m average distance moved</t>
        </is>
      </c>
      <c r="G462" s="6" t="inlineStr">
        <is>
          <t>m3</t>
        </is>
      </c>
      <c r="H462" s="7" t="n">
        <v>0.1</v>
      </c>
      <c r="I462" s="8" t="n">
        <v>4.49</v>
      </c>
      <c r="J462" s="8" t="n">
        <v>12.72</v>
      </c>
      <c r="K462" s="8" t="n">
        <v>0</v>
      </c>
      <c r="L462" s="8" t="n">
        <v>0</v>
      </c>
      <c r="M462" s="9">
        <f>ROUND(SUM(I462:L462),2)</f>
        <v/>
      </c>
      <c r="N462" s="10">
        <f>ROUND(I462*'Irish Basis'!$C$6*'Irish Basis'!$C$5,2)</f>
        <v/>
      </c>
      <c r="O462" s="10">
        <f>ROUND(J462*'Irish Basis'!$C$7*'Irish Basis'!$C$5,2)</f>
        <v/>
      </c>
      <c r="P462" s="10">
        <f>ROUND(K462*'Irish Basis'!$C$8*'Irish Basis'!$C$5,2)</f>
        <v/>
      </c>
      <c r="Q462" s="10">
        <f>ROUND(L462*'Irish Basis'!$C$12*'Irish Basis'!$C$5,2)</f>
        <v/>
      </c>
      <c r="R462" s="11">
        <f>ROUND(SUM(N462:Q462),2)</f>
        <v/>
      </c>
      <c r="S462" s="5" t="inlineStr">
        <is>
          <t>Stated build-up</t>
        </is>
      </c>
      <c r="T462" s="12" t="inlineStr">
        <is>
          <t>High</t>
        </is>
      </c>
      <c r="U462" s="8" t="n">
        <v>17.21</v>
      </c>
      <c r="V462" s="13">
        <f>IF(U462="","",ROUND(M462-U462,2))</f>
        <v/>
      </c>
      <c r="W462" s="5" t="n"/>
      <c r="X462" s="5" t="inlineStr">
        <is>
          <t>Labour + plant + material as published; reconciles to the published rate.</t>
        </is>
      </c>
    </row>
    <row r="463" ht="13" customHeight="1">
      <c r="A463" s="4" t="n">
        <v>853</v>
      </c>
      <c r="B463" s="5" t="inlineStr">
        <is>
          <t>IMG_0077</t>
        </is>
      </c>
      <c r="C463" s="5" t="inlineStr">
        <is>
          <t>CLASS E: EARTHWORKS</t>
        </is>
      </c>
      <c r="D463" s="5" t="inlineStr">
        <is>
          <t>05 EXCAVATION ANCILLARIES</t>
        </is>
      </c>
      <c r="E463" s="5" t="inlineStr">
        <is>
          <t>Double handling of excavated earth other than rock or artificial hard material; using 1.5 m3 tractor loader and 22.5 t ADT</t>
        </is>
      </c>
      <c r="F463" s="5" t="inlineStr">
        <is>
          <t>1000 m average distance moved</t>
        </is>
      </c>
      <c r="G463" s="6" t="inlineStr">
        <is>
          <t>m3</t>
        </is>
      </c>
      <c r="H463" s="7" t="n">
        <v>0.12</v>
      </c>
      <c r="I463" s="8" t="n">
        <v>5.39</v>
      </c>
      <c r="J463" s="8" t="n">
        <v>15.27</v>
      </c>
      <c r="K463" s="8" t="n">
        <v>0</v>
      </c>
      <c r="L463" s="8" t="n">
        <v>0</v>
      </c>
      <c r="M463" s="9">
        <f>ROUND(SUM(I463:L463),2)</f>
        <v/>
      </c>
      <c r="N463" s="10">
        <f>ROUND(I463*'Irish Basis'!$C$6*'Irish Basis'!$C$5,2)</f>
        <v/>
      </c>
      <c r="O463" s="10">
        <f>ROUND(J463*'Irish Basis'!$C$7*'Irish Basis'!$C$5,2)</f>
        <v/>
      </c>
      <c r="P463" s="10">
        <f>ROUND(K463*'Irish Basis'!$C$8*'Irish Basis'!$C$5,2)</f>
        <v/>
      </c>
      <c r="Q463" s="10">
        <f>ROUND(L463*'Irish Basis'!$C$12*'Irish Basis'!$C$5,2)</f>
        <v/>
      </c>
      <c r="R463" s="11">
        <f>ROUND(SUM(N463:Q463),2)</f>
        <v/>
      </c>
      <c r="S463" s="5" t="inlineStr">
        <is>
          <t>Stated build-up</t>
        </is>
      </c>
      <c r="T463" s="12" t="inlineStr">
        <is>
          <t>High</t>
        </is>
      </c>
      <c r="U463" s="8" t="n">
        <v>20.65</v>
      </c>
      <c r="V463" s="13">
        <f>IF(U463="","",ROUND(M463-U463,2))</f>
        <v/>
      </c>
      <c r="W463" s="5" t="n"/>
      <c r="X463" s="5" t="inlineStr">
        <is>
          <t>Labour + plant + material as published; reconciles to the published rate.</t>
        </is>
      </c>
    </row>
    <row r="464" ht="13" customHeight="1">
      <c r="A464" s="4" t="n">
        <v>855</v>
      </c>
      <c r="B464" s="5" t="inlineStr">
        <is>
          <t>IMG_0077</t>
        </is>
      </c>
      <c r="C464" s="5" t="inlineStr">
        <is>
          <t>CLASS E: EARTHWORKS</t>
        </is>
      </c>
      <c r="D464" s="5" t="inlineStr">
        <is>
          <t>05 EXCAVATION ANCILLARIES</t>
        </is>
      </c>
      <c r="E464" s="5" t="inlineStr">
        <is>
          <t>Double handling of rock or artificial hard material; using 1.5 m3 tractor loader and 22.5 t ADT</t>
        </is>
      </c>
      <c r="F464" s="5" t="inlineStr">
        <is>
          <t>300 m average distance moved</t>
        </is>
      </c>
      <c r="G464" s="6" t="inlineStr">
        <is>
          <t>m3</t>
        </is>
      </c>
      <c r="H464" s="7" t="n">
        <v>0.16</v>
      </c>
      <c r="I464" s="8" t="n">
        <v>7.18</v>
      </c>
      <c r="J464" s="8" t="n">
        <v>20.35</v>
      </c>
      <c r="K464" s="8" t="n">
        <v>0</v>
      </c>
      <c r="L464" s="8" t="n">
        <v>0</v>
      </c>
      <c r="M464" s="9">
        <f>ROUND(SUM(I464:L464),2)</f>
        <v/>
      </c>
      <c r="N464" s="10">
        <f>ROUND(I464*'Irish Basis'!$C$6*'Irish Basis'!$C$5,2)</f>
        <v/>
      </c>
      <c r="O464" s="10">
        <f>ROUND(J464*'Irish Basis'!$C$7*'Irish Basis'!$C$5,2)</f>
        <v/>
      </c>
      <c r="P464" s="10">
        <f>ROUND(K464*'Irish Basis'!$C$8*'Irish Basis'!$C$5,2)</f>
        <v/>
      </c>
      <c r="Q464" s="10">
        <f>ROUND(L464*'Irish Basis'!$C$12*'Irish Basis'!$C$5,2)</f>
        <v/>
      </c>
      <c r="R464" s="11">
        <f>ROUND(SUM(N464:Q464),2)</f>
        <v/>
      </c>
      <c r="S464" s="5" t="inlineStr">
        <is>
          <t>Stated build-up</t>
        </is>
      </c>
      <c r="T464" s="12" t="inlineStr">
        <is>
          <t>High</t>
        </is>
      </c>
      <c r="U464" s="8" t="n">
        <v>27.54</v>
      </c>
      <c r="V464" s="13">
        <f>IF(U464="","",ROUND(M464-U464,2))</f>
        <v/>
      </c>
      <c r="W464" s="5" t="n"/>
      <c r="X464" s="5" t="inlineStr">
        <is>
          <t>Labour + plant + material as published; reconciles to the published rate.</t>
        </is>
      </c>
    </row>
    <row r="465" ht="13" customHeight="1">
      <c r="A465" s="4" t="n">
        <v>856</v>
      </c>
      <c r="B465" s="5" t="inlineStr">
        <is>
          <t>IMG_0077</t>
        </is>
      </c>
      <c r="C465" s="5" t="inlineStr">
        <is>
          <t>CLASS E: EARTHWORKS</t>
        </is>
      </c>
      <c r="D465" s="5" t="inlineStr">
        <is>
          <t>05 EXCAVATION ANCILLARIES</t>
        </is>
      </c>
      <c r="E465" s="5" t="inlineStr">
        <is>
          <t>Double handling of rock or artificial hard material; using 1.5 m3 tractor loader and 22.5 t ADT</t>
        </is>
      </c>
      <c r="F465" s="5" t="inlineStr">
        <is>
          <t>600 m average distance moved</t>
        </is>
      </c>
      <c r="G465" s="6" t="inlineStr">
        <is>
          <t>m3</t>
        </is>
      </c>
      <c r="H465" s="7" t="n">
        <v>0.18</v>
      </c>
      <c r="I465" s="8" t="n">
        <v>8.08</v>
      </c>
      <c r="J465" s="8" t="n">
        <v>22.9</v>
      </c>
      <c r="K465" s="8" t="n">
        <v>0</v>
      </c>
      <c r="L465" s="8" t="n">
        <v>0</v>
      </c>
      <c r="M465" s="9">
        <f>ROUND(SUM(I465:L465),2)</f>
        <v/>
      </c>
      <c r="N465" s="10">
        <f>ROUND(I465*'Irish Basis'!$C$6*'Irish Basis'!$C$5,2)</f>
        <v/>
      </c>
      <c r="O465" s="10">
        <f>ROUND(J465*'Irish Basis'!$C$7*'Irish Basis'!$C$5,2)</f>
        <v/>
      </c>
      <c r="P465" s="10">
        <f>ROUND(K465*'Irish Basis'!$C$8*'Irish Basis'!$C$5,2)</f>
        <v/>
      </c>
      <c r="Q465" s="10">
        <f>ROUND(L465*'Irish Basis'!$C$12*'Irish Basis'!$C$5,2)</f>
        <v/>
      </c>
      <c r="R465" s="11">
        <f>ROUND(SUM(N465:Q465),2)</f>
        <v/>
      </c>
      <c r="S465" s="5" t="inlineStr">
        <is>
          <t>Stated build-up</t>
        </is>
      </c>
      <c r="T465" s="12" t="inlineStr">
        <is>
          <t>High</t>
        </is>
      </c>
      <c r="U465" s="8" t="n">
        <v>30.98</v>
      </c>
      <c r="V465" s="13">
        <f>IF(U465="","",ROUND(M465-U465,2))</f>
        <v/>
      </c>
      <c r="W465" s="5" t="n"/>
      <c r="X465" s="5" t="inlineStr">
        <is>
          <t>Labour + plant + material as published; reconciles to the published rate.</t>
        </is>
      </c>
    </row>
    <row r="466" ht="13" customHeight="1">
      <c r="A466" s="4" t="n">
        <v>857</v>
      </c>
      <c r="B466" s="5" t="inlineStr">
        <is>
          <t>IMG_0077</t>
        </is>
      </c>
      <c r="C466" s="5" t="inlineStr">
        <is>
          <t>CLASS E: EARTHWORKS</t>
        </is>
      </c>
      <c r="D466" s="5" t="inlineStr">
        <is>
          <t>05 EXCAVATION ANCILLARIES</t>
        </is>
      </c>
      <c r="E466" s="5" t="inlineStr">
        <is>
          <t>Double handling of rock or artificial hard material; using 1.5 m3 tractor loader and 22.5 t ADT</t>
        </is>
      </c>
      <c r="F466" s="5" t="inlineStr">
        <is>
          <t>1000 m average distance moved</t>
        </is>
      </c>
      <c r="G466" s="6" t="inlineStr">
        <is>
          <t>m3</t>
        </is>
      </c>
      <c r="H466" s="7" t="n">
        <v>0.2</v>
      </c>
      <c r="I466" s="8" t="n">
        <v>8.98</v>
      </c>
      <c r="J466" s="8" t="n">
        <v>25.44</v>
      </c>
      <c r="K466" s="8" t="n">
        <v>0</v>
      </c>
      <c r="L466" s="8" t="n">
        <v>0</v>
      </c>
      <c r="M466" s="9">
        <f>ROUND(SUM(I466:L466),2)</f>
        <v/>
      </c>
      <c r="N466" s="10">
        <f>ROUND(I466*'Irish Basis'!$C$6*'Irish Basis'!$C$5,2)</f>
        <v/>
      </c>
      <c r="O466" s="10">
        <f>ROUND(J466*'Irish Basis'!$C$7*'Irish Basis'!$C$5,2)</f>
        <v/>
      </c>
      <c r="P466" s="10">
        <f>ROUND(K466*'Irish Basis'!$C$8*'Irish Basis'!$C$5,2)</f>
        <v/>
      </c>
      <c r="Q466" s="10">
        <f>ROUND(L466*'Irish Basis'!$C$12*'Irish Basis'!$C$5,2)</f>
        <v/>
      </c>
      <c r="R466" s="11">
        <f>ROUND(SUM(N466:Q466),2)</f>
        <v/>
      </c>
      <c r="S466" s="5" t="inlineStr">
        <is>
          <t>Stated build-up</t>
        </is>
      </c>
      <c r="T466" s="12" t="inlineStr">
        <is>
          <t>High</t>
        </is>
      </c>
      <c r="U466" s="8" t="n">
        <v>34.42</v>
      </c>
      <c r="V466" s="13">
        <f>IF(U466="","",ROUND(M466-U466,2))</f>
        <v/>
      </c>
      <c r="W466" s="5" t="n"/>
      <c r="X466" s="5" t="inlineStr">
        <is>
          <t>Labour + plant + material as published; reconciles to the published rate.</t>
        </is>
      </c>
    </row>
    <row r="467" ht="13" customHeight="1">
      <c r="A467" s="4" t="n">
        <v>860</v>
      </c>
      <c r="B467" s="5" t="inlineStr">
        <is>
          <t>IMG_0077</t>
        </is>
      </c>
      <c r="C467" s="5" t="inlineStr">
        <is>
          <t>CLASS E: EARTHWORKS</t>
        </is>
      </c>
      <c r="D467" s="5" t="inlineStr">
        <is>
          <t>05 EXCAVATION ANCILLARIES</t>
        </is>
      </c>
      <c r="E467" s="5" t="inlineStr">
        <is>
          <t>Excavation of material below the Final Surface and replacement of with</t>
        </is>
      </c>
      <c r="F467" s="5" t="inlineStr">
        <is>
          <t>granular fill</t>
        </is>
      </c>
      <c r="G467" s="6" t="inlineStr">
        <is>
          <t>m3</t>
        </is>
      </c>
      <c r="H467" s="7" t="n">
        <v>1.2</v>
      </c>
      <c r="I467" s="8" t="n">
        <v>41.07</v>
      </c>
      <c r="J467" s="8" t="n">
        <v>56.67</v>
      </c>
      <c r="K467" s="8" t="n">
        <v>123.57</v>
      </c>
      <c r="L467" s="8" t="n">
        <v>0</v>
      </c>
      <c r="M467" s="9">
        <f>ROUND(SUM(I467:L467),2)</f>
        <v/>
      </c>
      <c r="N467" s="10">
        <f>ROUND(I467*'Irish Basis'!$C$6*'Irish Basis'!$C$5,2)</f>
        <v/>
      </c>
      <c r="O467" s="10">
        <f>ROUND(J467*'Irish Basis'!$C$7*'Irish Basis'!$C$5,2)</f>
        <v/>
      </c>
      <c r="P467" s="10">
        <f>ROUND(K467*'Irish Basis'!$C$8*'Irish Basis'!$C$5,2)</f>
        <v/>
      </c>
      <c r="Q467" s="10">
        <f>ROUND(L467*'Irish Basis'!$C$12*'Irish Basis'!$C$5,2)</f>
        <v/>
      </c>
      <c r="R467" s="11">
        <f>ROUND(SUM(N467:Q467),2)</f>
        <v/>
      </c>
      <c r="S467" s="5" t="inlineStr">
        <is>
          <t>Stated build-up</t>
        </is>
      </c>
      <c r="T467" s="12" t="inlineStr">
        <is>
          <t>High</t>
        </is>
      </c>
      <c r="U467" s="8" t="n">
        <v>221.32</v>
      </c>
      <c r="V467" s="13">
        <f>IF(U467="","",ROUND(M467-U467,2))</f>
        <v/>
      </c>
      <c r="W467" s="5" t="n"/>
      <c r="X467" s="5" t="inlineStr">
        <is>
          <t>Labour + plant + material as published; reconciles to the published rate.</t>
        </is>
      </c>
    </row>
    <row r="468" ht="13" customHeight="1">
      <c r="A468" s="4" t="n">
        <v>861</v>
      </c>
      <c r="B468" s="5" t="inlineStr">
        <is>
          <t>IMG_0077</t>
        </is>
      </c>
      <c r="C468" s="5" t="inlineStr">
        <is>
          <t>CLASS E: EARTHWORKS</t>
        </is>
      </c>
      <c r="D468" s="5" t="inlineStr">
        <is>
          <t>05 EXCAVATION ANCILLARIES</t>
        </is>
      </c>
      <c r="E468" s="5" t="inlineStr">
        <is>
          <t>Excavation of material below the Final Surface and replacement of with</t>
        </is>
      </c>
      <c r="F468" s="5" t="inlineStr">
        <is>
          <t>concrete Grade C7.5P</t>
        </is>
      </c>
      <c r="G468" s="6" t="inlineStr">
        <is>
          <t>m3</t>
        </is>
      </c>
      <c r="H468" s="7" t="n">
        <v>0.6</v>
      </c>
      <c r="I468" s="8" t="n">
        <v>20.53</v>
      </c>
      <c r="J468" s="8" t="n">
        <v>28.34</v>
      </c>
      <c r="K468" s="8" t="n">
        <v>149.81</v>
      </c>
      <c r="L468" s="8" t="n">
        <v>0</v>
      </c>
      <c r="M468" s="9">
        <f>ROUND(SUM(I468:L468),2)</f>
        <v/>
      </c>
      <c r="N468" s="10">
        <f>ROUND(I468*'Irish Basis'!$C$6*'Irish Basis'!$C$5,2)</f>
        <v/>
      </c>
      <c r="O468" s="10">
        <f>ROUND(J468*'Irish Basis'!$C$7*'Irish Basis'!$C$5,2)</f>
        <v/>
      </c>
      <c r="P468" s="10">
        <f>ROUND(K468*'Irish Basis'!$C$8*'Irish Basis'!$C$5,2)</f>
        <v/>
      </c>
      <c r="Q468" s="10">
        <f>ROUND(L468*'Irish Basis'!$C$12*'Irish Basis'!$C$5,2)</f>
        <v/>
      </c>
      <c r="R468" s="11">
        <f>ROUND(SUM(N468:Q468),2)</f>
        <v/>
      </c>
      <c r="S468" s="5" t="inlineStr">
        <is>
          <t>Stated build-up</t>
        </is>
      </c>
      <c r="T468" s="12" t="inlineStr">
        <is>
          <t>High</t>
        </is>
      </c>
      <c r="U468" s="8" t="n">
        <v>198.68</v>
      </c>
      <c r="V468" s="13">
        <f>IF(U468="","",ROUND(M468-U468,2))</f>
        <v/>
      </c>
      <c r="W468" s="5" t="n"/>
      <c r="X468" s="5" t="inlineStr">
        <is>
          <t>Labour + plant + material as published; reconciles to the published rate.</t>
        </is>
      </c>
    </row>
    <row r="469" ht="13" customHeight="1">
      <c r="A469" s="4" t="n">
        <v>863</v>
      </c>
      <c r="B469" s="5" t="inlineStr">
        <is>
          <t>IMG_0077</t>
        </is>
      </c>
      <c r="C469" s="5" t="inlineStr">
        <is>
          <t>CLASS E: EARTHWORKS</t>
        </is>
      </c>
      <c r="D469" s="5" t="inlineStr">
        <is>
          <t>05 EXCAVATION ANCILLARIES</t>
        </is>
      </c>
      <c r="E469" s="5" t="inlineStr">
        <is>
          <t>Miscellaneous</t>
        </is>
      </c>
      <c r="F469" s="5" t="inlineStr">
        <is>
          <t>Timber supports left in</t>
        </is>
      </c>
      <c r="G469" s="6" t="inlineStr">
        <is>
          <t>m2</t>
        </is>
      </c>
      <c r="H469" s="7" t="n">
        <v>0.7</v>
      </c>
      <c r="I469" s="8" t="n">
        <v>23.96</v>
      </c>
      <c r="J469" s="8" t="n">
        <v>0</v>
      </c>
      <c r="K469" s="8" t="n">
        <v>15.45</v>
      </c>
      <c r="L469" s="8" t="n">
        <v>0</v>
      </c>
      <c r="M469" s="9">
        <f>ROUND(SUM(I469:L469),2)</f>
        <v/>
      </c>
      <c r="N469" s="10">
        <f>ROUND(I469*'Irish Basis'!$C$6*'Irish Basis'!$C$5,2)</f>
        <v/>
      </c>
      <c r="O469" s="10">
        <f>ROUND(J469*'Irish Basis'!$C$7*'Irish Basis'!$C$5,2)</f>
        <v/>
      </c>
      <c r="P469" s="10">
        <f>ROUND(K469*'Irish Basis'!$C$8*'Irish Basis'!$C$5,2)</f>
        <v/>
      </c>
      <c r="Q469" s="10">
        <f>ROUND(L469*'Irish Basis'!$C$12*'Irish Basis'!$C$5,2)</f>
        <v/>
      </c>
      <c r="R469" s="11">
        <f>ROUND(SUM(N469:Q469),2)</f>
        <v/>
      </c>
      <c r="S469" s="5" t="inlineStr">
        <is>
          <t>Stated build-up</t>
        </is>
      </c>
      <c r="T469" s="12" t="inlineStr">
        <is>
          <t>High</t>
        </is>
      </c>
      <c r="U469" s="8" t="n">
        <v>39.41</v>
      </c>
      <c r="V469" s="13">
        <f>IF(U469="","",ROUND(M469-U469,2))</f>
        <v/>
      </c>
      <c r="W469" s="5" t="n"/>
      <c r="X469" s="5" t="inlineStr">
        <is>
          <t>Labour + plant + material as published; reconciles to the published rate.</t>
        </is>
      </c>
    </row>
    <row r="470" ht="13" customHeight="1">
      <c r="A470" s="4" t="n">
        <v>864</v>
      </c>
      <c r="B470" s="5" t="inlineStr">
        <is>
          <t>IMG_0077</t>
        </is>
      </c>
      <c r="C470" s="5" t="inlineStr">
        <is>
          <t>CLASS E: EARTHWORKS</t>
        </is>
      </c>
      <c r="D470" s="5" t="inlineStr">
        <is>
          <t>05 EXCAVATION ANCILLARIES</t>
        </is>
      </c>
      <c r="E470" s="5" t="inlineStr">
        <is>
          <t>Miscellaneous</t>
        </is>
      </c>
      <c r="F470" s="5" t="inlineStr">
        <is>
          <t>Metal supports left in</t>
        </is>
      </c>
      <c r="G470" s="6" t="inlineStr">
        <is>
          <t>m2</t>
        </is>
      </c>
      <c r="H470" s="7" t="n">
        <v>1.54</v>
      </c>
      <c r="I470" s="8" t="n">
        <v>52.87</v>
      </c>
      <c r="J470" s="8" t="n">
        <v>0</v>
      </c>
      <c r="K470" s="8" t="n">
        <v>20.19</v>
      </c>
      <c r="L470" s="8" t="n">
        <v>0</v>
      </c>
      <c r="M470" s="9">
        <f>ROUND(SUM(I470:L470),2)</f>
        <v/>
      </c>
      <c r="N470" s="10">
        <f>ROUND(I470*'Irish Basis'!$C$6*'Irish Basis'!$C$5,2)</f>
        <v/>
      </c>
      <c r="O470" s="10">
        <f>ROUND(J470*'Irish Basis'!$C$7*'Irish Basis'!$C$5,2)</f>
        <v/>
      </c>
      <c r="P470" s="10">
        <f>ROUND(K470*'Irish Basis'!$C$8*'Irish Basis'!$C$5,2)</f>
        <v/>
      </c>
      <c r="Q470" s="10">
        <f>ROUND(L470*'Irish Basis'!$C$12*'Irish Basis'!$C$5,2)</f>
        <v/>
      </c>
      <c r="R470" s="11">
        <f>ROUND(SUM(N470:Q470),2)</f>
        <v/>
      </c>
      <c r="S470" s="5" t="inlineStr">
        <is>
          <t>Stated build-up</t>
        </is>
      </c>
      <c r="T470" s="12" t="inlineStr">
        <is>
          <t>High</t>
        </is>
      </c>
      <c r="U470" s="8" t="n">
        <v>73.06</v>
      </c>
      <c r="V470" s="13">
        <f>IF(U470="","",ROUND(M470-U470,2))</f>
        <v/>
      </c>
      <c r="W470" s="5" t="n"/>
      <c r="X470" s="5" t="inlineStr">
        <is>
          <t>Labour + plant + material as published; reconciles to the published rate.</t>
        </is>
      </c>
    </row>
    <row r="471" ht="13" customHeight="1">
      <c r="A471" s="4" t="n">
        <v>867</v>
      </c>
      <c r="B471" s="5" t="inlineStr">
        <is>
          <t>IMG_0077</t>
        </is>
      </c>
      <c r="C471" s="5" t="inlineStr">
        <is>
          <t>CLASS E: EARTHWORKS</t>
        </is>
      </c>
      <c r="D471" s="5" t="inlineStr">
        <is>
          <t>06 FILLING</t>
        </is>
      </c>
      <c r="E471" s="5" t="inlineStr">
        <is>
          <t>Excavated topsoil; DfT specified type 5A; Filling</t>
        </is>
      </c>
      <c r="F471" s="5" t="inlineStr">
        <is>
          <t>to structures</t>
        </is>
      </c>
      <c r="G471" s="6" t="inlineStr">
        <is>
          <t>m3</t>
        </is>
      </c>
      <c r="H471" s="7" t="n">
        <v>0.07000000000000001</v>
      </c>
      <c r="I471" s="8" t="n">
        <v>5.77</v>
      </c>
      <c r="J471" s="8" t="n">
        <v>13.85</v>
      </c>
      <c r="K471" s="8" t="n">
        <v>0</v>
      </c>
      <c r="L471" s="8" t="n">
        <v>0</v>
      </c>
      <c r="M471" s="9">
        <f>ROUND(SUM(I471:L471),2)</f>
        <v/>
      </c>
      <c r="N471" s="10">
        <f>ROUND(I471*'Irish Basis'!$C$6*'Irish Basis'!$C$5,2)</f>
        <v/>
      </c>
      <c r="O471" s="10">
        <f>ROUND(J471*'Irish Basis'!$C$7*'Irish Basis'!$C$5,2)</f>
        <v/>
      </c>
      <c r="P471" s="10">
        <f>ROUND(K471*'Irish Basis'!$C$8*'Irish Basis'!$C$5,2)</f>
        <v/>
      </c>
      <c r="Q471" s="10">
        <f>ROUND(L471*'Irish Basis'!$C$12*'Irish Basis'!$C$5,2)</f>
        <v/>
      </c>
      <c r="R471" s="11">
        <f>ROUND(SUM(N471:Q471),2)</f>
        <v/>
      </c>
      <c r="S471" s="5" t="inlineStr">
        <is>
          <t>Stated build-up</t>
        </is>
      </c>
      <c r="T471" s="12" t="inlineStr">
        <is>
          <t>High</t>
        </is>
      </c>
      <c r="U471" s="8" t="n">
        <v>19.62</v>
      </c>
      <c r="V471" s="13">
        <f>IF(U471="","",ROUND(M471-U471,2))</f>
        <v/>
      </c>
      <c r="W471" s="5" t="n"/>
      <c r="X471" s="5" t="inlineStr">
        <is>
          <t>Labour + plant + material as published; reconciles to the published rate.</t>
        </is>
      </c>
    </row>
    <row r="472" ht="13" customHeight="1">
      <c r="A472" s="4" t="n">
        <v>868</v>
      </c>
      <c r="B472" s="5" t="inlineStr">
        <is>
          <t>IMG_0077</t>
        </is>
      </c>
      <c r="C472" s="5" t="inlineStr">
        <is>
          <t>CLASS E: EARTHWORKS</t>
        </is>
      </c>
      <c r="D472" s="5" t="inlineStr">
        <is>
          <t>06 FILLING</t>
        </is>
      </c>
      <c r="E472" s="5" t="inlineStr">
        <is>
          <t>Excavated topsoil; DfT specified type 5A; Filling</t>
        </is>
      </c>
      <c r="F472" s="5" t="inlineStr">
        <is>
          <t>embankments</t>
        </is>
      </c>
      <c r="G472" s="6" t="inlineStr">
        <is>
          <t>m3</t>
        </is>
      </c>
      <c r="H472" s="7" t="n">
        <v>0.03</v>
      </c>
      <c r="I472" s="8" t="n">
        <v>2.02</v>
      </c>
      <c r="J472" s="8" t="n">
        <v>4.84</v>
      </c>
      <c r="K472" s="8" t="n">
        <v>0</v>
      </c>
      <c r="L472" s="8" t="n">
        <v>0</v>
      </c>
      <c r="M472" s="9">
        <f>ROUND(SUM(I472:L472),2)</f>
        <v/>
      </c>
      <c r="N472" s="10">
        <f>ROUND(I472*'Irish Basis'!$C$6*'Irish Basis'!$C$5,2)</f>
        <v/>
      </c>
      <c r="O472" s="10">
        <f>ROUND(J472*'Irish Basis'!$C$7*'Irish Basis'!$C$5,2)</f>
        <v/>
      </c>
      <c r="P472" s="10">
        <f>ROUND(K472*'Irish Basis'!$C$8*'Irish Basis'!$C$5,2)</f>
        <v/>
      </c>
      <c r="Q472" s="10">
        <f>ROUND(L472*'Irish Basis'!$C$12*'Irish Basis'!$C$5,2)</f>
        <v/>
      </c>
      <c r="R472" s="11">
        <f>ROUND(SUM(N472:Q472),2)</f>
        <v/>
      </c>
      <c r="S472" s="5" t="inlineStr">
        <is>
          <t>Stated build-up</t>
        </is>
      </c>
      <c r="T472" s="12" t="inlineStr">
        <is>
          <t>High</t>
        </is>
      </c>
      <c r="U472" s="8" t="n">
        <v>6.86</v>
      </c>
      <c r="V472" s="13">
        <f>IF(U472="","",ROUND(M472-U472,2))</f>
        <v/>
      </c>
      <c r="W472" s="5" t="n"/>
      <c r="X472" s="5" t="inlineStr">
        <is>
          <t>Labour + plant + material as published; reconciles to the published rate.</t>
        </is>
      </c>
    </row>
    <row r="473" ht="13" customHeight="1">
      <c r="A473" s="4" t="n">
        <v>869</v>
      </c>
      <c r="B473" s="5" t="inlineStr">
        <is>
          <t>IMG_0077</t>
        </is>
      </c>
      <c r="C473" s="5" t="inlineStr">
        <is>
          <t>CLASS E: EARTHWORKS</t>
        </is>
      </c>
      <c r="D473" s="5" t="inlineStr">
        <is>
          <t>06 FILLING</t>
        </is>
      </c>
      <c r="E473" s="5" t="inlineStr">
        <is>
          <t>Excavated topsoil; DfT specified type 5A; Filling</t>
        </is>
      </c>
      <c r="F473" s="5" t="inlineStr">
        <is>
          <t>general</t>
        </is>
      </c>
      <c r="G473" s="6" t="inlineStr">
        <is>
          <t>m3</t>
        </is>
      </c>
      <c r="H473" s="7" t="n">
        <v>0.02</v>
      </c>
      <c r="I473" s="8" t="n">
        <v>1.69</v>
      </c>
      <c r="J473" s="8" t="n">
        <v>4.07</v>
      </c>
      <c r="K473" s="8" t="n">
        <v>0</v>
      </c>
      <c r="L473" s="8" t="n">
        <v>0</v>
      </c>
      <c r="M473" s="9">
        <f>ROUND(SUM(I473:L473),2)</f>
        <v/>
      </c>
      <c r="N473" s="10">
        <f>ROUND(I473*'Irish Basis'!$C$6*'Irish Basis'!$C$5,2)</f>
        <v/>
      </c>
      <c r="O473" s="10">
        <f>ROUND(J473*'Irish Basis'!$C$7*'Irish Basis'!$C$5,2)</f>
        <v/>
      </c>
      <c r="P473" s="10">
        <f>ROUND(K473*'Irish Basis'!$C$8*'Irish Basis'!$C$5,2)</f>
        <v/>
      </c>
      <c r="Q473" s="10">
        <f>ROUND(L473*'Irish Basis'!$C$12*'Irish Basis'!$C$5,2)</f>
        <v/>
      </c>
      <c r="R473" s="11">
        <f>ROUND(SUM(N473:Q473),2)</f>
        <v/>
      </c>
      <c r="S473" s="5" t="inlineStr">
        <is>
          <t>Stated build-up</t>
        </is>
      </c>
      <c r="T473" s="12" t="inlineStr">
        <is>
          <t>High</t>
        </is>
      </c>
      <c r="U473" s="8" t="n">
        <v>5.76</v>
      </c>
      <c r="V473" s="13">
        <f>IF(U473="","",ROUND(M473-U473,2))</f>
        <v/>
      </c>
      <c r="W473" s="5" t="n"/>
      <c r="X473" s="5" t="inlineStr">
        <is>
          <t>Labour + plant + material as published; reconciles to the published rate.</t>
        </is>
      </c>
    </row>
    <row r="474" ht="13" customHeight="1">
      <c r="A474" s="4" t="n">
        <v>870</v>
      </c>
      <c r="B474" s="5" t="inlineStr">
        <is>
          <t>IMG_0077</t>
        </is>
      </c>
      <c r="C474" s="5" t="inlineStr">
        <is>
          <t>CLASS E: EARTHWORKS</t>
        </is>
      </c>
      <c r="D474" s="5" t="inlineStr">
        <is>
          <t>06 FILLING</t>
        </is>
      </c>
      <c r="E474" s="5" t="inlineStr">
        <is>
          <t>Excavated topsoil; DfT specified type 5A; Filling</t>
        </is>
      </c>
      <c r="F474" s="5" t="inlineStr">
        <is>
          <t>150 mm thick</t>
        </is>
      </c>
      <c r="G474" s="6" t="inlineStr">
        <is>
          <t>m2</t>
        </is>
      </c>
      <c r="H474" s="7" t="n">
        <v>0.01</v>
      </c>
      <c r="I474" s="8" t="n">
        <v>0.5600000000000001</v>
      </c>
      <c r="J474" s="8" t="n">
        <v>1.36</v>
      </c>
      <c r="K474" s="8" t="n">
        <v>0</v>
      </c>
      <c r="L474" s="8" t="n">
        <v>0</v>
      </c>
      <c r="M474" s="9">
        <f>ROUND(SUM(I474:L474),2)</f>
        <v/>
      </c>
      <c r="N474" s="10">
        <f>ROUND(I474*'Irish Basis'!$C$6*'Irish Basis'!$C$5,2)</f>
        <v/>
      </c>
      <c r="O474" s="10">
        <f>ROUND(J474*'Irish Basis'!$C$7*'Irish Basis'!$C$5,2)</f>
        <v/>
      </c>
      <c r="P474" s="10">
        <f>ROUND(K474*'Irish Basis'!$C$8*'Irish Basis'!$C$5,2)</f>
        <v/>
      </c>
      <c r="Q474" s="10">
        <f>ROUND(L474*'Irish Basis'!$C$12*'Irish Basis'!$C$5,2)</f>
        <v/>
      </c>
      <c r="R474" s="11">
        <f>ROUND(SUM(N474:Q474),2)</f>
        <v/>
      </c>
      <c r="S474" s="5" t="inlineStr">
        <is>
          <t>Stated build-up</t>
        </is>
      </c>
      <c r="T474" s="12" t="inlineStr">
        <is>
          <t>High</t>
        </is>
      </c>
      <c r="U474" s="8" t="n">
        <v>1.92</v>
      </c>
      <c r="V474" s="13">
        <f>IF(U474="","",ROUND(M474-U474,2))</f>
        <v/>
      </c>
      <c r="W474" s="5" t="n"/>
      <c r="X474" s="5" t="inlineStr">
        <is>
          <t>Labour + plant + material as published; reconciles to the published rate.</t>
        </is>
      </c>
    </row>
    <row r="475" ht="13" customHeight="1">
      <c r="A475" s="4" t="n">
        <v>871</v>
      </c>
      <c r="B475" s="5" t="inlineStr">
        <is>
          <t>IMG_0077</t>
        </is>
      </c>
      <c r="C475" s="5" t="inlineStr">
        <is>
          <t>CLASS E: EARTHWORKS</t>
        </is>
      </c>
      <c r="D475" s="5" t="inlineStr">
        <is>
          <t>06 FILLING</t>
        </is>
      </c>
      <c r="E475" s="5" t="inlineStr">
        <is>
          <t>Excavated topsoil; DfT specified type 5A; Filling</t>
        </is>
      </c>
      <c r="F475" s="5" t="inlineStr">
        <is>
          <t>250 mm thick</t>
        </is>
      </c>
      <c r="G475" s="6" t="inlineStr">
        <is>
          <t>m2</t>
        </is>
      </c>
      <c r="H475" s="7" t="n">
        <v>0.01</v>
      </c>
      <c r="I475" s="8" t="n">
        <v>0.97</v>
      </c>
      <c r="J475" s="8" t="n">
        <v>2.32</v>
      </c>
      <c r="K475" s="8" t="n">
        <v>0</v>
      </c>
      <c r="L475" s="8" t="n">
        <v>0</v>
      </c>
      <c r="M475" s="9">
        <f>ROUND(SUM(I475:L475),2)</f>
        <v/>
      </c>
      <c r="N475" s="10">
        <f>ROUND(I475*'Irish Basis'!$C$6*'Irish Basis'!$C$5,2)</f>
        <v/>
      </c>
      <c r="O475" s="10">
        <f>ROUND(J475*'Irish Basis'!$C$7*'Irish Basis'!$C$5,2)</f>
        <v/>
      </c>
      <c r="P475" s="10">
        <f>ROUND(K475*'Irish Basis'!$C$8*'Irish Basis'!$C$5,2)</f>
        <v/>
      </c>
      <c r="Q475" s="10">
        <f>ROUND(L475*'Irish Basis'!$C$12*'Irish Basis'!$C$5,2)</f>
        <v/>
      </c>
      <c r="R475" s="11">
        <f>ROUND(SUM(N475:Q475),2)</f>
        <v/>
      </c>
      <c r="S475" s="5" t="inlineStr">
        <is>
          <t>Stated build-up</t>
        </is>
      </c>
      <c r="T475" s="12" t="inlineStr">
        <is>
          <t>High</t>
        </is>
      </c>
      <c r="U475" s="8" t="n">
        <v>3.29</v>
      </c>
      <c r="V475" s="13">
        <f>IF(U475="","",ROUND(M475-U475,2))</f>
        <v/>
      </c>
      <c r="W475" s="5" t="n"/>
      <c r="X475" s="5" t="inlineStr">
        <is>
          <t>Labour + plant + material as published; reconciles to the published rate.</t>
        </is>
      </c>
    </row>
    <row r="476" ht="13" customHeight="1">
      <c r="A476" s="4" t="n">
        <v>872</v>
      </c>
      <c r="B476" s="5" t="inlineStr">
        <is>
          <t>IMG_0077</t>
        </is>
      </c>
      <c r="C476" s="5" t="inlineStr">
        <is>
          <t>CLASS E: EARTHWORKS</t>
        </is>
      </c>
      <c r="D476" s="5" t="inlineStr">
        <is>
          <t>06 FILLING</t>
        </is>
      </c>
      <c r="E476" s="5" t="inlineStr">
        <is>
          <t>Excavated topsoil; DfT specified type 5A; Filling</t>
        </is>
      </c>
      <c r="F476" s="5" t="inlineStr">
        <is>
          <t>400 mm thick</t>
        </is>
      </c>
      <c r="G476" s="6" t="inlineStr">
        <is>
          <t>m2</t>
        </is>
      </c>
      <c r="H476" s="7" t="n">
        <v>0.02</v>
      </c>
      <c r="I476" s="8" t="n">
        <v>1.37</v>
      </c>
      <c r="J476" s="8" t="n">
        <v>3.29</v>
      </c>
      <c r="K476" s="8" t="n">
        <v>0</v>
      </c>
      <c r="L476" s="8" t="n">
        <v>0</v>
      </c>
      <c r="M476" s="9">
        <f>ROUND(SUM(I476:L476),2)</f>
        <v/>
      </c>
      <c r="N476" s="10">
        <f>ROUND(I476*'Irish Basis'!$C$6*'Irish Basis'!$C$5,2)</f>
        <v/>
      </c>
      <c r="O476" s="10">
        <f>ROUND(J476*'Irish Basis'!$C$7*'Irish Basis'!$C$5,2)</f>
        <v/>
      </c>
      <c r="P476" s="10">
        <f>ROUND(K476*'Irish Basis'!$C$8*'Irish Basis'!$C$5,2)</f>
        <v/>
      </c>
      <c r="Q476" s="10">
        <f>ROUND(L476*'Irish Basis'!$C$12*'Irish Basis'!$C$5,2)</f>
        <v/>
      </c>
      <c r="R476" s="11">
        <f>ROUND(SUM(N476:Q476),2)</f>
        <v/>
      </c>
      <c r="S476" s="5" t="inlineStr">
        <is>
          <t>Stated build-up</t>
        </is>
      </c>
      <c r="T476" s="12" t="inlineStr">
        <is>
          <t>High</t>
        </is>
      </c>
      <c r="U476" s="8" t="n">
        <v>4.66</v>
      </c>
      <c r="V476" s="13">
        <f>IF(U476="","",ROUND(M476-U476,2))</f>
        <v/>
      </c>
      <c r="W476" s="5" t="n"/>
      <c r="X476" s="5" t="inlineStr">
        <is>
          <t>Labour + plant + material as published; reconciles to the published rate.</t>
        </is>
      </c>
    </row>
    <row r="477" ht="13" customHeight="1">
      <c r="A477" s="4" t="n">
        <v>873</v>
      </c>
      <c r="B477" s="5" t="inlineStr">
        <is>
          <t>IMG_0077</t>
        </is>
      </c>
      <c r="C477" s="5" t="inlineStr">
        <is>
          <t>CLASS E: EARTHWORKS</t>
        </is>
      </c>
      <c r="D477" s="5" t="inlineStr">
        <is>
          <t>06 FILLING</t>
        </is>
      </c>
      <c r="E477" s="5" t="inlineStr">
        <is>
          <t>Excavated topsoil; DfT specified type 5A; Filling</t>
        </is>
      </c>
      <c r="F477" s="5" t="inlineStr">
        <is>
          <t>600 mm thick</t>
        </is>
      </c>
      <c r="G477" s="6" t="inlineStr">
        <is>
          <t>m2</t>
        </is>
      </c>
      <c r="H477" s="7" t="n">
        <v>0.02</v>
      </c>
      <c r="I477" s="8" t="n">
        <v>1.94</v>
      </c>
      <c r="J477" s="8" t="n">
        <v>4.65</v>
      </c>
      <c r="K477" s="8" t="n">
        <v>0</v>
      </c>
      <c r="L477" s="8" t="n">
        <v>0</v>
      </c>
      <c r="M477" s="9">
        <f>ROUND(SUM(I477:L477),2)</f>
        <v/>
      </c>
      <c r="N477" s="10">
        <f>ROUND(I477*'Irish Basis'!$C$6*'Irish Basis'!$C$5,2)</f>
        <v/>
      </c>
      <c r="O477" s="10">
        <f>ROUND(J477*'Irish Basis'!$C$7*'Irish Basis'!$C$5,2)</f>
        <v/>
      </c>
      <c r="P477" s="10">
        <f>ROUND(K477*'Irish Basis'!$C$8*'Irish Basis'!$C$5,2)</f>
        <v/>
      </c>
      <c r="Q477" s="10">
        <f>ROUND(L477*'Irish Basis'!$C$12*'Irish Basis'!$C$5,2)</f>
        <v/>
      </c>
      <c r="R477" s="11">
        <f>ROUND(SUM(N477:Q477),2)</f>
        <v/>
      </c>
      <c r="S477" s="5" t="inlineStr">
        <is>
          <t>Stated build-up</t>
        </is>
      </c>
      <c r="T477" s="12" t="inlineStr">
        <is>
          <t>High</t>
        </is>
      </c>
      <c r="U477" s="8" t="n">
        <v>6.59</v>
      </c>
      <c r="V477" s="13">
        <f>IF(U477="","",ROUND(M477-U477,2))</f>
        <v/>
      </c>
      <c r="W477" s="5" t="n"/>
      <c r="X477" s="5" t="inlineStr">
        <is>
          <t>Labour + plant + material as published; reconciles to the published rate.</t>
        </is>
      </c>
    </row>
    <row r="478" ht="13" customHeight="1">
      <c r="A478" s="4" t="n">
        <v>875</v>
      </c>
      <c r="B478" s="5" t="inlineStr">
        <is>
          <t>IMG_0077</t>
        </is>
      </c>
      <c r="C478" s="5" t="inlineStr">
        <is>
          <t>CLASS E: EARTHWORKS</t>
        </is>
      </c>
      <c r="D478" s="5" t="inlineStr">
        <is>
          <t>06 FILLING</t>
        </is>
      </c>
      <c r="E478" s="5" t="inlineStr">
        <is>
          <t>Imported topsoil DfT specified type 5B; Filling</t>
        </is>
      </c>
      <c r="F478" s="5" t="inlineStr">
        <is>
          <t>embankments</t>
        </is>
      </c>
      <c r="G478" s="6" t="inlineStr">
        <is>
          <t>m3</t>
        </is>
      </c>
      <c r="H478" s="7" t="n">
        <v>0.03</v>
      </c>
      <c r="I478" s="8" t="n">
        <v>2.02</v>
      </c>
      <c r="J478" s="8" t="n">
        <v>4.84</v>
      </c>
      <c r="K478" s="8" t="n">
        <v>102.89</v>
      </c>
      <c r="L478" s="8" t="n">
        <v>0</v>
      </c>
      <c r="M478" s="9">
        <f>ROUND(SUM(I478:L478),2)</f>
        <v/>
      </c>
      <c r="N478" s="10">
        <f>ROUND(I478*'Irish Basis'!$C$6*'Irish Basis'!$C$5,2)</f>
        <v/>
      </c>
      <c r="O478" s="10">
        <f>ROUND(J478*'Irish Basis'!$C$7*'Irish Basis'!$C$5,2)</f>
        <v/>
      </c>
      <c r="P478" s="10">
        <f>ROUND(K478*'Irish Basis'!$C$8*'Irish Basis'!$C$5,2)</f>
        <v/>
      </c>
      <c r="Q478" s="10">
        <f>ROUND(L478*'Irish Basis'!$C$12*'Irish Basis'!$C$5,2)</f>
        <v/>
      </c>
      <c r="R478" s="11">
        <f>ROUND(SUM(N478:Q478),2)</f>
        <v/>
      </c>
      <c r="S478" s="5" t="inlineStr">
        <is>
          <t>Stated build-up</t>
        </is>
      </c>
      <c r="T478" s="12" t="inlineStr">
        <is>
          <t>High</t>
        </is>
      </c>
      <c r="U478" s="8" t="n">
        <v>109.75</v>
      </c>
      <c r="V478" s="13">
        <f>IF(U478="","",ROUND(M478-U478,2))</f>
        <v/>
      </c>
      <c r="W478" s="5" t="n"/>
      <c r="X478" s="5" t="inlineStr">
        <is>
          <t>Labour + plant + material as published; reconciles to the published rate.</t>
        </is>
      </c>
    </row>
    <row r="479" ht="13" customHeight="1">
      <c r="A479" s="4" t="n">
        <v>876</v>
      </c>
      <c r="B479" s="5" t="inlineStr">
        <is>
          <t>IMG_0077</t>
        </is>
      </c>
      <c r="C479" s="5" t="inlineStr">
        <is>
          <t>CLASS E: EARTHWORKS</t>
        </is>
      </c>
      <c r="D479" s="5" t="inlineStr">
        <is>
          <t>06 FILLING</t>
        </is>
      </c>
      <c r="E479" s="5" t="inlineStr">
        <is>
          <t>Imported topsoil DfT specified type 5B; Filling</t>
        </is>
      </c>
      <c r="F479" s="5" t="inlineStr">
        <is>
          <t>general</t>
        </is>
      </c>
      <c r="G479" s="6" t="inlineStr">
        <is>
          <t>m3</t>
        </is>
      </c>
      <c r="H479" s="7" t="n">
        <v>0.02</v>
      </c>
      <c r="I479" s="8" t="n">
        <v>1.69</v>
      </c>
      <c r="J479" s="8" t="n">
        <v>4.07</v>
      </c>
      <c r="K479" s="8" t="n">
        <v>102.89</v>
      </c>
      <c r="L479" s="8" t="n">
        <v>0</v>
      </c>
      <c r="M479" s="9">
        <f>ROUND(SUM(I479:L479),2)</f>
        <v/>
      </c>
      <c r="N479" s="10">
        <f>ROUND(I479*'Irish Basis'!$C$6*'Irish Basis'!$C$5,2)</f>
        <v/>
      </c>
      <c r="O479" s="10">
        <f>ROUND(J479*'Irish Basis'!$C$7*'Irish Basis'!$C$5,2)</f>
        <v/>
      </c>
      <c r="P479" s="10">
        <f>ROUND(K479*'Irish Basis'!$C$8*'Irish Basis'!$C$5,2)</f>
        <v/>
      </c>
      <c r="Q479" s="10">
        <f>ROUND(L479*'Irish Basis'!$C$12*'Irish Basis'!$C$5,2)</f>
        <v/>
      </c>
      <c r="R479" s="11">
        <f>ROUND(SUM(N479:Q479),2)</f>
        <v/>
      </c>
      <c r="S479" s="5" t="inlineStr">
        <is>
          <t>Stated build-up</t>
        </is>
      </c>
      <c r="T479" s="12" t="inlineStr">
        <is>
          <t>High</t>
        </is>
      </c>
      <c r="U479" s="8" t="n">
        <v>108.65</v>
      </c>
      <c r="V479" s="13">
        <f>IF(U479="","",ROUND(M479-U479,2))</f>
        <v/>
      </c>
      <c r="W479" s="5" t="n"/>
      <c r="X479" s="5" t="inlineStr">
        <is>
          <t>Labour + plant + material as published; reconciles to the published rate.</t>
        </is>
      </c>
    </row>
    <row r="480" ht="13" customHeight="1">
      <c r="A480" s="4" t="n">
        <v>877</v>
      </c>
      <c r="B480" s="5" t="inlineStr">
        <is>
          <t>IMG_0077</t>
        </is>
      </c>
      <c r="C480" s="5" t="inlineStr">
        <is>
          <t>CLASS E: EARTHWORKS</t>
        </is>
      </c>
      <c r="D480" s="5" t="inlineStr">
        <is>
          <t>06 FILLING</t>
        </is>
      </c>
      <c r="E480" s="5" t="inlineStr">
        <is>
          <t>Imported topsoil DfT specified type 5B; Filling</t>
        </is>
      </c>
      <c r="F480" s="5" t="inlineStr">
        <is>
          <t>150 mm thick</t>
        </is>
      </c>
      <c r="G480" s="6" t="inlineStr">
        <is>
          <t>m2</t>
        </is>
      </c>
      <c r="H480" s="7" t="n">
        <v>0.01</v>
      </c>
      <c r="I480" s="8" t="n">
        <v>0.5600000000000001</v>
      </c>
      <c r="J480" s="8" t="n">
        <v>1.36</v>
      </c>
      <c r="K480" s="8" t="n">
        <v>15.43</v>
      </c>
      <c r="L480" s="8" t="n">
        <v>0</v>
      </c>
      <c r="M480" s="9">
        <f>ROUND(SUM(I480:L480),2)</f>
        <v/>
      </c>
      <c r="N480" s="10">
        <f>ROUND(I480*'Irish Basis'!$C$6*'Irish Basis'!$C$5,2)</f>
        <v/>
      </c>
      <c r="O480" s="10">
        <f>ROUND(J480*'Irish Basis'!$C$7*'Irish Basis'!$C$5,2)</f>
        <v/>
      </c>
      <c r="P480" s="10">
        <f>ROUND(K480*'Irish Basis'!$C$8*'Irish Basis'!$C$5,2)</f>
        <v/>
      </c>
      <c r="Q480" s="10">
        <f>ROUND(L480*'Irish Basis'!$C$12*'Irish Basis'!$C$5,2)</f>
        <v/>
      </c>
      <c r="R480" s="11">
        <f>ROUND(SUM(N480:Q480),2)</f>
        <v/>
      </c>
      <c r="S480" s="5" t="inlineStr">
        <is>
          <t>Stated build-up</t>
        </is>
      </c>
      <c r="T480" s="12" t="inlineStr">
        <is>
          <t>High</t>
        </is>
      </c>
      <c r="U480" s="8" t="n">
        <v>17.35</v>
      </c>
      <c r="V480" s="13">
        <f>IF(U480="","",ROUND(M480-U480,2))</f>
        <v/>
      </c>
      <c r="W480" s="5" t="n"/>
      <c r="X480" s="5" t="inlineStr">
        <is>
          <t>Labour + plant + material as published; reconciles to the published rate.</t>
        </is>
      </c>
    </row>
    <row r="481" ht="13" customHeight="1">
      <c r="A481" s="4" t="n">
        <v>878</v>
      </c>
      <c r="B481" s="5" t="inlineStr">
        <is>
          <t>IMG_0077</t>
        </is>
      </c>
      <c r="C481" s="5" t="inlineStr">
        <is>
          <t>CLASS E: EARTHWORKS</t>
        </is>
      </c>
      <c r="D481" s="5" t="inlineStr">
        <is>
          <t>06 FILLING</t>
        </is>
      </c>
      <c r="E481" s="5" t="inlineStr">
        <is>
          <t>Imported topsoil DfT specified type 5B; Filling</t>
        </is>
      </c>
      <c r="F481" s="5" t="inlineStr">
        <is>
          <t>250 mm thick</t>
        </is>
      </c>
      <c r="G481" s="6" t="inlineStr">
        <is>
          <t>m2</t>
        </is>
      </c>
      <c r="H481" s="7" t="n">
        <v>0.01</v>
      </c>
      <c r="I481" s="8" t="n">
        <v>0.97</v>
      </c>
      <c r="J481" s="8" t="n">
        <v>2.32</v>
      </c>
      <c r="K481" s="8" t="n">
        <v>25.72</v>
      </c>
      <c r="L481" s="8" t="n">
        <v>0</v>
      </c>
      <c r="M481" s="9">
        <f>ROUND(SUM(I481:L481),2)</f>
        <v/>
      </c>
      <c r="N481" s="10">
        <f>ROUND(I481*'Irish Basis'!$C$6*'Irish Basis'!$C$5,2)</f>
        <v/>
      </c>
      <c r="O481" s="10">
        <f>ROUND(J481*'Irish Basis'!$C$7*'Irish Basis'!$C$5,2)</f>
        <v/>
      </c>
      <c r="P481" s="10">
        <f>ROUND(K481*'Irish Basis'!$C$8*'Irish Basis'!$C$5,2)</f>
        <v/>
      </c>
      <c r="Q481" s="10">
        <f>ROUND(L481*'Irish Basis'!$C$12*'Irish Basis'!$C$5,2)</f>
        <v/>
      </c>
      <c r="R481" s="11">
        <f>ROUND(SUM(N481:Q481),2)</f>
        <v/>
      </c>
      <c r="S481" s="5" t="inlineStr">
        <is>
          <t>Stated build-up</t>
        </is>
      </c>
      <c r="T481" s="12" t="inlineStr">
        <is>
          <t>High</t>
        </is>
      </c>
      <c r="U481" s="8" t="n">
        <v>29.02</v>
      </c>
      <c r="V481" s="13">
        <f>IF(U481="","",ROUND(M481-U481,2))</f>
        <v/>
      </c>
      <c r="W481" s="5" t="n"/>
      <c r="X481" s="5" t="inlineStr">
        <is>
          <t>Labour + plant + material as published; reconciles to the published rate.</t>
        </is>
      </c>
    </row>
    <row r="482" ht="13" customHeight="1">
      <c r="A482" s="4" t="n">
        <v>879</v>
      </c>
      <c r="B482" s="5" t="inlineStr">
        <is>
          <t>IMG_0077</t>
        </is>
      </c>
      <c r="C482" s="5" t="inlineStr">
        <is>
          <t>CLASS E: EARTHWORKS</t>
        </is>
      </c>
      <c r="D482" s="5" t="inlineStr">
        <is>
          <t>06 FILLING</t>
        </is>
      </c>
      <c r="E482" s="5" t="inlineStr">
        <is>
          <t>Imported topsoil DfT specified type 5B; Filling</t>
        </is>
      </c>
      <c r="F482" s="5" t="inlineStr">
        <is>
          <t>400 mm thick</t>
        </is>
      </c>
      <c r="G482" s="6" t="inlineStr">
        <is>
          <t>m2</t>
        </is>
      </c>
      <c r="H482" s="7" t="n">
        <v>0.02</v>
      </c>
      <c r="I482" s="8" t="n">
        <v>1.37</v>
      </c>
      <c r="J482" s="8" t="n">
        <v>3.29</v>
      </c>
      <c r="K482" s="8" t="n">
        <v>41.16</v>
      </c>
      <c r="L482" s="8" t="n">
        <v>0</v>
      </c>
      <c r="M482" s="9">
        <f>ROUND(SUM(I482:L482),2)</f>
        <v/>
      </c>
      <c r="N482" s="10">
        <f>ROUND(I482*'Irish Basis'!$C$6*'Irish Basis'!$C$5,2)</f>
        <v/>
      </c>
      <c r="O482" s="10">
        <f>ROUND(J482*'Irish Basis'!$C$7*'Irish Basis'!$C$5,2)</f>
        <v/>
      </c>
      <c r="P482" s="10">
        <f>ROUND(K482*'Irish Basis'!$C$8*'Irish Basis'!$C$5,2)</f>
        <v/>
      </c>
      <c r="Q482" s="10">
        <f>ROUND(L482*'Irish Basis'!$C$12*'Irish Basis'!$C$5,2)</f>
        <v/>
      </c>
      <c r="R482" s="11">
        <f>ROUND(SUM(N482:Q482),2)</f>
        <v/>
      </c>
      <c r="S482" s="5" t="inlineStr">
        <is>
          <t>Stated build-up</t>
        </is>
      </c>
      <c r="T482" s="12" t="inlineStr">
        <is>
          <t>High</t>
        </is>
      </c>
      <c r="U482" s="8" t="n">
        <v>45.82</v>
      </c>
      <c r="V482" s="13">
        <f>IF(U482="","",ROUND(M482-U482,2))</f>
        <v/>
      </c>
      <c r="W482" s="5" t="n"/>
      <c r="X482" s="5" t="inlineStr">
        <is>
          <t>Labour + plant + material as published; reconciles to the published rate.</t>
        </is>
      </c>
    </row>
    <row r="483" ht="13" customHeight="1">
      <c r="A483" s="4" t="n">
        <v>880</v>
      </c>
      <c r="B483" s="5" t="inlineStr">
        <is>
          <t>IMG_0077</t>
        </is>
      </c>
      <c r="C483" s="5" t="inlineStr">
        <is>
          <t>CLASS E: EARTHWORKS</t>
        </is>
      </c>
      <c r="D483" s="5" t="inlineStr">
        <is>
          <t>06 FILLING</t>
        </is>
      </c>
      <c r="E483" s="5" t="inlineStr">
        <is>
          <t>Imported topsoil DfT specified type 5B; Filling</t>
        </is>
      </c>
      <c r="F483" s="5" t="inlineStr">
        <is>
          <t>600 mm thick</t>
        </is>
      </c>
      <c r="G483" s="6" t="inlineStr">
        <is>
          <t>m2</t>
        </is>
      </c>
      <c r="H483" s="7" t="n">
        <v>0.02</v>
      </c>
      <c r="I483" s="8" t="n">
        <v>1.94</v>
      </c>
      <c r="J483" s="8" t="n">
        <v>4.65</v>
      </c>
      <c r="K483" s="8" t="n">
        <v>61.73</v>
      </c>
      <c r="L483" s="8" t="n">
        <v>0</v>
      </c>
      <c r="M483" s="9">
        <f>ROUND(SUM(I483:L483),2)</f>
        <v/>
      </c>
      <c r="N483" s="10">
        <f>ROUND(I483*'Irish Basis'!$C$6*'Irish Basis'!$C$5,2)</f>
        <v/>
      </c>
      <c r="O483" s="10">
        <f>ROUND(J483*'Irish Basis'!$C$7*'Irish Basis'!$C$5,2)</f>
        <v/>
      </c>
      <c r="P483" s="10">
        <f>ROUND(K483*'Irish Basis'!$C$8*'Irish Basis'!$C$5,2)</f>
        <v/>
      </c>
      <c r="Q483" s="10">
        <f>ROUND(L483*'Irish Basis'!$C$12*'Irish Basis'!$C$5,2)</f>
        <v/>
      </c>
      <c r="R483" s="11">
        <f>ROUND(SUM(N483:Q483),2)</f>
        <v/>
      </c>
      <c r="S483" s="5" t="inlineStr">
        <is>
          <t>Stated build-up</t>
        </is>
      </c>
      <c r="T483" s="12" t="inlineStr">
        <is>
          <t>High</t>
        </is>
      </c>
      <c r="U483" s="8" t="n">
        <v>68.31999999999999</v>
      </c>
      <c r="V483" s="13">
        <f>IF(U483="","",ROUND(M483-U483,2))</f>
        <v/>
      </c>
      <c r="W483" s="5" t="n"/>
      <c r="X483" s="5" t="inlineStr">
        <is>
          <t>Labour + plant + material as published; reconciles to the published rate.</t>
        </is>
      </c>
    </row>
    <row r="484" ht="13" customHeight="1">
      <c r="A484" s="4" t="n">
        <v>882</v>
      </c>
      <c r="B484" s="5" t="inlineStr">
        <is>
          <t>IMG_0077</t>
        </is>
      </c>
      <c r="C484" s="5" t="inlineStr">
        <is>
          <t>CLASS E: EARTHWORKS</t>
        </is>
      </c>
      <c r="D484" s="5" t="inlineStr">
        <is>
          <t>06 FILLING</t>
        </is>
      </c>
      <c r="E484" s="5" t="inlineStr">
        <is>
          <t>Non-selected excavated material other than topsoil or rock; Filling</t>
        </is>
      </c>
      <c r="F484" s="5" t="inlineStr">
        <is>
          <t>to structures</t>
        </is>
      </c>
      <c r="G484" s="6" t="inlineStr">
        <is>
          <t>m3</t>
        </is>
      </c>
      <c r="H484" s="7" t="n">
        <v>0.04</v>
      </c>
      <c r="I484" s="8" t="n">
        <v>2.9</v>
      </c>
      <c r="J484" s="8" t="n">
        <v>6.97</v>
      </c>
      <c r="K484" s="8" t="n">
        <v>0</v>
      </c>
      <c r="L484" s="8" t="n">
        <v>0</v>
      </c>
      <c r="M484" s="9">
        <f>ROUND(SUM(I484:L484),2)</f>
        <v/>
      </c>
      <c r="N484" s="10">
        <f>ROUND(I484*'Irish Basis'!$C$6*'Irish Basis'!$C$5,2)</f>
        <v/>
      </c>
      <c r="O484" s="10">
        <f>ROUND(J484*'Irish Basis'!$C$7*'Irish Basis'!$C$5,2)</f>
        <v/>
      </c>
      <c r="P484" s="10">
        <f>ROUND(K484*'Irish Basis'!$C$8*'Irish Basis'!$C$5,2)</f>
        <v/>
      </c>
      <c r="Q484" s="10">
        <f>ROUND(L484*'Irish Basis'!$C$12*'Irish Basis'!$C$5,2)</f>
        <v/>
      </c>
      <c r="R484" s="11">
        <f>ROUND(SUM(N484:Q484),2)</f>
        <v/>
      </c>
      <c r="S484" s="5" t="inlineStr">
        <is>
          <t>Stated build-up</t>
        </is>
      </c>
      <c r="T484" s="12" t="inlineStr">
        <is>
          <t>High</t>
        </is>
      </c>
      <c r="U484" s="8" t="n">
        <v>9.880000000000001</v>
      </c>
      <c r="V484" s="13">
        <f>IF(U484="","",ROUND(M484-U484,2))</f>
        <v/>
      </c>
      <c r="W484" s="5" t="n"/>
      <c r="X484" s="5" t="inlineStr">
        <is>
          <t>Labour + plant + material as published; reconciles to the published rate.</t>
        </is>
      </c>
    </row>
    <row r="485" ht="13" customHeight="1">
      <c r="A485" s="4" t="n">
        <v>883</v>
      </c>
      <c r="B485" s="5" t="inlineStr">
        <is>
          <t>IMG_0077</t>
        </is>
      </c>
      <c r="C485" s="5" t="inlineStr">
        <is>
          <t>CLASS E: EARTHWORKS</t>
        </is>
      </c>
      <c r="D485" s="5" t="inlineStr">
        <is>
          <t>06 FILLING</t>
        </is>
      </c>
      <c r="E485" s="5" t="inlineStr">
        <is>
          <t>Non-selected excavated material other than topsoil or rock; Filling</t>
        </is>
      </c>
      <c r="F485" s="5" t="inlineStr">
        <is>
          <t>embankments</t>
        </is>
      </c>
      <c r="G485" s="6" t="inlineStr">
        <is>
          <t>m3</t>
        </is>
      </c>
      <c r="H485" s="7" t="n">
        <v>0.02</v>
      </c>
      <c r="I485" s="8" t="n">
        <v>1.21</v>
      </c>
      <c r="J485" s="8" t="n">
        <v>2.91</v>
      </c>
      <c r="K485" s="8" t="n">
        <v>0</v>
      </c>
      <c r="L485" s="8" t="n">
        <v>0</v>
      </c>
      <c r="M485" s="9">
        <f>ROUND(SUM(I485:L485),2)</f>
        <v/>
      </c>
      <c r="N485" s="10">
        <f>ROUND(I485*'Irish Basis'!$C$6*'Irish Basis'!$C$5,2)</f>
        <v/>
      </c>
      <c r="O485" s="10">
        <f>ROUND(J485*'Irish Basis'!$C$7*'Irish Basis'!$C$5,2)</f>
        <v/>
      </c>
      <c r="P485" s="10">
        <f>ROUND(K485*'Irish Basis'!$C$8*'Irish Basis'!$C$5,2)</f>
        <v/>
      </c>
      <c r="Q485" s="10">
        <f>ROUND(L485*'Irish Basis'!$C$12*'Irish Basis'!$C$5,2)</f>
        <v/>
      </c>
      <c r="R485" s="11">
        <f>ROUND(SUM(N485:Q485),2)</f>
        <v/>
      </c>
      <c r="S485" s="5" t="inlineStr">
        <is>
          <t>Stated build-up</t>
        </is>
      </c>
      <c r="T485" s="12" t="inlineStr">
        <is>
          <t>High</t>
        </is>
      </c>
      <c r="U485" s="8" t="n">
        <v>4.12</v>
      </c>
      <c r="V485" s="13">
        <f>IF(U485="","",ROUND(M485-U485,2))</f>
        <v/>
      </c>
      <c r="W485" s="5" t="n"/>
      <c r="X485" s="5" t="inlineStr">
        <is>
          <t>Labour + plant + material as published; reconciles to the published rate.</t>
        </is>
      </c>
    </row>
    <row r="486" ht="13" customHeight="1">
      <c r="A486" s="4" t="n">
        <v>884</v>
      </c>
      <c r="B486" s="5" t="inlineStr">
        <is>
          <t>IMG_0077</t>
        </is>
      </c>
      <c r="C486" s="5" t="inlineStr">
        <is>
          <t>CLASS E: EARTHWORKS</t>
        </is>
      </c>
      <c r="D486" s="5" t="inlineStr">
        <is>
          <t>06 FILLING</t>
        </is>
      </c>
      <c r="E486" s="5" t="inlineStr">
        <is>
          <t>Non-selected excavated material other than topsoil or rock; Filling</t>
        </is>
      </c>
      <c r="F486" s="5" t="inlineStr">
        <is>
          <t>general</t>
        </is>
      </c>
      <c r="G486" s="6" t="inlineStr">
        <is>
          <t>m3</t>
        </is>
      </c>
      <c r="H486" s="7" t="n">
        <v>0.01</v>
      </c>
      <c r="I486" s="8" t="n">
        <v>0.89</v>
      </c>
      <c r="J486" s="8" t="n">
        <v>2.13</v>
      </c>
      <c r="K486" s="8" t="n">
        <v>0</v>
      </c>
      <c r="L486" s="8" t="n">
        <v>0</v>
      </c>
      <c r="M486" s="9">
        <f>ROUND(SUM(I486:L486),2)</f>
        <v/>
      </c>
      <c r="N486" s="10">
        <f>ROUND(I486*'Irish Basis'!$C$6*'Irish Basis'!$C$5,2)</f>
        <v/>
      </c>
      <c r="O486" s="10">
        <f>ROUND(J486*'Irish Basis'!$C$7*'Irish Basis'!$C$5,2)</f>
        <v/>
      </c>
      <c r="P486" s="10">
        <f>ROUND(K486*'Irish Basis'!$C$8*'Irish Basis'!$C$5,2)</f>
        <v/>
      </c>
      <c r="Q486" s="10">
        <f>ROUND(L486*'Irish Basis'!$C$12*'Irish Basis'!$C$5,2)</f>
        <v/>
      </c>
      <c r="R486" s="11">
        <f>ROUND(SUM(N486:Q486),2)</f>
        <v/>
      </c>
      <c r="S486" s="5" t="inlineStr">
        <is>
          <t>Stated build-up</t>
        </is>
      </c>
      <c r="T486" s="12" t="inlineStr">
        <is>
          <t>High</t>
        </is>
      </c>
      <c r="U486" s="8" t="n">
        <v>3.02</v>
      </c>
      <c r="V486" s="13">
        <f>IF(U486="","",ROUND(M486-U486,2))</f>
        <v/>
      </c>
      <c r="W486" s="5" t="n"/>
      <c r="X486" s="5" t="inlineStr">
        <is>
          <t>Labour + plant + material as published; reconciles to the published rate.</t>
        </is>
      </c>
    </row>
    <row r="487" ht="13" customHeight="1">
      <c r="A487" s="4" t="n">
        <v>885</v>
      </c>
      <c r="B487" s="5" t="inlineStr">
        <is>
          <t>IMG_0077</t>
        </is>
      </c>
      <c r="C487" s="5" t="inlineStr">
        <is>
          <t>CLASS E: EARTHWORKS</t>
        </is>
      </c>
      <c r="D487" s="5" t="inlineStr">
        <is>
          <t>06 FILLING</t>
        </is>
      </c>
      <c r="E487" s="5" t="inlineStr">
        <is>
          <t>Non-selected excavated material other than topsoil or rock; Filling</t>
        </is>
      </c>
      <c r="F487" s="5" t="inlineStr">
        <is>
          <t>150 mm thick</t>
        </is>
      </c>
      <c r="G487" s="6" t="inlineStr">
        <is>
          <t>m2</t>
        </is>
      </c>
      <c r="H487" s="7" t="n"/>
      <c r="I487" s="8" t="n">
        <v>0.32</v>
      </c>
      <c r="J487" s="8" t="n">
        <v>0.77</v>
      </c>
      <c r="K487" s="8" t="n">
        <v>0</v>
      </c>
      <c r="L487" s="8" t="n">
        <v>0</v>
      </c>
      <c r="M487" s="9">
        <f>ROUND(SUM(I487:L487),2)</f>
        <v/>
      </c>
      <c r="N487" s="10">
        <f>ROUND(I487*'Irish Basis'!$C$6*'Irish Basis'!$C$5,2)</f>
        <v/>
      </c>
      <c r="O487" s="10">
        <f>ROUND(J487*'Irish Basis'!$C$7*'Irish Basis'!$C$5,2)</f>
        <v/>
      </c>
      <c r="P487" s="10">
        <f>ROUND(K487*'Irish Basis'!$C$8*'Irish Basis'!$C$5,2)</f>
        <v/>
      </c>
      <c r="Q487" s="10">
        <f>ROUND(L487*'Irish Basis'!$C$12*'Irish Basis'!$C$5,2)</f>
        <v/>
      </c>
      <c r="R487" s="11">
        <f>ROUND(SUM(N487:Q487),2)</f>
        <v/>
      </c>
      <c r="S487" s="5" t="inlineStr">
        <is>
          <t>Stated build-up</t>
        </is>
      </c>
      <c r="T487" s="12" t="inlineStr">
        <is>
          <t>High</t>
        </is>
      </c>
      <c r="U487" s="8" t="n">
        <v>1.1</v>
      </c>
      <c r="V487" s="13">
        <f>IF(U487="","",ROUND(M487-U487,2))</f>
        <v/>
      </c>
      <c r="W487" s="5" t="n"/>
      <c r="X487" s="5" t="inlineStr">
        <is>
          <t>Labour + plant + material as published; reconciles to the published rate.</t>
        </is>
      </c>
    </row>
    <row r="488" ht="13" customHeight="1">
      <c r="A488" s="4" t="n">
        <v>887</v>
      </c>
      <c r="B488" s="5" t="inlineStr">
        <is>
          <t>IMG_0078</t>
        </is>
      </c>
      <c r="C488" s="5" t="inlineStr">
        <is>
          <t>CLASS E: EARTHWORKS</t>
        </is>
      </c>
      <c r="D488" s="5" t="inlineStr">
        <is>
          <t>06 FILLING</t>
        </is>
      </c>
      <c r="E488" s="5" t="inlineStr">
        <is>
          <t>Non-selected excavated material other than topsoil or rock; Filling (continued)</t>
        </is>
      </c>
      <c r="F488" s="5" t="inlineStr">
        <is>
          <t>250 mm thick</t>
        </is>
      </c>
      <c r="G488" s="6" t="inlineStr">
        <is>
          <t>m2</t>
        </is>
      </c>
      <c r="H488" s="7" t="n">
        <v>0.01</v>
      </c>
      <c r="I488" s="8" t="n">
        <v>0.48</v>
      </c>
      <c r="J488" s="8" t="n">
        <v>1.16</v>
      </c>
      <c r="K488" s="8" t="n">
        <v>0</v>
      </c>
      <c r="L488" s="8" t="n">
        <v>0</v>
      </c>
      <c r="M488" s="9">
        <f>ROUND(SUM(I488:L488),2)</f>
        <v/>
      </c>
      <c r="N488" s="10">
        <f>ROUND(I488*'Irish Basis'!$C$6*'Irish Basis'!$C$5,2)</f>
        <v/>
      </c>
      <c r="O488" s="10">
        <f>ROUND(J488*'Irish Basis'!$C$7*'Irish Basis'!$C$5,2)</f>
        <v/>
      </c>
      <c r="P488" s="10">
        <f>ROUND(K488*'Irish Basis'!$C$8*'Irish Basis'!$C$5,2)</f>
        <v/>
      </c>
      <c r="Q488" s="10">
        <f>ROUND(L488*'Irish Basis'!$C$12*'Irish Basis'!$C$5,2)</f>
        <v/>
      </c>
      <c r="R488" s="11">
        <f>ROUND(SUM(N488:Q488),2)</f>
        <v/>
      </c>
      <c r="S488" s="5" t="inlineStr">
        <is>
          <t>Stated build-up</t>
        </is>
      </c>
      <c r="T488" s="12" t="inlineStr">
        <is>
          <t>High</t>
        </is>
      </c>
      <c r="U488" s="8" t="n">
        <v>1.65</v>
      </c>
      <c r="V488" s="13">
        <f>IF(U488="","",ROUND(M488-U488,2))</f>
        <v/>
      </c>
      <c r="W488" s="5" t="n"/>
      <c r="X488" s="5" t="inlineStr">
        <is>
          <t>Labour + plant + material as published; reconciles to the published rate.</t>
        </is>
      </c>
    </row>
    <row r="489" ht="13" customHeight="1">
      <c r="A489" s="4" t="n">
        <v>888</v>
      </c>
      <c r="B489" s="5" t="inlineStr">
        <is>
          <t>IMG_0078</t>
        </is>
      </c>
      <c r="C489" s="5" t="inlineStr">
        <is>
          <t>CLASS E: EARTHWORKS</t>
        </is>
      </c>
      <c r="D489" s="5" t="inlineStr">
        <is>
          <t>06 FILLING</t>
        </is>
      </c>
      <c r="E489" s="5" t="inlineStr">
        <is>
          <t>Non-selected excavated material other than topsoil or rock; Filling (continued)</t>
        </is>
      </c>
      <c r="F489" s="5" t="inlineStr">
        <is>
          <t>400 mm thick</t>
        </is>
      </c>
      <c r="G489" s="6" t="inlineStr">
        <is>
          <t>m2</t>
        </is>
      </c>
      <c r="H489" s="7" t="n">
        <v>0.01</v>
      </c>
      <c r="I489" s="8" t="n">
        <v>0.73</v>
      </c>
      <c r="J489" s="8" t="n">
        <v>1.74</v>
      </c>
      <c r="K489" s="8" t="n">
        <v>0</v>
      </c>
      <c r="L489" s="8" t="n">
        <v>0</v>
      </c>
      <c r="M489" s="9">
        <f>ROUND(SUM(I489:L489),2)</f>
        <v/>
      </c>
      <c r="N489" s="10">
        <f>ROUND(I489*'Irish Basis'!$C$6*'Irish Basis'!$C$5,2)</f>
        <v/>
      </c>
      <c r="O489" s="10">
        <f>ROUND(J489*'Irish Basis'!$C$7*'Irish Basis'!$C$5,2)</f>
        <v/>
      </c>
      <c r="P489" s="10">
        <f>ROUND(K489*'Irish Basis'!$C$8*'Irish Basis'!$C$5,2)</f>
        <v/>
      </c>
      <c r="Q489" s="10">
        <f>ROUND(L489*'Irish Basis'!$C$12*'Irish Basis'!$C$5,2)</f>
        <v/>
      </c>
      <c r="R489" s="11">
        <f>ROUND(SUM(N489:Q489),2)</f>
        <v/>
      </c>
      <c r="S489" s="5" t="inlineStr">
        <is>
          <t>Stated build-up</t>
        </is>
      </c>
      <c r="T489" s="12" t="inlineStr">
        <is>
          <t>High</t>
        </is>
      </c>
      <c r="U489" s="8" t="n">
        <v>2.47</v>
      </c>
      <c r="V489" s="13">
        <f>IF(U489="","",ROUND(M489-U489,2))</f>
        <v/>
      </c>
      <c r="W489" s="5" t="n"/>
      <c r="X489" s="5" t="inlineStr">
        <is>
          <t>Labour + plant + material as published; reconciles to the published rate.</t>
        </is>
      </c>
    </row>
    <row r="490" ht="13" customHeight="1">
      <c r="A490" s="4" t="n">
        <v>889</v>
      </c>
      <c r="B490" s="5" t="inlineStr">
        <is>
          <t>IMG_0078</t>
        </is>
      </c>
      <c r="C490" s="5" t="inlineStr">
        <is>
          <t>CLASS E: EARTHWORKS</t>
        </is>
      </c>
      <c r="D490" s="5" t="inlineStr">
        <is>
          <t>06 FILLING</t>
        </is>
      </c>
      <c r="E490" s="5" t="inlineStr">
        <is>
          <t>Non-selected excavated material other than topsoil or rock; Filling (continued)</t>
        </is>
      </c>
      <c r="F490" s="5" t="inlineStr">
        <is>
          <t>600 mm thick</t>
        </is>
      </c>
      <c r="G490" s="6" t="inlineStr">
        <is>
          <t>m2</t>
        </is>
      </c>
      <c r="H490" s="7" t="n">
        <v>0.01</v>
      </c>
      <c r="I490" s="8" t="n">
        <v>0.97</v>
      </c>
      <c r="J490" s="8" t="n">
        <v>2.32</v>
      </c>
      <c r="K490" s="8" t="n">
        <v>0</v>
      </c>
      <c r="L490" s="8" t="n">
        <v>0</v>
      </c>
      <c r="M490" s="9">
        <f>ROUND(SUM(I490:L490),2)</f>
        <v/>
      </c>
      <c r="N490" s="10">
        <f>ROUND(I490*'Irish Basis'!$C$6*'Irish Basis'!$C$5,2)</f>
        <v/>
      </c>
      <c r="O490" s="10">
        <f>ROUND(J490*'Irish Basis'!$C$7*'Irish Basis'!$C$5,2)</f>
        <v/>
      </c>
      <c r="P490" s="10">
        <f>ROUND(K490*'Irish Basis'!$C$8*'Irish Basis'!$C$5,2)</f>
        <v/>
      </c>
      <c r="Q490" s="10">
        <f>ROUND(L490*'Irish Basis'!$C$12*'Irish Basis'!$C$5,2)</f>
        <v/>
      </c>
      <c r="R490" s="11">
        <f>ROUND(SUM(N490:Q490),2)</f>
        <v/>
      </c>
      <c r="S490" s="5" t="inlineStr">
        <is>
          <t>Stated build-up</t>
        </is>
      </c>
      <c r="T490" s="12" t="inlineStr">
        <is>
          <t>High</t>
        </is>
      </c>
      <c r="U490" s="8" t="n">
        <v>3.29</v>
      </c>
      <c r="V490" s="13">
        <f>IF(U490="","",ROUND(M490-U490,2))</f>
        <v/>
      </c>
      <c r="W490" s="5" t="n"/>
      <c r="X490" s="5" t="inlineStr">
        <is>
          <t>Labour + plant + material as published; reconciles to the published rate.</t>
        </is>
      </c>
    </row>
    <row r="491" ht="13" customHeight="1">
      <c r="A491" s="4" t="n">
        <v>891</v>
      </c>
      <c r="B491" s="5" t="inlineStr">
        <is>
          <t>IMG_0078</t>
        </is>
      </c>
      <c r="C491" s="5" t="inlineStr">
        <is>
          <t>CLASS E: EARTHWORKS</t>
        </is>
      </c>
      <c r="D491" s="5" t="inlineStr">
        <is>
          <t>06 FILLING</t>
        </is>
      </c>
      <c r="E491" s="5" t="inlineStr">
        <is>
          <t>Selected excavated material other than topsoil or rock; Filling</t>
        </is>
      </c>
      <c r="F491" s="5" t="inlineStr">
        <is>
          <t>to structures</t>
        </is>
      </c>
      <c r="G491" s="6" t="inlineStr">
        <is>
          <t>m3</t>
        </is>
      </c>
      <c r="H491" s="7" t="n">
        <v>0.04</v>
      </c>
      <c r="I491" s="8" t="n">
        <v>3.31</v>
      </c>
      <c r="J491" s="8" t="n">
        <v>7.94</v>
      </c>
      <c r="K491" s="8" t="n">
        <v>0</v>
      </c>
      <c r="L491" s="8" t="n">
        <v>0</v>
      </c>
      <c r="M491" s="9">
        <f>ROUND(SUM(I491:L491),2)</f>
        <v/>
      </c>
      <c r="N491" s="10">
        <f>ROUND(I491*'Irish Basis'!$C$6*'Irish Basis'!$C$5,2)</f>
        <v/>
      </c>
      <c r="O491" s="10">
        <f>ROUND(J491*'Irish Basis'!$C$7*'Irish Basis'!$C$5,2)</f>
        <v/>
      </c>
      <c r="P491" s="10">
        <f>ROUND(K491*'Irish Basis'!$C$8*'Irish Basis'!$C$5,2)</f>
        <v/>
      </c>
      <c r="Q491" s="10">
        <f>ROUND(L491*'Irish Basis'!$C$12*'Irish Basis'!$C$5,2)</f>
        <v/>
      </c>
      <c r="R491" s="11">
        <f>ROUND(SUM(N491:Q491),2)</f>
        <v/>
      </c>
      <c r="S491" s="5" t="inlineStr">
        <is>
          <t>Stated build-up</t>
        </is>
      </c>
      <c r="T491" s="12" t="inlineStr">
        <is>
          <t>High</t>
        </is>
      </c>
      <c r="U491" s="8" t="n">
        <v>11.25</v>
      </c>
      <c r="V491" s="13">
        <f>IF(U491="","",ROUND(M491-U491,2))</f>
        <v/>
      </c>
      <c r="W491" s="5" t="n"/>
      <c r="X491" s="5" t="inlineStr">
        <is>
          <t>Labour + plant + material as published; reconciles to the published rate.</t>
        </is>
      </c>
    </row>
    <row r="492" ht="13" customHeight="1">
      <c r="A492" s="4" t="n">
        <v>892</v>
      </c>
      <c r="B492" s="5" t="inlineStr">
        <is>
          <t>IMG_0078</t>
        </is>
      </c>
      <c r="C492" s="5" t="inlineStr">
        <is>
          <t>CLASS E: EARTHWORKS</t>
        </is>
      </c>
      <c r="D492" s="5" t="inlineStr">
        <is>
          <t>06 FILLING</t>
        </is>
      </c>
      <c r="E492" s="5" t="inlineStr">
        <is>
          <t>Selected excavated material other than topsoil or rock; Filling</t>
        </is>
      </c>
      <c r="F492" s="5" t="inlineStr">
        <is>
          <t>embankments</t>
        </is>
      </c>
      <c r="G492" s="6" t="inlineStr">
        <is>
          <t>m3</t>
        </is>
      </c>
      <c r="H492" s="7" t="n">
        <v>0.01</v>
      </c>
      <c r="I492" s="8" t="n">
        <v>1.13</v>
      </c>
      <c r="J492" s="8" t="n">
        <v>2.71</v>
      </c>
      <c r="K492" s="8" t="n">
        <v>0</v>
      </c>
      <c r="L492" s="8" t="n">
        <v>0</v>
      </c>
      <c r="M492" s="9">
        <f>ROUND(SUM(I492:L492),2)</f>
        <v/>
      </c>
      <c r="N492" s="10">
        <f>ROUND(I492*'Irish Basis'!$C$6*'Irish Basis'!$C$5,2)</f>
        <v/>
      </c>
      <c r="O492" s="10">
        <f>ROUND(J492*'Irish Basis'!$C$7*'Irish Basis'!$C$5,2)</f>
        <v/>
      </c>
      <c r="P492" s="10">
        <f>ROUND(K492*'Irish Basis'!$C$8*'Irish Basis'!$C$5,2)</f>
        <v/>
      </c>
      <c r="Q492" s="10">
        <f>ROUND(L492*'Irish Basis'!$C$12*'Irish Basis'!$C$5,2)</f>
        <v/>
      </c>
      <c r="R492" s="11">
        <f>ROUND(SUM(N492:Q492),2)</f>
        <v/>
      </c>
      <c r="S492" s="5" t="inlineStr">
        <is>
          <t>Stated build-up</t>
        </is>
      </c>
      <c r="T492" s="12" t="inlineStr">
        <is>
          <t>High</t>
        </is>
      </c>
      <c r="U492" s="8" t="n">
        <v>3.84</v>
      </c>
      <c r="V492" s="13">
        <f>IF(U492="","",ROUND(M492-U492,2))</f>
        <v/>
      </c>
      <c r="W492" s="5" t="n"/>
      <c r="X492" s="5" t="inlineStr">
        <is>
          <t>Labour + plant + material as published; reconciles to the published rate.</t>
        </is>
      </c>
    </row>
    <row r="493" ht="13" customHeight="1">
      <c r="A493" s="4" t="n">
        <v>893</v>
      </c>
      <c r="B493" s="5" t="inlineStr">
        <is>
          <t>IMG_0078</t>
        </is>
      </c>
      <c r="C493" s="5" t="inlineStr">
        <is>
          <t>CLASS E: EARTHWORKS</t>
        </is>
      </c>
      <c r="D493" s="5" t="inlineStr">
        <is>
          <t>06 FILLING</t>
        </is>
      </c>
      <c r="E493" s="5" t="inlineStr">
        <is>
          <t>Selected excavated material other than topsoil or rock; Filling</t>
        </is>
      </c>
      <c r="F493" s="5" t="inlineStr">
        <is>
          <t>general</t>
        </is>
      </c>
      <c r="G493" s="6" t="inlineStr">
        <is>
          <t>m3</t>
        </is>
      </c>
      <c r="H493" s="7" t="n">
        <v>0.01</v>
      </c>
      <c r="I493" s="8" t="n">
        <v>0.97</v>
      </c>
      <c r="J493" s="8" t="n">
        <v>2.32</v>
      </c>
      <c r="K493" s="8" t="n">
        <v>0</v>
      </c>
      <c r="L493" s="8" t="n">
        <v>0</v>
      </c>
      <c r="M493" s="9">
        <f>ROUND(SUM(I493:L493),2)</f>
        <v/>
      </c>
      <c r="N493" s="10">
        <f>ROUND(I493*'Irish Basis'!$C$6*'Irish Basis'!$C$5,2)</f>
        <v/>
      </c>
      <c r="O493" s="10">
        <f>ROUND(J493*'Irish Basis'!$C$7*'Irish Basis'!$C$5,2)</f>
        <v/>
      </c>
      <c r="P493" s="10">
        <f>ROUND(K493*'Irish Basis'!$C$8*'Irish Basis'!$C$5,2)</f>
        <v/>
      </c>
      <c r="Q493" s="10">
        <f>ROUND(L493*'Irish Basis'!$C$12*'Irish Basis'!$C$5,2)</f>
        <v/>
      </c>
      <c r="R493" s="11">
        <f>ROUND(SUM(N493:Q493),2)</f>
        <v/>
      </c>
      <c r="S493" s="5" t="inlineStr">
        <is>
          <t>Stated build-up</t>
        </is>
      </c>
      <c r="T493" s="12" t="inlineStr">
        <is>
          <t>High</t>
        </is>
      </c>
      <c r="U493" s="8" t="n">
        <v>3.29</v>
      </c>
      <c r="V493" s="13">
        <f>IF(U493="","",ROUND(M493-U493,2))</f>
        <v/>
      </c>
      <c r="W493" s="5" t="n"/>
      <c r="X493" s="5" t="inlineStr">
        <is>
          <t>Labour + plant + material as published; reconciles to the published rate.</t>
        </is>
      </c>
    </row>
    <row r="494" ht="13" customHeight="1">
      <c r="A494" s="4" t="n">
        <v>894</v>
      </c>
      <c r="B494" s="5" t="inlineStr">
        <is>
          <t>IMG_0078</t>
        </is>
      </c>
      <c r="C494" s="5" t="inlineStr">
        <is>
          <t>CLASS E: EARTHWORKS</t>
        </is>
      </c>
      <c r="D494" s="5" t="inlineStr">
        <is>
          <t>06 FILLING</t>
        </is>
      </c>
      <c r="E494" s="5" t="inlineStr">
        <is>
          <t>Selected excavated material other than topsoil or rock; Filling</t>
        </is>
      </c>
      <c r="F494" s="5" t="inlineStr">
        <is>
          <t>150 mm thick</t>
        </is>
      </c>
      <c r="G494" s="6" t="inlineStr">
        <is>
          <t>m2</t>
        </is>
      </c>
      <c r="H494" s="7" t="n"/>
      <c r="I494" s="8" t="n">
        <v>0.32</v>
      </c>
      <c r="J494" s="8" t="n">
        <v>0.77</v>
      </c>
      <c r="K494" s="8" t="n">
        <v>0</v>
      </c>
      <c r="L494" s="8" t="n">
        <v>0</v>
      </c>
      <c r="M494" s="9">
        <f>ROUND(SUM(I494:L494),2)</f>
        <v/>
      </c>
      <c r="N494" s="10">
        <f>ROUND(I494*'Irish Basis'!$C$6*'Irish Basis'!$C$5,2)</f>
        <v/>
      </c>
      <c r="O494" s="10">
        <f>ROUND(J494*'Irish Basis'!$C$7*'Irish Basis'!$C$5,2)</f>
        <v/>
      </c>
      <c r="P494" s="10">
        <f>ROUND(K494*'Irish Basis'!$C$8*'Irish Basis'!$C$5,2)</f>
        <v/>
      </c>
      <c r="Q494" s="10">
        <f>ROUND(L494*'Irish Basis'!$C$12*'Irish Basis'!$C$5,2)</f>
        <v/>
      </c>
      <c r="R494" s="11">
        <f>ROUND(SUM(N494:Q494),2)</f>
        <v/>
      </c>
      <c r="S494" s="5" t="inlineStr">
        <is>
          <t>Stated build-up</t>
        </is>
      </c>
      <c r="T494" s="12" t="inlineStr">
        <is>
          <t>High</t>
        </is>
      </c>
      <c r="U494" s="8" t="n">
        <v>1.1</v>
      </c>
      <c r="V494" s="13">
        <f>IF(U494="","",ROUND(M494-U494,2))</f>
        <v/>
      </c>
      <c r="W494" s="5" t="n"/>
      <c r="X494" s="5" t="inlineStr">
        <is>
          <t>Labour + plant + material as published; reconciles to the published rate.</t>
        </is>
      </c>
    </row>
    <row r="495" ht="13" customHeight="1">
      <c r="A495" s="4" t="n">
        <v>895</v>
      </c>
      <c r="B495" s="5" t="inlineStr">
        <is>
          <t>IMG_0078</t>
        </is>
      </c>
      <c r="C495" s="5" t="inlineStr">
        <is>
          <t>CLASS E: EARTHWORKS</t>
        </is>
      </c>
      <c r="D495" s="5" t="inlineStr">
        <is>
          <t>06 FILLING</t>
        </is>
      </c>
      <c r="E495" s="5" t="inlineStr">
        <is>
          <t>Selected excavated material other than topsoil or rock; Filling</t>
        </is>
      </c>
      <c r="F495" s="5" t="inlineStr">
        <is>
          <t>250 mm thick</t>
        </is>
      </c>
      <c r="G495" s="6" t="inlineStr">
        <is>
          <t>m2</t>
        </is>
      </c>
      <c r="H495" s="7" t="n">
        <v>0.01</v>
      </c>
      <c r="I495" s="8" t="n">
        <v>0.5600000000000001</v>
      </c>
      <c r="J495" s="8" t="n">
        <v>1.36</v>
      </c>
      <c r="K495" s="8" t="n">
        <v>0</v>
      </c>
      <c r="L495" s="8" t="n">
        <v>0</v>
      </c>
      <c r="M495" s="9">
        <f>ROUND(SUM(I495:L495),2)</f>
        <v/>
      </c>
      <c r="N495" s="10">
        <f>ROUND(I495*'Irish Basis'!$C$6*'Irish Basis'!$C$5,2)</f>
        <v/>
      </c>
      <c r="O495" s="10">
        <f>ROUND(J495*'Irish Basis'!$C$7*'Irish Basis'!$C$5,2)</f>
        <v/>
      </c>
      <c r="P495" s="10">
        <f>ROUND(K495*'Irish Basis'!$C$8*'Irish Basis'!$C$5,2)</f>
        <v/>
      </c>
      <c r="Q495" s="10">
        <f>ROUND(L495*'Irish Basis'!$C$12*'Irish Basis'!$C$5,2)</f>
        <v/>
      </c>
      <c r="R495" s="11">
        <f>ROUND(SUM(N495:Q495),2)</f>
        <v/>
      </c>
      <c r="S495" s="5" t="inlineStr">
        <is>
          <t>Stated build-up</t>
        </is>
      </c>
      <c r="T495" s="12" t="inlineStr">
        <is>
          <t>High</t>
        </is>
      </c>
      <c r="U495" s="8" t="n">
        <v>1.92</v>
      </c>
      <c r="V495" s="13">
        <f>IF(U495="","",ROUND(M495-U495,2))</f>
        <v/>
      </c>
      <c r="W495" s="5" t="n"/>
      <c r="X495" s="5" t="inlineStr">
        <is>
          <t>Labour + plant + material as published; reconciles to the published rate.</t>
        </is>
      </c>
    </row>
    <row r="496" ht="13" customHeight="1">
      <c r="A496" s="4" t="n">
        <v>896</v>
      </c>
      <c r="B496" s="5" t="inlineStr">
        <is>
          <t>IMG_0078</t>
        </is>
      </c>
      <c r="C496" s="5" t="inlineStr">
        <is>
          <t>CLASS E: EARTHWORKS</t>
        </is>
      </c>
      <c r="D496" s="5" t="inlineStr">
        <is>
          <t>06 FILLING</t>
        </is>
      </c>
      <c r="E496" s="5" t="inlineStr">
        <is>
          <t>Selected excavated material other than topsoil or rock; Filling</t>
        </is>
      </c>
      <c r="F496" s="5" t="inlineStr">
        <is>
          <t>400 mm thick</t>
        </is>
      </c>
      <c r="G496" s="6" t="inlineStr">
        <is>
          <t>m2</t>
        </is>
      </c>
      <c r="H496" s="7" t="n">
        <v>0.01</v>
      </c>
      <c r="I496" s="8" t="n">
        <v>0.8100000000000001</v>
      </c>
      <c r="J496" s="8" t="n">
        <v>1.94</v>
      </c>
      <c r="K496" s="8" t="n">
        <v>0</v>
      </c>
      <c r="L496" s="8" t="n">
        <v>0</v>
      </c>
      <c r="M496" s="9">
        <f>ROUND(SUM(I496:L496),2)</f>
        <v/>
      </c>
      <c r="N496" s="10">
        <f>ROUND(I496*'Irish Basis'!$C$6*'Irish Basis'!$C$5,2)</f>
        <v/>
      </c>
      <c r="O496" s="10">
        <f>ROUND(J496*'Irish Basis'!$C$7*'Irish Basis'!$C$5,2)</f>
        <v/>
      </c>
      <c r="P496" s="10">
        <f>ROUND(K496*'Irish Basis'!$C$8*'Irish Basis'!$C$5,2)</f>
        <v/>
      </c>
      <c r="Q496" s="10">
        <f>ROUND(L496*'Irish Basis'!$C$12*'Irish Basis'!$C$5,2)</f>
        <v/>
      </c>
      <c r="R496" s="11">
        <f>ROUND(SUM(N496:Q496),2)</f>
        <v/>
      </c>
      <c r="S496" s="5" t="inlineStr">
        <is>
          <t>Stated build-up</t>
        </is>
      </c>
      <c r="T496" s="12" t="inlineStr">
        <is>
          <t>High</t>
        </is>
      </c>
      <c r="U496" s="8" t="n">
        <v>2.74</v>
      </c>
      <c r="V496" s="13">
        <f>IF(U496="","",ROUND(M496-U496,2))</f>
        <v/>
      </c>
      <c r="W496" s="5" t="n"/>
      <c r="X496" s="5" t="inlineStr">
        <is>
          <t>Labour + plant + material as published; reconciles to the published rate.</t>
        </is>
      </c>
    </row>
    <row r="497" ht="13" customHeight="1">
      <c r="A497" s="4" t="n">
        <v>897</v>
      </c>
      <c r="B497" s="5" t="inlineStr">
        <is>
          <t>IMG_0078</t>
        </is>
      </c>
      <c r="C497" s="5" t="inlineStr">
        <is>
          <t>CLASS E: EARTHWORKS</t>
        </is>
      </c>
      <c r="D497" s="5" t="inlineStr">
        <is>
          <t>06 FILLING</t>
        </is>
      </c>
      <c r="E497" s="5" t="inlineStr">
        <is>
          <t>Selected excavated material other than topsoil or rock; Filling</t>
        </is>
      </c>
      <c r="F497" s="5" t="inlineStr">
        <is>
          <t>600 mm thick</t>
        </is>
      </c>
      <c r="G497" s="6" t="inlineStr">
        <is>
          <t>m2</t>
        </is>
      </c>
      <c r="H497" s="7" t="n">
        <v>0.01</v>
      </c>
      <c r="I497" s="8" t="n">
        <v>1.05</v>
      </c>
      <c r="J497" s="8" t="n">
        <v>2.52</v>
      </c>
      <c r="K497" s="8" t="n">
        <v>0</v>
      </c>
      <c r="L497" s="8" t="n">
        <v>0</v>
      </c>
      <c r="M497" s="9">
        <f>ROUND(SUM(I497:L497),2)</f>
        <v/>
      </c>
      <c r="N497" s="10">
        <f>ROUND(I497*'Irish Basis'!$C$6*'Irish Basis'!$C$5,2)</f>
        <v/>
      </c>
      <c r="O497" s="10">
        <f>ROUND(J497*'Irish Basis'!$C$7*'Irish Basis'!$C$5,2)</f>
        <v/>
      </c>
      <c r="P497" s="10">
        <f>ROUND(K497*'Irish Basis'!$C$8*'Irish Basis'!$C$5,2)</f>
        <v/>
      </c>
      <c r="Q497" s="10">
        <f>ROUND(L497*'Irish Basis'!$C$12*'Irish Basis'!$C$5,2)</f>
        <v/>
      </c>
      <c r="R497" s="11">
        <f>ROUND(SUM(N497:Q497),2)</f>
        <v/>
      </c>
      <c r="S497" s="5" t="inlineStr">
        <is>
          <t>Stated build-up</t>
        </is>
      </c>
      <c r="T497" s="12" t="inlineStr">
        <is>
          <t>High</t>
        </is>
      </c>
      <c r="U497" s="8" t="n">
        <v>3.57</v>
      </c>
      <c r="V497" s="13">
        <f>IF(U497="","",ROUND(M497-U497,2))</f>
        <v/>
      </c>
      <c r="W497" s="5" t="n"/>
      <c r="X497" s="5" t="inlineStr">
        <is>
          <t>Labour + plant + material as published; reconciles to the published rate.</t>
        </is>
      </c>
    </row>
    <row r="498" ht="13" customHeight="1">
      <c r="A498" s="4" t="n">
        <v>899</v>
      </c>
      <c r="B498" s="5" t="inlineStr">
        <is>
          <t>IMG_0078</t>
        </is>
      </c>
      <c r="C498" s="5" t="inlineStr">
        <is>
          <t>CLASS E: EARTHWORKS</t>
        </is>
      </c>
      <c r="D498" s="5" t="inlineStr">
        <is>
          <t>06 FILLING</t>
        </is>
      </c>
      <c r="E498" s="5" t="inlineStr">
        <is>
          <t>Imported natural material other than topsoil or rock; subsoil; Filling</t>
        </is>
      </c>
      <c r="F498" s="5" t="inlineStr">
        <is>
          <t>to structures</t>
        </is>
      </c>
      <c r="G498" s="6" t="inlineStr">
        <is>
          <t>m3</t>
        </is>
      </c>
      <c r="H498" s="7" t="n">
        <v>0.04</v>
      </c>
      <c r="I498" s="8" t="n">
        <v>2.9</v>
      </c>
      <c r="J498" s="8" t="n">
        <v>6.97</v>
      </c>
      <c r="K498" s="8" t="n">
        <v>107.1</v>
      </c>
      <c r="L498" s="8" t="n">
        <v>0</v>
      </c>
      <c r="M498" s="9">
        <f>ROUND(SUM(I498:L498),2)</f>
        <v/>
      </c>
      <c r="N498" s="10">
        <f>ROUND(I498*'Irish Basis'!$C$6*'Irish Basis'!$C$5,2)</f>
        <v/>
      </c>
      <c r="O498" s="10">
        <f>ROUND(J498*'Irish Basis'!$C$7*'Irish Basis'!$C$5,2)</f>
        <v/>
      </c>
      <c r="P498" s="10">
        <f>ROUND(K498*'Irish Basis'!$C$8*'Irish Basis'!$C$5,2)</f>
        <v/>
      </c>
      <c r="Q498" s="10">
        <f>ROUND(L498*'Irish Basis'!$C$12*'Irish Basis'!$C$5,2)</f>
        <v/>
      </c>
      <c r="R498" s="11">
        <f>ROUND(SUM(N498:Q498),2)</f>
        <v/>
      </c>
      <c r="S498" s="5" t="inlineStr">
        <is>
          <t>Stated build-up</t>
        </is>
      </c>
      <c r="T498" s="12" t="inlineStr">
        <is>
          <t>High</t>
        </is>
      </c>
      <c r="U498" s="8" t="n">
        <v>116.98</v>
      </c>
      <c r="V498" s="13">
        <f>IF(U498="","",ROUND(M498-U498,2))</f>
        <v/>
      </c>
      <c r="W498" s="5" t="n"/>
      <c r="X498" s="5" t="inlineStr">
        <is>
          <t>Labour + plant + material as published; reconciles to the published rate.</t>
        </is>
      </c>
    </row>
    <row r="499" ht="13" customHeight="1">
      <c r="A499" s="4" t="n">
        <v>900</v>
      </c>
      <c r="B499" s="5" t="inlineStr">
        <is>
          <t>IMG_0078</t>
        </is>
      </c>
      <c r="C499" s="5" t="inlineStr">
        <is>
          <t>CLASS E: EARTHWORKS</t>
        </is>
      </c>
      <c r="D499" s="5" t="inlineStr">
        <is>
          <t>06 FILLING</t>
        </is>
      </c>
      <c r="E499" s="5" t="inlineStr">
        <is>
          <t>Imported natural material other than topsoil or rock; subsoil; Filling</t>
        </is>
      </c>
      <c r="F499" s="5" t="inlineStr">
        <is>
          <t>embankments</t>
        </is>
      </c>
      <c r="G499" s="6" t="inlineStr">
        <is>
          <t>m3</t>
        </is>
      </c>
      <c r="H499" s="7" t="n">
        <v>0.02</v>
      </c>
      <c r="I499" s="8" t="n">
        <v>1.21</v>
      </c>
      <c r="J499" s="8" t="n">
        <v>2.91</v>
      </c>
      <c r="K499" s="8" t="n">
        <v>107.1</v>
      </c>
      <c r="L499" s="8" t="n">
        <v>0</v>
      </c>
      <c r="M499" s="9">
        <f>ROUND(SUM(I499:L499),2)</f>
        <v/>
      </c>
      <c r="N499" s="10">
        <f>ROUND(I499*'Irish Basis'!$C$6*'Irish Basis'!$C$5,2)</f>
        <v/>
      </c>
      <c r="O499" s="10">
        <f>ROUND(J499*'Irish Basis'!$C$7*'Irish Basis'!$C$5,2)</f>
        <v/>
      </c>
      <c r="P499" s="10">
        <f>ROUND(K499*'Irish Basis'!$C$8*'Irish Basis'!$C$5,2)</f>
        <v/>
      </c>
      <c r="Q499" s="10">
        <f>ROUND(L499*'Irish Basis'!$C$12*'Irish Basis'!$C$5,2)</f>
        <v/>
      </c>
      <c r="R499" s="11">
        <f>ROUND(SUM(N499:Q499),2)</f>
        <v/>
      </c>
      <c r="S499" s="5" t="inlineStr">
        <is>
          <t>Stated build-up</t>
        </is>
      </c>
      <c r="T499" s="12" t="inlineStr">
        <is>
          <t>High</t>
        </is>
      </c>
      <c r="U499" s="8" t="n">
        <v>111.21</v>
      </c>
      <c r="V499" s="13">
        <f>IF(U499="","",ROUND(M499-U499,2))</f>
        <v/>
      </c>
      <c r="W499" s="5" t="n"/>
      <c r="X499" s="5" t="inlineStr">
        <is>
          <t>Labour + plant + material as published; reconciles to the published rate.</t>
        </is>
      </c>
    </row>
    <row r="500" ht="13" customHeight="1">
      <c r="A500" s="4" t="n">
        <v>901</v>
      </c>
      <c r="B500" s="5" t="inlineStr">
        <is>
          <t>IMG_0078</t>
        </is>
      </c>
      <c r="C500" s="5" t="inlineStr">
        <is>
          <t>CLASS E: EARTHWORKS</t>
        </is>
      </c>
      <c r="D500" s="5" t="inlineStr">
        <is>
          <t>06 FILLING</t>
        </is>
      </c>
      <c r="E500" s="5" t="inlineStr">
        <is>
          <t>Imported natural material other than topsoil or rock; subsoil; Filling</t>
        </is>
      </c>
      <c r="F500" s="5" t="inlineStr">
        <is>
          <t>general</t>
        </is>
      </c>
      <c r="G500" s="6" t="inlineStr">
        <is>
          <t>m3</t>
        </is>
      </c>
      <c r="H500" s="7" t="n">
        <v>0.02</v>
      </c>
      <c r="I500" s="8" t="n">
        <v>1.21</v>
      </c>
      <c r="J500" s="8" t="n">
        <v>2.91</v>
      </c>
      <c r="K500" s="8" t="n">
        <v>107.1</v>
      </c>
      <c r="L500" s="8" t="n">
        <v>0</v>
      </c>
      <c r="M500" s="9">
        <f>ROUND(SUM(I500:L500),2)</f>
        <v/>
      </c>
      <c r="N500" s="10">
        <f>ROUND(I500*'Irish Basis'!$C$6*'Irish Basis'!$C$5,2)</f>
        <v/>
      </c>
      <c r="O500" s="10">
        <f>ROUND(J500*'Irish Basis'!$C$7*'Irish Basis'!$C$5,2)</f>
        <v/>
      </c>
      <c r="P500" s="10">
        <f>ROUND(K500*'Irish Basis'!$C$8*'Irish Basis'!$C$5,2)</f>
        <v/>
      </c>
      <c r="Q500" s="10">
        <f>ROUND(L500*'Irish Basis'!$C$12*'Irish Basis'!$C$5,2)</f>
        <v/>
      </c>
      <c r="R500" s="11">
        <f>ROUND(SUM(N500:Q500),2)</f>
        <v/>
      </c>
      <c r="S500" s="5" t="inlineStr">
        <is>
          <t>Stated build-up</t>
        </is>
      </c>
      <c r="T500" s="12" t="inlineStr">
        <is>
          <t>High</t>
        </is>
      </c>
      <c r="U500" s="8" t="n">
        <v>111.21</v>
      </c>
      <c r="V500" s="13">
        <f>IF(U500="","",ROUND(M500-U500,2))</f>
        <v/>
      </c>
      <c r="W500" s="5" t="n"/>
      <c r="X500" s="5" t="inlineStr">
        <is>
          <t>Labour + plant + material as published; reconciles to the published rate.</t>
        </is>
      </c>
    </row>
    <row r="501" ht="13" customHeight="1">
      <c r="A501" s="4" t="n">
        <v>902</v>
      </c>
      <c r="B501" s="5" t="inlineStr">
        <is>
          <t>IMG_0078</t>
        </is>
      </c>
      <c r="C501" s="5" t="inlineStr">
        <is>
          <t>CLASS E: EARTHWORKS</t>
        </is>
      </c>
      <c r="D501" s="5" t="inlineStr">
        <is>
          <t>06 FILLING</t>
        </is>
      </c>
      <c r="E501" s="5" t="inlineStr">
        <is>
          <t>Imported natural material other than topsoil or rock; subsoil; Filling</t>
        </is>
      </c>
      <c r="F501" s="5" t="inlineStr">
        <is>
          <t>150 mm thick</t>
        </is>
      </c>
      <c r="G501" s="6" t="inlineStr">
        <is>
          <t>m2</t>
        </is>
      </c>
      <c r="H501" s="7" t="n">
        <v>0.01</v>
      </c>
      <c r="I501" s="8" t="n">
        <v>0.73</v>
      </c>
      <c r="J501" s="8" t="n">
        <v>1.74</v>
      </c>
      <c r="K501" s="8" t="n">
        <v>16.06</v>
      </c>
      <c r="L501" s="8" t="n">
        <v>0</v>
      </c>
      <c r="M501" s="9">
        <f>ROUND(SUM(I501:L501),2)</f>
        <v/>
      </c>
      <c r="N501" s="10">
        <f>ROUND(I501*'Irish Basis'!$C$6*'Irish Basis'!$C$5,2)</f>
        <v/>
      </c>
      <c r="O501" s="10">
        <f>ROUND(J501*'Irish Basis'!$C$7*'Irish Basis'!$C$5,2)</f>
        <v/>
      </c>
      <c r="P501" s="10">
        <f>ROUND(K501*'Irish Basis'!$C$8*'Irish Basis'!$C$5,2)</f>
        <v/>
      </c>
      <c r="Q501" s="10">
        <f>ROUND(L501*'Irish Basis'!$C$12*'Irish Basis'!$C$5,2)</f>
        <v/>
      </c>
      <c r="R501" s="11">
        <f>ROUND(SUM(N501:Q501),2)</f>
        <v/>
      </c>
      <c r="S501" s="5" t="inlineStr">
        <is>
          <t>Stated build-up</t>
        </is>
      </c>
      <c r="T501" s="12" t="inlineStr">
        <is>
          <t>High</t>
        </is>
      </c>
      <c r="U501" s="8" t="n">
        <v>18.53</v>
      </c>
      <c r="V501" s="13">
        <f>IF(U501="","",ROUND(M501-U501,2))</f>
        <v/>
      </c>
      <c r="W501" s="5" t="n"/>
      <c r="X501" s="5" t="inlineStr">
        <is>
          <t>Labour + plant + material as published; reconciles to the published rate.</t>
        </is>
      </c>
    </row>
    <row r="502" ht="13" customHeight="1">
      <c r="A502" s="4" t="n">
        <v>903</v>
      </c>
      <c r="B502" s="5" t="inlineStr">
        <is>
          <t>IMG_0078</t>
        </is>
      </c>
      <c r="C502" s="5" t="inlineStr">
        <is>
          <t>CLASS E: EARTHWORKS</t>
        </is>
      </c>
      <c r="D502" s="5" t="inlineStr">
        <is>
          <t>06 FILLING</t>
        </is>
      </c>
      <c r="E502" s="5" t="inlineStr">
        <is>
          <t>Imported natural material other than topsoil or rock; subsoil; Filling</t>
        </is>
      </c>
      <c r="F502" s="5" t="inlineStr">
        <is>
          <t>250 mm thick</t>
        </is>
      </c>
      <c r="G502" s="6" t="inlineStr">
        <is>
          <t>m2</t>
        </is>
      </c>
      <c r="H502" s="7" t="n">
        <v>0.01</v>
      </c>
      <c r="I502" s="8" t="n">
        <v>1.05</v>
      </c>
      <c r="J502" s="8" t="n">
        <v>2.52</v>
      </c>
      <c r="K502" s="8" t="n">
        <v>26.77</v>
      </c>
      <c r="L502" s="8" t="n">
        <v>0</v>
      </c>
      <c r="M502" s="9">
        <f>ROUND(SUM(I502:L502),2)</f>
        <v/>
      </c>
      <c r="N502" s="10">
        <f>ROUND(I502*'Irish Basis'!$C$6*'Irish Basis'!$C$5,2)</f>
        <v/>
      </c>
      <c r="O502" s="10">
        <f>ROUND(J502*'Irish Basis'!$C$7*'Irish Basis'!$C$5,2)</f>
        <v/>
      </c>
      <c r="P502" s="10">
        <f>ROUND(K502*'Irish Basis'!$C$8*'Irish Basis'!$C$5,2)</f>
        <v/>
      </c>
      <c r="Q502" s="10">
        <f>ROUND(L502*'Irish Basis'!$C$12*'Irish Basis'!$C$5,2)</f>
        <v/>
      </c>
      <c r="R502" s="11">
        <f>ROUND(SUM(N502:Q502),2)</f>
        <v/>
      </c>
      <c r="S502" s="5" t="inlineStr">
        <is>
          <t>Stated build-up</t>
        </is>
      </c>
      <c r="T502" s="12" t="inlineStr">
        <is>
          <t>High</t>
        </is>
      </c>
      <c r="U502" s="8" t="n">
        <v>30.34</v>
      </c>
      <c r="V502" s="13">
        <f>IF(U502="","",ROUND(M502-U502,2))</f>
        <v/>
      </c>
      <c r="W502" s="5" t="n"/>
      <c r="X502" s="5" t="inlineStr">
        <is>
          <t>Labour + plant + material as published; reconciles to the published rate.</t>
        </is>
      </c>
    </row>
    <row r="503" ht="13" customHeight="1">
      <c r="A503" s="4" t="n">
        <v>904</v>
      </c>
      <c r="B503" s="5" t="inlineStr">
        <is>
          <t>IMG_0078</t>
        </is>
      </c>
      <c r="C503" s="5" t="inlineStr">
        <is>
          <t>CLASS E: EARTHWORKS</t>
        </is>
      </c>
      <c r="D503" s="5" t="inlineStr">
        <is>
          <t>06 FILLING</t>
        </is>
      </c>
      <c r="E503" s="5" t="inlineStr">
        <is>
          <t>Imported natural material other than topsoil or rock; subsoil; Filling</t>
        </is>
      </c>
      <c r="F503" s="5" t="inlineStr">
        <is>
          <t>400 mm thick</t>
        </is>
      </c>
      <c r="G503" s="6" t="inlineStr">
        <is>
          <t>m2</t>
        </is>
      </c>
      <c r="H503" s="7" t="n">
        <v>0.02</v>
      </c>
      <c r="I503" s="8" t="n">
        <v>1.21</v>
      </c>
      <c r="J503" s="8" t="n">
        <v>2.91</v>
      </c>
      <c r="K503" s="8" t="n">
        <v>42.84</v>
      </c>
      <c r="L503" s="8" t="n">
        <v>0</v>
      </c>
      <c r="M503" s="9">
        <f>ROUND(SUM(I503:L503),2)</f>
        <v/>
      </c>
      <c r="N503" s="10">
        <f>ROUND(I503*'Irish Basis'!$C$6*'Irish Basis'!$C$5,2)</f>
        <v/>
      </c>
      <c r="O503" s="10">
        <f>ROUND(J503*'Irish Basis'!$C$7*'Irish Basis'!$C$5,2)</f>
        <v/>
      </c>
      <c r="P503" s="10">
        <f>ROUND(K503*'Irish Basis'!$C$8*'Irish Basis'!$C$5,2)</f>
        <v/>
      </c>
      <c r="Q503" s="10">
        <f>ROUND(L503*'Irish Basis'!$C$12*'Irish Basis'!$C$5,2)</f>
        <v/>
      </c>
      <c r="R503" s="11">
        <f>ROUND(SUM(N503:Q503),2)</f>
        <v/>
      </c>
      <c r="S503" s="5" t="inlineStr">
        <is>
          <t>Stated build-up</t>
        </is>
      </c>
      <c r="T503" s="12" t="inlineStr">
        <is>
          <t>High</t>
        </is>
      </c>
      <c r="U503" s="8" t="n">
        <v>46.95</v>
      </c>
      <c r="V503" s="13">
        <f>IF(U503="","",ROUND(M503-U503,2))</f>
        <v/>
      </c>
      <c r="W503" s="5" t="n"/>
      <c r="X503" s="5" t="inlineStr">
        <is>
          <t>Labour + plant + material as published; reconciles to the published rate.</t>
        </is>
      </c>
    </row>
    <row r="504" ht="13" customHeight="1">
      <c r="A504" s="4" t="n">
        <v>905</v>
      </c>
      <c r="B504" s="5" t="inlineStr">
        <is>
          <t>IMG_0078</t>
        </is>
      </c>
      <c r="C504" s="5" t="inlineStr">
        <is>
          <t>CLASS E: EARTHWORKS</t>
        </is>
      </c>
      <c r="D504" s="5" t="inlineStr">
        <is>
          <t>06 FILLING</t>
        </is>
      </c>
      <c r="E504" s="5" t="inlineStr">
        <is>
          <t>Imported natural material other than topsoil or rock; subsoil; Filling</t>
        </is>
      </c>
      <c r="F504" s="5" t="inlineStr">
        <is>
          <t>600 mm thick</t>
        </is>
      </c>
      <c r="G504" s="6" t="inlineStr">
        <is>
          <t>m2</t>
        </is>
      </c>
      <c r="H504" s="7" t="n">
        <v>0.02</v>
      </c>
      <c r="I504" s="8" t="n">
        <v>1.37</v>
      </c>
      <c r="J504" s="8" t="n">
        <v>3.29</v>
      </c>
      <c r="K504" s="8" t="n">
        <v>64.26000000000001</v>
      </c>
      <c r="L504" s="8" t="n">
        <v>0</v>
      </c>
      <c r="M504" s="9">
        <f>ROUND(SUM(I504:L504),2)</f>
        <v/>
      </c>
      <c r="N504" s="10">
        <f>ROUND(I504*'Irish Basis'!$C$6*'Irish Basis'!$C$5,2)</f>
        <v/>
      </c>
      <c r="O504" s="10">
        <f>ROUND(J504*'Irish Basis'!$C$7*'Irish Basis'!$C$5,2)</f>
        <v/>
      </c>
      <c r="P504" s="10">
        <f>ROUND(K504*'Irish Basis'!$C$8*'Irish Basis'!$C$5,2)</f>
        <v/>
      </c>
      <c r="Q504" s="10">
        <f>ROUND(L504*'Irish Basis'!$C$12*'Irish Basis'!$C$5,2)</f>
        <v/>
      </c>
      <c r="R504" s="11">
        <f>ROUND(SUM(N504:Q504),2)</f>
        <v/>
      </c>
      <c r="S504" s="5" t="inlineStr">
        <is>
          <t>Stated build-up</t>
        </is>
      </c>
      <c r="T504" s="12" t="inlineStr">
        <is>
          <t>High</t>
        </is>
      </c>
      <c r="U504" s="8" t="n">
        <v>68.92</v>
      </c>
      <c r="V504" s="13">
        <f>IF(U504="","",ROUND(M504-U504,2))</f>
        <v/>
      </c>
      <c r="W504" s="5" t="n"/>
      <c r="X504" s="5" t="inlineStr">
        <is>
          <t>Labour + plant + material as published; reconciles to the published rate.</t>
        </is>
      </c>
    </row>
    <row r="505" ht="13" customHeight="1">
      <c r="A505" s="4" t="n">
        <v>907</v>
      </c>
      <c r="B505" s="5" t="inlineStr">
        <is>
          <t>IMG_0078</t>
        </is>
      </c>
      <c r="C505" s="5" t="inlineStr">
        <is>
          <t>CLASS E: EARTHWORKS</t>
        </is>
      </c>
      <c r="D505" s="5" t="inlineStr">
        <is>
          <t>06 FILLING</t>
        </is>
      </c>
      <c r="E505" s="5" t="inlineStr">
        <is>
          <t>Imported natural material other than topsoil or rock; granular graded material; Filling</t>
        </is>
      </c>
      <c r="F505" s="5" t="inlineStr">
        <is>
          <t>to structures</t>
        </is>
      </c>
      <c r="G505" s="6" t="inlineStr">
        <is>
          <t>m3</t>
        </is>
      </c>
      <c r="H505" s="7" t="n">
        <v>0.04</v>
      </c>
      <c r="I505" s="8" t="n">
        <v>2.9</v>
      </c>
      <c r="J505" s="8" t="n">
        <v>6.97</v>
      </c>
      <c r="K505" s="8" t="n">
        <v>129.36</v>
      </c>
      <c r="L505" s="8" t="n">
        <v>0</v>
      </c>
      <c r="M505" s="9">
        <f>ROUND(SUM(I505:L505),2)</f>
        <v/>
      </c>
      <c r="N505" s="10">
        <f>ROUND(I505*'Irish Basis'!$C$6*'Irish Basis'!$C$5,2)</f>
        <v/>
      </c>
      <c r="O505" s="10">
        <f>ROUND(J505*'Irish Basis'!$C$7*'Irish Basis'!$C$5,2)</f>
        <v/>
      </c>
      <c r="P505" s="10">
        <f>ROUND(K505*'Irish Basis'!$C$8*'Irish Basis'!$C$5,2)</f>
        <v/>
      </c>
      <c r="Q505" s="10">
        <f>ROUND(L505*'Irish Basis'!$C$12*'Irish Basis'!$C$5,2)</f>
        <v/>
      </c>
      <c r="R505" s="11">
        <f>ROUND(SUM(N505:Q505),2)</f>
        <v/>
      </c>
      <c r="S505" s="5" t="inlineStr">
        <is>
          <t>Stated build-up</t>
        </is>
      </c>
      <c r="T505" s="12" t="inlineStr">
        <is>
          <t>High</t>
        </is>
      </c>
      <c r="U505" s="8" t="n">
        <v>139.23</v>
      </c>
      <c r="V505" s="13">
        <f>IF(U505="","",ROUND(M505-U505,2))</f>
        <v/>
      </c>
      <c r="W505" s="5" t="n"/>
      <c r="X505" s="5" t="inlineStr">
        <is>
          <t>Labour + plant + material as published; reconciles to the published rate.</t>
        </is>
      </c>
    </row>
    <row r="506" ht="13" customHeight="1">
      <c r="A506" s="4" t="n">
        <v>908</v>
      </c>
      <c r="B506" s="5" t="inlineStr">
        <is>
          <t>IMG_0078</t>
        </is>
      </c>
      <c r="C506" s="5" t="inlineStr">
        <is>
          <t>CLASS E: EARTHWORKS</t>
        </is>
      </c>
      <c r="D506" s="5" t="inlineStr">
        <is>
          <t>06 FILLING</t>
        </is>
      </c>
      <c r="E506" s="5" t="inlineStr">
        <is>
          <t>Imported natural material other than topsoil or rock; granular graded material; Filling</t>
        </is>
      </c>
      <c r="F506" s="5" t="inlineStr">
        <is>
          <t>embankments</t>
        </is>
      </c>
      <c r="G506" s="6" t="inlineStr">
        <is>
          <t>m3</t>
        </is>
      </c>
      <c r="H506" s="7" t="n">
        <v>0.02</v>
      </c>
      <c r="I506" s="8" t="n">
        <v>1.37</v>
      </c>
      <c r="J506" s="8" t="n">
        <v>3.29</v>
      </c>
      <c r="K506" s="8" t="n">
        <v>129.36</v>
      </c>
      <c r="L506" s="8" t="n">
        <v>0</v>
      </c>
      <c r="M506" s="9">
        <f>ROUND(SUM(I506:L506),2)</f>
        <v/>
      </c>
      <c r="N506" s="10">
        <f>ROUND(I506*'Irish Basis'!$C$6*'Irish Basis'!$C$5,2)</f>
        <v/>
      </c>
      <c r="O506" s="10">
        <f>ROUND(J506*'Irish Basis'!$C$7*'Irish Basis'!$C$5,2)</f>
        <v/>
      </c>
      <c r="P506" s="10">
        <f>ROUND(K506*'Irish Basis'!$C$8*'Irish Basis'!$C$5,2)</f>
        <v/>
      </c>
      <c r="Q506" s="10">
        <f>ROUND(L506*'Irish Basis'!$C$12*'Irish Basis'!$C$5,2)</f>
        <v/>
      </c>
      <c r="R506" s="11">
        <f>ROUND(SUM(N506:Q506),2)</f>
        <v/>
      </c>
      <c r="S506" s="5" t="inlineStr">
        <is>
          <t>Stated build-up</t>
        </is>
      </c>
      <c r="T506" s="12" t="inlineStr">
        <is>
          <t>High</t>
        </is>
      </c>
      <c r="U506" s="8" t="n">
        <v>134.02</v>
      </c>
      <c r="V506" s="13">
        <f>IF(U506="","",ROUND(M506-U506,2))</f>
        <v/>
      </c>
      <c r="W506" s="5" t="n"/>
      <c r="X506" s="5" t="inlineStr">
        <is>
          <t>Labour + plant + material as published; reconciles to the published rate.</t>
        </is>
      </c>
    </row>
    <row r="507" ht="13" customHeight="1">
      <c r="A507" s="4" t="n">
        <v>909</v>
      </c>
      <c r="B507" s="5" t="inlineStr">
        <is>
          <t>IMG_0078</t>
        </is>
      </c>
      <c r="C507" s="5" t="inlineStr">
        <is>
          <t>CLASS E: EARTHWORKS</t>
        </is>
      </c>
      <c r="D507" s="5" t="inlineStr">
        <is>
          <t>06 FILLING</t>
        </is>
      </c>
      <c r="E507" s="5" t="inlineStr">
        <is>
          <t>Imported natural material other than topsoil or rock; granular graded material; Filling</t>
        </is>
      </c>
      <c r="F507" s="5" t="inlineStr">
        <is>
          <t>general</t>
        </is>
      </c>
      <c r="G507" s="6" t="inlineStr">
        <is>
          <t>m3</t>
        </is>
      </c>
      <c r="H507" s="7" t="n">
        <v>0.02</v>
      </c>
      <c r="I507" s="8" t="n">
        <v>1.37</v>
      </c>
      <c r="J507" s="8" t="n">
        <v>3.29</v>
      </c>
      <c r="K507" s="8" t="n">
        <v>129.36</v>
      </c>
      <c r="L507" s="8" t="n">
        <v>0</v>
      </c>
      <c r="M507" s="9">
        <f>ROUND(SUM(I507:L507),2)</f>
        <v/>
      </c>
      <c r="N507" s="10">
        <f>ROUND(I507*'Irish Basis'!$C$6*'Irish Basis'!$C$5,2)</f>
        <v/>
      </c>
      <c r="O507" s="10">
        <f>ROUND(J507*'Irish Basis'!$C$7*'Irish Basis'!$C$5,2)</f>
        <v/>
      </c>
      <c r="P507" s="10">
        <f>ROUND(K507*'Irish Basis'!$C$8*'Irish Basis'!$C$5,2)</f>
        <v/>
      </c>
      <c r="Q507" s="10">
        <f>ROUND(L507*'Irish Basis'!$C$12*'Irish Basis'!$C$5,2)</f>
        <v/>
      </c>
      <c r="R507" s="11">
        <f>ROUND(SUM(N507:Q507),2)</f>
        <v/>
      </c>
      <c r="S507" s="5" t="inlineStr">
        <is>
          <t>Stated build-up</t>
        </is>
      </c>
      <c r="T507" s="12" t="inlineStr">
        <is>
          <t>High</t>
        </is>
      </c>
      <c r="U507" s="8" t="n">
        <v>134.02</v>
      </c>
      <c r="V507" s="13">
        <f>IF(U507="","",ROUND(M507-U507,2))</f>
        <v/>
      </c>
      <c r="W507" s="5" t="n"/>
      <c r="X507" s="5" t="inlineStr">
        <is>
          <t>Labour + plant + material as published; reconciles to the published rate.</t>
        </is>
      </c>
    </row>
    <row r="508" ht="13" customHeight="1">
      <c r="A508" s="4" t="n">
        <v>910</v>
      </c>
      <c r="B508" s="5" t="inlineStr">
        <is>
          <t>IMG_0078</t>
        </is>
      </c>
      <c r="C508" s="5" t="inlineStr">
        <is>
          <t>CLASS E: EARTHWORKS</t>
        </is>
      </c>
      <c r="D508" s="5" t="inlineStr">
        <is>
          <t>06 FILLING</t>
        </is>
      </c>
      <c r="E508" s="5" t="inlineStr">
        <is>
          <t>Imported natural material other than topsoil or rock; granular graded material; Filling</t>
        </is>
      </c>
      <c r="F508" s="5" t="inlineStr">
        <is>
          <t>150 mm thick</t>
        </is>
      </c>
      <c r="G508" s="6" t="inlineStr">
        <is>
          <t>m2</t>
        </is>
      </c>
      <c r="H508" s="7" t="n">
        <v>0.01</v>
      </c>
      <c r="I508" s="8" t="n">
        <v>0.97</v>
      </c>
      <c r="J508" s="8" t="n">
        <v>2.32</v>
      </c>
      <c r="K508" s="8" t="n">
        <v>19.4</v>
      </c>
      <c r="L508" s="8" t="n">
        <v>0</v>
      </c>
      <c r="M508" s="9">
        <f>ROUND(SUM(I508:L508),2)</f>
        <v/>
      </c>
      <c r="N508" s="10">
        <f>ROUND(I508*'Irish Basis'!$C$6*'Irish Basis'!$C$5,2)</f>
        <v/>
      </c>
      <c r="O508" s="10">
        <f>ROUND(J508*'Irish Basis'!$C$7*'Irish Basis'!$C$5,2)</f>
        <v/>
      </c>
      <c r="P508" s="10">
        <f>ROUND(K508*'Irish Basis'!$C$8*'Irish Basis'!$C$5,2)</f>
        <v/>
      </c>
      <c r="Q508" s="10">
        <f>ROUND(L508*'Irish Basis'!$C$12*'Irish Basis'!$C$5,2)</f>
        <v/>
      </c>
      <c r="R508" s="11">
        <f>ROUND(SUM(N508:Q508),2)</f>
        <v/>
      </c>
      <c r="S508" s="5" t="inlineStr">
        <is>
          <t>Stated build-up</t>
        </is>
      </c>
      <c r="T508" s="12" t="inlineStr">
        <is>
          <t>High</t>
        </is>
      </c>
      <c r="U508" s="8" t="n">
        <v>22.7</v>
      </c>
      <c r="V508" s="13">
        <f>IF(U508="","",ROUND(M508-U508,2))</f>
        <v/>
      </c>
      <c r="W508" s="5" t="n"/>
      <c r="X508" s="5" t="inlineStr">
        <is>
          <t>Labour + plant + material as published; reconciles to the published rate.</t>
        </is>
      </c>
    </row>
    <row r="509" ht="13" customHeight="1">
      <c r="A509" s="4" t="n">
        <v>911</v>
      </c>
      <c r="B509" s="5" t="inlineStr">
        <is>
          <t>IMG_0078</t>
        </is>
      </c>
      <c r="C509" s="5" t="inlineStr">
        <is>
          <t>CLASS E: EARTHWORKS</t>
        </is>
      </c>
      <c r="D509" s="5" t="inlineStr">
        <is>
          <t>06 FILLING</t>
        </is>
      </c>
      <c r="E509" s="5" t="inlineStr">
        <is>
          <t>Imported natural material other than topsoil or rock; granular graded material; Filling</t>
        </is>
      </c>
      <c r="F509" s="5" t="inlineStr">
        <is>
          <t>250 mm thick</t>
        </is>
      </c>
      <c r="G509" s="6" t="inlineStr">
        <is>
          <t>m2</t>
        </is>
      </c>
      <c r="H509" s="7" t="n">
        <v>0.02</v>
      </c>
      <c r="I509" s="8" t="n">
        <v>1.37</v>
      </c>
      <c r="J509" s="8" t="n">
        <v>3.29</v>
      </c>
      <c r="K509" s="8" t="n">
        <v>32.34</v>
      </c>
      <c r="L509" s="8" t="n">
        <v>0</v>
      </c>
      <c r="M509" s="9">
        <f>ROUND(SUM(I509:L509),2)</f>
        <v/>
      </c>
      <c r="N509" s="10">
        <f>ROUND(I509*'Irish Basis'!$C$6*'Irish Basis'!$C$5,2)</f>
        <v/>
      </c>
      <c r="O509" s="10">
        <f>ROUND(J509*'Irish Basis'!$C$7*'Irish Basis'!$C$5,2)</f>
        <v/>
      </c>
      <c r="P509" s="10">
        <f>ROUND(K509*'Irish Basis'!$C$8*'Irish Basis'!$C$5,2)</f>
        <v/>
      </c>
      <c r="Q509" s="10">
        <f>ROUND(L509*'Irish Basis'!$C$12*'Irish Basis'!$C$5,2)</f>
        <v/>
      </c>
      <c r="R509" s="11">
        <f>ROUND(SUM(N509:Q509),2)</f>
        <v/>
      </c>
      <c r="S509" s="5" t="inlineStr">
        <is>
          <t>Stated build-up</t>
        </is>
      </c>
      <c r="T509" s="12" t="inlineStr">
        <is>
          <t>High</t>
        </is>
      </c>
      <c r="U509" s="8" t="n">
        <v>37</v>
      </c>
      <c r="V509" s="13">
        <f>IF(U509="","",ROUND(M509-U509,2))</f>
        <v/>
      </c>
      <c r="W509" s="5" t="n"/>
      <c r="X509" s="5" t="inlineStr">
        <is>
          <t>Labour + plant + material as published; reconciles to the published rate.</t>
        </is>
      </c>
    </row>
    <row r="510" ht="13" customHeight="1">
      <c r="A510" s="4" t="n">
        <v>912</v>
      </c>
      <c r="B510" s="5" t="inlineStr">
        <is>
          <t>IMG_0078</t>
        </is>
      </c>
      <c r="C510" s="5" t="inlineStr">
        <is>
          <t>CLASS E: EARTHWORKS</t>
        </is>
      </c>
      <c r="D510" s="5" t="inlineStr">
        <is>
          <t>06 FILLING</t>
        </is>
      </c>
      <c r="E510" s="5" t="inlineStr">
        <is>
          <t>Imported natural material other than topsoil or rock; granular graded material; Filling</t>
        </is>
      </c>
      <c r="F510" s="5" t="inlineStr">
        <is>
          <t>400 mm thick</t>
        </is>
      </c>
      <c r="G510" s="6" t="inlineStr">
        <is>
          <t>m2</t>
        </is>
      </c>
      <c r="H510" s="7" t="n">
        <v>0.02</v>
      </c>
      <c r="I510" s="8" t="n">
        <v>1.61</v>
      </c>
      <c r="J510" s="8" t="n">
        <v>3.87</v>
      </c>
      <c r="K510" s="8" t="n">
        <v>51.74</v>
      </c>
      <c r="L510" s="8" t="n">
        <v>0</v>
      </c>
      <c r="M510" s="9">
        <f>ROUND(SUM(I510:L510),2)</f>
        <v/>
      </c>
      <c r="N510" s="10">
        <f>ROUND(I510*'Irish Basis'!$C$6*'Irish Basis'!$C$5,2)</f>
        <v/>
      </c>
      <c r="O510" s="10">
        <f>ROUND(J510*'Irish Basis'!$C$7*'Irish Basis'!$C$5,2)</f>
        <v/>
      </c>
      <c r="P510" s="10">
        <f>ROUND(K510*'Irish Basis'!$C$8*'Irish Basis'!$C$5,2)</f>
        <v/>
      </c>
      <c r="Q510" s="10">
        <f>ROUND(L510*'Irish Basis'!$C$12*'Irish Basis'!$C$5,2)</f>
        <v/>
      </c>
      <c r="R510" s="11">
        <f>ROUND(SUM(N510:Q510),2)</f>
        <v/>
      </c>
      <c r="S510" s="5" t="inlineStr">
        <is>
          <t>Stated build-up</t>
        </is>
      </c>
      <c r="T510" s="12" t="inlineStr">
        <is>
          <t>High</t>
        </is>
      </c>
      <c r="U510" s="8" t="n">
        <v>57.23</v>
      </c>
      <c r="V510" s="13">
        <f>IF(U510="","",ROUND(M510-U510,2))</f>
        <v/>
      </c>
      <c r="W510" s="5" t="n"/>
      <c r="X510" s="5" t="inlineStr">
        <is>
          <t>Labour + plant + material as published; reconciles to the published rate.</t>
        </is>
      </c>
    </row>
    <row r="511" ht="13" customHeight="1">
      <c r="A511" s="4" t="n">
        <v>913</v>
      </c>
      <c r="B511" s="5" t="inlineStr">
        <is>
          <t>IMG_0078</t>
        </is>
      </c>
      <c r="C511" s="5" t="inlineStr">
        <is>
          <t>CLASS E: EARTHWORKS</t>
        </is>
      </c>
      <c r="D511" s="5" t="inlineStr">
        <is>
          <t>06 FILLING</t>
        </is>
      </c>
      <c r="E511" s="5" t="inlineStr">
        <is>
          <t>Imported natural material other than topsoil or rock; granular graded material; Filling</t>
        </is>
      </c>
      <c r="F511" s="5" t="inlineStr">
        <is>
          <t>600 mm thick</t>
        </is>
      </c>
      <c r="G511" s="6" t="inlineStr">
        <is>
          <t>m2</t>
        </is>
      </c>
      <c r="H511" s="7" t="n">
        <v>0.02</v>
      </c>
      <c r="I511" s="8" t="n">
        <v>1.77</v>
      </c>
      <c r="J511" s="8" t="n">
        <v>4.26</v>
      </c>
      <c r="K511" s="8" t="n">
        <v>77.61</v>
      </c>
      <c r="L511" s="8" t="n">
        <v>0</v>
      </c>
      <c r="M511" s="9">
        <f>ROUND(SUM(I511:L511),2)</f>
        <v/>
      </c>
      <c r="N511" s="10">
        <f>ROUND(I511*'Irish Basis'!$C$6*'Irish Basis'!$C$5,2)</f>
        <v/>
      </c>
      <c r="O511" s="10">
        <f>ROUND(J511*'Irish Basis'!$C$7*'Irish Basis'!$C$5,2)</f>
        <v/>
      </c>
      <c r="P511" s="10">
        <f>ROUND(K511*'Irish Basis'!$C$8*'Irish Basis'!$C$5,2)</f>
        <v/>
      </c>
      <c r="Q511" s="10">
        <f>ROUND(L511*'Irish Basis'!$C$12*'Irish Basis'!$C$5,2)</f>
        <v/>
      </c>
      <c r="R511" s="11">
        <f>ROUND(SUM(N511:Q511),2)</f>
        <v/>
      </c>
      <c r="S511" s="5" t="inlineStr">
        <is>
          <t>Stated build-up</t>
        </is>
      </c>
      <c r="T511" s="12" t="inlineStr">
        <is>
          <t>High</t>
        </is>
      </c>
      <c r="U511" s="8" t="n">
        <v>83.65000000000001</v>
      </c>
      <c r="V511" s="13">
        <f>IF(U511="","",ROUND(M511-U511,2))</f>
        <v/>
      </c>
      <c r="W511" s="5" t="n"/>
      <c r="X511" s="5" t="inlineStr">
        <is>
          <t>Labour + plant + material as published; reconciles to the published rate.</t>
        </is>
      </c>
    </row>
    <row r="512" ht="13" customHeight="1">
      <c r="A512" s="4" t="n">
        <v>915</v>
      </c>
      <c r="B512" s="5" t="inlineStr">
        <is>
          <t>IMG_0078</t>
        </is>
      </c>
      <c r="C512" s="5" t="inlineStr">
        <is>
          <t>CLASS E: EARTHWORKS</t>
        </is>
      </c>
      <c r="D512" s="5" t="inlineStr">
        <is>
          <t>06 FILLING</t>
        </is>
      </c>
      <c r="E512" s="5" t="inlineStr">
        <is>
          <t>Imported natural material other than topsoil or rock; granular selected material; Filling</t>
        </is>
      </c>
      <c r="F512" s="5" t="inlineStr">
        <is>
          <t>to structures</t>
        </is>
      </c>
      <c r="G512" s="6" t="inlineStr">
        <is>
          <t>m3</t>
        </is>
      </c>
      <c r="H512" s="7" t="n">
        <v>0.04</v>
      </c>
      <c r="I512" s="8" t="n">
        <v>2.9</v>
      </c>
      <c r="J512" s="8" t="n">
        <v>6.97</v>
      </c>
      <c r="K512" s="8" t="n">
        <v>111.42</v>
      </c>
      <c r="L512" s="8" t="n">
        <v>0</v>
      </c>
      <c r="M512" s="9">
        <f>ROUND(SUM(I512:L512),2)</f>
        <v/>
      </c>
      <c r="N512" s="10">
        <f>ROUND(I512*'Irish Basis'!$C$6*'Irish Basis'!$C$5,2)</f>
        <v/>
      </c>
      <c r="O512" s="10">
        <f>ROUND(J512*'Irish Basis'!$C$7*'Irish Basis'!$C$5,2)</f>
        <v/>
      </c>
      <c r="P512" s="10">
        <f>ROUND(K512*'Irish Basis'!$C$8*'Irish Basis'!$C$5,2)</f>
        <v/>
      </c>
      <c r="Q512" s="10">
        <f>ROUND(L512*'Irish Basis'!$C$12*'Irish Basis'!$C$5,2)</f>
        <v/>
      </c>
      <c r="R512" s="11">
        <f>ROUND(SUM(N512:Q512),2)</f>
        <v/>
      </c>
      <c r="S512" s="5" t="inlineStr">
        <is>
          <t>Stated build-up</t>
        </is>
      </c>
      <c r="T512" s="12" t="inlineStr">
        <is>
          <t>High</t>
        </is>
      </c>
      <c r="U512" s="8" t="n">
        <v>121.3</v>
      </c>
      <c r="V512" s="13">
        <f>IF(U512="","",ROUND(M512-U512,2))</f>
        <v/>
      </c>
      <c r="W512" s="5" t="n"/>
      <c r="X512" s="5" t="inlineStr">
        <is>
          <t>Labour + plant + material as published; reconciles to the published rate.</t>
        </is>
      </c>
    </row>
    <row r="513" ht="13" customHeight="1">
      <c r="A513" s="4" t="n">
        <v>916</v>
      </c>
      <c r="B513" s="5" t="inlineStr">
        <is>
          <t>IMG_0078</t>
        </is>
      </c>
      <c r="C513" s="5" t="inlineStr">
        <is>
          <t>CLASS E: EARTHWORKS</t>
        </is>
      </c>
      <c r="D513" s="5" t="inlineStr">
        <is>
          <t>06 FILLING</t>
        </is>
      </c>
      <c r="E513" s="5" t="inlineStr">
        <is>
          <t>Imported natural material other than topsoil or rock; granular selected material; Filling</t>
        </is>
      </c>
      <c r="F513" s="5" t="inlineStr">
        <is>
          <t>embankments</t>
        </is>
      </c>
      <c r="G513" s="6" t="inlineStr">
        <is>
          <t>m3</t>
        </is>
      </c>
      <c r="H513" s="7" t="n">
        <v>0.02</v>
      </c>
      <c r="I513" s="8" t="n">
        <v>1.37</v>
      </c>
      <c r="J513" s="8" t="n">
        <v>3.29</v>
      </c>
      <c r="K513" s="8" t="n">
        <v>111.42</v>
      </c>
      <c r="L513" s="8" t="n">
        <v>0</v>
      </c>
      <c r="M513" s="9">
        <f>ROUND(SUM(I513:L513),2)</f>
        <v/>
      </c>
      <c r="N513" s="10">
        <f>ROUND(I513*'Irish Basis'!$C$6*'Irish Basis'!$C$5,2)</f>
        <v/>
      </c>
      <c r="O513" s="10">
        <f>ROUND(J513*'Irish Basis'!$C$7*'Irish Basis'!$C$5,2)</f>
        <v/>
      </c>
      <c r="P513" s="10">
        <f>ROUND(K513*'Irish Basis'!$C$8*'Irish Basis'!$C$5,2)</f>
        <v/>
      </c>
      <c r="Q513" s="10">
        <f>ROUND(L513*'Irish Basis'!$C$12*'Irish Basis'!$C$5,2)</f>
        <v/>
      </c>
      <c r="R513" s="11">
        <f>ROUND(SUM(N513:Q513),2)</f>
        <v/>
      </c>
      <c r="S513" s="5" t="inlineStr">
        <is>
          <t>Stated build-up</t>
        </is>
      </c>
      <c r="T513" s="12" t="inlineStr">
        <is>
          <t>High</t>
        </is>
      </c>
      <c r="U513" s="8" t="n">
        <v>116.08</v>
      </c>
      <c r="V513" s="13">
        <f>IF(U513="","",ROUND(M513-U513,2))</f>
        <v/>
      </c>
      <c r="W513" s="5" t="n"/>
      <c r="X513" s="5" t="inlineStr">
        <is>
          <t>Labour + plant + material as published; reconciles to the published rate.</t>
        </is>
      </c>
    </row>
    <row r="514" ht="13" customHeight="1">
      <c r="A514" s="4" t="n">
        <v>917</v>
      </c>
      <c r="B514" s="5" t="inlineStr">
        <is>
          <t>IMG_0078</t>
        </is>
      </c>
      <c r="C514" s="5" t="inlineStr">
        <is>
          <t>CLASS E: EARTHWORKS</t>
        </is>
      </c>
      <c r="D514" s="5" t="inlineStr">
        <is>
          <t>06 FILLING</t>
        </is>
      </c>
      <c r="E514" s="5" t="inlineStr">
        <is>
          <t>Imported natural material other than topsoil or rock; granular selected material; Filling</t>
        </is>
      </c>
      <c r="F514" s="5" t="inlineStr">
        <is>
          <t>general</t>
        </is>
      </c>
      <c r="G514" s="6" t="inlineStr">
        <is>
          <t>m3</t>
        </is>
      </c>
      <c r="H514" s="7" t="n">
        <v>0.02</v>
      </c>
      <c r="I514" s="8" t="n">
        <v>1.37</v>
      </c>
      <c r="J514" s="8" t="n">
        <v>3.29</v>
      </c>
      <c r="K514" s="8" t="n">
        <v>111.42</v>
      </c>
      <c r="L514" s="8" t="n">
        <v>0</v>
      </c>
      <c r="M514" s="9">
        <f>ROUND(SUM(I514:L514),2)</f>
        <v/>
      </c>
      <c r="N514" s="10">
        <f>ROUND(I514*'Irish Basis'!$C$6*'Irish Basis'!$C$5,2)</f>
        <v/>
      </c>
      <c r="O514" s="10">
        <f>ROUND(J514*'Irish Basis'!$C$7*'Irish Basis'!$C$5,2)</f>
        <v/>
      </c>
      <c r="P514" s="10">
        <f>ROUND(K514*'Irish Basis'!$C$8*'Irish Basis'!$C$5,2)</f>
        <v/>
      </c>
      <c r="Q514" s="10">
        <f>ROUND(L514*'Irish Basis'!$C$12*'Irish Basis'!$C$5,2)</f>
        <v/>
      </c>
      <c r="R514" s="11">
        <f>ROUND(SUM(N514:Q514),2)</f>
        <v/>
      </c>
      <c r="S514" s="5" t="inlineStr">
        <is>
          <t>Stated build-up</t>
        </is>
      </c>
      <c r="T514" s="12" t="inlineStr">
        <is>
          <t>High</t>
        </is>
      </c>
      <c r="U514" s="8" t="n">
        <v>116.08</v>
      </c>
      <c r="V514" s="13">
        <f>IF(U514="","",ROUND(M514-U514,2))</f>
        <v/>
      </c>
      <c r="W514" s="5" t="n"/>
      <c r="X514" s="5" t="inlineStr">
        <is>
          <t>Labour + plant + material as published; reconciles to the published rate.</t>
        </is>
      </c>
    </row>
    <row r="515" ht="13" customHeight="1">
      <c r="A515" s="4" t="n">
        <v>918</v>
      </c>
      <c r="B515" s="5" t="inlineStr">
        <is>
          <t>IMG_0078</t>
        </is>
      </c>
      <c r="C515" s="5" t="inlineStr">
        <is>
          <t>CLASS E: EARTHWORKS</t>
        </is>
      </c>
      <c r="D515" s="5" t="inlineStr">
        <is>
          <t>06 FILLING</t>
        </is>
      </c>
      <c r="E515" s="5" t="inlineStr">
        <is>
          <t>Imported natural material other than topsoil or rock; granular selected material; Filling</t>
        </is>
      </c>
      <c r="F515" s="5" t="inlineStr">
        <is>
          <t>150 mm thick</t>
        </is>
      </c>
      <c r="G515" s="6" t="inlineStr">
        <is>
          <t>m2</t>
        </is>
      </c>
      <c r="H515" s="7" t="n">
        <v>0.01</v>
      </c>
      <c r="I515" s="8" t="n">
        <v>0.97</v>
      </c>
      <c r="J515" s="8" t="n">
        <v>2.32</v>
      </c>
      <c r="K515" s="8" t="n">
        <v>16.71</v>
      </c>
      <c r="L515" s="8" t="n">
        <v>0</v>
      </c>
      <c r="M515" s="9">
        <f>ROUND(SUM(I515:L515),2)</f>
        <v/>
      </c>
      <c r="N515" s="10">
        <f>ROUND(I515*'Irish Basis'!$C$6*'Irish Basis'!$C$5,2)</f>
        <v/>
      </c>
      <c r="O515" s="10">
        <f>ROUND(J515*'Irish Basis'!$C$7*'Irish Basis'!$C$5,2)</f>
        <v/>
      </c>
      <c r="P515" s="10">
        <f>ROUND(K515*'Irish Basis'!$C$8*'Irish Basis'!$C$5,2)</f>
        <v/>
      </c>
      <c r="Q515" s="10">
        <f>ROUND(L515*'Irish Basis'!$C$12*'Irish Basis'!$C$5,2)</f>
        <v/>
      </c>
      <c r="R515" s="11">
        <f>ROUND(SUM(N515:Q515),2)</f>
        <v/>
      </c>
      <c r="S515" s="5" t="inlineStr">
        <is>
          <t>Stated build-up</t>
        </is>
      </c>
      <c r="T515" s="12" t="inlineStr">
        <is>
          <t>High</t>
        </is>
      </c>
      <c r="U515" s="8" t="n">
        <v>20</v>
      </c>
      <c r="V515" s="13">
        <f>IF(U515="","",ROUND(M515-U515,2))</f>
        <v/>
      </c>
      <c r="W515" s="5" t="n"/>
      <c r="X515" s="5" t="inlineStr">
        <is>
          <t>Labour + plant + material as published; reconciles to the published rate.</t>
        </is>
      </c>
    </row>
    <row r="516" ht="13" customHeight="1">
      <c r="A516" s="4" t="n">
        <v>919</v>
      </c>
      <c r="B516" s="5" t="inlineStr">
        <is>
          <t>IMG_0078</t>
        </is>
      </c>
      <c r="C516" s="5" t="inlineStr">
        <is>
          <t>CLASS E: EARTHWORKS</t>
        </is>
      </c>
      <c r="D516" s="5" t="inlineStr">
        <is>
          <t>06 FILLING</t>
        </is>
      </c>
      <c r="E516" s="5" t="inlineStr">
        <is>
          <t>Imported natural material other than topsoil or rock; granular selected material; Filling</t>
        </is>
      </c>
      <c r="F516" s="5" t="inlineStr">
        <is>
          <t>250 mm thick</t>
        </is>
      </c>
      <c r="G516" s="6" t="inlineStr">
        <is>
          <t>m2</t>
        </is>
      </c>
      <c r="H516" s="7" t="n">
        <v>0.02</v>
      </c>
      <c r="I516" s="8" t="n">
        <v>1.37</v>
      </c>
      <c r="J516" s="8" t="n">
        <v>3.29</v>
      </c>
      <c r="K516" s="8" t="n">
        <v>27.86</v>
      </c>
      <c r="L516" s="8" t="n">
        <v>0</v>
      </c>
      <c r="M516" s="9">
        <f>ROUND(SUM(I516:L516),2)</f>
        <v/>
      </c>
      <c r="N516" s="10">
        <f>ROUND(I516*'Irish Basis'!$C$6*'Irish Basis'!$C$5,2)</f>
        <v/>
      </c>
      <c r="O516" s="10">
        <f>ROUND(J516*'Irish Basis'!$C$7*'Irish Basis'!$C$5,2)</f>
        <v/>
      </c>
      <c r="P516" s="10">
        <f>ROUND(K516*'Irish Basis'!$C$8*'Irish Basis'!$C$5,2)</f>
        <v/>
      </c>
      <c r="Q516" s="10">
        <f>ROUND(L516*'Irish Basis'!$C$12*'Irish Basis'!$C$5,2)</f>
        <v/>
      </c>
      <c r="R516" s="11">
        <f>ROUND(SUM(N516:Q516),2)</f>
        <v/>
      </c>
      <c r="S516" s="5" t="inlineStr">
        <is>
          <t>Stated build-up</t>
        </is>
      </c>
      <c r="T516" s="12" t="inlineStr">
        <is>
          <t>High</t>
        </is>
      </c>
      <c r="U516" s="8" t="n">
        <v>32.52</v>
      </c>
      <c r="V516" s="13">
        <f>IF(U516="","",ROUND(M516-U516,2))</f>
        <v/>
      </c>
      <c r="W516" s="5" t="n"/>
      <c r="X516" s="5" t="inlineStr">
        <is>
          <t>Labour + plant + material as published; reconciles to the published rate.</t>
        </is>
      </c>
    </row>
    <row r="517" ht="13" customHeight="1">
      <c r="A517" s="4" t="n">
        <v>920</v>
      </c>
      <c r="B517" s="5" t="inlineStr">
        <is>
          <t>IMG_0078</t>
        </is>
      </c>
      <c r="C517" s="5" t="inlineStr">
        <is>
          <t>CLASS E: EARTHWORKS</t>
        </is>
      </c>
      <c r="D517" s="5" t="inlineStr">
        <is>
          <t>06 FILLING</t>
        </is>
      </c>
      <c r="E517" s="5" t="inlineStr">
        <is>
          <t>Imported natural material other than topsoil or rock; granular selected material; Filling</t>
        </is>
      </c>
      <c r="F517" s="5" t="inlineStr">
        <is>
          <t>400 mm thick</t>
        </is>
      </c>
      <c r="G517" s="6" t="inlineStr">
        <is>
          <t>m2</t>
        </is>
      </c>
      <c r="H517" s="7" t="n">
        <v>0.02</v>
      </c>
      <c r="I517" s="8" t="n">
        <v>1.61</v>
      </c>
      <c r="J517" s="8" t="n">
        <v>3.87</v>
      </c>
      <c r="K517" s="8" t="n">
        <v>44.57</v>
      </c>
      <c r="L517" s="8" t="n">
        <v>0</v>
      </c>
      <c r="M517" s="9">
        <f>ROUND(SUM(I517:L517),2)</f>
        <v/>
      </c>
      <c r="N517" s="10">
        <f>ROUND(I517*'Irish Basis'!$C$6*'Irish Basis'!$C$5,2)</f>
        <v/>
      </c>
      <c r="O517" s="10">
        <f>ROUND(J517*'Irish Basis'!$C$7*'Irish Basis'!$C$5,2)</f>
        <v/>
      </c>
      <c r="P517" s="10">
        <f>ROUND(K517*'Irish Basis'!$C$8*'Irish Basis'!$C$5,2)</f>
        <v/>
      </c>
      <c r="Q517" s="10">
        <f>ROUND(L517*'Irish Basis'!$C$12*'Irish Basis'!$C$5,2)</f>
        <v/>
      </c>
      <c r="R517" s="11">
        <f>ROUND(SUM(N517:Q517),2)</f>
        <v/>
      </c>
      <c r="S517" s="5" t="inlineStr">
        <is>
          <t>Stated build-up</t>
        </is>
      </c>
      <c r="T517" s="12" t="inlineStr">
        <is>
          <t>High</t>
        </is>
      </c>
      <c r="U517" s="8" t="n">
        <v>50.06</v>
      </c>
      <c r="V517" s="13">
        <f>IF(U517="","",ROUND(M517-U517,2))</f>
        <v/>
      </c>
      <c r="W517" s="5" t="n"/>
      <c r="X517" s="5" t="inlineStr">
        <is>
          <t>Labour + plant + material as published; reconciles to the published rate.</t>
        </is>
      </c>
    </row>
    <row r="518" ht="13" customHeight="1">
      <c r="A518" s="4" t="n">
        <v>921</v>
      </c>
      <c r="B518" s="5" t="inlineStr">
        <is>
          <t>IMG_0078</t>
        </is>
      </c>
      <c r="C518" s="5" t="inlineStr">
        <is>
          <t>CLASS E: EARTHWORKS</t>
        </is>
      </c>
      <c r="D518" s="5" t="inlineStr">
        <is>
          <t>06 FILLING</t>
        </is>
      </c>
      <c r="E518" s="5" t="inlineStr">
        <is>
          <t>Imported natural material other than topsoil or rock; granular selected material; Filling</t>
        </is>
      </c>
      <c r="F518" s="5" t="inlineStr">
        <is>
          <t>600 mm thick</t>
        </is>
      </c>
      <c r="G518" s="6" t="inlineStr">
        <is>
          <t>m2</t>
        </is>
      </c>
      <c r="H518" s="7" t="n">
        <v>0.02</v>
      </c>
      <c r="I518" s="8" t="n">
        <v>1.77</v>
      </c>
      <c r="J518" s="8" t="n">
        <v>4.26</v>
      </c>
      <c r="K518" s="8" t="n">
        <v>66.84999999999999</v>
      </c>
      <c r="L518" s="8" t="n">
        <v>0</v>
      </c>
      <c r="M518" s="9">
        <f>ROUND(SUM(I518:L518),2)</f>
        <v/>
      </c>
      <c r="N518" s="10">
        <f>ROUND(I518*'Irish Basis'!$C$6*'Irish Basis'!$C$5,2)</f>
        <v/>
      </c>
      <c r="O518" s="10">
        <f>ROUND(J518*'Irish Basis'!$C$7*'Irish Basis'!$C$5,2)</f>
        <v/>
      </c>
      <c r="P518" s="10">
        <f>ROUND(K518*'Irish Basis'!$C$8*'Irish Basis'!$C$5,2)</f>
        <v/>
      </c>
      <c r="Q518" s="10">
        <f>ROUND(L518*'Irish Basis'!$C$12*'Irish Basis'!$C$5,2)</f>
        <v/>
      </c>
      <c r="R518" s="11">
        <f>ROUND(SUM(N518:Q518),2)</f>
        <v/>
      </c>
      <c r="S518" s="5" t="inlineStr">
        <is>
          <t>Stated build-up</t>
        </is>
      </c>
      <c r="T518" s="12" t="inlineStr">
        <is>
          <t>High</t>
        </is>
      </c>
      <c r="U518" s="8" t="n">
        <v>72.89</v>
      </c>
      <c r="V518" s="13">
        <f>IF(U518="","",ROUND(M518-U518,2))</f>
        <v/>
      </c>
      <c r="W518" s="5" t="n"/>
      <c r="X518" s="5" t="inlineStr">
        <is>
          <t>Labour + plant + material as published; reconciles to the published rate.</t>
        </is>
      </c>
    </row>
    <row r="519" ht="13" customHeight="1">
      <c r="A519" s="4" t="n">
        <v>923</v>
      </c>
      <c r="B519" s="5" t="inlineStr">
        <is>
          <t>IMG_0078</t>
        </is>
      </c>
      <c r="C519" s="5" t="inlineStr">
        <is>
          <t>CLASS E: EARTHWORKS</t>
        </is>
      </c>
      <c r="D519" s="5" t="inlineStr">
        <is>
          <t>06 FILLING</t>
        </is>
      </c>
      <c r="E519" s="5" t="inlineStr">
        <is>
          <t>Excavated rock; Filling</t>
        </is>
      </c>
      <c r="F519" s="5" t="inlineStr">
        <is>
          <t>to structures</t>
        </is>
      </c>
      <c r="G519" s="6" t="inlineStr">
        <is>
          <t>m3</t>
        </is>
      </c>
      <c r="H519" s="7" t="n">
        <v>0.04</v>
      </c>
      <c r="I519" s="8" t="n">
        <v>3.23</v>
      </c>
      <c r="J519" s="8" t="n">
        <v>7.75</v>
      </c>
      <c r="K519" s="8" t="n">
        <v>0</v>
      </c>
      <c r="L519" s="8" t="n">
        <v>0</v>
      </c>
      <c r="M519" s="9">
        <f>ROUND(SUM(I519:L519),2)</f>
        <v/>
      </c>
      <c r="N519" s="10">
        <f>ROUND(I519*'Irish Basis'!$C$6*'Irish Basis'!$C$5,2)</f>
        <v/>
      </c>
      <c r="O519" s="10">
        <f>ROUND(J519*'Irish Basis'!$C$7*'Irish Basis'!$C$5,2)</f>
        <v/>
      </c>
      <c r="P519" s="10">
        <f>ROUND(K519*'Irish Basis'!$C$8*'Irish Basis'!$C$5,2)</f>
        <v/>
      </c>
      <c r="Q519" s="10">
        <f>ROUND(L519*'Irish Basis'!$C$12*'Irish Basis'!$C$5,2)</f>
        <v/>
      </c>
      <c r="R519" s="11">
        <f>ROUND(SUM(N519:Q519),2)</f>
        <v/>
      </c>
      <c r="S519" s="5" t="inlineStr">
        <is>
          <t>Stated build-up</t>
        </is>
      </c>
      <c r="T519" s="12" t="inlineStr">
        <is>
          <t>High</t>
        </is>
      </c>
      <c r="U519" s="8" t="n">
        <v>10.98</v>
      </c>
      <c r="V519" s="13">
        <f>IF(U519="","",ROUND(M519-U519,2))</f>
        <v/>
      </c>
      <c r="W519" s="5" t="n"/>
      <c r="X519" s="5" t="inlineStr">
        <is>
          <t>Labour + plant + material as published; reconciles to the published rate.</t>
        </is>
      </c>
    </row>
    <row r="520" ht="13" customHeight="1">
      <c r="A520" s="4" t="n">
        <v>924</v>
      </c>
      <c r="B520" s="5" t="inlineStr">
        <is>
          <t>IMG_0078</t>
        </is>
      </c>
      <c r="C520" s="5" t="inlineStr">
        <is>
          <t>CLASS E: EARTHWORKS</t>
        </is>
      </c>
      <c r="D520" s="5" t="inlineStr">
        <is>
          <t>06 FILLING</t>
        </is>
      </c>
      <c r="E520" s="5" t="inlineStr">
        <is>
          <t>Excavated rock; Filling</t>
        </is>
      </c>
      <c r="F520" s="5" t="inlineStr">
        <is>
          <t>embankments</t>
        </is>
      </c>
      <c r="G520" s="6" t="inlineStr">
        <is>
          <t>m3</t>
        </is>
      </c>
      <c r="H520" s="7" t="n">
        <v>0.05</v>
      </c>
      <c r="I520" s="8" t="n">
        <v>4.03</v>
      </c>
      <c r="J520" s="8" t="n">
        <v>9.69</v>
      </c>
      <c r="K520" s="8" t="n">
        <v>0</v>
      </c>
      <c r="L520" s="8" t="n">
        <v>0</v>
      </c>
      <c r="M520" s="9">
        <f>ROUND(SUM(I520:L520),2)</f>
        <v/>
      </c>
      <c r="N520" s="10">
        <f>ROUND(I520*'Irish Basis'!$C$6*'Irish Basis'!$C$5,2)</f>
        <v/>
      </c>
      <c r="O520" s="10">
        <f>ROUND(J520*'Irish Basis'!$C$7*'Irish Basis'!$C$5,2)</f>
        <v/>
      </c>
      <c r="P520" s="10">
        <f>ROUND(K520*'Irish Basis'!$C$8*'Irish Basis'!$C$5,2)</f>
        <v/>
      </c>
      <c r="Q520" s="10">
        <f>ROUND(L520*'Irish Basis'!$C$12*'Irish Basis'!$C$5,2)</f>
        <v/>
      </c>
      <c r="R520" s="11">
        <f>ROUND(SUM(N520:Q520),2)</f>
        <v/>
      </c>
      <c r="S520" s="5" t="inlineStr">
        <is>
          <t>Stated build-up</t>
        </is>
      </c>
      <c r="T520" s="12" t="inlineStr">
        <is>
          <t>High</t>
        </is>
      </c>
      <c r="U520" s="8" t="n">
        <v>13.72</v>
      </c>
      <c r="V520" s="13">
        <f>IF(U520="","",ROUND(M520-U520,2))</f>
        <v/>
      </c>
      <c r="W520" s="5" t="n"/>
      <c r="X520" s="5" t="inlineStr">
        <is>
          <t>Labour + plant + material as published; reconciles to the published rate.</t>
        </is>
      </c>
    </row>
    <row r="521" ht="13" customHeight="1">
      <c r="A521" s="4" t="n">
        <v>925</v>
      </c>
      <c r="B521" s="5" t="inlineStr">
        <is>
          <t>IMG_0078</t>
        </is>
      </c>
      <c r="C521" s="5" t="inlineStr">
        <is>
          <t>CLASS E: EARTHWORKS</t>
        </is>
      </c>
      <c r="D521" s="5" t="inlineStr">
        <is>
          <t>06 FILLING</t>
        </is>
      </c>
      <c r="E521" s="5" t="inlineStr">
        <is>
          <t>Excavated rock; Filling</t>
        </is>
      </c>
      <c r="F521" s="5" t="inlineStr">
        <is>
          <t>general</t>
        </is>
      </c>
      <c r="G521" s="6" t="inlineStr">
        <is>
          <t>m3</t>
        </is>
      </c>
      <c r="H521" s="7" t="n">
        <v>0.05</v>
      </c>
      <c r="I521" s="8" t="n">
        <v>4.03</v>
      </c>
      <c r="J521" s="8" t="n">
        <v>9.69</v>
      </c>
      <c r="K521" s="8" t="n">
        <v>0</v>
      </c>
      <c r="L521" s="8" t="n">
        <v>0</v>
      </c>
      <c r="M521" s="9">
        <f>ROUND(SUM(I521:L521),2)</f>
        <v/>
      </c>
      <c r="N521" s="10">
        <f>ROUND(I521*'Irish Basis'!$C$6*'Irish Basis'!$C$5,2)</f>
        <v/>
      </c>
      <c r="O521" s="10">
        <f>ROUND(J521*'Irish Basis'!$C$7*'Irish Basis'!$C$5,2)</f>
        <v/>
      </c>
      <c r="P521" s="10">
        <f>ROUND(K521*'Irish Basis'!$C$8*'Irish Basis'!$C$5,2)</f>
        <v/>
      </c>
      <c r="Q521" s="10">
        <f>ROUND(L521*'Irish Basis'!$C$12*'Irish Basis'!$C$5,2)</f>
        <v/>
      </c>
      <c r="R521" s="11">
        <f>ROUND(SUM(N521:Q521),2)</f>
        <v/>
      </c>
      <c r="S521" s="5" t="inlineStr">
        <is>
          <t>Stated build-up</t>
        </is>
      </c>
      <c r="T521" s="12" t="inlineStr">
        <is>
          <t>High</t>
        </is>
      </c>
      <c r="U521" s="8" t="n">
        <v>13.72</v>
      </c>
      <c r="V521" s="13">
        <f>IF(U521="","",ROUND(M521-U521,2))</f>
        <v/>
      </c>
      <c r="W521" s="5" t="n"/>
      <c r="X521" s="5" t="inlineStr">
        <is>
          <t>Labour + plant + material as published; reconciles to the published rate.</t>
        </is>
      </c>
    </row>
    <row r="522" ht="13" customHeight="1">
      <c r="A522" s="4" t="n">
        <v>926</v>
      </c>
      <c r="B522" s="5" t="inlineStr">
        <is>
          <t>IMG_0078</t>
        </is>
      </c>
      <c r="C522" s="5" t="inlineStr">
        <is>
          <t>CLASS E: EARTHWORKS</t>
        </is>
      </c>
      <c r="D522" s="5" t="inlineStr">
        <is>
          <t>06 FILLING</t>
        </is>
      </c>
      <c r="E522" s="5" t="inlineStr">
        <is>
          <t>Excavated rock; Filling</t>
        </is>
      </c>
      <c r="F522" s="5" t="inlineStr">
        <is>
          <t>150 mm thick</t>
        </is>
      </c>
      <c r="G522" s="6" t="inlineStr">
        <is>
          <t>m2</t>
        </is>
      </c>
      <c r="H522" s="7" t="n">
        <v>0.02</v>
      </c>
      <c r="I522" s="8" t="n">
        <v>1.37</v>
      </c>
      <c r="J522" s="8" t="n">
        <v>3.29</v>
      </c>
      <c r="K522" s="8" t="n">
        <v>0</v>
      </c>
      <c r="L522" s="8" t="n">
        <v>0</v>
      </c>
      <c r="M522" s="9">
        <f>ROUND(SUM(I522:L522),2)</f>
        <v/>
      </c>
      <c r="N522" s="10">
        <f>ROUND(I522*'Irish Basis'!$C$6*'Irish Basis'!$C$5,2)</f>
        <v/>
      </c>
      <c r="O522" s="10">
        <f>ROUND(J522*'Irish Basis'!$C$7*'Irish Basis'!$C$5,2)</f>
        <v/>
      </c>
      <c r="P522" s="10">
        <f>ROUND(K522*'Irish Basis'!$C$8*'Irish Basis'!$C$5,2)</f>
        <v/>
      </c>
      <c r="Q522" s="10">
        <f>ROUND(L522*'Irish Basis'!$C$12*'Irish Basis'!$C$5,2)</f>
        <v/>
      </c>
      <c r="R522" s="11">
        <f>ROUND(SUM(N522:Q522),2)</f>
        <v/>
      </c>
      <c r="S522" s="5" t="inlineStr">
        <is>
          <t>Stated build-up</t>
        </is>
      </c>
      <c r="T522" s="12" t="inlineStr">
        <is>
          <t>High</t>
        </is>
      </c>
      <c r="U522" s="8" t="n">
        <v>4.66</v>
      </c>
      <c r="V522" s="13">
        <f>IF(U522="","",ROUND(M522-U522,2))</f>
        <v/>
      </c>
      <c r="W522" s="5" t="n"/>
      <c r="X522" s="5" t="inlineStr">
        <is>
          <t>Labour + plant + material as published; reconciles to the published rate.</t>
        </is>
      </c>
    </row>
    <row r="523" ht="13" customHeight="1">
      <c r="A523" s="4" t="n">
        <v>927</v>
      </c>
      <c r="B523" s="5" t="inlineStr">
        <is>
          <t>IMG_0078</t>
        </is>
      </c>
      <c r="C523" s="5" t="inlineStr">
        <is>
          <t>CLASS E: EARTHWORKS</t>
        </is>
      </c>
      <c r="D523" s="5" t="inlineStr">
        <is>
          <t>06 FILLING</t>
        </is>
      </c>
      <c r="E523" s="5" t="inlineStr">
        <is>
          <t>Excavated rock; Filling</t>
        </is>
      </c>
      <c r="F523" s="5" t="inlineStr">
        <is>
          <t>250 mm thick</t>
        </is>
      </c>
      <c r="G523" s="6" t="inlineStr">
        <is>
          <t>m2</t>
        </is>
      </c>
      <c r="H523" s="7" t="n">
        <v>0.03</v>
      </c>
      <c r="I523" s="8" t="n">
        <v>2.1</v>
      </c>
      <c r="J523" s="8" t="n">
        <v>5.04</v>
      </c>
      <c r="K523" s="8" t="n">
        <v>0</v>
      </c>
      <c r="L523" s="8" t="n">
        <v>0</v>
      </c>
      <c r="M523" s="9">
        <f>ROUND(SUM(I523:L523),2)</f>
        <v/>
      </c>
      <c r="N523" s="10">
        <f>ROUND(I523*'Irish Basis'!$C$6*'Irish Basis'!$C$5,2)</f>
        <v/>
      </c>
      <c r="O523" s="10">
        <f>ROUND(J523*'Irish Basis'!$C$7*'Irish Basis'!$C$5,2)</f>
        <v/>
      </c>
      <c r="P523" s="10">
        <f>ROUND(K523*'Irish Basis'!$C$8*'Irish Basis'!$C$5,2)</f>
        <v/>
      </c>
      <c r="Q523" s="10">
        <f>ROUND(L523*'Irish Basis'!$C$12*'Irish Basis'!$C$5,2)</f>
        <v/>
      </c>
      <c r="R523" s="11">
        <f>ROUND(SUM(N523:Q523),2)</f>
        <v/>
      </c>
      <c r="S523" s="5" t="inlineStr">
        <is>
          <t>Stated build-up</t>
        </is>
      </c>
      <c r="T523" s="12" t="inlineStr">
        <is>
          <t>High</t>
        </is>
      </c>
      <c r="U523" s="8" t="n">
        <v>7.13</v>
      </c>
      <c r="V523" s="13">
        <f>IF(U523="","",ROUND(M523-U523,2))</f>
        <v/>
      </c>
      <c r="W523" s="5" t="n"/>
      <c r="X523" s="5" t="inlineStr">
        <is>
          <t>Labour + plant + material as published; reconciles to the published rate.</t>
        </is>
      </c>
    </row>
    <row r="524" ht="13" customHeight="1">
      <c r="A524" s="4" t="n">
        <v>928</v>
      </c>
      <c r="B524" s="5" t="inlineStr">
        <is>
          <t>IMG_0078</t>
        </is>
      </c>
      <c r="C524" s="5" t="inlineStr">
        <is>
          <t>CLASS E: EARTHWORKS</t>
        </is>
      </c>
      <c r="D524" s="5" t="inlineStr">
        <is>
          <t>06 FILLING</t>
        </is>
      </c>
      <c r="E524" s="5" t="inlineStr">
        <is>
          <t>Excavated rock; Filling</t>
        </is>
      </c>
      <c r="F524" s="5" t="inlineStr">
        <is>
          <t>400 mm thick</t>
        </is>
      </c>
      <c r="G524" s="6" t="inlineStr">
        <is>
          <t>m2</t>
        </is>
      </c>
      <c r="H524" s="7" t="n">
        <v>0.04</v>
      </c>
      <c r="I524" s="8" t="n">
        <v>3.23</v>
      </c>
      <c r="J524" s="8" t="n">
        <v>7.75</v>
      </c>
      <c r="K524" s="8" t="n">
        <v>0</v>
      </c>
      <c r="L524" s="8" t="n">
        <v>0</v>
      </c>
      <c r="M524" s="9">
        <f>ROUND(SUM(I524:L524),2)</f>
        <v/>
      </c>
      <c r="N524" s="10">
        <f>ROUND(I524*'Irish Basis'!$C$6*'Irish Basis'!$C$5,2)</f>
        <v/>
      </c>
      <c r="O524" s="10">
        <f>ROUND(J524*'Irish Basis'!$C$7*'Irish Basis'!$C$5,2)</f>
        <v/>
      </c>
      <c r="P524" s="10">
        <f>ROUND(K524*'Irish Basis'!$C$8*'Irish Basis'!$C$5,2)</f>
        <v/>
      </c>
      <c r="Q524" s="10">
        <f>ROUND(L524*'Irish Basis'!$C$12*'Irish Basis'!$C$5,2)</f>
        <v/>
      </c>
      <c r="R524" s="11">
        <f>ROUND(SUM(N524:Q524),2)</f>
        <v/>
      </c>
      <c r="S524" s="5" t="inlineStr">
        <is>
          <t>Stated build-up</t>
        </is>
      </c>
      <c r="T524" s="12" t="inlineStr">
        <is>
          <t>High</t>
        </is>
      </c>
      <c r="U524" s="8" t="n">
        <v>10.98</v>
      </c>
      <c r="V524" s="13">
        <f>IF(U524="","",ROUND(M524-U524,2))</f>
        <v/>
      </c>
      <c r="W524" s="5" t="n"/>
      <c r="X524" s="5" t="inlineStr">
        <is>
          <t>Labour + plant + material as published; reconciles to the published rate.</t>
        </is>
      </c>
    </row>
    <row r="525" ht="13" customHeight="1">
      <c r="A525" s="4" t="n">
        <v>929</v>
      </c>
      <c r="B525" s="5" t="inlineStr">
        <is>
          <t>IMG_0078</t>
        </is>
      </c>
      <c r="C525" s="5" t="inlineStr">
        <is>
          <t>CLASS E: EARTHWORKS</t>
        </is>
      </c>
      <c r="D525" s="5" t="inlineStr">
        <is>
          <t>06 FILLING</t>
        </is>
      </c>
      <c r="E525" s="5" t="inlineStr">
        <is>
          <t>Excavated rock; Filling</t>
        </is>
      </c>
      <c r="F525" s="5" t="inlineStr">
        <is>
          <t>600 mm thick</t>
        </is>
      </c>
      <c r="G525" s="6" t="inlineStr">
        <is>
          <t>m2</t>
        </is>
      </c>
      <c r="H525" s="7" t="n">
        <v>0.06</v>
      </c>
      <c r="I525" s="8" t="n">
        <v>4.44</v>
      </c>
      <c r="J525" s="8" t="n">
        <v>10.66</v>
      </c>
      <c r="K525" s="8" t="n">
        <v>0</v>
      </c>
      <c r="L525" s="8" t="n">
        <v>0</v>
      </c>
      <c r="M525" s="9">
        <f>ROUND(SUM(I525:L525),2)</f>
        <v/>
      </c>
      <c r="N525" s="10">
        <f>ROUND(I525*'Irish Basis'!$C$6*'Irish Basis'!$C$5,2)</f>
        <v/>
      </c>
      <c r="O525" s="10">
        <f>ROUND(J525*'Irish Basis'!$C$7*'Irish Basis'!$C$5,2)</f>
        <v/>
      </c>
      <c r="P525" s="10">
        <f>ROUND(K525*'Irish Basis'!$C$8*'Irish Basis'!$C$5,2)</f>
        <v/>
      </c>
      <c r="Q525" s="10">
        <f>ROUND(L525*'Irish Basis'!$C$12*'Irish Basis'!$C$5,2)</f>
        <v/>
      </c>
      <c r="R525" s="11">
        <f>ROUND(SUM(N525:Q525),2)</f>
        <v/>
      </c>
      <c r="S525" s="5" t="inlineStr">
        <is>
          <t>Stated build-up</t>
        </is>
      </c>
      <c r="T525" s="12" t="inlineStr">
        <is>
          <t>High</t>
        </is>
      </c>
      <c r="U525" s="8" t="n">
        <v>15.09</v>
      </c>
      <c r="V525" s="13">
        <f>IF(U525="","",ROUND(M525-U525,2))</f>
        <v/>
      </c>
      <c r="W525" s="5" t="n"/>
      <c r="X525" s="5" t="inlineStr">
        <is>
          <t>Labour + plant + material as published; reconciles to the published rate.</t>
        </is>
      </c>
    </row>
    <row r="526" ht="13" customHeight="1">
      <c r="A526" s="4" t="n">
        <v>931</v>
      </c>
      <c r="B526" s="5" t="inlineStr">
        <is>
          <t>IMG_0078</t>
        </is>
      </c>
      <c r="C526" s="5" t="inlineStr">
        <is>
          <t>CLASS E: EARTHWORKS</t>
        </is>
      </c>
      <c r="D526" s="5" t="inlineStr">
        <is>
          <t>06 FILLING</t>
        </is>
      </c>
      <c r="E526" s="5" t="inlineStr">
        <is>
          <t>Imported rock; Filling</t>
        </is>
      </c>
      <c r="F526" s="5" t="inlineStr">
        <is>
          <t>to structures</t>
        </is>
      </c>
      <c r="G526" s="6" t="inlineStr">
        <is>
          <t>m3</t>
        </is>
      </c>
      <c r="H526" s="7" t="n">
        <v>0.04</v>
      </c>
      <c r="I526" s="8" t="n">
        <v>3.23</v>
      </c>
      <c r="J526" s="8" t="n">
        <v>7.75</v>
      </c>
      <c r="K526" s="8" t="n">
        <v>245.4</v>
      </c>
      <c r="L526" s="8" t="n">
        <v>0</v>
      </c>
      <c r="M526" s="9">
        <f>ROUND(SUM(I526:L526),2)</f>
        <v/>
      </c>
      <c r="N526" s="10">
        <f>ROUND(I526*'Irish Basis'!$C$6*'Irish Basis'!$C$5,2)</f>
        <v/>
      </c>
      <c r="O526" s="10">
        <f>ROUND(J526*'Irish Basis'!$C$7*'Irish Basis'!$C$5,2)</f>
        <v/>
      </c>
      <c r="P526" s="10">
        <f>ROUND(K526*'Irish Basis'!$C$8*'Irish Basis'!$C$5,2)</f>
        <v/>
      </c>
      <c r="Q526" s="10">
        <f>ROUND(L526*'Irish Basis'!$C$12*'Irish Basis'!$C$5,2)</f>
        <v/>
      </c>
      <c r="R526" s="11">
        <f>ROUND(SUM(N526:Q526),2)</f>
        <v/>
      </c>
      <c r="S526" s="5" t="inlineStr">
        <is>
          <t>Stated build-up</t>
        </is>
      </c>
      <c r="T526" s="12" t="inlineStr">
        <is>
          <t>High</t>
        </is>
      </c>
      <c r="U526" s="8" t="n">
        <v>256.37</v>
      </c>
      <c r="V526" s="13">
        <f>IF(U526="","",ROUND(M526-U526,2))</f>
        <v/>
      </c>
      <c r="W526" s="5" t="n"/>
      <c r="X526" s="5" t="inlineStr">
        <is>
          <t>Labour + plant + material as published; reconciles to the published rate.</t>
        </is>
      </c>
    </row>
    <row r="527" ht="13" customHeight="1">
      <c r="A527" s="4" t="n">
        <v>932</v>
      </c>
      <c r="B527" s="5" t="inlineStr">
        <is>
          <t>IMG_0078</t>
        </is>
      </c>
      <c r="C527" s="5" t="inlineStr">
        <is>
          <t>CLASS E: EARTHWORKS</t>
        </is>
      </c>
      <c r="D527" s="5" t="inlineStr">
        <is>
          <t>06 FILLING</t>
        </is>
      </c>
      <c r="E527" s="5" t="inlineStr">
        <is>
          <t>Imported rock; Filling</t>
        </is>
      </c>
      <c r="F527" s="5" t="inlineStr">
        <is>
          <t>embankments</t>
        </is>
      </c>
      <c r="G527" s="6" t="inlineStr">
        <is>
          <t>m3</t>
        </is>
      </c>
      <c r="H527" s="7" t="n">
        <v>0.02</v>
      </c>
      <c r="I527" s="8" t="n">
        <v>1.94</v>
      </c>
      <c r="J527" s="8" t="n">
        <v>4.65</v>
      </c>
      <c r="K527" s="8" t="n">
        <v>245.4</v>
      </c>
      <c r="L527" s="8" t="n">
        <v>0</v>
      </c>
      <c r="M527" s="9">
        <f>ROUND(SUM(I527:L527),2)</f>
        <v/>
      </c>
      <c r="N527" s="10">
        <f>ROUND(I527*'Irish Basis'!$C$6*'Irish Basis'!$C$5,2)</f>
        <v/>
      </c>
      <c r="O527" s="10">
        <f>ROUND(J527*'Irish Basis'!$C$7*'Irish Basis'!$C$5,2)</f>
        <v/>
      </c>
      <c r="P527" s="10">
        <f>ROUND(K527*'Irish Basis'!$C$8*'Irish Basis'!$C$5,2)</f>
        <v/>
      </c>
      <c r="Q527" s="10">
        <f>ROUND(L527*'Irish Basis'!$C$12*'Irish Basis'!$C$5,2)</f>
        <v/>
      </c>
      <c r="R527" s="11">
        <f>ROUND(SUM(N527:Q527),2)</f>
        <v/>
      </c>
      <c r="S527" s="5" t="inlineStr">
        <is>
          <t>Stated build-up</t>
        </is>
      </c>
      <c r="T527" s="12" t="inlineStr">
        <is>
          <t>High</t>
        </is>
      </c>
      <c r="U527" s="8" t="n">
        <v>251.98</v>
      </c>
      <c r="V527" s="13">
        <f>IF(U527="","",ROUND(M527-U527,2))</f>
        <v/>
      </c>
      <c r="W527" s="5" t="n"/>
      <c r="X527" s="5" t="inlineStr">
        <is>
          <t>Labour + plant + material as published; reconciles to the published rate.</t>
        </is>
      </c>
    </row>
    <row r="528" ht="13" customHeight="1">
      <c r="A528" s="4" t="n">
        <v>933</v>
      </c>
      <c r="B528" s="5" t="inlineStr">
        <is>
          <t>IMG_0078</t>
        </is>
      </c>
      <c r="C528" s="5" t="inlineStr">
        <is>
          <t>CLASS E: EARTHWORKS</t>
        </is>
      </c>
      <c r="D528" s="5" t="inlineStr">
        <is>
          <t>06 FILLING</t>
        </is>
      </c>
      <c r="E528" s="5" t="inlineStr">
        <is>
          <t>Imported rock; Filling</t>
        </is>
      </c>
      <c r="F528" s="5" t="inlineStr">
        <is>
          <t>general</t>
        </is>
      </c>
      <c r="G528" s="6" t="inlineStr">
        <is>
          <t>m3</t>
        </is>
      </c>
      <c r="H528" s="7" t="n">
        <v>0.02</v>
      </c>
      <c r="I528" s="8" t="n">
        <v>1.61</v>
      </c>
      <c r="J528" s="8" t="n">
        <v>3.87</v>
      </c>
      <c r="K528" s="8" t="n">
        <v>245.4</v>
      </c>
      <c r="L528" s="8" t="n">
        <v>0</v>
      </c>
      <c r="M528" s="9">
        <f>ROUND(SUM(I528:L528),2)</f>
        <v/>
      </c>
      <c r="N528" s="10">
        <f>ROUND(I528*'Irish Basis'!$C$6*'Irish Basis'!$C$5,2)</f>
        <v/>
      </c>
      <c r="O528" s="10">
        <f>ROUND(J528*'Irish Basis'!$C$7*'Irish Basis'!$C$5,2)</f>
        <v/>
      </c>
      <c r="P528" s="10">
        <f>ROUND(K528*'Irish Basis'!$C$8*'Irish Basis'!$C$5,2)</f>
        <v/>
      </c>
      <c r="Q528" s="10">
        <f>ROUND(L528*'Irish Basis'!$C$12*'Irish Basis'!$C$5,2)</f>
        <v/>
      </c>
      <c r="R528" s="11">
        <f>ROUND(SUM(N528:Q528),2)</f>
        <v/>
      </c>
      <c r="S528" s="5" t="inlineStr">
        <is>
          <t>Stated build-up</t>
        </is>
      </c>
      <c r="T528" s="12" t="inlineStr">
        <is>
          <t>High</t>
        </is>
      </c>
      <c r="U528" s="8" t="n">
        <v>250.89</v>
      </c>
      <c r="V528" s="13">
        <f>IF(U528="","",ROUND(M528-U528,2))</f>
        <v/>
      </c>
      <c r="W528" s="5" t="n"/>
      <c r="X528" s="5" t="inlineStr">
        <is>
          <t>Labour + plant + material as published; reconciles to the published rate.</t>
        </is>
      </c>
    </row>
    <row r="529" ht="13" customHeight="1">
      <c r="A529" s="4" t="n">
        <v>934</v>
      </c>
      <c r="B529" s="5" t="inlineStr">
        <is>
          <t>IMG_0078</t>
        </is>
      </c>
      <c r="C529" s="5" t="inlineStr">
        <is>
          <t>CLASS E: EARTHWORKS</t>
        </is>
      </c>
      <c r="D529" s="5" t="inlineStr">
        <is>
          <t>06 FILLING</t>
        </is>
      </c>
      <c r="E529" s="5" t="inlineStr">
        <is>
          <t>Imported rock; Filling</t>
        </is>
      </c>
      <c r="F529" s="5" t="inlineStr">
        <is>
          <t>150 mm thick</t>
        </is>
      </c>
      <c r="G529" s="6" t="inlineStr">
        <is>
          <t>m2</t>
        </is>
      </c>
      <c r="H529" s="7" t="n">
        <v>0.01</v>
      </c>
      <c r="I529" s="8" t="n">
        <v>0.97</v>
      </c>
      <c r="J529" s="8" t="n">
        <v>2.32</v>
      </c>
      <c r="K529" s="8" t="n">
        <v>36.81</v>
      </c>
      <c r="L529" s="8" t="n">
        <v>0</v>
      </c>
      <c r="M529" s="9">
        <f>ROUND(SUM(I529:L529),2)</f>
        <v/>
      </c>
      <c r="N529" s="10">
        <f>ROUND(I529*'Irish Basis'!$C$6*'Irish Basis'!$C$5,2)</f>
        <v/>
      </c>
      <c r="O529" s="10">
        <f>ROUND(J529*'Irish Basis'!$C$7*'Irish Basis'!$C$5,2)</f>
        <v/>
      </c>
      <c r="P529" s="10">
        <f>ROUND(K529*'Irish Basis'!$C$8*'Irish Basis'!$C$5,2)</f>
        <v/>
      </c>
      <c r="Q529" s="10">
        <f>ROUND(L529*'Irish Basis'!$C$12*'Irish Basis'!$C$5,2)</f>
        <v/>
      </c>
      <c r="R529" s="11">
        <f>ROUND(SUM(N529:Q529),2)</f>
        <v/>
      </c>
      <c r="S529" s="5" t="inlineStr">
        <is>
          <t>Stated build-up</t>
        </is>
      </c>
      <c r="T529" s="12" t="inlineStr">
        <is>
          <t>High</t>
        </is>
      </c>
      <c r="U529" s="8" t="n">
        <v>40.1</v>
      </c>
      <c r="V529" s="13">
        <f>IF(U529="","",ROUND(M529-U529,2))</f>
        <v/>
      </c>
      <c r="W529" s="5" t="n"/>
      <c r="X529" s="5" t="inlineStr">
        <is>
          <t>Labour + plant + material as published; reconciles to the published rate.</t>
        </is>
      </c>
    </row>
    <row r="530" ht="13" customHeight="1">
      <c r="A530" s="4" t="n">
        <v>935</v>
      </c>
      <c r="B530" s="5" t="inlineStr">
        <is>
          <t>IMG_0078</t>
        </is>
      </c>
      <c r="C530" s="5" t="inlineStr">
        <is>
          <t>CLASS E: EARTHWORKS</t>
        </is>
      </c>
      <c r="D530" s="5" t="inlineStr">
        <is>
          <t>06 FILLING</t>
        </is>
      </c>
      <c r="E530" s="5" t="inlineStr">
        <is>
          <t>Imported rock; Filling</t>
        </is>
      </c>
      <c r="F530" s="5" t="inlineStr">
        <is>
          <t>250 mm thick</t>
        </is>
      </c>
      <c r="G530" s="6" t="inlineStr">
        <is>
          <t>m2</t>
        </is>
      </c>
      <c r="H530" s="7" t="n">
        <v>0.02</v>
      </c>
      <c r="I530" s="8" t="n">
        <v>1.61</v>
      </c>
      <c r="J530" s="8" t="n">
        <v>3.87</v>
      </c>
      <c r="K530" s="8" t="n">
        <v>61.35</v>
      </c>
      <c r="L530" s="8" t="n">
        <v>0</v>
      </c>
      <c r="M530" s="9">
        <f>ROUND(SUM(I530:L530),2)</f>
        <v/>
      </c>
      <c r="N530" s="10">
        <f>ROUND(I530*'Irish Basis'!$C$6*'Irish Basis'!$C$5,2)</f>
        <v/>
      </c>
      <c r="O530" s="10">
        <f>ROUND(J530*'Irish Basis'!$C$7*'Irish Basis'!$C$5,2)</f>
        <v/>
      </c>
      <c r="P530" s="10">
        <f>ROUND(K530*'Irish Basis'!$C$8*'Irish Basis'!$C$5,2)</f>
        <v/>
      </c>
      <c r="Q530" s="10">
        <f>ROUND(L530*'Irish Basis'!$C$12*'Irish Basis'!$C$5,2)</f>
        <v/>
      </c>
      <c r="R530" s="11">
        <f>ROUND(SUM(N530:Q530),2)</f>
        <v/>
      </c>
      <c r="S530" s="5" t="inlineStr">
        <is>
          <t>Stated build-up</t>
        </is>
      </c>
      <c r="T530" s="12" t="inlineStr">
        <is>
          <t>High</t>
        </is>
      </c>
      <c r="U530" s="8" t="n">
        <v>66.84</v>
      </c>
      <c r="V530" s="13">
        <f>IF(U530="","",ROUND(M530-U530,2))</f>
        <v/>
      </c>
      <c r="W530" s="5" t="n"/>
      <c r="X530" s="5" t="inlineStr">
        <is>
          <t>Labour + plant + material as published; reconciles to the published rate.</t>
        </is>
      </c>
    </row>
    <row r="531" ht="13" customHeight="1">
      <c r="A531" s="4" t="n">
        <v>936</v>
      </c>
      <c r="B531" s="5" t="inlineStr">
        <is>
          <t>IMG_0078</t>
        </is>
      </c>
      <c r="C531" s="5" t="inlineStr">
        <is>
          <t>CLASS E: EARTHWORKS</t>
        </is>
      </c>
      <c r="D531" s="5" t="inlineStr">
        <is>
          <t>06 FILLING</t>
        </is>
      </c>
      <c r="E531" s="5" t="inlineStr">
        <is>
          <t>Imported rock; Filling</t>
        </is>
      </c>
      <c r="F531" s="5" t="inlineStr">
        <is>
          <t>400 mm thick</t>
        </is>
      </c>
      <c r="G531" s="6" t="inlineStr">
        <is>
          <t>m2</t>
        </is>
      </c>
      <c r="H531" s="7" t="n">
        <v>0.03</v>
      </c>
      <c r="I531" s="8" t="n">
        <v>2.42</v>
      </c>
      <c r="J531" s="8" t="n">
        <v>5.81</v>
      </c>
      <c r="K531" s="8" t="n">
        <v>98.16</v>
      </c>
      <c r="L531" s="8" t="n">
        <v>0</v>
      </c>
      <c r="M531" s="9">
        <f>ROUND(SUM(I531:L531),2)</f>
        <v/>
      </c>
      <c r="N531" s="10">
        <f>ROUND(I531*'Irish Basis'!$C$6*'Irish Basis'!$C$5,2)</f>
        <v/>
      </c>
      <c r="O531" s="10">
        <f>ROUND(J531*'Irish Basis'!$C$7*'Irish Basis'!$C$5,2)</f>
        <v/>
      </c>
      <c r="P531" s="10">
        <f>ROUND(K531*'Irish Basis'!$C$8*'Irish Basis'!$C$5,2)</f>
        <v/>
      </c>
      <c r="Q531" s="10">
        <f>ROUND(L531*'Irish Basis'!$C$12*'Irish Basis'!$C$5,2)</f>
        <v/>
      </c>
      <c r="R531" s="11">
        <f>ROUND(SUM(N531:Q531),2)</f>
        <v/>
      </c>
      <c r="S531" s="5" t="inlineStr">
        <is>
          <t>Stated build-up</t>
        </is>
      </c>
      <c r="T531" s="12" t="inlineStr">
        <is>
          <t>High</t>
        </is>
      </c>
      <c r="U531" s="8" t="n">
        <v>106.39</v>
      </c>
      <c r="V531" s="13">
        <f>IF(U531="","",ROUND(M531-U531,2))</f>
        <v/>
      </c>
      <c r="W531" s="5" t="n"/>
      <c r="X531" s="5" t="inlineStr">
        <is>
          <t>Labour + plant + material as published; reconciles to the published rate.</t>
        </is>
      </c>
    </row>
    <row r="532" ht="13" customHeight="1">
      <c r="A532" s="4" t="n">
        <v>937</v>
      </c>
      <c r="B532" s="5" t="inlineStr">
        <is>
          <t>IMG_0078</t>
        </is>
      </c>
      <c r="C532" s="5" t="inlineStr">
        <is>
          <t>CLASS E: EARTHWORKS</t>
        </is>
      </c>
      <c r="D532" s="5" t="inlineStr">
        <is>
          <t>06 FILLING</t>
        </is>
      </c>
      <c r="E532" s="5" t="inlineStr">
        <is>
          <t>Imported rock; Filling</t>
        </is>
      </c>
      <c r="F532" s="5" t="inlineStr">
        <is>
          <t>600 mm thick</t>
        </is>
      </c>
      <c r="G532" s="6" t="inlineStr">
        <is>
          <t>m2</t>
        </is>
      </c>
      <c r="H532" s="7" t="n">
        <v>0.03</v>
      </c>
      <c r="I532" s="8" t="n">
        <v>2.42</v>
      </c>
      <c r="J532" s="8" t="n">
        <v>5.81</v>
      </c>
      <c r="K532" s="8" t="n">
        <v>147.24</v>
      </c>
      <c r="L532" s="8" t="n">
        <v>0</v>
      </c>
      <c r="M532" s="9">
        <f>ROUND(SUM(I532:L532),2)</f>
        <v/>
      </c>
      <c r="N532" s="10">
        <f>ROUND(I532*'Irish Basis'!$C$6*'Irish Basis'!$C$5,2)</f>
        <v/>
      </c>
      <c r="O532" s="10">
        <f>ROUND(J532*'Irish Basis'!$C$7*'Irish Basis'!$C$5,2)</f>
        <v/>
      </c>
      <c r="P532" s="10">
        <f>ROUND(K532*'Irish Basis'!$C$8*'Irish Basis'!$C$5,2)</f>
        <v/>
      </c>
      <c r="Q532" s="10">
        <f>ROUND(L532*'Irish Basis'!$C$12*'Irish Basis'!$C$5,2)</f>
        <v/>
      </c>
      <c r="R532" s="11">
        <f>ROUND(SUM(N532:Q532),2)</f>
        <v/>
      </c>
      <c r="S532" s="5" t="inlineStr">
        <is>
          <t>Stated build-up</t>
        </is>
      </c>
      <c r="T532" s="12" t="inlineStr">
        <is>
          <t>High</t>
        </is>
      </c>
      <c r="U532" s="8" t="n">
        <v>155.47</v>
      </c>
      <c r="V532" s="13">
        <f>IF(U532="","",ROUND(M532-U532,2))</f>
        <v/>
      </c>
      <c r="W532" s="5" t="n"/>
      <c r="X532" s="5" t="inlineStr">
        <is>
          <t>Labour + plant + material as published; reconciles to the published rate.</t>
        </is>
      </c>
    </row>
    <row r="533" ht="13" customHeight="1">
      <c r="A533" s="4" t="n">
        <v>939</v>
      </c>
      <c r="B533" s="5" t="inlineStr">
        <is>
          <t>IMG_0078</t>
        </is>
      </c>
      <c r="C533" s="5" t="inlineStr">
        <is>
          <t>CLASS E: EARTHWORKS</t>
        </is>
      </c>
      <c r="D533" s="5" t="inlineStr">
        <is>
          <t>06 FILLING</t>
        </is>
      </c>
      <c r="E533" s="5" t="inlineStr">
        <is>
          <t>High energy impaction general fill</t>
        </is>
      </c>
      <c r="F533" s="5" t="inlineStr">
        <is>
          <t>embankments</t>
        </is>
      </c>
      <c r="G533" s="6" t="inlineStr">
        <is>
          <t>m3</t>
        </is>
      </c>
      <c r="H533" s="7" t="n">
        <v>0.03</v>
      </c>
      <c r="I533" s="8" t="n">
        <v>2.02</v>
      </c>
      <c r="J533" s="8" t="n">
        <v>4.84</v>
      </c>
      <c r="K533" s="8" t="n">
        <v>285.81</v>
      </c>
      <c r="L533" s="8" t="n">
        <v>0</v>
      </c>
      <c r="M533" s="9">
        <f>ROUND(SUM(I533:L533),2)</f>
        <v/>
      </c>
      <c r="N533" s="10">
        <f>ROUND(I533*'Irish Basis'!$C$6*'Irish Basis'!$C$5,2)</f>
        <v/>
      </c>
      <c r="O533" s="10">
        <f>ROUND(J533*'Irish Basis'!$C$7*'Irish Basis'!$C$5,2)</f>
        <v/>
      </c>
      <c r="P533" s="10">
        <f>ROUND(K533*'Irish Basis'!$C$8*'Irish Basis'!$C$5,2)</f>
        <v/>
      </c>
      <c r="Q533" s="10">
        <f>ROUND(L533*'Irish Basis'!$C$12*'Irish Basis'!$C$5,2)</f>
        <v/>
      </c>
      <c r="R533" s="11">
        <f>ROUND(SUM(N533:Q533),2)</f>
        <v/>
      </c>
      <c r="S533" s="5" t="inlineStr">
        <is>
          <t>Stated build-up</t>
        </is>
      </c>
      <c r="T533" s="12" t="inlineStr">
        <is>
          <t>High</t>
        </is>
      </c>
      <c r="U533" s="8" t="n">
        <v>292.67</v>
      </c>
      <c r="V533" s="13">
        <f>IF(U533="","",ROUND(M533-U533,2))</f>
        <v/>
      </c>
      <c r="W533" s="5" t="n"/>
      <c r="X533" s="5" t="inlineStr">
        <is>
          <t>Labour + plant + material as published; reconciles to the published rate.</t>
        </is>
      </c>
    </row>
    <row r="534" ht="13" customHeight="1">
      <c r="A534" s="4" t="n">
        <v>940</v>
      </c>
      <c r="B534" s="5" t="inlineStr">
        <is>
          <t>IMG_0078</t>
        </is>
      </c>
      <c r="C534" s="5" t="inlineStr">
        <is>
          <t>CLASS E: EARTHWORKS</t>
        </is>
      </c>
      <c r="D534" s="5" t="inlineStr">
        <is>
          <t>06 FILLING</t>
        </is>
      </c>
      <c r="E534" s="5" t="inlineStr">
        <is>
          <t>High energy impaction general fill</t>
        </is>
      </c>
      <c r="F534" s="5" t="inlineStr">
        <is>
          <t>general</t>
        </is>
      </c>
      <c r="G534" s="6" t="inlineStr">
        <is>
          <t>m3</t>
        </is>
      </c>
      <c r="H534" s="7" t="n">
        <v>0.02</v>
      </c>
      <c r="I534" s="8" t="n">
        <v>1.69</v>
      </c>
      <c r="J534" s="8" t="n">
        <v>4.07</v>
      </c>
      <c r="K534" s="8" t="n">
        <v>142.9</v>
      </c>
      <c r="L534" s="8" t="n">
        <v>0</v>
      </c>
      <c r="M534" s="9">
        <f>ROUND(SUM(I534:L534),2)</f>
        <v/>
      </c>
      <c r="N534" s="10">
        <f>ROUND(I534*'Irish Basis'!$C$6*'Irish Basis'!$C$5,2)</f>
        <v/>
      </c>
      <c r="O534" s="10">
        <f>ROUND(J534*'Irish Basis'!$C$7*'Irish Basis'!$C$5,2)</f>
        <v/>
      </c>
      <c r="P534" s="10">
        <f>ROUND(K534*'Irish Basis'!$C$8*'Irish Basis'!$C$5,2)</f>
        <v/>
      </c>
      <c r="Q534" s="10">
        <f>ROUND(L534*'Irish Basis'!$C$12*'Irish Basis'!$C$5,2)</f>
        <v/>
      </c>
      <c r="R534" s="11">
        <f>ROUND(SUM(N534:Q534),2)</f>
        <v/>
      </c>
      <c r="S534" s="5" t="inlineStr">
        <is>
          <t>Stated build-up</t>
        </is>
      </c>
      <c r="T534" s="12" t="inlineStr">
        <is>
          <t>High</t>
        </is>
      </c>
      <c r="U534" s="8" t="n">
        <v>148.67</v>
      </c>
      <c r="V534" s="13">
        <f>IF(U534="","",ROUND(M534-U534,2))</f>
        <v/>
      </c>
      <c r="W534" s="5" t="n"/>
      <c r="X534" s="5" t="inlineStr">
        <is>
          <t>Labour + plant + material as published; reconciles to the published rate.</t>
        </is>
      </c>
    </row>
    <row r="535" ht="13" customHeight="1">
      <c r="A535" s="4" t="n">
        <v>941</v>
      </c>
      <c r="B535" s="5" t="inlineStr">
        <is>
          <t>IMG_0078</t>
        </is>
      </c>
      <c r="C535" s="5" t="inlineStr">
        <is>
          <t>CLASS E: EARTHWORKS</t>
        </is>
      </c>
      <c r="D535" s="5" t="inlineStr">
        <is>
          <t>06 FILLING</t>
        </is>
      </c>
      <c r="E535" s="5" t="inlineStr">
        <is>
          <t>High energy impaction general fill</t>
        </is>
      </c>
      <c r="F535" s="5" t="inlineStr">
        <is>
          <t>150 mm thick</t>
        </is>
      </c>
      <c r="G535" s="6" t="inlineStr">
        <is>
          <t>m2</t>
        </is>
      </c>
      <c r="H535" s="7" t="n">
        <v>0.01</v>
      </c>
      <c r="I535" s="8" t="n">
        <v>0.5600000000000001</v>
      </c>
      <c r="J535" s="8" t="n">
        <v>1.36</v>
      </c>
      <c r="K535" s="8" t="n">
        <v>28.58</v>
      </c>
      <c r="L535" s="8" t="n">
        <v>0</v>
      </c>
      <c r="M535" s="9">
        <f>ROUND(SUM(I535:L535),2)</f>
        <v/>
      </c>
      <c r="N535" s="10">
        <f>ROUND(I535*'Irish Basis'!$C$6*'Irish Basis'!$C$5,2)</f>
        <v/>
      </c>
      <c r="O535" s="10">
        <f>ROUND(J535*'Irish Basis'!$C$7*'Irish Basis'!$C$5,2)</f>
        <v/>
      </c>
      <c r="P535" s="10">
        <f>ROUND(K535*'Irish Basis'!$C$8*'Irish Basis'!$C$5,2)</f>
        <v/>
      </c>
      <c r="Q535" s="10">
        <f>ROUND(L535*'Irish Basis'!$C$12*'Irish Basis'!$C$5,2)</f>
        <v/>
      </c>
      <c r="R535" s="11">
        <f>ROUND(SUM(N535:Q535),2)</f>
        <v/>
      </c>
      <c r="S535" s="5" t="inlineStr">
        <is>
          <t>Stated build-up</t>
        </is>
      </c>
      <c r="T535" s="12" t="inlineStr">
        <is>
          <t>High</t>
        </is>
      </c>
      <c r="U535" s="8" t="n">
        <v>30.5</v>
      </c>
      <c r="V535" s="13">
        <f>IF(U535="","",ROUND(M535-U535,2))</f>
        <v/>
      </c>
      <c r="W535" s="5" t="n"/>
      <c r="X535" s="5" t="inlineStr">
        <is>
          <t>Labour + plant + material as published; reconciles to the published rate.</t>
        </is>
      </c>
    </row>
    <row r="536" ht="13" customHeight="1">
      <c r="A536" s="4" t="n">
        <v>942</v>
      </c>
      <c r="B536" s="5" t="inlineStr">
        <is>
          <t>IMG_0078</t>
        </is>
      </c>
      <c r="C536" s="5" t="inlineStr">
        <is>
          <t>CLASS E: EARTHWORKS</t>
        </is>
      </c>
      <c r="D536" s="5" t="inlineStr">
        <is>
          <t>06 FILLING</t>
        </is>
      </c>
      <c r="E536" s="5" t="inlineStr">
        <is>
          <t>High energy impaction general fill</t>
        </is>
      </c>
      <c r="F536" s="5" t="inlineStr">
        <is>
          <t>250 mm thick</t>
        </is>
      </c>
      <c r="G536" s="6" t="inlineStr">
        <is>
          <t>m2</t>
        </is>
      </c>
      <c r="H536" s="7" t="n">
        <v>0.01</v>
      </c>
      <c r="I536" s="8" t="n">
        <v>0.97</v>
      </c>
      <c r="J536" s="8" t="n">
        <v>2.32</v>
      </c>
      <c r="K536" s="8" t="n">
        <v>42.87</v>
      </c>
      <c r="L536" s="8" t="n">
        <v>0</v>
      </c>
      <c r="M536" s="9">
        <f>ROUND(SUM(I536:L536),2)</f>
        <v/>
      </c>
      <c r="N536" s="10">
        <f>ROUND(I536*'Irish Basis'!$C$6*'Irish Basis'!$C$5,2)</f>
        <v/>
      </c>
      <c r="O536" s="10">
        <f>ROUND(J536*'Irish Basis'!$C$7*'Irish Basis'!$C$5,2)</f>
        <v/>
      </c>
      <c r="P536" s="10">
        <f>ROUND(K536*'Irish Basis'!$C$8*'Irish Basis'!$C$5,2)</f>
        <v/>
      </c>
      <c r="Q536" s="10">
        <f>ROUND(L536*'Irish Basis'!$C$12*'Irish Basis'!$C$5,2)</f>
        <v/>
      </c>
      <c r="R536" s="11">
        <f>ROUND(SUM(N536:Q536),2)</f>
        <v/>
      </c>
      <c r="S536" s="5" t="inlineStr">
        <is>
          <t>Stated build-up</t>
        </is>
      </c>
      <c r="T536" s="12" t="inlineStr">
        <is>
          <t>High</t>
        </is>
      </c>
      <c r="U536" s="8" t="n">
        <v>46.16</v>
      </c>
      <c r="V536" s="13">
        <f>IF(U536="","",ROUND(M536-U536,2))</f>
        <v/>
      </c>
      <c r="W536" s="5" t="n"/>
      <c r="X536" s="5" t="inlineStr">
        <is>
          <t>Labour + plant + material as published; reconciles to the published rate.</t>
        </is>
      </c>
    </row>
    <row r="537" ht="13" customHeight="1">
      <c r="A537" s="4" t="n">
        <v>943</v>
      </c>
      <c r="B537" s="5" t="inlineStr">
        <is>
          <t>IMG_0078</t>
        </is>
      </c>
      <c r="C537" s="5" t="inlineStr">
        <is>
          <t>CLASS E: EARTHWORKS</t>
        </is>
      </c>
      <c r="D537" s="5" t="inlineStr">
        <is>
          <t>06 FILLING</t>
        </is>
      </c>
      <c r="E537" s="5" t="inlineStr">
        <is>
          <t>High energy impaction general fill</t>
        </is>
      </c>
      <c r="F537" s="5" t="inlineStr">
        <is>
          <t>400 mm thick</t>
        </is>
      </c>
      <c r="G537" s="6" t="inlineStr">
        <is>
          <t>m2</t>
        </is>
      </c>
      <c r="H537" s="7" t="n">
        <v>0.02</v>
      </c>
      <c r="I537" s="8" t="n">
        <v>1.37</v>
      </c>
      <c r="J537" s="8" t="n">
        <v>3.29</v>
      </c>
      <c r="K537" s="8" t="n">
        <v>46.44</v>
      </c>
      <c r="L537" s="8" t="n">
        <v>0</v>
      </c>
      <c r="M537" s="9">
        <f>ROUND(SUM(I537:L537),2)</f>
        <v/>
      </c>
      <c r="N537" s="10">
        <f>ROUND(I537*'Irish Basis'!$C$6*'Irish Basis'!$C$5,2)</f>
        <v/>
      </c>
      <c r="O537" s="10">
        <f>ROUND(J537*'Irish Basis'!$C$7*'Irish Basis'!$C$5,2)</f>
        <v/>
      </c>
      <c r="P537" s="10">
        <f>ROUND(K537*'Irish Basis'!$C$8*'Irish Basis'!$C$5,2)</f>
        <v/>
      </c>
      <c r="Q537" s="10">
        <f>ROUND(L537*'Irish Basis'!$C$12*'Irish Basis'!$C$5,2)</f>
        <v/>
      </c>
      <c r="R537" s="11">
        <f>ROUND(SUM(N537:Q537),2)</f>
        <v/>
      </c>
      <c r="S537" s="5" t="inlineStr">
        <is>
          <t>Stated build-up</t>
        </is>
      </c>
      <c r="T537" s="12" t="inlineStr">
        <is>
          <t>High</t>
        </is>
      </c>
      <c r="U537" s="8" t="n">
        <v>51.11</v>
      </c>
      <c r="V537" s="13">
        <f>IF(U537="","",ROUND(M537-U537,2))</f>
        <v/>
      </c>
      <c r="W537" s="5" t="n"/>
      <c r="X537" s="5" t="inlineStr">
        <is>
          <t>Labour + plant + material as published; reconciles to the published rate.</t>
        </is>
      </c>
    </row>
    <row r="538" ht="13" customHeight="1">
      <c r="A538" s="4" t="n">
        <v>944</v>
      </c>
      <c r="B538" s="5" t="inlineStr">
        <is>
          <t>IMG_0078</t>
        </is>
      </c>
      <c r="C538" s="5" t="inlineStr">
        <is>
          <t>CLASS E: EARTHWORKS</t>
        </is>
      </c>
      <c r="D538" s="5" t="inlineStr">
        <is>
          <t>06 FILLING</t>
        </is>
      </c>
      <c r="E538" s="5" t="inlineStr">
        <is>
          <t>High energy impaction general fill</t>
        </is>
      </c>
      <c r="F538" s="5" t="inlineStr">
        <is>
          <t>600 mm thick</t>
        </is>
      </c>
      <c r="G538" s="6" t="inlineStr">
        <is>
          <t>m2</t>
        </is>
      </c>
      <c r="H538" s="7" t="n">
        <v>0.02</v>
      </c>
      <c r="I538" s="8" t="n">
        <v>1.94</v>
      </c>
      <c r="J538" s="8" t="n">
        <v>4.65</v>
      </c>
      <c r="K538" s="8" t="n">
        <v>71.45</v>
      </c>
      <c r="L538" s="8" t="n">
        <v>0</v>
      </c>
      <c r="M538" s="9">
        <f>ROUND(SUM(I538:L538),2)</f>
        <v/>
      </c>
      <c r="N538" s="10">
        <f>ROUND(I538*'Irish Basis'!$C$6*'Irish Basis'!$C$5,2)</f>
        <v/>
      </c>
      <c r="O538" s="10">
        <f>ROUND(J538*'Irish Basis'!$C$7*'Irish Basis'!$C$5,2)</f>
        <v/>
      </c>
      <c r="P538" s="10">
        <f>ROUND(K538*'Irish Basis'!$C$8*'Irish Basis'!$C$5,2)</f>
        <v/>
      </c>
      <c r="Q538" s="10">
        <f>ROUND(L538*'Irish Basis'!$C$12*'Irish Basis'!$C$5,2)</f>
        <v/>
      </c>
      <c r="R538" s="11">
        <f>ROUND(SUM(N538:Q538),2)</f>
        <v/>
      </c>
      <c r="S538" s="5" t="inlineStr">
        <is>
          <t>Stated build-up</t>
        </is>
      </c>
      <c r="T538" s="12" t="inlineStr">
        <is>
          <t>High</t>
        </is>
      </c>
      <c r="U538" s="8" t="n">
        <v>78.04000000000001</v>
      </c>
      <c r="V538" s="13">
        <f>IF(U538="","",ROUND(M538-U538,2))</f>
        <v/>
      </c>
      <c r="W538" s="5" t="n"/>
      <c r="X538" s="5" t="inlineStr">
        <is>
          <t>Labour + plant + material as published; reconciles to the published rate.</t>
        </is>
      </c>
    </row>
    <row r="539" ht="13" customHeight="1">
      <c r="A539" s="4" t="n">
        <v>947</v>
      </c>
      <c r="B539" s="5" t="inlineStr">
        <is>
          <t>IMG_0078</t>
        </is>
      </c>
      <c r="C539" s="5" t="inlineStr">
        <is>
          <t>CLASS E: EARTHWORKS</t>
        </is>
      </c>
      <c r="D539" s="5" t="inlineStr">
        <is>
          <t>07 FILLING ANCILLARIES</t>
        </is>
      </c>
      <c r="E539" s="5" t="inlineStr">
        <is>
          <t>Trimming of filled surfaces; Topsoil</t>
        </is>
      </c>
      <c r="F539" s="5" t="inlineStr">
        <is>
          <t>horizontal</t>
        </is>
      </c>
      <c r="G539" s="6" t="inlineStr">
        <is>
          <t>m2</t>
        </is>
      </c>
      <c r="H539" s="7" t="n">
        <v>0.02</v>
      </c>
      <c r="I539" s="8" t="n">
        <v>0.92</v>
      </c>
      <c r="J539" s="8" t="n">
        <v>3.01</v>
      </c>
      <c r="K539" s="8" t="n">
        <v>0</v>
      </c>
      <c r="L539" s="8" t="n">
        <v>0</v>
      </c>
      <c r="M539" s="9">
        <f>ROUND(SUM(I539:L539),2)</f>
        <v/>
      </c>
      <c r="N539" s="10">
        <f>ROUND(I539*'Irish Basis'!$C$6*'Irish Basis'!$C$5,2)</f>
        <v/>
      </c>
      <c r="O539" s="10">
        <f>ROUND(J539*'Irish Basis'!$C$7*'Irish Basis'!$C$5,2)</f>
        <v/>
      </c>
      <c r="P539" s="10">
        <f>ROUND(K539*'Irish Basis'!$C$8*'Irish Basis'!$C$5,2)</f>
        <v/>
      </c>
      <c r="Q539" s="10">
        <f>ROUND(L539*'Irish Basis'!$C$12*'Irish Basis'!$C$5,2)</f>
        <v/>
      </c>
      <c r="R539" s="11">
        <f>ROUND(SUM(N539:Q539),2)</f>
        <v/>
      </c>
      <c r="S539" s="5" t="inlineStr">
        <is>
          <t>Stated build-up</t>
        </is>
      </c>
      <c r="T539" s="12" t="inlineStr">
        <is>
          <t>High</t>
        </is>
      </c>
      <c r="U539" s="8" t="n">
        <v>3.92</v>
      </c>
      <c r="V539" s="13">
        <f>IF(U539="","",ROUND(M539-U539,2))</f>
        <v/>
      </c>
      <c r="W539" s="5" t="n"/>
      <c r="X539" s="5" t="inlineStr">
        <is>
          <t>Labour + plant + material as published; reconciles to the published rate.</t>
        </is>
      </c>
    </row>
    <row r="540" ht="13" customHeight="1">
      <c r="A540" s="4" t="n">
        <v>948</v>
      </c>
      <c r="B540" s="5" t="inlineStr">
        <is>
          <t>IMG_0078</t>
        </is>
      </c>
      <c r="C540" s="5" t="inlineStr">
        <is>
          <t>CLASS E: EARTHWORKS</t>
        </is>
      </c>
      <c r="D540" s="5" t="inlineStr">
        <is>
          <t>07 FILLING ANCILLARIES</t>
        </is>
      </c>
      <c r="E540" s="5" t="inlineStr">
        <is>
          <t>Trimming of filled surfaces; Topsoil</t>
        </is>
      </c>
      <c r="F540" s="5" t="inlineStr">
        <is>
          <t>inclined at an angle of 10-45 deg to horizontal</t>
        </is>
      </c>
      <c r="G540" s="6" t="inlineStr">
        <is>
          <t>m2</t>
        </is>
      </c>
      <c r="H540" s="7" t="n">
        <v>0.02</v>
      </c>
      <c r="I540" s="8" t="n">
        <v>0.92</v>
      </c>
      <c r="J540" s="8" t="n">
        <v>3.01</v>
      </c>
      <c r="K540" s="8" t="n">
        <v>0</v>
      </c>
      <c r="L540" s="8" t="n">
        <v>0</v>
      </c>
      <c r="M540" s="9">
        <f>ROUND(SUM(I540:L540),2)</f>
        <v/>
      </c>
      <c r="N540" s="10">
        <f>ROUND(I540*'Irish Basis'!$C$6*'Irish Basis'!$C$5,2)</f>
        <v/>
      </c>
      <c r="O540" s="10">
        <f>ROUND(J540*'Irish Basis'!$C$7*'Irish Basis'!$C$5,2)</f>
        <v/>
      </c>
      <c r="P540" s="10">
        <f>ROUND(K540*'Irish Basis'!$C$8*'Irish Basis'!$C$5,2)</f>
        <v/>
      </c>
      <c r="Q540" s="10">
        <f>ROUND(L540*'Irish Basis'!$C$12*'Irish Basis'!$C$5,2)</f>
        <v/>
      </c>
      <c r="R540" s="11">
        <f>ROUND(SUM(N540:Q540),2)</f>
        <v/>
      </c>
      <c r="S540" s="5" t="inlineStr">
        <is>
          <t>Stated build-up</t>
        </is>
      </c>
      <c r="T540" s="12" t="inlineStr">
        <is>
          <t>High</t>
        </is>
      </c>
      <c r="U540" s="8" t="n">
        <v>3.92</v>
      </c>
      <c r="V540" s="13">
        <f>IF(U540="","",ROUND(M540-U540,2))</f>
        <v/>
      </c>
      <c r="W540" s="5" t="n"/>
      <c r="X540" s="5" t="inlineStr">
        <is>
          <t>Labour + plant + material as published; reconciles to the published rate.</t>
        </is>
      </c>
    </row>
    <row r="541" ht="13" customHeight="1">
      <c r="A541" s="4" t="n">
        <v>949</v>
      </c>
      <c r="B541" s="5" t="inlineStr">
        <is>
          <t>IMG_0078</t>
        </is>
      </c>
      <c r="C541" s="5" t="inlineStr">
        <is>
          <t>CLASS E: EARTHWORKS</t>
        </is>
      </c>
      <c r="D541" s="5" t="inlineStr">
        <is>
          <t>07 FILLING ANCILLARIES</t>
        </is>
      </c>
      <c r="E541" s="5" t="inlineStr">
        <is>
          <t>Trimming of filled surfaces; Topsoil</t>
        </is>
      </c>
      <c r="F541" s="5" t="inlineStr">
        <is>
          <t>inclined at an angle of 45-90 deg to horizontal</t>
        </is>
      </c>
      <c r="G541" s="6" t="inlineStr">
        <is>
          <t>m2</t>
        </is>
      </c>
      <c r="H541" s="7" t="n">
        <v>0.03</v>
      </c>
      <c r="I541" s="8" t="n">
        <v>1.18</v>
      </c>
      <c r="J541" s="8" t="n">
        <v>3.86</v>
      </c>
      <c r="K541" s="8" t="n">
        <v>0</v>
      </c>
      <c r="L541" s="8" t="n">
        <v>0</v>
      </c>
      <c r="M541" s="9">
        <f>ROUND(SUM(I541:L541),2)</f>
        <v/>
      </c>
      <c r="N541" s="10">
        <f>ROUND(I541*'Irish Basis'!$C$6*'Irish Basis'!$C$5,2)</f>
        <v/>
      </c>
      <c r="O541" s="10">
        <f>ROUND(J541*'Irish Basis'!$C$7*'Irish Basis'!$C$5,2)</f>
        <v/>
      </c>
      <c r="P541" s="10">
        <f>ROUND(K541*'Irish Basis'!$C$8*'Irish Basis'!$C$5,2)</f>
        <v/>
      </c>
      <c r="Q541" s="10">
        <f>ROUND(L541*'Irish Basis'!$C$12*'Irish Basis'!$C$5,2)</f>
        <v/>
      </c>
      <c r="R541" s="11">
        <f>ROUND(SUM(N541:Q541),2)</f>
        <v/>
      </c>
      <c r="S541" s="5" t="inlineStr">
        <is>
          <t>Stated build-up</t>
        </is>
      </c>
      <c r="T541" s="12" t="inlineStr">
        <is>
          <t>High</t>
        </is>
      </c>
      <c r="U541" s="8" t="n">
        <v>5.04</v>
      </c>
      <c r="V541" s="13">
        <f>IF(U541="","",ROUND(M541-U541,2))</f>
        <v/>
      </c>
      <c r="W541" s="5" t="n"/>
      <c r="X541" s="5" t="inlineStr">
        <is>
          <t>Labour + plant + material as published; reconciles to the published rate.</t>
        </is>
      </c>
    </row>
    <row r="542" ht="13" customHeight="1">
      <c r="A542" s="4" t="n">
        <v>951</v>
      </c>
      <c r="B542" s="5" t="inlineStr">
        <is>
          <t>IMG_0078</t>
        </is>
      </c>
      <c r="C542" s="5" t="inlineStr">
        <is>
          <t>CLASS E: EARTHWORKS</t>
        </is>
      </c>
      <c r="D542" s="5" t="inlineStr">
        <is>
          <t>07 FILLING ANCILLARIES</t>
        </is>
      </c>
      <c r="E542" s="5" t="inlineStr">
        <is>
          <t>Trimming of filled surfaces; Material other than topsoil, rock or artificial hard material</t>
        </is>
      </c>
      <c r="F542" s="5" t="inlineStr">
        <is>
          <t>horizontal</t>
        </is>
      </c>
      <c r="G542" s="6" t="inlineStr">
        <is>
          <t>m2</t>
        </is>
      </c>
      <c r="H542" s="7" t="n">
        <v>0.02</v>
      </c>
      <c r="I542" s="8" t="n">
        <v>0.92</v>
      </c>
      <c r="J542" s="8" t="n">
        <v>3.01</v>
      </c>
      <c r="K542" s="8" t="n">
        <v>0</v>
      </c>
      <c r="L542" s="8" t="n">
        <v>0</v>
      </c>
      <c r="M542" s="9">
        <f>ROUND(SUM(I542:L542),2)</f>
        <v/>
      </c>
      <c r="N542" s="10">
        <f>ROUND(I542*'Irish Basis'!$C$6*'Irish Basis'!$C$5,2)</f>
        <v/>
      </c>
      <c r="O542" s="10">
        <f>ROUND(J542*'Irish Basis'!$C$7*'Irish Basis'!$C$5,2)</f>
        <v/>
      </c>
      <c r="P542" s="10">
        <f>ROUND(K542*'Irish Basis'!$C$8*'Irish Basis'!$C$5,2)</f>
        <v/>
      </c>
      <c r="Q542" s="10">
        <f>ROUND(L542*'Irish Basis'!$C$12*'Irish Basis'!$C$5,2)</f>
        <v/>
      </c>
      <c r="R542" s="11">
        <f>ROUND(SUM(N542:Q542),2)</f>
        <v/>
      </c>
      <c r="S542" s="5" t="inlineStr">
        <is>
          <t>Stated build-up</t>
        </is>
      </c>
      <c r="T542" s="12" t="inlineStr">
        <is>
          <t>High</t>
        </is>
      </c>
      <c r="U542" s="8" t="n">
        <v>3.92</v>
      </c>
      <c r="V542" s="13">
        <f>IF(U542="","",ROUND(M542-U542,2))</f>
        <v/>
      </c>
      <c r="W542" s="5" t="n"/>
      <c r="X542" s="5" t="inlineStr">
        <is>
          <t>Labour + plant + material as published; reconciles to the published rate.</t>
        </is>
      </c>
    </row>
    <row r="543" ht="13" customHeight="1">
      <c r="A543" s="4" t="n">
        <v>952</v>
      </c>
      <c r="B543" s="5" t="inlineStr">
        <is>
          <t>IMG_0078</t>
        </is>
      </c>
      <c r="C543" s="5" t="inlineStr">
        <is>
          <t>CLASS E: EARTHWORKS</t>
        </is>
      </c>
      <c r="D543" s="5" t="inlineStr">
        <is>
          <t>07 FILLING ANCILLARIES</t>
        </is>
      </c>
      <c r="E543" s="5" t="inlineStr">
        <is>
          <t>Trimming of filled surfaces; Material other than topsoil, rock or artificial hard material</t>
        </is>
      </c>
      <c r="F543" s="5" t="inlineStr">
        <is>
          <t>inclined at an angle of 10-45 deg to horizontal</t>
        </is>
      </c>
      <c r="G543" s="6" t="inlineStr">
        <is>
          <t>m2</t>
        </is>
      </c>
      <c r="H543" s="7" t="n">
        <v>0.02</v>
      </c>
      <c r="I543" s="8" t="n">
        <v>0.92</v>
      </c>
      <c r="J543" s="8" t="n">
        <v>3.01</v>
      </c>
      <c r="K543" s="8" t="n">
        <v>0</v>
      </c>
      <c r="L543" s="8" t="n">
        <v>0</v>
      </c>
      <c r="M543" s="9">
        <f>ROUND(SUM(I543:L543),2)</f>
        <v/>
      </c>
      <c r="N543" s="10">
        <f>ROUND(I543*'Irish Basis'!$C$6*'Irish Basis'!$C$5,2)</f>
        <v/>
      </c>
      <c r="O543" s="10">
        <f>ROUND(J543*'Irish Basis'!$C$7*'Irish Basis'!$C$5,2)</f>
        <v/>
      </c>
      <c r="P543" s="10">
        <f>ROUND(K543*'Irish Basis'!$C$8*'Irish Basis'!$C$5,2)</f>
        <v/>
      </c>
      <c r="Q543" s="10">
        <f>ROUND(L543*'Irish Basis'!$C$12*'Irish Basis'!$C$5,2)</f>
        <v/>
      </c>
      <c r="R543" s="11">
        <f>ROUND(SUM(N543:Q543),2)</f>
        <v/>
      </c>
      <c r="S543" s="5" t="inlineStr">
        <is>
          <t>Stated build-up</t>
        </is>
      </c>
      <c r="T543" s="12" t="inlineStr">
        <is>
          <t>High</t>
        </is>
      </c>
      <c r="U543" s="8" t="n">
        <v>3.92</v>
      </c>
      <c r="V543" s="13">
        <f>IF(U543="","",ROUND(M543-U543,2))</f>
        <v/>
      </c>
      <c r="W543" s="5" t="n"/>
      <c r="X543" s="5" t="inlineStr">
        <is>
          <t>Labour + plant + material as published; reconciles to the published rate.</t>
        </is>
      </c>
    </row>
    <row r="544" ht="13" customHeight="1">
      <c r="A544" s="4" t="n">
        <v>953</v>
      </c>
      <c r="B544" s="5" t="inlineStr">
        <is>
          <t>IMG_0078</t>
        </is>
      </c>
      <c r="C544" s="5" t="inlineStr">
        <is>
          <t>CLASS E: EARTHWORKS</t>
        </is>
      </c>
      <c r="D544" s="5" t="inlineStr">
        <is>
          <t>07 FILLING ANCILLARIES</t>
        </is>
      </c>
      <c r="E544" s="5" t="inlineStr">
        <is>
          <t>Trimming of filled surfaces; Material other than topsoil, rock or artificial hard material</t>
        </is>
      </c>
      <c r="F544" s="5" t="inlineStr">
        <is>
          <t>inclined at an angle of 45-90 deg to horizontal</t>
        </is>
      </c>
      <c r="G544" s="6" t="inlineStr">
        <is>
          <t>m2</t>
        </is>
      </c>
      <c r="H544" s="7" t="n">
        <v>0.03</v>
      </c>
      <c r="I544" s="8" t="n">
        <v>1.18</v>
      </c>
      <c r="J544" s="8" t="n">
        <v>3.86</v>
      </c>
      <c r="K544" s="8" t="n">
        <v>0</v>
      </c>
      <c r="L544" s="8" t="n">
        <v>0</v>
      </c>
      <c r="M544" s="9">
        <f>ROUND(SUM(I544:L544),2)</f>
        <v/>
      </c>
      <c r="N544" s="10">
        <f>ROUND(I544*'Irish Basis'!$C$6*'Irish Basis'!$C$5,2)</f>
        <v/>
      </c>
      <c r="O544" s="10">
        <f>ROUND(J544*'Irish Basis'!$C$7*'Irish Basis'!$C$5,2)</f>
        <v/>
      </c>
      <c r="P544" s="10">
        <f>ROUND(K544*'Irish Basis'!$C$8*'Irish Basis'!$C$5,2)</f>
        <v/>
      </c>
      <c r="Q544" s="10">
        <f>ROUND(L544*'Irish Basis'!$C$12*'Irish Basis'!$C$5,2)</f>
        <v/>
      </c>
      <c r="R544" s="11">
        <f>ROUND(SUM(N544:Q544),2)</f>
        <v/>
      </c>
      <c r="S544" s="5" t="inlineStr">
        <is>
          <t>Stated build-up</t>
        </is>
      </c>
      <c r="T544" s="12" t="inlineStr">
        <is>
          <t>High</t>
        </is>
      </c>
      <c r="U544" s="8" t="n">
        <v>5.04</v>
      </c>
      <c r="V544" s="13">
        <f>IF(U544="","",ROUND(M544-U544,2))</f>
        <v/>
      </c>
      <c r="W544" s="5" t="n"/>
      <c r="X544" s="5" t="inlineStr">
        <is>
          <t>Labour + plant + material as published; reconciles to the published rate.</t>
        </is>
      </c>
    </row>
    <row r="545" ht="13" customHeight="1">
      <c r="A545" s="4" t="n">
        <v>955</v>
      </c>
      <c r="B545" s="5" t="inlineStr">
        <is>
          <t>IMG_0078</t>
        </is>
      </c>
      <c r="C545" s="5" t="inlineStr">
        <is>
          <t>CLASS E: EARTHWORKS</t>
        </is>
      </c>
      <c r="D545" s="5" t="inlineStr">
        <is>
          <t>07 FILLING ANCILLARIES</t>
        </is>
      </c>
      <c r="E545" s="5" t="inlineStr">
        <is>
          <t>Trimming of filled surfaces; Rock</t>
        </is>
      </c>
      <c r="F545" s="5" t="inlineStr">
        <is>
          <t>horizontal</t>
        </is>
      </c>
      <c r="G545" s="6" t="inlineStr">
        <is>
          <t>m2</t>
        </is>
      </c>
      <c r="H545" s="7" t="n">
        <v>0.51</v>
      </c>
      <c r="I545" s="8" t="n">
        <v>22.26</v>
      </c>
      <c r="J545" s="8" t="n">
        <v>72.98999999999999</v>
      </c>
      <c r="K545" s="8" t="n">
        <v>0</v>
      </c>
      <c r="L545" s="8" t="n">
        <v>0</v>
      </c>
      <c r="M545" s="9">
        <f>ROUND(SUM(I545:L545),2)</f>
        <v/>
      </c>
      <c r="N545" s="10">
        <f>ROUND(I545*'Irish Basis'!$C$6*'Irish Basis'!$C$5,2)</f>
        <v/>
      </c>
      <c r="O545" s="10">
        <f>ROUND(J545*'Irish Basis'!$C$7*'Irish Basis'!$C$5,2)</f>
        <v/>
      </c>
      <c r="P545" s="10">
        <f>ROUND(K545*'Irish Basis'!$C$8*'Irish Basis'!$C$5,2)</f>
        <v/>
      </c>
      <c r="Q545" s="10">
        <f>ROUND(L545*'Irish Basis'!$C$12*'Irish Basis'!$C$5,2)</f>
        <v/>
      </c>
      <c r="R545" s="11">
        <f>ROUND(SUM(N545:Q545),2)</f>
        <v/>
      </c>
      <c r="S545" s="5" t="inlineStr">
        <is>
          <t>Stated build-up</t>
        </is>
      </c>
      <c r="T545" s="12" t="inlineStr">
        <is>
          <t>High</t>
        </is>
      </c>
      <c r="U545" s="8" t="n">
        <v>95.25</v>
      </c>
      <c r="V545" s="13">
        <f>IF(U545="","",ROUND(M545-U545,2))</f>
        <v/>
      </c>
      <c r="W545" s="5" t="n"/>
      <c r="X545" s="5" t="inlineStr">
        <is>
          <t>Labour + plant + material as published; reconciles to the published rate.</t>
        </is>
      </c>
    </row>
    <row r="546" ht="13" customHeight="1">
      <c r="A546" s="4" t="n">
        <v>956</v>
      </c>
      <c r="B546" s="5" t="inlineStr">
        <is>
          <t>IMG_0078</t>
        </is>
      </c>
      <c r="C546" s="5" t="inlineStr">
        <is>
          <t>CLASS E: EARTHWORKS</t>
        </is>
      </c>
      <c r="D546" s="5" t="inlineStr">
        <is>
          <t>07 FILLING ANCILLARIES</t>
        </is>
      </c>
      <c r="E546" s="5" t="inlineStr">
        <is>
          <t>Trimming of filled surfaces; Rock</t>
        </is>
      </c>
      <c r="F546" s="5" t="inlineStr">
        <is>
          <t>inclined at an angle of 10-45 deg to horizontal</t>
        </is>
      </c>
      <c r="G546" s="6" t="inlineStr">
        <is>
          <t>m2</t>
        </is>
      </c>
      <c r="H546" s="7" t="n">
        <v>0.52</v>
      </c>
      <c r="I546" s="8" t="n">
        <v>22.7</v>
      </c>
      <c r="J546" s="8" t="n">
        <v>74.42</v>
      </c>
      <c r="K546" s="8" t="n">
        <v>0</v>
      </c>
      <c r="L546" s="8" t="n">
        <v>0</v>
      </c>
      <c r="M546" s="9">
        <f>ROUND(SUM(I546:L546),2)</f>
        <v/>
      </c>
      <c r="N546" s="10">
        <f>ROUND(I546*'Irish Basis'!$C$6*'Irish Basis'!$C$5,2)</f>
        <v/>
      </c>
      <c r="O546" s="10">
        <f>ROUND(J546*'Irish Basis'!$C$7*'Irish Basis'!$C$5,2)</f>
        <v/>
      </c>
      <c r="P546" s="10">
        <f>ROUND(K546*'Irish Basis'!$C$8*'Irish Basis'!$C$5,2)</f>
        <v/>
      </c>
      <c r="Q546" s="10">
        <f>ROUND(L546*'Irish Basis'!$C$12*'Irish Basis'!$C$5,2)</f>
        <v/>
      </c>
      <c r="R546" s="11">
        <f>ROUND(SUM(N546:Q546),2)</f>
        <v/>
      </c>
      <c r="S546" s="5" t="inlineStr">
        <is>
          <t>Stated build-up</t>
        </is>
      </c>
      <c r="T546" s="12" t="inlineStr">
        <is>
          <t>High</t>
        </is>
      </c>
      <c r="U546" s="8" t="n">
        <v>97.12</v>
      </c>
      <c r="V546" s="13">
        <f>IF(U546="","",ROUND(M546-U546,2))</f>
        <v/>
      </c>
      <c r="W546" s="5" t="n"/>
      <c r="X546" s="5" t="inlineStr">
        <is>
          <t>Labour + plant + material as published; reconciles to the published rate.</t>
        </is>
      </c>
    </row>
    <row r="547" ht="13" customHeight="1">
      <c r="A547" s="4" t="n">
        <v>957</v>
      </c>
      <c r="B547" s="5" t="inlineStr">
        <is>
          <t>IMG_0078</t>
        </is>
      </c>
      <c r="C547" s="5" t="inlineStr">
        <is>
          <t>CLASS E: EARTHWORKS</t>
        </is>
      </c>
      <c r="D547" s="5" t="inlineStr">
        <is>
          <t>07 FILLING ANCILLARIES</t>
        </is>
      </c>
      <c r="E547" s="5" t="inlineStr">
        <is>
          <t>Trimming of filled surfaces; Rock</t>
        </is>
      </c>
      <c r="F547" s="5" t="inlineStr">
        <is>
          <t>inclined at an angle of 45-90 deg to horizontal</t>
        </is>
      </c>
      <c r="G547" s="6" t="inlineStr">
        <is>
          <t>m2</t>
        </is>
      </c>
      <c r="H547" s="7" t="n">
        <v>0.7</v>
      </c>
      <c r="I547" s="8" t="n">
        <v>30.56</v>
      </c>
      <c r="J547" s="8" t="n">
        <v>100.18</v>
      </c>
      <c r="K547" s="8" t="n">
        <v>0</v>
      </c>
      <c r="L547" s="8" t="n">
        <v>0</v>
      </c>
      <c r="M547" s="9">
        <f>ROUND(SUM(I547:L547),2)</f>
        <v/>
      </c>
      <c r="N547" s="10">
        <f>ROUND(I547*'Irish Basis'!$C$6*'Irish Basis'!$C$5,2)</f>
        <v/>
      </c>
      <c r="O547" s="10">
        <f>ROUND(J547*'Irish Basis'!$C$7*'Irish Basis'!$C$5,2)</f>
        <v/>
      </c>
      <c r="P547" s="10">
        <f>ROUND(K547*'Irish Basis'!$C$8*'Irish Basis'!$C$5,2)</f>
        <v/>
      </c>
      <c r="Q547" s="10">
        <f>ROUND(L547*'Irish Basis'!$C$12*'Irish Basis'!$C$5,2)</f>
        <v/>
      </c>
      <c r="R547" s="11">
        <f>ROUND(SUM(N547:Q547),2)</f>
        <v/>
      </c>
      <c r="S547" s="5" t="inlineStr">
        <is>
          <t>Stated build-up</t>
        </is>
      </c>
      <c r="T547" s="12" t="inlineStr">
        <is>
          <t>High</t>
        </is>
      </c>
      <c r="U547" s="8" t="n">
        <v>130.73</v>
      </c>
      <c r="V547" s="13">
        <f>IF(U547="","",ROUND(M547-U547,2))</f>
        <v/>
      </c>
      <c r="W547" s="5" t="n"/>
      <c r="X547" s="5" t="inlineStr">
        <is>
          <t>Labour + plant + material as published; reconciles to the published rate.</t>
        </is>
      </c>
    </row>
    <row r="548" ht="13" customHeight="1">
      <c r="A548" s="4" t="n">
        <v>959</v>
      </c>
      <c r="B548" s="5" t="inlineStr">
        <is>
          <t>IMG_0078</t>
        </is>
      </c>
      <c r="C548" s="5" t="inlineStr">
        <is>
          <t>CLASS E: EARTHWORKS</t>
        </is>
      </c>
      <c r="D548" s="5" t="inlineStr">
        <is>
          <t>07 FILLING ANCILLARIES</t>
        </is>
      </c>
      <c r="E548" s="5" t="inlineStr">
        <is>
          <t>Preparation of filled surfaces; Topsoil</t>
        </is>
      </c>
      <c r="F548" s="5" t="inlineStr">
        <is>
          <t>horizontal</t>
        </is>
      </c>
      <c r="G548" s="6" t="inlineStr">
        <is>
          <t>m2</t>
        </is>
      </c>
      <c r="H548" s="7" t="n">
        <v>0.03</v>
      </c>
      <c r="I548" s="8" t="n">
        <v>1.35</v>
      </c>
      <c r="J548" s="8" t="n">
        <v>4.29</v>
      </c>
      <c r="K548" s="8" t="n">
        <v>0</v>
      </c>
      <c r="L548" s="8" t="n">
        <v>0</v>
      </c>
      <c r="M548" s="9">
        <f>ROUND(SUM(I548:L548),2)</f>
        <v/>
      </c>
      <c r="N548" s="10">
        <f>ROUND(I548*'Irish Basis'!$C$6*'Irish Basis'!$C$5,2)</f>
        <v/>
      </c>
      <c r="O548" s="10">
        <f>ROUND(J548*'Irish Basis'!$C$7*'Irish Basis'!$C$5,2)</f>
        <v/>
      </c>
      <c r="P548" s="10">
        <f>ROUND(K548*'Irish Basis'!$C$8*'Irish Basis'!$C$5,2)</f>
        <v/>
      </c>
      <c r="Q548" s="10">
        <f>ROUND(L548*'Irish Basis'!$C$12*'Irish Basis'!$C$5,2)</f>
        <v/>
      </c>
      <c r="R548" s="11">
        <f>ROUND(SUM(N548:Q548),2)</f>
        <v/>
      </c>
      <c r="S548" s="5" t="inlineStr">
        <is>
          <t>Stated build-up</t>
        </is>
      </c>
      <c r="T548" s="12" t="inlineStr">
        <is>
          <t>High</t>
        </is>
      </c>
      <c r="U548" s="8" t="n">
        <v>5.64</v>
      </c>
      <c r="V548" s="13">
        <f>IF(U548="","",ROUND(M548-U548,2))</f>
        <v/>
      </c>
      <c r="W548" s="5" t="n"/>
      <c r="X548" s="5" t="inlineStr">
        <is>
          <t>Labour + plant + material as published; reconciles to the published rate.</t>
        </is>
      </c>
    </row>
    <row r="549" ht="13" customHeight="1">
      <c r="A549" s="4" t="n">
        <v>960</v>
      </c>
      <c r="B549" s="5" t="inlineStr">
        <is>
          <t>IMG_0078</t>
        </is>
      </c>
      <c r="C549" s="5" t="inlineStr">
        <is>
          <t>CLASS E: EARTHWORKS</t>
        </is>
      </c>
      <c r="D549" s="5" t="inlineStr">
        <is>
          <t>07 FILLING ANCILLARIES</t>
        </is>
      </c>
      <c r="E549" s="5" t="inlineStr">
        <is>
          <t>Preparation of filled surfaces; Topsoil</t>
        </is>
      </c>
      <c r="F549" s="5" t="inlineStr">
        <is>
          <t>inclined at an angle of 10-45 deg to horizontal</t>
        </is>
      </c>
      <c r="G549" s="6" t="inlineStr">
        <is>
          <t>m2</t>
        </is>
      </c>
      <c r="H549" s="7" t="n">
        <v>0.03</v>
      </c>
      <c r="I549" s="8" t="n">
        <v>1.35</v>
      </c>
      <c r="J549" s="8" t="n">
        <v>4.29</v>
      </c>
      <c r="K549" s="8" t="n">
        <v>0</v>
      </c>
      <c r="L549" s="8" t="n">
        <v>0</v>
      </c>
      <c r="M549" s="9">
        <f>ROUND(SUM(I549:L549),2)</f>
        <v/>
      </c>
      <c r="N549" s="10">
        <f>ROUND(I549*'Irish Basis'!$C$6*'Irish Basis'!$C$5,2)</f>
        <v/>
      </c>
      <c r="O549" s="10">
        <f>ROUND(J549*'Irish Basis'!$C$7*'Irish Basis'!$C$5,2)</f>
        <v/>
      </c>
      <c r="P549" s="10">
        <f>ROUND(K549*'Irish Basis'!$C$8*'Irish Basis'!$C$5,2)</f>
        <v/>
      </c>
      <c r="Q549" s="10">
        <f>ROUND(L549*'Irish Basis'!$C$12*'Irish Basis'!$C$5,2)</f>
        <v/>
      </c>
      <c r="R549" s="11">
        <f>ROUND(SUM(N549:Q549),2)</f>
        <v/>
      </c>
      <c r="S549" s="5" t="inlineStr">
        <is>
          <t>Stated build-up</t>
        </is>
      </c>
      <c r="T549" s="12" t="inlineStr">
        <is>
          <t>High</t>
        </is>
      </c>
      <c r="U549" s="8" t="n">
        <v>5.64</v>
      </c>
      <c r="V549" s="13">
        <f>IF(U549="","",ROUND(M549-U549,2))</f>
        <v/>
      </c>
      <c r="W549" s="5" t="n"/>
      <c r="X549" s="5" t="inlineStr">
        <is>
          <t>Labour + plant + material as published; reconciles to the published rate.</t>
        </is>
      </c>
    </row>
    <row r="550" ht="13" customHeight="1">
      <c r="A550" s="4" t="n">
        <v>962</v>
      </c>
      <c r="B550" s="5" t="inlineStr">
        <is>
          <t>IMG_0079</t>
        </is>
      </c>
      <c r="C550" s="5" t="inlineStr">
        <is>
          <t>CLASS E: EARTHWORKS</t>
        </is>
      </c>
      <c r="D550" s="5" t="inlineStr">
        <is>
          <t>07 FILLING ANCILLARIES</t>
        </is>
      </c>
      <c r="E550" s="5" t="inlineStr">
        <is>
          <t>Preparation of filled surfaces; Topsoil (continued)</t>
        </is>
      </c>
      <c r="F550" s="5" t="inlineStr">
        <is>
          <t>inclined at an angle of 45-90 deg to horizontal</t>
        </is>
      </c>
      <c r="G550" s="6" t="inlineStr">
        <is>
          <t>m2</t>
        </is>
      </c>
      <c r="H550" s="7" t="n">
        <v>0.04</v>
      </c>
      <c r="I550" s="8" t="n">
        <v>1.66</v>
      </c>
      <c r="J550" s="8" t="n">
        <v>5.3</v>
      </c>
      <c r="K550" s="8" t="n">
        <v>0</v>
      </c>
      <c r="L550" s="8" t="n">
        <v>0</v>
      </c>
      <c r="M550" s="9">
        <f>ROUND(SUM(I550:L550),2)</f>
        <v/>
      </c>
      <c r="N550" s="10">
        <f>ROUND(I550*'Irish Basis'!$C$6*'Irish Basis'!$C$5,2)</f>
        <v/>
      </c>
      <c r="O550" s="10">
        <f>ROUND(J550*'Irish Basis'!$C$7*'Irish Basis'!$C$5,2)</f>
        <v/>
      </c>
      <c r="P550" s="10">
        <f>ROUND(K550*'Irish Basis'!$C$8*'Irish Basis'!$C$5,2)</f>
        <v/>
      </c>
      <c r="Q550" s="10">
        <f>ROUND(L550*'Irish Basis'!$C$12*'Irish Basis'!$C$5,2)</f>
        <v/>
      </c>
      <c r="R550" s="11">
        <f>ROUND(SUM(N550:Q550),2)</f>
        <v/>
      </c>
      <c r="S550" s="5" t="inlineStr">
        <is>
          <t>Stated build-up</t>
        </is>
      </c>
      <c r="T550" s="12" t="inlineStr">
        <is>
          <t>High</t>
        </is>
      </c>
      <c r="U550" s="8" t="n">
        <v>6.96</v>
      </c>
      <c r="V550" s="13">
        <f>IF(U550="","",ROUND(M550-U550,2))</f>
        <v/>
      </c>
      <c r="W550" s="5" t="n"/>
      <c r="X550" s="5" t="inlineStr">
        <is>
          <t>Labour + plant + material as published; reconciles to the published rate.</t>
        </is>
      </c>
    </row>
    <row r="551" ht="13" customHeight="1">
      <c r="A551" s="4" t="n">
        <v>964</v>
      </c>
      <c r="B551" s="5" t="inlineStr">
        <is>
          <t>IMG_0079</t>
        </is>
      </c>
      <c r="C551" s="5" t="inlineStr">
        <is>
          <t>CLASS E: EARTHWORKS</t>
        </is>
      </c>
      <c r="D551" s="5" t="inlineStr">
        <is>
          <t>07 FILLING ANCILLARIES</t>
        </is>
      </c>
      <c r="E551" s="5" t="inlineStr">
        <is>
          <t>Preparation of filled surfaces; Material other than topsoil, rock or artificial hard material</t>
        </is>
      </c>
      <c r="F551" s="5" t="inlineStr">
        <is>
          <t>horizontal</t>
        </is>
      </c>
      <c r="G551" s="6" t="inlineStr">
        <is>
          <t>m2</t>
        </is>
      </c>
      <c r="H551" s="7" t="n">
        <v>0.03</v>
      </c>
      <c r="I551" s="8" t="n">
        <v>1.35</v>
      </c>
      <c r="J551" s="8" t="n">
        <v>4.29</v>
      </c>
      <c r="K551" s="8" t="n">
        <v>0</v>
      </c>
      <c r="L551" s="8" t="n">
        <v>0</v>
      </c>
      <c r="M551" s="9">
        <f>ROUND(SUM(I551:L551),2)</f>
        <v/>
      </c>
      <c r="N551" s="10">
        <f>ROUND(I551*'Irish Basis'!$C$6*'Irish Basis'!$C$5,2)</f>
        <v/>
      </c>
      <c r="O551" s="10">
        <f>ROUND(J551*'Irish Basis'!$C$7*'Irish Basis'!$C$5,2)</f>
        <v/>
      </c>
      <c r="P551" s="10">
        <f>ROUND(K551*'Irish Basis'!$C$8*'Irish Basis'!$C$5,2)</f>
        <v/>
      </c>
      <c r="Q551" s="10">
        <f>ROUND(L551*'Irish Basis'!$C$12*'Irish Basis'!$C$5,2)</f>
        <v/>
      </c>
      <c r="R551" s="11">
        <f>ROUND(SUM(N551:Q551),2)</f>
        <v/>
      </c>
      <c r="S551" s="5" t="inlineStr">
        <is>
          <t>Stated build-up</t>
        </is>
      </c>
      <c r="T551" s="12" t="inlineStr">
        <is>
          <t>High</t>
        </is>
      </c>
      <c r="U551" s="8" t="n">
        <v>5.64</v>
      </c>
      <c r="V551" s="13">
        <f>IF(U551="","",ROUND(M551-U551,2))</f>
        <v/>
      </c>
      <c r="W551" s="5" t="n"/>
      <c r="X551" s="5" t="inlineStr">
        <is>
          <t>Labour + plant + material as published; reconciles to the published rate.</t>
        </is>
      </c>
    </row>
    <row r="552" ht="13" customHeight="1">
      <c r="A552" s="4" t="n">
        <v>965</v>
      </c>
      <c r="B552" s="5" t="inlineStr">
        <is>
          <t>IMG_0079</t>
        </is>
      </c>
      <c r="C552" s="5" t="inlineStr">
        <is>
          <t>CLASS E: EARTHWORKS</t>
        </is>
      </c>
      <c r="D552" s="5" t="inlineStr">
        <is>
          <t>07 FILLING ANCILLARIES</t>
        </is>
      </c>
      <c r="E552" s="5" t="inlineStr">
        <is>
          <t>Preparation of filled surfaces; Material other than topsoil, rock or artificial hard material</t>
        </is>
      </c>
      <c r="F552" s="5" t="inlineStr">
        <is>
          <t>inclined at an angle of 10-45 deg to horizontal</t>
        </is>
      </c>
      <c r="G552" s="6" t="inlineStr">
        <is>
          <t>m2</t>
        </is>
      </c>
      <c r="H552" s="7" t="n">
        <v>0.03</v>
      </c>
      <c r="I552" s="8" t="n">
        <v>1.35</v>
      </c>
      <c r="J552" s="8" t="n">
        <v>4.29</v>
      </c>
      <c r="K552" s="8" t="n">
        <v>0</v>
      </c>
      <c r="L552" s="8" t="n">
        <v>0</v>
      </c>
      <c r="M552" s="9">
        <f>ROUND(SUM(I552:L552),2)</f>
        <v/>
      </c>
      <c r="N552" s="10">
        <f>ROUND(I552*'Irish Basis'!$C$6*'Irish Basis'!$C$5,2)</f>
        <v/>
      </c>
      <c r="O552" s="10">
        <f>ROUND(J552*'Irish Basis'!$C$7*'Irish Basis'!$C$5,2)</f>
        <v/>
      </c>
      <c r="P552" s="10">
        <f>ROUND(K552*'Irish Basis'!$C$8*'Irish Basis'!$C$5,2)</f>
        <v/>
      </c>
      <c r="Q552" s="10">
        <f>ROUND(L552*'Irish Basis'!$C$12*'Irish Basis'!$C$5,2)</f>
        <v/>
      </c>
      <c r="R552" s="11">
        <f>ROUND(SUM(N552:Q552),2)</f>
        <v/>
      </c>
      <c r="S552" s="5" t="inlineStr">
        <is>
          <t>Stated build-up</t>
        </is>
      </c>
      <c r="T552" s="12" t="inlineStr">
        <is>
          <t>High</t>
        </is>
      </c>
      <c r="U552" s="8" t="n">
        <v>5.64</v>
      </c>
      <c r="V552" s="13">
        <f>IF(U552="","",ROUND(M552-U552,2))</f>
        <v/>
      </c>
      <c r="W552" s="5" t="n"/>
      <c r="X552" s="5" t="inlineStr">
        <is>
          <t>Labour + plant + material as published; reconciles to the published rate.</t>
        </is>
      </c>
    </row>
    <row r="553" ht="13" customHeight="1">
      <c r="A553" s="4" t="n">
        <v>966</v>
      </c>
      <c r="B553" s="5" t="inlineStr">
        <is>
          <t>IMG_0079</t>
        </is>
      </c>
      <c r="C553" s="5" t="inlineStr">
        <is>
          <t>CLASS E: EARTHWORKS</t>
        </is>
      </c>
      <c r="D553" s="5" t="inlineStr">
        <is>
          <t>07 FILLING ANCILLARIES</t>
        </is>
      </c>
      <c r="E553" s="5" t="inlineStr">
        <is>
          <t>Preparation of filled surfaces; Material other than topsoil, rock or artificial hard material</t>
        </is>
      </c>
      <c r="F553" s="5" t="inlineStr">
        <is>
          <t>inclined at an angle of 45-90 deg to horizontal</t>
        </is>
      </c>
      <c r="G553" s="6" t="inlineStr">
        <is>
          <t>m2</t>
        </is>
      </c>
      <c r="H553" s="7" t="n">
        <v>0.04</v>
      </c>
      <c r="I553" s="8" t="n">
        <v>1.66</v>
      </c>
      <c r="J553" s="8" t="n">
        <v>5.3</v>
      </c>
      <c r="K553" s="8" t="n">
        <v>0</v>
      </c>
      <c r="L553" s="8" t="n">
        <v>0</v>
      </c>
      <c r="M553" s="9">
        <f>ROUND(SUM(I553:L553),2)</f>
        <v/>
      </c>
      <c r="N553" s="10">
        <f>ROUND(I553*'Irish Basis'!$C$6*'Irish Basis'!$C$5,2)</f>
        <v/>
      </c>
      <c r="O553" s="10">
        <f>ROUND(J553*'Irish Basis'!$C$7*'Irish Basis'!$C$5,2)</f>
        <v/>
      </c>
      <c r="P553" s="10">
        <f>ROUND(K553*'Irish Basis'!$C$8*'Irish Basis'!$C$5,2)</f>
        <v/>
      </c>
      <c r="Q553" s="10">
        <f>ROUND(L553*'Irish Basis'!$C$12*'Irish Basis'!$C$5,2)</f>
        <v/>
      </c>
      <c r="R553" s="11">
        <f>ROUND(SUM(N553:Q553),2)</f>
        <v/>
      </c>
      <c r="S553" s="5" t="inlineStr">
        <is>
          <t>Stated build-up</t>
        </is>
      </c>
      <c r="T553" s="12" t="inlineStr">
        <is>
          <t>High</t>
        </is>
      </c>
      <c r="U553" s="8" t="n">
        <v>6.96</v>
      </c>
      <c r="V553" s="13">
        <f>IF(U553="","",ROUND(M553-U553,2))</f>
        <v/>
      </c>
      <c r="W553" s="5" t="n"/>
      <c r="X553" s="5" t="inlineStr">
        <is>
          <t>Labour + plant + material as published; reconciles to the published rate.</t>
        </is>
      </c>
    </row>
    <row r="554" ht="13" customHeight="1">
      <c r="A554" s="4" t="n">
        <v>968</v>
      </c>
      <c r="B554" s="5" t="inlineStr">
        <is>
          <t>IMG_0079</t>
        </is>
      </c>
      <c r="C554" s="5" t="inlineStr">
        <is>
          <t>CLASS E: EARTHWORKS</t>
        </is>
      </c>
      <c r="D554" s="5" t="inlineStr">
        <is>
          <t>07 FILLING ANCILLARIES</t>
        </is>
      </c>
      <c r="E554" s="5" t="inlineStr">
        <is>
          <t>Preparation of filled surfaces; Rock</t>
        </is>
      </c>
      <c r="F554" s="5" t="inlineStr">
        <is>
          <t>horizontal</t>
        </is>
      </c>
      <c r="G554" s="6" t="inlineStr">
        <is>
          <t>m2</t>
        </is>
      </c>
      <c r="H554" s="7" t="n">
        <v>0.33</v>
      </c>
      <c r="I554" s="8" t="n">
        <v>14.82</v>
      </c>
      <c r="J554" s="8" t="n">
        <v>47.23</v>
      </c>
      <c r="K554" s="8" t="n">
        <v>0</v>
      </c>
      <c r="L554" s="8" t="n">
        <v>0</v>
      </c>
      <c r="M554" s="9">
        <f>ROUND(SUM(I554:L554),2)</f>
        <v/>
      </c>
      <c r="N554" s="10">
        <f>ROUND(I554*'Irish Basis'!$C$6*'Irish Basis'!$C$5,2)</f>
        <v/>
      </c>
      <c r="O554" s="10">
        <f>ROUND(J554*'Irish Basis'!$C$7*'Irish Basis'!$C$5,2)</f>
        <v/>
      </c>
      <c r="P554" s="10">
        <f>ROUND(K554*'Irish Basis'!$C$8*'Irish Basis'!$C$5,2)</f>
        <v/>
      </c>
      <c r="Q554" s="10">
        <f>ROUND(L554*'Irish Basis'!$C$12*'Irish Basis'!$C$5,2)</f>
        <v/>
      </c>
      <c r="R554" s="11">
        <f>ROUND(SUM(N554:Q554),2)</f>
        <v/>
      </c>
      <c r="S554" s="5" t="inlineStr">
        <is>
          <t>Stated build-up</t>
        </is>
      </c>
      <c r="T554" s="12" t="inlineStr">
        <is>
          <t>High</t>
        </is>
      </c>
      <c r="U554" s="8" t="n">
        <v>62.04</v>
      </c>
      <c r="V554" s="13">
        <f>IF(U554="","",ROUND(M554-U554,2))</f>
        <v/>
      </c>
      <c r="W554" s="5" t="n"/>
      <c r="X554" s="5" t="inlineStr">
        <is>
          <t>Labour + plant + material as published; reconciles to the published rate.</t>
        </is>
      </c>
    </row>
    <row r="555" ht="13" customHeight="1">
      <c r="A555" s="4" t="n">
        <v>969</v>
      </c>
      <c r="B555" s="5" t="inlineStr">
        <is>
          <t>IMG_0079</t>
        </is>
      </c>
      <c r="C555" s="5" t="inlineStr">
        <is>
          <t>CLASS E: EARTHWORKS</t>
        </is>
      </c>
      <c r="D555" s="5" t="inlineStr">
        <is>
          <t>07 FILLING ANCILLARIES</t>
        </is>
      </c>
      <c r="E555" s="5" t="inlineStr">
        <is>
          <t>Preparation of filled surfaces; Rock</t>
        </is>
      </c>
      <c r="F555" s="5" t="inlineStr">
        <is>
          <t>inclined at an angle of 10-45 deg to horizontal</t>
        </is>
      </c>
      <c r="G555" s="6" t="inlineStr">
        <is>
          <t>m2</t>
        </is>
      </c>
      <c r="H555" s="7" t="n">
        <v>0.33</v>
      </c>
      <c r="I555" s="8" t="n">
        <v>14.82</v>
      </c>
      <c r="J555" s="8" t="n">
        <v>47.23</v>
      </c>
      <c r="K555" s="8" t="n">
        <v>0</v>
      </c>
      <c r="L555" s="8" t="n">
        <v>0</v>
      </c>
      <c r="M555" s="9">
        <f>ROUND(SUM(I555:L555),2)</f>
        <v/>
      </c>
      <c r="N555" s="10">
        <f>ROUND(I555*'Irish Basis'!$C$6*'Irish Basis'!$C$5,2)</f>
        <v/>
      </c>
      <c r="O555" s="10">
        <f>ROUND(J555*'Irish Basis'!$C$7*'Irish Basis'!$C$5,2)</f>
        <v/>
      </c>
      <c r="P555" s="10">
        <f>ROUND(K555*'Irish Basis'!$C$8*'Irish Basis'!$C$5,2)</f>
        <v/>
      </c>
      <c r="Q555" s="10">
        <f>ROUND(L555*'Irish Basis'!$C$12*'Irish Basis'!$C$5,2)</f>
        <v/>
      </c>
      <c r="R555" s="11">
        <f>ROUND(SUM(N555:Q555),2)</f>
        <v/>
      </c>
      <c r="S555" s="5" t="inlineStr">
        <is>
          <t>Stated build-up</t>
        </is>
      </c>
      <c r="T555" s="12" t="inlineStr">
        <is>
          <t>High</t>
        </is>
      </c>
      <c r="U555" s="8" t="n">
        <v>62.04</v>
      </c>
      <c r="V555" s="13">
        <f>IF(U555="","",ROUND(M555-U555,2))</f>
        <v/>
      </c>
      <c r="W555" s="5" t="n"/>
      <c r="X555" s="5" t="inlineStr">
        <is>
          <t>Labour + plant + material as published; reconciles to the published rate.</t>
        </is>
      </c>
    </row>
    <row r="556" ht="13" customHeight="1">
      <c r="A556" s="4" t="n">
        <v>970</v>
      </c>
      <c r="B556" s="5" t="inlineStr">
        <is>
          <t>IMG_0079</t>
        </is>
      </c>
      <c r="C556" s="5" t="inlineStr">
        <is>
          <t>CLASS E: EARTHWORKS</t>
        </is>
      </c>
      <c r="D556" s="5" t="inlineStr">
        <is>
          <t>07 FILLING ANCILLARIES</t>
        </is>
      </c>
      <c r="E556" s="5" t="inlineStr">
        <is>
          <t>Preparation of filled surfaces; Rock</t>
        </is>
      </c>
      <c r="F556" s="5" t="inlineStr">
        <is>
          <t>inclined at an angle of 45-90 deg to horizontal</t>
        </is>
      </c>
      <c r="G556" s="6" t="inlineStr">
        <is>
          <t>m2</t>
        </is>
      </c>
      <c r="H556" s="7" t="n">
        <v>0.52</v>
      </c>
      <c r="I556" s="8" t="n">
        <v>23.35</v>
      </c>
      <c r="J556" s="8" t="n">
        <v>74.42</v>
      </c>
      <c r="K556" s="8" t="n">
        <v>0</v>
      </c>
      <c r="L556" s="8" t="n">
        <v>0</v>
      </c>
      <c r="M556" s="9">
        <f>ROUND(SUM(I556:L556),2)</f>
        <v/>
      </c>
      <c r="N556" s="10">
        <f>ROUND(I556*'Irish Basis'!$C$6*'Irish Basis'!$C$5,2)</f>
        <v/>
      </c>
      <c r="O556" s="10">
        <f>ROUND(J556*'Irish Basis'!$C$7*'Irish Basis'!$C$5,2)</f>
        <v/>
      </c>
      <c r="P556" s="10">
        <f>ROUND(K556*'Irish Basis'!$C$8*'Irish Basis'!$C$5,2)</f>
        <v/>
      </c>
      <c r="Q556" s="10">
        <f>ROUND(L556*'Irish Basis'!$C$12*'Irish Basis'!$C$5,2)</f>
        <v/>
      </c>
      <c r="R556" s="11">
        <f>ROUND(SUM(N556:Q556),2)</f>
        <v/>
      </c>
      <c r="S556" s="5" t="inlineStr">
        <is>
          <t>Stated build-up</t>
        </is>
      </c>
      <c r="T556" s="12" t="inlineStr">
        <is>
          <t>High</t>
        </is>
      </c>
      <c r="U556" s="8" t="n">
        <v>97.76000000000001</v>
      </c>
      <c r="V556" s="13">
        <f>IF(U556="","",ROUND(M556-U556,2))</f>
        <v/>
      </c>
      <c r="W556" s="5" t="n"/>
      <c r="X556" s="5" t="inlineStr">
        <is>
          <t>Labour + plant + material as published; reconciles to the published rate.</t>
        </is>
      </c>
    </row>
    <row r="557" ht="13" customHeight="1">
      <c r="A557" s="4" t="n">
        <v>975</v>
      </c>
      <c r="B557" s="5" t="inlineStr">
        <is>
          <t>IMG_0079</t>
        </is>
      </c>
      <c r="C557" s="5" t="inlineStr">
        <is>
          <t>CLASS E: EARTHWORKS</t>
        </is>
      </c>
      <c r="D557" s="5" t="inlineStr">
        <is>
          <t>GEOTEXTILES</t>
        </is>
      </c>
      <c r="E557" s="5" t="inlineStr">
        <is>
          <t>For use over weak soils with moderate traffic intensities e.g. car parks, light access roads; Tensar SS20 Polypropylene Geogrid</t>
        </is>
      </c>
      <c r="F557" s="5" t="inlineStr">
        <is>
          <t>horizontal</t>
        </is>
      </c>
      <c r="G557" s="6" t="inlineStr">
        <is>
          <t>m2</t>
        </is>
      </c>
      <c r="H557" s="7" t="n">
        <v>0.04</v>
      </c>
      <c r="I557" s="8" t="n">
        <v>2.25</v>
      </c>
      <c r="J557" s="8" t="n">
        <v>0</v>
      </c>
      <c r="K557" s="8" t="n">
        <v>2.86</v>
      </c>
      <c r="L557" s="8" t="n">
        <v>0</v>
      </c>
      <c r="M557" s="9">
        <f>ROUND(SUM(I557:L557),2)</f>
        <v/>
      </c>
      <c r="N557" s="10">
        <f>ROUND(I557*'Irish Basis'!$C$6*'Irish Basis'!$C$5,2)</f>
        <v/>
      </c>
      <c r="O557" s="10">
        <f>ROUND(J557*'Irish Basis'!$C$7*'Irish Basis'!$C$5,2)</f>
        <v/>
      </c>
      <c r="P557" s="10">
        <f>ROUND(K557*'Irish Basis'!$C$8*'Irish Basis'!$C$5,2)</f>
        <v/>
      </c>
      <c r="Q557" s="10">
        <f>ROUND(L557*'Irish Basis'!$C$12*'Irish Basis'!$C$5,2)</f>
        <v/>
      </c>
      <c r="R557" s="11">
        <f>ROUND(SUM(N557:Q557),2)</f>
        <v/>
      </c>
      <c r="S557" s="5" t="inlineStr">
        <is>
          <t>Stated build-up</t>
        </is>
      </c>
      <c r="T557" s="12" t="inlineStr">
        <is>
          <t>High</t>
        </is>
      </c>
      <c r="U557" s="8" t="n">
        <v>5.11</v>
      </c>
      <c r="V557" s="13">
        <f>IF(U557="","",ROUND(M557-U557,2))</f>
        <v/>
      </c>
      <c r="W557" s="5" t="n"/>
      <c r="X557" s="5" t="inlineStr">
        <is>
          <t>Labour + plant + material as published; reconciles to the published rate.</t>
        </is>
      </c>
    </row>
    <row r="558" ht="13" customHeight="1">
      <c r="A558" s="4" t="n">
        <v>976</v>
      </c>
      <c r="B558" s="5" t="inlineStr">
        <is>
          <t>IMG_0079</t>
        </is>
      </c>
      <c r="C558" s="5" t="inlineStr">
        <is>
          <t>CLASS E: EARTHWORKS</t>
        </is>
      </c>
      <c r="D558" s="5" t="inlineStr">
        <is>
          <t>GEOTEXTILES</t>
        </is>
      </c>
      <c r="E558" s="5" t="inlineStr">
        <is>
          <t>For use over weak soils with moderate traffic intensities e.g. car parks, light access roads; Tensar SS20 Polypropylene Geogrid</t>
        </is>
      </c>
      <c r="F558" s="5" t="inlineStr">
        <is>
          <t>inclined at an angle of 10 to 45 deg to horizontal</t>
        </is>
      </c>
      <c r="G558" s="6" t="inlineStr">
        <is>
          <t>m2</t>
        </is>
      </c>
      <c r="H558" s="7" t="n">
        <v>0.05</v>
      </c>
      <c r="I558" s="8" t="n">
        <v>2.84</v>
      </c>
      <c r="J558" s="8" t="n">
        <v>0</v>
      </c>
      <c r="K558" s="8" t="n">
        <v>2.86</v>
      </c>
      <c r="L558" s="8" t="n">
        <v>0</v>
      </c>
      <c r="M558" s="9">
        <f>ROUND(SUM(I558:L558),2)</f>
        <v/>
      </c>
      <c r="N558" s="10">
        <f>ROUND(I558*'Irish Basis'!$C$6*'Irish Basis'!$C$5,2)</f>
        <v/>
      </c>
      <c r="O558" s="10">
        <f>ROUND(J558*'Irish Basis'!$C$7*'Irish Basis'!$C$5,2)</f>
        <v/>
      </c>
      <c r="P558" s="10">
        <f>ROUND(K558*'Irish Basis'!$C$8*'Irish Basis'!$C$5,2)</f>
        <v/>
      </c>
      <c r="Q558" s="10">
        <f>ROUND(L558*'Irish Basis'!$C$12*'Irish Basis'!$C$5,2)</f>
        <v/>
      </c>
      <c r="R558" s="11">
        <f>ROUND(SUM(N558:Q558),2)</f>
        <v/>
      </c>
      <c r="S558" s="5" t="inlineStr">
        <is>
          <t>Stated build-up</t>
        </is>
      </c>
      <c r="T558" s="12" t="inlineStr">
        <is>
          <t>High</t>
        </is>
      </c>
      <c r="U558" s="8" t="n">
        <v>5.7</v>
      </c>
      <c r="V558" s="13">
        <f>IF(U558="","",ROUND(M558-U558,2))</f>
        <v/>
      </c>
      <c r="W558" s="5" t="n"/>
      <c r="X558" s="5" t="inlineStr">
        <is>
          <t>Labour + plant + material as published; reconciles to the published rate.</t>
        </is>
      </c>
    </row>
    <row r="559" ht="13" customHeight="1">
      <c r="A559" s="4" t="n">
        <v>978</v>
      </c>
      <c r="B559" s="5" t="inlineStr">
        <is>
          <t>IMG_0079</t>
        </is>
      </c>
      <c r="C559" s="5" t="inlineStr">
        <is>
          <t>CLASS E: EARTHWORKS</t>
        </is>
      </c>
      <c r="D559" s="5" t="inlineStr">
        <is>
          <t>GEOTEXTILES</t>
        </is>
      </c>
      <c r="E559" s="5" t="inlineStr">
        <is>
          <t>For use over weak soils with high traffic intensities and/or high axle loadings; Tensar SS30 Polypropylene Geogrid</t>
        </is>
      </c>
      <c r="F559" s="5" t="inlineStr">
        <is>
          <t>horizontal</t>
        </is>
      </c>
      <c r="G559" s="6" t="inlineStr">
        <is>
          <t>m2</t>
        </is>
      </c>
      <c r="H559" s="7" t="n">
        <v>0.05</v>
      </c>
      <c r="I559" s="8" t="n">
        <v>3.5</v>
      </c>
      <c r="J559" s="8" t="n">
        <v>0</v>
      </c>
      <c r="K559" s="8" t="n">
        <v>2.92</v>
      </c>
      <c r="L559" s="8" t="n">
        <v>0</v>
      </c>
      <c r="M559" s="9">
        <f>ROUND(SUM(I559:L559),2)</f>
        <v/>
      </c>
      <c r="N559" s="10">
        <f>ROUND(I559*'Irish Basis'!$C$6*'Irish Basis'!$C$5,2)</f>
        <v/>
      </c>
      <c r="O559" s="10">
        <f>ROUND(J559*'Irish Basis'!$C$7*'Irish Basis'!$C$5,2)</f>
        <v/>
      </c>
      <c r="P559" s="10">
        <f>ROUND(K559*'Irish Basis'!$C$8*'Irish Basis'!$C$5,2)</f>
        <v/>
      </c>
      <c r="Q559" s="10">
        <f>ROUND(L559*'Irish Basis'!$C$12*'Irish Basis'!$C$5,2)</f>
        <v/>
      </c>
      <c r="R559" s="11">
        <f>ROUND(SUM(N559:Q559),2)</f>
        <v/>
      </c>
      <c r="S559" s="5" t="inlineStr">
        <is>
          <t>Stated build-up</t>
        </is>
      </c>
      <c r="T559" s="12" t="inlineStr">
        <is>
          <t>High</t>
        </is>
      </c>
      <c r="U559" s="8" t="n">
        <v>6.42</v>
      </c>
      <c r="V559" s="13">
        <f>IF(U559="","",ROUND(M559-U559,2))</f>
        <v/>
      </c>
      <c r="W559" s="5" t="n"/>
      <c r="X559" s="5" t="inlineStr">
        <is>
          <t>Labour + plant + material as published; reconciles to the published rate.</t>
        </is>
      </c>
    </row>
    <row r="560" ht="13" customHeight="1">
      <c r="A560" s="4" t="n">
        <v>979</v>
      </c>
      <c r="B560" s="5" t="inlineStr">
        <is>
          <t>IMG_0079</t>
        </is>
      </c>
      <c r="C560" s="5" t="inlineStr">
        <is>
          <t>CLASS E: EARTHWORKS</t>
        </is>
      </c>
      <c r="D560" s="5" t="inlineStr">
        <is>
          <t>GEOTEXTILES</t>
        </is>
      </c>
      <c r="E560" s="5" t="inlineStr">
        <is>
          <t>For use over weak soils with high traffic intensities and/or high axle loadings; Tensar SS30 Polypropylene Geogrid</t>
        </is>
      </c>
      <c r="F560" s="5" t="inlineStr">
        <is>
          <t>inclined at an angle of 10 to 45 deg to horizontal</t>
        </is>
      </c>
      <c r="G560" s="6" t="inlineStr">
        <is>
          <t>m2</t>
        </is>
      </c>
      <c r="H560" s="7" t="n">
        <v>0.06</v>
      </c>
      <c r="I560" s="8" t="n">
        <v>4.35</v>
      </c>
      <c r="J560" s="8" t="n">
        <v>0</v>
      </c>
      <c r="K560" s="8" t="n">
        <v>2.92</v>
      </c>
      <c r="L560" s="8" t="n">
        <v>0</v>
      </c>
      <c r="M560" s="9">
        <f>ROUND(SUM(I560:L560),2)</f>
        <v/>
      </c>
      <c r="N560" s="10">
        <f>ROUND(I560*'Irish Basis'!$C$6*'Irish Basis'!$C$5,2)</f>
        <v/>
      </c>
      <c r="O560" s="10">
        <f>ROUND(J560*'Irish Basis'!$C$7*'Irish Basis'!$C$5,2)</f>
        <v/>
      </c>
      <c r="P560" s="10">
        <f>ROUND(K560*'Irish Basis'!$C$8*'Irish Basis'!$C$5,2)</f>
        <v/>
      </c>
      <c r="Q560" s="10">
        <f>ROUND(L560*'Irish Basis'!$C$12*'Irish Basis'!$C$5,2)</f>
        <v/>
      </c>
      <c r="R560" s="11">
        <f>ROUND(SUM(N560:Q560),2)</f>
        <v/>
      </c>
      <c r="S560" s="5" t="inlineStr">
        <is>
          <t>Stated build-up</t>
        </is>
      </c>
      <c r="T560" s="12" t="inlineStr">
        <is>
          <t>High</t>
        </is>
      </c>
      <c r="U560" s="8" t="n">
        <v>7.27</v>
      </c>
      <c r="V560" s="13">
        <f>IF(U560="","",ROUND(M560-U560,2))</f>
        <v/>
      </c>
      <c r="W560" s="5" t="n"/>
      <c r="X560" s="5" t="inlineStr">
        <is>
          <t>Labour + plant + material as published; reconciles to the published rate.</t>
        </is>
      </c>
    </row>
    <row r="561" ht="13" customHeight="1">
      <c r="A561" s="4" t="n">
        <v>981</v>
      </c>
      <c r="B561" s="5" t="inlineStr">
        <is>
          <t>IMG_0079</t>
        </is>
      </c>
      <c r="C561" s="5" t="inlineStr">
        <is>
          <t>CLASS E: EARTHWORKS</t>
        </is>
      </c>
      <c r="D561" s="5" t="inlineStr">
        <is>
          <t>GEOTEXTILES</t>
        </is>
      </c>
      <c r="E561" s="5" t="inlineStr">
        <is>
          <t>For use over very weak soils e.g. alluvium, marsh or peat or firmer soil subject to exceptionally high axle loadings; Tensar SS40 Polypropylene Geogrid</t>
        </is>
      </c>
      <c r="F561" s="5" t="inlineStr">
        <is>
          <t>horizontal</t>
        </is>
      </c>
      <c r="G561" s="6" t="inlineStr">
        <is>
          <t>m2</t>
        </is>
      </c>
      <c r="H561" s="7" t="n">
        <v>0.05</v>
      </c>
      <c r="I561" s="8" t="n">
        <v>4.03</v>
      </c>
      <c r="J561" s="8" t="n">
        <v>5.95</v>
      </c>
      <c r="K561" s="8" t="n">
        <v>5.13</v>
      </c>
      <c r="L561" s="8" t="n">
        <v>0</v>
      </c>
      <c r="M561" s="9">
        <f>ROUND(SUM(I561:L561),2)</f>
        <v/>
      </c>
      <c r="N561" s="10">
        <f>ROUND(I561*'Irish Basis'!$C$6*'Irish Basis'!$C$5,2)</f>
        <v/>
      </c>
      <c r="O561" s="10">
        <f>ROUND(J561*'Irish Basis'!$C$7*'Irish Basis'!$C$5,2)</f>
        <v/>
      </c>
      <c r="P561" s="10">
        <f>ROUND(K561*'Irish Basis'!$C$8*'Irish Basis'!$C$5,2)</f>
        <v/>
      </c>
      <c r="Q561" s="10">
        <f>ROUND(L561*'Irish Basis'!$C$12*'Irish Basis'!$C$5,2)</f>
        <v/>
      </c>
      <c r="R561" s="11">
        <f>ROUND(SUM(N561:Q561),2)</f>
        <v/>
      </c>
      <c r="S561" s="5" t="inlineStr">
        <is>
          <t>Stated build-up</t>
        </is>
      </c>
      <c r="T561" s="12" t="inlineStr">
        <is>
          <t>High</t>
        </is>
      </c>
      <c r="U561" s="8" t="n">
        <v>15.11</v>
      </c>
      <c r="V561" s="13">
        <f>IF(U561="","",ROUND(M561-U561,2))</f>
        <v/>
      </c>
      <c r="W561" s="5" t="n"/>
      <c r="X561" s="5" t="inlineStr">
        <is>
          <t>Labour + plant + material as published; reconciles to the published rate.</t>
        </is>
      </c>
    </row>
    <row r="562" ht="13" customHeight="1">
      <c r="A562" s="4" t="n">
        <v>982</v>
      </c>
      <c r="B562" s="5" t="inlineStr">
        <is>
          <t>IMG_0079</t>
        </is>
      </c>
      <c r="C562" s="5" t="inlineStr">
        <is>
          <t>CLASS E: EARTHWORKS</t>
        </is>
      </c>
      <c r="D562" s="5" t="inlineStr">
        <is>
          <t>GEOTEXTILES</t>
        </is>
      </c>
      <c r="E562" s="5" t="inlineStr">
        <is>
          <t>For use over very weak soils e.g. alluvium, marsh or peat or firmer soil subject to exceptionally high axle loadings; Tensar SS40 Polypropylene Geogrid</t>
        </is>
      </c>
      <c r="F562" s="5" t="inlineStr">
        <is>
          <t>inclined at an angle of 10 to 45 deg to horizontal</t>
        </is>
      </c>
      <c r="G562" s="6" t="inlineStr">
        <is>
          <t>m2</t>
        </is>
      </c>
      <c r="H562" s="7" t="n">
        <v>0.06</v>
      </c>
      <c r="I562" s="8" t="n">
        <v>5.01</v>
      </c>
      <c r="J562" s="8" t="n">
        <v>7.41</v>
      </c>
      <c r="K562" s="8" t="n">
        <v>5.13</v>
      </c>
      <c r="L562" s="8" t="n">
        <v>0</v>
      </c>
      <c r="M562" s="9">
        <f>ROUND(SUM(I562:L562),2)</f>
        <v/>
      </c>
      <c r="N562" s="10">
        <f>ROUND(I562*'Irish Basis'!$C$6*'Irish Basis'!$C$5,2)</f>
        <v/>
      </c>
      <c r="O562" s="10">
        <f>ROUND(J562*'Irish Basis'!$C$7*'Irish Basis'!$C$5,2)</f>
        <v/>
      </c>
      <c r="P562" s="10">
        <f>ROUND(K562*'Irish Basis'!$C$8*'Irish Basis'!$C$5,2)</f>
        <v/>
      </c>
      <c r="Q562" s="10">
        <f>ROUND(L562*'Irish Basis'!$C$12*'Irish Basis'!$C$5,2)</f>
        <v/>
      </c>
      <c r="R562" s="11">
        <f>ROUND(SUM(N562:Q562),2)</f>
        <v/>
      </c>
      <c r="S562" s="5" t="inlineStr">
        <is>
          <t>Stated build-up</t>
        </is>
      </c>
      <c r="T562" s="12" t="inlineStr">
        <is>
          <t>High</t>
        </is>
      </c>
      <c r="U562" s="8" t="n">
        <v>17.55</v>
      </c>
      <c r="V562" s="13">
        <f>IF(U562="","",ROUND(M562-U562,2))</f>
        <v/>
      </c>
      <c r="W562" s="5" t="n"/>
      <c r="X562" s="5" t="inlineStr">
        <is>
          <t>Labour + plant + material as published; reconciles to the published rate.</t>
        </is>
      </c>
    </row>
    <row r="563" ht="13" customHeight="1">
      <c r="A563" s="4" t="n">
        <v>984</v>
      </c>
      <c r="B563" s="5" t="inlineStr">
        <is>
          <t>IMG_0079</t>
        </is>
      </c>
      <c r="C563" s="5" t="inlineStr">
        <is>
          <t>CLASS E: EARTHWORKS</t>
        </is>
      </c>
      <c r="D563" s="5" t="inlineStr">
        <is>
          <t>GEOTEXTILES</t>
        </is>
      </c>
      <c r="E563" s="5" t="inlineStr">
        <is>
          <t>For trafficked areas where fill comprises aggregate exceeding 100 mm; Tensar SSLA20 Polypropylene Geogrid</t>
        </is>
      </c>
      <c r="F563" s="5" t="inlineStr">
        <is>
          <t>horizontal</t>
        </is>
      </c>
      <c r="G563" s="6" t="inlineStr">
        <is>
          <t>m2</t>
        </is>
      </c>
      <c r="H563" s="7" t="n">
        <v>0.04</v>
      </c>
      <c r="I563" s="8" t="n">
        <v>2.25</v>
      </c>
      <c r="J563" s="8" t="n">
        <v>0</v>
      </c>
      <c r="K563" s="8" t="n">
        <v>5.3</v>
      </c>
      <c r="L563" s="8" t="n">
        <v>0</v>
      </c>
      <c r="M563" s="9">
        <f>ROUND(SUM(I563:L563),2)</f>
        <v/>
      </c>
      <c r="N563" s="10">
        <f>ROUND(I563*'Irish Basis'!$C$6*'Irish Basis'!$C$5,2)</f>
        <v/>
      </c>
      <c r="O563" s="10">
        <f>ROUND(J563*'Irish Basis'!$C$7*'Irish Basis'!$C$5,2)</f>
        <v/>
      </c>
      <c r="P563" s="10">
        <f>ROUND(K563*'Irish Basis'!$C$8*'Irish Basis'!$C$5,2)</f>
        <v/>
      </c>
      <c r="Q563" s="10">
        <f>ROUND(L563*'Irish Basis'!$C$12*'Irish Basis'!$C$5,2)</f>
        <v/>
      </c>
      <c r="R563" s="11">
        <f>ROUND(SUM(N563:Q563),2)</f>
        <v/>
      </c>
      <c r="S563" s="5" t="inlineStr">
        <is>
          <t>Stated build-up</t>
        </is>
      </c>
      <c r="T563" s="12" t="inlineStr">
        <is>
          <t>High</t>
        </is>
      </c>
      <c r="U563" s="8" t="n">
        <v>7.55</v>
      </c>
      <c r="V563" s="13">
        <f>IF(U563="","",ROUND(M563-U563,2))</f>
        <v/>
      </c>
      <c r="W563" s="5" t="n"/>
      <c r="X563" s="5" t="inlineStr">
        <is>
          <t>Labour + plant + material as published; reconciles to the published rate.</t>
        </is>
      </c>
    </row>
    <row r="564" ht="13" customHeight="1">
      <c r="A564" s="4" t="n">
        <v>985</v>
      </c>
      <c r="B564" s="5" t="inlineStr">
        <is>
          <t>IMG_0079</t>
        </is>
      </c>
      <c r="C564" s="5" t="inlineStr">
        <is>
          <t>CLASS E: EARTHWORKS</t>
        </is>
      </c>
      <c r="D564" s="5" t="inlineStr">
        <is>
          <t>GEOTEXTILES</t>
        </is>
      </c>
      <c r="E564" s="5" t="inlineStr">
        <is>
          <t>For trafficked areas where fill comprises aggregate exceeding 100 mm; Tensar SSLA20 Polypropylene Geogrid</t>
        </is>
      </c>
      <c r="F564" s="5" t="inlineStr">
        <is>
          <t>inclined at an angle of 10-45 deg to the horizontal</t>
        </is>
      </c>
      <c r="G564" s="6" t="inlineStr">
        <is>
          <t>m2</t>
        </is>
      </c>
      <c r="H564" s="7" t="n">
        <v>0.05</v>
      </c>
      <c r="I564" s="8" t="n">
        <v>2.84</v>
      </c>
      <c r="J564" s="8" t="n">
        <v>0</v>
      </c>
      <c r="K564" s="8" t="n">
        <v>5.3</v>
      </c>
      <c r="L564" s="8" t="n">
        <v>0</v>
      </c>
      <c r="M564" s="9">
        <f>ROUND(SUM(I564:L564),2)</f>
        <v/>
      </c>
      <c r="N564" s="10">
        <f>ROUND(I564*'Irish Basis'!$C$6*'Irish Basis'!$C$5,2)</f>
        <v/>
      </c>
      <c r="O564" s="10">
        <f>ROUND(J564*'Irish Basis'!$C$7*'Irish Basis'!$C$5,2)</f>
        <v/>
      </c>
      <c r="P564" s="10">
        <f>ROUND(K564*'Irish Basis'!$C$8*'Irish Basis'!$C$5,2)</f>
        <v/>
      </c>
      <c r="Q564" s="10">
        <f>ROUND(L564*'Irish Basis'!$C$12*'Irish Basis'!$C$5,2)</f>
        <v/>
      </c>
      <c r="R564" s="11">
        <f>ROUND(SUM(N564:Q564),2)</f>
        <v/>
      </c>
      <c r="S564" s="5" t="inlineStr">
        <is>
          <t>Stated build-up</t>
        </is>
      </c>
      <c r="T564" s="12" t="inlineStr">
        <is>
          <t>High</t>
        </is>
      </c>
      <c r="U564" s="8" t="n">
        <v>8.140000000000001</v>
      </c>
      <c r="V564" s="13">
        <f>IF(U564="","",ROUND(M564-U564,2))</f>
        <v/>
      </c>
      <c r="W564" s="5" t="n"/>
      <c r="X564" s="5" t="inlineStr">
        <is>
          <t>Labour + plant + material as published; reconciles to the published rate.</t>
        </is>
      </c>
    </row>
    <row r="565" ht="13" customHeight="1">
      <c r="A565" s="4" t="n">
        <v>987</v>
      </c>
      <c r="B565" s="5" t="inlineStr">
        <is>
          <t>IMG_0079</t>
        </is>
      </c>
      <c r="C565" s="5" t="inlineStr">
        <is>
          <t>CLASS E: EARTHWORKS</t>
        </is>
      </c>
      <c r="D565" s="5" t="inlineStr">
        <is>
          <t>GEOTEXTILES</t>
        </is>
      </c>
      <c r="E565" s="5" t="inlineStr">
        <is>
          <t>Stabilization and separation of granular fill from soft sub grade to prevent intermixing: Terram 1000</t>
        </is>
      </c>
      <c r="F565" s="5" t="inlineStr">
        <is>
          <t>horizontal</t>
        </is>
      </c>
      <c r="G565" s="6" t="inlineStr">
        <is>
          <t>m2</t>
        </is>
      </c>
      <c r="H565" s="7" t="n">
        <v>0.05</v>
      </c>
      <c r="I565" s="8" t="n">
        <v>3.96</v>
      </c>
      <c r="J565" s="8" t="n">
        <v>0</v>
      </c>
      <c r="K565" s="8" t="n">
        <v>0.88</v>
      </c>
      <c r="L565" s="8" t="n">
        <v>0</v>
      </c>
      <c r="M565" s="9">
        <f>ROUND(SUM(I565:L565),2)</f>
        <v/>
      </c>
      <c r="N565" s="10">
        <f>ROUND(I565*'Irish Basis'!$C$6*'Irish Basis'!$C$5,2)</f>
        <v/>
      </c>
      <c r="O565" s="10">
        <f>ROUND(J565*'Irish Basis'!$C$7*'Irish Basis'!$C$5,2)</f>
        <v/>
      </c>
      <c r="P565" s="10">
        <f>ROUND(K565*'Irish Basis'!$C$8*'Irish Basis'!$C$5,2)</f>
        <v/>
      </c>
      <c r="Q565" s="10">
        <f>ROUND(L565*'Irish Basis'!$C$12*'Irish Basis'!$C$5,2)</f>
        <v/>
      </c>
      <c r="R565" s="11">
        <f>ROUND(SUM(N565:Q565),2)</f>
        <v/>
      </c>
      <c r="S565" s="5" t="inlineStr">
        <is>
          <t>Stated build-up</t>
        </is>
      </c>
      <c r="T565" s="12" t="inlineStr">
        <is>
          <t>High</t>
        </is>
      </c>
      <c r="U565" s="8" t="n">
        <v>4.85</v>
      </c>
      <c r="V565" s="13">
        <f>IF(U565="","",ROUND(M565-U565,2))</f>
        <v/>
      </c>
      <c r="W565" s="5" t="n"/>
      <c r="X565" s="5" t="inlineStr">
        <is>
          <t>Labour + plant + material as published; reconciles to the published rate.</t>
        </is>
      </c>
    </row>
    <row r="566" ht="13" customHeight="1">
      <c r="A566" s="4" t="n">
        <v>988</v>
      </c>
      <c r="B566" s="5" t="inlineStr">
        <is>
          <t>IMG_0079</t>
        </is>
      </c>
      <c r="C566" s="5" t="inlineStr">
        <is>
          <t>CLASS E: EARTHWORKS</t>
        </is>
      </c>
      <c r="D566" s="5" t="inlineStr">
        <is>
          <t>GEOTEXTILES</t>
        </is>
      </c>
      <c r="E566" s="5" t="inlineStr">
        <is>
          <t>Stabilization and separation of granular fill from soft sub grade to prevent intermixing: Terram 1000</t>
        </is>
      </c>
      <c r="F566" s="5" t="inlineStr">
        <is>
          <t>inclined at an angle of 10 to 45 deg to the horizontal</t>
        </is>
      </c>
      <c r="G566" s="6" t="inlineStr">
        <is>
          <t>m2</t>
        </is>
      </c>
      <c r="H566" s="7" t="n">
        <v>0.06</v>
      </c>
      <c r="I566" s="8" t="n">
        <v>4.97</v>
      </c>
      <c r="J566" s="8" t="n">
        <v>0</v>
      </c>
      <c r="K566" s="8" t="n">
        <v>0.88</v>
      </c>
      <c r="L566" s="8" t="n">
        <v>0</v>
      </c>
      <c r="M566" s="9">
        <f>ROUND(SUM(I566:L566),2)</f>
        <v/>
      </c>
      <c r="N566" s="10">
        <f>ROUND(I566*'Irish Basis'!$C$6*'Irish Basis'!$C$5,2)</f>
        <v/>
      </c>
      <c r="O566" s="10">
        <f>ROUND(J566*'Irish Basis'!$C$7*'Irish Basis'!$C$5,2)</f>
        <v/>
      </c>
      <c r="P566" s="10">
        <f>ROUND(K566*'Irish Basis'!$C$8*'Irish Basis'!$C$5,2)</f>
        <v/>
      </c>
      <c r="Q566" s="10">
        <f>ROUND(L566*'Irish Basis'!$C$12*'Irish Basis'!$C$5,2)</f>
        <v/>
      </c>
      <c r="R566" s="11">
        <f>ROUND(SUM(N566:Q566),2)</f>
        <v/>
      </c>
      <c r="S566" s="5" t="inlineStr">
        <is>
          <t>Stated build-up</t>
        </is>
      </c>
      <c r="T566" s="12" t="inlineStr">
        <is>
          <t>High</t>
        </is>
      </c>
      <c r="U566" s="8" t="n">
        <v>5.86</v>
      </c>
      <c r="V566" s="13">
        <f>IF(U566="","",ROUND(M566-U566,2))</f>
        <v/>
      </c>
      <c r="W566" s="5" t="n"/>
      <c r="X566" s="5" t="inlineStr">
        <is>
          <t>Labour + plant + material as published; reconciles to the published rate.</t>
        </is>
      </c>
    </row>
    <row r="567" ht="13" customHeight="1">
      <c r="A567" s="4" t="n">
        <v>990</v>
      </c>
      <c r="B567" s="5" t="inlineStr">
        <is>
          <t>IMG_0079</t>
        </is>
      </c>
      <c r="C567" s="5" t="inlineStr">
        <is>
          <t>CLASS E: EARTHWORKS</t>
        </is>
      </c>
      <c r="D567" s="5" t="inlineStr">
        <is>
          <t>GEOTEXTILES</t>
        </is>
      </c>
      <c r="E567" s="5" t="inlineStr">
        <is>
          <t>Stabilization and separation of granular fill from soft sub grade to prevent intermixing: Terram 2000</t>
        </is>
      </c>
      <c r="F567" s="5" t="inlineStr">
        <is>
          <t>horizontal</t>
        </is>
      </c>
      <c r="G567" s="6" t="inlineStr">
        <is>
          <t>m2</t>
        </is>
      </c>
      <c r="H567" s="7" t="n">
        <v>0.04</v>
      </c>
      <c r="I567" s="8" t="n">
        <v>3.76</v>
      </c>
      <c r="J567" s="8" t="n">
        <v>5.56</v>
      </c>
      <c r="K567" s="8" t="n">
        <v>2.11</v>
      </c>
      <c r="L567" s="8" t="n">
        <v>0</v>
      </c>
      <c r="M567" s="9">
        <f>ROUND(SUM(I567:L567),2)</f>
        <v/>
      </c>
      <c r="N567" s="10">
        <f>ROUND(I567*'Irish Basis'!$C$6*'Irish Basis'!$C$5,2)</f>
        <v/>
      </c>
      <c r="O567" s="10">
        <f>ROUND(J567*'Irish Basis'!$C$7*'Irish Basis'!$C$5,2)</f>
        <v/>
      </c>
      <c r="P567" s="10">
        <f>ROUND(K567*'Irish Basis'!$C$8*'Irish Basis'!$C$5,2)</f>
        <v/>
      </c>
      <c r="Q567" s="10">
        <f>ROUND(L567*'Irish Basis'!$C$12*'Irish Basis'!$C$5,2)</f>
        <v/>
      </c>
      <c r="R567" s="11">
        <f>ROUND(SUM(N567:Q567),2)</f>
        <v/>
      </c>
      <c r="S567" s="5" t="inlineStr">
        <is>
          <t>Stated build-up</t>
        </is>
      </c>
      <c r="T567" s="12" t="inlineStr">
        <is>
          <t>High</t>
        </is>
      </c>
      <c r="U567" s="8" t="n">
        <v>11.43</v>
      </c>
      <c r="V567" s="13">
        <f>IF(U567="","",ROUND(M567-U567,2))</f>
        <v/>
      </c>
      <c r="W567" s="5" t="n"/>
      <c r="X567" s="5" t="inlineStr">
        <is>
          <t>Labour + plant + material as published; reconciles to the published rate.</t>
        </is>
      </c>
    </row>
    <row r="568" ht="13" customHeight="1">
      <c r="A568" s="4" t="n">
        <v>991</v>
      </c>
      <c r="B568" s="5" t="inlineStr">
        <is>
          <t>IMG_0079</t>
        </is>
      </c>
      <c r="C568" s="5" t="inlineStr">
        <is>
          <t>CLASS E: EARTHWORKS</t>
        </is>
      </c>
      <c r="D568" s="5" t="inlineStr">
        <is>
          <t>GEOTEXTILES</t>
        </is>
      </c>
      <c r="E568" s="5" t="inlineStr">
        <is>
          <t>Stabilization and separation of granular fill from soft sub grade to prevent intermixing: Terram 2000</t>
        </is>
      </c>
      <c r="F568" s="5" t="inlineStr">
        <is>
          <t>inclined at an angle of 10 to 45 deg to the horizontal</t>
        </is>
      </c>
      <c r="G568" s="6" t="inlineStr">
        <is>
          <t>m2</t>
        </is>
      </c>
      <c r="H568" s="7" t="n">
        <v>0.05</v>
      </c>
      <c r="I568" s="8" t="n">
        <v>4.74</v>
      </c>
      <c r="J568" s="8" t="n">
        <v>7.01</v>
      </c>
      <c r="K568" s="8" t="n">
        <v>2.11</v>
      </c>
      <c r="L568" s="8" t="n">
        <v>0</v>
      </c>
      <c r="M568" s="9">
        <f>ROUND(SUM(I568:L568),2)</f>
        <v/>
      </c>
      <c r="N568" s="10">
        <f>ROUND(I568*'Irish Basis'!$C$6*'Irish Basis'!$C$5,2)</f>
        <v/>
      </c>
      <c r="O568" s="10">
        <f>ROUND(J568*'Irish Basis'!$C$7*'Irish Basis'!$C$5,2)</f>
        <v/>
      </c>
      <c r="P568" s="10">
        <f>ROUND(K568*'Irish Basis'!$C$8*'Irish Basis'!$C$5,2)</f>
        <v/>
      </c>
      <c r="Q568" s="10">
        <f>ROUND(L568*'Irish Basis'!$C$12*'Irish Basis'!$C$5,2)</f>
        <v/>
      </c>
      <c r="R568" s="11">
        <f>ROUND(SUM(N568:Q568),2)</f>
        <v/>
      </c>
      <c r="S568" s="5" t="inlineStr">
        <is>
          <t>Stated build-up</t>
        </is>
      </c>
      <c r="T568" s="12" t="inlineStr">
        <is>
          <t>High</t>
        </is>
      </c>
      <c r="U568" s="8" t="n">
        <v>13.87</v>
      </c>
      <c r="V568" s="13">
        <f>IF(U568="","",ROUND(M568-U568,2))</f>
        <v/>
      </c>
      <c r="W568" s="5" t="n"/>
      <c r="X568" s="5" t="inlineStr">
        <is>
          <t>Labour + plant + material as published; reconciles to the published rate.</t>
        </is>
      </c>
    </row>
    <row r="569" ht="13" customHeight="1">
      <c r="A569" s="4" t="n">
        <v>993</v>
      </c>
      <c r="B569" s="5" t="inlineStr">
        <is>
          <t>IMG_0079</t>
        </is>
      </c>
      <c r="C569" s="5" t="inlineStr">
        <is>
          <t>CLASS E: EARTHWORKS</t>
        </is>
      </c>
      <c r="D569" s="5" t="inlineStr">
        <is>
          <t>GEOTEXTILES</t>
        </is>
      </c>
      <c r="E569" s="5" t="inlineStr">
        <is>
          <t>Geotextiles; reinforcement applications for asphalt pavements; For roads, hardstandings and airfield pavements; Tensar AR-G composite comprising Tensar AR-1 grid bonded to a geotextile, laid within asphalt</t>
        </is>
      </c>
      <c r="F569" s="5" t="inlineStr">
        <is>
          <t>horizontal</t>
        </is>
      </c>
      <c r="G569" s="6" t="inlineStr">
        <is>
          <t>m2</t>
        </is>
      </c>
      <c r="H569" s="7" t="n">
        <v>0.05</v>
      </c>
      <c r="I569" s="8" t="n">
        <v>3.5</v>
      </c>
      <c r="J569" s="8" t="n">
        <v>0</v>
      </c>
      <c r="K569" s="8" t="n">
        <v>4.77</v>
      </c>
      <c r="L569" s="8" t="n">
        <v>0</v>
      </c>
      <c r="M569" s="9">
        <f>ROUND(SUM(I569:L569),2)</f>
        <v/>
      </c>
      <c r="N569" s="10">
        <f>ROUND(I569*'Irish Basis'!$C$6*'Irish Basis'!$C$5,2)</f>
        <v/>
      </c>
      <c r="O569" s="10">
        <f>ROUND(J569*'Irish Basis'!$C$7*'Irish Basis'!$C$5,2)</f>
        <v/>
      </c>
      <c r="P569" s="10">
        <f>ROUND(K569*'Irish Basis'!$C$8*'Irish Basis'!$C$5,2)</f>
        <v/>
      </c>
      <c r="Q569" s="10">
        <f>ROUND(L569*'Irish Basis'!$C$12*'Irish Basis'!$C$5,2)</f>
        <v/>
      </c>
      <c r="R569" s="11">
        <f>ROUND(SUM(N569:Q569),2)</f>
        <v/>
      </c>
      <c r="S569" s="5" t="inlineStr">
        <is>
          <t>Stated build-up</t>
        </is>
      </c>
      <c r="T569" s="12" t="inlineStr">
        <is>
          <t>High</t>
        </is>
      </c>
      <c r="U569" s="8" t="n">
        <v>8.27</v>
      </c>
      <c r="V569" s="13">
        <f>IF(U569="","",ROUND(M569-U569,2))</f>
        <v/>
      </c>
      <c r="W569" s="5" t="n"/>
      <c r="X569" s="5" t="inlineStr">
        <is>
          <t>Labour + plant + material as published; reconciles to the published rate.</t>
        </is>
      </c>
    </row>
    <row r="570" ht="13" customHeight="1">
      <c r="A570" s="4" t="n">
        <v>994</v>
      </c>
      <c r="B570" s="5" t="inlineStr">
        <is>
          <t>IMG_0079</t>
        </is>
      </c>
      <c r="C570" s="5" t="inlineStr">
        <is>
          <t>CLASS E: EARTHWORKS</t>
        </is>
      </c>
      <c r="D570" s="5" t="inlineStr">
        <is>
          <t>GEOTEXTILES</t>
        </is>
      </c>
      <c r="E570" s="5" t="inlineStr">
        <is>
          <t>Geotextiles; reinforcement applications for asphalt pavements; For roads, hardstandings and airfield pavements; Tensar AR-G composite comprising Tensar AR-1 grid bonded to a geotextile, laid within asphalt</t>
        </is>
      </c>
      <c r="F570" s="5" t="inlineStr">
        <is>
          <t>inclined at an angle of 10 to 45 deg to horizontal</t>
        </is>
      </c>
      <c r="G570" s="6" t="inlineStr">
        <is>
          <t>m2</t>
        </is>
      </c>
      <c r="H570" s="7" t="n">
        <v>0.06</v>
      </c>
      <c r="I570" s="8" t="n">
        <v>4.35</v>
      </c>
      <c r="J570" s="8" t="n">
        <v>0</v>
      </c>
      <c r="K570" s="8" t="n">
        <v>4.77</v>
      </c>
      <c r="L570" s="8" t="n">
        <v>0</v>
      </c>
      <c r="M570" s="9">
        <f>ROUND(SUM(I570:L570),2)</f>
        <v/>
      </c>
      <c r="N570" s="10">
        <f>ROUND(I570*'Irish Basis'!$C$6*'Irish Basis'!$C$5,2)</f>
        <v/>
      </c>
      <c r="O570" s="10">
        <f>ROUND(J570*'Irish Basis'!$C$7*'Irish Basis'!$C$5,2)</f>
        <v/>
      </c>
      <c r="P570" s="10">
        <f>ROUND(K570*'Irish Basis'!$C$8*'Irish Basis'!$C$5,2)</f>
        <v/>
      </c>
      <c r="Q570" s="10">
        <f>ROUND(L570*'Irish Basis'!$C$12*'Irish Basis'!$C$5,2)</f>
        <v/>
      </c>
      <c r="R570" s="11">
        <f>ROUND(SUM(N570:Q570),2)</f>
        <v/>
      </c>
      <c r="S570" s="5" t="inlineStr">
        <is>
          <t>Stated build-up</t>
        </is>
      </c>
      <c r="T570" s="12" t="inlineStr">
        <is>
          <t>High</t>
        </is>
      </c>
      <c r="U570" s="8" t="n">
        <v>9.119999999999999</v>
      </c>
      <c r="V570" s="13">
        <f>IF(U570="","",ROUND(M570-U570,2))</f>
        <v/>
      </c>
      <c r="W570" s="5" t="n"/>
      <c r="X570" s="5" t="inlineStr">
        <is>
          <t>Labour + plant + material as published; reconciles to the published rate.</t>
        </is>
      </c>
    </row>
    <row r="571" ht="13" customHeight="1">
      <c r="A571" s="4" t="n">
        <v>997</v>
      </c>
      <c r="B571" s="5" t="inlineStr">
        <is>
          <t>IMG_0079</t>
        </is>
      </c>
      <c r="C571" s="5" t="inlineStr">
        <is>
          <t>CLASS E: EARTHWORKS</t>
        </is>
      </c>
      <c r="D571" s="5" t="inlineStr">
        <is>
          <t>GEOTEXTILES</t>
        </is>
      </c>
      <c r="E571" s="5" t="inlineStr">
        <is>
          <t>Paragrid 30/155; 330 g/m2</t>
        </is>
      </c>
      <c r="F571" s="5" t="inlineStr">
        <is>
          <t>horizontal</t>
        </is>
      </c>
      <c r="G571" s="6" t="inlineStr">
        <is>
          <t>m2</t>
        </is>
      </c>
      <c r="H571" s="7" t="n">
        <v>0.04</v>
      </c>
      <c r="I571" s="8" t="n">
        <v>2.25</v>
      </c>
      <c r="J571" s="8" t="n">
        <v>0</v>
      </c>
      <c r="K571" s="8" t="n">
        <v>2.98</v>
      </c>
      <c r="L571" s="8" t="n">
        <v>0</v>
      </c>
      <c r="M571" s="9">
        <f>ROUND(SUM(I571:L571),2)</f>
        <v/>
      </c>
      <c r="N571" s="10">
        <f>ROUND(I571*'Irish Basis'!$C$6*'Irish Basis'!$C$5,2)</f>
        <v/>
      </c>
      <c r="O571" s="10">
        <f>ROUND(J571*'Irish Basis'!$C$7*'Irish Basis'!$C$5,2)</f>
        <v/>
      </c>
      <c r="P571" s="10">
        <f>ROUND(K571*'Irish Basis'!$C$8*'Irish Basis'!$C$5,2)</f>
        <v/>
      </c>
      <c r="Q571" s="10">
        <f>ROUND(L571*'Irish Basis'!$C$12*'Irish Basis'!$C$5,2)</f>
        <v/>
      </c>
      <c r="R571" s="11">
        <f>ROUND(SUM(N571:Q571),2)</f>
        <v/>
      </c>
      <c r="S571" s="5" t="inlineStr">
        <is>
          <t>Stated build-up</t>
        </is>
      </c>
      <c r="T571" s="12" t="inlineStr">
        <is>
          <t>High</t>
        </is>
      </c>
      <c r="U571" s="8" t="n">
        <v>5.23</v>
      </c>
      <c r="V571" s="13">
        <f>IF(U571="","",ROUND(M571-U571,2))</f>
        <v/>
      </c>
      <c r="W571" s="5" t="n"/>
      <c r="X571" s="5" t="inlineStr">
        <is>
          <t>Labour + plant + material as published; reconciles to the published rate.</t>
        </is>
      </c>
    </row>
    <row r="572" ht="13" customHeight="1">
      <c r="A572" s="4" t="n">
        <v>998</v>
      </c>
      <c r="B572" s="5" t="inlineStr">
        <is>
          <t>IMG_0079</t>
        </is>
      </c>
      <c r="C572" s="5" t="inlineStr">
        <is>
          <t>CLASS E: EARTHWORKS</t>
        </is>
      </c>
      <c r="D572" s="5" t="inlineStr">
        <is>
          <t>GEOTEXTILES</t>
        </is>
      </c>
      <c r="E572" s="5" t="inlineStr">
        <is>
          <t>Paragrid 30/155; 330 g/m2</t>
        </is>
      </c>
      <c r="F572" s="5" t="inlineStr">
        <is>
          <t>inclined at an angle of 10-45 deg to the horizontal</t>
        </is>
      </c>
      <c r="G572" s="6" t="inlineStr">
        <is>
          <t>m2</t>
        </is>
      </c>
      <c r="H572" s="7" t="n">
        <v>0.05</v>
      </c>
      <c r="I572" s="8" t="n">
        <v>2.84</v>
      </c>
      <c r="J572" s="8" t="n">
        <v>0</v>
      </c>
      <c r="K572" s="8" t="n">
        <v>2.98</v>
      </c>
      <c r="L572" s="8" t="n">
        <v>0</v>
      </c>
      <c r="M572" s="9">
        <f>ROUND(SUM(I572:L572),2)</f>
        <v/>
      </c>
      <c r="N572" s="10">
        <f>ROUND(I572*'Irish Basis'!$C$6*'Irish Basis'!$C$5,2)</f>
        <v/>
      </c>
      <c r="O572" s="10">
        <f>ROUND(J572*'Irish Basis'!$C$7*'Irish Basis'!$C$5,2)</f>
        <v/>
      </c>
      <c r="P572" s="10">
        <f>ROUND(K572*'Irish Basis'!$C$8*'Irish Basis'!$C$5,2)</f>
        <v/>
      </c>
      <c r="Q572" s="10">
        <f>ROUND(L572*'Irish Basis'!$C$12*'Irish Basis'!$C$5,2)</f>
        <v/>
      </c>
      <c r="R572" s="11">
        <f>ROUND(SUM(N572:Q572),2)</f>
        <v/>
      </c>
      <c r="S572" s="5" t="inlineStr">
        <is>
          <t>Stated build-up</t>
        </is>
      </c>
      <c r="T572" s="12" t="inlineStr">
        <is>
          <t>High</t>
        </is>
      </c>
      <c r="U572" s="8" t="n">
        <v>5.82</v>
      </c>
      <c r="V572" s="13">
        <f>IF(U572="","",ROUND(M572-U572,2))</f>
        <v/>
      </c>
      <c r="W572" s="5" t="n"/>
      <c r="X572" s="5" t="inlineStr">
        <is>
          <t>Labour + plant + material as published; reconciles to the published rate.</t>
        </is>
      </c>
    </row>
    <row r="573" ht="13" customHeight="1">
      <c r="A573" s="4" t="n">
        <v>1000</v>
      </c>
      <c r="B573" s="5" t="inlineStr">
        <is>
          <t>IMG_0079</t>
        </is>
      </c>
      <c r="C573" s="5" t="inlineStr">
        <is>
          <t>CLASS E: EARTHWORKS</t>
        </is>
      </c>
      <c r="D573" s="5" t="inlineStr">
        <is>
          <t>GEOTEXTILES</t>
        </is>
      </c>
      <c r="E573" s="5" t="inlineStr">
        <is>
          <t>Paragrid 100/255; 330 g/m2</t>
        </is>
      </c>
      <c r="F573" s="5" t="inlineStr">
        <is>
          <t>horizontal</t>
        </is>
      </c>
      <c r="G573" s="6" t="inlineStr">
        <is>
          <t>m2</t>
        </is>
      </c>
      <c r="H573" s="7" t="n">
        <v>0.04</v>
      </c>
      <c r="I573" s="8" t="n">
        <v>2.25</v>
      </c>
      <c r="J573" s="8" t="n">
        <v>0</v>
      </c>
      <c r="K573" s="8" t="n">
        <v>1.83</v>
      </c>
      <c r="L573" s="8" t="n">
        <v>0</v>
      </c>
      <c r="M573" s="9">
        <f>ROUND(SUM(I573:L573),2)</f>
        <v/>
      </c>
      <c r="N573" s="10">
        <f>ROUND(I573*'Irish Basis'!$C$6*'Irish Basis'!$C$5,2)</f>
        <v/>
      </c>
      <c r="O573" s="10">
        <f>ROUND(J573*'Irish Basis'!$C$7*'Irish Basis'!$C$5,2)</f>
        <v/>
      </c>
      <c r="P573" s="10">
        <f>ROUND(K573*'Irish Basis'!$C$8*'Irish Basis'!$C$5,2)</f>
        <v/>
      </c>
      <c r="Q573" s="10">
        <f>ROUND(L573*'Irish Basis'!$C$12*'Irish Basis'!$C$5,2)</f>
        <v/>
      </c>
      <c r="R573" s="11">
        <f>ROUND(SUM(N573:Q573),2)</f>
        <v/>
      </c>
      <c r="S573" s="5" t="inlineStr">
        <is>
          <t>Stated build-up</t>
        </is>
      </c>
      <c r="T573" s="12" t="inlineStr">
        <is>
          <t>High</t>
        </is>
      </c>
      <c r="U573" s="8" t="n">
        <v>4.08</v>
      </c>
      <c r="V573" s="13">
        <f>IF(U573="","",ROUND(M573-U573,2))</f>
        <v/>
      </c>
      <c r="W573" s="5" t="n"/>
      <c r="X573" s="5" t="inlineStr">
        <is>
          <t>Labour + plant + material as published; reconciles to the published rate.</t>
        </is>
      </c>
    </row>
    <row r="574" ht="13" customHeight="1">
      <c r="A574" s="4" t="n">
        <v>1002</v>
      </c>
      <c r="B574" s="5" t="inlineStr">
        <is>
          <t>IMG_0079</t>
        </is>
      </c>
      <c r="C574" s="5" t="inlineStr">
        <is>
          <t>CLASS E: EARTHWORKS</t>
        </is>
      </c>
      <c r="D574" s="5" t="inlineStr">
        <is>
          <t>GEOTEXTILES</t>
        </is>
      </c>
      <c r="E574" s="5" t="inlineStr">
        <is>
          <t>Paralink 200 s; 1120 g/m2</t>
        </is>
      </c>
      <c r="F574" s="5" t="inlineStr">
        <is>
          <t>horizontal</t>
        </is>
      </c>
      <c r="G574" s="6" t="inlineStr">
        <is>
          <t>m2</t>
        </is>
      </c>
      <c r="H574" s="7" t="n">
        <v>0.05</v>
      </c>
      <c r="I574" s="8" t="n">
        <v>4.83</v>
      </c>
      <c r="J574" s="8" t="n">
        <v>7.14</v>
      </c>
      <c r="K574" s="8" t="n">
        <v>5.31</v>
      </c>
      <c r="L574" s="8" t="n">
        <v>0</v>
      </c>
      <c r="M574" s="9">
        <f>ROUND(SUM(I574:L574),2)</f>
        <v/>
      </c>
      <c r="N574" s="10">
        <f>ROUND(I574*'Irish Basis'!$C$6*'Irish Basis'!$C$5,2)</f>
        <v/>
      </c>
      <c r="O574" s="10">
        <f>ROUND(J574*'Irish Basis'!$C$7*'Irish Basis'!$C$5,2)</f>
        <v/>
      </c>
      <c r="P574" s="10">
        <f>ROUND(K574*'Irish Basis'!$C$8*'Irish Basis'!$C$5,2)</f>
        <v/>
      </c>
      <c r="Q574" s="10">
        <f>ROUND(L574*'Irish Basis'!$C$12*'Irish Basis'!$C$5,2)</f>
        <v/>
      </c>
      <c r="R574" s="11">
        <f>ROUND(SUM(N574:Q574),2)</f>
        <v/>
      </c>
      <c r="S574" s="5" t="inlineStr">
        <is>
          <t>Stated build-up</t>
        </is>
      </c>
      <c r="T574" s="12" t="inlineStr">
        <is>
          <t>High</t>
        </is>
      </c>
      <c r="U574" s="8" t="n">
        <v>17.28</v>
      </c>
      <c r="V574" s="13">
        <f>IF(U574="","",ROUND(M574-U574,2))</f>
        <v/>
      </c>
      <c r="W574" s="5" t="n"/>
      <c r="X574" s="5" t="inlineStr">
        <is>
          <t>Labour + plant + material as published; reconciles to the published rate.</t>
        </is>
      </c>
    </row>
    <row r="575" ht="13" customHeight="1">
      <c r="A575" s="4" t="n">
        <v>1003</v>
      </c>
      <c r="B575" s="5" t="inlineStr">
        <is>
          <t>IMG_0079</t>
        </is>
      </c>
      <c r="C575" s="5" t="inlineStr">
        <is>
          <t>CLASS E: EARTHWORKS</t>
        </is>
      </c>
      <c r="D575" s="5" t="inlineStr">
        <is>
          <t>GEOTEXTILES</t>
        </is>
      </c>
      <c r="E575" s="5" t="inlineStr">
        <is>
          <t>Paralink 200 s; 1120 g/m2</t>
        </is>
      </c>
      <c r="F575" s="5" t="inlineStr">
        <is>
          <t>inclined at an angle of 10-45 deg to the horizontal</t>
        </is>
      </c>
      <c r="G575" s="6" t="inlineStr">
        <is>
          <t>m2</t>
        </is>
      </c>
      <c r="H575" s="7" t="n">
        <v>0.07000000000000001</v>
      </c>
      <c r="I575" s="8" t="n">
        <v>6.08</v>
      </c>
      <c r="J575" s="8" t="n">
        <v>8.99</v>
      </c>
      <c r="K575" s="8" t="n">
        <v>5.31</v>
      </c>
      <c r="L575" s="8" t="n">
        <v>0</v>
      </c>
      <c r="M575" s="9">
        <f>ROUND(SUM(I575:L575),2)</f>
        <v/>
      </c>
      <c r="N575" s="10">
        <f>ROUND(I575*'Irish Basis'!$C$6*'Irish Basis'!$C$5,2)</f>
        <v/>
      </c>
      <c r="O575" s="10">
        <f>ROUND(J575*'Irish Basis'!$C$7*'Irish Basis'!$C$5,2)</f>
        <v/>
      </c>
      <c r="P575" s="10">
        <f>ROUND(K575*'Irish Basis'!$C$8*'Irish Basis'!$C$5,2)</f>
        <v/>
      </c>
      <c r="Q575" s="10">
        <f>ROUND(L575*'Irish Basis'!$C$12*'Irish Basis'!$C$5,2)</f>
        <v/>
      </c>
      <c r="R575" s="11">
        <f>ROUND(SUM(N575:Q575),2)</f>
        <v/>
      </c>
      <c r="S575" s="5" t="inlineStr">
        <is>
          <t>Stated build-up</t>
        </is>
      </c>
      <c r="T575" s="12" t="inlineStr">
        <is>
          <t>High</t>
        </is>
      </c>
      <c r="U575" s="8" t="n">
        <v>20.39</v>
      </c>
      <c r="V575" s="13">
        <f>IF(U575="","",ROUND(M575-U575,2))</f>
        <v/>
      </c>
      <c r="W575" s="5" t="n"/>
      <c r="X575" s="5" t="inlineStr">
        <is>
          <t>Labour + plant + material as published; reconciles to the published rate.</t>
        </is>
      </c>
    </row>
    <row r="576" ht="13" customHeight="1">
      <c r="A576" s="4" t="n">
        <v>1005</v>
      </c>
      <c r="B576" s="5" t="inlineStr">
        <is>
          <t>IMG_0079</t>
        </is>
      </c>
      <c r="C576" s="5" t="inlineStr">
        <is>
          <t>CLASS E: EARTHWORKS</t>
        </is>
      </c>
      <c r="D576" s="5" t="inlineStr">
        <is>
          <t>GEOTEXTILES</t>
        </is>
      </c>
      <c r="E576" s="5" t="inlineStr">
        <is>
          <t>Paralink 600 s; 2040 g/m2</t>
        </is>
      </c>
      <c r="F576" s="5" t="inlineStr">
        <is>
          <t>horizontal</t>
        </is>
      </c>
      <c r="G576" s="6" t="inlineStr">
        <is>
          <t>m2</t>
        </is>
      </c>
      <c r="H576" s="7" t="n">
        <v>0.06</v>
      </c>
      <c r="I576" s="8" t="n">
        <v>5.64</v>
      </c>
      <c r="J576" s="8" t="n">
        <v>8.33</v>
      </c>
      <c r="K576" s="8" t="n">
        <v>11.68</v>
      </c>
      <c r="L576" s="8" t="n">
        <v>0</v>
      </c>
      <c r="M576" s="9">
        <f>ROUND(SUM(I576:L576),2)</f>
        <v/>
      </c>
      <c r="N576" s="10">
        <f>ROUND(I576*'Irish Basis'!$C$6*'Irish Basis'!$C$5,2)</f>
        <v/>
      </c>
      <c r="O576" s="10">
        <f>ROUND(J576*'Irish Basis'!$C$7*'Irish Basis'!$C$5,2)</f>
        <v/>
      </c>
      <c r="P576" s="10">
        <f>ROUND(K576*'Irish Basis'!$C$8*'Irish Basis'!$C$5,2)</f>
        <v/>
      </c>
      <c r="Q576" s="10">
        <f>ROUND(L576*'Irish Basis'!$C$12*'Irish Basis'!$C$5,2)</f>
        <v/>
      </c>
      <c r="R576" s="11">
        <f>ROUND(SUM(N576:Q576),2)</f>
        <v/>
      </c>
      <c r="S576" s="5" t="inlineStr">
        <is>
          <t>Stated build-up</t>
        </is>
      </c>
      <c r="T576" s="12" t="inlineStr">
        <is>
          <t>High</t>
        </is>
      </c>
      <c r="U576" s="8" t="n">
        <v>25.65</v>
      </c>
      <c r="V576" s="13">
        <f>IF(U576="","",ROUND(M576-U576,2))</f>
        <v/>
      </c>
      <c r="W576" s="5" t="n"/>
      <c r="X576" s="5" t="inlineStr">
        <is>
          <t>Labour + plant + material as published; reconciles to the published rate.</t>
        </is>
      </c>
    </row>
    <row r="577" ht="13" customHeight="1">
      <c r="A577" s="4" t="n">
        <v>1006</v>
      </c>
      <c r="B577" s="5" t="inlineStr">
        <is>
          <t>IMG_0079</t>
        </is>
      </c>
      <c r="C577" s="5" t="inlineStr">
        <is>
          <t>CLASS E: EARTHWORKS</t>
        </is>
      </c>
      <c r="D577" s="5" t="inlineStr">
        <is>
          <t>GEOTEXTILES</t>
        </is>
      </c>
      <c r="E577" s="5" t="inlineStr">
        <is>
          <t>Paralink 600 s; 2040 g/m2</t>
        </is>
      </c>
      <c r="F577" s="5" t="inlineStr">
        <is>
          <t>inclined at an angle of 10-45 deg to the horizontal</t>
        </is>
      </c>
      <c r="G577" s="6" t="inlineStr">
        <is>
          <t>m2</t>
        </is>
      </c>
      <c r="H577" s="7" t="n">
        <v>0.08</v>
      </c>
      <c r="I577" s="8" t="n">
        <v>7.07</v>
      </c>
      <c r="J577" s="8" t="n">
        <v>10.45</v>
      </c>
      <c r="K577" s="8" t="n">
        <v>11.68</v>
      </c>
      <c r="L577" s="8" t="n">
        <v>0</v>
      </c>
      <c r="M577" s="9">
        <f>ROUND(SUM(I577:L577),2)</f>
        <v/>
      </c>
      <c r="N577" s="10">
        <f>ROUND(I577*'Irish Basis'!$C$6*'Irish Basis'!$C$5,2)</f>
        <v/>
      </c>
      <c r="O577" s="10">
        <f>ROUND(J577*'Irish Basis'!$C$7*'Irish Basis'!$C$5,2)</f>
        <v/>
      </c>
      <c r="P577" s="10">
        <f>ROUND(K577*'Irish Basis'!$C$8*'Irish Basis'!$C$5,2)</f>
        <v/>
      </c>
      <c r="Q577" s="10">
        <f>ROUND(L577*'Irish Basis'!$C$12*'Irish Basis'!$C$5,2)</f>
        <v/>
      </c>
      <c r="R577" s="11">
        <f>ROUND(SUM(N577:Q577),2)</f>
        <v/>
      </c>
      <c r="S577" s="5" t="inlineStr">
        <is>
          <t>Stated build-up</t>
        </is>
      </c>
      <c r="T577" s="12" t="inlineStr">
        <is>
          <t>High</t>
        </is>
      </c>
      <c r="U577" s="8" t="n">
        <v>29.2</v>
      </c>
      <c r="V577" s="13">
        <f>IF(U577="","",ROUND(M577-U577,2))</f>
        <v/>
      </c>
      <c r="W577" s="5" t="n"/>
      <c r="X577" s="5" t="inlineStr">
        <is>
          <t>Labour + plant + material as published; reconciles to the published rate.</t>
        </is>
      </c>
    </row>
    <row r="578" ht="13" customHeight="1">
      <c r="A578" s="4" t="n">
        <v>1008</v>
      </c>
      <c r="B578" s="5" t="inlineStr">
        <is>
          <t>IMG_0079</t>
        </is>
      </c>
      <c r="C578" s="5" t="inlineStr">
        <is>
          <t>CLASS E: EARTHWORKS</t>
        </is>
      </c>
      <c r="D578" s="5" t="inlineStr">
        <is>
          <t>GEOTEXTILES</t>
        </is>
      </c>
      <c r="E578" s="5" t="inlineStr">
        <is>
          <t>Terram grid 30/30</t>
        </is>
      </c>
      <c r="F578" s="5" t="inlineStr">
        <is>
          <t>horizontal</t>
        </is>
      </c>
      <c r="G578" s="6" t="inlineStr">
        <is>
          <t>m2</t>
        </is>
      </c>
      <c r="H578" s="7" t="n">
        <v>0.06</v>
      </c>
      <c r="I578" s="8" t="n">
        <v>5.1</v>
      </c>
      <c r="J578" s="8" t="n">
        <v>7.54</v>
      </c>
      <c r="K578" s="8" t="n">
        <v>3.94</v>
      </c>
      <c r="L578" s="8" t="n">
        <v>0</v>
      </c>
      <c r="M578" s="9">
        <f>ROUND(SUM(I578:L578),2)</f>
        <v/>
      </c>
      <c r="N578" s="10">
        <f>ROUND(I578*'Irish Basis'!$C$6*'Irish Basis'!$C$5,2)</f>
        <v/>
      </c>
      <c r="O578" s="10">
        <f>ROUND(J578*'Irish Basis'!$C$7*'Irish Basis'!$C$5,2)</f>
        <v/>
      </c>
      <c r="P578" s="10">
        <f>ROUND(K578*'Irish Basis'!$C$8*'Irish Basis'!$C$5,2)</f>
        <v/>
      </c>
      <c r="Q578" s="10">
        <f>ROUND(L578*'Irish Basis'!$C$12*'Irish Basis'!$C$5,2)</f>
        <v/>
      </c>
      <c r="R578" s="11">
        <f>ROUND(SUM(N578:Q578),2)</f>
        <v/>
      </c>
      <c r="S578" s="5" t="inlineStr">
        <is>
          <t>Stated build-up</t>
        </is>
      </c>
      <c r="T578" s="12" t="inlineStr">
        <is>
          <t>High</t>
        </is>
      </c>
      <c r="U578" s="8" t="n">
        <v>16.58</v>
      </c>
      <c r="V578" s="13">
        <f>IF(U578="","",ROUND(M578-U578,2))</f>
        <v/>
      </c>
      <c r="W578" s="5" t="n"/>
      <c r="X578" s="5" t="inlineStr">
        <is>
          <t>Labour + plant + material as published; reconciles to the published rate.</t>
        </is>
      </c>
    </row>
    <row r="579" ht="13" customHeight="1">
      <c r="A579" s="4" t="n">
        <v>1009</v>
      </c>
      <c r="B579" s="5" t="inlineStr">
        <is>
          <t>IMG_0079</t>
        </is>
      </c>
      <c r="C579" s="5" t="inlineStr">
        <is>
          <t>CLASS E: EARTHWORKS</t>
        </is>
      </c>
      <c r="D579" s="5" t="inlineStr">
        <is>
          <t>GEOTEXTILES</t>
        </is>
      </c>
      <c r="E579" s="5" t="inlineStr">
        <is>
          <t>Terram grid 30/30</t>
        </is>
      </c>
      <c r="F579" s="5" t="inlineStr">
        <is>
          <t>inclined at an angle of 10-45 deg to the horizontal</t>
        </is>
      </c>
      <c r="G579" s="6" t="inlineStr">
        <is>
          <t>m2</t>
        </is>
      </c>
      <c r="H579" s="7" t="n">
        <v>0.07000000000000001</v>
      </c>
      <c r="I579" s="8" t="n">
        <v>6.35</v>
      </c>
      <c r="J579" s="8" t="n">
        <v>9.390000000000001</v>
      </c>
      <c r="K579" s="8" t="n">
        <v>3.94</v>
      </c>
      <c r="L579" s="8" t="n">
        <v>0</v>
      </c>
      <c r="M579" s="9">
        <f>ROUND(SUM(I579:L579),2)</f>
        <v/>
      </c>
      <c r="N579" s="10">
        <f>ROUND(I579*'Irish Basis'!$C$6*'Irish Basis'!$C$5,2)</f>
        <v/>
      </c>
      <c r="O579" s="10">
        <f>ROUND(J579*'Irish Basis'!$C$7*'Irish Basis'!$C$5,2)</f>
        <v/>
      </c>
      <c r="P579" s="10">
        <f>ROUND(K579*'Irish Basis'!$C$8*'Irish Basis'!$C$5,2)</f>
        <v/>
      </c>
      <c r="Q579" s="10">
        <f>ROUND(L579*'Irish Basis'!$C$12*'Irish Basis'!$C$5,2)</f>
        <v/>
      </c>
      <c r="R579" s="11">
        <f>ROUND(SUM(N579:Q579),2)</f>
        <v/>
      </c>
      <c r="S579" s="5" t="inlineStr">
        <is>
          <t>Stated build-up</t>
        </is>
      </c>
      <c r="T579" s="12" t="inlineStr">
        <is>
          <t>High</t>
        </is>
      </c>
      <c r="U579" s="8" t="n">
        <v>19.68</v>
      </c>
      <c r="V579" s="13">
        <f>IF(U579="","",ROUND(M579-U579,2))</f>
        <v/>
      </c>
      <c r="W579" s="5" t="n"/>
      <c r="X579" s="5" t="inlineStr">
        <is>
          <t>Labour + plant + material as published; reconciles to the published rate.</t>
        </is>
      </c>
    </row>
    <row r="580" ht="13" customHeight="1">
      <c r="A580" s="4" t="n">
        <v>1012</v>
      </c>
      <c r="B580" s="5" t="inlineStr">
        <is>
          <t>IMG_0079</t>
        </is>
      </c>
      <c r="C580" s="5" t="inlineStr">
        <is>
          <t>CLASS E: EARTHWORKS</t>
        </is>
      </c>
      <c r="D580" s="5" t="inlineStr">
        <is>
          <t>GEOTEXTILES</t>
        </is>
      </c>
      <c r="E580" s="5" t="inlineStr">
        <is>
          <t>For use where erosion protection is required to the surface of a slope once its geotechnical stability has been achieved, and to allow grass establishment; Tensar Mat Polyethylene mesh; fixed with Tensar pegs</t>
        </is>
      </c>
      <c r="F580" s="5" t="inlineStr">
        <is>
          <t>horizontal</t>
        </is>
      </c>
      <c r="G580" s="6" t="inlineStr">
        <is>
          <t>m2</t>
        </is>
      </c>
      <c r="H580" s="7" t="n">
        <v>0.04</v>
      </c>
      <c r="I580" s="8" t="n">
        <v>3.18</v>
      </c>
      <c r="J580" s="8" t="n">
        <v>0</v>
      </c>
      <c r="K580" s="8" t="n">
        <v>7.31</v>
      </c>
      <c r="L580" s="8" t="n">
        <v>0</v>
      </c>
      <c r="M580" s="9">
        <f>ROUND(SUM(I580:L580),2)</f>
        <v/>
      </c>
      <c r="N580" s="10">
        <f>ROUND(I580*'Irish Basis'!$C$6*'Irish Basis'!$C$5,2)</f>
        <v/>
      </c>
      <c r="O580" s="10">
        <f>ROUND(J580*'Irish Basis'!$C$7*'Irish Basis'!$C$5,2)</f>
        <v/>
      </c>
      <c r="P580" s="10">
        <f>ROUND(K580*'Irish Basis'!$C$8*'Irish Basis'!$C$5,2)</f>
        <v/>
      </c>
      <c r="Q580" s="10">
        <f>ROUND(L580*'Irish Basis'!$C$12*'Irish Basis'!$C$5,2)</f>
        <v/>
      </c>
      <c r="R580" s="11">
        <f>ROUND(SUM(N580:Q580),2)</f>
        <v/>
      </c>
      <c r="S580" s="5" t="inlineStr">
        <is>
          <t>Stated build-up</t>
        </is>
      </c>
      <c r="T580" s="12" t="inlineStr">
        <is>
          <t>High</t>
        </is>
      </c>
      <c r="U580" s="8" t="n">
        <v>10.49</v>
      </c>
      <c r="V580" s="13">
        <f>IF(U580="","",ROUND(M580-U580,2))</f>
        <v/>
      </c>
      <c r="W580" s="5" t="n"/>
      <c r="X580" s="5" t="inlineStr">
        <is>
          <t>Labour + plant + material as published; reconciles to the published rate.</t>
        </is>
      </c>
    </row>
    <row r="581" ht="13" customHeight="1">
      <c r="A581" s="4" t="n">
        <v>1013</v>
      </c>
      <c r="B581" s="5" t="inlineStr">
        <is>
          <t>IMG_0079</t>
        </is>
      </c>
      <c r="C581" s="5" t="inlineStr">
        <is>
          <t>CLASS E: EARTHWORKS</t>
        </is>
      </c>
      <c r="D581" s="5" t="inlineStr">
        <is>
          <t>GEOTEXTILES</t>
        </is>
      </c>
      <c r="E581" s="5" t="inlineStr">
        <is>
          <t>For use where erosion protection is required to the surface of a slope once its geotechnical stability has been achieved, and to allow grass establishment; Tensar Mat Polyethylene mesh; fixed with Tensar pegs</t>
        </is>
      </c>
      <c r="F581" s="5" t="inlineStr">
        <is>
          <t>inclined at an angle of 10-45 deg to the horizontal</t>
        </is>
      </c>
      <c r="G581" s="6" t="inlineStr">
        <is>
          <t>m2</t>
        </is>
      </c>
      <c r="H581" s="7" t="n">
        <v>0.05</v>
      </c>
      <c r="I581" s="8" t="n">
        <v>3.96</v>
      </c>
      <c r="J581" s="8" t="n">
        <v>0</v>
      </c>
      <c r="K581" s="8" t="n">
        <v>7.31</v>
      </c>
      <c r="L581" s="8" t="n">
        <v>0</v>
      </c>
      <c r="M581" s="9">
        <f>ROUND(SUM(I581:L581),2)</f>
        <v/>
      </c>
      <c r="N581" s="10">
        <f>ROUND(I581*'Irish Basis'!$C$6*'Irish Basis'!$C$5,2)</f>
        <v/>
      </c>
      <c r="O581" s="10">
        <f>ROUND(J581*'Irish Basis'!$C$7*'Irish Basis'!$C$5,2)</f>
        <v/>
      </c>
      <c r="P581" s="10">
        <f>ROUND(K581*'Irish Basis'!$C$8*'Irish Basis'!$C$5,2)</f>
        <v/>
      </c>
      <c r="Q581" s="10">
        <f>ROUND(L581*'Irish Basis'!$C$12*'Irish Basis'!$C$5,2)</f>
        <v/>
      </c>
      <c r="R581" s="11">
        <f>ROUND(SUM(N581:Q581),2)</f>
        <v/>
      </c>
      <c r="S581" s="5" t="inlineStr">
        <is>
          <t>Stated build-up</t>
        </is>
      </c>
      <c r="T581" s="12" t="inlineStr">
        <is>
          <t>High</t>
        </is>
      </c>
      <c r="U581" s="8" t="n">
        <v>11.27</v>
      </c>
      <c r="V581" s="13">
        <f>IF(U581="","",ROUND(M581-U581,2))</f>
        <v/>
      </c>
      <c r="W581" s="5" t="n"/>
      <c r="X581" s="5" t="inlineStr">
        <is>
          <t>Labour + plant + material as published; reconciles to the published rate.</t>
        </is>
      </c>
    </row>
    <row r="582" ht="13" customHeight="1">
      <c r="A582" s="4" t="n">
        <v>1015</v>
      </c>
      <c r="B582" s="5" t="inlineStr">
        <is>
          <t>IMG_0079</t>
        </is>
      </c>
      <c r="C582" s="5" t="inlineStr">
        <is>
          <t>CLASS E: EARTHWORKS</t>
        </is>
      </c>
      <c r="D582" s="5" t="inlineStr">
        <is>
          <t>GEOTEXTILES</t>
        </is>
      </c>
      <c r="E582" s="5" t="inlineStr">
        <is>
          <t>For use where hydraulic action exists, such as coastline protection from pressures exerted by waves, currents and tides; Typar SF56</t>
        </is>
      </c>
      <c r="F582" s="5" t="inlineStr">
        <is>
          <t>horizontal</t>
        </is>
      </c>
      <c r="G582" s="6" t="inlineStr">
        <is>
          <t>m2</t>
        </is>
      </c>
      <c r="H582" s="7" t="n">
        <v>0.05</v>
      </c>
      <c r="I582" s="8" t="n">
        <v>4.56</v>
      </c>
      <c r="J582" s="8" t="n">
        <v>6.75</v>
      </c>
      <c r="K582" s="8" t="n">
        <v>0.79</v>
      </c>
      <c r="L582" s="8" t="n">
        <v>0</v>
      </c>
      <c r="M582" s="9">
        <f>ROUND(SUM(I582:L582),2)</f>
        <v/>
      </c>
      <c r="N582" s="10">
        <f>ROUND(I582*'Irish Basis'!$C$6*'Irish Basis'!$C$5,2)</f>
        <v/>
      </c>
      <c r="O582" s="10">
        <f>ROUND(J582*'Irish Basis'!$C$7*'Irish Basis'!$C$5,2)</f>
        <v/>
      </c>
      <c r="P582" s="10">
        <f>ROUND(K582*'Irish Basis'!$C$8*'Irish Basis'!$C$5,2)</f>
        <v/>
      </c>
      <c r="Q582" s="10">
        <f>ROUND(L582*'Irish Basis'!$C$12*'Irish Basis'!$C$5,2)</f>
        <v/>
      </c>
      <c r="R582" s="11">
        <f>ROUND(SUM(N582:Q582),2)</f>
        <v/>
      </c>
      <c r="S582" s="5" t="inlineStr">
        <is>
          <t>Stated build-up</t>
        </is>
      </c>
      <c r="T582" s="12" t="inlineStr">
        <is>
          <t>High</t>
        </is>
      </c>
      <c r="U582" s="8" t="n">
        <v>12.1</v>
      </c>
      <c r="V582" s="13">
        <f>IF(U582="","",ROUND(M582-U582,2))</f>
        <v/>
      </c>
      <c r="W582" s="5" t="n"/>
      <c r="X582" s="5" t="inlineStr">
        <is>
          <t>Labour + plant + material as published; reconciles to the published rate.</t>
        </is>
      </c>
    </row>
    <row r="583" ht="13" customHeight="1">
      <c r="A583" s="4" t="n">
        <v>1016</v>
      </c>
      <c r="B583" s="5" t="inlineStr">
        <is>
          <t>IMG_0079</t>
        </is>
      </c>
      <c r="C583" s="5" t="inlineStr">
        <is>
          <t>CLASS E: EARTHWORKS</t>
        </is>
      </c>
      <c r="D583" s="5" t="inlineStr">
        <is>
          <t>GEOTEXTILES</t>
        </is>
      </c>
      <c r="E583" s="5" t="inlineStr">
        <is>
          <t>For use where hydraulic action exists, such as coastline protection from pressures exerted by waves, currents and tides; Typar SF56</t>
        </is>
      </c>
      <c r="F583" s="5" t="inlineStr">
        <is>
          <t>inclined at an angle of 10-45 deg to the horizontal</t>
        </is>
      </c>
      <c r="G583" s="6" t="inlineStr">
        <is>
          <t>m2</t>
        </is>
      </c>
      <c r="H583" s="7" t="n">
        <v>0.06</v>
      </c>
      <c r="I583" s="8" t="n">
        <v>5.73</v>
      </c>
      <c r="J583" s="8" t="n">
        <v>8.470000000000001</v>
      </c>
      <c r="K583" s="8" t="n">
        <v>0.79</v>
      </c>
      <c r="L583" s="8" t="n">
        <v>0</v>
      </c>
      <c r="M583" s="9">
        <f>ROUND(SUM(I583:L583),2)</f>
        <v/>
      </c>
      <c r="N583" s="10">
        <f>ROUND(I583*'Irish Basis'!$C$6*'Irish Basis'!$C$5,2)</f>
        <v/>
      </c>
      <c r="O583" s="10">
        <f>ROUND(J583*'Irish Basis'!$C$7*'Irish Basis'!$C$5,2)</f>
        <v/>
      </c>
      <c r="P583" s="10">
        <f>ROUND(K583*'Irish Basis'!$C$8*'Irish Basis'!$C$5,2)</f>
        <v/>
      </c>
      <c r="Q583" s="10">
        <f>ROUND(L583*'Irish Basis'!$C$12*'Irish Basis'!$C$5,2)</f>
        <v/>
      </c>
      <c r="R583" s="11">
        <f>ROUND(SUM(N583:Q583),2)</f>
        <v/>
      </c>
      <c r="S583" s="5" t="inlineStr">
        <is>
          <t>Stated build-up</t>
        </is>
      </c>
      <c r="T583" s="12" t="inlineStr">
        <is>
          <t>High</t>
        </is>
      </c>
      <c r="U583" s="8" t="n">
        <v>14.98</v>
      </c>
      <c r="V583" s="13">
        <f>IF(U583="","",ROUND(M583-U583,2))</f>
        <v/>
      </c>
      <c r="W583" s="5" t="n"/>
      <c r="X583" s="5" t="inlineStr">
        <is>
          <t>Labour + plant + material as published; reconciles to the published rate.</t>
        </is>
      </c>
    </row>
    <row r="584" ht="13" customHeight="1">
      <c r="A584" s="4" t="n">
        <v>1018</v>
      </c>
      <c r="B584" s="5" t="inlineStr">
        <is>
          <t>IMG_0079</t>
        </is>
      </c>
      <c r="C584" s="5" t="inlineStr">
        <is>
          <t>CLASS E: EARTHWORKS</t>
        </is>
      </c>
      <c r="D584" s="5" t="inlineStr">
        <is>
          <t>GEOTEXTILES</t>
        </is>
      </c>
      <c r="E584" s="5" t="inlineStr">
        <is>
          <t>For protection against puncturing to reservoir liner; Typar SF563</t>
        </is>
      </c>
      <c r="F584" s="5" t="inlineStr">
        <is>
          <t>horizontal</t>
        </is>
      </c>
      <c r="G584" s="6" t="inlineStr">
        <is>
          <t>m2</t>
        </is>
      </c>
      <c r="H584" s="7" t="n">
        <v>0.05</v>
      </c>
      <c r="I584" s="8" t="n">
        <v>4.56</v>
      </c>
      <c r="J584" s="8" t="n">
        <v>6.75</v>
      </c>
      <c r="K584" s="8" t="n">
        <v>0.79</v>
      </c>
      <c r="L584" s="8" t="n">
        <v>0</v>
      </c>
      <c r="M584" s="9">
        <f>ROUND(SUM(I584:L584),2)</f>
        <v/>
      </c>
      <c r="N584" s="10">
        <f>ROUND(I584*'Irish Basis'!$C$6*'Irish Basis'!$C$5,2)</f>
        <v/>
      </c>
      <c r="O584" s="10">
        <f>ROUND(J584*'Irish Basis'!$C$7*'Irish Basis'!$C$5,2)</f>
        <v/>
      </c>
      <c r="P584" s="10">
        <f>ROUND(K584*'Irish Basis'!$C$8*'Irish Basis'!$C$5,2)</f>
        <v/>
      </c>
      <c r="Q584" s="10">
        <f>ROUND(L584*'Irish Basis'!$C$12*'Irish Basis'!$C$5,2)</f>
        <v/>
      </c>
      <c r="R584" s="11">
        <f>ROUND(SUM(N584:Q584),2)</f>
        <v/>
      </c>
      <c r="S584" s="5" t="inlineStr">
        <is>
          <t>Stated build-up</t>
        </is>
      </c>
      <c r="T584" s="12" t="inlineStr">
        <is>
          <t>High</t>
        </is>
      </c>
      <c r="U584" s="8" t="n">
        <v>12.1</v>
      </c>
      <c r="V584" s="13">
        <f>IF(U584="","",ROUND(M584-U584,2))</f>
        <v/>
      </c>
      <c r="W584" s="5" t="n"/>
      <c r="X584" s="5" t="inlineStr">
        <is>
          <t>Labour + plant + material as published; reconciles to the published rate.</t>
        </is>
      </c>
    </row>
    <row r="585" ht="13" customHeight="1">
      <c r="A585" s="4" t="n">
        <v>1019</v>
      </c>
      <c r="B585" s="5" t="inlineStr">
        <is>
          <t>IMG_0079</t>
        </is>
      </c>
      <c r="C585" s="5" t="inlineStr">
        <is>
          <t>CLASS E: EARTHWORKS</t>
        </is>
      </c>
      <c r="D585" s="5" t="inlineStr">
        <is>
          <t>GEOTEXTILES</t>
        </is>
      </c>
      <c r="E585" s="5" t="inlineStr">
        <is>
          <t>For protection against puncturing to reservoir liner; Typar SF563</t>
        </is>
      </c>
      <c r="F585" s="5" t="inlineStr">
        <is>
          <t>inclined at an angle of 10-45 deg to the horizontal</t>
        </is>
      </c>
      <c r="G585" s="6" t="inlineStr">
        <is>
          <t>m2</t>
        </is>
      </c>
      <c r="H585" s="7" t="n">
        <v>0.06</v>
      </c>
      <c r="I585" s="8" t="n">
        <v>5.73</v>
      </c>
      <c r="J585" s="8" t="n">
        <v>8.470000000000001</v>
      </c>
      <c r="K585" s="8" t="n">
        <v>0.79</v>
      </c>
      <c r="L585" s="8" t="n">
        <v>0</v>
      </c>
      <c r="M585" s="9">
        <f>ROUND(SUM(I585:L585),2)</f>
        <v/>
      </c>
      <c r="N585" s="10">
        <f>ROUND(I585*'Irish Basis'!$C$6*'Irish Basis'!$C$5,2)</f>
        <v/>
      </c>
      <c r="O585" s="10">
        <f>ROUND(J585*'Irish Basis'!$C$7*'Irish Basis'!$C$5,2)</f>
        <v/>
      </c>
      <c r="P585" s="10">
        <f>ROUND(K585*'Irish Basis'!$C$8*'Irish Basis'!$C$5,2)</f>
        <v/>
      </c>
      <c r="Q585" s="10">
        <f>ROUND(L585*'Irish Basis'!$C$12*'Irish Basis'!$C$5,2)</f>
        <v/>
      </c>
      <c r="R585" s="11">
        <f>ROUND(SUM(N585:Q585),2)</f>
        <v/>
      </c>
      <c r="S585" s="5" t="inlineStr">
        <is>
          <t>Stated build-up</t>
        </is>
      </c>
      <c r="T585" s="12" t="inlineStr">
        <is>
          <t>High</t>
        </is>
      </c>
      <c r="U585" s="8" t="n">
        <v>14.98</v>
      </c>
      <c r="V585" s="13">
        <f>IF(U585="","",ROUND(M585-U585,2))</f>
        <v/>
      </c>
      <c r="W585" s="5" t="n"/>
      <c r="X585" s="5" t="inlineStr">
        <is>
          <t>Labour + plant + material as published; reconciles to the published rate.</t>
        </is>
      </c>
    </row>
    <row r="586" ht="13" customHeight="1">
      <c r="A586" s="4" t="n">
        <v>1021</v>
      </c>
      <c r="B586" s="5" t="inlineStr">
        <is>
          <t>IMG_0079</t>
        </is>
      </c>
      <c r="C586" s="5" t="inlineStr">
        <is>
          <t>CLASS E: EARTHWORKS</t>
        </is>
      </c>
      <c r="D586" s="5" t="inlineStr">
        <is>
          <t>GEOTEXTILES</t>
        </is>
      </c>
      <c r="E586" s="5" t="inlineStr">
        <is>
          <t>Geotextiles; temporary parking areas; For reinforcement of grassed areas subject to wear from excessive pedestrian and light motor vehicle traffic; Netlon CE131 high density polyethylene geogrid</t>
        </is>
      </c>
      <c r="F586" s="5" t="inlineStr">
        <is>
          <t>horizontal</t>
        </is>
      </c>
      <c r="G586" s="6" t="inlineStr">
        <is>
          <t>m2</t>
        </is>
      </c>
      <c r="H586" s="7" t="n">
        <v>0.04</v>
      </c>
      <c r="I586" s="8" t="n">
        <v>2.36</v>
      </c>
      <c r="J586" s="8" t="n">
        <v>0</v>
      </c>
      <c r="K586" s="8" t="n">
        <v>6.31</v>
      </c>
      <c r="L586" s="8" t="n">
        <v>0</v>
      </c>
      <c r="M586" s="9">
        <f>ROUND(SUM(I586:L586),2)</f>
        <v/>
      </c>
      <c r="N586" s="10">
        <f>ROUND(I586*'Irish Basis'!$C$6*'Irish Basis'!$C$5,2)</f>
        <v/>
      </c>
      <c r="O586" s="10">
        <f>ROUND(J586*'Irish Basis'!$C$7*'Irish Basis'!$C$5,2)</f>
        <v/>
      </c>
      <c r="P586" s="10">
        <f>ROUND(K586*'Irish Basis'!$C$8*'Irish Basis'!$C$5,2)</f>
        <v/>
      </c>
      <c r="Q586" s="10">
        <f>ROUND(L586*'Irish Basis'!$C$12*'Irish Basis'!$C$5,2)</f>
        <v/>
      </c>
      <c r="R586" s="11">
        <f>ROUND(SUM(N586:Q586),2)</f>
        <v/>
      </c>
      <c r="S586" s="5" t="inlineStr">
        <is>
          <t>Stated build-up</t>
        </is>
      </c>
      <c r="T586" s="12" t="inlineStr">
        <is>
          <t>High</t>
        </is>
      </c>
      <c r="U586" s="8" t="n">
        <v>8.66</v>
      </c>
      <c r="V586" s="13">
        <f>IF(U586="","",ROUND(M586-U586,2))</f>
        <v/>
      </c>
      <c r="W586" s="5" t="n"/>
      <c r="X586" s="5" t="inlineStr">
        <is>
          <t>Labour + plant + material as published; reconciles to the published rate.</t>
        </is>
      </c>
    </row>
    <row r="587" ht="13" customHeight="1">
      <c r="A587" s="4" t="n">
        <v>1023</v>
      </c>
      <c r="B587" s="5" t="inlineStr">
        <is>
          <t>IMG_0079</t>
        </is>
      </c>
      <c r="C587" s="5" t="inlineStr">
        <is>
          <t>CLASS E: EARTHWORKS</t>
        </is>
      </c>
      <c r="D587" s="5" t="inlineStr">
        <is>
          <t>GEOTEXTILES</t>
        </is>
      </c>
      <c r="E587" s="5" t="inlineStr">
        <is>
          <t>Geotextiles; landscaping applications; For prevention of weed growth in planted areas by incorporating a geotextile over top soil and below mulch or gravel; Typar SF20</t>
        </is>
      </c>
      <c r="F587" s="5" t="inlineStr">
        <is>
          <t>horizontal</t>
        </is>
      </c>
      <c r="G587" s="6" t="inlineStr">
        <is>
          <t>m2</t>
        </is>
      </c>
      <c r="H587" s="7" t="n">
        <v>0.08</v>
      </c>
      <c r="I587" s="8" t="n">
        <v>5.83</v>
      </c>
      <c r="J587" s="8" t="n">
        <v>0</v>
      </c>
      <c r="K587" s="8" t="n">
        <v>0.32</v>
      </c>
      <c r="L587" s="8" t="n">
        <v>0</v>
      </c>
      <c r="M587" s="9">
        <f>ROUND(SUM(I587:L587),2)</f>
        <v/>
      </c>
      <c r="N587" s="10">
        <f>ROUND(I587*'Irish Basis'!$C$6*'Irish Basis'!$C$5,2)</f>
        <v/>
      </c>
      <c r="O587" s="10">
        <f>ROUND(J587*'Irish Basis'!$C$7*'Irish Basis'!$C$5,2)</f>
        <v/>
      </c>
      <c r="P587" s="10">
        <f>ROUND(K587*'Irish Basis'!$C$8*'Irish Basis'!$C$5,2)</f>
        <v/>
      </c>
      <c r="Q587" s="10">
        <f>ROUND(L587*'Irish Basis'!$C$12*'Irish Basis'!$C$5,2)</f>
        <v/>
      </c>
      <c r="R587" s="11">
        <f>ROUND(SUM(N587:Q587),2)</f>
        <v/>
      </c>
      <c r="S587" s="5" t="inlineStr">
        <is>
          <t>Stated build-up</t>
        </is>
      </c>
      <c r="T587" s="12" t="inlineStr">
        <is>
          <t>High</t>
        </is>
      </c>
      <c r="U587" s="8" t="n">
        <v>6.15</v>
      </c>
      <c r="V587" s="13">
        <f>IF(U587="","",ROUND(M587-U587,2))</f>
        <v/>
      </c>
      <c r="W587" s="5" t="n"/>
      <c r="X587" s="5" t="inlineStr">
        <is>
          <t>Labour + plant + material as published; reconciles to the published rate.</t>
        </is>
      </c>
    </row>
    <row r="588" ht="13" customHeight="1">
      <c r="A588" s="4" t="n">
        <v>1024</v>
      </c>
      <c r="B588" s="5" t="inlineStr">
        <is>
          <t>IMG_0079</t>
        </is>
      </c>
      <c r="C588" s="5" t="inlineStr">
        <is>
          <t>CLASS E: EARTHWORKS</t>
        </is>
      </c>
      <c r="D588" s="5" t="inlineStr">
        <is>
          <t>GEOTEXTILES</t>
        </is>
      </c>
      <c r="E588" s="5" t="inlineStr">
        <is>
          <t>Geotextiles; landscaping applications; For prevention of weed growth in planted areas by incorporating a geotextile over top soil and below mulch or gravel; Typar SF20</t>
        </is>
      </c>
      <c r="F588" s="5" t="inlineStr">
        <is>
          <t>inclined at an angle of 10-45 deg to the horizontal</t>
        </is>
      </c>
      <c r="G588" s="6" t="inlineStr">
        <is>
          <t>m2</t>
        </is>
      </c>
      <c r="H588" s="7" t="n">
        <v>0.09</v>
      </c>
      <c r="I588" s="8" t="n">
        <v>7.3</v>
      </c>
      <c r="J588" s="8" t="n">
        <v>0</v>
      </c>
      <c r="K588" s="8" t="n">
        <v>0.32</v>
      </c>
      <c r="L588" s="8" t="n">
        <v>0</v>
      </c>
      <c r="M588" s="9">
        <f>ROUND(SUM(I588:L588),2)</f>
        <v/>
      </c>
      <c r="N588" s="10">
        <f>ROUND(I588*'Irish Basis'!$C$6*'Irish Basis'!$C$5,2)</f>
        <v/>
      </c>
      <c r="O588" s="10">
        <f>ROUND(J588*'Irish Basis'!$C$7*'Irish Basis'!$C$5,2)</f>
        <v/>
      </c>
      <c r="P588" s="10">
        <f>ROUND(K588*'Irish Basis'!$C$8*'Irish Basis'!$C$5,2)</f>
        <v/>
      </c>
      <c r="Q588" s="10">
        <f>ROUND(L588*'Irish Basis'!$C$12*'Irish Basis'!$C$5,2)</f>
        <v/>
      </c>
      <c r="R588" s="11">
        <f>ROUND(SUM(N588:Q588),2)</f>
        <v/>
      </c>
      <c r="S588" s="5" t="inlineStr">
        <is>
          <t>Stated build-up</t>
        </is>
      </c>
      <c r="T588" s="12" t="inlineStr">
        <is>
          <t>High</t>
        </is>
      </c>
      <c r="U588" s="8" t="n">
        <v>7.62</v>
      </c>
      <c r="V588" s="13">
        <f>IF(U588="","",ROUND(M588-U588,2))</f>
        <v/>
      </c>
      <c r="W588" s="5" t="n"/>
      <c r="X588" s="5" t="inlineStr">
        <is>
          <t>Labour + plant + material as published; reconciles to the published rate.</t>
        </is>
      </c>
    </row>
    <row r="589" ht="13" customHeight="1">
      <c r="A589" s="4" t="n">
        <v>1027</v>
      </c>
      <c r="B589" s="5" t="inlineStr">
        <is>
          <t>IMG_0080</t>
        </is>
      </c>
      <c r="C589" s="5" t="inlineStr">
        <is>
          <t>CLASS E: EARTHWORKS</t>
        </is>
      </c>
      <c r="D589" s="5" t="inlineStr">
        <is>
          <t>GEOTEXTILES</t>
        </is>
      </c>
      <c r="E589" s="5" t="inlineStr">
        <is>
          <t>For root growth control; prevention of lateral spread of roots and mixing of road base and humus; Typar SF20 (continued)</t>
        </is>
      </c>
      <c r="F589" s="5" t="inlineStr">
        <is>
          <t>horizontal</t>
        </is>
      </c>
      <c r="G589" s="6" t="inlineStr">
        <is>
          <t>m2</t>
        </is>
      </c>
      <c r="H589" s="7" t="n">
        <v>0.08</v>
      </c>
      <c r="I589" s="8" t="n">
        <v>5.83</v>
      </c>
      <c r="J589" s="8" t="n">
        <v>0</v>
      </c>
      <c r="K589" s="8" t="n">
        <v>0.32</v>
      </c>
      <c r="L589" s="8" t="n">
        <v>0</v>
      </c>
      <c r="M589" s="9">
        <f>ROUND(SUM(I589:L589),2)</f>
        <v/>
      </c>
      <c r="N589" s="10">
        <f>ROUND(I589*'Irish Basis'!$C$6*'Irish Basis'!$C$5,2)</f>
        <v/>
      </c>
      <c r="O589" s="10">
        <f>ROUND(J589*'Irish Basis'!$C$7*'Irish Basis'!$C$5,2)</f>
        <v/>
      </c>
      <c r="P589" s="10">
        <f>ROUND(K589*'Irish Basis'!$C$8*'Irish Basis'!$C$5,2)</f>
        <v/>
      </c>
      <c r="Q589" s="10">
        <f>ROUND(L589*'Irish Basis'!$C$12*'Irish Basis'!$C$5,2)</f>
        <v/>
      </c>
      <c r="R589" s="11">
        <f>ROUND(SUM(N589:Q589),2)</f>
        <v/>
      </c>
      <c r="S589" s="5" t="inlineStr">
        <is>
          <t>Stated build-up</t>
        </is>
      </c>
      <c r="T589" s="12" t="inlineStr">
        <is>
          <t>High</t>
        </is>
      </c>
      <c r="U589" s="8" t="n">
        <v>6.15</v>
      </c>
      <c r="V589" s="13">
        <f>IF(U589="","",ROUND(M589-U589,2))</f>
        <v/>
      </c>
      <c r="W589" s="5" t="n"/>
      <c r="X589" s="5" t="inlineStr">
        <is>
          <t>Labour + plant + material as published; reconciles to the published rate.</t>
        </is>
      </c>
    </row>
    <row r="590" ht="13" customHeight="1">
      <c r="A590" s="4" t="n">
        <v>1028</v>
      </c>
      <c r="B590" s="5" t="inlineStr">
        <is>
          <t>IMG_0080</t>
        </is>
      </c>
      <c r="C590" s="5" t="inlineStr">
        <is>
          <t>CLASS E: EARTHWORKS</t>
        </is>
      </c>
      <c r="D590" s="5" t="inlineStr">
        <is>
          <t>GEOTEXTILES</t>
        </is>
      </c>
      <c r="E590" s="5" t="inlineStr">
        <is>
          <t>For root growth control; prevention of lateral spread of roots and mixing of road base and humus; Typar SF20 (continued)</t>
        </is>
      </c>
      <c r="F590" s="5" t="inlineStr">
        <is>
          <t>inclined at an angle of 10-45 deg to the horizontal</t>
        </is>
      </c>
      <c r="G590" s="6" t="inlineStr">
        <is>
          <t>m2</t>
        </is>
      </c>
      <c r="H590" s="7" t="n">
        <v>0.09</v>
      </c>
      <c r="I590" s="8" t="n">
        <v>7.3</v>
      </c>
      <c r="J590" s="8" t="n">
        <v>0</v>
      </c>
      <c r="K590" s="8" t="n">
        <v>0.32</v>
      </c>
      <c r="L590" s="8" t="n">
        <v>0</v>
      </c>
      <c r="M590" s="9">
        <f>ROUND(SUM(I590:L590),2)</f>
        <v/>
      </c>
      <c r="N590" s="10">
        <f>ROUND(I590*'Irish Basis'!$C$6*'Irish Basis'!$C$5,2)</f>
        <v/>
      </c>
      <c r="O590" s="10">
        <f>ROUND(J590*'Irish Basis'!$C$7*'Irish Basis'!$C$5,2)</f>
        <v/>
      </c>
      <c r="P590" s="10">
        <f>ROUND(K590*'Irish Basis'!$C$8*'Irish Basis'!$C$5,2)</f>
        <v/>
      </c>
      <c r="Q590" s="10">
        <f>ROUND(L590*'Irish Basis'!$C$12*'Irish Basis'!$C$5,2)</f>
        <v/>
      </c>
      <c r="R590" s="11">
        <f>ROUND(SUM(N590:Q590),2)</f>
        <v/>
      </c>
      <c r="S590" s="5" t="inlineStr">
        <is>
          <t>Stated build-up</t>
        </is>
      </c>
      <c r="T590" s="12" t="inlineStr">
        <is>
          <t>High</t>
        </is>
      </c>
      <c r="U590" s="8" t="n">
        <v>7.62</v>
      </c>
      <c r="V590" s="13">
        <f>IF(U590="","",ROUND(M590-U590,2))</f>
        <v/>
      </c>
      <c r="W590" s="5" t="n"/>
      <c r="X590" s="5" t="inlineStr">
        <is>
          <t>Labour + plant + material as published; reconciles to the published rate.</t>
        </is>
      </c>
    </row>
    <row r="591" ht="13" customHeight="1">
      <c r="A591" s="4" t="n">
        <v>1031</v>
      </c>
      <c r="B591" s="5" t="inlineStr">
        <is>
          <t>IMG_0080</t>
        </is>
      </c>
      <c r="C591" s="5" t="inlineStr">
        <is>
          <t>CLASS E: EARTHWORKS</t>
        </is>
      </c>
      <c r="D591" s="5" t="inlineStr">
        <is>
          <t>GEOTEXTILES</t>
        </is>
      </c>
      <c r="E591" s="5" t="inlineStr">
        <is>
          <t>For clean installation of pipe support material and to prevent silting of the drainage pipe and minimizing differential settlement; Typar SF10</t>
        </is>
      </c>
      <c r="F591" s="5" t="inlineStr">
        <is>
          <t>horizontal</t>
        </is>
      </c>
      <c r="G591" s="6" t="inlineStr">
        <is>
          <t>m2</t>
        </is>
      </c>
      <c r="H591" s="7" t="n">
        <v>0.04</v>
      </c>
      <c r="I591" s="8" t="n">
        <v>3.18</v>
      </c>
      <c r="J591" s="8" t="n">
        <v>0</v>
      </c>
      <c r="K591" s="8" t="n">
        <v>0.52</v>
      </c>
      <c r="L591" s="8" t="n">
        <v>0</v>
      </c>
      <c r="M591" s="9">
        <f>ROUND(SUM(I591:L591),2)</f>
        <v/>
      </c>
      <c r="N591" s="10">
        <f>ROUND(I591*'Irish Basis'!$C$6*'Irish Basis'!$C$5,2)</f>
        <v/>
      </c>
      <c r="O591" s="10">
        <f>ROUND(J591*'Irish Basis'!$C$7*'Irish Basis'!$C$5,2)</f>
        <v/>
      </c>
      <c r="P591" s="10">
        <f>ROUND(K591*'Irish Basis'!$C$8*'Irish Basis'!$C$5,2)</f>
        <v/>
      </c>
      <c r="Q591" s="10">
        <f>ROUND(L591*'Irish Basis'!$C$12*'Irish Basis'!$C$5,2)</f>
        <v/>
      </c>
      <c r="R591" s="11">
        <f>ROUND(SUM(N591:Q591),2)</f>
        <v/>
      </c>
      <c r="S591" s="5" t="inlineStr">
        <is>
          <t>Stated build-up</t>
        </is>
      </c>
      <c r="T591" s="12" t="inlineStr">
        <is>
          <t>High</t>
        </is>
      </c>
      <c r="U591" s="8" t="n">
        <v>3.7</v>
      </c>
      <c r="V591" s="13">
        <f>IF(U591="","",ROUND(M591-U591,2))</f>
        <v/>
      </c>
      <c r="W591" s="5" t="n"/>
      <c r="X591" s="5" t="inlineStr">
        <is>
          <t>Labour + plant + material as published; reconciles to the published rate.</t>
        </is>
      </c>
    </row>
    <row r="592" ht="13" customHeight="1">
      <c r="A592" s="4" t="n">
        <v>1032</v>
      </c>
      <c r="B592" s="5" t="inlineStr">
        <is>
          <t>IMG_0080</t>
        </is>
      </c>
      <c r="C592" s="5" t="inlineStr">
        <is>
          <t>CLASS E: EARTHWORKS</t>
        </is>
      </c>
      <c r="D592" s="5" t="inlineStr">
        <is>
          <t>GEOTEXTILES</t>
        </is>
      </c>
      <c r="E592" s="5" t="inlineStr">
        <is>
          <t>For clean installation of pipe support material and to prevent silting of the drainage pipe and minimizing differential settlement; Typar SF10</t>
        </is>
      </c>
      <c r="F592" s="5" t="inlineStr">
        <is>
          <t>inclined at an angle of 10-45 deg to the horizontal</t>
        </is>
      </c>
      <c r="G592" s="6" t="inlineStr">
        <is>
          <t>m2</t>
        </is>
      </c>
      <c r="H592" s="7" t="n">
        <v>0.05</v>
      </c>
      <c r="I592" s="8" t="n">
        <v>3.96</v>
      </c>
      <c r="J592" s="8" t="n">
        <v>0</v>
      </c>
      <c r="K592" s="8" t="n">
        <v>0.52</v>
      </c>
      <c r="L592" s="8" t="n">
        <v>0</v>
      </c>
      <c r="M592" s="9">
        <f>ROUND(SUM(I592:L592),2)</f>
        <v/>
      </c>
      <c r="N592" s="10">
        <f>ROUND(I592*'Irish Basis'!$C$6*'Irish Basis'!$C$5,2)</f>
        <v/>
      </c>
      <c r="O592" s="10">
        <f>ROUND(J592*'Irish Basis'!$C$7*'Irish Basis'!$C$5,2)</f>
        <v/>
      </c>
      <c r="P592" s="10">
        <f>ROUND(K592*'Irish Basis'!$C$8*'Irish Basis'!$C$5,2)</f>
        <v/>
      </c>
      <c r="Q592" s="10">
        <f>ROUND(L592*'Irish Basis'!$C$12*'Irish Basis'!$C$5,2)</f>
        <v/>
      </c>
      <c r="R592" s="11">
        <f>ROUND(SUM(N592:Q592),2)</f>
        <v/>
      </c>
      <c r="S592" s="5" t="inlineStr">
        <is>
          <t>Stated build-up</t>
        </is>
      </c>
      <c r="T592" s="12" t="inlineStr">
        <is>
          <t>High</t>
        </is>
      </c>
      <c r="U592" s="8" t="n">
        <v>4.48</v>
      </c>
      <c r="V592" s="13">
        <f>IF(U592="","",ROUND(M592-U592,2))</f>
        <v/>
      </c>
      <c r="W592" s="5" t="n"/>
      <c r="X592" s="5" t="inlineStr">
        <is>
          <t>Labour + plant + material as published; reconciles to the published rate.</t>
        </is>
      </c>
    </row>
    <row r="593" ht="13" customHeight="1">
      <c r="A593" s="4" t="n">
        <v>1034</v>
      </c>
      <c r="B593" s="5" t="inlineStr">
        <is>
          <t>IMG_0080</t>
        </is>
      </c>
      <c r="C593" s="5" t="inlineStr">
        <is>
          <t>CLASS E: EARTHWORKS</t>
        </is>
      </c>
      <c r="D593" s="5" t="inlineStr">
        <is>
          <t>GEOTEXTILES</t>
        </is>
      </c>
      <c r="E593" s="5" t="inlineStr">
        <is>
          <t>For wrapping to prevent clogging of drainage pipes surrounded by fine soil; Typar SF10</t>
        </is>
      </c>
      <c r="F593" s="5" t="inlineStr">
        <is>
          <t>sheeting</t>
        </is>
      </c>
      <c r="G593" s="6" t="inlineStr">
        <is>
          <t>m2</t>
        </is>
      </c>
      <c r="H593" s="7" t="n">
        <v>0.08</v>
      </c>
      <c r="I593" s="8" t="n">
        <v>6.21</v>
      </c>
      <c r="J593" s="8" t="n">
        <v>0</v>
      </c>
      <c r="K593" s="8" t="n">
        <v>0.67</v>
      </c>
      <c r="L593" s="8" t="n">
        <v>0</v>
      </c>
      <c r="M593" s="9">
        <f>ROUND(SUM(I593:L593),2)</f>
        <v/>
      </c>
      <c r="N593" s="10">
        <f>ROUND(I593*'Irish Basis'!$C$6*'Irish Basis'!$C$5,2)</f>
        <v/>
      </c>
      <c r="O593" s="10">
        <f>ROUND(J593*'Irish Basis'!$C$7*'Irish Basis'!$C$5,2)</f>
        <v/>
      </c>
      <c r="P593" s="10">
        <f>ROUND(K593*'Irish Basis'!$C$8*'Irish Basis'!$C$5,2)</f>
        <v/>
      </c>
      <c r="Q593" s="10">
        <f>ROUND(L593*'Irish Basis'!$C$12*'Irish Basis'!$C$5,2)</f>
        <v/>
      </c>
      <c r="R593" s="11">
        <f>ROUND(SUM(N593:Q593),2)</f>
        <v/>
      </c>
      <c r="S593" s="5" t="inlineStr">
        <is>
          <t>Stated build-up</t>
        </is>
      </c>
      <c r="T593" s="12" t="inlineStr">
        <is>
          <t>High</t>
        </is>
      </c>
      <c r="U593" s="8" t="n">
        <v>6.88</v>
      </c>
      <c r="V593" s="13">
        <f>IF(U593="","",ROUND(M593-U593,2))</f>
        <v/>
      </c>
      <c r="W593" s="5" t="n"/>
      <c r="X593" s="5" t="inlineStr">
        <is>
          <t>Labour + plant + material as published; reconciles to the published rate.</t>
        </is>
      </c>
    </row>
    <row r="594" ht="13" customHeight="1">
      <c r="A594" s="4" t="n">
        <v>1036</v>
      </c>
      <c r="B594" s="5" t="inlineStr">
        <is>
          <t>IMG_0080</t>
        </is>
      </c>
      <c r="C594" s="5" t="inlineStr">
        <is>
          <t>CLASS E: EARTHWORKS</t>
        </is>
      </c>
      <c r="D594" s="5" t="inlineStr">
        <is>
          <t>GEOTEXTILES</t>
        </is>
      </c>
      <c r="E594" s="5" t="inlineStr">
        <is>
          <t>For wrapping to prevent clogging of drainage pipes surrounded by fine soil; Terram 1000</t>
        </is>
      </c>
      <c r="F594" s="5" t="inlineStr">
        <is>
          <t>sheeting</t>
        </is>
      </c>
      <c r="G594" s="6" t="inlineStr">
        <is>
          <t>m2</t>
        </is>
      </c>
      <c r="H594" s="7" t="n">
        <v>0.08</v>
      </c>
      <c r="I594" s="8" t="n">
        <v>6.21</v>
      </c>
      <c r="J594" s="8" t="n">
        <v>0</v>
      </c>
      <c r="K594" s="8" t="n">
        <v>0.96</v>
      </c>
      <c r="L594" s="8" t="n">
        <v>0</v>
      </c>
      <c r="M594" s="9">
        <f>ROUND(SUM(I594:L594),2)</f>
        <v/>
      </c>
      <c r="N594" s="10">
        <f>ROUND(I594*'Irish Basis'!$C$6*'Irish Basis'!$C$5,2)</f>
        <v/>
      </c>
      <c r="O594" s="10">
        <f>ROUND(J594*'Irish Basis'!$C$7*'Irish Basis'!$C$5,2)</f>
        <v/>
      </c>
      <c r="P594" s="10">
        <f>ROUND(K594*'Irish Basis'!$C$8*'Irish Basis'!$C$5,2)</f>
        <v/>
      </c>
      <c r="Q594" s="10">
        <f>ROUND(L594*'Irish Basis'!$C$12*'Irish Basis'!$C$5,2)</f>
        <v/>
      </c>
      <c r="R594" s="11">
        <f>ROUND(SUM(N594:Q594),2)</f>
        <v/>
      </c>
      <c r="S594" s="5" t="inlineStr">
        <is>
          <t>Stated build-up</t>
        </is>
      </c>
      <c r="T594" s="12" t="inlineStr">
        <is>
          <t>High</t>
        </is>
      </c>
      <c r="U594" s="8" t="n">
        <v>7.18</v>
      </c>
      <c r="V594" s="13">
        <f>IF(U594="","",ROUND(M594-U594,2))</f>
        <v/>
      </c>
      <c r="W594" s="5" t="n"/>
      <c r="X594" s="5" t="inlineStr">
        <is>
          <t>Labour + plant + material as published; reconciles to the published rate.</t>
        </is>
      </c>
    </row>
    <row r="595" ht="13" customHeight="1">
      <c r="A595" s="4" t="n">
        <v>1038</v>
      </c>
      <c r="B595" s="5" t="inlineStr">
        <is>
          <t>IMG_0080</t>
        </is>
      </c>
      <c r="C595" s="5" t="inlineStr">
        <is>
          <t>CLASS E: EARTHWORKS</t>
        </is>
      </c>
      <c r="D595" s="5" t="inlineStr">
        <is>
          <t>GEOTEXTILES</t>
        </is>
      </c>
      <c r="E595" s="5" t="inlineStr">
        <is>
          <t>For vertical structure drainage to sub-surface walls, roofs and foundations; Filtram 1B1</t>
        </is>
      </c>
      <c r="F595" s="5" t="inlineStr">
        <is>
          <t>sheeting</t>
        </is>
      </c>
      <c r="G595" s="6" t="inlineStr">
        <is>
          <t>m2</t>
        </is>
      </c>
      <c r="H595" s="7" t="n">
        <v>0.08</v>
      </c>
      <c r="I595" s="8" t="n">
        <v>6.21</v>
      </c>
      <c r="J595" s="8" t="n">
        <v>0</v>
      </c>
      <c r="K595" s="8" t="n">
        <v>5.94</v>
      </c>
      <c r="L595" s="8" t="n">
        <v>0</v>
      </c>
      <c r="M595" s="9">
        <f>ROUND(SUM(I595:L595),2)</f>
        <v/>
      </c>
      <c r="N595" s="10">
        <f>ROUND(I595*'Irish Basis'!$C$6*'Irish Basis'!$C$5,2)</f>
        <v/>
      </c>
      <c r="O595" s="10">
        <f>ROUND(J595*'Irish Basis'!$C$7*'Irish Basis'!$C$5,2)</f>
        <v/>
      </c>
      <c r="P595" s="10">
        <f>ROUND(K595*'Irish Basis'!$C$8*'Irish Basis'!$C$5,2)</f>
        <v/>
      </c>
      <c r="Q595" s="10">
        <f>ROUND(L595*'Irish Basis'!$C$12*'Irish Basis'!$C$5,2)</f>
        <v/>
      </c>
      <c r="R595" s="11">
        <f>ROUND(SUM(N595:Q595),2)</f>
        <v/>
      </c>
      <c r="S595" s="5" t="inlineStr">
        <is>
          <t>Stated build-up</t>
        </is>
      </c>
      <c r="T595" s="12" t="inlineStr">
        <is>
          <t>High</t>
        </is>
      </c>
      <c r="U595" s="8" t="n">
        <v>12.16</v>
      </c>
      <c r="V595" s="13">
        <f>IF(U595="","",ROUND(M595-U595,2))</f>
        <v/>
      </c>
      <c r="W595" s="5" t="n"/>
      <c r="X595" s="5" t="inlineStr">
        <is>
          <t>Labour + plant + material as published; reconciles to the published rate.</t>
        </is>
      </c>
    </row>
    <row r="596" ht="13" customHeight="1">
      <c r="A596" s="4" t="n">
        <v>1040</v>
      </c>
      <c r="B596" s="5" t="inlineStr">
        <is>
          <t>IMG_0080</t>
        </is>
      </c>
      <c r="C596" s="5" t="inlineStr">
        <is>
          <t>CLASS E: EARTHWORKS</t>
        </is>
      </c>
      <c r="D596" s="5" t="inlineStr">
        <is>
          <t>GEOTEXTILES</t>
        </is>
      </c>
      <c r="E596" s="5" t="inlineStr">
        <is>
          <t>For waterproofing to tunnels, buried structures, etc. where the membrane is buried, forming part of the drainage system; Filtram 1BZ</t>
        </is>
      </c>
      <c r="F596" s="5" t="inlineStr">
        <is>
          <t>sheeting</t>
        </is>
      </c>
      <c r="G596" s="6" t="inlineStr">
        <is>
          <t>m2</t>
        </is>
      </c>
      <c r="H596" s="7" t="n">
        <v>0.08</v>
      </c>
      <c r="I596" s="8" t="n">
        <v>6.21</v>
      </c>
      <c r="J596" s="8" t="n">
        <v>0</v>
      </c>
      <c r="K596" s="8" t="n">
        <v>10.89</v>
      </c>
      <c r="L596" s="8" t="n">
        <v>0</v>
      </c>
      <c r="M596" s="9">
        <f>ROUND(SUM(I596:L596),2)</f>
        <v/>
      </c>
      <c r="N596" s="10">
        <f>ROUND(I596*'Irish Basis'!$C$6*'Irish Basis'!$C$5,2)</f>
        <v/>
      </c>
      <c r="O596" s="10">
        <f>ROUND(J596*'Irish Basis'!$C$7*'Irish Basis'!$C$5,2)</f>
        <v/>
      </c>
      <c r="P596" s="10">
        <f>ROUND(K596*'Irish Basis'!$C$8*'Irish Basis'!$C$5,2)</f>
        <v/>
      </c>
      <c r="Q596" s="10">
        <f>ROUND(L596*'Irish Basis'!$C$12*'Irish Basis'!$C$5,2)</f>
        <v/>
      </c>
      <c r="R596" s="11">
        <f>ROUND(SUM(N596:Q596),2)</f>
        <v/>
      </c>
      <c r="S596" s="5" t="inlineStr">
        <is>
          <t>Stated build-up</t>
        </is>
      </c>
      <c r="T596" s="12" t="inlineStr">
        <is>
          <t>High</t>
        </is>
      </c>
      <c r="U596" s="8" t="n">
        <v>17.11</v>
      </c>
      <c r="V596" s="13">
        <f>IF(U596="","",ROUND(M596-U596,2))</f>
        <v/>
      </c>
      <c r="W596" s="5" t="n"/>
      <c r="X596" s="5" t="inlineStr">
        <is>
          <t>Labour + plant + material as published; reconciles to the published rate.</t>
        </is>
      </c>
    </row>
    <row r="597" ht="13" customHeight="1">
      <c r="A597" s="4" t="n">
        <v>1042</v>
      </c>
      <c r="B597" s="5" t="inlineStr">
        <is>
          <t>IMG_0080</t>
        </is>
      </c>
      <c r="C597" s="5" t="inlineStr">
        <is>
          <t>CLASS E: EARTHWORKS</t>
        </is>
      </c>
      <c r="D597" s="5" t="inlineStr">
        <is>
          <t>GEOTEXTILES</t>
        </is>
      </c>
      <c r="E597" s="5" t="inlineStr">
        <is>
          <t>Geotextiles; roofing insulation and protection</t>
        </is>
      </c>
      <c r="F597" s="5" t="inlineStr">
        <is>
          <t>Protection of waterproofing membrane from physical damage and puncturing; Typar SF56 sheeting</t>
        </is>
      </c>
      <c r="G597" s="6" t="inlineStr">
        <is>
          <t>m2</t>
        </is>
      </c>
      <c r="H597" s="7" t="n">
        <v>0.05</v>
      </c>
      <c r="I597" s="8" t="n">
        <v>4.56</v>
      </c>
      <c r="J597" s="8" t="n">
        <v>6.75</v>
      </c>
      <c r="K597" s="8" t="n">
        <v>0.79</v>
      </c>
      <c r="L597" s="8" t="n">
        <v>0</v>
      </c>
      <c r="M597" s="9">
        <f>ROUND(SUM(I597:L597),2)</f>
        <v/>
      </c>
      <c r="N597" s="10">
        <f>ROUND(I597*'Irish Basis'!$C$6*'Irish Basis'!$C$5,2)</f>
        <v/>
      </c>
      <c r="O597" s="10">
        <f>ROUND(J597*'Irish Basis'!$C$7*'Irish Basis'!$C$5,2)</f>
        <v/>
      </c>
      <c r="P597" s="10">
        <f>ROUND(K597*'Irish Basis'!$C$8*'Irish Basis'!$C$5,2)</f>
        <v/>
      </c>
      <c r="Q597" s="10">
        <f>ROUND(L597*'Irish Basis'!$C$12*'Irish Basis'!$C$5,2)</f>
        <v/>
      </c>
      <c r="R597" s="11">
        <f>ROUND(SUM(N597:Q597),2)</f>
        <v/>
      </c>
      <c r="S597" s="5" t="inlineStr">
        <is>
          <t>Stated build-up</t>
        </is>
      </c>
      <c r="T597" s="12" t="inlineStr">
        <is>
          <t>High</t>
        </is>
      </c>
      <c r="U597" s="8" t="n">
        <v>12.1</v>
      </c>
      <c r="V597" s="13">
        <f>IF(U597="","",ROUND(M597-U597,2))</f>
        <v/>
      </c>
      <c r="W597" s="5" t="n"/>
      <c r="X597" s="5" t="inlineStr">
        <is>
          <t>Labour + plant + material as published; reconciles to the published rate.</t>
        </is>
      </c>
    </row>
    <row r="598" ht="13" customHeight="1">
      <c r="A598" s="4" t="n">
        <v>1043</v>
      </c>
      <c r="B598" s="5" t="inlineStr">
        <is>
          <t>IMG_0080</t>
        </is>
      </c>
      <c r="C598" s="5" t="inlineStr">
        <is>
          <t>CLASS E: EARTHWORKS</t>
        </is>
      </c>
      <c r="D598" s="5" t="inlineStr">
        <is>
          <t>GEOTEXTILES</t>
        </is>
      </c>
      <c r="E598" s="5" t="inlineStr">
        <is>
          <t>Geotextiles; roofing insulation and protection</t>
        </is>
      </c>
      <c r="F598" s="5" t="inlineStr">
        <is>
          <t>Internal reinforcement of in situ spread waterproof bitumen emulsion; Typar SF10 sheeting</t>
        </is>
      </c>
      <c r="G598" s="6" t="inlineStr">
        <is>
          <t>m2</t>
        </is>
      </c>
      <c r="H598" s="7" t="n">
        <v>0.07000000000000001</v>
      </c>
      <c r="I598" s="8" t="n">
        <v>5.13</v>
      </c>
      <c r="J598" s="8" t="n">
        <v>0</v>
      </c>
      <c r="K598" s="8" t="n">
        <v>0.52</v>
      </c>
      <c r="L598" s="8" t="n">
        <v>0</v>
      </c>
      <c r="M598" s="9">
        <f>ROUND(SUM(I598:L598),2)</f>
        <v/>
      </c>
      <c r="N598" s="10">
        <f>ROUND(I598*'Irish Basis'!$C$6*'Irish Basis'!$C$5,2)</f>
        <v/>
      </c>
      <c r="O598" s="10">
        <f>ROUND(J598*'Irish Basis'!$C$7*'Irish Basis'!$C$5,2)</f>
        <v/>
      </c>
      <c r="P598" s="10">
        <f>ROUND(K598*'Irish Basis'!$C$8*'Irish Basis'!$C$5,2)</f>
        <v/>
      </c>
      <c r="Q598" s="10">
        <f>ROUND(L598*'Irish Basis'!$C$12*'Irish Basis'!$C$5,2)</f>
        <v/>
      </c>
      <c r="R598" s="11">
        <f>ROUND(SUM(N598:Q598),2)</f>
        <v/>
      </c>
      <c r="S598" s="5" t="inlineStr">
        <is>
          <t>Stated build-up</t>
        </is>
      </c>
      <c r="T598" s="12" t="inlineStr">
        <is>
          <t>High</t>
        </is>
      </c>
      <c r="U598" s="8" t="n">
        <v>5.65</v>
      </c>
      <c r="V598" s="13">
        <f>IF(U598="","",ROUND(M598-U598,2))</f>
        <v/>
      </c>
      <c r="W598" s="5" t="n"/>
      <c r="X598" s="5" t="inlineStr">
        <is>
          <t>Labour + plant + material as published; reconciles to the published rate.</t>
        </is>
      </c>
    </row>
    <row r="599" ht="13" customHeight="1">
      <c r="A599" s="4" t="n">
        <v>1074</v>
      </c>
      <c r="B599" s="5" t="inlineStr">
        <is>
          <t>IMG_0080</t>
        </is>
      </c>
      <c r="C599" s="5" t="inlineStr">
        <is>
          <t>CLASS F: IN SITU CONCRETE</t>
        </is>
      </c>
      <c r="D599" s="5" t="inlineStr">
        <is>
          <t>01 DESIGNED CONCRETE</t>
        </is>
      </c>
      <c r="E599" s="5" t="inlineStr">
        <is>
          <t>Designed Concrete; Strength</t>
        </is>
      </c>
      <c r="F599" s="5" t="inlineStr">
        <is>
          <t>C12/15</t>
        </is>
      </c>
      <c r="G599" s="6" t="inlineStr">
        <is>
          <t>m3</t>
        </is>
      </c>
      <c r="H599" s="7" t="n"/>
      <c r="I599" s="8" t="n">
        <v>0</v>
      </c>
      <c r="J599" s="8" t="n">
        <v>0</v>
      </c>
      <c r="K599" s="8" t="n">
        <v>156.94</v>
      </c>
      <c r="L599" s="8" t="n">
        <v>0</v>
      </c>
      <c r="M599" s="9">
        <f>ROUND(SUM(I599:L599),2)</f>
        <v/>
      </c>
      <c r="N599" s="10">
        <f>ROUND(I599*'Irish Basis'!$C$6*'Irish Basis'!$C$5,2)</f>
        <v/>
      </c>
      <c r="O599" s="10">
        <f>ROUND(J599*'Irish Basis'!$C$7*'Irish Basis'!$C$5,2)</f>
        <v/>
      </c>
      <c r="P599" s="10">
        <f>ROUND(K599*'Irish Basis'!$C$8*'Irish Basis'!$C$5,2)</f>
        <v/>
      </c>
      <c r="Q599" s="10">
        <f>ROUND(L599*'Irish Basis'!$C$12*'Irish Basis'!$C$5,2)</f>
        <v/>
      </c>
      <c r="R599" s="11">
        <f>ROUND(SUM(N599:Q599),2)</f>
        <v/>
      </c>
      <c r="S599" s="5" t="inlineStr">
        <is>
          <t>Stated build-up</t>
        </is>
      </c>
      <c r="T599" s="12" t="inlineStr">
        <is>
          <t>High</t>
        </is>
      </c>
      <c r="U599" s="8" t="n">
        <v>156.94</v>
      </c>
      <c r="V599" s="13">
        <f>IF(U599="","",ROUND(M599-U599,2))</f>
        <v/>
      </c>
      <c r="W599" s="5" t="n"/>
      <c r="X599" s="5" t="inlineStr">
        <is>
          <t>Labour + plant + material as published; reconciles to the published rate.</t>
        </is>
      </c>
    </row>
    <row r="600" ht="13" customHeight="1">
      <c r="A600" s="4" t="n">
        <v>1075</v>
      </c>
      <c r="B600" s="5" t="inlineStr">
        <is>
          <t>IMG_0080</t>
        </is>
      </c>
      <c r="C600" s="5" t="inlineStr">
        <is>
          <t>CLASS F: IN SITU CONCRETE</t>
        </is>
      </c>
      <c r="D600" s="5" t="inlineStr">
        <is>
          <t>01 DESIGNED CONCRETE</t>
        </is>
      </c>
      <c r="E600" s="5" t="inlineStr">
        <is>
          <t>Designed Concrete; Strength</t>
        </is>
      </c>
      <c r="F600" s="5" t="inlineStr">
        <is>
          <t>C16/20</t>
        </is>
      </c>
      <c r="G600" s="6" t="inlineStr">
        <is>
          <t>m3</t>
        </is>
      </c>
      <c r="H600" s="7" t="n"/>
      <c r="I600" s="8" t="n">
        <v>0</v>
      </c>
      <c r="J600" s="8" t="n">
        <v>0</v>
      </c>
      <c r="K600" s="8" t="n">
        <v>158.87</v>
      </c>
      <c r="L600" s="8" t="n">
        <v>0</v>
      </c>
      <c r="M600" s="9">
        <f>ROUND(SUM(I600:L600),2)</f>
        <v/>
      </c>
      <c r="N600" s="10">
        <f>ROUND(I600*'Irish Basis'!$C$6*'Irish Basis'!$C$5,2)</f>
        <v/>
      </c>
      <c r="O600" s="10">
        <f>ROUND(J600*'Irish Basis'!$C$7*'Irish Basis'!$C$5,2)</f>
        <v/>
      </c>
      <c r="P600" s="10">
        <f>ROUND(K600*'Irish Basis'!$C$8*'Irish Basis'!$C$5,2)</f>
        <v/>
      </c>
      <c r="Q600" s="10">
        <f>ROUND(L600*'Irish Basis'!$C$12*'Irish Basis'!$C$5,2)</f>
        <v/>
      </c>
      <c r="R600" s="11">
        <f>ROUND(SUM(N600:Q600),2)</f>
        <v/>
      </c>
      <c r="S600" s="5" t="inlineStr">
        <is>
          <t>Stated build-up</t>
        </is>
      </c>
      <c r="T600" s="12" t="inlineStr">
        <is>
          <t>High</t>
        </is>
      </c>
      <c r="U600" s="8" t="n">
        <v>158.87</v>
      </c>
      <c r="V600" s="13">
        <f>IF(U600="","",ROUND(M600-U600,2))</f>
        <v/>
      </c>
      <c r="W600" s="5" t="n"/>
      <c r="X600" s="5" t="inlineStr">
        <is>
          <t>Labour + plant + material as published; reconciles to the published rate.</t>
        </is>
      </c>
    </row>
    <row r="601" ht="13" customHeight="1">
      <c r="A601" s="4" t="n">
        <v>1076</v>
      </c>
      <c r="B601" s="5" t="inlineStr">
        <is>
          <t>IMG_0080</t>
        </is>
      </c>
      <c r="C601" s="5" t="inlineStr">
        <is>
          <t>CLASS F: IN SITU CONCRETE</t>
        </is>
      </c>
      <c r="D601" s="5" t="inlineStr">
        <is>
          <t>01 DESIGNED CONCRETE</t>
        </is>
      </c>
      <c r="E601" s="5" t="inlineStr">
        <is>
          <t>Designed Concrete; Strength</t>
        </is>
      </c>
      <c r="F601" s="5" t="inlineStr">
        <is>
          <t>C20/25</t>
        </is>
      </c>
      <c r="G601" s="6" t="inlineStr">
        <is>
          <t>m3</t>
        </is>
      </c>
      <c r="H601" s="7" t="n"/>
      <c r="I601" s="8" t="n">
        <v>0</v>
      </c>
      <c r="J601" s="8" t="n">
        <v>0</v>
      </c>
      <c r="K601" s="8" t="n">
        <v>160.92</v>
      </c>
      <c r="L601" s="8" t="n">
        <v>0</v>
      </c>
      <c r="M601" s="9">
        <f>ROUND(SUM(I601:L601),2)</f>
        <v/>
      </c>
      <c r="N601" s="10">
        <f>ROUND(I601*'Irish Basis'!$C$6*'Irish Basis'!$C$5,2)</f>
        <v/>
      </c>
      <c r="O601" s="10">
        <f>ROUND(J601*'Irish Basis'!$C$7*'Irish Basis'!$C$5,2)</f>
        <v/>
      </c>
      <c r="P601" s="10">
        <f>ROUND(K601*'Irish Basis'!$C$8*'Irish Basis'!$C$5,2)</f>
        <v/>
      </c>
      <c r="Q601" s="10">
        <f>ROUND(L601*'Irish Basis'!$C$12*'Irish Basis'!$C$5,2)</f>
        <v/>
      </c>
      <c r="R601" s="11">
        <f>ROUND(SUM(N601:Q601),2)</f>
        <v/>
      </c>
      <c r="S601" s="5" t="inlineStr">
        <is>
          <t>Stated build-up</t>
        </is>
      </c>
      <c r="T601" s="12" t="inlineStr">
        <is>
          <t>High</t>
        </is>
      </c>
      <c r="U601" s="8" t="n">
        <v>160.92</v>
      </c>
      <c r="V601" s="13">
        <f>IF(U601="","",ROUND(M601-U601,2))</f>
        <v/>
      </c>
      <c r="W601" s="5" t="n"/>
      <c r="X601" s="5" t="inlineStr">
        <is>
          <t>Labour + plant + material as published; reconciles to the published rate.</t>
        </is>
      </c>
    </row>
    <row r="602" ht="13" customHeight="1">
      <c r="A602" s="4" t="n">
        <v>1077</v>
      </c>
      <c r="B602" s="5" t="inlineStr">
        <is>
          <t>IMG_0080</t>
        </is>
      </c>
      <c r="C602" s="5" t="inlineStr">
        <is>
          <t>CLASS F: IN SITU CONCRETE</t>
        </is>
      </c>
      <c r="D602" s="5" t="inlineStr">
        <is>
          <t>01 DESIGNED CONCRETE</t>
        </is>
      </c>
      <c r="E602" s="5" t="inlineStr">
        <is>
          <t>Designed Concrete; Strength</t>
        </is>
      </c>
      <c r="F602" s="5" t="inlineStr">
        <is>
          <t>C25/30</t>
        </is>
      </c>
      <c r="G602" s="6" t="inlineStr">
        <is>
          <t>m3</t>
        </is>
      </c>
      <c r="H602" s="7" t="n"/>
      <c r="I602" s="8" t="n">
        <v>0</v>
      </c>
      <c r="J602" s="8" t="n">
        <v>0</v>
      </c>
      <c r="K602" s="8" t="n">
        <v>162.88</v>
      </c>
      <c r="L602" s="8" t="n">
        <v>0</v>
      </c>
      <c r="M602" s="9">
        <f>ROUND(SUM(I602:L602),2)</f>
        <v/>
      </c>
      <c r="N602" s="10">
        <f>ROUND(I602*'Irish Basis'!$C$6*'Irish Basis'!$C$5,2)</f>
        <v/>
      </c>
      <c r="O602" s="10">
        <f>ROUND(J602*'Irish Basis'!$C$7*'Irish Basis'!$C$5,2)</f>
        <v/>
      </c>
      <c r="P602" s="10">
        <f>ROUND(K602*'Irish Basis'!$C$8*'Irish Basis'!$C$5,2)</f>
        <v/>
      </c>
      <c r="Q602" s="10">
        <f>ROUND(L602*'Irish Basis'!$C$12*'Irish Basis'!$C$5,2)</f>
        <v/>
      </c>
      <c r="R602" s="11">
        <f>ROUND(SUM(N602:Q602),2)</f>
        <v/>
      </c>
      <c r="S602" s="5" t="inlineStr">
        <is>
          <t>Stated build-up</t>
        </is>
      </c>
      <c r="T602" s="12" t="inlineStr">
        <is>
          <t>High</t>
        </is>
      </c>
      <c r="U602" s="8" t="n">
        <v>162.88</v>
      </c>
      <c r="V602" s="13">
        <f>IF(U602="","",ROUND(M602-U602,2))</f>
        <v/>
      </c>
      <c r="W602" s="5" t="n"/>
      <c r="X602" s="5" t="inlineStr">
        <is>
          <t>Labour + plant + material as published; reconciles to the published rate.</t>
        </is>
      </c>
    </row>
    <row r="603" ht="13" customHeight="1">
      <c r="A603" s="4" t="n">
        <v>1078</v>
      </c>
      <c r="B603" s="5" t="inlineStr">
        <is>
          <t>IMG_0080</t>
        </is>
      </c>
      <c r="C603" s="5" t="inlineStr">
        <is>
          <t>CLASS F: IN SITU CONCRETE</t>
        </is>
      </c>
      <c r="D603" s="5" t="inlineStr">
        <is>
          <t>01 DESIGNED CONCRETE</t>
        </is>
      </c>
      <c r="E603" s="5" t="inlineStr">
        <is>
          <t>Designed Concrete; Strength</t>
        </is>
      </c>
      <c r="F603" s="5" t="inlineStr">
        <is>
          <t>C32/40</t>
        </is>
      </c>
      <c r="G603" s="6" t="inlineStr">
        <is>
          <t>m3</t>
        </is>
      </c>
      <c r="H603" s="7" t="n"/>
      <c r="I603" s="8" t="n">
        <v>0</v>
      </c>
      <c r="J603" s="8" t="n">
        <v>0</v>
      </c>
      <c r="K603" s="8" t="n">
        <v>164.88</v>
      </c>
      <c r="L603" s="8" t="n">
        <v>0</v>
      </c>
      <c r="M603" s="9">
        <f>ROUND(SUM(I603:L603),2)</f>
        <v/>
      </c>
      <c r="N603" s="10">
        <f>ROUND(I603*'Irish Basis'!$C$6*'Irish Basis'!$C$5,2)</f>
        <v/>
      </c>
      <c r="O603" s="10">
        <f>ROUND(J603*'Irish Basis'!$C$7*'Irish Basis'!$C$5,2)</f>
        <v/>
      </c>
      <c r="P603" s="10">
        <f>ROUND(K603*'Irish Basis'!$C$8*'Irish Basis'!$C$5,2)</f>
        <v/>
      </c>
      <c r="Q603" s="10">
        <f>ROUND(L603*'Irish Basis'!$C$12*'Irish Basis'!$C$5,2)</f>
        <v/>
      </c>
      <c r="R603" s="11">
        <f>ROUND(SUM(N603:Q603),2)</f>
        <v/>
      </c>
      <c r="S603" s="5" t="inlineStr">
        <is>
          <t>Stated build-up</t>
        </is>
      </c>
      <c r="T603" s="12" t="inlineStr">
        <is>
          <t>High</t>
        </is>
      </c>
      <c r="U603" s="8" t="n">
        <v>164.88</v>
      </c>
      <c r="V603" s="13">
        <f>IF(U603="","",ROUND(M603-U603,2))</f>
        <v/>
      </c>
      <c r="W603" s="5" t="n"/>
      <c r="X603" s="5" t="inlineStr">
        <is>
          <t>Labour + plant + material as published; reconciles to the published rate.</t>
        </is>
      </c>
    </row>
    <row r="604" ht="13" customHeight="1">
      <c r="A604" s="4" t="n">
        <v>1079</v>
      </c>
      <c r="B604" s="5" t="inlineStr">
        <is>
          <t>IMG_0080</t>
        </is>
      </c>
      <c r="C604" s="5" t="inlineStr">
        <is>
          <t>CLASS F: IN SITU CONCRETE</t>
        </is>
      </c>
      <c r="D604" s="5" t="inlineStr">
        <is>
          <t>01 DESIGNED CONCRETE</t>
        </is>
      </c>
      <c r="E604" s="5" t="inlineStr">
        <is>
          <t>Designed Concrete; Strength</t>
        </is>
      </c>
      <c r="F604" s="5" t="inlineStr">
        <is>
          <t>RCC8/10</t>
        </is>
      </c>
      <c r="G604" s="6" t="inlineStr">
        <is>
          <t>m3</t>
        </is>
      </c>
      <c r="H604" s="7" t="n"/>
      <c r="I604" s="8" t="n">
        <v>0</v>
      </c>
      <c r="J604" s="8" t="n">
        <v>0</v>
      </c>
      <c r="K604" s="8" t="n">
        <v>177.09</v>
      </c>
      <c r="L604" s="8" t="n">
        <v>0</v>
      </c>
      <c r="M604" s="9">
        <f>ROUND(SUM(I604:L604),2)</f>
        <v/>
      </c>
      <c r="N604" s="10">
        <f>ROUND(I604*'Irish Basis'!$C$6*'Irish Basis'!$C$5,2)</f>
        <v/>
      </c>
      <c r="O604" s="10">
        <f>ROUND(J604*'Irish Basis'!$C$7*'Irish Basis'!$C$5,2)</f>
        <v/>
      </c>
      <c r="P604" s="10">
        <f>ROUND(K604*'Irish Basis'!$C$8*'Irish Basis'!$C$5,2)</f>
        <v/>
      </c>
      <c r="Q604" s="10">
        <f>ROUND(L604*'Irish Basis'!$C$12*'Irish Basis'!$C$5,2)</f>
        <v/>
      </c>
      <c r="R604" s="11">
        <f>ROUND(SUM(N604:Q604),2)</f>
        <v/>
      </c>
      <c r="S604" s="5" t="inlineStr">
        <is>
          <t>Stated build-up</t>
        </is>
      </c>
      <c r="T604" s="12" t="inlineStr">
        <is>
          <t>High</t>
        </is>
      </c>
      <c r="U604" s="8" t="n">
        <v>177.09</v>
      </c>
      <c r="V604" s="13">
        <f>IF(U604="","",ROUND(M604-U604,2))</f>
        <v/>
      </c>
      <c r="W604" s="5" t="n"/>
      <c r="X604" s="5" t="inlineStr">
        <is>
          <t>Labour + plant + material as published; reconciles to the published rate.</t>
        </is>
      </c>
    </row>
    <row r="605" ht="13" customHeight="1">
      <c r="A605" s="4" t="n">
        <v>1080</v>
      </c>
      <c r="B605" s="5" t="inlineStr">
        <is>
          <t>IMG_0080</t>
        </is>
      </c>
      <c r="C605" s="5" t="inlineStr">
        <is>
          <t>CLASS F: IN SITU CONCRETE</t>
        </is>
      </c>
      <c r="D605" s="5" t="inlineStr">
        <is>
          <t>01 DESIGNED CONCRETE</t>
        </is>
      </c>
      <c r="E605" s="5" t="inlineStr">
        <is>
          <t>Designed Concrete; Strength</t>
        </is>
      </c>
      <c r="F605" s="5" t="inlineStr">
        <is>
          <t>RC25/30</t>
        </is>
      </c>
      <c r="G605" s="6" t="inlineStr">
        <is>
          <t>m3</t>
        </is>
      </c>
      <c r="H605" s="7" t="n"/>
      <c r="I605" s="8" t="n">
        <v>0</v>
      </c>
      <c r="J605" s="8" t="n">
        <v>0</v>
      </c>
      <c r="K605" s="8" t="n">
        <v>179.02</v>
      </c>
      <c r="L605" s="8" t="n">
        <v>0</v>
      </c>
      <c r="M605" s="9">
        <f>ROUND(SUM(I605:L605),2)</f>
        <v/>
      </c>
      <c r="N605" s="10">
        <f>ROUND(I605*'Irish Basis'!$C$6*'Irish Basis'!$C$5,2)</f>
        <v/>
      </c>
      <c r="O605" s="10">
        <f>ROUND(J605*'Irish Basis'!$C$7*'Irish Basis'!$C$5,2)</f>
        <v/>
      </c>
      <c r="P605" s="10">
        <f>ROUND(K605*'Irish Basis'!$C$8*'Irish Basis'!$C$5,2)</f>
        <v/>
      </c>
      <c r="Q605" s="10">
        <f>ROUND(L605*'Irish Basis'!$C$12*'Irish Basis'!$C$5,2)</f>
        <v/>
      </c>
      <c r="R605" s="11">
        <f>ROUND(SUM(N605:Q605),2)</f>
        <v/>
      </c>
      <c r="S605" s="5" t="inlineStr">
        <is>
          <t>Stated build-up</t>
        </is>
      </c>
      <c r="T605" s="12" t="inlineStr">
        <is>
          <t>High</t>
        </is>
      </c>
      <c r="U605" s="8" t="n">
        <v>179.02</v>
      </c>
      <c r="V605" s="13">
        <f>IF(U605="","",ROUND(M605-U605,2))</f>
        <v/>
      </c>
      <c r="W605" s="5" t="n"/>
      <c r="X605" s="5" t="inlineStr">
        <is>
          <t>Labour + plant + material as published; reconciles to the published rate.</t>
        </is>
      </c>
    </row>
    <row r="606" ht="13" customHeight="1">
      <c r="A606" s="4" t="n">
        <v>1081</v>
      </c>
      <c r="B606" s="5" t="inlineStr">
        <is>
          <t>IMG_0080</t>
        </is>
      </c>
      <c r="C606" s="5" t="inlineStr">
        <is>
          <t>CLASS F: IN SITU CONCRETE</t>
        </is>
      </c>
      <c r="D606" s="5" t="inlineStr">
        <is>
          <t>01 DESIGNED CONCRETE</t>
        </is>
      </c>
      <c r="E606" s="5" t="inlineStr">
        <is>
          <t>Designed Concrete; Strength</t>
        </is>
      </c>
      <c r="F606" s="5" t="inlineStr">
        <is>
          <t>RC30/37</t>
        </is>
      </c>
      <c r="G606" s="6" t="inlineStr">
        <is>
          <t>m3</t>
        </is>
      </c>
      <c r="H606" s="7" t="n"/>
      <c r="I606" s="8" t="n">
        <v>0</v>
      </c>
      <c r="J606" s="8" t="n">
        <v>0</v>
      </c>
      <c r="K606" s="8" t="n">
        <v>181.07</v>
      </c>
      <c r="L606" s="8" t="n">
        <v>0</v>
      </c>
      <c r="M606" s="9">
        <f>ROUND(SUM(I606:L606),2)</f>
        <v/>
      </c>
      <c r="N606" s="10">
        <f>ROUND(I606*'Irish Basis'!$C$6*'Irish Basis'!$C$5,2)</f>
        <v/>
      </c>
      <c r="O606" s="10">
        <f>ROUND(J606*'Irish Basis'!$C$7*'Irish Basis'!$C$5,2)</f>
        <v/>
      </c>
      <c r="P606" s="10">
        <f>ROUND(K606*'Irish Basis'!$C$8*'Irish Basis'!$C$5,2)</f>
        <v/>
      </c>
      <c r="Q606" s="10">
        <f>ROUND(L606*'Irish Basis'!$C$12*'Irish Basis'!$C$5,2)</f>
        <v/>
      </c>
      <c r="R606" s="11">
        <f>ROUND(SUM(N606:Q606),2)</f>
        <v/>
      </c>
      <c r="S606" s="5" t="inlineStr">
        <is>
          <t>Stated build-up</t>
        </is>
      </c>
      <c r="T606" s="12" t="inlineStr">
        <is>
          <t>High</t>
        </is>
      </c>
      <c r="U606" s="8" t="n">
        <v>181.07</v>
      </c>
      <c r="V606" s="13">
        <f>IF(U606="","",ROUND(M606-U606,2))</f>
        <v/>
      </c>
      <c r="W606" s="5" t="n"/>
      <c r="X606" s="5" t="inlineStr">
        <is>
          <t>Labour + plant + material as published; reconciles to the published rate.</t>
        </is>
      </c>
    </row>
    <row r="607" ht="13" customHeight="1">
      <c r="A607" s="4" t="n">
        <v>1082</v>
      </c>
      <c r="B607" s="5" t="inlineStr">
        <is>
          <t>IMG_0080</t>
        </is>
      </c>
      <c r="C607" s="5" t="inlineStr">
        <is>
          <t>CLASS F: IN SITU CONCRETE</t>
        </is>
      </c>
      <c r="D607" s="5" t="inlineStr">
        <is>
          <t>01 DESIGNED CONCRETE</t>
        </is>
      </c>
      <c r="E607" s="5" t="inlineStr">
        <is>
          <t>Designed Concrete; Strength</t>
        </is>
      </c>
      <c r="F607" s="5" t="inlineStr">
        <is>
          <t>RC32/40</t>
        </is>
      </c>
      <c r="G607" s="6" t="inlineStr">
        <is>
          <t>m3</t>
        </is>
      </c>
      <c r="H607" s="7" t="n"/>
      <c r="I607" s="8" t="n">
        <v>0</v>
      </c>
      <c r="J607" s="8" t="n">
        <v>0</v>
      </c>
      <c r="K607" s="8" t="n">
        <v>183.02</v>
      </c>
      <c r="L607" s="8" t="n">
        <v>0</v>
      </c>
      <c r="M607" s="9">
        <f>ROUND(SUM(I607:L607),2)</f>
        <v/>
      </c>
      <c r="N607" s="10">
        <f>ROUND(I607*'Irish Basis'!$C$6*'Irish Basis'!$C$5,2)</f>
        <v/>
      </c>
      <c r="O607" s="10">
        <f>ROUND(J607*'Irish Basis'!$C$7*'Irish Basis'!$C$5,2)</f>
        <v/>
      </c>
      <c r="P607" s="10">
        <f>ROUND(K607*'Irish Basis'!$C$8*'Irish Basis'!$C$5,2)</f>
        <v/>
      </c>
      <c r="Q607" s="10">
        <f>ROUND(L607*'Irish Basis'!$C$12*'Irish Basis'!$C$5,2)</f>
        <v/>
      </c>
      <c r="R607" s="11">
        <f>ROUND(SUM(N607:Q607),2)</f>
        <v/>
      </c>
      <c r="S607" s="5" t="inlineStr">
        <is>
          <t>Stated build-up</t>
        </is>
      </c>
      <c r="T607" s="12" t="inlineStr">
        <is>
          <t>High</t>
        </is>
      </c>
      <c r="U607" s="8" t="n">
        <v>183.02</v>
      </c>
      <c r="V607" s="13">
        <f>IF(U607="","",ROUND(M607-U607,2))</f>
        <v/>
      </c>
      <c r="W607" s="5" t="n"/>
      <c r="X607" s="5" t="inlineStr">
        <is>
          <t>Labour + plant + material as published; reconciles to the published rate.</t>
        </is>
      </c>
    </row>
    <row r="608" ht="13" customHeight="1">
      <c r="A608" s="4" t="n">
        <v>1083</v>
      </c>
      <c r="B608" s="5" t="inlineStr">
        <is>
          <t>IMG_0080</t>
        </is>
      </c>
      <c r="C608" s="5" t="inlineStr">
        <is>
          <t>CLASS F: IN SITU CONCRETE</t>
        </is>
      </c>
      <c r="D608" s="5" t="inlineStr">
        <is>
          <t>01 DESIGNED CONCRETE</t>
        </is>
      </c>
      <c r="E608" s="5" t="inlineStr">
        <is>
          <t>Designed Concrete; Strength</t>
        </is>
      </c>
      <c r="F608" s="5" t="inlineStr">
        <is>
          <t>RC40/50</t>
        </is>
      </c>
      <c r="G608" s="6" t="inlineStr">
        <is>
          <t>m3</t>
        </is>
      </c>
      <c r="H608" s="7" t="n"/>
      <c r="I608" s="8" t="n">
        <v>0</v>
      </c>
      <c r="J608" s="8" t="n">
        <v>0</v>
      </c>
      <c r="K608" s="8" t="n">
        <v>185.03</v>
      </c>
      <c r="L608" s="8" t="n">
        <v>0</v>
      </c>
      <c r="M608" s="9">
        <f>ROUND(SUM(I608:L608),2)</f>
        <v/>
      </c>
      <c r="N608" s="10">
        <f>ROUND(I608*'Irish Basis'!$C$6*'Irish Basis'!$C$5,2)</f>
        <v/>
      </c>
      <c r="O608" s="10">
        <f>ROUND(J608*'Irish Basis'!$C$7*'Irish Basis'!$C$5,2)</f>
        <v/>
      </c>
      <c r="P608" s="10">
        <f>ROUND(K608*'Irish Basis'!$C$8*'Irish Basis'!$C$5,2)</f>
        <v/>
      </c>
      <c r="Q608" s="10">
        <f>ROUND(L608*'Irish Basis'!$C$12*'Irish Basis'!$C$5,2)</f>
        <v/>
      </c>
      <c r="R608" s="11">
        <f>ROUND(SUM(N608:Q608),2)</f>
        <v/>
      </c>
      <c r="S608" s="5" t="inlineStr">
        <is>
          <t>Stated build-up</t>
        </is>
      </c>
      <c r="T608" s="12" t="inlineStr">
        <is>
          <t>High</t>
        </is>
      </c>
      <c r="U608" s="8" t="n">
        <v>185.03</v>
      </c>
      <c r="V608" s="13">
        <f>IF(U608="","",ROUND(M608-U608,2))</f>
        <v/>
      </c>
      <c r="W608" s="5" t="n"/>
      <c r="X608" s="5" t="inlineStr">
        <is>
          <t>Labour + plant + material as published; reconciles to the published rate.</t>
        </is>
      </c>
    </row>
    <row r="609" ht="13" customHeight="1">
      <c r="A609" s="4" t="n">
        <v>1085</v>
      </c>
      <c r="B609" s="5" t="inlineStr">
        <is>
          <t>IMG_0080</t>
        </is>
      </c>
      <c r="C609" s="5" t="inlineStr">
        <is>
          <t>CLASS F: IN SITU CONCRETE</t>
        </is>
      </c>
      <c r="D609" s="5" t="inlineStr">
        <is>
          <t>01 DESIGNED CONCRETE</t>
        </is>
      </c>
      <c r="E609" s="5" t="inlineStr">
        <is>
          <t>Designed mix; sulphate-resisting cement to BS 4027; Grade C7.5</t>
        </is>
      </c>
      <c r="F609" s="5" t="inlineStr">
        <is>
          <t>10 mm aggregate</t>
        </is>
      </c>
      <c r="G609" s="6" t="inlineStr">
        <is>
          <t>m3</t>
        </is>
      </c>
      <c r="H609" s="7" t="n"/>
      <c r="I609" s="8" t="n">
        <v>0</v>
      </c>
      <c r="J609" s="8" t="n">
        <v>0</v>
      </c>
      <c r="K609" s="8" t="n">
        <v>170.21</v>
      </c>
      <c r="L609" s="8" t="n">
        <v>0</v>
      </c>
      <c r="M609" s="9">
        <f>ROUND(SUM(I609:L609),2)</f>
        <v/>
      </c>
      <c r="N609" s="10">
        <f>ROUND(I609*'Irish Basis'!$C$6*'Irish Basis'!$C$5,2)</f>
        <v/>
      </c>
      <c r="O609" s="10">
        <f>ROUND(J609*'Irish Basis'!$C$7*'Irish Basis'!$C$5,2)</f>
        <v/>
      </c>
      <c r="P609" s="10">
        <f>ROUND(K609*'Irish Basis'!$C$8*'Irish Basis'!$C$5,2)</f>
        <v/>
      </c>
      <c r="Q609" s="10">
        <f>ROUND(L609*'Irish Basis'!$C$12*'Irish Basis'!$C$5,2)</f>
        <v/>
      </c>
      <c r="R609" s="11">
        <f>ROUND(SUM(N609:Q609),2)</f>
        <v/>
      </c>
      <c r="S609" s="5" t="inlineStr">
        <is>
          <t>Stated build-up</t>
        </is>
      </c>
      <c r="T609" s="12" t="inlineStr">
        <is>
          <t>High</t>
        </is>
      </c>
      <c r="U609" s="8" t="n">
        <v>170.21</v>
      </c>
      <c r="V609" s="13">
        <f>IF(U609="","",ROUND(M609-U609,2))</f>
        <v/>
      </c>
      <c r="W609" s="5" t="n"/>
      <c r="X609" s="5" t="inlineStr">
        <is>
          <t>Labour + plant + material as published; reconciles to the published rate.</t>
        </is>
      </c>
    </row>
    <row r="610" ht="13" customHeight="1">
      <c r="A610" s="4" t="n">
        <v>1086</v>
      </c>
      <c r="B610" s="5" t="inlineStr">
        <is>
          <t>IMG_0080</t>
        </is>
      </c>
      <c r="C610" s="5" t="inlineStr">
        <is>
          <t>CLASS F: IN SITU CONCRETE</t>
        </is>
      </c>
      <c r="D610" s="5" t="inlineStr">
        <is>
          <t>01 DESIGNED CONCRETE</t>
        </is>
      </c>
      <c r="E610" s="5" t="inlineStr">
        <is>
          <t>Designed mix; sulphate-resisting cement to BS 4027; Grade C7.5</t>
        </is>
      </c>
      <c r="F610" s="5" t="inlineStr">
        <is>
          <t>20 mm aggregate</t>
        </is>
      </c>
      <c r="G610" s="6" t="inlineStr">
        <is>
          <t>m3</t>
        </is>
      </c>
      <c r="H610" s="7" t="n"/>
      <c r="I610" s="8" t="n">
        <v>0</v>
      </c>
      <c r="J610" s="8" t="n">
        <v>0</v>
      </c>
      <c r="K610" s="8" t="n">
        <v>156.61</v>
      </c>
      <c r="L610" s="8" t="n">
        <v>0</v>
      </c>
      <c r="M610" s="9">
        <f>ROUND(SUM(I610:L610),2)</f>
        <v/>
      </c>
      <c r="N610" s="10">
        <f>ROUND(I610*'Irish Basis'!$C$6*'Irish Basis'!$C$5,2)</f>
        <v/>
      </c>
      <c r="O610" s="10">
        <f>ROUND(J610*'Irish Basis'!$C$7*'Irish Basis'!$C$5,2)</f>
        <v/>
      </c>
      <c r="P610" s="10">
        <f>ROUND(K610*'Irish Basis'!$C$8*'Irish Basis'!$C$5,2)</f>
        <v/>
      </c>
      <c r="Q610" s="10">
        <f>ROUND(L610*'Irish Basis'!$C$12*'Irish Basis'!$C$5,2)</f>
        <v/>
      </c>
      <c r="R610" s="11">
        <f>ROUND(SUM(N610:Q610),2)</f>
        <v/>
      </c>
      <c r="S610" s="5" t="inlineStr">
        <is>
          <t>Stated build-up</t>
        </is>
      </c>
      <c r="T610" s="12" t="inlineStr">
        <is>
          <t>High</t>
        </is>
      </c>
      <c r="U610" s="8" t="n">
        <v>156.61</v>
      </c>
      <c r="V610" s="13">
        <f>IF(U610="","",ROUND(M610-U610,2))</f>
        <v/>
      </c>
      <c r="W610" s="5" t="n"/>
      <c r="X610" s="5" t="inlineStr">
        <is>
          <t>Labour + plant + material as published; reconciles to the published rate.</t>
        </is>
      </c>
    </row>
    <row r="611" ht="13" customHeight="1">
      <c r="A611" s="4" t="n">
        <v>1087</v>
      </c>
      <c r="B611" s="5" t="inlineStr">
        <is>
          <t>IMG_0080</t>
        </is>
      </c>
      <c r="C611" s="5" t="inlineStr">
        <is>
          <t>CLASS F: IN SITU CONCRETE</t>
        </is>
      </c>
      <c r="D611" s="5" t="inlineStr">
        <is>
          <t>01 DESIGNED CONCRETE</t>
        </is>
      </c>
      <c r="E611" s="5" t="inlineStr">
        <is>
          <t>Designed mix; sulphate-resisting cement to BS 4027; Grade C7.5</t>
        </is>
      </c>
      <c r="F611" s="5" t="inlineStr">
        <is>
          <t>40 mm aggregate</t>
        </is>
      </c>
      <c r="G611" s="6" t="inlineStr">
        <is>
          <t>m3</t>
        </is>
      </c>
      <c r="H611" s="7" t="n"/>
      <c r="I611" s="8" t="n">
        <v>0</v>
      </c>
      <c r="J611" s="8" t="n">
        <v>0</v>
      </c>
      <c r="K611" s="8" t="n">
        <v>154.57</v>
      </c>
      <c r="L611" s="8" t="n">
        <v>0</v>
      </c>
      <c r="M611" s="9">
        <f>ROUND(SUM(I611:L611),2)</f>
        <v/>
      </c>
      <c r="N611" s="10">
        <f>ROUND(I611*'Irish Basis'!$C$6*'Irish Basis'!$C$5,2)</f>
        <v/>
      </c>
      <c r="O611" s="10">
        <f>ROUND(J611*'Irish Basis'!$C$7*'Irish Basis'!$C$5,2)</f>
        <v/>
      </c>
      <c r="P611" s="10">
        <f>ROUND(K611*'Irish Basis'!$C$8*'Irish Basis'!$C$5,2)</f>
        <v/>
      </c>
      <c r="Q611" s="10">
        <f>ROUND(L611*'Irish Basis'!$C$12*'Irish Basis'!$C$5,2)</f>
        <v/>
      </c>
      <c r="R611" s="11">
        <f>ROUND(SUM(N611:Q611),2)</f>
        <v/>
      </c>
      <c r="S611" s="5" t="inlineStr">
        <is>
          <t>Stated build-up</t>
        </is>
      </c>
      <c r="T611" s="12" t="inlineStr">
        <is>
          <t>High</t>
        </is>
      </c>
      <c r="U611" s="8" t="n">
        <v>154.57</v>
      </c>
      <c r="V611" s="13">
        <f>IF(U611="","",ROUND(M611-U611,2))</f>
        <v/>
      </c>
      <c r="W611" s="5" t="n"/>
      <c r="X611" s="5" t="inlineStr">
        <is>
          <t>Labour + plant + material as published; reconciles to the published rate.</t>
        </is>
      </c>
    </row>
    <row r="612" ht="13" customHeight="1">
      <c r="A612" s="4" t="n">
        <v>1089</v>
      </c>
      <c r="B612" s="5" t="inlineStr">
        <is>
          <t>IMG_0080</t>
        </is>
      </c>
      <c r="C612" s="5" t="inlineStr">
        <is>
          <t>CLASS F: IN SITU CONCRETE</t>
        </is>
      </c>
      <c r="D612" s="5" t="inlineStr">
        <is>
          <t>01 DESIGNED CONCRETE</t>
        </is>
      </c>
      <c r="E612" s="5" t="inlineStr">
        <is>
          <t>Designed mix; sulphate-resisting cement to BS 4027; Grade C10</t>
        </is>
      </c>
      <c r="F612" s="5" t="inlineStr">
        <is>
          <t>10 mm aggregate</t>
        </is>
      </c>
      <c r="G612" s="6" t="inlineStr">
        <is>
          <t>m3</t>
        </is>
      </c>
      <c r="H612" s="7" t="n"/>
      <c r="I612" s="8" t="n">
        <v>0</v>
      </c>
      <c r="J612" s="8" t="n">
        <v>0</v>
      </c>
      <c r="K612" s="8" t="n">
        <v>170.53</v>
      </c>
      <c r="L612" s="8" t="n">
        <v>0</v>
      </c>
      <c r="M612" s="9">
        <f>ROUND(SUM(I612:L612),2)</f>
        <v/>
      </c>
      <c r="N612" s="10">
        <f>ROUND(I612*'Irish Basis'!$C$6*'Irish Basis'!$C$5,2)</f>
        <v/>
      </c>
      <c r="O612" s="10">
        <f>ROUND(J612*'Irish Basis'!$C$7*'Irish Basis'!$C$5,2)</f>
        <v/>
      </c>
      <c r="P612" s="10">
        <f>ROUND(K612*'Irish Basis'!$C$8*'Irish Basis'!$C$5,2)</f>
        <v/>
      </c>
      <c r="Q612" s="10">
        <f>ROUND(L612*'Irish Basis'!$C$12*'Irish Basis'!$C$5,2)</f>
        <v/>
      </c>
      <c r="R612" s="11">
        <f>ROUND(SUM(N612:Q612),2)</f>
        <v/>
      </c>
      <c r="S612" s="5" t="inlineStr">
        <is>
          <t>Stated build-up</t>
        </is>
      </c>
      <c r="T612" s="12" t="inlineStr">
        <is>
          <t>High</t>
        </is>
      </c>
      <c r="U612" s="8" t="n">
        <v>170.53</v>
      </c>
      <c r="V612" s="13">
        <f>IF(U612="","",ROUND(M612-U612,2))</f>
        <v/>
      </c>
      <c r="W612" s="5" t="n"/>
      <c r="X612" s="5" t="inlineStr">
        <is>
          <t>Labour + plant + material as published; reconciles to the published rate.</t>
        </is>
      </c>
    </row>
    <row r="613" ht="13" customHeight="1">
      <c r="A613" s="4" t="n">
        <v>1091</v>
      </c>
      <c r="B613" s="5" t="inlineStr">
        <is>
          <t>IMG_0081</t>
        </is>
      </c>
      <c r="C613" s="5" t="inlineStr">
        <is>
          <t>CLASS F: IN SITU CONCRETE</t>
        </is>
      </c>
      <c r="D613" s="5" t="inlineStr">
        <is>
          <t>01 DESIGNED CONCRETE</t>
        </is>
      </c>
      <c r="E613" s="5" t="inlineStr">
        <is>
          <t>Designed mix; sulphate-resisting cement to BS 4027; Grade C10 (continued)</t>
        </is>
      </c>
      <c r="F613" s="5" t="inlineStr">
        <is>
          <t>20 mm aggregate</t>
        </is>
      </c>
      <c r="G613" s="6" t="inlineStr">
        <is>
          <t>m3</t>
        </is>
      </c>
      <c r="H613" s="7" t="n"/>
      <c r="I613" s="8" t="n">
        <v>0</v>
      </c>
      <c r="J613" s="8" t="n">
        <v>0</v>
      </c>
      <c r="K613" s="8" t="n">
        <v>159.85</v>
      </c>
      <c r="L613" s="8" t="n">
        <v>0</v>
      </c>
      <c r="M613" s="9">
        <f>ROUND(SUM(I613:L613),2)</f>
        <v/>
      </c>
      <c r="N613" s="10">
        <f>ROUND(I613*'Irish Basis'!$C$6*'Irish Basis'!$C$5,2)</f>
        <v/>
      </c>
      <c r="O613" s="10">
        <f>ROUND(J613*'Irish Basis'!$C$7*'Irish Basis'!$C$5,2)</f>
        <v/>
      </c>
      <c r="P613" s="10">
        <f>ROUND(K613*'Irish Basis'!$C$8*'Irish Basis'!$C$5,2)</f>
        <v/>
      </c>
      <c r="Q613" s="10">
        <f>ROUND(L613*'Irish Basis'!$C$12*'Irish Basis'!$C$5,2)</f>
        <v/>
      </c>
      <c r="R613" s="11">
        <f>ROUND(SUM(N613:Q613),2)</f>
        <v/>
      </c>
      <c r="S613" s="5" t="inlineStr">
        <is>
          <t>Stated build-up</t>
        </is>
      </c>
      <c r="T613" s="12" t="inlineStr">
        <is>
          <t>High</t>
        </is>
      </c>
      <c r="U613" s="8" t="n">
        <v>159.85</v>
      </c>
      <c r="V613" s="13">
        <f>IF(U613="","",ROUND(M613-U613,2))</f>
        <v/>
      </c>
      <c r="W613" s="5" t="n"/>
      <c r="X613" s="5" t="inlineStr">
        <is>
          <t>Labour + plant + material as published; reconciles to the published rate.</t>
        </is>
      </c>
    </row>
    <row r="614" ht="13" customHeight="1">
      <c r="A614" s="4" t="n">
        <v>1092</v>
      </c>
      <c r="B614" s="5" t="inlineStr">
        <is>
          <t>IMG_0081</t>
        </is>
      </c>
      <c r="C614" s="5" t="inlineStr">
        <is>
          <t>CLASS F: IN SITU CONCRETE</t>
        </is>
      </c>
      <c r="D614" s="5" t="inlineStr">
        <is>
          <t>01 DESIGNED CONCRETE</t>
        </is>
      </c>
      <c r="E614" s="5" t="inlineStr">
        <is>
          <t>Designed mix; sulphate-resisting cement to BS 4027; Grade C10 (continued)</t>
        </is>
      </c>
      <c r="F614" s="5" t="inlineStr">
        <is>
          <t>40 mm aggregate</t>
        </is>
      </c>
      <c r="G614" s="6" t="inlineStr">
        <is>
          <t>m3</t>
        </is>
      </c>
      <c r="H614" s="7" t="n"/>
      <c r="I614" s="8" t="n">
        <v>0</v>
      </c>
      <c r="J614" s="8" t="n">
        <v>0</v>
      </c>
      <c r="K614" s="8" t="n">
        <v>164.13</v>
      </c>
      <c r="L614" s="8" t="n">
        <v>0</v>
      </c>
      <c r="M614" s="9">
        <f>ROUND(SUM(I614:L614),2)</f>
        <v/>
      </c>
      <c r="N614" s="10">
        <f>ROUND(I614*'Irish Basis'!$C$6*'Irish Basis'!$C$5,2)</f>
        <v/>
      </c>
      <c r="O614" s="10">
        <f>ROUND(J614*'Irish Basis'!$C$7*'Irish Basis'!$C$5,2)</f>
        <v/>
      </c>
      <c r="P614" s="10">
        <f>ROUND(K614*'Irish Basis'!$C$8*'Irish Basis'!$C$5,2)</f>
        <v/>
      </c>
      <c r="Q614" s="10">
        <f>ROUND(L614*'Irish Basis'!$C$12*'Irish Basis'!$C$5,2)</f>
        <v/>
      </c>
      <c r="R614" s="11">
        <f>ROUND(SUM(N614:Q614),2)</f>
        <v/>
      </c>
      <c r="S614" s="5" t="inlineStr">
        <is>
          <t>Stated build-up</t>
        </is>
      </c>
      <c r="T614" s="12" t="inlineStr">
        <is>
          <t>High</t>
        </is>
      </c>
      <c r="U614" s="8" t="n">
        <v>164.13</v>
      </c>
      <c r="V614" s="13">
        <f>IF(U614="","",ROUND(M614-U614,2))</f>
        <v/>
      </c>
      <c r="W614" s="5" t="n"/>
      <c r="X614" s="5" t="inlineStr">
        <is>
          <t>Labour + plant + material as published; reconciles to the published rate.</t>
        </is>
      </c>
    </row>
    <row r="615" ht="13" customHeight="1">
      <c r="A615" s="4" t="n">
        <v>1094</v>
      </c>
      <c r="B615" s="5" t="inlineStr">
        <is>
          <t>IMG_0081</t>
        </is>
      </c>
      <c r="C615" s="5" t="inlineStr">
        <is>
          <t>CLASS F: IN SITU CONCRETE</t>
        </is>
      </c>
      <c r="D615" s="5" t="inlineStr">
        <is>
          <t>01 DESIGNED CONCRETE</t>
        </is>
      </c>
      <c r="E615" s="5" t="inlineStr">
        <is>
          <t>Designed mix; sulphate-resisting cement to BS 4027; Grade C15</t>
        </is>
      </c>
      <c r="F615" s="5" t="inlineStr">
        <is>
          <t>10 mm aggregate</t>
        </is>
      </c>
      <c r="G615" s="6" t="inlineStr">
        <is>
          <t>m3</t>
        </is>
      </c>
      <c r="H615" s="7" t="n"/>
      <c r="I615" s="8" t="n">
        <v>0</v>
      </c>
      <c r="J615" s="8" t="n">
        <v>0</v>
      </c>
      <c r="K615" s="8" t="n">
        <v>155.84</v>
      </c>
      <c r="L615" s="8" t="n">
        <v>0</v>
      </c>
      <c r="M615" s="9">
        <f>ROUND(SUM(I615:L615),2)</f>
        <v/>
      </c>
      <c r="N615" s="10">
        <f>ROUND(I615*'Irish Basis'!$C$6*'Irish Basis'!$C$5,2)</f>
        <v/>
      </c>
      <c r="O615" s="10">
        <f>ROUND(J615*'Irish Basis'!$C$7*'Irish Basis'!$C$5,2)</f>
        <v/>
      </c>
      <c r="P615" s="10">
        <f>ROUND(K615*'Irish Basis'!$C$8*'Irish Basis'!$C$5,2)</f>
        <v/>
      </c>
      <c r="Q615" s="10">
        <f>ROUND(L615*'Irish Basis'!$C$12*'Irish Basis'!$C$5,2)</f>
        <v/>
      </c>
      <c r="R615" s="11">
        <f>ROUND(SUM(N615:Q615),2)</f>
        <v/>
      </c>
      <c r="S615" s="5" t="inlineStr">
        <is>
          <t>Stated build-up</t>
        </is>
      </c>
      <c r="T615" s="12" t="inlineStr">
        <is>
          <t>High</t>
        </is>
      </c>
      <c r="U615" s="8" t="n">
        <v>155.84</v>
      </c>
      <c r="V615" s="13">
        <f>IF(U615="","",ROUND(M615-U615,2))</f>
        <v/>
      </c>
      <c r="W615" s="5" t="n"/>
      <c r="X615" s="5" t="inlineStr">
        <is>
          <t>Labour + plant + material as published; reconciles to the published rate.</t>
        </is>
      </c>
    </row>
    <row r="616" ht="13" customHeight="1">
      <c r="A616" s="4" t="n">
        <v>1095</v>
      </c>
      <c r="B616" s="5" t="inlineStr">
        <is>
          <t>IMG_0081</t>
        </is>
      </c>
      <c r="C616" s="5" t="inlineStr">
        <is>
          <t>CLASS F: IN SITU CONCRETE</t>
        </is>
      </c>
      <c r="D616" s="5" t="inlineStr">
        <is>
          <t>01 DESIGNED CONCRETE</t>
        </is>
      </c>
      <c r="E616" s="5" t="inlineStr">
        <is>
          <t>Designed mix; sulphate-resisting cement to BS 4027; Grade C15</t>
        </is>
      </c>
      <c r="F616" s="5" t="inlineStr">
        <is>
          <t>20 mm aggregate</t>
        </is>
      </c>
      <c r="G616" s="6" t="inlineStr">
        <is>
          <t>m3</t>
        </is>
      </c>
      <c r="H616" s="7" t="n"/>
      <c r="I616" s="8" t="n">
        <v>0</v>
      </c>
      <c r="J616" s="8" t="n">
        <v>0</v>
      </c>
      <c r="K616" s="8" t="n">
        <v>166.38</v>
      </c>
      <c r="L616" s="8" t="n">
        <v>0</v>
      </c>
      <c r="M616" s="9">
        <f>ROUND(SUM(I616:L616),2)</f>
        <v/>
      </c>
      <c r="N616" s="10">
        <f>ROUND(I616*'Irish Basis'!$C$6*'Irish Basis'!$C$5,2)</f>
        <v/>
      </c>
      <c r="O616" s="10">
        <f>ROUND(J616*'Irish Basis'!$C$7*'Irish Basis'!$C$5,2)</f>
        <v/>
      </c>
      <c r="P616" s="10">
        <f>ROUND(K616*'Irish Basis'!$C$8*'Irish Basis'!$C$5,2)</f>
        <v/>
      </c>
      <c r="Q616" s="10">
        <f>ROUND(L616*'Irish Basis'!$C$12*'Irish Basis'!$C$5,2)</f>
        <v/>
      </c>
      <c r="R616" s="11">
        <f>ROUND(SUM(N616:Q616),2)</f>
        <v/>
      </c>
      <c r="S616" s="5" t="inlineStr">
        <is>
          <t>Stated build-up</t>
        </is>
      </c>
      <c r="T616" s="12" t="inlineStr">
        <is>
          <t>High</t>
        </is>
      </c>
      <c r="U616" s="8" t="n">
        <v>166.38</v>
      </c>
      <c r="V616" s="13">
        <f>IF(U616="","",ROUND(M616-U616,2))</f>
        <v/>
      </c>
      <c r="W616" s="5" t="n"/>
      <c r="X616" s="5" t="inlineStr">
        <is>
          <t>Labour + plant + material as published; reconciles to the published rate.</t>
        </is>
      </c>
    </row>
    <row r="617" ht="13" customHeight="1">
      <c r="A617" s="4" t="n">
        <v>1096</v>
      </c>
      <c r="B617" s="5" t="inlineStr">
        <is>
          <t>IMG_0081</t>
        </is>
      </c>
      <c r="C617" s="5" t="inlineStr">
        <is>
          <t>CLASS F: IN SITU CONCRETE</t>
        </is>
      </c>
      <c r="D617" s="5" t="inlineStr">
        <is>
          <t>01 DESIGNED CONCRETE</t>
        </is>
      </c>
      <c r="E617" s="5" t="inlineStr">
        <is>
          <t>Designed mix; sulphate-resisting cement to BS 4027; Grade C15</t>
        </is>
      </c>
      <c r="F617" s="5" t="inlineStr">
        <is>
          <t>40 mm aggregate</t>
        </is>
      </c>
      <c r="G617" s="6" t="inlineStr">
        <is>
          <t>m3</t>
        </is>
      </c>
      <c r="H617" s="7" t="n"/>
      <c r="I617" s="8" t="n">
        <v>0</v>
      </c>
      <c r="J617" s="8" t="n">
        <v>0</v>
      </c>
      <c r="K617" s="8" t="n">
        <v>164.46</v>
      </c>
      <c r="L617" s="8" t="n">
        <v>0</v>
      </c>
      <c r="M617" s="9">
        <f>ROUND(SUM(I617:L617),2)</f>
        <v/>
      </c>
      <c r="N617" s="10">
        <f>ROUND(I617*'Irish Basis'!$C$6*'Irish Basis'!$C$5,2)</f>
        <v/>
      </c>
      <c r="O617" s="10">
        <f>ROUND(J617*'Irish Basis'!$C$7*'Irish Basis'!$C$5,2)</f>
        <v/>
      </c>
      <c r="P617" s="10">
        <f>ROUND(K617*'Irish Basis'!$C$8*'Irish Basis'!$C$5,2)</f>
        <v/>
      </c>
      <c r="Q617" s="10">
        <f>ROUND(L617*'Irish Basis'!$C$12*'Irish Basis'!$C$5,2)</f>
        <v/>
      </c>
      <c r="R617" s="11">
        <f>ROUND(SUM(N617:Q617),2)</f>
        <v/>
      </c>
      <c r="S617" s="5" t="inlineStr">
        <is>
          <t>Stated build-up</t>
        </is>
      </c>
      <c r="T617" s="12" t="inlineStr">
        <is>
          <t>High</t>
        </is>
      </c>
      <c r="U617" s="8" t="n">
        <v>164.46</v>
      </c>
      <c r="V617" s="13">
        <f>IF(U617="","",ROUND(M617-U617,2))</f>
        <v/>
      </c>
      <c r="W617" s="5" t="n"/>
      <c r="X617" s="5" t="inlineStr">
        <is>
          <t>Labour + plant + material as published; reconciles to the published rate.</t>
        </is>
      </c>
    </row>
    <row r="618" ht="13" customHeight="1">
      <c r="A618" s="4" t="n">
        <v>1098</v>
      </c>
      <c r="B618" s="5" t="inlineStr">
        <is>
          <t>IMG_0081</t>
        </is>
      </c>
      <c r="C618" s="5" t="inlineStr">
        <is>
          <t>CLASS F: IN SITU CONCRETE</t>
        </is>
      </c>
      <c r="D618" s="5" t="inlineStr">
        <is>
          <t>01 DESIGNED CONCRETE</t>
        </is>
      </c>
      <c r="E618" s="5" t="inlineStr">
        <is>
          <t>Designed mix; sulphate-resisting cement to BS 4027; Grade C20</t>
        </is>
      </c>
      <c r="F618" s="5" t="inlineStr">
        <is>
          <t>10 mm aggregate</t>
        </is>
      </c>
      <c r="G618" s="6" t="inlineStr">
        <is>
          <t>m3</t>
        </is>
      </c>
      <c r="H618" s="7" t="n"/>
      <c r="I618" s="8" t="n">
        <v>0</v>
      </c>
      <c r="J618" s="8" t="n">
        <v>0</v>
      </c>
      <c r="K618" s="8" t="n">
        <v>161.65</v>
      </c>
      <c r="L618" s="8" t="n">
        <v>0</v>
      </c>
      <c r="M618" s="9">
        <f>ROUND(SUM(I618:L618),2)</f>
        <v/>
      </c>
      <c r="N618" s="10">
        <f>ROUND(I618*'Irish Basis'!$C$6*'Irish Basis'!$C$5,2)</f>
        <v/>
      </c>
      <c r="O618" s="10">
        <f>ROUND(J618*'Irish Basis'!$C$7*'Irish Basis'!$C$5,2)</f>
        <v/>
      </c>
      <c r="P618" s="10">
        <f>ROUND(K618*'Irish Basis'!$C$8*'Irish Basis'!$C$5,2)</f>
        <v/>
      </c>
      <c r="Q618" s="10">
        <f>ROUND(L618*'Irish Basis'!$C$12*'Irish Basis'!$C$5,2)</f>
        <v/>
      </c>
      <c r="R618" s="11">
        <f>ROUND(SUM(N618:Q618),2)</f>
        <v/>
      </c>
      <c r="S618" s="5" t="inlineStr">
        <is>
          <t>Stated build-up</t>
        </is>
      </c>
      <c r="T618" s="12" t="inlineStr">
        <is>
          <t>High</t>
        </is>
      </c>
      <c r="U618" s="8" t="n">
        <v>161.65</v>
      </c>
      <c r="V618" s="13">
        <f>IF(U618="","",ROUND(M618-U618,2))</f>
        <v/>
      </c>
      <c r="W618" s="5" t="n"/>
      <c r="X618" s="5" t="inlineStr">
        <is>
          <t>Labour + plant + material as published; reconciles to the published rate.</t>
        </is>
      </c>
    </row>
    <row r="619" ht="13" customHeight="1">
      <c r="A619" s="4" t="n">
        <v>1099</v>
      </c>
      <c r="B619" s="5" t="inlineStr">
        <is>
          <t>IMG_0081</t>
        </is>
      </c>
      <c r="C619" s="5" t="inlineStr">
        <is>
          <t>CLASS F: IN SITU CONCRETE</t>
        </is>
      </c>
      <c r="D619" s="5" t="inlineStr">
        <is>
          <t>01 DESIGNED CONCRETE</t>
        </is>
      </c>
      <c r="E619" s="5" t="inlineStr">
        <is>
          <t>Designed mix; sulphate-resisting cement to BS 4027; Grade C20</t>
        </is>
      </c>
      <c r="F619" s="5" t="inlineStr">
        <is>
          <t>20 mm aggregate</t>
        </is>
      </c>
      <c r="G619" s="6" t="inlineStr">
        <is>
          <t>m3</t>
        </is>
      </c>
      <c r="H619" s="7" t="n"/>
      <c r="I619" s="8" t="n">
        <v>0</v>
      </c>
      <c r="J619" s="8" t="n">
        <v>0</v>
      </c>
      <c r="K619" s="8" t="n">
        <v>167.13</v>
      </c>
      <c r="L619" s="8" t="n">
        <v>0</v>
      </c>
      <c r="M619" s="9">
        <f>ROUND(SUM(I619:L619),2)</f>
        <v/>
      </c>
      <c r="N619" s="10">
        <f>ROUND(I619*'Irish Basis'!$C$6*'Irish Basis'!$C$5,2)</f>
        <v/>
      </c>
      <c r="O619" s="10">
        <f>ROUND(J619*'Irish Basis'!$C$7*'Irish Basis'!$C$5,2)</f>
        <v/>
      </c>
      <c r="P619" s="10">
        <f>ROUND(K619*'Irish Basis'!$C$8*'Irish Basis'!$C$5,2)</f>
        <v/>
      </c>
      <c r="Q619" s="10">
        <f>ROUND(L619*'Irish Basis'!$C$12*'Irish Basis'!$C$5,2)</f>
        <v/>
      </c>
      <c r="R619" s="11">
        <f>ROUND(SUM(N619:Q619),2)</f>
        <v/>
      </c>
      <c r="S619" s="5" t="inlineStr">
        <is>
          <t>Stated build-up</t>
        </is>
      </c>
      <c r="T619" s="12" t="inlineStr">
        <is>
          <t>High</t>
        </is>
      </c>
      <c r="U619" s="8" t="n">
        <v>167.13</v>
      </c>
      <c r="V619" s="13">
        <f>IF(U619="","",ROUND(M619-U619,2))</f>
        <v/>
      </c>
      <c r="W619" s="5" t="n"/>
      <c r="X619" s="5" t="inlineStr">
        <is>
          <t>Labour + plant + material as published; reconciles to the published rate.</t>
        </is>
      </c>
    </row>
    <row r="620" ht="13" customHeight="1">
      <c r="A620" s="4" t="n">
        <v>1100</v>
      </c>
      <c r="B620" s="5" t="inlineStr">
        <is>
          <t>IMG_0081</t>
        </is>
      </c>
      <c r="C620" s="5" t="inlineStr">
        <is>
          <t>CLASS F: IN SITU CONCRETE</t>
        </is>
      </c>
      <c r="D620" s="5" t="inlineStr">
        <is>
          <t>01 DESIGNED CONCRETE</t>
        </is>
      </c>
      <c r="E620" s="5" t="inlineStr">
        <is>
          <t>Designed mix; sulphate-resisting cement to BS 4027; Grade C20</t>
        </is>
      </c>
      <c r="F620" s="5" t="inlineStr">
        <is>
          <t>40 mm aggregate</t>
        </is>
      </c>
      <c r="G620" s="6" t="inlineStr">
        <is>
          <t>m3</t>
        </is>
      </c>
      <c r="H620" s="7" t="n"/>
      <c r="I620" s="8" t="n">
        <v>0</v>
      </c>
      <c r="J620" s="8" t="n">
        <v>0</v>
      </c>
      <c r="K620" s="8" t="n">
        <v>164.94</v>
      </c>
      <c r="L620" s="8" t="n">
        <v>0</v>
      </c>
      <c r="M620" s="9">
        <f>ROUND(SUM(I620:L620),2)</f>
        <v/>
      </c>
      <c r="N620" s="10">
        <f>ROUND(I620*'Irish Basis'!$C$6*'Irish Basis'!$C$5,2)</f>
        <v/>
      </c>
      <c r="O620" s="10">
        <f>ROUND(J620*'Irish Basis'!$C$7*'Irish Basis'!$C$5,2)</f>
        <v/>
      </c>
      <c r="P620" s="10">
        <f>ROUND(K620*'Irish Basis'!$C$8*'Irish Basis'!$C$5,2)</f>
        <v/>
      </c>
      <c r="Q620" s="10">
        <f>ROUND(L620*'Irish Basis'!$C$12*'Irish Basis'!$C$5,2)</f>
        <v/>
      </c>
      <c r="R620" s="11">
        <f>ROUND(SUM(N620:Q620),2)</f>
        <v/>
      </c>
      <c r="S620" s="5" t="inlineStr">
        <is>
          <t>Stated build-up</t>
        </is>
      </c>
      <c r="T620" s="12" t="inlineStr">
        <is>
          <t>High</t>
        </is>
      </c>
      <c r="U620" s="8" t="n">
        <v>164.94</v>
      </c>
      <c r="V620" s="13">
        <f>IF(U620="","",ROUND(M620-U620,2))</f>
        <v/>
      </c>
      <c r="W620" s="5" t="n"/>
      <c r="X620" s="5" t="inlineStr">
        <is>
          <t>Labour + plant + material as published; reconciles to the published rate.</t>
        </is>
      </c>
    </row>
    <row r="621" ht="13" customHeight="1">
      <c r="A621" s="4" t="n">
        <v>1102</v>
      </c>
      <c r="B621" s="5" t="inlineStr">
        <is>
          <t>IMG_0081</t>
        </is>
      </c>
      <c r="C621" s="5" t="inlineStr">
        <is>
          <t>CLASS F: IN SITU CONCRETE</t>
        </is>
      </c>
      <c r="D621" s="5" t="inlineStr">
        <is>
          <t>01 DESIGNED CONCRETE</t>
        </is>
      </c>
      <c r="E621" s="5" t="inlineStr">
        <is>
          <t>Designed mix; sulphate-resisting cement to BS 4027; Grade C25</t>
        </is>
      </c>
      <c r="F621" s="5" t="inlineStr">
        <is>
          <t>10 mm aggregate</t>
        </is>
      </c>
      <c r="G621" s="6" t="inlineStr">
        <is>
          <t>m3</t>
        </is>
      </c>
      <c r="H621" s="7" t="n"/>
      <c r="I621" s="8" t="n">
        <v>0</v>
      </c>
      <c r="J621" s="8" t="n">
        <v>0</v>
      </c>
      <c r="K621" s="8" t="n">
        <v>176.13</v>
      </c>
      <c r="L621" s="8" t="n">
        <v>0</v>
      </c>
      <c r="M621" s="9">
        <f>ROUND(SUM(I621:L621),2)</f>
        <v/>
      </c>
      <c r="N621" s="10">
        <f>ROUND(I621*'Irish Basis'!$C$6*'Irish Basis'!$C$5,2)</f>
        <v/>
      </c>
      <c r="O621" s="10">
        <f>ROUND(J621*'Irish Basis'!$C$7*'Irish Basis'!$C$5,2)</f>
        <v/>
      </c>
      <c r="P621" s="10">
        <f>ROUND(K621*'Irish Basis'!$C$8*'Irish Basis'!$C$5,2)</f>
        <v/>
      </c>
      <c r="Q621" s="10">
        <f>ROUND(L621*'Irish Basis'!$C$12*'Irish Basis'!$C$5,2)</f>
        <v/>
      </c>
      <c r="R621" s="11">
        <f>ROUND(SUM(N621:Q621),2)</f>
        <v/>
      </c>
      <c r="S621" s="5" t="inlineStr">
        <is>
          <t>Stated build-up</t>
        </is>
      </c>
      <c r="T621" s="12" t="inlineStr">
        <is>
          <t>High</t>
        </is>
      </c>
      <c r="U621" s="8" t="n">
        <v>176.13</v>
      </c>
      <c r="V621" s="13">
        <f>IF(U621="","",ROUND(M621-U621,2))</f>
        <v/>
      </c>
      <c r="W621" s="5" t="n"/>
      <c r="X621" s="5" t="inlineStr">
        <is>
          <t>Labour + plant + material as published; reconciles to the published rate.</t>
        </is>
      </c>
    </row>
    <row r="622" ht="13" customHeight="1">
      <c r="A622" s="4" t="n">
        <v>1103</v>
      </c>
      <c r="B622" s="5" t="inlineStr">
        <is>
          <t>IMG_0081</t>
        </is>
      </c>
      <c r="C622" s="5" t="inlineStr">
        <is>
          <t>CLASS F: IN SITU CONCRETE</t>
        </is>
      </c>
      <c r="D622" s="5" t="inlineStr">
        <is>
          <t>01 DESIGNED CONCRETE</t>
        </is>
      </c>
      <c r="E622" s="5" t="inlineStr">
        <is>
          <t>Designed mix; sulphate-resisting cement to BS 4027; Grade C25</t>
        </is>
      </c>
      <c r="F622" s="5" t="inlineStr">
        <is>
          <t>20 mm aggregate</t>
        </is>
      </c>
      <c r="G622" s="6" t="inlineStr">
        <is>
          <t>m3</t>
        </is>
      </c>
      <c r="H622" s="7" t="n"/>
      <c r="I622" s="8" t="n">
        <v>0</v>
      </c>
      <c r="J622" s="8" t="n">
        <v>0</v>
      </c>
      <c r="K622" s="8" t="n">
        <v>171.04</v>
      </c>
      <c r="L622" s="8" t="n">
        <v>0</v>
      </c>
      <c r="M622" s="9">
        <f>ROUND(SUM(I622:L622),2)</f>
        <v/>
      </c>
      <c r="N622" s="10">
        <f>ROUND(I622*'Irish Basis'!$C$6*'Irish Basis'!$C$5,2)</f>
        <v/>
      </c>
      <c r="O622" s="10">
        <f>ROUND(J622*'Irish Basis'!$C$7*'Irish Basis'!$C$5,2)</f>
        <v/>
      </c>
      <c r="P622" s="10">
        <f>ROUND(K622*'Irish Basis'!$C$8*'Irish Basis'!$C$5,2)</f>
        <v/>
      </c>
      <c r="Q622" s="10">
        <f>ROUND(L622*'Irish Basis'!$C$12*'Irish Basis'!$C$5,2)</f>
        <v/>
      </c>
      <c r="R622" s="11">
        <f>ROUND(SUM(N622:Q622),2)</f>
        <v/>
      </c>
      <c r="S622" s="5" t="inlineStr">
        <is>
          <t>Stated build-up</t>
        </is>
      </c>
      <c r="T622" s="12" t="inlineStr">
        <is>
          <t>High</t>
        </is>
      </c>
      <c r="U622" s="8" t="n">
        <v>171.04</v>
      </c>
      <c r="V622" s="13">
        <f>IF(U622="","",ROUND(M622-U622,2))</f>
        <v/>
      </c>
      <c r="W622" s="5" t="n"/>
      <c r="X622" s="5" t="inlineStr">
        <is>
          <t>Labour + plant + material as published; reconciles to the published rate.</t>
        </is>
      </c>
    </row>
    <row r="623" ht="13" customHeight="1">
      <c r="A623" s="4" t="n">
        <v>1104</v>
      </c>
      <c r="B623" s="5" t="inlineStr">
        <is>
          <t>IMG_0081</t>
        </is>
      </c>
      <c r="C623" s="5" t="inlineStr">
        <is>
          <t>CLASS F: IN SITU CONCRETE</t>
        </is>
      </c>
      <c r="D623" s="5" t="inlineStr">
        <is>
          <t>01 DESIGNED CONCRETE</t>
        </is>
      </c>
      <c r="E623" s="5" t="inlineStr">
        <is>
          <t>Designed mix; sulphate-resisting cement to BS 4027; Grade C25</t>
        </is>
      </c>
      <c r="F623" s="5" t="inlineStr">
        <is>
          <t>40 mm aggregate</t>
        </is>
      </c>
      <c r="G623" s="6" t="inlineStr">
        <is>
          <t>m3</t>
        </is>
      </c>
      <c r="H623" s="7" t="n"/>
      <c r="I623" s="8" t="n">
        <v>0</v>
      </c>
      <c r="J623" s="8" t="n">
        <v>0</v>
      </c>
      <c r="K623" s="8" t="n">
        <v>176.18</v>
      </c>
      <c r="L623" s="8" t="n">
        <v>0</v>
      </c>
      <c r="M623" s="9">
        <f>ROUND(SUM(I623:L623),2)</f>
        <v/>
      </c>
      <c r="N623" s="10">
        <f>ROUND(I623*'Irish Basis'!$C$6*'Irish Basis'!$C$5,2)</f>
        <v/>
      </c>
      <c r="O623" s="10">
        <f>ROUND(J623*'Irish Basis'!$C$7*'Irish Basis'!$C$5,2)</f>
        <v/>
      </c>
      <c r="P623" s="10">
        <f>ROUND(K623*'Irish Basis'!$C$8*'Irish Basis'!$C$5,2)</f>
        <v/>
      </c>
      <c r="Q623" s="10">
        <f>ROUND(L623*'Irish Basis'!$C$12*'Irish Basis'!$C$5,2)</f>
        <v/>
      </c>
      <c r="R623" s="11">
        <f>ROUND(SUM(N623:Q623),2)</f>
        <v/>
      </c>
      <c r="S623" s="5" t="inlineStr">
        <is>
          <t>Stated build-up</t>
        </is>
      </c>
      <c r="T623" s="12" t="inlineStr">
        <is>
          <t>High</t>
        </is>
      </c>
      <c r="U623" s="8" t="n">
        <v>176.18</v>
      </c>
      <c r="V623" s="13">
        <f>IF(U623="","",ROUND(M623-U623,2))</f>
        <v/>
      </c>
      <c r="W623" s="5" t="n"/>
      <c r="X623" s="5" t="inlineStr">
        <is>
          <t>Labour + plant + material as published; reconciles to the published rate.</t>
        </is>
      </c>
    </row>
    <row r="624" ht="13" customHeight="1">
      <c r="A624" s="4" t="n">
        <v>1106</v>
      </c>
      <c r="B624" s="5" t="inlineStr">
        <is>
          <t>IMG_0081</t>
        </is>
      </c>
      <c r="C624" s="5" t="inlineStr">
        <is>
          <t>CLASS F: IN SITU CONCRETE</t>
        </is>
      </c>
      <c r="D624" s="5" t="inlineStr">
        <is>
          <t>01 DESIGNED CONCRETE</t>
        </is>
      </c>
      <c r="E624" s="5" t="inlineStr">
        <is>
          <t>Designed mix; sulphate-resisting cement to BS 4027; Grade C30</t>
        </is>
      </c>
      <c r="F624" s="5" t="inlineStr">
        <is>
          <t>10 mm aggregate</t>
        </is>
      </c>
      <c r="G624" s="6" t="inlineStr">
        <is>
          <t>m3</t>
        </is>
      </c>
      <c r="H624" s="7" t="n"/>
      <c r="I624" s="8" t="n">
        <v>0</v>
      </c>
      <c r="J624" s="8" t="n">
        <v>0</v>
      </c>
      <c r="K624" s="8" t="n">
        <v>187.82</v>
      </c>
      <c r="L624" s="8" t="n">
        <v>0</v>
      </c>
      <c r="M624" s="9">
        <f>ROUND(SUM(I624:L624),2)</f>
        <v/>
      </c>
      <c r="N624" s="10">
        <f>ROUND(I624*'Irish Basis'!$C$6*'Irish Basis'!$C$5,2)</f>
        <v/>
      </c>
      <c r="O624" s="10">
        <f>ROUND(J624*'Irish Basis'!$C$7*'Irish Basis'!$C$5,2)</f>
        <v/>
      </c>
      <c r="P624" s="10">
        <f>ROUND(K624*'Irish Basis'!$C$8*'Irish Basis'!$C$5,2)</f>
        <v/>
      </c>
      <c r="Q624" s="10">
        <f>ROUND(L624*'Irish Basis'!$C$12*'Irish Basis'!$C$5,2)</f>
        <v/>
      </c>
      <c r="R624" s="11">
        <f>ROUND(SUM(N624:Q624),2)</f>
        <v/>
      </c>
      <c r="S624" s="5" t="inlineStr">
        <is>
          <t>Stated build-up</t>
        </is>
      </c>
      <c r="T624" s="12" t="inlineStr">
        <is>
          <t>High</t>
        </is>
      </c>
      <c r="U624" s="8" t="n">
        <v>187.82</v>
      </c>
      <c r="V624" s="13">
        <f>IF(U624="","",ROUND(M624-U624,2))</f>
        <v/>
      </c>
      <c r="W624" s="5" t="n"/>
      <c r="X624" s="5" t="inlineStr">
        <is>
          <t>Labour + plant + material as published; reconciles to the published rate.</t>
        </is>
      </c>
    </row>
    <row r="625" ht="13" customHeight="1">
      <c r="A625" s="4" t="n">
        <v>1107</v>
      </c>
      <c r="B625" s="5" t="inlineStr">
        <is>
          <t>IMG_0081</t>
        </is>
      </c>
      <c r="C625" s="5" t="inlineStr">
        <is>
          <t>CLASS F: IN SITU CONCRETE</t>
        </is>
      </c>
      <c r="D625" s="5" t="inlineStr">
        <is>
          <t>01 DESIGNED CONCRETE</t>
        </is>
      </c>
      <c r="E625" s="5" t="inlineStr">
        <is>
          <t>Designed mix; sulphate-resisting cement to BS 4027; Grade C30</t>
        </is>
      </c>
      <c r="F625" s="5" t="inlineStr">
        <is>
          <t>20 mm aggregate</t>
        </is>
      </c>
      <c r="G625" s="6" t="inlineStr">
        <is>
          <t>m3</t>
        </is>
      </c>
      <c r="H625" s="7" t="n"/>
      <c r="I625" s="8" t="n">
        <v>0</v>
      </c>
      <c r="J625" s="8" t="n">
        <v>0</v>
      </c>
      <c r="K625" s="8" t="n">
        <v>192.34</v>
      </c>
      <c r="L625" s="8" t="n">
        <v>0</v>
      </c>
      <c r="M625" s="9">
        <f>ROUND(SUM(I625:L625),2)</f>
        <v/>
      </c>
      <c r="N625" s="10">
        <f>ROUND(I625*'Irish Basis'!$C$6*'Irish Basis'!$C$5,2)</f>
        <v/>
      </c>
      <c r="O625" s="10">
        <f>ROUND(J625*'Irish Basis'!$C$7*'Irish Basis'!$C$5,2)</f>
        <v/>
      </c>
      <c r="P625" s="10">
        <f>ROUND(K625*'Irish Basis'!$C$8*'Irish Basis'!$C$5,2)</f>
        <v/>
      </c>
      <c r="Q625" s="10">
        <f>ROUND(L625*'Irish Basis'!$C$12*'Irish Basis'!$C$5,2)</f>
        <v/>
      </c>
      <c r="R625" s="11">
        <f>ROUND(SUM(N625:Q625),2)</f>
        <v/>
      </c>
      <c r="S625" s="5" t="inlineStr">
        <is>
          <t>Stated build-up</t>
        </is>
      </c>
      <c r="T625" s="12" t="inlineStr">
        <is>
          <t>High</t>
        </is>
      </c>
      <c r="U625" s="8" t="n">
        <v>192.34</v>
      </c>
      <c r="V625" s="13">
        <f>IF(U625="","",ROUND(M625-U625,2))</f>
        <v/>
      </c>
      <c r="W625" s="5" t="n"/>
      <c r="X625" s="5" t="inlineStr">
        <is>
          <t>Labour + plant + material as published; reconciles to the published rate.</t>
        </is>
      </c>
    </row>
    <row r="626" ht="13" customHeight="1">
      <c r="A626" s="4" t="n">
        <v>1108</v>
      </c>
      <c r="B626" s="5" t="inlineStr">
        <is>
          <t>IMG_0081</t>
        </is>
      </c>
      <c r="C626" s="5" t="inlineStr">
        <is>
          <t>CLASS F: IN SITU CONCRETE</t>
        </is>
      </c>
      <c r="D626" s="5" t="inlineStr">
        <is>
          <t>01 DESIGNED CONCRETE</t>
        </is>
      </c>
      <c r="E626" s="5" t="inlineStr">
        <is>
          <t>Designed mix; sulphate-resisting cement to BS 4027; Grade C30</t>
        </is>
      </c>
      <c r="F626" s="5" t="inlineStr">
        <is>
          <t>40 mm aggregate</t>
        </is>
      </c>
      <c r="G626" s="6" t="inlineStr">
        <is>
          <t>m3</t>
        </is>
      </c>
      <c r="H626" s="7" t="n"/>
      <c r="I626" s="8" t="n">
        <v>0</v>
      </c>
      <c r="J626" s="8" t="n">
        <v>0</v>
      </c>
      <c r="K626" s="8" t="n">
        <v>189.78</v>
      </c>
      <c r="L626" s="8" t="n">
        <v>0</v>
      </c>
      <c r="M626" s="9">
        <f>ROUND(SUM(I626:L626),2)</f>
        <v/>
      </c>
      <c r="N626" s="10">
        <f>ROUND(I626*'Irish Basis'!$C$6*'Irish Basis'!$C$5,2)</f>
        <v/>
      </c>
      <c r="O626" s="10">
        <f>ROUND(J626*'Irish Basis'!$C$7*'Irish Basis'!$C$5,2)</f>
        <v/>
      </c>
      <c r="P626" s="10">
        <f>ROUND(K626*'Irish Basis'!$C$8*'Irish Basis'!$C$5,2)</f>
        <v/>
      </c>
      <c r="Q626" s="10">
        <f>ROUND(L626*'Irish Basis'!$C$12*'Irish Basis'!$C$5,2)</f>
        <v/>
      </c>
      <c r="R626" s="11">
        <f>ROUND(SUM(N626:Q626),2)</f>
        <v/>
      </c>
      <c r="S626" s="5" t="inlineStr">
        <is>
          <t>Stated build-up</t>
        </is>
      </c>
      <c r="T626" s="12" t="inlineStr">
        <is>
          <t>High</t>
        </is>
      </c>
      <c r="U626" s="8" t="n">
        <v>189.78</v>
      </c>
      <c r="V626" s="13">
        <f>IF(U626="","",ROUND(M626-U626,2))</f>
        <v/>
      </c>
      <c r="W626" s="5" t="n"/>
      <c r="X626" s="5" t="inlineStr">
        <is>
          <t>Labour + plant + material as published; reconciles to the published rate.</t>
        </is>
      </c>
    </row>
    <row r="627" ht="13" customHeight="1">
      <c r="A627" s="4" t="n">
        <v>1111</v>
      </c>
      <c r="B627" s="5" t="inlineStr">
        <is>
          <t>IMG_0081</t>
        </is>
      </c>
      <c r="C627" s="5" t="inlineStr">
        <is>
          <t>CLASS F: IN SITU CONCRETE</t>
        </is>
      </c>
      <c r="D627" s="5" t="inlineStr">
        <is>
          <t>02 DESIGNATED CONCRETE</t>
        </is>
      </c>
      <c r="E627" s="5" t="inlineStr">
        <is>
          <t>Designated Concrete; Grade C7.5</t>
        </is>
      </c>
      <c r="F627" s="5" t="inlineStr">
        <is>
          <t>10 mm aggregate</t>
        </is>
      </c>
      <c r="G627" s="6" t="inlineStr">
        <is>
          <t>m3</t>
        </is>
      </c>
      <c r="H627" s="7" t="n"/>
      <c r="I627" s="8" t="n">
        <v>0</v>
      </c>
      <c r="J627" s="8" t="n">
        <v>0</v>
      </c>
      <c r="K627" s="8" t="n">
        <v>150.53</v>
      </c>
      <c r="L627" s="8" t="n">
        <v>0</v>
      </c>
      <c r="M627" s="9">
        <f>ROUND(SUM(I627:L627),2)</f>
        <v/>
      </c>
      <c r="N627" s="10">
        <f>ROUND(I627*'Irish Basis'!$C$6*'Irish Basis'!$C$5,2)</f>
        <v/>
      </c>
      <c r="O627" s="10">
        <f>ROUND(J627*'Irish Basis'!$C$7*'Irish Basis'!$C$5,2)</f>
        <v/>
      </c>
      <c r="P627" s="10">
        <f>ROUND(K627*'Irish Basis'!$C$8*'Irish Basis'!$C$5,2)</f>
        <v/>
      </c>
      <c r="Q627" s="10">
        <f>ROUND(L627*'Irish Basis'!$C$12*'Irish Basis'!$C$5,2)</f>
        <v/>
      </c>
      <c r="R627" s="11">
        <f>ROUND(SUM(N627:Q627),2)</f>
        <v/>
      </c>
      <c r="S627" s="5" t="inlineStr">
        <is>
          <t>Stated build-up</t>
        </is>
      </c>
      <c r="T627" s="12" t="inlineStr">
        <is>
          <t>High</t>
        </is>
      </c>
      <c r="U627" s="8" t="n">
        <v>150.53</v>
      </c>
      <c r="V627" s="13">
        <f>IF(U627="","",ROUND(M627-U627,2))</f>
        <v/>
      </c>
      <c r="W627" s="5" t="n"/>
      <c r="X627" s="5" t="inlineStr">
        <is>
          <t>Labour + plant + material as published; reconciles to the published rate.</t>
        </is>
      </c>
    </row>
    <row r="628" ht="13" customHeight="1">
      <c r="A628" s="4" t="n">
        <v>1112</v>
      </c>
      <c r="B628" s="5" t="inlineStr">
        <is>
          <t>IMG_0081</t>
        </is>
      </c>
      <c r="C628" s="5" t="inlineStr">
        <is>
          <t>CLASS F: IN SITU CONCRETE</t>
        </is>
      </c>
      <c r="D628" s="5" t="inlineStr">
        <is>
          <t>02 DESIGNATED CONCRETE</t>
        </is>
      </c>
      <c r="E628" s="5" t="inlineStr">
        <is>
          <t>Designated Concrete; Grade C7.5</t>
        </is>
      </c>
      <c r="F628" s="5" t="inlineStr">
        <is>
          <t>20 mm aggregate</t>
        </is>
      </c>
      <c r="G628" s="6" t="inlineStr">
        <is>
          <t>m3</t>
        </is>
      </c>
      <c r="H628" s="7" t="n"/>
      <c r="I628" s="8" t="n">
        <v>0</v>
      </c>
      <c r="J628" s="8" t="n">
        <v>0</v>
      </c>
      <c r="K628" s="8" t="n">
        <v>136.93</v>
      </c>
      <c r="L628" s="8" t="n">
        <v>0</v>
      </c>
      <c r="M628" s="9">
        <f>ROUND(SUM(I628:L628),2)</f>
        <v/>
      </c>
      <c r="N628" s="10">
        <f>ROUND(I628*'Irish Basis'!$C$6*'Irish Basis'!$C$5,2)</f>
        <v/>
      </c>
      <c r="O628" s="10">
        <f>ROUND(J628*'Irish Basis'!$C$7*'Irish Basis'!$C$5,2)</f>
        <v/>
      </c>
      <c r="P628" s="10">
        <f>ROUND(K628*'Irish Basis'!$C$8*'Irish Basis'!$C$5,2)</f>
        <v/>
      </c>
      <c r="Q628" s="10">
        <f>ROUND(L628*'Irish Basis'!$C$12*'Irish Basis'!$C$5,2)</f>
        <v/>
      </c>
      <c r="R628" s="11">
        <f>ROUND(SUM(N628:Q628),2)</f>
        <v/>
      </c>
      <c r="S628" s="5" t="inlineStr">
        <is>
          <t>Stated build-up</t>
        </is>
      </c>
      <c r="T628" s="12" t="inlineStr">
        <is>
          <t>High</t>
        </is>
      </c>
      <c r="U628" s="8" t="n">
        <v>136.93</v>
      </c>
      <c r="V628" s="13">
        <f>IF(U628="","",ROUND(M628-U628,2))</f>
        <v/>
      </c>
      <c r="W628" s="5" t="n"/>
      <c r="X628" s="5" t="inlineStr">
        <is>
          <t>Labour + plant + material as published; reconciles to the published rate.</t>
        </is>
      </c>
    </row>
    <row r="629" ht="13" customHeight="1">
      <c r="A629" s="4" t="n">
        <v>1113</v>
      </c>
      <c r="B629" s="5" t="inlineStr">
        <is>
          <t>IMG_0081</t>
        </is>
      </c>
      <c r="C629" s="5" t="inlineStr">
        <is>
          <t>CLASS F: IN SITU CONCRETE</t>
        </is>
      </c>
      <c r="D629" s="5" t="inlineStr">
        <is>
          <t>02 DESIGNATED CONCRETE</t>
        </is>
      </c>
      <c r="E629" s="5" t="inlineStr">
        <is>
          <t>Designated Concrete; Grade C7.5</t>
        </is>
      </c>
      <c r="F629" s="5" t="inlineStr">
        <is>
          <t>40 mm aggregate</t>
        </is>
      </c>
      <c r="G629" s="6" t="inlineStr">
        <is>
          <t>m3</t>
        </is>
      </c>
      <c r="H629" s="7" t="n"/>
      <c r="I629" s="8" t="n">
        <v>0</v>
      </c>
      <c r="J629" s="8" t="n">
        <v>0</v>
      </c>
      <c r="K629" s="8" t="n">
        <v>134.88</v>
      </c>
      <c r="L629" s="8" t="n">
        <v>0</v>
      </c>
      <c r="M629" s="9">
        <f>ROUND(SUM(I629:L629),2)</f>
        <v/>
      </c>
      <c r="N629" s="10">
        <f>ROUND(I629*'Irish Basis'!$C$6*'Irish Basis'!$C$5,2)</f>
        <v/>
      </c>
      <c r="O629" s="10">
        <f>ROUND(J629*'Irish Basis'!$C$7*'Irish Basis'!$C$5,2)</f>
        <v/>
      </c>
      <c r="P629" s="10">
        <f>ROUND(K629*'Irish Basis'!$C$8*'Irish Basis'!$C$5,2)</f>
        <v/>
      </c>
      <c r="Q629" s="10">
        <f>ROUND(L629*'Irish Basis'!$C$12*'Irish Basis'!$C$5,2)</f>
        <v/>
      </c>
      <c r="R629" s="11">
        <f>ROUND(SUM(N629:Q629),2)</f>
        <v/>
      </c>
      <c r="S629" s="5" t="inlineStr">
        <is>
          <t>Stated build-up</t>
        </is>
      </c>
      <c r="T629" s="12" t="inlineStr">
        <is>
          <t>High</t>
        </is>
      </c>
      <c r="U629" s="8" t="n">
        <v>134.88</v>
      </c>
      <c r="V629" s="13">
        <f>IF(U629="","",ROUND(M629-U629,2))</f>
        <v/>
      </c>
      <c r="W629" s="5" t="n"/>
      <c r="X629" s="5" t="inlineStr">
        <is>
          <t>Labour + plant + material as published; reconciles to the published rate.</t>
        </is>
      </c>
    </row>
    <row r="630" ht="13" customHeight="1">
      <c r="A630" s="4" t="n">
        <v>1115</v>
      </c>
      <c r="B630" s="5" t="inlineStr">
        <is>
          <t>IMG_0081</t>
        </is>
      </c>
      <c r="C630" s="5" t="inlineStr">
        <is>
          <t>CLASS F: IN SITU CONCRETE</t>
        </is>
      </c>
      <c r="D630" s="5" t="inlineStr">
        <is>
          <t>02 DESIGNATED CONCRETE</t>
        </is>
      </c>
      <c r="E630" s="5" t="inlineStr">
        <is>
          <t>Designated Concrete; Grade C10</t>
        </is>
      </c>
      <c r="F630" s="5" t="inlineStr">
        <is>
          <t>10 mm aggregate</t>
        </is>
      </c>
      <c r="G630" s="6" t="inlineStr">
        <is>
          <t>m3</t>
        </is>
      </c>
      <c r="H630" s="7" t="n"/>
      <c r="I630" s="8" t="n">
        <v>0</v>
      </c>
      <c r="J630" s="8" t="n">
        <v>0</v>
      </c>
      <c r="K630" s="8" t="n">
        <v>150.53</v>
      </c>
      <c r="L630" s="8" t="n">
        <v>0</v>
      </c>
      <c r="M630" s="9">
        <f>ROUND(SUM(I630:L630),2)</f>
        <v/>
      </c>
      <c r="N630" s="10">
        <f>ROUND(I630*'Irish Basis'!$C$6*'Irish Basis'!$C$5,2)</f>
        <v/>
      </c>
      <c r="O630" s="10">
        <f>ROUND(J630*'Irish Basis'!$C$7*'Irish Basis'!$C$5,2)</f>
        <v/>
      </c>
      <c r="P630" s="10">
        <f>ROUND(K630*'Irish Basis'!$C$8*'Irish Basis'!$C$5,2)</f>
        <v/>
      </c>
      <c r="Q630" s="10">
        <f>ROUND(L630*'Irish Basis'!$C$12*'Irish Basis'!$C$5,2)</f>
        <v/>
      </c>
      <c r="R630" s="11">
        <f>ROUND(SUM(N630:Q630),2)</f>
        <v/>
      </c>
      <c r="S630" s="5" t="inlineStr">
        <is>
          <t>Stated build-up</t>
        </is>
      </c>
      <c r="T630" s="12" t="inlineStr">
        <is>
          <t>High</t>
        </is>
      </c>
      <c r="U630" s="8" t="n">
        <v>150.53</v>
      </c>
      <c r="V630" s="13">
        <f>IF(U630="","",ROUND(M630-U630,2))</f>
        <v/>
      </c>
      <c r="W630" s="5" t="n"/>
      <c r="X630" s="5" t="inlineStr">
        <is>
          <t>Labour + plant + material as published; reconciles to the published rate.</t>
        </is>
      </c>
    </row>
    <row r="631" ht="13" customHeight="1">
      <c r="A631" s="4" t="n">
        <v>1116</v>
      </c>
      <c r="B631" s="5" t="inlineStr">
        <is>
          <t>IMG_0081</t>
        </is>
      </c>
      <c r="C631" s="5" t="inlineStr">
        <is>
          <t>CLASS F: IN SITU CONCRETE</t>
        </is>
      </c>
      <c r="D631" s="5" t="inlineStr">
        <is>
          <t>02 DESIGNATED CONCRETE</t>
        </is>
      </c>
      <c r="E631" s="5" t="inlineStr">
        <is>
          <t>Designated Concrete; Grade C10</t>
        </is>
      </c>
      <c r="F631" s="5" t="inlineStr">
        <is>
          <t>20 mm aggregate</t>
        </is>
      </c>
      <c r="G631" s="6" t="inlineStr">
        <is>
          <t>m3</t>
        </is>
      </c>
      <c r="H631" s="7" t="n"/>
      <c r="I631" s="8" t="n">
        <v>0</v>
      </c>
      <c r="J631" s="8" t="n">
        <v>0</v>
      </c>
      <c r="K631" s="8" t="n">
        <v>139.85</v>
      </c>
      <c r="L631" s="8" t="n">
        <v>0</v>
      </c>
      <c r="M631" s="9">
        <f>ROUND(SUM(I631:L631),2)</f>
        <v/>
      </c>
      <c r="N631" s="10">
        <f>ROUND(I631*'Irish Basis'!$C$6*'Irish Basis'!$C$5,2)</f>
        <v/>
      </c>
      <c r="O631" s="10">
        <f>ROUND(J631*'Irish Basis'!$C$7*'Irish Basis'!$C$5,2)</f>
        <v/>
      </c>
      <c r="P631" s="10">
        <f>ROUND(K631*'Irish Basis'!$C$8*'Irish Basis'!$C$5,2)</f>
        <v/>
      </c>
      <c r="Q631" s="10">
        <f>ROUND(L631*'Irish Basis'!$C$12*'Irish Basis'!$C$5,2)</f>
        <v/>
      </c>
      <c r="R631" s="11">
        <f>ROUND(SUM(N631:Q631),2)</f>
        <v/>
      </c>
      <c r="S631" s="5" t="inlineStr">
        <is>
          <t>Stated build-up</t>
        </is>
      </c>
      <c r="T631" s="12" t="inlineStr">
        <is>
          <t>High</t>
        </is>
      </c>
      <c r="U631" s="8" t="n">
        <v>139.85</v>
      </c>
      <c r="V631" s="13">
        <f>IF(U631="","",ROUND(M631-U631,2))</f>
        <v/>
      </c>
      <c r="W631" s="5" t="n"/>
      <c r="X631" s="5" t="inlineStr">
        <is>
          <t>Labour + plant + material as published; reconciles to the published rate.</t>
        </is>
      </c>
    </row>
    <row r="632" ht="13" customHeight="1">
      <c r="A632" s="4" t="n">
        <v>1117</v>
      </c>
      <c r="B632" s="5" t="inlineStr">
        <is>
          <t>IMG_0081</t>
        </is>
      </c>
      <c r="C632" s="5" t="inlineStr">
        <is>
          <t>CLASS F: IN SITU CONCRETE</t>
        </is>
      </c>
      <c r="D632" s="5" t="inlineStr">
        <is>
          <t>02 DESIGNATED CONCRETE</t>
        </is>
      </c>
      <c r="E632" s="5" t="inlineStr">
        <is>
          <t>Designated Concrete; Grade C10</t>
        </is>
      </c>
      <c r="F632" s="5" t="inlineStr">
        <is>
          <t>40 mm aggregate</t>
        </is>
      </c>
      <c r="G632" s="6" t="inlineStr">
        <is>
          <t>m3</t>
        </is>
      </c>
      <c r="H632" s="7" t="n"/>
      <c r="I632" s="8" t="n">
        <v>0</v>
      </c>
      <c r="J632" s="8" t="n">
        <v>0</v>
      </c>
      <c r="K632" s="8" t="n">
        <v>144.13</v>
      </c>
      <c r="L632" s="8" t="n">
        <v>0</v>
      </c>
      <c r="M632" s="9">
        <f>ROUND(SUM(I632:L632),2)</f>
        <v/>
      </c>
      <c r="N632" s="10">
        <f>ROUND(I632*'Irish Basis'!$C$6*'Irish Basis'!$C$5,2)</f>
        <v/>
      </c>
      <c r="O632" s="10">
        <f>ROUND(J632*'Irish Basis'!$C$7*'Irish Basis'!$C$5,2)</f>
        <v/>
      </c>
      <c r="P632" s="10">
        <f>ROUND(K632*'Irish Basis'!$C$8*'Irish Basis'!$C$5,2)</f>
        <v/>
      </c>
      <c r="Q632" s="10">
        <f>ROUND(L632*'Irish Basis'!$C$12*'Irish Basis'!$C$5,2)</f>
        <v/>
      </c>
      <c r="R632" s="11">
        <f>ROUND(SUM(N632:Q632),2)</f>
        <v/>
      </c>
      <c r="S632" s="5" t="inlineStr">
        <is>
          <t>Stated build-up</t>
        </is>
      </c>
      <c r="T632" s="12" t="inlineStr">
        <is>
          <t>High</t>
        </is>
      </c>
      <c r="U632" s="8" t="n">
        <v>144.13</v>
      </c>
      <c r="V632" s="13">
        <f>IF(U632="","",ROUND(M632-U632,2))</f>
        <v/>
      </c>
      <c r="W632" s="5" t="n"/>
      <c r="X632" s="5" t="inlineStr">
        <is>
          <t>Labour + plant + material as published; reconciles to the published rate.</t>
        </is>
      </c>
    </row>
    <row r="633" ht="13" customHeight="1">
      <c r="A633" s="4" t="n">
        <v>1119</v>
      </c>
      <c r="B633" s="5" t="inlineStr">
        <is>
          <t>IMG_0081</t>
        </is>
      </c>
      <c r="C633" s="5" t="inlineStr">
        <is>
          <t>CLASS F: IN SITU CONCRETE</t>
        </is>
      </c>
      <c r="D633" s="5" t="inlineStr">
        <is>
          <t>02 DESIGNATED CONCRETE</t>
        </is>
      </c>
      <c r="E633" s="5" t="inlineStr">
        <is>
          <t>Designated Concrete; Grade C15</t>
        </is>
      </c>
      <c r="F633" s="5" t="inlineStr">
        <is>
          <t>10 mm aggregate</t>
        </is>
      </c>
      <c r="G633" s="6" t="inlineStr">
        <is>
          <t>m3</t>
        </is>
      </c>
      <c r="H633" s="7" t="n"/>
      <c r="I633" s="8" t="n">
        <v>0</v>
      </c>
      <c r="J633" s="8" t="n">
        <v>0</v>
      </c>
      <c r="K633" s="8" t="n">
        <v>135.51</v>
      </c>
      <c r="L633" s="8" t="n">
        <v>0</v>
      </c>
      <c r="M633" s="9">
        <f>ROUND(SUM(I633:L633),2)</f>
        <v/>
      </c>
      <c r="N633" s="10">
        <f>ROUND(I633*'Irish Basis'!$C$6*'Irish Basis'!$C$5,2)</f>
        <v/>
      </c>
      <c r="O633" s="10">
        <f>ROUND(J633*'Irish Basis'!$C$7*'Irish Basis'!$C$5,2)</f>
        <v/>
      </c>
      <c r="P633" s="10">
        <f>ROUND(K633*'Irish Basis'!$C$8*'Irish Basis'!$C$5,2)</f>
        <v/>
      </c>
      <c r="Q633" s="10">
        <f>ROUND(L633*'Irish Basis'!$C$12*'Irish Basis'!$C$5,2)</f>
        <v/>
      </c>
      <c r="R633" s="11">
        <f>ROUND(SUM(N633:Q633),2)</f>
        <v/>
      </c>
      <c r="S633" s="5" t="inlineStr">
        <is>
          <t>Stated build-up</t>
        </is>
      </c>
      <c r="T633" s="12" t="inlineStr">
        <is>
          <t>High</t>
        </is>
      </c>
      <c r="U633" s="8" t="n">
        <v>135.51</v>
      </c>
      <c r="V633" s="13">
        <f>IF(U633="","",ROUND(M633-U633,2))</f>
        <v/>
      </c>
      <c r="W633" s="5" t="n"/>
      <c r="X633" s="5" t="inlineStr">
        <is>
          <t>Labour + plant + material as published; reconciles to the published rate.</t>
        </is>
      </c>
    </row>
    <row r="634" ht="13" customHeight="1">
      <c r="A634" s="4" t="n">
        <v>1120</v>
      </c>
      <c r="B634" s="5" t="inlineStr">
        <is>
          <t>IMG_0081</t>
        </is>
      </c>
      <c r="C634" s="5" t="inlineStr">
        <is>
          <t>CLASS F: IN SITU CONCRETE</t>
        </is>
      </c>
      <c r="D634" s="5" t="inlineStr">
        <is>
          <t>02 DESIGNATED CONCRETE</t>
        </is>
      </c>
      <c r="E634" s="5" t="inlineStr">
        <is>
          <t>Designated Concrete; Grade C15</t>
        </is>
      </c>
      <c r="F634" s="5" t="inlineStr">
        <is>
          <t>20 mm aggregate</t>
        </is>
      </c>
      <c r="G634" s="6" t="inlineStr">
        <is>
          <t>m3</t>
        </is>
      </c>
      <c r="H634" s="7" t="n"/>
      <c r="I634" s="8" t="n">
        <v>0</v>
      </c>
      <c r="J634" s="8" t="n">
        <v>0</v>
      </c>
      <c r="K634" s="8" t="n">
        <v>146.05</v>
      </c>
      <c r="L634" s="8" t="n">
        <v>0</v>
      </c>
      <c r="M634" s="9">
        <f>ROUND(SUM(I634:L634),2)</f>
        <v/>
      </c>
      <c r="N634" s="10">
        <f>ROUND(I634*'Irish Basis'!$C$6*'Irish Basis'!$C$5,2)</f>
        <v/>
      </c>
      <c r="O634" s="10">
        <f>ROUND(J634*'Irish Basis'!$C$7*'Irish Basis'!$C$5,2)</f>
        <v/>
      </c>
      <c r="P634" s="10">
        <f>ROUND(K634*'Irish Basis'!$C$8*'Irish Basis'!$C$5,2)</f>
        <v/>
      </c>
      <c r="Q634" s="10">
        <f>ROUND(L634*'Irish Basis'!$C$12*'Irish Basis'!$C$5,2)</f>
        <v/>
      </c>
      <c r="R634" s="11">
        <f>ROUND(SUM(N634:Q634),2)</f>
        <v/>
      </c>
      <c r="S634" s="5" t="inlineStr">
        <is>
          <t>Stated build-up</t>
        </is>
      </c>
      <c r="T634" s="12" t="inlineStr">
        <is>
          <t>High</t>
        </is>
      </c>
      <c r="U634" s="8" t="n">
        <v>146.05</v>
      </c>
      <c r="V634" s="13">
        <f>IF(U634="","",ROUND(M634-U634,2))</f>
        <v/>
      </c>
      <c r="W634" s="5" t="n"/>
      <c r="X634" s="5" t="inlineStr">
        <is>
          <t>Labour + plant + material as published; reconciles to the published rate.</t>
        </is>
      </c>
    </row>
    <row r="635" ht="13" customHeight="1">
      <c r="A635" s="4" t="n">
        <v>1121</v>
      </c>
      <c r="B635" s="5" t="inlineStr">
        <is>
          <t>IMG_0081</t>
        </is>
      </c>
      <c r="C635" s="5" t="inlineStr">
        <is>
          <t>CLASS F: IN SITU CONCRETE</t>
        </is>
      </c>
      <c r="D635" s="5" t="inlineStr">
        <is>
          <t>02 DESIGNATED CONCRETE</t>
        </is>
      </c>
      <c r="E635" s="5" t="inlineStr">
        <is>
          <t>Designated Concrete; Grade C15</t>
        </is>
      </c>
      <c r="F635" s="5" t="inlineStr">
        <is>
          <t>40 mm aggregate</t>
        </is>
      </c>
      <c r="G635" s="6" t="inlineStr">
        <is>
          <t>m3</t>
        </is>
      </c>
      <c r="H635" s="7" t="n"/>
      <c r="I635" s="8" t="n">
        <v>0</v>
      </c>
      <c r="J635" s="8" t="n">
        <v>0</v>
      </c>
      <c r="K635" s="8" t="n">
        <v>144.13</v>
      </c>
      <c r="L635" s="8" t="n">
        <v>0</v>
      </c>
      <c r="M635" s="9">
        <f>ROUND(SUM(I635:L635),2)</f>
        <v/>
      </c>
      <c r="N635" s="10">
        <f>ROUND(I635*'Irish Basis'!$C$6*'Irish Basis'!$C$5,2)</f>
        <v/>
      </c>
      <c r="O635" s="10">
        <f>ROUND(J635*'Irish Basis'!$C$7*'Irish Basis'!$C$5,2)</f>
        <v/>
      </c>
      <c r="P635" s="10">
        <f>ROUND(K635*'Irish Basis'!$C$8*'Irish Basis'!$C$5,2)</f>
        <v/>
      </c>
      <c r="Q635" s="10">
        <f>ROUND(L635*'Irish Basis'!$C$12*'Irish Basis'!$C$5,2)</f>
        <v/>
      </c>
      <c r="R635" s="11">
        <f>ROUND(SUM(N635:Q635),2)</f>
        <v/>
      </c>
      <c r="S635" s="5" t="inlineStr">
        <is>
          <t>Stated build-up</t>
        </is>
      </c>
      <c r="T635" s="12" t="inlineStr">
        <is>
          <t>High</t>
        </is>
      </c>
      <c r="U635" s="8" t="n">
        <v>144.13</v>
      </c>
      <c r="V635" s="13">
        <f>IF(U635="","",ROUND(M635-U635,2))</f>
        <v/>
      </c>
      <c r="W635" s="5" t="n"/>
      <c r="X635" s="5" t="inlineStr">
        <is>
          <t>Labour + plant + material as published; reconciles to the published rate.</t>
        </is>
      </c>
    </row>
    <row r="636" ht="13" customHeight="1">
      <c r="A636" s="4" t="n">
        <v>1123</v>
      </c>
      <c r="B636" s="5" t="inlineStr">
        <is>
          <t>IMG_0081</t>
        </is>
      </c>
      <c r="C636" s="5" t="inlineStr">
        <is>
          <t>CLASS F: IN SITU CONCRETE</t>
        </is>
      </c>
      <c r="D636" s="5" t="inlineStr">
        <is>
          <t>02 DESIGNATED CONCRETE</t>
        </is>
      </c>
      <c r="E636" s="5" t="inlineStr">
        <is>
          <t>Designated Concrete; Grade C20</t>
        </is>
      </c>
      <c r="F636" s="5" t="inlineStr">
        <is>
          <t>10 mm aggregate</t>
        </is>
      </c>
      <c r="G636" s="6" t="inlineStr">
        <is>
          <t>m3</t>
        </is>
      </c>
      <c r="H636" s="7" t="n"/>
      <c r="I636" s="8" t="n">
        <v>0</v>
      </c>
      <c r="J636" s="8" t="n">
        <v>0</v>
      </c>
      <c r="K636" s="8" t="n">
        <v>141.12</v>
      </c>
      <c r="L636" s="8" t="n">
        <v>0</v>
      </c>
      <c r="M636" s="9">
        <f>ROUND(SUM(I636:L636),2)</f>
        <v/>
      </c>
      <c r="N636" s="10">
        <f>ROUND(I636*'Irish Basis'!$C$6*'Irish Basis'!$C$5,2)</f>
        <v/>
      </c>
      <c r="O636" s="10">
        <f>ROUND(J636*'Irish Basis'!$C$7*'Irish Basis'!$C$5,2)</f>
        <v/>
      </c>
      <c r="P636" s="10">
        <f>ROUND(K636*'Irish Basis'!$C$8*'Irish Basis'!$C$5,2)</f>
        <v/>
      </c>
      <c r="Q636" s="10">
        <f>ROUND(L636*'Irish Basis'!$C$12*'Irish Basis'!$C$5,2)</f>
        <v/>
      </c>
      <c r="R636" s="11">
        <f>ROUND(SUM(N636:Q636),2)</f>
        <v/>
      </c>
      <c r="S636" s="5" t="inlineStr">
        <is>
          <t>Stated build-up</t>
        </is>
      </c>
      <c r="T636" s="12" t="inlineStr">
        <is>
          <t>High</t>
        </is>
      </c>
      <c r="U636" s="8" t="n">
        <v>141.12</v>
      </c>
      <c r="V636" s="13">
        <f>IF(U636="","",ROUND(M636-U636,2))</f>
        <v/>
      </c>
      <c r="W636" s="5" t="n"/>
      <c r="X636" s="5" t="inlineStr">
        <is>
          <t>Labour + plant + material as published; reconciles to the published rate.</t>
        </is>
      </c>
    </row>
    <row r="637" ht="13" customHeight="1">
      <c r="A637" s="4" t="n">
        <v>1124</v>
      </c>
      <c r="B637" s="5" t="inlineStr">
        <is>
          <t>IMG_0081</t>
        </is>
      </c>
      <c r="C637" s="5" t="inlineStr">
        <is>
          <t>CLASS F: IN SITU CONCRETE</t>
        </is>
      </c>
      <c r="D637" s="5" t="inlineStr">
        <is>
          <t>02 DESIGNATED CONCRETE</t>
        </is>
      </c>
      <c r="E637" s="5" t="inlineStr">
        <is>
          <t>Designated Concrete; Grade C20</t>
        </is>
      </c>
      <c r="F637" s="5" t="inlineStr">
        <is>
          <t>20 mm aggregate</t>
        </is>
      </c>
      <c r="G637" s="6" t="inlineStr">
        <is>
          <t>m3</t>
        </is>
      </c>
      <c r="H637" s="7" t="n"/>
      <c r="I637" s="8" t="n">
        <v>0</v>
      </c>
      <c r="J637" s="8" t="n">
        <v>0</v>
      </c>
      <c r="K637" s="8" t="n">
        <v>146.6</v>
      </c>
      <c r="L637" s="8" t="n">
        <v>0</v>
      </c>
      <c r="M637" s="9">
        <f>ROUND(SUM(I637:L637),2)</f>
        <v/>
      </c>
      <c r="N637" s="10">
        <f>ROUND(I637*'Irish Basis'!$C$6*'Irish Basis'!$C$5,2)</f>
        <v/>
      </c>
      <c r="O637" s="10">
        <f>ROUND(J637*'Irish Basis'!$C$7*'Irish Basis'!$C$5,2)</f>
        <v/>
      </c>
      <c r="P637" s="10">
        <f>ROUND(K637*'Irish Basis'!$C$8*'Irish Basis'!$C$5,2)</f>
        <v/>
      </c>
      <c r="Q637" s="10">
        <f>ROUND(L637*'Irish Basis'!$C$12*'Irish Basis'!$C$5,2)</f>
        <v/>
      </c>
      <c r="R637" s="11">
        <f>ROUND(SUM(N637:Q637),2)</f>
        <v/>
      </c>
      <c r="S637" s="5" t="inlineStr">
        <is>
          <t>Stated build-up</t>
        </is>
      </c>
      <c r="T637" s="12" t="inlineStr">
        <is>
          <t>High</t>
        </is>
      </c>
      <c r="U637" s="8" t="n">
        <v>146.6</v>
      </c>
      <c r="V637" s="13">
        <f>IF(U637="","",ROUND(M637-U637,2))</f>
        <v/>
      </c>
      <c r="W637" s="5" t="n"/>
      <c r="X637" s="5" t="inlineStr">
        <is>
          <t>Labour + plant + material as published; reconciles to the published rate.</t>
        </is>
      </c>
    </row>
    <row r="638" ht="13" customHeight="1">
      <c r="A638" s="4" t="n">
        <v>1125</v>
      </c>
      <c r="B638" s="5" t="inlineStr">
        <is>
          <t>IMG_0081</t>
        </is>
      </c>
      <c r="C638" s="5" t="inlineStr">
        <is>
          <t>CLASS F: IN SITU CONCRETE</t>
        </is>
      </c>
      <c r="D638" s="5" t="inlineStr">
        <is>
          <t>02 DESIGNATED CONCRETE</t>
        </is>
      </c>
      <c r="E638" s="5" t="inlineStr">
        <is>
          <t>Designated Concrete; Grade C20</t>
        </is>
      </c>
      <c r="F638" s="5" t="inlineStr">
        <is>
          <t>40 mm aggregate</t>
        </is>
      </c>
      <c r="G638" s="6" t="inlineStr">
        <is>
          <t>m3</t>
        </is>
      </c>
      <c r="H638" s="7" t="n"/>
      <c r="I638" s="8" t="n">
        <v>0</v>
      </c>
      <c r="J638" s="8" t="n">
        <v>0</v>
      </c>
      <c r="K638" s="8" t="n">
        <v>144.41</v>
      </c>
      <c r="L638" s="8" t="n">
        <v>0</v>
      </c>
      <c r="M638" s="9">
        <f>ROUND(SUM(I638:L638),2)</f>
        <v/>
      </c>
      <c r="N638" s="10">
        <f>ROUND(I638*'Irish Basis'!$C$6*'Irish Basis'!$C$5,2)</f>
        <v/>
      </c>
      <c r="O638" s="10">
        <f>ROUND(J638*'Irish Basis'!$C$7*'Irish Basis'!$C$5,2)</f>
        <v/>
      </c>
      <c r="P638" s="10">
        <f>ROUND(K638*'Irish Basis'!$C$8*'Irish Basis'!$C$5,2)</f>
        <v/>
      </c>
      <c r="Q638" s="10">
        <f>ROUND(L638*'Irish Basis'!$C$12*'Irish Basis'!$C$5,2)</f>
        <v/>
      </c>
      <c r="R638" s="11">
        <f>ROUND(SUM(N638:Q638),2)</f>
        <v/>
      </c>
      <c r="S638" s="5" t="inlineStr">
        <is>
          <t>Stated build-up</t>
        </is>
      </c>
      <c r="T638" s="12" t="inlineStr">
        <is>
          <t>High</t>
        </is>
      </c>
      <c r="U638" s="8" t="n">
        <v>144.41</v>
      </c>
      <c r="V638" s="13">
        <f>IF(U638="","",ROUND(M638-U638,2))</f>
        <v/>
      </c>
      <c r="W638" s="5" t="n"/>
      <c r="X638" s="5" t="inlineStr">
        <is>
          <t>Labour + plant + material as published; reconciles to the published rate.</t>
        </is>
      </c>
    </row>
    <row r="639" ht="13" customHeight="1">
      <c r="A639" s="4" t="n">
        <v>1127</v>
      </c>
      <c r="B639" s="5" t="inlineStr">
        <is>
          <t>IMG_0081</t>
        </is>
      </c>
      <c r="C639" s="5" t="inlineStr">
        <is>
          <t>CLASS F: IN SITU CONCRETE</t>
        </is>
      </c>
      <c r="D639" s="5" t="inlineStr">
        <is>
          <t>02 DESIGNATED CONCRETE</t>
        </is>
      </c>
      <c r="E639" s="5" t="inlineStr">
        <is>
          <t>Designated Concrete; Grade C25</t>
        </is>
      </c>
      <c r="F639" s="5" t="inlineStr">
        <is>
          <t>10 mm aggregate</t>
        </is>
      </c>
      <c r="G639" s="6" t="inlineStr">
        <is>
          <t>m3</t>
        </is>
      </c>
      <c r="H639" s="7" t="n"/>
      <c r="I639" s="8" t="n">
        <v>0</v>
      </c>
      <c r="J639" s="8" t="n">
        <v>0</v>
      </c>
      <c r="K639" s="8" t="n">
        <v>154.92</v>
      </c>
      <c r="L639" s="8" t="n">
        <v>0</v>
      </c>
      <c r="M639" s="9">
        <f>ROUND(SUM(I639:L639),2)</f>
        <v/>
      </c>
      <c r="N639" s="10">
        <f>ROUND(I639*'Irish Basis'!$C$6*'Irish Basis'!$C$5,2)</f>
        <v/>
      </c>
      <c r="O639" s="10">
        <f>ROUND(J639*'Irish Basis'!$C$7*'Irish Basis'!$C$5,2)</f>
        <v/>
      </c>
      <c r="P639" s="10">
        <f>ROUND(K639*'Irish Basis'!$C$8*'Irish Basis'!$C$5,2)</f>
        <v/>
      </c>
      <c r="Q639" s="10">
        <f>ROUND(L639*'Irish Basis'!$C$12*'Irish Basis'!$C$5,2)</f>
        <v/>
      </c>
      <c r="R639" s="11">
        <f>ROUND(SUM(N639:Q639),2)</f>
        <v/>
      </c>
      <c r="S639" s="5" t="inlineStr">
        <is>
          <t>Stated build-up</t>
        </is>
      </c>
      <c r="T639" s="12" t="inlineStr">
        <is>
          <t>High</t>
        </is>
      </c>
      <c r="U639" s="8" t="n">
        <v>154.92</v>
      </c>
      <c r="V639" s="13">
        <f>IF(U639="","",ROUND(M639-U639,2))</f>
        <v/>
      </c>
      <c r="W639" s="5" t="n"/>
      <c r="X639" s="5" t="inlineStr">
        <is>
          <t>Labour + plant + material as published; reconciles to the published rate.</t>
        </is>
      </c>
    </row>
    <row r="640" ht="13" customHeight="1">
      <c r="A640" s="4" t="n">
        <v>1128</v>
      </c>
      <c r="B640" s="5" t="inlineStr">
        <is>
          <t>IMG_0081</t>
        </is>
      </c>
      <c r="C640" s="5" t="inlineStr">
        <is>
          <t>CLASS F: IN SITU CONCRETE</t>
        </is>
      </c>
      <c r="D640" s="5" t="inlineStr">
        <is>
          <t>02 DESIGNATED CONCRETE</t>
        </is>
      </c>
      <c r="E640" s="5" t="inlineStr">
        <is>
          <t>Designated Concrete; Grade C25</t>
        </is>
      </c>
      <c r="F640" s="5" t="inlineStr">
        <is>
          <t>20 mm aggregate</t>
        </is>
      </c>
      <c r="G640" s="6" t="inlineStr">
        <is>
          <t>m3</t>
        </is>
      </c>
      <c r="H640" s="7" t="n"/>
      <c r="I640" s="8" t="n">
        <v>0</v>
      </c>
      <c r="J640" s="8" t="n">
        <v>0</v>
      </c>
      <c r="K640" s="8" t="n">
        <v>149.83</v>
      </c>
      <c r="L640" s="8" t="n">
        <v>0</v>
      </c>
      <c r="M640" s="9">
        <f>ROUND(SUM(I640:L640),2)</f>
        <v/>
      </c>
      <c r="N640" s="10">
        <f>ROUND(I640*'Irish Basis'!$C$6*'Irish Basis'!$C$5,2)</f>
        <v/>
      </c>
      <c r="O640" s="10">
        <f>ROUND(J640*'Irish Basis'!$C$7*'Irish Basis'!$C$5,2)</f>
        <v/>
      </c>
      <c r="P640" s="10">
        <f>ROUND(K640*'Irish Basis'!$C$8*'Irish Basis'!$C$5,2)</f>
        <v/>
      </c>
      <c r="Q640" s="10">
        <f>ROUND(L640*'Irish Basis'!$C$12*'Irish Basis'!$C$5,2)</f>
        <v/>
      </c>
      <c r="R640" s="11">
        <f>ROUND(SUM(N640:Q640),2)</f>
        <v/>
      </c>
      <c r="S640" s="5" t="inlineStr">
        <is>
          <t>Stated build-up</t>
        </is>
      </c>
      <c r="T640" s="12" t="inlineStr">
        <is>
          <t>High</t>
        </is>
      </c>
      <c r="U640" s="8" t="n">
        <v>149.83</v>
      </c>
      <c r="V640" s="13">
        <f>IF(U640="","",ROUND(M640-U640,2))</f>
        <v/>
      </c>
      <c r="W640" s="5" t="n"/>
      <c r="X640" s="5" t="inlineStr">
        <is>
          <t>Labour + plant + material as published; reconciles to the published rate.</t>
        </is>
      </c>
    </row>
    <row r="641" ht="13" customHeight="1">
      <c r="A641" s="4" t="n">
        <v>1129</v>
      </c>
      <c r="B641" s="5" t="inlineStr">
        <is>
          <t>IMG_0081</t>
        </is>
      </c>
      <c r="C641" s="5" t="inlineStr">
        <is>
          <t>CLASS F: IN SITU CONCRETE</t>
        </is>
      </c>
      <c r="D641" s="5" t="inlineStr">
        <is>
          <t>02 DESIGNATED CONCRETE</t>
        </is>
      </c>
      <c r="E641" s="5" t="inlineStr">
        <is>
          <t>Designated Concrete; Grade C25</t>
        </is>
      </c>
      <c r="F641" s="5" t="inlineStr">
        <is>
          <t>40 mm aggregate</t>
        </is>
      </c>
      <c r="G641" s="6" t="inlineStr">
        <is>
          <t>m3</t>
        </is>
      </c>
      <c r="H641" s="7" t="n"/>
      <c r="I641" s="8" t="n">
        <v>0</v>
      </c>
      <c r="J641" s="8" t="n">
        <v>0</v>
      </c>
      <c r="K641" s="8" t="n">
        <v>154.97</v>
      </c>
      <c r="L641" s="8" t="n">
        <v>0</v>
      </c>
      <c r="M641" s="9">
        <f>ROUND(SUM(I641:L641),2)</f>
        <v/>
      </c>
      <c r="N641" s="10">
        <f>ROUND(I641*'Irish Basis'!$C$6*'Irish Basis'!$C$5,2)</f>
        <v/>
      </c>
      <c r="O641" s="10">
        <f>ROUND(J641*'Irish Basis'!$C$7*'Irish Basis'!$C$5,2)</f>
        <v/>
      </c>
      <c r="P641" s="10">
        <f>ROUND(K641*'Irish Basis'!$C$8*'Irish Basis'!$C$5,2)</f>
        <v/>
      </c>
      <c r="Q641" s="10">
        <f>ROUND(L641*'Irish Basis'!$C$12*'Irish Basis'!$C$5,2)</f>
        <v/>
      </c>
      <c r="R641" s="11">
        <f>ROUND(SUM(N641:Q641),2)</f>
        <v/>
      </c>
      <c r="S641" s="5" t="inlineStr">
        <is>
          <t>Stated build-up</t>
        </is>
      </c>
      <c r="T641" s="12" t="inlineStr">
        <is>
          <t>High</t>
        </is>
      </c>
      <c r="U641" s="8" t="n">
        <v>154.97</v>
      </c>
      <c r="V641" s="13">
        <f>IF(U641="","",ROUND(M641-U641,2))</f>
        <v/>
      </c>
      <c r="W641" s="5" t="n"/>
      <c r="X641" s="5" t="inlineStr">
        <is>
          <t>Labour + plant + material as published; reconciles to the published rate.</t>
        </is>
      </c>
    </row>
    <row r="642" ht="13" customHeight="1">
      <c r="A642" s="4" t="n">
        <v>1131</v>
      </c>
      <c r="B642" s="5" t="inlineStr">
        <is>
          <t>IMG_0081</t>
        </is>
      </c>
      <c r="C642" s="5" t="inlineStr">
        <is>
          <t>CLASS F: IN SITU CONCRETE</t>
        </is>
      </c>
      <c r="D642" s="5" t="inlineStr">
        <is>
          <t>02 DESIGNATED CONCRETE</t>
        </is>
      </c>
      <c r="E642" s="5" t="inlineStr">
        <is>
          <t>Designated Concrete; Grade C30</t>
        </is>
      </c>
      <c r="F642" s="5" t="inlineStr">
        <is>
          <t>10 mm aggregate</t>
        </is>
      </c>
      <c r="G642" s="6" t="inlineStr">
        <is>
          <t>m3</t>
        </is>
      </c>
      <c r="H642" s="7" t="n"/>
      <c r="I642" s="8" t="n">
        <v>0</v>
      </c>
      <c r="J642" s="8" t="n">
        <v>0</v>
      </c>
      <c r="K642" s="8" t="n">
        <v>166.28</v>
      </c>
      <c r="L642" s="8" t="n">
        <v>0</v>
      </c>
      <c r="M642" s="9">
        <f>ROUND(SUM(I642:L642),2)</f>
        <v/>
      </c>
      <c r="N642" s="10">
        <f>ROUND(I642*'Irish Basis'!$C$6*'Irish Basis'!$C$5,2)</f>
        <v/>
      </c>
      <c r="O642" s="10">
        <f>ROUND(J642*'Irish Basis'!$C$7*'Irish Basis'!$C$5,2)</f>
        <v/>
      </c>
      <c r="P642" s="10">
        <f>ROUND(K642*'Irish Basis'!$C$8*'Irish Basis'!$C$5,2)</f>
        <v/>
      </c>
      <c r="Q642" s="10">
        <f>ROUND(L642*'Irish Basis'!$C$12*'Irish Basis'!$C$5,2)</f>
        <v/>
      </c>
      <c r="R642" s="11">
        <f>ROUND(SUM(N642:Q642),2)</f>
        <v/>
      </c>
      <c r="S642" s="5" t="inlineStr">
        <is>
          <t>Stated build-up</t>
        </is>
      </c>
      <c r="T642" s="12" t="inlineStr">
        <is>
          <t>High</t>
        </is>
      </c>
      <c r="U642" s="8" t="n">
        <v>166.28</v>
      </c>
      <c r="V642" s="13">
        <f>IF(U642="","",ROUND(M642-U642,2))</f>
        <v/>
      </c>
      <c r="W642" s="5" t="n"/>
      <c r="X642" s="5" t="inlineStr">
        <is>
          <t>Labour + plant + material as published; reconciles to the published rate.</t>
        </is>
      </c>
    </row>
    <row r="643" ht="13" customHeight="1">
      <c r="A643" s="4" t="n">
        <v>1132</v>
      </c>
      <c r="B643" s="5" t="inlineStr">
        <is>
          <t>IMG_0081</t>
        </is>
      </c>
      <c r="C643" s="5" t="inlineStr">
        <is>
          <t>CLASS F: IN SITU CONCRETE</t>
        </is>
      </c>
      <c r="D643" s="5" t="inlineStr">
        <is>
          <t>02 DESIGNATED CONCRETE</t>
        </is>
      </c>
      <c r="E643" s="5" t="inlineStr">
        <is>
          <t>Designated Concrete; Grade C30</t>
        </is>
      </c>
      <c r="F643" s="5" t="inlineStr">
        <is>
          <t>20 mm aggregate</t>
        </is>
      </c>
      <c r="G643" s="6" t="inlineStr">
        <is>
          <t>m3</t>
        </is>
      </c>
      <c r="H643" s="7" t="n"/>
      <c r="I643" s="8" t="n">
        <v>0</v>
      </c>
      <c r="J643" s="8" t="n">
        <v>0</v>
      </c>
      <c r="K643" s="8" t="n">
        <v>170.8</v>
      </c>
      <c r="L643" s="8" t="n">
        <v>0</v>
      </c>
      <c r="M643" s="9">
        <f>ROUND(SUM(I643:L643),2)</f>
        <v/>
      </c>
      <c r="N643" s="10">
        <f>ROUND(I643*'Irish Basis'!$C$6*'Irish Basis'!$C$5,2)</f>
        <v/>
      </c>
      <c r="O643" s="10">
        <f>ROUND(J643*'Irish Basis'!$C$7*'Irish Basis'!$C$5,2)</f>
        <v/>
      </c>
      <c r="P643" s="10">
        <f>ROUND(K643*'Irish Basis'!$C$8*'Irish Basis'!$C$5,2)</f>
        <v/>
      </c>
      <c r="Q643" s="10">
        <f>ROUND(L643*'Irish Basis'!$C$12*'Irish Basis'!$C$5,2)</f>
        <v/>
      </c>
      <c r="R643" s="11">
        <f>ROUND(SUM(N643:Q643),2)</f>
        <v/>
      </c>
      <c r="S643" s="5" t="inlineStr">
        <is>
          <t>Stated build-up</t>
        </is>
      </c>
      <c r="T643" s="12" t="inlineStr">
        <is>
          <t>High</t>
        </is>
      </c>
      <c r="U643" s="8" t="n">
        <v>170.8</v>
      </c>
      <c r="V643" s="13">
        <f>IF(U643="","",ROUND(M643-U643,2))</f>
        <v/>
      </c>
      <c r="W643" s="5" t="n"/>
      <c r="X643" s="5" t="inlineStr">
        <is>
          <t>Labour + plant + material as published; reconciles to the published rate.</t>
        </is>
      </c>
    </row>
    <row r="644" ht="13" customHeight="1">
      <c r="A644" s="4" t="n">
        <v>1133</v>
      </c>
      <c r="B644" s="5" t="inlineStr">
        <is>
          <t>IMG_0081</t>
        </is>
      </c>
      <c r="C644" s="5" t="inlineStr">
        <is>
          <t>CLASS F: IN SITU CONCRETE</t>
        </is>
      </c>
      <c r="D644" s="5" t="inlineStr">
        <is>
          <t>02 DESIGNATED CONCRETE</t>
        </is>
      </c>
      <c r="E644" s="5" t="inlineStr">
        <is>
          <t>Designated Concrete; Grade C30</t>
        </is>
      </c>
      <c r="F644" s="5" t="inlineStr">
        <is>
          <t>40 mm aggregate</t>
        </is>
      </c>
      <c r="G644" s="6" t="inlineStr">
        <is>
          <t>m3</t>
        </is>
      </c>
      <c r="H644" s="7" t="n"/>
      <c r="I644" s="8" t="n">
        <v>0</v>
      </c>
      <c r="J644" s="8" t="n">
        <v>0</v>
      </c>
      <c r="K644" s="8" t="n">
        <v>168.24</v>
      </c>
      <c r="L644" s="8" t="n">
        <v>0</v>
      </c>
      <c r="M644" s="9">
        <f>ROUND(SUM(I644:L644),2)</f>
        <v/>
      </c>
      <c r="N644" s="10">
        <f>ROUND(I644*'Irish Basis'!$C$6*'Irish Basis'!$C$5,2)</f>
        <v/>
      </c>
      <c r="O644" s="10">
        <f>ROUND(J644*'Irish Basis'!$C$7*'Irish Basis'!$C$5,2)</f>
        <v/>
      </c>
      <c r="P644" s="10">
        <f>ROUND(K644*'Irish Basis'!$C$8*'Irish Basis'!$C$5,2)</f>
        <v/>
      </c>
      <c r="Q644" s="10">
        <f>ROUND(L644*'Irish Basis'!$C$12*'Irish Basis'!$C$5,2)</f>
        <v/>
      </c>
      <c r="R644" s="11">
        <f>ROUND(SUM(N644:Q644),2)</f>
        <v/>
      </c>
      <c r="S644" s="5" t="inlineStr">
        <is>
          <t>Stated build-up</t>
        </is>
      </c>
      <c r="T644" s="12" t="inlineStr">
        <is>
          <t>High</t>
        </is>
      </c>
      <c r="U644" s="8" t="n">
        <v>168.24</v>
      </c>
      <c r="V644" s="13">
        <f>IF(U644="","",ROUND(M644-U644,2))</f>
        <v/>
      </c>
      <c r="W644" s="5" t="n"/>
      <c r="X644" s="5" t="inlineStr">
        <is>
          <t>Labour + plant + material as published; reconciles to the published rate.</t>
        </is>
      </c>
    </row>
    <row r="645" ht="13" customHeight="1">
      <c r="A645" s="4" t="n">
        <v>1135</v>
      </c>
      <c r="B645" s="5" t="inlineStr">
        <is>
          <t>IMG_0081</t>
        </is>
      </c>
      <c r="C645" s="5" t="inlineStr">
        <is>
          <t>CLASS F: IN SITU CONCRETE</t>
        </is>
      </c>
      <c r="D645" s="5" t="inlineStr">
        <is>
          <t>02 DESIGNATED CONCRETE</t>
        </is>
      </c>
      <c r="E645" s="5" t="inlineStr">
        <is>
          <t>Designated Concrete; Grade C40</t>
        </is>
      </c>
      <c r="F645" s="5" t="inlineStr">
        <is>
          <t>10 mm aggregate</t>
        </is>
      </c>
      <c r="G645" s="6" t="inlineStr">
        <is>
          <t>m3</t>
        </is>
      </c>
      <c r="H645" s="7" t="n"/>
      <c r="I645" s="8" t="n">
        <v>0</v>
      </c>
      <c r="J645" s="8" t="n">
        <v>0</v>
      </c>
      <c r="K645" s="8" t="n">
        <v>183.61</v>
      </c>
      <c r="L645" s="8" t="n">
        <v>0</v>
      </c>
      <c r="M645" s="9">
        <f>ROUND(SUM(I645:L645),2)</f>
        <v/>
      </c>
      <c r="N645" s="10">
        <f>ROUND(I645*'Irish Basis'!$C$6*'Irish Basis'!$C$5,2)</f>
        <v/>
      </c>
      <c r="O645" s="10">
        <f>ROUND(J645*'Irish Basis'!$C$7*'Irish Basis'!$C$5,2)</f>
        <v/>
      </c>
      <c r="P645" s="10">
        <f>ROUND(K645*'Irish Basis'!$C$8*'Irish Basis'!$C$5,2)</f>
        <v/>
      </c>
      <c r="Q645" s="10">
        <f>ROUND(L645*'Irish Basis'!$C$12*'Irish Basis'!$C$5,2)</f>
        <v/>
      </c>
      <c r="R645" s="11">
        <f>ROUND(SUM(N645:Q645),2)</f>
        <v/>
      </c>
      <c r="S645" s="5" t="inlineStr">
        <is>
          <t>Stated build-up</t>
        </is>
      </c>
      <c r="T645" s="12" t="inlineStr">
        <is>
          <t>High</t>
        </is>
      </c>
      <c r="U645" s="8" t="n">
        <v>183.61</v>
      </c>
      <c r="V645" s="13">
        <f>IF(U645="","",ROUND(M645-U645,2))</f>
        <v/>
      </c>
      <c r="W645" s="5" t="n"/>
      <c r="X645" s="5" t="inlineStr">
        <is>
          <t>Labour + plant + material as published; reconciles to the published rate.</t>
        </is>
      </c>
    </row>
    <row r="646" ht="13" customHeight="1">
      <c r="A646" s="4" t="n">
        <v>1136</v>
      </c>
      <c r="B646" s="5" t="inlineStr">
        <is>
          <t>IMG_0081</t>
        </is>
      </c>
      <c r="C646" s="5" t="inlineStr">
        <is>
          <t>CLASS F: IN SITU CONCRETE</t>
        </is>
      </c>
      <c r="D646" s="5" t="inlineStr">
        <is>
          <t>02 DESIGNATED CONCRETE</t>
        </is>
      </c>
      <c r="E646" s="5" t="inlineStr">
        <is>
          <t>Designated Concrete; Grade C40</t>
        </is>
      </c>
      <c r="F646" s="5" t="inlineStr">
        <is>
          <t>20 mm aggregate</t>
        </is>
      </c>
      <c r="G646" s="6" t="inlineStr">
        <is>
          <t>m3</t>
        </is>
      </c>
      <c r="H646" s="7" t="n"/>
      <c r="I646" s="8" t="n">
        <v>0</v>
      </c>
      <c r="J646" s="8" t="n">
        <v>0</v>
      </c>
      <c r="K646" s="8" t="n">
        <v>180.84</v>
      </c>
      <c r="L646" s="8" t="n">
        <v>0</v>
      </c>
      <c r="M646" s="9">
        <f>ROUND(SUM(I646:L646),2)</f>
        <v/>
      </c>
      <c r="N646" s="10">
        <f>ROUND(I646*'Irish Basis'!$C$6*'Irish Basis'!$C$5,2)</f>
        <v/>
      </c>
      <c r="O646" s="10">
        <f>ROUND(J646*'Irish Basis'!$C$7*'Irish Basis'!$C$5,2)</f>
        <v/>
      </c>
      <c r="P646" s="10">
        <f>ROUND(K646*'Irish Basis'!$C$8*'Irish Basis'!$C$5,2)</f>
        <v/>
      </c>
      <c r="Q646" s="10">
        <f>ROUND(L646*'Irish Basis'!$C$12*'Irish Basis'!$C$5,2)</f>
        <v/>
      </c>
      <c r="R646" s="11">
        <f>ROUND(SUM(N646:Q646),2)</f>
        <v/>
      </c>
      <c r="S646" s="5" t="inlineStr">
        <is>
          <t>Stated build-up</t>
        </is>
      </c>
      <c r="T646" s="12" t="inlineStr">
        <is>
          <t>High</t>
        </is>
      </c>
      <c r="U646" s="8" t="n">
        <v>180.84</v>
      </c>
      <c r="V646" s="13">
        <f>IF(U646="","",ROUND(M646-U646,2))</f>
        <v/>
      </c>
      <c r="W646" s="5" t="n"/>
      <c r="X646" s="5" t="inlineStr">
        <is>
          <t>Labour + plant + material as published; reconciles to the published rate.</t>
        </is>
      </c>
    </row>
    <row r="647" ht="13" customHeight="1">
      <c r="A647" s="4" t="n">
        <v>1138</v>
      </c>
      <c r="B647" s="5" t="inlineStr">
        <is>
          <t>IMG_0081</t>
        </is>
      </c>
      <c r="C647" s="5" t="inlineStr">
        <is>
          <t>CLASS F: IN SITU CONCRETE</t>
        </is>
      </c>
      <c r="D647" s="5" t="inlineStr">
        <is>
          <t>02 DESIGNATED CONCRETE</t>
        </is>
      </c>
      <c r="E647" s="5" t="inlineStr">
        <is>
          <t>Designated Concrete; Grade C50</t>
        </is>
      </c>
      <c r="F647" s="5" t="inlineStr">
        <is>
          <t>10 mm aggregate</t>
        </is>
      </c>
      <c r="G647" s="6" t="inlineStr">
        <is>
          <t>m3</t>
        </is>
      </c>
      <c r="H647" s="7" t="n"/>
      <c r="I647" s="8" t="n">
        <v>0</v>
      </c>
      <c r="J647" s="8" t="n">
        <v>0</v>
      </c>
      <c r="K647" s="8" t="n">
        <v>187.27</v>
      </c>
      <c r="L647" s="8" t="n">
        <v>0</v>
      </c>
      <c r="M647" s="9">
        <f>ROUND(SUM(I647:L647),2)</f>
        <v/>
      </c>
      <c r="N647" s="10">
        <f>ROUND(I647*'Irish Basis'!$C$6*'Irish Basis'!$C$5,2)</f>
        <v/>
      </c>
      <c r="O647" s="10">
        <f>ROUND(J647*'Irish Basis'!$C$7*'Irish Basis'!$C$5,2)</f>
        <v/>
      </c>
      <c r="P647" s="10">
        <f>ROUND(K647*'Irish Basis'!$C$8*'Irish Basis'!$C$5,2)</f>
        <v/>
      </c>
      <c r="Q647" s="10">
        <f>ROUND(L647*'Irish Basis'!$C$12*'Irish Basis'!$C$5,2)</f>
        <v/>
      </c>
      <c r="R647" s="11">
        <f>ROUND(SUM(N647:Q647),2)</f>
        <v/>
      </c>
      <c r="S647" s="5" t="inlineStr">
        <is>
          <t>Stated build-up</t>
        </is>
      </c>
      <c r="T647" s="12" t="inlineStr">
        <is>
          <t>High</t>
        </is>
      </c>
      <c r="U647" s="8" t="n">
        <v>187.27</v>
      </c>
      <c r="V647" s="13">
        <f>IF(U647="","",ROUND(M647-U647,2))</f>
        <v/>
      </c>
      <c r="W647" s="5" t="n"/>
      <c r="X647" s="5" t="inlineStr">
        <is>
          <t>Labour + plant + material as published; reconciles to the published rate.</t>
        </is>
      </c>
    </row>
    <row r="648" ht="13" customHeight="1">
      <c r="A648" s="4" t="n">
        <v>1139</v>
      </c>
      <c r="B648" s="5" t="inlineStr">
        <is>
          <t>IMG_0081</t>
        </is>
      </c>
      <c r="C648" s="5" t="inlineStr">
        <is>
          <t>CLASS F: IN SITU CONCRETE</t>
        </is>
      </c>
      <c r="D648" s="5" t="inlineStr">
        <is>
          <t>02 DESIGNATED CONCRETE</t>
        </is>
      </c>
      <c r="E648" s="5" t="inlineStr">
        <is>
          <t>Designated Concrete; Grade C50</t>
        </is>
      </c>
      <c r="F648" s="5" t="inlineStr">
        <is>
          <t>20 mm aggregate</t>
        </is>
      </c>
      <c r="G648" s="6" t="inlineStr">
        <is>
          <t>m3</t>
        </is>
      </c>
      <c r="H648" s="7" t="n"/>
      <c r="I648" s="8" t="n">
        <v>0</v>
      </c>
      <c r="J648" s="8" t="n">
        <v>0</v>
      </c>
      <c r="K648" s="8" t="n">
        <v>184.45</v>
      </c>
      <c r="L648" s="8" t="n">
        <v>0</v>
      </c>
      <c r="M648" s="9">
        <f>ROUND(SUM(I648:L648),2)</f>
        <v/>
      </c>
      <c r="N648" s="10">
        <f>ROUND(I648*'Irish Basis'!$C$6*'Irish Basis'!$C$5,2)</f>
        <v/>
      </c>
      <c r="O648" s="10">
        <f>ROUND(J648*'Irish Basis'!$C$7*'Irish Basis'!$C$5,2)</f>
        <v/>
      </c>
      <c r="P648" s="10">
        <f>ROUND(K648*'Irish Basis'!$C$8*'Irish Basis'!$C$5,2)</f>
        <v/>
      </c>
      <c r="Q648" s="10">
        <f>ROUND(L648*'Irish Basis'!$C$12*'Irish Basis'!$C$5,2)</f>
        <v/>
      </c>
      <c r="R648" s="11">
        <f>ROUND(SUM(N648:Q648),2)</f>
        <v/>
      </c>
      <c r="S648" s="5" t="inlineStr">
        <is>
          <t>Stated build-up</t>
        </is>
      </c>
      <c r="T648" s="12" t="inlineStr">
        <is>
          <t>High</t>
        </is>
      </c>
      <c r="U648" s="8" t="n">
        <v>184.45</v>
      </c>
      <c r="V648" s="13">
        <f>IF(U648="","",ROUND(M648-U648,2))</f>
        <v/>
      </c>
      <c r="W648" s="5" t="n"/>
      <c r="X648" s="5" t="inlineStr">
        <is>
          <t>Labour + plant + material as published; reconciles to the published rate.</t>
        </is>
      </c>
    </row>
    <row r="649" ht="13" customHeight="1">
      <c r="A649" s="4" t="n">
        <v>1141</v>
      </c>
      <c r="B649" s="5" t="inlineStr">
        <is>
          <t>IMG_0081</t>
        </is>
      </c>
      <c r="C649" s="5" t="inlineStr">
        <is>
          <t>CLASS F: IN SITU CONCRETE</t>
        </is>
      </c>
      <c r="D649" s="5" t="inlineStr">
        <is>
          <t>02 DESIGNATED CONCRETE</t>
        </is>
      </c>
      <c r="E649" s="5" t="inlineStr">
        <is>
          <t>Designated Concrete; Grade C60</t>
        </is>
      </c>
      <c r="F649" s="5" t="inlineStr">
        <is>
          <t>10 mm aggregate</t>
        </is>
      </c>
      <c r="G649" s="6" t="inlineStr">
        <is>
          <t>m3</t>
        </is>
      </c>
      <c r="H649" s="7" t="n"/>
      <c r="I649" s="8" t="n">
        <v>0</v>
      </c>
      <c r="J649" s="8" t="n">
        <v>0</v>
      </c>
      <c r="K649" s="8" t="n">
        <v>191.02</v>
      </c>
      <c r="L649" s="8" t="n">
        <v>0</v>
      </c>
      <c r="M649" s="9">
        <f>ROUND(SUM(I649:L649),2)</f>
        <v/>
      </c>
      <c r="N649" s="10">
        <f>ROUND(I649*'Irish Basis'!$C$6*'Irish Basis'!$C$5,2)</f>
        <v/>
      </c>
      <c r="O649" s="10">
        <f>ROUND(J649*'Irish Basis'!$C$7*'Irish Basis'!$C$5,2)</f>
        <v/>
      </c>
      <c r="P649" s="10">
        <f>ROUND(K649*'Irish Basis'!$C$8*'Irish Basis'!$C$5,2)</f>
        <v/>
      </c>
      <c r="Q649" s="10">
        <f>ROUND(L649*'Irish Basis'!$C$12*'Irish Basis'!$C$5,2)</f>
        <v/>
      </c>
      <c r="R649" s="11">
        <f>ROUND(SUM(N649:Q649),2)</f>
        <v/>
      </c>
      <c r="S649" s="5" t="inlineStr">
        <is>
          <t>Stated build-up</t>
        </is>
      </c>
      <c r="T649" s="12" t="inlineStr">
        <is>
          <t>High</t>
        </is>
      </c>
      <c r="U649" s="8" t="n">
        <v>191.02</v>
      </c>
      <c r="V649" s="13">
        <f>IF(U649="","",ROUND(M649-U649,2))</f>
        <v/>
      </c>
      <c r="W649" s="5" t="n"/>
      <c r="X649" s="5" t="inlineStr">
        <is>
          <t>Labour + plant + material as published; reconciles to the published rate.</t>
        </is>
      </c>
    </row>
    <row r="650" ht="13" customHeight="1">
      <c r="A650" s="4" t="n">
        <v>1142</v>
      </c>
      <c r="B650" s="5" t="inlineStr">
        <is>
          <t>IMG_0081</t>
        </is>
      </c>
      <c r="C650" s="5" t="inlineStr">
        <is>
          <t>CLASS F: IN SITU CONCRETE</t>
        </is>
      </c>
      <c r="D650" s="5" t="inlineStr">
        <is>
          <t>02 DESIGNATED CONCRETE</t>
        </is>
      </c>
      <c r="E650" s="5" t="inlineStr">
        <is>
          <t>Designated Concrete; Grade C60</t>
        </is>
      </c>
      <c r="F650" s="5" t="inlineStr">
        <is>
          <t>20 mm aggregate</t>
        </is>
      </c>
      <c r="G650" s="6" t="inlineStr">
        <is>
          <t>m3</t>
        </is>
      </c>
      <c r="H650" s="7" t="n"/>
      <c r="I650" s="8" t="n">
        <v>0</v>
      </c>
      <c r="J650" s="8" t="n">
        <v>0</v>
      </c>
      <c r="K650" s="8" t="n">
        <v>188.11</v>
      </c>
      <c r="L650" s="8" t="n">
        <v>0</v>
      </c>
      <c r="M650" s="9">
        <f>ROUND(SUM(I650:L650),2)</f>
        <v/>
      </c>
      <c r="N650" s="10">
        <f>ROUND(I650*'Irish Basis'!$C$6*'Irish Basis'!$C$5,2)</f>
        <v/>
      </c>
      <c r="O650" s="10">
        <f>ROUND(J650*'Irish Basis'!$C$7*'Irish Basis'!$C$5,2)</f>
        <v/>
      </c>
      <c r="P650" s="10">
        <f>ROUND(K650*'Irish Basis'!$C$8*'Irish Basis'!$C$5,2)</f>
        <v/>
      </c>
      <c r="Q650" s="10">
        <f>ROUND(L650*'Irish Basis'!$C$12*'Irish Basis'!$C$5,2)</f>
        <v/>
      </c>
      <c r="R650" s="11">
        <f>ROUND(SUM(N650:Q650),2)</f>
        <v/>
      </c>
      <c r="S650" s="5" t="inlineStr">
        <is>
          <t>Stated build-up</t>
        </is>
      </c>
      <c r="T650" s="12" t="inlineStr">
        <is>
          <t>High</t>
        </is>
      </c>
      <c r="U650" s="8" t="n">
        <v>188.11</v>
      </c>
      <c r="V650" s="13">
        <f>IF(U650="","",ROUND(M650-U650,2))</f>
        <v/>
      </c>
      <c r="W650" s="5" t="n"/>
      <c r="X650" s="5" t="inlineStr">
        <is>
          <t>Labour + plant + material as published; reconciles to the published rate.</t>
        </is>
      </c>
    </row>
    <row r="651" ht="13" customHeight="1">
      <c r="A651" s="4" t="n">
        <v>1145</v>
      </c>
      <c r="B651" s="5" t="inlineStr">
        <is>
          <t>IMG_0081</t>
        </is>
      </c>
      <c r="C651" s="5" t="inlineStr">
        <is>
          <t>CLASS F: IN SITU CONCRETE</t>
        </is>
      </c>
      <c r="D651" s="5" t="inlineStr">
        <is>
          <t>03 STANDARDISED PRESCRIBED CONCRETE</t>
        </is>
      </c>
      <c r="E651" s="5" t="inlineStr">
        <is>
          <t>Prescribed mix; cement to BS EN 197-1; Grade C7.5</t>
        </is>
      </c>
      <c r="F651" s="5" t="inlineStr">
        <is>
          <t>10 mm aggregate</t>
        </is>
      </c>
      <c r="G651" s="6" t="inlineStr">
        <is>
          <t>m3</t>
        </is>
      </c>
      <c r="H651" s="7" t="n"/>
      <c r="I651" s="8" t="n">
        <v>0</v>
      </c>
      <c r="J651" s="8" t="n">
        <v>0</v>
      </c>
      <c r="K651" s="8" t="n">
        <v>142.49</v>
      </c>
      <c r="L651" s="8" t="n">
        <v>0</v>
      </c>
      <c r="M651" s="9">
        <f>ROUND(SUM(I651:L651),2)</f>
        <v/>
      </c>
      <c r="N651" s="10">
        <f>ROUND(I651*'Irish Basis'!$C$6*'Irish Basis'!$C$5,2)</f>
        <v/>
      </c>
      <c r="O651" s="10">
        <f>ROUND(J651*'Irish Basis'!$C$7*'Irish Basis'!$C$5,2)</f>
        <v/>
      </c>
      <c r="P651" s="10">
        <f>ROUND(K651*'Irish Basis'!$C$8*'Irish Basis'!$C$5,2)</f>
        <v/>
      </c>
      <c r="Q651" s="10">
        <f>ROUND(L651*'Irish Basis'!$C$12*'Irish Basis'!$C$5,2)</f>
        <v/>
      </c>
      <c r="R651" s="11">
        <f>ROUND(SUM(N651:Q651),2)</f>
        <v/>
      </c>
      <c r="S651" s="5" t="inlineStr">
        <is>
          <t>Stated build-up</t>
        </is>
      </c>
      <c r="T651" s="12" t="inlineStr">
        <is>
          <t>High</t>
        </is>
      </c>
      <c r="U651" s="8" t="n">
        <v>142.49</v>
      </c>
      <c r="V651" s="13">
        <f>IF(U651="","",ROUND(M651-U651,2))</f>
        <v/>
      </c>
      <c r="W651" s="5" t="n"/>
      <c r="X651" s="5" t="inlineStr">
        <is>
          <t>Labour + plant + material as published; reconciles to the published rate.</t>
        </is>
      </c>
    </row>
    <row r="652" ht="13" customHeight="1">
      <c r="A652" s="4" t="n">
        <v>1146</v>
      </c>
      <c r="B652" s="5" t="inlineStr">
        <is>
          <t>IMG_0081</t>
        </is>
      </c>
      <c r="C652" s="5" t="inlineStr">
        <is>
          <t>CLASS F: IN SITU CONCRETE</t>
        </is>
      </c>
      <c r="D652" s="5" t="inlineStr">
        <is>
          <t>03 STANDARDISED PRESCRIBED CONCRETE</t>
        </is>
      </c>
      <c r="E652" s="5" t="inlineStr">
        <is>
          <t>Prescribed mix; cement to BS EN 197-1; Grade C7.5</t>
        </is>
      </c>
      <c r="F652" s="5" t="inlineStr">
        <is>
          <t>20 mm aggregate</t>
        </is>
      </c>
      <c r="G652" s="6" t="inlineStr">
        <is>
          <t>m3</t>
        </is>
      </c>
      <c r="H652" s="7" t="n"/>
      <c r="I652" s="8" t="n">
        <v>0</v>
      </c>
      <c r="J652" s="8" t="n">
        <v>0</v>
      </c>
      <c r="K652" s="8" t="n">
        <v>140.35</v>
      </c>
      <c r="L652" s="8" t="n">
        <v>0</v>
      </c>
      <c r="M652" s="9">
        <f>ROUND(SUM(I652:L652),2)</f>
        <v/>
      </c>
      <c r="N652" s="10">
        <f>ROUND(I652*'Irish Basis'!$C$6*'Irish Basis'!$C$5,2)</f>
        <v/>
      </c>
      <c r="O652" s="10">
        <f>ROUND(J652*'Irish Basis'!$C$7*'Irish Basis'!$C$5,2)</f>
        <v/>
      </c>
      <c r="P652" s="10">
        <f>ROUND(K652*'Irish Basis'!$C$8*'Irish Basis'!$C$5,2)</f>
        <v/>
      </c>
      <c r="Q652" s="10">
        <f>ROUND(L652*'Irish Basis'!$C$12*'Irish Basis'!$C$5,2)</f>
        <v/>
      </c>
      <c r="R652" s="11">
        <f>ROUND(SUM(N652:Q652),2)</f>
        <v/>
      </c>
      <c r="S652" s="5" t="inlineStr">
        <is>
          <t>Stated build-up</t>
        </is>
      </c>
      <c r="T652" s="12" t="inlineStr">
        <is>
          <t>High</t>
        </is>
      </c>
      <c r="U652" s="8" t="n">
        <v>140.35</v>
      </c>
      <c r="V652" s="13">
        <f>IF(U652="","",ROUND(M652-U652,2))</f>
        <v/>
      </c>
      <c r="W652" s="5" t="n"/>
      <c r="X652" s="5" t="inlineStr">
        <is>
          <t>Labour + plant + material as published; reconciles to the published rate.</t>
        </is>
      </c>
    </row>
    <row r="653" ht="13" customHeight="1">
      <c r="A653" s="4" t="n">
        <v>1147</v>
      </c>
      <c r="B653" s="5" t="inlineStr">
        <is>
          <t>IMG_0081</t>
        </is>
      </c>
      <c r="C653" s="5" t="inlineStr">
        <is>
          <t>CLASS F: IN SITU CONCRETE</t>
        </is>
      </c>
      <c r="D653" s="5" t="inlineStr">
        <is>
          <t>03 STANDARDISED PRESCRIBED CONCRETE</t>
        </is>
      </c>
      <c r="E653" s="5" t="inlineStr">
        <is>
          <t>Prescribed mix; cement to BS EN 197-1; Grade C7.5</t>
        </is>
      </c>
      <c r="F653" s="5" t="inlineStr">
        <is>
          <t>40 mm aggregate</t>
        </is>
      </c>
      <c r="G653" s="6" t="inlineStr">
        <is>
          <t>m3</t>
        </is>
      </c>
      <c r="H653" s="7" t="n"/>
      <c r="I653" s="8" t="n">
        <v>0</v>
      </c>
      <c r="J653" s="8" t="n">
        <v>0</v>
      </c>
      <c r="K653" s="8" t="n">
        <v>138.24</v>
      </c>
      <c r="L653" s="8" t="n">
        <v>0</v>
      </c>
      <c r="M653" s="9">
        <f>ROUND(SUM(I653:L653),2)</f>
        <v/>
      </c>
      <c r="N653" s="10">
        <f>ROUND(I653*'Irish Basis'!$C$6*'Irish Basis'!$C$5,2)</f>
        <v/>
      </c>
      <c r="O653" s="10">
        <f>ROUND(J653*'Irish Basis'!$C$7*'Irish Basis'!$C$5,2)</f>
        <v/>
      </c>
      <c r="P653" s="10">
        <f>ROUND(K653*'Irish Basis'!$C$8*'Irish Basis'!$C$5,2)</f>
        <v/>
      </c>
      <c r="Q653" s="10">
        <f>ROUND(L653*'Irish Basis'!$C$12*'Irish Basis'!$C$5,2)</f>
        <v/>
      </c>
      <c r="R653" s="11">
        <f>ROUND(SUM(N653:Q653),2)</f>
        <v/>
      </c>
      <c r="S653" s="5" t="inlineStr">
        <is>
          <t>Stated build-up</t>
        </is>
      </c>
      <c r="T653" s="12" t="inlineStr">
        <is>
          <t>High</t>
        </is>
      </c>
      <c r="U653" s="8" t="n">
        <v>138.24</v>
      </c>
      <c r="V653" s="13">
        <f>IF(U653="","",ROUND(M653-U653,2))</f>
        <v/>
      </c>
      <c r="W653" s="5" t="n"/>
      <c r="X653" s="5" t="inlineStr">
        <is>
          <t>Labour + plant + material as published; reconciles to the published rate.</t>
        </is>
      </c>
    </row>
    <row r="654" ht="13" customHeight="1">
      <c r="A654" s="4" t="n">
        <v>1149</v>
      </c>
      <c r="B654" s="5" t="inlineStr">
        <is>
          <t>IMG_0081</t>
        </is>
      </c>
      <c r="C654" s="5" t="inlineStr">
        <is>
          <t>CLASS F: IN SITU CONCRETE</t>
        </is>
      </c>
      <c r="D654" s="5" t="inlineStr">
        <is>
          <t>03 STANDARDISED PRESCRIBED CONCRETE</t>
        </is>
      </c>
      <c r="E654" s="5" t="inlineStr">
        <is>
          <t>Prescribed mix; cement to BS EN 197-1; Grade C10</t>
        </is>
      </c>
      <c r="F654" s="5" t="inlineStr">
        <is>
          <t>10 mm aggregate</t>
        </is>
      </c>
      <c r="G654" s="6" t="inlineStr">
        <is>
          <t>m3</t>
        </is>
      </c>
      <c r="H654" s="7" t="n"/>
      <c r="I654" s="8" t="n">
        <v>0</v>
      </c>
      <c r="J654" s="8" t="n">
        <v>0</v>
      </c>
      <c r="K654" s="8" t="n">
        <v>145.05</v>
      </c>
      <c r="L654" s="8" t="n">
        <v>0</v>
      </c>
      <c r="M654" s="9">
        <f>ROUND(SUM(I654:L654),2)</f>
        <v/>
      </c>
      <c r="N654" s="10">
        <f>ROUND(I654*'Irish Basis'!$C$6*'Irish Basis'!$C$5,2)</f>
        <v/>
      </c>
      <c r="O654" s="10">
        <f>ROUND(J654*'Irish Basis'!$C$7*'Irish Basis'!$C$5,2)</f>
        <v/>
      </c>
      <c r="P654" s="10">
        <f>ROUND(K654*'Irish Basis'!$C$8*'Irish Basis'!$C$5,2)</f>
        <v/>
      </c>
      <c r="Q654" s="10">
        <f>ROUND(L654*'Irish Basis'!$C$12*'Irish Basis'!$C$5,2)</f>
        <v/>
      </c>
      <c r="R654" s="11">
        <f>ROUND(SUM(N654:Q654),2)</f>
        <v/>
      </c>
      <c r="S654" s="5" t="inlineStr">
        <is>
          <t>Stated build-up</t>
        </is>
      </c>
      <c r="T654" s="12" t="inlineStr">
        <is>
          <t>High</t>
        </is>
      </c>
      <c r="U654" s="8" t="n">
        <v>145.05</v>
      </c>
      <c r="V654" s="13">
        <f>IF(U654="","",ROUND(M654-U654,2))</f>
        <v/>
      </c>
      <c r="W654" s="5" t="n"/>
      <c r="X654" s="5" t="inlineStr">
        <is>
          <t>Labour + plant + material as published; reconciles to the published rate.</t>
        </is>
      </c>
    </row>
    <row r="655" ht="13" customHeight="1">
      <c r="A655" s="4" t="n">
        <v>1150</v>
      </c>
      <c r="B655" s="5" t="inlineStr">
        <is>
          <t>IMG_0081</t>
        </is>
      </c>
      <c r="C655" s="5" t="inlineStr">
        <is>
          <t>CLASS F: IN SITU CONCRETE</t>
        </is>
      </c>
      <c r="D655" s="5" t="inlineStr">
        <is>
          <t>03 STANDARDISED PRESCRIBED CONCRETE</t>
        </is>
      </c>
      <c r="E655" s="5" t="inlineStr">
        <is>
          <t>Prescribed mix; cement to BS EN 197-1; Grade C10</t>
        </is>
      </c>
      <c r="F655" s="5" t="inlineStr">
        <is>
          <t>20 mm aggregate</t>
        </is>
      </c>
      <c r="G655" s="6" t="inlineStr">
        <is>
          <t>m3</t>
        </is>
      </c>
      <c r="H655" s="7" t="n"/>
      <c r="I655" s="8" t="n">
        <v>0</v>
      </c>
      <c r="J655" s="8" t="n">
        <v>0</v>
      </c>
      <c r="K655" s="8" t="n">
        <v>142.83</v>
      </c>
      <c r="L655" s="8" t="n">
        <v>0</v>
      </c>
      <c r="M655" s="9">
        <f>ROUND(SUM(I655:L655),2)</f>
        <v/>
      </c>
      <c r="N655" s="10">
        <f>ROUND(I655*'Irish Basis'!$C$6*'Irish Basis'!$C$5,2)</f>
        <v/>
      </c>
      <c r="O655" s="10">
        <f>ROUND(J655*'Irish Basis'!$C$7*'Irish Basis'!$C$5,2)</f>
        <v/>
      </c>
      <c r="P655" s="10">
        <f>ROUND(K655*'Irish Basis'!$C$8*'Irish Basis'!$C$5,2)</f>
        <v/>
      </c>
      <c r="Q655" s="10">
        <f>ROUND(L655*'Irish Basis'!$C$12*'Irish Basis'!$C$5,2)</f>
        <v/>
      </c>
      <c r="R655" s="11">
        <f>ROUND(SUM(N655:Q655),2)</f>
        <v/>
      </c>
      <c r="S655" s="5" t="inlineStr">
        <is>
          <t>Stated build-up</t>
        </is>
      </c>
      <c r="T655" s="12" t="inlineStr">
        <is>
          <t>High</t>
        </is>
      </c>
      <c r="U655" s="8" t="n">
        <v>142.83</v>
      </c>
      <c r="V655" s="13">
        <f>IF(U655="","",ROUND(M655-U655,2))</f>
        <v/>
      </c>
      <c r="W655" s="5" t="n"/>
      <c r="X655" s="5" t="inlineStr">
        <is>
          <t>Labour + plant + material as published; reconciles to the published rate.</t>
        </is>
      </c>
    </row>
    <row r="656" ht="13" customHeight="1">
      <c r="A656" s="4" t="n">
        <v>1151</v>
      </c>
      <c r="B656" s="5" t="inlineStr">
        <is>
          <t>IMG_0081</t>
        </is>
      </c>
      <c r="C656" s="5" t="inlineStr">
        <is>
          <t>CLASS F: IN SITU CONCRETE</t>
        </is>
      </c>
      <c r="D656" s="5" t="inlineStr">
        <is>
          <t>03 STANDARDISED PRESCRIBED CONCRETE</t>
        </is>
      </c>
      <c r="E656" s="5" t="inlineStr">
        <is>
          <t>Prescribed mix; cement to BS EN 197-1; Grade C10</t>
        </is>
      </c>
      <c r="F656" s="5" t="inlineStr">
        <is>
          <t>40 mm aggregate</t>
        </is>
      </c>
      <c r="G656" s="6" t="inlineStr">
        <is>
          <t>m3</t>
        </is>
      </c>
      <c r="H656" s="7" t="n"/>
      <c r="I656" s="8" t="n">
        <v>0</v>
      </c>
      <c r="J656" s="8" t="n">
        <v>0</v>
      </c>
      <c r="K656" s="8" t="n">
        <v>140.74</v>
      </c>
      <c r="L656" s="8" t="n">
        <v>0</v>
      </c>
      <c r="M656" s="9">
        <f>ROUND(SUM(I656:L656),2)</f>
        <v/>
      </c>
      <c r="N656" s="10">
        <f>ROUND(I656*'Irish Basis'!$C$6*'Irish Basis'!$C$5,2)</f>
        <v/>
      </c>
      <c r="O656" s="10">
        <f>ROUND(J656*'Irish Basis'!$C$7*'Irish Basis'!$C$5,2)</f>
        <v/>
      </c>
      <c r="P656" s="10">
        <f>ROUND(K656*'Irish Basis'!$C$8*'Irish Basis'!$C$5,2)</f>
        <v/>
      </c>
      <c r="Q656" s="10">
        <f>ROUND(L656*'Irish Basis'!$C$12*'Irish Basis'!$C$5,2)</f>
        <v/>
      </c>
      <c r="R656" s="11">
        <f>ROUND(SUM(N656:Q656),2)</f>
        <v/>
      </c>
      <c r="S656" s="5" t="inlineStr">
        <is>
          <t>Stated build-up</t>
        </is>
      </c>
      <c r="T656" s="12" t="inlineStr">
        <is>
          <t>High</t>
        </is>
      </c>
      <c r="U656" s="8" t="n">
        <v>140.74</v>
      </c>
      <c r="V656" s="13">
        <f>IF(U656="","",ROUND(M656-U656,2))</f>
        <v/>
      </c>
      <c r="W656" s="5" t="n"/>
      <c r="X656" s="5" t="inlineStr">
        <is>
          <t>Labour + plant + material as published; reconciles to the published rate.</t>
        </is>
      </c>
    </row>
    <row r="657" ht="13" customHeight="1">
      <c r="A657" s="4" t="n">
        <v>1153</v>
      </c>
      <c r="B657" s="5" t="inlineStr">
        <is>
          <t>IMG_0081</t>
        </is>
      </c>
      <c r="C657" s="5" t="inlineStr">
        <is>
          <t>CLASS F: IN SITU CONCRETE</t>
        </is>
      </c>
      <c r="D657" s="5" t="inlineStr">
        <is>
          <t>03 STANDARDISED PRESCRIBED CONCRETE</t>
        </is>
      </c>
      <c r="E657" s="5" t="inlineStr">
        <is>
          <t>Prescribed mix; cement to BS EN 197-1; Grade C15</t>
        </is>
      </c>
      <c r="F657" s="5" t="inlineStr">
        <is>
          <t>10 mm aggregate</t>
        </is>
      </c>
      <c r="G657" s="6" t="inlineStr">
        <is>
          <t>m3</t>
        </is>
      </c>
      <c r="H657" s="7" t="n"/>
      <c r="I657" s="8" t="n">
        <v>0</v>
      </c>
      <c r="J657" s="8" t="n">
        <v>0</v>
      </c>
      <c r="K657" s="8" t="n">
        <v>145.84</v>
      </c>
      <c r="L657" s="8" t="n">
        <v>0</v>
      </c>
      <c r="M657" s="9">
        <f>ROUND(SUM(I657:L657),2)</f>
        <v/>
      </c>
      <c r="N657" s="10">
        <f>ROUND(I657*'Irish Basis'!$C$6*'Irish Basis'!$C$5,2)</f>
        <v/>
      </c>
      <c r="O657" s="10">
        <f>ROUND(J657*'Irish Basis'!$C$7*'Irish Basis'!$C$5,2)</f>
        <v/>
      </c>
      <c r="P657" s="10">
        <f>ROUND(K657*'Irish Basis'!$C$8*'Irish Basis'!$C$5,2)</f>
        <v/>
      </c>
      <c r="Q657" s="10">
        <f>ROUND(L657*'Irish Basis'!$C$12*'Irish Basis'!$C$5,2)</f>
        <v/>
      </c>
      <c r="R657" s="11">
        <f>ROUND(SUM(N657:Q657),2)</f>
        <v/>
      </c>
      <c r="S657" s="5" t="inlineStr">
        <is>
          <t>Stated build-up</t>
        </is>
      </c>
      <c r="T657" s="12" t="inlineStr">
        <is>
          <t>High</t>
        </is>
      </c>
      <c r="U657" s="8" t="n">
        <v>145.84</v>
      </c>
      <c r="V657" s="13">
        <f>IF(U657="","",ROUND(M657-U657,2))</f>
        <v/>
      </c>
      <c r="W657" s="5" t="n"/>
      <c r="X657" s="5" t="inlineStr">
        <is>
          <t>Labour + plant + material as published; reconciles to the published rate.</t>
        </is>
      </c>
    </row>
    <row r="658" ht="13" customHeight="1">
      <c r="A658" s="4" t="n">
        <v>1154</v>
      </c>
      <c r="B658" s="5" t="inlineStr">
        <is>
          <t>IMG_0081</t>
        </is>
      </c>
      <c r="C658" s="5" t="inlineStr">
        <is>
          <t>CLASS F: IN SITU CONCRETE</t>
        </is>
      </c>
      <c r="D658" s="5" t="inlineStr">
        <is>
          <t>03 STANDARDISED PRESCRIBED CONCRETE</t>
        </is>
      </c>
      <c r="E658" s="5" t="inlineStr">
        <is>
          <t>Prescribed mix; cement to BS EN 197-1; Grade C15</t>
        </is>
      </c>
      <c r="F658" s="5" t="inlineStr">
        <is>
          <t>20 mm aggregate</t>
        </is>
      </c>
      <c r="G658" s="6" t="inlineStr">
        <is>
          <t>m3</t>
        </is>
      </c>
      <c r="H658" s="7" t="n"/>
      <c r="I658" s="8" t="n">
        <v>0</v>
      </c>
      <c r="J658" s="8" t="n">
        <v>0</v>
      </c>
      <c r="K658" s="8" t="n">
        <v>148.43</v>
      </c>
      <c r="L658" s="8" t="n">
        <v>0</v>
      </c>
      <c r="M658" s="9">
        <f>ROUND(SUM(I658:L658),2)</f>
        <v/>
      </c>
      <c r="N658" s="10">
        <f>ROUND(I658*'Irish Basis'!$C$6*'Irish Basis'!$C$5,2)</f>
        <v/>
      </c>
      <c r="O658" s="10">
        <f>ROUND(J658*'Irish Basis'!$C$7*'Irish Basis'!$C$5,2)</f>
        <v/>
      </c>
      <c r="P658" s="10">
        <f>ROUND(K658*'Irish Basis'!$C$8*'Irish Basis'!$C$5,2)</f>
        <v/>
      </c>
      <c r="Q658" s="10">
        <f>ROUND(L658*'Irish Basis'!$C$12*'Irish Basis'!$C$5,2)</f>
        <v/>
      </c>
      <c r="R658" s="11">
        <f>ROUND(SUM(N658:Q658),2)</f>
        <v/>
      </c>
      <c r="S658" s="5" t="inlineStr">
        <is>
          <t>Stated build-up</t>
        </is>
      </c>
      <c r="T658" s="12" t="inlineStr">
        <is>
          <t>High</t>
        </is>
      </c>
      <c r="U658" s="8" t="n">
        <v>148.43</v>
      </c>
      <c r="V658" s="13">
        <f>IF(U658="","",ROUND(M658-U658,2))</f>
        <v/>
      </c>
      <c r="W658" s="5" t="n"/>
      <c r="X658" s="5" t="inlineStr">
        <is>
          <t>Labour + plant + material as published; reconciles to the published rate.</t>
        </is>
      </c>
    </row>
    <row r="659" ht="13" customHeight="1">
      <c r="A659" s="4" t="n">
        <v>1155</v>
      </c>
      <c r="B659" s="5" t="inlineStr">
        <is>
          <t>IMG_0081</t>
        </is>
      </c>
      <c r="C659" s="5" t="inlineStr">
        <is>
          <t>CLASS F: IN SITU CONCRETE</t>
        </is>
      </c>
      <c r="D659" s="5" t="inlineStr">
        <is>
          <t>03 STANDARDISED PRESCRIBED CONCRETE</t>
        </is>
      </c>
      <c r="E659" s="5" t="inlineStr">
        <is>
          <t>Prescribed mix; cement to BS EN 197-1; Grade C15</t>
        </is>
      </c>
      <c r="F659" s="5" t="inlineStr">
        <is>
          <t>40 mm aggregate</t>
        </is>
      </c>
      <c r="G659" s="6" t="inlineStr">
        <is>
          <t>m3</t>
        </is>
      </c>
      <c r="H659" s="7" t="n"/>
      <c r="I659" s="8" t="n">
        <v>0</v>
      </c>
      <c r="J659" s="8" t="n">
        <v>0</v>
      </c>
      <c r="K659" s="8" t="n">
        <v>141.49</v>
      </c>
      <c r="L659" s="8" t="n">
        <v>0</v>
      </c>
      <c r="M659" s="9">
        <f>ROUND(SUM(I659:L659),2)</f>
        <v/>
      </c>
      <c r="N659" s="10">
        <f>ROUND(I659*'Irish Basis'!$C$6*'Irish Basis'!$C$5,2)</f>
        <v/>
      </c>
      <c r="O659" s="10">
        <f>ROUND(J659*'Irish Basis'!$C$7*'Irish Basis'!$C$5,2)</f>
        <v/>
      </c>
      <c r="P659" s="10">
        <f>ROUND(K659*'Irish Basis'!$C$8*'Irish Basis'!$C$5,2)</f>
        <v/>
      </c>
      <c r="Q659" s="10">
        <f>ROUND(L659*'Irish Basis'!$C$12*'Irish Basis'!$C$5,2)</f>
        <v/>
      </c>
      <c r="R659" s="11">
        <f>ROUND(SUM(N659:Q659),2)</f>
        <v/>
      </c>
      <c r="S659" s="5" t="inlineStr">
        <is>
          <t>Stated build-up</t>
        </is>
      </c>
      <c r="T659" s="12" t="inlineStr">
        <is>
          <t>High</t>
        </is>
      </c>
      <c r="U659" s="8" t="n">
        <v>141.49</v>
      </c>
      <c r="V659" s="13">
        <f>IF(U659="","",ROUND(M659-U659,2))</f>
        <v/>
      </c>
      <c r="W659" s="5" t="n"/>
      <c r="X659" s="5" t="inlineStr">
        <is>
          <t>Labour + plant + material as published; reconciles to the published rate.</t>
        </is>
      </c>
    </row>
    <row r="660" ht="13" customHeight="1">
      <c r="A660" s="4" t="n">
        <v>1157</v>
      </c>
      <c r="B660" s="5" t="inlineStr">
        <is>
          <t>IMG_0081</t>
        </is>
      </c>
      <c r="C660" s="5" t="inlineStr">
        <is>
          <t>CLASS F: IN SITU CONCRETE</t>
        </is>
      </c>
      <c r="D660" s="5" t="inlineStr">
        <is>
          <t>03 STANDARDISED PRESCRIBED CONCRETE</t>
        </is>
      </c>
      <c r="E660" s="5" t="inlineStr">
        <is>
          <t>Prescribed mix; cement to BS EN 197-1; Grade C20</t>
        </is>
      </c>
      <c r="F660" s="5" t="inlineStr">
        <is>
          <t>10 mm aggregate</t>
        </is>
      </c>
      <c r="G660" s="6" t="inlineStr">
        <is>
          <t>m3</t>
        </is>
      </c>
      <c r="H660" s="7" t="n"/>
      <c r="I660" s="8" t="n">
        <v>0</v>
      </c>
      <c r="J660" s="8" t="n">
        <v>0</v>
      </c>
      <c r="K660" s="8" t="n">
        <v>152.56</v>
      </c>
      <c r="L660" s="8" t="n">
        <v>0</v>
      </c>
      <c r="M660" s="9">
        <f>ROUND(SUM(I660:L660),2)</f>
        <v/>
      </c>
      <c r="N660" s="10">
        <f>ROUND(I660*'Irish Basis'!$C$6*'Irish Basis'!$C$5,2)</f>
        <v/>
      </c>
      <c r="O660" s="10">
        <f>ROUND(J660*'Irish Basis'!$C$7*'Irish Basis'!$C$5,2)</f>
        <v/>
      </c>
      <c r="P660" s="10">
        <f>ROUND(K660*'Irish Basis'!$C$8*'Irish Basis'!$C$5,2)</f>
        <v/>
      </c>
      <c r="Q660" s="10">
        <f>ROUND(L660*'Irish Basis'!$C$12*'Irish Basis'!$C$5,2)</f>
        <v/>
      </c>
      <c r="R660" s="11">
        <f>ROUND(SUM(N660:Q660),2)</f>
        <v/>
      </c>
      <c r="S660" s="5" t="inlineStr">
        <is>
          <t>Stated build-up</t>
        </is>
      </c>
      <c r="T660" s="12" t="inlineStr">
        <is>
          <t>High</t>
        </is>
      </c>
      <c r="U660" s="8" t="n">
        <v>152.56</v>
      </c>
      <c r="V660" s="13">
        <f>IF(U660="","",ROUND(M660-U660,2))</f>
        <v/>
      </c>
      <c r="W660" s="5" t="n"/>
      <c r="X660" s="5" t="inlineStr">
        <is>
          <t>Labour + plant + material as published; reconciles to the published rate.</t>
        </is>
      </c>
    </row>
    <row r="661" ht="13" customHeight="1">
      <c r="A661" s="4" t="n">
        <v>1158</v>
      </c>
      <c r="B661" s="5" t="inlineStr">
        <is>
          <t>IMG_0081</t>
        </is>
      </c>
      <c r="C661" s="5" t="inlineStr">
        <is>
          <t>CLASS F: IN SITU CONCRETE</t>
        </is>
      </c>
      <c r="D661" s="5" t="inlineStr">
        <is>
          <t>03 STANDARDISED PRESCRIBED CONCRETE</t>
        </is>
      </c>
      <c r="E661" s="5" t="inlineStr">
        <is>
          <t>Prescribed mix; cement to BS EN 197-1; Grade C20</t>
        </is>
      </c>
      <c r="F661" s="5" t="inlineStr">
        <is>
          <t>20 mm aggregate</t>
        </is>
      </c>
      <c r="G661" s="6" t="inlineStr">
        <is>
          <t>m3</t>
        </is>
      </c>
      <c r="H661" s="7" t="n"/>
      <c r="I661" s="8" t="n">
        <v>0</v>
      </c>
      <c r="J661" s="8" t="n">
        <v>0</v>
      </c>
      <c r="K661" s="8" t="n">
        <v>150.26</v>
      </c>
      <c r="L661" s="8" t="n">
        <v>0</v>
      </c>
      <c r="M661" s="9">
        <f>ROUND(SUM(I661:L661),2)</f>
        <v/>
      </c>
      <c r="N661" s="10">
        <f>ROUND(I661*'Irish Basis'!$C$6*'Irish Basis'!$C$5,2)</f>
        <v/>
      </c>
      <c r="O661" s="10">
        <f>ROUND(J661*'Irish Basis'!$C$7*'Irish Basis'!$C$5,2)</f>
        <v/>
      </c>
      <c r="P661" s="10">
        <f>ROUND(K661*'Irish Basis'!$C$8*'Irish Basis'!$C$5,2)</f>
        <v/>
      </c>
      <c r="Q661" s="10">
        <f>ROUND(L661*'Irish Basis'!$C$12*'Irish Basis'!$C$5,2)</f>
        <v/>
      </c>
      <c r="R661" s="11">
        <f>ROUND(SUM(N661:Q661),2)</f>
        <v/>
      </c>
      <c r="S661" s="5" t="inlineStr">
        <is>
          <t>Stated build-up</t>
        </is>
      </c>
      <c r="T661" s="12" t="inlineStr">
        <is>
          <t>High</t>
        </is>
      </c>
      <c r="U661" s="8" t="n">
        <v>150.26</v>
      </c>
      <c r="V661" s="13">
        <f>IF(U661="","",ROUND(M661-U661,2))</f>
        <v/>
      </c>
      <c r="W661" s="5" t="n"/>
      <c r="X661" s="5" t="inlineStr">
        <is>
          <t>Labour + plant + material as published; reconciles to the published rate.</t>
        </is>
      </c>
    </row>
    <row r="662" ht="13" customHeight="1">
      <c r="A662" s="4" t="n">
        <v>1159</v>
      </c>
      <c r="B662" s="5" t="inlineStr">
        <is>
          <t>IMG_0081</t>
        </is>
      </c>
      <c r="C662" s="5" t="inlineStr">
        <is>
          <t>CLASS F: IN SITU CONCRETE</t>
        </is>
      </c>
      <c r="D662" s="5" t="inlineStr">
        <is>
          <t>03 STANDARDISED PRESCRIBED CONCRETE</t>
        </is>
      </c>
      <c r="E662" s="5" t="inlineStr">
        <is>
          <t>Prescribed mix; cement to BS EN 197-1; Grade C20</t>
        </is>
      </c>
      <c r="F662" s="5" t="inlineStr">
        <is>
          <t>40 mm aggregate</t>
        </is>
      </c>
      <c r="G662" s="6" t="inlineStr">
        <is>
          <t>m3</t>
        </is>
      </c>
      <c r="H662" s="7" t="n"/>
      <c r="I662" s="8" t="n">
        <v>0</v>
      </c>
      <c r="J662" s="8" t="n">
        <v>0</v>
      </c>
      <c r="K662" s="8" t="n">
        <v>148.03</v>
      </c>
      <c r="L662" s="8" t="n">
        <v>0</v>
      </c>
      <c r="M662" s="9">
        <f>ROUND(SUM(I662:L662),2)</f>
        <v/>
      </c>
      <c r="N662" s="10">
        <f>ROUND(I662*'Irish Basis'!$C$6*'Irish Basis'!$C$5,2)</f>
        <v/>
      </c>
      <c r="O662" s="10">
        <f>ROUND(J662*'Irish Basis'!$C$7*'Irish Basis'!$C$5,2)</f>
        <v/>
      </c>
      <c r="P662" s="10">
        <f>ROUND(K662*'Irish Basis'!$C$8*'Irish Basis'!$C$5,2)</f>
        <v/>
      </c>
      <c r="Q662" s="10">
        <f>ROUND(L662*'Irish Basis'!$C$12*'Irish Basis'!$C$5,2)</f>
        <v/>
      </c>
      <c r="R662" s="11">
        <f>ROUND(SUM(N662:Q662),2)</f>
        <v/>
      </c>
      <c r="S662" s="5" t="inlineStr">
        <is>
          <t>Stated build-up</t>
        </is>
      </c>
      <c r="T662" s="12" t="inlineStr">
        <is>
          <t>High</t>
        </is>
      </c>
      <c r="U662" s="8" t="n">
        <v>148.03</v>
      </c>
      <c r="V662" s="13">
        <f>IF(U662="","",ROUND(M662-U662,2))</f>
        <v/>
      </c>
      <c r="W662" s="5" t="n"/>
      <c r="X662" s="5" t="inlineStr">
        <is>
          <t>Labour + plant + material as published; reconciles to the published rate.</t>
        </is>
      </c>
    </row>
    <row r="663" ht="13" customHeight="1">
      <c r="A663" s="4" t="n">
        <v>1161</v>
      </c>
      <c r="B663" s="5" t="inlineStr">
        <is>
          <t>IMG_0081</t>
        </is>
      </c>
      <c r="C663" s="5" t="inlineStr">
        <is>
          <t>CLASS F: IN SITU CONCRETE</t>
        </is>
      </c>
      <c r="D663" s="5" t="inlineStr">
        <is>
          <t>03 STANDARDISED PRESCRIBED CONCRETE</t>
        </is>
      </c>
      <c r="E663" s="5" t="inlineStr">
        <is>
          <t>Prescribed mix; cement to BS EN 197-1; Grade C25</t>
        </is>
      </c>
      <c r="F663" s="5" t="inlineStr">
        <is>
          <t>10 mm aggregate</t>
        </is>
      </c>
      <c r="G663" s="6" t="inlineStr">
        <is>
          <t>m3</t>
        </is>
      </c>
      <c r="H663" s="7" t="n"/>
      <c r="I663" s="8" t="n">
        <v>0</v>
      </c>
      <c r="J663" s="8" t="n">
        <v>0</v>
      </c>
      <c r="K663" s="8" t="n">
        <v>154.92</v>
      </c>
      <c r="L663" s="8" t="n">
        <v>0</v>
      </c>
      <c r="M663" s="9">
        <f>ROUND(SUM(I663:L663),2)</f>
        <v/>
      </c>
      <c r="N663" s="10">
        <f>ROUND(I663*'Irish Basis'!$C$6*'Irish Basis'!$C$5,2)</f>
        <v/>
      </c>
      <c r="O663" s="10">
        <f>ROUND(J663*'Irish Basis'!$C$7*'Irish Basis'!$C$5,2)</f>
        <v/>
      </c>
      <c r="P663" s="10">
        <f>ROUND(K663*'Irish Basis'!$C$8*'Irish Basis'!$C$5,2)</f>
        <v/>
      </c>
      <c r="Q663" s="10">
        <f>ROUND(L663*'Irish Basis'!$C$12*'Irish Basis'!$C$5,2)</f>
        <v/>
      </c>
      <c r="R663" s="11">
        <f>ROUND(SUM(N663:Q663),2)</f>
        <v/>
      </c>
      <c r="S663" s="5" t="inlineStr">
        <is>
          <t>Stated build-up</t>
        </is>
      </c>
      <c r="T663" s="12" t="inlineStr">
        <is>
          <t>High</t>
        </is>
      </c>
      <c r="U663" s="8" t="n">
        <v>154.92</v>
      </c>
      <c r="V663" s="13">
        <f>IF(U663="","",ROUND(M663-U663,2))</f>
        <v/>
      </c>
      <c r="W663" s="5" t="n"/>
      <c r="X663" s="5" t="inlineStr">
        <is>
          <t>Labour + plant + material as published; reconciles to the published rate.</t>
        </is>
      </c>
    </row>
    <row r="664" ht="13" customHeight="1">
      <c r="A664" s="4" t="n">
        <v>1162</v>
      </c>
      <c r="B664" s="5" t="inlineStr">
        <is>
          <t>IMG_0081</t>
        </is>
      </c>
      <c r="C664" s="5" t="inlineStr">
        <is>
          <t>CLASS F: IN SITU CONCRETE</t>
        </is>
      </c>
      <c r="D664" s="5" t="inlineStr">
        <is>
          <t>03 STANDARDISED PRESCRIBED CONCRETE</t>
        </is>
      </c>
      <c r="E664" s="5" t="inlineStr">
        <is>
          <t>Prescribed mix; cement to BS EN 197-1; Grade C25</t>
        </is>
      </c>
      <c r="F664" s="5" t="inlineStr">
        <is>
          <t>20 mm aggregate</t>
        </is>
      </c>
      <c r="G664" s="6" t="inlineStr">
        <is>
          <t>m3</t>
        </is>
      </c>
      <c r="H664" s="7" t="n"/>
      <c r="I664" s="8" t="n">
        <v>0</v>
      </c>
      <c r="J664" s="8" t="n">
        <v>0</v>
      </c>
      <c r="K664" s="8" t="n">
        <v>154.92</v>
      </c>
      <c r="L664" s="8" t="n">
        <v>0</v>
      </c>
      <c r="M664" s="9">
        <f>ROUND(SUM(I664:L664),2)</f>
        <v/>
      </c>
      <c r="N664" s="10">
        <f>ROUND(I664*'Irish Basis'!$C$6*'Irish Basis'!$C$5,2)</f>
        <v/>
      </c>
      <c r="O664" s="10">
        <f>ROUND(J664*'Irish Basis'!$C$7*'Irish Basis'!$C$5,2)</f>
        <v/>
      </c>
      <c r="P664" s="10">
        <f>ROUND(K664*'Irish Basis'!$C$8*'Irish Basis'!$C$5,2)</f>
        <v/>
      </c>
      <c r="Q664" s="10">
        <f>ROUND(L664*'Irish Basis'!$C$12*'Irish Basis'!$C$5,2)</f>
        <v/>
      </c>
      <c r="R664" s="11">
        <f>ROUND(SUM(N664:Q664),2)</f>
        <v/>
      </c>
      <c r="S664" s="5" t="inlineStr">
        <is>
          <t>Stated build-up</t>
        </is>
      </c>
      <c r="T664" s="12" t="inlineStr">
        <is>
          <t>High</t>
        </is>
      </c>
      <c r="U664" s="8" t="n">
        <v>154.92</v>
      </c>
      <c r="V664" s="13">
        <f>IF(U664="","",ROUND(M664-U664,2))</f>
        <v/>
      </c>
      <c r="W664" s="5" t="n"/>
      <c r="X664" s="5" t="inlineStr">
        <is>
          <t>Labour + plant + material as published; reconciles to the published rate.</t>
        </is>
      </c>
    </row>
    <row r="665" ht="13" customHeight="1">
      <c r="A665" s="4" t="n">
        <v>1163</v>
      </c>
      <c r="B665" s="5" t="inlineStr">
        <is>
          <t>IMG_0081</t>
        </is>
      </c>
      <c r="C665" s="5" t="inlineStr">
        <is>
          <t>CLASS F: IN SITU CONCRETE</t>
        </is>
      </c>
      <c r="D665" s="5" t="inlineStr">
        <is>
          <t>03 STANDARDISED PRESCRIBED CONCRETE</t>
        </is>
      </c>
      <c r="E665" s="5" t="inlineStr">
        <is>
          <t>Prescribed mix; cement to BS EN 197-1; Grade C25</t>
        </is>
      </c>
      <c r="F665" s="5" t="inlineStr">
        <is>
          <t>40 mm aggregate</t>
        </is>
      </c>
      <c r="G665" s="6" t="inlineStr">
        <is>
          <t>m3</t>
        </is>
      </c>
      <c r="H665" s="7" t="n"/>
      <c r="I665" s="8" t="n">
        <v>0</v>
      </c>
      <c r="J665" s="8" t="n">
        <v>0</v>
      </c>
      <c r="K665" s="8" t="n">
        <v>154.92</v>
      </c>
      <c r="L665" s="8" t="n">
        <v>0</v>
      </c>
      <c r="M665" s="9">
        <f>ROUND(SUM(I665:L665),2)</f>
        <v/>
      </c>
      <c r="N665" s="10">
        <f>ROUND(I665*'Irish Basis'!$C$6*'Irish Basis'!$C$5,2)</f>
        <v/>
      </c>
      <c r="O665" s="10">
        <f>ROUND(J665*'Irish Basis'!$C$7*'Irish Basis'!$C$5,2)</f>
        <v/>
      </c>
      <c r="P665" s="10">
        <f>ROUND(K665*'Irish Basis'!$C$8*'Irish Basis'!$C$5,2)</f>
        <v/>
      </c>
      <c r="Q665" s="10">
        <f>ROUND(L665*'Irish Basis'!$C$12*'Irish Basis'!$C$5,2)</f>
        <v/>
      </c>
      <c r="R665" s="11">
        <f>ROUND(SUM(N665:Q665),2)</f>
        <v/>
      </c>
      <c r="S665" s="5" t="inlineStr">
        <is>
          <t>Stated build-up</t>
        </is>
      </c>
      <c r="T665" s="12" t="inlineStr">
        <is>
          <t>High</t>
        </is>
      </c>
      <c r="U665" s="8" t="n">
        <v>154.92</v>
      </c>
      <c r="V665" s="13">
        <f>IF(U665="","",ROUND(M665-U665,2))</f>
        <v/>
      </c>
      <c r="W665" s="5" t="n"/>
      <c r="X665" s="5" t="inlineStr">
        <is>
          <t>Labour + plant + material as published; reconciles to the published rate.</t>
        </is>
      </c>
    </row>
    <row r="666" ht="13" customHeight="1">
      <c r="A666" s="4" t="n">
        <v>1165</v>
      </c>
      <c r="B666" s="5" t="inlineStr">
        <is>
          <t>IMG_0081</t>
        </is>
      </c>
      <c r="C666" s="5" t="inlineStr">
        <is>
          <t>CLASS F: IN SITU CONCRETE</t>
        </is>
      </c>
      <c r="D666" s="5" t="inlineStr">
        <is>
          <t>03 STANDARDISED PRESCRIBED CONCRETE</t>
        </is>
      </c>
      <c r="E666" s="5" t="inlineStr">
        <is>
          <t>Prescribed mix; cement to BS EN 197-1; Grade C30</t>
        </is>
      </c>
      <c r="F666" s="5" t="inlineStr">
        <is>
          <t>10 mm aggregate</t>
        </is>
      </c>
      <c r="G666" s="6" t="inlineStr">
        <is>
          <t>m3</t>
        </is>
      </c>
      <c r="H666" s="7" t="n"/>
      <c r="I666" s="8" t="n">
        <v>0</v>
      </c>
      <c r="J666" s="8" t="n">
        <v>0</v>
      </c>
      <c r="K666" s="8" t="n">
        <v>177.72</v>
      </c>
      <c r="L666" s="8" t="n">
        <v>0</v>
      </c>
      <c r="M666" s="9">
        <f>ROUND(SUM(I666:L666),2)</f>
        <v/>
      </c>
      <c r="N666" s="10">
        <f>ROUND(I666*'Irish Basis'!$C$6*'Irish Basis'!$C$5,2)</f>
        <v/>
      </c>
      <c r="O666" s="10">
        <f>ROUND(J666*'Irish Basis'!$C$7*'Irish Basis'!$C$5,2)</f>
        <v/>
      </c>
      <c r="P666" s="10">
        <f>ROUND(K666*'Irish Basis'!$C$8*'Irish Basis'!$C$5,2)</f>
        <v/>
      </c>
      <c r="Q666" s="10">
        <f>ROUND(L666*'Irish Basis'!$C$12*'Irish Basis'!$C$5,2)</f>
        <v/>
      </c>
      <c r="R666" s="11">
        <f>ROUND(SUM(N666:Q666),2)</f>
        <v/>
      </c>
      <c r="S666" s="5" t="inlineStr">
        <is>
          <t>Stated build-up</t>
        </is>
      </c>
      <c r="T666" s="12" t="inlineStr">
        <is>
          <t>High</t>
        </is>
      </c>
      <c r="U666" s="8" t="n">
        <v>177.72</v>
      </c>
      <c r="V666" s="13">
        <f>IF(U666="","",ROUND(M666-U666,2))</f>
        <v/>
      </c>
      <c r="W666" s="5" t="n"/>
      <c r="X666" s="5" t="inlineStr">
        <is>
          <t>Labour + plant + material as published; reconciles to the published rate.</t>
        </is>
      </c>
    </row>
    <row r="667" ht="13" customHeight="1">
      <c r="A667" s="4" t="n">
        <v>1166</v>
      </c>
      <c r="B667" s="5" t="inlineStr">
        <is>
          <t>IMG_0081</t>
        </is>
      </c>
      <c r="C667" s="5" t="inlineStr">
        <is>
          <t>CLASS F: IN SITU CONCRETE</t>
        </is>
      </c>
      <c r="D667" s="5" t="inlineStr">
        <is>
          <t>03 STANDARDISED PRESCRIBED CONCRETE</t>
        </is>
      </c>
      <c r="E667" s="5" t="inlineStr">
        <is>
          <t>Prescribed mix; cement to BS EN 197-1; Grade C30</t>
        </is>
      </c>
      <c r="F667" s="5" t="inlineStr">
        <is>
          <t>20 mm aggregate</t>
        </is>
      </c>
      <c r="G667" s="6" t="inlineStr">
        <is>
          <t>m3</t>
        </is>
      </c>
      <c r="H667" s="7" t="n"/>
      <c r="I667" s="8" t="n">
        <v>0</v>
      </c>
      <c r="J667" s="8" t="n">
        <v>0</v>
      </c>
      <c r="K667" s="8" t="n">
        <v>175.09</v>
      </c>
      <c r="L667" s="8" t="n">
        <v>0</v>
      </c>
      <c r="M667" s="9">
        <f>ROUND(SUM(I667:L667),2)</f>
        <v/>
      </c>
      <c r="N667" s="10">
        <f>ROUND(I667*'Irish Basis'!$C$6*'Irish Basis'!$C$5,2)</f>
        <v/>
      </c>
      <c r="O667" s="10">
        <f>ROUND(J667*'Irish Basis'!$C$7*'Irish Basis'!$C$5,2)</f>
        <v/>
      </c>
      <c r="P667" s="10">
        <f>ROUND(K667*'Irish Basis'!$C$8*'Irish Basis'!$C$5,2)</f>
        <v/>
      </c>
      <c r="Q667" s="10">
        <f>ROUND(L667*'Irish Basis'!$C$12*'Irish Basis'!$C$5,2)</f>
        <v/>
      </c>
      <c r="R667" s="11">
        <f>ROUND(SUM(N667:Q667),2)</f>
        <v/>
      </c>
      <c r="S667" s="5" t="inlineStr">
        <is>
          <t>Stated build-up</t>
        </is>
      </c>
      <c r="T667" s="12" t="inlineStr">
        <is>
          <t>High</t>
        </is>
      </c>
      <c r="U667" s="8" t="n">
        <v>175.09</v>
      </c>
      <c r="V667" s="13">
        <f>IF(U667="","",ROUND(M667-U667,2))</f>
        <v/>
      </c>
      <c r="W667" s="5" t="n"/>
      <c r="X667" s="5" t="inlineStr">
        <is>
          <t>Labour + plant + material as published; reconciles to the published rate.</t>
        </is>
      </c>
    </row>
    <row r="668" ht="13" customHeight="1">
      <c r="A668" s="4" t="n">
        <v>1167</v>
      </c>
      <c r="B668" s="5" t="inlineStr">
        <is>
          <t>IMG_0081</t>
        </is>
      </c>
      <c r="C668" s="5" t="inlineStr">
        <is>
          <t>CLASS F: IN SITU CONCRETE</t>
        </is>
      </c>
      <c r="D668" s="5" t="inlineStr">
        <is>
          <t>03 STANDARDISED PRESCRIBED CONCRETE</t>
        </is>
      </c>
      <c r="E668" s="5" t="inlineStr">
        <is>
          <t>Prescribed mix; cement to BS EN 197-1; Grade C30</t>
        </is>
      </c>
      <c r="F668" s="5" t="inlineStr">
        <is>
          <t>40 mm aggregate</t>
        </is>
      </c>
      <c r="G668" s="6" t="inlineStr">
        <is>
          <t>m3</t>
        </is>
      </c>
      <c r="H668" s="7" t="n"/>
      <c r="I668" s="8" t="n">
        <v>0</v>
      </c>
      <c r="J668" s="8" t="n">
        <v>0</v>
      </c>
      <c r="K668" s="8" t="n">
        <v>190.46</v>
      </c>
      <c r="L668" s="8" t="n">
        <v>0</v>
      </c>
      <c r="M668" s="9">
        <f>ROUND(SUM(I668:L668),2)</f>
        <v/>
      </c>
      <c r="N668" s="10">
        <f>ROUND(I668*'Irish Basis'!$C$6*'Irish Basis'!$C$5,2)</f>
        <v/>
      </c>
      <c r="O668" s="10">
        <f>ROUND(J668*'Irish Basis'!$C$7*'Irish Basis'!$C$5,2)</f>
        <v/>
      </c>
      <c r="P668" s="10">
        <f>ROUND(K668*'Irish Basis'!$C$8*'Irish Basis'!$C$5,2)</f>
        <v/>
      </c>
      <c r="Q668" s="10">
        <f>ROUND(L668*'Irish Basis'!$C$12*'Irish Basis'!$C$5,2)</f>
        <v/>
      </c>
      <c r="R668" s="11">
        <f>ROUND(SUM(N668:Q668),2)</f>
        <v/>
      </c>
      <c r="S668" s="5" t="inlineStr">
        <is>
          <t>Stated build-up</t>
        </is>
      </c>
      <c r="T668" s="12" t="inlineStr">
        <is>
          <t>High</t>
        </is>
      </c>
      <c r="U668" s="8" t="n">
        <v>190.46</v>
      </c>
      <c r="V668" s="13">
        <f>IF(U668="","",ROUND(M668-U668,2))</f>
        <v/>
      </c>
      <c r="W668" s="5" t="n"/>
      <c r="X668" s="5" t="inlineStr">
        <is>
          <t>Labour + plant + material as published; reconciles to the published rate.</t>
        </is>
      </c>
    </row>
    <row r="669" ht="13" customHeight="1">
      <c r="A669" s="4" t="n">
        <v>1169</v>
      </c>
      <c r="B669" s="5" t="inlineStr">
        <is>
          <t>IMG_0081</t>
        </is>
      </c>
      <c r="C669" s="5" t="inlineStr">
        <is>
          <t>CLASS F: IN SITU CONCRETE</t>
        </is>
      </c>
      <c r="D669" s="5" t="inlineStr">
        <is>
          <t>03 STANDARDISED PRESCRIBED CONCRETE</t>
        </is>
      </c>
      <c r="E669" s="5" t="inlineStr">
        <is>
          <t>Prescribed mix; cement to BS EN 197-1; Grade C40</t>
        </is>
      </c>
      <c r="F669" s="5" t="inlineStr">
        <is>
          <t>10 mm aggregate</t>
        </is>
      </c>
      <c r="G669" s="6" t="inlineStr">
        <is>
          <t>m3</t>
        </is>
      </c>
      <c r="H669" s="7" t="n"/>
      <c r="I669" s="8" t="n">
        <v>0</v>
      </c>
      <c r="J669" s="8" t="n">
        <v>0</v>
      </c>
      <c r="K669" s="8" t="n">
        <v>187.45</v>
      </c>
      <c r="L669" s="8" t="n">
        <v>0</v>
      </c>
      <c r="M669" s="9">
        <f>ROUND(SUM(I669:L669),2)</f>
        <v/>
      </c>
      <c r="N669" s="10">
        <f>ROUND(I669*'Irish Basis'!$C$6*'Irish Basis'!$C$5,2)</f>
        <v/>
      </c>
      <c r="O669" s="10">
        <f>ROUND(J669*'Irish Basis'!$C$7*'Irish Basis'!$C$5,2)</f>
        <v/>
      </c>
      <c r="P669" s="10">
        <f>ROUND(K669*'Irish Basis'!$C$8*'Irish Basis'!$C$5,2)</f>
        <v/>
      </c>
      <c r="Q669" s="10">
        <f>ROUND(L669*'Irish Basis'!$C$12*'Irish Basis'!$C$5,2)</f>
        <v/>
      </c>
      <c r="R669" s="11">
        <f>ROUND(SUM(N669:Q669),2)</f>
        <v/>
      </c>
      <c r="S669" s="5" t="inlineStr">
        <is>
          <t>Stated build-up</t>
        </is>
      </c>
      <c r="T669" s="12" t="inlineStr">
        <is>
          <t>High</t>
        </is>
      </c>
      <c r="U669" s="8" t="n">
        <v>187.45</v>
      </c>
      <c r="V669" s="13">
        <f>IF(U669="","",ROUND(M669-U669,2))</f>
        <v/>
      </c>
      <c r="W669" s="5" t="n"/>
      <c r="X669" s="5" t="inlineStr">
        <is>
          <t>Labour + plant + material as published; reconciles to the published rate.</t>
        </is>
      </c>
    </row>
    <row r="670" ht="13" customHeight="1">
      <c r="A670" s="4" t="n">
        <v>1170</v>
      </c>
      <c r="B670" s="5" t="inlineStr">
        <is>
          <t>IMG_0081</t>
        </is>
      </c>
      <c r="C670" s="5" t="inlineStr">
        <is>
          <t>CLASS F: IN SITU CONCRETE</t>
        </is>
      </c>
      <c r="D670" s="5" t="inlineStr">
        <is>
          <t>03 STANDARDISED PRESCRIBED CONCRETE</t>
        </is>
      </c>
      <c r="E670" s="5" t="inlineStr">
        <is>
          <t>Prescribed mix; cement to BS EN 197-1; Grade C40</t>
        </is>
      </c>
      <c r="F670" s="5" t="inlineStr">
        <is>
          <t>20 mm aggregate</t>
        </is>
      </c>
      <c r="G670" s="6" t="inlineStr">
        <is>
          <t>m3</t>
        </is>
      </c>
      <c r="H670" s="7" t="n"/>
      <c r="I670" s="8" t="n">
        <v>0</v>
      </c>
      <c r="J670" s="8" t="n">
        <v>0</v>
      </c>
      <c r="K670" s="8" t="n">
        <v>185.37</v>
      </c>
      <c r="L670" s="8" t="n">
        <v>0</v>
      </c>
      <c r="M670" s="9">
        <f>ROUND(SUM(I670:L670),2)</f>
        <v/>
      </c>
      <c r="N670" s="10">
        <f>ROUND(I670*'Irish Basis'!$C$6*'Irish Basis'!$C$5,2)</f>
        <v/>
      </c>
      <c r="O670" s="10">
        <f>ROUND(J670*'Irish Basis'!$C$7*'Irish Basis'!$C$5,2)</f>
        <v/>
      </c>
      <c r="P670" s="10">
        <f>ROUND(K670*'Irish Basis'!$C$8*'Irish Basis'!$C$5,2)</f>
        <v/>
      </c>
      <c r="Q670" s="10">
        <f>ROUND(L670*'Irish Basis'!$C$12*'Irish Basis'!$C$5,2)</f>
        <v/>
      </c>
      <c r="R670" s="11">
        <f>ROUND(SUM(N670:Q670),2)</f>
        <v/>
      </c>
      <c r="S670" s="5" t="inlineStr">
        <is>
          <t>Stated build-up</t>
        </is>
      </c>
      <c r="T670" s="12" t="inlineStr">
        <is>
          <t>High</t>
        </is>
      </c>
      <c r="U670" s="8" t="n">
        <v>185.37</v>
      </c>
      <c r="V670" s="13">
        <f>IF(U670="","",ROUND(M670-U670,2))</f>
        <v/>
      </c>
      <c r="W670" s="5" t="n"/>
      <c r="X670" s="5" t="inlineStr">
        <is>
          <t>Labour + plant + material as published; reconciles to the published rate.</t>
        </is>
      </c>
    </row>
    <row r="671" ht="13" customHeight="1">
      <c r="A671" s="4" t="n">
        <v>1172</v>
      </c>
      <c r="B671" s="5" t="inlineStr">
        <is>
          <t>IMG_0081</t>
        </is>
      </c>
      <c r="C671" s="5" t="inlineStr">
        <is>
          <t>CLASS F: IN SITU CONCRETE</t>
        </is>
      </c>
      <c r="D671" s="5" t="inlineStr">
        <is>
          <t>03 STANDARDISED PRESCRIBED CONCRETE</t>
        </is>
      </c>
      <c r="E671" s="5" t="inlineStr">
        <is>
          <t>Prescribed mix; cement to BS EN 197-1; Grade C50</t>
        </is>
      </c>
      <c r="F671" s="5" t="inlineStr">
        <is>
          <t>10 mm aggregate</t>
        </is>
      </c>
      <c r="G671" s="6" t="inlineStr">
        <is>
          <t>m3</t>
        </is>
      </c>
      <c r="H671" s="7" t="n"/>
      <c r="I671" s="8" t="n">
        <v>0</v>
      </c>
      <c r="J671" s="8" t="n">
        <v>0</v>
      </c>
      <c r="K671" s="8" t="n">
        <v>191.95</v>
      </c>
      <c r="L671" s="8" t="n">
        <v>0</v>
      </c>
      <c r="M671" s="9">
        <f>ROUND(SUM(I671:L671),2)</f>
        <v/>
      </c>
      <c r="N671" s="10">
        <f>ROUND(I671*'Irish Basis'!$C$6*'Irish Basis'!$C$5,2)</f>
        <v/>
      </c>
      <c r="O671" s="10">
        <f>ROUND(J671*'Irish Basis'!$C$7*'Irish Basis'!$C$5,2)</f>
        <v/>
      </c>
      <c r="P671" s="10">
        <f>ROUND(K671*'Irish Basis'!$C$8*'Irish Basis'!$C$5,2)</f>
        <v/>
      </c>
      <c r="Q671" s="10">
        <f>ROUND(L671*'Irish Basis'!$C$12*'Irish Basis'!$C$5,2)</f>
        <v/>
      </c>
      <c r="R671" s="11">
        <f>ROUND(SUM(N671:Q671),2)</f>
        <v/>
      </c>
      <c r="S671" s="5" t="inlineStr">
        <is>
          <t>Stated build-up</t>
        </is>
      </c>
      <c r="T671" s="12" t="inlineStr">
        <is>
          <t>High</t>
        </is>
      </c>
      <c r="U671" s="8" t="n">
        <v>191.95</v>
      </c>
      <c r="V671" s="13">
        <f>IF(U671="","",ROUND(M671-U671,2))</f>
        <v/>
      </c>
      <c r="W671" s="5" t="n"/>
      <c r="X671" s="5" t="inlineStr">
        <is>
          <t>Labour + plant + material as published; reconciles to the published rate.</t>
        </is>
      </c>
    </row>
    <row r="672" ht="13" customHeight="1">
      <c r="A672" s="4" t="n">
        <v>1174</v>
      </c>
      <c r="B672" s="5" t="inlineStr">
        <is>
          <t>IMG_0082</t>
        </is>
      </c>
      <c r="C672" s="5" t="inlineStr">
        <is>
          <t>CLASS F: IN SITU CONCRETE</t>
        </is>
      </c>
      <c r="D672" s="5" t="inlineStr">
        <is>
          <t>03 STANDARDISED PRESCRIBED CONCRETE</t>
        </is>
      </c>
      <c r="E672" s="5" t="inlineStr">
        <is>
          <t>Prescribed mix; cement to BS EN 197-1; Grade C50 (continued)</t>
        </is>
      </c>
      <c r="F672" s="5" t="inlineStr">
        <is>
          <t>20 mm aggregate</t>
        </is>
      </c>
      <c r="G672" s="6" t="inlineStr">
        <is>
          <t>m3</t>
        </is>
      </c>
      <c r="H672" s="7" t="n"/>
      <c r="I672" s="8" t="n">
        <v>0</v>
      </c>
      <c r="J672" s="8" t="n">
        <v>0</v>
      </c>
      <c r="K672" s="8" t="n">
        <v>189.06</v>
      </c>
      <c r="L672" s="8" t="n">
        <v>0</v>
      </c>
      <c r="M672" s="9">
        <f>ROUND(SUM(I672:L672),2)</f>
        <v/>
      </c>
      <c r="N672" s="10">
        <f>ROUND(I672*'Irish Basis'!$C$6*'Irish Basis'!$C$5,2)</f>
        <v/>
      </c>
      <c r="O672" s="10">
        <f>ROUND(J672*'Irish Basis'!$C$7*'Irish Basis'!$C$5,2)</f>
        <v/>
      </c>
      <c r="P672" s="10">
        <f>ROUND(K672*'Irish Basis'!$C$8*'Irish Basis'!$C$5,2)</f>
        <v/>
      </c>
      <c r="Q672" s="10">
        <f>ROUND(L672*'Irish Basis'!$C$12*'Irish Basis'!$C$5,2)</f>
        <v/>
      </c>
      <c r="R672" s="11">
        <f>ROUND(SUM(N672:Q672),2)</f>
        <v/>
      </c>
      <c r="S672" s="5" t="inlineStr">
        <is>
          <t>Stated build-up</t>
        </is>
      </c>
      <c r="T672" s="12" t="inlineStr">
        <is>
          <t>High</t>
        </is>
      </c>
      <c r="U672" s="8" t="n">
        <v>189.06</v>
      </c>
      <c r="V672" s="13">
        <f>IF(U672="","",ROUND(M672-U672,2))</f>
        <v/>
      </c>
      <c r="W672" s="5" t="n"/>
      <c r="X672" s="5" t="inlineStr">
        <is>
          <t>Labour + plant + material as published; reconciles to the published rate.</t>
        </is>
      </c>
    </row>
    <row r="673" ht="13" customHeight="1">
      <c r="A673" s="4" t="n">
        <v>1176</v>
      </c>
      <c r="B673" s="5" t="inlineStr">
        <is>
          <t>IMG_0082</t>
        </is>
      </c>
      <c r="C673" s="5" t="inlineStr">
        <is>
          <t>CLASS F: IN SITU CONCRETE</t>
        </is>
      </c>
      <c r="D673" s="5" t="inlineStr">
        <is>
          <t>03 STANDARDISED PRESCRIBED CONCRETE</t>
        </is>
      </c>
      <c r="E673" s="5" t="inlineStr">
        <is>
          <t>Prescribed mix; cement to BS EN 197-1; Grade C60</t>
        </is>
      </c>
      <c r="F673" s="5" t="inlineStr">
        <is>
          <t>10 mm aggregate</t>
        </is>
      </c>
      <c r="G673" s="6" t="inlineStr">
        <is>
          <t>m3</t>
        </is>
      </c>
      <c r="H673" s="7" t="n"/>
      <c r="I673" s="8" t="n">
        <v>0</v>
      </c>
      <c r="J673" s="8" t="n">
        <v>0</v>
      </c>
      <c r="K673" s="8" t="n">
        <v>195.81</v>
      </c>
      <c r="L673" s="8" t="n">
        <v>0</v>
      </c>
      <c r="M673" s="9">
        <f>ROUND(SUM(I673:L673),2)</f>
        <v/>
      </c>
      <c r="N673" s="10">
        <f>ROUND(I673*'Irish Basis'!$C$6*'Irish Basis'!$C$5,2)</f>
        <v/>
      </c>
      <c r="O673" s="10">
        <f>ROUND(J673*'Irish Basis'!$C$7*'Irish Basis'!$C$5,2)</f>
        <v/>
      </c>
      <c r="P673" s="10">
        <f>ROUND(K673*'Irish Basis'!$C$8*'Irish Basis'!$C$5,2)</f>
        <v/>
      </c>
      <c r="Q673" s="10">
        <f>ROUND(L673*'Irish Basis'!$C$12*'Irish Basis'!$C$5,2)</f>
        <v/>
      </c>
      <c r="R673" s="11">
        <f>ROUND(SUM(N673:Q673),2)</f>
        <v/>
      </c>
      <c r="S673" s="5" t="inlineStr">
        <is>
          <t>Stated build-up</t>
        </is>
      </c>
      <c r="T673" s="12" t="inlineStr">
        <is>
          <t>High</t>
        </is>
      </c>
      <c r="U673" s="8" t="n">
        <v>195.81</v>
      </c>
      <c r="V673" s="13">
        <f>IF(U673="","",ROUND(M673-U673,2))</f>
        <v/>
      </c>
      <c r="W673" s="5" t="n"/>
      <c r="X673" s="5" t="inlineStr">
        <is>
          <t>Labour + plant + material as published; reconciles to the published rate.</t>
        </is>
      </c>
    </row>
    <row r="674" ht="13" customHeight="1">
      <c r="A674" s="4" t="n">
        <v>1177</v>
      </c>
      <c r="B674" s="5" t="inlineStr">
        <is>
          <t>IMG_0082</t>
        </is>
      </c>
      <c r="C674" s="5" t="inlineStr">
        <is>
          <t>CLASS F: IN SITU CONCRETE</t>
        </is>
      </c>
      <c r="D674" s="5" t="inlineStr">
        <is>
          <t>03 STANDARDISED PRESCRIBED CONCRETE</t>
        </is>
      </c>
      <c r="E674" s="5" t="inlineStr">
        <is>
          <t>Prescribed mix; cement to BS EN 197-1; Grade C60</t>
        </is>
      </c>
      <c r="F674" s="5" t="inlineStr">
        <is>
          <t>20 mm aggregate</t>
        </is>
      </c>
      <c r="G674" s="6" t="inlineStr">
        <is>
          <t>m3</t>
        </is>
      </c>
      <c r="H674" s="7" t="n"/>
      <c r="I674" s="8" t="n">
        <v>0</v>
      </c>
      <c r="J674" s="8" t="n">
        <v>0</v>
      </c>
      <c r="K674" s="8" t="n">
        <v>192.86</v>
      </c>
      <c r="L674" s="8" t="n">
        <v>0</v>
      </c>
      <c r="M674" s="9">
        <f>ROUND(SUM(I674:L674),2)</f>
        <v/>
      </c>
      <c r="N674" s="10">
        <f>ROUND(I674*'Irish Basis'!$C$6*'Irish Basis'!$C$5,2)</f>
        <v/>
      </c>
      <c r="O674" s="10">
        <f>ROUND(J674*'Irish Basis'!$C$7*'Irish Basis'!$C$5,2)</f>
        <v/>
      </c>
      <c r="P674" s="10">
        <f>ROUND(K674*'Irish Basis'!$C$8*'Irish Basis'!$C$5,2)</f>
        <v/>
      </c>
      <c r="Q674" s="10">
        <f>ROUND(L674*'Irish Basis'!$C$12*'Irish Basis'!$C$5,2)</f>
        <v/>
      </c>
      <c r="R674" s="11">
        <f>ROUND(SUM(N674:Q674),2)</f>
        <v/>
      </c>
      <c r="S674" s="5" t="inlineStr">
        <is>
          <t>Stated build-up</t>
        </is>
      </c>
      <c r="T674" s="12" t="inlineStr">
        <is>
          <t>High</t>
        </is>
      </c>
      <c r="U674" s="8" t="n">
        <v>192.86</v>
      </c>
      <c r="V674" s="13">
        <f>IF(U674="","",ROUND(M674-U674,2))</f>
        <v/>
      </c>
      <c r="W674" s="5" t="n"/>
      <c r="X674" s="5" t="inlineStr">
        <is>
          <t>Labour + plant + material as published; reconciles to the published rate.</t>
        </is>
      </c>
    </row>
    <row r="675" ht="13" customHeight="1">
      <c r="A675" s="4" t="n">
        <v>1179</v>
      </c>
      <c r="B675" s="5" t="inlineStr">
        <is>
          <t>IMG_0082</t>
        </is>
      </c>
      <c r="C675" s="5" t="inlineStr">
        <is>
          <t>CLASS F: IN SITU CONCRETE</t>
        </is>
      </c>
      <c r="D675" s="5" t="inlineStr">
        <is>
          <t>03 STANDARDISED PRESCRIBED CONCRETE</t>
        </is>
      </c>
      <c r="E675" s="5" t="inlineStr">
        <is>
          <t>Prescribed mix; sulphate-resisting cement to BS 4027; Grade C7.5</t>
        </is>
      </c>
      <c r="F675" s="5" t="inlineStr">
        <is>
          <t>10 mm aggregate</t>
        </is>
      </c>
      <c r="G675" s="6" t="inlineStr">
        <is>
          <t>m3</t>
        </is>
      </c>
      <c r="H675" s="7" t="n"/>
      <c r="I675" s="8" t="n">
        <v>0</v>
      </c>
      <c r="J675" s="8" t="n">
        <v>0</v>
      </c>
      <c r="K675" s="8" t="n">
        <v>162.17</v>
      </c>
      <c r="L675" s="8" t="n">
        <v>0</v>
      </c>
      <c r="M675" s="9">
        <f>ROUND(SUM(I675:L675),2)</f>
        <v/>
      </c>
      <c r="N675" s="10">
        <f>ROUND(I675*'Irish Basis'!$C$6*'Irish Basis'!$C$5,2)</f>
        <v/>
      </c>
      <c r="O675" s="10">
        <f>ROUND(J675*'Irish Basis'!$C$7*'Irish Basis'!$C$5,2)</f>
        <v/>
      </c>
      <c r="P675" s="10">
        <f>ROUND(K675*'Irish Basis'!$C$8*'Irish Basis'!$C$5,2)</f>
        <v/>
      </c>
      <c r="Q675" s="10">
        <f>ROUND(L675*'Irish Basis'!$C$12*'Irish Basis'!$C$5,2)</f>
        <v/>
      </c>
      <c r="R675" s="11">
        <f>ROUND(SUM(N675:Q675),2)</f>
        <v/>
      </c>
      <c r="S675" s="5" t="inlineStr">
        <is>
          <t>Stated build-up</t>
        </is>
      </c>
      <c r="T675" s="12" t="inlineStr">
        <is>
          <t>High</t>
        </is>
      </c>
      <c r="U675" s="8" t="n">
        <v>162.17</v>
      </c>
      <c r="V675" s="13">
        <f>IF(U675="","",ROUND(M675-U675,2))</f>
        <v/>
      </c>
      <c r="W675" s="5" t="n"/>
      <c r="X675" s="5" t="inlineStr">
        <is>
          <t>Labour + plant + material as published; reconciles to the published rate.</t>
        </is>
      </c>
    </row>
    <row r="676" ht="13" customHeight="1">
      <c r="A676" s="4" t="n">
        <v>1180</v>
      </c>
      <c r="B676" s="5" t="inlineStr">
        <is>
          <t>IMG_0082</t>
        </is>
      </c>
      <c r="C676" s="5" t="inlineStr">
        <is>
          <t>CLASS F: IN SITU CONCRETE</t>
        </is>
      </c>
      <c r="D676" s="5" t="inlineStr">
        <is>
          <t>03 STANDARDISED PRESCRIBED CONCRETE</t>
        </is>
      </c>
      <c r="E676" s="5" t="inlineStr">
        <is>
          <t>Prescribed mix; sulphate-resisting cement to BS 4027; Grade C7.5</t>
        </is>
      </c>
      <c r="F676" s="5" t="inlineStr">
        <is>
          <t>20 mm aggregate</t>
        </is>
      </c>
      <c r="G676" s="6" t="inlineStr">
        <is>
          <t>m3</t>
        </is>
      </c>
      <c r="H676" s="7" t="n"/>
      <c r="I676" s="8" t="n">
        <v>0</v>
      </c>
      <c r="J676" s="8" t="n">
        <v>0</v>
      </c>
      <c r="K676" s="8" t="n">
        <v>160.03</v>
      </c>
      <c r="L676" s="8" t="n">
        <v>0</v>
      </c>
      <c r="M676" s="9">
        <f>ROUND(SUM(I676:L676),2)</f>
        <v/>
      </c>
      <c r="N676" s="10">
        <f>ROUND(I676*'Irish Basis'!$C$6*'Irish Basis'!$C$5,2)</f>
        <v/>
      </c>
      <c r="O676" s="10">
        <f>ROUND(J676*'Irish Basis'!$C$7*'Irish Basis'!$C$5,2)</f>
        <v/>
      </c>
      <c r="P676" s="10">
        <f>ROUND(K676*'Irish Basis'!$C$8*'Irish Basis'!$C$5,2)</f>
        <v/>
      </c>
      <c r="Q676" s="10">
        <f>ROUND(L676*'Irish Basis'!$C$12*'Irish Basis'!$C$5,2)</f>
        <v/>
      </c>
      <c r="R676" s="11">
        <f>ROUND(SUM(N676:Q676),2)</f>
        <v/>
      </c>
      <c r="S676" s="5" t="inlineStr">
        <is>
          <t>Stated build-up</t>
        </is>
      </c>
      <c r="T676" s="12" t="inlineStr">
        <is>
          <t>High</t>
        </is>
      </c>
      <c r="U676" s="8" t="n">
        <v>160.03</v>
      </c>
      <c r="V676" s="13">
        <f>IF(U676="","",ROUND(M676-U676,2))</f>
        <v/>
      </c>
      <c r="W676" s="5" t="n"/>
      <c r="X676" s="5" t="inlineStr">
        <is>
          <t>Labour + plant + material as published; reconciles to the published rate.</t>
        </is>
      </c>
    </row>
    <row r="677" ht="13" customHeight="1">
      <c r="A677" s="4" t="n">
        <v>1181</v>
      </c>
      <c r="B677" s="5" t="inlineStr">
        <is>
          <t>IMG_0082</t>
        </is>
      </c>
      <c r="C677" s="5" t="inlineStr">
        <is>
          <t>CLASS F: IN SITU CONCRETE</t>
        </is>
      </c>
      <c r="D677" s="5" t="inlineStr">
        <is>
          <t>03 STANDARDISED PRESCRIBED CONCRETE</t>
        </is>
      </c>
      <c r="E677" s="5" t="inlineStr">
        <is>
          <t>Prescribed mix; sulphate-resisting cement to BS 4027; Grade C7.5</t>
        </is>
      </c>
      <c r="F677" s="5" t="inlineStr">
        <is>
          <t>40 mm aggregate</t>
        </is>
      </c>
      <c r="G677" s="6" t="inlineStr">
        <is>
          <t>m3</t>
        </is>
      </c>
      <c r="H677" s="7" t="n"/>
      <c r="I677" s="8" t="n">
        <v>0</v>
      </c>
      <c r="J677" s="8" t="n">
        <v>0</v>
      </c>
      <c r="K677" s="8" t="n">
        <v>157.92</v>
      </c>
      <c r="L677" s="8" t="n">
        <v>0</v>
      </c>
      <c r="M677" s="9">
        <f>ROUND(SUM(I677:L677),2)</f>
        <v/>
      </c>
      <c r="N677" s="10">
        <f>ROUND(I677*'Irish Basis'!$C$6*'Irish Basis'!$C$5,2)</f>
        <v/>
      </c>
      <c r="O677" s="10">
        <f>ROUND(J677*'Irish Basis'!$C$7*'Irish Basis'!$C$5,2)</f>
        <v/>
      </c>
      <c r="P677" s="10">
        <f>ROUND(K677*'Irish Basis'!$C$8*'Irish Basis'!$C$5,2)</f>
        <v/>
      </c>
      <c r="Q677" s="10">
        <f>ROUND(L677*'Irish Basis'!$C$12*'Irish Basis'!$C$5,2)</f>
        <v/>
      </c>
      <c r="R677" s="11">
        <f>ROUND(SUM(N677:Q677),2)</f>
        <v/>
      </c>
      <c r="S677" s="5" t="inlineStr">
        <is>
          <t>Stated build-up</t>
        </is>
      </c>
      <c r="T677" s="12" t="inlineStr">
        <is>
          <t>High</t>
        </is>
      </c>
      <c r="U677" s="8" t="n">
        <v>157.92</v>
      </c>
      <c r="V677" s="13">
        <f>IF(U677="","",ROUND(M677-U677,2))</f>
        <v/>
      </c>
      <c r="W677" s="5" t="n"/>
      <c r="X677" s="5" t="inlineStr">
        <is>
          <t>Labour + plant + material as published; reconciles to the published rate.</t>
        </is>
      </c>
    </row>
    <row r="678" ht="13" customHeight="1">
      <c r="A678" s="4" t="n">
        <v>1183</v>
      </c>
      <c r="B678" s="5" t="inlineStr">
        <is>
          <t>IMG_0082</t>
        </is>
      </c>
      <c r="C678" s="5" t="inlineStr">
        <is>
          <t>CLASS F: IN SITU CONCRETE</t>
        </is>
      </c>
      <c r="D678" s="5" t="inlineStr">
        <is>
          <t>03 STANDARDISED PRESCRIBED CONCRETE</t>
        </is>
      </c>
      <c r="E678" s="5" t="inlineStr">
        <is>
          <t>Prescribed mix; sulphate-resisting cement to BS 4027; Grade C10</t>
        </is>
      </c>
      <c r="F678" s="5" t="inlineStr">
        <is>
          <t>10 mm aggregate</t>
        </is>
      </c>
      <c r="G678" s="6" t="inlineStr">
        <is>
          <t>m3</t>
        </is>
      </c>
      <c r="H678" s="7" t="n"/>
      <c r="I678" s="8" t="n">
        <v>0</v>
      </c>
      <c r="J678" s="8" t="n">
        <v>0</v>
      </c>
      <c r="K678" s="8" t="n">
        <v>165.05</v>
      </c>
      <c r="L678" s="8" t="n">
        <v>0</v>
      </c>
      <c r="M678" s="9">
        <f>ROUND(SUM(I678:L678),2)</f>
        <v/>
      </c>
      <c r="N678" s="10">
        <f>ROUND(I678*'Irish Basis'!$C$6*'Irish Basis'!$C$5,2)</f>
        <v/>
      </c>
      <c r="O678" s="10">
        <f>ROUND(J678*'Irish Basis'!$C$7*'Irish Basis'!$C$5,2)</f>
        <v/>
      </c>
      <c r="P678" s="10">
        <f>ROUND(K678*'Irish Basis'!$C$8*'Irish Basis'!$C$5,2)</f>
        <v/>
      </c>
      <c r="Q678" s="10">
        <f>ROUND(L678*'Irish Basis'!$C$12*'Irish Basis'!$C$5,2)</f>
        <v/>
      </c>
      <c r="R678" s="11">
        <f>ROUND(SUM(N678:Q678),2)</f>
        <v/>
      </c>
      <c r="S678" s="5" t="inlineStr">
        <is>
          <t>Stated build-up</t>
        </is>
      </c>
      <c r="T678" s="12" t="inlineStr">
        <is>
          <t>High</t>
        </is>
      </c>
      <c r="U678" s="8" t="n">
        <v>165.05</v>
      </c>
      <c r="V678" s="13">
        <f>IF(U678="","",ROUND(M678-U678,2))</f>
        <v/>
      </c>
      <c r="W678" s="5" t="n"/>
      <c r="X678" s="5" t="inlineStr">
        <is>
          <t>Labour + plant + material as published; reconciles to the published rate.</t>
        </is>
      </c>
    </row>
    <row r="679" ht="13" customHeight="1">
      <c r="A679" s="4" t="n">
        <v>1184</v>
      </c>
      <c r="B679" s="5" t="inlineStr">
        <is>
          <t>IMG_0082</t>
        </is>
      </c>
      <c r="C679" s="5" t="inlineStr">
        <is>
          <t>CLASS F: IN SITU CONCRETE</t>
        </is>
      </c>
      <c r="D679" s="5" t="inlineStr">
        <is>
          <t>03 STANDARDISED PRESCRIBED CONCRETE</t>
        </is>
      </c>
      <c r="E679" s="5" t="inlineStr">
        <is>
          <t>Prescribed mix; sulphate-resisting cement to BS 4027; Grade C10</t>
        </is>
      </c>
      <c r="F679" s="5" t="inlineStr">
        <is>
          <t>20 mm aggregate</t>
        </is>
      </c>
      <c r="G679" s="6" t="inlineStr">
        <is>
          <t>m3</t>
        </is>
      </c>
      <c r="H679" s="7" t="n"/>
      <c r="I679" s="8" t="n">
        <v>0</v>
      </c>
      <c r="J679" s="8" t="n">
        <v>0</v>
      </c>
      <c r="K679" s="8" t="n">
        <v>162.83</v>
      </c>
      <c r="L679" s="8" t="n">
        <v>0</v>
      </c>
      <c r="M679" s="9">
        <f>ROUND(SUM(I679:L679),2)</f>
        <v/>
      </c>
      <c r="N679" s="10">
        <f>ROUND(I679*'Irish Basis'!$C$6*'Irish Basis'!$C$5,2)</f>
        <v/>
      </c>
      <c r="O679" s="10">
        <f>ROUND(J679*'Irish Basis'!$C$7*'Irish Basis'!$C$5,2)</f>
        <v/>
      </c>
      <c r="P679" s="10">
        <f>ROUND(K679*'Irish Basis'!$C$8*'Irish Basis'!$C$5,2)</f>
        <v/>
      </c>
      <c r="Q679" s="10">
        <f>ROUND(L679*'Irish Basis'!$C$12*'Irish Basis'!$C$5,2)</f>
        <v/>
      </c>
      <c r="R679" s="11">
        <f>ROUND(SUM(N679:Q679),2)</f>
        <v/>
      </c>
      <c r="S679" s="5" t="inlineStr">
        <is>
          <t>Stated build-up</t>
        </is>
      </c>
      <c r="T679" s="12" t="inlineStr">
        <is>
          <t>High</t>
        </is>
      </c>
      <c r="U679" s="8" t="n">
        <v>162.83</v>
      </c>
      <c r="V679" s="13">
        <f>IF(U679="","",ROUND(M679-U679,2))</f>
        <v/>
      </c>
      <c r="W679" s="5" t="n"/>
      <c r="X679" s="5" t="inlineStr">
        <is>
          <t>Labour + plant + material as published; reconciles to the published rate.</t>
        </is>
      </c>
    </row>
    <row r="680" ht="13" customHeight="1">
      <c r="A680" s="4" t="n">
        <v>1185</v>
      </c>
      <c r="B680" s="5" t="inlineStr">
        <is>
          <t>IMG_0082</t>
        </is>
      </c>
      <c r="C680" s="5" t="inlineStr">
        <is>
          <t>CLASS F: IN SITU CONCRETE</t>
        </is>
      </c>
      <c r="D680" s="5" t="inlineStr">
        <is>
          <t>03 STANDARDISED PRESCRIBED CONCRETE</t>
        </is>
      </c>
      <c r="E680" s="5" t="inlineStr">
        <is>
          <t>Prescribed mix; sulphate-resisting cement to BS 4027; Grade C10</t>
        </is>
      </c>
      <c r="F680" s="5" t="inlineStr">
        <is>
          <t>40 mm aggregate</t>
        </is>
      </c>
      <c r="G680" s="6" t="inlineStr">
        <is>
          <t>m3</t>
        </is>
      </c>
      <c r="H680" s="7" t="n"/>
      <c r="I680" s="8" t="n">
        <v>0</v>
      </c>
      <c r="J680" s="8" t="n">
        <v>0</v>
      </c>
      <c r="K680" s="8" t="n">
        <v>160.74</v>
      </c>
      <c r="L680" s="8" t="n">
        <v>0</v>
      </c>
      <c r="M680" s="9">
        <f>ROUND(SUM(I680:L680),2)</f>
        <v/>
      </c>
      <c r="N680" s="10">
        <f>ROUND(I680*'Irish Basis'!$C$6*'Irish Basis'!$C$5,2)</f>
        <v/>
      </c>
      <c r="O680" s="10">
        <f>ROUND(J680*'Irish Basis'!$C$7*'Irish Basis'!$C$5,2)</f>
        <v/>
      </c>
      <c r="P680" s="10">
        <f>ROUND(K680*'Irish Basis'!$C$8*'Irish Basis'!$C$5,2)</f>
        <v/>
      </c>
      <c r="Q680" s="10">
        <f>ROUND(L680*'Irish Basis'!$C$12*'Irish Basis'!$C$5,2)</f>
        <v/>
      </c>
      <c r="R680" s="11">
        <f>ROUND(SUM(N680:Q680),2)</f>
        <v/>
      </c>
      <c r="S680" s="5" t="inlineStr">
        <is>
          <t>Stated build-up</t>
        </is>
      </c>
      <c r="T680" s="12" t="inlineStr">
        <is>
          <t>High</t>
        </is>
      </c>
      <c r="U680" s="8" t="n">
        <v>160.74</v>
      </c>
      <c r="V680" s="13">
        <f>IF(U680="","",ROUND(M680-U680,2))</f>
        <v/>
      </c>
      <c r="W680" s="5" t="n"/>
      <c r="X680" s="5" t="inlineStr">
        <is>
          <t>Labour + plant + material as published; reconciles to the published rate.</t>
        </is>
      </c>
    </row>
    <row r="681" ht="13" customHeight="1">
      <c r="A681" s="4" t="n">
        <v>1187</v>
      </c>
      <c r="B681" s="5" t="inlineStr">
        <is>
          <t>IMG_0082</t>
        </is>
      </c>
      <c r="C681" s="5" t="inlineStr">
        <is>
          <t>CLASS F: IN SITU CONCRETE</t>
        </is>
      </c>
      <c r="D681" s="5" t="inlineStr">
        <is>
          <t>03 STANDARDISED PRESCRIBED CONCRETE</t>
        </is>
      </c>
      <c r="E681" s="5" t="inlineStr">
        <is>
          <t>Prescribed mix; sulphate-resisting cement to BS 4027; Grade C15</t>
        </is>
      </c>
      <c r="F681" s="5" t="inlineStr">
        <is>
          <t>10 mm aggregate</t>
        </is>
      </c>
      <c r="G681" s="6" t="inlineStr">
        <is>
          <t>m3</t>
        </is>
      </c>
      <c r="H681" s="7" t="n"/>
      <c r="I681" s="8" t="n">
        <v>0</v>
      </c>
      <c r="J681" s="8" t="n">
        <v>0</v>
      </c>
      <c r="K681" s="8" t="n">
        <v>166.17</v>
      </c>
      <c r="L681" s="8" t="n">
        <v>0</v>
      </c>
      <c r="M681" s="9">
        <f>ROUND(SUM(I681:L681),2)</f>
        <v/>
      </c>
      <c r="N681" s="10">
        <f>ROUND(I681*'Irish Basis'!$C$6*'Irish Basis'!$C$5,2)</f>
        <v/>
      </c>
      <c r="O681" s="10">
        <f>ROUND(J681*'Irish Basis'!$C$7*'Irish Basis'!$C$5,2)</f>
        <v/>
      </c>
      <c r="P681" s="10">
        <f>ROUND(K681*'Irish Basis'!$C$8*'Irish Basis'!$C$5,2)</f>
        <v/>
      </c>
      <c r="Q681" s="10">
        <f>ROUND(L681*'Irish Basis'!$C$12*'Irish Basis'!$C$5,2)</f>
        <v/>
      </c>
      <c r="R681" s="11">
        <f>ROUND(SUM(N681:Q681),2)</f>
        <v/>
      </c>
      <c r="S681" s="5" t="inlineStr">
        <is>
          <t>Stated build-up</t>
        </is>
      </c>
      <c r="T681" s="12" t="inlineStr">
        <is>
          <t>High</t>
        </is>
      </c>
      <c r="U681" s="8" t="n">
        <v>166.17</v>
      </c>
      <c r="V681" s="13">
        <f>IF(U681="","",ROUND(M681-U681,2))</f>
        <v/>
      </c>
      <c r="W681" s="5" t="n"/>
      <c r="X681" s="5" t="inlineStr">
        <is>
          <t>Labour + plant + material as published; reconciles to the published rate.</t>
        </is>
      </c>
    </row>
    <row r="682" ht="13" customHeight="1">
      <c r="A682" s="4" t="n">
        <v>1188</v>
      </c>
      <c r="B682" s="5" t="inlineStr">
        <is>
          <t>IMG_0082</t>
        </is>
      </c>
      <c r="C682" s="5" t="inlineStr">
        <is>
          <t>CLASS F: IN SITU CONCRETE</t>
        </is>
      </c>
      <c r="D682" s="5" t="inlineStr">
        <is>
          <t>03 STANDARDISED PRESCRIBED CONCRETE</t>
        </is>
      </c>
      <c r="E682" s="5" t="inlineStr">
        <is>
          <t>Prescribed mix; sulphate-resisting cement to BS 4027; Grade C15</t>
        </is>
      </c>
      <c r="F682" s="5" t="inlineStr">
        <is>
          <t>20 mm aggregate</t>
        </is>
      </c>
      <c r="G682" s="6" t="inlineStr">
        <is>
          <t>m3</t>
        </is>
      </c>
      <c r="H682" s="7" t="n"/>
      <c r="I682" s="8" t="n">
        <v>0</v>
      </c>
      <c r="J682" s="8" t="n">
        <v>0</v>
      </c>
      <c r="K682" s="8" t="n">
        <v>168.76</v>
      </c>
      <c r="L682" s="8" t="n">
        <v>0</v>
      </c>
      <c r="M682" s="9">
        <f>ROUND(SUM(I682:L682),2)</f>
        <v/>
      </c>
      <c r="N682" s="10">
        <f>ROUND(I682*'Irish Basis'!$C$6*'Irish Basis'!$C$5,2)</f>
        <v/>
      </c>
      <c r="O682" s="10">
        <f>ROUND(J682*'Irish Basis'!$C$7*'Irish Basis'!$C$5,2)</f>
        <v/>
      </c>
      <c r="P682" s="10">
        <f>ROUND(K682*'Irish Basis'!$C$8*'Irish Basis'!$C$5,2)</f>
        <v/>
      </c>
      <c r="Q682" s="10">
        <f>ROUND(L682*'Irish Basis'!$C$12*'Irish Basis'!$C$5,2)</f>
        <v/>
      </c>
      <c r="R682" s="11">
        <f>ROUND(SUM(N682:Q682),2)</f>
        <v/>
      </c>
      <c r="S682" s="5" t="inlineStr">
        <is>
          <t>Stated build-up</t>
        </is>
      </c>
      <c r="T682" s="12" t="inlineStr">
        <is>
          <t>High</t>
        </is>
      </c>
      <c r="U682" s="8" t="n">
        <v>168.76</v>
      </c>
      <c r="V682" s="13">
        <f>IF(U682="","",ROUND(M682-U682,2))</f>
        <v/>
      </c>
      <c r="W682" s="5" t="n"/>
      <c r="X682" s="5" t="inlineStr">
        <is>
          <t>Labour + plant + material as published; reconciles to the published rate.</t>
        </is>
      </c>
    </row>
    <row r="683" ht="13" customHeight="1">
      <c r="A683" s="4" t="n">
        <v>1189</v>
      </c>
      <c r="B683" s="5" t="inlineStr">
        <is>
          <t>IMG_0082</t>
        </is>
      </c>
      <c r="C683" s="5" t="inlineStr">
        <is>
          <t>CLASS F: IN SITU CONCRETE</t>
        </is>
      </c>
      <c r="D683" s="5" t="inlineStr">
        <is>
          <t>03 STANDARDISED PRESCRIBED CONCRETE</t>
        </is>
      </c>
      <c r="E683" s="5" t="inlineStr">
        <is>
          <t>Prescribed mix; sulphate-resisting cement to BS 4027; Grade C15</t>
        </is>
      </c>
      <c r="F683" s="5" t="inlineStr">
        <is>
          <t>40 mm aggregate</t>
        </is>
      </c>
      <c r="G683" s="6" t="inlineStr">
        <is>
          <t>m3</t>
        </is>
      </c>
      <c r="H683" s="7" t="n"/>
      <c r="I683" s="8" t="n">
        <v>0</v>
      </c>
      <c r="J683" s="8" t="n">
        <v>0</v>
      </c>
      <c r="K683" s="8" t="n">
        <v>161.82</v>
      </c>
      <c r="L683" s="8" t="n">
        <v>0</v>
      </c>
      <c r="M683" s="9">
        <f>ROUND(SUM(I683:L683),2)</f>
        <v/>
      </c>
      <c r="N683" s="10">
        <f>ROUND(I683*'Irish Basis'!$C$6*'Irish Basis'!$C$5,2)</f>
        <v/>
      </c>
      <c r="O683" s="10">
        <f>ROUND(J683*'Irish Basis'!$C$7*'Irish Basis'!$C$5,2)</f>
        <v/>
      </c>
      <c r="P683" s="10">
        <f>ROUND(K683*'Irish Basis'!$C$8*'Irish Basis'!$C$5,2)</f>
        <v/>
      </c>
      <c r="Q683" s="10">
        <f>ROUND(L683*'Irish Basis'!$C$12*'Irish Basis'!$C$5,2)</f>
        <v/>
      </c>
      <c r="R683" s="11">
        <f>ROUND(SUM(N683:Q683),2)</f>
        <v/>
      </c>
      <c r="S683" s="5" t="inlineStr">
        <is>
          <t>Stated build-up</t>
        </is>
      </c>
      <c r="T683" s="12" t="inlineStr">
        <is>
          <t>High</t>
        </is>
      </c>
      <c r="U683" s="8" t="n">
        <v>161.82</v>
      </c>
      <c r="V683" s="13">
        <f>IF(U683="","",ROUND(M683-U683,2))</f>
        <v/>
      </c>
      <c r="W683" s="5" t="n"/>
      <c r="X683" s="5" t="inlineStr">
        <is>
          <t>Labour + plant + material as published; reconciles to the published rate.</t>
        </is>
      </c>
    </row>
    <row r="684" ht="13" customHeight="1">
      <c r="A684" s="4" t="n">
        <v>1191</v>
      </c>
      <c r="B684" s="5" t="inlineStr">
        <is>
          <t>IMG_0082</t>
        </is>
      </c>
      <c r="C684" s="5" t="inlineStr">
        <is>
          <t>CLASS F: IN SITU CONCRETE</t>
        </is>
      </c>
      <c r="D684" s="5" t="inlineStr">
        <is>
          <t>03 STANDARDISED PRESCRIBED CONCRETE</t>
        </is>
      </c>
      <c r="E684" s="5" t="inlineStr">
        <is>
          <t>Prescribed mix; sulphate-resisting cement to BS 4027; Grade C20</t>
        </is>
      </c>
      <c r="F684" s="5" t="inlineStr">
        <is>
          <t>10 mm aggregate</t>
        </is>
      </c>
      <c r="G684" s="6" t="inlineStr">
        <is>
          <t>m3</t>
        </is>
      </c>
      <c r="H684" s="7" t="n"/>
      <c r="I684" s="8" t="n">
        <v>0</v>
      </c>
      <c r="J684" s="8" t="n">
        <v>0</v>
      </c>
      <c r="K684" s="8" t="n">
        <v>173.09</v>
      </c>
      <c r="L684" s="8" t="n">
        <v>0</v>
      </c>
      <c r="M684" s="9">
        <f>ROUND(SUM(I684:L684),2)</f>
        <v/>
      </c>
      <c r="N684" s="10">
        <f>ROUND(I684*'Irish Basis'!$C$6*'Irish Basis'!$C$5,2)</f>
        <v/>
      </c>
      <c r="O684" s="10">
        <f>ROUND(J684*'Irish Basis'!$C$7*'Irish Basis'!$C$5,2)</f>
        <v/>
      </c>
      <c r="P684" s="10">
        <f>ROUND(K684*'Irish Basis'!$C$8*'Irish Basis'!$C$5,2)</f>
        <v/>
      </c>
      <c r="Q684" s="10">
        <f>ROUND(L684*'Irish Basis'!$C$12*'Irish Basis'!$C$5,2)</f>
        <v/>
      </c>
      <c r="R684" s="11">
        <f>ROUND(SUM(N684:Q684),2)</f>
        <v/>
      </c>
      <c r="S684" s="5" t="inlineStr">
        <is>
          <t>Stated build-up</t>
        </is>
      </c>
      <c r="T684" s="12" t="inlineStr">
        <is>
          <t>High</t>
        </is>
      </c>
      <c r="U684" s="8" t="n">
        <v>173.09</v>
      </c>
      <c r="V684" s="13">
        <f>IF(U684="","",ROUND(M684-U684,2))</f>
        <v/>
      </c>
      <c r="W684" s="5" t="n"/>
      <c r="X684" s="5" t="inlineStr">
        <is>
          <t>Labour + plant + material as published; reconciles to the published rate.</t>
        </is>
      </c>
    </row>
    <row r="685" ht="13" customHeight="1">
      <c r="A685" s="4" t="n">
        <v>1192</v>
      </c>
      <c r="B685" s="5" t="inlineStr">
        <is>
          <t>IMG_0082</t>
        </is>
      </c>
      <c r="C685" s="5" t="inlineStr">
        <is>
          <t>CLASS F: IN SITU CONCRETE</t>
        </is>
      </c>
      <c r="D685" s="5" t="inlineStr">
        <is>
          <t>03 STANDARDISED PRESCRIBED CONCRETE</t>
        </is>
      </c>
      <c r="E685" s="5" t="inlineStr">
        <is>
          <t>Prescribed mix; sulphate-resisting cement to BS 4027; Grade C20</t>
        </is>
      </c>
      <c r="F685" s="5" t="inlineStr">
        <is>
          <t>20 mm aggregate</t>
        </is>
      </c>
      <c r="G685" s="6" t="inlineStr">
        <is>
          <t>m3</t>
        </is>
      </c>
      <c r="H685" s="7" t="n"/>
      <c r="I685" s="8" t="n">
        <v>0</v>
      </c>
      <c r="J685" s="8" t="n">
        <v>0</v>
      </c>
      <c r="K685" s="8" t="n">
        <v>170.79</v>
      </c>
      <c r="L685" s="8" t="n">
        <v>0</v>
      </c>
      <c r="M685" s="9">
        <f>ROUND(SUM(I685:L685),2)</f>
        <v/>
      </c>
      <c r="N685" s="10">
        <f>ROUND(I685*'Irish Basis'!$C$6*'Irish Basis'!$C$5,2)</f>
        <v/>
      </c>
      <c r="O685" s="10">
        <f>ROUND(J685*'Irish Basis'!$C$7*'Irish Basis'!$C$5,2)</f>
        <v/>
      </c>
      <c r="P685" s="10">
        <f>ROUND(K685*'Irish Basis'!$C$8*'Irish Basis'!$C$5,2)</f>
        <v/>
      </c>
      <c r="Q685" s="10">
        <f>ROUND(L685*'Irish Basis'!$C$12*'Irish Basis'!$C$5,2)</f>
        <v/>
      </c>
      <c r="R685" s="11">
        <f>ROUND(SUM(N685:Q685),2)</f>
        <v/>
      </c>
      <c r="S685" s="5" t="inlineStr">
        <is>
          <t>Stated build-up</t>
        </is>
      </c>
      <c r="T685" s="12" t="inlineStr">
        <is>
          <t>High</t>
        </is>
      </c>
      <c r="U685" s="8" t="n">
        <v>170.79</v>
      </c>
      <c r="V685" s="13">
        <f>IF(U685="","",ROUND(M685-U685,2))</f>
        <v/>
      </c>
      <c r="W685" s="5" t="n"/>
      <c r="X685" s="5" t="inlineStr">
        <is>
          <t>Labour + plant + material as published; reconciles to the published rate.</t>
        </is>
      </c>
    </row>
    <row r="686" ht="13" customHeight="1">
      <c r="A686" s="4" t="n">
        <v>1193</v>
      </c>
      <c r="B686" s="5" t="inlineStr">
        <is>
          <t>IMG_0082</t>
        </is>
      </c>
      <c r="C686" s="5" t="inlineStr">
        <is>
          <t>CLASS F: IN SITU CONCRETE</t>
        </is>
      </c>
      <c r="D686" s="5" t="inlineStr">
        <is>
          <t>03 STANDARDISED PRESCRIBED CONCRETE</t>
        </is>
      </c>
      <c r="E686" s="5" t="inlineStr">
        <is>
          <t>Prescribed mix; sulphate-resisting cement to BS 4027; Grade C20</t>
        </is>
      </c>
      <c r="F686" s="5" t="inlineStr">
        <is>
          <t>40 mm aggregate</t>
        </is>
      </c>
      <c r="G686" s="6" t="inlineStr">
        <is>
          <t>m3</t>
        </is>
      </c>
      <c r="H686" s="7" t="n"/>
      <c r="I686" s="8" t="n">
        <v>0</v>
      </c>
      <c r="J686" s="8" t="n">
        <v>0</v>
      </c>
      <c r="K686" s="8" t="n">
        <v>168.56</v>
      </c>
      <c r="L686" s="8" t="n">
        <v>0</v>
      </c>
      <c r="M686" s="9">
        <f>ROUND(SUM(I686:L686),2)</f>
        <v/>
      </c>
      <c r="N686" s="10">
        <f>ROUND(I686*'Irish Basis'!$C$6*'Irish Basis'!$C$5,2)</f>
        <v/>
      </c>
      <c r="O686" s="10">
        <f>ROUND(J686*'Irish Basis'!$C$7*'Irish Basis'!$C$5,2)</f>
        <v/>
      </c>
      <c r="P686" s="10">
        <f>ROUND(K686*'Irish Basis'!$C$8*'Irish Basis'!$C$5,2)</f>
        <v/>
      </c>
      <c r="Q686" s="10">
        <f>ROUND(L686*'Irish Basis'!$C$12*'Irish Basis'!$C$5,2)</f>
        <v/>
      </c>
      <c r="R686" s="11">
        <f>ROUND(SUM(N686:Q686),2)</f>
        <v/>
      </c>
      <c r="S686" s="5" t="inlineStr">
        <is>
          <t>Stated build-up</t>
        </is>
      </c>
      <c r="T686" s="12" t="inlineStr">
        <is>
          <t>High</t>
        </is>
      </c>
      <c r="U686" s="8" t="n">
        <v>168.56</v>
      </c>
      <c r="V686" s="13">
        <f>IF(U686="","",ROUND(M686-U686,2))</f>
        <v/>
      </c>
      <c r="W686" s="5" t="n"/>
      <c r="X686" s="5" t="inlineStr">
        <is>
          <t>Labour + plant + material as published; reconciles to the published rate.</t>
        </is>
      </c>
    </row>
    <row r="687" ht="13" customHeight="1">
      <c r="A687" s="4" t="n">
        <v>1195</v>
      </c>
      <c r="B687" s="5" t="inlineStr">
        <is>
          <t>IMG_0082</t>
        </is>
      </c>
      <c r="C687" s="5" t="inlineStr">
        <is>
          <t>CLASS F: IN SITU CONCRETE</t>
        </is>
      </c>
      <c r="D687" s="5" t="inlineStr">
        <is>
          <t>03 STANDARDISED PRESCRIBED CONCRETE</t>
        </is>
      </c>
      <c r="E687" s="5" t="inlineStr">
        <is>
          <t>Prescribed mix; sulphate-resisting cement to BS 4027; Grade C25</t>
        </is>
      </c>
      <c r="F687" s="5" t="inlineStr">
        <is>
          <t>10 mm aggregate</t>
        </is>
      </c>
      <c r="G687" s="6" t="inlineStr">
        <is>
          <t>m3</t>
        </is>
      </c>
      <c r="H687" s="7" t="n"/>
      <c r="I687" s="8" t="n">
        <v>0</v>
      </c>
      <c r="J687" s="8" t="n">
        <v>0</v>
      </c>
      <c r="K687" s="8" t="n">
        <v>176.13</v>
      </c>
      <c r="L687" s="8" t="n">
        <v>0</v>
      </c>
      <c r="M687" s="9">
        <f>ROUND(SUM(I687:L687),2)</f>
        <v/>
      </c>
      <c r="N687" s="10">
        <f>ROUND(I687*'Irish Basis'!$C$6*'Irish Basis'!$C$5,2)</f>
        <v/>
      </c>
      <c r="O687" s="10">
        <f>ROUND(J687*'Irish Basis'!$C$7*'Irish Basis'!$C$5,2)</f>
        <v/>
      </c>
      <c r="P687" s="10">
        <f>ROUND(K687*'Irish Basis'!$C$8*'Irish Basis'!$C$5,2)</f>
        <v/>
      </c>
      <c r="Q687" s="10">
        <f>ROUND(L687*'Irish Basis'!$C$12*'Irish Basis'!$C$5,2)</f>
        <v/>
      </c>
      <c r="R687" s="11">
        <f>ROUND(SUM(N687:Q687),2)</f>
        <v/>
      </c>
      <c r="S687" s="5" t="inlineStr">
        <is>
          <t>Stated build-up</t>
        </is>
      </c>
      <c r="T687" s="12" t="inlineStr">
        <is>
          <t>High</t>
        </is>
      </c>
      <c r="U687" s="8" t="n">
        <v>176.13</v>
      </c>
      <c r="V687" s="13">
        <f>IF(U687="","",ROUND(M687-U687,2))</f>
        <v/>
      </c>
      <c r="W687" s="5" t="n"/>
      <c r="X687" s="5" t="inlineStr">
        <is>
          <t>Labour + plant + material as published; reconciles to the published rate.</t>
        </is>
      </c>
    </row>
    <row r="688" ht="13" customHeight="1">
      <c r="A688" s="4" t="n">
        <v>1196</v>
      </c>
      <c r="B688" s="5" t="inlineStr">
        <is>
          <t>IMG_0082</t>
        </is>
      </c>
      <c r="C688" s="5" t="inlineStr">
        <is>
          <t>CLASS F: IN SITU CONCRETE</t>
        </is>
      </c>
      <c r="D688" s="5" t="inlineStr">
        <is>
          <t>03 STANDARDISED PRESCRIBED CONCRETE</t>
        </is>
      </c>
      <c r="E688" s="5" t="inlineStr">
        <is>
          <t>Prescribed mix; sulphate-resisting cement to BS 4027; Grade C25</t>
        </is>
      </c>
      <c r="F688" s="5" t="inlineStr">
        <is>
          <t>20 mm aggregate</t>
        </is>
      </c>
      <c r="G688" s="6" t="inlineStr">
        <is>
          <t>m3</t>
        </is>
      </c>
      <c r="H688" s="7" t="n"/>
      <c r="I688" s="8" t="n">
        <v>0</v>
      </c>
      <c r="J688" s="8" t="n">
        <v>0</v>
      </c>
      <c r="K688" s="8" t="n">
        <v>176.13</v>
      </c>
      <c r="L688" s="8" t="n">
        <v>0</v>
      </c>
      <c r="M688" s="9">
        <f>ROUND(SUM(I688:L688),2)</f>
        <v/>
      </c>
      <c r="N688" s="10">
        <f>ROUND(I688*'Irish Basis'!$C$6*'Irish Basis'!$C$5,2)</f>
        <v/>
      </c>
      <c r="O688" s="10">
        <f>ROUND(J688*'Irish Basis'!$C$7*'Irish Basis'!$C$5,2)</f>
        <v/>
      </c>
      <c r="P688" s="10">
        <f>ROUND(K688*'Irish Basis'!$C$8*'Irish Basis'!$C$5,2)</f>
        <v/>
      </c>
      <c r="Q688" s="10">
        <f>ROUND(L688*'Irish Basis'!$C$12*'Irish Basis'!$C$5,2)</f>
        <v/>
      </c>
      <c r="R688" s="11">
        <f>ROUND(SUM(N688:Q688),2)</f>
        <v/>
      </c>
      <c r="S688" s="5" t="inlineStr">
        <is>
          <t>Stated build-up</t>
        </is>
      </c>
      <c r="T688" s="12" t="inlineStr">
        <is>
          <t>High</t>
        </is>
      </c>
      <c r="U688" s="8" t="n">
        <v>176.13</v>
      </c>
      <c r="V688" s="13">
        <f>IF(U688="","",ROUND(M688-U688,2))</f>
        <v/>
      </c>
      <c r="W688" s="5" t="n"/>
      <c r="X688" s="5" t="inlineStr">
        <is>
          <t>Labour + plant + material as published; reconciles to the published rate.</t>
        </is>
      </c>
    </row>
    <row r="689" ht="13" customHeight="1">
      <c r="A689" s="4" t="n">
        <v>1197</v>
      </c>
      <c r="B689" s="5" t="inlineStr">
        <is>
          <t>IMG_0082</t>
        </is>
      </c>
      <c r="C689" s="5" t="inlineStr">
        <is>
          <t>CLASS F: IN SITU CONCRETE</t>
        </is>
      </c>
      <c r="D689" s="5" t="inlineStr">
        <is>
          <t>03 STANDARDISED PRESCRIBED CONCRETE</t>
        </is>
      </c>
      <c r="E689" s="5" t="inlineStr">
        <is>
          <t>Prescribed mix; sulphate-resisting cement to BS 4027; Grade C25</t>
        </is>
      </c>
      <c r="F689" s="5" t="inlineStr">
        <is>
          <t>40 mm aggregate</t>
        </is>
      </c>
      <c r="G689" s="6" t="inlineStr">
        <is>
          <t>m3</t>
        </is>
      </c>
      <c r="H689" s="7" t="n"/>
      <c r="I689" s="8" t="n">
        <v>0</v>
      </c>
      <c r="J689" s="8" t="n">
        <v>0</v>
      </c>
      <c r="K689" s="8" t="n">
        <v>176.13</v>
      </c>
      <c r="L689" s="8" t="n">
        <v>0</v>
      </c>
      <c r="M689" s="9">
        <f>ROUND(SUM(I689:L689),2)</f>
        <v/>
      </c>
      <c r="N689" s="10">
        <f>ROUND(I689*'Irish Basis'!$C$6*'Irish Basis'!$C$5,2)</f>
        <v/>
      </c>
      <c r="O689" s="10">
        <f>ROUND(J689*'Irish Basis'!$C$7*'Irish Basis'!$C$5,2)</f>
        <v/>
      </c>
      <c r="P689" s="10">
        <f>ROUND(K689*'Irish Basis'!$C$8*'Irish Basis'!$C$5,2)</f>
        <v/>
      </c>
      <c r="Q689" s="10">
        <f>ROUND(L689*'Irish Basis'!$C$12*'Irish Basis'!$C$5,2)</f>
        <v/>
      </c>
      <c r="R689" s="11">
        <f>ROUND(SUM(N689:Q689),2)</f>
        <v/>
      </c>
      <c r="S689" s="5" t="inlineStr">
        <is>
          <t>Stated build-up</t>
        </is>
      </c>
      <c r="T689" s="12" t="inlineStr">
        <is>
          <t>High</t>
        </is>
      </c>
      <c r="U689" s="8" t="n">
        <v>176.13</v>
      </c>
      <c r="V689" s="13">
        <f>IF(U689="","",ROUND(M689-U689,2))</f>
        <v/>
      </c>
      <c r="W689" s="5" t="n"/>
      <c r="X689" s="5" t="inlineStr">
        <is>
          <t>Labour + plant + material as published; reconciles to the published rate.</t>
        </is>
      </c>
    </row>
    <row r="690" ht="13" customHeight="1">
      <c r="A690" s="4" t="n">
        <v>1199</v>
      </c>
      <c r="B690" s="5" t="inlineStr">
        <is>
          <t>IMG_0082</t>
        </is>
      </c>
      <c r="C690" s="5" t="inlineStr">
        <is>
          <t>CLASS F: IN SITU CONCRETE</t>
        </is>
      </c>
      <c r="D690" s="5" t="inlineStr">
        <is>
          <t>03 STANDARDISED PRESCRIBED CONCRETE</t>
        </is>
      </c>
      <c r="E690" s="5" t="inlineStr">
        <is>
          <t>Prescribed mix; sulphate-resisting cement to BS 4027; Grade C30</t>
        </is>
      </c>
      <c r="F690" s="5" t="inlineStr">
        <is>
          <t>10 mm aggregate</t>
        </is>
      </c>
      <c r="G690" s="6" t="inlineStr">
        <is>
          <t>m3</t>
        </is>
      </c>
      <c r="H690" s="7" t="n"/>
      <c r="I690" s="8" t="n">
        <v>0</v>
      </c>
      <c r="J690" s="8" t="n">
        <v>0</v>
      </c>
      <c r="K690" s="8" t="n">
        <v>199.26</v>
      </c>
      <c r="L690" s="8" t="n">
        <v>0</v>
      </c>
      <c r="M690" s="9">
        <f>ROUND(SUM(I690:L690),2)</f>
        <v/>
      </c>
      <c r="N690" s="10">
        <f>ROUND(I690*'Irish Basis'!$C$6*'Irish Basis'!$C$5,2)</f>
        <v/>
      </c>
      <c r="O690" s="10">
        <f>ROUND(J690*'Irish Basis'!$C$7*'Irish Basis'!$C$5,2)</f>
        <v/>
      </c>
      <c r="P690" s="10">
        <f>ROUND(K690*'Irish Basis'!$C$8*'Irish Basis'!$C$5,2)</f>
        <v/>
      </c>
      <c r="Q690" s="10">
        <f>ROUND(L690*'Irish Basis'!$C$12*'Irish Basis'!$C$5,2)</f>
        <v/>
      </c>
      <c r="R690" s="11">
        <f>ROUND(SUM(N690:Q690),2)</f>
        <v/>
      </c>
      <c r="S690" s="5" t="inlineStr">
        <is>
          <t>Stated build-up</t>
        </is>
      </c>
      <c r="T690" s="12" t="inlineStr">
        <is>
          <t>High</t>
        </is>
      </c>
      <c r="U690" s="8" t="n">
        <v>199.26</v>
      </c>
      <c r="V690" s="13">
        <f>IF(U690="","",ROUND(M690-U690,2))</f>
        <v/>
      </c>
      <c r="W690" s="5" t="n"/>
      <c r="X690" s="5" t="inlineStr">
        <is>
          <t>Labour + plant + material as published; reconciles to the published rate.</t>
        </is>
      </c>
    </row>
    <row r="691" ht="13" customHeight="1">
      <c r="A691" s="4" t="n">
        <v>1200</v>
      </c>
      <c r="B691" s="5" t="inlineStr">
        <is>
          <t>IMG_0082</t>
        </is>
      </c>
      <c r="C691" s="5" t="inlineStr">
        <is>
          <t>CLASS F: IN SITU CONCRETE</t>
        </is>
      </c>
      <c r="D691" s="5" t="inlineStr">
        <is>
          <t>03 STANDARDISED PRESCRIBED CONCRETE</t>
        </is>
      </c>
      <c r="E691" s="5" t="inlineStr">
        <is>
          <t>Prescribed mix; sulphate-resisting cement to BS 4027; Grade C30</t>
        </is>
      </c>
      <c r="F691" s="5" t="inlineStr">
        <is>
          <t>20 mm aggregate</t>
        </is>
      </c>
      <c r="G691" s="6" t="inlineStr">
        <is>
          <t>m3</t>
        </is>
      </c>
      <c r="H691" s="7" t="n"/>
      <c r="I691" s="8" t="n">
        <v>0</v>
      </c>
      <c r="J691" s="8" t="n">
        <v>0</v>
      </c>
      <c r="K691" s="8" t="n">
        <v>196.63</v>
      </c>
      <c r="L691" s="8" t="n">
        <v>0</v>
      </c>
      <c r="M691" s="9">
        <f>ROUND(SUM(I691:L691),2)</f>
        <v/>
      </c>
      <c r="N691" s="10">
        <f>ROUND(I691*'Irish Basis'!$C$6*'Irish Basis'!$C$5,2)</f>
        <v/>
      </c>
      <c r="O691" s="10">
        <f>ROUND(J691*'Irish Basis'!$C$7*'Irish Basis'!$C$5,2)</f>
        <v/>
      </c>
      <c r="P691" s="10">
        <f>ROUND(K691*'Irish Basis'!$C$8*'Irish Basis'!$C$5,2)</f>
        <v/>
      </c>
      <c r="Q691" s="10">
        <f>ROUND(L691*'Irish Basis'!$C$12*'Irish Basis'!$C$5,2)</f>
        <v/>
      </c>
      <c r="R691" s="11">
        <f>ROUND(SUM(N691:Q691),2)</f>
        <v/>
      </c>
      <c r="S691" s="5" t="inlineStr">
        <is>
          <t>Stated build-up</t>
        </is>
      </c>
      <c r="T691" s="12" t="inlineStr">
        <is>
          <t>High</t>
        </is>
      </c>
      <c r="U691" s="8" t="n">
        <v>196.63</v>
      </c>
      <c r="V691" s="13">
        <f>IF(U691="","",ROUND(M691-U691,2))</f>
        <v/>
      </c>
      <c r="W691" s="5" t="n"/>
      <c r="X691" s="5" t="inlineStr">
        <is>
          <t>Labour + plant + material as published; reconciles to the published rate.</t>
        </is>
      </c>
    </row>
    <row r="692" ht="13" customHeight="1">
      <c r="A692" s="4" t="n">
        <v>1201</v>
      </c>
      <c r="B692" s="5" t="inlineStr">
        <is>
          <t>IMG_0082</t>
        </is>
      </c>
      <c r="C692" s="5" t="inlineStr">
        <is>
          <t>CLASS F: IN SITU CONCRETE</t>
        </is>
      </c>
      <c r="D692" s="5" t="inlineStr">
        <is>
          <t>03 STANDARDISED PRESCRIBED CONCRETE</t>
        </is>
      </c>
      <c r="E692" s="5" t="inlineStr">
        <is>
          <t>Prescribed mix; sulphate-resisting cement to BS 4027; Grade C30</t>
        </is>
      </c>
      <c r="F692" s="5" t="inlineStr">
        <is>
          <t>40 mm aggregate</t>
        </is>
      </c>
      <c r="G692" s="6" t="inlineStr">
        <is>
          <t>m3</t>
        </is>
      </c>
      <c r="H692" s="7" t="n"/>
      <c r="I692" s="8" t="n">
        <v>0</v>
      </c>
      <c r="J692" s="8" t="n">
        <v>0</v>
      </c>
      <c r="K692" s="8" t="n">
        <v>212</v>
      </c>
      <c r="L692" s="8" t="n">
        <v>0</v>
      </c>
      <c r="M692" s="9">
        <f>ROUND(SUM(I692:L692),2)</f>
        <v/>
      </c>
      <c r="N692" s="10">
        <f>ROUND(I692*'Irish Basis'!$C$6*'Irish Basis'!$C$5,2)</f>
        <v/>
      </c>
      <c r="O692" s="10">
        <f>ROUND(J692*'Irish Basis'!$C$7*'Irish Basis'!$C$5,2)</f>
        <v/>
      </c>
      <c r="P692" s="10">
        <f>ROUND(K692*'Irish Basis'!$C$8*'Irish Basis'!$C$5,2)</f>
        <v/>
      </c>
      <c r="Q692" s="10">
        <f>ROUND(L692*'Irish Basis'!$C$12*'Irish Basis'!$C$5,2)</f>
        <v/>
      </c>
      <c r="R692" s="11">
        <f>ROUND(SUM(N692:Q692),2)</f>
        <v/>
      </c>
      <c r="S692" s="5" t="inlineStr">
        <is>
          <t>Stated build-up</t>
        </is>
      </c>
      <c r="T692" s="12" t="inlineStr">
        <is>
          <t>High</t>
        </is>
      </c>
      <c r="U692" s="8" t="n">
        <v>212</v>
      </c>
      <c r="V692" s="13">
        <f>IF(U692="","",ROUND(M692-U692,2))</f>
        <v/>
      </c>
      <c r="W692" s="5" t="n"/>
      <c r="X692" s="5" t="inlineStr">
        <is>
          <t>Labour + plant + material as published; reconciles to the published rate.</t>
        </is>
      </c>
    </row>
    <row r="693" ht="13" customHeight="1">
      <c r="A693" s="4" t="n">
        <v>1204</v>
      </c>
      <c r="B693" s="5" t="inlineStr">
        <is>
          <t>IMG_0082</t>
        </is>
      </c>
      <c r="C693" s="5" t="inlineStr">
        <is>
          <t>CLASS F: IN SITU CONCRETE</t>
        </is>
      </c>
      <c r="D693" s="5" t="inlineStr">
        <is>
          <t>06 PLACING OF CONCRETE; MASS</t>
        </is>
      </c>
      <c r="E693" s="5" t="inlineStr">
        <is>
          <t>Blinding; thickness</t>
        </is>
      </c>
      <c r="F693" s="5" t="inlineStr">
        <is>
          <t>ne 150 mm</t>
        </is>
      </c>
      <c r="G693" s="6" t="inlineStr">
        <is>
          <t>m3</t>
        </is>
      </c>
      <c r="H693" s="7" t="n">
        <v>0.18</v>
      </c>
      <c r="I693" s="8" t="n">
        <v>32.69</v>
      </c>
      <c r="J693" s="8" t="n">
        <v>1.46</v>
      </c>
      <c r="K693" s="8" t="n">
        <v>0</v>
      </c>
      <c r="L693" s="8" t="n">
        <v>0</v>
      </c>
      <c r="M693" s="9">
        <f>ROUND(SUM(I693:L693),2)</f>
        <v/>
      </c>
      <c r="N693" s="10">
        <f>ROUND(I693*'Irish Basis'!$C$6*'Irish Basis'!$C$5,2)</f>
        <v/>
      </c>
      <c r="O693" s="10">
        <f>ROUND(J693*'Irish Basis'!$C$7*'Irish Basis'!$C$5,2)</f>
        <v/>
      </c>
      <c r="P693" s="10">
        <f>ROUND(K693*'Irish Basis'!$C$8*'Irish Basis'!$C$5,2)</f>
        <v/>
      </c>
      <c r="Q693" s="10">
        <f>ROUND(L693*'Irish Basis'!$C$12*'Irish Basis'!$C$5,2)</f>
        <v/>
      </c>
      <c r="R693" s="11">
        <f>ROUND(SUM(N693:Q693),2)</f>
        <v/>
      </c>
      <c r="S693" s="5" t="inlineStr">
        <is>
          <t>Stated build-up</t>
        </is>
      </c>
      <c r="T693" s="12" t="inlineStr">
        <is>
          <t>High</t>
        </is>
      </c>
      <c r="U693" s="8" t="n">
        <v>34.15</v>
      </c>
      <c r="V693" s="13">
        <f>IF(U693="","",ROUND(M693-U693,2))</f>
        <v/>
      </c>
      <c r="W693" s="5" t="n"/>
      <c r="X693" s="5" t="inlineStr">
        <is>
          <t>Labour + plant + material as published; reconciles to the published rate.</t>
        </is>
      </c>
    </row>
    <row r="694" ht="13" customHeight="1">
      <c r="A694" s="4" t="n">
        <v>1205</v>
      </c>
      <c r="B694" s="5" t="inlineStr">
        <is>
          <t>IMG_0082</t>
        </is>
      </c>
      <c r="C694" s="5" t="inlineStr">
        <is>
          <t>CLASS F: IN SITU CONCRETE</t>
        </is>
      </c>
      <c r="D694" s="5" t="inlineStr">
        <is>
          <t>06 PLACING OF CONCRETE; MASS</t>
        </is>
      </c>
      <c r="E694" s="5" t="inlineStr">
        <is>
          <t>Blinding; thickness</t>
        </is>
      </c>
      <c r="F694" s="5" t="inlineStr">
        <is>
          <t>150-300 mm</t>
        </is>
      </c>
      <c r="G694" s="6" t="inlineStr">
        <is>
          <t>m3</t>
        </is>
      </c>
      <c r="H694" s="7" t="n">
        <v>0.16</v>
      </c>
      <c r="I694" s="8" t="n">
        <v>29.06</v>
      </c>
      <c r="J694" s="8" t="n">
        <v>4.21</v>
      </c>
      <c r="K694" s="8" t="n">
        <v>0</v>
      </c>
      <c r="L694" s="8" t="n">
        <v>0</v>
      </c>
      <c r="M694" s="9">
        <f>ROUND(SUM(I694:L694),2)</f>
        <v/>
      </c>
      <c r="N694" s="10">
        <f>ROUND(I694*'Irish Basis'!$C$6*'Irish Basis'!$C$5,2)</f>
        <v/>
      </c>
      <c r="O694" s="10">
        <f>ROUND(J694*'Irish Basis'!$C$7*'Irish Basis'!$C$5,2)</f>
        <v/>
      </c>
      <c r="P694" s="10">
        <f>ROUND(K694*'Irish Basis'!$C$8*'Irish Basis'!$C$5,2)</f>
        <v/>
      </c>
      <c r="Q694" s="10">
        <f>ROUND(L694*'Irish Basis'!$C$12*'Irish Basis'!$C$5,2)</f>
        <v/>
      </c>
      <c r="R694" s="11">
        <f>ROUND(SUM(N694:Q694),2)</f>
        <v/>
      </c>
      <c r="S694" s="5" t="inlineStr">
        <is>
          <t>Stated build-up</t>
        </is>
      </c>
      <c r="T694" s="12" t="inlineStr">
        <is>
          <t>High</t>
        </is>
      </c>
      <c r="U694" s="8" t="n">
        <v>33.26</v>
      </c>
      <c r="V694" s="13">
        <f>IF(U694="","",ROUND(M694-U694,2))</f>
        <v/>
      </c>
      <c r="W694" s="5" t="n"/>
      <c r="X694" s="5" t="inlineStr">
        <is>
          <t>Labour + plant + material as published; reconciles to the published rate.</t>
        </is>
      </c>
    </row>
    <row r="695" ht="13" customHeight="1">
      <c r="A695" s="4" t="n">
        <v>1206</v>
      </c>
      <c r="B695" s="5" t="inlineStr">
        <is>
          <t>IMG_0082</t>
        </is>
      </c>
      <c r="C695" s="5" t="inlineStr">
        <is>
          <t>CLASS F: IN SITU CONCRETE</t>
        </is>
      </c>
      <c r="D695" s="5" t="inlineStr">
        <is>
          <t>06 PLACING OF CONCRETE; MASS</t>
        </is>
      </c>
      <c r="E695" s="5" t="inlineStr">
        <is>
          <t>Blinding; thickness</t>
        </is>
      </c>
      <c r="F695" s="5" t="inlineStr">
        <is>
          <t>300-500 mm</t>
        </is>
      </c>
      <c r="G695" s="6" t="inlineStr">
        <is>
          <t>m3</t>
        </is>
      </c>
      <c r="H695" s="7" t="n">
        <v>0.14</v>
      </c>
      <c r="I695" s="8" t="n">
        <v>25.43</v>
      </c>
      <c r="J695" s="8" t="n">
        <v>6.93</v>
      </c>
      <c r="K695" s="8" t="n">
        <v>0</v>
      </c>
      <c r="L695" s="8" t="n">
        <v>0</v>
      </c>
      <c r="M695" s="9">
        <f>ROUND(SUM(I695:L695),2)</f>
        <v/>
      </c>
      <c r="N695" s="10">
        <f>ROUND(I695*'Irish Basis'!$C$6*'Irish Basis'!$C$5,2)</f>
        <v/>
      </c>
      <c r="O695" s="10">
        <f>ROUND(J695*'Irish Basis'!$C$7*'Irish Basis'!$C$5,2)</f>
        <v/>
      </c>
      <c r="P695" s="10">
        <f>ROUND(K695*'Irish Basis'!$C$8*'Irish Basis'!$C$5,2)</f>
        <v/>
      </c>
      <c r="Q695" s="10">
        <f>ROUND(L695*'Irish Basis'!$C$12*'Irish Basis'!$C$5,2)</f>
        <v/>
      </c>
      <c r="R695" s="11">
        <f>ROUND(SUM(N695:Q695),2)</f>
        <v/>
      </c>
      <c r="S695" s="5" t="inlineStr">
        <is>
          <t>Stated build-up</t>
        </is>
      </c>
      <c r="T695" s="12" t="inlineStr">
        <is>
          <t>High</t>
        </is>
      </c>
      <c r="U695" s="8" t="n">
        <v>32.36</v>
      </c>
      <c r="V695" s="13">
        <f>IF(U695="","",ROUND(M695-U695,2))</f>
        <v/>
      </c>
      <c r="W695" s="5" t="n"/>
      <c r="X695" s="5" t="inlineStr">
        <is>
          <t>Labour + plant + material as published; reconciles to the published rate.</t>
        </is>
      </c>
    </row>
    <row r="696" ht="13" customHeight="1">
      <c r="A696" s="4" t="n">
        <v>1207</v>
      </c>
      <c r="B696" s="5" t="inlineStr">
        <is>
          <t>IMG_0082</t>
        </is>
      </c>
      <c r="C696" s="5" t="inlineStr">
        <is>
          <t>CLASS F: IN SITU CONCRETE</t>
        </is>
      </c>
      <c r="D696" s="5" t="inlineStr">
        <is>
          <t>06 PLACING OF CONCRETE; MASS</t>
        </is>
      </c>
      <c r="E696" s="5" t="inlineStr">
        <is>
          <t>Blinding; thickness</t>
        </is>
      </c>
      <c r="F696" s="5" t="inlineStr">
        <is>
          <t>exceeding 500 mm</t>
        </is>
      </c>
      <c r="G696" s="6" t="inlineStr">
        <is>
          <t>m3</t>
        </is>
      </c>
      <c r="H696" s="7" t="n">
        <v>0.12</v>
      </c>
      <c r="I696" s="8" t="n">
        <v>21.79</v>
      </c>
      <c r="J696" s="8" t="n">
        <v>9.68</v>
      </c>
      <c r="K696" s="8" t="n">
        <v>0</v>
      </c>
      <c r="L696" s="8" t="n">
        <v>0</v>
      </c>
      <c r="M696" s="9">
        <f>ROUND(SUM(I696:L696),2)</f>
        <v/>
      </c>
      <c r="N696" s="10">
        <f>ROUND(I696*'Irish Basis'!$C$6*'Irish Basis'!$C$5,2)</f>
        <v/>
      </c>
      <c r="O696" s="10">
        <f>ROUND(J696*'Irish Basis'!$C$7*'Irish Basis'!$C$5,2)</f>
        <v/>
      </c>
      <c r="P696" s="10">
        <f>ROUND(K696*'Irish Basis'!$C$8*'Irish Basis'!$C$5,2)</f>
        <v/>
      </c>
      <c r="Q696" s="10">
        <f>ROUND(L696*'Irish Basis'!$C$12*'Irish Basis'!$C$5,2)</f>
        <v/>
      </c>
      <c r="R696" s="11">
        <f>ROUND(SUM(N696:Q696),2)</f>
        <v/>
      </c>
      <c r="S696" s="5" t="inlineStr">
        <is>
          <t>Stated build-up</t>
        </is>
      </c>
      <c r="T696" s="12" t="inlineStr">
        <is>
          <t>High</t>
        </is>
      </c>
      <c r="U696" s="8" t="n">
        <v>31.47</v>
      </c>
      <c r="V696" s="13">
        <f>IF(U696="","",ROUND(M696-U696,2))</f>
        <v/>
      </c>
      <c r="W696" s="5" t="n"/>
      <c r="X696" s="5" t="inlineStr">
        <is>
          <t>Labour + plant + material as published; reconciles to the published rate.</t>
        </is>
      </c>
    </row>
    <row r="697" ht="13" customHeight="1">
      <c r="A697" s="4" t="n">
        <v>1209</v>
      </c>
      <c r="B697" s="5" t="inlineStr">
        <is>
          <t>IMG_0082</t>
        </is>
      </c>
      <c r="C697" s="5" t="inlineStr">
        <is>
          <t>CLASS F: IN SITU CONCRETE</t>
        </is>
      </c>
      <c r="D697" s="5" t="inlineStr">
        <is>
          <t>06 PLACING OF CONCRETE; MASS</t>
        </is>
      </c>
      <c r="E697" s="5" t="inlineStr">
        <is>
          <t>Bases, footings, pile caps and ground slabs; thickness</t>
        </is>
      </c>
      <c r="F697" s="5" t="inlineStr">
        <is>
          <t>ne 150 mm</t>
        </is>
      </c>
      <c r="G697" s="6" t="inlineStr">
        <is>
          <t>m3</t>
        </is>
      </c>
      <c r="H697" s="7" t="n">
        <v>0.2</v>
      </c>
      <c r="I697" s="8" t="n">
        <v>36.32</v>
      </c>
      <c r="J697" s="8" t="n">
        <v>27.35</v>
      </c>
      <c r="K697" s="8" t="n">
        <v>0</v>
      </c>
      <c r="L697" s="8" t="n">
        <v>0</v>
      </c>
      <c r="M697" s="9">
        <f>ROUND(SUM(I697:L697),2)</f>
        <v/>
      </c>
      <c r="N697" s="10">
        <f>ROUND(I697*'Irish Basis'!$C$6*'Irish Basis'!$C$5,2)</f>
        <v/>
      </c>
      <c r="O697" s="10">
        <f>ROUND(J697*'Irish Basis'!$C$7*'Irish Basis'!$C$5,2)</f>
        <v/>
      </c>
      <c r="P697" s="10">
        <f>ROUND(K697*'Irish Basis'!$C$8*'Irish Basis'!$C$5,2)</f>
        <v/>
      </c>
      <c r="Q697" s="10">
        <f>ROUND(L697*'Irish Basis'!$C$12*'Irish Basis'!$C$5,2)</f>
        <v/>
      </c>
      <c r="R697" s="11">
        <f>ROUND(SUM(N697:Q697),2)</f>
        <v/>
      </c>
      <c r="S697" s="5" t="inlineStr">
        <is>
          <t>Stated build-up</t>
        </is>
      </c>
      <c r="T697" s="12" t="inlineStr">
        <is>
          <t>High</t>
        </is>
      </c>
      <c r="U697" s="8" t="n">
        <v>63.67</v>
      </c>
      <c r="V697" s="13">
        <f>IF(U697="","",ROUND(M697-U697,2))</f>
        <v/>
      </c>
      <c r="W697" s="5" t="n"/>
      <c r="X697" s="5" t="inlineStr">
        <is>
          <t>Labour + plant + material as published; reconciles to the published rate.</t>
        </is>
      </c>
    </row>
    <row r="698" ht="13" customHeight="1">
      <c r="A698" s="4" t="n">
        <v>1210</v>
      </c>
      <c r="B698" s="5" t="inlineStr">
        <is>
          <t>IMG_0082</t>
        </is>
      </c>
      <c r="C698" s="5" t="inlineStr">
        <is>
          <t>CLASS F: IN SITU CONCRETE</t>
        </is>
      </c>
      <c r="D698" s="5" t="inlineStr">
        <is>
          <t>06 PLACING OF CONCRETE; MASS</t>
        </is>
      </c>
      <c r="E698" s="5" t="inlineStr">
        <is>
          <t>Bases, footings, pile caps and ground slabs; thickness</t>
        </is>
      </c>
      <c r="F698" s="5" t="inlineStr">
        <is>
          <t>150-300 mm</t>
        </is>
      </c>
      <c r="G698" s="6" t="inlineStr">
        <is>
          <t>m3</t>
        </is>
      </c>
      <c r="H698" s="7" t="n">
        <v>0.17</v>
      </c>
      <c r="I698" s="8" t="n">
        <v>30.87</v>
      </c>
      <c r="J698" s="8" t="n">
        <v>23.34</v>
      </c>
      <c r="K698" s="8" t="n">
        <v>0</v>
      </c>
      <c r="L698" s="8" t="n">
        <v>0</v>
      </c>
      <c r="M698" s="9">
        <f>ROUND(SUM(I698:L698),2)</f>
        <v/>
      </c>
      <c r="N698" s="10">
        <f>ROUND(I698*'Irish Basis'!$C$6*'Irish Basis'!$C$5,2)</f>
        <v/>
      </c>
      <c r="O698" s="10">
        <f>ROUND(J698*'Irish Basis'!$C$7*'Irish Basis'!$C$5,2)</f>
        <v/>
      </c>
      <c r="P698" s="10">
        <f>ROUND(K698*'Irish Basis'!$C$8*'Irish Basis'!$C$5,2)</f>
        <v/>
      </c>
      <c r="Q698" s="10">
        <f>ROUND(L698*'Irish Basis'!$C$12*'Irish Basis'!$C$5,2)</f>
        <v/>
      </c>
      <c r="R698" s="11">
        <f>ROUND(SUM(N698:Q698),2)</f>
        <v/>
      </c>
      <c r="S698" s="5" t="inlineStr">
        <is>
          <t>Stated build-up</t>
        </is>
      </c>
      <c r="T698" s="12" t="inlineStr">
        <is>
          <t>High</t>
        </is>
      </c>
      <c r="U698" s="8" t="n">
        <v>54.21</v>
      </c>
      <c r="V698" s="13">
        <f>IF(U698="","",ROUND(M698-U698,2))</f>
        <v/>
      </c>
      <c r="W698" s="5" t="n"/>
      <c r="X698" s="5" t="inlineStr">
        <is>
          <t>Labour + plant + material as published; reconciles to the published rate.</t>
        </is>
      </c>
    </row>
    <row r="699" ht="13" customHeight="1">
      <c r="A699" s="4" t="n">
        <v>1211</v>
      </c>
      <c r="B699" s="5" t="inlineStr">
        <is>
          <t>IMG_0082</t>
        </is>
      </c>
      <c r="C699" s="5" t="inlineStr">
        <is>
          <t>CLASS F: IN SITU CONCRETE</t>
        </is>
      </c>
      <c r="D699" s="5" t="inlineStr">
        <is>
          <t>06 PLACING OF CONCRETE; MASS</t>
        </is>
      </c>
      <c r="E699" s="5" t="inlineStr">
        <is>
          <t>Bases, footings, pile caps and ground slabs; thickness</t>
        </is>
      </c>
      <c r="F699" s="5" t="inlineStr">
        <is>
          <t>300-500 mm</t>
        </is>
      </c>
      <c r="G699" s="6" t="inlineStr">
        <is>
          <t>m3</t>
        </is>
      </c>
      <c r="H699" s="7" t="n">
        <v>0.15</v>
      </c>
      <c r="I699" s="8" t="n">
        <v>27.24</v>
      </c>
      <c r="J699" s="8" t="n">
        <v>20.41</v>
      </c>
      <c r="K699" s="8" t="n">
        <v>0</v>
      </c>
      <c r="L699" s="8" t="n">
        <v>0</v>
      </c>
      <c r="M699" s="9">
        <f>ROUND(SUM(I699:L699),2)</f>
        <v/>
      </c>
      <c r="N699" s="10">
        <f>ROUND(I699*'Irish Basis'!$C$6*'Irish Basis'!$C$5,2)</f>
        <v/>
      </c>
      <c r="O699" s="10">
        <f>ROUND(J699*'Irish Basis'!$C$7*'Irish Basis'!$C$5,2)</f>
        <v/>
      </c>
      <c r="P699" s="10">
        <f>ROUND(K699*'Irish Basis'!$C$8*'Irish Basis'!$C$5,2)</f>
        <v/>
      </c>
      <c r="Q699" s="10">
        <f>ROUND(L699*'Irish Basis'!$C$12*'Irish Basis'!$C$5,2)</f>
        <v/>
      </c>
      <c r="R699" s="11">
        <f>ROUND(SUM(N699:Q699),2)</f>
        <v/>
      </c>
      <c r="S699" s="5" t="inlineStr">
        <is>
          <t>Stated build-up</t>
        </is>
      </c>
      <c r="T699" s="12" t="inlineStr">
        <is>
          <t>High</t>
        </is>
      </c>
      <c r="U699" s="8" t="n">
        <v>47.66</v>
      </c>
      <c r="V699" s="13">
        <f>IF(U699="","",ROUND(M699-U699,2))</f>
        <v/>
      </c>
      <c r="W699" s="5" t="n"/>
      <c r="X699" s="5" t="inlineStr">
        <is>
          <t>Labour + plant + material as published; reconciles to the published rate.</t>
        </is>
      </c>
    </row>
    <row r="700" ht="13" customHeight="1">
      <c r="A700" s="4" t="n">
        <v>1212</v>
      </c>
      <c r="B700" s="5" t="inlineStr">
        <is>
          <t>IMG_0082</t>
        </is>
      </c>
      <c r="C700" s="5" t="inlineStr">
        <is>
          <t>CLASS F: IN SITU CONCRETE</t>
        </is>
      </c>
      <c r="D700" s="5" t="inlineStr">
        <is>
          <t>06 PLACING OF CONCRETE; MASS</t>
        </is>
      </c>
      <c r="E700" s="5" t="inlineStr">
        <is>
          <t>Bases, footings, pile caps and ground slabs; thickness</t>
        </is>
      </c>
      <c r="F700" s="5" t="inlineStr">
        <is>
          <t>exceeding 500 mm</t>
        </is>
      </c>
      <c r="G700" s="6" t="inlineStr">
        <is>
          <t>m3</t>
        </is>
      </c>
      <c r="H700" s="7" t="n">
        <v>0.14</v>
      </c>
      <c r="I700" s="8" t="n">
        <v>25.43</v>
      </c>
      <c r="J700" s="8" t="n">
        <v>19.15</v>
      </c>
      <c r="K700" s="8" t="n">
        <v>0</v>
      </c>
      <c r="L700" s="8" t="n">
        <v>0</v>
      </c>
      <c r="M700" s="9">
        <f>ROUND(SUM(I700:L700),2)</f>
        <v/>
      </c>
      <c r="N700" s="10">
        <f>ROUND(I700*'Irish Basis'!$C$6*'Irish Basis'!$C$5,2)</f>
        <v/>
      </c>
      <c r="O700" s="10">
        <f>ROUND(J700*'Irish Basis'!$C$7*'Irish Basis'!$C$5,2)</f>
        <v/>
      </c>
      <c r="P700" s="10">
        <f>ROUND(K700*'Irish Basis'!$C$8*'Irish Basis'!$C$5,2)</f>
        <v/>
      </c>
      <c r="Q700" s="10">
        <f>ROUND(L700*'Irish Basis'!$C$12*'Irish Basis'!$C$5,2)</f>
        <v/>
      </c>
      <c r="R700" s="11">
        <f>ROUND(SUM(N700:Q700),2)</f>
        <v/>
      </c>
      <c r="S700" s="5" t="inlineStr">
        <is>
          <t>Stated build-up</t>
        </is>
      </c>
      <c r="T700" s="12" t="inlineStr">
        <is>
          <t>High</t>
        </is>
      </c>
      <c r="U700" s="8" t="n">
        <v>44.58</v>
      </c>
      <c r="V700" s="13">
        <f>IF(U700="","",ROUND(M700-U700,2))</f>
        <v/>
      </c>
      <c r="W700" s="5" t="n"/>
      <c r="X700" s="5" t="inlineStr">
        <is>
          <t>Labour + plant + material as published; reconciles to the published rate.</t>
        </is>
      </c>
    </row>
    <row r="701" ht="13" customHeight="1">
      <c r="A701" s="4" t="n">
        <v>1213</v>
      </c>
      <c r="B701" s="5" t="inlineStr">
        <is>
          <t>IMG_0082</t>
        </is>
      </c>
      <c r="C701" s="5" t="inlineStr">
        <is>
          <t>CLASS F: IN SITU CONCRETE</t>
        </is>
      </c>
      <c r="D701" s="5" t="inlineStr">
        <is>
          <t>06 PLACING OF CONCRETE; MASS</t>
        </is>
      </c>
      <c r="E701" s="5" t="inlineStr">
        <is>
          <t>Bases, footings, pile caps and ground slabs; thickness</t>
        </is>
      </c>
      <c r="F701" s="5" t="inlineStr">
        <is>
          <t>ADD to the above for placing against an excavated surface</t>
        </is>
      </c>
      <c r="G701" s="6" t="inlineStr">
        <is>
          <t>m3</t>
        </is>
      </c>
      <c r="H701" s="7" t="n">
        <v>0.03</v>
      </c>
      <c r="I701" s="8" t="n">
        <v>4.54</v>
      </c>
      <c r="J701" s="8" t="n">
        <v>3.37</v>
      </c>
      <c r="K701" s="8" t="n">
        <v>0</v>
      </c>
      <c r="L701" s="8" t="n">
        <v>0</v>
      </c>
      <c r="M701" s="9">
        <f>ROUND(SUM(I701:L701),2)</f>
        <v/>
      </c>
      <c r="N701" s="10">
        <f>ROUND(I701*'Irish Basis'!$C$6*'Irish Basis'!$C$5,2)</f>
        <v/>
      </c>
      <c r="O701" s="10">
        <f>ROUND(J701*'Irish Basis'!$C$7*'Irish Basis'!$C$5,2)</f>
        <v/>
      </c>
      <c r="P701" s="10">
        <f>ROUND(K701*'Irish Basis'!$C$8*'Irish Basis'!$C$5,2)</f>
        <v/>
      </c>
      <c r="Q701" s="10">
        <f>ROUND(L701*'Irish Basis'!$C$12*'Irish Basis'!$C$5,2)</f>
        <v/>
      </c>
      <c r="R701" s="11">
        <f>ROUND(SUM(N701:Q701),2)</f>
        <v/>
      </c>
      <c r="S701" s="5" t="inlineStr">
        <is>
          <t>Stated build-up</t>
        </is>
      </c>
      <c r="T701" s="12" t="inlineStr">
        <is>
          <t>High</t>
        </is>
      </c>
      <c r="U701" s="8" t="n">
        <v>7.91</v>
      </c>
      <c r="V701" s="13">
        <f>IF(U701="","",ROUND(M701-U701,2))</f>
        <v/>
      </c>
      <c r="W701" s="5" t="n"/>
      <c r="X701" s="5" t="inlineStr">
        <is>
          <t>Labour + plant + material as published; reconciles to the published rate.</t>
        </is>
      </c>
    </row>
    <row r="702" ht="13" customHeight="1">
      <c r="A702" s="4" t="n">
        <v>1215</v>
      </c>
      <c r="B702" s="5" t="inlineStr">
        <is>
          <t>IMG_0082</t>
        </is>
      </c>
      <c r="C702" s="5" t="inlineStr">
        <is>
          <t>CLASS F: IN SITU CONCRETE</t>
        </is>
      </c>
      <c r="D702" s="5" t="inlineStr">
        <is>
          <t>06 PLACING OF CONCRETE; MASS</t>
        </is>
      </c>
      <c r="E702" s="5" t="inlineStr">
        <is>
          <t>Walls; thickness</t>
        </is>
      </c>
      <c r="F702" s="5" t="inlineStr">
        <is>
          <t>ne 150 mm</t>
        </is>
      </c>
      <c r="G702" s="6" t="inlineStr">
        <is>
          <t>m3</t>
        </is>
      </c>
      <c r="H702" s="7" t="n">
        <v>0.21</v>
      </c>
      <c r="I702" s="8" t="n">
        <v>38.14</v>
      </c>
      <c r="J702" s="8" t="n">
        <v>28.81</v>
      </c>
      <c r="K702" s="8" t="n">
        <v>0</v>
      </c>
      <c r="L702" s="8" t="n">
        <v>0</v>
      </c>
      <c r="M702" s="9">
        <f>ROUND(SUM(I702:L702),2)</f>
        <v/>
      </c>
      <c r="N702" s="10">
        <f>ROUND(I702*'Irish Basis'!$C$6*'Irish Basis'!$C$5,2)</f>
        <v/>
      </c>
      <c r="O702" s="10">
        <f>ROUND(J702*'Irish Basis'!$C$7*'Irish Basis'!$C$5,2)</f>
        <v/>
      </c>
      <c r="P702" s="10">
        <f>ROUND(K702*'Irish Basis'!$C$8*'Irish Basis'!$C$5,2)</f>
        <v/>
      </c>
      <c r="Q702" s="10">
        <f>ROUND(L702*'Irish Basis'!$C$12*'Irish Basis'!$C$5,2)</f>
        <v/>
      </c>
      <c r="R702" s="11">
        <f>ROUND(SUM(N702:Q702),2)</f>
        <v/>
      </c>
      <c r="S702" s="5" t="inlineStr">
        <is>
          <t>Stated build-up</t>
        </is>
      </c>
      <c r="T702" s="12" t="inlineStr">
        <is>
          <t>High</t>
        </is>
      </c>
      <c r="U702" s="8" t="n">
        <v>66.95</v>
      </c>
      <c r="V702" s="13">
        <f>IF(U702="","",ROUND(M702-U702,2))</f>
        <v/>
      </c>
      <c r="W702" s="5" t="n"/>
      <c r="X702" s="5" t="inlineStr">
        <is>
          <t>Labour + plant + material as published; reconciles to the published rate.</t>
        </is>
      </c>
    </row>
    <row r="703" ht="13" customHeight="1">
      <c r="A703" s="4" t="n">
        <v>1216</v>
      </c>
      <c r="B703" s="5" t="inlineStr">
        <is>
          <t>IMG_0082</t>
        </is>
      </c>
      <c r="C703" s="5" t="inlineStr">
        <is>
          <t>CLASS F: IN SITU CONCRETE</t>
        </is>
      </c>
      <c r="D703" s="5" t="inlineStr">
        <is>
          <t>06 PLACING OF CONCRETE; MASS</t>
        </is>
      </c>
      <c r="E703" s="5" t="inlineStr">
        <is>
          <t>Walls; thickness</t>
        </is>
      </c>
      <c r="F703" s="5" t="inlineStr">
        <is>
          <t>150-300 mm</t>
        </is>
      </c>
      <c r="G703" s="6" t="inlineStr">
        <is>
          <t>m3</t>
        </is>
      </c>
      <c r="H703" s="7" t="n">
        <v>0.15</v>
      </c>
      <c r="I703" s="8" t="n">
        <v>27.24</v>
      </c>
      <c r="J703" s="8" t="n">
        <v>20.42</v>
      </c>
      <c r="K703" s="8" t="n">
        <v>0</v>
      </c>
      <c r="L703" s="8" t="n">
        <v>0</v>
      </c>
      <c r="M703" s="9">
        <f>ROUND(SUM(I703:L703),2)</f>
        <v/>
      </c>
      <c r="N703" s="10">
        <f>ROUND(I703*'Irish Basis'!$C$6*'Irish Basis'!$C$5,2)</f>
        <v/>
      </c>
      <c r="O703" s="10">
        <f>ROUND(J703*'Irish Basis'!$C$7*'Irish Basis'!$C$5,2)</f>
        <v/>
      </c>
      <c r="P703" s="10">
        <f>ROUND(K703*'Irish Basis'!$C$8*'Irish Basis'!$C$5,2)</f>
        <v/>
      </c>
      <c r="Q703" s="10">
        <f>ROUND(L703*'Irish Basis'!$C$12*'Irish Basis'!$C$5,2)</f>
        <v/>
      </c>
      <c r="R703" s="11">
        <f>ROUND(SUM(N703:Q703),2)</f>
        <v/>
      </c>
      <c r="S703" s="5" t="inlineStr">
        <is>
          <t>Stated build-up</t>
        </is>
      </c>
      <c r="T703" s="12" t="inlineStr">
        <is>
          <t>High</t>
        </is>
      </c>
      <c r="U703" s="8" t="n">
        <v>47.66</v>
      </c>
      <c r="V703" s="13">
        <f>IF(U703="","",ROUND(M703-U703,2))</f>
        <v/>
      </c>
      <c r="W703" s="5" t="n"/>
      <c r="X703" s="5" t="inlineStr">
        <is>
          <t>Labour + plant + material as published; reconciles to the published rate.</t>
        </is>
      </c>
    </row>
    <row r="704" ht="13" customHeight="1">
      <c r="A704" s="4" t="n">
        <v>1217</v>
      </c>
      <c r="B704" s="5" t="inlineStr">
        <is>
          <t>IMG_0082</t>
        </is>
      </c>
      <c r="C704" s="5" t="inlineStr">
        <is>
          <t>CLASS F: IN SITU CONCRETE</t>
        </is>
      </c>
      <c r="D704" s="5" t="inlineStr">
        <is>
          <t>06 PLACING OF CONCRETE; MASS</t>
        </is>
      </c>
      <c r="E704" s="5" t="inlineStr">
        <is>
          <t>Walls; thickness</t>
        </is>
      </c>
      <c r="F704" s="5" t="inlineStr">
        <is>
          <t>300-500 mm</t>
        </is>
      </c>
      <c r="G704" s="6" t="inlineStr">
        <is>
          <t>m3</t>
        </is>
      </c>
      <c r="H704" s="7" t="n">
        <v>0.13</v>
      </c>
      <c r="I704" s="8" t="n">
        <v>23.61</v>
      </c>
      <c r="J704" s="8" t="n">
        <v>17.87</v>
      </c>
      <c r="K704" s="8" t="n">
        <v>0</v>
      </c>
      <c r="L704" s="8" t="n">
        <v>0</v>
      </c>
      <c r="M704" s="9">
        <f>ROUND(SUM(I704:L704),2)</f>
        <v/>
      </c>
      <c r="N704" s="10">
        <f>ROUND(I704*'Irish Basis'!$C$6*'Irish Basis'!$C$5,2)</f>
        <v/>
      </c>
      <c r="O704" s="10">
        <f>ROUND(J704*'Irish Basis'!$C$7*'Irish Basis'!$C$5,2)</f>
        <v/>
      </c>
      <c r="P704" s="10">
        <f>ROUND(K704*'Irish Basis'!$C$8*'Irish Basis'!$C$5,2)</f>
        <v/>
      </c>
      <c r="Q704" s="10">
        <f>ROUND(L704*'Irish Basis'!$C$12*'Irish Basis'!$C$5,2)</f>
        <v/>
      </c>
      <c r="R704" s="11">
        <f>ROUND(SUM(N704:Q704),2)</f>
        <v/>
      </c>
      <c r="S704" s="5" t="inlineStr">
        <is>
          <t>Stated build-up</t>
        </is>
      </c>
      <c r="T704" s="12" t="inlineStr">
        <is>
          <t>High</t>
        </is>
      </c>
      <c r="U704" s="8" t="n">
        <v>41.48</v>
      </c>
      <c r="V704" s="13">
        <f>IF(U704="","",ROUND(M704-U704,2))</f>
        <v/>
      </c>
      <c r="W704" s="5" t="n"/>
      <c r="X704" s="5" t="inlineStr">
        <is>
          <t>Labour + plant + material as published; reconciles to the published rate.</t>
        </is>
      </c>
    </row>
    <row r="705" ht="13" customHeight="1">
      <c r="A705" s="4" t="n">
        <v>1218</v>
      </c>
      <c r="B705" s="5" t="inlineStr">
        <is>
          <t>IMG_0082</t>
        </is>
      </c>
      <c r="C705" s="5" t="inlineStr">
        <is>
          <t>CLASS F: IN SITU CONCRETE</t>
        </is>
      </c>
      <c r="D705" s="5" t="inlineStr">
        <is>
          <t>06 PLACING OF CONCRETE; MASS</t>
        </is>
      </c>
      <c r="E705" s="5" t="inlineStr">
        <is>
          <t>Walls; thickness</t>
        </is>
      </c>
      <c r="F705" s="5" t="inlineStr">
        <is>
          <t>exceeding 500 mm</t>
        </is>
      </c>
      <c r="G705" s="6" t="inlineStr">
        <is>
          <t>m3</t>
        </is>
      </c>
      <c r="H705" s="7" t="n">
        <v>0.12</v>
      </c>
      <c r="I705" s="8" t="n">
        <v>21.79</v>
      </c>
      <c r="J705" s="8" t="n">
        <v>16.41</v>
      </c>
      <c r="K705" s="8" t="n">
        <v>0</v>
      </c>
      <c r="L705" s="8" t="n">
        <v>0</v>
      </c>
      <c r="M705" s="9">
        <f>ROUND(SUM(I705:L705),2)</f>
        <v/>
      </c>
      <c r="N705" s="10">
        <f>ROUND(I705*'Irish Basis'!$C$6*'Irish Basis'!$C$5,2)</f>
        <v/>
      </c>
      <c r="O705" s="10">
        <f>ROUND(J705*'Irish Basis'!$C$7*'Irish Basis'!$C$5,2)</f>
        <v/>
      </c>
      <c r="P705" s="10">
        <f>ROUND(K705*'Irish Basis'!$C$8*'Irish Basis'!$C$5,2)</f>
        <v/>
      </c>
      <c r="Q705" s="10">
        <f>ROUND(L705*'Irish Basis'!$C$12*'Irish Basis'!$C$5,2)</f>
        <v/>
      </c>
      <c r="R705" s="11">
        <f>ROUND(SUM(N705:Q705),2)</f>
        <v/>
      </c>
      <c r="S705" s="5" t="inlineStr">
        <is>
          <t>Stated build-up</t>
        </is>
      </c>
      <c r="T705" s="12" t="inlineStr">
        <is>
          <t>High</t>
        </is>
      </c>
      <c r="U705" s="8" t="n">
        <v>38.2</v>
      </c>
      <c r="V705" s="13">
        <f>IF(U705="","",ROUND(M705-U705,2))</f>
        <v/>
      </c>
      <c r="W705" s="5" t="n"/>
      <c r="X705" s="5" t="inlineStr">
        <is>
          <t>Labour + plant + material as published; reconciles to the published rate.</t>
        </is>
      </c>
    </row>
    <row r="706" ht="13" customHeight="1">
      <c r="A706" s="4" t="n">
        <v>1219</v>
      </c>
      <c r="B706" s="5" t="inlineStr">
        <is>
          <t>IMG_0082</t>
        </is>
      </c>
      <c r="C706" s="5" t="inlineStr">
        <is>
          <t>CLASS F: IN SITU CONCRETE</t>
        </is>
      </c>
      <c r="D706" s="5" t="inlineStr">
        <is>
          <t>06 PLACING OF CONCRETE; MASS</t>
        </is>
      </c>
      <c r="E706" s="5" t="inlineStr">
        <is>
          <t>Walls; thickness</t>
        </is>
      </c>
      <c r="F706" s="5" t="inlineStr">
        <is>
          <t>ADD to the above for placing against an excavated surface</t>
        </is>
      </c>
      <c r="G706" s="6" t="inlineStr">
        <is>
          <t>m3</t>
        </is>
      </c>
      <c r="H706" s="7" t="n">
        <v>0.03</v>
      </c>
      <c r="I706" s="8" t="n">
        <v>5.45</v>
      </c>
      <c r="J706" s="8" t="n">
        <v>4.21</v>
      </c>
      <c r="K706" s="8" t="n">
        <v>0</v>
      </c>
      <c r="L706" s="8" t="n">
        <v>0</v>
      </c>
      <c r="M706" s="9">
        <f>ROUND(SUM(I706:L706),2)</f>
        <v/>
      </c>
      <c r="N706" s="10">
        <f>ROUND(I706*'Irish Basis'!$C$6*'Irish Basis'!$C$5,2)</f>
        <v/>
      </c>
      <c r="O706" s="10">
        <f>ROUND(J706*'Irish Basis'!$C$7*'Irish Basis'!$C$5,2)</f>
        <v/>
      </c>
      <c r="P706" s="10">
        <f>ROUND(K706*'Irish Basis'!$C$8*'Irish Basis'!$C$5,2)</f>
        <v/>
      </c>
      <c r="Q706" s="10">
        <f>ROUND(L706*'Irish Basis'!$C$12*'Irish Basis'!$C$5,2)</f>
        <v/>
      </c>
      <c r="R706" s="11">
        <f>ROUND(SUM(N706:Q706),2)</f>
        <v/>
      </c>
      <c r="S706" s="5" t="inlineStr">
        <is>
          <t>Stated build-up</t>
        </is>
      </c>
      <c r="T706" s="12" t="inlineStr">
        <is>
          <t>High</t>
        </is>
      </c>
      <c r="U706" s="8" t="n">
        <v>9.66</v>
      </c>
      <c r="V706" s="13">
        <f>IF(U706="","",ROUND(M706-U706,2))</f>
        <v/>
      </c>
      <c r="W706" s="5" t="n"/>
      <c r="X706" s="5" t="inlineStr">
        <is>
          <t>Labour + plant + material as published; reconciles to the published rate.</t>
        </is>
      </c>
    </row>
    <row r="707" ht="13" customHeight="1">
      <c r="A707" s="4" t="n">
        <v>1221</v>
      </c>
      <c r="B707" s="5" t="inlineStr">
        <is>
          <t>IMG_0082</t>
        </is>
      </c>
      <c r="C707" s="5" t="inlineStr">
        <is>
          <t>CLASS F: IN SITU CONCRETE</t>
        </is>
      </c>
      <c r="D707" s="5" t="inlineStr">
        <is>
          <t>06 PLACING OF CONCRETE; MASS</t>
        </is>
      </c>
      <c r="E707" s="5" t="inlineStr">
        <is>
          <t>Other concrete forms</t>
        </is>
      </c>
      <c r="F707" s="5" t="inlineStr">
        <is>
          <t>plinth 1000 x 1000 x 600 mm</t>
        </is>
      </c>
      <c r="G707" s="6" t="inlineStr">
        <is>
          <t>m3</t>
        </is>
      </c>
      <c r="H707" s="7" t="n">
        <v>0.33</v>
      </c>
      <c r="I707" s="8" t="n">
        <v>59.93</v>
      </c>
      <c r="J707" s="8" t="n">
        <v>45.21</v>
      </c>
      <c r="K707" s="8" t="n">
        <v>0</v>
      </c>
      <c r="L707" s="8" t="n">
        <v>0</v>
      </c>
      <c r="M707" s="9">
        <f>ROUND(SUM(I707:L707),2)</f>
        <v/>
      </c>
      <c r="N707" s="10">
        <f>ROUND(I707*'Irish Basis'!$C$6*'Irish Basis'!$C$5,2)</f>
        <v/>
      </c>
      <c r="O707" s="10">
        <f>ROUND(J707*'Irish Basis'!$C$7*'Irish Basis'!$C$5,2)</f>
        <v/>
      </c>
      <c r="P707" s="10">
        <f>ROUND(K707*'Irish Basis'!$C$8*'Irish Basis'!$C$5,2)</f>
        <v/>
      </c>
      <c r="Q707" s="10">
        <f>ROUND(L707*'Irish Basis'!$C$12*'Irish Basis'!$C$5,2)</f>
        <v/>
      </c>
      <c r="R707" s="11">
        <f>ROUND(SUM(N707:Q707),2)</f>
        <v/>
      </c>
      <c r="S707" s="5" t="inlineStr">
        <is>
          <t>Stated build-up</t>
        </is>
      </c>
      <c r="T707" s="12" t="inlineStr">
        <is>
          <t>High</t>
        </is>
      </c>
      <c r="U707" s="8" t="n">
        <v>105.15</v>
      </c>
      <c r="V707" s="13">
        <f>IF(U707="","",ROUND(M707-U707,2))</f>
        <v/>
      </c>
      <c r="W707" s="5" t="n"/>
      <c r="X707" s="5" t="inlineStr">
        <is>
          <t>Labour + plant + material as published; reconciles to the published rate.</t>
        </is>
      </c>
    </row>
    <row r="708" ht="13" customHeight="1">
      <c r="A708" s="4" t="n">
        <v>1222</v>
      </c>
      <c r="B708" s="5" t="inlineStr">
        <is>
          <t>IMG_0082</t>
        </is>
      </c>
      <c r="C708" s="5" t="inlineStr">
        <is>
          <t>CLASS F: IN SITU CONCRETE</t>
        </is>
      </c>
      <c r="D708" s="5" t="inlineStr">
        <is>
          <t>06 PLACING OF CONCRETE; MASS</t>
        </is>
      </c>
      <c r="E708" s="5" t="inlineStr">
        <is>
          <t>Other concrete forms</t>
        </is>
      </c>
      <c r="F708" s="5" t="inlineStr">
        <is>
          <t>plinth 1500 x 1500 x 750 mm</t>
        </is>
      </c>
      <c r="G708" s="6" t="inlineStr">
        <is>
          <t>m3</t>
        </is>
      </c>
      <c r="H708" s="7" t="n">
        <v>0.25</v>
      </c>
      <c r="I708" s="8" t="n">
        <v>45.4</v>
      </c>
      <c r="J708" s="8" t="n">
        <v>34.29</v>
      </c>
      <c r="K708" s="8" t="n">
        <v>0</v>
      </c>
      <c r="L708" s="8" t="n">
        <v>0</v>
      </c>
      <c r="M708" s="9">
        <f>ROUND(SUM(I708:L708),2)</f>
        <v/>
      </c>
      <c r="N708" s="10">
        <f>ROUND(I708*'Irish Basis'!$C$6*'Irish Basis'!$C$5,2)</f>
        <v/>
      </c>
      <c r="O708" s="10">
        <f>ROUND(J708*'Irish Basis'!$C$7*'Irish Basis'!$C$5,2)</f>
        <v/>
      </c>
      <c r="P708" s="10">
        <f>ROUND(K708*'Irish Basis'!$C$8*'Irish Basis'!$C$5,2)</f>
        <v/>
      </c>
      <c r="Q708" s="10">
        <f>ROUND(L708*'Irish Basis'!$C$12*'Irish Basis'!$C$5,2)</f>
        <v/>
      </c>
      <c r="R708" s="11">
        <f>ROUND(SUM(N708:Q708),2)</f>
        <v/>
      </c>
      <c r="S708" s="5" t="inlineStr">
        <is>
          <t>Stated build-up</t>
        </is>
      </c>
      <c r="T708" s="12" t="inlineStr">
        <is>
          <t>High</t>
        </is>
      </c>
      <c r="U708" s="8" t="n">
        <v>79.69</v>
      </c>
      <c r="V708" s="13">
        <f>IF(U708="","",ROUND(M708-U708,2))</f>
        <v/>
      </c>
      <c r="W708" s="5" t="n"/>
      <c r="X708" s="5" t="inlineStr">
        <is>
          <t>Labour + plant + material as published; reconciles to the published rate.</t>
        </is>
      </c>
    </row>
    <row r="709" ht="13" customHeight="1">
      <c r="A709" s="4" t="n">
        <v>1223</v>
      </c>
      <c r="B709" s="5" t="inlineStr">
        <is>
          <t>IMG_0082</t>
        </is>
      </c>
      <c r="C709" s="5" t="inlineStr">
        <is>
          <t>CLASS F: IN SITU CONCRETE</t>
        </is>
      </c>
      <c r="D709" s="5" t="inlineStr">
        <is>
          <t>06 PLACING OF CONCRETE; MASS</t>
        </is>
      </c>
      <c r="E709" s="5" t="inlineStr">
        <is>
          <t>Other concrete forms</t>
        </is>
      </c>
      <c r="F709" s="5" t="inlineStr">
        <is>
          <t>plinth 2000 x 2000 x 600 mm</t>
        </is>
      </c>
      <c r="G709" s="6" t="inlineStr">
        <is>
          <t>m3</t>
        </is>
      </c>
      <c r="H709" s="7" t="n">
        <v>0.2</v>
      </c>
      <c r="I709" s="8" t="n">
        <v>36.32</v>
      </c>
      <c r="J709" s="8" t="n">
        <v>27.35</v>
      </c>
      <c r="K709" s="8" t="n">
        <v>0</v>
      </c>
      <c r="L709" s="8" t="n">
        <v>0</v>
      </c>
      <c r="M709" s="9">
        <f>ROUND(SUM(I709:L709),2)</f>
        <v/>
      </c>
      <c r="N709" s="10">
        <f>ROUND(I709*'Irish Basis'!$C$6*'Irish Basis'!$C$5,2)</f>
        <v/>
      </c>
      <c r="O709" s="10">
        <f>ROUND(J709*'Irish Basis'!$C$7*'Irish Basis'!$C$5,2)</f>
        <v/>
      </c>
      <c r="P709" s="10">
        <f>ROUND(K709*'Irish Basis'!$C$8*'Irish Basis'!$C$5,2)</f>
        <v/>
      </c>
      <c r="Q709" s="10">
        <f>ROUND(L709*'Irish Basis'!$C$12*'Irish Basis'!$C$5,2)</f>
        <v/>
      </c>
      <c r="R709" s="11">
        <f>ROUND(SUM(N709:Q709),2)</f>
        <v/>
      </c>
      <c r="S709" s="5" t="inlineStr">
        <is>
          <t>Stated build-up</t>
        </is>
      </c>
      <c r="T709" s="12" t="inlineStr">
        <is>
          <t>High</t>
        </is>
      </c>
      <c r="U709" s="8" t="n">
        <v>63.67</v>
      </c>
      <c r="V709" s="13">
        <f>IF(U709="","",ROUND(M709-U709,2))</f>
        <v/>
      </c>
      <c r="W709" s="5" t="n"/>
      <c r="X709" s="5" t="inlineStr">
        <is>
          <t>Labour + plant + material as published; reconciles to the published rate.</t>
        </is>
      </c>
    </row>
    <row r="710" ht="13" customHeight="1">
      <c r="A710" s="4" t="n">
        <v>1224</v>
      </c>
      <c r="B710" s="5" t="inlineStr">
        <is>
          <t>IMG_0082</t>
        </is>
      </c>
      <c r="C710" s="5" t="inlineStr">
        <is>
          <t>CLASS F: IN SITU CONCRETE</t>
        </is>
      </c>
      <c r="D710" s="5" t="inlineStr">
        <is>
          <t>06 PLACING OF CONCRETE; MASS</t>
        </is>
      </c>
      <c r="E710" s="5" t="inlineStr">
        <is>
          <t>Other concrete forms</t>
        </is>
      </c>
      <c r="F710" s="5" t="inlineStr">
        <is>
          <t>surround to precast concrete manhole chambers 200 mm thick</t>
        </is>
      </c>
      <c r="G710" s="6" t="inlineStr">
        <is>
          <t>m3</t>
        </is>
      </c>
      <c r="H710" s="7" t="n">
        <v>0.29</v>
      </c>
      <c r="I710" s="8" t="n">
        <v>52.67</v>
      </c>
      <c r="J710" s="8" t="n">
        <v>39.55</v>
      </c>
      <c r="K710" s="8" t="n">
        <v>0</v>
      </c>
      <c r="L710" s="8" t="n">
        <v>0</v>
      </c>
      <c r="M710" s="9">
        <f>ROUND(SUM(I710:L710),2)</f>
        <v/>
      </c>
      <c r="N710" s="10">
        <f>ROUND(I710*'Irish Basis'!$C$6*'Irish Basis'!$C$5,2)</f>
        <v/>
      </c>
      <c r="O710" s="10">
        <f>ROUND(J710*'Irish Basis'!$C$7*'Irish Basis'!$C$5,2)</f>
        <v/>
      </c>
      <c r="P710" s="10">
        <f>ROUND(K710*'Irish Basis'!$C$8*'Irish Basis'!$C$5,2)</f>
        <v/>
      </c>
      <c r="Q710" s="10">
        <f>ROUND(L710*'Irish Basis'!$C$12*'Irish Basis'!$C$5,2)</f>
        <v/>
      </c>
      <c r="R710" s="11">
        <f>ROUND(SUM(N710:Q710),2)</f>
        <v/>
      </c>
      <c r="S710" s="5" t="inlineStr">
        <is>
          <t>Stated build-up</t>
        </is>
      </c>
      <c r="T710" s="12" t="inlineStr">
        <is>
          <t>High</t>
        </is>
      </c>
      <c r="U710" s="8" t="n">
        <v>92.20999999999999</v>
      </c>
      <c r="V710" s="13">
        <f>IF(U710="","",ROUND(M710-U710,2))</f>
        <v/>
      </c>
      <c r="W710" s="5" t="n"/>
      <c r="X710" s="5" t="inlineStr">
        <is>
          <t>Labour + plant + material as published; reconciles to the published rate.</t>
        </is>
      </c>
    </row>
    <row r="711" ht="13" customHeight="1">
      <c r="A711" s="4" t="n">
        <v>1227</v>
      </c>
      <c r="B711" s="5" t="inlineStr">
        <is>
          <t>IMG_0082</t>
        </is>
      </c>
      <c r="C711" s="5" t="inlineStr">
        <is>
          <t>CLASS F: IN SITU CONCRETE</t>
        </is>
      </c>
      <c r="D711" s="5" t="inlineStr">
        <is>
          <t>07 PLACING OF CONCRETE; REINFORCED</t>
        </is>
      </c>
      <c r="E711" s="5" t="inlineStr">
        <is>
          <t>Bases, footings, pile caps and ground slabs; thickness</t>
        </is>
      </c>
      <c r="F711" s="5" t="inlineStr">
        <is>
          <t>ne 150 mm</t>
        </is>
      </c>
      <c r="G711" s="6" t="inlineStr">
        <is>
          <t>m3</t>
        </is>
      </c>
      <c r="H711" s="7" t="n">
        <v>0.21</v>
      </c>
      <c r="I711" s="8" t="n">
        <v>38.14</v>
      </c>
      <c r="J711" s="8" t="n">
        <v>28.81</v>
      </c>
      <c r="K711" s="8" t="n">
        <v>0</v>
      </c>
      <c r="L711" s="8" t="n">
        <v>0</v>
      </c>
      <c r="M711" s="9">
        <f>ROUND(SUM(I711:L711),2)</f>
        <v/>
      </c>
      <c r="N711" s="10">
        <f>ROUND(I711*'Irish Basis'!$C$6*'Irish Basis'!$C$5,2)</f>
        <v/>
      </c>
      <c r="O711" s="10">
        <f>ROUND(J711*'Irish Basis'!$C$7*'Irish Basis'!$C$5,2)</f>
        <v/>
      </c>
      <c r="P711" s="10">
        <f>ROUND(K711*'Irish Basis'!$C$8*'Irish Basis'!$C$5,2)</f>
        <v/>
      </c>
      <c r="Q711" s="10">
        <f>ROUND(L711*'Irish Basis'!$C$12*'Irish Basis'!$C$5,2)</f>
        <v/>
      </c>
      <c r="R711" s="11">
        <f>ROUND(SUM(N711:Q711),2)</f>
        <v/>
      </c>
      <c r="S711" s="5" t="inlineStr">
        <is>
          <t>Stated build-up</t>
        </is>
      </c>
      <c r="T711" s="12" t="inlineStr">
        <is>
          <t>High</t>
        </is>
      </c>
      <c r="U711" s="8" t="n">
        <v>66.95</v>
      </c>
      <c r="V711" s="13">
        <f>IF(U711="","",ROUND(M711-U711,2))</f>
        <v/>
      </c>
      <c r="W711" s="5" t="n"/>
      <c r="X711" s="5" t="inlineStr">
        <is>
          <t>Labour + plant + material as published; reconciles to the published rate.</t>
        </is>
      </c>
    </row>
    <row r="712" ht="13" customHeight="1">
      <c r="A712" s="4" t="n">
        <v>1228</v>
      </c>
      <c r="B712" s="5" t="inlineStr">
        <is>
          <t>IMG_0082</t>
        </is>
      </c>
      <c r="C712" s="5" t="inlineStr">
        <is>
          <t>CLASS F: IN SITU CONCRETE</t>
        </is>
      </c>
      <c r="D712" s="5" t="inlineStr">
        <is>
          <t>07 PLACING OF CONCRETE; REINFORCED</t>
        </is>
      </c>
      <c r="E712" s="5" t="inlineStr">
        <is>
          <t>Bases, footings, pile caps and ground slabs; thickness</t>
        </is>
      </c>
      <c r="F712" s="5" t="inlineStr">
        <is>
          <t>150-300 mm</t>
        </is>
      </c>
      <c r="G712" s="6" t="inlineStr">
        <is>
          <t>m3</t>
        </is>
      </c>
      <c r="H712" s="7" t="n">
        <v>0.18</v>
      </c>
      <c r="I712" s="8" t="n">
        <v>32.69</v>
      </c>
      <c r="J712" s="8" t="n">
        <v>24.6</v>
      </c>
      <c r="K712" s="8" t="n">
        <v>0</v>
      </c>
      <c r="L712" s="8" t="n">
        <v>0</v>
      </c>
      <c r="M712" s="9">
        <f>ROUND(SUM(I712:L712),2)</f>
        <v/>
      </c>
      <c r="N712" s="10">
        <f>ROUND(I712*'Irish Basis'!$C$6*'Irish Basis'!$C$5,2)</f>
        <v/>
      </c>
      <c r="O712" s="10">
        <f>ROUND(J712*'Irish Basis'!$C$7*'Irish Basis'!$C$5,2)</f>
        <v/>
      </c>
      <c r="P712" s="10">
        <f>ROUND(K712*'Irish Basis'!$C$8*'Irish Basis'!$C$5,2)</f>
        <v/>
      </c>
      <c r="Q712" s="10">
        <f>ROUND(L712*'Irish Basis'!$C$12*'Irish Basis'!$C$5,2)</f>
        <v/>
      </c>
      <c r="R712" s="11">
        <f>ROUND(SUM(N712:Q712),2)</f>
        <v/>
      </c>
      <c r="S712" s="5" t="inlineStr">
        <is>
          <t>Stated build-up</t>
        </is>
      </c>
      <c r="T712" s="12" t="inlineStr">
        <is>
          <t>High</t>
        </is>
      </c>
      <c r="U712" s="8" t="n">
        <v>57.29</v>
      </c>
      <c r="V712" s="13">
        <f>IF(U712="","",ROUND(M712-U712,2))</f>
        <v/>
      </c>
      <c r="W712" s="5" t="n"/>
      <c r="X712" s="5" t="inlineStr">
        <is>
          <t>Labour + plant + material as published; reconciles to the published rate.</t>
        </is>
      </c>
    </row>
    <row r="713" ht="13" customHeight="1">
      <c r="A713" s="4" t="n">
        <v>1229</v>
      </c>
      <c r="B713" s="5" t="inlineStr">
        <is>
          <t>IMG_0082</t>
        </is>
      </c>
      <c r="C713" s="5" t="inlineStr">
        <is>
          <t>CLASS F: IN SITU CONCRETE</t>
        </is>
      </c>
      <c r="D713" s="5" t="inlineStr">
        <is>
          <t>07 PLACING OF CONCRETE; REINFORCED</t>
        </is>
      </c>
      <c r="E713" s="5" t="inlineStr">
        <is>
          <t>Bases, footings, pile caps and ground slabs; thickness</t>
        </is>
      </c>
      <c r="F713" s="5" t="inlineStr">
        <is>
          <t>300-500 mm</t>
        </is>
      </c>
      <c r="G713" s="6" t="inlineStr">
        <is>
          <t>m3</t>
        </is>
      </c>
      <c r="H713" s="7" t="n">
        <v>0.16</v>
      </c>
      <c r="I713" s="8" t="n">
        <v>29.06</v>
      </c>
      <c r="J713" s="8" t="n">
        <v>21.88</v>
      </c>
      <c r="K713" s="8" t="n">
        <v>0</v>
      </c>
      <c r="L713" s="8" t="n">
        <v>0</v>
      </c>
      <c r="M713" s="9">
        <f>ROUND(SUM(I713:L713),2)</f>
        <v/>
      </c>
      <c r="N713" s="10">
        <f>ROUND(I713*'Irish Basis'!$C$6*'Irish Basis'!$C$5,2)</f>
        <v/>
      </c>
      <c r="O713" s="10">
        <f>ROUND(J713*'Irish Basis'!$C$7*'Irish Basis'!$C$5,2)</f>
        <v/>
      </c>
      <c r="P713" s="10">
        <f>ROUND(K713*'Irish Basis'!$C$8*'Irish Basis'!$C$5,2)</f>
        <v/>
      </c>
      <c r="Q713" s="10">
        <f>ROUND(L713*'Irish Basis'!$C$12*'Irish Basis'!$C$5,2)</f>
        <v/>
      </c>
      <c r="R713" s="11">
        <f>ROUND(SUM(N713:Q713),2)</f>
        <v/>
      </c>
      <c r="S713" s="5" t="inlineStr">
        <is>
          <t>Stated build-up</t>
        </is>
      </c>
      <c r="T713" s="12" t="inlineStr">
        <is>
          <t>High</t>
        </is>
      </c>
      <c r="U713" s="8" t="n">
        <v>50.93</v>
      </c>
      <c r="V713" s="13">
        <f>IF(U713="","",ROUND(M713-U713,2))</f>
        <v/>
      </c>
      <c r="W713" s="5" t="n"/>
      <c r="X713" s="5" t="inlineStr">
        <is>
          <t>Labour + plant + material as published; reconciles to the published rate.</t>
        </is>
      </c>
    </row>
    <row r="714" ht="13" customHeight="1">
      <c r="A714" s="4" t="n">
        <v>1230</v>
      </c>
      <c r="B714" s="5" t="inlineStr">
        <is>
          <t>IMG_0082</t>
        </is>
      </c>
      <c r="C714" s="5" t="inlineStr">
        <is>
          <t>CLASS F: IN SITU CONCRETE</t>
        </is>
      </c>
      <c r="D714" s="5" t="inlineStr">
        <is>
          <t>07 PLACING OF CONCRETE; REINFORCED</t>
        </is>
      </c>
      <c r="E714" s="5" t="inlineStr">
        <is>
          <t>Bases, footings, pile caps and ground slabs; thickness</t>
        </is>
      </c>
      <c r="F714" s="5" t="inlineStr">
        <is>
          <t>exceeding 500 mm</t>
        </is>
      </c>
      <c r="G714" s="6" t="inlineStr">
        <is>
          <t>m3</t>
        </is>
      </c>
      <c r="H714" s="7" t="n">
        <v>0.15</v>
      </c>
      <c r="I714" s="8" t="n">
        <v>27.24</v>
      </c>
      <c r="J714" s="8" t="n">
        <v>20.41</v>
      </c>
      <c r="K714" s="8" t="n">
        <v>0</v>
      </c>
      <c r="L714" s="8" t="n">
        <v>0</v>
      </c>
      <c r="M714" s="9">
        <f>ROUND(SUM(I714:L714),2)</f>
        <v/>
      </c>
      <c r="N714" s="10">
        <f>ROUND(I714*'Irish Basis'!$C$6*'Irish Basis'!$C$5,2)</f>
        <v/>
      </c>
      <c r="O714" s="10">
        <f>ROUND(J714*'Irish Basis'!$C$7*'Irish Basis'!$C$5,2)</f>
        <v/>
      </c>
      <c r="P714" s="10">
        <f>ROUND(K714*'Irish Basis'!$C$8*'Irish Basis'!$C$5,2)</f>
        <v/>
      </c>
      <c r="Q714" s="10">
        <f>ROUND(L714*'Irish Basis'!$C$12*'Irish Basis'!$C$5,2)</f>
        <v/>
      </c>
      <c r="R714" s="11">
        <f>ROUND(SUM(N714:Q714),2)</f>
        <v/>
      </c>
      <c r="S714" s="5" t="inlineStr">
        <is>
          <t>Stated build-up</t>
        </is>
      </c>
      <c r="T714" s="12" t="inlineStr">
        <is>
          <t>High</t>
        </is>
      </c>
      <c r="U714" s="8" t="n">
        <v>47.66</v>
      </c>
      <c r="V714" s="13">
        <f>IF(U714="","",ROUND(M714-U714,2))</f>
        <v/>
      </c>
      <c r="W714" s="5" t="n"/>
      <c r="X714" s="5" t="inlineStr">
        <is>
          <t>Labour + plant + material as published; reconciles to the published rate.</t>
        </is>
      </c>
    </row>
    <row r="715" ht="13" customHeight="1">
      <c r="A715" s="4" t="n">
        <v>1232</v>
      </c>
      <c r="B715" s="5" t="inlineStr">
        <is>
          <t>IMG_0082</t>
        </is>
      </c>
      <c r="C715" s="5" t="inlineStr">
        <is>
          <t>CLASS F: IN SITU CONCRETE</t>
        </is>
      </c>
      <c r="D715" s="5" t="inlineStr">
        <is>
          <t>07 PLACING OF CONCRETE; REINFORCED</t>
        </is>
      </c>
      <c r="E715" s="5" t="inlineStr">
        <is>
          <t>Suspended slabs; thickness</t>
        </is>
      </c>
      <c r="F715" s="5" t="inlineStr">
        <is>
          <t>ne 150 mm</t>
        </is>
      </c>
      <c r="G715" s="6" t="inlineStr">
        <is>
          <t>m3</t>
        </is>
      </c>
      <c r="H715" s="7" t="n">
        <v>0.27</v>
      </c>
      <c r="I715" s="8" t="n">
        <v>49.03</v>
      </c>
      <c r="J715" s="8" t="n">
        <v>37.02</v>
      </c>
      <c r="K715" s="8" t="n">
        <v>0</v>
      </c>
      <c r="L715" s="8" t="n">
        <v>0</v>
      </c>
      <c r="M715" s="9">
        <f>ROUND(SUM(I715:L715),2)</f>
        <v/>
      </c>
      <c r="N715" s="10">
        <f>ROUND(I715*'Irish Basis'!$C$6*'Irish Basis'!$C$5,2)</f>
        <v/>
      </c>
      <c r="O715" s="10">
        <f>ROUND(J715*'Irish Basis'!$C$7*'Irish Basis'!$C$5,2)</f>
        <v/>
      </c>
      <c r="P715" s="10">
        <f>ROUND(K715*'Irish Basis'!$C$8*'Irish Basis'!$C$5,2)</f>
        <v/>
      </c>
      <c r="Q715" s="10">
        <f>ROUND(L715*'Irish Basis'!$C$12*'Irish Basis'!$C$5,2)</f>
        <v/>
      </c>
      <c r="R715" s="11">
        <f>ROUND(SUM(N715:Q715),2)</f>
        <v/>
      </c>
      <c r="S715" s="5" t="inlineStr">
        <is>
          <t>Stated build-up</t>
        </is>
      </c>
      <c r="T715" s="12" t="inlineStr">
        <is>
          <t>High</t>
        </is>
      </c>
      <c r="U715" s="8" t="n">
        <v>86.06</v>
      </c>
      <c r="V715" s="13">
        <f>IF(U715="","",ROUND(M715-U715,2))</f>
        <v/>
      </c>
      <c r="W715" s="5" t="n"/>
      <c r="X715" s="5" t="inlineStr">
        <is>
          <t>Labour + plant + material as published; reconciles to the published rate.</t>
        </is>
      </c>
    </row>
    <row r="716" ht="13" customHeight="1">
      <c r="A716" s="4" t="n">
        <v>1233</v>
      </c>
      <c r="B716" s="5" t="inlineStr">
        <is>
          <t>IMG_0082</t>
        </is>
      </c>
      <c r="C716" s="5" t="inlineStr">
        <is>
          <t>CLASS F: IN SITU CONCRETE</t>
        </is>
      </c>
      <c r="D716" s="5" t="inlineStr">
        <is>
          <t>07 PLACING OF CONCRETE; REINFORCED</t>
        </is>
      </c>
      <c r="E716" s="5" t="inlineStr">
        <is>
          <t>Suspended slabs; thickness</t>
        </is>
      </c>
      <c r="F716" s="5" t="inlineStr">
        <is>
          <t>150-300 mm</t>
        </is>
      </c>
      <c r="G716" s="6" t="inlineStr">
        <is>
          <t>m3</t>
        </is>
      </c>
      <c r="H716" s="7" t="n">
        <v>0.21</v>
      </c>
      <c r="I716" s="8" t="n">
        <v>38.14</v>
      </c>
      <c r="J716" s="8" t="n">
        <v>28.81</v>
      </c>
      <c r="K716" s="8" t="n">
        <v>0</v>
      </c>
      <c r="L716" s="8" t="n">
        <v>0</v>
      </c>
      <c r="M716" s="9">
        <f>ROUND(SUM(I716:L716),2)</f>
        <v/>
      </c>
      <c r="N716" s="10">
        <f>ROUND(I716*'Irish Basis'!$C$6*'Irish Basis'!$C$5,2)</f>
        <v/>
      </c>
      <c r="O716" s="10">
        <f>ROUND(J716*'Irish Basis'!$C$7*'Irish Basis'!$C$5,2)</f>
        <v/>
      </c>
      <c r="P716" s="10">
        <f>ROUND(K716*'Irish Basis'!$C$8*'Irish Basis'!$C$5,2)</f>
        <v/>
      </c>
      <c r="Q716" s="10">
        <f>ROUND(L716*'Irish Basis'!$C$12*'Irish Basis'!$C$5,2)</f>
        <v/>
      </c>
      <c r="R716" s="11">
        <f>ROUND(SUM(N716:Q716),2)</f>
        <v/>
      </c>
      <c r="S716" s="5" t="inlineStr">
        <is>
          <t>Stated build-up</t>
        </is>
      </c>
      <c r="T716" s="12" t="inlineStr">
        <is>
          <t>High</t>
        </is>
      </c>
      <c r="U716" s="8" t="n">
        <v>66.95</v>
      </c>
      <c r="V716" s="13">
        <f>IF(U716="","",ROUND(M716-U716,2))</f>
        <v/>
      </c>
      <c r="W716" s="5" t="n"/>
      <c r="X716" s="5" t="inlineStr">
        <is>
          <t>Labour + plant + material as published; reconciles to the published rate.</t>
        </is>
      </c>
    </row>
    <row r="717" ht="13" customHeight="1">
      <c r="A717" s="4" t="n">
        <v>1234</v>
      </c>
      <c r="B717" s="5" t="inlineStr">
        <is>
          <t>IMG_0082</t>
        </is>
      </c>
      <c r="C717" s="5" t="inlineStr">
        <is>
          <t>CLASS F: IN SITU CONCRETE</t>
        </is>
      </c>
      <c r="D717" s="5" t="inlineStr">
        <is>
          <t>07 PLACING OF CONCRETE; REINFORCED</t>
        </is>
      </c>
      <c r="E717" s="5" t="inlineStr">
        <is>
          <t>Suspended slabs; thickness</t>
        </is>
      </c>
      <c r="F717" s="5" t="inlineStr">
        <is>
          <t>300-500 mm</t>
        </is>
      </c>
      <c r="G717" s="6" t="inlineStr">
        <is>
          <t>m3</t>
        </is>
      </c>
      <c r="H717" s="7" t="n">
        <v>0.19</v>
      </c>
      <c r="I717" s="8" t="n">
        <v>34.51</v>
      </c>
      <c r="J717" s="8" t="n">
        <v>26.08</v>
      </c>
      <c r="K717" s="8" t="n">
        <v>0</v>
      </c>
      <c r="L717" s="8" t="n">
        <v>0</v>
      </c>
      <c r="M717" s="9">
        <f>ROUND(SUM(I717:L717),2)</f>
        <v/>
      </c>
      <c r="N717" s="10">
        <f>ROUND(I717*'Irish Basis'!$C$6*'Irish Basis'!$C$5,2)</f>
        <v/>
      </c>
      <c r="O717" s="10">
        <f>ROUND(J717*'Irish Basis'!$C$7*'Irish Basis'!$C$5,2)</f>
        <v/>
      </c>
      <c r="P717" s="10">
        <f>ROUND(K717*'Irish Basis'!$C$8*'Irish Basis'!$C$5,2)</f>
        <v/>
      </c>
      <c r="Q717" s="10">
        <f>ROUND(L717*'Irish Basis'!$C$12*'Irish Basis'!$C$5,2)</f>
        <v/>
      </c>
      <c r="R717" s="11">
        <f>ROUND(SUM(N717:Q717),2)</f>
        <v/>
      </c>
      <c r="S717" s="5" t="inlineStr">
        <is>
          <t>Stated build-up</t>
        </is>
      </c>
      <c r="T717" s="12" t="inlineStr">
        <is>
          <t>High</t>
        </is>
      </c>
      <c r="U717" s="8" t="n">
        <v>60.59</v>
      </c>
      <c r="V717" s="13">
        <f>IF(U717="","",ROUND(M717-U717,2))</f>
        <v/>
      </c>
      <c r="W717" s="5" t="n"/>
      <c r="X717" s="5" t="inlineStr">
        <is>
          <t>Labour + plant + material as published; reconciles to the published rate.</t>
        </is>
      </c>
    </row>
    <row r="718" ht="13" customHeight="1">
      <c r="A718" s="4" t="n">
        <v>1235</v>
      </c>
      <c r="B718" s="5" t="inlineStr">
        <is>
          <t>IMG_0082</t>
        </is>
      </c>
      <c r="C718" s="5" t="inlineStr">
        <is>
          <t>CLASS F: IN SITU CONCRETE</t>
        </is>
      </c>
      <c r="D718" s="5" t="inlineStr">
        <is>
          <t>07 PLACING OF CONCRETE; REINFORCED</t>
        </is>
      </c>
      <c r="E718" s="5" t="inlineStr">
        <is>
          <t>Suspended slabs; thickness</t>
        </is>
      </c>
      <c r="F718" s="5" t="inlineStr">
        <is>
          <t>exceeding 500 mm</t>
        </is>
      </c>
      <c r="G718" s="6" t="inlineStr">
        <is>
          <t>m3</t>
        </is>
      </c>
      <c r="H718" s="7" t="n">
        <v>0.19</v>
      </c>
      <c r="I718" s="8" t="n">
        <v>34.51</v>
      </c>
      <c r="J718" s="8" t="n">
        <v>26.08</v>
      </c>
      <c r="K718" s="8" t="n">
        <v>0</v>
      </c>
      <c r="L718" s="8" t="n">
        <v>0</v>
      </c>
      <c r="M718" s="9">
        <f>ROUND(SUM(I718:L718),2)</f>
        <v/>
      </c>
      <c r="N718" s="10">
        <f>ROUND(I718*'Irish Basis'!$C$6*'Irish Basis'!$C$5,2)</f>
        <v/>
      </c>
      <c r="O718" s="10">
        <f>ROUND(J718*'Irish Basis'!$C$7*'Irish Basis'!$C$5,2)</f>
        <v/>
      </c>
      <c r="P718" s="10">
        <f>ROUND(K718*'Irish Basis'!$C$8*'Irish Basis'!$C$5,2)</f>
        <v/>
      </c>
      <c r="Q718" s="10">
        <f>ROUND(L718*'Irish Basis'!$C$12*'Irish Basis'!$C$5,2)</f>
        <v/>
      </c>
      <c r="R718" s="11">
        <f>ROUND(SUM(N718:Q718),2)</f>
        <v/>
      </c>
      <c r="S718" s="5" t="inlineStr">
        <is>
          <t>Stated build-up</t>
        </is>
      </c>
      <c r="T718" s="12" t="inlineStr">
        <is>
          <t>High</t>
        </is>
      </c>
      <c r="U718" s="8" t="n">
        <v>60.59</v>
      </c>
      <c r="V718" s="13">
        <f>IF(U718="","",ROUND(M718-U718,2))</f>
        <v/>
      </c>
      <c r="W718" s="5" t="n"/>
      <c r="X718" s="5" t="inlineStr">
        <is>
          <t>Labour + plant + material as published; reconciles to the published rate.</t>
        </is>
      </c>
    </row>
    <row r="719" ht="13" customHeight="1">
      <c r="A719" s="4" t="n">
        <v>1237</v>
      </c>
      <c r="B719" s="5" t="inlineStr">
        <is>
          <t>IMG_0082</t>
        </is>
      </c>
      <c r="C719" s="5" t="inlineStr">
        <is>
          <t>CLASS F: IN SITU CONCRETE</t>
        </is>
      </c>
      <c r="D719" s="5" t="inlineStr">
        <is>
          <t>07 PLACING OF CONCRETE; REINFORCED</t>
        </is>
      </c>
      <c r="E719" s="5" t="inlineStr">
        <is>
          <t>Walls; thickness</t>
        </is>
      </c>
      <c r="F719" s="5" t="inlineStr">
        <is>
          <t>ne 150 mm</t>
        </is>
      </c>
      <c r="G719" s="6" t="inlineStr">
        <is>
          <t>m3</t>
        </is>
      </c>
      <c r="H719" s="7" t="n">
        <v>0.29</v>
      </c>
      <c r="I719" s="8" t="n">
        <v>52.67</v>
      </c>
      <c r="J719" s="8" t="n">
        <v>39.55</v>
      </c>
      <c r="K719" s="8" t="n">
        <v>0</v>
      </c>
      <c r="L719" s="8" t="n">
        <v>0</v>
      </c>
      <c r="M719" s="9">
        <f>ROUND(SUM(I719:L719),2)</f>
        <v/>
      </c>
      <c r="N719" s="10">
        <f>ROUND(I719*'Irish Basis'!$C$6*'Irish Basis'!$C$5,2)</f>
        <v/>
      </c>
      <c r="O719" s="10">
        <f>ROUND(J719*'Irish Basis'!$C$7*'Irish Basis'!$C$5,2)</f>
        <v/>
      </c>
      <c r="P719" s="10">
        <f>ROUND(K719*'Irish Basis'!$C$8*'Irish Basis'!$C$5,2)</f>
        <v/>
      </c>
      <c r="Q719" s="10">
        <f>ROUND(L719*'Irish Basis'!$C$12*'Irish Basis'!$C$5,2)</f>
        <v/>
      </c>
      <c r="R719" s="11">
        <f>ROUND(SUM(N719:Q719),2)</f>
        <v/>
      </c>
      <c r="S719" s="5" t="inlineStr">
        <is>
          <t>Stated build-up</t>
        </is>
      </c>
      <c r="T719" s="12" t="inlineStr">
        <is>
          <t>High</t>
        </is>
      </c>
      <c r="U719" s="8" t="n">
        <v>92.20999999999999</v>
      </c>
      <c r="V719" s="13">
        <f>IF(U719="","",ROUND(M719-U719,2))</f>
        <v/>
      </c>
      <c r="W719" s="5" t="n"/>
      <c r="X719" s="5" t="inlineStr">
        <is>
          <t>Labour + plant + material as published; reconciles to the published rate.</t>
        </is>
      </c>
    </row>
    <row r="720" ht="13" customHeight="1">
      <c r="A720" s="4" t="n">
        <v>1238</v>
      </c>
      <c r="B720" s="5" t="inlineStr">
        <is>
          <t>IMG_0082</t>
        </is>
      </c>
      <c r="C720" s="5" t="inlineStr">
        <is>
          <t>CLASS F: IN SITU CONCRETE</t>
        </is>
      </c>
      <c r="D720" s="5" t="inlineStr">
        <is>
          <t>07 PLACING OF CONCRETE; REINFORCED</t>
        </is>
      </c>
      <c r="E720" s="5" t="inlineStr">
        <is>
          <t>Walls; thickness</t>
        </is>
      </c>
      <c r="F720" s="5" t="inlineStr">
        <is>
          <t>150-300 mm</t>
        </is>
      </c>
      <c r="G720" s="6" t="inlineStr">
        <is>
          <t>m3</t>
        </is>
      </c>
      <c r="H720" s="7" t="n">
        <v>0.22</v>
      </c>
      <c r="I720" s="8" t="n">
        <v>39.95</v>
      </c>
      <c r="J720" s="8" t="n">
        <v>30.1</v>
      </c>
      <c r="K720" s="8" t="n">
        <v>0</v>
      </c>
      <c r="L720" s="8" t="n">
        <v>0</v>
      </c>
      <c r="M720" s="9">
        <f>ROUND(SUM(I720:L720),2)</f>
        <v/>
      </c>
      <c r="N720" s="10">
        <f>ROUND(I720*'Irish Basis'!$C$6*'Irish Basis'!$C$5,2)</f>
        <v/>
      </c>
      <c r="O720" s="10">
        <f>ROUND(J720*'Irish Basis'!$C$7*'Irish Basis'!$C$5,2)</f>
        <v/>
      </c>
      <c r="P720" s="10">
        <f>ROUND(K720*'Irish Basis'!$C$8*'Irish Basis'!$C$5,2)</f>
        <v/>
      </c>
      <c r="Q720" s="10">
        <f>ROUND(L720*'Irish Basis'!$C$12*'Irish Basis'!$C$5,2)</f>
        <v/>
      </c>
      <c r="R720" s="11">
        <f>ROUND(SUM(N720:Q720),2)</f>
        <v/>
      </c>
      <c r="S720" s="5" t="inlineStr">
        <is>
          <t>Stated build-up</t>
        </is>
      </c>
      <c r="T720" s="12" t="inlineStr">
        <is>
          <t>High</t>
        </is>
      </c>
      <c r="U720" s="8" t="n">
        <v>70.06</v>
      </c>
      <c r="V720" s="13">
        <f>IF(U720="","",ROUND(M720-U720,2))</f>
        <v/>
      </c>
      <c r="W720" s="5" t="n"/>
      <c r="X720" s="5" t="inlineStr">
        <is>
          <t>Labour + plant + material as published; reconciles to the published rate.</t>
        </is>
      </c>
    </row>
    <row r="721" ht="13" customHeight="1">
      <c r="A721" s="4" t="n">
        <v>1239</v>
      </c>
      <c r="B721" s="5" t="inlineStr">
        <is>
          <t>IMG_0082</t>
        </is>
      </c>
      <c r="C721" s="5" t="inlineStr">
        <is>
          <t>CLASS F: IN SITU CONCRETE</t>
        </is>
      </c>
      <c r="D721" s="5" t="inlineStr">
        <is>
          <t>07 PLACING OF CONCRETE; REINFORCED</t>
        </is>
      </c>
      <c r="E721" s="5" t="inlineStr">
        <is>
          <t>Walls; thickness</t>
        </is>
      </c>
      <c r="F721" s="5" t="inlineStr">
        <is>
          <t>300-500 mm</t>
        </is>
      </c>
      <c r="G721" s="6" t="inlineStr">
        <is>
          <t>m3</t>
        </is>
      </c>
      <c r="H721" s="7" t="n">
        <v>0.2</v>
      </c>
      <c r="I721" s="8" t="n">
        <v>36.32</v>
      </c>
      <c r="J721" s="8" t="n">
        <v>27.35</v>
      </c>
      <c r="K721" s="8" t="n">
        <v>0</v>
      </c>
      <c r="L721" s="8" t="n">
        <v>0</v>
      </c>
      <c r="M721" s="9">
        <f>ROUND(SUM(I721:L721),2)</f>
        <v/>
      </c>
      <c r="N721" s="10">
        <f>ROUND(I721*'Irish Basis'!$C$6*'Irish Basis'!$C$5,2)</f>
        <v/>
      </c>
      <c r="O721" s="10">
        <f>ROUND(J721*'Irish Basis'!$C$7*'Irish Basis'!$C$5,2)</f>
        <v/>
      </c>
      <c r="P721" s="10">
        <f>ROUND(K721*'Irish Basis'!$C$8*'Irish Basis'!$C$5,2)</f>
        <v/>
      </c>
      <c r="Q721" s="10">
        <f>ROUND(L721*'Irish Basis'!$C$12*'Irish Basis'!$C$5,2)</f>
        <v/>
      </c>
      <c r="R721" s="11">
        <f>ROUND(SUM(N721:Q721),2)</f>
        <v/>
      </c>
      <c r="S721" s="5" t="inlineStr">
        <is>
          <t>Stated build-up</t>
        </is>
      </c>
      <c r="T721" s="12" t="inlineStr">
        <is>
          <t>High</t>
        </is>
      </c>
      <c r="U721" s="8" t="n">
        <v>63.67</v>
      </c>
      <c r="V721" s="13">
        <f>IF(U721="","",ROUND(M721-U721,2))</f>
        <v/>
      </c>
      <c r="W721" s="5" t="n"/>
      <c r="X721" s="5" t="inlineStr">
        <is>
          <t>Labour + plant + material as published; reconciles to the published rate.</t>
        </is>
      </c>
    </row>
    <row r="722" ht="13" customHeight="1">
      <c r="A722" s="4" t="n">
        <v>1240</v>
      </c>
      <c r="B722" s="5" t="inlineStr">
        <is>
          <t>IMG_0082</t>
        </is>
      </c>
      <c r="C722" s="5" t="inlineStr">
        <is>
          <t>CLASS F: IN SITU CONCRETE</t>
        </is>
      </c>
      <c r="D722" s="5" t="inlineStr">
        <is>
          <t>07 PLACING OF CONCRETE; REINFORCED</t>
        </is>
      </c>
      <c r="E722" s="5" t="inlineStr">
        <is>
          <t>Walls; thickness</t>
        </is>
      </c>
      <c r="F722" s="5" t="inlineStr">
        <is>
          <t>exceeding 500 mm</t>
        </is>
      </c>
      <c r="G722" s="6" t="inlineStr">
        <is>
          <t>m3</t>
        </is>
      </c>
      <c r="H722" s="7" t="n">
        <v>0.2</v>
      </c>
      <c r="I722" s="8" t="n">
        <v>36.32</v>
      </c>
      <c r="J722" s="8" t="n">
        <v>27.35</v>
      </c>
      <c r="K722" s="8" t="n">
        <v>0</v>
      </c>
      <c r="L722" s="8" t="n">
        <v>0</v>
      </c>
      <c r="M722" s="9">
        <f>ROUND(SUM(I722:L722),2)</f>
        <v/>
      </c>
      <c r="N722" s="10">
        <f>ROUND(I722*'Irish Basis'!$C$6*'Irish Basis'!$C$5,2)</f>
        <v/>
      </c>
      <c r="O722" s="10">
        <f>ROUND(J722*'Irish Basis'!$C$7*'Irish Basis'!$C$5,2)</f>
        <v/>
      </c>
      <c r="P722" s="10">
        <f>ROUND(K722*'Irish Basis'!$C$8*'Irish Basis'!$C$5,2)</f>
        <v/>
      </c>
      <c r="Q722" s="10">
        <f>ROUND(L722*'Irish Basis'!$C$12*'Irish Basis'!$C$5,2)</f>
        <v/>
      </c>
      <c r="R722" s="11">
        <f>ROUND(SUM(N722:Q722),2)</f>
        <v/>
      </c>
      <c r="S722" s="5" t="inlineStr">
        <is>
          <t>Stated build-up</t>
        </is>
      </c>
      <c r="T722" s="12" t="inlineStr">
        <is>
          <t>High</t>
        </is>
      </c>
      <c r="U722" s="8" t="n">
        <v>63.67</v>
      </c>
      <c r="V722" s="13">
        <f>IF(U722="","",ROUND(M722-U722,2))</f>
        <v/>
      </c>
      <c r="W722" s="5" t="n"/>
      <c r="X722" s="5" t="inlineStr">
        <is>
          <t>Labour + plant + material as published; reconciles to the published rate.</t>
        </is>
      </c>
    </row>
    <row r="723" ht="13" customHeight="1">
      <c r="A723" s="4" t="n">
        <v>1242</v>
      </c>
      <c r="B723" s="5" t="inlineStr">
        <is>
          <t>IMG_0082</t>
        </is>
      </c>
      <c r="C723" s="5" t="inlineStr">
        <is>
          <t>CLASS F: IN SITU CONCRETE</t>
        </is>
      </c>
      <c r="D723" s="5" t="inlineStr">
        <is>
          <t>07 PLACING OF CONCRETE; REINFORCED</t>
        </is>
      </c>
      <c r="E723" s="5" t="inlineStr">
        <is>
          <t>Columns and piers; cross-sectional area</t>
        </is>
      </c>
      <c r="F723" s="5" t="inlineStr">
        <is>
          <t>ne 0.03 m2</t>
        </is>
      </c>
      <c r="G723" s="6" t="inlineStr">
        <is>
          <t>m3</t>
        </is>
      </c>
      <c r="H723" s="7" t="n">
        <v>0.5</v>
      </c>
      <c r="I723" s="8" t="n">
        <v>90.8</v>
      </c>
      <c r="J723" s="8" t="n">
        <v>68.37</v>
      </c>
      <c r="K723" s="8" t="n">
        <v>0</v>
      </c>
      <c r="L723" s="8" t="n">
        <v>0</v>
      </c>
      <c r="M723" s="9">
        <f>ROUND(SUM(I723:L723),2)</f>
        <v/>
      </c>
      <c r="N723" s="10">
        <f>ROUND(I723*'Irish Basis'!$C$6*'Irish Basis'!$C$5,2)</f>
        <v/>
      </c>
      <c r="O723" s="10">
        <f>ROUND(J723*'Irish Basis'!$C$7*'Irish Basis'!$C$5,2)</f>
        <v/>
      </c>
      <c r="P723" s="10">
        <f>ROUND(K723*'Irish Basis'!$C$8*'Irish Basis'!$C$5,2)</f>
        <v/>
      </c>
      <c r="Q723" s="10">
        <f>ROUND(L723*'Irish Basis'!$C$12*'Irish Basis'!$C$5,2)</f>
        <v/>
      </c>
      <c r="R723" s="11">
        <f>ROUND(SUM(N723:Q723),2)</f>
        <v/>
      </c>
      <c r="S723" s="5" t="inlineStr">
        <is>
          <t>Stated build-up</t>
        </is>
      </c>
      <c r="T723" s="12" t="inlineStr">
        <is>
          <t>High</t>
        </is>
      </c>
      <c r="U723" s="8" t="n">
        <v>159.18</v>
      </c>
      <c r="V723" s="13">
        <f>IF(U723="","",ROUND(M723-U723,2))</f>
        <v/>
      </c>
      <c r="W723" s="5" t="n"/>
      <c r="X723" s="5" t="inlineStr">
        <is>
          <t>Labour + plant + material as published; reconciles to the published rate.</t>
        </is>
      </c>
    </row>
    <row r="724" ht="13" customHeight="1">
      <c r="A724" s="4" t="n">
        <v>1243</v>
      </c>
      <c r="B724" s="5" t="inlineStr">
        <is>
          <t>IMG_0082</t>
        </is>
      </c>
      <c r="C724" s="5" t="inlineStr">
        <is>
          <t>CLASS F: IN SITU CONCRETE</t>
        </is>
      </c>
      <c r="D724" s="5" t="inlineStr">
        <is>
          <t>07 PLACING OF CONCRETE; REINFORCED</t>
        </is>
      </c>
      <c r="E724" s="5" t="inlineStr">
        <is>
          <t>Columns and piers; cross-sectional area</t>
        </is>
      </c>
      <c r="F724" s="5" t="inlineStr">
        <is>
          <t>0.03-0.10 m2</t>
        </is>
      </c>
      <c r="G724" s="6" t="inlineStr">
        <is>
          <t>m3</t>
        </is>
      </c>
      <c r="H724" s="7" t="n">
        <v>0.4</v>
      </c>
      <c r="I724" s="8" t="n">
        <v>72.64</v>
      </c>
      <c r="J724" s="8" t="n">
        <v>54.71</v>
      </c>
      <c r="K724" s="8" t="n">
        <v>0</v>
      </c>
      <c r="L724" s="8" t="n">
        <v>0</v>
      </c>
      <c r="M724" s="9">
        <f>ROUND(SUM(I724:L724),2)</f>
        <v/>
      </c>
      <c r="N724" s="10">
        <f>ROUND(I724*'Irish Basis'!$C$6*'Irish Basis'!$C$5,2)</f>
        <v/>
      </c>
      <c r="O724" s="10">
        <f>ROUND(J724*'Irish Basis'!$C$7*'Irish Basis'!$C$5,2)</f>
        <v/>
      </c>
      <c r="P724" s="10">
        <f>ROUND(K724*'Irish Basis'!$C$8*'Irish Basis'!$C$5,2)</f>
        <v/>
      </c>
      <c r="Q724" s="10">
        <f>ROUND(L724*'Irish Basis'!$C$12*'Irish Basis'!$C$5,2)</f>
        <v/>
      </c>
      <c r="R724" s="11">
        <f>ROUND(SUM(N724:Q724),2)</f>
        <v/>
      </c>
      <c r="S724" s="5" t="inlineStr">
        <is>
          <t>Stated build-up</t>
        </is>
      </c>
      <c r="T724" s="12" t="inlineStr">
        <is>
          <t>High</t>
        </is>
      </c>
      <c r="U724" s="8" t="n">
        <v>127.36</v>
      </c>
      <c r="V724" s="13">
        <f>IF(U724="","",ROUND(M724-U724,2))</f>
        <v/>
      </c>
      <c r="W724" s="5" t="n"/>
      <c r="X724" s="5" t="inlineStr">
        <is>
          <t>Labour + plant + material as published; reconciles to the published rate.</t>
        </is>
      </c>
    </row>
    <row r="725" ht="13" customHeight="1">
      <c r="A725" s="4" t="n">
        <v>1244</v>
      </c>
      <c r="B725" s="5" t="inlineStr">
        <is>
          <t>IMG_0082</t>
        </is>
      </c>
      <c r="C725" s="5" t="inlineStr">
        <is>
          <t>CLASS F: IN SITU CONCRETE</t>
        </is>
      </c>
      <c r="D725" s="5" t="inlineStr">
        <is>
          <t>07 PLACING OF CONCRETE; REINFORCED</t>
        </is>
      </c>
      <c r="E725" s="5" t="inlineStr">
        <is>
          <t>Columns and piers; cross-sectional area</t>
        </is>
      </c>
      <c r="F725" s="5" t="inlineStr">
        <is>
          <t>0.10-0.25 m2</t>
        </is>
      </c>
      <c r="G725" s="6" t="inlineStr">
        <is>
          <t>m3</t>
        </is>
      </c>
      <c r="H725" s="7" t="n">
        <v>0.35</v>
      </c>
      <c r="I725" s="8" t="n">
        <v>63.56</v>
      </c>
      <c r="J725" s="8" t="n">
        <v>47.76</v>
      </c>
      <c r="K725" s="8" t="n">
        <v>0</v>
      </c>
      <c r="L725" s="8" t="n">
        <v>0</v>
      </c>
      <c r="M725" s="9">
        <f>ROUND(SUM(I725:L725),2)</f>
        <v/>
      </c>
      <c r="N725" s="10">
        <f>ROUND(I725*'Irish Basis'!$C$6*'Irish Basis'!$C$5,2)</f>
        <v/>
      </c>
      <c r="O725" s="10">
        <f>ROUND(J725*'Irish Basis'!$C$7*'Irish Basis'!$C$5,2)</f>
        <v/>
      </c>
      <c r="P725" s="10">
        <f>ROUND(K725*'Irish Basis'!$C$8*'Irish Basis'!$C$5,2)</f>
        <v/>
      </c>
      <c r="Q725" s="10">
        <f>ROUND(L725*'Irish Basis'!$C$12*'Irish Basis'!$C$5,2)</f>
        <v/>
      </c>
      <c r="R725" s="11">
        <f>ROUND(SUM(N725:Q725),2)</f>
        <v/>
      </c>
      <c r="S725" s="5" t="inlineStr">
        <is>
          <t>Stated build-up</t>
        </is>
      </c>
      <c r="T725" s="12" t="inlineStr">
        <is>
          <t>High</t>
        </is>
      </c>
      <c r="U725" s="8" t="n">
        <v>111.32</v>
      </c>
      <c r="V725" s="13">
        <f>IF(U725="","",ROUND(M725-U725,2))</f>
        <v/>
      </c>
      <c r="W725" s="5" t="n"/>
      <c r="X725" s="5" t="inlineStr">
        <is>
          <t>Labour + plant + material as published; reconciles to the published rate.</t>
        </is>
      </c>
    </row>
    <row r="726" ht="13" customHeight="1">
      <c r="A726" s="4" t="n">
        <v>1245</v>
      </c>
      <c r="B726" s="5" t="inlineStr">
        <is>
          <t>IMG_0082</t>
        </is>
      </c>
      <c r="C726" s="5" t="inlineStr">
        <is>
          <t>CLASS F: IN SITU CONCRETE</t>
        </is>
      </c>
      <c r="D726" s="5" t="inlineStr">
        <is>
          <t>07 PLACING OF CONCRETE; REINFORCED</t>
        </is>
      </c>
      <c r="E726" s="5" t="inlineStr">
        <is>
          <t>Columns and piers; cross-sectional area</t>
        </is>
      </c>
      <c r="F726" s="5" t="inlineStr">
        <is>
          <t>0.25-1.00 m2</t>
        </is>
      </c>
      <c r="G726" s="6" t="inlineStr">
        <is>
          <t>m3</t>
        </is>
      </c>
      <c r="H726" s="7" t="n">
        <v>0.35</v>
      </c>
      <c r="I726" s="8" t="n">
        <v>63.56</v>
      </c>
      <c r="J726" s="8" t="n">
        <v>47.76</v>
      </c>
      <c r="K726" s="8" t="n">
        <v>0</v>
      </c>
      <c r="L726" s="8" t="n">
        <v>0</v>
      </c>
      <c r="M726" s="9">
        <f>ROUND(SUM(I726:L726),2)</f>
        <v/>
      </c>
      <c r="N726" s="10">
        <f>ROUND(I726*'Irish Basis'!$C$6*'Irish Basis'!$C$5,2)</f>
        <v/>
      </c>
      <c r="O726" s="10">
        <f>ROUND(J726*'Irish Basis'!$C$7*'Irish Basis'!$C$5,2)</f>
        <v/>
      </c>
      <c r="P726" s="10">
        <f>ROUND(K726*'Irish Basis'!$C$8*'Irish Basis'!$C$5,2)</f>
        <v/>
      </c>
      <c r="Q726" s="10">
        <f>ROUND(L726*'Irish Basis'!$C$12*'Irish Basis'!$C$5,2)</f>
        <v/>
      </c>
      <c r="R726" s="11">
        <f>ROUND(SUM(N726:Q726),2)</f>
        <v/>
      </c>
      <c r="S726" s="5" t="inlineStr">
        <is>
          <t>Stated build-up</t>
        </is>
      </c>
      <c r="T726" s="12" t="inlineStr">
        <is>
          <t>High</t>
        </is>
      </c>
      <c r="U726" s="8" t="n">
        <v>111.32</v>
      </c>
      <c r="V726" s="13">
        <f>IF(U726="","",ROUND(M726-U726,2))</f>
        <v/>
      </c>
      <c r="W726" s="5" t="n"/>
      <c r="X726" s="5" t="inlineStr">
        <is>
          <t>Labour + plant + material as published; reconciles to the published rate.</t>
        </is>
      </c>
    </row>
    <row r="727" ht="13" customHeight="1">
      <c r="A727" s="4" t="n">
        <v>1246</v>
      </c>
      <c r="B727" s="5" t="inlineStr">
        <is>
          <t>IMG_0082</t>
        </is>
      </c>
      <c r="C727" s="5" t="inlineStr">
        <is>
          <t>CLASS F: IN SITU CONCRETE</t>
        </is>
      </c>
      <c r="D727" s="5" t="inlineStr">
        <is>
          <t>07 PLACING OF CONCRETE; REINFORCED</t>
        </is>
      </c>
      <c r="E727" s="5" t="inlineStr">
        <is>
          <t>Columns and piers; cross-sectional area</t>
        </is>
      </c>
      <c r="F727" s="5" t="inlineStr">
        <is>
          <t>exceeding 1 m2</t>
        </is>
      </c>
      <c r="G727" s="6" t="inlineStr">
        <is>
          <t>m3</t>
        </is>
      </c>
      <c r="H727" s="7" t="n">
        <v>0.28</v>
      </c>
      <c r="I727" s="8" t="n">
        <v>50.85</v>
      </c>
      <c r="J727" s="8" t="n">
        <v>38.28</v>
      </c>
      <c r="K727" s="8" t="n">
        <v>0</v>
      </c>
      <c r="L727" s="8" t="n">
        <v>0</v>
      </c>
      <c r="M727" s="9">
        <f>ROUND(SUM(I727:L727),2)</f>
        <v/>
      </c>
      <c r="N727" s="10">
        <f>ROUND(I727*'Irish Basis'!$C$6*'Irish Basis'!$C$5,2)</f>
        <v/>
      </c>
      <c r="O727" s="10">
        <f>ROUND(J727*'Irish Basis'!$C$7*'Irish Basis'!$C$5,2)</f>
        <v/>
      </c>
      <c r="P727" s="10">
        <f>ROUND(K727*'Irish Basis'!$C$8*'Irish Basis'!$C$5,2)</f>
        <v/>
      </c>
      <c r="Q727" s="10">
        <f>ROUND(L727*'Irish Basis'!$C$12*'Irish Basis'!$C$5,2)</f>
        <v/>
      </c>
      <c r="R727" s="11">
        <f>ROUND(SUM(N727:Q727),2)</f>
        <v/>
      </c>
      <c r="S727" s="5" t="inlineStr">
        <is>
          <t>Stated build-up</t>
        </is>
      </c>
      <c r="T727" s="12" t="inlineStr">
        <is>
          <t>High</t>
        </is>
      </c>
      <c r="U727" s="8" t="n">
        <v>89.13</v>
      </c>
      <c r="V727" s="13">
        <f>IF(U727="","",ROUND(M727-U727,2))</f>
        <v/>
      </c>
      <c r="W727" s="5" t="n"/>
      <c r="X727" s="5" t="inlineStr">
        <is>
          <t>Labour + plant + material as published; reconciles to the published rate.</t>
        </is>
      </c>
    </row>
    <row r="728" ht="13" customHeight="1">
      <c r="A728" s="4" t="n">
        <v>1248</v>
      </c>
      <c r="B728" s="5" t="inlineStr">
        <is>
          <t>IMG_0082</t>
        </is>
      </c>
      <c r="C728" s="5" t="inlineStr">
        <is>
          <t>CLASS F: IN SITU CONCRETE</t>
        </is>
      </c>
      <c r="D728" s="5" t="inlineStr">
        <is>
          <t>07 PLACING OF CONCRETE; REINFORCED</t>
        </is>
      </c>
      <c r="E728" s="5" t="inlineStr">
        <is>
          <t>Beams; cross-sectional area</t>
        </is>
      </c>
      <c r="F728" s="5" t="inlineStr">
        <is>
          <t>ne 0.03 m2</t>
        </is>
      </c>
      <c r="G728" s="6" t="inlineStr">
        <is>
          <t>m3</t>
        </is>
      </c>
      <c r="H728" s="7" t="n">
        <v>0.5</v>
      </c>
      <c r="I728" s="8" t="n">
        <v>90.8</v>
      </c>
      <c r="J728" s="8" t="n">
        <v>68.37</v>
      </c>
      <c r="K728" s="8" t="n">
        <v>0</v>
      </c>
      <c r="L728" s="8" t="n">
        <v>0</v>
      </c>
      <c r="M728" s="9">
        <f>ROUND(SUM(I728:L728),2)</f>
        <v/>
      </c>
      <c r="N728" s="10">
        <f>ROUND(I728*'Irish Basis'!$C$6*'Irish Basis'!$C$5,2)</f>
        <v/>
      </c>
      <c r="O728" s="10">
        <f>ROUND(J728*'Irish Basis'!$C$7*'Irish Basis'!$C$5,2)</f>
        <v/>
      </c>
      <c r="P728" s="10">
        <f>ROUND(K728*'Irish Basis'!$C$8*'Irish Basis'!$C$5,2)</f>
        <v/>
      </c>
      <c r="Q728" s="10">
        <f>ROUND(L728*'Irish Basis'!$C$12*'Irish Basis'!$C$5,2)</f>
        <v/>
      </c>
      <c r="R728" s="11">
        <f>ROUND(SUM(N728:Q728),2)</f>
        <v/>
      </c>
      <c r="S728" s="5" t="inlineStr">
        <is>
          <t>Stated build-up</t>
        </is>
      </c>
      <c r="T728" s="12" t="inlineStr">
        <is>
          <t>High</t>
        </is>
      </c>
      <c r="U728" s="8" t="n">
        <v>159.18</v>
      </c>
      <c r="V728" s="13">
        <f>IF(U728="","",ROUND(M728-U728,2))</f>
        <v/>
      </c>
      <c r="W728" s="5" t="n"/>
      <c r="X728" s="5" t="inlineStr">
        <is>
          <t>Labour + plant + material as published; reconciles to the published rate.</t>
        </is>
      </c>
    </row>
    <row r="729" ht="13" customHeight="1">
      <c r="A729" s="4" t="n">
        <v>1249</v>
      </c>
      <c r="B729" s="5" t="inlineStr">
        <is>
          <t>IMG_0082</t>
        </is>
      </c>
      <c r="C729" s="5" t="inlineStr">
        <is>
          <t>CLASS F: IN SITU CONCRETE</t>
        </is>
      </c>
      <c r="D729" s="5" t="inlineStr">
        <is>
          <t>07 PLACING OF CONCRETE; REINFORCED</t>
        </is>
      </c>
      <c r="E729" s="5" t="inlineStr">
        <is>
          <t>Beams; cross-sectional area</t>
        </is>
      </c>
      <c r="F729" s="5" t="inlineStr">
        <is>
          <t>0.03-0.10 m2</t>
        </is>
      </c>
      <c r="G729" s="6" t="inlineStr">
        <is>
          <t>m3</t>
        </is>
      </c>
      <c r="H729" s="7" t="n">
        <v>0.4</v>
      </c>
      <c r="I729" s="8" t="n">
        <v>72.64</v>
      </c>
      <c r="J729" s="8" t="n">
        <v>54.71</v>
      </c>
      <c r="K729" s="8" t="n">
        <v>0</v>
      </c>
      <c r="L729" s="8" t="n">
        <v>0</v>
      </c>
      <c r="M729" s="9">
        <f>ROUND(SUM(I729:L729),2)</f>
        <v/>
      </c>
      <c r="N729" s="10">
        <f>ROUND(I729*'Irish Basis'!$C$6*'Irish Basis'!$C$5,2)</f>
        <v/>
      </c>
      <c r="O729" s="10">
        <f>ROUND(J729*'Irish Basis'!$C$7*'Irish Basis'!$C$5,2)</f>
        <v/>
      </c>
      <c r="P729" s="10">
        <f>ROUND(K729*'Irish Basis'!$C$8*'Irish Basis'!$C$5,2)</f>
        <v/>
      </c>
      <c r="Q729" s="10">
        <f>ROUND(L729*'Irish Basis'!$C$12*'Irish Basis'!$C$5,2)</f>
        <v/>
      </c>
      <c r="R729" s="11">
        <f>ROUND(SUM(N729:Q729),2)</f>
        <v/>
      </c>
      <c r="S729" s="5" t="inlineStr">
        <is>
          <t>Stated build-up</t>
        </is>
      </c>
      <c r="T729" s="12" t="inlineStr">
        <is>
          <t>High</t>
        </is>
      </c>
      <c r="U729" s="8" t="n">
        <v>127.36</v>
      </c>
      <c r="V729" s="13">
        <f>IF(U729="","",ROUND(M729-U729,2))</f>
        <v/>
      </c>
      <c r="W729" s="5" t="n"/>
      <c r="X729" s="5" t="inlineStr">
        <is>
          <t>Labour + plant + material as published; reconciles to the published rate.</t>
        </is>
      </c>
    </row>
    <row r="730" ht="13" customHeight="1">
      <c r="A730" s="4" t="n">
        <v>1250</v>
      </c>
      <c r="B730" s="5" t="inlineStr">
        <is>
          <t>IMG_0082</t>
        </is>
      </c>
      <c r="C730" s="5" t="inlineStr">
        <is>
          <t>CLASS F: IN SITU CONCRETE</t>
        </is>
      </c>
      <c r="D730" s="5" t="inlineStr">
        <is>
          <t>07 PLACING OF CONCRETE; REINFORCED</t>
        </is>
      </c>
      <c r="E730" s="5" t="inlineStr">
        <is>
          <t>Beams; cross-sectional area</t>
        </is>
      </c>
      <c r="F730" s="5" t="inlineStr">
        <is>
          <t>0.10-0.25 m2</t>
        </is>
      </c>
      <c r="G730" s="6" t="inlineStr">
        <is>
          <t>m3</t>
        </is>
      </c>
      <c r="H730" s="7" t="n">
        <v>0.35</v>
      </c>
      <c r="I730" s="8" t="n">
        <v>63.56</v>
      </c>
      <c r="J730" s="8" t="n">
        <v>47.76</v>
      </c>
      <c r="K730" s="8" t="n">
        <v>0</v>
      </c>
      <c r="L730" s="8" t="n">
        <v>0</v>
      </c>
      <c r="M730" s="9">
        <f>ROUND(SUM(I730:L730),2)</f>
        <v/>
      </c>
      <c r="N730" s="10">
        <f>ROUND(I730*'Irish Basis'!$C$6*'Irish Basis'!$C$5,2)</f>
        <v/>
      </c>
      <c r="O730" s="10">
        <f>ROUND(J730*'Irish Basis'!$C$7*'Irish Basis'!$C$5,2)</f>
        <v/>
      </c>
      <c r="P730" s="10">
        <f>ROUND(K730*'Irish Basis'!$C$8*'Irish Basis'!$C$5,2)</f>
        <v/>
      </c>
      <c r="Q730" s="10">
        <f>ROUND(L730*'Irish Basis'!$C$12*'Irish Basis'!$C$5,2)</f>
        <v/>
      </c>
      <c r="R730" s="11">
        <f>ROUND(SUM(N730:Q730),2)</f>
        <v/>
      </c>
      <c r="S730" s="5" t="inlineStr">
        <is>
          <t>Stated build-up</t>
        </is>
      </c>
      <c r="T730" s="12" t="inlineStr">
        <is>
          <t>High</t>
        </is>
      </c>
      <c r="U730" s="8" t="n">
        <v>111.32</v>
      </c>
      <c r="V730" s="13">
        <f>IF(U730="","",ROUND(M730-U730,2))</f>
        <v/>
      </c>
      <c r="W730" s="5" t="n"/>
      <c r="X730" s="5" t="inlineStr">
        <is>
          <t>Labour + plant + material as published; reconciles to the published rate.</t>
        </is>
      </c>
    </row>
    <row r="731" ht="13" customHeight="1">
      <c r="A731" s="4" t="n">
        <v>1251</v>
      </c>
      <c r="B731" s="5" t="inlineStr">
        <is>
          <t>IMG_0082</t>
        </is>
      </c>
      <c r="C731" s="5" t="inlineStr">
        <is>
          <t>CLASS F: IN SITU CONCRETE</t>
        </is>
      </c>
      <c r="D731" s="5" t="inlineStr">
        <is>
          <t>07 PLACING OF CONCRETE; REINFORCED</t>
        </is>
      </c>
      <c r="E731" s="5" t="inlineStr">
        <is>
          <t>Beams; cross-sectional area</t>
        </is>
      </c>
      <c r="F731" s="5" t="inlineStr">
        <is>
          <t>0.25-1.00 m2</t>
        </is>
      </c>
      <c r="G731" s="6" t="inlineStr">
        <is>
          <t>m3</t>
        </is>
      </c>
      <c r="H731" s="7" t="n">
        <v>0.35</v>
      </c>
      <c r="I731" s="8" t="n">
        <v>63.56</v>
      </c>
      <c r="J731" s="8" t="n">
        <v>47.76</v>
      </c>
      <c r="K731" s="8" t="n">
        <v>0</v>
      </c>
      <c r="L731" s="8" t="n">
        <v>0</v>
      </c>
      <c r="M731" s="9">
        <f>ROUND(SUM(I731:L731),2)</f>
        <v/>
      </c>
      <c r="N731" s="10">
        <f>ROUND(I731*'Irish Basis'!$C$6*'Irish Basis'!$C$5,2)</f>
        <v/>
      </c>
      <c r="O731" s="10">
        <f>ROUND(J731*'Irish Basis'!$C$7*'Irish Basis'!$C$5,2)</f>
        <v/>
      </c>
      <c r="P731" s="10">
        <f>ROUND(K731*'Irish Basis'!$C$8*'Irish Basis'!$C$5,2)</f>
        <v/>
      </c>
      <c r="Q731" s="10">
        <f>ROUND(L731*'Irish Basis'!$C$12*'Irish Basis'!$C$5,2)</f>
        <v/>
      </c>
      <c r="R731" s="11">
        <f>ROUND(SUM(N731:Q731),2)</f>
        <v/>
      </c>
      <c r="S731" s="5" t="inlineStr">
        <is>
          <t>Stated build-up</t>
        </is>
      </c>
      <c r="T731" s="12" t="inlineStr">
        <is>
          <t>High</t>
        </is>
      </c>
      <c r="U731" s="8" t="n">
        <v>111.32</v>
      </c>
      <c r="V731" s="13">
        <f>IF(U731="","",ROUND(M731-U731,2))</f>
        <v/>
      </c>
      <c r="W731" s="5" t="n"/>
      <c r="X731" s="5" t="inlineStr">
        <is>
          <t>Labour + plant + material as published; reconciles to the published rate.</t>
        </is>
      </c>
    </row>
    <row r="732" ht="13" customHeight="1">
      <c r="A732" s="4" t="n">
        <v>1252</v>
      </c>
      <c r="B732" s="5" t="inlineStr">
        <is>
          <t>IMG_0082</t>
        </is>
      </c>
      <c r="C732" s="5" t="inlineStr">
        <is>
          <t>CLASS F: IN SITU CONCRETE</t>
        </is>
      </c>
      <c r="D732" s="5" t="inlineStr">
        <is>
          <t>07 PLACING OF CONCRETE; REINFORCED</t>
        </is>
      </c>
      <c r="E732" s="5" t="inlineStr">
        <is>
          <t>Beams; cross-sectional area</t>
        </is>
      </c>
      <c r="F732" s="5" t="inlineStr">
        <is>
          <t>exceeding 1 m2</t>
        </is>
      </c>
      <c r="G732" s="6" t="inlineStr">
        <is>
          <t>m3</t>
        </is>
      </c>
      <c r="H732" s="7" t="n">
        <v>0.28</v>
      </c>
      <c r="I732" s="8" t="n">
        <v>50.85</v>
      </c>
      <c r="J732" s="8" t="n">
        <v>38.28</v>
      </c>
      <c r="K732" s="8" t="n">
        <v>0</v>
      </c>
      <c r="L732" s="8" t="n">
        <v>0</v>
      </c>
      <c r="M732" s="9">
        <f>ROUND(SUM(I732:L732),2)</f>
        <v/>
      </c>
      <c r="N732" s="10">
        <f>ROUND(I732*'Irish Basis'!$C$6*'Irish Basis'!$C$5,2)</f>
        <v/>
      </c>
      <c r="O732" s="10">
        <f>ROUND(J732*'Irish Basis'!$C$7*'Irish Basis'!$C$5,2)</f>
        <v/>
      </c>
      <c r="P732" s="10">
        <f>ROUND(K732*'Irish Basis'!$C$8*'Irish Basis'!$C$5,2)</f>
        <v/>
      </c>
      <c r="Q732" s="10">
        <f>ROUND(L732*'Irish Basis'!$C$12*'Irish Basis'!$C$5,2)</f>
        <v/>
      </c>
      <c r="R732" s="11">
        <f>ROUND(SUM(N732:Q732),2)</f>
        <v/>
      </c>
      <c r="S732" s="5" t="inlineStr">
        <is>
          <t>Stated build-up</t>
        </is>
      </c>
      <c r="T732" s="12" t="inlineStr">
        <is>
          <t>High</t>
        </is>
      </c>
      <c r="U732" s="8" t="n">
        <v>89.13</v>
      </c>
      <c r="V732" s="13">
        <f>IF(U732="","",ROUND(M732-U732,2))</f>
        <v/>
      </c>
      <c r="W732" s="5" t="n"/>
      <c r="X732" s="5" t="inlineStr">
        <is>
          <t>Labour + plant + material as published; reconciles to the published rate.</t>
        </is>
      </c>
    </row>
    <row r="733" ht="13" customHeight="1">
      <c r="A733" s="4" t="n">
        <v>1254</v>
      </c>
      <c r="B733" s="5" t="inlineStr">
        <is>
          <t>IMG_0082</t>
        </is>
      </c>
      <c r="C733" s="5" t="inlineStr">
        <is>
          <t>CLASS F: IN SITU CONCRETE</t>
        </is>
      </c>
      <c r="D733" s="5" t="inlineStr">
        <is>
          <t>07 PLACING OF CONCRETE; REINFORCED</t>
        </is>
      </c>
      <c r="E733" s="5" t="inlineStr">
        <is>
          <t>Casings to metal sections; cross-sectional area</t>
        </is>
      </c>
      <c r="F733" s="5" t="inlineStr">
        <is>
          <t>ne 0.03 m2</t>
        </is>
      </c>
      <c r="G733" s="6" t="inlineStr">
        <is>
          <t>m3</t>
        </is>
      </c>
      <c r="H733" s="7" t="n">
        <v>0.47</v>
      </c>
      <c r="I733" s="8" t="n">
        <v>85.36</v>
      </c>
      <c r="J733" s="8" t="n">
        <v>64.37</v>
      </c>
      <c r="K733" s="8" t="n">
        <v>0</v>
      </c>
      <c r="L733" s="8" t="n">
        <v>0</v>
      </c>
      <c r="M733" s="9">
        <f>ROUND(SUM(I733:L733),2)</f>
        <v/>
      </c>
      <c r="N733" s="10">
        <f>ROUND(I733*'Irish Basis'!$C$6*'Irish Basis'!$C$5,2)</f>
        <v/>
      </c>
      <c r="O733" s="10">
        <f>ROUND(J733*'Irish Basis'!$C$7*'Irish Basis'!$C$5,2)</f>
        <v/>
      </c>
      <c r="P733" s="10">
        <f>ROUND(K733*'Irish Basis'!$C$8*'Irish Basis'!$C$5,2)</f>
        <v/>
      </c>
      <c r="Q733" s="10">
        <f>ROUND(L733*'Irish Basis'!$C$12*'Irish Basis'!$C$5,2)</f>
        <v/>
      </c>
      <c r="R733" s="11">
        <f>ROUND(SUM(N733:Q733),2)</f>
        <v/>
      </c>
      <c r="S733" s="5" t="inlineStr">
        <is>
          <t>Stated build-up</t>
        </is>
      </c>
      <c r="T733" s="12" t="inlineStr">
        <is>
          <t>High</t>
        </is>
      </c>
      <c r="U733" s="8" t="n">
        <v>149.72</v>
      </c>
      <c r="V733" s="13">
        <f>IF(U733="","",ROUND(M733-U733,2))</f>
        <v/>
      </c>
      <c r="W733" s="5" t="n"/>
      <c r="X733" s="5" t="inlineStr">
        <is>
          <t>Labour + plant + material as published; reconciles to the published rate.</t>
        </is>
      </c>
    </row>
    <row r="734" ht="13" customHeight="1">
      <c r="A734" s="4" t="n">
        <v>1255</v>
      </c>
      <c r="B734" s="5" t="inlineStr">
        <is>
          <t>IMG_0082</t>
        </is>
      </c>
      <c r="C734" s="5" t="inlineStr">
        <is>
          <t>CLASS F: IN SITU CONCRETE</t>
        </is>
      </c>
      <c r="D734" s="5" t="inlineStr">
        <is>
          <t>07 PLACING OF CONCRETE; REINFORCED</t>
        </is>
      </c>
      <c r="E734" s="5" t="inlineStr">
        <is>
          <t>Casings to metal sections; cross-sectional area</t>
        </is>
      </c>
      <c r="F734" s="5" t="inlineStr">
        <is>
          <t>0.03-0.10 m2</t>
        </is>
      </c>
      <c r="G734" s="6" t="inlineStr">
        <is>
          <t>m3</t>
        </is>
      </c>
      <c r="H734" s="7" t="n">
        <v>0.47</v>
      </c>
      <c r="I734" s="8" t="n">
        <v>85.36</v>
      </c>
      <c r="J734" s="8" t="n">
        <v>64.37</v>
      </c>
      <c r="K734" s="8" t="n">
        <v>0</v>
      </c>
      <c r="L734" s="8" t="n">
        <v>0</v>
      </c>
      <c r="M734" s="9">
        <f>ROUND(SUM(I734:L734),2)</f>
        <v/>
      </c>
      <c r="N734" s="10">
        <f>ROUND(I734*'Irish Basis'!$C$6*'Irish Basis'!$C$5,2)</f>
        <v/>
      </c>
      <c r="O734" s="10">
        <f>ROUND(J734*'Irish Basis'!$C$7*'Irish Basis'!$C$5,2)</f>
        <v/>
      </c>
      <c r="P734" s="10">
        <f>ROUND(K734*'Irish Basis'!$C$8*'Irish Basis'!$C$5,2)</f>
        <v/>
      </c>
      <c r="Q734" s="10">
        <f>ROUND(L734*'Irish Basis'!$C$12*'Irish Basis'!$C$5,2)</f>
        <v/>
      </c>
      <c r="R734" s="11">
        <f>ROUND(SUM(N734:Q734),2)</f>
        <v/>
      </c>
      <c r="S734" s="5" t="inlineStr">
        <is>
          <t>Stated build-up</t>
        </is>
      </c>
      <c r="T734" s="12" t="inlineStr">
        <is>
          <t>High</t>
        </is>
      </c>
      <c r="U734" s="8" t="n">
        <v>149.72</v>
      </c>
      <c r="V734" s="13">
        <f>IF(U734="","",ROUND(M734-U734,2))</f>
        <v/>
      </c>
      <c r="W734" s="5" t="n"/>
      <c r="X734" s="5" t="inlineStr">
        <is>
          <t>Labour + plant + material as published; reconciles to the published rate.</t>
        </is>
      </c>
    </row>
    <row r="735" ht="13" customHeight="1">
      <c r="A735" s="4" t="n">
        <v>1257</v>
      </c>
      <c r="B735" s="5" t="inlineStr">
        <is>
          <t>IMG_0083</t>
        </is>
      </c>
      <c r="C735" s="5" t="inlineStr">
        <is>
          <t>CLASS F: IN SITU CONCRETE</t>
        </is>
      </c>
      <c r="D735" s="5" t="inlineStr">
        <is>
          <t>07 PLACING OF CONCRETE; REINFORCED</t>
        </is>
      </c>
      <c r="E735" s="5" t="inlineStr">
        <is>
          <t>Casings to metal sections; cross-sectional area (continued)</t>
        </is>
      </c>
      <c r="F735" s="5" t="inlineStr">
        <is>
          <t>0.10-0.25 m2</t>
        </is>
      </c>
      <c r="G735" s="6" t="inlineStr">
        <is>
          <t>m3</t>
        </is>
      </c>
      <c r="H735" s="7" t="n">
        <v>0.4</v>
      </c>
      <c r="I735" s="8" t="n">
        <v>72.64</v>
      </c>
      <c r="J735" s="8" t="n">
        <v>54.69</v>
      </c>
      <c r="K735" s="8" t="n">
        <v>0</v>
      </c>
      <c r="L735" s="8" t="n">
        <v>0</v>
      </c>
      <c r="M735" s="9">
        <f>ROUND(SUM(I735:L735),2)</f>
        <v/>
      </c>
      <c r="N735" s="10">
        <f>ROUND(I735*'Irish Basis'!$C$6*'Irish Basis'!$C$5,2)</f>
        <v/>
      </c>
      <c r="O735" s="10">
        <f>ROUND(J735*'Irish Basis'!$C$7*'Irish Basis'!$C$5,2)</f>
        <v/>
      </c>
      <c r="P735" s="10">
        <f>ROUND(K735*'Irish Basis'!$C$8*'Irish Basis'!$C$5,2)</f>
        <v/>
      </c>
      <c r="Q735" s="10">
        <f>ROUND(L735*'Irish Basis'!$C$12*'Irish Basis'!$C$5,2)</f>
        <v/>
      </c>
      <c r="R735" s="11">
        <f>ROUND(SUM(N735:Q735),2)</f>
        <v/>
      </c>
      <c r="S735" s="5" t="inlineStr">
        <is>
          <t>Stated build-up</t>
        </is>
      </c>
      <c r="T735" s="12" t="inlineStr">
        <is>
          <t>High</t>
        </is>
      </c>
      <c r="U735" s="8" t="n">
        <v>127.34</v>
      </c>
      <c r="V735" s="13">
        <f>IF(U735="","",ROUND(M735-U735,2))</f>
        <v/>
      </c>
      <c r="W735" s="5" t="n"/>
      <c r="X735" s="5" t="inlineStr">
        <is>
          <t>Labour + plant + material as published; reconciles to the published rate.</t>
        </is>
      </c>
    </row>
    <row r="736" ht="13" customHeight="1">
      <c r="A736" s="4" t="n">
        <v>1258</v>
      </c>
      <c r="B736" s="5" t="inlineStr">
        <is>
          <t>IMG_0083</t>
        </is>
      </c>
      <c r="C736" s="5" t="inlineStr">
        <is>
          <t>CLASS F: IN SITU CONCRETE</t>
        </is>
      </c>
      <c r="D736" s="5" t="inlineStr">
        <is>
          <t>07 PLACING OF CONCRETE; REINFORCED</t>
        </is>
      </c>
      <c r="E736" s="5" t="inlineStr">
        <is>
          <t>Casings to metal sections; cross-sectional area (continued)</t>
        </is>
      </c>
      <c r="F736" s="5" t="inlineStr">
        <is>
          <t>0.25-1.00 m2</t>
        </is>
      </c>
      <c r="G736" s="6" t="inlineStr">
        <is>
          <t>m3</t>
        </is>
      </c>
      <c r="H736" s="7" t="n">
        <v>0.4</v>
      </c>
      <c r="I736" s="8" t="n">
        <v>72.64</v>
      </c>
      <c r="J736" s="8" t="n">
        <v>54.69</v>
      </c>
      <c r="K736" s="8" t="n">
        <v>0</v>
      </c>
      <c r="L736" s="8" t="n">
        <v>0</v>
      </c>
      <c r="M736" s="9">
        <f>ROUND(SUM(I736:L736),2)</f>
        <v/>
      </c>
      <c r="N736" s="10">
        <f>ROUND(I736*'Irish Basis'!$C$6*'Irish Basis'!$C$5,2)</f>
        <v/>
      </c>
      <c r="O736" s="10">
        <f>ROUND(J736*'Irish Basis'!$C$7*'Irish Basis'!$C$5,2)</f>
        <v/>
      </c>
      <c r="P736" s="10">
        <f>ROUND(K736*'Irish Basis'!$C$8*'Irish Basis'!$C$5,2)</f>
        <v/>
      </c>
      <c r="Q736" s="10">
        <f>ROUND(L736*'Irish Basis'!$C$12*'Irish Basis'!$C$5,2)</f>
        <v/>
      </c>
      <c r="R736" s="11">
        <f>ROUND(SUM(N736:Q736),2)</f>
        <v/>
      </c>
      <c r="S736" s="5" t="inlineStr">
        <is>
          <t>Stated build-up</t>
        </is>
      </c>
      <c r="T736" s="12" t="inlineStr">
        <is>
          <t>High</t>
        </is>
      </c>
      <c r="U736" s="8" t="n">
        <v>127.34</v>
      </c>
      <c r="V736" s="13">
        <f>IF(U736="","",ROUND(M736-U736,2))</f>
        <v/>
      </c>
      <c r="W736" s="5" t="n"/>
      <c r="X736" s="5" t="inlineStr">
        <is>
          <t>Labour + plant + material as published; reconciles to the published rate.</t>
        </is>
      </c>
    </row>
    <row r="737" ht="13" customHeight="1">
      <c r="A737" s="4" t="n">
        <v>1259</v>
      </c>
      <c r="B737" s="5" t="inlineStr">
        <is>
          <t>IMG_0083</t>
        </is>
      </c>
      <c r="C737" s="5" t="inlineStr">
        <is>
          <t>CLASS F: IN SITU CONCRETE</t>
        </is>
      </c>
      <c r="D737" s="5" t="inlineStr">
        <is>
          <t>07 PLACING OF CONCRETE; REINFORCED</t>
        </is>
      </c>
      <c r="E737" s="5" t="inlineStr">
        <is>
          <t>Casings to metal sections; cross-sectional area (continued)</t>
        </is>
      </c>
      <c r="F737" s="5" t="inlineStr">
        <is>
          <t>exceeding 1 m2</t>
        </is>
      </c>
      <c r="G737" s="6" t="inlineStr">
        <is>
          <t>m3</t>
        </is>
      </c>
      <c r="H737" s="7" t="n">
        <v>0.35</v>
      </c>
      <c r="I737" s="8" t="n">
        <v>63.56</v>
      </c>
      <c r="J737" s="8" t="n">
        <v>47.76</v>
      </c>
      <c r="K737" s="8" t="n">
        <v>0</v>
      </c>
      <c r="L737" s="8" t="n">
        <v>0</v>
      </c>
      <c r="M737" s="9">
        <f>ROUND(SUM(I737:L737),2)</f>
        <v/>
      </c>
      <c r="N737" s="10">
        <f>ROUND(I737*'Irish Basis'!$C$6*'Irish Basis'!$C$5,2)</f>
        <v/>
      </c>
      <c r="O737" s="10">
        <f>ROUND(J737*'Irish Basis'!$C$7*'Irish Basis'!$C$5,2)</f>
        <v/>
      </c>
      <c r="P737" s="10">
        <f>ROUND(K737*'Irish Basis'!$C$8*'Irish Basis'!$C$5,2)</f>
        <v/>
      </c>
      <c r="Q737" s="10">
        <f>ROUND(L737*'Irish Basis'!$C$12*'Irish Basis'!$C$5,2)</f>
        <v/>
      </c>
      <c r="R737" s="11">
        <f>ROUND(SUM(N737:Q737),2)</f>
        <v/>
      </c>
      <c r="S737" s="5" t="inlineStr">
        <is>
          <t>Stated build-up</t>
        </is>
      </c>
      <c r="T737" s="12" t="inlineStr">
        <is>
          <t>High</t>
        </is>
      </c>
      <c r="U737" s="8" t="n">
        <v>111.32</v>
      </c>
      <c r="V737" s="13">
        <f>IF(U737="","",ROUND(M737-U737,2))</f>
        <v/>
      </c>
      <c r="W737" s="5" t="n"/>
      <c r="X737" s="5" t="inlineStr">
        <is>
          <t>Labour + plant + material as published; reconciles to the published rate.</t>
        </is>
      </c>
    </row>
    <row r="738" ht="13" customHeight="1">
      <c r="A738" s="4" t="n">
        <v>1262</v>
      </c>
      <c r="B738" s="5" t="inlineStr">
        <is>
          <t>IMG_0083</t>
        </is>
      </c>
      <c r="C738" s="5" t="inlineStr">
        <is>
          <t>CLASS F: IN SITU CONCRETE</t>
        </is>
      </c>
      <c r="D738" s="5" t="inlineStr">
        <is>
          <t>08 PLACING OF CONCRETE; PRESTRESSED</t>
        </is>
      </c>
      <c r="E738" s="5" t="inlineStr">
        <is>
          <t>Suspended slabs; thickness</t>
        </is>
      </c>
      <c r="F738" s="5" t="inlineStr">
        <is>
          <t>ne 150 mm</t>
        </is>
      </c>
      <c r="G738" s="6" t="inlineStr">
        <is>
          <t>m3</t>
        </is>
      </c>
      <c r="H738" s="7" t="n">
        <v>0.28</v>
      </c>
      <c r="I738" s="8" t="n">
        <v>50.85</v>
      </c>
      <c r="J738" s="8" t="n">
        <v>38.28</v>
      </c>
      <c r="K738" s="8" t="n">
        <v>0</v>
      </c>
      <c r="L738" s="8" t="n">
        <v>0</v>
      </c>
      <c r="M738" s="9">
        <f>ROUND(SUM(I738:L738),2)</f>
        <v/>
      </c>
      <c r="N738" s="10">
        <f>ROUND(I738*'Irish Basis'!$C$6*'Irish Basis'!$C$5,2)</f>
        <v/>
      </c>
      <c r="O738" s="10">
        <f>ROUND(J738*'Irish Basis'!$C$7*'Irish Basis'!$C$5,2)</f>
        <v/>
      </c>
      <c r="P738" s="10">
        <f>ROUND(K738*'Irish Basis'!$C$8*'Irish Basis'!$C$5,2)</f>
        <v/>
      </c>
      <c r="Q738" s="10">
        <f>ROUND(L738*'Irish Basis'!$C$12*'Irish Basis'!$C$5,2)</f>
        <v/>
      </c>
      <c r="R738" s="11">
        <f>ROUND(SUM(N738:Q738),2)</f>
        <v/>
      </c>
      <c r="S738" s="5" t="inlineStr">
        <is>
          <t>Stated build-up</t>
        </is>
      </c>
      <c r="T738" s="12" t="inlineStr">
        <is>
          <t>High</t>
        </is>
      </c>
      <c r="U738" s="8" t="n">
        <v>89.13</v>
      </c>
      <c r="V738" s="13">
        <f>IF(U738="","",ROUND(M738-U738,2))</f>
        <v/>
      </c>
      <c r="W738" s="5" t="n"/>
      <c r="X738" s="5" t="inlineStr">
        <is>
          <t>Labour + plant + material as published; reconciles to the published rate.</t>
        </is>
      </c>
    </row>
    <row r="739" ht="13" customHeight="1">
      <c r="A739" s="4" t="n">
        <v>1263</v>
      </c>
      <c r="B739" s="5" t="inlineStr">
        <is>
          <t>IMG_0083</t>
        </is>
      </c>
      <c r="C739" s="5" t="inlineStr">
        <is>
          <t>CLASS F: IN SITU CONCRETE</t>
        </is>
      </c>
      <c r="D739" s="5" t="inlineStr">
        <is>
          <t>08 PLACING OF CONCRETE; PRESTRESSED</t>
        </is>
      </c>
      <c r="E739" s="5" t="inlineStr">
        <is>
          <t>Suspended slabs; thickness</t>
        </is>
      </c>
      <c r="F739" s="5" t="inlineStr">
        <is>
          <t>150-300 mm</t>
        </is>
      </c>
      <c r="G739" s="6" t="inlineStr">
        <is>
          <t>m3</t>
        </is>
      </c>
      <c r="H739" s="7" t="n">
        <v>0.22</v>
      </c>
      <c r="I739" s="8" t="n">
        <v>39.95</v>
      </c>
      <c r="J739" s="8" t="n">
        <v>30.09</v>
      </c>
      <c r="K739" s="8" t="n">
        <v>0</v>
      </c>
      <c r="L739" s="8" t="n">
        <v>0</v>
      </c>
      <c r="M739" s="9">
        <f>ROUND(SUM(I739:L739),2)</f>
        <v/>
      </c>
      <c r="N739" s="10">
        <f>ROUND(I739*'Irish Basis'!$C$6*'Irish Basis'!$C$5,2)</f>
        <v/>
      </c>
      <c r="O739" s="10">
        <f>ROUND(J739*'Irish Basis'!$C$7*'Irish Basis'!$C$5,2)</f>
        <v/>
      </c>
      <c r="P739" s="10">
        <f>ROUND(K739*'Irish Basis'!$C$8*'Irish Basis'!$C$5,2)</f>
        <v/>
      </c>
      <c r="Q739" s="10">
        <f>ROUND(L739*'Irish Basis'!$C$12*'Irish Basis'!$C$5,2)</f>
        <v/>
      </c>
      <c r="R739" s="11">
        <f>ROUND(SUM(N739:Q739),2)</f>
        <v/>
      </c>
      <c r="S739" s="5" t="inlineStr">
        <is>
          <t>Stated build-up</t>
        </is>
      </c>
      <c r="T739" s="12" t="inlineStr">
        <is>
          <t>High</t>
        </is>
      </c>
      <c r="U739" s="8" t="n">
        <v>70.04000000000001</v>
      </c>
      <c r="V739" s="13">
        <f>IF(U739="","",ROUND(M739-U739,2))</f>
        <v/>
      </c>
      <c r="W739" s="5" t="n"/>
      <c r="X739" s="5" t="inlineStr">
        <is>
          <t>Labour + plant + material as published; reconciles to the published rate.</t>
        </is>
      </c>
    </row>
    <row r="740" ht="13" customHeight="1">
      <c r="A740" s="4" t="n">
        <v>1264</v>
      </c>
      <c r="B740" s="5" t="inlineStr">
        <is>
          <t>IMG_0083</t>
        </is>
      </c>
      <c r="C740" s="5" t="inlineStr">
        <is>
          <t>CLASS F: IN SITU CONCRETE</t>
        </is>
      </c>
      <c r="D740" s="5" t="inlineStr">
        <is>
          <t>08 PLACING OF CONCRETE; PRESTRESSED</t>
        </is>
      </c>
      <c r="E740" s="5" t="inlineStr">
        <is>
          <t>Suspended slabs; thickness</t>
        </is>
      </c>
      <c r="F740" s="5" t="inlineStr">
        <is>
          <t>300-500 mm</t>
        </is>
      </c>
      <c r="G740" s="6" t="inlineStr">
        <is>
          <t>m3</t>
        </is>
      </c>
      <c r="H740" s="7" t="n">
        <v>0.2</v>
      </c>
      <c r="I740" s="8" t="n">
        <v>36.32</v>
      </c>
      <c r="J740" s="8" t="n">
        <v>27.35</v>
      </c>
      <c r="K740" s="8" t="n">
        <v>0</v>
      </c>
      <c r="L740" s="8" t="n">
        <v>0</v>
      </c>
      <c r="M740" s="9">
        <f>ROUND(SUM(I740:L740),2)</f>
        <v/>
      </c>
      <c r="N740" s="10">
        <f>ROUND(I740*'Irish Basis'!$C$6*'Irish Basis'!$C$5,2)</f>
        <v/>
      </c>
      <c r="O740" s="10">
        <f>ROUND(J740*'Irish Basis'!$C$7*'Irish Basis'!$C$5,2)</f>
        <v/>
      </c>
      <c r="P740" s="10">
        <f>ROUND(K740*'Irish Basis'!$C$8*'Irish Basis'!$C$5,2)</f>
        <v/>
      </c>
      <c r="Q740" s="10">
        <f>ROUND(L740*'Irish Basis'!$C$12*'Irish Basis'!$C$5,2)</f>
        <v/>
      </c>
      <c r="R740" s="11">
        <f>ROUND(SUM(N740:Q740),2)</f>
        <v/>
      </c>
      <c r="S740" s="5" t="inlineStr">
        <is>
          <t>Stated build-up</t>
        </is>
      </c>
      <c r="T740" s="12" t="inlineStr">
        <is>
          <t>High</t>
        </is>
      </c>
      <c r="U740" s="8" t="n">
        <v>63.67</v>
      </c>
      <c r="V740" s="13">
        <f>IF(U740="","",ROUND(M740-U740,2))</f>
        <v/>
      </c>
      <c r="W740" s="5" t="n"/>
      <c r="X740" s="5" t="inlineStr">
        <is>
          <t>Labour + plant + material as published; reconciles to the published rate.</t>
        </is>
      </c>
    </row>
    <row r="741" ht="13" customHeight="1">
      <c r="A741" s="4" t="n">
        <v>1265</v>
      </c>
      <c r="B741" s="5" t="inlineStr">
        <is>
          <t>IMG_0083</t>
        </is>
      </c>
      <c r="C741" s="5" t="inlineStr">
        <is>
          <t>CLASS F: IN SITU CONCRETE</t>
        </is>
      </c>
      <c r="D741" s="5" t="inlineStr">
        <is>
          <t>08 PLACING OF CONCRETE; PRESTRESSED</t>
        </is>
      </c>
      <c r="E741" s="5" t="inlineStr">
        <is>
          <t>Suspended slabs; thickness</t>
        </is>
      </c>
      <c r="F741" s="5" t="inlineStr">
        <is>
          <t>exceeding 500 mm</t>
        </is>
      </c>
      <c r="G741" s="6" t="inlineStr">
        <is>
          <t>m3</t>
        </is>
      </c>
      <c r="H741" s="7" t="n">
        <v>0.19</v>
      </c>
      <c r="I741" s="8" t="n">
        <v>34.51</v>
      </c>
      <c r="J741" s="8" t="n">
        <v>26.08</v>
      </c>
      <c r="K741" s="8" t="n">
        <v>0</v>
      </c>
      <c r="L741" s="8" t="n">
        <v>0</v>
      </c>
      <c r="M741" s="9">
        <f>ROUND(SUM(I741:L741),2)</f>
        <v/>
      </c>
      <c r="N741" s="10">
        <f>ROUND(I741*'Irish Basis'!$C$6*'Irish Basis'!$C$5,2)</f>
        <v/>
      </c>
      <c r="O741" s="10">
        <f>ROUND(J741*'Irish Basis'!$C$7*'Irish Basis'!$C$5,2)</f>
        <v/>
      </c>
      <c r="P741" s="10">
        <f>ROUND(K741*'Irish Basis'!$C$8*'Irish Basis'!$C$5,2)</f>
        <v/>
      </c>
      <c r="Q741" s="10">
        <f>ROUND(L741*'Irish Basis'!$C$12*'Irish Basis'!$C$5,2)</f>
        <v/>
      </c>
      <c r="R741" s="11">
        <f>ROUND(SUM(N741:Q741),2)</f>
        <v/>
      </c>
      <c r="S741" s="5" t="inlineStr">
        <is>
          <t>Stated build-up</t>
        </is>
      </c>
      <c r="T741" s="12" t="inlineStr">
        <is>
          <t>High</t>
        </is>
      </c>
      <c r="U741" s="8" t="n">
        <v>60.59</v>
      </c>
      <c r="V741" s="13">
        <f>IF(U741="","",ROUND(M741-U741,2))</f>
        <v/>
      </c>
      <c r="W741" s="5" t="n"/>
      <c r="X741" s="5" t="inlineStr">
        <is>
          <t>Labour + plant + material as published; reconciles to the published rate.</t>
        </is>
      </c>
    </row>
    <row r="742" ht="13" customHeight="1">
      <c r="A742" s="4" t="n">
        <v>1267</v>
      </c>
      <c r="B742" s="5" t="inlineStr">
        <is>
          <t>IMG_0083</t>
        </is>
      </c>
      <c r="C742" s="5" t="inlineStr">
        <is>
          <t>CLASS F: IN SITU CONCRETE</t>
        </is>
      </c>
      <c r="D742" s="5" t="inlineStr">
        <is>
          <t>08 PLACING OF CONCRETE; PRESTRESSED</t>
        </is>
      </c>
      <c r="E742" s="5" t="inlineStr">
        <is>
          <t>Beams; cross-sectional area</t>
        </is>
      </c>
      <c r="F742" s="5" t="inlineStr">
        <is>
          <t>ne 0.03 m2</t>
        </is>
      </c>
      <c r="G742" s="6" t="inlineStr">
        <is>
          <t>m3</t>
        </is>
      </c>
      <c r="H742" s="7" t="n">
        <v>0.5</v>
      </c>
      <c r="I742" s="8" t="n">
        <v>90.8</v>
      </c>
      <c r="J742" s="8" t="n">
        <v>68.37</v>
      </c>
      <c r="K742" s="8" t="n">
        <v>0</v>
      </c>
      <c r="L742" s="8" t="n">
        <v>0</v>
      </c>
      <c r="M742" s="9">
        <f>ROUND(SUM(I742:L742),2)</f>
        <v/>
      </c>
      <c r="N742" s="10">
        <f>ROUND(I742*'Irish Basis'!$C$6*'Irish Basis'!$C$5,2)</f>
        <v/>
      </c>
      <c r="O742" s="10">
        <f>ROUND(J742*'Irish Basis'!$C$7*'Irish Basis'!$C$5,2)</f>
        <v/>
      </c>
      <c r="P742" s="10">
        <f>ROUND(K742*'Irish Basis'!$C$8*'Irish Basis'!$C$5,2)</f>
        <v/>
      </c>
      <c r="Q742" s="10">
        <f>ROUND(L742*'Irish Basis'!$C$12*'Irish Basis'!$C$5,2)</f>
        <v/>
      </c>
      <c r="R742" s="11">
        <f>ROUND(SUM(N742:Q742),2)</f>
        <v/>
      </c>
      <c r="S742" s="5" t="inlineStr">
        <is>
          <t>Stated build-up</t>
        </is>
      </c>
      <c r="T742" s="12" t="inlineStr">
        <is>
          <t>High</t>
        </is>
      </c>
      <c r="U742" s="8" t="n">
        <v>159.18</v>
      </c>
      <c r="V742" s="13">
        <f>IF(U742="","",ROUND(M742-U742,2))</f>
        <v/>
      </c>
      <c r="W742" s="5" t="n"/>
      <c r="X742" s="5" t="inlineStr">
        <is>
          <t>Labour + plant + material as published; reconciles to the published rate.</t>
        </is>
      </c>
    </row>
    <row r="743" ht="13" customHeight="1">
      <c r="A743" s="4" t="n">
        <v>1268</v>
      </c>
      <c r="B743" s="5" t="inlineStr">
        <is>
          <t>IMG_0083</t>
        </is>
      </c>
      <c r="C743" s="5" t="inlineStr">
        <is>
          <t>CLASS F: IN SITU CONCRETE</t>
        </is>
      </c>
      <c r="D743" s="5" t="inlineStr">
        <is>
          <t>08 PLACING OF CONCRETE; PRESTRESSED</t>
        </is>
      </c>
      <c r="E743" s="5" t="inlineStr">
        <is>
          <t>Beams; cross-sectional area</t>
        </is>
      </c>
      <c r="F743" s="5" t="inlineStr">
        <is>
          <t>0.03-0.10 m2</t>
        </is>
      </c>
      <c r="G743" s="6" t="inlineStr">
        <is>
          <t>m3</t>
        </is>
      </c>
      <c r="H743" s="7" t="n">
        <v>0.4</v>
      </c>
      <c r="I743" s="8" t="n">
        <v>72.64</v>
      </c>
      <c r="J743" s="8" t="n">
        <v>54.71</v>
      </c>
      <c r="K743" s="8" t="n">
        <v>0</v>
      </c>
      <c r="L743" s="8" t="n">
        <v>0</v>
      </c>
      <c r="M743" s="9">
        <f>ROUND(SUM(I743:L743),2)</f>
        <v/>
      </c>
      <c r="N743" s="10">
        <f>ROUND(I743*'Irish Basis'!$C$6*'Irish Basis'!$C$5,2)</f>
        <v/>
      </c>
      <c r="O743" s="10">
        <f>ROUND(J743*'Irish Basis'!$C$7*'Irish Basis'!$C$5,2)</f>
        <v/>
      </c>
      <c r="P743" s="10">
        <f>ROUND(K743*'Irish Basis'!$C$8*'Irish Basis'!$C$5,2)</f>
        <v/>
      </c>
      <c r="Q743" s="10">
        <f>ROUND(L743*'Irish Basis'!$C$12*'Irish Basis'!$C$5,2)</f>
        <v/>
      </c>
      <c r="R743" s="11">
        <f>ROUND(SUM(N743:Q743),2)</f>
        <v/>
      </c>
      <c r="S743" s="5" t="inlineStr">
        <is>
          <t>Stated build-up</t>
        </is>
      </c>
      <c r="T743" s="12" t="inlineStr">
        <is>
          <t>High</t>
        </is>
      </c>
      <c r="U743" s="8" t="n">
        <v>127.36</v>
      </c>
      <c r="V743" s="13">
        <f>IF(U743="","",ROUND(M743-U743,2))</f>
        <v/>
      </c>
      <c r="W743" s="5" t="n"/>
      <c r="X743" s="5" t="inlineStr">
        <is>
          <t>Labour + plant + material as published; reconciles to the published rate.</t>
        </is>
      </c>
    </row>
    <row r="744" ht="13" customHeight="1">
      <c r="A744" s="4" t="n">
        <v>1269</v>
      </c>
      <c r="B744" s="5" t="inlineStr">
        <is>
          <t>IMG_0083</t>
        </is>
      </c>
      <c r="C744" s="5" t="inlineStr">
        <is>
          <t>CLASS F: IN SITU CONCRETE</t>
        </is>
      </c>
      <c r="D744" s="5" t="inlineStr">
        <is>
          <t>08 PLACING OF CONCRETE; PRESTRESSED</t>
        </is>
      </c>
      <c r="E744" s="5" t="inlineStr">
        <is>
          <t>Beams; cross-sectional area</t>
        </is>
      </c>
      <c r="F744" s="5" t="inlineStr">
        <is>
          <t>0.10-0.25 m2</t>
        </is>
      </c>
      <c r="G744" s="6" t="inlineStr">
        <is>
          <t>m3</t>
        </is>
      </c>
      <c r="H744" s="7" t="n">
        <v>0.35</v>
      </c>
      <c r="I744" s="8" t="n">
        <v>63.56</v>
      </c>
      <c r="J744" s="8" t="n">
        <v>47.76</v>
      </c>
      <c r="K744" s="8" t="n">
        <v>0</v>
      </c>
      <c r="L744" s="8" t="n">
        <v>0</v>
      </c>
      <c r="M744" s="9">
        <f>ROUND(SUM(I744:L744),2)</f>
        <v/>
      </c>
      <c r="N744" s="10">
        <f>ROUND(I744*'Irish Basis'!$C$6*'Irish Basis'!$C$5,2)</f>
        <v/>
      </c>
      <c r="O744" s="10">
        <f>ROUND(J744*'Irish Basis'!$C$7*'Irish Basis'!$C$5,2)</f>
        <v/>
      </c>
      <c r="P744" s="10">
        <f>ROUND(K744*'Irish Basis'!$C$8*'Irish Basis'!$C$5,2)</f>
        <v/>
      </c>
      <c r="Q744" s="10">
        <f>ROUND(L744*'Irish Basis'!$C$12*'Irish Basis'!$C$5,2)</f>
        <v/>
      </c>
      <c r="R744" s="11">
        <f>ROUND(SUM(N744:Q744),2)</f>
        <v/>
      </c>
      <c r="S744" s="5" t="inlineStr">
        <is>
          <t>Stated build-up</t>
        </is>
      </c>
      <c r="T744" s="12" t="inlineStr">
        <is>
          <t>High</t>
        </is>
      </c>
      <c r="U744" s="8" t="n">
        <v>111.32</v>
      </c>
      <c r="V744" s="13">
        <f>IF(U744="","",ROUND(M744-U744,2))</f>
        <v/>
      </c>
      <c r="W744" s="5" t="n"/>
      <c r="X744" s="5" t="inlineStr">
        <is>
          <t>Labour + plant + material as published; reconciles to the published rate.</t>
        </is>
      </c>
    </row>
    <row r="745" ht="13" customHeight="1">
      <c r="A745" s="4" t="n">
        <v>1270</v>
      </c>
      <c r="B745" s="5" t="inlineStr">
        <is>
          <t>IMG_0083</t>
        </is>
      </c>
      <c r="C745" s="5" t="inlineStr">
        <is>
          <t>CLASS F: IN SITU CONCRETE</t>
        </is>
      </c>
      <c r="D745" s="5" t="inlineStr">
        <is>
          <t>08 PLACING OF CONCRETE; PRESTRESSED</t>
        </is>
      </c>
      <c r="E745" s="5" t="inlineStr">
        <is>
          <t>Beams; cross-sectional area</t>
        </is>
      </c>
      <c r="F745" s="5" t="inlineStr">
        <is>
          <t>0.25-1.00 m2</t>
        </is>
      </c>
      <c r="G745" s="6" t="inlineStr">
        <is>
          <t>m3</t>
        </is>
      </c>
      <c r="H745" s="7" t="n">
        <v>0.35</v>
      </c>
      <c r="I745" s="8" t="n">
        <v>63.56</v>
      </c>
      <c r="J745" s="8" t="n">
        <v>47.76</v>
      </c>
      <c r="K745" s="8" t="n">
        <v>0</v>
      </c>
      <c r="L745" s="8" t="n">
        <v>0</v>
      </c>
      <c r="M745" s="9">
        <f>ROUND(SUM(I745:L745),2)</f>
        <v/>
      </c>
      <c r="N745" s="10">
        <f>ROUND(I745*'Irish Basis'!$C$6*'Irish Basis'!$C$5,2)</f>
        <v/>
      </c>
      <c r="O745" s="10">
        <f>ROUND(J745*'Irish Basis'!$C$7*'Irish Basis'!$C$5,2)</f>
        <v/>
      </c>
      <c r="P745" s="10">
        <f>ROUND(K745*'Irish Basis'!$C$8*'Irish Basis'!$C$5,2)</f>
        <v/>
      </c>
      <c r="Q745" s="10">
        <f>ROUND(L745*'Irish Basis'!$C$12*'Irish Basis'!$C$5,2)</f>
        <v/>
      </c>
      <c r="R745" s="11">
        <f>ROUND(SUM(N745:Q745),2)</f>
        <v/>
      </c>
      <c r="S745" s="5" t="inlineStr">
        <is>
          <t>Stated build-up</t>
        </is>
      </c>
      <c r="T745" s="12" t="inlineStr">
        <is>
          <t>High</t>
        </is>
      </c>
      <c r="U745" s="8" t="n">
        <v>111.32</v>
      </c>
      <c r="V745" s="13">
        <f>IF(U745="","",ROUND(M745-U745,2))</f>
        <v/>
      </c>
      <c r="W745" s="5" t="n"/>
      <c r="X745" s="5" t="inlineStr">
        <is>
          <t>Labour + plant + material as published; reconciles to the published rate.</t>
        </is>
      </c>
    </row>
    <row r="746" ht="13" customHeight="1">
      <c r="A746" s="4" t="n">
        <v>1271</v>
      </c>
      <c r="B746" s="5" t="inlineStr">
        <is>
          <t>IMG_0083</t>
        </is>
      </c>
      <c r="C746" s="5" t="inlineStr">
        <is>
          <t>CLASS F: IN SITU CONCRETE</t>
        </is>
      </c>
      <c r="D746" s="5" t="inlineStr">
        <is>
          <t>08 PLACING OF CONCRETE; PRESTRESSED</t>
        </is>
      </c>
      <c r="E746" s="5" t="inlineStr">
        <is>
          <t>Beams; cross-sectional area</t>
        </is>
      </c>
      <c r="F746" s="5" t="inlineStr">
        <is>
          <t>exceeding 1 m2</t>
        </is>
      </c>
      <c r="G746" s="6" t="inlineStr">
        <is>
          <t>m3</t>
        </is>
      </c>
      <c r="H746" s="7" t="n">
        <v>0.28</v>
      </c>
      <c r="I746" s="8" t="n">
        <v>50.85</v>
      </c>
      <c r="J746" s="8" t="n">
        <v>38.28</v>
      </c>
      <c r="K746" s="8" t="n">
        <v>0</v>
      </c>
      <c r="L746" s="8" t="n">
        <v>0</v>
      </c>
      <c r="M746" s="9">
        <f>ROUND(SUM(I746:L746),2)</f>
        <v/>
      </c>
      <c r="N746" s="10">
        <f>ROUND(I746*'Irish Basis'!$C$6*'Irish Basis'!$C$5,2)</f>
        <v/>
      </c>
      <c r="O746" s="10">
        <f>ROUND(J746*'Irish Basis'!$C$7*'Irish Basis'!$C$5,2)</f>
        <v/>
      </c>
      <c r="P746" s="10">
        <f>ROUND(K746*'Irish Basis'!$C$8*'Irish Basis'!$C$5,2)</f>
        <v/>
      </c>
      <c r="Q746" s="10">
        <f>ROUND(L746*'Irish Basis'!$C$12*'Irish Basis'!$C$5,2)</f>
        <v/>
      </c>
      <c r="R746" s="11">
        <f>ROUND(SUM(N746:Q746),2)</f>
        <v/>
      </c>
      <c r="S746" s="5" t="inlineStr">
        <is>
          <t>Stated build-up</t>
        </is>
      </c>
      <c r="T746" s="12" t="inlineStr">
        <is>
          <t>High</t>
        </is>
      </c>
      <c r="U746" s="8" t="n">
        <v>89.13</v>
      </c>
      <c r="V746" s="13">
        <f>IF(U746="","",ROUND(M746-U746,2))</f>
        <v/>
      </c>
      <c r="W746" s="5" t="n"/>
      <c r="X746" s="5" t="inlineStr">
        <is>
          <t>Labour + plant + material as published; reconciles to the published rate.</t>
        </is>
      </c>
    </row>
    <row r="747" ht="13" customHeight="1">
      <c r="A747" s="4" t="n">
        <v>1371</v>
      </c>
      <c r="B747" s="5" t="inlineStr">
        <is>
          <t>IMG_0084</t>
        </is>
      </c>
      <c r="C747" s="5" t="inlineStr">
        <is>
          <t>CLASS G: CONCRETE ANCILLARIES</t>
        </is>
      </c>
      <c r="D747" s="5" t="inlineStr">
        <is>
          <t>01 FORMWORK; ROUGH FINISH</t>
        </is>
      </c>
      <c r="E747" s="5" t="inlineStr">
        <is>
          <t>Plane horizontal, width</t>
        </is>
      </c>
      <c r="F747" s="5" t="inlineStr">
        <is>
          <t>ne 0.1 m</t>
        </is>
      </c>
      <c r="G747" s="6" t="inlineStr">
        <is>
          <t>m</t>
        </is>
      </c>
      <c r="H747" s="7" t="n">
        <v>0.1</v>
      </c>
      <c r="I747" s="8" t="n">
        <v>5.63</v>
      </c>
      <c r="J747" s="8" t="n">
        <v>3.58</v>
      </c>
      <c r="K747" s="8" t="n">
        <v>7.15</v>
      </c>
      <c r="L747" s="8" t="n">
        <v>0</v>
      </c>
      <c r="M747" s="9">
        <f>ROUND(SUM(I747:L747),2)</f>
        <v/>
      </c>
      <c r="N747" s="10">
        <f>ROUND(I747*'Irish Basis'!$C$6*'Irish Basis'!$C$5,2)</f>
        <v/>
      </c>
      <c r="O747" s="10">
        <f>ROUND(J747*'Irish Basis'!$C$7*'Irish Basis'!$C$5,2)</f>
        <v/>
      </c>
      <c r="P747" s="10">
        <f>ROUND(K747*'Irish Basis'!$C$8*'Irish Basis'!$C$5,2)</f>
        <v/>
      </c>
      <c r="Q747" s="10">
        <f>ROUND(L747*'Irish Basis'!$C$12*'Irish Basis'!$C$5,2)</f>
        <v/>
      </c>
      <c r="R747" s="11">
        <f>ROUND(SUM(N747:Q747),2)</f>
        <v/>
      </c>
      <c r="S747" s="5" t="inlineStr">
        <is>
          <t>Stated build-up</t>
        </is>
      </c>
      <c r="T747" s="12" t="inlineStr">
        <is>
          <t>High</t>
        </is>
      </c>
      <c r="U747" s="8" t="n">
        <v>16.36</v>
      </c>
      <c r="V747" s="13">
        <f>IF(U747="","",ROUND(M747-U747,2))</f>
        <v/>
      </c>
      <c r="W747" s="5" t="n"/>
      <c r="X747" s="5" t="inlineStr">
        <is>
          <t>Labour + plant + material as published; reconciles to the published rate.</t>
        </is>
      </c>
    </row>
    <row r="748" ht="13" customHeight="1">
      <c r="A748" s="4" t="n">
        <v>1372</v>
      </c>
      <c r="B748" s="5" t="inlineStr">
        <is>
          <t>IMG_0084</t>
        </is>
      </c>
      <c r="C748" s="5" t="inlineStr">
        <is>
          <t>CLASS G: CONCRETE ANCILLARIES</t>
        </is>
      </c>
      <c r="D748" s="5" t="inlineStr">
        <is>
          <t>01 FORMWORK; ROUGH FINISH</t>
        </is>
      </c>
      <c r="E748" s="5" t="inlineStr">
        <is>
          <t>Plane horizontal, width</t>
        </is>
      </c>
      <c r="F748" s="5" t="inlineStr">
        <is>
          <t>0.1-0.20 m</t>
        </is>
      </c>
      <c r="G748" s="6" t="inlineStr">
        <is>
          <t>m</t>
        </is>
      </c>
      <c r="H748" s="7" t="n">
        <v>0.18</v>
      </c>
      <c r="I748" s="8" t="n">
        <v>10.14</v>
      </c>
      <c r="J748" s="8" t="n">
        <v>6.44</v>
      </c>
      <c r="K748" s="8" t="n">
        <v>8.31</v>
      </c>
      <c r="L748" s="8" t="n">
        <v>0</v>
      </c>
      <c r="M748" s="9">
        <f>ROUND(SUM(I748:L748),2)</f>
        <v/>
      </c>
      <c r="N748" s="10">
        <f>ROUND(I748*'Irish Basis'!$C$6*'Irish Basis'!$C$5,2)</f>
        <v/>
      </c>
      <c r="O748" s="10">
        <f>ROUND(J748*'Irish Basis'!$C$7*'Irish Basis'!$C$5,2)</f>
        <v/>
      </c>
      <c r="P748" s="10">
        <f>ROUND(K748*'Irish Basis'!$C$8*'Irish Basis'!$C$5,2)</f>
        <v/>
      </c>
      <c r="Q748" s="10">
        <f>ROUND(L748*'Irish Basis'!$C$12*'Irish Basis'!$C$5,2)</f>
        <v/>
      </c>
      <c r="R748" s="11">
        <f>ROUND(SUM(N748:Q748),2)</f>
        <v/>
      </c>
      <c r="S748" s="5" t="inlineStr">
        <is>
          <t>Stated build-up</t>
        </is>
      </c>
      <c r="T748" s="12" t="inlineStr">
        <is>
          <t>High</t>
        </is>
      </c>
      <c r="U748" s="8" t="n">
        <v>24.89</v>
      </c>
      <c r="V748" s="13">
        <f>IF(U748="","",ROUND(M748-U748,2))</f>
        <v/>
      </c>
      <c r="W748" s="5" t="n"/>
      <c r="X748" s="5" t="inlineStr">
        <is>
          <t>Labour + plant + material as published; reconciles to the published rate.</t>
        </is>
      </c>
    </row>
    <row r="749" ht="13" customHeight="1">
      <c r="A749" s="4" t="n">
        <v>1373</v>
      </c>
      <c r="B749" s="5" t="inlineStr">
        <is>
          <t>IMG_0084</t>
        </is>
      </c>
      <c r="C749" s="5" t="inlineStr">
        <is>
          <t>CLASS G: CONCRETE ANCILLARIES</t>
        </is>
      </c>
      <c r="D749" s="5" t="inlineStr">
        <is>
          <t>01 FORMWORK; ROUGH FINISH</t>
        </is>
      </c>
      <c r="E749" s="5" t="inlineStr">
        <is>
          <t>Plane horizontal, width</t>
        </is>
      </c>
      <c r="F749" s="5" t="inlineStr">
        <is>
          <t>0.2-0.40 m</t>
        </is>
      </c>
      <c r="G749" s="6" t="inlineStr">
        <is>
          <t>m2</t>
        </is>
      </c>
      <c r="H749" s="7" t="n">
        <v>0.4</v>
      </c>
      <c r="I749" s="8" t="n">
        <v>44.98</v>
      </c>
      <c r="J749" s="8" t="n">
        <v>8.4</v>
      </c>
      <c r="K749" s="8" t="n">
        <v>22.13</v>
      </c>
      <c r="L749" s="8" t="n">
        <v>0</v>
      </c>
      <c r="M749" s="9">
        <f>ROUND(SUM(I749:L749),2)</f>
        <v/>
      </c>
      <c r="N749" s="10">
        <f>ROUND(I749*'Irish Basis'!$C$6*'Irish Basis'!$C$5,2)</f>
        <v/>
      </c>
      <c r="O749" s="10">
        <f>ROUND(J749*'Irish Basis'!$C$7*'Irish Basis'!$C$5,2)</f>
        <v/>
      </c>
      <c r="P749" s="10">
        <f>ROUND(K749*'Irish Basis'!$C$8*'Irish Basis'!$C$5,2)</f>
        <v/>
      </c>
      <c r="Q749" s="10">
        <f>ROUND(L749*'Irish Basis'!$C$12*'Irish Basis'!$C$5,2)</f>
        <v/>
      </c>
      <c r="R749" s="11">
        <f>ROUND(SUM(N749:Q749),2)</f>
        <v/>
      </c>
      <c r="S749" s="5" t="inlineStr">
        <is>
          <t>Stated build-up</t>
        </is>
      </c>
      <c r="T749" s="12" t="inlineStr">
        <is>
          <t>High</t>
        </is>
      </c>
      <c r="U749" s="8" t="n">
        <v>75.51000000000001</v>
      </c>
      <c r="V749" s="13">
        <f>IF(U749="","",ROUND(M749-U749,2))</f>
        <v/>
      </c>
      <c r="W749" s="5" t="n"/>
      <c r="X749" s="5" t="inlineStr">
        <is>
          <t>Labour + plant + material as published; reconciles to the published rate.</t>
        </is>
      </c>
    </row>
    <row r="750" ht="13" customHeight="1">
      <c r="A750" s="4" t="n">
        <v>1374</v>
      </c>
      <c r="B750" s="5" t="inlineStr">
        <is>
          <t>IMG_0084</t>
        </is>
      </c>
      <c r="C750" s="5" t="inlineStr">
        <is>
          <t>CLASS G: CONCRETE ANCILLARIES</t>
        </is>
      </c>
      <c r="D750" s="5" t="inlineStr">
        <is>
          <t>01 FORMWORK; ROUGH FINISH</t>
        </is>
      </c>
      <c r="E750" s="5" t="inlineStr">
        <is>
          <t>Plane horizontal, width</t>
        </is>
      </c>
      <c r="F750" s="5" t="inlineStr">
        <is>
          <t>0.4-1.22 m</t>
        </is>
      </c>
      <c r="G750" s="6" t="inlineStr">
        <is>
          <t>m2</t>
        </is>
      </c>
      <c r="H750" s="7" t="n">
        <v>0.4</v>
      </c>
      <c r="I750" s="8" t="n">
        <v>44.98</v>
      </c>
      <c r="J750" s="8" t="n">
        <v>8.4</v>
      </c>
      <c r="K750" s="8" t="n">
        <v>22.13</v>
      </c>
      <c r="L750" s="8" t="n">
        <v>0</v>
      </c>
      <c r="M750" s="9">
        <f>ROUND(SUM(I750:L750),2)</f>
        <v/>
      </c>
      <c r="N750" s="10">
        <f>ROUND(I750*'Irish Basis'!$C$6*'Irish Basis'!$C$5,2)</f>
        <v/>
      </c>
      <c r="O750" s="10">
        <f>ROUND(J750*'Irish Basis'!$C$7*'Irish Basis'!$C$5,2)</f>
        <v/>
      </c>
      <c r="P750" s="10">
        <f>ROUND(K750*'Irish Basis'!$C$8*'Irish Basis'!$C$5,2)</f>
        <v/>
      </c>
      <c r="Q750" s="10">
        <f>ROUND(L750*'Irish Basis'!$C$12*'Irish Basis'!$C$5,2)</f>
        <v/>
      </c>
      <c r="R750" s="11">
        <f>ROUND(SUM(N750:Q750),2)</f>
        <v/>
      </c>
      <c r="S750" s="5" t="inlineStr">
        <is>
          <t>Stated build-up</t>
        </is>
      </c>
      <c r="T750" s="12" t="inlineStr">
        <is>
          <t>High</t>
        </is>
      </c>
      <c r="U750" s="8" t="n">
        <v>75.51000000000001</v>
      </c>
      <c r="V750" s="13">
        <f>IF(U750="","",ROUND(M750-U750,2))</f>
        <v/>
      </c>
      <c r="W750" s="5" t="n"/>
      <c r="X750" s="5" t="inlineStr">
        <is>
          <t>Labour + plant + material as published; reconciles to the published rate.</t>
        </is>
      </c>
    </row>
    <row r="751" ht="13" customHeight="1">
      <c r="A751" s="4" t="n">
        <v>1375</v>
      </c>
      <c r="B751" s="5" t="inlineStr">
        <is>
          <t>IMG_0084</t>
        </is>
      </c>
      <c r="C751" s="5" t="inlineStr">
        <is>
          <t>CLASS G: CONCRETE ANCILLARIES</t>
        </is>
      </c>
      <c r="D751" s="5" t="inlineStr">
        <is>
          <t>01 FORMWORK; ROUGH FINISH</t>
        </is>
      </c>
      <c r="E751" s="5" t="inlineStr">
        <is>
          <t>Plane horizontal, width</t>
        </is>
      </c>
      <c r="F751" s="5" t="inlineStr">
        <is>
          <t>exceeding 1.22 m</t>
        </is>
      </c>
      <c r="G751" s="6" t="inlineStr">
        <is>
          <t>m2</t>
        </is>
      </c>
      <c r="H751" s="7" t="n">
        <v>0.38</v>
      </c>
      <c r="I751" s="8" t="n">
        <v>42.73</v>
      </c>
      <c r="J751" s="8" t="n">
        <v>7.98</v>
      </c>
      <c r="K751" s="8" t="n">
        <v>22.13</v>
      </c>
      <c r="L751" s="8" t="n">
        <v>0</v>
      </c>
      <c r="M751" s="9">
        <f>ROUND(SUM(I751:L751),2)</f>
        <v/>
      </c>
      <c r="N751" s="10">
        <f>ROUND(I751*'Irish Basis'!$C$6*'Irish Basis'!$C$5,2)</f>
        <v/>
      </c>
      <c r="O751" s="10">
        <f>ROUND(J751*'Irish Basis'!$C$7*'Irish Basis'!$C$5,2)</f>
        <v/>
      </c>
      <c r="P751" s="10">
        <f>ROUND(K751*'Irish Basis'!$C$8*'Irish Basis'!$C$5,2)</f>
        <v/>
      </c>
      <c r="Q751" s="10">
        <f>ROUND(L751*'Irish Basis'!$C$12*'Irish Basis'!$C$5,2)</f>
        <v/>
      </c>
      <c r="R751" s="11">
        <f>ROUND(SUM(N751:Q751),2)</f>
        <v/>
      </c>
      <c r="S751" s="5" t="inlineStr">
        <is>
          <t>Stated build-up</t>
        </is>
      </c>
      <c r="T751" s="12" t="inlineStr">
        <is>
          <t>High</t>
        </is>
      </c>
      <c r="U751" s="8" t="n">
        <v>72.84</v>
      </c>
      <c r="V751" s="13">
        <f>IF(U751="","",ROUND(M751-U751,2))</f>
        <v/>
      </c>
      <c r="W751" s="5" t="n"/>
      <c r="X751" s="5" t="inlineStr">
        <is>
          <t>Labour + plant + material as published; reconciles to the published rate.</t>
        </is>
      </c>
    </row>
    <row r="752" ht="13" customHeight="1">
      <c r="A752" s="4" t="n">
        <v>1377</v>
      </c>
      <c r="B752" s="5" t="inlineStr">
        <is>
          <t>IMG_0084</t>
        </is>
      </c>
      <c r="C752" s="5" t="inlineStr">
        <is>
          <t>CLASS G: CONCRETE ANCILLARIES</t>
        </is>
      </c>
      <c r="D752" s="5" t="inlineStr">
        <is>
          <t>01 FORMWORK; ROUGH FINISH</t>
        </is>
      </c>
      <c r="E752" s="5" t="inlineStr">
        <is>
          <t>Plane sloping, width</t>
        </is>
      </c>
      <c r="F752" s="5" t="inlineStr">
        <is>
          <t>ne 0.1 m</t>
        </is>
      </c>
      <c r="G752" s="6" t="inlineStr">
        <is>
          <t>m</t>
        </is>
      </c>
      <c r="H752" s="7" t="n">
        <v>0.11</v>
      </c>
      <c r="I752" s="8" t="n">
        <v>6.19</v>
      </c>
      <c r="J752" s="8" t="n">
        <v>3.94</v>
      </c>
      <c r="K752" s="8" t="n">
        <v>7.15</v>
      </c>
      <c r="L752" s="8" t="n">
        <v>0</v>
      </c>
      <c r="M752" s="9">
        <f>ROUND(SUM(I752:L752),2)</f>
        <v/>
      </c>
      <c r="N752" s="10">
        <f>ROUND(I752*'Irish Basis'!$C$6*'Irish Basis'!$C$5,2)</f>
        <v/>
      </c>
      <c r="O752" s="10">
        <f>ROUND(J752*'Irish Basis'!$C$7*'Irish Basis'!$C$5,2)</f>
        <v/>
      </c>
      <c r="P752" s="10">
        <f>ROUND(K752*'Irish Basis'!$C$8*'Irish Basis'!$C$5,2)</f>
        <v/>
      </c>
      <c r="Q752" s="10">
        <f>ROUND(L752*'Irish Basis'!$C$12*'Irish Basis'!$C$5,2)</f>
        <v/>
      </c>
      <c r="R752" s="11">
        <f>ROUND(SUM(N752:Q752),2)</f>
        <v/>
      </c>
      <c r="S752" s="5" t="inlineStr">
        <is>
          <t>Stated build-up</t>
        </is>
      </c>
      <c r="T752" s="12" t="inlineStr">
        <is>
          <t>High</t>
        </is>
      </c>
      <c r="U752" s="8" t="n">
        <v>17.28</v>
      </c>
      <c r="V752" s="13">
        <f>IF(U752="","",ROUND(M752-U752,2))</f>
        <v/>
      </c>
      <c r="W752" s="5" t="n"/>
      <c r="X752" s="5" t="inlineStr">
        <is>
          <t>Labour + plant + material as published; reconciles to the published rate.</t>
        </is>
      </c>
    </row>
    <row r="753" ht="13" customHeight="1">
      <c r="A753" s="4" t="n">
        <v>1378</v>
      </c>
      <c r="B753" s="5" t="inlineStr">
        <is>
          <t>IMG_0084</t>
        </is>
      </c>
      <c r="C753" s="5" t="inlineStr">
        <is>
          <t>CLASS G: CONCRETE ANCILLARIES</t>
        </is>
      </c>
      <c r="D753" s="5" t="inlineStr">
        <is>
          <t>01 FORMWORK; ROUGH FINISH</t>
        </is>
      </c>
      <c r="E753" s="5" t="inlineStr">
        <is>
          <t>Plane sloping, width</t>
        </is>
      </c>
      <c r="F753" s="5" t="inlineStr">
        <is>
          <t>0.1-0.20 m</t>
        </is>
      </c>
      <c r="G753" s="6" t="inlineStr">
        <is>
          <t>m</t>
        </is>
      </c>
      <c r="H753" s="7" t="n">
        <v>0.2</v>
      </c>
      <c r="I753" s="8" t="n">
        <v>11.26</v>
      </c>
      <c r="J753" s="8" t="n">
        <v>7.15</v>
      </c>
      <c r="K753" s="8" t="n">
        <v>8.31</v>
      </c>
      <c r="L753" s="8" t="n">
        <v>0</v>
      </c>
      <c r="M753" s="9">
        <f>ROUND(SUM(I753:L753),2)</f>
        <v/>
      </c>
      <c r="N753" s="10">
        <f>ROUND(I753*'Irish Basis'!$C$6*'Irish Basis'!$C$5,2)</f>
        <v/>
      </c>
      <c r="O753" s="10">
        <f>ROUND(J753*'Irish Basis'!$C$7*'Irish Basis'!$C$5,2)</f>
        <v/>
      </c>
      <c r="P753" s="10">
        <f>ROUND(K753*'Irish Basis'!$C$8*'Irish Basis'!$C$5,2)</f>
        <v/>
      </c>
      <c r="Q753" s="10">
        <f>ROUND(L753*'Irish Basis'!$C$12*'Irish Basis'!$C$5,2)</f>
        <v/>
      </c>
      <c r="R753" s="11">
        <f>ROUND(SUM(N753:Q753),2)</f>
        <v/>
      </c>
      <c r="S753" s="5" t="inlineStr">
        <is>
          <t>Stated build-up</t>
        </is>
      </c>
      <c r="T753" s="12" t="inlineStr">
        <is>
          <t>High</t>
        </is>
      </c>
      <c r="U753" s="8" t="n">
        <v>26.73</v>
      </c>
      <c r="V753" s="13">
        <f>IF(U753="","",ROUND(M753-U753,2))</f>
        <v/>
      </c>
      <c r="W753" s="5" t="n"/>
      <c r="X753" s="5" t="inlineStr">
        <is>
          <t>Labour + plant + material as published; reconciles to the published rate.</t>
        </is>
      </c>
    </row>
    <row r="754" ht="13" customHeight="1">
      <c r="A754" s="4" t="n">
        <v>1379</v>
      </c>
      <c r="B754" s="5" t="inlineStr">
        <is>
          <t>IMG_0084</t>
        </is>
      </c>
      <c r="C754" s="5" t="inlineStr">
        <is>
          <t>CLASS G: CONCRETE ANCILLARIES</t>
        </is>
      </c>
      <c r="D754" s="5" t="inlineStr">
        <is>
          <t>01 FORMWORK; ROUGH FINISH</t>
        </is>
      </c>
      <c r="E754" s="5" t="inlineStr">
        <is>
          <t>Plane sloping, width</t>
        </is>
      </c>
      <c r="F754" s="5" t="inlineStr">
        <is>
          <t>0.2-0.40 m</t>
        </is>
      </c>
      <c r="G754" s="6" t="inlineStr">
        <is>
          <t>m2</t>
        </is>
      </c>
      <c r="H754" s="7" t="n">
        <v>0.43</v>
      </c>
      <c r="I754" s="8" t="n">
        <v>48.35</v>
      </c>
      <c r="J754" s="8" t="n">
        <v>8.99</v>
      </c>
      <c r="K754" s="8" t="n">
        <v>28.57</v>
      </c>
      <c r="L754" s="8" t="n">
        <v>0</v>
      </c>
      <c r="M754" s="9">
        <f>ROUND(SUM(I754:L754),2)</f>
        <v/>
      </c>
      <c r="N754" s="10">
        <f>ROUND(I754*'Irish Basis'!$C$6*'Irish Basis'!$C$5,2)</f>
        <v/>
      </c>
      <c r="O754" s="10">
        <f>ROUND(J754*'Irish Basis'!$C$7*'Irish Basis'!$C$5,2)</f>
        <v/>
      </c>
      <c r="P754" s="10">
        <f>ROUND(K754*'Irish Basis'!$C$8*'Irish Basis'!$C$5,2)</f>
        <v/>
      </c>
      <c r="Q754" s="10">
        <f>ROUND(L754*'Irish Basis'!$C$12*'Irish Basis'!$C$5,2)</f>
        <v/>
      </c>
      <c r="R754" s="11">
        <f>ROUND(SUM(N754:Q754),2)</f>
        <v/>
      </c>
      <c r="S754" s="5" t="inlineStr">
        <is>
          <t>Stated build-up</t>
        </is>
      </c>
      <c r="T754" s="12" t="inlineStr">
        <is>
          <t>High</t>
        </is>
      </c>
      <c r="U754" s="8" t="n">
        <v>85.92</v>
      </c>
      <c r="V754" s="13">
        <f>IF(U754="","",ROUND(M754-U754,2))</f>
        <v/>
      </c>
      <c r="W754" s="5" t="n"/>
      <c r="X754" s="5" t="inlineStr">
        <is>
          <t>Labour + plant + material as published; reconciles to the published rate.</t>
        </is>
      </c>
    </row>
    <row r="755" ht="13" customHeight="1">
      <c r="A755" s="4" t="n">
        <v>1380</v>
      </c>
      <c r="B755" s="5" t="inlineStr">
        <is>
          <t>IMG_0084</t>
        </is>
      </c>
      <c r="C755" s="5" t="inlineStr">
        <is>
          <t>CLASS G: CONCRETE ANCILLARIES</t>
        </is>
      </c>
      <c r="D755" s="5" t="inlineStr">
        <is>
          <t>01 FORMWORK; ROUGH FINISH</t>
        </is>
      </c>
      <c r="E755" s="5" t="inlineStr">
        <is>
          <t>Plane sloping, width</t>
        </is>
      </c>
      <c r="F755" s="5" t="inlineStr">
        <is>
          <t>0.4-1.22 m</t>
        </is>
      </c>
      <c r="G755" s="6" t="inlineStr">
        <is>
          <t>m2</t>
        </is>
      </c>
      <c r="H755" s="7" t="n">
        <v>0.43</v>
      </c>
      <c r="I755" s="8" t="n">
        <v>48.35</v>
      </c>
      <c r="J755" s="8" t="n">
        <v>8.99</v>
      </c>
      <c r="K755" s="8" t="n">
        <v>28.57</v>
      </c>
      <c r="L755" s="8" t="n">
        <v>0</v>
      </c>
      <c r="M755" s="9">
        <f>ROUND(SUM(I755:L755),2)</f>
        <v/>
      </c>
      <c r="N755" s="10">
        <f>ROUND(I755*'Irish Basis'!$C$6*'Irish Basis'!$C$5,2)</f>
        <v/>
      </c>
      <c r="O755" s="10">
        <f>ROUND(J755*'Irish Basis'!$C$7*'Irish Basis'!$C$5,2)</f>
        <v/>
      </c>
      <c r="P755" s="10">
        <f>ROUND(K755*'Irish Basis'!$C$8*'Irish Basis'!$C$5,2)</f>
        <v/>
      </c>
      <c r="Q755" s="10">
        <f>ROUND(L755*'Irish Basis'!$C$12*'Irish Basis'!$C$5,2)</f>
        <v/>
      </c>
      <c r="R755" s="11">
        <f>ROUND(SUM(N755:Q755),2)</f>
        <v/>
      </c>
      <c r="S755" s="5" t="inlineStr">
        <is>
          <t>Stated build-up</t>
        </is>
      </c>
      <c r="T755" s="12" t="inlineStr">
        <is>
          <t>High</t>
        </is>
      </c>
      <c r="U755" s="8" t="n">
        <v>85.92</v>
      </c>
      <c r="V755" s="13">
        <f>IF(U755="","",ROUND(M755-U755,2))</f>
        <v/>
      </c>
      <c r="W755" s="5" t="n"/>
      <c r="X755" s="5" t="inlineStr">
        <is>
          <t>Labour + plant + material as published; reconciles to the published rate.</t>
        </is>
      </c>
    </row>
    <row r="756" ht="13" customHeight="1">
      <c r="A756" s="4" t="n">
        <v>1381</v>
      </c>
      <c r="B756" s="5" t="inlineStr">
        <is>
          <t>IMG_0084</t>
        </is>
      </c>
      <c r="C756" s="5" t="inlineStr">
        <is>
          <t>CLASS G: CONCRETE ANCILLARIES</t>
        </is>
      </c>
      <c r="D756" s="5" t="inlineStr">
        <is>
          <t>01 FORMWORK; ROUGH FINISH</t>
        </is>
      </c>
      <c r="E756" s="5" t="inlineStr">
        <is>
          <t>Plane sloping, width</t>
        </is>
      </c>
      <c r="F756" s="5" t="inlineStr">
        <is>
          <t>exceeding 1.22 m</t>
        </is>
      </c>
      <c r="G756" s="6" t="inlineStr">
        <is>
          <t>m2</t>
        </is>
      </c>
      <c r="H756" s="7" t="n">
        <v>0.38</v>
      </c>
      <c r="I756" s="8" t="n">
        <v>42.73</v>
      </c>
      <c r="J756" s="8" t="n">
        <v>7.98</v>
      </c>
      <c r="K756" s="8" t="n">
        <v>28.57</v>
      </c>
      <c r="L756" s="8" t="n">
        <v>0</v>
      </c>
      <c r="M756" s="9">
        <f>ROUND(SUM(I756:L756),2)</f>
        <v/>
      </c>
      <c r="N756" s="10">
        <f>ROUND(I756*'Irish Basis'!$C$6*'Irish Basis'!$C$5,2)</f>
        <v/>
      </c>
      <c r="O756" s="10">
        <f>ROUND(J756*'Irish Basis'!$C$7*'Irish Basis'!$C$5,2)</f>
        <v/>
      </c>
      <c r="P756" s="10">
        <f>ROUND(K756*'Irish Basis'!$C$8*'Irish Basis'!$C$5,2)</f>
        <v/>
      </c>
      <c r="Q756" s="10">
        <f>ROUND(L756*'Irish Basis'!$C$12*'Irish Basis'!$C$5,2)</f>
        <v/>
      </c>
      <c r="R756" s="11">
        <f>ROUND(SUM(N756:Q756),2)</f>
        <v/>
      </c>
      <c r="S756" s="5" t="inlineStr">
        <is>
          <t>Stated build-up</t>
        </is>
      </c>
      <c r="T756" s="12" t="inlineStr">
        <is>
          <t>High</t>
        </is>
      </c>
      <c r="U756" s="8" t="n">
        <v>79.28</v>
      </c>
      <c r="V756" s="13">
        <f>IF(U756="","",ROUND(M756-U756,2))</f>
        <v/>
      </c>
      <c r="W756" s="5" t="n"/>
      <c r="X756" s="5" t="inlineStr">
        <is>
          <t>Labour + plant + material as published; reconciles to the published rate.</t>
        </is>
      </c>
    </row>
    <row r="757" ht="13" customHeight="1">
      <c r="A757" s="4" t="n">
        <v>1383</v>
      </c>
      <c r="B757" s="5" t="inlineStr">
        <is>
          <t>IMG_0084</t>
        </is>
      </c>
      <c r="C757" s="5" t="inlineStr">
        <is>
          <t>CLASS G: CONCRETE ANCILLARIES</t>
        </is>
      </c>
      <c r="D757" s="5" t="inlineStr">
        <is>
          <t>01 FORMWORK; ROUGH FINISH</t>
        </is>
      </c>
      <c r="E757" s="5" t="inlineStr">
        <is>
          <t>Plane battered, width</t>
        </is>
      </c>
      <c r="F757" s="5" t="inlineStr">
        <is>
          <t>ne 0.1 m</t>
        </is>
      </c>
      <c r="G757" s="6" t="inlineStr">
        <is>
          <t>m</t>
        </is>
      </c>
      <c r="H757" s="7" t="n">
        <v>0.12</v>
      </c>
      <c r="I757" s="8" t="n">
        <v>6.76</v>
      </c>
      <c r="J757" s="8" t="n">
        <v>4.29</v>
      </c>
      <c r="K757" s="8" t="n">
        <v>8.76</v>
      </c>
      <c r="L757" s="8" t="n">
        <v>0</v>
      </c>
      <c r="M757" s="9">
        <f>ROUND(SUM(I757:L757),2)</f>
        <v/>
      </c>
      <c r="N757" s="10">
        <f>ROUND(I757*'Irish Basis'!$C$6*'Irish Basis'!$C$5,2)</f>
        <v/>
      </c>
      <c r="O757" s="10">
        <f>ROUND(J757*'Irish Basis'!$C$7*'Irish Basis'!$C$5,2)</f>
        <v/>
      </c>
      <c r="P757" s="10">
        <f>ROUND(K757*'Irish Basis'!$C$8*'Irish Basis'!$C$5,2)</f>
        <v/>
      </c>
      <c r="Q757" s="10">
        <f>ROUND(L757*'Irish Basis'!$C$12*'Irish Basis'!$C$5,2)</f>
        <v/>
      </c>
      <c r="R757" s="11">
        <f>ROUND(SUM(N757:Q757),2)</f>
        <v/>
      </c>
      <c r="S757" s="5" t="inlineStr">
        <is>
          <t>Stated build-up</t>
        </is>
      </c>
      <c r="T757" s="12" t="inlineStr">
        <is>
          <t>High</t>
        </is>
      </c>
      <c r="U757" s="8" t="n">
        <v>19.81</v>
      </c>
      <c r="V757" s="13">
        <f>IF(U757="","",ROUND(M757-U757,2))</f>
        <v/>
      </c>
      <c r="W757" s="5" t="n"/>
      <c r="X757" s="5" t="inlineStr">
        <is>
          <t>Labour + plant + material as published; reconciles to the published rate.</t>
        </is>
      </c>
    </row>
    <row r="758" ht="13" customHeight="1">
      <c r="A758" s="4" t="n">
        <v>1384</v>
      </c>
      <c r="B758" s="5" t="inlineStr">
        <is>
          <t>IMG_0084</t>
        </is>
      </c>
      <c r="C758" s="5" t="inlineStr">
        <is>
          <t>CLASS G: CONCRETE ANCILLARIES</t>
        </is>
      </c>
      <c r="D758" s="5" t="inlineStr">
        <is>
          <t>01 FORMWORK; ROUGH FINISH</t>
        </is>
      </c>
      <c r="E758" s="5" t="inlineStr">
        <is>
          <t>Plane battered, width</t>
        </is>
      </c>
      <c r="F758" s="5" t="inlineStr">
        <is>
          <t>0.1-0.20 m</t>
        </is>
      </c>
      <c r="G758" s="6" t="inlineStr">
        <is>
          <t>m</t>
        </is>
      </c>
      <c r="H758" s="7" t="n">
        <v>0.2</v>
      </c>
      <c r="I758" s="8" t="n">
        <v>11.26</v>
      </c>
      <c r="J758" s="8" t="n">
        <v>7.15</v>
      </c>
      <c r="K758" s="8" t="n">
        <v>9.92</v>
      </c>
      <c r="L758" s="8" t="n">
        <v>0</v>
      </c>
      <c r="M758" s="9">
        <f>ROUND(SUM(I758:L758),2)</f>
        <v/>
      </c>
      <c r="N758" s="10">
        <f>ROUND(I758*'Irish Basis'!$C$6*'Irish Basis'!$C$5,2)</f>
        <v/>
      </c>
      <c r="O758" s="10">
        <f>ROUND(J758*'Irish Basis'!$C$7*'Irish Basis'!$C$5,2)</f>
        <v/>
      </c>
      <c r="P758" s="10">
        <f>ROUND(K758*'Irish Basis'!$C$8*'Irish Basis'!$C$5,2)</f>
        <v/>
      </c>
      <c r="Q758" s="10">
        <f>ROUND(L758*'Irish Basis'!$C$12*'Irish Basis'!$C$5,2)</f>
        <v/>
      </c>
      <c r="R758" s="11">
        <f>ROUND(SUM(N758:Q758),2)</f>
        <v/>
      </c>
      <c r="S758" s="5" t="inlineStr">
        <is>
          <t>Stated build-up</t>
        </is>
      </c>
      <c r="T758" s="12" t="inlineStr">
        <is>
          <t>High</t>
        </is>
      </c>
      <c r="U758" s="8" t="n">
        <v>28.34</v>
      </c>
      <c r="V758" s="13">
        <f>IF(U758="","",ROUND(M758-U758,2))</f>
        <v/>
      </c>
      <c r="W758" s="5" t="n"/>
      <c r="X758" s="5" t="inlineStr">
        <is>
          <t>Labour + plant + material as published; reconciles to the published rate.</t>
        </is>
      </c>
    </row>
    <row r="759" ht="13" customHeight="1">
      <c r="A759" s="4" t="n">
        <v>1385</v>
      </c>
      <c r="B759" s="5" t="inlineStr">
        <is>
          <t>IMG_0084</t>
        </is>
      </c>
      <c r="C759" s="5" t="inlineStr">
        <is>
          <t>CLASS G: CONCRETE ANCILLARIES</t>
        </is>
      </c>
      <c r="D759" s="5" t="inlineStr">
        <is>
          <t>01 FORMWORK; ROUGH FINISH</t>
        </is>
      </c>
      <c r="E759" s="5" t="inlineStr">
        <is>
          <t>Plane battered, width</t>
        </is>
      </c>
      <c r="F759" s="5" t="inlineStr">
        <is>
          <t>0.2-0.40 m</t>
        </is>
      </c>
      <c r="G759" s="6" t="inlineStr">
        <is>
          <t>m2</t>
        </is>
      </c>
      <c r="H759" s="7" t="n">
        <v>0.43</v>
      </c>
      <c r="I759" s="8" t="n">
        <v>48.35</v>
      </c>
      <c r="J759" s="8" t="n">
        <v>9.19</v>
      </c>
      <c r="K759" s="8" t="n">
        <v>31.79</v>
      </c>
      <c r="L759" s="8" t="n">
        <v>0</v>
      </c>
      <c r="M759" s="9">
        <f>ROUND(SUM(I759:L759),2)</f>
        <v/>
      </c>
      <c r="N759" s="10">
        <f>ROUND(I759*'Irish Basis'!$C$6*'Irish Basis'!$C$5,2)</f>
        <v/>
      </c>
      <c r="O759" s="10">
        <f>ROUND(J759*'Irish Basis'!$C$7*'Irish Basis'!$C$5,2)</f>
        <v/>
      </c>
      <c r="P759" s="10">
        <f>ROUND(K759*'Irish Basis'!$C$8*'Irish Basis'!$C$5,2)</f>
        <v/>
      </c>
      <c r="Q759" s="10">
        <f>ROUND(L759*'Irish Basis'!$C$12*'Irish Basis'!$C$5,2)</f>
        <v/>
      </c>
      <c r="R759" s="11">
        <f>ROUND(SUM(N759:Q759),2)</f>
        <v/>
      </c>
      <c r="S759" s="5" t="inlineStr">
        <is>
          <t>Stated build-up</t>
        </is>
      </c>
      <c r="T759" s="12" t="inlineStr">
        <is>
          <t>High</t>
        </is>
      </c>
      <c r="U759" s="8" t="n">
        <v>89.33</v>
      </c>
      <c r="V759" s="13">
        <f>IF(U759="","",ROUND(M759-U759,2))</f>
        <v/>
      </c>
      <c r="W759" s="5" t="n"/>
      <c r="X759" s="5" t="inlineStr">
        <is>
          <t>Labour + plant + material as published; reconciles to the published rate.</t>
        </is>
      </c>
    </row>
    <row r="760" ht="13" customHeight="1">
      <c r="A760" s="4" t="n">
        <v>1386</v>
      </c>
      <c r="B760" s="5" t="inlineStr">
        <is>
          <t>IMG_0084</t>
        </is>
      </c>
      <c r="C760" s="5" t="inlineStr">
        <is>
          <t>CLASS G: CONCRETE ANCILLARIES</t>
        </is>
      </c>
      <c r="D760" s="5" t="inlineStr">
        <is>
          <t>01 FORMWORK; ROUGH FINISH</t>
        </is>
      </c>
      <c r="E760" s="5" t="inlineStr">
        <is>
          <t>Plane battered, width</t>
        </is>
      </c>
      <c r="F760" s="5" t="inlineStr">
        <is>
          <t>0.4-1.22 m</t>
        </is>
      </c>
      <c r="G760" s="6" t="inlineStr">
        <is>
          <t>m2</t>
        </is>
      </c>
      <c r="H760" s="7" t="n">
        <v>0.43</v>
      </c>
      <c r="I760" s="8" t="n">
        <v>48.35</v>
      </c>
      <c r="J760" s="8" t="n">
        <v>9.19</v>
      </c>
      <c r="K760" s="8" t="n">
        <v>31.79</v>
      </c>
      <c r="L760" s="8" t="n">
        <v>0</v>
      </c>
      <c r="M760" s="9">
        <f>ROUND(SUM(I760:L760),2)</f>
        <v/>
      </c>
      <c r="N760" s="10">
        <f>ROUND(I760*'Irish Basis'!$C$6*'Irish Basis'!$C$5,2)</f>
        <v/>
      </c>
      <c r="O760" s="10">
        <f>ROUND(J760*'Irish Basis'!$C$7*'Irish Basis'!$C$5,2)</f>
        <v/>
      </c>
      <c r="P760" s="10">
        <f>ROUND(K760*'Irish Basis'!$C$8*'Irish Basis'!$C$5,2)</f>
        <v/>
      </c>
      <c r="Q760" s="10">
        <f>ROUND(L760*'Irish Basis'!$C$12*'Irish Basis'!$C$5,2)</f>
        <v/>
      </c>
      <c r="R760" s="11">
        <f>ROUND(SUM(N760:Q760),2)</f>
        <v/>
      </c>
      <c r="S760" s="5" t="inlineStr">
        <is>
          <t>Stated build-up</t>
        </is>
      </c>
      <c r="T760" s="12" t="inlineStr">
        <is>
          <t>High</t>
        </is>
      </c>
      <c r="U760" s="8" t="n">
        <v>89.33</v>
      </c>
      <c r="V760" s="13">
        <f>IF(U760="","",ROUND(M760-U760,2))</f>
        <v/>
      </c>
      <c r="W760" s="5" t="n"/>
      <c r="X760" s="5" t="inlineStr">
        <is>
          <t>Labour + plant + material as published; reconciles to the published rate.</t>
        </is>
      </c>
    </row>
    <row r="761" ht="13" customHeight="1">
      <c r="A761" s="4" t="n">
        <v>1387</v>
      </c>
      <c r="B761" s="5" t="inlineStr">
        <is>
          <t>IMG_0084</t>
        </is>
      </c>
      <c r="C761" s="5" t="inlineStr">
        <is>
          <t>CLASS G: CONCRETE ANCILLARIES</t>
        </is>
      </c>
      <c r="D761" s="5" t="inlineStr">
        <is>
          <t>01 FORMWORK; ROUGH FINISH</t>
        </is>
      </c>
      <c r="E761" s="5" t="inlineStr">
        <is>
          <t>Plane battered, width</t>
        </is>
      </c>
      <c r="F761" s="5" t="inlineStr">
        <is>
          <t>exceeding 1.22 m</t>
        </is>
      </c>
      <c r="G761" s="6" t="inlineStr">
        <is>
          <t>m2</t>
        </is>
      </c>
      <c r="H761" s="7" t="n">
        <v>0.4</v>
      </c>
      <c r="I761" s="8" t="n">
        <v>44.98</v>
      </c>
      <c r="J761" s="8" t="n">
        <v>8.4</v>
      </c>
      <c r="K761" s="8" t="n">
        <v>31.79</v>
      </c>
      <c r="L761" s="8" t="n">
        <v>0</v>
      </c>
      <c r="M761" s="9">
        <f>ROUND(SUM(I761:L761),2)</f>
        <v/>
      </c>
      <c r="N761" s="10">
        <f>ROUND(I761*'Irish Basis'!$C$6*'Irish Basis'!$C$5,2)</f>
        <v/>
      </c>
      <c r="O761" s="10">
        <f>ROUND(J761*'Irish Basis'!$C$7*'Irish Basis'!$C$5,2)</f>
        <v/>
      </c>
      <c r="P761" s="10">
        <f>ROUND(K761*'Irish Basis'!$C$8*'Irish Basis'!$C$5,2)</f>
        <v/>
      </c>
      <c r="Q761" s="10">
        <f>ROUND(L761*'Irish Basis'!$C$12*'Irish Basis'!$C$5,2)</f>
        <v/>
      </c>
      <c r="R761" s="11">
        <f>ROUND(SUM(N761:Q761),2)</f>
        <v/>
      </c>
      <c r="S761" s="5" t="inlineStr">
        <is>
          <t>Stated build-up</t>
        </is>
      </c>
      <c r="T761" s="12" t="inlineStr">
        <is>
          <t>High</t>
        </is>
      </c>
      <c r="U761" s="8" t="n">
        <v>85.17</v>
      </c>
      <c r="V761" s="13">
        <f>IF(U761="","",ROUND(M761-U761,2))</f>
        <v/>
      </c>
      <c r="W761" s="5" t="n"/>
      <c r="X761" s="5" t="inlineStr">
        <is>
          <t>Labour + plant + material as published; reconciles to the published rate.</t>
        </is>
      </c>
    </row>
    <row r="762" ht="13" customHeight="1">
      <c r="A762" s="4" t="n">
        <v>1389</v>
      </c>
      <c r="B762" s="5" t="inlineStr">
        <is>
          <t>IMG_0084</t>
        </is>
      </c>
      <c r="C762" s="5" t="inlineStr">
        <is>
          <t>CLASS G: CONCRETE ANCILLARIES</t>
        </is>
      </c>
      <c r="D762" s="5" t="inlineStr">
        <is>
          <t>01 FORMWORK; ROUGH FINISH</t>
        </is>
      </c>
      <c r="E762" s="5" t="inlineStr">
        <is>
          <t>Plane vertical, width</t>
        </is>
      </c>
      <c r="F762" s="5" t="inlineStr">
        <is>
          <t>ne 0.1 m</t>
        </is>
      </c>
      <c r="G762" s="6" t="inlineStr">
        <is>
          <t>m</t>
        </is>
      </c>
      <c r="H762" s="7" t="n">
        <v>0.12</v>
      </c>
      <c r="I762" s="8" t="n">
        <v>6.76</v>
      </c>
      <c r="J762" s="8" t="n">
        <v>4.29</v>
      </c>
      <c r="K762" s="8" t="n">
        <v>8.76</v>
      </c>
      <c r="L762" s="8" t="n">
        <v>0</v>
      </c>
      <c r="M762" s="9">
        <f>ROUND(SUM(I762:L762),2)</f>
        <v/>
      </c>
      <c r="N762" s="10">
        <f>ROUND(I762*'Irish Basis'!$C$6*'Irish Basis'!$C$5,2)</f>
        <v/>
      </c>
      <c r="O762" s="10">
        <f>ROUND(J762*'Irish Basis'!$C$7*'Irish Basis'!$C$5,2)</f>
        <v/>
      </c>
      <c r="P762" s="10">
        <f>ROUND(K762*'Irish Basis'!$C$8*'Irish Basis'!$C$5,2)</f>
        <v/>
      </c>
      <c r="Q762" s="10">
        <f>ROUND(L762*'Irish Basis'!$C$12*'Irish Basis'!$C$5,2)</f>
        <v/>
      </c>
      <c r="R762" s="11">
        <f>ROUND(SUM(N762:Q762),2)</f>
        <v/>
      </c>
      <c r="S762" s="5" t="inlineStr">
        <is>
          <t>Stated build-up</t>
        </is>
      </c>
      <c r="T762" s="12" t="inlineStr">
        <is>
          <t>High</t>
        </is>
      </c>
      <c r="U762" s="8" t="n">
        <v>19.81</v>
      </c>
      <c r="V762" s="13">
        <f>IF(U762="","",ROUND(M762-U762,2))</f>
        <v/>
      </c>
      <c r="W762" s="5" t="n"/>
      <c r="X762" s="5" t="inlineStr">
        <is>
          <t>Labour + plant + material as published; reconciles to the published rate.</t>
        </is>
      </c>
    </row>
    <row r="763" ht="13" customHeight="1">
      <c r="A763" s="4" t="n">
        <v>1390</v>
      </c>
      <c r="B763" s="5" t="inlineStr">
        <is>
          <t>IMG_0084</t>
        </is>
      </c>
      <c r="C763" s="5" t="inlineStr">
        <is>
          <t>CLASS G: CONCRETE ANCILLARIES</t>
        </is>
      </c>
      <c r="D763" s="5" t="inlineStr">
        <is>
          <t>01 FORMWORK; ROUGH FINISH</t>
        </is>
      </c>
      <c r="E763" s="5" t="inlineStr">
        <is>
          <t>Plane vertical, width</t>
        </is>
      </c>
      <c r="F763" s="5" t="inlineStr">
        <is>
          <t>0.1-0.20 m</t>
        </is>
      </c>
      <c r="G763" s="6" t="inlineStr">
        <is>
          <t>m</t>
        </is>
      </c>
      <c r="H763" s="7" t="n">
        <v>0.19</v>
      </c>
      <c r="I763" s="8" t="n">
        <v>10.7</v>
      </c>
      <c r="J763" s="8" t="n">
        <v>6.8</v>
      </c>
      <c r="K763" s="8" t="n">
        <v>9.92</v>
      </c>
      <c r="L763" s="8" t="n">
        <v>0</v>
      </c>
      <c r="M763" s="9">
        <f>ROUND(SUM(I763:L763),2)</f>
        <v/>
      </c>
      <c r="N763" s="10">
        <f>ROUND(I763*'Irish Basis'!$C$6*'Irish Basis'!$C$5,2)</f>
        <v/>
      </c>
      <c r="O763" s="10">
        <f>ROUND(J763*'Irish Basis'!$C$7*'Irish Basis'!$C$5,2)</f>
        <v/>
      </c>
      <c r="P763" s="10">
        <f>ROUND(K763*'Irish Basis'!$C$8*'Irish Basis'!$C$5,2)</f>
        <v/>
      </c>
      <c r="Q763" s="10">
        <f>ROUND(L763*'Irish Basis'!$C$12*'Irish Basis'!$C$5,2)</f>
        <v/>
      </c>
      <c r="R763" s="11">
        <f>ROUND(SUM(N763:Q763),2)</f>
        <v/>
      </c>
      <c r="S763" s="5" t="inlineStr">
        <is>
          <t>Stated build-up</t>
        </is>
      </c>
      <c r="T763" s="12" t="inlineStr">
        <is>
          <t>High</t>
        </is>
      </c>
      <c r="U763" s="8" t="n">
        <v>27.42</v>
      </c>
      <c r="V763" s="13">
        <f>IF(U763="","",ROUND(M763-U763,2))</f>
        <v/>
      </c>
      <c r="W763" s="5" t="n"/>
      <c r="X763" s="5" t="inlineStr">
        <is>
          <t>Labour + plant + material as published; reconciles to the published rate.</t>
        </is>
      </c>
    </row>
    <row r="764" ht="13" customHeight="1">
      <c r="A764" s="4" t="n">
        <v>1391</v>
      </c>
      <c r="B764" s="5" t="inlineStr">
        <is>
          <t>IMG_0084</t>
        </is>
      </c>
      <c r="C764" s="5" t="inlineStr">
        <is>
          <t>CLASS G: CONCRETE ANCILLARIES</t>
        </is>
      </c>
      <c r="D764" s="5" t="inlineStr">
        <is>
          <t>01 FORMWORK; ROUGH FINISH</t>
        </is>
      </c>
      <c r="E764" s="5" t="inlineStr">
        <is>
          <t>Plane vertical, width</t>
        </is>
      </c>
      <c r="F764" s="5" t="inlineStr">
        <is>
          <t>0.2-0.40 m</t>
        </is>
      </c>
      <c r="G764" s="6" t="inlineStr">
        <is>
          <t>m2</t>
        </is>
      </c>
      <c r="H764" s="7" t="n">
        <v>0.7</v>
      </c>
      <c r="I764" s="8" t="n">
        <v>78.72</v>
      </c>
      <c r="J764" s="8" t="n">
        <v>14.7</v>
      </c>
      <c r="K764" s="8" t="n">
        <v>28.57</v>
      </c>
      <c r="L764" s="8" t="n">
        <v>0</v>
      </c>
      <c r="M764" s="9">
        <f>ROUND(SUM(I764:L764),2)</f>
        <v/>
      </c>
      <c r="N764" s="10">
        <f>ROUND(I764*'Irish Basis'!$C$6*'Irish Basis'!$C$5,2)</f>
        <v/>
      </c>
      <c r="O764" s="10">
        <f>ROUND(J764*'Irish Basis'!$C$7*'Irish Basis'!$C$5,2)</f>
        <v/>
      </c>
      <c r="P764" s="10">
        <f>ROUND(K764*'Irish Basis'!$C$8*'Irish Basis'!$C$5,2)</f>
        <v/>
      </c>
      <c r="Q764" s="10">
        <f>ROUND(L764*'Irish Basis'!$C$12*'Irish Basis'!$C$5,2)</f>
        <v/>
      </c>
      <c r="R764" s="11">
        <f>ROUND(SUM(N764:Q764),2)</f>
        <v/>
      </c>
      <c r="S764" s="5" t="inlineStr">
        <is>
          <t>Stated build-up</t>
        </is>
      </c>
      <c r="T764" s="12" t="inlineStr">
        <is>
          <t>High</t>
        </is>
      </c>
      <c r="U764" s="8" t="n">
        <v>121.99</v>
      </c>
      <c r="V764" s="13">
        <f>IF(U764="","",ROUND(M764-U764,2))</f>
        <v/>
      </c>
      <c r="W764" s="5" t="n"/>
      <c r="X764" s="5" t="inlineStr">
        <is>
          <t>Labour + plant + material as published; reconciles to the published rate.</t>
        </is>
      </c>
    </row>
    <row r="765" ht="13" customHeight="1">
      <c r="A765" s="4" t="n">
        <v>1392</v>
      </c>
      <c r="B765" s="5" t="inlineStr">
        <is>
          <t>IMG_0084</t>
        </is>
      </c>
      <c r="C765" s="5" t="inlineStr">
        <is>
          <t>CLASS G: CONCRETE ANCILLARIES</t>
        </is>
      </c>
      <c r="D765" s="5" t="inlineStr">
        <is>
          <t>01 FORMWORK; ROUGH FINISH</t>
        </is>
      </c>
      <c r="E765" s="5" t="inlineStr">
        <is>
          <t>Plane vertical, width</t>
        </is>
      </c>
      <c r="F765" s="5" t="inlineStr">
        <is>
          <t>0.4-1.22 m</t>
        </is>
      </c>
      <c r="G765" s="6" t="inlineStr">
        <is>
          <t>m2</t>
        </is>
      </c>
      <c r="H765" s="7" t="n">
        <v>0.51</v>
      </c>
      <c r="I765" s="8" t="n">
        <v>57.35</v>
      </c>
      <c r="J765" s="8" t="n">
        <v>10.57</v>
      </c>
      <c r="K765" s="8" t="n">
        <v>28.57</v>
      </c>
      <c r="L765" s="8" t="n">
        <v>0</v>
      </c>
      <c r="M765" s="9">
        <f>ROUND(SUM(I765:L765),2)</f>
        <v/>
      </c>
      <c r="N765" s="10">
        <f>ROUND(I765*'Irish Basis'!$C$6*'Irish Basis'!$C$5,2)</f>
        <v/>
      </c>
      <c r="O765" s="10">
        <f>ROUND(J765*'Irish Basis'!$C$7*'Irish Basis'!$C$5,2)</f>
        <v/>
      </c>
      <c r="P765" s="10">
        <f>ROUND(K765*'Irish Basis'!$C$8*'Irish Basis'!$C$5,2)</f>
        <v/>
      </c>
      <c r="Q765" s="10">
        <f>ROUND(L765*'Irish Basis'!$C$12*'Irish Basis'!$C$5,2)</f>
        <v/>
      </c>
      <c r="R765" s="11">
        <f>ROUND(SUM(N765:Q765),2)</f>
        <v/>
      </c>
      <c r="S765" s="5" t="inlineStr">
        <is>
          <t>Stated build-up</t>
        </is>
      </c>
      <c r="T765" s="12" t="inlineStr">
        <is>
          <t>High</t>
        </is>
      </c>
      <c r="U765" s="8" t="n">
        <v>96.48999999999999</v>
      </c>
      <c r="V765" s="13">
        <f>IF(U765="","",ROUND(M765-U765,2))</f>
        <v/>
      </c>
      <c r="W765" s="5" t="n"/>
      <c r="X765" s="5" t="inlineStr">
        <is>
          <t>Labour + plant + material as published; reconciles to the published rate.</t>
        </is>
      </c>
    </row>
    <row r="766" ht="13" customHeight="1">
      <c r="A766" s="4" t="n">
        <v>1393</v>
      </c>
      <c r="B766" s="5" t="inlineStr">
        <is>
          <t>IMG_0084</t>
        </is>
      </c>
      <c r="C766" s="5" t="inlineStr">
        <is>
          <t>CLASS G: CONCRETE ANCILLARIES</t>
        </is>
      </c>
      <c r="D766" s="5" t="inlineStr">
        <is>
          <t>01 FORMWORK; ROUGH FINISH</t>
        </is>
      </c>
      <c r="E766" s="5" t="inlineStr">
        <is>
          <t>Plane vertical, width</t>
        </is>
      </c>
      <c r="F766" s="5" t="inlineStr">
        <is>
          <t>exceeding 1.22 m</t>
        </is>
      </c>
      <c r="G766" s="6" t="inlineStr">
        <is>
          <t>m2</t>
        </is>
      </c>
      <c r="H766" s="7" t="n">
        <v>0.47</v>
      </c>
      <c r="I766" s="8" t="n">
        <v>52.85</v>
      </c>
      <c r="J766" s="8" t="n">
        <v>10.03</v>
      </c>
      <c r="K766" s="8" t="n">
        <v>28.57</v>
      </c>
      <c r="L766" s="8" t="n">
        <v>0</v>
      </c>
      <c r="M766" s="9">
        <f>ROUND(SUM(I766:L766),2)</f>
        <v/>
      </c>
      <c r="N766" s="10">
        <f>ROUND(I766*'Irish Basis'!$C$6*'Irish Basis'!$C$5,2)</f>
        <v/>
      </c>
      <c r="O766" s="10">
        <f>ROUND(J766*'Irish Basis'!$C$7*'Irish Basis'!$C$5,2)</f>
        <v/>
      </c>
      <c r="P766" s="10">
        <f>ROUND(K766*'Irish Basis'!$C$8*'Irish Basis'!$C$5,2)</f>
        <v/>
      </c>
      <c r="Q766" s="10">
        <f>ROUND(L766*'Irish Basis'!$C$12*'Irish Basis'!$C$5,2)</f>
        <v/>
      </c>
      <c r="R766" s="11">
        <f>ROUND(SUM(N766:Q766),2)</f>
        <v/>
      </c>
      <c r="S766" s="5" t="inlineStr">
        <is>
          <t>Stated build-up</t>
        </is>
      </c>
      <c r="T766" s="12" t="inlineStr">
        <is>
          <t>High</t>
        </is>
      </c>
      <c r="U766" s="8" t="n">
        <v>91.45</v>
      </c>
      <c r="V766" s="13">
        <f>IF(U766="","",ROUND(M766-U766,2))</f>
        <v/>
      </c>
      <c r="W766" s="5" t="n"/>
      <c r="X766" s="5" t="inlineStr">
        <is>
          <t>Labour + plant + material as published; reconciles to the published rate.</t>
        </is>
      </c>
    </row>
    <row r="767" ht="13" customHeight="1">
      <c r="A767" s="4" t="n">
        <v>1395</v>
      </c>
      <c r="B767" s="5" t="inlineStr">
        <is>
          <t>IMG_0084</t>
        </is>
      </c>
      <c r="C767" s="5" t="inlineStr">
        <is>
          <t>CLASS G: CONCRETE ANCILLARIES</t>
        </is>
      </c>
      <c r="D767" s="5" t="inlineStr">
        <is>
          <t>01 FORMWORK; ROUGH FINISH</t>
        </is>
      </c>
      <c r="E767" s="5" t="inlineStr">
        <is>
          <t>Curved to one radius in one plane, 0.5 m radius, width</t>
        </is>
      </c>
      <c r="F767" s="5" t="inlineStr">
        <is>
          <t>ne 0.1 m</t>
        </is>
      </c>
      <c r="G767" s="6" t="inlineStr">
        <is>
          <t>m</t>
        </is>
      </c>
      <c r="H767" s="7" t="n">
        <v>0.19</v>
      </c>
      <c r="I767" s="8" t="n">
        <v>10.7</v>
      </c>
      <c r="J767" s="8" t="n">
        <v>6.8</v>
      </c>
      <c r="K767" s="8" t="n">
        <v>11.98</v>
      </c>
      <c r="L767" s="8" t="n">
        <v>0</v>
      </c>
      <c r="M767" s="9">
        <f>ROUND(SUM(I767:L767),2)</f>
        <v/>
      </c>
      <c r="N767" s="10">
        <f>ROUND(I767*'Irish Basis'!$C$6*'Irish Basis'!$C$5,2)</f>
        <v/>
      </c>
      <c r="O767" s="10">
        <f>ROUND(J767*'Irish Basis'!$C$7*'Irish Basis'!$C$5,2)</f>
        <v/>
      </c>
      <c r="P767" s="10">
        <f>ROUND(K767*'Irish Basis'!$C$8*'Irish Basis'!$C$5,2)</f>
        <v/>
      </c>
      <c r="Q767" s="10">
        <f>ROUND(L767*'Irish Basis'!$C$12*'Irish Basis'!$C$5,2)</f>
        <v/>
      </c>
      <c r="R767" s="11">
        <f>ROUND(SUM(N767:Q767),2)</f>
        <v/>
      </c>
      <c r="S767" s="5" t="inlineStr">
        <is>
          <t>Stated build-up</t>
        </is>
      </c>
      <c r="T767" s="12" t="inlineStr">
        <is>
          <t>High</t>
        </is>
      </c>
      <c r="U767" s="8" t="n">
        <v>29.48</v>
      </c>
      <c r="V767" s="13">
        <f>IF(U767="","",ROUND(M767-U767,2))</f>
        <v/>
      </c>
      <c r="W767" s="5" t="n"/>
      <c r="X767" s="5" t="inlineStr">
        <is>
          <t>Labour + plant + material as published; reconciles to the published rate.</t>
        </is>
      </c>
    </row>
    <row r="768" ht="13" customHeight="1">
      <c r="A768" s="4" t="n">
        <v>1396</v>
      </c>
      <c r="B768" s="5" t="inlineStr">
        <is>
          <t>IMG_0084</t>
        </is>
      </c>
      <c r="C768" s="5" t="inlineStr">
        <is>
          <t>CLASS G: CONCRETE ANCILLARIES</t>
        </is>
      </c>
      <c r="D768" s="5" t="inlineStr">
        <is>
          <t>01 FORMWORK; ROUGH FINISH</t>
        </is>
      </c>
      <c r="E768" s="5" t="inlineStr">
        <is>
          <t>Curved to one radius in one plane, 0.5 m radius, width</t>
        </is>
      </c>
      <c r="F768" s="5" t="inlineStr">
        <is>
          <t>0.1-0.20 m</t>
        </is>
      </c>
      <c r="G768" s="6" t="inlineStr">
        <is>
          <t>m</t>
        </is>
      </c>
      <c r="H768" s="7" t="n">
        <v>0.25</v>
      </c>
      <c r="I768" s="8" t="n">
        <v>14.08</v>
      </c>
      <c r="J768" s="8" t="n">
        <v>8.949999999999999</v>
      </c>
      <c r="K768" s="8" t="n">
        <v>13.14</v>
      </c>
      <c r="L768" s="8" t="n">
        <v>0</v>
      </c>
      <c r="M768" s="9">
        <f>ROUND(SUM(I768:L768),2)</f>
        <v/>
      </c>
      <c r="N768" s="10">
        <f>ROUND(I768*'Irish Basis'!$C$6*'Irish Basis'!$C$5,2)</f>
        <v/>
      </c>
      <c r="O768" s="10">
        <f>ROUND(J768*'Irish Basis'!$C$7*'Irish Basis'!$C$5,2)</f>
        <v/>
      </c>
      <c r="P768" s="10">
        <f>ROUND(K768*'Irish Basis'!$C$8*'Irish Basis'!$C$5,2)</f>
        <v/>
      </c>
      <c r="Q768" s="10">
        <f>ROUND(L768*'Irish Basis'!$C$12*'Irish Basis'!$C$5,2)</f>
        <v/>
      </c>
      <c r="R768" s="11">
        <f>ROUND(SUM(N768:Q768),2)</f>
        <v/>
      </c>
      <c r="S768" s="5" t="inlineStr">
        <is>
          <t>Stated build-up</t>
        </is>
      </c>
      <c r="T768" s="12" t="inlineStr">
        <is>
          <t>High</t>
        </is>
      </c>
      <c r="U768" s="8" t="n">
        <v>36.17</v>
      </c>
      <c r="V768" s="13">
        <f>IF(U768="","",ROUND(M768-U768,2))</f>
        <v/>
      </c>
      <c r="W768" s="5" t="n"/>
      <c r="X768" s="5" t="inlineStr">
        <is>
          <t>Labour + plant + material as published; reconciles to the published rate.</t>
        </is>
      </c>
    </row>
    <row r="769" ht="13" customHeight="1">
      <c r="A769" s="4" t="n">
        <v>1397</v>
      </c>
      <c r="B769" s="5" t="inlineStr">
        <is>
          <t>IMG_0084</t>
        </is>
      </c>
      <c r="C769" s="5" t="inlineStr">
        <is>
          <t>CLASS G: CONCRETE ANCILLARIES</t>
        </is>
      </c>
      <c r="D769" s="5" t="inlineStr">
        <is>
          <t>01 FORMWORK; ROUGH FINISH</t>
        </is>
      </c>
      <c r="E769" s="5" t="inlineStr">
        <is>
          <t>Curved to one radius in one plane, 0.5 m radius, width</t>
        </is>
      </c>
      <c r="F769" s="5" t="inlineStr">
        <is>
          <t>0.2-0.40 m</t>
        </is>
      </c>
      <c r="G769" s="6" t="inlineStr">
        <is>
          <t>m2</t>
        </is>
      </c>
      <c r="H769" s="7" t="n">
        <v>0.9</v>
      </c>
      <c r="I769" s="8" t="n">
        <v>101.21</v>
      </c>
      <c r="J769" s="8" t="n">
        <v>18.91</v>
      </c>
      <c r="K769" s="8" t="n">
        <v>31.79</v>
      </c>
      <c r="L769" s="8" t="n">
        <v>0</v>
      </c>
      <c r="M769" s="9">
        <f>ROUND(SUM(I769:L769),2)</f>
        <v/>
      </c>
      <c r="N769" s="10">
        <f>ROUND(I769*'Irish Basis'!$C$6*'Irish Basis'!$C$5,2)</f>
        <v/>
      </c>
      <c r="O769" s="10">
        <f>ROUND(J769*'Irish Basis'!$C$7*'Irish Basis'!$C$5,2)</f>
        <v/>
      </c>
      <c r="P769" s="10">
        <f>ROUND(K769*'Irish Basis'!$C$8*'Irish Basis'!$C$5,2)</f>
        <v/>
      </c>
      <c r="Q769" s="10">
        <f>ROUND(L769*'Irish Basis'!$C$12*'Irish Basis'!$C$5,2)</f>
        <v/>
      </c>
      <c r="R769" s="11">
        <f>ROUND(SUM(N769:Q769),2)</f>
        <v/>
      </c>
      <c r="S769" s="5" t="inlineStr">
        <is>
          <t>Stated build-up</t>
        </is>
      </c>
      <c r="T769" s="12" t="inlineStr">
        <is>
          <t>High</t>
        </is>
      </c>
      <c r="U769" s="8" t="n">
        <v>151.9</v>
      </c>
      <c r="V769" s="13">
        <f>IF(U769="","",ROUND(M769-U769,2))</f>
        <v/>
      </c>
      <c r="W769" s="5" t="n"/>
      <c r="X769" s="5" t="inlineStr">
        <is>
          <t>Labour + plant + material as published; reconciles to the published rate.</t>
        </is>
      </c>
    </row>
    <row r="770" ht="13" customHeight="1">
      <c r="A770" s="4" t="n">
        <v>1398</v>
      </c>
      <c r="B770" s="5" t="inlineStr">
        <is>
          <t>IMG_0084</t>
        </is>
      </c>
      <c r="C770" s="5" t="inlineStr">
        <is>
          <t>CLASS G: CONCRETE ANCILLARIES</t>
        </is>
      </c>
      <c r="D770" s="5" t="inlineStr">
        <is>
          <t>01 FORMWORK; ROUGH FINISH</t>
        </is>
      </c>
      <c r="E770" s="5" t="inlineStr">
        <is>
          <t>Curved to one radius in one plane, 0.5 m radius, width</t>
        </is>
      </c>
      <c r="F770" s="5" t="inlineStr">
        <is>
          <t>0.4-1.22 m</t>
        </is>
      </c>
      <c r="G770" s="6" t="inlineStr">
        <is>
          <t>m2</t>
        </is>
      </c>
      <c r="H770" s="7" t="n">
        <v>0.72</v>
      </c>
      <c r="I770" s="8" t="n">
        <v>80.95999999999999</v>
      </c>
      <c r="J770" s="8" t="n">
        <v>15.12</v>
      </c>
      <c r="K770" s="8" t="n">
        <v>31.79</v>
      </c>
      <c r="L770" s="8" t="n">
        <v>0</v>
      </c>
      <c r="M770" s="9">
        <f>ROUND(SUM(I770:L770),2)</f>
        <v/>
      </c>
      <c r="N770" s="10">
        <f>ROUND(I770*'Irish Basis'!$C$6*'Irish Basis'!$C$5,2)</f>
        <v/>
      </c>
      <c r="O770" s="10">
        <f>ROUND(J770*'Irish Basis'!$C$7*'Irish Basis'!$C$5,2)</f>
        <v/>
      </c>
      <c r="P770" s="10">
        <f>ROUND(K770*'Irish Basis'!$C$8*'Irish Basis'!$C$5,2)</f>
        <v/>
      </c>
      <c r="Q770" s="10">
        <f>ROUND(L770*'Irish Basis'!$C$12*'Irish Basis'!$C$5,2)</f>
        <v/>
      </c>
      <c r="R770" s="11">
        <f>ROUND(SUM(N770:Q770),2)</f>
        <v/>
      </c>
      <c r="S770" s="5" t="inlineStr">
        <is>
          <t>Stated build-up</t>
        </is>
      </c>
      <c r="T770" s="12" t="inlineStr">
        <is>
          <t>High</t>
        </is>
      </c>
      <c r="U770" s="8" t="n">
        <v>127.88</v>
      </c>
      <c r="V770" s="13">
        <f>IF(U770="","",ROUND(M770-U770,2))</f>
        <v/>
      </c>
      <c r="W770" s="5" t="n"/>
      <c r="X770" s="5" t="inlineStr">
        <is>
          <t>Labour + plant + material as published; reconciles to the published rate.</t>
        </is>
      </c>
    </row>
    <row r="771" ht="13" customHeight="1">
      <c r="A771" s="4" t="n">
        <v>1399</v>
      </c>
      <c r="B771" s="5" t="inlineStr">
        <is>
          <t>IMG_0084</t>
        </is>
      </c>
      <c r="C771" s="5" t="inlineStr">
        <is>
          <t>CLASS G: CONCRETE ANCILLARIES</t>
        </is>
      </c>
      <c r="D771" s="5" t="inlineStr">
        <is>
          <t>01 FORMWORK; ROUGH FINISH</t>
        </is>
      </c>
      <c r="E771" s="5" t="inlineStr">
        <is>
          <t>Curved to one radius in one plane, 0.5 m radius, width</t>
        </is>
      </c>
      <c r="F771" s="5" t="inlineStr">
        <is>
          <t>exceeding 1.22 m</t>
        </is>
      </c>
      <c r="G771" s="6" t="inlineStr">
        <is>
          <t>m2</t>
        </is>
      </c>
      <c r="H771" s="7" t="n">
        <v>0.65</v>
      </c>
      <c r="I771" s="8" t="n">
        <v>73.09</v>
      </c>
      <c r="J771" s="8" t="n">
        <v>13.51</v>
      </c>
      <c r="K771" s="8" t="n">
        <v>31.79</v>
      </c>
      <c r="L771" s="8" t="n">
        <v>0</v>
      </c>
      <c r="M771" s="9">
        <f>ROUND(SUM(I771:L771),2)</f>
        <v/>
      </c>
      <c r="N771" s="10">
        <f>ROUND(I771*'Irish Basis'!$C$6*'Irish Basis'!$C$5,2)</f>
        <v/>
      </c>
      <c r="O771" s="10">
        <f>ROUND(J771*'Irish Basis'!$C$7*'Irish Basis'!$C$5,2)</f>
        <v/>
      </c>
      <c r="P771" s="10">
        <f>ROUND(K771*'Irish Basis'!$C$8*'Irish Basis'!$C$5,2)</f>
        <v/>
      </c>
      <c r="Q771" s="10">
        <f>ROUND(L771*'Irish Basis'!$C$12*'Irish Basis'!$C$5,2)</f>
        <v/>
      </c>
      <c r="R771" s="11">
        <f>ROUND(SUM(N771:Q771),2)</f>
        <v/>
      </c>
      <c r="S771" s="5" t="inlineStr">
        <is>
          <t>Stated build-up</t>
        </is>
      </c>
      <c r="T771" s="12" t="inlineStr">
        <is>
          <t>High</t>
        </is>
      </c>
      <c r="U771" s="8" t="n">
        <v>118.39</v>
      </c>
      <c r="V771" s="13">
        <f>IF(U771="","",ROUND(M771-U771,2))</f>
        <v/>
      </c>
      <c r="W771" s="5" t="n"/>
      <c r="X771" s="5" t="inlineStr">
        <is>
          <t>Labour + plant + material as published; reconciles to the published rate.</t>
        </is>
      </c>
    </row>
    <row r="772" ht="13" customHeight="1">
      <c r="A772" s="4" t="n">
        <v>1401</v>
      </c>
      <c r="B772" s="5" t="inlineStr">
        <is>
          <t>IMG_0084</t>
        </is>
      </c>
      <c r="C772" s="5" t="inlineStr">
        <is>
          <t>CLASS G: CONCRETE ANCILLARIES</t>
        </is>
      </c>
      <c r="D772" s="5" t="inlineStr">
        <is>
          <t>01 FORMWORK; ROUGH FINISH</t>
        </is>
      </c>
      <c r="E772" s="5" t="inlineStr">
        <is>
          <t>Curved to one radius in one plane, 2 m radius, width</t>
        </is>
      </c>
      <c r="F772" s="5" t="inlineStr">
        <is>
          <t>ne 0.1 m</t>
        </is>
      </c>
      <c r="G772" s="6" t="inlineStr">
        <is>
          <t>m</t>
        </is>
      </c>
      <c r="H772" s="7" t="n">
        <v>0.18</v>
      </c>
      <c r="I772" s="8" t="n">
        <v>10.14</v>
      </c>
      <c r="J772" s="8" t="n">
        <v>6.44</v>
      </c>
      <c r="K772" s="8" t="n">
        <v>11.98</v>
      </c>
      <c r="L772" s="8" t="n">
        <v>0</v>
      </c>
      <c r="M772" s="9">
        <f>ROUND(SUM(I772:L772),2)</f>
        <v/>
      </c>
      <c r="N772" s="10">
        <f>ROUND(I772*'Irish Basis'!$C$6*'Irish Basis'!$C$5,2)</f>
        <v/>
      </c>
      <c r="O772" s="10">
        <f>ROUND(J772*'Irish Basis'!$C$7*'Irish Basis'!$C$5,2)</f>
        <v/>
      </c>
      <c r="P772" s="10">
        <f>ROUND(K772*'Irish Basis'!$C$8*'Irish Basis'!$C$5,2)</f>
        <v/>
      </c>
      <c r="Q772" s="10">
        <f>ROUND(L772*'Irish Basis'!$C$12*'Irish Basis'!$C$5,2)</f>
        <v/>
      </c>
      <c r="R772" s="11">
        <f>ROUND(SUM(N772:Q772),2)</f>
        <v/>
      </c>
      <c r="S772" s="5" t="inlineStr">
        <is>
          <t>Stated build-up</t>
        </is>
      </c>
      <c r="T772" s="12" t="inlineStr">
        <is>
          <t>High</t>
        </is>
      </c>
      <c r="U772" s="8" t="n">
        <v>28.55</v>
      </c>
      <c r="V772" s="13">
        <f>IF(U772="","",ROUND(M772-U772,2))</f>
        <v/>
      </c>
      <c r="W772" s="5" t="n"/>
      <c r="X772" s="5" t="inlineStr">
        <is>
          <t>Labour + plant + material as published; reconciles to the published rate.</t>
        </is>
      </c>
    </row>
    <row r="773" ht="13" customHeight="1">
      <c r="A773" s="4" t="n">
        <v>1402</v>
      </c>
      <c r="B773" s="5" t="inlineStr">
        <is>
          <t>IMG_0084</t>
        </is>
      </c>
      <c r="C773" s="5" t="inlineStr">
        <is>
          <t>CLASS G: CONCRETE ANCILLARIES</t>
        </is>
      </c>
      <c r="D773" s="5" t="inlineStr">
        <is>
          <t>01 FORMWORK; ROUGH FINISH</t>
        </is>
      </c>
      <c r="E773" s="5" t="inlineStr">
        <is>
          <t>Curved to one radius in one plane, 2 m radius, width</t>
        </is>
      </c>
      <c r="F773" s="5" t="inlineStr">
        <is>
          <t>0.1-0.20 m</t>
        </is>
      </c>
      <c r="G773" s="6" t="inlineStr">
        <is>
          <t>m</t>
        </is>
      </c>
      <c r="H773" s="7" t="n">
        <v>0.25</v>
      </c>
      <c r="I773" s="8" t="n">
        <v>14.08</v>
      </c>
      <c r="J773" s="8" t="n">
        <v>7.87</v>
      </c>
      <c r="K773" s="8" t="n">
        <v>13.14</v>
      </c>
      <c r="L773" s="8" t="n">
        <v>0</v>
      </c>
      <c r="M773" s="9">
        <f>ROUND(SUM(I773:L773),2)</f>
        <v/>
      </c>
      <c r="N773" s="10">
        <f>ROUND(I773*'Irish Basis'!$C$6*'Irish Basis'!$C$5,2)</f>
        <v/>
      </c>
      <c r="O773" s="10">
        <f>ROUND(J773*'Irish Basis'!$C$7*'Irish Basis'!$C$5,2)</f>
        <v/>
      </c>
      <c r="P773" s="10">
        <f>ROUND(K773*'Irish Basis'!$C$8*'Irish Basis'!$C$5,2)</f>
        <v/>
      </c>
      <c r="Q773" s="10">
        <f>ROUND(L773*'Irish Basis'!$C$12*'Irish Basis'!$C$5,2)</f>
        <v/>
      </c>
      <c r="R773" s="11">
        <f>ROUND(SUM(N773:Q773),2)</f>
        <v/>
      </c>
      <c r="S773" s="5" t="inlineStr">
        <is>
          <t>Stated build-up</t>
        </is>
      </c>
      <c r="T773" s="12" t="inlineStr">
        <is>
          <t>High</t>
        </is>
      </c>
      <c r="U773" s="8" t="n">
        <v>35.09</v>
      </c>
      <c r="V773" s="13">
        <f>IF(U773="","",ROUND(M773-U773,2))</f>
        <v/>
      </c>
      <c r="W773" s="5" t="n"/>
      <c r="X773" s="5" t="inlineStr">
        <is>
          <t>Labour + plant + material as published; reconciles to the published rate.</t>
        </is>
      </c>
    </row>
    <row r="774" ht="13" customHeight="1">
      <c r="A774" s="4" t="n">
        <v>1403</v>
      </c>
      <c r="B774" s="5" t="inlineStr">
        <is>
          <t>IMG_0084</t>
        </is>
      </c>
      <c r="C774" s="5" t="inlineStr">
        <is>
          <t>CLASS G: CONCRETE ANCILLARIES</t>
        </is>
      </c>
      <c r="D774" s="5" t="inlineStr">
        <is>
          <t>01 FORMWORK; ROUGH FINISH</t>
        </is>
      </c>
      <c r="E774" s="5" t="inlineStr">
        <is>
          <t>Curved to one radius in one plane, 2 m radius, width</t>
        </is>
      </c>
      <c r="F774" s="5" t="inlineStr">
        <is>
          <t>0.2-0.40 m</t>
        </is>
      </c>
      <c r="G774" s="6" t="inlineStr">
        <is>
          <t>m2</t>
        </is>
      </c>
      <c r="H774" s="7" t="n">
        <v>0.9</v>
      </c>
      <c r="I774" s="8" t="n">
        <v>101.21</v>
      </c>
      <c r="J774" s="8" t="n">
        <v>17.64</v>
      </c>
      <c r="K774" s="8" t="n">
        <v>31.79</v>
      </c>
      <c r="L774" s="8" t="n">
        <v>0</v>
      </c>
      <c r="M774" s="9">
        <f>ROUND(SUM(I774:L774),2)</f>
        <v/>
      </c>
      <c r="N774" s="10">
        <f>ROUND(I774*'Irish Basis'!$C$6*'Irish Basis'!$C$5,2)</f>
        <v/>
      </c>
      <c r="O774" s="10">
        <f>ROUND(J774*'Irish Basis'!$C$7*'Irish Basis'!$C$5,2)</f>
        <v/>
      </c>
      <c r="P774" s="10">
        <f>ROUND(K774*'Irish Basis'!$C$8*'Irish Basis'!$C$5,2)</f>
        <v/>
      </c>
      <c r="Q774" s="10">
        <f>ROUND(L774*'Irish Basis'!$C$12*'Irish Basis'!$C$5,2)</f>
        <v/>
      </c>
      <c r="R774" s="11">
        <f>ROUND(SUM(N774:Q774),2)</f>
        <v/>
      </c>
      <c r="S774" s="5" t="inlineStr">
        <is>
          <t>Stated build-up</t>
        </is>
      </c>
      <c r="T774" s="12" t="inlineStr">
        <is>
          <t>High</t>
        </is>
      </c>
      <c r="U774" s="8" t="n">
        <v>150.64</v>
      </c>
      <c r="V774" s="13">
        <f>IF(U774="","",ROUND(M774-U774,2))</f>
        <v/>
      </c>
      <c r="W774" s="5" t="n"/>
      <c r="X774" s="5" t="inlineStr">
        <is>
          <t>Labour + plant + material as published; reconciles to the published rate.</t>
        </is>
      </c>
    </row>
    <row r="775" ht="13" customHeight="1">
      <c r="A775" s="4" t="n">
        <v>1404</v>
      </c>
      <c r="B775" s="5" t="inlineStr">
        <is>
          <t>IMG_0084</t>
        </is>
      </c>
      <c r="C775" s="5" t="inlineStr">
        <is>
          <t>CLASS G: CONCRETE ANCILLARIES</t>
        </is>
      </c>
      <c r="D775" s="5" t="inlineStr">
        <is>
          <t>01 FORMWORK; ROUGH FINISH</t>
        </is>
      </c>
      <c r="E775" s="5" t="inlineStr">
        <is>
          <t>Curved to one radius in one plane, 2 m radius, width</t>
        </is>
      </c>
      <c r="F775" s="5" t="inlineStr">
        <is>
          <t>0.4-1.22 m</t>
        </is>
      </c>
      <c r="G775" s="6" t="inlineStr">
        <is>
          <t>m2</t>
        </is>
      </c>
      <c r="H775" s="7" t="n">
        <v>0.7</v>
      </c>
      <c r="I775" s="8" t="n">
        <v>78.72</v>
      </c>
      <c r="J775" s="8" t="n">
        <v>13.86</v>
      </c>
      <c r="K775" s="8" t="n">
        <v>31.79</v>
      </c>
      <c r="L775" s="8" t="n">
        <v>0</v>
      </c>
      <c r="M775" s="9">
        <f>ROUND(SUM(I775:L775),2)</f>
        <v/>
      </c>
      <c r="N775" s="10">
        <f>ROUND(I775*'Irish Basis'!$C$6*'Irish Basis'!$C$5,2)</f>
        <v/>
      </c>
      <c r="O775" s="10">
        <f>ROUND(J775*'Irish Basis'!$C$7*'Irish Basis'!$C$5,2)</f>
        <v/>
      </c>
      <c r="P775" s="10">
        <f>ROUND(K775*'Irish Basis'!$C$8*'Irish Basis'!$C$5,2)</f>
        <v/>
      </c>
      <c r="Q775" s="10">
        <f>ROUND(L775*'Irish Basis'!$C$12*'Irish Basis'!$C$5,2)</f>
        <v/>
      </c>
      <c r="R775" s="11">
        <f>ROUND(SUM(N775:Q775),2)</f>
        <v/>
      </c>
      <c r="S775" s="5" t="inlineStr">
        <is>
          <t>Stated build-up</t>
        </is>
      </c>
      <c r="T775" s="12" t="inlineStr">
        <is>
          <t>High</t>
        </is>
      </c>
      <c r="U775" s="8" t="n">
        <v>124.37</v>
      </c>
      <c r="V775" s="13">
        <f>IF(U775="","",ROUND(M775-U775,2))</f>
        <v/>
      </c>
      <c r="W775" s="5" t="n"/>
      <c r="X775" s="5" t="inlineStr">
        <is>
          <t>Labour + plant + material as published; reconciles to the published rate.</t>
        </is>
      </c>
    </row>
    <row r="776" ht="13" customHeight="1">
      <c r="A776" s="4" t="n">
        <v>1405</v>
      </c>
      <c r="B776" s="5" t="inlineStr">
        <is>
          <t>IMG_0084</t>
        </is>
      </c>
      <c r="C776" s="5" t="inlineStr">
        <is>
          <t>CLASS G: CONCRETE ANCILLARIES</t>
        </is>
      </c>
      <c r="D776" s="5" t="inlineStr">
        <is>
          <t>01 FORMWORK; ROUGH FINISH</t>
        </is>
      </c>
      <c r="E776" s="5" t="inlineStr">
        <is>
          <t>Curved to one radius in one plane, 2 m radius, width</t>
        </is>
      </c>
      <c r="F776" s="5" t="inlineStr">
        <is>
          <t>exceeding 1.22 m</t>
        </is>
      </c>
      <c r="G776" s="6" t="inlineStr">
        <is>
          <t>m2</t>
        </is>
      </c>
      <c r="H776" s="7" t="n">
        <v>0.52</v>
      </c>
      <c r="I776" s="8" t="n">
        <v>58.47</v>
      </c>
      <c r="J776" s="8" t="n">
        <v>10.92</v>
      </c>
      <c r="K776" s="8" t="n">
        <v>31.79</v>
      </c>
      <c r="L776" s="8" t="n">
        <v>0</v>
      </c>
      <c r="M776" s="9">
        <f>ROUND(SUM(I776:L776),2)</f>
        <v/>
      </c>
      <c r="N776" s="10">
        <f>ROUND(I776*'Irish Basis'!$C$6*'Irish Basis'!$C$5,2)</f>
        <v/>
      </c>
      <c r="O776" s="10">
        <f>ROUND(J776*'Irish Basis'!$C$7*'Irish Basis'!$C$5,2)</f>
        <v/>
      </c>
      <c r="P776" s="10">
        <f>ROUND(K776*'Irish Basis'!$C$8*'Irish Basis'!$C$5,2)</f>
        <v/>
      </c>
      <c r="Q776" s="10">
        <f>ROUND(L776*'Irish Basis'!$C$12*'Irish Basis'!$C$5,2)</f>
        <v/>
      </c>
      <c r="R776" s="11">
        <f>ROUND(SUM(N776:Q776),2)</f>
        <v/>
      </c>
      <c r="S776" s="5" t="inlineStr">
        <is>
          <t>Stated build-up</t>
        </is>
      </c>
      <c r="T776" s="12" t="inlineStr">
        <is>
          <t>High</t>
        </is>
      </c>
      <c r="U776" s="8" t="n">
        <v>101.19</v>
      </c>
      <c r="V776" s="13">
        <f>IF(U776="","",ROUND(M776-U776,2))</f>
        <v/>
      </c>
      <c r="W776" s="5" t="n"/>
      <c r="X776" s="5" t="inlineStr">
        <is>
          <t>Labour + plant + material as published; reconciles to the published rate.</t>
        </is>
      </c>
    </row>
    <row r="777" ht="13" customHeight="1">
      <c r="A777" s="4" t="n">
        <v>1407</v>
      </c>
      <c r="B777" s="5" t="inlineStr">
        <is>
          <t>IMG_0084</t>
        </is>
      </c>
      <c r="C777" s="5" t="inlineStr">
        <is>
          <t>CLASS G: CONCRETE ANCILLARIES</t>
        </is>
      </c>
      <c r="D777" s="5" t="inlineStr">
        <is>
          <t>01 FORMWORK; ROUGH FINISH</t>
        </is>
      </c>
      <c r="E777" s="5" t="inlineStr">
        <is>
          <t>For voids</t>
        </is>
      </c>
      <c r="F777" s="5" t="inlineStr">
        <is>
          <t>small void; depth ne 0.5 m</t>
        </is>
      </c>
      <c r="G777" s="6" t="inlineStr">
        <is>
          <t>nr</t>
        </is>
      </c>
      <c r="H777" s="7" t="n">
        <v>0.12</v>
      </c>
      <c r="I777" s="8" t="n">
        <v>6.76</v>
      </c>
      <c r="J777" s="8" t="n">
        <v>0</v>
      </c>
      <c r="K777" s="8" t="n">
        <v>13.23</v>
      </c>
      <c r="L777" s="8" t="n">
        <v>0</v>
      </c>
      <c r="M777" s="9">
        <f>ROUND(SUM(I777:L777),2)</f>
        <v/>
      </c>
      <c r="N777" s="10">
        <f>ROUND(I777*'Irish Basis'!$C$6*'Irish Basis'!$C$5,2)</f>
        <v/>
      </c>
      <c r="O777" s="10">
        <f>ROUND(J777*'Irish Basis'!$C$7*'Irish Basis'!$C$5,2)</f>
        <v/>
      </c>
      <c r="P777" s="10">
        <f>ROUND(K777*'Irish Basis'!$C$8*'Irish Basis'!$C$5,2)</f>
        <v/>
      </c>
      <c r="Q777" s="10">
        <f>ROUND(L777*'Irish Basis'!$C$12*'Irish Basis'!$C$5,2)</f>
        <v/>
      </c>
      <c r="R777" s="11">
        <f>ROUND(SUM(N777:Q777),2)</f>
        <v/>
      </c>
      <c r="S777" s="5" t="inlineStr">
        <is>
          <t>Stated build-up</t>
        </is>
      </c>
      <c r="T777" s="12" t="inlineStr">
        <is>
          <t>High</t>
        </is>
      </c>
      <c r="U777" s="8" t="n">
        <v>19.99</v>
      </c>
      <c r="V777" s="13">
        <f>IF(U777="","",ROUND(M777-U777,2))</f>
        <v/>
      </c>
      <c r="W777" s="5" t="n"/>
      <c r="X777" s="5" t="inlineStr">
        <is>
          <t>Labour + plant + material as published; reconciles to the published rate.</t>
        </is>
      </c>
    </row>
    <row r="778" ht="13" customHeight="1">
      <c r="A778" s="4" t="n">
        <v>1408</v>
      </c>
      <c r="B778" s="5" t="inlineStr">
        <is>
          <t>IMG_0084</t>
        </is>
      </c>
      <c r="C778" s="5" t="inlineStr">
        <is>
          <t>CLASS G: CONCRETE ANCILLARIES</t>
        </is>
      </c>
      <c r="D778" s="5" t="inlineStr">
        <is>
          <t>01 FORMWORK; ROUGH FINISH</t>
        </is>
      </c>
      <c r="E778" s="5" t="inlineStr">
        <is>
          <t>For voids</t>
        </is>
      </c>
      <c r="F778" s="5" t="inlineStr">
        <is>
          <t>small void; depth 0.5-1.0 m</t>
        </is>
      </c>
      <c r="G778" s="6" t="inlineStr">
        <is>
          <t>nr</t>
        </is>
      </c>
      <c r="H778" s="7" t="n">
        <v>0.25</v>
      </c>
      <c r="I778" s="8" t="n">
        <v>14.08</v>
      </c>
      <c r="J778" s="8" t="n">
        <v>0</v>
      </c>
      <c r="K778" s="8" t="n">
        <v>26.03</v>
      </c>
      <c r="L778" s="8" t="n">
        <v>0</v>
      </c>
      <c r="M778" s="9">
        <f>ROUND(SUM(I778:L778),2)</f>
        <v/>
      </c>
      <c r="N778" s="10">
        <f>ROUND(I778*'Irish Basis'!$C$6*'Irish Basis'!$C$5,2)</f>
        <v/>
      </c>
      <c r="O778" s="10">
        <f>ROUND(J778*'Irish Basis'!$C$7*'Irish Basis'!$C$5,2)</f>
        <v/>
      </c>
      <c r="P778" s="10">
        <f>ROUND(K778*'Irish Basis'!$C$8*'Irish Basis'!$C$5,2)</f>
        <v/>
      </c>
      <c r="Q778" s="10">
        <f>ROUND(L778*'Irish Basis'!$C$12*'Irish Basis'!$C$5,2)</f>
        <v/>
      </c>
      <c r="R778" s="11">
        <f>ROUND(SUM(N778:Q778),2)</f>
        <v/>
      </c>
      <c r="S778" s="5" t="inlineStr">
        <is>
          <t>Stated build-up</t>
        </is>
      </c>
      <c r="T778" s="12" t="inlineStr">
        <is>
          <t>High</t>
        </is>
      </c>
      <c r="U778" s="8" t="n">
        <v>40.11</v>
      </c>
      <c r="V778" s="13">
        <f>IF(U778="","",ROUND(M778-U778,2))</f>
        <v/>
      </c>
      <c r="W778" s="5" t="n"/>
      <c r="X778" s="5" t="inlineStr">
        <is>
          <t>Labour + plant + material as published; reconciles to the published rate.</t>
        </is>
      </c>
    </row>
    <row r="779" ht="13" customHeight="1">
      <c r="A779" s="4" t="n">
        <v>1409</v>
      </c>
      <c r="B779" s="5" t="inlineStr">
        <is>
          <t>IMG_0084</t>
        </is>
      </c>
      <c r="C779" s="5" t="inlineStr">
        <is>
          <t>CLASS G: CONCRETE ANCILLARIES</t>
        </is>
      </c>
      <c r="D779" s="5" t="inlineStr">
        <is>
          <t>01 FORMWORK; ROUGH FINISH</t>
        </is>
      </c>
      <c r="E779" s="5" t="inlineStr">
        <is>
          <t>For voids</t>
        </is>
      </c>
      <c r="F779" s="5" t="inlineStr">
        <is>
          <t>small void; depth ne 1.0-2.0 m</t>
        </is>
      </c>
      <c r="G779" s="6" t="inlineStr">
        <is>
          <t>nr</t>
        </is>
      </c>
      <c r="H779" s="7" t="n">
        <v>0.3</v>
      </c>
      <c r="I779" s="8" t="n">
        <v>16.89</v>
      </c>
      <c r="J779" s="8" t="n">
        <v>0</v>
      </c>
      <c r="K779" s="8" t="n">
        <v>48.5</v>
      </c>
      <c r="L779" s="8" t="n">
        <v>0</v>
      </c>
      <c r="M779" s="9">
        <f>ROUND(SUM(I779:L779),2)</f>
        <v/>
      </c>
      <c r="N779" s="10">
        <f>ROUND(I779*'Irish Basis'!$C$6*'Irish Basis'!$C$5,2)</f>
        <v/>
      </c>
      <c r="O779" s="10">
        <f>ROUND(J779*'Irish Basis'!$C$7*'Irish Basis'!$C$5,2)</f>
        <v/>
      </c>
      <c r="P779" s="10">
        <f>ROUND(K779*'Irish Basis'!$C$8*'Irish Basis'!$C$5,2)</f>
        <v/>
      </c>
      <c r="Q779" s="10">
        <f>ROUND(L779*'Irish Basis'!$C$12*'Irish Basis'!$C$5,2)</f>
        <v/>
      </c>
      <c r="R779" s="11">
        <f>ROUND(SUM(N779:Q779),2)</f>
        <v/>
      </c>
      <c r="S779" s="5" t="inlineStr">
        <is>
          <t>Stated build-up</t>
        </is>
      </c>
      <c r="T779" s="12" t="inlineStr">
        <is>
          <t>High</t>
        </is>
      </c>
      <c r="U779" s="8" t="n">
        <v>65.40000000000001</v>
      </c>
      <c r="V779" s="13">
        <f>IF(U779="","",ROUND(M779-U779,2))</f>
        <v/>
      </c>
      <c r="W779" s="5" t="n"/>
      <c r="X779" s="5" t="inlineStr">
        <is>
          <t>Labour + plant + material as published; reconciles to the published rate.</t>
        </is>
      </c>
    </row>
    <row r="780" ht="13" customHeight="1">
      <c r="A780" s="4" t="n">
        <v>1410</v>
      </c>
      <c r="B780" s="5" t="inlineStr">
        <is>
          <t>IMG_0084</t>
        </is>
      </c>
      <c r="C780" s="5" t="inlineStr">
        <is>
          <t>CLASS G: CONCRETE ANCILLARIES</t>
        </is>
      </c>
      <c r="D780" s="5" t="inlineStr">
        <is>
          <t>01 FORMWORK; ROUGH FINISH</t>
        </is>
      </c>
      <c r="E780" s="5" t="inlineStr">
        <is>
          <t>For voids</t>
        </is>
      </c>
      <c r="F780" s="5" t="inlineStr">
        <is>
          <t>large void; depth ne 0.5 m</t>
        </is>
      </c>
      <c r="G780" s="6" t="inlineStr">
        <is>
          <t>nr</t>
        </is>
      </c>
      <c r="H780" s="7" t="n">
        <v>0.3</v>
      </c>
      <c r="I780" s="8" t="n">
        <v>16.89</v>
      </c>
      <c r="J780" s="8" t="n">
        <v>0</v>
      </c>
      <c r="K780" s="8" t="n">
        <v>39.05</v>
      </c>
      <c r="L780" s="8" t="n">
        <v>0</v>
      </c>
      <c r="M780" s="9">
        <f>ROUND(SUM(I780:L780),2)</f>
        <v/>
      </c>
      <c r="N780" s="10">
        <f>ROUND(I780*'Irish Basis'!$C$6*'Irish Basis'!$C$5,2)</f>
        <v/>
      </c>
      <c r="O780" s="10">
        <f>ROUND(J780*'Irish Basis'!$C$7*'Irish Basis'!$C$5,2)</f>
        <v/>
      </c>
      <c r="P780" s="10">
        <f>ROUND(K780*'Irish Basis'!$C$8*'Irish Basis'!$C$5,2)</f>
        <v/>
      </c>
      <c r="Q780" s="10">
        <f>ROUND(L780*'Irish Basis'!$C$12*'Irish Basis'!$C$5,2)</f>
        <v/>
      </c>
      <c r="R780" s="11">
        <f>ROUND(SUM(N780:Q780),2)</f>
        <v/>
      </c>
      <c r="S780" s="5" t="inlineStr">
        <is>
          <t>Stated build-up</t>
        </is>
      </c>
      <c r="T780" s="12" t="inlineStr">
        <is>
          <t>High</t>
        </is>
      </c>
      <c r="U780" s="8" t="n">
        <v>55.94</v>
      </c>
      <c r="V780" s="13">
        <f>IF(U780="","",ROUND(M780-U780,2))</f>
        <v/>
      </c>
      <c r="W780" s="5" t="n"/>
      <c r="X780" s="5" t="inlineStr">
        <is>
          <t>Labour + plant + material as published; reconciles to the published rate.</t>
        </is>
      </c>
    </row>
    <row r="781" ht="13" customHeight="1">
      <c r="A781" s="4" t="n">
        <v>1412</v>
      </c>
      <c r="B781" s="5" t="inlineStr">
        <is>
          <t>IMG_0085</t>
        </is>
      </c>
      <c r="C781" s="5" t="inlineStr">
        <is>
          <t>CLASS G: CONCRETE ANCILLARIES</t>
        </is>
      </c>
      <c r="D781" s="5" t="inlineStr">
        <is>
          <t>01 FORMWORK; ROUGH FINISH</t>
        </is>
      </c>
      <c r="E781" s="5" t="inlineStr">
        <is>
          <t>For voids (continued)</t>
        </is>
      </c>
      <c r="F781" s="5" t="inlineStr">
        <is>
          <t>large void; depth 0.5-1.0 m</t>
        </is>
      </c>
      <c r="G781" s="6" t="inlineStr">
        <is>
          <t>nr</t>
        </is>
      </c>
      <c r="H781" s="7" t="n">
        <v>0.5</v>
      </c>
      <c r="I781" s="8" t="n">
        <v>28.16</v>
      </c>
      <c r="J781" s="8" t="n">
        <v>0</v>
      </c>
      <c r="K781" s="8" t="n">
        <v>73.95</v>
      </c>
      <c r="L781" s="8" t="n">
        <v>0</v>
      </c>
      <c r="M781" s="9">
        <f>ROUND(SUM(I781:L781),2)</f>
        <v/>
      </c>
      <c r="N781" s="10">
        <f>ROUND(I781*'Irish Basis'!$C$6*'Irish Basis'!$C$5,2)</f>
        <v/>
      </c>
      <c r="O781" s="10">
        <f>ROUND(J781*'Irish Basis'!$C$7*'Irish Basis'!$C$5,2)</f>
        <v/>
      </c>
      <c r="P781" s="10">
        <f>ROUND(K781*'Irish Basis'!$C$8*'Irish Basis'!$C$5,2)</f>
        <v/>
      </c>
      <c r="Q781" s="10">
        <f>ROUND(L781*'Irish Basis'!$C$12*'Irish Basis'!$C$5,2)</f>
        <v/>
      </c>
      <c r="R781" s="11">
        <f>ROUND(SUM(N781:Q781),2)</f>
        <v/>
      </c>
      <c r="S781" s="5" t="inlineStr">
        <is>
          <t>Stated build-up</t>
        </is>
      </c>
      <c r="T781" s="12" t="inlineStr">
        <is>
          <t>High</t>
        </is>
      </c>
      <c r="U781" s="8" t="n">
        <v>102.11</v>
      </c>
      <c r="V781" s="13">
        <f>IF(U781="","",ROUND(M781-U781,2))</f>
        <v/>
      </c>
      <c r="W781" s="5" t="n"/>
      <c r="X781" s="5" t="inlineStr">
        <is>
          <t>Labour + plant + material as published; reconciles to the published rate.</t>
        </is>
      </c>
    </row>
    <row r="782" ht="13" customHeight="1">
      <c r="A782" s="4" t="n">
        <v>1413</v>
      </c>
      <c r="B782" s="5" t="inlineStr">
        <is>
          <t>IMG_0085</t>
        </is>
      </c>
      <c r="C782" s="5" t="inlineStr">
        <is>
          <t>CLASS G: CONCRETE ANCILLARIES</t>
        </is>
      </c>
      <c r="D782" s="5" t="inlineStr">
        <is>
          <t>01 FORMWORK; ROUGH FINISH</t>
        </is>
      </c>
      <c r="E782" s="5" t="inlineStr">
        <is>
          <t>For voids (continued)</t>
        </is>
      </c>
      <c r="F782" s="5" t="inlineStr">
        <is>
          <t>large void; depth 1.0-2.0 m</t>
        </is>
      </c>
      <c r="G782" s="6" t="inlineStr">
        <is>
          <t>nr</t>
        </is>
      </c>
      <c r="H782" s="7" t="n">
        <v>0.9</v>
      </c>
      <c r="I782" s="8" t="n">
        <v>50.68</v>
      </c>
      <c r="J782" s="8" t="n">
        <v>0</v>
      </c>
      <c r="K782" s="8" t="n">
        <v>142.17</v>
      </c>
      <c r="L782" s="8" t="n">
        <v>0</v>
      </c>
      <c r="M782" s="9">
        <f>ROUND(SUM(I782:L782),2)</f>
        <v/>
      </c>
      <c r="N782" s="10">
        <f>ROUND(I782*'Irish Basis'!$C$6*'Irish Basis'!$C$5,2)</f>
        <v/>
      </c>
      <c r="O782" s="10">
        <f>ROUND(J782*'Irish Basis'!$C$7*'Irish Basis'!$C$5,2)</f>
        <v/>
      </c>
      <c r="P782" s="10">
        <f>ROUND(K782*'Irish Basis'!$C$8*'Irish Basis'!$C$5,2)</f>
        <v/>
      </c>
      <c r="Q782" s="10">
        <f>ROUND(L782*'Irish Basis'!$C$12*'Irish Basis'!$C$5,2)</f>
        <v/>
      </c>
      <c r="R782" s="11">
        <f>ROUND(SUM(N782:Q782),2)</f>
        <v/>
      </c>
      <c r="S782" s="5" t="inlineStr">
        <is>
          <t>Stated build-up</t>
        </is>
      </c>
      <c r="T782" s="12" t="inlineStr">
        <is>
          <t>High</t>
        </is>
      </c>
      <c r="U782" s="8" t="n">
        <v>192.85</v>
      </c>
      <c r="V782" s="13">
        <f>IF(U782="","",ROUND(M782-U782,2))</f>
        <v/>
      </c>
      <c r="W782" s="5" t="n"/>
      <c r="X782" s="5" t="inlineStr">
        <is>
          <t>Labour + plant + material as published; reconciles to the published rate.</t>
        </is>
      </c>
    </row>
    <row r="783" ht="13" customHeight="1">
      <c r="A783" s="4" t="n">
        <v>1415</v>
      </c>
      <c r="B783" s="5" t="inlineStr">
        <is>
          <t>IMG_0085</t>
        </is>
      </c>
      <c r="C783" s="5" t="inlineStr">
        <is>
          <t>CLASS G: CONCRETE ANCILLARIES</t>
        </is>
      </c>
      <c r="D783" s="5" t="inlineStr">
        <is>
          <t>01 FORMWORK; ROUGH FINISH</t>
        </is>
      </c>
      <c r="E783" s="5" t="inlineStr">
        <is>
          <t>For concrete components of constant cross-section</t>
        </is>
      </c>
      <c r="F783" s="5" t="inlineStr">
        <is>
          <t>beams; 200 x 200 mm</t>
        </is>
      </c>
      <c r="G783" s="6" t="inlineStr">
        <is>
          <t>m</t>
        </is>
      </c>
      <c r="H783" s="7" t="n">
        <v>0.7</v>
      </c>
      <c r="I783" s="8" t="n">
        <v>39.42</v>
      </c>
      <c r="J783" s="8" t="n">
        <v>17.17</v>
      </c>
      <c r="K783" s="8" t="n">
        <v>17.63</v>
      </c>
      <c r="L783" s="8" t="n">
        <v>0</v>
      </c>
      <c r="M783" s="9">
        <f>ROUND(SUM(I783:L783),2)</f>
        <v/>
      </c>
      <c r="N783" s="10">
        <f>ROUND(I783*'Irish Basis'!$C$6*'Irish Basis'!$C$5,2)</f>
        <v/>
      </c>
      <c r="O783" s="10">
        <f>ROUND(J783*'Irish Basis'!$C$7*'Irish Basis'!$C$5,2)</f>
        <v/>
      </c>
      <c r="P783" s="10">
        <f>ROUND(K783*'Irish Basis'!$C$8*'Irish Basis'!$C$5,2)</f>
        <v/>
      </c>
      <c r="Q783" s="10">
        <f>ROUND(L783*'Irish Basis'!$C$12*'Irish Basis'!$C$5,2)</f>
        <v/>
      </c>
      <c r="R783" s="11">
        <f>ROUND(SUM(N783:Q783),2)</f>
        <v/>
      </c>
      <c r="S783" s="5" t="inlineStr">
        <is>
          <t>Stated build-up</t>
        </is>
      </c>
      <c r="T783" s="12" t="inlineStr">
        <is>
          <t>High</t>
        </is>
      </c>
      <c r="U783" s="8" t="n">
        <v>74.20999999999999</v>
      </c>
      <c r="V783" s="13">
        <f>IF(U783="","",ROUND(M783-U783,2))</f>
        <v/>
      </c>
      <c r="W783" s="5" t="n"/>
      <c r="X783" s="5" t="inlineStr">
        <is>
          <t>Labour + plant + material as published; reconciles to the published rate.</t>
        </is>
      </c>
    </row>
    <row r="784" ht="13" customHeight="1">
      <c r="A784" s="4" t="n">
        <v>1416</v>
      </c>
      <c r="B784" s="5" t="inlineStr">
        <is>
          <t>IMG_0085</t>
        </is>
      </c>
      <c r="C784" s="5" t="inlineStr">
        <is>
          <t>CLASS G: CONCRETE ANCILLARIES</t>
        </is>
      </c>
      <c r="D784" s="5" t="inlineStr">
        <is>
          <t>01 FORMWORK; ROUGH FINISH</t>
        </is>
      </c>
      <c r="E784" s="5" t="inlineStr">
        <is>
          <t>For concrete components of constant cross-section</t>
        </is>
      </c>
      <c r="F784" s="5" t="inlineStr">
        <is>
          <t>beams; 500 x 500 mm</t>
        </is>
      </c>
      <c r="G784" s="6" t="inlineStr">
        <is>
          <t>m</t>
        </is>
      </c>
      <c r="H784" s="7" t="n">
        <v>0.85</v>
      </c>
      <c r="I784" s="8" t="n">
        <v>47.86</v>
      </c>
      <c r="J784" s="8" t="n">
        <v>19.68</v>
      </c>
      <c r="K784" s="8" t="n">
        <v>34.79</v>
      </c>
      <c r="L784" s="8" t="n">
        <v>0</v>
      </c>
      <c r="M784" s="9">
        <f>ROUND(SUM(I784:L784),2)</f>
        <v/>
      </c>
      <c r="N784" s="10">
        <f>ROUND(I784*'Irish Basis'!$C$6*'Irish Basis'!$C$5,2)</f>
        <v/>
      </c>
      <c r="O784" s="10">
        <f>ROUND(J784*'Irish Basis'!$C$7*'Irish Basis'!$C$5,2)</f>
        <v/>
      </c>
      <c r="P784" s="10">
        <f>ROUND(K784*'Irish Basis'!$C$8*'Irish Basis'!$C$5,2)</f>
        <v/>
      </c>
      <c r="Q784" s="10">
        <f>ROUND(L784*'Irish Basis'!$C$12*'Irish Basis'!$C$5,2)</f>
        <v/>
      </c>
      <c r="R784" s="11">
        <f>ROUND(SUM(N784:Q784),2)</f>
        <v/>
      </c>
      <c r="S784" s="5" t="inlineStr">
        <is>
          <t>Stated build-up</t>
        </is>
      </c>
      <c r="T784" s="12" t="inlineStr">
        <is>
          <t>High</t>
        </is>
      </c>
      <c r="U784" s="8" t="n">
        <v>102.33</v>
      </c>
      <c r="V784" s="13">
        <f>IF(U784="","",ROUND(M784-U784,2))</f>
        <v/>
      </c>
      <c r="W784" s="5" t="n"/>
      <c r="X784" s="5" t="inlineStr">
        <is>
          <t>Labour + plant + material as published; reconciles to the published rate.</t>
        </is>
      </c>
    </row>
    <row r="785" ht="13" customHeight="1">
      <c r="A785" s="4" t="n">
        <v>1417</v>
      </c>
      <c r="B785" s="5" t="inlineStr">
        <is>
          <t>IMG_0085</t>
        </is>
      </c>
      <c r="C785" s="5" t="inlineStr">
        <is>
          <t>CLASS G: CONCRETE ANCILLARIES</t>
        </is>
      </c>
      <c r="D785" s="5" t="inlineStr">
        <is>
          <t>01 FORMWORK; ROUGH FINISH</t>
        </is>
      </c>
      <c r="E785" s="5" t="inlineStr">
        <is>
          <t>For concrete components of constant cross-section</t>
        </is>
      </c>
      <c r="F785" s="5" t="inlineStr">
        <is>
          <t>beams; 500 x 800 mm</t>
        </is>
      </c>
      <c r="G785" s="6" t="inlineStr">
        <is>
          <t>m</t>
        </is>
      </c>
      <c r="H785" s="7" t="n">
        <v>0.9</v>
      </c>
      <c r="I785" s="8" t="n">
        <v>50.68</v>
      </c>
      <c r="J785" s="8" t="n">
        <v>23.97</v>
      </c>
      <c r="K785" s="8" t="n">
        <v>37.58</v>
      </c>
      <c r="L785" s="8" t="n">
        <v>0</v>
      </c>
      <c r="M785" s="9">
        <f>ROUND(SUM(I785:L785),2)</f>
        <v/>
      </c>
      <c r="N785" s="10">
        <f>ROUND(I785*'Irish Basis'!$C$6*'Irish Basis'!$C$5,2)</f>
        <v/>
      </c>
      <c r="O785" s="10">
        <f>ROUND(J785*'Irish Basis'!$C$7*'Irish Basis'!$C$5,2)</f>
        <v/>
      </c>
      <c r="P785" s="10">
        <f>ROUND(K785*'Irish Basis'!$C$8*'Irish Basis'!$C$5,2)</f>
        <v/>
      </c>
      <c r="Q785" s="10">
        <f>ROUND(L785*'Irish Basis'!$C$12*'Irish Basis'!$C$5,2)</f>
        <v/>
      </c>
      <c r="R785" s="11">
        <f>ROUND(SUM(N785:Q785),2)</f>
        <v/>
      </c>
      <c r="S785" s="5" t="inlineStr">
        <is>
          <t>Stated build-up</t>
        </is>
      </c>
      <c r="T785" s="12" t="inlineStr">
        <is>
          <t>High</t>
        </is>
      </c>
      <c r="U785" s="8" t="n">
        <v>112.23</v>
      </c>
      <c r="V785" s="13">
        <f>IF(U785="","",ROUND(M785-U785,2))</f>
        <v/>
      </c>
      <c r="W785" s="5" t="n"/>
      <c r="X785" s="5" t="inlineStr">
        <is>
          <t>Labour + plant + material as published; reconciles to the published rate.</t>
        </is>
      </c>
    </row>
    <row r="786" ht="13" customHeight="1">
      <c r="A786" s="4" t="n">
        <v>1418</v>
      </c>
      <c r="B786" s="5" t="inlineStr">
        <is>
          <t>IMG_0085</t>
        </is>
      </c>
      <c r="C786" s="5" t="inlineStr">
        <is>
          <t>CLASS G: CONCRETE ANCILLARIES</t>
        </is>
      </c>
      <c r="D786" s="5" t="inlineStr">
        <is>
          <t>01 FORMWORK; ROUGH FINISH</t>
        </is>
      </c>
      <c r="E786" s="5" t="inlineStr">
        <is>
          <t>For concrete components of constant cross-section</t>
        </is>
      </c>
      <c r="F786" s="5" t="inlineStr">
        <is>
          <t>columns; 200 x 200 mm</t>
        </is>
      </c>
      <c r="G786" s="6" t="inlineStr">
        <is>
          <t>m</t>
        </is>
      </c>
      <c r="H786" s="7" t="n">
        <v>0.7</v>
      </c>
      <c r="I786" s="8" t="n">
        <v>39.42</v>
      </c>
      <c r="J786" s="8" t="n">
        <v>19.68</v>
      </c>
      <c r="K786" s="8" t="n">
        <v>19.88</v>
      </c>
      <c r="L786" s="8" t="n">
        <v>0</v>
      </c>
      <c r="M786" s="9">
        <f>ROUND(SUM(I786:L786),2)</f>
        <v/>
      </c>
      <c r="N786" s="10">
        <f>ROUND(I786*'Irish Basis'!$C$6*'Irish Basis'!$C$5,2)</f>
        <v/>
      </c>
      <c r="O786" s="10">
        <f>ROUND(J786*'Irish Basis'!$C$7*'Irish Basis'!$C$5,2)</f>
        <v/>
      </c>
      <c r="P786" s="10">
        <f>ROUND(K786*'Irish Basis'!$C$8*'Irish Basis'!$C$5,2)</f>
        <v/>
      </c>
      <c r="Q786" s="10">
        <f>ROUND(L786*'Irish Basis'!$C$12*'Irish Basis'!$C$5,2)</f>
        <v/>
      </c>
      <c r="R786" s="11">
        <f>ROUND(SUM(N786:Q786),2)</f>
        <v/>
      </c>
      <c r="S786" s="5" t="inlineStr">
        <is>
          <t>Stated build-up</t>
        </is>
      </c>
      <c r="T786" s="12" t="inlineStr">
        <is>
          <t>High</t>
        </is>
      </c>
      <c r="U786" s="8" t="n">
        <v>78.97</v>
      </c>
      <c r="V786" s="13">
        <f>IF(U786="","",ROUND(M786-U786,2))</f>
        <v/>
      </c>
      <c r="W786" s="5" t="n"/>
      <c r="X786" s="5" t="inlineStr">
        <is>
          <t>Labour + plant + material as published; reconciles to the published rate.</t>
        </is>
      </c>
    </row>
    <row r="787" ht="13" customHeight="1">
      <c r="A787" s="4" t="n">
        <v>1419</v>
      </c>
      <c r="B787" s="5" t="inlineStr">
        <is>
          <t>IMG_0085</t>
        </is>
      </c>
      <c r="C787" s="5" t="inlineStr">
        <is>
          <t>CLASS G: CONCRETE ANCILLARIES</t>
        </is>
      </c>
      <c r="D787" s="5" t="inlineStr">
        <is>
          <t>01 FORMWORK; ROUGH FINISH</t>
        </is>
      </c>
      <c r="E787" s="5" t="inlineStr">
        <is>
          <t>For concrete components of constant cross-section</t>
        </is>
      </c>
      <c r="F787" s="5" t="inlineStr">
        <is>
          <t>columns; 300 x 300 mm</t>
        </is>
      </c>
      <c r="G787" s="6" t="inlineStr">
        <is>
          <t>m</t>
        </is>
      </c>
      <c r="H787" s="7" t="n">
        <v>0.8</v>
      </c>
      <c r="I787" s="8" t="n">
        <v>45.05</v>
      </c>
      <c r="J787" s="8" t="n">
        <v>19.68</v>
      </c>
      <c r="K787" s="8" t="n">
        <v>28.89</v>
      </c>
      <c r="L787" s="8" t="n">
        <v>0</v>
      </c>
      <c r="M787" s="9">
        <f>ROUND(SUM(I787:L787),2)</f>
        <v/>
      </c>
      <c r="N787" s="10">
        <f>ROUND(I787*'Irish Basis'!$C$6*'Irish Basis'!$C$5,2)</f>
        <v/>
      </c>
      <c r="O787" s="10">
        <f>ROUND(J787*'Irish Basis'!$C$7*'Irish Basis'!$C$5,2)</f>
        <v/>
      </c>
      <c r="P787" s="10">
        <f>ROUND(K787*'Irish Basis'!$C$8*'Irish Basis'!$C$5,2)</f>
        <v/>
      </c>
      <c r="Q787" s="10">
        <f>ROUND(L787*'Irish Basis'!$C$12*'Irish Basis'!$C$5,2)</f>
        <v/>
      </c>
      <c r="R787" s="11">
        <f>ROUND(SUM(N787:Q787),2)</f>
        <v/>
      </c>
      <c r="S787" s="5" t="inlineStr">
        <is>
          <t>Stated build-up</t>
        </is>
      </c>
      <c r="T787" s="12" t="inlineStr">
        <is>
          <t>High</t>
        </is>
      </c>
      <c r="U787" s="8" t="n">
        <v>93.62</v>
      </c>
      <c r="V787" s="13">
        <f>IF(U787="","",ROUND(M787-U787,2))</f>
        <v/>
      </c>
      <c r="W787" s="5" t="n"/>
      <c r="X787" s="5" t="inlineStr">
        <is>
          <t>Labour + plant + material as published; reconciles to the published rate.</t>
        </is>
      </c>
    </row>
    <row r="788" ht="13" customHeight="1">
      <c r="A788" s="4" t="n">
        <v>1420</v>
      </c>
      <c r="B788" s="5" t="inlineStr">
        <is>
          <t>IMG_0085</t>
        </is>
      </c>
      <c r="C788" s="5" t="inlineStr">
        <is>
          <t>CLASS G: CONCRETE ANCILLARIES</t>
        </is>
      </c>
      <c r="D788" s="5" t="inlineStr">
        <is>
          <t>01 FORMWORK; ROUGH FINISH</t>
        </is>
      </c>
      <c r="E788" s="5" t="inlineStr">
        <is>
          <t>For concrete components of constant cross-section</t>
        </is>
      </c>
      <c r="F788" s="5" t="inlineStr">
        <is>
          <t>columns; 300 x 500 mm</t>
        </is>
      </c>
      <c r="G788" s="6" t="inlineStr">
        <is>
          <t>m</t>
        </is>
      </c>
      <c r="H788" s="7" t="n">
        <v>0.8</v>
      </c>
      <c r="I788" s="8" t="n">
        <v>45.05</v>
      </c>
      <c r="J788" s="8" t="n">
        <v>22.18</v>
      </c>
      <c r="K788" s="8" t="n">
        <v>33.73</v>
      </c>
      <c r="L788" s="8" t="n">
        <v>0</v>
      </c>
      <c r="M788" s="9">
        <f>ROUND(SUM(I788:L788),2)</f>
        <v/>
      </c>
      <c r="N788" s="10">
        <f>ROUND(I788*'Irish Basis'!$C$6*'Irish Basis'!$C$5,2)</f>
        <v/>
      </c>
      <c r="O788" s="10">
        <f>ROUND(J788*'Irish Basis'!$C$7*'Irish Basis'!$C$5,2)</f>
        <v/>
      </c>
      <c r="P788" s="10">
        <f>ROUND(K788*'Irish Basis'!$C$8*'Irish Basis'!$C$5,2)</f>
        <v/>
      </c>
      <c r="Q788" s="10">
        <f>ROUND(L788*'Irish Basis'!$C$12*'Irish Basis'!$C$5,2)</f>
        <v/>
      </c>
      <c r="R788" s="11">
        <f>ROUND(SUM(N788:Q788),2)</f>
        <v/>
      </c>
      <c r="S788" s="5" t="inlineStr">
        <is>
          <t>Stated build-up</t>
        </is>
      </c>
      <c r="T788" s="12" t="inlineStr">
        <is>
          <t>High</t>
        </is>
      </c>
      <c r="U788" s="8" t="n">
        <v>100.95</v>
      </c>
      <c r="V788" s="13">
        <f>IF(U788="","",ROUND(M788-U788,2))</f>
        <v/>
      </c>
      <c r="W788" s="5" t="n"/>
      <c r="X788" s="5" t="inlineStr">
        <is>
          <t>Labour + plant + material as published; reconciles to the published rate.</t>
        </is>
      </c>
    </row>
    <row r="789" ht="13" customHeight="1">
      <c r="A789" s="4" t="n">
        <v>1421</v>
      </c>
      <c r="B789" s="5" t="inlineStr">
        <is>
          <t>IMG_0085</t>
        </is>
      </c>
      <c r="C789" s="5" t="inlineStr">
        <is>
          <t>CLASS G: CONCRETE ANCILLARIES</t>
        </is>
      </c>
      <c r="D789" s="5" t="inlineStr">
        <is>
          <t>01 FORMWORK; ROUGH FINISH</t>
        </is>
      </c>
      <c r="E789" s="5" t="inlineStr">
        <is>
          <t>For concrete components of constant cross-section</t>
        </is>
      </c>
      <c r="F789" s="5" t="inlineStr">
        <is>
          <t>to walls; 1.0 m high thickness 250 mm</t>
        </is>
      </c>
      <c r="G789" s="6" t="inlineStr">
        <is>
          <t>m</t>
        </is>
      </c>
      <c r="H789" s="7" t="n">
        <v>1.2</v>
      </c>
      <c r="I789" s="8" t="n">
        <v>134.94</v>
      </c>
      <c r="J789" s="8" t="n">
        <v>23.11</v>
      </c>
      <c r="K789" s="8" t="n">
        <v>39.83</v>
      </c>
      <c r="L789" s="8" t="n">
        <v>0</v>
      </c>
      <c r="M789" s="9">
        <f>ROUND(SUM(I789:L789),2)</f>
        <v/>
      </c>
      <c r="N789" s="10">
        <f>ROUND(I789*'Irish Basis'!$C$6*'Irish Basis'!$C$5,2)</f>
        <v/>
      </c>
      <c r="O789" s="10">
        <f>ROUND(J789*'Irish Basis'!$C$7*'Irish Basis'!$C$5,2)</f>
        <v/>
      </c>
      <c r="P789" s="10">
        <f>ROUND(K789*'Irish Basis'!$C$8*'Irish Basis'!$C$5,2)</f>
        <v/>
      </c>
      <c r="Q789" s="10">
        <f>ROUND(L789*'Irish Basis'!$C$12*'Irish Basis'!$C$5,2)</f>
        <v/>
      </c>
      <c r="R789" s="11">
        <f>ROUND(SUM(N789:Q789),2)</f>
        <v/>
      </c>
      <c r="S789" s="5" t="inlineStr">
        <is>
          <t>Stated build-up</t>
        </is>
      </c>
      <c r="T789" s="12" t="inlineStr">
        <is>
          <t>High</t>
        </is>
      </c>
      <c r="U789" s="8" t="n">
        <v>197.88</v>
      </c>
      <c r="V789" s="13">
        <f>IF(U789="","",ROUND(M789-U789,2))</f>
        <v/>
      </c>
      <c r="W789" s="5" t="n"/>
      <c r="X789" s="5" t="inlineStr">
        <is>
          <t>Labour + plant + material as published; reconciles to the published rate.</t>
        </is>
      </c>
    </row>
    <row r="790" ht="13" customHeight="1">
      <c r="A790" s="4" t="n">
        <v>1422</v>
      </c>
      <c r="B790" s="5" t="inlineStr">
        <is>
          <t>IMG_0085</t>
        </is>
      </c>
      <c r="C790" s="5" t="inlineStr">
        <is>
          <t>CLASS G: CONCRETE ANCILLARIES</t>
        </is>
      </c>
      <c r="D790" s="5" t="inlineStr">
        <is>
          <t>01 FORMWORK; ROUGH FINISH</t>
        </is>
      </c>
      <c r="E790" s="5" t="inlineStr">
        <is>
          <t>For concrete components of constant cross-section</t>
        </is>
      </c>
      <c r="F790" s="5" t="inlineStr">
        <is>
          <t>to walls; 1.5 m high thickness 300 mm</t>
        </is>
      </c>
      <c r="G790" s="6" t="inlineStr">
        <is>
          <t>m</t>
        </is>
      </c>
      <c r="H790" s="7" t="n">
        <v>1.6</v>
      </c>
      <c r="I790" s="8" t="n">
        <v>179.92</v>
      </c>
      <c r="J790" s="8" t="n">
        <v>31.51</v>
      </c>
      <c r="K790" s="8" t="n">
        <v>57.53</v>
      </c>
      <c r="L790" s="8" t="n">
        <v>0</v>
      </c>
      <c r="M790" s="9">
        <f>ROUND(SUM(I790:L790),2)</f>
        <v/>
      </c>
      <c r="N790" s="10">
        <f>ROUND(I790*'Irish Basis'!$C$6*'Irish Basis'!$C$5,2)</f>
        <v/>
      </c>
      <c r="O790" s="10">
        <f>ROUND(J790*'Irish Basis'!$C$7*'Irish Basis'!$C$5,2)</f>
        <v/>
      </c>
      <c r="P790" s="10">
        <f>ROUND(K790*'Irish Basis'!$C$8*'Irish Basis'!$C$5,2)</f>
        <v/>
      </c>
      <c r="Q790" s="10">
        <f>ROUND(L790*'Irish Basis'!$C$12*'Irish Basis'!$C$5,2)</f>
        <v/>
      </c>
      <c r="R790" s="11">
        <f>ROUND(SUM(N790:Q790),2)</f>
        <v/>
      </c>
      <c r="S790" s="5" t="inlineStr">
        <is>
          <t>Stated build-up</t>
        </is>
      </c>
      <c r="T790" s="12" t="inlineStr">
        <is>
          <t>High</t>
        </is>
      </c>
      <c r="U790" s="8" t="n">
        <v>268.96</v>
      </c>
      <c r="V790" s="13">
        <f>IF(U790="","",ROUND(M790-U790,2))</f>
        <v/>
      </c>
      <c r="W790" s="5" t="n"/>
      <c r="X790" s="5" t="inlineStr">
        <is>
          <t>Labour + plant + material as published; reconciles to the published rate.</t>
        </is>
      </c>
    </row>
    <row r="791" ht="13" customHeight="1">
      <c r="A791" s="4" t="n">
        <v>1423</v>
      </c>
      <c r="B791" s="5" t="inlineStr">
        <is>
          <t>IMG_0085</t>
        </is>
      </c>
      <c r="C791" s="5" t="inlineStr">
        <is>
          <t>CLASS G: CONCRETE ANCILLARIES</t>
        </is>
      </c>
      <c r="D791" s="5" t="inlineStr">
        <is>
          <t>01 FORMWORK; ROUGH FINISH</t>
        </is>
      </c>
      <c r="E791" s="5" t="inlineStr">
        <is>
          <t>For concrete components of constant cross-section</t>
        </is>
      </c>
      <c r="F791" s="5" t="inlineStr">
        <is>
          <t>box culvert; 2 x 2 m internally and wall thickness 300 mm</t>
        </is>
      </c>
      <c r="G791" s="6" t="inlineStr">
        <is>
          <t>m</t>
        </is>
      </c>
      <c r="H791" s="7" t="n">
        <v>4.7</v>
      </c>
      <c r="I791" s="8" t="n">
        <v>528.51</v>
      </c>
      <c r="J791" s="8" t="n">
        <v>94.53</v>
      </c>
      <c r="K791" s="8" t="n">
        <v>285.02</v>
      </c>
      <c r="L791" s="8" t="n">
        <v>0</v>
      </c>
      <c r="M791" s="9">
        <f>ROUND(SUM(I791:L791),2)</f>
        <v/>
      </c>
      <c r="N791" s="10">
        <f>ROUND(I791*'Irish Basis'!$C$6*'Irish Basis'!$C$5,2)</f>
        <v/>
      </c>
      <c r="O791" s="10">
        <f>ROUND(J791*'Irish Basis'!$C$7*'Irish Basis'!$C$5,2)</f>
        <v/>
      </c>
      <c r="P791" s="10">
        <f>ROUND(K791*'Irish Basis'!$C$8*'Irish Basis'!$C$5,2)</f>
        <v/>
      </c>
      <c r="Q791" s="10">
        <f>ROUND(L791*'Irish Basis'!$C$12*'Irish Basis'!$C$5,2)</f>
        <v/>
      </c>
      <c r="R791" s="11">
        <f>ROUND(SUM(N791:Q791),2)</f>
        <v/>
      </c>
      <c r="S791" s="5" t="inlineStr">
        <is>
          <t>Stated build-up</t>
        </is>
      </c>
      <c r="T791" s="12" t="inlineStr">
        <is>
          <t>High</t>
        </is>
      </c>
      <c r="U791" s="8" t="n">
        <v>908.0599999999999</v>
      </c>
      <c r="V791" s="13">
        <f>IF(U791="","",ROUND(M791-U791,2))</f>
        <v/>
      </c>
      <c r="W791" s="5" t="n"/>
      <c r="X791" s="5" t="inlineStr">
        <is>
          <t>Labour + plant + material as published; reconciles to the published rate.</t>
        </is>
      </c>
    </row>
    <row r="792" ht="13" customHeight="1">
      <c r="A792" s="4" t="n">
        <v>1424</v>
      </c>
      <c r="B792" s="5" t="inlineStr">
        <is>
          <t>IMG_0085</t>
        </is>
      </c>
      <c r="C792" s="5" t="inlineStr">
        <is>
          <t>CLASS G: CONCRETE ANCILLARIES</t>
        </is>
      </c>
      <c r="D792" s="5" t="inlineStr">
        <is>
          <t>01 FORMWORK; ROUGH FINISH</t>
        </is>
      </c>
      <c r="E792" s="5" t="inlineStr">
        <is>
          <t>For concrete components of constant cross-section</t>
        </is>
      </c>
      <c r="F792" s="5" t="inlineStr">
        <is>
          <t>projections (100 mm deep)</t>
        </is>
      </c>
      <c r="G792" s="6" t="inlineStr">
        <is>
          <t>m</t>
        </is>
      </c>
      <c r="H792" s="7" t="n">
        <v>0.1</v>
      </c>
      <c r="I792" s="8" t="n">
        <v>5.63</v>
      </c>
      <c r="J792" s="8" t="n">
        <v>3.58</v>
      </c>
      <c r="K792" s="8" t="n">
        <v>9.130000000000001</v>
      </c>
      <c r="L792" s="8" t="n">
        <v>0</v>
      </c>
      <c r="M792" s="9">
        <f>ROUND(SUM(I792:L792),2)</f>
        <v/>
      </c>
      <c r="N792" s="10">
        <f>ROUND(I792*'Irish Basis'!$C$6*'Irish Basis'!$C$5,2)</f>
        <v/>
      </c>
      <c r="O792" s="10">
        <f>ROUND(J792*'Irish Basis'!$C$7*'Irish Basis'!$C$5,2)</f>
        <v/>
      </c>
      <c r="P792" s="10">
        <f>ROUND(K792*'Irish Basis'!$C$8*'Irish Basis'!$C$5,2)</f>
        <v/>
      </c>
      <c r="Q792" s="10">
        <f>ROUND(L792*'Irish Basis'!$C$12*'Irish Basis'!$C$5,2)</f>
        <v/>
      </c>
      <c r="R792" s="11">
        <f>ROUND(SUM(N792:Q792),2)</f>
        <v/>
      </c>
      <c r="S792" s="5" t="inlineStr">
        <is>
          <t>Stated build-up</t>
        </is>
      </c>
      <c r="T792" s="12" t="inlineStr">
        <is>
          <t>High</t>
        </is>
      </c>
      <c r="U792" s="8" t="n">
        <v>18.34</v>
      </c>
      <c r="V792" s="13">
        <f>IF(U792="","",ROUND(M792-U792,2))</f>
        <v/>
      </c>
      <c r="W792" s="5" t="n"/>
      <c r="X792" s="5" t="inlineStr">
        <is>
          <t>Labour + plant + material as published; reconciles to the published rate.</t>
        </is>
      </c>
    </row>
    <row r="793" ht="13" customHeight="1">
      <c r="A793" s="4" t="n">
        <v>1425</v>
      </c>
      <c r="B793" s="5" t="inlineStr">
        <is>
          <t>IMG_0085</t>
        </is>
      </c>
      <c r="C793" s="5" t="inlineStr">
        <is>
          <t>CLASS G: CONCRETE ANCILLARIES</t>
        </is>
      </c>
      <c r="D793" s="5" t="inlineStr">
        <is>
          <t>01 FORMWORK; ROUGH FINISH</t>
        </is>
      </c>
      <c r="E793" s="5" t="inlineStr">
        <is>
          <t>For concrete components of constant cross-section</t>
        </is>
      </c>
      <c r="F793" s="5" t="inlineStr">
        <is>
          <t>intrusions (100 mm deep)</t>
        </is>
      </c>
      <c r="G793" s="6" t="inlineStr">
        <is>
          <t>m</t>
        </is>
      </c>
      <c r="H793" s="7" t="n">
        <v>0.1</v>
      </c>
      <c r="I793" s="8" t="n">
        <v>5.63</v>
      </c>
      <c r="J793" s="8" t="n">
        <v>3.58</v>
      </c>
      <c r="K793" s="8" t="n">
        <v>9.130000000000001</v>
      </c>
      <c r="L793" s="8" t="n">
        <v>0</v>
      </c>
      <c r="M793" s="9">
        <f>ROUND(SUM(I793:L793),2)</f>
        <v/>
      </c>
      <c r="N793" s="10">
        <f>ROUND(I793*'Irish Basis'!$C$6*'Irish Basis'!$C$5,2)</f>
        <v/>
      </c>
      <c r="O793" s="10">
        <f>ROUND(J793*'Irish Basis'!$C$7*'Irish Basis'!$C$5,2)</f>
        <v/>
      </c>
      <c r="P793" s="10">
        <f>ROUND(K793*'Irish Basis'!$C$8*'Irish Basis'!$C$5,2)</f>
        <v/>
      </c>
      <c r="Q793" s="10">
        <f>ROUND(L793*'Irish Basis'!$C$12*'Irish Basis'!$C$5,2)</f>
        <v/>
      </c>
      <c r="R793" s="11">
        <f>ROUND(SUM(N793:Q793),2)</f>
        <v/>
      </c>
      <c r="S793" s="5" t="inlineStr">
        <is>
          <t>Stated build-up</t>
        </is>
      </c>
      <c r="T793" s="12" t="inlineStr">
        <is>
          <t>High</t>
        </is>
      </c>
      <c r="U793" s="8" t="n">
        <v>18.34</v>
      </c>
      <c r="V793" s="13">
        <f>IF(U793="","",ROUND(M793-U793,2))</f>
        <v/>
      </c>
      <c r="W793" s="5" t="n"/>
      <c r="X793" s="5" t="inlineStr">
        <is>
          <t>Labour + plant + material as published; reconciles to the published rate.</t>
        </is>
      </c>
    </row>
    <row r="794" ht="13" customHeight="1">
      <c r="A794" s="4" t="n">
        <v>1427</v>
      </c>
      <c r="B794" s="5" t="inlineStr">
        <is>
          <t>IMG_0085</t>
        </is>
      </c>
      <c r="C794" s="5" t="inlineStr">
        <is>
          <t>CLASS G: CONCRETE ANCILLARIES</t>
        </is>
      </c>
      <c r="D794" s="5" t="inlineStr">
        <is>
          <t>01 FORMWORK; ROUGH FINISH</t>
        </is>
      </c>
      <c r="E794" s="5" t="inlineStr">
        <is>
          <t>Allowance for additional craneage and rub up where required</t>
        </is>
      </c>
      <c r="F794" s="5" t="inlineStr">
        <is>
          <t>ADD to items measures linear</t>
        </is>
      </c>
      <c r="G794" s="6" t="inlineStr">
        <is>
          <t>m</t>
        </is>
      </c>
      <c r="H794" s="7" t="n">
        <v>0.08</v>
      </c>
      <c r="I794" s="8" t="n">
        <v>4.5</v>
      </c>
      <c r="J794" s="8" t="n">
        <v>1.43</v>
      </c>
      <c r="K794" s="8" t="n">
        <v>0.04</v>
      </c>
      <c r="L794" s="8" t="n">
        <v>0</v>
      </c>
      <c r="M794" s="9">
        <f>ROUND(SUM(I794:L794),2)</f>
        <v/>
      </c>
      <c r="N794" s="10">
        <f>ROUND(I794*'Irish Basis'!$C$6*'Irish Basis'!$C$5,2)</f>
        <v/>
      </c>
      <c r="O794" s="10">
        <f>ROUND(J794*'Irish Basis'!$C$7*'Irish Basis'!$C$5,2)</f>
        <v/>
      </c>
      <c r="P794" s="10">
        <f>ROUND(K794*'Irish Basis'!$C$8*'Irish Basis'!$C$5,2)</f>
        <v/>
      </c>
      <c r="Q794" s="10">
        <f>ROUND(L794*'Irish Basis'!$C$12*'Irish Basis'!$C$5,2)</f>
        <v/>
      </c>
      <c r="R794" s="11">
        <f>ROUND(SUM(N794:Q794),2)</f>
        <v/>
      </c>
      <c r="S794" s="5" t="inlineStr">
        <is>
          <t>Stated build-up</t>
        </is>
      </c>
      <c r="T794" s="12" t="inlineStr">
        <is>
          <t>High</t>
        </is>
      </c>
      <c r="U794" s="8" t="n">
        <v>5.98</v>
      </c>
      <c r="V794" s="13">
        <f>IF(U794="","",ROUND(M794-U794,2))</f>
        <v/>
      </c>
      <c r="W794" s="5" t="n"/>
      <c r="X794" s="5" t="inlineStr">
        <is>
          <t>Labour + plant + material as published; reconciles to the published rate.</t>
        </is>
      </c>
    </row>
    <row r="795" ht="13" customHeight="1">
      <c r="A795" s="4" t="n">
        <v>1428</v>
      </c>
      <c r="B795" s="5" t="inlineStr">
        <is>
          <t>IMG_0085</t>
        </is>
      </c>
      <c r="C795" s="5" t="inlineStr">
        <is>
          <t>CLASS G: CONCRETE ANCILLARIES</t>
        </is>
      </c>
      <c r="D795" s="5" t="inlineStr">
        <is>
          <t>01 FORMWORK; ROUGH FINISH</t>
        </is>
      </c>
      <c r="E795" s="5" t="inlineStr">
        <is>
          <t>Allowance for additional craneage and rub up where required</t>
        </is>
      </c>
      <c r="F795" s="5" t="inlineStr">
        <is>
          <t>ADD to items measures m2</t>
        </is>
      </c>
      <c r="G795" s="6" t="inlineStr">
        <is>
          <t>m2</t>
        </is>
      </c>
      <c r="H795" s="7" t="n">
        <v>0.24</v>
      </c>
      <c r="I795" s="8" t="n">
        <v>13.51</v>
      </c>
      <c r="J795" s="8" t="n">
        <v>4.29</v>
      </c>
      <c r="K795" s="8" t="n">
        <v>0.14</v>
      </c>
      <c r="L795" s="8" t="n">
        <v>0</v>
      </c>
      <c r="M795" s="9">
        <f>ROUND(SUM(I795:L795),2)</f>
        <v/>
      </c>
      <c r="N795" s="10">
        <f>ROUND(I795*'Irish Basis'!$C$6*'Irish Basis'!$C$5,2)</f>
        <v/>
      </c>
      <c r="O795" s="10">
        <f>ROUND(J795*'Irish Basis'!$C$7*'Irish Basis'!$C$5,2)</f>
        <v/>
      </c>
      <c r="P795" s="10">
        <f>ROUND(K795*'Irish Basis'!$C$8*'Irish Basis'!$C$5,2)</f>
        <v/>
      </c>
      <c r="Q795" s="10">
        <f>ROUND(L795*'Irish Basis'!$C$12*'Irish Basis'!$C$5,2)</f>
        <v/>
      </c>
      <c r="R795" s="11">
        <f>ROUND(SUM(N795:Q795),2)</f>
        <v/>
      </c>
      <c r="S795" s="5" t="inlineStr">
        <is>
          <t>Stated build-up</t>
        </is>
      </c>
      <c r="T795" s="12" t="inlineStr">
        <is>
          <t>High</t>
        </is>
      </c>
      <c r="U795" s="8" t="n">
        <v>17.95</v>
      </c>
      <c r="V795" s="13">
        <f>IF(U795="","",ROUND(M795-U795,2))</f>
        <v/>
      </c>
      <c r="W795" s="5" t="n"/>
      <c r="X795" s="5" t="inlineStr">
        <is>
          <t>Labour + plant + material as published; reconciles to the published rate.</t>
        </is>
      </c>
    </row>
    <row r="796" ht="13" customHeight="1">
      <c r="A796" s="4" t="n">
        <v>1431</v>
      </c>
      <c r="B796" s="5" t="inlineStr">
        <is>
          <t>IMG_0085</t>
        </is>
      </c>
      <c r="C796" s="5" t="inlineStr">
        <is>
          <t>CLASS G: CONCRETE ANCILLARIES</t>
        </is>
      </c>
      <c r="D796" s="5" t="inlineStr">
        <is>
          <t>02 FORMWORK; FAIR FINISH</t>
        </is>
      </c>
      <c r="E796" s="5" t="inlineStr">
        <is>
          <t>Formwork; Plane horizontal, width</t>
        </is>
      </c>
      <c r="F796" s="5" t="inlineStr">
        <is>
          <t>ne 0.1 m</t>
        </is>
      </c>
      <c r="G796" s="6" t="inlineStr">
        <is>
          <t>m</t>
        </is>
      </c>
      <c r="H796" s="7" t="n">
        <v>0.1</v>
      </c>
      <c r="I796" s="8" t="n">
        <v>5.63</v>
      </c>
      <c r="J796" s="8" t="n">
        <v>3.58</v>
      </c>
      <c r="K796" s="8" t="n">
        <v>9.58</v>
      </c>
      <c r="L796" s="8" t="n">
        <v>0</v>
      </c>
      <c r="M796" s="9">
        <f>ROUND(SUM(I796:L796),2)</f>
        <v/>
      </c>
      <c r="N796" s="10">
        <f>ROUND(I796*'Irish Basis'!$C$6*'Irish Basis'!$C$5,2)</f>
        <v/>
      </c>
      <c r="O796" s="10">
        <f>ROUND(J796*'Irish Basis'!$C$7*'Irish Basis'!$C$5,2)</f>
        <v/>
      </c>
      <c r="P796" s="10">
        <f>ROUND(K796*'Irish Basis'!$C$8*'Irish Basis'!$C$5,2)</f>
        <v/>
      </c>
      <c r="Q796" s="10">
        <f>ROUND(L796*'Irish Basis'!$C$12*'Irish Basis'!$C$5,2)</f>
        <v/>
      </c>
      <c r="R796" s="11">
        <f>ROUND(SUM(N796:Q796),2)</f>
        <v/>
      </c>
      <c r="S796" s="5" t="inlineStr">
        <is>
          <t>Stated build-up</t>
        </is>
      </c>
      <c r="T796" s="12" t="inlineStr">
        <is>
          <t>High</t>
        </is>
      </c>
      <c r="U796" s="8" t="n">
        <v>18.78</v>
      </c>
      <c r="V796" s="13">
        <f>IF(U796="","",ROUND(M796-U796,2))</f>
        <v/>
      </c>
      <c r="W796" s="5" t="n"/>
      <c r="X796" s="5" t="inlineStr">
        <is>
          <t>Labour + plant + material as published; reconciles to the published rate.</t>
        </is>
      </c>
    </row>
    <row r="797" ht="13" customHeight="1">
      <c r="A797" s="4" t="n">
        <v>1432</v>
      </c>
      <c r="B797" s="5" t="inlineStr">
        <is>
          <t>IMG_0085</t>
        </is>
      </c>
      <c r="C797" s="5" t="inlineStr">
        <is>
          <t>CLASS G: CONCRETE ANCILLARIES</t>
        </is>
      </c>
      <c r="D797" s="5" t="inlineStr">
        <is>
          <t>02 FORMWORK; FAIR FINISH</t>
        </is>
      </c>
      <c r="E797" s="5" t="inlineStr">
        <is>
          <t>Formwork; Plane horizontal, width</t>
        </is>
      </c>
      <c r="F797" s="5" t="inlineStr">
        <is>
          <t>0.1-0.20 m</t>
        </is>
      </c>
      <c r="G797" s="6" t="inlineStr">
        <is>
          <t>m</t>
        </is>
      </c>
      <c r="H797" s="7" t="n">
        <v>0.18</v>
      </c>
      <c r="I797" s="8" t="n">
        <v>10.14</v>
      </c>
      <c r="J797" s="8" t="n">
        <v>6.44</v>
      </c>
      <c r="K797" s="8" t="n">
        <v>11.46</v>
      </c>
      <c r="L797" s="8" t="n">
        <v>0</v>
      </c>
      <c r="M797" s="9">
        <f>ROUND(SUM(I797:L797),2)</f>
        <v/>
      </c>
      <c r="N797" s="10">
        <f>ROUND(I797*'Irish Basis'!$C$6*'Irish Basis'!$C$5,2)</f>
        <v/>
      </c>
      <c r="O797" s="10">
        <f>ROUND(J797*'Irish Basis'!$C$7*'Irish Basis'!$C$5,2)</f>
        <v/>
      </c>
      <c r="P797" s="10">
        <f>ROUND(K797*'Irish Basis'!$C$8*'Irish Basis'!$C$5,2)</f>
        <v/>
      </c>
      <c r="Q797" s="10">
        <f>ROUND(L797*'Irish Basis'!$C$12*'Irish Basis'!$C$5,2)</f>
        <v/>
      </c>
      <c r="R797" s="11">
        <f>ROUND(SUM(N797:Q797),2)</f>
        <v/>
      </c>
      <c r="S797" s="5" t="inlineStr">
        <is>
          <t>Stated build-up</t>
        </is>
      </c>
      <c r="T797" s="12" t="inlineStr">
        <is>
          <t>High</t>
        </is>
      </c>
      <c r="U797" s="8" t="n">
        <v>28.03</v>
      </c>
      <c r="V797" s="13">
        <f>IF(U797="","",ROUND(M797-U797,2))</f>
        <v/>
      </c>
      <c r="W797" s="5" t="n"/>
      <c r="X797" s="5" t="inlineStr">
        <is>
          <t>Labour + plant + material as published; reconciles to the published rate.</t>
        </is>
      </c>
    </row>
    <row r="798" ht="13" customHeight="1">
      <c r="A798" s="4" t="n">
        <v>1433</v>
      </c>
      <c r="B798" s="5" t="inlineStr">
        <is>
          <t>IMG_0085</t>
        </is>
      </c>
      <c r="C798" s="5" t="inlineStr">
        <is>
          <t>CLASS G: CONCRETE ANCILLARIES</t>
        </is>
      </c>
      <c r="D798" s="5" t="inlineStr">
        <is>
          <t>02 FORMWORK; FAIR FINISH</t>
        </is>
      </c>
      <c r="E798" s="5" t="inlineStr">
        <is>
          <t>Formwork; Plane horizontal, width</t>
        </is>
      </c>
      <c r="F798" s="5" t="inlineStr">
        <is>
          <t>0.2-0.40 m</t>
        </is>
      </c>
      <c r="G798" s="6" t="inlineStr">
        <is>
          <t>m2</t>
        </is>
      </c>
      <c r="H798" s="7" t="n">
        <v>0.4</v>
      </c>
      <c r="I798" s="8" t="n">
        <v>44.98</v>
      </c>
      <c r="J798" s="8" t="n">
        <v>8.4</v>
      </c>
      <c r="K798" s="8" t="n">
        <v>36.04</v>
      </c>
      <c r="L798" s="8" t="n">
        <v>0</v>
      </c>
      <c r="M798" s="9">
        <f>ROUND(SUM(I798:L798),2)</f>
        <v/>
      </c>
      <c r="N798" s="10">
        <f>ROUND(I798*'Irish Basis'!$C$6*'Irish Basis'!$C$5,2)</f>
        <v/>
      </c>
      <c r="O798" s="10">
        <f>ROUND(J798*'Irish Basis'!$C$7*'Irish Basis'!$C$5,2)</f>
        <v/>
      </c>
      <c r="P798" s="10">
        <f>ROUND(K798*'Irish Basis'!$C$8*'Irish Basis'!$C$5,2)</f>
        <v/>
      </c>
      <c r="Q798" s="10">
        <f>ROUND(L798*'Irish Basis'!$C$12*'Irish Basis'!$C$5,2)</f>
        <v/>
      </c>
      <c r="R798" s="11">
        <f>ROUND(SUM(N798:Q798),2)</f>
        <v/>
      </c>
      <c r="S798" s="5" t="inlineStr">
        <is>
          <t>Stated build-up</t>
        </is>
      </c>
      <c r="T798" s="12" t="inlineStr">
        <is>
          <t>High</t>
        </is>
      </c>
      <c r="U798" s="8" t="n">
        <v>89.42</v>
      </c>
      <c r="V798" s="13">
        <f>IF(U798="","",ROUND(M798-U798,2))</f>
        <v/>
      </c>
      <c r="W798" s="5" t="n"/>
      <c r="X798" s="5" t="inlineStr">
        <is>
          <t>Labour + plant + material as published; reconciles to the published rate.</t>
        </is>
      </c>
    </row>
    <row r="799" ht="13" customHeight="1">
      <c r="A799" s="4" t="n">
        <v>1434</v>
      </c>
      <c r="B799" s="5" t="inlineStr">
        <is>
          <t>IMG_0085</t>
        </is>
      </c>
      <c r="C799" s="5" t="inlineStr">
        <is>
          <t>CLASS G: CONCRETE ANCILLARIES</t>
        </is>
      </c>
      <c r="D799" s="5" t="inlineStr">
        <is>
          <t>02 FORMWORK; FAIR FINISH</t>
        </is>
      </c>
      <c r="E799" s="5" t="inlineStr">
        <is>
          <t>Formwork; Plane horizontal, width</t>
        </is>
      </c>
      <c r="F799" s="5" t="inlineStr">
        <is>
          <t>0.4-1.22 m</t>
        </is>
      </c>
      <c r="G799" s="6" t="inlineStr">
        <is>
          <t>m2</t>
        </is>
      </c>
      <c r="H799" s="7" t="n">
        <v>0.4</v>
      </c>
      <c r="I799" s="8" t="n">
        <v>44.98</v>
      </c>
      <c r="J799" s="8" t="n">
        <v>8.4</v>
      </c>
      <c r="K799" s="8" t="n">
        <v>36.04</v>
      </c>
      <c r="L799" s="8" t="n">
        <v>0</v>
      </c>
      <c r="M799" s="9">
        <f>ROUND(SUM(I799:L799),2)</f>
        <v/>
      </c>
      <c r="N799" s="10">
        <f>ROUND(I799*'Irish Basis'!$C$6*'Irish Basis'!$C$5,2)</f>
        <v/>
      </c>
      <c r="O799" s="10">
        <f>ROUND(J799*'Irish Basis'!$C$7*'Irish Basis'!$C$5,2)</f>
        <v/>
      </c>
      <c r="P799" s="10">
        <f>ROUND(K799*'Irish Basis'!$C$8*'Irish Basis'!$C$5,2)</f>
        <v/>
      </c>
      <c r="Q799" s="10">
        <f>ROUND(L799*'Irish Basis'!$C$12*'Irish Basis'!$C$5,2)</f>
        <v/>
      </c>
      <c r="R799" s="11">
        <f>ROUND(SUM(N799:Q799),2)</f>
        <v/>
      </c>
      <c r="S799" s="5" t="inlineStr">
        <is>
          <t>Stated build-up</t>
        </is>
      </c>
      <c r="T799" s="12" t="inlineStr">
        <is>
          <t>High</t>
        </is>
      </c>
      <c r="U799" s="8" t="n">
        <v>89.42</v>
      </c>
      <c r="V799" s="13">
        <f>IF(U799="","",ROUND(M799-U799,2))</f>
        <v/>
      </c>
      <c r="W799" s="5" t="n"/>
      <c r="X799" s="5" t="inlineStr">
        <is>
          <t>Labour + plant + material as published; reconciles to the published rate.</t>
        </is>
      </c>
    </row>
    <row r="800" ht="13" customHeight="1">
      <c r="A800" s="4" t="n">
        <v>1435</v>
      </c>
      <c r="B800" s="5" t="inlineStr">
        <is>
          <t>IMG_0085</t>
        </is>
      </c>
      <c r="C800" s="5" t="inlineStr">
        <is>
          <t>CLASS G: CONCRETE ANCILLARIES</t>
        </is>
      </c>
      <c r="D800" s="5" t="inlineStr">
        <is>
          <t>02 FORMWORK; FAIR FINISH</t>
        </is>
      </c>
      <c r="E800" s="5" t="inlineStr">
        <is>
          <t>Formwork; Plane horizontal, width</t>
        </is>
      </c>
      <c r="F800" s="5" t="inlineStr">
        <is>
          <t>exceeding 1.22 m</t>
        </is>
      </c>
      <c r="G800" s="6" t="inlineStr">
        <is>
          <t>m2</t>
        </is>
      </c>
      <c r="H800" s="7" t="n">
        <v>0.38</v>
      </c>
      <c r="I800" s="8" t="n">
        <v>42.73</v>
      </c>
      <c r="J800" s="8" t="n">
        <v>7.98</v>
      </c>
      <c r="K800" s="8" t="n">
        <v>36.04</v>
      </c>
      <c r="L800" s="8" t="n">
        <v>0</v>
      </c>
      <c r="M800" s="9">
        <f>ROUND(SUM(I800:L800),2)</f>
        <v/>
      </c>
      <c r="N800" s="10">
        <f>ROUND(I800*'Irish Basis'!$C$6*'Irish Basis'!$C$5,2)</f>
        <v/>
      </c>
      <c r="O800" s="10">
        <f>ROUND(J800*'Irish Basis'!$C$7*'Irish Basis'!$C$5,2)</f>
        <v/>
      </c>
      <c r="P800" s="10">
        <f>ROUND(K800*'Irish Basis'!$C$8*'Irish Basis'!$C$5,2)</f>
        <v/>
      </c>
      <c r="Q800" s="10">
        <f>ROUND(L800*'Irish Basis'!$C$12*'Irish Basis'!$C$5,2)</f>
        <v/>
      </c>
      <c r="R800" s="11">
        <f>ROUND(SUM(N800:Q800),2)</f>
        <v/>
      </c>
      <c r="S800" s="5" t="inlineStr">
        <is>
          <t>Stated build-up</t>
        </is>
      </c>
      <c r="T800" s="12" t="inlineStr">
        <is>
          <t>High</t>
        </is>
      </c>
      <c r="U800" s="8" t="n">
        <v>86.75</v>
      </c>
      <c r="V800" s="13">
        <f>IF(U800="","",ROUND(M800-U800,2))</f>
        <v/>
      </c>
      <c r="W800" s="5" t="n"/>
      <c r="X800" s="5" t="inlineStr">
        <is>
          <t>Labour + plant + material as published; reconciles to the published rate.</t>
        </is>
      </c>
    </row>
    <row r="801" ht="13" customHeight="1">
      <c r="A801" s="4" t="n">
        <v>1437</v>
      </c>
      <c r="B801" s="5" t="inlineStr">
        <is>
          <t>IMG_0085</t>
        </is>
      </c>
      <c r="C801" s="5" t="inlineStr">
        <is>
          <t>CLASS G: CONCRETE ANCILLARIES</t>
        </is>
      </c>
      <c r="D801" s="5" t="inlineStr">
        <is>
          <t>02 FORMWORK; FAIR FINISH</t>
        </is>
      </c>
      <c r="E801" s="5" t="inlineStr">
        <is>
          <t>Plane sloping, width</t>
        </is>
      </c>
      <c r="F801" s="5" t="inlineStr">
        <is>
          <t>ne 0.1 m</t>
        </is>
      </c>
      <c r="G801" s="6" t="inlineStr">
        <is>
          <t>m</t>
        </is>
      </c>
      <c r="H801" s="7" t="n">
        <v>0.11</v>
      </c>
      <c r="I801" s="8" t="n">
        <v>6.19</v>
      </c>
      <c r="J801" s="8" t="n">
        <v>3.94</v>
      </c>
      <c r="K801" s="8" t="n">
        <v>9.58</v>
      </c>
      <c r="L801" s="8" t="n">
        <v>0</v>
      </c>
      <c r="M801" s="9">
        <f>ROUND(SUM(I801:L801),2)</f>
        <v/>
      </c>
      <c r="N801" s="10">
        <f>ROUND(I801*'Irish Basis'!$C$6*'Irish Basis'!$C$5,2)</f>
        <v/>
      </c>
      <c r="O801" s="10">
        <f>ROUND(J801*'Irish Basis'!$C$7*'Irish Basis'!$C$5,2)</f>
        <v/>
      </c>
      <c r="P801" s="10">
        <f>ROUND(K801*'Irish Basis'!$C$8*'Irish Basis'!$C$5,2)</f>
        <v/>
      </c>
      <c r="Q801" s="10">
        <f>ROUND(L801*'Irish Basis'!$C$12*'Irish Basis'!$C$5,2)</f>
        <v/>
      </c>
      <c r="R801" s="11">
        <f>ROUND(SUM(N801:Q801),2)</f>
        <v/>
      </c>
      <c r="S801" s="5" t="inlineStr">
        <is>
          <t>Stated build-up</t>
        </is>
      </c>
      <c r="T801" s="12" t="inlineStr">
        <is>
          <t>High</t>
        </is>
      </c>
      <c r="U801" s="8" t="n">
        <v>19.71</v>
      </c>
      <c r="V801" s="13">
        <f>IF(U801="","",ROUND(M801-U801,2))</f>
        <v/>
      </c>
      <c r="W801" s="5" t="n"/>
      <c r="X801" s="5" t="inlineStr">
        <is>
          <t>Labour + plant + material as published; reconciles to the published rate.</t>
        </is>
      </c>
    </row>
    <row r="802" ht="13" customHeight="1">
      <c r="A802" s="4" t="n">
        <v>1438</v>
      </c>
      <c r="B802" s="5" t="inlineStr">
        <is>
          <t>IMG_0085</t>
        </is>
      </c>
      <c r="C802" s="5" t="inlineStr">
        <is>
          <t>CLASS G: CONCRETE ANCILLARIES</t>
        </is>
      </c>
      <c r="D802" s="5" t="inlineStr">
        <is>
          <t>02 FORMWORK; FAIR FINISH</t>
        </is>
      </c>
      <c r="E802" s="5" t="inlineStr">
        <is>
          <t>Plane sloping, width</t>
        </is>
      </c>
      <c r="F802" s="5" t="inlineStr">
        <is>
          <t>0.1-0.20 m</t>
        </is>
      </c>
      <c r="G802" s="6" t="inlineStr">
        <is>
          <t>m</t>
        </is>
      </c>
      <c r="H802" s="7" t="n">
        <v>0.2</v>
      </c>
      <c r="I802" s="8" t="n">
        <v>11.26</v>
      </c>
      <c r="J802" s="8" t="n">
        <v>4.2</v>
      </c>
      <c r="K802" s="8" t="n">
        <v>11.46</v>
      </c>
      <c r="L802" s="8" t="n">
        <v>0</v>
      </c>
      <c r="M802" s="9">
        <f>ROUND(SUM(I802:L802),2)</f>
        <v/>
      </c>
      <c r="N802" s="10">
        <f>ROUND(I802*'Irish Basis'!$C$6*'Irish Basis'!$C$5,2)</f>
        <v/>
      </c>
      <c r="O802" s="10">
        <f>ROUND(J802*'Irish Basis'!$C$7*'Irish Basis'!$C$5,2)</f>
        <v/>
      </c>
      <c r="P802" s="10">
        <f>ROUND(K802*'Irish Basis'!$C$8*'Irish Basis'!$C$5,2)</f>
        <v/>
      </c>
      <c r="Q802" s="10">
        <f>ROUND(L802*'Irish Basis'!$C$12*'Irish Basis'!$C$5,2)</f>
        <v/>
      </c>
      <c r="R802" s="11">
        <f>ROUND(SUM(N802:Q802),2)</f>
        <v/>
      </c>
      <c r="S802" s="5" t="inlineStr">
        <is>
          <t>Stated build-up</t>
        </is>
      </c>
      <c r="T802" s="12" t="inlineStr">
        <is>
          <t>High</t>
        </is>
      </c>
      <c r="U802" s="8" t="n">
        <v>26.92</v>
      </c>
      <c r="V802" s="13">
        <f>IF(U802="","",ROUND(M802-U802,2))</f>
        <v/>
      </c>
      <c r="W802" s="5" t="n"/>
      <c r="X802" s="5" t="inlineStr">
        <is>
          <t>Labour + plant + material as published; reconciles to the published rate.</t>
        </is>
      </c>
    </row>
    <row r="803" ht="13" customHeight="1">
      <c r="A803" s="4" t="n">
        <v>1439</v>
      </c>
      <c r="B803" s="5" t="inlineStr">
        <is>
          <t>IMG_0085</t>
        </is>
      </c>
      <c r="C803" s="5" t="inlineStr">
        <is>
          <t>CLASS G: CONCRETE ANCILLARIES</t>
        </is>
      </c>
      <c r="D803" s="5" t="inlineStr">
        <is>
          <t>02 FORMWORK; FAIR FINISH</t>
        </is>
      </c>
      <c r="E803" s="5" t="inlineStr">
        <is>
          <t>Plane sloping, width</t>
        </is>
      </c>
      <c r="F803" s="5" t="inlineStr">
        <is>
          <t>0.2-0.40 m</t>
        </is>
      </c>
      <c r="G803" s="6" t="inlineStr">
        <is>
          <t>m2</t>
        </is>
      </c>
      <c r="H803" s="7" t="n">
        <v>0.43</v>
      </c>
      <c r="I803" s="8" t="n">
        <v>48.35</v>
      </c>
      <c r="J803" s="8" t="n">
        <v>24.41</v>
      </c>
      <c r="K803" s="8" t="n">
        <v>49.46</v>
      </c>
      <c r="L803" s="8" t="n">
        <v>0</v>
      </c>
      <c r="M803" s="9">
        <f>ROUND(SUM(I803:L803),2)</f>
        <v/>
      </c>
      <c r="N803" s="10">
        <f>ROUND(I803*'Irish Basis'!$C$6*'Irish Basis'!$C$5,2)</f>
        <v/>
      </c>
      <c r="O803" s="10">
        <f>ROUND(J803*'Irish Basis'!$C$7*'Irish Basis'!$C$5,2)</f>
        <v/>
      </c>
      <c r="P803" s="10">
        <f>ROUND(K803*'Irish Basis'!$C$8*'Irish Basis'!$C$5,2)</f>
        <v/>
      </c>
      <c r="Q803" s="10">
        <f>ROUND(L803*'Irish Basis'!$C$12*'Irish Basis'!$C$5,2)</f>
        <v/>
      </c>
      <c r="R803" s="11">
        <f>ROUND(SUM(N803:Q803),2)</f>
        <v/>
      </c>
      <c r="S803" s="5" t="inlineStr">
        <is>
          <t>Stated build-up</t>
        </is>
      </c>
      <c r="T803" s="12" t="inlineStr">
        <is>
          <t>High</t>
        </is>
      </c>
      <c r="U803" s="8" t="n">
        <v>122.23</v>
      </c>
      <c r="V803" s="13">
        <f>IF(U803="","",ROUND(M803-U803,2))</f>
        <v/>
      </c>
      <c r="W803" s="5" t="n"/>
      <c r="X803" s="5" t="inlineStr">
        <is>
          <t>Labour + plant + material as published; reconciles to the published rate.</t>
        </is>
      </c>
    </row>
    <row r="804" ht="13" customHeight="1">
      <c r="A804" s="4" t="n">
        <v>1440</v>
      </c>
      <c r="B804" s="5" t="inlineStr">
        <is>
          <t>IMG_0085</t>
        </is>
      </c>
      <c r="C804" s="5" t="inlineStr">
        <is>
          <t>CLASS G: CONCRETE ANCILLARIES</t>
        </is>
      </c>
      <c r="D804" s="5" t="inlineStr">
        <is>
          <t>02 FORMWORK; FAIR FINISH</t>
        </is>
      </c>
      <c r="E804" s="5" t="inlineStr">
        <is>
          <t>Plane sloping, width</t>
        </is>
      </c>
      <c r="F804" s="5" t="inlineStr">
        <is>
          <t>0.4-1.22 m</t>
        </is>
      </c>
      <c r="G804" s="6" t="inlineStr">
        <is>
          <t>m2</t>
        </is>
      </c>
      <c r="H804" s="7" t="n">
        <v>0.43</v>
      </c>
      <c r="I804" s="8" t="n">
        <v>48.35</v>
      </c>
      <c r="J804" s="8" t="n">
        <v>24.41</v>
      </c>
      <c r="K804" s="8" t="n">
        <v>49.46</v>
      </c>
      <c r="L804" s="8" t="n">
        <v>0</v>
      </c>
      <c r="M804" s="9">
        <f>ROUND(SUM(I804:L804),2)</f>
        <v/>
      </c>
      <c r="N804" s="10">
        <f>ROUND(I804*'Irish Basis'!$C$6*'Irish Basis'!$C$5,2)</f>
        <v/>
      </c>
      <c r="O804" s="10">
        <f>ROUND(J804*'Irish Basis'!$C$7*'Irish Basis'!$C$5,2)</f>
        <v/>
      </c>
      <c r="P804" s="10">
        <f>ROUND(K804*'Irish Basis'!$C$8*'Irish Basis'!$C$5,2)</f>
        <v/>
      </c>
      <c r="Q804" s="10">
        <f>ROUND(L804*'Irish Basis'!$C$12*'Irish Basis'!$C$5,2)</f>
        <v/>
      </c>
      <c r="R804" s="11">
        <f>ROUND(SUM(N804:Q804),2)</f>
        <v/>
      </c>
      <c r="S804" s="5" t="inlineStr">
        <is>
          <t>Stated build-up</t>
        </is>
      </c>
      <c r="T804" s="12" t="inlineStr">
        <is>
          <t>High</t>
        </is>
      </c>
      <c r="U804" s="8" t="n">
        <v>122.23</v>
      </c>
      <c r="V804" s="13">
        <f>IF(U804="","",ROUND(M804-U804,2))</f>
        <v/>
      </c>
      <c r="W804" s="5" t="n"/>
      <c r="X804" s="5" t="inlineStr">
        <is>
          <t>Labour + plant + material as published; reconciles to the published rate.</t>
        </is>
      </c>
    </row>
    <row r="805" ht="13" customHeight="1">
      <c r="A805" s="4" t="n">
        <v>1441</v>
      </c>
      <c r="B805" s="5" t="inlineStr">
        <is>
          <t>IMG_0085</t>
        </is>
      </c>
      <c r="C805" s="5" t="inlineStr">
        <is>
          <t>CLASS G: CONCRETE ANCILLARIES</t>
        </is>
      </c>
      <c r="D805" s="5" t="inlineStr">
        <is>
          <t>02 FORMWORK; FAIR FINISH</t>
        </is>
      </c>
      <c r="E805" s="5" t="inlineStr">
        <is>
          <t>Plane sloping, width</t>
        </is>
      </c>
      <c r="F805" s="5" t="inlineStr">
        <is>
          <t>exceeding 1.22 m</t>
        </is>
      </c>
      <c r="G805" s="6" t="inlineStr">
        <is>
          <t>m2</t>
        </is>
      </c>
      <c r="H805" s="7" t="n">
        <v>0.38</v>
      </c>
      <c r="I805" s="8" t="n">
        <v>42.73</v>
      </c>
      <c r="J805" s="8" t="n">
        <v>7.98</v>
      </c>
      <c r="K805" s="8" t="n">
        <v>49.46</v>
      </c>
      <c r="L805" s="8" t="n">
        <v>0</v>
      </c>
      <c r="M805" s="9">
        <f>ROUND(SUM(I805:L805),2)</f>
        <v/>
      </c>
      <c r="N805" s="10">
        <f>ROUND(I805*'Irish Basis'!$C$6*'Irish Basis'!$C$5,2)</f>
        <v/>
      </c>
      <c r="O805" s="10">
        <f>ROUND(J805*'Irish Basis'!$C$7*'Irish Basis'!$C$5,2)</f>
        <v/>
      </c>
      <c r="P805" s="10">
        <f>ROUND(K805*'Irish Basis'!$C$8*'Irish Basis'!$C$5,2)</f>
        <v/>
      </c>
      <c r="Q805" s="10">
        <f>ROUND(L805*'Irish Basis'!$C$12*'Irish Basis'!$C$5,2)</f>
        <v/>
      </c>
      <c r="R805" s="11">
        <f>ROUND(SUM(N805:Q805),2)</f>
        <v/>
      </c>
      <c r="S805" s="5" t="inlineStr">
        <is>
          <t>Stated build-up</t>
        </is>
      </c>
      <c r="T805" s="12" t="inlineStr">
        <is>
          <t>High</t>
        </is>
      </c>
      <c r="U805" s="8" t="n">
        <v>100.18</v>
      </c>
      <c r="V805" s="13">
        <f>IF(U805="","",ROUND(M805-U805,2))</f>
        <v/>
      </c>
      <c r="W805" s="5" t="n"/>
      <c r="X805" s="5" t="inlineStr">
        <is>
          <t>Labour + plant + material as published; reconciles to the published rate.</t>
        </is>
      </c>
    </row>
    <row r="806" ht="13" customHeight="1">
      <c r="A806" s="4" t="n">
        <v>1443</v>
      </c>
      <c r="B806" s="5" t="inlineStr">
        <is>
          <t>IMG_0085</t>
        </is>
      </c>
      <c r="C806" s="5" t="inlineStr">
        <is>
          <t>CLASS G: CONCRETE ANCILLARIES</t>
        </is>
      </c>
      <c r="D806" s="5" t="inlineStr">
        <is>
          <t>02 FORMWORK; FAIR FINISH</t>
        </is>
      </c>
      <c r="E806" s="5" t="inlineStr">
        <is>
          <t>Plane battered, width</t>
        </is>
      </c>
      <c r="F806" s="5" t="inlineStr">
        <is>
          <t>ne 0.1 m</t>
        </is>
      </c>
      <c r="G806" s="6" t="inlineStr">
        <is>
          <t>m</t>
        </is>
      </c>
      <c r="H806" s="7" t="n">
        <v>0.12</v>
      </c>
      <c r="I806" s="8" t="n">
        <v>6.76</v>
      </c>
      <c r="J806" s="8" t="n">
        <v>4.29</v>
      </c>
      <c r="K806" s="8" t="n">
        <v>12.93</v>
      </c>
      <c r="L806" s="8" t="n">
        <v>0</v>
      </c>
      <c r="M806" s="9">
        <f>ROUND(SUM(I806:L806),2)</f>
        <v/>
      </c>
      <c r="N806" s="10">
        <f>ROUND(I806*'Irish Basis'!$C$6*'Irish Basis'!$C$5,2)</f>
        <v/>
      </c>
      <c r="O806" s="10">
        <f>ROUND(J806*'Irish Basis'!$C$7*'Irish Basis'!$C$5,2)</f>
        <v/>
      </c>
      <c r="P806" s="10">
        <f>ROUND(K806*'Irish Basis'!$C$8*'Irish Basis'!$C$5,2)</f>
        <v/>
      </c>
      <c r="Q806" s="10">
        <f>ROUND(L806*'Irish Basis'!$C$12*'Irish Basis'!$C$5,2)</f>
        <v/>
      </c>
      <c r="R806" s="11">
        <f>ROUND(SUM(N806:Q806),2)</f>
        <v/>
      </c>
      <c r="S806" s="5" t="inlineStr">
        <is>
          <t>Stated build-up</t>
        </is>
      </c>
      <c r="T806" s="12" t="inlineStr">
        <is>
          <t>High</t>
        </is>
      </c>
      <c r="U806" s="8" t="n">
        <v>23.98</v>
      </c>
      <c r="V806" s="13">
        <f>IF(U806="","",ROUND(M806-U806,2))</f>
        <v/>
      </c>
      <c r="W806" s="5" t="n"/>
      <c r="X806" s="5" t="inlineStr">
        <is>
          <t>Labour + plant + material as published; reconciles to the published rate.</t>
        </is>
      </c>
    </row>
    <row r="807" ht="13" customHeight="1">
      <c r="A807" s="4" t="n">
        <v>1444</v>
      </c>
      <c r="B807" s="5" t="inlineStr">
        <is>
          <t>IMG_0085</t>
        </is>
      </c>
      <c r="C807" s="5" t="inlineStr">
        <is>
          <t>CLASS G: CONCRETE ANCILLARIES</t>
        </is>
      </c>
      <c r="D807" s="5" t="inlineStr">
        <is>
          <t>02 FORMWORK; FAIR FINISH</t>
        </is>
      </c>
      <c r="E807" s="5" t="inlineStr">
        <is>
          <t>Plane battered, width</t>
        </is>
      </c>
      <c r="F807" s="5" t="inlineStr">
        <is>
          <t>0.1-0.20 m</t>
        </is>
      </c>
      <c r="G807" s="6" t="inlineStr">
        <is>
          <t>m</t>
        </is>
      </c>
      <c r="H807" s="7" t="n">
        <v>0.2</v>
      </c>
      <c r="I807" s="8" t="n">
        <v>11.26</v>
      </c>
      <c r="J807" s="8" t="n">
        <v>7.15</v>
      </c>
      <c r="K807" s="8" t="n">
        <v>14.81</v>
      </c>
      <c r="L807" s="8" t="n">
        <v>0</v>
      </c>
      <c r="M807" s="9">
        <f>ROUND(SUM(I807:L807),2)</f>
        <v/>
      </c>
      <c r="N807" s="10">
        <f>ROUND(I807*'Irish Basis'!$C$6*'Irish Basis'!$C$5,2)</f>
        <v/>
      </c>
      <c r="O807" s="10">
        <f>ROUND(J807*'Irish Basis'!$C$7*'Irish Basis'!$C$5,2)</f>
        <v/>
      </c>
      <c r="P807" s="10">
        <f>ROUND(K807*'Irish Basis'!$C$8*'Irish Basis'!$C$5,2)</f>
        <v/>
      </c>
      <c r="Q807" s="10">
        <f>ROUND(L807*'Irish Basis'!$C$12*'Irish Basis'!$C$5,2)</f>
        <v/>
      </c>
      <c r="R807" s="11">
        <f>ROUND(SUM(N807:Q807),2)</f>
        <v/>
      </c>
      <c r="S807" s="5" t="inlineStr">
        <is>
          <t>Stated build-up</t>
        </is>
      </c>
      <c r="T807" s="12" t="inlineStr">
        <is>
          <t>High</t>
        </is>
      </c>
      <c r="U807" s="8" t="n">
        <v>33.23</v>
      </c>
      <c r="V807" s="13">
        <f>IF(U807="","",ROUND(M807-U807,2))</f>
        <v/>
      </c>
      <c r="W807" s="5" t="n"/>
      <c r="X807" s="5" t="inlineStr">
        <is>
          <t>Labour + plant + material as published; reconciles to the published rate.</t>
        </is>
      </c>
    </row>
    <row r="808" ht="13" customHeight="1">
      <c r="A808" s="4" t="n">
        <v>1445</v>
      </c>
      <c r="B808" s="5" t="inlineStr">
        <is>
          <t>IMG_0085</t>
        </is>
      </c>
      <c r="C808" s="5" t="inlineStr">
        <is>
          <t>CLASS G: CONCRETE ANCILLARIES</t>
        </is>
      </c>
      <c r="D808" s="5" t="inlineStr">
        <is>
          <t>02 FORMWORK; FAIR FINISH</t>
        </is>
      </c>
      <c r="E808" s="5" t="inlineStr">
        <is>
          <t>Plane battered, width</t>
        </is>
      </c>
      <c r="F808" s="5" t="inlineStr">
        <is>
          <t>0.2-0.40 m</t>
        </is>
      </c>
      <c r="G808" s="6" t="inlineStr">
        <is>
          <t>m2</t>
        </is>
      </c>
      <c r="H808" s="7" t="n">
        <v>0.43</v>
      </c>
      <c r="I808" s="8" t="n">
        <v>48.35</v>
      </c>
      <c r="J808" s="8" t="n">
        <v>9.039999999999999</v>
      </c>
      <c r="K808" s="8" t="n">
        <v>56.18</v>
      </c>
      <c r="L808" s="8" t="n">
        <v>0</v>
      </c>
      <c r="M808" s="9">
        <f>ROUND(SUM(I808:L808),2)</f>
        <v/>
      </c>
      <c r="N808" s="10">
        <f>ROUND(I808*'Irish Basis'!$C$6*'Irish Basis'!$C$5,2)</f>
        <v/>
      </c>
      <c r="O808" s="10">
        <f>ROUND(J808*'Irish Basis'!$C$7*'Irish Basis'!$C$5,2)</f>
        <v/>
      </c>
      <c r="P808" s="10">
        <f>ROUND(K808*'Irish Basis'!$C$8*'Irish Basis'!$C$5,2)</f>
        <v/>
      </c>
      <c r="Q808" s="10">
        <f>ROUND(L808*'Irish Basis'!$C$12*'Irish Basis'!$C$5,2)</f>
        <v/>
      </c>
      <c r="R808" s="11">
        <f>ROUND(SUM(N808:Q808),2)</f>
        <v/>
      </c>
      <c r="S808" s="5" t="inlineStr">
        <is>
          <t>Stated build-up</t>
        </is>
      </c>
      <c r="T808" s="12" t="inlineStr">
        <is>
          <t>High</t>
        </is>
      </c>
      <c r="U808" s="8" t="n">
        <v>113.57</v>
      </c>
      <c r="V808" s="13">
        <f>IF(U808="","",ROUND(M808-U808,2))</f>
        <v/>
      </c>
      <c r="W808" s="5" t="n"/>
      <c r="X808" s="5" t="inlineStr">
        <is>
          <t>Labour + plant + material as published; reconciles to the published rate.</t>
        </is>
      </c>
    </row>
    <row r="809" ht="13" customHeight="1">
      <c r="A809" s="4" t="n">
        <v>1446</v>
      </c>
      <c r="B809" s="5" t="inlineStr">
        <is>
          <t>IMG_0085</t>
        </is>
      </c>
      <c r="C809" s="5" t="inlineStr">
        <is>
          <t>CLASS G: CONCRETE ANCILLARIES</t>
        </is>
      </c>
      <c r="D809" s="5" t="inlineStr">
        <is>
          <t>02 FORMWORK; FAIR FINISH</t>
        </is>
      </c>
      <c r="E809" s="5" t="inlineStr">
        <is>
          <t>Plane battered, width</t>
        </is>
      </c>
      <c r="F809" s="5" t="inlineStr">
        <is>
          <t>0.4-1.22 m</t>
        </is>
      </c>
      <c r="G809" s="6" t="inlineStr">
        <is>
          <t>m2</t>
        </is>
      </c>
      <c r="H809" s="7" t="n">
        <v>0.43</v>
      </c>
      <c r="I809" s="8" t="n">
        <v>48.35</v>
      </c>
      <c r="J809" s="8" t="n">
        <v>9.039999999999999</v>
      </c>
      <c r="K809" s="8" t="n">
        <v>56.18</v>
      </c>
      <c r="L809" s="8" t="n">
        <v>0</v>
      </c>
      <c r="M809" s="9">
        <f>ROUND(SUM(I809:L809),2)</f>
        <v/>
      </c>
      <c r="N809" s="10">
        <f>ROUND(I809*'Irish Basis'!$C$6*'Irish Basis'!$C$5,2)</f>
        <v/>
      </c>
      <c r="O809" s="10">
        <f>ROUND(J809*'Irish Basis'!$C$7*'Irish Basis'!$C$5,2)</f>
        <v/>
      </c>
      <c r="P809" s="10">
        <f>ROUND(K809*'Irish Basis'!$C$8*'Irish Basis'!$C$5,2)</f>
        <v/>
      </c>
      <c r="Q809" s="10">
        <f>ROUND(L809*'Irish Basis'!$C$12*'Irish Basis'!$C$5,2)</f>
        <v/>
      </c>
      <c r="R809" s="11">
        <f>ROUND(SUM(N809:Q809),2)</f>
        <v/>
      </c>
      <c r="S809" s="5" t="inlineStr">
        <is>
          <t>Stated build-up</t>
        </is>
      </c>
      <c r="T809" s="12" t="inlineStr">
        <is>
          <t>High</t>
        </is>
      </c>
      <c r="U809" s="8" t="n">
        <v>113.57</v>
      </c>
      <c r="V809" s="13">
        <f>IF(U809="","",ROUND(M809-U809,2))</f>
        <v/>
      </c>
      <c r="W809" s="5" t="n"/>
      <c r="X809" s="5" t="inlineStr">
        <is>
          <t>Labour + plant + material as published; reconciles to the published rate.</t>
        </is>
      </c>
    </row>
    <row r="810" ht="13" customHeight="1">
      <c r="A810" s="4" t="n">
        <v>1447</v>
      </c>
      <c r="B810" s="5" t="inlineStr">
        <is>
          <t>IMG_0085</t>
        </is>
      </c>
      <c r="C810" s="5" t="inlineStr">
        <is>
          <t>CLASS G: CONCRETE ANCILLARIES</t>
        </is>
      </c>
      <c r="D810" s="5" t="inlineStr">
        <is>
          <t>02 FORMWORK; FAIR FINISH</t>
        </is>
      </c>
      <c r="E810" s="5" t="inlineStr">
        <is>
          <t>Plane battered, width</t>
        </is>
      </c>
      <c r="F810" s="5" t="inlineStr">
        <is>
          <t>exceeding 1.22 m</t>
        </is>
      </c>
      <c r="G810" s="6" t="inlineStr">
        <is>
          <t>m2</t>
        </is>
      </c>
      <c r="H810" s="7" t="n">
        <v>0.4</v>
      </c>
      <c r="I810" s="8" t="n">
        <v>44.98</v>
      </c>
      <c r="J810" s="8" t="n">
        <v>8.4</v>
      </c>
      <c r="K810" s="8" t="n">
        <v>56.18</v>
      </c>
      <c r="L810" s="8" t="n">
        <v>0</v>
      </c>
      <c r="M810" s="9">
        <f>ROUND(SUM(I810:L810),2)</f>
        <v/>
      </c>
      <c r="N810" s="10">
        <f>ROUND(I810*'Irish Basis'!$C$6*'Irish Basis'!$C$5,2)</f>
        <v/>
      </c>
      <c r="O810" s="10">
        <f>ROUND(J810*'Irish Basis'!$C$7*'Irish Basis'!$C$5,2)</f>
        <v/>
      </c>
      <c r="P810" s="10">
        <f>ROUND(K810*'Irish Basis'!$C$8*'Irish Basis'!$C$5,2)</f>
        <v/>
      </c>
      <c r="Q810" s="10">
        <f>ROUND(L810*'Irish Basis'!$C$12*'Irish Basis'!$C$5,2)</f>
        <v/>
      </c>
      <c r="R810" s="11">
        <f>ROUND(SUM(N810:Q810),2)</f>
        <v/>
      </c>
      <c r="S810" s="5" t="inlineStr">
        <is>
          <t>Stated build-up</t>
        </is>
      </c>
      <c r="T810" s="12" t="inlineStr">
        <is>
          <t>High</t>
        </is>
      </c>
      <c r="U810" s="8" t="n">
        <v>109.56</v>
      </c>
      <c r="V810" s="13">
        <f>IF(U810="","",ROUND(M810-U810,2))</f>
        <v/>
      </c>
      <c r="W810" s="5" t="n"/>
      <c r="X810" s="5" t="inlineStr">
        <is>
          <t>Labour + plant + material as published; reconciles to the published rate.</t>
        </is>
      </c>
    </row>
    <row r="811" ht="13" customHeight="1">
      <c r="A811" s="4" t="n">
        <v>1449</v>
      </c>
      <c r="B811" s="5" t="inlineStr">
        <is>
          <t>IMG_0085</t>
        </is>
      </c>
      <c r="C811" s="5" t="inlineStr">
        <is>
          <t>CLASS G: CONCRETE ANCILLARIES</t>
        </is>
      </c>
      <c r="D811" s="5" t="inlineStr">
        <is>
          <t>02 FORMWORK; FAIR FINISH</t>
        </is>
      </c>
      <c r="E811" s="5" t="inlineStr">
        <is>
          <t>Plane vertical, width</t>
        </is>
      </c>
      <c r="F811" s="5" t="inlineStr">
        <is>
          <t>ne 0.1 m</t>
        </is>
      </c>
      <c r="G811" s="6" t="inlineStr">
        <is>
          <t>m</t>
        </is>
      </c>
      <c r="H811" s="7" t="n">
        <v>0.12</v>
      </c>
      <c r="I811" s="8" t="n">
        <v>6.76</v>
      </c>
      <c r="J811" s="8" t="n">
        <v>4.29</v>
      </c>
      <c r="K811" s="8" t="n">
        <v>12.93</v>
      </c>
      <c r="L811" s="8" t="n">
        <v>0</v>
      </c>
      <c r="M811" s="9">
        <f>ROUND(SUM(I811:L811),2)</f>
        <v/>
      </c>
      <c r="N811" s="10">
        <f>ROUND(I811*'Irish Basis'!$C$6*'Irish Basis'!$C$5,2)</f>
        <v/>
      </c>
      <c r="O811" s="10">
        <f>ROUND(J811*'Irish Basis'!$C$7*'Irish Basis'!$C$5,2)</f>
        <v/>
      </c>
      <c r="P811" s="10">
        <f>ROUND(K811*'Irish Basis'!$C$8*'Irish Basis'!$C$5,2)</f>
        <v/>
      </c>
      <c r="Q811" s="10">
        <f>ROUND(L811*'Irish Basis'!$C$12*'Irish Basis'!$C$5,2)</f>
        <v/>
      </c>
      <c r="R811" s="11">
        <f>ROUND(SUM(N811:Q811),2)</f>
        <v/>
      </c>
      <c r="S811" s="5" t="inlineStr">
        <is>
          <t>Stated build-up</t>
        </is>
      </c>
      <c r="T811" s="12" t="inlineStr">
        <is>
          <t>High</t>
        </is>
      </c>
      <c r="U811" s="8" t="n">
        <v>23.98</v>
      </c>
      <c r="V811" s="13">
        <f>IF(U811="","",ROUND(M811-U811,2))</f>
        <v/>
      </c>
      <c r="W811" s="5" t="n"/>
      <c r="X811" s="5" t="inlineStr">
        <is>
          <t>Labour + plant + material as published; reconciles to the published rate.</t>
        </is>
      </c>
    </row>
    <row r="812" ht="13" customHeight="1">
      <c r="A812" s="4" t="n">
        <v>1450</v>
      </c>
      <c r="B812" s="5" t="inlineStr">
        <is>
          <t>IMG_0085</t>
        </is>
      </c>
      <c r="C812" s="5" t="inlineStr">
        <is>
          <t>CLASS G: CONCRETE ANCILLARIES</t>
        </is>
      </c>
      <c r="D812" s="5" t="inlineStr">
        <is>
          <t>02 FORMWORK; FAIR FINISH</t>
        </is>
      </c>
      <c r="E812" s="5" t="inlineStr">
        <is>
          <t>Plane vertical, width</t>
        </is>
      </c>
      <c r="F812" s="5" t="inlineStr">
        <is>
          <t>0.1-0.20 m</t>
        </is>
      </c>
      <c r="G812" s="6" t="inlineStr">
        <is>
          <t>m</t>
        </is>
      </c>
      <c r="H812" s="7" t="n">
        <v>0.2</v>
      </c>
      <c r="I812" s="8" t="n">
        <v>11.26</v>
      </c>
      <c r="J812" s="8" t="n">
        <v>7.15</v>
      </c>
      <c r="K812" s="8" t="n">
        <v>14.81</v>
      </c>
      <c r="L812" s="8" t="n">
        <v>0</v>
      </c>
      <c r="M812" s="9">
        <f>ROUND(SUM(I812:L812),2)</f>
        <v/>
      </c>
      <c r="N812" s="10">
        <f>ROUND(I812*'Irish Basis'!$C$6*'Irish Basis'!$C$5,2)</f>
        <v/>
      </c>
      <c r="O812" s="10">
        <f>ROUND(J812*'Irish Basis'!$C$7*'Irish Basis'!$C$5,2)</f>
        <v/>
      </c>
      <c r="P812" s="10">
        <f>ROUND(K812*'Irish Basis'!$C$8*'Irish Basis'!$C$5,2)</f>
        <v/>
      </c>
      <c r="Q812" s="10">
        <f>ROUND(L812*'Irish Basis'!$C$12*'Irish Basis'!$C$5,2)</f>
        <v/>
      </c>
      <c r="R812" s="11">
        <f>ROUND(SUM(N812:Q812),2)</f>
        <v/>
      </c>
      <c r="S812" s="5" t="inlineStr">
        <is>
          <t>Stated build-up</t>
        </is>
      </c>
      <c r="T812" s="12" t="inlineStr">
        <is>
          <t>High</t>
        </is>
      </c>
      <c r="U812" s="8" t="n">
        <v>33.23</v>
      </c>
      <c r="V812" s="13">
        <f>IF(U812="","",ROUND(M812-U812,2))</f>
        <v/>
      </c>
      <c r="W812" s="5" t="n"/>
      <c r="X812" s="5" t="inlineStr">
        <is>
          <t>Labour + plant + material as published; reconciles to the published rate.</t>
        </is>
      </c>
    </row>
    <row r="813" ht="13" customHeight="1">
      <c r="A813" s="4" t="n">
        <v>1451</v>
      </c>
      <c r="B813" s="5" t="inlineStr">
        <is>
          <t>IMG_0085</t>
        </is>
      </c>
      <c r="C813" s="5" t="inlineStr">
        <is>
          <t>CLASS G: CONCRETE ANCILLARIES</t>
        </is>
      </c>
      <c r="D813" s="5" t="inlineStr">
        <is>
          <t>02 FORMWORK; FAIR FINISH</t>
        </is>
      </c>
      <c r="E813" s="5" t="inlineStr">
        <is>
          <t>Plane vertical, width</t>
        </is>
      </c>
      <c r="F813" s="5" t="inlineStr">
        <is>
          <t>0.2-0.40 m</t>
        </is>
      </c>
      <c r="G813" s="6" t="inlineStr">
        <is>
          <t>m2</t>
        </is>
      </c>
      <c r="H813" s="7" t="n">
        <v>0.72</v>
      </c>
      <c r="I813" s="8" t="n">
        <v>80.95999999999999</v>
      </c>
      <c r="J813" s="8" t="n">
        <v>15.12</v>
      </c>
      <c r="K813" s="8" t="n">
        <v>49.46</v>
      </c>
      <c r="L813" s="8" t="n">
        <v>0</v>
      </c>
      <c r="M813" s="9">
        <f>ROUND(SUM(I813:L813),2)</f>
        <v/>
      </c>
      <c r="N813" s="10">
        <f>ROUND(I813*'Irish Basis'!$C$6*'Irish Basis'!$C$5,2)</f>
        <v/>
      </c>
      <c r="O813" s="10">
        <f>ROUND(J813*'Irish Basis'!$C$7*'Irish Basis'!$C$5,2)</f>
        <v/>
      </c>
      <c r="P813" s="10">
        <f>ROUND(K813*'Irish Basis'!$C$8*'Irish Basis'!$C$5,2)</f>
        <v/>
      </c>
      <c r="Q813" s="10">
        <f>ROUND(L813*'Irish Basis'!$C$12*'Irish Basis'!$C$5,2)</f>
        <v/>
      </c>
      <c r="R813" s="11">
        <f>ROUND(SUM(N813:Q813),2)</f>
        <v/>
      </c>
      <c r="S813" s="5" t="inlineStr">
        <is>
          <t>Stated build-up</t>
        </is>
      </c>
      <c r="T813" s="12" t="inlineStr">
        <is>
          <t>High</t>
        </is>
      </c>
      <c r="U813" s="8" t="n">
        <v>145.55</v>
      </c>
      <c r="V813" s="13">
        <f>IF(U813="","",ROUND(M813-U813,2))</f>
        <v/>
      </c>
      <c r="W813" s="5" t="n"/>
      <c r="X813" s="5" t="inlineStr">
        <is>
          <t>Labour + plant + material as published; reconciles to the published rate.</t>
        </is>
      </c>
    </row>
    <row r="814" ht="13" customHeight="1">
      <c r="A814" s="4" t="n">
        <v>1452</v>
      </c>
      <c r="B814" s="5" t="inlineStr">
        <is>
          <t>IMG_0085</t>
        </is>
      </c>
      <c r="C814" s="5" t="inlineStr">
        <is>
          <t>CLASS G: CONCRETE ANCILLARIES</t>
        </is>
      </c>
      <c r="D814" s="5" t="inlineStr">
        <is>
          <t>02 FORMWORK; FAIR FINISH</t>
        </is>
      </c>
      <c r="E814" s="5" t="inlineStr">
        <is>
          <t>Plane vertical, width</t>
        </is>
      </c>
      <c r="F814" s="5" t="inlineStr">
        <is>
          <t>0.4-1.22 m</t>
        </is>
      </c>
      <c r="G814" s="6" t="inlineStr">
        <is>
          <t>m2</t>
        </is>
      </c>
      <c r="H814" s="7" t="n">
        <v>0.53</v>
      </c>
      <c r="I814" s="8" t="n">
        <v>59.6</v>
      </c>
      <c r="J814" s="8" t="n">
        <v>11.14</v>
      </c>
      <c r="K814" s="8" t="n">
        <v>49.46</v>
      </c>
      <c r="L814" s="8" t="n">
        <v>0</v>
      </c>
      <c r="M814" s="9">
        <f>ROUND(SUM(I814:L814),2)</f>
        <v/>
      </c>
      <c r="N814" s="10">
        <f>ROUND(I814*'Irish Basis'!$C$6*'Irish Basis'!$C$5,2)</f>
        <v/>
      </c>
      <c r="O814" s="10">
        <f>ROUND(J814*'Irish Basis'!$C$7*'Irish Basis'!$C$5,2)</f>
        <v/>
      </c>
      <c r="P814" s="10">
        <f>ROUND(K814*'Irish Basis'!$C$8*'Irish Basis'!$C$5,2)</f>
        <v/>
      </c>
      <c r="Q814" s="10">
        <f>ROUND(L814*'Irish Basis'!$C$12*'Irish Basis'!$C$5,2)</f>
        <v/>
      </c>
      <c r="R814" s="11">
        <f>ROUND(SUM(N814:Q814),2)</f>
        <v/>
      </c>
      <c r="S814" s="5" t="inlineStr">
        <is>
          <t>Stated build-up</t>
        </is>
      </c>
      <c r="T814" s="12" t="inlineStr">
        <is>
          <t>High</t>
        </is>
      </c>
      <c r="U814" s="8" t="n">
        <v>120.2</v>
      </c>
      <c r="V814" s="13">
        <f>IF(U814="","",ROUND(M814-U814,2))</f>
        <v/>
      </c>
      <c r="W814" s="5" t="n"/>
      <c r="X814" s="5" t="inlineStr">
        <is>
          <t>Labour + plant + material as published; reconciles to the published rate.</t>
        </is>
      </c>
    </row>
    <row r="815" ht="13" customHeight="1">
      <c r="A815" s="4" t="n">
        <v>1453</v>
      </c>
      <c r="B815" s="5" t="inlineStr">
        <is>
          <t>IMG_0085</t>
        </is>
      </c>
      <c r="C815" s="5" t="inlineStr">
        <is>
          <t>CLASS G: CONCRETE ANCILLARIES</t>
        </is>
      </c>
      <c r="D815" s="5" t="inlineStr">
        <is>
          <t>02 FORMWORK; FAIR FINISH</t>
        </is>
      </c>
      <c r="E815" s="5" t="inlineStr">
        <is>
          <t>Plane vertical, width</t>
        </is>
      </c>
      <c r="F815" s="5" t="inlineStr">
        <is>
          <t>exceeding 1.22 m</t>
        </is>
      </c>
      <c r="G815" s="6" t="inlineStr">
        <is>
          <t>m2</t>
        </is>
      </c>
      <c r="H815" s="7" t="n">
        <v>0.48</v>
      </c>
      <c r="I815" s="8" t="n">
        <v>53.98</v>
      </c>
      <c r="J815" s="8" t="n">
        <v>10.08</v>
      </c>
      <c r="K815" s="8" t="n">
        <v>49.46</v>
      </c>
      <c r="L815" s="8" t="n">
        <v>0</v>
      </c>
      <c r="M815" s="9">
        <f>ROUND(SUM(I815:L815),2)</f>
        <v/>
      </c>
      <c r="N815" s="10">
        <f>ROUND(I815*'Irish Basis'!$C$6*'Irish Basis'!$C$5,2)</f>
        <v/>
      </c>
      <c r="O815" s="10">
        <f>ROUND(J815*'Irish Basis'!$C$7*'Irish Basis'!$C$5,2)</f>
        <v/>
      </c>
      <c r="P815" s="10">
        <f>ROUND(K815*'Irish Basis'!$C$8*'Irish Basis'!$C$5,2)</f>
        <v/>
      </c>
      <c r="Q815" s="10">
        <f>ROUND(L815*'Irish Basis'!$C$12*'Irish Basis'!$C$5,2)</f>
        <v/>
      </c>
      <c r="R815" s="11">
        <f>ROUND(SUM(N815:Q815),2)</f>
        <v/>
      </c>
      <c r="S815" s="5" t="inlineStr">
        <is>
          <t>Stated build-up</t>
        </is>
      </c>
      <c r="T815" s="12" t="inlineStr">
        <is>
          <t>High</t>
        </is>
      </c>
      <c r="U815" s="8" t="n">
        <v>113.52</v>
      </c>
      <c r="V815" s="13">
        <f>IF(U815="","",ROUND(M815-U815,2))</f>
        <v/>
      </c>
      <c r="W815" s="5" t="n"/>
      <c r="X815" s="5" t="inlineStr">
        <is>
          <t>Labour + plant + material as published; reconciles to the published rate.</t>
        </is>
      </c>
    </row>
    <row r="816" ht="13" customHeight="1">
      <c r="A816" s="4" t="n">
        <v>1455</v>
      </c>
      <c r="B816" s="5" t="inlineStr">
        <is>
          <t>IMG_0085</t>
        </is>
      </c>
      <c r="C816" s="5" t="inlineStr">
        <is>
          <t>CLASS G: CONCRETE ANCILLARIES</t>
        </is>
      </c>
      <c r="D816" s="5" t="inlineStr">
        <is>
          <t>02 FORMWORK; FAIR FINISH</t>
        </is>
      </c>
      <c r="E816" s="5" t="inlineStr">
        <is>
          <t>Curved to one radius in one plane, 0.5 m radius, width</t>
        </is>
      </c>
      <c r="F816" s="5" t="inlineStr">
        <is>
          <t>ne 0.1 m</t>
        </is>
      </c>
      <c r="G816" s="6" t="inlineStr">
        <is>
          <t>m</t>
        </is>
      </c>
      <c r="H816" s="7" t="n">
        <v>0.2</v>
      </c>
      <c r="I816" s="8" t="n">
        <v>11.26</v>
      </c>
      <c r="J816" s="8" t="n">
        <v>7.15</v>
      </c>
      <c r="K816" s="8" t="n">
        <v>19.65</v>
      </c>
      <c r="L816" s="8" t="n">
        <v>0</v>
      </c>
      <c r="M816" s="9">
        <f>ROUND(SUM(I816:L816),2)</f>
        <v/>
      </c>
      <c r="N816" s="10">
        <f>ROUND(I816*'Irish Basis'!$C$6*'Irish Basis'!$C$5,2)</f>
        <v/>
      </c>
      <c r="O816" s="10">
        <f>ROUND(J816*'Irish Basis'!$C$7*'Irish Basis'!$C$5,2)</f>
        <v/>
      </c>
      <c r="P816" s="10">
        <f>ROUND(K816*'Irish Basis'!$C$8*'Irish Basis'!$C$5,2)</f>
        <v/>
      </c>
      <c r="Q816" s="10">
        <f>ROUND(L816*'Irish Basis'!$C$12*'Irish Basis'!$C$5,2)</f>
        <v/>
      </c>
      <c r="R816" s="11">
        <f>ROUND(SUM(N816:Q816),2)</f>
        <v/>
      </c>
      <c r="S816" s="5" t="inlineStr">
        <is>
          <t>Stated build-up</t>
        </is>
      </c>
      <c r="T816" s="12" t="inlineStr">
        <is>
          <t>High</t>
        </is>
      </c>
      <c r="U816" s="8" t="n">
        <v>38.06</v>
      </c>
      <c r="V816" s="13">
        <f>IF(U816="","",ROUND(M816-U816,2))</f>
        <v/>
      </c>
      <c r="W816" s="5" t="n"/>
      <c r="X816" s="5" t="inlineStr">
        <is>
          <t>Labour + plant + material as published; reconciles to the published rate.</t>
        </is>
      </c>
    </row>
    <row r="817" ht="13" customHeight="1">
      <c r="A817" s="4" t="n">
        <v>1456</v>
      </c>
      <c r="B817" s="5" t="inlineStr">
        <is>
          <t>IMG_0085</t>
        </is>
      </c>
      <c r="C817" s="5" t="inlineStr">
        <is>
          <t>CLASS G: CONCRETE ANCILLARIES</t>
        </is>
      </c>
      <c r="D817" s="5" t="inlineStr">
        <is>
          <t>02 FORMWORK; FAIR FINISH</t>
        </is>
      </c>
      <c r="E817" s="5" t="inlineStr">
        <is>
          <t>Curved to one radius in one plane, 0.5 m radius, width</t>
        </is>
      </c>
      <c r="F817" s="5" t="inlineStr">
        <is>
          <t>0.1-0.20 m</t>
        </is>
      </c>
      <c r="G817" s="6" t="inlineStr">
        <is>
          <t>m</t>
        </is>
      </c>
      <c r="H817" s="7" t="n">
        <v>0.25</v>
      </c>
      <c r="I817" s="8" t="n">
        <v>14.08</v>
      </c>
      <c r="J817" s="8" t="n">
        <v>8.949999999999999</v>
      </c>
      <c r="K817" s="8" t="n">
        <v>21.52</v>
      </c>
      <c r="L817" s="8" t="n">
        <v>0</v>
      </c>
      <c r="M817" s="9">
        <f>ROUND(SUM(I817:L817),2)</f>
        <v/>
      </c>
      <c r="N817" s="10">
        <f>ROUND(I817*'Irish Basis'!$C$6*'Irish Basis'!$C$5,2)</f>
        <v/>
      </c>
      <c r="O817" s="10">
        <f>ROUND(J817*'Irish Basis'!$C$7*'Irish Basis'!$C$5,2)</f>
        <v/>
      </c>
      <c r="P817" s="10">
        <f>ROUND(K817*'Irish Basis'!$C$8*'Irish Basis'!$C$5,2)</f>
        <v/>
      </c>
      <c r="Q817" s="10">
        <f>ROUND(L817*'Irish Basis'!$C$12*'Irish Basis'!$C$5,2)</f>
        <v/>
      </c>
      <c r="R817" s="11">
        <f>ROUND(SUM(N817:Q817),2)</f>
        <v/>
      </c>
      <c r="S817" s="5" t="inlineStr">
        <is>
          <t>Stated build-up</t>
        </is>
      </c>
      <c r="T817" s="12" t="inlineStr">
        <is>
          <t>High</t>
        </is>
      </c>
      <c r="U817" s="8" t="n">
        <v>44.55</v>
      </c>
      <c r="V817" s="13">
        <f>IF(U817="","",ROUND(M817-U817,2))</f>
        <v/>
      </c>
      <c r="W817" s="5" t="n"/>
      <c r="X817" s="5" t="inlineStr">
        <is>
          <t>Labour + plant + material as published; reconciles to the published rate.</t>
        </is>
      </c>
    </row>
    <row r="818" ht="13" customHeight="1">
      <c r="A818" s="4" t="n">
        <v>1457</v>
      </c>
      <c r="B818" s="5" t="inlineStr">
        <is>
          <t>IMG_0085</t>
        </is>
      </c>
      <c r="C818" s="5" t="inlineStr">
        <is>
          <t>CLASS G: CONCRETE ANCILLARIES</t>
        </is>
      </c>
      <c r="D818" s="5" t="inlineStr">
        <is>
          <t>02 FORMWORK; FAIR FINISH</t>
        </is>
      </c>
      <c r="E818" s="5" t="inlineStr">
        <is>
          <t>Curved to one radius in one plane, 0.5 m radius, width</t>
        </is>
      </c>
      <c r="F818" s="5" t="inlineStr">
        <is>
          <t>0.2-0.40 m</t>
        </is>
      </c>
      <c r="G818" s="6" t="inlineStr">
        <is>
          <t>m2</t>
        </is>
      </c>
      <c r="H818" s="7" t="n">
        <v>0.9</v>
      </c>
      <c r="I818" s="8" t="n">
        <v>101.21</v>
      </c>
      <c r="J818" s="8" t="n">
        <v>18.91</v>
      </c>
      <c r="K818" s="8" t="n">
        <v>56.18</v>
      </c>
      <c r="L818" s="8" t="n">
        <v>0</v>
      </c>
      <c r="M818" s="9">
        <f>ROUND(SUM(I818:L818),2)</f>
        <v/>
      </c>
      <c r="N818" s="10">
        <f>ROUND(I818*'Irish Basis'!$C$6*'Irish Basis'!$C$5,2)</f>
        <v/>
      </c>
      <c r="O818" s="10">
        <f>ROUND(J818*'Irish Basis'!$C$7*'Irish Basis'!$C$5,2)</f>
        <v/>
      </c>
      <c r="P818" s="10">
        <f>ROUND(K818*'Irish Basis'!$C$8*'Irish Basis'!$C$5,2)</f>
        <v/>
      </c>
      <c r="Q818" s="10">
        <f>ROUND(L818*'Irish Basis'!$C$12*'Irish Basis'!$C$5,2)</f>
        <v/>
      </c>
      <c r="R818" s="11">
        <f>ROUND(SUM(N818:Q818),2)</f>
        <v/>
      </c>
      <c r="S818" s="5" t="inlineStr">
        <is>
          <t>Stated build-up</t>
        </is>
      </c>
      <c r="T818" s="12" t="inlineStr">
        <is>
          <t>High</t>
        </is>
      </c>
      <c r="U818" s="8" t="n">
        <v>176.29</v>
      </c>
      <c r="V818" s="13">
        <f>IF(U818="","",ROUND(M818-U818,2))</f>
        <v/>
      </c>
      <c r="W818" s="5" t="n"/>
      <c r="X818" s="5" t="inlineStr">
        <is>
          <t>Labour + plant + material as published; reconciles to the published rate.</t>
        </is>
      </c>
    </row>
    <row r="819" ht="13" customHeight="1">
      <c r="A819" s="4" t="n">
        <v>1458</v>
      </c>
      <c r="B819" s="5" t="inlineStr">
        <is>
          <t>IMG_0085</t>
        </is>
      </c>
      <c r="C819" s="5" t="inlineStr">
        <is>
          <t>CLASS G: CONCRETE ANCILLARIES</t>
        </is>
      </c>
      <c r="D819" s="5" t="inlineStr">
        <is>
          <t>02 FORMWORK; FAIR FINISH</t>
        </is>
      </c>
      <c r="E819" s="5" t="inlineStr">
        <is>
          <t>Curved to one radius in one plane, 0.5 m radius, width</t>
        </is>
      </c>
      <c r="F819" s="5" t="inlineStr">
        <is>
          <t>0.4-1.22 m</t>
        </is>
      </c>
      <c r="G819" s="6" t="inlineStr">
        <is>
          <t>m2</t>
        </is>
      </c>
      <c r="H819" s="7" t="n">
        <v>0.72</v>
      </c>
      <c r="I819" s="8" t="n">
        <v>80.95999999999999</v>
      </c>
      <c r="J819" s="8" t="n">
        <v>15.12</v>
      </c>
      <c r="K819" s="8" t="n">
        <v>56.18</v>
      </c>
      <c r="L819" s="8" t="n">
        <v>0</v>
      </c>
      <c r="M819" s="9">
        <f>ROUND(SUM(I819:L819),2)</f>
        <v/>
      </c>
      <c r="N819" s="10">
        <f>ROUND(I819*'Irish Basis'!$C$6*'Irish Basis'!$C$5,2)</f>
        <v/>
      </c>
      <c r="O819" s="10">
        <f>ROUND(J819*'Irish Basis'!$C$7*'Irish Basis'!$C$5,2)</f>
        <v/>
      </c>
      <c r="P819" s="10">
        <f>ROUND(K819*'Irish Basis'!$C$8*'Irish Basis'!$C$5,2)</f>
        <v/>
      </c>
      <c r="Q819" s="10">
        <f>ROUND(L819*'Irish Basis'!$C$12*'Irish Basis'!$C$5,2)</f>
        <v/>
      </c>
      <c r="R819" s="11">
        <f>ROUND(SUM(N819:Q819),2)</f>
        <v/>
      </c>
      <c r="S819" s="5" t="inlineStr">
        <is>
          <t>Stated build-up</t>
        </is>
      </c>
      <c r="T819" s="12" t="inlineStr">
        <is>
          <t>High</t>
        </is>
      </c>
      <c r="U819" s="8" t="n">
        <v>152.26</v>
      </c>
      <c r="V819" s="13">
        <f>IF(U819="","",ROUND(M819-U819,2))</f>
        <v/>
      </c>
      <c r="W819" s="5" t="n"/>
      <c r="X819" s="5" t="inlineStr">
        <is>
          <t>Labour + plant + material as published; reconciles to the published rate.</t>
        </is>
      </c>
    </row>
    <row r="820" ht="13" customHeight="1">
      <c r="A820" s="4" t="n">
        <v>1459</v>
      </c>
      <c r="B820" s="5" t="inlineStr">
        <is>
          <t>IMG_0085</t>
        </is>
      </c>
      <c r="C820" s="5" t="inlineStr">
        <is>
          <t>CLASS G: CONCRETE ANCILLARIES</t>
        </is>
      </c>
      <c r="D820" s="5" t="inlineStr">
        <is>
          <t>02 FORMWORK; FAIR FINISH</t>
        </is>
      </c>
      <c r="E820" s="5" t="inlineStr">
        <is>
          <t>Curved to one radius in one plane, 0.5 m radius, width</t>
        </is>
      </c>
      <c r="F820" s="5" t="inlineStr">
        <is>
          <t>exceeding 1.22 m</t>
        </is>
      </c>
      <c r="G820" s="6" t="inlineStr">
        <is>
          <t>m2</t>
        </is>
      </c>
      <c r="H820" s="7" t="n">
        <v>0.65</v>
      </c>
      <c r="I820" s="8" t="n">
        <v>73.09</v>
      </c>
      <c r="J820" s="8" t="n">
        <v>13.66</v>
      </c>
      <c r="K820" s="8" t="n">
        <v>56.18</v>
      </c>
      <c r="L820" s="8" t="n">
        <v>0</v>
      </c>
      <c r="M820" s="9">
        <f>ROUND(SUM(I820:L820),2)</f>
        <v/>
      </c>
      <c r="N820" s="10">
        <f>ROUND(I820*'Irish Basis'!$C$6*'Irish Basis'!$C$5,2)</f>
        <v/>
      </c>
      <c r="O820" s="10">
        <f>ROUND(J820*'Irish Basis'!$C$7*'Irish Basis'!$C$5,2)</f>
        <v/>
      </c>
      <c r="P820" s="10">
        <f>ROUND(K820*'Irish Basis'!$C$8*'Irish Basis'!$C$5,2)</f>
        <v/>
      </c>
      <c r="Q820" s="10">
        <f>ROUND(L820*'Irish Basis'!$C$12*'Irish Basis'!$C$5,2)</f>
        <v/>
      </c>
      <c r="R820" s="11">
        <f>ROUND(SUM(N820:Q820),2)</f>
        <v/>
      </c>
      <c r="S820" s="5" t="inlineStr">
        <is>
          <t>Stated build-up</t>
        </is>
      </c>
      <c r="T820" s="12" t="inlineStr">
        <is>
          <t>High</t>
        </is>
      </c>
      <c r="U820" s="8" t="n">
        <v>142.93</v>
      </c>
      <c r="V820" s="13">
        <f>IF(U820="","",ROUND(M820-U820,2))</f>
        <v/>
      </c>
      <c r="W820" s="5" t="n"/>
      <c r="X820" s="5" t="inlineStr">
        <is>
          <t>Labour + plant + material as published; reconciles to the published rate.</t>
        </is>
      </c>
    </row>
    <row r="821" ht="13" customHeight="1">
      <c r="A821" s="4" t="n">
        <v>1461</v>
      </c>
      <c r="B821" s="5" t="inlineStr">
        <is>
          <t>IMG_0085</t>
        </is>
      </c>
      <c r="C821" s="5" t="inlineStr">
        <is>
          <t>CLASS G: CONCRETE ANCILLARIES</t>
        </is>
      </c>
      <c r="D821" s="5" t="inlineStr">
        <is>
          <t>02 FORMWORK; FAIR FINISH</t>
        </is>
      </c>
      <c r="E821" s="5" t="inlineStr">
        <is>
          <t>Curved to one radius in one plane, 2.0 m radius, width</t>
        </is>
      </c>
      <c r="F821" s="5" t="inlineStr">
        <is>
          <t>ne 0.1 m</t>
        </is>
      </c>
      <c r="G821" s="6" t="inlineStr">
        <is>
          <t>m</t>
        </is>
      </c>
      <c r="H821" s="7" t="n">
        <v>0.18</v>
      </c>
      <c r="I821" s="8" t="n">
        <v>10.14</v>
      </c>
      <c r="J821" s="8" t="n">
        <v>6.44</v>
      </c>
      <c r="K821" s="8" t="n">
        <v>19.65</v>
      </c>
      <c r="L821" s="8" t="n">
        <v>0</v>
      </c>
      <c r="M821" s="9">
        <f>ROUND(SUM(I821:L821),2)</f>
        <v/>
      </c>
      <c r="N821" s="10">
        <f>ROUND(I821*'Irish Basis'!$C$6*'Irish Basis'!$C$5,2)</f>
        <v/>
      </c>
      <c r="O821" s="10">
        <f>ROUND(J821*'Irish Basis'!$C$7*'Irish Basis'!$C$5,2)</f>
        <v/>
      </c>
      <c r="P821" s="10">
        <f>ROUND(K821*'Irish Basis'!$C$8*'Irish Basis'!$C$5,2)</f>
        <v/>
      </c>
      <c r="Q821" s="10">
        <f>ROUND(L821*'Irish Basis'!$C$12*'Irish Basis'!$C$5,2)</f>
        <v/>
      </c>
      <c r="R821" s="11">
        <f>ROUND(SUM(N821:Q821),2)</f>
        <v/>
      </c>
      <c r="S821" s="5" t="inlineStr">
        <is>
          <t>Stated build-up</t>
        </is>
      </c>
      <c r="T821" s="12" t="inlineStr">
        <is>
          <t>High</t>
        </is>
      </c>
      <c r="U821" s="8" t="n">
        <v>36.22</v>
      </c>
      <c r="V821" s="13">
        <f>IF(U821="","",ROUND(M821-U821,2))</f>
        <v/>
      </c>
      <c r="W821" s="5" t="n"/>
      <c r="X821" s="5" t="inlineStr">
        <is>
          <t>Labour + plant + material as published; reconciles to the published rate.</t>
        </is>
      </c>
    </row>
    <row r="822" ht="13" customHeight="1">
      <c r="A822" s="4" t="n">
        <v>1462</v>
      </c>
      <c r="B822" s="5" t="inlineStr">
        <is>
          <t>IMG_0085</t>
        </is>
      </c>
      <c r="C822" s="5" t="inlineStr">
        <is>
          <t>CLASS G: CONCRETE ANCILLARIES</t>
        </is>
      </c>
      <c r="D822" s="5" t="inlineStr">
        <is>
          <t>02 FORMWORK; FAIR FINISH</t>
        </is>
      </c>
      <c r="E822" s="5" t="inlineStr">
        <is>
          <t>Curved to one radius in one plane, 2.0 m radius, width</t>
        </is>
      </c>
      <c r="F822" s="5" t="inlineStr">
        <is>
          <t>0.1-0.20 m</t>
        </is>
      </c>
      <c r="G822" s="6" t="inlineStr">
        <is>
          <t>m</t>
        </is>
      </c>
      <c r="H822" s="7" t="n">
        <v>0.22</v>
      </c>
      <c r="I822" s="8" t="n">
        <v>12.39</v>
      </c>
      <c r="J822" s="8" t="n">
        <v>7.87</v>
      </c>
      <c r="K822" s="8" t="n">
        <v>21.52</v>
      </c>
      <c r="L822" s="8" t="n">
        <v>0</v>
      </c>
      <c r="M822" s="9">
        <f>ROUND(SUM(I822:L822),2)</f>
        <v/>
      </c>
      <c r="N822" s="10">
        <f>ROUND(I822*'Irish Basis'!$C$6*'Irish Basis'!$C$5,2)</f>
        <v/>
      </c>
      <c r="O822" s="10">
        <f>ROUND(J822*'Irish Basis'!$C$7*'Irish Basis'!$C$5,2)</f>
        <v/>
      </c>
      <c r="P822" s="10">
        <f>ROUND(K822*'Irish Basis'!$C$8*'Irish Basis'!$C$5,2)</f>
        <v/>
      </c>
      <c r="Q822" s="10">
        <f>ROUND(L822*'Irish Basis'!$C$12*'Irish Basis'!$C$5,2)</f>
        <v/>
      </c>
      <c r="R822" s="11">
        <f>ROUND(SUM(N822:Q822),2)</f>
        <v/>
      </c>
      <c r="S822" s="5" t="inlineStr">
        <is>
          <t>Stated build-up</t>
        </is>
      </c>
      <c r="T822" s="12" t="inlineStr">
        <is>
          <t>High</t>
        </is>
      </c>
      <c r="U822" s="8" t="n">
        <v>41.78</v>
      </c>
      <c r="V822" s="13">
        <f>IF(U822="","",ROUND(M822-U822,2))</f>
        <v/>
      </c>
      <c r="W822" s="5" t="n"/>
      <c r="X822" s="5" t="inlineStr">
        <is>
          <t>Labour + plant + material as published; reconciles to the published rate.</t>
        </is>
      </c>
    </row>
    <row r="823" ht="13" customHeight="1">
      <c r="A823" s="4" t="n">
        <v>1463</v>
      </c>
      <c r="B823" s="5" t="inlineStr">
        <is>
          <t>IMG_0085</t>
        </is>
      </c>
      <c r="C823" s="5" t="inlineStr">
        <is>
          <t>CLASS G: CONCRETE ANCILLARIES</t>
        </is>
      </c>
      <c r="D823" s="5" t="inlineStr">
        <is>
          <t>02 FORMWORK; FAIR FINISH</t>
        </is>
      </c>
      <c r="E823" s="5" t="inlineStr">
        <is>
          <t>Curved to one radius in one plane, 2.0 m radius, width</t>
        </is>
      </c>
      <c r="F823" s="5" t="inlineStr">
        <is>
          <t>0.2-0.40 m</t>
        </is>
      </c>
      <c r="G823" s="6" t="inlineStr">
        <is>
          <t>m2</t>
        </is>
      </c>
      <c r="H823" s="7" t="n">
        <v>0.84</v>
      </c>
      <c r="I823" s="8" t="n">
        <v>94.45999999999999</v>
      </c>
      <c r="J823" s="8" t="n">
        <v>17.64</v>
      </c>
      <c r="K823" s="8" t="n">
        <v>56.18</v>
      </c>
      <c r="L823" s="8" t="n">
        <v>0</v>
      </c>
      <c r="M823" s="9">
        <f>ROUND(SUM(I823:L823),2)</f>
        <v/>
      </c>
      <c r="N823" s="10">
        <f>ROUND(I823*'Irish Basis'!$C$6*'Irish Basis'!$C$5,2)</f>
        <v/>
      </c>
      <c r="O823" s="10">
        <f>ROUND(J823*'Irish Basis'!$C$7*'Irish Basis'!$C$5,2)</f>
        <v/>
      </c>
      <c r="P823" s="10">
        <f>ROUND(K823*'Irish Basis'!$C$8*'Irish Basis'!$C$5,2)</f>
        <v/>
      </c>
      <c r="Q823" s="10">
        <f>ROUND(L823*'Irish Basis'!$C$12*'Irish Basis'!$C$5,2)</f>
        <v/>
      </c>
      <c r="R823" s="11">
        <f>ROUND(SUM(N823:Q823),2)</f>
        <v/>
      </c>
      <c r="S823" s="5" t="inlineStr">
        <is>
          <t>Stated build-up</t>
        </is>
      </c>
      <c r="T823" s="12" t="inlineStr">
        <is>
          <t>High</t>
        </is>
      </c>
      <c r="U823" s="8" t="n">
        <v>168.28</v>
      </c>
      <c r="V823" s="13">
        <f>IF(U823="","",ROUND(M823-U823,2))</f>
        <v/>
      </c>
      <c r="W823" s="5" t="n"/>
      <c r="X823" s="5" t="inlineStr">
        <is>
          <t>Labour + plant + material as published; reconciles to the published rate.</t>
        </is>
      </c>
    </row>
    <row r="824" ht="13" customHeight="1">
      <c r="A824" s="4" t="n">
        <v>1464</v>
      </c>
      <c r="B824" s="5" t="inlineStr">
        <is>
          <t>IMG_0085</t>
        </is>
      </c>
      <c r="C824" s="5" t="inlineStr">
        <is>
          <t>CLASS G: CONCRETE ANCILLARIES</t>
        </is>
      </c>
      <c r="D824" s="5" t="inlineStr">
        <is>
          <t>02 FORMWORK; FAIR FINISH</t>
        </is>
      </c>
      <c r="E824" s="5" t="inlineStr">
        <is>
          <t>Curved to one radius in one plane, 2.0 m radius, width</t>
        </is>
      </c>
      <c r="F824" s="5" t="inlineStr">
        <is>
          <t>0.4-1.22 m</t>
        </is>
      </c>
      <c r="G824" s="6" t="inlineStr">
        <is>
          <t>m2</t>
        </is>
      </c>
      <c r="H824" s="7" t="n">
        <v>0.66</v>
      </c>
      <c r="I824" s="8" t="n">
        <v>74.22</v>
      </c>
      <c r="J824" s="8" t="n">
        <v>13.86</v>
      </c>
      <c r="K824" s="8" t="n">
        <v>56.18</v>
      </c>
      <c r="L824" s="8" t="n">
        <v>0</v>
      </c>
      <c r="M824" s="9">
        <f>ROUND(SUM(I824:L824),2)</f>
        <v/>
      </c>
      <c r="N824" s="10">
        <f>ROUND(I824*'Irish Basis'!$C$6*'Irish Basis'!$C$5,2)</f>
        <v/>
      </c>
      <c r="O824" s="10">
        <f>ROUND(J824*'Irish Basis'!$C$7*'Irish Basis'!$C$5,2)</f>
        <v/>
      </c>
      <c r="P824" s="10">
        <f>ROUND(K824*'Irish Basis'!$C$8*'Irish Basis'!$C$5,2)</f>
        <v/>
      </c>
      <c r="Q824" s="10">
        <f>ROUND(L824*'Irish Basis'!$C$12*'Irish Basis'!$C$5,2)</f>
        <v/>
      </c>
      <c r="R824" s="11">
        <f>ROUND(SUM(N824:Q824),2)</f>
        <v/>
      </c>
      <c r="S824" s="5" t="inlineStr">
        <is>
          <t>Stated build-up</t>
        </is>
      </c>
      <c r="T824" s="12" t="inlineStr">
        <is>
          <t>High</t>
        </is>
      </c>
      <c r="U824" s="8" t="n">
        <v>144.26</v>
      </c>
      <c r="V824" s="13">
        <f>IF(U824="","",ROUND(M824-U824,2))</f>
        <v/>
      </c>
      <c r="W824" s="5" t="n"/>
      <c r="X824" s="5" t="inlineStr">
        <is>
          <t>Labour + plant + material as published; reconciles to the published rate.</t>
        </is>
      </c>
    </row>
    <row r="825" ht="13" customHeight="1">
      <c r="A825" s="4" t="n">
        <v>1465</v>
      </c>
      <c r="B825" s="5" t="inlineStr">
        <is>
          <t>IMG_0085</t>
        </is>
      </c>
      <c r="C825" s="5" t="inlineStr">
        <is>
          <t>CLASS G: CONCRETE ANCILLARIES</t>
        </is>
      </c>
      <c r="D825" s="5" t="inlineStr">
        <is>
          <t>02 FORMWORK; FAIR FINISH</t>
        </is>
      </c>
      <c r="E825" s="5" t="inlineStr">
        <is>
          <t>Curved to one radius in one plane, 2.0 m radius, width</t>
        </is>
      </c>
      <c r="F825" s="5" t="inlineStr">
        <is>
          <t>exceeding 1.22 m</t>
        </is>
      </c>
      <c r="G825" s="6" t="inlineStr">
        <is>
          <t>m2</t>
        </is>
      </c>
      <c r="H825" s="7" t="n">
        <v>0.52</v>
      </c>
      <c r="I825" s="8" t="n">
        <v>58.47</v>
      </c>
      <c r="J825" s="8" t="n">
        <v>10.92</v>
      </c>
      <c r="K825" s="8" t="n">
        <v>56.18</v>
      </c>
      <c r="L825" s="8" t="n">
        <v>0</v>
      </c>
      <c r="M825" s="9">
        <f>ROUND(SUM(I825:L825),2)</f>
        <v/>
      </c>
      <c r="N825" s="10">
        <f>ROUND(I825*'Irish Basis'!$C$6*'Irish Basis'!$C$5,2)</f>
        <v/>
      </c>
      <c r="O825" s="10">
        <f>ROUND(J825*'Irish Basis'!$C$7*'Irish Basis'!$C$5,2)</f>
        <v/>
      </c>
      <c r="P825" s="10">
        <f>ROUND(K825*'Irish Basis'!$C$8*'Irish Basis'!$C$5,2)</f>
        <v/>
      </c>
      <c r="Q825" s="10">
        <f>ROUND(L825*'Irish Basis'!$C$12*'Irish Basis'!$C$5,2)</f>
        <v/>
      </c>
      <c r="R825" s="11">
        <f>ROUND(SUM(N825:Q825),2)</f>
        <v/>
      </c>
      <c r="S825" s="5" t="inlineStr">
        <is>
          <t>Stated build-up</t>
        </is>
      </c>
      <c r="T825" s="12" t="inlineStr">
        <is>
          <t>High</t>
        </is>
      </c>
      <c r="U825" s="8" t="n">
        <v>125.57</v>
      </c>
      <c r="V825" s="13">
        <f>IF(U825="","",ROUND(M825-U825,2))</f>
        <v/>
      </c>
      <c r="W825" s="5" t="n"/>
      <c r="X825" s="5" t="inlineStr">
        <is>
          <t>Labour + plant + material as published; reconciles to the published rate.</t>
        </is>
      </c>
    </row>
    <row r="826" ht="13" customHeight="1">
      <c r="A826" s="4" t="n">
        <v>1467</v>
      </c>
      <c r="B826" s="5" t="inlineStr">
        <is>
          <t>IMG_0085</t>
        </is>
      </c>
      <c r="C826" s="5" t="inlineStr">
        <is>
          <t>CLASS G: CONCRETE ANCILLARIES</t>
        </is>
      </c>
      <c r="D826" s="5" t="inlineStr">
        <is>
          <t>02 FORMWORK; FAIR FINISH</t>
        </is>
      </c>
      <c r="E826" s="5" t="inlineStr">
        <is>
          <t>For voids, using void former</t>
        </is>
      </c>
      <c r="F826" s="5" t="inlineStr">
        <is>
          <t>small void; depth ne 0.5 m</t>
        </is>
      </c>
      <c r="G826" s="6" t="inlineStr">
        <is>
          <t>nr</t>
        </is>
      </c>
      <c r="H826" s="7" t="n">
        <v>0.07000000000000001</v>
      </c>
      <c r="I826" s="8" t="n">
        <v>3.94</v>
      </c>
      <c r="J826" s="8" t="n">
        <v>0</v>
      </c>
      <c r="K826" s="8" t="n">
        <v>22.21</v>
      </c>
      <c r="L826" s="8" t="n">
        <v>0</v>
      </c>
      <c r="M826" s="9">
        <f>ROUND(SUM(I826:L826),2)</f>
        <v/>
      </c>
      <c r="N826" s="10">
        <f>ROUND(I826*'Irish Basis'!$C$6*'Irish Basis'!$C$5,2)</f>
        <v/>
      </c>
      <c r="O826" s="10">
        <f>ROUND(J826*'Irish Basis'!$C$7*'Irish Basis'!$C$5,2)</f>
        <v/>
      </c>
      <c r="P826" s="10">
        <f>ROUND(K826*'Irish Basis'!$C$8*'Irish Basis'!$C$5,2)</f>
        <v/>
      </c>
      <c r="Q826" s="10">
        <f>ROUND(L826*'Irish Basis'!$C$12*'Irish Basis'!$C$5,2)</f>
        <v/>
      </c>
      <c r="R826" s="11">
        <f>ROUND(SUM(N826:Q826),2)</f>
        <v/>
      </c>
      <c r="S826" s="5" t="inlineStr">
        <is>
          <t>Stated build-up</t>
        </is>
      </c>
      <c r="T826" s="12" t="inlineStr">
        <is>
          <t>High</t>
        </is>
      </c>
      <c r="U826" s="8" t="n">
        <v>26.15</v>
      </c>
      <c r="V826" s="13">
        <f>IF(U826="","",ROUND(M826-U826,2))</f>
        <v/>
      </c>
      <c r="W826" s="5" t="n"/>
      <c r="X826" s="5" t="inlineStr">
        <is>
          <t>Labour + plant + material as published; reconciles to the published rate.</t>
        </is>
      </c>
    </row>
    <row r="827" ht="13" customHeight="1">
      <c r="A827" s="4" t="n">
        <v>1468</v>
      </c>
      <c r="B827" s="5" t="inlineStr">
        <is>
          <t>IMG_0085</t>
        </is>
      </c>
      <c r="C827" s="5" t="inlineStr">
        <is>
          <t>CLASS G: CONCRETE ANCILLARIES</t>
        </is>
      </c>
      <c r="D827" s="5" t="inlineStr">
        <is>
          <t>02 FORMWORK; FAIR FINISH</t>
        </is>
      </c>
      <c r="E827" s="5" t="inlineStr">
        <is>
          <t>For voids, using void former</t>
        </is>
      </c>
      <c r="F827" s="5" t="inlineStr">
        <is>
          <t>small void; depth 0.5-1.0 m</t>
        </is>
      </c>
      <c r="G827" s="6" t="inlineStr">
        <is>
          <t>nr</t>
        </is>
      </c>
      <c r="H827" s="7" t="n">
        <v>0.12</v>
      </c>
      <c r="I827" s="8" t="n">
        <v>6.76</v>
      </c>
      <c r="J827" s="8" t="n">
        <v>0</v>
      </c>
      <c r="K827" s="8" t="n">
        <v>43.26</v>
      </c>
      <c r="L827" s="8" t="n">
        <v>0</v>
      </c>
      <c r="M827" s="9">
        <f>ROUND(SUM(I827:L827),2)</f>
        <v/>
      </c>
      <c r="N827" s="10">
        <f>ROUND(I827*'Irish Basis'!$C$6*'Irish Basis'!$C$5,2)</f>
        <v/>
      </c>
      <c r="O827" s="10">
        <f>ROUND(J827*'Irish Basis'!$C$7*'Irish Basis'!$C$5,2)</f>
        <v/>
      </c>
      <c r="P827" s="10">
        <f>ROUND(K827*'Irish Basis'!$C$8*'Irish Basis'!$C$5,2)</f>
        <v/>
      </c>
      <c r="Q827" s="10">
        <f>ROUND(L827*'Irish Basis'!$C$12*'Irish Basis'!$C$5,2)</f>
        <v/>
      </c>
      <c r="R827" s="11">
        <f>ROUND(SUM(N827:Q827),2)</f>
        <v/>
      </c>
      <c r="S827" s="5" t="inlineStr">
        <is>
          <t>Stated build-up</t>
        </is>
      </c>
      <c r="T827" s="12" t="inlineStr">
        <is>
          <t>High</t>
        </is>
      </c>
      <c r="U827" s="8" t="n">
        <v>50.01</v>
      </c>
      <c r="V827" s="13">
        <f>IF(U827="","",ROUND(M827-U827,2))</f>
        <v/>
      </c>
      <c r="W827" s="5" t="n"/>
      <c r="X827" s="5" t="inlineStr">
        <is>
          <t>Labour + plant + material as published; reconciles to the published rate.</t>
        </is>
      </c>
    </row>
    <row r="828" ht="13" customHeight="1">
      <c r="A828" s="4" t="n">
        <v>1469</v>
      </c>
      <c r="B828" s="5" t="inlineStr">
        <is>
          <t>IMG_0085</t>
        </is>
      </c>
      <c r="C828" s="5" t="inlineStr">
        <is>
          <t>CLASS G: CONCRETE ANCILLARIES</t>
        </is>
      </c>
      <c r="D828" s="5" t="inlineStr">
        <is>
          <t>02 FORMWORK; FAIR FINISH</t>
        </is>
      </c>
      <c r="E828" s="5" t="inlineStr">
        <is>
          <t>For voids, using void former</t>
        </is>
      </c>
      <c r="F828" s="5" t="inlineStr">
        <is>
          <t>small void; depth ne 1.0-2.0 m</t>
        </is>
      </c>
      <c r="G828" s="6" t="inlineStr">
        <is>
          <t>nr</t>
        </is>
      </c>
      <c r="H828" s="7" t="n">
        <v>0.16</v>
      </c>
      <c r="I828" s="8" t="n">
        <v>9.01</v>
      </c>
      <c r="J828" s="8" t="n">
        <v>0</v>
      </c>
      <c r="K828" s="8" t="n">
        <v>82.34999999999999</v>
      </c>
      <c r="L828" s="8" t="n">
        <v>0</v>
      </c>
      <c r="M828" s="9">
        <f>ROUND(SUM(I828:L828),2)</f>
        <v/>
      </c>
      <c r="N828" s="10">
        <f>ROUND(I828*'Irish Basis'!$C$6*'Irish Basis'!$C$5,2)</f>
        <v/>
      </c>
      <c r="O828" s="10">
        <f>ROUND(J828*'Irish Basis'!$C$7*'Irish Basis'!$C$5,2)</f>
        <v/>
      </c>
      <c r="P828" s="10">
        <f>ROUND(K828*'Irish Basis'!$C$8*'Irish Basis'!$C$5,2)</f>
        <v/>
      </c>
      <c r="Q828" s="10">
        <f>ROUND(L828*'Irish Basis'!$C$12*'Irish Basis'!$C$5,2)</f>
        <v/>
      </c>
      <c r="R828" s="11">
        <f>ROUND(SUM(N828:Q828),2)</f>
        <v/>
      </c>
      <c r="S828" s="5" t="inlineStr">
        <is>
          <t>Stated build-up</t>
        </is>
      </c>
      <c r="T828" s="12" t="inlineStr">
        <is>
          <t>High</t>
        </is>
      </c>
      <c r="U828" s="8" t="n">
        <v>91.36</v>
      </c>
      <c r="V828" s="13">
        <f>IF(U828="","",ROUND(M828-U828,2))</f>
        <v/>
      </c>
      <c r="W828" s="5" t="n"/>
      <c r="X828" s="5" t="inlineStr">
        <is>
          <t>Labour + plant + material as published; reconciles to the published rate.</t>
        </is>
      </c>
    </row>
    <row r="829" ht="13" customHeight="1">
      <c r="A829" s="4" t="n">
        <v>1470</v>
      </c>
      <c r="B829" s="5" t="inlineStr">
        <is>
          <t>IMG_0085</t>
        </is>
      </c>
      <c r="C829" s="5" t="inlineStr">
        <is>
          <t>CLASS G: CONCRETE ANCILLARIES</t>
        </is>
      </c>
      <c r="D829" s="5" t="inlineStr">
        <is>
          <t>02 FORMWORK; FAIR FINISH</t>
        </is>
      </c>
      <c r="E829" s="5" t="inlineStr">
        <is>
          <t>For voids, using void former</t>
        </is>
      </c>
      <c r="F829" s="5" t="inlineStr">
        <is>
          <t>large void; depth ne 0.5 m</t>
        </is>
      </c>
      <c r="G829" s="6" t="inlineStr">
        <is>
          <t>nr</t>
        </is>
      </c>
      <c r="H829" s="7" t="n">
        <v>0.14</v>
      </c>
      <c r="I829" s="8" t="n">
        <v>7.88</v>
      </c>
      <c r="J829" s="8" t="n">
        <v>0</v>
      </c>
      <c r="K829" s="8" t="n">
        <v>48.97</v>
      </c>
      <c r="L829" s="8" t="n">
        <v>0</v>
      </c>
      <c r="M829" s="9">
        <f>ROUND(SUM(I829:L829),2)</f>
        <v/>
      </c>
      <c r="N829" s="10">
        <f>ROUND(I829*'Irish Basis'!$C$6*'Irish Basis'!$C$5,2)</f>
        <v/>
      </c>
      <c r="O829" s="10">
        <f>ROUND(J829*'Irish Basis'!$C$7*'Irish Basis'!$C$5,2)</f>
        <v/>
      </c>
      <c r="P829" s="10">
        <f>ROUND(K829*'Irish Basis'!$C$8*'Irish Basis'!$C$5,2)</f>
        <v/>
      </c>
      <c r="Q829" s="10">
        <f>ROUND(L829*'Irish Basis'!$C$12*'Irish Basis'!$C$5,2)</f>
        <v/>
      </c>
      <c r="R829" s="11">
        <f>ROUND(SUM(N829:Q829),2)</f>
        <v/>
      </c>
      <c r="S829" s="5" t="inlineStr">
        <is>
          <t>Stated build-up</t>
        </is>
      </c>
      <c r="T829" s="12" t="inlineStr">
        <is>
          <t>High</t>
        </is>
      </c>
      <c r="U829" s="8" t="n">
        <v>56.85</v>
      </c>
      <c r="V829" s="13">
        <f>IF(U829="","",ROUND(M829-U829,2))</f>
        <v/>
      </c>
      <c r="W829" s="5" t="n"/>
      <c r="X829" s="5" t="inlineStr">
        <is>
          <t>Labour + plant + material as published; reconciles to the published rate.</t>
        </is>
      </c>
    </row>
    <row r="830" ht="13" customHeight="1">
      <c r="A830" s="4" t="n">
        <v>1471</v>
      </c>
      <c r="B830" s="5" t="inlineStr">
        <is>
          <t>IMG_0085</t>
        </is>
      </c>
      <c r="C830" s="5" t="inlineStr">
        <is>
          <t>CLASS G: CONCRETE ANCILLARIES</t>
        </is>
      </c>
      <c r="D830" s="5" t="inlineStr">
        <is>
          <t>02 FORMWORK; FAIR FINISH</t>
        </is>
      </c>
      <c r="E830" s="5" t="inlineStr">
        <is>
          <t>For voids, using void former</t>
        </is>
      </c>
      <c r="F830" s="5" t="inlineStr">
        <is>
          <t>large void; depth 0.5-1.0 m</t>
        </is>
      </c>
      <c r="G830" s="6" t="inlineStr">
        <is>
          <t>nr</t>
        </is>
      </c>
      <c r="H830" s="7" t="n">
        <v>0.33</v>
      </c>
      <c r="I830" s="8" t="n">
        <v>18.58</v>
      </c>
      <c r="J830" s="8" t="n">
        <v>0</v>
      </c>
      <c r="K830" s="8" t="n">
        <v>94.83</v>
      </c>
      <c r="L830" s="8" t="n">
        <v>0</v>
      </c>
      <c r="M830" s="9">
        <f>ROUND(SUM(I830:L830),2)</f>
        <v/>
      </c>
      <c r="N830" s="10">
        <f>ROUND(I830*'Irish Basis'!$C$6*'Irish Basis'!$C$5,2)</f>
        <v/>
      </c>
      <c r="O830" s="10">
        <f>ROUND(J830*'Irish Basis'!$C$7*'Irish Basis'!$C$5,2)</f>
        <v/>
      </c>
      <c r="P830" s="10">
        <f>ROUND(K830*'Irish Basis'!$C$8*'Irish Basis'!$C$5,2)</f>
        <v/>
      </c>
      <c r="Q830" s="10">
        <f>ROUND(L830*'Irish Basis'!$C$12*'Irish Basis'!$C$5,2)</f>
        <v/>
      </c>
      <c r="R830" s="11">
        <f>ROUND(SUM(N830:Q830),2)</f>
        <v/>
      </c>
      <c r="S830" s="5" t="inlineStr">
        <is>
          <t>Stated build-up</t>
        </is>
      </c>
      <c r="T830" s="12" t="inlineStr">
        <is>
          <t>High</t>
        </is>
      </c>
      <c r="U830" s="8" t="n">
        <v>113.41</v>
      </c>
      <c r="V830" s="13">
        <f>IF(U830="","",ROUND(M830-U830,2))</f>
        <v/>
      </c>
      <c r="W830" s="5" t="n"/>
      <c r="X830" s="5" t="inlineStr">
        <is>
          <t>Labour + plant + material as published; reconciles to the published rate.</t>
        </is>
      </c>
    </row>
    <row r="831" ht="13" customHeight="1">
      <c r="A831" s="4" t="n">
        <v>1472</v>
      </c>
      <c r="B831" s="5" t="inlineStr">
        <is>
          <t>IMG_0085</t>
        </is>
      </c>
      <c r="C831" s="5" t="inlineStr">
        <is>
          <t>CLASS G: CONCRETE ANCILLARIES</t>
        </is>
      </c>
      <c r="D831" s="5" t="inlineStr">
        <is>
          <t>02 FORMWORK; FAIR FINISH</t>
        </is>
      </c>
      <c r="E831" s="5" t="inlineStr">
        <is>
          <t>For voids, using void former</t>
        </is>
      </c>
      <c r="F831" s="5" t="inlineStr">
        <is>
          <t>large void; depth 1.0-2.0 m</t>
        </is>
      </c>
      <c r="G831" s="6" t="inlineStr">
        <is>
          <t>nr</t>
        </is>
      </c>
      <c r="H831" s="7" t="n">
        <v>0.58</v>
      </c>
      <c r="I831" s="8" t="n">
        <v>32.66</v>
      </c>
      <c r="J831" s="8" t="n">
        <v>0</v>
      </c>
      <c r="K831" s="8" t="n">
        <v>165.38</v>
      </c>
      <c r="L831" s="8" t="n">
        <v>0</v>
      </c>
      <c r="M831" s="9">
        <f>ROUND(SUM(I831:L831),2)</f>
        <v/>
      </c>
      <c r="N831" s="10">
        <f>ROUND(I831*'Irish Basis'!$C$6*'Irish Basis'!$C$5,2)</f>
        <v/>
      </c>
      <c r="O831" s="10">
        <f>ROUND(J831*'Irish Basis'!$C$7*'Irish Basis'!$C$5,2)</f>
        <v/>
      </c>
      <c r="P831" s="10">
        <f>ROUND(K831*'Irish Basis'!$C$8*'Irish Basis'!$C$5,2)</f>
        <v/>
      </c>
      <c r="Q831" s="10">
        <f>ROUND(L831*'Irish Basis'!$C$12*'Irish Basis'!$C$5,2)</f>
        <v/>
      </c>
      <c r="R831" s="11">
        <f>ROUND(SUM(N831:Q831),2)</f>
        <v/>
      </c>
      <c r="S831" s="5" t="inlineStr">
        <is>
          <t>Stated build-up</t>
        </is>
      </c>
      <c r="T831" s="12" t="inlineStr">
        <is>
          <t>High</t>
        </is>
      </c>
      <c r="U831" s="8" t="n">
        <v>198.04</v>
      </c>
      <c r="V831" s="13">
        <f>IF(U831="","",ROUND(M831-U831,2))</f>
        <v/>
      </c>
      <c r="W831" s="5" t="n"/>
      <c r="X831" s="5" t="inlineStr">
        <is>
          <t>Labour + plant + material as published; reconciles to the published rate.</t>
        </is>
      </c>
    </row>
    <row r="832" ht="13" customHeight="1">
      <c r="A832" s="4" t="n">
        <v>1474</v>
      </c>
      <c r="B832" s="5" t="inlineStr">
        <is>
          <t>IMG_0085</t>
        </is>
      </c>
      <c r="C832" s="5" t="inlineStr">
        <is>
          <t>CLASS G: CONCRETE ANCILLARIES</t>
        </is>
      </c>
      <c r="D832" s="5" t="inlineStr">
        <is>
          <t>02 FORMWORK; FAIR FINISH</t>
        </is>
      </c>
      <c r="E832" s="5" t="inlineStr">
        <is>
          <t>For concrete components of constant cross-section</t>
        </is>
      </c>
      <c r="F832" s="5" t="inlineStr">
        <is>
          <t>beams; 200 x 200 mm</t>
        </is>
      </c>
      <c r="G832" s="6" t="inlineStr">
        <is>
          <t>m</t>
        </is>
      </c>
      <c r="H832" s="7" t="n">
        <v>0.49</v>
      </c>
      <c r="I832" s="8" t="n">
        <v>27.59</v>
      </c>
      <c r="J832" s="8" t="n">
        <v>17.53</v>
      </c>
      <c r="K832" s="8" t="n">
        <v>28.76</v>
      </c>
      <c r="L832" s="8" t="n">
        <v>0</v>
      </c>
      <c r="M832" s="9">
        <f>ROUND(SUM(I832:L832),2)</f>
        <v/>
      </c>
      <c r="N832" s="10">
        <f>ROUND(I832*'Irish Basis'!$C$6*'Irish Basis'!$C$5,2)</f>
        <v/>
      </c>
      <c r="O832" s="10">
        <f>ROUND(J832*'Irish Basis'!$C$7*'Irish Basis'!$C$5,2)</f>
        <v/>
      </c>
      <c r="P832" s="10">
        <f>ROUND(K832*'Irish Basis'!$C$8*'Irish Basis'!$C$5,2)</f>
        <v/>
      </c>
      <c r="Q832" s="10">
        <f>ROUND(L832*'Irish Basis'!$C$12*'Irish Basis'!$C$5,2)</f>
        <v/>
      </c>
      <c r="R832" s="11">
        <f>ROUND(SUM(N832:Q832),2)</f>
        <v/>
      </c>
      <c r="S832" s="5" t="inlineStr">
        <is>
          <t>Stated build-up</t>
        </is>
      </c>
      <c r="T832" s="12" t="inlineStr">
        <is>
          <t>High</t>
        </is>
      </c>
      <c r="U832" s="8" t="n">
        <v>73.89</v>
      </c>
      <c r="V832" s="13">
        <f>IF(U832="","",ROUND(M832-U832,2))</f>
        <v/>
      </c>
      <c r="W832" s="5" t="n"/>
      <c r="X832" s="5" t="inlineStr">
        <is>
          <t>Labour + plant + material as published; reconciles to the published rate.</t>
        </is>
      </c>
    </row>
    <row r="833" ht="13" customHeight="1">
      <c r="A833" s="4" t="n">
        <v>1475</v>
      </c>
      <c r="B833" s="5" t="inlineStr">
        <is>
          <t>IMG_0085</t>
        </is>
      </c>
      <c r="C833" s="5" t="inlineStr">
        <is>
          <t>CLASS G: CONCRETE ANCILLARIES</t>
        </is>
      </c>
      <c r="D833" s="5" t="inlineStr">
        <is>
          <t>02 FORMWORK; FAIR FINISH</t>
        </is>
      </c>
      <c r="E833" s="5" t="inlineStr">
        <is>
          <t>For concrete components of constant cross-section</t>
        </is>
      </c>
      <c r="F833" s="5" t="inlineStr">
        <is>
          <t>beams; 500 x 500 mm</t>
        </is>
      </c>
      <c r="G833" s="6" t="inlineStr">
        <is>
          <t>m</t>
        </is>
      </c>
      <c r="H833" s="7" t="n">
        <v>0.57</v>
      </c>
      <c r="I833" s="8" t="n">
        <v>32.1</v>
      </c>
      <c r="J833" s="8" t="n">
        <v>20.38</v>
      </c>
      <c r="K833" s="8" t="n">
        <v>51.84</v>
      </c>
      <c r="L833" s="8" t="n">
        <v>0</v>
      </c>
      <c r="M833" s="9">
        <f>ROUND(SUM(I833:L833),2)</f>
        <v/>
      </c>
      <c r="N833" s="10">
        <f>ROUND(I833*'Irish Basis'!$C$6*'Irish Basis'!$C$5,2)</f>
        <v/>
      </c>
      <c r="O833" s="10">
        <f>ROUND(J833*'Irish Basis'!$C$7*'Irish Basis'!$C$5,2)</f>
        <v/>
      </c>
      <c r="P833" s="10">
        <f>ROUND(K833*'Irish Basis'!$C$8*'Irish Basis'!$C$5,2)</f>
        <v/>
      </c>
      <c r="Q833" s="10">
        <f>ROUND(L833*'Irish Basis'!$C$12*'Irish Basis'!$C$5,2)</f>
        <v/>
      </c>
      <c r="R833" s="11">
        <f>ROUND(SUM(N833:Q833),2)</f>
        <v/>
      </c>
      <c r="S833" s="5" t="inlineStr">
        <is>
          <t>Stated build-up</t>
        </is>
      </c>
      <c r="T833" s="12" t="inlineStr">
        <is>
          <t>High</t>
        </is>
      </c>
      <c r="U833" s="8" t="n">
        <v>104.32</v>
      </c>
      <c r="V833" s="13">
        <f>IF(U833="","",ROUND(M833-U833,2))</f>
        <v/>
      </c>
      <c r="W833" s="5" t="n"/>
      <c r="X833" s="5" t="inlineStr">
        <is>
          <t>Labour + plant + material as published; reconciles to the published rate.</t>
        </is>
      </c>
    </row>
    <row r="834" ht="13" customHeight="1">
      <c r="A834" s="4" t="n">
        <v>1476</v>
      </c>
      <c r="B834" s="5" t="inlineStr">
        <is>
          <t>IMG_0085</t>
        </is>
      </c>
      <c r="C834" s="5" t="inlineStr">
        <is>
          <t>CLASS G: CONCRETE ANCILLARIES</t>
        </is>
      </c>
      <c r="D834" s="5" t="inlineStr">
        <is>
          <t>02 FORMWORK; FAIR FINISH</t>
        </is>
      </c>
      <c r="E834" s="5" t="inlineStr">
        <is>
          <t>For concrete components of constant cross-section</t>
        </is>
      </c>
      <c r="F834" s="5" t="inlineStr">
        <is>
          <t>beams; 500 x 800 mm</t>
        </is>
      </c>
      <c r="G834" s="6" t="inlineStr">
        <is>
          <t>m</t>
        </is>
      </c>
      <c r="H834" s="7" t="n">
        <v>0.6899999999999999</v>
      </c>
      <c r="I834" s="8" t="n">
        <v>38.85</v>
      </c>
      <c r="J834" s="8" t="n">
        <v>24.67</v>
      </c>
      <c r="K834" s="8" t="n">
        <v>64.01000000000001</v>
      </c>
      <c r="L834" s="8" t="n">
        <v>0</v>
      </c>
      <c r="M834" s="9">
        <f>ROUND(SUM(I834:L834),2)</f>
        <v/>
      </c>
      <c r="N834" s="10">
        <f>ROUND(I834*'Irish Basis'!$C$6*'Irish Basis'!$C$5,2)</f>
        <v/>
      </c>
      <c r="O834" s="10">
        <f>ROUND(J834*'Irish Basis'!$C$7*'Irish Basis'!$C$5,2)</f>
        <v/>
      </c>
      <c r="P834" s="10">
        <f>ROUND(K834*'Irish Basis'!$C$8*'Irish Basis'!$C$5,2)</f>
        <v/>
      </c>
      <c r="Q834" s="10">
        <f>ROUND(L834*'Irish Basis'!$C$12*'Irish Basis'!$C$5,2)</f>
        <v/>
      </c>
      <c r="R834" s="11">
        <f>ROUND(SUM(N834:Q834),2)</f>
        <v/>
      </c>
      <c r="S834" s="5" t="inlineStr">
        <is>
          <t>Stated build-up</t>
        </is>
      </c>
      <c r="T834" s="12" t="inlineStr">
        <is>
          <t>High</t>
        </is>
      </c>
      <c r="U834" s="8" t="n">
        <v>127.54</v>
      </c>
      <c r="V834" s="13">
        <f>IF(U834="","",ROUND(M834-U834,2))</f>
        <v/>
      </c>
      <c r="W834" s="5" t="n"/>
      <c r="X834" s="5" t="inlineStr">
        <is>
          <t>Labour + plant + material as published; reconciles to the published rate.</t>
        </is>
      </c>
    </row>
    <row r="835" ht="13" customHeight="1">
      <c r="A835" s="4" t="n">
        <v>1477</v>
      </c>
      <c r="B835" s="5" t="inlineStr">
        <is>
          <t>IMG_0085</t>
        </is>
      </c>
      <c r="C835" s="5" t="inlineStr">
        <is>
          <t>CLASS G: CONCRETE ANCILLARIES</t>
        </is>
      </c>
      <c r="D835" s="5" t="inlineStr">
        <is>
          <t>02 FORMWORK; FAIR FINISH</t>
        </is>
      </c>
      <c r="E835" s="5" t="inlineStr">
        <is>
          <t>For concrete components of constant cross-section</t>
        </is>
      </c>
      <c r="F835" s="5" t="inlineStr">
        <is>
          <t>columns; 200 x 200 mm</t>
        </is>
      </c>
      <c r="G835" s="6" t="inlineStr">
        <is>
          <t>m</t>
        </is>
      </c>
      <c r="H835" s="7" t="n">
        <v>0.57</v>
      </c>
      <c r="I835" s="8" t="n">
        <v>32.1</v>
      </c>
      <c r="J835" s="8" t="n">
        <v>20.38</v>
      </c>
      <c r="K835" s="8" t="n">
        <v>32.4</v>
      </c>
      <c r="L835" s="8" t="n">
        <v>0</v>
      </c>
      <c r="M835" s="9">
        <f>ROUND(SUM(I835:L835),2)</f>
        <v/>
      </c>
      <c r="N835" s="10">
        <f>ROUND(I835*'Irish Basis'!$C$6*'Irish Basis'!$C$5,2)</f>
        <v/>
      </c>
      <c r="O835" s="10">
        <f>ROUND(J835*'Irish Basis'!$C$7*'Irish Basis'!$C$5,2)</f>
        <v/>
      </c>
      <c r="P835" s="10">
        <f>ROUND(K835*'Irish Basis'!$C$8*'Irish Basis'!$C$5,2)</f>
        <v/>
      </c>
      <c r="Q835" s="10">
        <f>ROUND(L835*'Irish Basis'!$C$12*'Irish Basis'!$C$5,2)</f>
        <v/>
      </c>
      <c r="R835" s="11">
        <f>ROUND(SUM(N835:Q835),2)</f>
        <v/>
      </c>
      <c r="S835" s="5" t="inlineStr">
        <is>
          <t>Stated build-up</t>
        </is>
      </c>
      <c r="T835" s="12" t="inlineStr">
        <is>
          <t>High</t>
        </is>
      </c>
      <c r="U835" s="8" t="n">
        <v>84.88</v>
      </c>
      <c r="V835" s="13">
        <f>IF(U835="","",ROUND(M835-U835,2))</f>
        <v/>
      </c>
      <c r="W835" s="5" t="n"/>
      <c r="X835" s="5" t="inlineStr">
        <is>
          <t>Labour + plant + material as published; reconciles to the published rate.</t>
        </is>
      </c>
    </row>
    <row r="836" ht="13" customHeight="1">
      <c r="A836" s="4" t="n">
        <v>1478</v>
      </c>
      <c r="B836" s="5" t="inlineStr">
        <is>
          <t>IMG_0085</t>
        </is>
      </c>
      <c r="C836" s="5" t="inlineStr">
        <is>
          <t>CLASS G: CONCRETE ANCILLARIES</t>
        </is>
      </c>
      <c r="D836" s="5" t="inlineStr">
        <is>
          <t>02 FORMWORK; FAIR FINISH</t>
        </is>
      </c>
      <c r="E836" s="5" t="inlineStr">
        <is>
          <t>For concrete components of constant cross-section</t>
        </is>
      </c>
      <c r="F836" s="5" t="inlineStr">
        <is>
          <t>columns; 300 x 300 mm</t>
        </is>
      </c>
      <c r="G836" s="6" t="inlineStr">
        <is>
          <t>m</t>
        </is>
      </c>
      <c r="H836" s="7" t="n">
        <v>0.57</v>
      </c>
      <c r="I836" s="8" t="n">
        <v>32.1</v>
      </c>
      <c r="J836" s="8" t="n">
        <v>20.38</v>
      </c>
      <c r="K836" s="8" t="n">
        <v>46.39</v>
      </c>
      <c r="L836" s="8" t="n">
        <v>0</v>
      </c>
      <c r="M836" s="9">
        <f>ROUND(SUM(I836:L836),2)</f>
        <v/>
      </c>
      <c r="N836" s="10">
        <f>ROUND(I836*'Irish Basis'!$C$6*'Irish Basis'!$C$5,2)</f>
        <v/>
      </c>
      <c r="O836" s="10">
        <f>ROUND(J836*'Irish Basis'!$C$7*'Irish Basis'!$C$5,2)</f>
        <v/>
      </c>
      <c r="P836" s="10">
        <f>ROUND(K836*'Irish Basis'!$C$8*'Irish Basis'!$C$5,2)</f>
        <v/>
      </c>
      <c r="Q836" s="10">
        <f>ROUND(L836*'Irish Basis'!$C$12*'Irish Basis'!$C$5,2)</f>
        <v/>
      </c>
      <c r="R836" s="11">
        <f>ROUND(SUM(N836:Q836),2)</f>
        <v/>
      </c>
      <c r="S836" s="5" t="inlineStr">
        <is>
          <t>Stated build-up</t>
        </is>
      </c>
      <c r="T836" s="12" t="inlineStr">
        <is>
          <t>High</t>
        </is>
      </c>
      <c r="U836" s="8" t="n">
        <v>98.87</v>
      </c>
      <c r="V836" s="13">
        <f>IF(U836="","",ROUND(M836-U836,2))</f>
        <v/>
      </c>
      <c r="W836" s="5" t="n"/>
      <c r="X836" s="5" t="inlineStr">
        <is>
          <t>Labour + plant + material as published; reconciles to the published rate.</t>
        </is>
      </c>
    </row>
    <row r="837" ht="13" customHeight="1">
      <c r="A837" s="4" t="n">
        <v>1479</v>
      </c>
      <c r="B837" s="5" t="inlineStr">
        <is>
          <t>IMG_0085</t>
        </is>
      </c>
      <c r="C837" s="5" t="inlineStr">
        <is>
          <t>CLASS G: CONCRETE ANCILLARIES</t>
        </is>
      </c>
      <c r="D837" s="5" t="inlineStr">
        <is>
          <t>02 FORMWORK; FAIR FINISH</t>
        </is>
      </c>
      <c r="E837" s="5" t="inlineStr">
        <is>
          <t>For concrete components of constant cross-section</t>
        </is>
      </c>
      <c r="F837" s="5" t="inlineStr">
        <is>
          <t>columns; 300 x 500 mm</t>
        </is>
      </c>
      <c r="G837" s="6" t="inlineStr">
        <is>
          <t>m</t>
        </is>
      </c>
      <c r="H837" s="7" t="n">
        <v>0.64</v>
      </c>
      <c r="I837" s="8" t="n">
        <v>36.04</v>
      </c>
      <c r="J837" s="8" t="n">
        <v>22.89</v>
      </c>
      <c r="K837" s="8" t="n">
        <v>57.02</v>
      </c>
      <c r="L837" s="8" t="n">
        <v>0</v>
      </c>
      <c r="M837" s="9">
        <f>ROUND(SUM(I837:L837),2)</f>
        <v/>
      </c>
      <c r="N837" s="10">
        <f>ROUND(I837*'Irish Basis'!$C$6*'Irish Basis'!$C$5,2)</f>
        <v/>
      </c>
      <c r="O837" s="10">
        <f>ROUND(J837*'Irish Basis'!$C$7*'Irish Basis'!$C$5,2)</f>
        <v/>
      </c>
      <c r="P837" s="10">
        <f>ROUND(K837*'Irish Basis'!$C$8*'Irish Basis'!$C$5,2)</f>
        <v/>
      </c>
      <c r="Q837" s="10">
        <f>ROUND(L837*'Irish Basis'!$C$12*'Irish Basis'!$C$5,2)</f>
        <v/>
      </c>
      <c r="R837" s="11">
        <f>ROUND(SUM(N837:Q837),2)</f>
        <v/>
      </c>
      <c r="S837" s="5" t="inlineStr">
        <is>
          <t>Stated build-up</t>
        </is>
      </c>
      <c r="T837" s="12" t="inlineStr">
        <is>
          <t>High</t>
        </is>
      </c>
      <c r="U837" s="8" t="n">
        <v>115.95</v>
      </c>
      <c r="V837" s="13">
        <f>IF(U837="","",ROUND(M837-U837,2))</f>
        <v/>
      </c>
      <c r="W837" s="5" t="n"/>
      <c r="X837" s="5" t="inlineStr">
        <is>
          <t>Labour + plant + material as published; reconciles to the published rate.</t>
        </is>
      </c>
    </row>
    <row r="838" ht="13" customHeight="1">
      <c r="A838" s="4" t="n">
        <v>1480</v>
      </c>
      <c r="B838" s="5" t="inlineStr">
        <is>
          <t>IMG_0085</t>
        </is>
      </c>
      <c r="C838" s="5" t="inlineStr">
        <is>
          <t>CLASS G: CONCRETE ANCILLARIES</t>
        </is>
      </c>
      <c r="D838" s="5" t="inlineStr">
        <is>
          <t>02 FORMWORK; FAIR FINISH</t>
        </is>
      </c>
      <c r="E838" s="5" t="inlineStr">
        <is>
          <t>For concrete components of constant cross-section</t>
        </is>
      </c>
      <c r="F838" s="5" t="inlineStr">
        <is>
          <t>to walls; 1.0 m high thickness 250 mm</t>
        </is>
      </c>
      <c r="G838" s="6" t="inlineStr">
        <is>
          <t>m</t>
        </is>
      </c>
      <c r="H838" s="7" t="n">
        <v>1.2</v>
      </c>
      <c r="I838" s="8" t="n">
        <v>134.94</v>
      </c>
      <c r="J838" s="8" t="n">
        <v>25.21</v>
      </c>
      <c r="K838" s="8" t="n">
        <v>67.65000000000001</v>
      </c>
      <c r="L838" s="8" t="n">
        <v>0</v>
      </c>
      <c r="M838" s="9">
        <f>ROUND(SUM(I838:L838),2)</f>
        <v/>
      </c>
      <c r="N838" s="10">
        <f>ROUND(I838*'Irish Basis'!$C$6*'Irish Basis'!$C$5,2)</f>
        <v/>
      </c>
      <c r="O838" s="10">
        <f>ROUND(J838*'Irish Basis'!$C$7*'Irish Basis'!$C$5,2)</f>
        <v/>
      </c>
      <c r="P838" s="10">
        <f>ROUND(K838*'Irish Basis'!$C$8*'Irish Basis'!$C$5,2)</f>
        <v/>
      </c>
      <c r="Q838" s="10">
        <f>ROUND(L838*'Irish Basis'!$C$12*'Irish Basis'!$C$5,2)</f>
        <v/>
      </c>
      <c r="R838" s="11">
        <f>ROUND(SUM(N838:Q838),2)</f>
        <v/>
      </c>
      <c r="S838" s="5" t="inlineStr">
        <is>
          <t>Stated build-up</t>
        </is>
      </c>
      <c r="T838" s="12" t="inlineStr">
        <is>
          <t>High</t>
        </is>
      </c>
      <c r="U838" s="8" t="n">
        <v>227.8</v>
      </c>
      <c r="V838" s="13">
        <f>IF(U838="","",ROUND(M838-U838,2))</f>
        <v/>
      </c>
      <c r="W838" s="5" t="n"/>
      <c r="X838" s="5" t="inlineStr">
        <is>
          <t>Labour + plant + material as published; reconciles to the published rate.</t>
        </is>
      </c>
    </row>
    <row r="839" ht="13" customHeight="1">
      <c r="A839" s="4" t="n">
        <v>1481</v>
      </c>
      <c r="B839" s="5" t="inlineStr">
        <is>
          <t>IMG_0085</t>
        </is>
      </c>
      <c r="C839" s="5" t="inlineStr">
        <is>
          <t>CLASS G: CONCRETE ANCILLARIES</t>
        </is>
      </c>
      <c r="D839" s="5" t="inlineStr">
        <is>
          <t>02 FORMWORK; FAIR FINISH</t>
        </is>
      </c>
      <c r="E839" s="5" t="inlineStr">
        <is>
          <t>For concrete components of constant cross-section</t>
        </is>
      </c>
      <c r="F839" s="5" t="inlineStr">
        <is>
          <t>to walls; 1.5 m high thickness 300 mm</t>
        </is>
      </c>
      <c r="G839" s="6" t="inlineStr">
        <is>
          <t>m</t>
        </is>
      </c>
      <c r="H839" s="7" t="n">
        <v>1.6</v>
      </c>
      <c r="I839" s="8" t="n">
        <v>179.92</v>
      </c>
      <c r="J839" s="8" t="n">
        <v>33.61</v>
      </c>
      <c r="K839" s="8" t="n">
        <v>99.26000000000001</v>
      </c>
      <c r="L839" s="8" t="n">
        <v>0</v>
      </c>
      <c r="M839" s="9">
        <f>ROUND(SUM(I839:L839),2)</f>
        <v/>
      </c>
      <c r="N839" s="10">
        <f>ROUND(I839*'Irish Basis'!$C$6*'Irish Basis'!$C$5,2)</f>
        <v/>
      </c>
      <c r="O839" s="10">
        <f>ROUND(J839*'Irish Basis'!$C$7*'Irish Basis'!$C$5,2)</f>
        <v/>
      </c>
      <c r="P839" s="10">
        <f>ROUND(K839*'Irish Basis'!$C$8*'Irish Basis'!$C$5,2)</f>
        <v/>
      </c>
      <c r="Q839" s="10">
        <f>ROUND(L839*'Irish Basis'!$C$12*'Irish Basis'!$C$5,2)</f>
        <v/>
      </c>
      <c r="R839" s="11">
        <f>ROUND(SUM(N839:Q839),2)</f>
        <v/>
      </c>
      <c r="S839" s="5" t="inlineStr">
        <is>
          <t>Stated build-up</t>
        </is>
      </c>
      <c r="T839" s="12" t="inlineStr">
        <is>
          <t>High</t>
        </is>
      </c>
      <c r="U839" s="8" t="n">
        <v>312.79</v>
      </c>
      <c r="V839" s="13">
        <f>IF(U839="","",ROUND(M839-U839,2))</f>
        <v/>
      </c>
      <c r="W839" s="5" t="n"/>
      <c r="X839" s="5" t="inlineStr">
        <is>
          <t>Labour + plant + material as published; reconciles to the published rate.</t>
        </is>
      </c>
    </row>
    <row r="840" ht="13" customHeight="1">
      <c r="A840" s="4" t="n">
        <v>1482</v>
      </c>
      <c r="B840" s="5" t="inlineStr">
        <is>
          <t>IMG_0085</t>
        </is>
      </c>
      <c r="C840" s="5" t="inlineStr">
        <is>
          <t>CLASS G: CONCRETE ANCILLARIES</t>
        </is>
      </c>
      <c r="D840" s="5" t="inlineStr">
        <is>
          <t>02 FORMWORK; FAIR FINISH</t>
        </is>
      </c>
      <c r="E840" s="5" t="inlineStr">
        <is>
          <t>For concrete components of constant cross-section</t>
        </is>
      </c>
      <c r="F840" s="5" t="inlineStr">
        <is>
          <t>box culvert; 2 x 2 m internally and wall thickness 300 mm</t>
        </is>
      </c>
      <c r="G840" s="6" t="inlineStr">
        <is>
          <t>m</t>
        </is>
      </c>
      <c r="H840" s="7" t="n">
        <v>4.6</v>
      </c>
      <c r="I840" s="8" t="n">
        <v>517.27</v>
      </c>
      <c r="J840" s="8" t="n">
        <v>96.63</v>
      </c>
      <c r="K840" s="8" t="n">
        <v>533.17</v>
      </c>
      <c r="L840" s="8" t="n">
        <v>0</v>
      </c>
      <c r="M840" s="9">
        <f>ROUND(SUM(I840:L840),2)</f>
        <v/>
      </c>
      <c r="N840" s="10">
        <f>ROUND(I840*'Irish Basis'!$C$6*'Irish Basis'!$C$5,2)</f>
        <v/>
      </c>
      <c r="O840" s="10">
        <f>ROUND(J840*'Irish Basis'!$C$7*'Irish Basis'!$C$5,2)</f>
        <v/>
      </c>
      <c r="P840" s="10">
        <f>ROUND(K840*'Irish Basis'!$C$8*'Irish Basis'!$C$5,2)</f>
        <v/>
      </c>
      <c r="Q840" s="10">
        <f>ROUND(L840*'Irish Basis'!$C$12*'Irish Basis'!$C$5,2)</f>
        <v/>
      </c>
      <c r="R840" s="11">
        <f>ROUND(SUM(N840:Q840),2)</f>
        <v/>
      </c>
      <c r="S840" s="5" t="inlineStr">
        <is>
          <t>Stated build-up</t>
        </is>
      </c>
      <c r="T840" s="12" t="inlineStr">
        <is>
          <t>High</t>
        </is>
      </c>
      <c r="U840" s="8" t="n">
        <v>1147.07</v>
      </c>
      <c r="V840" s="13">
        <f>IF(U840="","",ROUND(M840-U840,2))</f>
        <v/>
      </c>
      <c r="W840" s="5" t="n"/>
      <c r="X840" s="5" t="inlineStr">
        <is>
          <t>Labour + plant + material as published; reconciles to the published rate.</t>
        </is>
      </c>
    </row>
    <row r="841" ht="13" customHeight="1">
      <c r="A841" s="4" t="n">
        <v>1483</v>
      </c>
      <c r="B841" s="5" t="inlineStr">
        <is>
          <t>IMG_0085</t>
        </is>
      </c>
      <c r="C841" s="5" t="inlineStr">
        <is>
          <t>CLASS G: CONCRETE ANCILLARIES</t>
        </is>
      </c>
      <c r="D841" s="5" t="inlineStr">
        <is>
          <t>02 FORMWORK; FAIR FINISH</t>
        </is>
      </c>
      <c r="E841" s="5" t="inlineStr">
        <is>
          <t>For concrete components of constant cross-section</t>
        </is>
      </c>
      <c r="F841" s="5" t="inlineStr">
        <is>
          <t>projections (100 mm deep)</t>
        </is>
      </c>
      <c r="G841" s="6" t="inlineStr">
        <is>
          <t>m</t>
        </is>
      </c>
      <c r="H841" s="7" t="n">
        <v>0.1</v>
      </c>
      <c r="I841" s="8" t="n">
        <v>5.63</v>
      </c>
      <c r="J841" s="8" t="n">
        <v>3.58</v>
      </c>
      <c r="K841" s="8" t="n">
        <v>14.81</v>
      </c>
      <c r="L841" s="8" t="n">
        <v>0</v>
      </c>
      <c r="M841" s="9">
        <f>ROUND(SUM(I841:L841),2)</f>
        <v/>
      </c>
      <c r="N841" s="10">
        <f>ROUND(I841*'Irish Basis'!$C$6*'Irish Basis'!$C$5,2)</f>
        <v/>
      </c>
      <c r="O841" s="10">
        <f>ROUND(J841*'Irish Basis'!$C$7*'Irish Basis'!$C$5,2)</f>
        <v/>
      </c>
      <c r="P841" s="10">
        <f>ROUND(K841*'Irish Basis'!$C$8*'Irish Basis'!$C$5,2)</f>
        <v/>
      </c>
      <c r="Q841" s="10">
        <f>ROUND(L841*'Irish Basis'!$C$12*'Irish Basis'!$C$5,2)</f>
        <v/>
      </c>
      <c r="R841" s="11">
        <f>ROUND(SUM(N841:Q841),2)</f>
        <v/>
      </c>
      <c r="S841" s="5" t="inlineStr">
        <is>
          <t>Stated build-up</t>
        </is>
      </c>
      <c r="T841" s="12" t="inlineStr">
        <is>
          <t>High</t>
        </is>
      </c>
      <c r="U841" s="8" t="n">
        <v>24.02</v>
      </c>
      <c r="V841" s="13">
        <f>IF(U841="","",ROUND(M841-U841,2))</f>
        <v/>
      </c>
      <c r="W841" s="5" t="n"/>
      <c r="X841" s="5" t="inlineStr">
        <is>
          <t>Labour + plant + material as published; reconciles to the published rate.</t>
        </is>
      </c>
    </row>
    <row r="842" ht="13" customHeight="1">
      <c r="A842" s="4" t="n">
        <v>1484</v>
      </c>
      <c r="B842" s="5" t="inlineStr">
        <is>
          <t>IMG_0085</t>
        </is>
      </c>
      <c r="C842" s="5" t="inlineStr">
        <is>
          <t>CLASS G: CONCRETE ANCILLARIES</t>
        </is>
      </c>
      <c r="D842" s="5" t="inlineStr">
        <is>
          <t>02 FORMWORK; FAIR FINISH</t>
        </is>
      </c>
      <c r="E842" s="5" t="inlineStr">
        <is>
          <t>For concrete components of constant cross-section</t>
        </is>
      </c>
      <c r="F842" s="5" t="inlineStr">
        <is>
          <t>intrusions (100 mm deep)</t>
        </is>
      </c>
      <c r="G842" s="6" t="inlineStr">
        <is>
          <t>m</t>
        </is>
      </c>
      <c r="H842" s="7" t="n">
        <v>0.1</v>
      </c>
      <c r="I842" s="8" t="n">
        <v>5.63</v>
      </c>
      <c r="J842" s="8" t="n">
        <v>3.58</v>
      </c>
      <c r="K842" s="8" t="n">
        <v>14.81</v>
      </c>
      <c r="L842" s="8" t="n">
        <v>0</v>
      </c>
      <c r="M842" s="9">
        <f>ROUND(SUM(I842:L842),2)</f>
        <v/>
      </c>
      <c r="N842" s="10">
        <f>ROUND(I842*'Irish Basis'!$C$6*'Irish Basis'!$C$5,2)</f>
        <v/>
      </c>
      <c r="O842" s="10">
        <f>ROUND(J842*'Irish Basis'!$C$7*'Irish Basis'!$C$5,2)</f>
        <v/>
      </c>
      <c r="P842" s="10">
        <f>ROUND(K842*'Irish Basis'!$C$8*'Irish Basis'!$C$5,2)</f>
        <v/>
      </c>
      <c r="Q842" s="10">
        <f>ROUND(L842*'Irish Basis'!$C$12*'Irish Basis'!$C$5,2)</f>
        <v/>
      </c>
      <c r="R842" s="11">
        <f>ROUND(SUM(N842:Q842),2)</f>
        <v/>
      </c>
      <c r="S842" s="5" t="inlineStr">
        <is>
          <t>Stated build-up</t>
        </is>
      </c>
      <c r="T842" s="12" t="inlineStr">
        <is>
          <t>High</t>
        </is>
      </c>
      <c r="U842" s="8" t="n">
        <v>24.02</v>
      </c>
      <c r="V842" s="13">
        <f>IF(U842="","",ROUND(M842-U842,2))</f>
        <v/>
      </c>
      <c r="W842" s="5" t="n"/>
      <c r="X842" s="5" t="inlineStr">
        <is>
          <t>Labour + plant + material as published; reconciles to the published rate.</t>
        </is>
      </c>
    </row>
    <row r="843" ht="13" customHeight="1">
      <c r="A843" s="4" t="n">
        <v>1486</v>
      </c>
      <c r="B843" s="5" t="inlineStr">
        <is>
          <t>IMG_0085</t>
        </is>
      </c>
      <c r="C843" s="5" t="inlineStr">
        <is>
          <t>CLASS G: CONCRETE ANCILLARIES</t>
        </is>
      </c>
      <c r="D843" s="5" t="inlineStr">
        <is>
          <t>02 FORMWORK; FAIR FINISH</t>
        </is>
      </c>
      <c r="E843" s="5" t="inlineStr">
        <is>
          <t>Allowance for additional craneage and rub up where required</t>
        </is>
      </c>
      <c r="F843" s="5" t="inlineStr">
        <is>
          <t>ADD to items measures linear</t>
        </is>
      </c>
      <c r="G843" s="6" t="inlineStr">
        <is>
          <t>m</t>
        </is>
      </c>
      <c r="H843" s="7" t="n">
        <v>0.28</v>
      </c>
      <c r="I843" s="8" t="n">
        <v>15.77</v>
      </c>
      <c r="J843" s="8" t="n">
        <v>5.01</v>
      </c>
      <c r="K843" s="8" t="n">
        <v>0.06</v>
      </c>
      <c r="L843" s="8" t="n">
        <v>0</v>
      </c>
      <c r="M843" s="9">
        <f>ROUND(SUM(I843:L843),2)</f>
        <v/>
      </c>
      <c r="N843" s="10">
        <f>ROUND(I843*'Irish Basis'!$C$6*'Irish Basis'!$C$5,2)</f>
        <v/>
      </c>
      <c r="O843" s="10">
        <f>ROUND(J843*'Irish Basis'!$C$7*'Irish Basis'!$C$5,2)</f>
        <v/>
      </c>
      <c r="P843" s="10">
        <f>ROUND(K843*'Irish Basis'!$C$8*'Irish Basis'!$C$5,2)</f>
        <v/>
      </c>
      <c r="Q843" s="10">
        <f>ROUND(L843*'Irish Basis'!$C$12*'Irish Basis'!$C$5,2)</f>
        <v/>
      </c>
      <c r="R843" s="11">
        <f>ROUND(SUM(N843:Q843),2)</f>
        <v/>
      </c>
      <c r="S843" s="5" t="inlineStr">
        <is>
          <t>Stated build-up</t>
        </is>
      </c>
      <c r="T843" s="12" t="inlineStr">
        <is>
          <t>High</t>
        </is>
      </c>
      <c r="U843" s="8" t="n">
        <v>20.83</v>
      </c>
      <c r="V843" s="13">
        <f>IF(U843="","",ROUND(M843-U843,2))</f>
        <v/>
      </c>
      <c r="W843" s="5" t="n"/>
      <c r="X843" s="5" t="inlineStr">
        <is>
          <t>Labour + plant + material as published; reconciles to the published rate.</t>
        </is>
      </c>
    </row>
    <row r="844" ht="13" customHeight="1">
      <c r="A844" s="4" t="n">
        <v>1487</v>
      </c>
      <c r="B844" s="5" t="inlineStr">
        <is>
          <t>IMG_0085</t>
        </is>
      </c>
      <c r="C844" s="5" t="inlineStr">
        <is>
          <t>CLASS G: CONCRETE ANCILLARIES</t>
        </is>
      </c>
      <c r="D844" s="5" t="inlineStr">
        <is>
          <t>02 FORMWORK; FAIR FINISH</t>
        </is>
      </c>
      <c r="E844" s="5" t="inlineStr">
        <is>
          <t>Allowance for additional craneage and rub up where required</t>
        </is>
      </c>
      <c r="F844" s="5" t="inlineStr">
        <is>
          <t>ADD to items measures m2</t>
        </is>
      </c>
      <c r="G844" s="6" t="inlineStr">
        <is>
          <t>m2</t>
        </is>
      </c>
      <c r="H844" s="7" t="n">
        <v>0.2</v>
      </c>
      <c r="I844" s="8" t="n">
        <v>11.26</v>
      </c>
      <c r="J844" s="8" t="n">
        <v>4.29</v>
      </c>
      <c r="K844" s="8" t="n">
        <v>0.19</v>
      </c>
      <c r="L844" s="8" t="n">
        <v>0</v>
      </c>
      <c r="M844" s="9">
        <f>ROUND(SUM(I844:L844),2)</f>
        <v/>
      </c>
      <c r="N844" s="10">
        <f>ROUND(I844*'Irish Basis'!$C$6*'Irish Basis'!$C$5,2)</f>
        <v/>
      </c>
      <c r="O844" s="10">
        <f>ROUND(J844*'Irish Basis'!$C$7*'Irish Basis'!$C$5,2)</f>
        <v/>
      </c>
      <c r="P844" s="10">
        <f>ROUND(K844*'Irish Basis'!$C$8*'Irish Basis'!$C$5,2)</f>
        <v/>
      </c>
      <c r="Q844" s="10">
        <f>ROUND(L844*'Irish Basis'!$C$12*'Irish Basis'!$C$5,2)</f>
        <v/>
      </c>
      <c r="R844" s="11">
        <f>ROUND(SUM(N844:Q844),2)</f>
        <v/>
      </c>
      <c r="S844" s="5" t="inlineStr">
        <is>
          <t>Stated build-up</t>
        </is>
      </c>
      <c r="T844" s="12" t="inlineStr">
        <is>
          <t>High</t>
        </is>
      </c>
      <c r="U844" s="8" t="n">
        <v>15.74</v>
      </c>
      <c r="V844" s="13">
        <f>IF(U844="","",ROUND(M844-U844,2))</f>
        <v/>
      </c>
      <c r="W844" s="5" t="n"/>
      <c r="X844" s="5" t="inlineStr">
        <is>
          <t>Labour + plant + material as published; reconciles to the published rate.</t>
        </is>
      </c>
    </row>
    <row r="845" ht="13" customHeight="1">
      <c r="A845" s="4" t="n">
        <v>1490</v>
      </c>
      <c r="B845" s="5" t="inlineStr">
        <is>
          <t>IMG_0085</t>
        </is>
      </c>
      <c r="C845" s="5" t="inlineStr">
        <is>
          <t>CLASS G: CONCRETE ANCILLARIES</t>
        </is>
      </c>
      <c r="D845" s="5" t="inlineStr">
        <is>
          <t>03 FORMWORK; EXTRA SMOOTH FINISH</t>
        </is>
      </c>
      <c r="E845" s="5" t="inlineStr">
        <is>
          <t>Formwork; Plane horizontal, width</t>
        </is>
      </c>
      <c r="F845" s="5" t="inlineStr">
        <is>
          <t>ne 0.1 m</t>
        </is>
      </c>
      <c r="G845" s="6" t="inlineStr">
        <is>
          <t>m</t>
        </is>
      </c>
      <c r="H845" s="7" t="n">
        <v>0.1</v>
      </c>
      <c r="I845" s="8" t="n">
        <v>5.63</v>
      </c>
      <c r="J845" s="8" t="n">
        <v>3.58</v>
      </c>
      <c r="K845" s="8" t="n">
        <v>10.03</v>
      </c>
      <c r="L845" s="8" t="n">
        <v>0</v>
      </c>
      <c r="M845" s="9">
        <f>ROUND(SUM(I845:L845),2)</f>
        <v/>
      </c>
      <c r="N845" s="10">
        <f>ROUND(I845*'Irish Basis'!$C$6*'Irish Basis'!$C$5,2)</f>
        <v/>
      </c>
      <c r="O845" s="10">
        <f>ROUND(J845*'Irish Basis'!$C$7*'Irish Basis'!$C$5,2)</f>
        <v/>
      </c>
      <c r="P845" s="10">
        <f>ROUND(K845*'Irish Basis'!$C$8*'Irish Basis'!$C$5,2)</f>
        <v/>
      </c>
      <c r="Q845" s="10">
        <f>ROUND(L845*'Irish Basis'!$C$12*'Irish Basis'!$C$5,2)</f>
        <v/>
      </c>
      <c r="R845" s="11">
        <f>ROUND(SUM(N845:Q845),2)</f>
        <v/>
      </c>
      <c r="S845" s="5" t="inlineStr">
        <is>
          <t>Stated build-up</t>
        </is>
      </c>
      <c r="T845" s="12" t="inlineStr">
        <is>
          <t>High</t>
        </is>
      </c>
      <c r="U845" s="8" t="n">
        <v>19.24</v>
      </c>
      <c r="V845" s="13">
        <f>IF(U845="","",ROUND(M845-U845,2))</f>
        <v/>
      </c>
      <c r="W845" s="5" t="n"/>
      <c r="X845" s="5" t="inlineStr">
        <is>
          <t>Labour + plant + material as published; reconciles to the published rate.</t>
        </is>
      </c>
    </row>
    <row r="846" ht="13" customHeight="1">
      <c r="A846" s="4" t="n">
        <v>1491</v>
      </c>
      <c r="B846" s="5" t="inlineStr">
        <is>
          <t>IMG_0085</t>
        </is>
      </c>
      <c r="C846" s="5" t="inlineStr">
        <is>
          <t>CLASS G: CONCRETE ANCILLARIES</t>
        </is>
      </c>
      <c r="D846" s="5" t="inlineStr">
        <is>
          <t>03 FORMWORK; EXTRA SMOOTH FINISH</t>
        </is>
      </c>
      <c r="E846" s="5" t="inlineStr">
        <is>
          <t>Formwork; Plane horizontal, width</t>
        </is>
      </c>
      <c r="F846" s="5" t="inlineStr">
        <is>
          <t>0.1-0.20 m</t>
        </is>
      </c>
      <c r="G846" s="6" t="inlineStr">
        <is>
          <t>m</t>
        </is>
      </c>
      <c r="H846" s="7" t="n">
        <v>0.18</v>
      </c>
      <c r="I846" s="8" t="n">
        <v>10.14</v>
      </c>
      <c r="J846" s="8" t="n">
        <v>6.44</v>
      </c>
      <c r="K846" s="8" t="n">
        <v>13.39</v>
      </c>
      <c r="L846" s="8" t="n">
        <v>0</v>
      </c>
      <c r="M846" s="9">
        <f>ROUND(SUM(I846:L846),2)</f>
        <v/>
      </c>
      <c r="N846" s="10">
        <f>ROUND(I846*'Irish Basis'!$C$6*'Irish Basis'!$C$5,2)</f>
        <v/>
      </c>
      <c r="O846" s="10">
        <f>ROUND(J846*'Irish Basis'!$C$7*'Irish Basis'!$C$5,2)</f>
        <v/>
      </c>
      <c r="P846" s="10">
        <f>ROUND(K846*'Irish Basis'!$C$8*'Irish Basis'!$C$5,2)</f>
        <v/>
      </c>
      <c r="Q846" s="10">
        <f>ROUND(L846*'Irish Basis'!$C$12*'Irish Basis'!$C$5,2)</f>
        <v/>
      </c>
      <c r="R846" s="11">
        <f>ROUND(SUM(N846:Q846),2)</f>
        <v/>
      </c>
      <c r="S846" s="5" t="inlineStr">
        <is>
          <t>Stated build-up</t>
        </is>
      </c>
      <c r="T846" s="12" t="inlineStr">
        <is>
          <t>High</t>
        </is>
      </c>
      <c r="U846" s="8" t="n">
        <v>29.96</v>
      </c>
      <c r="V846" s="13">
        <f>IF(U846="","",ROUND(M846-U846,2))</f>
        <v/>
      </c>
      <c r="W846" s="5" t="n"/>
      <c r="X846" s="5" t="inlineStr">
        <is>
          <t>Labour + plant + material as published; reconciles to the published rate.</t>
        </is>
      </c>
    </row>
    <row r="847" ht="13" customHeight="1">
      <c r="A847" s="4" t="n">
        <v>1492</v>
      </c>
      <c r="B847" s="5" t="inlineStr">
        <is>
          <t>IMG_0085</t>
        </is>
      </c>
      <c r="C847" s="5" t="inlineStr">
        <is>
          <t>CLASS G: CONCRETE ANCILLARIES</t>
        </is>
      </c>
      <c r="D847" s="5" t="inlineStr">
        <is>
          <t>03 FORMWORK; EXTRA SMOOTH FINISH</t>
        </is>
      </c>
      <c r="E847" s="5" t="inlineStr">
        <is>
          <t>Formwork; Plane horizontal, width</t>
        </is>
      </c>
      <c r="F847" s="5" t="inlineStr">
        <is>
          <t>0.2-0.40 m</t>
        </is>
      </c>
      <c r="G847" s="6" t="inlineStr">
        <is>
          <t>m2</t>
        </is>
      </c>
      <c r="H847" s="7" t="n">
        <v>0.4</v>
      </c>
      <c r="I847" s="8" t="n">
        <v>44.98</v>
      </c>
      <c r="J847" s="8" t="n">
        <v>8.4</v>
      </c>
      <c r="K847" s="8" t="n">
        <v>45.86</v>
      </c>
      <c r="L847" s="8" t="n">
        <v>0</v>
      </c>
      <c r="M847" s="9">
        <f>ROUND(SUM(I847:L847),2)</f>
        <v/>
      </c>
      <c r="N847" s="10">
        <f>ROUND(I847*'Irish Basis'!$C$6*'Irish Basis'!$C$5,2)</f>
        <v/>
      </c>
      <c r="O847" s="10">
        <f>ROUND(J847*'Irish Basis'!$C$7*'Irish Basis'!$C$5,2)</f>
        <v/>
      </c>
      <c r="P847" s="10">
        <f>ROUND(K847*'Irish Basis'!$C$8*'Irish Basis'!$C$5,2)</f>
        <v/>
      </c>
      <c r="Q847" s="10">
        <f>ROUND(L847*'Irish Basis'!$C$12*'Irish Basis'!$C$5,2)</f>
        <v/>
      </c>
      <c r="R847" s="11">
        <f>ROUND(SUM(N847:Q847),2)</f>
        <v/>
      </c>
      <c r="S847" s="5" t="inlineStr">
        <is>
          <t>Stated build-up</t>
        </is>
      </c>
      <c r="T847" s="12" t="inlineStr">
        <is>
          <t>High</t>
        </is>
      </c>
      <c r="U847" s="8" t="n">
        <v>99.25</v>
      </c>
      <c r="V847" s="13">
        <f>IF(U847="","",ROUND(M847-U847,2))</f>
        <v/>
      </c>
      <c r="W847" s="5" t="n"/>
      <c r="X847" s="5" t="inlineStr">
        <is>
          <t>Labour + plant + material as published; reconciles to the published rate.</t>
        </is>
      </c>
    </row>
    <row r="848" ht="13" customHeight="1">
      <c r="A848" s="4" t="n">
        <v>1493</v>
      </c>
      <c r="B848" s="5" t="inlineStr">
        <is>
          <t>IMG_0085</t>
        </is>
      </c>
      <c r="C848" s="5" t="inlineStr">
        <is>
          <t>CLASS G: CONCRETE ANCILLARIES</t>
        </is>
      </c>
      <c r="D848" s="5" t="inlineStr">
        <is>
          <t>03 FORMWORK; EXTRA SMOOTH FINISH</t>
        </is>
      </c>
      <c r="E848" s="5" t="inlineStr">
        <is>
          <t>Formwork; Plane horizontal, width</t>
        </is>
      </c>
      <c r="F848" s="5" t="inlineStr">
        <is>
          <t>0.4-1.22 m</t>
        </is>
      </c>
      <c r="G848" s="6" t="inlineStr">
        <is>
          <t>m2</t>
        </is>
      </c>
      <c r="H848" s="7" t="n">
        <v>0.4</v>
      </c>
      <c r="I848" s="8" t="n">
        <v>44.98</v>
      </c>
      <c r="J848" s="8" t="n">
        <v>8.4</v>
      </c>
      <c r="K848" s="8" t="n">
        <v>45.86</v>
      </c>
      <c r="L848" s="8" t="n">
        <v>0</v>
      </c>
      <c r="M848" s="9">
        <f>ROUND(SUM(I848:L848),2)</f>
        <v/>
      </c>
      <c r="N848" s="10">
        <f>ROUND(I848*'Irish Basis'!$C$6*'Irish Basis'!$C$5,2)</f>
        <v/>
      </c>
      <c r="O848" s="10">
        <f>ROUND(J848*'Irish Basis'!$C$7*'Irish Basis'!$C$5,2)</f>
        <v/>
      </c>
      <c r="P848" s="10">
        <f>ROUND(K848*'Irish Basis'!$C$8*'Irish Basis'!$C$5,2)</f>
        <v/>
      </c>
      <c r="Q848" s="10">
        <f>ROUND(L848*'Irish Basis'!$C$12*'Irish Basis'!$C$5,2)</f>
        <v/>
      </c>
      <c r="R848" s="11">
        <f>ROUND(SUM(N848:Q848),2)</f>
        <v/>
      </c>
      <c r="S848" s="5" t="inlineStr">
        <is>
          <t>Stated build-up</t>
        </is>
      </c>
      <c r="T848" s="12" t="inlineStr">
        <is>
          <t>High</t>
        </is>
      </c>
      <c r="U848" s="8" t="n">
        <v>99.25</v>
      </c>
      <c r="V848" s="13">
        <f>IF(U848="","",ROUND(M848-U848,2))</f>
        <v/>
      </c>
      <c r="W848" s="5" t="n"/>
      <c r="X848" s="5" t="inlineStr">
        <is>
          <t>Labour + plant + material as published; reconciles to the published rate.</t>
        </is>
      </c>
    </row>
    <row r="849" ht="13" customHeight="1">
      <c r="A849" s="4" t="n">
        <v>1494</v>
      </c>
      <c r="B849" s="5" t="inlineStr">
        <is>
          <t>IMG_0085</t>
        </is>
      </c>
      <c r="C849" s="5" t="inlineStr">
        <is>
          <t>CLASS G: CONCRETE ANCILLARIES</t>
        </is>
      </c>
      <c r="D849" s="5" t="inlineStr">
        <is>
          <t>03 FORMWORK; EXTRA SMOOTH FINISH</t>
        </is>
      </c>
      <c r="E849" s="5" t="inlineStr">
        <is>
          <t>Formwork; Plane horizontal, width</t>
        </is>
      </c>
      <c r="F849" s="5" t="inlineStr">
        <is>
          <t>exceeding 1.22 m</t>
        </is>
      </c>
      <c r="G849" s="6" t="inlineStr">
        <is>
          <t>m2</t>
        </is>
      </c>
      <c r="H849" s="7" t="n">
        <v>0.38</v>
      </c>
      <c r="I849" s="8" t="n">
        <v>42.73</v>
      </c>
      <c r="J849" s="8" t="n">
        <v>7.97</v>
      </c>
      <c r="K849" s="8" t="n">
        <v>45.86</v>
      </c>
      <c r="L849" s="8" t="n">
        <v>0</v>
      </c>
      <c r="M849" s="9">
        <f>ROUND(SUM(I849:L849),2)</f>
        <v/>
      </c>
      <c r="N849" s="10">
        <f>ROUND(I849*'Irish Basis'!$C$6*'Irish Basis'!$C$5,2)</f>
        <v/>
      </c>
      <c r="O849" s="10">
        <f>ROUND(J849*'Irish Basis'!$C$7*'Irish Basis'!$C$5,2)</f>
        <v/>
      </c>
      <c r="P849" s="10">
        <f>ROUND(K849*'Irish Basis'!$C$8*'Irish Basis'!$C$5,2)</f>
        <v/>
      </c>
      <c r="Q849" s="10">
        <f>ROUND(L849*'Irish Basis'!$C$12*'Irish Basis'!$C$5,2)</f>
        <v/>
      </c>
      <c r="R849" s="11">
        <f>ROUND(SUM(N849:Q849),2)</f>
        <v/>
      </c>
      <c r="S849" s="5" t="inlineStr">
        <is>
          <t>Stated build-up</t>
        </is>
      </c>
      <c r="T849" s="12" t="inlineStr">
        <is>
          <t>High</t>
        </is>
      </c>
      <c r="U849" s="8" t="n">
        <v>96.56</v>
      </c>
      <c r="V849" s="13">
        <f>IF(U849="","",ROUND(M849-U849,2))</f>
        <v/>
      </c>
      <c r="W849" s="5" t="n"/>
      <c r="X849" s="5" t="inlineStr">
        <is>
          <t>Labour + plant + material as published; reconciles to the published rate.</t>
        </is>
      </c>
    </row>
    <row r="850" ht="13" customHeight="1">
      <c r="A850" s="4" t="n">
        <v>1496</v>
      </c>
      <c r="B850" s="5" t="inlineStr">
        <is>
          <t>IMG_0085</t>
        </is>
      </c>
      <c r="C850" s="5" t="inlineStr">
        <is>
          <t>CLASS G: CONCRETE ANCILLARIES</t>
        </is>
      </c>
      <c r="D850" s="5" t="inlineStr">
        <is>
          <t>03 FORMWORK; EXTRA SMOOTH FINISH</t>
        </is>
      </c>
      <c r="E850" s="5" t="inlineStr">
        <is>
          <t>Plane sloping, width</t>
        </is>
      </c>
      <c r="F850" s="5" t="inlineStr">
        <is>
          <t>ne 0.1 m</t>
        </is>
      </c>
      <c r="G850" s="6" t="inlineStr">
        <is>
          <t>m</t>
        </is>
      </c>
      <c r="H850" s="7" t="n">
        <v>0.11</v>
      </c>
      <c r="I850" s="8" t="n">
        <v>6.19</v>
      </c>
      <c r="J850" s="8" t="n">
        <v>3.94</v>
      </c>
      <c r="K850" s="8" t="n">
        <v>10.63</v>
      </c>
      <c r="L850" s="8" t="n">
        <v>0</v>
      </c>
      <c r="M850" s="9">
        <f>ROUND(SUM(I850:L850),2)</f>
        <v/>
      </c>
      <c r="N850" s="10">
        <f>ROUND(I850*'Irish Basis'!$C$6*'Irish Basis'!$C$5,2)</f>
        <v/>
      </c>
      <c r="O850" s="10">
        <f>ROUND(J850*'Irish Basis'!$C$7*'Irish Basis'!$C$5,2)</f>
        <v/>
      </c>
      <c r="P850" s="10">
        <f>ROUND(K850*'Irish Basis'!$C$8*'Irish Basis'!$C$5,2)</f>
        <v/>
      </c>
      <c r="Q850" s="10">
        <f>ROUND(L850*'Irish Basis'!$C$12*'Irish Basis'!$C$5,2)</f>
        <v/>
      </c>
      <c r="R850" s="11">
        <f>ROUND(SUM(N850:Q850),2)</f>
        <v/>
      </c>
      <c r="S850" s="5" t="inlineStr">
        <is>
          <t>Stated build-up</t>
        </is>
      </c>
      <c r="T850" s="12" t="inlineStr">
        <is>
          <t>High</t>
        </is>
      </c>
      <c r="U850" s="8" t="n">
        <v>20.76</v>
      </c>
      <c r="V850" s="13">
        <f>IF(U850="","",ROUND(M850-U850,2))</f>
        <v/>
      </c>
      <c r="W850" s="5" t="n"/>
      <c r="X850" s="5" t="inlineStr">
        <is>
          <t>Labour + plant + material as published; reconciles to the published rate.</t>
        </is>
      </c>
    </row>
    <row r="851" ht="13" customHeight="1">
      <c r="A851" s="4" t="n">
        <v>1497</v>
      </c>
      <c r="B851" s="5" t="inlineStr">
        <is>
          <t>IMG_0085</t>
        </is>
      </c>
      <c r="C851" s="5" t="inlineStr">
        <is>
          <t>CLASS G: CONCRETE ANCILLARIES</t>
        </is>
      </c>
      <c r="D851" s="5" t="inlineStr">
        <is>
          <t>03 FORMWORK; EXTRA SMOOTH FINISH</t>
        </is>
      </c>
      <c r="E851" s="5" t="inlineStr">
        <is>
          <t>Plane sloping, width</t>
        </is>
      </c>
      <c r="F851" s="5" t="inlineStr">
        <is>
          <t>0.1-0.20 m</t>
        </is>
      </c>
      <c r="G851" s="6" t="inlineStr">
        <is>
          <t>m</t>
        </is>
      </c>
      <c r="H851" s="7" t="n">
        <v>0.2</v>
      </c>
      <c r="I851" s="8" t="n">
        <v>11.26</v>
      </c>
      <c r="J851" s="8" t="n">
        <v>7.15</v>
      </c>
      <c r="K851" s="8" t="n">
        <v>13.39</v>
      </c>
      <c r="L851" s="8" t="n">
        <v>0</v>
      </c>
      <c r="M851" s="9">
        <f>ROUND(SUM(I851:L851),2)</f>
        <v/>
      </c>
      <c r="N851" s="10">
        <f>ROUND(I851*'Irish Basis'!$C$6*'Irish Basis'!$C$5,2)</f>
        <v/>
      </c>
      <c r="O851" s="10">
        <f>ROUND(J851*'Irish Basis'!$C$7*'Irish Basis'!$C$5,2)</f>
        <v/>
      </c>
      <c r="P851" s="10">
        <f>ROUND(K851*'Irish Basis'!$C$8*'Irish Basis'!$C$5,2)</f>
        <v/>
      </c>
      <c r="Q851" s="10">
        <f>ROUND(L851*'Irish Basis'!$C$12*'Irish Basis'!$C$5,2)</f>
        <v/>
      </c>
      <c r="R851" s="11">
        <f>ROUND(SUM(N851:Q851),2)</f>
        <v/>
      </c>
      <c r="S851" s="5" t="inlineStr">
        <is>
          <t>Stated build-up</t>
        </is>
      </c>
      <c r="T851" s="12" t="inlineStr">
        <is>
          <t>High</t>
        </is>
      </c>
      <c r="U851" s="8" t="n">
        <v>31.8</v>
      </c>
      <c r="V851" s="13">
        <f>IF(U851="","",ROUND(M851-U851,2))</f>
        <v/>
      </c>
      <c r="W851" s="5" t="n"/>
      <c r="X851" s="5" t="inlineStr">
        <is>
          <t>Labour + plant + material as published; reconciles to the published rate.</t>
        </is>
      </c>
    </row>
    <row r="852" ht="13" customHeight="1">
      <c r="A852" s="4" t="n">
        <v>1499</v>
      </c>
      <c r="B852" s="5" t="inlineStr">
        <is>
          <t>IMG_0086</t>
        </is>
      </c>
      <c r="C852" s="5" t="inlineStr">
        <is>
          <t>CLASS G: CONCRETE ANCILLARIES</t>
        </is>
      </c>
      <c r="D852" s="5" t="inlineStr">
        <is>
          <t>03 FORMWORK; EXTRA SMOOTH FINISH</t>
        </is>
      </c>
      <c r="E852" s="5" t="inlineStr">
        <is>
          <t>Plane sloping, width (continued)</t>
        </is>
      </c>
      <c r="F852" s="5" t="inlineStr">
        <is>
          <t>0.2-0.40 m</t>
        </is>
      </c>
      <c r="G852" s="6" t="inlineStr">
        <is>
          <t>m2</t>
        </is>
      </c>
      <c r="H852" s="7" t="n">
        <v>0.43</v>
      </c>
      <c r="I852" s="8" t="n">
        <v>48.35</v>
      </c>
      <c r="J852" s="8" t="n">
        <v>9.07</v>
      </c>
      <c r="K852" s="8" t="n">
        <v>59.29</v>
      </c>
      <c r="L852" s="8" t="n">
        <v>0</v>
      </c>
      <c r="M852" s="9">
        <f>ROUND(SUM(I852:L852),2)</f>
        <v/>
      </c>
      <c r="N852" s="10">
        <f>ROUND(I852*'Irish Basis'!$C$6*'Irish Basis'!$C$5,2)</f>
        <v/>
      </c>
      <c r="O852" s="10">
        <f>ROUND(J852*'Irish Basis'!$C$7*'Irish Basis'!$C$5,2)</f>
        <v/>
      </c>
      <c r="P852" s="10">
        <f>ROUND(K852*'Irish Basis'!$C$8*'Irish Basis'!$C$5,2)</f>
        <v/>
      </c>
      <c r="Q852" s="10">
        <f>ROUND(L852*'Irish Basis'!$C$12*'Irish Basis'!$C$5,2)</f>
        <v/>
      </c>
      <c r="R852" s="11">
        <f>ROUND(SUM(N852:Q852),2)</f>
        <v/>
      </c>
      <c r="S852" s="5" t="inlineStr">
        <is>
          <t>Stated build-up</t>
        </is>
      </c>
      <c r="T852" s="12" t="inlineStr">
        <is>
          <t>High</t>
        </is>
      </c>
      <c r="U852" s="8" t="n">
        <v>116.71</v>
      </c>
      <c r="V852" s="13">
        <f>IF(U852="","",ROUND(M852-U852,2))</f>
        <v/>
      </c>
      <c r="W852" s="5" t="n"/>
      <c r="X852" s="5" t="inlineStr">
        <is>
          <t>Labour + plant + material as published; reconciles to the published rate.</t>
        </is>
      </c>
    </row>
    <row r="853" ht="13" customHeight="1">
      <c r="A853" s="4" t="n">
        <v>1500</v>
      </c>
      <c r="B853" s="5" t="inlineStr">
        <is>
          <t>IMG_0086</t>
        </is>
      </c>
      <c r="C853" s="5" t="inlineStr">
        <is>
          <t>CLASS G: CONCRETE ANCILLARIES</t>
        </is>
      </c>
      <c r="D853" s="5" t="inlineStr">
        <is>
          <t>03 FORMWORK; EXTRA SMOOTH FINISH</t>
        </is>
      </c>
      <c r="E853" s="5" t="inlineStr">
        <is>
          <t>Plane sloping, width (continued)</t>
        </is>
      </c>
      <c r="F853" s="5" t="inlineStr">
        <is>
          <t>0.4-1.22 m</t>
        </is>
      </c>
      <c r="G853" s="6" t="inlineStr">
        <is>
          <t>m2</t>
        </is>
      </c>
      <c r="H853" s="7" t="n">
        <v>0.43</v>
      </c>
      <c r="I853" s="8" t="n">
        <v>48.35</v>
      </c>
      <c r="J853" s="8" t="n">
        <v>9.07</v>
      </c>
      <c r="K853" s="8" t="n">
        <v>59.29</v>
      </c>
      <c r="L853" s="8" t="n">
        <v>0</v>
      </c>
      <c r="M853" s="9">
        <f>ROUND(SUM(I853:L853),2)</f>
        <v/>
      </c>
      <c r="N853" s="10">
        <f>ROUND(I853*'Irish Basis'!$C$6*'Irish Basis'!$C$5,2)</f>
        <v/>
      </c>
      <c r="O853" s="10">
        <f>ROUND(J853*'Irish Basis'!$C$7*'Irish Basis'!$C$5,2)</f>
        <v/>
      </c>
      <c r="P853" s="10">
        <f>ROUND(K853*'Irish Basis'!$C$8*'Irish Basis'!$C$5,2)</f>
        <v/>
      </c>
      <c r="Q853" s="10">
        <f>ROUND(L853*'Irish Basis'!$C$12*'Irish Basis'!$C$5,2)</f>
        <v/>
      </c>
      <c r="R853" s="11">
        <f>ROUND(SUM(N853:Q853),2)</f>
        <v/>
      </c>
      <c r="S853" s="5" t="inlineStr">
        <is>
          <t>Stated build-up</t>
        </is>
      </c>
      <c r="T853" s="12" t="inlineStr">
        <is>
          <t>High</t>
        </is>
      </c>
      <c r="U853" s="8" t="n">
        <v>116.71</v>
      </c>
      <c r="V853" s="13">
        <f>IF(U853="","",ROUND(M853-U853,2))</f>
        <v/>
      </c>
      <c r="W853" s="5" t="n"/>
      <c r="X853" s="5" t="inlineStr">
        <is>
          <t>Labour + plant + material as published; reconciles to the published rate.</t>
        </is>
      </c>
    </row>
    <row r="854" ht="13" customHeight="1">
      <c r="A854" s="4" t="n">
        <v>1501</v>
      </c>
      <c r="B854" s="5" t="inlineStr">
        <is>
          <t>IMG_0086</t>
        </is>
      </c>
      <c r="C854" s="5" t="inlineStr">
        <is>
          <t>CLASS G: CONCRETE ANCILLARIES</t>
        </is>
      </c>
      <c r="D854" s="5" t="inlineStr">
        <is>
          <t>03 FORMWORK; EXTRA SMOOTH FINISH</t>
        </is>
      </c>
      <c r="E854" s="5" t="inlineStr">
        <is>
          <t>Plane sloping, width (continued)</t>
        </is>
      </c>
      <c r="F854" s="5" t="inlineStr">
        <is>
          <t>exceeding 1.22 m</t>
        </is>
      </c>
      <c r="G854" s="6" t="inlineStr">
        <is>
          <t>m2</t>
        </is>
      </c>
      <c r="H854" s="7" t="n">
        <v>0.38</v>
      </c>
      <c r="I854" s="8" t="n">
        <v>42.73</v>
      </c>
      <c r="J854" s="8" t="n">
        <v>7.98</v>
      </c>
      <c r="K854" s="8" t="n">
        <v>59.29</v>
      </c>
      <c r="L854" s="8" t="n">
        <v>0</v>
      </c>
      <c r="M854" s="9">
        <f>ROUND(SUM(I854:L854),2)</f>
        <v/>
      </c>
      <c r="N854" s="10">
        <f>ROUND(I854*'Irish Basis'!$C$6*'Irish Basis'!$C$5,2)</f>
        <v/>
      </c>
      <c r="O854" s="10">
        <f>ROUND(J854*'Irish Basis'!$C$7*'Irish Basis'!$C$5,2)</f>
        <v/>
      </c>
      <c r="P854" s="10">
        <f>ROUND(K854*'Irish Basis'!$C$8*'Irish Basis'!$C$5,2)</f>
        <v/>
      </c>
      <c r="Q854" s="10">
        <f>ROUND(L854*'Irish Basis'!$C$12*'Irish Basis'!$C$5,2)</f>
        <v/>
      </c>
      <c r="R854" s="11">
        <f>ROUND(SUM(N854:Q854),2)</f>
        <v/>
      </c>
      <c r="S854" s="5" t="inlineStr">
        <is>
          <t>Stated build-up</t>
        </is>
      </c>
      <c r="T854" s="12" t="inlineStr">
        <is>
          <t>High</t>
        </is>
      </c>
      <c r="U854" s="8" t="n">
        <v>110</v>
      </c>
      <c r="V854" s="13">
        <f>IF(U854="","",ROUND(M854-U854,2))</f>
        <v/>
      </c>
      <c r="W854" s="5" t="n"/>
      <c r="X854" s="5" t="inlineStr">
        <is>
          <t>Labour + plant + material as published; reconciles to the published rate.</t>
        </is>
      </c>
    </row>
    <row r="855" ht="13" customHeight="1">
      <c r="A855" s="4" t="n">
        <v>1503</v>
      </c>
      <c r="B855" s="5" t="inlineStr">
        <is>
          <t>IMG_0086</t>
        </is>
      </c>
      <c r="C855" s="5" t="inlineStr">
        <is>
          <t>CLASS G: CONCRETE ANCILLARIES</t>
        </is>
      </c>
      <c r="D855" s="5" t="inlineStr">
        <is>
          <t>03 FORMWORK; EXTRA SMOOTH FINISH</t>
        </is>
      </c>
      <c r="E855" s="5" t="inlineStr">
        <is>
          <t>Plane battered, width</t>
        </is>
      </c>
      <c r="F855" s="5" t="inlineStr">
        <is>
          <t>ne 0.1 m</t>
        </is>
      </c>
      <c r="G855" s="6" t="inlineStr">
        <is>
          <t>m</t>
        </is>
      </c>
      <c r="H855" s="7" t="n">
        <v>0.12</v>
      </c>
      <c r="I855" s="8" t="n">
        <v>6.76</v>
      </c>
      <c r="J855" s="8" t="n">
        <v>4.29</v>
      </c>
      <c r="K855" s="8" t="n">
        <v>13.98</v>
      </c>
      <c r="L855" s="8" t="n">
        <v>0</v>
      </c>
      <c r="M855" s="9">
        <f>ROUND(SUM(I855:L855),2)</f>
        <v/>
      </c>
      <c r="N855" s="10">
        <f>ROUND(I855*'Irish Basis'!$C$6*'Irish Basis'!$C$5,2)</f>
        <v/>
      </c>
      <c r="O855" s="10">
        <f>ROUND(J855*'Irish Basis'!$C$7*'Irish Basis'!$C$5,2)</f>
        <v/>
      </c>
      <c r="P855" s="10">
        <f>ROUND(K855*'Irish Basis'!$C$8*'Irish Basis'!$C$5,2)</f>
        <v/>
      </c>
      <c r="Q855" s="10">
        <f>ROUND(L855*'Irish Basis'!$C$12*'Irish Basis'!$C$5,2)</f>
        <v/>
      </c>
      <c r="R855" s="11">
        <f>ROUND(SUM(N855:Q855),2)</f>
        <v/>
      </c>
      <c r="S855" s="5" t="inlineStr">
        <is>
          <t>Stated build-up</t>
        </is>
      </c>
      <c r="T855" s="12" t="inlineStr">
        <is>
          <t>High</t>
        </is>
      </c>
      <c r="U855" s="8" t="n">
        <v>25.03</v>
      </c>
      <c r="V855" s="13">
        <f>IF(U855="","",ROUND(M855-U855,2))</f>
        <v/>
      </c>
      <c r="W855" s="5" t="n"/>
      <c r="X855" s="5" t="inlineStr">
        <is>
          <t>Labour + plant + material as published; reconciles to the published rate.</t>
        </is>
      </c>
    </row>
    <row r="856" ht="13" customHeight="1">
      <c r="A856" s="4" t="n">
        <v>1504</v>
      </c>
      <c r="B856" s="5" t="inlineStr">
        <is>
          <t>IMG_0086</t>
        </is>
      </c>
      <c r="C856" s="5" t="inlineStr">
        <is>
          <t>CLASS G: CONCRETE ANCILLARIES</t>
        </is>
      </c>
      <c r="D856" s="5" t="inlineStr">
        <is>
          <t>03 FORMWORK; EXTRA SMOOTH FINISH</t>
        </is>
      </c>
      <c r="E856" s="5" t="inlineStr">
        <is>
          <t>Plane battered, width</t>
        </is>
      </c>
      <c r="F856" s="5" t="inlineStr">
        <is>
          <t>0.1-0.20 m</t>
        </is>
      </c>
      <c r="G856" s="6" t="inlineStr">
        <is>
          <t>m</t>
        </is>
      </c>
      <c r="H856" s="7" t="n">
        <v>0.2</v>
      </c>
      <c r="I856" s="8" t="n">
        <v>11.26</v>
      </c>
      <c r="J856" s="8" t="n">
        <v>7.15</v>
      </c>
      <c r="K856" s="8" t="n">
        <v>16.74</v>
      </c>
      <c r="L856" s="8" t="n">
        <v>0</v>
      </c>
      <c r="M856" s="9">
        <f>ROUND(SUM(I856:L856),2)</f>
        <v/>
      </c>
      <c r="N856" s="10">
        <f>ROUND(I856*'Irish Basis'!$C$6*'Irish Basis'!$C$5,2)</f>
        <v/>
      </c>
      <c r="O856" s="10">
        <f>ROUND(J856*'Irish Basis'!$C$7*'Irish Basis'!$C$5,2)</f>
        <v/>
      </c>
      <c r="P856" s="10">
        <f>ROUND(K856*'Irish Basis'!$C$8*'Irish Basis'!$C$5,2)</f>
        <v/>
      </c>
      <c r="Q856" s="10">
        <f>ROUND(L856*'Irish Basis'!$C$12*'Irish Basis'!$C$5,2)</f>
        <v/>
      </c>
      <c r="R856" s="11">
        <f>ROUND(SUM(N856:Q856),2)</f>
        <v/>
      </c>
      <c r="S856" s="5" t="inlineStr">
        <is>
          <t>Stated build-up</t>
        </is>
      </c>
      <c r="T856" s="12" t="inlineStr">
        <is>
          <t>High</t>
        </is>
      </c>
      <c r="U856" s="8" t="n">
        <v>35.16</v>
      </c>
      <c r="V856" s="13">
        <f>IF(U856="","",ROUND(M856-U856,2))</f>
        <v/>
      </c>
      <c r="W856" s="5" t="n"/>
      <c r="X856" s="5" t="inlineStr">
        <is>
          <t>Labour + plant + material as published; reconciles to the published rate.</t>
        </is>
      </c>
    </row>
    <row r="857" ht="13" customHeight="1">
      <c r="A857" s="4" t="n">
        <v>1505</v>
      </c>
      <c r="B857" s="5" t="inlineStr">
        <is>
          <t>IMG_0086</t>
        </is>
      </c>
      <c r="C857" s="5" t="inlineStr">
        <is>
          <t>CLASS G: CONCRETE ANCILLARIES</t>
        </is>
      </c>
      <c r="D857" s="5" t="inlineStr">
        <is>
          <t>03 FORMWORK; EXTRA SMOOTH FINISH</t>
        </is>
      </c>
      <c r="E857" s="5" t="inlineStr">
        <is>
          <t>Plane battered, width</t>
        </is>
      </c>
      <c r="F857" s="5" t="inlineStr">
        <is>
          <t>0.2-0.40 m</t>
        </is>
      </c>
      <c r="G857" s="6" t="inlineStr">
        <is>
          <t>m2</t>
        </is>
      </c>
      <c r="H857" s="7" t="n">
        <v>0.43</v>
      </c>
      <c r="I857" s="8" t="n">
        <v>48.35</v>
      </c>
      <c r="J857" s="8" t="n">
        <v>9.07</v>
      </c>
      <c r="K857" s="8" t="n">
        <v>66</v>
      </c>
      <c r="L857" s="8" t="n">
        <v>0</v>
      </c>
      <c r="M857" s="9">
        <f>ROUND(SUM(I857:L857),2)</f>
        <v/>
      </c>
      <c r="N857" s="10">
        <f>ROUND(I857*'Irish Basis'!$C$6*'Irish Basis'!$C$5,2)</f>
        <v/>
      </c>
      <c r="O857" s="10">
        <f>ROUND(J857*'Irish Basis'!$C$7*'Irish Basis'!$C$5,2)</f>
        <v/>
      </c>
      <c r="P857" s="10">
        <f>ROUND(K857*'Irish Basis'!$C$8*'Irish Basis'!$C$5,2)</f>
        <v/>
      </c>
      <c r="Q857" s="10">
        <f>ROUND(L857*'Irish Basis'!$C$12*'Irish Basis'!$C$5,2)</f>
        <v/>
      </c>
      <c r="R857" s="11">
        <f>ROUND(SUM(N857:Q857),2)</f>
        <v/>
      </c>
      <c r="S857" s="5" t="inlineStr">
        <is>
          <t>Stated build-up</t>
        </is>
      </c>
      <c r="T857" s="12" t="inlineStr">
        <is>
          <t>High</t>
        </is>
      </c>
      <c r="U857" s="8" t="n">
        <v>123.42</v>
      </c>
      <c r="V857" s="13">
        <f>IF(U857="","",ROUND(M857-U857,2))</f>
        <v/>
      </c>
      <c r="W857" s="5" t="n"/>
      <c r="X857" s="5" t="inlineStr">
        <is>
          <t>Labour + plant + material as published; reconciles to the published rate.</t>
        </is>
      </c>
    </row>
    <row r="858" ht="13" customHeight="1">
      <c r="A858" s="4" t="n">
        <v>1506</v>
      </c>
      <c r="B858" s="5" t="inlineStr">
        <is>
          <t>IMG_0086</t>
        </is>
      </c>
      <c r="C858" s="5" t="inlineStr">
        <is>
          <t>CLASS G: CONCRETE ANCILLARIES</t>
        </is>
      </c>
      <c r="D858" s="5" t="inlineStr">
        <is>
          <t>03 FORMWORK; EXTRA SMOOTH FINISH</t>
        </is>
      </c>
      <c r="E858" s="5" t="inlineStr">
        <is>
          <t>Plane battered, width</t>
        </is>
      </c>
      <c r="F858" s="5" t="inlineStr">
        <is>
          <t>0.4-1.22 m</t>
        </is>
      </c>
      <c r="G858" s="6" t="inlineStr">
        <is>
          <t>m2</t>
        </is>
      </c>
      <c r="H858" s="7" t="n">
        <v>0.43</v>
      </c>
      <c r="I858" s="8" t="n">
        <v>48.35</v>
      </c>
      <c r="J858" s="8" t="n">
        <v>9.07</v>
      </c>
      <c r="K858" s="8" t="n">
        <v>66</v>
      </c>
      <c r="L858" s="8" t="n">
        <v>0</v>
      </c>
      <c r="M858" s="9">
        <f>ROUND(SUM(I858:L858),2)</f>
        <v/>
      </c>
      <c r="N858" s="10">
        <f>ROUND(I858*'Irish Basis'!$C$6*'Irish Basis'!$C$5,2)</f>
        <v/>
      </c>
      <c r="O858" s="10">
        <f>ROUND(J858*'Irish Basis'!$C$7*'Irish Basis'!$C$5,2)</f>
        <v/>
      </c>
      <c r="P858" s="10">
        <f>ROUND(K858*'Irish Basis'!$C$8*'Irish Basis'!$C$5,2)</f>
        <v/>
      </c>
      <c r="Q858" s="10">
        <f>ROUND(L858*'Irish Basis'!$C$12*'Irish Basis'!$C$5,2)</f>
        <v/>
      </c>
      <c r="R858" s="11">
        <f>ROUND(SUM(N858:Q858),2)</f>
        <v/>
      </c>
      <c r="S858" s="5" t="inlineStr">
        <is>
          <t>Stated build-up</t>
        </is>
      </c>
      <c r="T858" s="12" t="inlineStr">
        <is>
          <t>High</t>
        </is>
      </c>
      <c r="U858" s="8" t="n">
        <v>123.42</v>
      </c>
      <c r="V858" s="13">
        <f>IF(U858="","",ROUND(M858-U858,2))</f>
        <v/>
      </c>
      <c r="W858" s="5" t="n"/>
      <c r="X858" s="5" t="inlineStr">
        <is>
          <t>Labour + plant + material as published; reconciles to the published rate.</t>
        </is>
      </c>
    </row>
    <row r="859" ht="13" customHeight="1">
      <c r="A859" s="4" t="n">
        <v>1507</v>
      </c>
      <c r="B859" s="5" t="inlineStr">
        <is>
          <t>IMG_0086</t>
        </is>
      </c>
      <c r="C859" s="5" t="inlineStr">
        <is>
          <t>CLASS G: CONCRETE ANCILLARIES</t>
        </is>
      </c>
      <c r="D859" s="5" t="inlineStr">
        <is>
          <t>03 FORMWORK; EXTRA SMOOTH FINISH</t>
        </is>
      </c>
      <c r="E859" s="5" t="inlineStr">
        <is>
          <t>Plane battered, width</t>
        </is>
      </c>
      <c r="F859" s="5" t="inlineStr">
        <is>
          <t>exceeding 1.22 m</t>
        </is>
      </c>
      <c r="G859" s="6" t="inlineStr">
        <is>
          <t>m2</t>
        </is>
      </c>
      <c r="H859" s="7" t="n">
        <v>0.4</v>
      </c>
      <c r="I859" s="8" t="n">
        <v>44.98</v>
      </c>
      <c r="J859" s="8" t="n">
        <v>8.4</v>
      </c>
      <c r="K859" s="8" t="n">
        <v>66</v>
      </c>
      <c r="L859" s="8" t="n">
        <v>0</v>
      </c>
      <c r="M859" s="9">
        <f>ROUND(SUM(I859:L859),2)</f>
        <v/>
      </c>
      <c r="N859" s="10">
        <f>ROUND(I859*'Irish Basis'!$C$6*'Irish Basis'!$C$5,2)</f>
        <v/>
      </c>
      <c r="O859" s="10">
        <f>ROUND(J859*'Irish Basis'!$C$7*'Irish Basis'!$C$5,2)</f>
        <v/>
      </c>
      <c r="P859" s="10">
        <f>ROUND(K859*'Irish Basis'!$C$8*'Irish Basis'!$C$5,2)</f>
        <v/>
      </c>
      <c r="Q859" s="10">
        <f>ROUND(L859*'Irish Basis'!$C$12*'Irish Basis'!$C$5,2)</f>
        <v/>
      </c>
      <c r="R859" s="11">
        <f>ROUND(SUM(N859:Q859),2)</f>
        <v/>
      </c>
      <c r="S859" s="5" t="inlineStr">
        <is>
          <t>Stated build-up</t>
        </is>
      </c>
      <c r="T859" s="12" t="inlineStr">
        <is>
          <t>High</t>
        </is>
      </c>
      <c r="U859" s="8" t="n">
        <v>119.38</v>
      </c>
      <c r="V859" s="13">
        <f>IF(U859="","",ROUND(M859-U859,2))</f>
        <v/>
      </c>
      <c r="W859" s="5" t="n"/>
      <c r="X859" s="5" t="inlineStr">
        <is>
          <t>Labour + plant + material as published; reconciles to the published rate.</t>
        </is>
      </c>
    </row>
    <row r="860" ht="13" customHeight="1">
      <c r="A860" s="4" t="n">
        <v>1509</v>
      </c>
      <c r="B860" s="5" t="inlineStr">
        <is>
          <t>IMG_0086</t>
        </is>
      </c>
      <c r="C860" s="5" t="inlineStr">
        <is>
          <t>CLASS G: CONCRETE ANCILLARIES</t>
        </is>
      </c>
      <c r="D860" s="5" t="inlineStr">
        <is>
          <t>03 FORMWORK; EXTRA SMOOTH FINISH</t>
        </is>
      </c>
      <c r="E860" s="5" t="inlineStr">
        <is>
          <t>Plane vertical, width</t>
        </is>
      </c>
      <c r="F860" s="5" t="inlineStr">
        <is>
          <t>ne 0.1 m</t>
        </is>
      </c>
      <c r="G860" s="6" t="inlineStr">
        <is>
          <t>m</t>
        </is>
      </c>
      <c r="H860" s="7" t="n">
        <v>0.12</v>
      </c>
      <c r="I860" s="8" t="n">
        <v>13.49</v>
      </c>
      <c r="J860" s="8" t="n">
        <v>4.29</v>
      </c>
      <c r="K860" s="8" t="n">
        <v>13.98</v>
      </c>
      <c r="L860" s="8" t="n">
        <v>0</v>
      </c>
      <c r="M860" s="9">
        <f>ROUND(SUM(I860:L860),2)</f>
        <v/>
      </c>
      <c r="N860" s="10">
        <f>ROUND(I860*'Irish Basis'!$C$6*'Irish Basis'!$C$5,2)</f>
        <v/>
      </c>
      <c r="O860" s="10">
        <f>ROUND(J860*'Irish Basis'!$C$7*'Irish Basis'!$C$5,2)</f>
        <v/>
      </c>
      <c r="P860" s="10">
        <f>ROUND(K860*'Irish Basis'!$C$8*'Irish Basis'!$C$5,2)</f>
        <v/>
      </c>
      <c r="Q860" s="10">
        <f>ROUND(L860*'Irish Basis'!$C$12*'Irish Basis'!$C$5,2)</f>
        <v/>
      </c>
      <c r="R860" s="11">
        <f>ROUND(SUM(N860:Q860),2)</f>
        <v/>
      </c>
      <c r="S860" s="5" t="inlineStr">
        <is>
          <t>Stated build-up</t>
        </is>
      </c>
      <c r="T860" s="12" t="inlineStr">
        <is>
          <t>High</t>
        </is>
      </c>
      <c r="U860" s="8" t="n">
        <v>31.77</v>
      </c>
      <c r="V860" s="13">
        <f>IF(U860="","",ROUND(M860-U860,2))</f>
        <v/>
      </c>
      <c r="W860" s="5" t="n"/>
      <c r="X860" s="5" t="inlineStr">
        <is>
          <t>Labour + plant + material as published; reconciles to the published rate.</t>
        </is>
      </c>
    </row>
    <row r="861" ht="13" customHeight="1">
      <c r="A861" s="4" t="n">
        <v>1510</v>
      </c>
      <c r="B861" s="5" t="inlineStr">
        <is>
          <t>IMG_0086</t>
        </is>
      </c>
      <c r="C861" s="5" t="inlineStr">
        <is>
          <t>CLASS G: CONCRETE ANCILLARIES</t>
        </is>
      </c>
      <c r="D861" s="5" t="inlineStr">
        <is>
          <t>03 FORMWORK; EXTRA SMOOTH FINISH</t>
        </is>
      </c>
      <c r="E861" s="5" t="inlineStr">
        <is>
          <t>Plane vertical, width</t>
        </is>
      </c>
      <c r="F861" s="5" t="inlineStr">
        <is>
          <t>0.1-0.20 m</t>
        </is>
      </c>
      <c r="G861" s="6" t="inlineStr">
        <is>
          <t>m</t>
        </is>
      </c>
      <c r="H861" s="7" t="n">
        <v>0.2</v>
      </c>
      <c r="I861" s="8" t="n">
        <v>22.49</v>
      </c>
      <c r="J861" s="8" t="n">
        <v>7.15</v>
      </c>
      <c r="K861" s="8" t="n">
        <v>16.74</v>
      </c>
      <c r="L861" s="8" t="n">
        <v>0</v>
      </c>
      <c r="M861" s="9">
        <f>ROUND(SUM(I861:L861),2)</f>
        <v/>
      </c>
      <c r="N861" s="10">
        <f>ROUND(I861*'Irish Basis'!$C$6*'Irish Basis'!$C$5,2)</f>
        <v/>
      </c>
      <c r="O861" s="10">
        <f>ROUND(J861*'Irish Basis'!$C$7*'Irish Basis'!$C$5,2)</f>
        <v/>
      </c>
      <c r="P861" s="10">
        <f>ROUND(K861*'Irish Basis'!$C$8*'Irish Basis'!$C$5,2)</f>
        <v/>
      </c>
      <c r="Q861" s="10">
        <f>ROUND(L861*'Irish Basis'!$C$12*'Irish Basis'!$C$5,2)</f>
        <v/>
      </c>
      <c r="R861" s="11">
        <f>ROUND(SUM(N861:Q861),2)</f>
        <v/>
      </c>
      <c r="S861" s="5" t="inlineStr">
        <is>
          <t>Stated build-up</t>
        </is>
      </c>
      <c r="T861" s="12" t="inlineStr">
        <is>
          <t>High</t>
        </is>
      </c>
      <c r="U861" s="8" t="n">
        <v>46.39</v>
      </c>
      <c r="V861" s="13">
        <f>IF(U861="","",ROUND(M861-U861,2))</f>
        <v/>
      </c>
      <c r="W861" s="5" t="n"/>
      <c r="X861" s="5" t="inlineStr">
        <is>
          <t>Labour + plant + material as published; reconciles to the published rate.</t>
        </is>
      </c>
    </row>
    <row r="862" ht="13" customHeight="1">
      <c r="A862" s="4" t="n">
        <v>1511</v>
      </c>
      <c r="B862" s="5" t="inlineStr">
        <is>
          <t>IMG_0086</t>
        </is>
      </c>
      <c r="C862" s="5" t="inlineStr">
        <is>
          <t>CLASS G: CONCRETE ANCILLARIES</t>
        </is>
      </c>
      <c r="D862" s="5" t="inlineStr">
        <is>
          <t>03 FORMWORK; EXTRA SMOOTH FINISH</t>
        </is>
      </c>
      <c r="E862" s="5" t="inlineStr">
        <is>
          <t>Plane vertical, width</t>
        </is>
      </c>
      <c r="F862" s="5" t="inlineStr">
        <is>
          <t>0.2-0.40 m</t>
        </is>
      </c>
      <c r="G862" s="6" t="inlineStr">
        <is>
          <t>m2</t>
        </is>
      </c>
      <c r="H862" s="7" t="n">
        <v>0.74</v>
      </c>
      <c r="I862" s="8" t="n">
        <v>83.20999999999999</v>
      </c>
      <c r="J862" s="8" t="n">
        <v>15.54</v>
      </c>
      <c r="K862" s="8" t="n">
        <v>59.29</v>
      </c>
      <c r="L862" s="8" t="n">
        <v>0</v>
      </c>
      <c r="M862" s="9">
        <f>ROUND(SUM(I862:L862),2)</f>
        <v/>
      </c>
      <c r="N862" s="10">
        <f>ROUND(I862*'Irish Basis'!$C$6*'Irish Basis'!$C$5,2)</f>
        <v/>
      </c>
      <c r="O862" s="10">
        <f>ROUND(J862*'Irish Basis'!$C$7*'Irish Basis'!$C$5,2)</f>
        <v/>
      </c>
      <c r="P862" s="10">
        <f>ROUND(K862*'Irish Basis'!$C$8*'Irish Basis'!$C$5,2)</f>
        <v/>
      </c>
      <c r="Q862" s="10">
        <f>ROUND(L862*'Irish Basis'!$C$12*'Irish Basis'!$C$5,2)</f>
        <v/>
      </c>
      <c r="R862" s="11">
        <f>ROUND(SUM(N862:Q862),2)</f>
        <v/>
      </c>
      <c r="S862" s="5" t="inlineStr">
        <is>
          <t>Stated build-up</t>
        </is>
      </c>
      <c r="T862" s="12" t="inlineStr">
        <is>
          <t>High</t>
        </is>
      </c>
      <c r="U862" s="8" t="n">
        <v>158.05</v>
      </c>
      <c r="V862" s="13">
        <f>IF(U862="","",ROUND(M862-U862,2))</f>
        <v/>
      </c>
      <c r="W862" s="5" t="n"/>
      <c r="X862" s="5" t="inlineStr">
        <is>
          <t>Labour + plant + material as published; reconciles to the published rate.</t>
        </is>
      </c>
    </row>
    <row r="863" ht="13" customHeight="1">
      <c r="A863" s="4" t="n">
        <v>1512</v>
      </c>
      <c r="B863" s="5" t="inlineStr">
        <is>
          <t>IMG_0086</t>
        </is>
      </c>
      <c r="C863" s="5" t="inlineStr">
        <is>
          <t>CLASS G: CONCRETE ANCILLARIES</t>
        </is>
      </c>
      <c r="D863" s="5" t="inlineStr">
        <is>
          <t>03 FORMWORK; EXTRA SMOOTH FINISH</t>
        </is>
      </c>
      <c r="E863" s="5" t="inlineStr">
        <is>
          <t>Plane vertical, width</t>
        </is>
      </c>
      <c r="F863" s="5" t="inlineStr">
        <is>
          <t>0.4-1.22 m</t>
        </is>
      </c>
      <c r="G863" s="6" t="inlineStr">
        <is>
          <t>m2</t>
        </is>
      </c>
      <c r="H863" s="7" t="n">
        <v>0.53</v>
      </c>
      <c r="I863" s="8" t="n">
        <v>59.6</v>
      </c>
      <c r="J863" s="8" t="n">
        <v>11.17</v>
      </c>
      <c r="K863" s="8" t="n">
        <v>59.29</v>
      </c>
      <c r="L863" s="8" t="n">
        <v>0</v>
      </c>
      <c r="M863" s="9">
        <f>ROUND(SUM(I863:L863),2)</f>
        <v/>
      </c>
      <c r="N863" s="10">
        <f>ROUND(I863*'Irish Basis'!$C$6*'Irish Basis'!$C$5,2)</f>
        <v/>
      </c>
      <c r="O863" s="10">
        <f>ROUND(J863*'Irish Basis'!$C$7*'Irish Basis'!$C$5,2)</f>
        <v/>
      </c>
      <c r="P863" s="10">
        <f>ROUND(K863*'Irish Basis'!$C$8*'Irish Basis'!$C$5,2)</f>
        <v/>
      </c>
      <c r="Q863" s="10">
        <f>ROUND(L863*'Irish Basis'!$C$12*'Irish Basis'!$C$5,2)</f>
        <v/>
      </c>
      <c r="R863" s="11">
        <f>ROUND(SUM(N863:Q863),2)</f>
        <v/>
      </c>
      <c r="S863" s="5" t="inlineStr">
        <is>
          <t>Stated build-up</t>
        </is>
      </c>
      <c r="T863" s="12" t="inlineStr">
        <is>
          <t>High</t>
        </is>
      </c>
      <c r="U863" s="8" t="n">
        <v>130.06</v>
      </c>
      <c r="V863" s="13">
        <f>IF(U863="","",ROUND(M863-U863,2))</f>
        <v/>
      </c>
      <c r="W863" s="5" t="n"/>
      <c r="X863" s="5" t="inlineStr">
        <is>
          <t>Labour + plant + material as published; reconciles to the published rate.</t>
        </is>
      </c>
    </row>
    <row r="864" ht="13" customHeight="1">
      <c r="A864" s="4" t="n">
        <v>1513</v>
      </c>
      <c r="B864" s="5" t="inlineStr">
        <is>
          <t>IMG_0086</t>
        </is>
      </c>
      <c r="C864" s="5" t="inlineStr">
        <is>
          <t>CLASS G: CONCRETE ANCILLARIES</t>
        </is>
      </c>
      <c r="D864" s="5" t="inlineStr">
        <is>
          <t>03 FORMWORK; EXTRA SMOOTH FINISH</t>
        </is>
      </c>
      <c r="E864" s="5" t="inlineStr">
        <is>
          <t>Plane vertical, width</t>
        </is>
      </c>
      <c r="F864" s="5" t="inlineStr">
        <is>
          <t>exceeding 1.22 m</t>
        </is>
      </c>
      <c r="G864" s="6" t="inlineStr">
        <is>
          <t>m2</t>
        </is>
      </c>
      <c r="H864" s="7" t="n">
        <v>0.48</v>
      </c>
      <c r="I864" s="8" t="n">
        <v>53.98</v>
      </c>
      <c r="J864" s="8" t="n">
        <v>10.08</v>
      </c>
      <c r="K864" s="8" t="n">
        <v>59.29</v>
      </c>
      <c r="L864" s="8" t="n">
        <v>0</v>
      </c>
      <c r="M864" s="9">
        <f>ROUND(SUM(I864:L864),2)</f>
        <v/>
      </c>
      <c r="N864" s="10">
        <f>ROUND(I864*'Irish Basis'!$C$6*'Irish Basis'!$C$5,2)</f>
        <v/>
      </c>
      <c r="O864" s="10">
        <f>ROUND(J864*'Irish Basis'!$C$7*'Irish Basis'!$C$5,2)</f>
        <v/>
      </c>
      <c r="P864" s="10">
        <f>ROUND(K864*'Irish Basis'!$C$8*'Irish Basis'!$C$5,2)</f>
        <v/>
      </c>
      <c r="Q864" s="10">
        <f>ROUND(L864*'Irish Basis'!$C$12*'Irish Basis'!$C$5,2)</f>
        <v/>
      </c>
      <c r="R864" s="11">
        <f>ROUND(SUM(N864:Q864),2)</f>
        <v/>
      </c>
      <c r="S864" s="5" t="inlineStr">
        <is>
          <t>Stated build-up</t>
        </is>
      </c>
      <c r="T864" s="12" t="inlineStr">
        <is>
          <t>High</t>
        </is>
      </c>
      <c r="U864" s="8" t="n">
        <v>123.35</v>
      </c>
      <c r="V864" s="13">
        <f>IF(U864="","",ROUND(M864-U864,2))</f>
        <v/>
      </c>
      <c r="W864" s="5" t="n"/>
      <c r="X864" s="5" t="inlineStr">
        <is>
          <t>Labour + plant + material as published; reconciles to the published rate.</t>
        </is>
      </c>
    </row>
    <row r="865" ht="13" customHeight="1">
      <c r="A865" s="4" t="n">
        <v>1515</v>
      </c>
      <c r="B865" s="5" t="inlineStr">
        <is>
          <t>IMG_0086</t>
        </is>
      </c>
      <c r="C865" s="5" t="inlineStr">
        <is>
          <t>CLASS G: CONCRETE ANCILLARIES</t>
        </is>
      </c>
      <c r="D865" s="5" t="inlineStr">
        <is>
          <t>03 FORMWORK; EXTRA SMOOTH FINISH</t>
        </is>
      </c>
      <c r="E865" s="5" t="inlineStr">
        <is>
          <t>Curved to one radius in one plane, 0.5 m radius, width</t>
        </is>
      </c>
      <c r="F865" s="5" t="inlineStr">
        <is>
          <t>ne 0.1 m</t>
        </is>
      </c>
      <c r="G865" s="6" t="inlineStr">
        <is>
          <t>m</t>
        </is>
      </c>
      <c r="H865" s="7" t="n">
        <v>0.2</v>
      </c>
      <c r="I865" s="8" t="n">
        <v>11.26</v>
      </c>
      <c r="J865" s="8" t="n">
        <v>7.15</v>
      </c>
      <c r="K865" s="8" t="n">
        <v>20.7</v>
      </c>
      <c r="L865" s="8" t="n">
        <v>0</v>
      </c>
      <c r="M865" s="9">
        <f>ROUND(SUM(I865:L865),2)</f>
        <v/>
      </c>
      <c r="N865" s="10">
        <f>ROUND(I865*'Irish Basis'!$C$6*'Irish Basis'!$C$5,2)</f>
        <v/>
      </c>
      <c r="O865" s="10">
        <f>ROUND(J865*'Irish Basis'!$C$7*'Irish Basis'!$C$5,2)</f>
        <v/>
      </c>
      <c r="P865" s="10">
        <f>ROUND(K865*'Irish Basis'!$C$8*'Irish Basis'!$C$5,2)</f>
        <v/>
      </c>
      <c r="Q865" s="10">
        <f>ROUND(L865*'Irish Basis'!$C$12*'Irish Basis'!$C$5,2)</f>
        <v/>
      </c>
      <c r="R865" s="11">
        <f>ROUND(SUM(N865:Q865),2)</f>
        <v/>
      </c>
      <c r="S865" s="5" t="inlineStr">
        <is>
          <t>Stated build-up</t>
        </is>
      </c>
      <c r="T865" s="12" t="inlineStr">
        <is>
          <t>High</t>
        </is>
      </c>
      <c r="U865" s="8" t="n">
        <v>39.11</v>
      </c>
      <c r="V865" s="13">
        <f>IF(U865="","",ROUND(M865-U865,2))</f>
        <v/>
      </c>
      <c r="W865" s="5" t="n"/>
      <c r="X865" s="5" t="inlineStr">
        <is>
          <t>Labour + plant + material as published; reconciles to the published rate.</t>
        </is>
      </c>
    </row>
    <row r="866" ht="13" customHeight="1">
      <c r="A866" s="4" t="n">
        <v>1516</v>
      </c>
      <c r="B866" s="5" t="inlineStr">
        <is>
          <t>IMG_0086</t>
        </is>
      </c>
      <c r="C866" s="5" t="inlineStr">
        <is>
          <t>CLASS G: CONCRETE ANCILLARIES</t>
        </is>
      </c>
      <c r="D866" s="5" t="inlineStr">
        <is>
          <t>03 FORMWORK; EXTRA SMOOTH FINISH</t>
        </is>
      </c>
      <c r="E866" s="5" t="inlineStr">
        <is>
          <t>Curved to one radius in one plane, 0.5 m radius, width</t>
        </is>
      </c>
      <c r="F866" s="5" t="inlineStr">
        <is>
          <t>0.1-0.20 m</t>
        </is>
      </c>
      <c r="G866" s="6" t="inlineStr">
        <is>
          <t>m</t>
        </is>
      </c>
      <c r="H866" s="7" t="n">
        <v>0.25</v>
      </c>
      <c r="I866" s="8" t="n">
        <v>14.08</v>
      </c>
      <c r="J866" s="8" t="n">
        <v>8.92</v>
      </c>
      <c r="K866" s="8" t="n">
        <v>16.74</v>
      </c>
      <c r="L866" s="8" t="n">
        <v>0</v>
      </c>
      <c r="M866" s="9">
        <f>ROUND(SUM(I866:L866),2)</f>
        <v/>
      </c>
      <c r="N866" s="10">
        <f>ROUND(I866*'Irish Basis'!$C$6*'Irish Basis'!$C$5,2)</f>
        <v/>
      </c>
      <c r="O866" s="10">
        <f>ROUND(J866*'Irish Basis'!$C$7*'Irish Basis'!$C$5,2)</f>
        <v/>
      </c>
      <c r="P866" s="10">
        <f>ROUND(K866*'Irish Basis'!$C$8*'Irish Basis'!$C$5,2)</f>
        <v/>
      </c>
      <c r="Q866" s="10">
        <f>ROUND(L866*'Irish Basis'!$C$12*'Irish Basis'!$C$5,2)</f>
        <v/>
      </c>
      <c r="R866" s="11">
        <f>ROUND(SUM(N866:Q866),2)</f>
        <v/>
      </c>
      <c r="S866" s="5" t="inlineStr">
        <is>
          <t>Stated build-up</t>
        </is>
      </c>
      <c r="T866" s="12" t="inlineStr">
        <is>
          <t>High</t>
        </is>
      </c>
      <c r="U866" s="8" t="n">
        <v>39.74</v>
      </c>
      <c r="V866" s="13">
        <f>IF(U866="","",ROUND(M866-U866,2))</f>
        <v/>
      </c>
      <c r="W866" s="5" t="n"/>
      <c r="X866" s="5" t="inlineStr">
        <is>
          <t>Labour + plant + material as published; reconciles to the published rate.</t>
        </is>
      </c>
    </row>
    <row r="867" ht="13" customHeight="1">
      <c r="A867" s="4" t="n">
        <v>1517</v>
      </c>
      <c r="B867" s="5" t="inlineStr">
        <is>
          <t>IMG_0086</t>
        </is>
      </c>
      <c r="C867" s="5" t="inlineStr">
        <is>
          <t>CLASS G: CONCRETE ANCILLARIES</t>
        </is>
      </c>
      <c r="D867" s="5" t="inlineStr">
        <is>
          <t>03 FORMWORK; EXTRA SMOOTH FINISH</t>
        </is>
      </c>
      <c r="E867" s="5" t="inlineStr">
        <is>
          <t>Curved to one radius in one plane, 0.5 m radius, width</t>
        </is>
      </c>
      <c r="F867" s="5" t="inlineStr">
        <is>
          <t>0.2-0.40 m</t>
        </is>
      </c>
      <c r="G867" s="6" t="inlineStr">
        <is>
          <t>m2</t>
        </is>
      </c>
      <c r="H867" s="7" t="n">
        <v>0.9</v>
      </c>
      <c r="I867" s="8" t="n">
        <v>101.21</v>
      </c>
      <c r="J867" s="8" t="n">
        <v>18.91</v>
      </c>
      <c r="K867" s="8" t="n">
        <v>66</v>
      </c>
      <c r="L867" s="8" t="n">
        <v>0</v>
      </c>
      <c r="M867" s="9">
        <f>ROUND(SUM(I867:L867),2)</f>
        <v/>
      </c>
      <c r="N867" s="10">
        <f>ROUND(I867*'Irish Basis'!$C$6*'Irish Basis'!$C$5,2)</f>
        <v/>
      </c>
      <c r="O867" s="10">
        <f>ROUND(J867*'Irish Basis'!$C$7*'Irish Basis'!$C$5,2)</f>
        <v/>
      </c>
      <c r="P867" s="10">
        <f>ROUND(K867*'Irish Basis'!$C$8*'Irish Basis'!$C$5,2)</f>
        <v/>
      </c>
      <c r="Q867" s="10">
        <f>ROUND(L867*'Irish Basis'!$C$12*'Irish Basis'!$C$5,2)</f>
        <v/>
      </c>
      <c r="R867" s="11">
        <f>ROUND(SUM(N867:Q867),2)</f>
        <v/>
      </c>
      <c r="S867" s="5" t="inlineStr">
        <is>
          <t>Stated build-up</t>
        </is>
      </c>
      <c r="T867" s="12" t="inlineStr">
        <is>
          <t>High</t>
        </is>
      </c>
      <c r="U867" s="8" t="n">
        <v>186.11</v>
      </c>
      <c r="V867" s="13">
        <f>IF(U867="","",ROUND(M867-U867,2))</f>
        <v/>
      </c>
      <c r="W867" s="5" t="n"/>
      <c r="X867" s="5" t="inlineStr">
        <is>
          <t>Labour + plant + material as published; reconciles to the published rate.</t>
        </is>
      </c>
    </row>
    <row r="868" ht="13" customHeight="1">
      <c r="A868" s="4" t="n">
        <v>1518</v>
      </c>
      <c r="B868" s="5" t="inlineStr">
        <is>
          <t>IMG_0086</t>
        </is>
      </c>
      <c r="C868" s="5" t="inlineStr">
        <is>
          <t>CLASS G: CONCRETE ANCILLARIES</t>
        </is>
      </c>
      <c r="D868" s="5" t="inlineStr">
        <is>
          <t>03 FORMWORK; EXTRA SMOOTH FINISH</t>
        </is>
      </c>
      <c r="E868" s="5" t="inlineStr">
        <is>
          <t>Curved to one radius in one plane, 0.5 m radius, width</t>
        </is>
      </c>
      <c r="F868" s="5" t="inlineStr">
        <is>
          <t>0.4-1.22 m</t>
        </is>
      </c>
      <c r="G868" s="6" t="inlineStr">
        <is>
          <t>m2</t>
        </is>
      </c>
      <c r="H868" s="7" t="n">
        <v>0.72</v>
      </c>
      <c r="I868" s="8" t="n">
        <v>80.95999999999999</v>
      </c>
      <c r="J868" s="8" t="n">
        <v>15.12</v>
      </c>
      <c r="K868" s="8" t="n">
        <v>66</v>
      </c>
      <c r="L868" s="8" t="n">
        <v>0</v>
      </c>
      <c r="M868" s="9">
        <f>ROUND(SUM(I868:L868),2)</f>
        <v/>
      </c>
      <c r="N868" s="10">
        <f>ROUND(I868*'Irish Basis'!$C$6*'Irish Basis'!$C$5,2)</f>
        <v/>
      </c>
      <c r="O868" s="10">
        <f>ROUND(J868*'Irish Basis'!$C$7*'Irish Basis'!$C$5,2)</f>
        <v/>
      </c>
      <c r="P868" s="10">
        <f>ROUND(K868*'Irish Basis'!$C$8*'Irish Basis'!$C$5,2)</f>
        <v/>
      </c>
      <c r="Q868" s="10">
        <f>ROUND(L868*'Irish Basis'!$C$12*'Irish Basis'!$C$5,2)</f>
        <v/>
      </c>
      <c r="R868" s="11">
        <f>ROUND(SUM(N868:Q868),2)</f>
        <v/>
      </c>
      <c r="S868" s="5" t="inlineStr">
        <is>
          <t>Stated build-up</t>
        </is>
      </c>
      <c r="T868" s="12" t="inlineStr">
        <is>
          <t>High</t>
        </is>
      </c>
      <c r="U868" s="8" t="n">
        <v>162.09</v>
      </c>
      <c r="V868" s="13">
        <f>IF(U868="","",ROUND(M868-U868,2))</f>
        <v/>
      </c>
      <c r="W868" s="5" t="n"/>
      <c r="X868" s="5" t="inlineStr">
        <is>
          <t>Labour + plant + material as published; reconciles to the published rate.</t>
        </is>
      </c>
    </row>
    <row r="869" ht="13" customHeight="1">
      <c r="A869" s="4" t="n">
        <v>1519</v>
      </c>
      <c r="B869" s="5" t="inlineStr">
        <is>
          <t>IMG_0086</t>
        </is>
      </c>
      <c r="C869" s="5" t="inlineStr">
        <is>
          <t>CLASS G: CONCRETE ANCILLARIES</t>
        </is>
      </c>
      <c r="D869" s="5" t="inlineStr">
        <is>
          <t>03 FORMWORK; EXTRA SMOOTH FINISH</t>
        </is>
      </c>
      <c r="E869" s="5" t="inlineStr">
        <is>
          <t>Curved to one radius in one plane, 0.5 m radius, width</t>
        </is>
      </c>
      <c r="F869" s="5" t="inlineStr">
        <is>
          <t>exceeding 1.22 m</t>
        </is>
      </c>
      <c r="G869" s="6" t="inlineStr">
        <is>
          <t>m2</t>
        </is>
      </c>
      <c r="H869" s="7" t="n">
        <v>0.65</v>
      </c>
      <c r="I869" s="8" t="n">
        <v>73.09</v>
      </c>
      <c r="J869" s="8" t="n">
        <v>13.69</v>
      </c>
      <c r="K869" s="8" t="n">
        <v>66</v>
      </c>
      <c r="L869" s="8" t="n">
        <v>0</v>
      </c>
      <c r="M869" s="9">
        <f>ROUND(SUM(I869:L869),2)</f>
        <v/>
      </c>
      <c r="N869" s="10">
        <f>ROUND(I869*'Irish Basis'!$C$6*'Irish Basis'!$C$5,2)</f>
        <v/>
      </c>
      <c r="O869" s="10">
        <f>ROUND(J869*'Irish Basis'!$C$7*'Irish Basis'!$C$5,2)</f>
        <v/>
      </c>
      <c r="P869" s="10">
        <f>ROUND(K869*'Irish Basis'!$C$8*'Irish Basis'!$C$5,2)</f>
        <v/>
      </c>
      <c r="Q869" s="10">
        <f>ROUND(L869*'Irish Basis'!$C$12*'Irish Basis'!$C$5,2)</f>
        <v/>
      </c>
      <c r="R869" s="11">
        <f>ROUND(SUM(N869:Q869),2)</f>
        <v/>
      </c>
      <c r="S869" s="5" t="inlineStr">
        <is>
          <t>Stated build-up</t>
        </is>
      </c>
      <c r="T869" s="12" t="inlineStr">
        <is>
          <t>High</t>
        </is>
      </c>
      <c r="U869" s="8" t="n">
        <v>152.78</v>
      </c>
      <c r="V869" s="13">
        <f>IF(U869="","",ROUND(M869-U869,2))</f>
        <v/>
      </c>
      <c r="W869" s="5" t="n"/>
      <c r="X869" s="5" t="inlineStr">
        <is>
          <t>Labour + plant + material as published; reconciles to the published rate.</t>
        </is>
      </c>
    </row>
    <row r="870" ht="13" customHeight="1">
      <c r="A870" s="4" t="n">
        <v>1521</v>
      </c>
      <c r="B870" s="5" t="inlineStr">
        <is>
          <t>IMG_0086</t>
        </is>
      </c>
      <c r="C870" s="5" t="inlineStr">
        <is>
          <t>CLASS G: CONCRETE ANCILLARIES</t>
        </is>
      </c>
      <c r="D870" s="5" t="inlineStr">
        <is>
          <t>03 FORMWORK; EXTRA SMOOTH FINISH</t>
        </is>
      </c>
      <c r="E870" s="5" t="inlineStr">
        <is>
          <t>Curved to one radius in one plane, 1.0 m radius, width</t>
        </is>
      </c>
      <c r="F870" s="5" t="inlineStr">
        <is>
          <t>ne 0.1 m</t>
        </is>
      </c>
      <c r="G870" s="6" t="inlineStr">
        <is>
          <t>m</t>
        </is>
      </c>
      <c r="H870" s="7" t="n">
        <v>0.18</v>
      </c>
      <c r="I870" s="8" t="n">
        <v>10.14</v>
      </c>
      <c r="J870" s="8" t="n">
        <v>6.44</v>
      </c>
      <c r="K870" s="8" t="n">
        <v>20.7</v>
      </c>
      <c r="L870" s="8" t="n">
        <v>0</v>
      </c>
      <c r="M870" s="9">
        <f>ROUND(SUM(I870:L870),2)</f>
        <v/>
      </c>
      <c r="N870" s="10">
        <f>ROUND(I870*'Irish Basis'!$C$6*'Irish Basis'!$C$5,2)</f>
        <v/>
      </c>
      <c r="O870" s="10">
        <f>ROUND(J870*'Irish Basis'!$C$7*'Irish Basis'!$C$5,2)</f>
        <v/>
      </c>
      <c r="P870" s="10">
        <f>ROUND(K870*'Irish Basis'!$C$8*'Irish Basis'!$C$5,2)</f>
        <v/>
      </c>
      <c r="Q870" s="10">
        <f>ROUND(L870*'Irish Basis'!$C$12*'Irish Basis'!$C$5,2)</f>
        <v/>
      </c>
      <c r="R870" s="11">
        <f>ROUND(SUM(N870:Q870),2)</f>
        <v/>
      </c>
      <c r="S870" s="5" t="inlineStr">
        <is>
          <t>Stated build-up</t>
        </is>
      </c>
      <c r="T870" s="12" t="inlineStr">
        <is>
          <t>High</t>
        </is>
      </c>
      <c r="U870" s="8" t="n">
        <v>37.27</v>
      </c>
      <c r="V870" s="13">
        <f>IF(U870="","",ROUND(M870-U870,2))</f>
        <v/>
      </c>
      <c r="W870" s="5" t="n"/>
      <c r="X870" s="5" t="inlineStr">
        <is>
          <t>Labour + plant + material as published; reconciles to the published rate.</t>
        </is>
      </c>
    </row>
    <row r="871" ht="13" customHeight="1">
      <c r="A871" s="4" t="n">
        <v>1522</v>
      </c>
      <c r="B871" s="5" t="inlineStr">
        <is>
          <t>IMG_0086</t>
        </is>
      </c>
      <c r="C871" s="5" t="inlineStr">
        <is>
          <t>CLASS G: CONCRETE ANCILLARIES</t>
        </is>
      </c>
      <c r="D871" s="5" t="inlineStr">
        <is>
          <t>03 FORMWORK; EXTRA SMOOTH FINISH</t>
        </is>
      </c>
      <c r="E871" s="5" t="inlineStr">
        <is>
          <t>Curved to one radius in one plane, 1.0 m radius, width</t>
        </is>
      </c>
      <c r="F871" s="5" t="inlineStr">
        <is>
          <t>0.1-0.20 m</t>
        </is>
      </c>
      <c r="G871" s="6" t="inlineStr">
        <is>
          <t>m</t>
        </is>
      </c>
      <c r="H871" s="7" t="n">
        <v>0.22</v>
      </c>
      <c r="I871" s="8" t="n">
        <v>12.39</v>
      </c>
      <c r="J871" s="8" t="n">
        <v>7.87</v>
      </c>
      <c r="K871" s="8" t="n">
        <v>16.74</v>
      </c>
      <c r="L871" s="8" t="n">
        <v>0</v>
      </c>
      <c r="M871" s="9">
        <f>ROUND(SUM(I871:L871),2)</f>
        <v/>
      </c>
      <c r="N871" s="10">
        <f>ROUND(I871*'Irish Basis'!$C$6*'Irish Basis'!$C$5,2)</f>
        <v/>
      </c>
      <c r="O871" s="10">
        <f>ROUND(J871*'Irish Basis'!$C$7*'Irish Basis'!$C$5,2)</f>
        <v/>
      </c>
      <c r="P871" s="10">
        <f>ROUND(K871*'Irish Basis'!$C$8*'Irish Basis'!$C$5,2)</f>
        <v/>
      </c>
      <c r="Q871" s="10">
        <f>ROUND(L871*'Irish Basis'!$C$12*'Irish Basis'!$C$5,2)</f>
        <v/>
      </c>
      <c r="R871" s="11">
        <f>ROUND(SUM(N871:Q871),2)</f>
        <v/>
      </c>
      <c r="S871" s="5" t="inlineStr">
        <is>
          <t>Stated build-up</t>
        </is>
      </c>
      <c r="T871" s="12" t="inlineStr">
        <is>
          <t>High</t>
        </is>
      </c>
      <c r="U871" s="8" t="n">
        <v>37</v>
      </c>
      <c r="V871" s="13">
        <f>IF(U871="","",ROUND(M871-U871,2))</f>
        <v/>
      </c>
      <c r="W871" s="5" t="n"/>
      <c r="X871" s="5" t="inlineStr">
        <is>
          <t>Labour + plant + material as published; reconciles to the published rate.</t>
        </is>
      </c>
    </row>
    <row r="872" ht="13" customHeight="1">
      <c r="A872" s="4" t="n">
        <v>1523</v>
      </c>
      <c r="B872" s="5" t="inlineStr">
        <is>
          <t>IMG_0086</t>
        </is>
      </c>
      <c r="C872" s="5" t="inlineStr">
        <is>
          <t>CLASS G: CONCRETE ANCILLARIES</t>
        </is>
      </c>
      <c r="D872" s="5" t="inlineStr">
        <is>
          <t>03 FORMWORK; EXTRA SMOOTH FINISH</t>
        </is>
      </c>
      <c r="E872" s="5" t="inlineStr">
        <is>
          <t>Curved to one radius in one plane, 1.0 m radius, width</t>
        </is>
      </c>
      <c r="F872" s="5" t="inlineStr">
        <is>
          <t>0.2-0.40 m</t>
        </is>
      </c>
      <c r="G872" s="6" t="inlineStr">
        <is>
          <t>m2</t>
        </is>
      </c>
      <c r="H872" s="7" t="n">
        <v>0.84</v>
      </c>
      <c r="I872" s="8" t="n">
        <v>94.45999999999999</v>
      </c>
      <c r="J872" s="8" t="n">
        <v>29.45</v>
      </c>
      <c r="K872" s="8" t="n">
        <v>66</v>
      </c>
      <c r="L872" s="8" t="n">
        <v>0</v>
      </c>
      <c r="M872" s="9">
        <f>ROUND(SUM(I872:L872),2)</f>
        <v/>
      </c>
      <c r="N872" s="10">
        <f>ROUND(I872*'Irish Basis'!$C$6*'Irish Basis'!$C$5,2)</f>
        <v/>
      </c>
      <c r="O872" s="10">
        <f>ROUND(J872*'Irish Basis'!$C$7*'Irish Basis'!$C$5,2)</f>
        <v/>
      </c>
      <c r="P872" s="10">
        <f>ROUND(K872*'Irish Basis'!$C$8*'Irish Basis'!$C$5,2)</f>
        <v/>
      </c>
      <c r="Q872" s="10">
        <f>ROUND(L872*'Irish Basis'!$C$12*'Irish Basis'!$C$5,2)</f>
        <v/>
      </c>
      <c r="R872" s="11">
        <f>ROUND(SUM(N872:Q872),2)</f>
        <v/>
      </c>
      <c r="S872" s="5" t="inlineStr">
        <is>
          <t>Stated build-up</t>
        </is>
      </c>
      <c r="T872" s="12" t="inlineStr">
        <is>
          <t>High</t>
        </is>
      </c>
      <c r="U872" s="8" t="n">
        <v>189.91</v>
      </c>
      <c r="V872" s="13">
        <f>IF(U872="","",ROUND(M872-U872,2))</f>
        <v/>
      </c>
      <c r="W872" s="5" t="n"/>
      <c r="X872" s="5" t="inlineStr">
        <is>
          <t>Labour + plant + material as published; reconciles to the published rate.</t>
        </is>
      </c>
    </row>
    <row r="873" ht="13" customHeight="1">
      <c r="A873" s="4" t="n">
        <v>1524</v>
      </c>
      <c r="B873" s="5" t="inlineStr">
        <is>
          <t>IMG_0086</t>
        </is>
      </c>
      <c r="C873" s="5" t="inlineStr">
        <is>
          <t>CLASS G: CONCRETE ANCILLARIES</t>
        </is>
      </c>
      <c r="D873" s="5" t="inlineStr">
        <is>
          <t>03 FORMWORK; EXTRA SMOOTH FINISH</t>
        </is>
      </c>
      <c r="E873" s="5" t="inlineStr">
        <is>
          <t>Curved to one radius in one plane, 1.0 m radius, width</t>
        </is>
      </c>
      <c r="F873" s="5" t="inlineStr">
        <is>
          <t>0.4-1.22 m</t>
        </is>
      </c>
      <c r="G873" s="6" t="inlineStr">
        <is>
          <t>m2</t>
        </is>
      </c>
      <c r="H873" s="7" t="n">
        <v>0.66</v>
      </c>
      <c r="I873" s="8" t="n">
        <v>74.22</v>
      </c>
      <c r="J873" s="8" t="n">
        <v>13.86</v>
      </c>
      <c r="K873" s="8" t="n">
        <v>66</v>
      </c>
      <c r="L873" s="8" t="n">
        <v>0</v>
      </c>
      <c r="M873" s="9">
        <f>ROUND(SUM(I873:L873),2)</f>
        <v/>
      </c>
      <c r="N873" s="10">
        <f>ROUND(I873*'Irish Basis'!$C$6*'Irish Basis'!$C$5,2)</f>
        <v/>
      </c>
      <c r="O873" s="10">
        <f>ROUND(J873*'Irish Basis'!$C$7*'Irish Basis'!$C$5,2)</f>
        <v/>
      </c>
      <c r="P873" s="10">
        <f>ROUND(K873*'Irish Basis'!$C$8*'Irish Basis'!$C$5,2)</f>
        <v/>
      </c>
      <c r="Q873" s="10">
        <f>ROUND(L873*'Irish Basis'!$C$12*'Irish Basis'!$C$5,2)</f>
        <v/>
      </c>
      <c r="R873" s="11">
        <f>ROUND(SUM(N873:Q873),2)</f>
        <v/>
      </c>
      <c r="S873" s="5" t="inlineStr">
        <is>
          <t>Stated build-up</t>
        </is>
      </c>
      <c r="T873" s="12" t="inlineStr">
        <is>
          <t>High</t>
        </is>
      </c>
      <c r="U873" s="8" t="n">
        <v>154.08</v>
      </c>
      <c r="V873" s="13">
        <f>IF(U873="","",ROUND(M873-U873,2))</f>
        <v/>
      </c>
      <c r="W873" s="5" t="n"/>
      <c r="X873" s="5" t="inlineStr">
        <is>
          <t>Labour + plant + material as published; reconciles to the published rate.</t>
        </is>
      </c>
    </row>
    <row r="874" ht="13" customHeight="1">
      <c r="A874" s="4" t="n">
        <v>1525</v>
      </c>
      <c r="B874" s="5" t="inlineStr">
        <is>
          <t>IMG_0086</t>
        </is>
      </c>
      <c r="C874" s="5" t="inlineStr">
        <is>
          <t>CLASS G: CONCRETE ANCILLARIES</t>
        </is>
      </c>
      <c r="D874" s="5" t="inlineStr">
        <is>
          <t>03 FORMWORK; EXTRA SMOOTH FINISH</t>
        </is>
      </c>
      <c r="E874" s="5" t="inlineStr">
        <is>
          <t>Curved to one radius in one plane, 1.0 m radius, width</t>
        </is>
      </c>
      <c r="F874" s="5" t="inlineStr">
        <is>
          <t>exceeding 1.22 m</t>
        </is>
      </c>
      <c r="G874" s="6" t="inlineStr">
        <is>
          <t>m2</t>
        </is>
      </c>
      <c r="H874" s="7" t="n">
        <v>0.52</v>
      </c>
      <c r="I874" s="8" t="n">
        <v>58.47</v>
      </c>
      <c r="J874" s="8" t="n">
        <v>10.92</v>
      </c>
      <c r="K874" s="8" t="n">
        <v>66</v>
      </c>
      <c r="L874" s="8" t="n">
        <v>0</v>
      </c>
      <c r="M874" s="9">
        <f>ROUND(SUM(I874:L874),2)</f>
        <v/>
      </c>
      <c r="N874" s="10">
        <f>ROUND(I874*'Irish Basis'!$C$6*'Irish Basis'!$C$5,2)</f>
        <v/>
      </c>
      <c r="O874" s="10">
        <f>ROUND(J874*'Irish Basis'!$C$7*'Irish Basis'!$C$5,2)</f>
        <v/>
      </c>
      <c r="P874" s="10">
        <f>ROUND(K874*'Irish Basis'!$C$8*'Irish Basis'!$C$5,2)</f>
        <v/>
      </c>
      <c r="Q874" s="10">
        <f>ROUND(L874*'Irish Basis'!$C$12*'Irish Basis'!$C$5,2)</f>
        <v/>
      </c>
      <c r="R874" s="11">
        <f>ROUND(SUM(N874:Q874),2)</f>
        <v/>
      </c>
      <c r="S874" s="5" t="inlineStr">
        <is>
          <t>Stated build-up</t>
        </is>
      </c>
      <c r="T874" s="12" t="inlineStr">
        <is>
          <t>High</t>
        </is>
      </c>
      <c r="U874" s="8" t="n">
        <v>135.4</v>
      </c>
      <c r="V874" s="13">
        <f>IF(U874="","",ROUND(M874-U874,2))</f>
        <v/>
      </c>
      <c r="W874" s="5" t="n"/>
      <c r="X874" s="5" t="inlineStr">
        <is>
          <t>Labour + plant + material as published; reconciles to the published rate.</t>
        </is>
      </c>
    </row>
    <row r="875" ht="13" customHeight="1">
      <c r="A875" s="4" t="n">
        <v>1527</v>
      </c>
      <c r="B875" s="5" t="inlineStr">
        <is>
          <t>IMG_0086</t>
        </is>
      </c>
      <c r="C875" s="5" t="inlineStr">
        <is>
          <t>CLASS G: CONCRETE ANCILLARIES</t>
        </is>
      </c>
      <c r="D875" s="5" t="inlineStr">
        <is>
          <t>03 FORMWORK; EXTRA SMOOTH FINISH</t>
        </is>
      </c>
      <c r="E875" s="5" t="inlineStr">
        <is>
          <t>For voids, using void former</t>
        </is>
      </c>
      <c r="F875" s="5" t="inlineStr">
        <is>
          <t>small void; depth ne 0.5 m</t>
        </is>
      </c>
      <c r="G875" s="6" t="inlineStr">
        <is>
          <t>nr</t>
        </is>
      </c>
      <c r="H875" s="7" t="n">
        <v>0.07000000000000001</v>
      </c>
      <c r="I875" s="8" t="n">
        <v>3.94</v>
      </c>
      <c r="J875" s="8" t="n">
        <v>0</v>
      </c>
      <c r="K875" s="8" t="n">
        <v>19.93</v>
      </c>
      <c r="L875" s="8" t="n">
        <v>0</v>
      </c>
      <c r="M875" s="9">
        <f>ROUND(SUM(I875:L875),2)</f>
        <v/>
      </c>
      <c r="N875" s="10">
        <f>ROUND(I875*'Irish Basis'!$C$6*'Irish Basis'!$C$5,2)</f>
        <v/>
      </c>
      <c r="O875" s="10">
        <f>ROUND(J875*'Irish Basis'!$C$7*'Irish Basis'!$C$5,2)</f>
        <v/>
      </c>
      <c r="P875" s="10">
        <f>ROUND(K875*'Irish Basis'!$C$8*'Irish Basis'!$C$5,2)</f>
        <v/>
      </c>
      <c r="Q875" s="10">
        <f>ROUND(L875*'Irish Basis'!$C$12*'Irish Basis'!$C$5,2)</f>
        <v/>
      </c>
      <c r="R875" s="11">
        <f>ROUND(SUM(N875:Q875),2)</f>
        <v/>
      </c>
      <c r="S875" s="5" t="inlineStr">
        <is>
          <t>Stated build-up</t>
        </is>
      </c>
      <c r="T875" s="12" t="inlineStr">
        <is>
          <t>High</t>
        </is>
      </c>
      <c r="U875" s="8" t="n">
        <v>23.87</v>
      </c>
      <c r="V875" s="13">
        <f>IF(U875="","",ROUND(M875-U875,2))</f>
        <v/>
      </c>
      <c r="W875" s="5" t="n"/>
      <c r="X875" s="5" t="inlineStr">
        <is>
          <t>Labour + plant + material as published; reconciles to the published rate.</t>
        </is>
      </c>
    </row>
    <row r="876" ht="13" customHeight="1">
      <c r="A876" s="4" t="n">
        <v>1528</v>
      </c>
      <c r="B876" s="5" t="inlineStr">
        <is>
          <t>IMG_0086</t>
        </is>
      </c>
      <c r="C876" s="5" t="inlineStr">
        <is>
          <t>CLASS G: CONCRETE ANCILLARIES</t>
        </is>
      </c>
      <c r="D876" s="5" t="inlineStr">
        <is>
          <t>03 FORMWORK; EXTRA SMOOTH FINISH</t>
        </is>
      </c>
      <c r="E876" s="5" t="inlineStr">
        <is>
          <t>For voids, using void former</t>
        </is>
      </c>
      <c r="F876" s="5" t="inlineStr">
        <is>
          <t>small void; depth 0.5-1.0 m</t>
        </is>
      </c>
      <c r="G876" s="6" t="inlineStr">
        <is>
          <t>nr</t>
        </is>
      </c>
      <c r="H876" s="7" t="n">
        <v>0.12</v>
      </c>
      <c r="I876" s="8" t="n">
        <v>6.76</v>
      </c>
      <c r="J876" s="8" t="n">
        <v>0</v>
      </c>
      <c r="K876" s="8" t="n">
        <v>38.89</v>
      </c>
      <c r="L876" s="8" t="n">
        <v>0</v>
      </c>
      <c r="M876" s="9">
        <f>ROUND(SUM(I876:L876),2)</f>
        <v/>
      </c>
      <c r="N876" s="10">
        <f>ROUND(I876*'Irish Basis'!$C$6*'Irish Basis'!$C$5,2)</f>
        <v/>
      </c>
      <c r="O876" s="10">
        <f>ROUND(J876*'Irish Basis'!$C$7*'Irish Basis'!$C$5,2)</f>
        <v/>
      </c>
      <c r="P876" s="10">
        <f>ROUND(K876*'Irish Basis'!$C$8*'Irish Basis'!$C$5,2)</f>
        <v/>
      </c>
      <c r="Q876" s="10">
        <f>ROUND(L876*'Irish Basis'!$C$12*'Irish Basis'!$C$5,2)</f>
        <v/>
      </c>
      <c r="R876" s="11">
        <f>ROUND(SUM(N876:Q876),2)</f>
        <v/>
      </c>
      <c r="S876" s="5" t="inlineStr">
        <is>
          <t>Stated build-up</t>
        </is>
      </c>
      <c r="T876" s="12" t="inlineStr">
        <is>
          <t>High</t>
        </is>
      </c>
      <c r="U876" s="8" t="n">
        <v>45.64</v>
      </c>
      <c r="V876" s="13">
        <f>IF(U876="","",ROUND(M876-U876,2))</f>
        <v/>
      </c>
      <c r="W876" s="5" t="n"/>
      <c r="X876" s="5" t="inlineStr">
        <is>
          <t>Labour + plant + material as published; reconciles to the published rate.</t>
        </is>
      </c>
    </row>
    <row r="877" ht="13" customHeight="1">
      <c r="A877" s="4" t="n">
        <v>1529</v>
      </c>
      <c r="B877" s="5" t="inlineStr">
        <is>
          <t>IMG_0086</t>
        </is>
      </c>
      <c r="C877" s="5" t="inlineStr">
        <is>
          <t>CLASS G: CONCRETE ANCILLARIES</t>
        </is>
      </c>
      <c r="D877" s="5" t="inlineStr">
        <is>
          <t>03 FORMWORK; EXTRA SMOOTH FINISH</t>
        </is>
      </c>
      <c r="E877" s="5" t="inlineStr">
        <is>
          <t>For voids, using void former</t>
        </is>
      </c>
      <c r="F877" s="5" t="inlineStr">
        <is>
          <t>small void; depth ne 1.0-2.0 m</t>
        </is>
      </c>
      <c r="G877" s="6" t="inlineStr">
        <is>
          <t>nr</t>
        </is>
      </c>
      <c r="H877" s="7" t="n">
        <v>0.16</v>
      </c>
      <c r="I877" s="8" t="n">
        <v>9.01</v>
      </c>
      <c r="J877" s="8" t="n">
        <v>0</v>
      </c>
      <c r="K877" s="8" t="n">
        <v>60.99</v>
      </c>
      <c r="L877" s="8" t="n">
        <v>0</v>
      </c>
      <c r="M877" s="9">
        <f>ROUND(SUM(I877:L877),2)</f>
        <v/>
      </c>
      <c r="N877" s="10">
        <f>ROUND(I877*'Irish Basis'!$C$6*'Irish Basis'!$C$5,2)</f>
        <v/>
      </c>
      <c r="O877" s="10">
        <f>ROUND(J877*'Irish Basis'!$C$7*'Irish Basis'!$C$5,2)</f>
        <v/>
      </c>
      <c r="P877" s="10">
        <f>ROUND(K877*'Irish Basis'!$C$8*'Irish Basis'!$C$5,2)</f>
        <v/>
      </c>
      <c r="Q877" s="10">
        <f>ROUND(L877*'Irish Basis'!$C$12*'Irish Basis'!$C$5,2)</f>
        <v/>
      </c>
      <c r="R877" s="11">
        <f>ROUND(SUM(N877:Q877),2)</f>
        <v/>
      </c>
      <c r="S877" s="5" t="inlineStr">
        <is>
          <t>Stated build-up</t>
        </is>
      </c>
      <c r="T877" s="12" t="inlineStr">
        <is>
          <t>High</t>
        </is>
      </c>
      <c r="U877" s="8" t="n">
        <v>70</v>
      </c>
      <c r="V877" s="13">
        <f>IF(U877="","",ROUND(M877-U877,2))</f>
        <v/>
      </c>
      <c r="W877" s="5" t="n"/>
      <c r="X877" s="5" t="inlineStr">
        <is>
          <t>Labour + plant + material as published; reconciles to the published rate.</t>
        </is>
      </c>
    </row>
    <row r="878" ht="13" customHeight="1">
      <c r="A878" s="4" t="n">
        <v>1530</v>
      </c>
      <c r="B878" s="5" t="inlineStr">
        <is>
          <t>IMG_0086</t>
        </is>
      </c>
      <c r="C878" s="5" t="inlineStr">
        <is>
          <t>CLASS G: CONCRETE ANCILLARIES</t>
        </is>
      </c>
      <c r="D878" s="5" t="inlineStr">
        <is>
          <t>03 FORMWORK; EXTRA SMOOTH FINISH</t>
        </is>
      </c>
      <c r="E878" s="5" t="inlineStr">
        <is>
          <t>For voids, using void former</t>
        </is>
      </c>
      <c r="F878" s="5" t="inlineStr">
        <is>
          <t>large void; depth ne 0.5 m</t>
        </is>
      </c>
      <c r="G878" s="6" t="inlineStr">
        <is>
          <t>nr</t>
        </is>
      </c>
      <c r="H878" s="7" t="n">
        <v>0.14</v>
      </c>
      <c r="I878" s="8" t="n">
        <v>7.88</v>
      </c>
      <c r="J878" s="8" t="n">
        <v>0</v>
      </c>
      <c r="K878" s="8" t="n">
        <v>48.75</v>
      </c>
      <c r="L878" s="8" t="n">
        <v>0</v>
      </c>
      <c r="M878" s="9">
        <f>ROUND(SUM(I878:L878),2)</f>
        <v/>
      </c>
      <c r="N878" s="10">
        <f>ROUND(I878*'Irish Basis'!$C$6*'Irish Basis'!$C$5,2)</f>
        <v/>
      </c>
      <c r="O878" s="10">
        <f>ROUND(J878*'Irish Basis'!$C$7*'Irish Basis'!$C$5,2)</f>
        <v/>
      </c>
      <c r="P878" s="10">
        <f>ROUND(K878*'Irish Basis'!$C$8*'Irish Basis'!$C$5,2)</f>
        <v/>
      </c>
      <c r="Q878" s="10">
        <f>ROUND(L878*'Irish Basis'!$C$12*'Irish Basis'!$C$5,2)</f>
        <v/>
      </c>
      <c r="R878" s="11">
        <f>ROUND(SUM(N878:Q878),2)</f>
        <v/>
      </c>
      <c r="S878" s="5" t="inlineStr">
        <is>
          <t>Stated build-up</t>
        </is>
      </c>
      <c r="T878" s="12" t="inlineStr">
        <is>
          <t>High</t>
        </is>
      </c>
      <c r="U878" s="8" t="n">
        <v>56.63</v>
      </c>
      <c r="V878" s="13">
        <f>IF(U878="","",ROUND(M878-U878,2))</f>
        <v/>
      </c>
      <c r="W878" s="5" t="n"/>
      <c r="X878" s="5" t="inlineStr">
        <is>
          <t>Labour + plant + material as published; reconciles to the published rate.</t>
        </is>
      </c>
    </row>
    <row r="879" ht="13" customHeight="1">
      <c r="A879" s="4" t="n">
        <v>1531</v>
      </c>
      <c r="B879" s="5" t="inlineStr">
        <is>
          <t>IMG_0086</t>
        </is>
      </c>
      <c r="C879" s="5" t="inlineStr">
        <is>
          <t>CLASS G: CONCRETE ANCILLARIES</t>
        </is>
      </c>
      <c r="D879" s="5" t="inlineStr">
        <is>
          <t>03 FORMWORK; EXTRA SMOOTH FINISH</t>
        </is>
      </c>
      <c r="E879" s="5" t="inlineStr">
        <is>
          <t>For voids, using void former</t>
        </is>
      </c>
      <c r="F879" s="5" t="inlineStr">
        <is>
          <t>large void; depth 0.5-1.0 m</t>
        </is>
      </c>
      <c r="G879" s="6" t="inlineStr">
        <is>
          <t>nr</t>
        </is>
      </c>
      <c r="H879" s="7" t="n">
        <v>0.33</v>
      </c>
      <c r="I879" s="8" t="n">
        <v>18.58</v>
      </c>
      <c r="J879" s="8" t="n">
        <v>0</v>
      </c>
      <c r="K879" s="8" t="n">
        <v>84.8</v>
      </c>
      <c r="L879" s="8" t="n">
        <v>0</v>
      </c>
      <c r="M879" s="9">
        <f>ROUND(SUM(I879:L879),2)</f>
        <v/>
      </c>
      <c r="N879" s="10">
        <f>ROUND(I879*'Irish Basis'!$C$6*'Irish Basis'!$C$5,2)</f>
        <v/>
      </c>
      <c r="O879" s="10">
        <f>ROUND(J879*'Irish Basis'!$C$7*'Irish Basis'!$C$5,2)</f>
        <v/>
      </c>
      <c r="P879" s="10">
        <f>ROUND(K879*'Irish Basis'!$C$8*'Irish Basis'!$C$5,2)</f>
        <v/>
      </c>
      <c r="Q879" s="10">
        <f>ROUND(L879*'Irish Basis'!$C$12*'Irish Basis'!$C$5,2)</f>
        <v/>
      </c>
      <c r="R879" s="11">
        <f>ROUND(SUM(N879:Q879),2)</f>
        <v/>
      </c>
      <c r="S879" s="5" t="inlineStr">
        <is>
          <t>Stated build-up</t>
        </is>
      </c>
      <c r="T879" s="12" t="inlineStr">
        <is>
          <t>High</t>
        </is>
      </c>
      <c r="U879" s="8" t="n">
        <v>103.38</v>
      </c>
      <c r="V879" s="13">
        <f>IF(U879="","",ROUND(M879-U879,2))</f>
        <v/>
      </c>
      <c r="W879" s="5" t="n"/>
      <c r="X879" s="5" t="inlineStr">
        <is>
          <t>Labour + plant + material as published; reconciles to the published rate.</t>
        </is>
      </c>
    </row>
    <row r="880" ht="13" customHeight="1">
      <c r="A880" s="4" t="n">
        <v>1532</v>
      </c>
      <c r="B880" s="5" t="inlineStr">
        <is>
          <t>IMG_0086</t>
        </is>
      </c>
      <c r="C880" s="5" t="inlineStr">
        <is>
          <t>CLASS G: CONCRETE ANCILLARIES</t>
        </is>
      </c>
      <c r="D880" s="5" t="inlineStr">
        <is>
          <t>03 FORMWORK; EXTRA SMOOTH FINISH</t>
        </is>
      </c>
      <c r="E880" s="5" t="inlineStr">
        <is>
          <t>For voids, using void former</t>
        </is>
      </c>
      <c r="F880" s="5" t="inlineStr">
        <is>
          <t>large void; depth 1.0-2.0 m</t>
        </is>
      </c>
      <c r="G880" s="6" t="inlineStr">
        <is>
          <t>nr</t>
        </is>
      </c>
      <c r="H880" s="7" t="n">
        <v>0.58</v>
      </c>
      <c r="I880" s="8" t="n">
        <v>32.66</v>
      </c>
      <c r="J880" s="8" t="n">
        <v>0</v>
      </c>
      <c r="K880" s="8" t="n">
        <v>135.82</v>
      </c>
      <c r="L880" s="8" t="n">
        <v>0</v>
      </c>
      <c r="M880" s="9">
        <f>ROUND(SUM(I880:L880),2)</f>
        <v/>
      </c>
      <c r="N880" s="10">
        <f>ROUND(I880*'Irish Basis'!$C$6*'Irish Basis'!$C$5,2)</f>
        <v/>
      </c>
      <c r="O880" s="10">
        <f>ROUND(J880*'Irish Basis'!$C$7*'Irish Basis'!$C$5,2)</f>
        <v/>
      </c>
      <c r="P880" s="10">
        <f>ROUND(K880*'Irish Basis'!$C$8*'Irish Basis'!$C$5,2)</f>
        <v/>
      </c>
      <c r="Q880" s="10">
        <f>ROUND(L880*'Irish Basis'!$C$12*'Irish Basis'!$C$5,2)</f>
        <v/>
      </c>
      <c r="R880" s="11">
        <f>ROUND(SUM(N880:Q880),2)</f>
        <v/>
      </c>
      <c r="S880" s="5" t="inlineStr">
        <is>
          <t>Stated build-up</t>
        </is>
      </c>
      <c r="T880" s="12" t="inlineStr">
        <is>
          <t>High</t>
        </is>
      </c>
      <c r="U880" s="8" t="n">
        <v>168.48</v>
      </c>
      <c r="V880" s="13">
        <f>IF(U880="","",ROUND(M880-U880,2))</f>
        <v/>
      </c>
      <c r="W880" s="5" t="n"/>
      <c r="X880" s="5" t="inlineStr">
        <is>
          <t>Labour + plant + material as published; reconciles to the published rate.</t>
        </is>
      </c>
    </row>
    <row r="881" ht="13" customHeight="1">
      <c r="A881" s="4" t="n">
        <v>1534</v>
      </c>
      <c r="B881" s="5" t="inlineStr">
        <is>
          <t>IMG_0086</t>
        </is>
      </c>
      <c r="C881" s="5" t="inlineStr">
        <is>
          <t>CLASS G: CONCRETE ANCILLARIES</t>
        </is>
      </c>
      <c r="D881" s="5" t="inlineStr">
        <is>
          <t>03 FORMWORK; EXTRA SMOOTH FINISH</t>
        </is>
      </c>
      <c r="E881" s="5" t="inlineStr">
        <is>
          <t>For concrete components of constant cross-section</t>
        </is>
      </c>
      <c r="F881" s="5" t="inlineStr">
        <is>
          <t>beams; 200 x 200 mm</t>
        </is>
      </c>
      <c r="G881" s="6" t="inlineStr">
        <is>
          <t>m</t>
        </is>
      </c>
      <c r="H881" s="7" t="n">
        <v>0.5</v>
      </c>
      <c r="I881" s="8" t="n">
        <v>28.16</v>
      </c>
      <c r="J881" s="8" t="n">
        <v>17.88</v>
      </c>
      <c r="K881" s="8" t="n">
        <v>34.66</v>
      </c>
      <c r="L881" s="8" t="n">
        <v>0</v>
      </c>
      <c r="M881" s="9">
        <f>ROUND(SUM(I881:L881),2)</f>
        <v/>
      </c>
      <c r="N881" s="10">
        <f>ROUND(I881*'Irish Basis'!$C$6*'Irish Basis'!$C$5,2)</f>
        <v/>
      </c>
      <c r="O881" s="10">
        <f>ROUND(J881*'Irish Basis'!$C$7*'Irish Basis'!$C$5,2)</f>
        <v/>
      </c>
      <c r="P881" s="10">
        <f>ROUND(K881*'Irish Basis'!$C$8*'Irish Basis'!$C$5,2)</f>
        <v/>
      </c>
      <c r="Q881" s="10">
        <f>ROUND(L881*'Irish Basis'!$C$12*'Irish Basis'!$C$5,2)</f>
        <v/>
      </c>
      <c r="R881" s="11">
        <f>ROUND(SUM(N881:Q881),2)</f>
        <v/>
      </c>
      <c r="S881" s="5" t="inlineStr">
        <is>
          <t>Stated build-up</t>
        </is>
      </c>
      <c r="T881" s="12" t="inlineStr">
        <is>
          <t>High</t>
        </is>
      </c>
      <c r="U881" s="8" t="n">
        <v>80.7</v>
      </c>
      <c r="V881" s="13">
        <f>IF(U881="","",ROUND(M881-U881,2))</f>
        <v/>
      </c>
      <c r="W881" s="5" t="n"/>
      <c r="X881" s="5" t="inlineStr">
        <is>
          <t>Labour + plant + material as published; reconciles to the published rate.</t>
        </is>
      </c>
    </row>
    <row r="882" ht="13" customHeight="1">
      <c r="A882" s="4" t="n">
        <v>1535</v>
      </c>
      <c r="B882" s="5" t="inlineStr">
        <is>
          <t>IMG_0086</t>
        </is>
      </c>
      <c r="C882" s="5" t="inlineStr">
        <is>
          <t>CLASS G: CONCRETE ANCILLARIES</t>
        </is>
      </c>
      <c r="D882" s="5" t="inlineStr">
        <is>
          <t>03 FORMWORK; EXTRA SMOOTH FINISH</t>
        </is>
      </c>
      <c r="E882" s="5" t="inlineStr">
        <is>
          <t>For concrete components of constant cross-section</t>
        </is>
      </c>
      <c r="F882" s="5" t="inlineStr">
        <is>
          <t>beams; 500 x 500 mm</t>
        </is>
      </c>
      <c r="G882" s="6" t="inlineStr">
        <is>
          <t>m</t>
        </is>
      </c>
      <c r="H882" s="7" t="n">
        <v>0.57</v>
      </c>
      <c r="I882" s="8" t="n">
        <v>32.1</v>
      </c>
      <c r="J882" s="8" t="n">
        <v>11.94</v>
      </c>
      <c r="K882" s="8" t="n">
        <v>66.58</v>
      </c>
      <c r="L882" s="8" t="n">
        <v>0</v>
      </c>
      <c r="M882" s="9">
        <f>ROUND(SUM(I882:L882),2)</f>
        <v/>
      </c>
      <c r="N882" s="10">
        <f>ROUND(I882*'Irish Basis'!$C$6*'Irish Basis'!$C$5,2)</f>
        <v/>
      </c>
      <c r="O882" s="10">
        <f>ROUND(J882*'Irish Basis'!$C$7*'Irish Basis'!$C$5,2)</f>
        <v/>
      </c>
      <c r="P882" s="10">
        <f>ROUND(K882*'Irish Basis'!$C$8*'Irish Basis'!$C$5,2)</f>
        <v/>
      </c>
      <c r="Q882" s="10">
        <f>ROUND(L882*'Irish Basis'!$C$12*'Irish Basis'!$C$5,2)</f>
        <v/>
      </c>
      <c r="R882" s="11">
        <f>ROUND(SUM(N882:Q882),2)</f>
        <v/>
      </c>
      <c r="S882" s="5" t="inlineStr">
        <is>
          <t>Stated build-up</t>
        </is>
      </c>
      <c r="T882" s="12" t="inlineStr">
        <is>
          <t>High</t>
        </is>
      </c>
      <c r="U882" s="8" t="n">
        <v>110.62</v>
      </c>
      <c r="V882" s="13">
        <f>IF(U882="","",ROUND(M882-U882,2))</f>
        <v/>
      </c>
      <c r="W882" s="5" t="n"/>
      <c r="X882" s="5" t="inlineStr">
        <is>
          <t>Labour + plant + material as published; reconciles to the published rate.</t>
        </is>
      </c>
    </row>
    <row r="883" ht="13" customHeight="1">
      <c r="A883" s="4" t="n">
        <v>1536</v>
      </c>
      <c r="B883" s="5" t="inlineStr">
        <is>
          <t>IMG_0086</t>
        </is>
      </c>
      <c r="C883" s="5" t="inlineStr">
        <is>
          <t>CLASS G: CONCRETE ANCILLARIES</t>
        </is>
      </c>
      <c r="D883" s="5" t="inlineStr">
        <is>
          <t>03 FORMWORK; EXTRA SMOOTH FINISH</t>
        </is>
      </c>
      <c r="E883" s="5" t="inlineStr">
        <is>
          <t>For concrete components of constant cross-section</t>
        </is>
      </c>
      <c r="F883" s="5" t="inlineStr">
        <is>
          <t>beams; 500 x 800 mm</t>
        </is>
      </c>
      <c r="G883" s="6" t="inlineStr">
        <is>
          <t>m</t>
        </is>
      </c>
      <c r="H883" s="7" t="n">
        <v>0.6899999999999999</v>
      </c>
      <c r="I883" s="8" t="n">
        <v>38.85</v>
      </c>
      <c r="J883" s="8" t="n">
        <v>14.52</v>
      </c>
      <c r="K883" s="8" t="n">
        <v>81.7</v>
      </c>
      <c r="L883" s="8" t="n">
        <v>0</v>
      </c>
      <c r="M883" s="9">
        <f>ROUND(SUM(I883:L883),2)</f>
        <v/>
      </c>
      <c r="N883" s="10">
        <f>ROUND(I883*'Irish Basis'!$C$6*'Irish Basis'!$C$5,2)</f>
        <v/>
      </c>
      <c r="O883" s="10">
        <f>ROUND(J883*'Irish Basis'!$C$7*'Irish Basis'!$C$5,2)</f>
        <v/>
      </c>
      <c r="P883" s="10">
        <f>ROUND(K883*'Irish Basis'!$C$8*'Irish Basis'!$C$5,2)</f>
        <v/>
      </c>
      <c r="Q883" s="10">
        <f>ROUND(L883*'Irish Basis'!$C$12*'Irish Basis'!$C$5,2)</f>
        <v/>
      </c>
      <c r="R883" s="11">
        <f>ROUND(SUM(N883:Q883),2)</f>
        <v/>
      </c>
      <c r="S883" s="5" t="inlineStr">
        <is>
          <t>Stated build-up</t>
        </is>
      </c>
      <c r="T883" s="12" t="inlineStr">
        <is>
          <t>High</t>
        </is>
      </c>
      <c r="U883" s="8" t="n">
        <v>135.07</v>
      </c>
      <c r="V883" s="13">
        <f>IF(U883="","",ROUND(M883-U883,2))</f>
        <v/>
      </c>
      <c r="W883" s="5" t="n"/>
      <c r="X883" s="5" t="inlineStr">
        <is>
          <t>Labour + plant + material as published; reconciles to the published rate.</t>
        </is>
      </c>
    </row>
    <row r="884" ht="13" customHeight="1">
      <c r="A884" s="4" t="n">
        <v>1537</v>
      </c>
      <c r="B884" s="5" t="inlineStr">
        <is>
          <t>IMG_0086</t>
        </is>
      </c>
      <c r="C884" s="5" t="inlineStr">
        <is>
          <t>CLASS G: CONCRETE ANCILLARIES</t>
        </is>
      </c>
      <c r="D884" s="5" t="inlineStr">
        <is>
          <t>03 FORMWORK; EXTRA SMOOTH FINISH</t>
        </is>
      </c>
      <c r="E884" s="5" t="inlineStr">
        <is>
          <t>For concrete components of constant cross-section</t>
        </is>
      </c>
      <c r="F884" s="5" t="inlineStr">
        <is>
          <t>columns; 200 x 200 mm</t>
        </is>
      </c>
      <c r="G884" s="6" t="inlineStr">
        <is>
          <t>m</t>
        </is>
      </c>
      <c r="H884" s="7" t="n">
        <v>0.57</v>
      </c>
      <c r="I884" s="8" t="n">
        <v>32.1</v>
      </c>
      <c r="J884" s="8" t="n">
        <v>11.94</v>
      </c>
      <c r="K884" s="8" t="n">
        <v>40.26</v>
      </c>
      <c r="L884" s="8" t="n">
        <v>0</v>
      </c>
      <c r="M884" s="9">
        <f>ROUND(SUM(I884:L884),2)</f>
        <v/>
      </c>
      <c r="N884" s="10">
        <f>ROUND(I884*'Irish Basis'!$C$6*'Irish Basis'!$C$5,2)</f>
        <v/>
      </c>
      <c r="O884" s="10">
        <f>ROUND(J884*'Irish Basis'!$C$7*'Irish Basis'!$C$5,2)</f>
        <v/>
      </c>
      <c r="P884" s="10">
        <f>ROUND(K884*'Irish Basis'!$C$8*'Irish Basis'!$C$5,2)</f>
        <v/>
      </c>
      <c r="Q884" s="10">
        <f>ROUND(L884*'Irish Basis'!$C$12*'Irish Basis'!$C$5,2)</f>
        <v/>
      </c>
      <c r="R884" s="11">
        <f>ROUND(SUM(N884:Q884),2)</f>
        <v/>
      </c>
      <c r="S884" s="5" t="inlineStr">
        <is>
          <t>Stated build-up</t>
        </is>
      </c>
      <c r="T884" s="12" t="inlineStr">
        <is>
          <t>High</t>
        </is>
      </c>
      <c r="U884" s="8" t="n">
        <v>84.3</v>
      </c>
      <c r="V884" s="13">
        <f>IF(U884="","",ROUND(M884-U884,2))</f>
        <v/>
      </c>
      <c r="W884" s="5" t="n"/>
      <c r="X884" s="5" t="inlineStr">
        <is>
          <t>Labour + plant + material as published; reconciles to the published rate.</t>
        </is>
      </c>
    </row>
    <row r="885" ht="13" customHeight="1">
      <c r="A885" s="4" t="n">
        <v>1538</v>
      </c>
      <c r="B885" s="5" t="inlineStr">
        <is>
          <t>IMG_0086</t>
        </is>
      </c>
      <c r="C885" s="5" t="inlineStr">
        <is>
          <t>CLASS G: CONCRETE ANCILLARIES</t>
        </is>
      </c>
      <c r="D885" s="5" t="inlineStr">
        <is>
          <t>03 FORMWORK; EXTRA SMOOTH FINISH</t>
        </is>
      </c>
      <c r="E885" s="5" t="inlineStr">
        <is>
          <t>For concrete components of constant cross-section</t>
        </is>
      </c>
      <c r="F885" s="5" t="inlineStr">
        <is>
          <t>columns; 300 x 300 mm</t>
        </is>
      </c>
      <c r="G885" s="6" t="inlineStr">
        <is>
          <t>m</t>
        </is>
      </c>
      <c r="H885" s="7" t="n">
        <v>0.57</v>
      </c>
      <c r="I885" s="8" t="n">
        <v>32.1</v>
      </c>
      <c r="J885" s="8" t="n">
        <v>11.94</v>
      </c>
      <c r="K885" s="8" t="n">
        <v>58.18</v>
      </c>
      <c r="L885" s="8" t="n">
        <v>0</v>
      </c>
      <c r="M885" s="9">
        <f>ROUND(SUM(I885:L885),2)</f>
        <v/>
      </c>
      <c r="N885" s="10">
        <f>ROUND(I885*'Irish Basis'!$C$6*'Irish Basis'!$C$5,2)</f>
        <v/>
      </c>
      <c r="O885" s="10">
        <f>ROUND(J885*'Irish Basis'!$C$7*'Irish Basis'!$C$5,2)</f>
        <v/>
      </c>
      <c r="P885" s="10">
        <f>ROUND(K885*'Irish Basis'!$C$8*'Irish Basis'!$C$5,2)</f>
        <v/>
      </c>
      <c r="Q885" s="10">
        <f>ROUND(L885*'Irish Basis'!$C$12*'Irish Basis'!$C$5,2)</f>
        <v/>
      </c>
      <c r="R885" s="11">
        <f>ROUND(SUM(N885:Q885),2)</f>
        <v/>
      </c>
      <c r="S885" s="5" t="inlineStr">
        <is>
          <t>Stated build-up</t>
        </is>
      </c>
      <c r="T885" s="12" t="inlineStr">
        <is>
          <t>High</t>
        </is>
      </c>
      <c r="U885" s="8" t="n">
        <v>102.21</v>
      </c>
      <c r="V885" s="13">
        <f>IF(U885="","",ROUND(M885-U885,2))</f>
        <v/>
      </c>
      <c r="W885" s="5" t="n"/>
      <c r="X885" s="5" t="inlineStr">
        <is>
          <t>Labour + plant + material as published; reconciles to the published rate.</t>
        </is>
      </c>
    </row>
    <row r="886" ht="13" customHeight="1">
      <c r="A886" s="4" t="n">
        <v>1539</v>
      </c>
      <c r="B886" s="5" t="inlineStr">
        <is>
          <t>IMG_0086</t>
        </is>
      </c>
      <c r="C886" s="5" t="inlineStr">
        <is>
          <t>CLASS G: CONCRETE ANCILLARIES</t>
        </is>
      </c>
      <c r="D886" s="5" t="inlineStr">
        <is>
          <t>03 FORMWORK; EXTRA SMOOTH FINISH</t>
        </is>
      </c>
      <c r="E886" s="5" t="inlineStr">
        <is>
          <t>For concrete components of constant cross-section</t>
        </is>
      </c>
      <c r="F886" s="5" t="inlineStr">
        <is>
          <t>columns; 300 x 500 mm</t>
        </is>
      </c>
      <c r="G886" s="6" t="inlineStr">
        <is>
          <t>m</t>
        </is>
      </c>
      <c r="H886" s="7" t="n">
        <v>0.64</v>
      </c>
      <c r="I886" s="8" t="n">
        <v>36.04</v>
      </c>
      <c r="J886" s="8" t="n">
        <v>13.44</v>
      </c>
      <c r="K886" s="8" t="n">
        <v>72.73999999999999</v>
      </c>
      <c r="L886" s="8" t="n">
        <v>0</v>
      </c>
      <c r="M886" s="9">
        <f>ROUND(SUM(I886:L886),2)</f>
        <v/>
      </c>
      <c r="N886" s="10">
        <f>ROUND(I886*'Irish Basis'!$C$6*'Irish Basis'!$C$5,2)</f>
        <v/>
      </c>
      <c r="O886" s="10">
        <f>ROUND(J886*'Irish Basis'!$C$7*'Irish Basis'!$C$5,2)</f>
        <v/>
      </c>
      <c r="P886" s="10">
        <f>ROUND(K886*'Irish Basis'!$C$8*'Irish Basis'!$C$5,2)</f>
        <v/>
      </c>
      <c r="Q886" s="10">
        <f>ROUND(L886*'Irish Basis'!$C$12*'Irish Basis'!$C$5,2)</f>
        <v/>
      </c>
      <c r="R886" s="11">
        <f>ROUND(SUM(N886:Q886),2)</f>
        <v/>
      </c>
      <c r="S886" s="5" t="inlineStr">
        <is>
          <t>Stated build-up</t>
        </is>
      </c>
      <c r="T886" s="12" t="inlineStr">
        <is>
          <t>High</t>
        </is>
      </c>
      <c r="U886" s="8" t="n">
        <v>122.22</v>
      </c>
      <c r="V886" s="13">
        <f>IF(U886="","",ROUND(M886-U886,2))</f>
        <v/>
      </c>
      <c r="W886" s="5" t="n"/>
      <c r="X886" s="5" t="inlineStr">
        <is>
          <t>Labour + plant + material as published; reconciles to the published rate.</t>
        </is>
      </c>
    </row>
    <row r="887" ht="13" customHeight="1">
      <c r="A887" s="4" t="n">
        <v>1540</v>
      </c>
      <c r="B887" s="5" t="inlineStr">
        <is>
          <t>IMG_0086</t>
        </is>
      </c>
      <c r="C887" s="5" t="inlineStr">
        <is>
          <t>CLASS G: CONCRETE ANCILLARIES</t>
        </is>
      </c>
      <c r="D887" s="5" t="inlineStr">
        <is>
          <t>03 FORMWORK; EXTRA SMOOTH FINISH</t>
        </is>
      </c>
      <c r="E887" s="5" t="inlineStr">
        <is>
          <t>For concrete components of constant cross-section</t>
        </is>
      </c>
      <c r="F887" s="5" t="inlineStr">
        <is>
          <t>to walls; 1.0 m high thickness 250 mm</t>
        </is>
      </c>
      <c r="G887" s="6" t="inlineStr">
        <is>
          <t>m</t>
        </is>
      </c>
      <c r="H887" s="7" t="n">
        <v>1.2</v>
      </c>
      <c r="I887" s="8" t="n">
        <v>134.94</v>
      </c>
      <c r="J887" s="8" t="n">
        <v>25.21</v>
      </c>
      <c r="K887" s="8" t="n">
        <v>87.3</v>
      </c>
      <c r="L887" s="8" t="n">
        <v>0</v>
      </c>
      <c r="M887" s="9">
        <f>ROUND(SUM(I887:L887),2)</f>
        <v/>
      </c>
      <c r="N887" s="10">
        <f>ROUND(I887*'Irish Basis'!$C$6*'Irish Basis'!$C$5,2)</f>
        <v/>
      </c>
      <c r="O887" s="10">
        <f>ROUND(J887*'Irish Basis'!$C$7*'Irish Basis'!$C$5,2)</f>
        <v/>
      </c>
      <c r="P887" s="10">
        <f>ROUND(K887*'Irish Basis'!$C$8*'Irish Basis'!$C$5,2)</f>
        <v/>
      </c>
      <c r="Q887" s="10">
        <f>ROUND(L887*'Irish Basis'!$C$12*'Irish Basis'!$C$5,2)</f>
        <v/>
      </c>
      <c r="R887" s="11">
        <f>ROUND(SUM(N887:Q887),2)</f>
        <v/>
      </c>
      <c r="S887" s="5" t="inlineStr">
        <is>
          <t>Stated build-up</t>
        </is>
      </c>
      <c r="T887" s="12" t="inlineStr">
        <is>
          <t>High</t>
        </is>
      </c>
      <c r="U887" s="8" t="n">
        <v>247.45</v>
      </c>
      <c r="V887" s="13">
        <f>IF(U887="","",ROUND(M887-U887,2))</f>
        <v/>
      </c>
      <c r="W887" s="5" t="n"/>
      <c r="X887" s="5" t="inlineStr">
        <is>
          <t>Labour + plant + material as published; reconciles to the published rate.</t>
        </is>
      </c>
    </row>
    <row r="888" ht="13" customHeight="1">
      <c r="A888" s="4" t="n">
        <v>1541</v>
      </c>
      <c r="B888" s="5" t="inlineStr">
        <is>
          <t>IMG_0086</t>
        </is>
      </c>
      <c r="C888" s="5" t="inlineStr">
        <is>
          <t>CLASS G: CONCRETE ANCILLARIES</t>
        </is>
      </c>
      <c r="D888" s="5" t="inlineStr">
        <is>
          <t>03 FORMWORK; EXTRA SMOOTH FINISH</t>
        </is>
      </c>
      <c r="E888" s="5" t="inlineStr">
        <is>
          <t>For concrete components of constant cross-section</t>
        </is>
      </c>
      <c r="F888" s="5" t="inlineStr">
        <is>
          <t>to walls; 1.5 m high thickness 300 mm</t>
        </is>
      </c>
      <c r="G888" s="6" t="inlineStr">
        <is>
          <t>m</t>
        </is>
      </c>
      <c r="H888" s="7" t="n">
        <v>1.6</v>
      </c>
      <c r="I888" s="8" t="n">
        <v>179.92</v>
      </c>
      <c r="J888" s="8" t="n">
        <v>33.61</v>
      </c>
      <c r="K888" s="8" t="n">
        <v>128.74</v>
      </c>
      <c r="L888" s="8" t="n">
        <v>0</v>
      </c>
      <c r="M888" s="9">
        <f>ROUND(SUM(I888:L888),2)</f>
        <v/>
      </c>
      <c r="N888" s="10">
        <f>ROUND(I888*'Irish Basis'!$C$6*'Irish Basis'!$C$5,2)</f>
        <v/>
      </c>
      <c r="O888" s="10">
        <f>ROUND(J888*'Irish Basis'!$C$7*'Irish Basis'!$C$5,2)</f>
        <v/>
      </c>
      <c r="P888" s="10">
        <f>ROUND(K888*'Irish Basis'!$C$8*'Irish Basis'!$C$5,2)</f>
        <v/>
      </c>
      <c r="Q888" s="10">
        <f>ROUND(L888*'Irish Basis'!$C$12*'Irish Basis'!$C$5,2)</f>
        <v/>
      </c>
      <c r="R888" s="11">
        <f>ROUND(SUM(N888:Q888),2)</f>
        <v/>
      </c>
      <c r="S888" s="5" t="inlineStr">
        <is>
          <t>Stated build-up</t>
        </is>
      </c>
      <c r="T888" s="12" t="inlineStr">
        <is>
          <t>High</t>
        </is>
      </c>
      <c r="U888" s="8" t="n">
        <v>342.27</v>
      </c>
      <c r="V888" s="13">
        <f>IF(U888="","",ROUND(M888-U888,2))</f>
        <v/>
      </c>
      <c r="W888" s="5" t="n"/>
      <c r="X888" s="5" t="inlineStr">
        <is>
          <t>Labour + plant + material as published; reconciles to the published rate.</t>
        </is>
      </c>
    </row>
    <row r="889" ht="13" customHeight="1">
      <c r="A889" s="4" t="n">
        <v>1542</v>
      </c>
      <c r="B889" s="5" t="inlineStr">
        <is>
          <t>IMG_0086</t>
        </is>
      </c>
      <c r="C889" s="5" t="inlineStr">
        <is>
          <t>CLASS G: CONCRETE ANCILLARIES</t>
        </is>
      </c>
      <c r="D889" s="5" t="inlineStr">
        <is>
          <t>03 FORMWORK; EXTRA SMOOTH FINISH</t>
        </is>
      </c>
      <c r="E889" s="5" t="inlineStr">
        <is>
          <t>For concrete components of constant cross-section</t>
        </is>
      </c>
      <c r="F889" s="5" t="inlineStr">
        <is>
          <t>box culvert; 2 x 2 m internally and wall thickness 300 mm</t>
        </is>
      </c>
      <c r="G889" s="6" t="inlineStr">
        <is>
          <t>m</t>
        </is>
      </c>
      <c r="H889" s="7" t="n">
        <v>4.6</v>
      </c>
      <c r="I889" s="8" t="n">
        <v>517.27</v>
      </c>
      <c r="J889" s="8" t="n">
        <v>96.63</v>
      </c>
      <c r="K889" s="8" t="n">
        <v>637.51</v>
      </c>
      <c r="L889" s="8" t="n">
        <v>0</v>
      </c>
      <c r="M889" s="9">
        <f>ROUND(SUM(I889:L889),2)</f>
        <v/>
      </c>
      <c r="N889" s="10">
        <f>ROUND(I889*'Irish Basis'!$C$6*'Irish Basis'!$C$5,2)</f>
        <v/>
      </c>
      <c r="O889" s="10">
        <f>ROUND(J889*'Irish Basis'!$C$7*'Irish Basis'!$C$5,2)</f>
        <v/>
      </c>
      <c r="P889" s="10">
        <f>ROUND(K889*'Irish Basis'!$C$8*'Irish Basis'!$C$5,2)</f>
        <v/>
      </c>
      <c r="Q889" s="10">
        <f>ROUND(L889*'Irish Basis'!$C$12*'Irish Basis'!$C$5,2)</f>
        <v/>
      </c>
      <c r="R889" s="11">
        <f>ROUND(SUM(N889:Q889),2)</f>
        <v/>
      </c>
      <c r="S889" s="5" t="inlineStr">
        <is>
          <t>Stated build-up</t>
        </is>
      </c>
      <c r="T889" s="12" t="inlineStr">
        <is>
          <t>High</t>
        </is>
      </c>
      <c r="U889" s="8" t="n">
        <v>1251.41</v>
      </c>
      <c r="V889" s="13">
        <f>IF(U889="","",ROUND(M889-U889,2))</f>
        <v/>
      </c>
      <c r="W889" s="5" t="n"/>
      <c r="X889" s="5" t="inlineStr">
        <is>
          <t>Labour + plant + material as published; reconciles to the published rate.</t>
        </is>
      </c>
    </row>
    <row r="890" ht="13" customHeight="1">
      <c r="A890" s="4" t="n">
        <v>1543</v>
      </c>
      <c r="B890" s="5" t="inlineStr">
        <is>
          <t>IMG_0086</t>
        </is>
      </c>
      <c r="C890" s="5" t="inlineStr">
        <is>
          <t>CLASS G: CONCRETE ANCILLARIES</t>
        </is>
      </c>
      <c r="D890" s="5" t="inlineStr">
        <is>
          <t>03 FORMWORK; EXTRA SMOOTH FINISH</t>
        </is>
      </c>
      <c r="E890" s="5" t="inlineStr">
        <is>
          <t>For concrete components of constant cross-section</t>
        </is>
      </c>
      <c r="F890" s="5" t="inlineStr">
        <is>
          <t>projections (100 mm deep)</t>
        </is>
      </c>
      <c r="G890" s="6" t="inlineStr">
        <is>
          <t>m</t>
        </is>
      </c>
      <c r="H890" s="7" t="n">
        <v>0.1</v>
      </c>
      <c r="I890" s="8" t="n">
        <v>5.63</v>
      </c>
      <c r="J890" s="8" t="n">
        <v>3.58</v>
      </c>
      <c r="K890" s="8" t="n">
        <v>16.74</v>
      </c>
      <c r="L890" s="8" t="n">
        <v>0</v>
      </c>
      <c r="M890" s="9">
        <f>ROUND(SUM(I890:L890),2)</f>
        <v/>
      </c>
      <c r="N890" s="10">
        <f>ROUND(I890*'Irish Basis'!$C$6*'Irish Basis'!$C$5,2)</f>
        <v/>
      </c>
      <c r="O890" s="10">
        <f>ROUND(J890*'Irish Basis'!$C$7*'Irish Basis'!$C$5,2)</f>
        <v/>
      </c>
      <c r="P890" s="10">
        <f>ROUND(K890*'Irish Basis'!$C$8*'Irish Basis'!$C$5,2)</f>
        <v/>
      </c>
      <c r="Q890" s="10">
        <f>ROUND(L890*'Irish Basis'!$C$12*'Irish Basis'!$C$5,2)</f>
        <v/>
      </c>
      <c r="R890" s="11">
        <f>ROUND(SUM(N890:Q890),2)</f>
        <v/>
      </c>
      <c r="S890" s="5" t="inlineStr">
        <is>
          <t>Stated build-up</t>
        </is>
      </c>
      <c r="T890" s="12" t="inlineStr">
        <is>
          <t>High</t>
        </is>
      </c>
      <c r="U890" s="8" t="n">
        <v>25.95</v>
      </c>
      <c r="V890" s="13">
        <f>IF(U890="","",ROUND(M890-U890,2))</f>
        <v/>
      </c>
      <c r="W890" s="5" t="n"/>
      <c r="X890" s="5" t="inlineStr">
        <is>
          <t>Labour + plant + material as published; reconciles to the published rate.</t>
        </is>
      </c>
    </row>
    <row r="891" ht="13" customHeight="1">
      <c r="A891" s="4" t="n">
        <v>1544</v>
      </c>
      <c r="B891" s="5" t="inlineStr">
        <is>
          <t>IMG_0086</t>
        </is>
      </c>
      <c r="C891" s="5" t="inlineStr">
        <is>
          <t>CLASS G: CONCRETE ANCILLARIES</t>
        </is>
      </c>
      <c r="D891" s="5" t="inlineStr">
        <is>
          <t>03 FORMWORK; EXTRA SMOOTH FINISH</t>
        </is>
      </c>
      <c r="E891" s="5" t="inlineStr">
        <is>
          <t>For concrete components of constant cross-section</t>
        </is>
      </c>
      <c r="F891" s="5" t="inlineStr">
        <is>
          <t>intrusions (100 mm deep)</t>
        </is>
      </c>
      <c r="G891" s="6" t="inlineStr">
        <is>
          <t>m</t>
        </is>
      </c>
      <c r="H891" s="7" t="n">
        <v>0.1</v>
      </c>
      <c r="I891" s="8" t="n">
        <v>5.63</v>
      </c>
      <c r="J891" s="8" t="n">
        <v>3.58</v>
      </c>
      <c r="K891" s="8" t="n">
        <v>16.74</v>
      </c>
      <c r="L891" s="8" t="n">
        <v>0</v>
      </c>
      <c r="M891" s="9">
        <f>ROUND(SUM(I891:L891),2)</f>
        <v/>
      </c>
      <c r="N891" s="10">
        <f>ROUND(I891*'Irish Basis'!$C$6*'Irish Basis'!$C$5,2)</f>
        <v/>
      </c>
      <c r="O891" s="10">
        <f>ROUND(J891*'Irish Basis'!$C$7*'Irish Basis'!$C$5,2)</f>
        <v/>
      </c>
      <c r="P891" s="10">
        <f>ROUND(K891*'Irish Basis'!$C$8*'Irish Basis'!$C$5,2)</f>
        <v/>
      </c>
      <c r="Q891" s="10">
        <f>ROUND(L891*'Irish Basis'!$C$12*'Irish Basis'!$C$5,2)</f>
        <v/>
      </c>
      <c r="R891" s="11">
        <f>ROUND(SUM(N891:Q891),2)</f>
        <v/>
      </c>
      <c r="S891" s="5" t="inlineStr">
        <is>
          <t>Stated build-up</t>
        </is>
      </c>
      <c r="T891" s="12" t="inlineStr">
        <is>
          <t>High</t>
        </is>
      </c>
      <c r="U891" s="8" t="n">
        <v>25.95</v>
      </c>
      <c r="V891" s="13">
        <f>IF(U891="","",ROUND(M891-U891,2))</f>
        <v/>
      </c>
      <c r="W891" s="5" t="n"/>
      <c r="X891" s="5" t="inlineStr">
        <is>
          <t>Labour + plant + material as published; reconciles to the published rate.</t>
        </is>
      </c>
    </row>
    <row r="892" ht="13" customHeight="1">
      <c r="A892" s="4" t="n">
        <v>1546</v>
      </c>
      <c r="B892" s="5" t="inlineStr">
        <is>
          <t>IMG_0086</t>
        </is>
      </c>
      <c r="C892" s="5" t="inlineStr">
        <is>
          <t>CLASS G: CONCRETE ANCILLARIES</t>
        </is>
      </c>
      <c r="D892" s="5" t="inlineStr">
        <is>
          <t>03 FORMWORK; EXTRA SMOOTH FINISH</t>
        </is>
      </c>
      <c r="E892" s="5" t="inlineStr">
        <is>
          <t>Allowance for additional craneage and rub up where required</t>
        </is>
      </c>
      <c r="F892" s="5" t="inlineStr">
        <is>
          <t>ADD to items measures linear</t>
        </is>
      </c>
      <c r="G892" s="6" t="inlineStr">
        <is>
          <t>m</t>
        </is>
      </c>
      <c r="H892" s="7" t="n">
        <v>0.28</v>
      </c>
      <c r="I892" s="8" t="n">
        <v>15.77</v>
      </c>
      <c r="J892" s="8" t="n">
        <v>5.01</v>
      </c>
      <c r="K892" s="8" t="n">
        <v>0.06</v>
      </c>
      <c r="L892" s="8" t="n">
        <v>0</v>
      </c>
      <c r="M892" s="9">
        <f>ROUND(SUM(I892:L892),2)</f>
        <v/>
      </c>
      <c r="N892" s="10">
        <f>ROUND(I892*'Irish Basis'!$C$6*'Irish Basis'!$C$5,2)</f>
        <v/>
      </c>
      <c r="O892" s="10">
        <f>ROUND(J892*'Irish Basis'!$C$7*'Irish Basis'!$C$5,2)</f>
        <v/>
      </c>
      <c r="P892" s="10">
        <f>ROUND(K892*'Irish Basis'!$C$8*'Irish Basis'!$C$5,2)</f>
        <v/>
      </c>
      <c r="Q892" s="10">
        <f>ROUND(L892*'Irish Basis'!$C$12*'Irish Basis'!$C$5,2)</f>
        <v/>
      </c>
      <c r="R892" s="11">
        <f>ROUND(SUM(N892:Q892),2)</f>
        <v/>
      </c>
      <c r="S892" s="5" t="inlineStr">
        <is>
          <t>Stated build-up</t>
        </is>
      </c>
      <c r="T892" s="12" t="inlineStr">
        <is>
          <t>High</t>
        </is>
      </c>
      <c r="U892" s="8" t="n">
        <v>20.83</v>
      </c>
      <c r="V892" s="13">
        <f>IF(U892="","",ROUND(M892-U892,2))</f>
        <v/>
      </c>
      <c r="W892" s="5" t="n"/>
      <c r="X892" s="5" t="inlineStr">
        <is>
          <t>Labour + plant + material as published; reconciles to the published rate.</t>
        </is>
      </c>
    </row>
    <row r="893" ht="13" customHeight="1">
      <c r="A893" s="4" t="n">
        <v>1547</v>
      </c>
      <c r="B893" s="5" t="inlineStr">
        <is>
          <t>IMG_0086</t>
        </is>
      </c>
      <c r="C893" s="5" t="inlineStr">
        <is>
          <t>CLASS G: CONCRETE ANCILLARIES</t>
        </is>
      </c>
      <c r="D893" s="5" t="inlineStr">
        <is>
          <t>03 FORMWORK; EXTRA SMOOTH FINISH</t>
        </is>
      </c>
      <c r="E893" s="5" t="inlineStr">
        <is>
          <t>Allowance for additional craneage and rub up where required</t>
        </is>
      </c>
      <c r="F893" s="5" t="inlineStr">
        <is>
          <t>ADD to items measures m2</t>
        </is>
      </c>
      <c r="G893" s="6" t="inlineStr">
        <is>
          <t>m2</t>
        </is>
      </c>
      <c r="H893" s="7" t="n">
        <v>0.2</v>
      </c>
      <c r="I893" s="8" t="n">
        <v>11.26</v>
      </c>
      <c r="J893" s="8" t="n">
        <v>4.29</v>
      </c>
      <c r="K893" s="8" t="n">
        <v>0.24</v>
      </c>
      <c r="L893" s="8" t="n">
        <v>0</v>
      </c>
      <c r="M893" s="9">
        <f>ROUND(SUM(I893:L893),2)</f>
        <v/>
      </c>
      <c r="N893" s="10">
        <f>ROUND(I893*'Irish Basis'!$C$6*'Irish Basis'!$C$5,2)</f>
        <v/>
      </c>
      <c r="O893" s="10">
        <f>ROUND(J893*'Irish Basis'!$C$7*'Irish Basis'!$C$5,2)</f>
        <v/>
      </c>
      <c r="P893" s="10">
        <f>ROUND(K893*'Irish Basis'!$C$8*'Irish Basis'!$C$5,2)</f>
        <v/>
      </c>
      <c r="Q893" s="10">
        <f>ROUND(L893*'Irish Basis'!$C$12*'Irish Basis'!$C$5,2)</f>
        <v/>
      </c>
      <c r="R893" s="11">
        <f>ROUND(SUM(N893:Q893),2)</f>
        <v/>
      </c>
      <c r="S893" s="5" t="inlineStr">
        <is>
          <t>Stated build-up</t>
        </is>
      </c>
      <c r="T893" s="12" t="inlineStr">
        <is>
          <t>High</t>
        </is>
      </c>
      <c r="U893" s="8" t="n">
        <v>15.8</v>
      </c>
      <c r="V893" s="13">
        <f>IF(U893="","",ROUND(M893-U893,2))</f>
        <v/>
      </c>
      <c r="W893" s="5" t="n"/>
      <c r="X893" s="5" t="inlineStr">
        <is>
          <t>Labour + plant + material as published; reconciles to the published rate.</t>
        </is>
      </c>
    </row>
    <row r="894" ht="13" customHeight="1">
      <c r="A894" s="4" t="n">
        <v>1551</v>
      </c>
      <c r="B894" s="5" t="inlineStr">
        <is>
          <t>IMG_0086</t>
        </is>
      </c>
      <c r="C894" s="5" t="inlineStr">
        <is>
          <t>CLASS G: CONCRETE ANCILLARIES</t>
        </is>
      </c>
      <c r="D894" s="5" t="inlineStr">
        <is>
          <t>05 REINFORCEMENT</t>
        </is>
      </c>
      <c r="E894" s="5" t="inlineStr">
        <is>
          <t>Plain round mild steel bars to BS 4449; Bars; supplied in straight lengths</t>
        </is>
      </c>
      <c r="F894" s="5" t="inlineStr">
        <is>
          <t>6 mm nominal size</t>
        </is>
      </c>
      <c r="G894" s="6" t="inlineStr">
        <is>
          <t>tonne</t>
        </is>
      </c>
      <c r="H894" s="7" t="n">
        <v>8</v>
      </c>
      <c r="I894" s="8" t="n">
        <v>1348.71</v>
      </c>
      <c r="J894" s="8" t="n">
        <v>194.3</v>
      </c>
      <c r="K894" s="8" t="n">
        <v>1016.98</v>
      </c>
      <c r="L894" s="8" t="n">
        <v>0</v>
      </c>
      <c r="M894" s="9">
        <f>ROUND(SUM(I894:L894),2)</f>
        <v/>
      </c>
      <c r="N894" s="10">
        <f>ROUND(I894*'Irish Basis'!$C$6*'Irish Basis'!$C$5,2)</f>
        <v/>
      </c>
      <c r="O894" s="10">
        <f>ROUND(J894*'Irish Basis'!$C$7*'Irish Basis'!$C$5,2)</f>
        <v/>
      </c>
      <c r="P894" s="10">
        <f>ROUND(K894*'Irish Basis'!$C$8*'Irish Basis'!$C$5,2)</f>
        <v/>
      </c>
      <c r="Q894" s="10">
        <f>ROUND(L894*'Irish Basis'!$C$12*'Irish Basis'!$C$5,2)</f>
        <v/>
      </c>
      <c r="R894" s="11">
        <f>ROUND(SUM(N894:Q894),2)</f>
        <v/>
      </c>
      <c r="S894" s="5" t="inlineStr">
        <is>
          <t>Stated build-up</t>
        </is>
      </c>
      <c r="T894" s="12" t="inlineStr">
        <is>
          <t>High</t>
        </is>
      </c>
      <c r="U894" s="8" t="n">
        <v>2559.99</v>
      </c>
      <c r="V894" s="13">
        <f>IF(U894="","",ROUND(M894-U894,2))</f>
        <v/>
      </c>
      <c r="W894" s="5" t="n"/>
      <c r="X894" s="5" t="inlineStr">
        <is>
          <t>Labour + plant + material as published; reconciles to the published rate.</t>
        </is>
      </c>
    </row>
    <row r="895" ht="13" customHeight="1">
      <c r="A895" s="4" t="n">
        <v>1552</v>
      </c>
      <c r="B895" s="5" t="inlineStr">
        <is>
          <t>IMG_0086</t>
        </is>
      </c>
      <c r="C895" s="5" t="inlineStr">
        <is>
          <t>CLASS G: CONCRETE ANCILLARIES</t>
        </is>
      </c>
      <c r="D895" s="5" t="inlineStr">
        <is>
          <t>05 REINFORCEMENT</t>
        </is>
      </c>
      <c r="E895" s="5" t="inlineStr">
        <is>
          <t>Plain round mild steel bars to BS 4449; Bars; supplied in straight lengths</t>
        </is>
      </c>
      <c r="F895" s="5" t="inlineStr">
        <is>
          <t>8 mm nominal size</t>
        </is>
      </c>
      <c r="G895" s="6" t="inlineStr">
        <is>
          <t>tonne</t>
        </is>
      </c>
      <c r="H895" s="7" t="n">
        <v>6.74</v>
      </c>
      <c r="I895" s="8" t="n">
        <v>1136.29</v>
      </c>
      <c r="J895" s="8" t="n">
        <v>163.7</v>
      </c>
      <c r="K895" s="8" t="n">
        <v>1016.98</v>
      </c>
      <c r="L895" s="8" t="n">
        <v>0</v>
      </c>
      <c r="M895" s="9">
        <f>ROUND(SUM(I895:L895),2)</f>
        <v/>
      </c>
      <c r="N895" s="10">
        <f>ROUND(I895*'Irish Basis'!$C$6*'Irish Basis'!$C$5,2)</f>
        <v/>
      </c>
      <c r="O895" s="10">
        <f>ROUND(J895*'Irish Basis'!$C$7*'Irish Basis'!$C$5,2)</f>
        <v/>
      </c>
      <c r="P895" s="10">
        <f>ROUND(K895*'Irish Basis'!$C$8*'Irish Basis'!$C$5,2)</f>
        <v/>
      </c>
      <c r="Q895" s="10">
        <f>ROUND(L895*'Irish Basis'!$C$12*'Irish Basis'!$C$5,2)</f>
        <v/>
      </c>
      <c r="R895" s="11">
        <f>ROUND(SUM(N895:Q895),2)</f>
        <v/>
      </c>
      <c r="S895" s="5" t="inlineStr">
        <is>
          <t>Stated build-up</t>
        </is>
      </c>
      <c r="T895" s="12" t="inlineStr">
        <is>
          <t>High</t>
        </is>
      </c>
      <c r="U895" s="8" t="n">
        <v>2316.97</v>
      </c>
      <c r="V895" s="13">
        <f>IF(U895="","",ROUND(M895-U895,2))</f>
        <v/>
      </c>
      <c r="W895" s="5" t="n"/>
      <c r="X895" s="5" t="inlineStr">
        <is>
          <t>Labour + plant + material as published; reconciles to the published rate.</t>
        </is>
      </c>
    </row>
    <row r="896" ht="13" customHeight="1">
      <c r="A896" s="4" t="n">
        <v>1553</v>
      </c>
      <c r="B896" s="5" t="inlineStr">
        <is>
          <t>IMG_0086</t>
        </is>
      </c>
      <c r="C896" s="5" t="inlineStr">
        <is>
          <t>CLASS G: CONCRETE ANCILLARIES</t>
        </is>
      </c>
      <c r="D896" s="5" t="inlineStr">
        <is>
          <t>05 REINFORCEMENT</t>
        </is>
      </c>
      <c r="E896" s="5" t="inlineStr">
        <is>
          <t>Plain round mild steel bars to BS 4449; Bars; supplied in straight lengths</t>
        </is>
      </c>
      <c r="F896" s="5" t="inlineStr">
        <is>
          <t>10 mm nominal size</t>
        </is>
      </c>
      <c r="G896" s="6" t="inlineStr">
        <is>
          <t>tonne</t>
        </is>
      </c>
      <c r="H896" s="7" t="n">
        <v>6.74</v>
      </c>
      <c r="I896" s="8" t="n">
        <v>1136.29</v>
      </c>
      <c r="J896" s="8" t="n">
        <v>163.7</v>
      </c>
      <c r="K896" s="8" t="n">
        <v>1016.95</v>
      </c>
      <c r="L896" s="8" t="n">
        <v>0</v>
      </c>
      <c r="M896" s="9">
        <f>ROUND(SUM(I896:L896),2)</f>
        <v/>
      </c>
      <c r="N896" s="10">
        <f>ROUND(I896*'Irish Basis'!$C$6*'Irish Basis'!$C$5,2)</f>
        <v/>
      </c>
      <c r="O896" s="10">
        <f>ROUND(J896*'Irish Basis'!$C$7*'Irish Basis'!$C$5,2)</f>
        <v/>
      </c>
      <c r="P896" s="10">
        <f>ROUND(K896*'Irish Basis'!$C$8*'Irish Basis'!$C$5,2)</f>
        <v/>
      </c>
      <c r="Q896" s="10">
        <f>ROUND(L896*'Irish Basis'!$C$12*'Irish Basis'!$C$5,2)</f>
        <v/>
      </c>
      <c r="R896" s="11">
        <f>ROUND(SUM(N896:Q896),2)</f>
        <v/>
      </c>
      <c r="S896" s="5" t="inlineStr">
        <is>
          <t>Stated build-up</t>
        </is>
      </c>
      <c r="T896" s="12" t="inlineStr">
        <is>
          <t>High</t>
        </is>
      </c>
      <c r="U896" s="8" t="n">
        <v>2316.93</v>
      </c>
      <c r="V896" s="13">
        <f>IF(U896="","",ROUND(M896-U896,2))</f>
        <v/>
      </c>
      <c r="W896" s="5" t="n"/>
      <c r="X896" s="5" t="inlineStr">
        <is>
          <t>Labour + plant + material as published; reconciles to the published rate.</t>
        </is>
      </c>
    </row>
    <row r="897" ht="13" customHeight="1">
      <c r="A897" s="4" t="n">
        <v>1554</v>
      </c>
      <c r="B897" s="5" t="inlineStr">
        <is>
          <t>IMG_0086</t>
        </is>
      </c>
      <c r="C897" s="5" t="inlineStr">
        <is>
          <t>CLASS G: CONCRETE ANCILLARIES</t>
        </is>
      </c>
      <c r="D897" s="5" t="inlineStr">
        <is>
          <t>05 REINFORCEMENT</t>
        </is>
      </c>
      <c r="E897" s="5" t="inlineStr">
        <is>
          <t>Plain round mild steel bars to BS 4449; Bars; supplied in straight lengths</t>
        </is>
      </c>
      <c r="F897" s="5" t="inlineStr">
        <is>
          <t>12 mm nominal size</t>
        </is>
      </c>
      <c r="G897" s="6" t="inlineStr">
        <is>
          <t>tonne</t>
        </is>
      </c>
      <c r="H897" s="7" t="n">
        <v>6.74</v>
      </c>
      <c r="I897" s="8" t="n">
        <v>1136.29</v>
      </c>
      <c r="J897" s="8" t="n">
        <v>163.7</v>
      </c>
      <c r="K897" s="8" t="n">
        <v>1016.95</v>
      </c>
      <c r="L897" s="8" t="n">
        <v>0</v>
      </c>
      <c r="M897" s="9">
        <f>ROUND(SUM(I897:L897),2)</f>
        <v/>
      </c>
      <c r="N897" s="10">
        <f>ROUND(I897*'Irish Basis'!$C$6*'Irish Basis'!$C$5,2)</f>
        <v/>
      </c>
      <c r="O897" s="10">
        <f>ROUND(J897*'Irish Basis'!$C$7*'Irish Basis'!$C$5,2)</f>
        <v/>
      </c>
      <c r="P897" s="10">
        <f>ROUND(K897*'Irish Basis'!$C$8*'Irish Basis'!$C$5,2)</f>
        <v/>
      </c>
      <c r="Q897" s="10">
        <f>ROUND(L897*'Irish Basis'!$C$12*'Irish Basis'!$C$5,2)</f>
        <v/>
      </c>
      <c r="R897" s="11">
        <f>ROUND(SUM(N897:Q897),2)</f>
        <v/>
      </c>
      <c r="S897" s="5" t="inlineStr">
        <is>
          <t>Stated build-up</t>
        </is>
      </c>
      <c r="T897" s="12" t="inlineStr">
        <is>
          <t>High</t>
        </is>
      </c>
      <c r="U897" s="8" t="n">
        <v>2316.93</v>
      </c>
      <c r="V897" s="13">
        <f>IF(U897="","",ROUND(M897-U897,2))</f>
        <v/>
      </c>
      <c r="W897" s="5" t="n"/>
      <c r="X897" s="5" t="inlineStr">
        <is>
          <t>Labour + plant + material as published; reconciles to the published rate.</t>
        </is>
      </c>
    </row>
    <row r="898" ht="13" customHeight="1">
      <c r="A898" s="4" t="n">
        <v>1555</v>
      </c>
      <c r="B898" s="5" t="inlineStr">
        <is>
          <t>IMG_0086</t>
        </is>
      </c>
      <c r="C898" s="5" t="inlineStr">
        <is>
          <t>CLASS G: CONCRETE ANCILLARIES</t>
        </is>
      </c>
      <c r="D898" s="5" t="inlineStr">
        <is>
          <t>05 REINFORCEMENT</t>
        </is>
      </c>
      <c r="E898" s="5" t="inlineStr">
        <is>
          <t>Plain round mild steel bars to BS 4449; Bars; supplied in straight lengths</t>
        </is>
      </c>
      <c r="F898" s="5" t="inlineStr">
        <is>
          <t>16 mm nominal size</t>
        </is>
      </c>
      <c r="G898" s="6" t="inlineStr">
        <is>
          <t>tonne</t>
        </is>
      </c>
      <c r="H898" s="7" t="n">
        <v>6.15</v>
      </c>
      <c r="I898" s="8" t="n">
        <v>1036.82</v>
      </c>
      <c r="J898" s="8" t="n">
        <v>149.38</v>
      </c>
      <c r="K898" s="8" t="n">
        <v>1016.95</v>
      </c>
      <c r="L898" s="8" t="n">
        <v>0</v>
      </c>
      <c r="M898" s="9">
        <f>ROUND(SUM(I898:L898),2)</f>
        <v/>
      </c>
      <c r="N898" s="10">
        <f>ROUND(I898*'Irish Basis'!$C$6*'Irish Basis'!$C$5,2)</f>
        <v/>
      </c>
      <c r="O898" s="10">
        <f>ROUND(J898*'Irish Basis'!$C$7*'Irish Basis'!$C$5,2)</f>
        <v/>
      </c>
      <c r="P898" s="10">
        <f>ROUND(K898*'Irish Basis'!$C$8*'Irish Basis'!$C$5,2)</f>
        <v/>
      </c>
      <c r="Q898" s="10">
        <f>ROUND(L898*'Irish Basis'!$C$12*'Irish Basis'!$C$5,2)</f>
        <v/>
      </c>
      <c r="R898" s="11">
        <f>ROUND(SUM(N898:Q898),2)</f>
        <v/>
      </c>
      <c r="S898" s="5" t="inlineStr">
        <is>
          <t>Stated build-up</t>
        </is>
      </c>
      <c r="T898" s="12" t="inlineStr">
        <is>
          <t>High</t>
        </is>
      </c>
      <c r="U898" s="8" t="n">
        <v>2203.15</v>
      </c>
      <c r="V898" s="13">
        <f>IF(U898="","",ROUND(M898-U898,2))</f>
        <v/>
      </c>
      <c r="W898" s="5" t="n"/>
      <c r="X898" s="5" t="inlineStr">
        <is>
          <t>Labour + plant + material as published; reconciles to the published rate.</t>
        </is>
      </c>
    </row>
    <row r="899" ht="13" customHeight="1">
      <c r="A899" s="4" t="n">
        <v>1556</v>
      </c>
      <c r="B899" s="5" t="inlineStr">
        <is>
          <t>IMG_0086</t>
        </is>
      </c>
      <c r="C899" s="5" t="inlineStr">
        <is>
          <t>CLASS G: CONCRETE ANCILLARIES</t>
        </is>
      </c>
      <c r="D899" s="5" t="inlineStr">
        <is>
          <t>05 REINFORCEMENT</t>
        </is>
      </c>
      <c r="E899" s="5" t="inlineStr">
        <is>
          <t>Plain round mild steel bars to BS 4449; Bars; supplied in straight lengths</t>
        </is>
      </c>
      <c r="F899" s="5" t="inlineStr">
        <is>
          <t>20 mm nominal size</t>
        </is>
      </c>
      <c r="G899" s="6" t="inlineStr">
        <is>
          <t>tonne</t>
        </is>
      </c>
      <c r="H899" s="7" t="n">
        <v>4.44</v>
      </c>
      <c r="I899" s="8" t="n">
        <v>748.53</v>
      </c>
      <c r="J899" s="8" t="n">
        <v>107.84</v>
      </c>
      <c r="K899" s="8" t="n">
        <v>1016.95</v>
      </c>
      <c r="L899" s="8" t="n">
        <v>0</v>
      </c>
      <c r="M899" s="9">
        <f>ROUND(SUM(I899:L899),2)</f>
        <v/>
      </c>
      <c r="N899" s="10">
        <f>ROUND(I899*'Irish Basis'!$C$6*'Irish Basis'!$C$5,2)</f>
        <v/>
      </c>
      <c r="O899" s="10">
        <f>ROUND(J899*'Irish Basis'!$C$7*'Irish Basis'!$C$5,2)</f>
        <v/>
      </c>
      <c r="P899" s="10">
        <f>ROUND(K899*'Irish Basis'!$C$8*'Irish Basis'!$C$5,2)</f>
        <v/>
      </c>
      <c r="Q899" s="10">
        <f>ROUND(L899*'Irish Basis'!$C$12*'Irish Basis'!$C$5,2)</f>
        <v/>
      </c>
      <c r="R899" s="11">
        <f>ROUND(SUM(N899:Q899),2)</f>
        <v/>
      </c>
      <c r="S899" s="5" t="inlineStr">
        <is>
          <t>Stated build-up</t>
        </is>
      </c>
      <c r="T899" s="12" t="inlineStr">
        <is>
          <t>High</t>
        </is>
      </c>
      <c r="U899" s="8" t="n">
        <v>1873.32</v>
      </c>
      <c r="V899" s="13">
        <f>IF(U899="","",ROUND(M899-U899,2))</f>
        <v/>
      </c>
      <c r="W899" s="5" t="n"/>
      <c r="X899" s="5" t="inlineStr">
        <is>
          <t>Labour + plant + material as published; reconciles to the published rate.</t>
        </is>
      </c>
    </row>
    <row r="900" ht="13" customHeight="1">
      <c r="A900" s="4" t="n">
        <v>1557</v>
      </c>
      <c r="B900" s="5" t="inlineStr">
        <is>
          <t>IMG_0086</t>
        </is>
      </c>
      <c r="C900" s="5" t="inlineStr">
        <is>
          <t>CLASS G: CONCRETE ANCILLARIES</t>
        </is>
      </c>
      <c r="D900" s="5" t="inlineStr">
        <is>
          <t>05 REINFORCEMENT</t>
        </is>
      </c>
      <c r="E900" s="5" t="inlineStr">
        <is>
          <t>Plain round mild steel bars to BS 4449; Bars; supplied in straight lengths</t>
        </is>
      </c>
      <c r="F900" s="5" t="inlineStr">
        <is>
          <t>25 mm nominal size</t>
        </is>
      </c>
      <c r="G900" s="6" t="inlineStr">
        <is>
          <t>tonne</t>
        </is>
      </c>
      <c r="H900" s="7" t="n">
        <v>4.44</v>
      </c>
      <c r="I900" s="8" t="n">
        <v>748.53</v>
      </c>
      <c r="J900" s="8" t="n">
        <v>107.84</v>
      </c>
      <c r="K900" s="8" t="n">
        <v>1016.95</v>
      </c>
      <c r="L900" s="8" t="n">
        <v>0</v>
      </c>
      <c r="M900" s="9">
        <f>ROUND(SUM(I900:L900),2)</f>
        <v/>
      </c>
      <c r="N900" s="10">
        <f>ROUND(I900*'Irish Basis'!$C$6*'Irish Basis'!$C$5,2)</f>
        <v/>
      </c>
      <c r="O900" s="10">
        <f>ROUND(J900*'Irish Basis'!$C$7*'Irish Basis'!$C$5,2)</f>
        <v/>
      </c>
      <c r="P900" s="10">
        <f>ROUND(K900*'Irish Basis'!$C$8*'Irish Basis'!$C$5,2)</f>
        <v/>
      </c>
      <c r="Q900" s="10">
        <f>ROUND(L900*'Irish Basis'!$C$12*'Irish Basis'!$C$5,2)</f>
        <v/>
      </c>
      <c r="R900" s="11">
        <f>ROUND(SUM(N900:Q900),2)</f>
        <v/>
      </c>
      <c r="S900" s="5" t="inlineStr">
        <is>
          <t>Stated build-up</t>
        </is>
      </c>
      <c r="T900" s="12" t="inlineStr">
        <is>
          <t>High</t>
        </is>
      </c>
      <c r="U900" s="8" t="n">
        <v>1873.32</v>
      </c>
      <c r="V900" s="13">
        <f>IF(U900="","",ROUND(M900-U900,2))</f>
        <v/>
      </c>
      <c r="W900" s="5" t="n"/>
      <c r="X900" s="5" t="inlineStr">
        <is>
          <t>Labour + plant + material as published; reconciles to the published rate.</t>
        </is>
      </c>
    </row>
    <row r="901" ht="13" customHeight="1">
      <c r="A901" s="4" t="n">
        <v>1558</v>
      </c>
      <c r="B901" s="5" t="inlineStr">
        <is>
          <t>IMG_0086</t>
        </is>
      </c>
      <c r="C901" s="5" t="inlineStr">
        <is>
          <t>CLASS G: CONCRETE ANCILLARIES</t>
        </is>
      </c>
      <c r="D901" s="5" t="inlineStr">
        <is>
          <t>05 REINFORCEMENT</t>
        </is>
      </c>
      <c r="E901" s="5" t="inlineStr">
        <is>
          <t>Plain round mild steel bars to BS 4449; Bars; supplied in straight lengths</t>
        </is>
      </c>
      <c r="F901" s="5" t="inlineStr">
        <is>
          <t>32 mm nominal size</t>
        </is>
      </c>
      <c r="G901" s="6" t="inlineStr">
        <is>
          <t>tonne</t>
        </is>
      </c>
      <c r="H901" s="7" t="n">
        <v>4.44</v>
      </c>
      <c r="I901" s="8" t="n">
        <v>748.53</v>
      </c>
      <c r="J901" s="8" t="n">
        <v>107.84</v>
      </c>
      <c r="K901" s="8" t="n">
        <v>1016.95</v>
      </c>
      <c r="L901" s="8" t="n">
        <v>0</v>
      </c>
      <c r="M901" s="9">
        <f>ROUND(SUM(I901:L901),2)</f>
        <v/>
      </c>
      <c r="N901" s="10">
        <f>ROUND(I901*'Irish Basis'!$C$6*'Irish Basis'!$C$5,2)</f>
        <v/>
      </c>
      <c r="O901" s="10">
        <f>ROUND(J901*'Irish Basis'!$C$7*'Irish Basis'!$C$5,2)</f>
        <v/>
      </c>
      <c r="P901" s="10">
        <f>ROUND(K901*'Irish Basis'!$C$8*'Irish Basis'!$C$5,2)</f>
        <v/>
      </c>
      <c r="Q901" s="10">
        <f>ROUND(L901*'Irish Basis'!$C$12*'Irish Basis'!$C$5,2)</f>
        <v/>
      </c>
      <c r="R901" s="11">
        <f>ROUND(SUM(N901:Q901),2)</f>
        <v/>
      </c>
      <c r="S901" s="5" t="inlineStr">
        <is>
          <t>Stated build-up</t>
        </is>
      </c>
      <c r="T901" s="12" t="inlineStr">
        <is>
          <t>High</t>
        </is>
      </c>
      <c r="U901" s="8" t="n">
        <v>1873.32</v>
      </c>
      <c r="V901" s="13">
        <f>IF(U901="","",ROUND(M901-U901,2))</f>
        <v/>
      </c>
      <c r="W901" s="5" t="n"/>
      <c r="X901" s="5" t="inlineStr">
        <is>
          <t>Labour + plant + material as published; reconciles to the published rate.</t>
        </is>
      </c>
    </row>
    <row r="902" ht="13" customHeight="1">
      <c r="A902" s="4" t="n">
        <v>1559</v>
      </c>
      <c r="B902" s="5" t="inlineStr">
        <is>
          <t>IMG_0086</t>
        </is>
      </c>
      <c r="C902" s="5" t="inlineStr">
        <is>
          <t>CLASS G: CONCRETE ANCILLARIES</t>
        </is>
      </c>
      <c r="D902" s="5" t="inlineStr">
        <is>
          <t>05 REINFORCEMENT</t>
        </is>
      </c>
      <c r="E902" s="5" t="inlineStr">
        <is>
          <t>Plain round mild steel bars to BS 4449; Bars; supplied in straight lengths</t>
        </is>
      </c>
      <c r="F902" s="5" t="inlineStr">
        <is>
          <t>40 mm nominal size</t>
        </is>
      </c>
      <c r="G902" s="6" t="inlineStr">
        <is>
          <t>tonne</t>
        </is>
      </c>
      <c r="H902" s="7" t="n">
        <v>4.44</v>
      </c>
      <c r="I902" s="8" t="n">
        <v>748.53</v>
      </c>
      <c r="J902" s="8" t="n">
        <v>107.84</v>
      </c>
      <c r="K902" s="8" t="n">
        <v>1016.95</v>
      </c>
      <c r="L902" s="8" t="n">
        <v>0</v>
      </c>
      <c r="M902" s="9">
        <f>ROUND(SUM(I902:L902),2)</f>
        <v/>
      </c>
      <c r="N902" s="10">
        <f>ROUND(I902*'Irish Basis'!$C$6*'Irish Basis'!$C$5,2)</f>
        <v/>
      </c>
      <c r="O902" s="10">
        <f>ROUND(J902*'Irish Basis'!$C$7*'Irish Basis'!$C$5,2)</f>
        <v/>
      </c>
      <c r="P902" s="10">
        <f>ROUND(K902*'Irish Basis'!$C$8*'Irish Basis'!$C$5,2)</f>
        <v/>
      </c>
      <c r="Q902" s="10">
        <f>ROUND(L902*'Irish Basis'!$C$12*'Irish Basis'!$C$5,2)</f>
        <v/>
      </c>
      <c r="R902" s="11">
        <f>ROUND(SUM(N902:Q902),2)</f>
        <v/>
      </c>
      <c r="S902" s="5" t="inlineStr">
        <is>
          <t>Stated build-up</t>
        </is>
      </c>
      <c r="T902" s="12" t="inlineStr">
        <is>
          <t>High</t>
        </is>
      </c>
      <c r="U902" s="8" t="n">
        <v>1873.32</v>
      </c>
      <c r="V902" s="13">
        <f>IF(U902="","",ROUND(M902-U902,2))</f>
        <v/>
      </c>
      <c r="W902" s="5" t="n"/>
      <c r="X902" s="5" t="inlineStr">
        <is>
          <t>Labour + plant + material as published; reconciles to the published rate.</t>
        </is>
      </c>
    </row>
    <row r="903" ht="13" customHeight="1">
      <c r="A903" s="4" t="n">
        <v>1561</v>
      </c>
      <c r="B903" s="5" t="inlineStr">
        <is>
          <t>IMG_0086</t>
        </is>
      </c>
      <c r="C903" s="5" t="inlineStr">
        <is>
          <t>CLASS G: CONCRETE ANCILLARIES</t>
        </is>
      </c>
      <c r="D903" s="5" t="inlineStr">
        <is>
          <t>05 REINFORCEMENT</t>
        </is>
      </c>
      <c r="E903" s="5" t="inlineStr">
        <is>
          <t>Plain round mild steel bars to BS 4449; Bars; supplied in bent and cut lengths</t>
        </is>
      </c>
      <c r="F903" s="5" t="inlineStr">
        <is>
          <t>6 mm nominal size</t>
        </is>
      </c>
      <c r="G903" s="6" t="inlineStr">
        <is>
          <t>tonne</t>
        </is>
      </c>
      <c r="H903" s="7" t="n">
        <v>8</v>
      </c>
      <c r="I903" s="8" t="n">
        <v>1348.71</v>
      </c>
      <c r="J903" s="8" t="n">
        <v>194.3</v>
      </c>
      <c r="K903" s="8" t="n">
        <v>1147.03</v>
      </c>
      <c r="L903" s="8" t="n">
        <v>0</v>
      </c>
      <c r="M903" s="9">
        <f>ROUND(SUM(I903:L903),2)</f>
        <v/>
      </c>
      <c r="N903" s="10">
        <f>ROUND(I903*'Irish Basis'!$C$6*'Irish Basis'!$C$5,2)</f>
        <v/>
      </c>
      <c r="O903" s="10">
        <f>ROUND(J903*'Irish Basis'!$C$7*'Irish Basis'!$C$5,2)</f>
        <v/>
      </c>
      <c r="P903" s="10">
        <f>ROUND(K903*'Irish Basis'!$C$8*'Irish Basis'!$C$5,2)</f>
        <v/>
      </c>
      <c r="Q903" s="10">
        <f>ROUND(L903*'Irish Basis'!$C$12*'Irish Basis'!$C$5,2)</f>
        <v/>
      </c>
      <c r="R903" s="11">
        <f>ROUND(SUM(N903:Q903),2)</f>
        <v/>
      </c>
      <c r="S903" s="5" t="inlineStr">
        <is>
          <t>Stated build-up</t>
        </is>
      </c>
      <c r="T903" s="12" t="inlineStr">
        <is>
          <t>High</t>
        </is>
      </c>
      <c r="U903" s="8" t="n">
        <v>2690.03</v>
      </c>
      <c r="V903" s="13">
        <f>IF(U903="","",ROUND(M903-U903,2))</f>
        <v/>
      </c>
      <c r="W903" s="5" t="n"/>
      <c r="X903" s="5" t="inlineStr">
        <is>
          <t>Labour + plant + material as published; reconciles to the published rate.</t>
        </is>
      </c>
    </row>
    <row r="904" ht="13" customHeight="1">
      <c r="A904" s="4" t="n">
        <v>1562</v>
      </c>
      <c r="B904" s="5" t="inlineStr">
        <is>
          <t>IMG_0086</t>
        </is>
      </c>
      <c r="C904" s="5" t="inlineStr">
        <is>
          <t>CLASS G: CONCRETE ANCILLARIES</t>
        </is>
      </c>
      <c r="D904" s="5" t="inlineStr">
        <is>
          <t>05 REINFORCEMENT</t>
        </is>
      </c>
      <c r="E904" s="5" t="inlineStr">
        <is>
          <t>Plain round mild steel bars to BS 4449; Bars; supplied in bent and cut lengths</t>
        </is>
      </c>
      <c r="F904" s="5" t="inlineStr">
        <is>
          <t>8 mm nominal size</t>
        </is>
      </c>
      <c r="G904" s="6" t="inlineStr">
        <is>
          <t>tonne</t>
        </is>
      </c>
      <c r="H904" s="7" t="n">
        <v>6.74</v>
      </c>
      <c r="I904" s="8" t="n">
        <v>1136.29</v>
      </c>
      <c r="J904" s="8" t="n">
        <v>163.7</v>
      </c>
      <c r="K904" s="8" t="n">
        <v>1147.03</v>
      </c>
      <c r="L904" s="8" t="n">
        <v>0</v>
      </c>
      <c r="M904" s="9">
        <f>ROUND(SUM(I904:L904),2)</f>
        <v/>
      </c>
      <c r="N904" s="10">
        <f>ROUND(I904*'Irish Basis'!$C$6*'Irish Basis'!$C$5,2)</f>
        <v/>
      </c>
      <c r="O904" s="10">
        <f>ROUND(J904*'Irish Basis'!$C$7*'Irish Basis'!$C$5,2)</f>
        <v/>
      </c>
      <c r="P904" s="10">
        <f>ROUND(K904*'Irish Basis'!$C$8*'Irish Basis'!$C$5,2)</f>
        <v/>
      </c>
      <c r="Q904" s="10">
        <f>ROUND(L904*'Irish Basis'!$C$12*'Irish Basis'!$C$5,2)</f>
        <v/>
      </c>
      <c r="R904" s="11">
        <f>ROUND(SUM(N904:Q904),2)</f>
        <v/>
      </c>
      <c r="S904" s="5" t="inlineStr">
        <is>
          <t>Stated build-up</t>
        </is>
      </c>
      <c r="T904" s="12" t="inlineStr">
        <is>
          <t>High</t>
        </is>
      </c>
      <c r="U904" s="8" t="n">
        <v>2447.01</v>
      </c>
      <c r="V904" s="13">
        <f>IF(U904="","",ROUND(M904-U904,2))</f>
        <v/>
      </c>
      <c r="W904" s="5" t="n"/>
      <c r="X904" s="5" t="inlineStr">
        <is>
          <t>Labour + plant + material as published; reconciles to the published rate.</t>
        </is>
      </c>
    </row>
    <row r="905" ht="13" customHeight="1">
      <c r="A905" s="4" t="n">
        <v>1563</v>
      </c>
      <c r="B905" s="5" t="inlineStr">
        <is>
          <t>IMG_0086</t>
        </is>
      </c>
      <c r="C905" s="5" t="inlineStr">
        <is>
          <t>CLASS G: CONCRETE ANCILLARIES</t>
        </is>
      </c>
      <c r="D905" s="5" t="inlineStr">
        <is>
          <t>05 REINFORCEMENT</t>
        </is>
      </c>
      <c r="E905" s="5" t="inlineStr">
        <is>
          <t>Plain round mild steel bars to BS 4449; Bars; supplied in bent and cut lengths</t>
        </is>
      </c>
      <c r="F905" s="5" t="inlineStr">
        <is>
          <t>10 mm nominal size</t>
        </is>
      </c>
      <c r="G905" s="6" t="inlineStr">
        <is>
          <t>tonne</t>
        </is>
      </c>
      <c r="H905" s="7" t="n">
        <v>6.74</v>
      </c>
      <c r="I905" s="8" t="n">
        <v>1136.29</v>
      </c>
      <c r="J905" s="8" t="n">
        <v>163.7</v>
      </c>
      <c r="K905" s="8" t="n">
        <v>1147.03</v>
      </c>
      <c r="L905" s="8" t="n">
        <v>0</v>
      </c>
      <c r="M905" s="9">
        <f>ROUND(SUM(I905:L905),2)</f>
        <v/>
      </c>
      <c r="N905" s="10">
        <f>ROUND(I905*'Irish Basis'!$C$6*'Irish Basis'!$C$5,2)</f>
        <v/>
      </c>
      <c r="O905" s="10">
        <f>ROUND(J905*'Irish Basis'!$C$7*'Irish Basis'!$C$5,2)</f>
        <v/>
      </c>
      <c r="P905" s="10">
        <f>ROUND(K905*'Irish Basis'!$C$8*'Irish Basis'!$C$5,2)</f>
        <v/>
      </c>
      <c r="Q905" s="10">
        <f>ROUND(L905*'Irish Basis'!$C$12*'Irish Basis'!$C$5,2)</f>
        <v/>
      </c>
      <c r="R905" s="11">
        <f>ROUND(SUM(N905:Q905),2)</f>
        <v/>
      </c>
      <c r="S905" s="5" t="inlineStr">
        <is>
          <t>Stated build-up</t>
        </is>
      </c>
      <c r="T905" s="12" t="inlineStr">
        <is>
          <t>High</t>
        </is>
      </c>
      <c r="U905" s="8" t="n">
        <v>2447.01</v>
      </c>
      <c r="V905" s="13">
        <f>IF(U905="","",ROUND(M905-U905,2))</f>
        <v/>
      </c>
      <c r="W905" s="5" t="n"/>
      <c r="X905" s="5" t="inlineStr">
        <is>
          <t>Labour + plant + material as published; reconciles to the published rate.</t>
        </is>
      </c>
    </row>
    <row r="906" ht="13" customHeight="1">
      <c r="A906" s="4" t="n">
        <v>1564</v>
      </c>
      <c r="B906" s="5" t="inlineStr">
        <is>
          <t>IMG_0086</t>
        </is>
      </c>
      <c r="C906" s="5" t="inlineStr">
        <is>
          <t>CLASS G: CONCRETE ANCILLARIES</t>
        </is>
      </c>
      <c r="D906" s="5" t="inlineStr">
        <is>
          <t>05 REINFORCEMENT</t>
        </is>
      </c>
      <c r="E906" s="5" t="inlineStr">
        <is>
          <t>Plain round mild steel bars to BS 4449; Bars; supplied in bent and cut lengths</t>
        </is>
      </c>
      <c r="F906" s="5" t="inlineStr">
        <is>
          <t>12 mm nominal size</t>
        </is>
      </c>
      <c r="G906" s="6" t="inlineStr">
        <is>
          <t>tonne</t>
        </is>
      </c>
      <c r="H906" s="7" t="n">
        <v>6.74</v>
      </c>
      <c r="I906" s="8" t="n">
        <v>1136.29</v>
      </c>
      <c r="J906" s="8" t="n">
        <v>163.7</v>
      </c>
      <c r="K906" s="8" t="n">
        <v>1147.03</v>
      </c>
      <c r="L906" s="8" t="n">
        <v>0</v>
      </c>
      <c r="M906" s="9">
        <f>ROUND(SUM(I906:L906),2)</f>
        <v/>
      </c>
      <c r="N906" s="10">
        <f>ROUND(I906*'Irish Basis'!$C$6*'Irish Basis'!$C$5,2)</f>
        <v/>
      </c>
      <c r="O906" s="10">
        <f>ROUND(J906*'Irish Basis'!$C$7*'Irish Basis'!$C$5,2)</f>
        <v/>
      </c>
      <c r="P906" s="10">
        <f>ROUND(K906*'Irish Basis'!$C$8*'Irish Basis'!$C$5,2)</f>
        <v/>
      </c>
      <c r="Q906" s="10">
        <f>ROUND(L906*'Irish Basis'!$C$12*'Irish Basis'!$C$5,2)</f>
        <v/>
      </c>
      <c r="R906" s="11">
        <f>ROUND(SUM(N906:Q906),2)</f>
        <v/>
      </c>
      <c r="S906" s="5" t="inlineStr">
        <is>
          <t>Stated build-up</t>
        </is>
      </c>
      <c r="T906" s="12" t="inlineStr">
        <is>
          <t>High</t>
        </is>
      </c>
      <c r="U906" s="8" t="n">
        <v>2447.01</v>
      </c>
      <c r="V906" s="13">
        <f>IF(U906="","",ROUND(M906-U906,2))</f>
        <v/>
      </c>
      <c r="W906" s="5" t="n"/>
      <c r="X906" s="5" t="inlineStr">
        <is>
          <t>Labour + plant + material as published; reconciles to the published rate.</t>
        </is>
      </c>
    </row>
    <row r="907" ht="13" customHeight="1">
      <c r="A907" s="4" t="n">
        <v>1565</v>
      </c>
      <c r="B907" s="5" t="inlineStr">
        <is>
          <t>IMG_0086</t>
        </is>
      </c>
      <c r="C907" s="5" t="inlineStr">
        <is>
          <t>CLASS G: CONCRETE ANCILLARIES</t>
        </is>
      </c>
      <c r="D907" s="5" t="inlineStr">
        <is>
          <t>05 REINFORCEMENT</t>
        </is>
      </c>
      <c r="E907" s="5" t="inlineStr">
        <is>
          <t>Plain round mild steel bars to BS 4449; Bars; supplied in bent and cut lengths</t>
        </is>
      </c>
      <c r="F907" s="5" t="inlineStr">
        <is>
          <t>16 mm nominal size</t>
        </is>
      </c>
      <c r="G907" s="6" t="inlineStr">
        <is>
          <t>tonne</t>
        </is>
      </c>
      <c r="H907" s="7" t="n">
        <v>6.15</v>
      </c>
      <c r="I907" s="8" t="n">
        <v>1036.82</v>
      </c>
      <c r="J907" s="8" t="n">
        <v>149.38</v>
      </c>
      <c r="K907" s="8" t="n">
        <v>1147.03</v>
      </c>
      <c r="L907" s="8" t="n">
        <v>0</v>
      </c>
      <c r="M907" s="9">
        <f>ROUND(SUM(I907:L907),2)</f>
        <v/>
      </c>
      <c r="N907" s="10">
        <f>ROUND(I907*'Irish Basis'!$C$6*'Irish Basis'!$C$5,2)</f>
        <v/>
      </c>
      <c r="O907" s="10">
        <f>ROUND(J907*'Irish Basis'!$C$7*'Irish Basis'!$C$5,2)</f>
        <v/>
      </c>
      <c r="P907" s="10">
        <f>ROUND(K907*'Irish Basis'!$C$8*'Irish Basis'!$C$5,2)</f>
        <v/>
      </c>
      <c r="Q907" s="10">
        <f>ROUND(L907*'Irish Basis'!$C$12*'Irish Basis'!$C$5,2)</f>
        <v/>
      </c>
      <c r="R907" s="11">
        <f>ROUND(SUM(N907:Q907),2)</f>
        <v/>
      </c>
      <c r="S907" s="5" t="inlineStr">
        <is>
          <t>Stated build-up</t>
        </is>
      </c>
      <c r="T907" s="12" t="inlineStr">
        <is>
          <t>High</t>
        </is>
      </c>
      <c r="U907" s="8" t="n">
        <v>2333.22</v>
      </c>
      <c r="V907" s="13">
        <f>IF(U907="","",ROUND(M907-U907,2))</f>
        <v/>
      </c>
      <c r="W907" s="5" t="n"/>
      <c r="X907" s="5" t="inlineStr">
        <is>
          <t>Labour + plant + material as published; reconciles to the published rate.</t>
        </is>
      </c>
    </row>
    <row r="908" ht="13" customHeight="1">
      <c r="A908" s="4" t="n">
        <v>1566</v>
      </c>
      <c r="B908" s="5" t="inlineStr">
        <is>
          <t>IMG_0086</t>
        </is>
      </c>
      <c r="C908" s="5" t="inlineStr">
        <is>
          <t>CLASS G: CONCRETE ANCILLARIES</t>
        </is>
      </c>
      <c r="D908" s="5" t="inlineStr">
        <is>
          <t>05 REINFORCEMENT</t>
        </is>
      </c>
      <c r="E908" s="5" t="inlineStr">
        <is>
          <t>Plain round mild steel bars to BS 4449; Bars; supplied in bent and cut lengths</t>
        </is>
      </c>
      <c r="F908" s="5" t="inlineStr">
        <is>
          <t>20 mm nominal size</t>
        </is>
      </c>
      <c r="G908" s="6" t="inlineStr">
        <is>
          <t>tonne</t>
        </is>
      </c>
      <c r="H908" s="7" t="n">
        <v>4.44</v>
      </c>
      <c r="I908" s="8" t="n">
        <v>748.53</v>
      </c>
      <c r="J908" s="8" t="n">
        <v>107.84</v>
      </c>
      <c r="K908" s="8" t="n">
        <v>1147.03</v>
      </c>
      <c r="L908" s="8" t="n">
        <v>0</v>
      </c>
      <c r="M908" s="9">
        <f>ROUND(SUM(I908:L908),2)</f>
        <v/>
      </c>
      <c r="N908" s="10">
        <f>ROUND(I908*'Irish Basis'!$C$6*'Irish Basis'!$C$5,2)</f>
        <v/>
      </c>
      <c r="O908" s="10">
        <f>ROUND(J908*'Irish Basis'!$C$7*'Irish Basis'!$C$5,2)</f>
        <v/>
      </c>
      <c r="P908" s="10">
        <f>ROUND(K908*'Irish Basis'!$C$8*'Irish Basis'!$C$5,2)</f>
        <v/>
      </c>
      <c r="Q908" s="10">
        <f>ROUND(L908*'Irish Basis'!$C$12*'Irish Basis'!$C$5,2)</f>
        <v/>
      </c>
      <c r="R908" s="11">
        <f>ROUND(SUM(N908:Q908),2)</f>
        <v/>
      </c>
      <c r="S908" s="5" t="inlineStr">
        <is>
          <t>Stated build-up</t>
        </is>
      </c>
      <c r="T908" s="12" t="inlineStr">
        <is>
          <t>High</t>
        </is>
      </c>
      <c r="U908" s="8" t="n">
        <v>2003.4</v>
      </c>
      <c r="V908" s="13">
        <f>IF(U908="","",ROUND(M908-U908,2))</f>
        <v/>
      </c>
      <c r="W908" s="5" t="n"/>
      <c r="X908" s="5" t="inlineStr">
        <is>
          <t>Labour + plant + material as published; reconciles to the published rate.</t>
        </is>
      </c>
    </row>
    <row r="909" ht="13" customHeight="1">
      <c r="A909" s="4" t="n">
        <v>1567</v>
      </c>
      <c r="B909" s="5" t="inlineStr">
        <is>
          <t>IMG_0086</t>
        </is>
      </c>
      <c r="C909" s="5" t="inlineStr">
        <is>
          <t>CLASS G: CONCRETE ANCILLARIES</t>
        </is>
      </c>
      <c r="D909" s="5" t="inlineStr">
        <is>
          <t>05 REINFORCEMENT</t>
        </is>
      </c>
      <c r="E909" s="5" t="inlineStr">
        <is>
          <t>Plain round mild steel bars to BS 4449; Bars; supplied in bent and cut lengths</t>
        </is>
      </c>
      <c r="F909" s="5" t="inlineStr">
        <is>
          <t>25 mm nominal size</t>
        </is>
      </c>
      <c r="G909" s="6" t="inlineStr">
        <is>
          <t>tonne</t>
        </is>
      </c>
      <c r="H909" s="7" t="n">
        <v>4.44</v>
      </c>
      <c r="I909" s="8" t="n">
        <v>748.53</v>
      </c>
      <c r="J909" s="8" t="n">
        <v>107.84</v>
      </c>
      <c r="K909" s="8" t="n">
        <v>1147.03</v>
      </c>
      <c r="L909" s="8" t="n">
        <v>0</v>
      </c>
      <c r="M909" s="9">
        <f>ROUND(SUM(I909:L909),2)</f>
        <v/>
      </c>
      <c r="N909" s="10">
        <f>ROUND(I909*'Irish Basis'!$C$6*'Irish Basis'!$C$5,2)</f>
        <v/>
      </c>
      <c r="O909" s="10">
        <f>ROUND(J909*'Irish Basis'!$C$7*'Irish Basis'!$C$5,2)</f>
        <v/>
      </c>
      <c r="P909" s="10">
        <f>ROUND(K909*'Irish Basis'!$C$8*'Irish Basis'!$C$5,2)</f>
        <v/>
      </c>
      <c r="Q909" s="10">
        <f>ROUND(L909*'Irish Basis'!$C$12*'Irish Basis'!$C$5,2)</f>
        <v/>
      </c>
      <c r="R909" s="11">
        <f>ROUND(SUM(N909:Q909),2)</f>
        <v/>
      </c>
      <c r="S909" s="5" t="inlineStr">
        <is>
          <t>Stated build-up</t>
        </is>
      </c>
      <c r="T909" s="12" t="inlineStr">
        <is>
          <t>High</t>
        </is>
      </c>
      <c r="U909" s="8" t="n">
        <v>2003.4</v>
      </c>
      <c r="V909" s="13">
        <f>IF(U909="","",ROUND(M909-U909,2))</f>
        <v/>
      </c>
      <c r="W909" s="5" t="n"/>
      <c r="X909" s="5" t="inlineStr">
        <is>
          <t>Labour + plant + material as published; reconciles to the published rate.</t>
        </is>
      </c>
    </row>
    <row r="910" ht="13" customHeight="1">
      <c r="A910" s="4" t="n">
        <v>1568</v>
      </c>
      <c r="B910" s="5" t="inlineStr">
        <is>
          <t>IMG_0086</t>
        </is>
      </c>
      <c r="C910" s="5" t="inlineStr">
        <is>
          <t>CLASS G: CONCRETE ANCILLARIES</t>
        </is>
      </c>
      <c r="D910" s="5" t="inlineStr">
        <is>
          <t>05 REINFORCEMENT</t>
        </is>
      </c>
      <c r="E910" s="5" t="inlineStr">
        <is>
          <t>Plain round mild steel bars to BS 4449; Bars; supplied in bent and cut lengths</t>
        </is>
      </c>
      <c r="F910" s="5" t="inlineStr">
        <is>
          <t>32 mm nominal size</t>
        </is>
      </c>
      <c r="G910" s="6" t="inlineStr">
        <is>
          <t>tonne</t>
        </is>
      </c>
      <c r="H910" s="7" t="n">
        <v>4.44</v>
      </c>
      <c r="I910" s="8" t="n">
        <v>748.53</v>
      </c>
      <c r="J910" s="8" t="n">
        <v>107.84</v>
      </c>
      <c r="K910" s="8" t="n">
        <v>1147.03</v>
      </c>
      <c r="L910" s="8" t="n">
        <v>0</v>
      </c>
      <c r="M910" s="9">
        <f>ROUND(SUM(I910:L910),2)</f>
        <v/>
      </c>
      <c r="N910" s="10">
        <f>ROUND(I910*'Irish Basis'!$C$6*'Irish Basis'!$C$5,2)</f>
        <v/>
      </c>
      <c r="O910" s="10">
        <f>ROUND(J910*'Irish Basis'!$C$7*'Irish Basis'!$C$5,2)</f>
        <v/>
      </c>
      <c r="P910" s="10">
        <f>ROUND(K910*'Irish Basis'!$C$8*'Irish Basis'!$C$5,2)</f>
        <v/>
      </c>
      <c r="Q910" s="10">
        <f>ROUND(L910*'Irish Basis'!$C$12*'Irish Basis'!$C$5,2)</f>
        <v/>
      </c>
      <c r="R910" s="11">
        <f>ROUND(SUM(N910:Q910),2)</f>
        <v/>
      </c>
      <c r="S910" s="5" t="inlineStr">
        <is>
          <t>Stated build-up</t>
        </is>
      </c>
      <c r="T910" s="12" t="inlineStr">
        <is>
          <t>High</t>
        </is>
      </c>
      <c r="U910" s="8" t="n">
        <v>2003.4</v>
      </c>
      <c r="V910" s="13">
        <f>IF(U910="","",ROUND(M910-U910,2))</f>
        <v/>
      </c>
      <c r="W910" s="5" t="n"/>
      <c r="X910" s="5" t="inlineStr">
        <is>
          <t>Labour + plant + material as published; reconciles to the published rate.</t>
        </is>
      </c>
    </row>
    <row r="911" ht="13" customHeight="1">
      <c r="A911" s="4" t="n">
        <v>1569</v>
      </c>
      <c r="B911" s="5" t="inlineStr">
        <is>
          <t>IMG_0086</t>
        </is>
      </c>
      <c r="C911" s="5" t="inlineStr">
        <is>
          <t>CLASS G: CONCRETE ANCILLARIES</t>
        </is>
      </c>
      <c r="D911" s="5" t="inlineStr">
        <is>
          <t>05 REINFORCEMENT</t>
        </is>
      </c>
      <c r="E911" s="5" t="inlineStr">
        <is>
          <t>Plain round mild steel bars to BS 4449; Bars; supplied in bent and cut lengths</t>
        </is>
      </c>
      <c r="F911" s="5" t="inlineStr">
        <is>
          <t>40 mm nominal size</t>
        </is>
      </c>
      <c r="G911" s="6" t="inlineStr">
        <is>
          <t>tonne</t>
        </is>
      </c>
      <c r="H911" s="7" t="n">
        <v>4.44</v>
      </c>
      <c r="I911" s="8" t="n">
        <v>748.53</v>
      </c>
      <c r="J911" s="8" t="n">
        <v>107.84</v>
      </c>
      <c r="K911" s="8" t="n">
        <v>1147.03</v>
      </c>
      <c r="L911" s="8" t="n">
        <v>0</v>
      </c>
      <c r="M911" s="9">
        <f>ROUND(SUM(I911:L911),2)</f>
        <v/>
      </c>
      <c r="N911" s="10">
        <f>ROUND(I911*'Irish Basis'!$C$6*'Irish Basis'!$C$5,2)</f>
        <v/>
      </c>
      <c r="O911" s="10">
        <f>ROUND(J911*'Irish Basis'!$C$7*'Irish Basis'!$C$5,2)</f>
        <v/>
      </c>
      <c r="P911" s="10">
        <f>ROUND(K911*'Irish Basis'!$C$8*'Irish Basis'!$C$5,2)</f>
        <v/>
      </c>
      <c r="Q911" s="10">
        <f>ROUND(L911*'Irish Basis'!$C$12*'Irish Basis'!$C$5,2)</f>
        <v/>
      </c>
      <c r="R911" s="11">
        <f>ROUND(SUM(N911:Q911),2)</f>
        <v/>
      </c>
      <c r="S911" s="5" t="inlineStr">
        <is>
          <t>Stated build-up</t>
        </is>
      </c>
      <c r="T911" s="12" t="inlineStr">
        <is>
          <t>High</t>
        </is>
      </c>
      <c r="U911" s="8" t="n">
        <v>2003.4</v>
      </c>
      <c r="V911" s="13">
        <f>IF(U911="","",ROUND(M911-U911,2))</f>
        <v/>
      </c>
      <c r="W911" s="5" t="n"/>
      <c r="X911" s="5" t="inlineStr">
        <is>
          <t>Labour + plant + material as published; reconciles to the published rate.</t>
        </is>
      </c>
    </row>
    <row r="912" ht="13" customHeight="1">
      <c r="A912" s="4" t="n">
        <v>1571</v>
      </c>
      <c r="B912" s="5" t="inlineStr">
        <is>
          <t>IMG_0086</t>
        </is>
      </c>
      <c r="C912" s="5" t="inlineStr">
        <is>
          <t>CLASS G: CONCRETE ANCILLARIES</t>
        </is>
      </c>
      <c r="D912" s="5" t="inlineStr">
        <is>
          <t>05 REINFORCEMENT</t>
        </is>
      </c>
      <c r="E912" s="5" t="inlineStr">
        <is>
          <t>Deformed high yield steel bars to BS 4449; Bars; supplied in straight lengths</t>
        </is>
      </c>
      <c r="F912" s="5" t="inlineStr">
        <is>
          <t>6 mm nominal size</t>
        </is>
      </c>
      <c r="G912" s="6" t="inlineStr">
        <is>
          <t>tonne</t>
        </is>
      </c>
      <c r="H912" s="7" t="n">
        <v>8</v>
      </c>
      <c r="I912" s="8" t="n">
        <v>1348.71</v>
      </c>
      <c r="J912" s="8" t="n">
        <v>194.3</v>
      </c>
      <c r="K912" s="8" t="n">
        <v>1162.24</v>
      </c>
      <c r="L912" s="8" t="n">
        <v>0</v>
      </c>
      <c r="M912" s="9">
        <f>ROUND(SUM(I912:L912),2)</f>
        <v/>
      </c>
      <c r="N912" s="10">
        <f>ROUND(I912*'Irish Basis'!$C$6*'Irish Basis'!$C$5,2)</f>
        <v/>
      </c>
      <c r="O912" s="10">
        <f>ROUND(J912*'Irish Basis'!$C$7*'Irish Basis'!$C$5,2)</f>
        <v/>
      </c>
      <c r="P912" s="10">
        <f>ROUND(K912*'Irish Basis'!$C$8*'Irish Basis'!$C$5,2)</f>
        <v/>
      </c>
      <c r="Q912" s="10">
        <f>ROUND(L912*'Irish Basis'!$C$12*'Irish Basis'!$C$5,2)</f>
        <v/>
      </c>
      <c r="R912" s="11">
        <f>ROUND(SUM(N912:Q912),2)</f>
        <v/>
      </c>
      <c r="S912" s="5" t="inlineStr">
        <is>
          <t>Stated build-up</t>
        </is>
      </c>
      <c r="T912" s="12" t="inlineStr">
        <is>
          <t>High</t>
        </is>
      </c>
      <c r="U912" s="8" t="n">
        <v>2705.25</v>
      </c>
      <c r="V912" s="13">
        <f>IF(U912="","",ROUND(M912-U912,2))</f>
        <v/>
      </c>
      <c r="W912" s="5" t="n"/>
      <c r="X912" s="5" t="inlineStr">
        <is>
          <t>Labour + plant + material as published; reconciles to the published rate.</t>
        </is>
      </c>
    </row>
    <row r="913" ht="13" customHeight="1">
      <c r="A913" s="4" t="n">
        <v>1572</v>
      </c>
      <c r="B913" s="5" t="inlineStr">
        <is>
          <t>IMG_0086</t>
        </is>
      </c>
      <c r="C913" s="5" t="inlineStr">
        <is>
          <t>CLASS G: CONCRETE ANCILLARIES</t>
        </is>
      </c>
      <c r="D913" s="5" t="inlineStr">
        <is>
          <t>05 REINFORCEMENT</t>
        </is>
      </c>
      <c r="E913" s="5" t="inlineStr">
        <is>
          <t>Deformed high yield steel bars to BS 4449; Bars; supplied in straight lengths</t>
        </is>
      </c>
      <c r="F913" s="5" t="inlineStr">
        <is>
          <t>8 mm nominal size</t>
        </is>
      </c>
      <c r="G913" s="6" t="inlineStr">
        <is>
          <t>tonne</t>
        </is>
      </c>
      <c r="H913" s="7" t="n">
        <v>6.74</v>
      </c>
      <c r="I913" s="8" t="n">
        <v>1136.29</v>
      </c>
      <c r="J913" s="8" t="n">
        <v>163.7</v>
      </c>
      <c r="K913" s="8" t="n">
        <v>1162.22</v>
      </c>
      <c r="L913" s="8" t="n">
        <v>0</v>
      </c>
      <c r="M913" s="9">
        <f>ROUND(SUM(I913:L913),2)</f>
        <v/>
      </c>
      <c r="N913" s="10">
        <f>ROUND(I913*'Irish Basis'!$C$6*'Irish Basis'!$C$5,2)</f>
        <v/>
      </c>
      <c r="O913" s="10">
        <f>ROUND(J913*'Irish Basis'!$C$7*'Irish Basis'!$C$5,2)</f>
        <v/>
      </c>
      <c r="P913" s="10">
        <f>ROUND(K913*'Irish Basis'!$C$8*'Irish Basis'!$C$5,2)</f>
        <v/>
      </c>
      <c r="Q913" s="10">
        <f>ROUND(L913*'Irish Basis'!$C$12*'Irish Basis'!$C$5,2)</f>
        <v/>
      </c>
      <c r="R913" s="11">
        <f>ROUND(SUM(N913:Q913),2)</f>
        <v/>
      </c>
      <c r="S913" s="5" t="inlineStr">
        <is>
          <t>Stated build-up</t>
        </is>
      </c>
      <c r="T913" s="12" t="inlineStr">
        <is>
          <t>High</t>
        </is>
      </c>
      <c r="U913" s="8" t="n">
        <v>2462.21</v>
      </c>
      <c r="V913" s="13">
        <f>IF(U913="","",ROUND(M913-U913,2))</f>
        <v/>
      </c>
      <c r="W913" s="5" t="n"/>
      <c r="X913" s="5" t="inlineStr">
        <is>
          <t>Labour + plant + material as published; reconciles to the published rate.</t>
        </is>
      </c>
    </row>
    <row r="914" ht="13" customHeight="1">
      <c r="A914" s="4" t="n">
        <v>1573</v>
      </c>
      <c r="B914" s="5" t="inlineStr">
        <is>
          <t>IMG_0086</t>
        </is>
      </c>
      <c r="C914" s="5" t="inlineStr">
        <is>
          <t>CLASS G: CONCRETE ANCILLARIES</t>
        </is>
      </c>
      <c r="D914" s="5" t="inlineStr">
        <is>
          <t>05 REINFORCEMENT</t>
        </is>
      </c>
      <c r="E914" s="5" t="inlineStr">
        <is>
          <t>Deformed high yield steel bars to BS 4449; Bars; supplied in straight lengths</t>
        </is>
      </c>
      <c r="F914" s="5" t="inlineStr">
        <is>
          <t>10 mm nominal size</t>
        </is>
      </c>
      <c r="G914" s="6" t="inlineStr">
        <is>
          <t>tonne</t>
        </is>
      </c>
      <c r="H914" s="7" t="n">
        <v>6.74</v>
      </c>
      <c r="I914" s="8" t="n">
        <v>1136.29</v>
      </c>
      <c r="J914" s="8" t="n">
        <v>163.7</v>
      </c>
      <c r="K914" s="8" t="n">
        <v>1162.24</v>
      </c>
      <c r="L914" s="8" t="n">
        <v>0</v>
      </c>
      <c r="M914" s="9">
        <f>ROUND(SUM(I914:L914),2)</f>
        <v/>
      </c>
      <c r="N914" s="10">
        <f>ROUND(I914*'Irish Basis'!$C$6*'Irish Basis'!$C$5,2)</f>
        <v/>
      </c>
      <c r="O914" s="10">
        <f>ROUND(J914*'Irish Basis'!$C$7*'Irish Basis'!$C$5,2)</f>
        <v/>
      </c>
      <c r="P914" s="10">
        <f>ROUND(K914*'Irish Basis'!$C$8*'Irish Basis'!$C$5,2)</f>
        <v/>
      </c>
      <c r="Q914" s="10">
        <f>ROUND(L914*'Irish Basis'!$C$12*'Irish Basis'!$C$5,2)</f>
        <v/>
      </c>
      <c r="R914" s="11">
        <f>ROUND(SUM(N914:Q914),2)</f>
        <v/>
      </c>
      <c r="S914" s="5" t="inlineStr">
        <is>
          <t>Stated build-up</t>
        </is>
      </c>
      <c r="T914" s="12" t="inlineStr">
        <is>
          <t>High</t>
        </is>
      </c>
      <c r="U914" s="8" t="n">
        <v>2462.22</v>
      </c>
      <c r="V914" s="13">
        <f>IF(U914="","",ROUND(M914-U914,2))</f>
        <v/>
      </c>
      <c r="W914" s="5" t="n"/>
      <c r="X914" s="5" t="inlineStr">
        <is>
          <t>Labour + plant + material as published; reconciles to the published rate.</t>
        </is>
      </c>
    </row>
    <row r="915" ht="13" customHeight="1">
      <c r="A915" s="4" t="n">
        <v>1574</v>
      </c>
      <c r="B915" s="5" t="inlineStr">
        <is>
          <t>IMG_0086</t>
        </is>
      </c>
      <c r="C915" s="5" t="inlineStr">
        <is>
          <t>CLASS G: CONCRETE ANCILLARIES</t>
        </is>
      </c>
      <c r="D915" s="5" t="inlineStr">
        <is>
          <t>05 REINFORCEMENT</t>
        </is>
      </c>
      <c r="E915" s="5" t="inlineStr">
        <is>
          <t>Deformed high yield steel bars to BS 4449; Bars; supplied in straight lengths</t>
        </is>
      </c>
      <c r="F915" s="5" t="inlineStr">
        <is>
          <t>12 mm nominal size</t>
        </is>
      </c>
      <c r="G915" s="6" t="inlineStr">
        <is>
          <t>tonne</t>
        </is>
      </c>
      <c r="H915" s="7" t="n">
        <v>6.74</v>
      </c>
      <c r="I915" s="8" t="n">
        <v>1136.29</v>
      </c>
      <c r="J915" s="8" t="n">
        <v>163.7</v>
      </c>
      <c r="K915" s="8" t="n">
        <v>1162.24</v>
      </c>
      <c r="L915" s="8" t="n">
        <v>0</v>
      </c>
      <c r="M915" s="9">
        <f>ROUND(SUM(I915:L915),2)</f>
        <v/>
      </c>
      <c r="N915" s="10">
        <f>ROUND(I915*'Irish Basis'!$C$6*'Irish Basis'!$C$5,2)</f>
        <v/>
      </c>
      <c r="O915" s="10">
        <f>ROUND(J915*'Irish Basis'!$C$7*'Irish Basis'!$C$5,2)</f>
        <v/>
      </c>
      <c r="P915" s="10">
        <f>ROUND(K915*'Irish Basis'!$C$8*'Irish Basis'!$C$5,2)</f>
        <v/>
      </c>
      <c r="Q915" s="10">
        <f>ROUND(L915*'Irish Basis'!$C$12*'Irish Basis'!$C$5,2)</f>
        <v/>
      </c>
      <c r="R915" s="11">
        <f>ROUND(SUM(N915:Q915),2)</f>
        <v/>
      </c>
      <c r="S915" s="5" t="inlineStr">
        <is>
          <t>Stated build-up</t>
        </is>
      </c>
      <c r="T915" s="12" t="inlineStr">
        <is>
          <t>High</t>
        </is>
      </c>
      <c r="U915" s="8" t="n">
        <v>2462.22</v>
      </c>
      <c r="V915" s="13">
        <f>IF(U915="","",ROUND(M915-U915,2))</f>
        <v/>
      </c>
      <c r="W915" s="5" t="n"/>
      <c r="X915" s="5" t="inlineStr">
        <is>
          <t>Labour + plant + material as published; reconciles to the published rate.</t>
        </is>
      </c>
    </row>
    <row r="916" ht="13" customHeight="1">
      <c r="A916" s="4" t="n">
        <v>1575</v>
      </c>
      <c r="B916" s="5" t="inlineStr">
        <is>
          <t>IMG_0086</t>
        </is>
      </c>
      <c r="C916" s="5" t="inlineStr">
        <is>
          <t>CLASS G: CONCRETE ANCILLARIES</t>
        </is>
      </c>
      <c r="D916" s="5" t="inlineStr">
        <is>
          <t>05 REINFORCEMENT</t>
        </is>
      </c>
      <c r="E916" s="5" t="inlineStr">
        <is>
          <t>Deformed high yield steel bars to BS 4449; Bars; supplied in straight lengths</t>
        </is>
      </c>
      <c r="F916" s="5" t="inlineStr">
        <is>
          <t>16 mm nominal size</t>
        </is>
      </c>
      <c r="G916" s="6" t="inlineStr">
        <is>
          <t>tonne</t>
        </is>
      </c>
      <c r="H916" s="7" t="n">
        <v>6.15</v>
      </c>
      <c r="I916" s="8" t="n">
        <v>1036.82</v>
      </c>
      <c r="J916" s="8" t="n">
        <v>149.38</v>
      </c>
      <c r="K916" s="8" t="n">
        <v>1162.24</v>
      </c>
      <c r="L916" s="8" t="n">
        <v>0</v>
      </c>
      <c r="M916" s="9">
        <f>ROUND(SUM(I916:L916),2)</f>
        <v/>
      </c>
      <c r="N916" s="10">
        <f>ROUND(I916*'Irish Basis'!$C$6*'Irish Basis'!$C$5,2)</f>
        <v/>
      </c>
      <c r="O916" s="10">
        <f>ROUND(J916*'Irish Basis'!$C$7*'Irish Basis'!$C$5,2)</f>
        <v/>
      </c>
      <c r="P916" s="10">
        <f>ROUND(K916*'Irish Basis'!$C$8*'Irish Basis'!$C$5,2)</f>
        <v/>
      </c>
      <c r="Q916" s="10">
        <f>ROUND(L916*'Irish Basis'!$C$12*'Irish Basis'!$C$5,2)</f>
        <v/>
      </c>
      <c r="R916" s="11">
        <f>ROUND(SUM(N916:Q916),2)</f>
        <v/>
      </c>
      <c r="S916" s="5" t="inlineStr">
        <is>
          <t>Stated build-up</t>
        </is>
      </c>
      <c r="T916" s="12" t="inlineStr">
        <is>
          <t>High</t>
        </is>
      </c>
      <c r="U916" s="8" t="n">
        <v>2348.44</v>
      </c>
      <c r="V916" s="13">
        <f>IF(U916="","",ROUND(M916-U916,2))</f>
        <v/>
      </c>
      <c r="W916" s="5" t="n"/>
      <c r="X916" s="5" t="inlineStr">
        <is>
          <t>Labour + plant + material as published; reconciles to the published rate.</t>
        </is>
      </c>
    </row>
    <row r="917" ht="13" customHeight="1">
      <c r="A917" s="4" t="n">
        <v>1576</v>
      </c>
      <c r="B917" s="5" t="inlineStr">
        <is>
          <t>IMG_0086</t>
        </is>
      </c>
      <c r="C917" s="5" t="inlineStr">
        <is>
          <t>CLASS G: CONCRETE ANCILLARIES</t>
        </is>
      </c>
      <c r="D917" s="5" t="inlineStr">
        <is>
          <t>05 REINFORCEMENT</t>
        </is>
      </c>
      <c r="E917" s="5" t="inlineStr">
        <is>
          <t>Deformed high yield steel bars to BS 4449; Bars; supplied in straight lengths</t>
        </is>
      </c>
      <c r="F917" s="5" t="inlineStr">
        <is>
          <t>20 mm nominal size</t>
        </is>
      </c>
      <c r="G917" s="6" t="inlineStr">
        <is>
          <t>tonne</t>
        </is>
      </c>
      <c r="H917" s="7" t="n">
        <v>4.44</v>
      </c>
      <c r="I917" s="8" t="n">
        <v>748.53</v>
      </c>
      <c r="J917" s="8" t="n">
        <v>107.84</v>
      </c>
      <c r="K917" s="8" t="n">
        <v>1162.24</v>
      </c>
      <c r="L917" s="8" t="n">
        <v>0</v>
      </c>
      <c r="M917" s="9">
        <f>ROUND(SUM(I917:L917),2)</f>
        <v/>
      </c>
      <c r="N917" s="10">
        <f>ROUND(I917*'Irish Basis'!$C$6*'Irish Basis'!$C$5,2)</f>
        <v/>
      </c>
      <c r="O917" s="10">
        <f>ROUND(J917*'Irish Basis'!$C$7*'Irish Basis'!$C$5,2)</f>
        <v/>
      </c>
      <c r="P917" s="10">
        <f>ROUND(K917*'Irish Basis'!$C$8*'Irish Basis'!$C$5,2)</f>
        <v/>
      </c>
      <c r="Q917" s="10">
        <f>ROUND(L917*'Irish Basis'!$C$12*'Irish Basis'!$C$5,2)</f>
        <v/>
      </c>
      <c r="R917" s="11">
        <f>ROUND(SUM(N917:Q917),2)</f>
        <v/>
      </c>
      <c r="S917" s="5" t="inlineStr">
        <is>
          <t>Stated build-up</t>
        </is>
      </c>
      <c r="T917" s="12" t="inlineStr">
        <is>
          <t>High</t>
        </is>
      </c>
      <c r="U917" s="8" t="n">
        <v>2018.61</v>
      </c>
      <c r="V917" s="13">
        <f>IF(U917="","",ROUND(M917-U917,2))</f>
        <v/>
      </c>
      <c r="W917" s="5" t="n"/>
      <c r="X917" s="5" t="inlineStr">
        <is>
          <t>Labour + plant + material as published; reconciles to the published rate.</t>
        </is>
      </c>
    </row>
    <row r="918" ht="13" customHeight="1">
      <c r="A918" s="4" t="n">
        <v>1577</v>
      </c>
      <c r="B918" s="5" t="inlineStr">
        <is>
          <t>IMG_0086</t>
        </is>
      </c>
      <c r="C918" s="5" t="inlineStr">
        <is>
          <t>CLASS G: CONCRETE ANCILLARIES</t>
        </is>
      </c>
      <c r="D918" s="5" t="inlineStr">
        <is>
          <t>05 REINFORCEMENT</t>
        </is>
      </c>
      <c r="E918" s="5" t="inlineStr">
        <is>
          <t>Deformed high yield steel bars to BS 4449; Bars; supplied in straight lengths</t>
        </is>
      </c>
      <c r="F918" s="5" t="inlineStr">
        <is>
          <t>25 mm nominal size</t>
        </is>
      </c>
      <c r="G918" s="6" t="inlineStr">
        <is>
          <t>tonne</t>
        </is>
      </c>
      <c r="H918" s="7" t="n">
        <v>4.44</v>
      </c>
      <c r="I918" s="8" t="n">
        <v>748.53</v>
      </c>
      <c r="J918" s="8" t="n">
        <v>107.84</v>
      </c>
      <c r="K918" s="8" t="n">
        <v>1162.24</v>
      </c>
      <c r="L918" s="8" t="n">
        <v>0</v>
      </c>
      <c r="M918" s="9">
        <f>ROUND(SUM(I918:L918),2)</f>
        <v/>
      </c>
      <c r="N918" s="10">
        <f>ROUND(I918*'Irish Basis'!$C$6*'Irish Basis'!$C$5,2)</f>
        <v/>
      </c>
      <c r="O918" s="10">
        <f>ROUND(J918*'Irish Basis'!$C$7*'Irish Basis'!$C$5,2)</f>
        <v/>
      </c>
      <c r="P918" s="10">
        <f>ROUND(K918*'Irish Basis'!$C$8*'Irish Basis'!$C$5,2)</f>
        <v/>
      </c>
      <c r="Q918" s="10">
        <f>ROUND(L918*'Irish Basis'!$C$12*'Irish Basis'!$C$5,2)</f>
        <v/>
      </c>
      <c r="R918" s="11">
        <f>ROUND(SUM(N918:Q918),2)</f>
        <v/>
      </c>
      <c r="S918" s="5" t="inlineStr">
        <is>
          <t>Stated build-up</t>
        </is>
      </c>
      <c r="T918" s="12" t="inlineStr">
        <is>
          <t>High</t>
        </is>
      </c>
      <c r="U918" s="8" t="n">
        <v>2018.61</v>
      </c>
      <c r="V918" s="13">
        <f>IF(U918="","",ROUND(M918-U918,2))</f>
        <v/>
      </c>
      <c r="W918" s="5" t="n"/>
      <c r="X918" s="5" t="inlineStr">
        <is>
          <t>Labour + plant + material as published; reconciles to the published rate.</t>
        </is>
      </c>
    </row>
    <row r="919" ht="13" customHeight="1">
      <c r="A919" s="4" t="n">
        <v>1578</v>
      </c>
      <c r="B919" s="5" t="inlineStr">
        <is>
          <t>IMG_0086</t>
        </is>
      </c>
      <c r="C919" s="5" t="inlineStr">
        <is>
          <t>CLASS G: CONCRETE ANCILLARIES</t>
        </is>
      </c>
      <c r="D919" s="5" t="inlineStr">
        <is>
          <t>05 REINFORCEMENT</t>
        </is>
      </c>
      <c r="E919" s="5" t="inlineStr">
        <is>
          <t>Deformed high yield steel bars to BS 4449; Bars; supplied in straight lengths</t>
        </is>
      </c>
      <c r="F919" s="5" t="inlineStr">
        <is>
          <t>32 mm nominal size</t>
        </is>
      </c>
      <c r="G919" s="6" t="inlineStr">
        <is>
          <t>tonne</t>
        </is>
      </c>
      <c r="H919" s="7" t="n">
        <v>4.44</v>
      </c>
      <c r="I919" s="8" t="n">
        <v>748.53</v>
      </c>
      <c r="J919" s="8" t="n">
        <v>107.84</v>
      </c>
      <c r="K919" s="8" t="n">
        <v>1162.24</v>
      </c>
      <c r="L919" s="8" t="n">
        <v>0</v>
      </c>
      <c r="M919" s="9">
        <f>ROUND(SUM(I919:L919),2)</f>
        <v/>
      </c>
      <c r="N919" s="10">
        <f>ROUND(I919*'Irish Basis'!$C$6*'Irish Basis'!$C$5,2)</f>
        <v/>
      </c>
      <c r="O919" s="10">
        <f>ROUND(J919*'Irish Basis'!$C$7*'Irish Basis'!$C$5,2)</f>
        <v/>
      </c>
      <c r="P919" s="10">
        <f>ROUND(K919*'Irish Basis'!$C$8*'Irish Basis'!$C$5,2)</f>
        <v/>
      </c>
      <c r="Q919" s="10">
        <f>ROUND(L919*'Irish Basis'!$C$12*'Irish Basis'!$C$5,2)</f>
        <v/>
      </c>
      <c r="R919" s="11">
        <f>ROUND(SUM(N919:Q919),2)</f>
        <v/>
      </c>
      <c r="S919" s="5" t="inlineStr">
        <is>
          <t>Stated build-up</t>
        </is>
      </c>
      <c r="T919" s="12" t="inlineStr">
        <is>
          <t>High</t>
        </is>
      </c>
      <c r="U919" s="8" t="n">
        <v>2018.61</v>
      </c>
      <c r="V919" s="13">
        <f>IF(U919="","",ROUND(M919-U919,2))</f>
        <v/>
      </c>
      <c r="W919" s="5" t="n"/>
      <c r="X919" s="5" t="inlineStr">
        <is>
          <t>Labour + plant + material as published; reconciles to the published rate.</t>
        </is>
      </c>
    </row>
    <row r="920" ht="13" customHeight="1">
      <c r="A920" s="4" t="n">
        <v>1579</v>
      </c>
      <c r="B920" s="5" t="inlineStr">
        <is>
          <t>IMG_0086</t>
        </is>
      </c>
      <c r="C920" s="5" t="inlineStr">
        <is>
          <t>CLASS G: CONCRETE ANCILLARIES</t>
        </is>
      </c>
      <c r="D920" s="5" t="inlineStr">
        <is>
          <t>05 REINFORCEMENT</t>
        </is>
      </c>
      <c r="E920" s="5" t="inlineStr">
        <is>
          <t>Deformed high yield steel bars to BS 4449; Bars; supplied in straight lengths</t>
        </is>
      </c>
      <c r="F920" s="5" t="inlineStr">
        <is>
          <t>40 mm nominal size</t>
        </is>
      </c>
      <c r="G920" s="6" t="inlineStr">
        <is>
          <t>tonne</t>
        </is>
      </c>
      <c r="H920" s="7" t="n">
        <v>4.44</v>
      </c>
      <c r="I920" s="8" t="n">
        <v>748.53</v>
      </c>
      <c r="J920" s="8" t="n">
        <v>107.84</v>
      </c>
      <c r="K920" s="8" t="n">
        <v>1162.24</v>
      </c>
      <c r="L920" s="8" t="n">
        <v>0</v>
      </c>
      <c r="M920" s="9">
        <f>ROUND(SUM(I920:L920),2)</f>
        <v/>
      </c>
      <c r="N920" s="10">
        <f>ROUND(I920*'Irish Basis'!$C$6*'Irish Basis'!$C$5,2)</f>
        <v/>
      </c>
      <c r="O920" s="10">
        <f>ROUND(J920*'Irish Basis'!$C$7*'Irish Basis'!$C$5,2)</f>
        <v/>
      </c>
      <c r="P920" s="10">
        <f>ROUND(K920*'Irish Basis'!$C$8*'Irish Basis'!$C$5,2)</f>
        <v/>
      </c>
      <c r="Q920" s="10">
        <f>ROUND(L920*'Irish Basis'!$C$12*'Irish Basis'!$C$5,2)</f>
        <v/>
      </c>
      <c r="R920" s="11">
        <f>ROUND(SUM(N920:Q920),2)</f>
        <v/>
      </c>
      <c r="S920" s="5" t="inlineStr">
        <is>
          <t>Stated build-up</t>
        </is>
      </c>
      <c r="T920" s="12" t="inlineStr">
        <is>
          <t>High</t>
        </is>
      </c>
      <c r="U920" s="8" t="n">
        <v>2018.61</v>
      </c>
      <c r="V920" s="13">
        <f>IF(U920="","",ROUND(M920-U920,2))</f>
        <v/>
      </c>
      <c r="W920" s="5" t="n"/>
      <c r="X920" s="5" t="inlineStr">
        <is>
          <t>Labour + plant + material as published; reconciles to the published rate.</t>
        </is>
      </c>
    </row>
    <row r="921" ht="13" customHeight="1">
      <c r="A921" s="4" t="n">
        <v>1581</v>
      </c>
      <c r="B921" s="5" t="inlineStr">
        <is>
          <t>IMG_0086</t>
        </is>
      </c>
      <c r="C921" s="5" t="inlineStr">
        <is>
          <t>CLASS G: CONCRETE ANCILLARIES</t>
        </is>
      </c>
      <c r="D921" s="5" t="inlineStr">
        <is>
          <t>05 REINFORCEMENT</t>
        </is>
      </c>
      <c r="E921" s="5" t="inlineStr">
        <is>
          <t>Deformed high yield steel bars to BS 4449; Bars; supplied in bent and cut lengths</t>
        </is>
      </c>
      <c r="F921" s="5" t="inlineStr">
        <is>
          <t>6 mm nominal size</t>
        </is>
      </c>
      <c r="G921" s="6" t="inlineStr">
        <is>
          <t>tonne</t>
        </is>
      </c>
      <c r="H921" s="7" t="n">
        <v>8</v>
      </c>
      <c r="I921" s="8" t="n">
        <v>1348.71</v>
      </c>
      <c r="J921" s="8" t="n">
        <v>194.3</v>
      </c>
      <c r="K921" s="8" t="n">
        <v>1162.24</v>
      </c>
      <c r="L921" s="8" t="n">
        <v>0</v>
      </c>
      <c r="M921" s="9">
        <f>ROUND(SUM(I921:L921),2)</f>
        <v/>
      </c>
      <c r="N921" s="10">
        <f>ROUND(I921*'Irish Basis'!$C$6*'Irish Basis'!$C$5,2)</f>
        <v/>
      </c>
      <c r="O921" s="10">
        <f>ROUND(J921*'Irish Basis'!$C$7*'Irish Basis'!$C$5,2)</f>
        <v/>
      </c>
      <c r="P921" s="10">
        <f>ROUND(K921*'Irish Basis'!$C$8*'Irish Basis'!$C$5,2)</f>
        <v/>
      </c>
      <c r="Q921" s="10">
        <f>ROUND(L921*'Irish Basis'!$C$12*'Irish Basis'!$C$5,2)</f>
        <v/>
      </c>
      <c r="R921" s="11">
        <f>ROUND(SUM(N921:Q921),2)</f>
        <v/>
      </c>
      <c r="S921" s="5" t="inlineStr">
        <is>
          <t>Stated build-up</t>
        </is>
      </c>
      <c r="T921" s="12" t="inlineStr">
        <is>
          <t>High</t>
        </is>
      </c>
      <c r="U921" s="8" t="n">
        <v>2705.25</v>
      </c>
      <c r="V921" s="13">
        <f>IF(U921="","",ROUND(M921-U921,2))</f>
        <v/>
      </c>
      <c r="W921" s="5" t="n"/>
      <c r="X921" s="5" t="inlineStr">
        <is>
          <t>Labour + plant + material as published; reconciles to the published rate.</t>
        </is>
      </c>
    </row>
    <row r="922" ht="13" customHeight="1">
      <c r="A922" s="4" t="n">
        <v>1582</v>
      </c>
      <c r="B922" s="5" t="inlineStr">
        <is>
          <t>IMG_0086</t>
        </is>
      </c>
      <c r="C922" s="5" t="inlineStr">
        <is>
          <t>CLASS G: CONCRETE ANCILLARIES</t>
        </is>
      </c>
      <c r="D922" s="5" t="inlineStr">
        <is>
          <t>05 REINFORCEMENT</t>
        </is>
      </c>
      <c r="E922" s="5" t="inlineStr">
        <is>
          <t>Deformed high yield steel bars to BS 4449; Bars; supplied in bent and cut lengths</t>
        </is>
      </c>
      <c r="F922" s="5" t="inlineStr">
        <is>
          <t>8 mm nominal size</t>
        </is>
      </c>
      <c r="G922" s="6" t="inlineStr">
        <is>
          <t>tonne</t>
        </is>
      </c>
      <c r="H922" s="7" t="n">
        <v>6.74</v>
      </c>
      <c r="I922" s="8" t="n">
        <v>1136.29</v>
      </c>
      <c r="J922" s="8" t="n">
        <v>163.7</v>
      </c>
      <c r="K922" s="8" t="n">
        <v>1162.24</v>
      </c>
      <c r="L922" s="8" t="n">
        <v>0</v>
      </c>
      <c r="M922" s="9">
        <f>ROUND(SUM(I922:L922),2)</f>
        <v/>
      </c>
      <c r="N922" s="10">
        <f>ROUND(I922*'Irish Basis'!$C$6*'Irish Basis'!$C$5,2)</f>
        <v/>
      </c>
      <c r="O922" s="10">
        <f>ROUND(J922*'Irish Basis'!$C$7*'Irish Basis'!$C$5,2)</f>
        <v/>
      </c>
      <c r="P922" s="10">
        <f>ROUND(K922*'Irish Basis'!$C$8*'Irish Basis'!$C$5,2)</f>
        <v/>
      </c>
      <c r="Q922" s="10">
        <f>ROUND(L922*'Irish Basis'!$C$12*'Irish Basis'!$C$5,2)</f>
        <v/>
      </c>
      <c r="R922" s="11">
        <f>ROUND(SUM(N922:Q922),2)</f>
        <v/>
      </c>
      <c r="S922" s="5" t="inlineStr">
        <is>
          <t>Stated build-up</t>
        </is>
      </c>
      <c r="T922" s="12" t="inlineStr">
        <is>
          <t>High</t>
        </is>
      </c>
      <c r="U922" s="8" t="n">
        <v>2462.22</v>
      </c>
      <c r="V922" s="13">
        <f>IF(U922="","",ROUND(M922-U922,2))</f>
        <v/>
      </c>
      <c r="W922" s="5" t="n"/>
      <c r="X922" s="5" t="inlineStr">
        <is>
          <t>Labour + plant + material as published; reconciles to the published rate.</t>
        </is>
      </c>
    </row>
    <row r="923" ht="13" customHeight="1">
      <c r="A923" s="4" t="n">
        <v>1583</v>
      </c>
      <c r="B923" s="5" t="inlineStr">
        <is>
          <t>IMG_0086</t>
        </is>
      </c>
      <c r="C923" s="5" t="inlineStr">
        <is>
          <t>CLASS G: CONCRETE ANCILLARIES</t>
        </is>
      </c>
      <c r="D923" s="5" t="inlineStr">
        <is>
          <t>05 REINFORCEMENT</t>
        </is>
      </c>
      <c r="E923" s="5" t="inlineStr">
        <is>
          <t>Deformed high yield steel bars to BS 4449; Bars; supplied in bent and cut lengths</t>
        </is>
      </c>
      <c r="F923" s="5" t="inlineStr">
        <is>
          <t>10 mm nominal size</t>
        </is>
      </c>
      <c r="G923" s="6" t="inlineStr">
        <is>
          <t>tonne</t>
        </is>
      </c>
      <c r="H923" s="7" t="n">
        <v>6.74</v>
      </c>
      <c r="I923" s="8" t="n">
        <v>1136.29</v>
      </c>
      <c r="J923" s="8" t="n">
        <v>163.7</v>
      </c>
      <c r="K923" s="8" t="n">
        <v>1162.23</v>
      </c>
      <c r="L923" s="8" t="n">
        <v>0</v>
      </c>
      <c r="M923" s="9">
        <f>ROUND(SUM(I923:L923),2)</f>
        <v/>
      </c>
      <c r="N923" s="10">
        <f>ROUND(I923*'Irish Basis'!$C$6*'Irish Basis'!$C$5,2)</f>
        <v/>
      </c>
      <c r="O923" s="10">
        <f>ROUND(J923*'Irish Basis'!$C$7*'Irish Basis'!$C$5,2)</f>
        <v/>
      </c>
      <c r="P923" s="10">
        <f>ROUND(K923*'Irish Basis'!$C$8*'Irish Basis'!$C$5,2)</f>
        <v/>
      </c>
      <c r="Q923" s="10">
        <f>ROUND(L923*'Irish Basis'!$C$12*'Irish Basis'!$C$5,2)</f>
        <v/>
      </c>
      <c r="R923" s="11">
        <f>ROUND(SUM(N923:Q923),2)</f>
        <v/>
      </c>
      <c r="S923" s="5" t="inlineStr">
        <is>
          <t>Stated build-up</t>
        </is>
      </c>
      <c r="T923" s="12" t="inlineStr">
        <is>
          <t>High</t>
        </is>
      </c>
      <c r="U923" s="8" t="n">
        <v>2462.21</v>
      </c>
      <c r="V923" s="13">
        <f>IF(U923="","",ROUND(M923-U923,2))</f>
        <v/>
      </c>
      <c r="W923" s="5" t="n"/>
      <c r="X923" s="5" t="inlineStr">
        <is>
          <t>Labour + plant + material as published; reconciles to the published rate.</t>
        </is>
      </c>
    </row>
    <row r="924" ht="13" customHeight="1">
      <c r="A924" s="4" t="n">
        <v>1585</v>
      </c>
      <c r="B924" s="5" t="inlineStr">
        <is>
          <t>IMG_0087</t>
        </is>
      </c>
      <c r="C924" s="5" t="inlineStr">
        <is>
          <t>CLASS G: CONCRETE ANCILLARIES</t>
        </is>
      </c>
      <c r="D924" s="5" t="inlineStr">
        <is>
          <t>05 REINFORCEMENT</t>
        </is>
      </c>
      <c r="E924" s="5" t="inlineStr">
        <is>
          <t>Deformed high yield steel bars to BS 4449; Bars; supplied in bent and cut lengths (continued)</t>
        </is>
      </c>
      <c r="F924" s="5" t="inlineStr">
        <is>
          <t>12 mm nominal size</t>
        </is>
      </c>
      <c r="G924" s="6" t="inlineStr">
        <is>
          <t>tonne</t>
        </is>
      </c>
      <c r="H924" s="7" t="n">
        <v>6.74</v>
      </c>
      <c r="I924" s="8" t="n">
        <v>1136.29</v>
      </c>
      <c r="J924" s="8" t="n">
        <v>163.7</v>
      </c>
      <c r="K924" s="8" t="n">
        <v>1162.24</v>
      </c>
      <c r="L924" s="8" t="n">
        <v>0</v>
      </c>
      <c r="M924" s="9">
        <f>ROUND(SUM(I924:L924),2)</f>
        <v/>
      </c>
      <c r="N924" s="10">
        <f>ROUND(I924*'Irish Basis'!$C$6*'Irish Basis'!$C$5,2)</f>
        <v/>
      </c>
      <c r="O924" s="10">
        <f>ROUND(J924*'Irish Basis'!$C$7*'Irish Basis'!$C$5,2)</f>
        <v/>
      </c>
      <c r="P924" s="10">
        <f>ROUND(K924*'Irish Basis'!$C$8*'Irish Basis'!$C$5,2)</f>
        <v/>
      </c>
      <c r="Q924" s="10">
        <f>ROUND(L924*'Irish Basis'!$C$12*'Irish Basis'!$C$5,2)</f>
        <v/>
      </c>
      <c r="R924" s="11">
        <f>ROUND(SUM(N924:Q924),2)</f>
        <v/>
      </c>
      <c r="S924" s="5" t="inlineStr">
        <is>
          <t>Stated build-up</t>
        </is>
      </c>
      <c r="T924" s="12" t="inlineStr">
        <is>
          <t>High</t>
        </is>
      </c>
      <c r="U924" s="8" t="n">
        <v>2462.22</v>
      </c>
      <c r="V924" s="13">
        <f>IF(U924="","",ROUND(M924-U924,2))</f>
        <v/>
      </c>
      <c r="W924" s="5" t="n"/>
      <c r="X924" s="5" t="inlineStr">
        <is>
          <t>Labour + plant + material as published; reconciles to the published rate.</t>
        </is>
      </c>
    </row>
    <row r="925" ht="13" customHeight="1">
      <c r="A925" s="4" t="n">
        <v>1586</v>
      </c>
      <c r="B925" s="5" t="inlineStr">
        <is>
          <t>IMG_0087</t>
        </is>
      </c>
      <c r="C925" s="5" t="inlineStr">
        <is>
          <t>CLASS G: CONCRETE ANCILLARIES</t>
        </is>
      </c>
      <c r="D925" s="5" t="inlineStr">
        <is>
          <t>05 REINFORCEMENT</t>
        </is>
      </c>
      <c r="E925" s="5" t="inlineStr">
        <is>
          <t>Deformed high yield steel bars to BS 4449; Bars; supplied in bent and cut lengths (continued)</t>
        </is>
      </c>
      <c r="F925" s="5" t="inlineStr">
        <is>
          <t>16 mm nominal size</t>
        </is>
      </c>
      <c r="G925" s="6" t="inlineStr">
        <is>
          <t>tonne</t>
        </is>
      </c>
      <c r="H925" s="7" t="n">
        <v>6.15</v>
      </c>
      <c r="I925" s="8" t="n">
        <v>1036.82</v>
      </c>
      <c r="J925" s="8" t="n">
        <v>149.38</v>
      </c>
      <c r="K925" s="8" t="n">
        <v>1162.24</v>
      </c>
      <c r="L925" s="8" t="n">
        <v>0</v>
      </c>
      <c r="M925" s="9">
        <f>ROUND(SUM(I925:L925),2)</f>
        <v/>
      </c>
      <c r="N925" s="10">
        <f>ROUND(I925*'Irish Basis'!$C$6*'Irish Basis'!$C$5,2)</f>
        <v/>
      </c>
      <c r="O925" s="10">
        <f>ROUND(J925*'Irish Basis'!$C$7*'Irish Basis'!$C$5,2)</f>
        <v/>
      </c>
      <c r="P925" s="10">
        <f>ROUND(K925*'Irish Basis'!$C$8*'Irish Basis'!$C$5,2)</f>
        <v/>
      </c>
      <c r="Q925" s="10">
        <f>ROUND(L925*'Irish Basis'!$C$12*'Irish Basis'!$C$5,2)</f>
        <v/>
      </c>
      <c r="R925" s="11">
        <f>ROUND(SUM(N925:Q925),2)</f>
        <v/>
      </c>
      <c r="S925" s="5" t="inlineStr">
        <is>
          <t>Stated build-up</t>
        </is>
      </c>
      <c r="T925" s="12" t="inlineStr">
        <is>
          <t>High</t>
        </is>
      </c>
      <c r="U925" s="8" t="n">
        <v>2348.42</v>
      </c>
      <c r="V925" s="13">
        <f>IF(U925="","",ROUND(M925-U925,2))</f>
        <v/>
      </c>
      <c r="W925" s="5" t="n"/>
      <c r="X925" s="5" t="inlineStr">
        <is>
          <t>Labour + plant + material as published; reconciles to the published rate.</t>
        </is>
      </c>
    </row>
    <row r="926" ht="13" customHeight="1">
      <c r="A926" s="4" t="n">
        <v>1587</v>
      </c>
      <c r="B926" s="5" t="inlineStr">
        <is>
          <t>IMG_0087</t>
        </is>
      </c>
      <c r="C926" s="5" t="inlineStr">
        <is>
          <t>CLASS G: CONCRETE ANCILLARIES</t>
        </is>
      </c>
      <c r="D926" s="5" t="inlineStr">
        <is>
          <t>05 REINFORCEMENT</t>
        </is>
      </c>
      <c r="E926" s="5" t="inlineStr">
        <is>
          <t>Deformed high yield steel bars to BS 4449; Bars; supplied in bent and cut lengths (continued)</t>
        </is>
      </c>
      <c r="F926" s="5" t="inlineStr">
        <is>
          <t>20 mm nominal size</t>
        </is>
      </c>
      <c r="G926" s="6" t="inlineStr">
        <is>
          <t>tonne</t>
        </is>
      </c>
      <c r="H926" s="7" t="n">
        <v>4.44</v>
      </c>
      <c r="I926" s="8" t="n">
        <v>748.53</v>
      </c>
      <c r="J926" s="8" t="n">
        <v>107.84</v>
      </c>
      <c r="K926" s="8" t="n">
        <v>1162.24</v>
      </c>
      <c r="L926" s="8" t="n">
        <v>0</v>
      </c>
      <c r="M926" s="9">
        <f>ROUND(SUM(I926:L926),2)</f>
        <v/>
      </c>
      <c r="N926" s="10">
        <f>ROUND(I926*'Irish Basis'!$C$6*'Irish Basis'!$C$5,2)</f>
        <v/>
      </c>
      <c r="O926" s="10">
        <f>ROUND(J926*'Irish Basis'!$C$7*'Irish Basis'!$C$5,2)</f>
        <v/>
      </c>
      <c r="P926" s="10">
        <f>ROUND(K926*'Irish Basis'!$C$8*'Irish Basis'!$C$5,2)</f>
        <v/>
      </c>
      <c r="Q926" s="10">
        <f>ROUND(L926*'Irish Basis'!$C$12*'Irish Basis'!$C$5,2)</f>
        <v/>
      </c>
      <c r="R926" s="11">
        <f>ROUND(SUM(N926:Q926),2)</f>
        <v/>
      </c>
      <c r="S926" s="5" t="inlineStr">
        <is>
          <t>Stated build-up</t>
        </is>
      </c>
      <c r="T926" s="12" t="inlineStr">
        <is>
          <t>High</t>
        </is>
      </c>
      <c r="U926" s="8" t="n">
        <v>2018.61</v>
      </c>
      <c r="V926" s="13">
        <f>IF(U926="","",ROUND(M926-U926,2))</f>
        <v/>
      </c>
      <c r="W926" s="5" t="n"/>
      <c r="X926" s="5" t="inlineStr">
        <is>
          <t>Labour + plant + material as published; reconciles to the published rate.</t>
        </is>
      </c>
    </row>
    <row r="927" ht="13" customHeight="1">
      <c r="A927" s="4" t="n">
        <v>1588</v>
      </c>
      <c r="B927" s="5" t="inlineStr">
        <is>
          <t>IMG_0087</t>
        </is>
      </c>
      <c r="C927" s="5" t="inlineStr">
        <is>
          <t>CLASS G: CONCRETE ANCILLARIES</t>
        </is>
      </c>
      <c r="D927" s="5" t="inlineStr">
        <is>
          <t>05 REINFORCEMENT</t>
        </is>
      </c>
      <c r="E927" s="5" t="inlineStr">
        <is>
          <t>Deformed high yield steel bars to BS 4449; Bars; supplied in bent and cut lengths (continued)</t>
        </is>
      </c>
      <c r="F927" s="5" t="inlineStr">
        <is>
          <t>25 mm nominal size</t>
        </is>
      </c>
      <c r="G927" s="6" t="inlineStr">
        <is>
          <t>tonne</t>
        </is>
      </c>
      <c r="H927" s="7" t="n">
        <v>4.44</v>
      </c>
      <c r="I927" s="8" t="n">
        <v>748.53</v>
      </c>
      <c r="J927" s="8" t="n">
        <v>107.84</v>
      </c>
      <c r="K927" s="8" t="n">
        <v>1162.24</v>
      </c>
      <c r="L927" s="8" t="n">
        <v>0</v>
      </c>
      <c r="M927" s="9">
        <f>ROUND(SUM(I927:L927),2)</f>
        <v/>
      </c>
      <c r="N927" s="10">
        <f>ROUND(I927*'Irish Basis'!$C$6*'Irish Basis'!$C$5,2)</f>
        <v/>
      </c>
      <c r="O927" s="10">
        <f>ROUND(J927*'Irish Basis'!$C$7*'Irish Basis'!$C$5,2)</f>
        <v/>
      </c>
      <c r="P927" s="10">
        <f>ROUND(K927*'Irish Basis'!$C$8*'Irish Basis'!$C$5,2)</f>
        <v/>
      </c>
      <c r="Q927" s="10">
        <f>ROUND(L927*'Irish Basis'!$C$12*'Irish Basis'!$C$5,2)</f>
        <v/>
      </c>
      <c r="R927" s="11">
        <f>ROUND(SUM(N927:Q927),2)</f>
        <v/>
      </c>
      <c r="S927" s="5" t="inlineStr">
        <is>
          <t>Stated build-up</t>
        </is>
      </c>
      <c r="T927" s="12" t="inlineStr">
        <is>
          <t>High</t>
        </is>
      </c>
      <c r="U927" s="8" t="n">
        <v>2018.61</v>
      </c>
      <c r="V927" s="13">
        <f>IF(U927="","",ROUND(M927-U927,2))</f>
        <v/>
      </c>
      <c r="W927" s="5" t="n"/>
      <c r="X927" s="5" t="inlineStr">
        <is>
          <t>Labour + plant + material as published; reconciles to the published rate.</t>
        </is>
      </c>
    </row>
    <row r="928" ht="13" customHeight="1">
      <c r="A928" s="4" t="n">
        <v>1589</v>
      </c>
      <c r="B928" s="5" t="inlineStr">
        <is>
          <t>IMG_0087</t>
        </is>
      </c>
      <c r="C928" s="5" t="inlineStr">
        <is>
          <t>CLASS G: CONCRETE ANCILLARIES</t>
        </is>
      </c>
      <c r="D928" s="5" t="inlineStr">
        <is>
          <t>05 REINFORCEMENT</t>
        </is>
      </c>
      <c r="E928" s="5" t="inlineStr">
        <is>
          <t>Deformed high yield steel bars to BS 4449; Bars; supplied in bent and cut lengths (continued)</t>
        </is>
      </c>
      <c r="F928" s="5" t="inlineStr">
        <is>
          <t>32 mm nominal size</t>
        </is>
      </c>
      <c r="G928" s="6" t="inlineStr">
        <is>
          <t>tonne</t>
        </is>
      </c>
      <c r="H928" s="7" t="n">
        <v>4.44</v>
      </c>
      <c r="I928" s="8" t="n">
        <v>748.53</v>
      </c>
      <c r="J928" s="8" t="n">
        <v>107.84</v>
      </c>
      <c r="K928" s="8" t="n">
        <v>1162.24</v>
      </c>
      <c r="L928" s="8" t="n">
        <v>0</v>
      </c>
      <c r="M928" s="9">
        <f>ROUND(SUM(I928:L928),2)</f>
        <v/>
      </c>
      <c r="N928" s="10">
        <f>ROUND(I928*'Irish Basis'!$C$6*'Irish Basis'!$C$5,2)</f>
        <v/>
      </c>
      <c r="O928" s="10">
        <f>ROUND(J928*'Irish Basis'!$C$7*'Irish Basis'!$C$5,2)</f>
        <v/>
      </c>
      <c r="P928" s="10">
        <f>ROUND(K928*'Irish Basis'!$C$8*'Irish Basis'!$C$5,2)</f>
        <v/>
      </c>
      <c r="Q928" s="10">
        <f>ROUND(L928*'Irish Basis'!$C$12*'Irish Basis'!$C$5,2)</f>
        <v/>
      </c>
      <c r="R928" s="11">
        <f>ROUND(SUM(N928:Q928),2)</f>
        <v/>
      </c>
      <c r="S928" s="5" t="inlineStr">
        <is>
          <t>Stated build-up</t>
        </is>
      </c>
      <c r="T928" s="12" t="inlineStr">
        <is>
          <t>High</t>
        </is>
      </c>
      <c r="U928" s="8" t="n">
        <v>2018.61</v>
      </c>
      <c r="V928" s="13">
        <f>IF(U928="","",ROUND(M928-U928,2))</f>
        <v/>
      </c>
      <c r="W928" s="5" t="n"/>
      <c r="X928" s="5" t="inlineStr">
        <is>
          <t>Labour + plant + material as published; reconciles to the published rate.</t>
        </is>
      </c>
    </row>
    <row r="929" ht="13" customHeight="1">
      <c r="A929" s="4" t="n">
        <v>1590</v>
      </c>
      <c r="B929" s="5" t="inlineStr">
        <is>
          <t>IMG_0087</t>
        </is>
      </c>
      <c r="C929" s="5" t="inlineStr">
        <is>
          <t>CLASS G: CONCRETE ANCILLARIES</t>
        </is>
      </c>
      <c r="D929" s="5" t="inlineStr">
        <is>
          <t>05 REINFORCEMENT</t>
        </is>
      </c>
      <c r="E929" s="5" t="inlineStr">
        <is>
          <t>Deformed high yield steel bars to BS 4449; Bars; supplied in bent and cut lengths (continued)</t>
        </is>
      </c>
      <c r="F929" s="5" t="inlineStr">
        <is>
          <t>40 mm nominal size</t>
        </is>
      </c>
      <c r="G929" s="6" t="inlineStr">
        <is>
          <t>tonne</t>
        </is>
      </c>
      <c r="H929" s="7" t="n">
        <v>4.44</v>
      </c>
      <c r="I929" s="8" t="n">
        <v>748.53</v>
      </c>
      <c r="J929" s="8" t="n">
        <v>107.84</v>
      </c>
      <c r="K929" s="8" t="n">
        <v>1162.24</v>
      </c>
      <c r="L929" s="8" t="n">
        <v>0</v>
      </c>
      <c r="M929" s="9">
        <f>ROUND(SUM(I929:L929),2)</f>
        <v/>
      </c>
      <c r="N929" s="10">
        <f>ROUND(I929*'Irish Basis'!$C$6*'Irish Basis'!$C$5,2)</f>
        <v/>
      </c>
      <c r="O929" s="10">
        <f>ROUND(J929*'Irish Basis'!$C$7*'Irish Basis'!$C$5,2)</f>
        <v/>
      </c>
      <c r="P929" s="10">
        <f>ROUND(K929*'Irish Basis'!$C$8*'Irish Basis'!$C$5,2)</f>
        <v/>
      </c>
      <c r="Q929" s="10">
        <f>ROUND(L929*'Irish Basis'!$C$12*'Irish Basis'!$C$5,2)</f>
        <v/>
      </c>
      <c r="R929" s="11">
        <f>ROUND(SUM(N929:Q929),2)</f>
        <v/>
      </c>
      <c r="S929" s="5" t="inlineStr">
        <is>
          <t>Stated build-up</t>
        </is>
      </c>
      <c r="T929" s="12" t="inlineStr">
        <is>
          <t>High</t>
        </is>
      </c>
      <c r="U929" s="8" t="n">
        <v>2018.61</v>
      </c>
      <c r="V929" s="13">
        <f>IF(U929="","",ROUND(M929-U929,2))</f>
        <v/>
      </c>
      <c r="W929" s="5" t="n"/>
      <c r="X929" s="5" t="inlineStr">
        <is>
          <t>Labour + plant + material as published; reconciles to the published rate.</t>
        </is>
      </c>
    </row>
    <row r="930" ht="13" customHeight="1">
      <c r="A930" s="4" t="n">
        <v>1592</v>
      </c>
      <c r="B930" s="5" t="inlineStr">
        <is>
          <t>IMG_0087</t>
        </is>
      </c>
      <c r="C930" s="5" t="inlineStr">
        <is>
          <t>CLASS G: CONCRETE ANCILLARIES</t>
        </is>
      </c>
      <c r="D930" s="5" t="inlineStr">
        <is>
          <t>05 REINFORCEMENT</t>
        </is>
      </c>
      <c r="E930" s="5" t="inlineStr">
        <is>
          <t>Stainless steel bars; Alloy 1.4301; Bars; supplied in straight lengths</t>
        </is>
      </c>
      <c r="F930" s="5" t="inlineStr">
        <is>
          <t>8 mm nominal size</t>
        </is>
      </c>
      <c r="G930" s="6" t="inlineStr">
        <is>
          <t>tonne</t>
        </is>
      </c>
      <c r="H930" s="7" t="n">
        <v>6.74</v>
      </c>
      <c r="I930" s="8" t="n">
        <v>1136.29</v>
      </c>
      <c r="J930" s="8" t="n">
        <v>163.7</v>
      </c>
      <c r="K930" s="8" t="n">
        <v>6277.35</v>
      </c>
      <c r="L930" s="8" t="n">
        <v>0</v>
      </c>
      <c r="M930" s="9">
        <f>ROUND(SUM(I930:L930),2)</f>
        <v/>
      </c>
      <c r="N930" s="10">
        <f>ROUND(I930*'Irish Basis'!$C$6*'Irish Basis'!$C$5,2)</f>
        <v/>
      </c>
      <c r="O930" s="10">
        <f>ROUND(J930*'Irish Basis'!$C$7*'Irish Basis'!$C$5,2)</f>
        <v/>
      </c>
      <c r="P930" s="10">
        <f>ROUND(K930*'Irish Basis'!$C$8*'Irish Basis'!$C$5,2)</f>
        <v/>
      </c>
      <c r="Q930" s="10">
        <f>ROUND(L930*'Irish Basis'!$C$12*'Irish Basis'!$C$5,2)</f>
        <v/>
      </c>
      <c r="R930" s="11">
        <f>ROUND(SUM(N930:Q930),2)</f>
        <v/>
      </c>
      <c r="S930" s="5" t="inlineStr">
        <is>
          <t>Stated build-up</t>
        </is>
      </c>
      <c r="T930" s="12" t="inlineStr">
        <is>
          <t>High</t>
        </is>
      </c>
      <c r="U930" s="8" t="n">
        <v>7577.34</v>
      </c>
      <c r="V930" s="13">
        <f>IF(U930="","",ROUND(M930-U930,2))</f>
        <v/>
      </c>
      <c r="W930" s="5" t="n"/>
      <c r="X930" s="5" t="inlineStr">
        <is>
          <t>Labour + plant + material as published; reconciles to the published rate.</t>
        </is>
      </c>
    </row>
    <row r="931" ht="13" customHeight="1">
      <c r="A931" s="4" t="n">
        <v>1593</v>
      </c>
      <c r="B931" s="5" t="inlineStr">
        <is>
          <t>IMG_0087</t>
        </is>
      </c>
      <c r="C931" s="5" t="inlineStr">
        <is>
          <t>CLASS G: CONCRETE ANCILLARIES</t>
        </is>
      </c>
      <c r="D931" s="5" t="inlineStr">
        <is>
          <t>05 REINFORCEMENT</t>
        </is>
      </c>
      <c r="E931" s="5" t="inlineStr">
        <is>
          <t>Stainless steel bars; Alloy 1.4301; Bars; supplied in straight lengths</t>
        </is>
      </c>
      <c r="F931" s="5" t="inlineStr">
        <is>
          <t>10 mm nominal size</t>
        </is>
      </c>
      <c r="G931" s="6" t="inlineStr">
        <is>
          <t>tonne</t>
        </is>
      </c>
      <c r="H931" s="7" t="n">
        <v>6.74</v>
      </c>
      <c r="I931" s="8" t="n">
        <v>1136.29</v>
      </c>
      <c r="J931" s="8" t="n">
        <v>163.7</v>
      </c>
      <c r="K931" s="8" t="n">
        <v>6277.35</v>
      </c>
      <c r="L931" s="8" t="n">
        <v>0</v>
      </c>
      <c r="M931" s="9">
        <f>ROUND(SUM(I931:L931),2)</f>
        <v/>
      </c>
      <c r="N931" s="10">
        <f>ROUND(I931*'Irish Basis'!$C$6*'Irish Basis'!$C$5,2)</f>
        <v/>
      </c>
      <c r="O931" s="10">
        <f>ROUND(J931*'Irish Basis'!$C$7*'Irish Basis'!$C$5,2)</f>
        <v/>
      </c>
      <c r="P931" s="10">
        <f>ROUND(K931*'Irish Basis'!$C$8*'Irish Basis'!$C$5,2)</f>
        <v/>
      </c>
      <c r="Q931" s="10">
        <f>ROUND(L931*'Irish Basis'!$C$12*'Irish Basis'!$C$5,2)</f>
        <v/>
      </c>
      <c r="R931" s="11">
        <f>ROUND(SUM(N931:Q931),2)</f>
        <v/>
      </c>
      <c r="S931" s="5" t="inlineStr">
        <is>
          <t>Stated build-up</t>
        </is>
      </c>
      <c r="T931" s="12" t="inlineStr">
        <is>
          <t>High</t>
        </is>
      </c>
      <c r="U931" s="8" t="n">
        <v>7577.34</v>
      </c>
      <c r="V931" s="13">
        <f>IF(U931="","",ROUND(M931-U931,2))</f>
        <v/>
      </c>
      <c r="W931" s="5" t="n"/>
      <c r="X931" s="5" t="inlineStr">
        <is>
          <t>Labour + plant + material as published; reconciles to the published rate.</t>
        </is>
      </c>
    </row>
    <row r="932" ht="13" customHeight="1">
      <c r="A932" s="4" t="n">
        <v>1594</v>
      </c>
      <c r="B932" s="5" t="inlineStr">
        <is>
          <t>IMG_0087</t>
        </is>
      </c>
      <c r="C932" s="5" t="inlineStr">
        <is>
          <t>CLASS G: CONCRETE ANCILLARIES</t>
        </is>
      </c>
      <c r="D932" s="5" t="inlineStr">
        <is>
          <t>05 REINFORCEMENT</t>
        </is>
      </c>
      <c r="E932" s="5" t="inlineStr">
        <is>
          <t>Stainless steel bars; Alloy 1.4301; Bars; supplied in straight lengths</t>
        </is>
      </c>
      <c r="F932" s="5" t="inlineStr">
        <is>
          <t>12 mm nominal size</t>
        </is>
      </c>
      <c r="G932" s="6" t="inlineStr">
        <is>
          <t>tonne</t>
        </is>
      </c>
      <c r="H932" s="7" t="n">
        <v>6.74</v>
      </c>
      <c r="I932" s="8" t="n">
        <v>1136.29</v>
      </c>
      <c r="J932" s="8" t="n">
        <v>163.7</v>
      </c>
      <c r="K932" s="8" t="n">
        <v>6277.35</v>
      </c>
      <c r="L932" s="8" t="n">
        <v>0</v>
      </c>
      <c r="M932" s="9">
        <f>ROUND(SUM(I932:L932),2)</f>
        <v/>
      </c>
      <c r="N932" s="10">
        <f>ROUND(I932*'Irish Basis'!$C$6*'Irish Basis'!$C$5,2)</f>
        <v/>
      </c>
      <c r="O932" s="10">
        <f>ROUND(J932*'Irish Basis'!$C$7*'Irish Basis'!$C$5,2)</f>
        <v/>
      </c>
      <c r="P932" s="10">
        <f>ROUND(K932*'Irish Basis'!$C$8*'Irish Basis'!$C$5,2)</f>
        <v/>
      </c>
      <c r="Q932" s="10">
        <f>ROUND(L932*'Irish Basis'!$C$12*'Irish Basis'!$C$5,2)</f>
        <v/>
      </c>
      <c r="R932" s="11">
        <f>ROUND(SUM(N932:Q932),2)</f>
        <v/>
      </c>
      <c r="S932" s="5" t="inlineStr">
        <is>
          <t>Stated build-up</t>
        </is>
      </c>
      <c r="T932" s="12" t="inlineStr">
        <is>
          <t>High</t>
        </is>
      </c>
      <c r="U932" s="8" t="n">
        <v>7577.34</v>
      </c>
      <c r="V932" s="13">
        <f>IF(U932="","",ROUND(M932-U932,2))</f>
        <v/>
      </c>
      <c r="W932" s="5" t="n"/>
      <c r="X932" s="5" t="inlineStr">
        <is>
          <t>Labour + plant + material as published; reconciles to the published rate.</t>
        </is>
      </c>
    </row>
    <row r="933" ht="13" customHeight="1">
      <c r="A933" s="4" t="n">
        <v>1595</v>
      </c>
      <c r="B933" s="5" t="inlineStr">
        <is>
          <t>IMG_0087</t>
        </is>
      </c>
      <c r="C933" s="5" t="inlineStr">
        <is>
          <t>CLASS G: CONCRETE ANCILLARIES</t>
        </is>
      </c>
      <c r="D933" s="5" t="inlineStr">
        <is>
          <t>05 REINFORCEMENT</t>
        </is>
      </c>
      <c r="E933" s="5" t="inlineStr">
        <is>
          <t>Stainless steel bars; Alloy 1.4301; Bars; supplied in straight lengths</t>
        </is>
      </c>
      <c r="F933" s="5" t="inlineStr">
        <is>
          <t>16 mm nominal size</t>
        </is>
      </c>
      <c r="G933" s="6" t="inlineStr">
        <is>
          <t>tonne</t>
        </is>
      </c>
      <c r="H933" s="7" t="n">
        <v>6.15</v>
      </c>
      <c r="I933" s="8" t="n">
        <v>1036.82</v>
      </c>
      <c r="J933" s="8" t="n">
        <v>149.38</v>
      </c>
      <c r="K933" s="8" t="n">
        <v>6277.35</v>
      </c>
      <c r="L933" s="8" t="n">
        <v>0</v>
      </c>
      <c r="M933" s="9">
        <f>ROUND(SUM(I933:L933),2)</f>
        <v/>
      </c>
      <c r="N933" s="10">
        <f>ROUND(I933*'Irish Basis'!$C$6*'Irish Basis'!$C$5,2)</f>
        <v/>
      </c>
      <c r="O933" s="10">
        <f>ROUND(J933*'Irish Basis'!$C$7*'Irish Basis'!$C$5,2)</f>
        <v/>
      </c>
      <c r="P933" s="10">
        <f>ROUND(K933*'Irish Basis'!$C$8*'Irish Basis'!$C$5,2)</f>
        <v/>
      </c>
      <c r="Q933" s="10">
        <f>ROUND(L933*'Irish Basis'!$C$12*'Irish Basis'!$C$5,2)</f>
        <v/>
      </c>
      <c r="R933" s="11">
        <f>ROUND(SUM(N933:Q933),2)</f>
        <v/>
      </c>
      <c r="S933" s="5" t="inlineStr">
        <is>
          <t>Stated build-up</t>
        </is>
      </c>
      <c r="T933" s="12" t="inlineStr">
        <is>
          <t>High</t>
        </is>
      </c>
      <c r="U933" s="8" t="n">
        <v>7463.55</v>
      </c>
      <c r="V933" s="13">
        <f>IF(U933="","",ROUND(M933-U933,2))</f>
        <v/>
      </c>
      <c r="W933" s="5" t="n"/>
      <c r="X933" s="5" t="inlineStr">
        <is>
          <t>Labour + plant + material as published; reconciles to the published rate.</t>
        </is>
      </c>
    </row>
    <row r="934" ht="13" customHeight="1">
      <c r="A934" s="4" t="n">
        <v>1596</v>
      </c>
      <c r="B934" s="5" t="inlineStr">
        <is>
          <t>IMG_0087</t>
        </is>
      </c>
      <c r="C934" s="5" t="inlineStr">
        <is>
          <t>CLASS G: CONCRETE ANCILLARIES</t>
        </is>
      </c>
      <c r="D934" s="5" t="inlineStr">
        <is>
          <t>05 REINFORCEMENT</t>
        </is>
      </c>
      <c r="E934" s="5" t="inlineStr">
        <is>
          <t>Stainless steel bars; Alloy 1.4301; Bars; supplied in straight lengths</t>
        </is>
      </c>
      <c r="F934" s="5" t="inlineStr">
        <is>
          <t>20 mm nominal size</t>
        </is>
      </c>
      <c r="G934" s="6" t="inlineStr">
        <is>
          <t>tonne</t>
        </is>
      </c>
      <c r="H934" s="7" t="n">
        <v>4.44</v>
      </c>
      <c r="I934" s="8" t="n">
        <v>748.53</v>
      </c>
      <c r="J934" s="8" t="n">
        <v>107.84</v>
      </c>
      <c r="K934" s="8" t="n">
        <v>6277.35</v>
      </c>
      <c r="L934" s="8" t="n">
        <v>0</v>
      </c>
      <c r="M934" s="9">
        <f>ROUND(SUM(I934:L934),2)</f>
        <v/>
      </c>
      <c r="N934" s="10">
        <f>ROUND(I934*'Irish Basis'!$C$6*'Irish Basis'!$C$5,2)</f>
        <v/>
      </c>
      <c r="O934" s="10">
        <f>ROUND(J934*'Irish Basis'!$C$7*'Irish Basis'!$C$5,2)</f>
        <v/>
      </c>
      <c r="P934" s="10">
        <f>ROUND(K934*'Irish Basis'!$C$8*'Irish Basis'!$C$5,2)</f>
        <v/>
      </c>
      <c r="Q934" s="10">
        <f>ROUND(L934*'Irish Basis'!$C$12*'Irish Basis'!$C$5,2)</f>
        <v/>
      </c>
      <c r="R934" s="11">
        <f>ROUND(SUM(N934:Q934),2)</f>
        <v/>
      </c>
      <c r="S934" s="5" t="inlineStr">
        <is>
          <t>Stated build-up</t>
        </is>
      </c>
      <c r="T934" s="12" t="inlineStr">
        <is>
          <t>High</t>
        </is>
      </c>
      <c r="U934" s="8" t="n">
        <v>7133.72</v>
      </c>
      <c r="V934" s="13">
        <f>IF(U934="","",ROUND(M934-U934,2))</f>
        <v/>
      </c>
      <c r="W934" s="5" t="n"/>
      <c r="X934" s="5" t="inlineStr">
        <is>
          <t>Labour + plant + material as published; reconciles to the published rate.</t>
        </is>
      </c>
    </row>
    <row r="935" ht="13" customHeight="1">
      <c r="A935" s="4" t="n">
        <v>1597</v>
      </c>
      <c r="B935" s="5" t="inlineStr">
        <is>
          <t>IMG_0087</t>
        </is>
      </c>
      <c r="C935" s="5" t="inlineStr">
        <is>
          <t>CLASS G: CONCRETE ANCILLARIES</t>
        </is>
      </c>
      <c r="D935" s="5" t="inlineStr">
        <is>
          <t>05 REINFORCEMENT</t>
        </is>
      </c>
      <c r="E935" s="5" t="inlineStr">
        <is>
          <t>Stainless steel bars; Alloy 1.4301; Bars; supplied in straight lengths</t>
        </is>
      </c>
      <c r="F935" s="5" t="inlineStr">
        <is>
          <t>25 mm nominal size</t>
        </is>
      </c>
      <c r="G935" s="6" t="inlineStr">
        <is>
          <t>tonne</t>
        </is>
      </c>
      <c r="H935" s="7" t="n">
        <v>4.44</v>
      </c>
      <c r="I935" s="8" t="n">
        <v>748.53</v>
      </c>
      <c r="J935" s="8" t="n">
        <v>107.84</v>
      </c>
      <c r="K935" s="8" t="n">
        <v>6277.35</v>
      </c>
      <c r="L935" s="8" t="n">
        <v>0</v>
      </c>
      <c r="M935" s="9">
        <f>ROUND(SUM(I935:L935),2)</f>
        <v/>
      </c>
      <c r="N935" s="10">
        <f>ROUND(I935*'Irish Basis'!$C$6*'Irish Basis'!$C$5,2)</f>
        <v/>
      </c>
      <c r="O935" s="10">
        <f>ROUND(J935*'Irish Basis'!$C$7*'Irish Basis'!$C$5,2)</f>
        <v/>
      </c>
      <c r="P935" s="10">
        <f>ROUND(K935*'Irish Basis'!$C$8*'Irish Basis'!$C$5,2)</f>
        <v/>
      </c>
      <c r="Q935" s="10">
        <f>ROUND(L935*'Irish Basis'!$C$12*'Irish Basis'!$C$5,2)</f>
        <v/>
      </c>
      <c r="R935" s="11">
        <f>ROUND(SUM(N935:Q935),2)</f>
        <v/>
      </c>
      <c r="S935" s="5" t="inlineStr">
        <is>
          <t>Stated build-up</t>
        </is>
      </c>
      <c r="T935" s="12" t="inlineStr">
        <is>
          <t>High</t>
        </is>
      </c>
      <c r="U935" s="8" t="n">
        <v>7133.72</v>
      </c>
      <c r="V935" s="13">
        <f>IF(U935="","",ROUND(M935-U935,2))</f>
        <v/>
      </c>
      <c r="W935" s="5" t="n"/>
      <c r="X935" s="5" t="inlineStr">
        <is>
          <t>Labour + plant + material as published; reconciles to the published rate.</t>
        </is>
      </c>
    </row>
    <row r="936" ht="13" customHeight="1">
      <c r="A936" s="4" t="n">
        <v>1598</v>
      </c>
      <c r="B936" s="5" t="inlineStr">
        <is>
          <t>IMG_0087</t>
        </is>
      </c>
      <c r="C936" s="5" t="inlineStr">
        <is>
          <t>CLASS G: CONCRETE ANCILLARIES</t>
        </is>
      </c>
      <c r="D936" s="5" t="inlineStr">
        <is>
          <t>05 REINFORCEMENT</t>
        </is>
      </c>
      <c r="E936" s="5" t="inlineStr">
        <is>
          <t>Stainless steel bars; Alloy 1.4301; Bars; supplied in straight lengths</t>
        </is>
      </c>
      <c r="F936" s="5" t="inlineStr">
        <is>
          <t>32 mm nominal size</t>
        </is>
      </c>
      <c r="G936" s="6" t="inlineStr">
        <is>
          <t>tonne</t>
        </is>
      </c>
      <c r="H936" s="7" t="n">
        <v>4.44</v>
      </c>
      <c r="I936" s="8" t="n">
        <v>748.53</v>
      </c>
      <c r="J936" s="8" t="n">
        <v>107.84</v>
      </c>
      <c r="K936" s="8" t="n">
        <v>6277.35</v>
      </c>
      <c r="L936" s="8" t="n">
        <v>0</v>
      </c>
      <c r="M936" s="9">
        <f>ROUND(SUM(I936:L936),2)</f>
        <v/>
      </c>
      <c r="N936" s="10">
        <f>ROUND(I936*'Irish Basis'!$C$6*'Irish Basis'!$C$5,2)</f>
        <v/>
      </c>
      <c r="O936" s="10">
        <f>ROUND(J936*'Irish Basis'!$C$7*'Irish Basis'!$C$5,2)</f>
        <v/>
      </c>
      <c r="P936" s="10">
        <f>ROUND(K936*'Irish Basis'!$C$8*'Irish Basis'!$C$5,2)</f>
        <v/>
      </c>
      <c r="Q936" s="10">
        <f>ROUND(L936*'Irish Basis'!$C$12*'Irish Basis'!$C$5,2)</f>
        <v/>
      </c>
      <c r="R936" s="11">
        <f>ROUND(SUM(N936:Q936),2)</f>
        <v/>
      </c>
      <c r="S936" s="5" t="inlineStr">
        <is>
          <t>Stated build-up</t>
        </is>
      </c>
      <c r="T936" s="12" t="inlineStr">
        <is>
          <t>High</t>
        </is>
      </c>
      <c r="U936" s="8" t="n">
        <v>7133.72</v>
      </c>
      <c r="V936" s="13">
        <f>IF(U936="","",ROUND(M936-U936,2))</f>
        <v/>
      </c>
      <c r="W936" s="5" t="n"/>
      <c r="X936" s="5" t="inlineStr">
        <is>
          <t>Labour + plant + material as published; reconciles to the published rate.</t>
        </is>
      </c>
    </row>
    <row r="937" ht="13" customHeight="1">
      <c r="A937" s="4" t="n">
        <v>1600</v>
      </c>
      <c r="B937" s="5" t="inlineStr">
        <is>
          <t>IMG_0087</t>
        </is>
      </c>
      <c r="C937" s="5" t="inlineStr">
        <is>
          <t>CLASS G: CONCRETE ANCILLARIES</t>
        </is>
      </c>
      <c r="D937" s="5" t="inlineStr">
        <is>
          <t>05 REINFORCEMENT</t>
        </is>
      </c>
      <c r="E937" s="5" t="inlineStr">
        <is>
          <t>Stainless steel bars; Alloy 1.4301; Bars; supplied in bent and cut lengths</t>
        </is>
      </c>
      <c r="F937" s="5" t="inlineStr">
        <is>
          <t>8 mm nominal size</t>
        </is>
      </c>
      <c r="G937" s="6" t="inlineStr">
        <is>
          <t>tonne</t>
        </is>
      </c>
      <c r="H937" s="7" t="n">
        <v>6.74</v>
      </c>
      <c r="I937" s="8" t="n">
        <v>1136.29</v>
      </c>
      <c r="J937" s="8" t="n">
        <v>163.7</v>
      </c>
      <c r="K937" s="8" t="n">
        <v>6277.35</v>
      </c>
      <c r="L937" s="8" t="n">
        <v>0</v>
      </c>
      <c r="M937" s="9">
        <f>ROUND(SUM(I937:L937),2)</f>
        <v/>
      </c>
      <c r="N937" s="10">
        <f>ROUND(I937*'Irish Basis'!$C$6*'Irish Basis'!$C$5,2)</f>
        <v/>
      </c>
      <c r="O937" s="10">
        <f>ROUND(J937*'Irish Basis'!$C$7*'Irish Basis'!$C$5,2)</f>
        <v/>
      </c>
      <c r="P937" s="10">
        <f>ROUND(K937*'Irish Basis'!$C$8*'Irish Basis'!$C$5,2)</f>
        <v/>
      </c>
      <c r="Q937" s="10">
        <f>ROUND(L937*'Irish Basis'!$C$12*'Irish Basis'!$C$5,2)</f>
        <v/>
      </c>
      <c r="R937" s="11">
        <f>ROUND(SUM(N937:Q937),2)</f>
        <v/>
      </c>
      <c r="S937" s="5" t="inlineStr">
        <is>
          <t>Stated build-up</t>
        </is>
      </c>
      <c r="T937" s="12" t="inlineStr">
        <is>
          <t>High</t>
        </is>
      </c>
      <c r="U937" s="8" t="n">
        <v>7577.34</v>
      </c>
      <c r="V937" s="13">
        <f>IF(U937="","",ROUND(M937-U937,2))</f>
        <v/>
      </c>
      <c r="W937" s="5" t="n"/>
      <c r="X937" s="5" t="inlineStr">
        <is>
          <t>Labour + plant + material as published; reconciles to the published rate.</t>
        </is>
      </c>
    </row>
    <row r="938" ht="13" customHeight="1">
      <c r="A938" s="4" t="n">
        <v>1601</v>
      </c>
      <c r="B938" s="5" t="inlineStr">
        <is>
          <t>IMG_0087</t>
        </is>
      </c>
      <c r="C938" s="5" t="inlineStr">
        <is>
          <t>CLASS G: CONCRETE ANCILLARIES</t>
        </is>
      </c>
      <c r="D938" s="5" t="inlineStr">
        <is>
          <t>05 REINFORCEMENT</t>
        </is>
      </c>
      <c r="E938" s="5" t="inlineStr">
        <is>
          <t>Stainless steel bars; Alloy 1.4301; Bars; supplied in bent and cut lengths</t>
        </is>
      </c>
      <c r="F938" s="5" t="inlineStr">
        <is>
          <t>10 mm nominal size</t>
        </is>
      </c>
      <c r="G938" s="6" t="inlineStr">
        <is>
          <t>tonne</t>
        </is>
      </c>
      <c r="H938" s="7" t="n">
        <v>6.74</v>
      </c>
      <c r="I938" s="8" t="n">
        <v>1136.29</v>
      </c>
      <c r="J938" s="8" t="n">
        <v>163.7</v>
      </c>
      <c r="K938" s="8" t="n">
        <v>6277.35</v>
      </c>
      <c r="L938" s="8" t="n">
        <v>0</v>
      </c>
      <c r="M938" s="9">
        <f>ROUND(SUM(I938:L938),2)</f>
        <v/>
      </c>
      <c r="N938" s="10">
        <f>ROUND(I938*'Irish Basis'!$C$6*'Irish Basis'!$C$5,2)</f>
        <v/>
      </c>
      <c r="O938" s="10">
        <f>ROUND(J938*'Irish Basis'!$C$7*'Irish Basis'!$C$5,2)</f>
        <v/>
      </c>
      <c r="P938" s="10">
        <f>ROUND(K938*'Irish Basis'!$C$8*'Irish Basis'!$C$5,2)</f>
        <v/>
      </c>
      <c r="Q938" s="10">
        <f>ROUND(L938*'Irish Basis'!$C$12*'Irish Basis'!$C$5,2)</f>
        <v/>
      </c>
      <c r="R938" s="11">
        <f>ROUND(SUM(N938:Q938),2)</f>
        <v/>
      </c>
      <c r="S938" s="5" t="inlineStr">
        <is>
          <t>Stated build-up</t>
        </is>
      </c>
      <c r="T938" s="12" t="inlineStr">
        <is>
          <t>High</t>
        </is>
      </c>
      <c r="U938" s="8" t="n">
        <v>7577.34</v>
      </c>
      <c r="V938" s="13">
        <f>IF(U938="","",ROUND(M938-U938,2))</f>
        <v/>
      </c>
      <c r="W938" s="5" t="n"/>
      <c r="X938" s="5" t="inlineStr">
        <is>
          <t>Labour + plant + material as published; reconciles to the published rate.</t>
        </is>
      </c>
    </row>
    <row r="939" ht="13" customHeight="1">
      <c r="A939" s="4" t="n">
        <v>1602</v>
      </c>
      <c r="B939" s="5" t="inlineStr">
        <is>
          <t>IMG_0087</t>
        </is>
      </c>
      <c r="C939" s="5" t="inlineStr">
        <is>
          <t>CLASS G: CONCRETE ANCILLARIES</t>
        </is>
      </c>
      <c r="D939" s="5" t="inlineStr">
        <is>
          <t>05 REINFORCEMENT</t>
        </is>
      </c>
      <c r="E939" s="5" t="inlineStr">
        <is>
          <t>Stainless steel bars; Alloy 1.4301; Bars; supplied in bent and cut lengths</t>
        </is>
      </c>
      <c r="F939" s="5" t="inlineStr">
        <is>
          <t>12 mm nominal size</t>
        </is>
      </c>
      <c r="G939" s="6" t="inlineStr">
        <is>
          <t>tonne</t>
        </is>
      </c>
      <c r="H939" s="7" t="n">
        <v>6.74</v>
      </c>
      <c r="I939" s="8" t="n">
        <v>1136.29</v>
      </c>
      <c r="J939" s="8" t="n">
        <v>163.7</v>
      </c>
      <c r="K939" s="8" t="n">
        <v>6277.35</v>
      </c>
      <c r="L939" s="8" t="n">
        <v>0</v>
      </c>
      <c r="M939" s="9">
        <f>ROUND(SUM(I939:L939),2)</f>
        <v/>
      </c>
      <c r="N939" s="10">
        <f>ROUND(I939*'Irish Basis'!$C$6*'Irish Basis'!$C$5,2)</f>
        <v/>
      </c>
      <c r="O939" s="10">
        <f>ROUND(J939*'Irish Basis'!$C$7*'Irish Basis'!$C$5,2)</f>
        <v/>
      </c>
      <c r="P939" s="10">
        <f>ROUND(K939*'Irish Basis'!$C$8*'Irish Basis'!$C$5,2)</f>
        <v/>
      </c>
      <c r="Q939" s="10">
        <f>ROUND(L939*'Irish Basis'!$C$12*'Irish Basis'!$C$5,2)</f>
        <v/>
      </c>
      <c r="R939" s="11">
        <f>ROUND(SUM(N939:Q939),2)</f>
        <v/>
      </c>
      <c r="S939" s="5" t="inlineStr">
        <is>
          <t>Stated build-up</t>
        </is>
      </c>
      <c r="T939" s="12" t="inlineStr">
        <is>
          <t>High</t>
        </is>
      </c>
      <c r="U939" s="8" t="n">
        <v>7577.34</v>
      </c>
      <c r="V939" s="13">
        <f>IF(U939="","",ROUND(M939-U939,2))</f>
        <v/>
      </c>
      <c r="W939" s="5" t="n"/>
      <c r="X939" s="5" t="inlineStr">
        <is>
          <t>Labour + plant + material as published; reconciles to the published rate.</t>
        </is>
      </c>
    </row>
    <row r="940" ht="13" customHeight="1">
      <c r="A940" s="4" t="n">
        <v>1603</v>
      </c>
      <c r="B940" s="5" t="inlineStr">
        <is>
          <t>IMG_0087</t>
        </is>
      </c>
      <c r="C940" s="5" t="inlineStr">
        <is>
          <t>CLASS G: CONCRETE ANCILLARIES</t>
        </is>
      </c>
      <c r="D940" s="5" t="inlineStr">
        <is>
          <t>05 REINFORCEMENT</t>
        </is>
      </c>
      <c r="E940" s="5" t="inlineStr">
        <is>
          <t>Stainless steel bars; Alloy 1.4301; Bars; supplied in bent and cut lengths</t>
        </is>
      </c>
      <c r="F940" s="5" t="inlineStr">
        <is>
          <t>16 mm nominal size</t>
        </is>
      </c>
      <c r="G940" s="6" t="inlineStr">
        <is>
          <t>tonne</t>
        </is>
      </c>
      <c r="H940" s="7" t="n">
        <v>6.15</v>
      </c>
      <c r="I940" s="8" t="n">
        <v>1036.82</v>
      </c>
      <c r="J940" s="8" t="n">
        <v>149.38</v>
      </c>
      <c r="K940" s="8" t="n">
        <v>6277.35</v>
      </c>
      <c r="L940" s="8" t="n">
        <v>0</v>
      </c>
      <c r="M940" s="9">
        <f>ROUND(SUM(I940:L940),2)</f>
        <v/>
      </c>
      <c r="N940" s="10">
        <f>ROUND(I940*'Irish Basis'!$C$6*'Irish Basis'!$C$5,2)</f>
        <v/>
      </c>
      <c r="O940" s="10">
        <f>ROUND(J940*'Irish Basis'!$C$7*'Irish Basis'!$C$5,2)</f>
        <v/>
      </c>
      <c r="P940" s="10">
        <f>ROUND(K940*'Irish Basis'!$C$8*'Irish Basis'!$C$5,2)</f>
        <v/>
      </c>
      <c r="Q940" s="10">
        <f>ROUND(L940*'Irish Basis'!$C$12*'Irish Basis'!$C$5,2)</f>
        <v/>
      </c>
      <c r="R940" s="11">
        <f>ROUND(SUM(N940:Q940),2)</f>
        <v/>
      </c>
      <c r="S940" s="5" t="inlineStr">
        <is>
          <t>Stated build-up</t>
        </is>
      </c>
      <c r="T940" s="12" t="inlineStr">
        <is>
          <t>High</t>
        </is>
      </c>
      <c r="U940" s="8" t="n">
        <v>7463.55</v>
      </c>
      <c r="V940" s="13">
        <f>IF(U940="","",ROUND(M940-U940,2))</f>
        <v/>
      </c>
      <c r="W940" s="5" t="n"/>
      <c r="X940" s="5" t="inlineStr">
        <is>
          <t>Labour + plant + material as published; reconciles to the published rate.</t>
        </is>
      </c>
    </row>
    <row r="941" ht="13" customHeight="1">
      <c r="A941" s="4" t="n">
        <v>1604</v>
      </c>
      <c r="B941" s="5" t="inlineStr">
        <is>
          <t>IMG_0087</t>
        </is>
      </c>
      <c r="C941" s="5" t="inlineStr">
        <is>
          <t>CLASS G: CONCRETE ANCILLARIES</t>
        </is>
      </c>
      <c r="D941" s="5" t="inlineStr">
        <is>
          <t>05 REINFORCEMENT</t>
        </is>
      </c>
      <c r="E941" s="5" t="inlineStr">
        <is>
          <t>Stainless steel bars; Alloy 1.4301; Bars; supplied in bent and cut lengths</t>
        </is>
      </c>
      <c r="F941" s="5" t="inlineStr">
        <is>
          <t>20 mm nominal size</t>
        </is>
      </c>
      <c r="G941" s="6" t="inlineStr">
        <is>
          <t>tonne</t>
        </is>
      </c>
      <c r="H941" s="7" t="n">
        <v>4.44</v>
      </c>
      <c r="I941" s="8" t="n">
        <v>748.53</v>
      </c>
      <c r="J941" s="8" t="n">
        <v>107.84</v>
      </c>
      <c r="K941" s="8" t="n">
        <v>6277.35</v>
      </c>
      <c r="L941" s="8" t="n">
        <v>0</v>
      </c>
      <c r="M941" s="9">
        <f>ROUND(SUM(I941:L941),2)</f>
        <v/>
      </c>
      <c r="N941" s="10">
        <f>ROUND(I941*'Irish Basis'!$C$6*'Irish Basis'!$C$5,2)</f>
        <v/>
      </c>
      <c r="O941" s="10">
        <f>ROUND(J941*'Irish Basis'!$C$7*'Irish Basis'!$C$5,2)</f>
        <v/>
      </c>
      <c r="P941" s="10">
        <f>ROUND(K941*'Irish Basis'!$C$8*'Irish Basis'!$C$5,2)</f>
        <v/>
      </c>
      <c r="Q941" s="10">
        <f>ROUND(L941*'Irish Basis'!$C$12*'Irish Basis'!$C$5,2)</f>
        <v/>
      </c>
      <c r="R941" s="11">
        <f>ROUND(SUM(N941:Q941),2)</f>
        <v/>
      </c>
      <c r="S941" s="5" t="inlineStr">
        <is>
          <t>Stated build-up</t>
        </is>
      </c>
      <c r="T941" s="12" t="inlineStr">
        <is>
          <t>High</t>
        </is>
      </c>
      <c r="U941" s="8" t="n">
        <v>7133.72</v>
      </c>
      <c r="V941" s="13">
        <f>IF(U941="","",ROUND(M941-U941,2))</f>
        <v/>
      </c>
      <c r="W941" s="5" t="n"/>
      <c r="X941" s="5" t="inlineStr">
        <is>
          <t>Labour + plant + material as published; reconciles to the published rate.</t>
        </is>
      </c>
    </row>
    <row r="942" ht="13" customHeight="1">
      <c r="A942" s="4" t="n">
        <v>1605</v>
      </c>
      <c r="B942" s="5" t="inlineStr">
        <is>
          <t>IMG_0087</t>
        </is>
      </c>
      <c r="C942" s="5" t="inlineStr">
        <is>
          <t>CLASS G: CONCRETE ANCILLARIES</t>
        </is>
      </c>
      <c r="D942" s="5" t="inlineStr">
        <is>
          <t>05 REINFORCEMENT</t>
        </is>
      </c>
      <c r="E942" s="5" t="inlineStr">
        <is>
          <t>Stainless steel bars; Alloy 1.4301; Bars; supplied in bent and cut lengths</t>
        </is>
      </c>
      <c r="F942" s="5" t="inlineStr">
        <is>
          <t>25 mm nominal size</t>
        </is>
      </c>
      <c r="G942" s="6" t="inlineStr">
        <is>
          <t>tonne</t>
        </is>
      </c>
      <c r="H942" s="7" t="n">
        <v>4.44</v>
      </c>
      <c r="I942" s="8" t="n">
        <v>748.53</v>
      </c>
      <c r="J942" s="8" t="n">
        <v>107.84</v>
      </c>
      <c r="K942" s="8" t="n">
        <v>6277.35</v>
      </c>
      <c r="L942" s="8" t="n">
        <v>0</v>
      </c>
      <c r="M942" s="9">
        <f>ROUND(SUM(I942:L942),2)</f>
        <v/>
      </c>
      <c r="N942" s="10">
        <f>ROUND(I942*'Irish Basis'!$C$6*'Irish Basis'!$C$5,2)</f>
        <v/>
      </c>
      <c r="O942" s="10">
        <f>ROUND(J942*'Irish Basis'!$C$7*'Irish Basis'!$C$5,2)</f>
        <v/>
      </c>
      <c r="P942" s="10">
        <f>ROUND(K942*'Irish Basis'!$C$8*'Irish Basis'!$C$5,2)</f>
        <v/>
      </c>
      <c r="Q942" s="10">
        <f>ROUND(L942*'Irish Basis'!$C$12*'Irish Basis'!$C$5,2)</f>
        <v/>
      </c>
      <c r="R942" s="11">
        <f>ROUND(SUM(N942:Q942),2)</f>
        <v/>
      </c>
      <c r="S942" s="5" t="inlineStr">
        <is>
          <t>Stated build-up</t>
        </is>
      </c>
      <c r="T942" s="12" t="inlineStr">
        <is>
          <t>High</t>
        </is>
      </c>
      <c r="U942" s="8" t="n">
        <v>7133.72</v>
      </c>
      <c r="V942" s="13">
        <f>IF(U942="","",ROUND(M942-U942,2))</f>
        <v/>
      </c>
      <c r="W942" s="5" t="n"/>
      <c r="X942" s="5" t="inlineStr">
        <is>
          <t>Labour + plant + material as published; reconciles to the published rate.</t>
        </is>
      </c>
    </row>
    <row r="943" ht="13" customHeight="1">
      <c r="A943" s="4" t="n">
        <v>1606</v>
      </c>
      <c r="B943" s="5" t="inlineStr">
        <is>
          <t>IMG_0087</t>
        </is>
      </c>
      <c r="C943" s="5" t="inlineStr">
        <is>
          <t>CLASS G: CONCRETE ANCILLARIES</t>
        </is>
      </c>
      <c r="D943" s="5" t="inlineStr">
        <is>
          <t>05 REINFORCEMENT</t>
        </is>
      </c>
      <c r="E943" s="5" t="inlineStr">
        <is>
          <t>Stainless steel bars; Alloy 1.4301; Bars; supplied in bent and cut lengths</t>
        </is>
      </c>
      <c r="F943" s="5" t="inlineStr">
        <is>
          <t>32 mm nominal size</t>
        </is>
      </c>
      <c r="G943" s="6" t="inlineStr">
        <is>
          <t>tonne</t>
        </is>
      </c>
      <c r="H943" s="7" t="n">
        <v>4.44</v>
      </c>
      <c r="I943" s="8" t="n">
        <v>748.53</v>
      </c>
      <c r="J943" s="8" t="n">
        <v>107.84</v>
      </c>
      <c r="K943" s="8" t="n">
        <v>6277.35</v>
      </c>
      <c r="L943" s="8" t="n">
        <v>0</v>
      </c>
      <c r="M943" s="9">
        <f>ROUND(SUM(I943:L943),2)</f>
        <v/>
      </c>
      <c r="N943" s="10">
        <f>ROUND(I943*'Irish Basis'!$C$6*'Irish Basis'!$C$5,2)</f>
        <v/>
      </c>
      <c r="O943" s="10">
        <f>ROUND(J943*'Irish Basis'!$C$7*'Irish Basis'!$C$5,2)</f>
        <v/>
      </c>
      <c r="P943" s="10">
        <f>ROUND(K943*'Irish Basis'!$C$8*'Irish Basis'!$C$5,2)</f>
        <v/>
      </c>
      <c r="Q943" s="10">
        <f>ROUND(L943*'Irish Basis'!$C$12*'Irish Basis'!$C$5,2)</f>
        <v/>
      </c>
      <c r="R943" s="11">
        <f>ROUND(SUM(N943:Q943),2)</f>
        <v/>
      </c>
      <c r="S943" s="5" t="inlineStr">
        <is>
          <t>Stated build-up</t>
        </is>
      </c>
      <c r="T943" s="12" t="inlineStr">
        <is>
          <t>High</t>
        </is>
      </c>
      <c r="U943" s="8" t="n">
        <v>7133.72</v>
      </c>
      <c r="V943" s="13">
        <f>IF(U943="","",ROUND(M943-U943,2))</f>
        <v/>
      </c>
      <c r="W943" s="5" t="n"/>
      <c r="X943" s="5" t="inlineStr">
        <is>
          <t>Labour + plant + material as published; reconciles to the published rate.</t>
        </is>
      </c>
    </row>
    <row r="944" ht="13" customHeight="1">
      <c r="A944" s="4" t="n">
        <v>1608</v>
      </c>
      <c r="B944" s="5" t="inlineStr">
        <is>
          <t>IMG_0087</t>
        </is>
      </c>
      <c r="C944" s="5" t="inlineStr">
        <is>
          <t>CLASS G: CONCRETE ANCILLARIES</t>
        </is>
      </c>
      <c r="D944" s="5" t="inlineStr">
        <is>
          <t>05 REINFORCEMENT</t>
        </is>
      </c>
      <c r="E944" s="5" t="inlineStr">
        <is>
          <t>Additional allowances to bar reinforcement; Add to the above bars</t>
        </is>
      </c>
      <c r="F944" s="5" t="inlineStr">
        <is>
          <t>12-15 m long; mild steel to BS 4449</t>
        </is>
      </c>
      <c r="G944" s="6" t="inlineStr">
        <is>
          <t>tonne</t>
        </is>
      </c>
      <c r="H944" s="7" t="n"/>
      <c r="I944" s="8" t="n">
        <v>0</v>
      </c>
      <c r="J944" s="8" t="n">
        <v>0</v>
      </c>
      <c r="K944" s="8" t="n">
        <v>97.88</v>
      </c>
      <c r="L944" s="8" t="n">
        <v>0</v>
      </c>
      <c r="M944" s="9">
        <f>ROUND(SUM(I944:L944),2)</f>
        <v/>
      </c>
      <c r="N944" s="10">
        <f>ROUND(I944*'Irish Basis'!$C$6*'Irish Basis'!$C$5,2)</f>
        <v/>
      </c>
      <c r="O944" s="10">
        <f>ROUND(J944*'Irish Basis'!$C$7*'Irish Basis'!$C$5,2)</f>
        <v/>
      </c>
      <c r="P944" s="10">
        <f>ROUND(K944*'Irish Basis'!$C$8*'Irish Basis'!$C$5,2)</f>
        <v/>
      </c>
      <c r="Q944" s="10">
        <f>ROUND(L944*'Irish Basis'!$C$12*'Irish Basis'!$C$5,2)</f>
        <v/>
      </c>
      <c r="R944" s="11">
        <f>ROUND(SUM(N944:Q944),2)</f>
        <v/>
      </c>
      <c r="S944" s="5" t="inlineStr">
        <is>
          <t>Stated build-up</t>
        </is>
      </c>
      <c r="T944" s="12" t="inlineStr">
        <is>
          <t>High</t>
        </is>
      </c>
      <c r="U944" s="8" t="n">
        <v>97.88</v>
      </c>
      <c r="V944" s="13">
        <f>IF(U944="","",ROUND(M944-U944,2))</f>
        <v/>
      </c>
      <c r="W944" s="5" t="n"/>
      <c r="X944" s="5" t="inlineStr">
        <is>
          <t>Labour + plant + material as published; reconciles to the published rate.</t>
        </is>
      </c>
    </row>
    <row r="945" ht="13" customHeight="1">
      <c r="A945" s="4" t="n">
        <v>1609</v>
      </c>
      <c r="B945" s="5" t="inlineStr">
        <is>
          <t>IMG_0087</t>
        </is>
      </c>
      <c r="C945" s="5" t="inlineStr">
        <is>
          <t>CLASS G: CONCRETE ANCILLARIES</t>
        </is>
      </c>
      <c r="D945" s="5" t="inlineStr">
        <is>
          <t>05 REINFORCEMENT</t>
        </is>
      </c>
      <c r="E945" s="5" t="inlineStr">
        <is>
          <t>Additional allowances to bar reinforcement; Add to the above bars</t>
        </is>
      </c>
      <c r="F945" s="5" t="inlineStr">
        <is>
          <t>12-15 m long; high yield steel to BS 4449</t>
        </is>
      </c>
      <c r="G945" s="6" t="inlineStr">
        <is>
          <t>tonne</t>
        </is>
      </c>
      <c r="H945" s="7" t="n"/>
      <c r="I945" s="8" t="n">
        <v>0</v>
      </c>
      <c r="J945" s="8" t="n">
        <v>0</v>
      </c>
      <c r="K945" s="8" t="n">
        <v>99.20999999999999</v>
      </c>
      <c r="L945" s="8" t="n">
        <v>0</v>
      </c>
      <c r="M945" s="9">
        <f>ROUND(SUM(I945:L945),2)</f>
        <v/>
      </c>
      <c r="N945" s="10">
        <f>ROUND(I945*'Irish Basis'!$C$6*'Irish Basis'!$C$5,2)</f>
        <v/>
      </c>
      <c r="O945" s="10">
        <f>ROUND(J945*'Irish Basis'!$C$7*'Irish Basis'!$C$5,2)</f>
        <v/>
      </c>
      <c r="P945" s="10">
        <f>ROUND(K945*'Irish Basis'!$C$8*'Irish Basis'!$C$5,2)</f>
        <v/>
      </c>
      <c r="Q945" s="10">
        <f>ROUND(L945*'Irish Basis'!$C$12*'Irish Basis'!$C$5,2)</f>
        <v/>
      </c>
      <c r="R945" s="11">
        <f>ROUND(SUM(N945:Q945),2)</f>
        <v/>
      </c>
      <c r="S945" s="5" t="inlineStr">
        <is>
          <t>Stated build-up</t>
        </is>
      </c>
      <c r="T945" s="12" t="inlineStr">
        <is>
          <t>High</t>
        </is>
      </c>
      <c r="U945" s="8" t="n">
        <v>99.20999999999999</v>
      </c>
      <c r="V945" s="13">
        <f>IF(U945="","",ROUND(M945-U945,2))</f>
        <v/>
      </c>
      <c r="W945" s="5" t="n"/>
      <c r="X945" s="5" t="inlineStr">
        <is>
          <t>Labour + plant + material as published; reconciles to the published rate.</t>
        </is>
      </c>
    </row>
    <row r="946" ht="13" customHeight="1">
      <c r="A946" s="4" t="n">
        <v>1610</v>
      </c>
      <c r="B946" s="5" t="inlineStr">
        <is>
          <t>IMG_0087</t>
        </is>
      </c>
      <c r="C946" s="5" t="inlineStr">
        <is>
          <t>CLASS G: CONCRETE ANCILLARIES</t>
        </is>
      </c>
      <c r="D946" s="5" t="inlineStr">
        <is>
          <t>05 REINFORCEMENT</t>
        </is>
      </c>
      <c r="E946" s="5" t="inlineStr">
        <is>
          <t>Additional allowances to bar reinforcement; Add to the above bars</t>
        </is>
      </c>
      <c r="F946" s="5" t="inlineStr">
        <is>
          <t>Over 15 m long, per 500 mm increment; mild steel to BS 4449</t>
        </is>
      </c>
      <c r="G946" s="6" t="inlineStr">
        <is>
          <t>tonne</t>
        </is>
      </c>
      <c r="H946" s="7" t="n"/>
      <c r="I946" s="8" t="n">
        <v>0</v>
      </c>
      <c r="J946" s="8" t="n">
        <v>0</v>
      </c>
      <c r="K946" s="8" t="n">
        <v>97.88</v>
      </c>
      <c r="L946" s="8" t="n">
        <v>0</v>
      </c>
      <c r="M946" s="9">
        <f>ROUND(SUM(I946:L946),2)</f>
        <v/>
      </c>
      <c r="N946" s="10">
        <f>ROUND(I946*'Irish Basis'!$C$6*'Irish Basis'!$C$5,2)</f>
        <v/>
      </c>
      <c r="O946" s="10">
        <f>ROUND(J946*'Irish Basis'!$C$7*'Irish Basis'!$C$5,2)</f>
        <v/>
      </c>
      <c r="P946" s="10">
        <f>ROUND(K946*'Irish Basis'!$C$8*'Irish Basis'!$C$5,2)</f>
        <v/>
      </c>
      <c r="Q946" s="10">
        <f>ROUND(L946*'Irish Basis'!$C$12*'Irish Basis'!$C$5,2)</f>
        <v/>
      </c>
      <c r="R946" s="11">
        <f>ROUND(SUM(N946:Q946),2)</f>
        <v/>
      </c>
      <c r="S946" s="5" t="inlineStr">
        <is>
          <t>Stated build-up</t>
        </is>
      </c>
      <c r="T946" s="12" t="inlineStr">
        <is>
          <t>High</t>
        </is>
      </c>
      <c r="U946" s="8" t="n">
        <v>97.88</v>
      </c>
      <c r="V946" s="13">
        <f>IF(U946="","",ROUND(M946-U946,2))</f>
        <v/>
      </c>
      <c r="W946" s="5" t="n"/>
      <c r="X946" s="5" t="inlineStr">
        <is>
          <t>Labour + plant + material as published; reconciles to the published rate.</t>
        </is>
      </c>
    </row>
    <row r="947" ht="13" customHeight="1">
      <c r="A947" s="4" t="n">
        <v>1611</v>
      </c>
      <c r="B947" s="5" t="inlineStr">
        <is>
          <t>IMG_0087</t>
        </is>
      </c>
      <c r="C947" s="5" t="inlineStr">
        <is>
          <t>CLASS G: CONCRETE ANCILLARIES</t>
        </is>
      </c>
      <c r="D947" s="5" t="inlineStr">
        <is>
          <t>05 REINFORCEMENT</t>
        </is>
      </c>
      <c r="E947" s="5" t="inlineStr">
        <is>
          <t>Additional allowances to bar reinforcement; Add to the above bars</t>
        </is>
      </c>
      <c r="F947" s="5" t="inlineStr">
        <is>
          <t>Over 15 m long, per 500 mm increment; high yield steel to BS 4449</t>
        </is>
      </c>
      <c r="G947" s="6" t="inlineStr">
        <is>
          <t>tonne</t>
        </is>
      </c>
      <c r="H947" s="7" t="n"/>
      <c r="I947" s="8" t="n">
        <v>0</v>
      </c>
      <c r="J947" s="8" t="n">
        <v>0</v>
      </c>
      <c r="K947" s="8" t="n">
        <v>99.20999999999999</v>
      </c>
      <c r="L947" s="8" t="n">
        <v>0</v>
      </c>
      <c r="M947" s="9">
        <f>ROUND(SUM(I947:L947),2)</f>
        <v/>
      </c>
      <c r="N947" s="10">
        <f>ROUND(I947*'Irish Basis'!$C$6*'Irish Basis'!$C$5,2)</f>
        <v/>
      </c>
      <c r="O947" s="10">
        <f>ROUND(J947*'Irish Basis'!$C$7*'Irish Basis'!$C$5,2)</f>
        <v/>
      </c>
      <c r="P947" s="10">
        <f>ROUND(K947*'Irish Basis'!$C$8*'Irish Basis'!$C$5,2)</f>
        <v/>
      </c>
      <c r="Q947" s="10">
        <f>ROUND(L947*'Irish Basis'!$C$12*'Irish Basis'!$C$5,2)</f>
        <v/>
      </c>
      <c r="R947" s="11">
        <f>ROUND(SUM(N947:Q947),2)</f>
        <v/>
      </c>
      <c r="S947" s="5" t="inlineStr">
        <is>
          <t>Stated build-up</t>
        </is>
      </c>
      <c r="T947" s="12" t="inlineStr">
        <is>
          <t>High</t>
        </is>
      </c>
      <c r="U947" s="8" t="n">
        <v>99.20999999999999</v>
      </c>
      <c r="V947" s="13">
        <f>IF(U947="","",ROUND(M947-U947,2))</f>
        <v/>
      </c>
      <c r="W947" s="5" t="n"/>
      <c r="X947" s="5" t="inlineStr">
        <is>
          <t>Labour + plant + material as published; reconciles to the published rate.</t>
        </is>
      </c>
    </row>
    <row r="948" ht="13" customHeight="1">
      <c r="A948" s="4" t="n">
        <v>1613</v>
      </c>
      <c r="B948" s="5" t="inlineStr">
        <is>
          <t>IMG_0087</t>
        </is>
      </c>
      <c r="C948" s="5" t="inlineStr">
        <is>
          <t>CLASS G: CONCRETE ANCILLARIES</t>
        </is>
      </c>
      <c r="D948" s="5" t="inlineStr">
        <is>
          <t>05 REINFORCEMENT</t>
        </is>
      </c>
      <c r="E948" s="5" t="inlineStr">
        <is>
          <t>Add for cutting, bending, tagging and baling reinforcement on site</t>
        </is>
      </c>
      <c r="F948" s="5" t="inlineStr">
        <is>
          <t>6 mm nominal size</t>
        </is>
      </c>
      <c r="G948" s="6" t="inlineStr">
        <is>
          <t>tonne</t>
        </is>
      </c>
      <c r="H948" s="7" t="n">
        <v>5.9</v>
      </c>
      <c r="I948" s="8" t="n">
        <v>308</v>
      </c>
      <c r="J948" s="8" t="n">
        <v>118.29</v>
      </c>
      <c r="K948" s="8" t="n">
        <v>3.9</v>
      </c>
      <c r="L948" s="8" t="n">
        <v>0</v>
      </c>
      <c r="M948" s="9">
        <f>ROUND(SUM(I948:L948),2)</f>
        <v/>
      </c>
      <c r="N948" s="10">
        <f>ROUND(I948*'Irish Basis'!$C$6*'Irish Basis'!$C$5,2)</f>
        <v/>
      </c>
      <c r="O948" s="10">
        <f>ROUND(J948*'Irish Basis'!$C$7*'Irish Basis'!$C$5,2)</f>
        <v/>
      </c>
      <c r="P948" s="10">
        <f>ROUND(K948*'Irish Basis'!$C$8*'Irish Basis'!$C$5,2)</f>
        <v/>
      </c>
      <c r="Q948" s="10">
        <f>ROUND(L948*'Irish Basis'!$C$12*'Irish Basis'!$C$5,2)</f>
        <v/>
      </c>
      <c r="R948" s="11">
        <f>ROUND(SUM(N948:Q948),2)</f>
        <v/>
      </c>
      <c r="S948" s="5" t="inlineStr">
        <is>
          <t>Stated build-up</t>
        </is>
      </c>
      <c r="T948" s="12" t="inlineStr">
        <is>
          <t>High</t>
        </is>
      </c>
      <c r="U948" s="8" t="n">
        <v>430.18</v>
      </c>
      <c r="V948" s="13">
        <f>IF(U948="","",ROUND(M948-U948,2))</f>
        <v/>
      </c>
      <c r="W948" s="5" t="n"/>
      <c r="X948" s="5" t="inlineStr">
        <is>
          <t>Labour + plant + material as published; reconciles to the published rate.</t>
        </is>
      </c>
    </row>
    <row r="949" ht="13" customHeight="1">
      <c r="A949" s="4" t="n">
        <v>1614</v>
      </c>
      <c r="B949" s="5" t="inlineStr">
        <is>
          <t>IMG_0087</t>
        </is>
      </c>
      <c r="C949" s="5" t="inlineStr">
        <is>
          <t>CLASS G: CONCRETE ANCILLARIES</t>
        </is>
      </c>
      <c r="D949" s="5" t="inlineStr">
        <is>
          <t>05 REINFORCEMENT</t>
        </is>
      </c>
      <c r="E949" s="5" t="inlineStr">
        <is>
          <t>Add for cutting, bending, tagging and baling reinforcement on site</t>
        </is>
      </c>
      <c r="F949" s="5" t="inlineStr">
        <is>
          <t>8 mm nominal size</t>
        </is>
      </c>
      <c r="G949" s="6" t="inlineStr">
        <is>
          <t>tonne</t>
        </is>
      </c>
      <c r="H949" s="7" t="n">
        <v>5.6</v>
      </c>
      <c r="I949" s="8" t="n">
        <v>292.33</v>
      </c>
      <c r="J949" s="8" t="n">
        <v>111.24</v>
      </c>
      <c r="K949" s="8" t="n">
        <v>3.9</v>
      </c>
      <c r="L949" s="8" t="n">
        <v>0</v>
      </c>
      <c r="M949" s="9">
        <f>ROUND(SUM(I949:L949),2)</f>
        <v/>
      </c>
      <c r="N949" s="10">
        <f>ROUND(I949*'Irish Basis'!$C$6*'Irish Basis'!$C$5,2)</f>
        <v/>
      </c>
      <c r="O949" s="10">
        <f>ROUND(J949*'Irish Basis'!$C$7*'Irish Basis'!$C$5,2)</f>
        <v/>
      </c>
      <c r="P949" s="10">
        <f>ROUND(K949*'Irish Basis'!$C$8*'Irish Basis'!$C$5,2)</f>
        <v/>
      </c>
      <c r="Q949" s="10">
        <f>ROUND(L949*'Irish Basis'!$C$12*'Irish Basis'!$C$5,2)</f>
        <v/>
      </c>
      <c r="R949" s="11">
        <f>ROUND(SUM(N949:Q949),2)</f>
        <v/>
      </c>
      <c r="S949" s="5" t="inlineStr">
        <is>
          <t>Stated build-up</t>
        </is>
      </c>
      <c r="T949" s="12" t="inlineStr">
        <is>
          <t>High</t>
        </is>
      </c>
      <c r="U949" s="8" t="n">
        <v>407.47</v>
      </c>
      <c r="V949" s="13">
        <f>IF(U949="","",ROUND(M949-U949,2))</f>
        <v/>
      </c>
      <c r="W949" s="5" t="n"/>
      <c r="X949" s="5" t="inlineStr">
        <is>
          <t>Labour + plant + material as published; reconciles to the published rate.</t>
        </is>
      </c>
    </row>
    <row r="950" ht="13" customHeight="1">
      <c r="A950" s="4" t="n">
        <v>1615</v>
      </c>
      <c r="B950" s="5" t="inlineStr">
        <is>
          <t>IMG_0087</t>
        </is>
      </c>
      <c r="C950" s="5" t="inlineStr">
        <is>
          <t>CLASS G: CONCRETE ANCILLARIES</t>
        </is>
      </c>
      <c r="D950" s="5" t="inlineStr">
        <is>
          <t>05 REINFORCEMENT</t>
        </is>
      </c>
      <c r="E950" s="5" t="inlineStr">
        <is>
          <t>Add for cutting, bending, tagging and baling reinforcement on site</t>
        </is>
      </c>
      <c r="F950" s="5" t="inlineStr">
        <is>
          <t>10 mm nominal size</t>
        </is>
      </c>
      <c r="G950" s="6" t="inlineStr">
        <is>
          <t>tonne</t>
        </is>
      </c>
      <c r="H950" s="7" t="n">
        <v>4.2</v>
      </c>
      <c r="I950" s="8" t="n">
        <v>219.25</v>
      </c>
      <c r="J950" s="8" t="n">
        <v>83.06</v>
      </c>
      <c r="K950" s="8" t="n">
        <v>3.9</v>
      </c>
      <c r="L950" s="8" t="n">
        <v>0</v>
      </c>
      <c r="M950" s="9">
        <f>ROUND(SUM(I950:L950),2)</f>
        <v/>
      </c>
      <c r="N950" s="10">
        <f>ROUND(I950*'Irish Basis'!$C$6*'Irish Basis'!$C$5,2)</f>
        <v/>
      </c>
      <c r="O950" s="10">
        <f>ROUND(J950*'Irish Basis'!$C$7*'Irish Basis'!$C$5,2)</f>
        <v/>
      </c>
      <c r="P950" s="10">
        <f>ROUND(K950*'Irish Basis'!$C$8*'Irish Basis'!$C$5,2)</f>
        <v/>
      </c>
      <c r="Q950" s="10">
        <f>ROUND(L950*'Irish Basis'!$C$12*'Irish Basis'!$C$5,2)</f>
        <v/>
      </c>
      <c r="R950" s="11">
        <f>ROUND(SUM(N950:Q950),2)</f>
        <v/>
      </c>
      <c r="S950" s="5" t="inlineStr">
        <is>
          <t>Stated build-up</t>
        </is>
      </c>
      <c r="T950" s="12" t="inlineStr">
        <is>
          <t>High</t>
        </is>
      </c>
      <c r="U950" s="8" t="n">
        <v>306.21</v>
      </c>
      <c r="V950" s="13">
        <f>IF(U950="","",ROUND(M950-U950,2))</f>
        <v/>
      </c>
      <c r="W950" s="5" t="n"/>
      <c r="X950" s="5" t="inlineStr">
        <is>
          <t>Labour + plant + material as published; reconciles to the published rate.</t>
        </is>
      </c>
    </row>
    <row r="951" ht="13" customHeight="1">
      <c r="A951" s="4" t="n">
        <v>1616</v>
      </c>
      <c r="B951" s="5" t="inlineStr">
        <is>
          <t>IMG_0087</t>
        </is>
      </c>
      <c r="C951" s="5" t="inlineStr">
        <is>
          <t>CLASS G: CONCRETE ANCILLARIES</t>
        </is>
      </c>
      <c r="D951" s="5" t="inlineStr">
        <is>
          <t>05 REINFORCEMENT</t>
        </is>
      </c>
      <c r="E951" s="5" t="inlineStr">
        <is>
          <t>Add for cutting, bending, tagging and baling reinforcement on site</t>
        </is>
      </c>
      <c r="F951" s="5" t="inlineStr">
        <is>
          <t>12 mm nominal size</t>
        </is>
      </c>
      <c r="G951" s="6" t="inlineStr">
        <is>
          <t>tonne</t>
        </is>
      </c>
      <c r="H951" s="7" t="n">
        <v>3.1</v>
      </c>
      <c r="I951" s="8" t="n">
        <v>161.83</v>
      </c>
      <c r="J951" s="8" t="n">
        <v>61.95</v>
      </c>
      <c r="K951" s="8" t="n">
        <v>3.9</v>
      </c>
      <c r="L951" s="8" t="n">
        <v>0</v>
      </c>
      <c r="M951" s="9">
        <f>ROUND(SUM(I951:L951),2)</f>
        <v/>
      </c>
      <c r="N951" s="10">
        <f>ROUND(I951*'Irish Basis'!$C$6*'Irish Basis'!$C$5,2)</f>
        <v/>
      </c>
      <c r="O951" s="10">
        <f>ROUND(J951*'Irish Basis'!$C$7*'Irish Basis'!$C$5,2)</f>
        <v/>
      </c>
      <c r="P951" s="10">
        <f>ROUND(K951*'Irish Basis'!$C$8*'Irish Basis'!$C$5,2)</f>
        <v/>
      </c>
      <c r="Q951" s="10">
        <f>ROUND(L951*'Irish Basis'!$C$12*'Irish Basis'!$C$5,2)</f>
        <v/>
      </c>
      <c r="R951" s="11">
        <f>ROUND(SUM(N951:Q951),2)</f>
        <v/>
      </c>
      <c r="S951" s="5" t="inlineStr">
        <is>
          <t>Stated build-up</t>
        </is>
      </c>
      <c r="T951" s="12" t="inlineStr">
        <is>
          <t>High</t>
        </is>
      </c>
      <c r="U951" s="8" t="n">
        <v>227.67</v>
      </c>
      <c r="V951" s="13">
        <f>IF(U951="","",ROUND(M951-U951,2))</f>
        <v/>
      </c>
      <c r="W951" s="5" t="n"/>
      <c r="X951" s="5" t="inlineStr">
        <is>
          <t>Labour + plant + material as published; reconciles to the published rate.</t>
        </is>
      </c>
    </row>
    <row r="952" ht="13" customHeight="1">
      <c r="A952" s="4" t="n">
        <v>1617</v>
      </c>
      <c r="B952" s="5" t="inlineStr">
        <is>
          <t>IMG_0087</t>
        </is>
      </c>
      <c r="C952" s="5" t="inlineStr">
        <is>
          <t>CLASS G: CONCRETE ANCILLARIES</t>
        </is>
      </c>
      <c r="D952" s="5" t="inlineStr">
        <is>
          <t>05 REINFORCEMENT</t>
        </is>
      </c>
      <c r="E952" s="5" t="inlineStr">
        <is>
          <t>Add for cutting, bending, tagging and baling reinforcement on site</t>
        </is>
      </c>
      <c r="F952" s="5" t="inlineStr">
        <is>
          <t>16 mm nominal size</t>
        </is>
      </c>
      <c r="G952" s="6" t="inlineStr">
        <is>
          <t>tonne</t>
        </is>
      </c>
      <c r="H952" s="7" t="n">
        <v>2.5</v>
      </c>
      <c r="I952" s="8" t="n">
        <v>130.51</v>
      </c>
      <c r="J952" s="8" t="n">
        <v>49.29</v>
      </c>
      <c r="K952" s="8" t="n">
        <v>3.9</v>
      </c>
      <c r="L952" s="8" t="n">
        <v>0</v>
      </c>
      <c r="M952" s="9">
        <f>ROUND(SUM(I952:L952),2)</f>
        <v/>
      </c>
      <c r="N952" s="10">
        <f>ROUND(I952*'Irish Basis'!$C$6*'Irish Basis'!$C$5,2)</f>
        <v/>
      </c>
      <c r="O952" s="10">
        <f>ROUND(J952*'Irish Basis'!$C$7*'Irish Basis'!$C$5,2)</f>
        <v/>
      </c>
      <c r="P952" s="10">
        <f>ROUND(K952*'Irish Basis'!$C$8*'Irish Basis'!$C$5,2)</f>
        <v/>
      </c>
      <c r="Q952" s="10">
        <f>ROUND(L952*'Irish Basis'!$C$12*'Irish Basis'!$C$5,2)</f>
        <v/>
      </c>
      <c r="R952" s="11">
        <f>ROUND(SUM(N952:Q952),2)</f>
        <v/>
      </c>
      <c r="S952" s="5" t="inlineStr">
        <is>
          <t>Stated build-up</t>
        </is>
      </c>
      <c r="T952" s="12" t="inlineStr">
        <is>
          <t>High</t>
        </is>
      </c>
      <c r="U952" s="8" t="n">
        <v>183.69</v>
      </c>
      <c r="V952" s="13">
        <f>IF(U952="","",ROUND(M952-U952,2))</f>
        <v/>
      </c>
      <c r="W952" s="5" t="n"/>
      <c r="X952" s="5" t="inlineStr">
        <is>
          <t>Labour + plant + material as published; reconciles to the published rate.</t>
        </is>
      </c>
    </row>
    <row r="953" ht="13" customHeight="1">
      <c r="A953" s="4" t="n">
        <v>1618</v>
      </c>
      <c r="B953" s="5" t="inlineStr">
        <is>
          <t>IMG_0087</t>
        </is>
      </c>
      <c r="C953" s="5" t="inlineStr">
        <is>
          <t>CLASS G: CONCRETE ANCILLARIES</t>
        </is>
      </c>
      <c r="D953" s="5" t="inlineStr">
        <is>
          <t>05 REINFORCEMENT</t>
        </is>
      </c>
      <c r="E953" s="5" t="inlineStr">
        <is>
          <t>Add for cutting, bending, tagging and baling reinforcement on site</t>
        </is>
      </c>
      <c r="F953" s="5" t="inlineStr">
        <is>
          <t>20 mm nominal size</t>
        </is>
      </c>
      <c r="G953" s="6" t="inlineStr">
        <is>
          <t>tonne</t>
        </is>
      </c>
      <c r="H953" s="7" t="n">
        <v>2.05</v>
      </c>
      <c r="I953" s="8" t="n">
        <v>107.02</v>
      </c>
      <c r="J953" s="8" t="n">
        <v>40.8</v>
      </c>
      <c r="K953" s="8" t="n">
        <v>3.9</v>
      </c>
      <c r="L953" s="8" t="n">
        <v>0</v>
      </c>
      <c r="M953" s="9">
        <f>ROUND(SUM(I953:L953),2)</f>
        <v/>
      </c>
      <c r="N953" s="10">
        <f>ROUND(I953*'Irish Basis'!$C$6*'Irish Basis'!$C$5,2)</f>
        <v/>
      </c>
      <c r="O953" s="10">
        <f>ROUND(J953*'Irish Basis'!$C$7*'Irish Basis'!$C$5,2)</f>
        <v/>
      </c>
      <c r="P953" s="10">
        <f>ROUND(K953*'Irish Basis'!$C$8*'Irish Basis'!$C$5,2)</f>
        <v/>
      </c>
      <c r="Q953" s="10">
        <f>ROUND(L953*'Irish Basis'!$C$12*'Irish Basis'!$C$5,2)</f>
        <v/>
      </c>
      <c r="R953" s="11">
        <f>ROUND(SUM(N953:Q953),2)</f>
        <v/>
      </c>
      <c r="S953" s="5" t="inlineStr">
        <is>
          <t>Stated build-up</t>
        </is>
      </c>
      <c r="T953" s="12" t="inlineStr">
        <is>
          <t>High</t>
        </is>
      </c>
      <c r="U953" s="8" t="n">
        <v>151.71</v>
      </c>
      <c r="V953" s="13">
        <f>IF(U953="","",ROUND(M953-U953,2))</f>
        <v/>
      </c>
      <c r="W953" s="5" t="n"/>
      <c r="X953" s="5" t="inlineStr">
        <is>
          <t>Labour + plant + material as published; reconciles to the published rate.</t>
        </is>
      </c>
    </row>
    <row r="954" ht="13" customHeight="1">
      <c r="A954" s="4" t="n">
        <v>1619</v>
      </c>
      <c r="B954" s="5" t="inlineStr">
        <is>
          <t>IMG_0087</t>
        </is>
      </c>
      <c r="C954" s="5" t="inlineStr">
        <is>
          <t>CLASS G: CONCRETE ANCILLARIES</t>
        </is>
      </c>
      <c r="D954" s="5" t="inlineStr">
        <is>
          <t>05 REINFORCEMENT</t>
        </is>
      </c>
      <c r="E954" s="5" t="inlineStr">
        <is>
          <t>Add for cutting, bending, tagging and baling reinforcement on site</t>
        </is>
      </c>
      <c r="F954" s="5" t="inlineStr">
        <is>
          <t>25 mm nominal size</t>
        </is>
      </c>
      <c r="G954" s="6" t="inlineStr">
        <is>
          <t>tonne</t>
        </is>
      </c>
      <c r="H954" s="7" t="n">
        <v>2.05</v>
      </c>
      <c r="I954" s="8" t="n">
        <v>107.02</v>
      </c>
      <c r="J954" s="8" t="n">
        <v>40.8</v>
      </c>
      <c r="K954" s="8" t="n">
        <v>3.9</v>
      </c>
      <c r="L954" s="8" t="n">
        <v>0</v>
      </c>
      <c r="M954" s="9">
        <f>ROUND(SUM(I954:L954),2)</f>
        <v/>
      </c>
      <c r="N954" s="10">
        <f>ROUND(I954*'Irish Basis'!$C$6*'Irish Basis'!$C$5,2)</f>
        <v/>
      </c>
      <c r="O954" s="10">
        <f>ROUND(J954*'Irish Basis'!$C$7*'Irish Basis'!$C$5,2)</f>
        <v/>
      </c>
      <c r="P954" s="10">
        <f>ROUND(K954*'Irish Basis'!$C$8*'Irish Basis'!$C$5,2)</f>
        <v/>
      </c>
      <c r="Q954" s="10">
        <f>ROUND(L954*'Irish Basis'!$C$12*'Irish Basis'!$C$5,2)</f>
        <v/>
      </c>
      <c r="R954" s="11">
        <f>ROUND(SUM(N954:Q954),2)</f>
        <v/>
      </c>
      <c r="S954" s="5" t="inlineStr">
        <is>
          <t>Stated build-up</t>
        </is>
      </c>
      <c r="T954" s="12" t="inlineStr">
        <is>
          <t>High</t>
        </is>
      </c>
      <c r="U954" s="8" t="n">
        <v>151.71</v>
      </c>
      <c r="V954" s="13">
        <f>IF(U954="","",ROUND(M954-U954,2))</f>
        <v/>
      </c>
      <c r="W954" s="5" t="n"/>
      <c r="X954" s="5" t="inlineStr">
        <is>
          <t>Labour + plant + material as published; reconciles to the published rate.</t>
        </is>
      </c>
    </row>
    <row r="955" ht="13" customHeight="1">
      <c r="A955" s="4" t="n">
        <v>1620</v>
      </c>
      <c r="B955" s="5" t="inlineStr">
        <is>
          <t>IMG_0087</t>
        </is>
      </c>
      <c r="C955" s="5" t="inlineStr">
        <is>
          <t>CLASS G: CONCRETE ANCILLARIES</t>
        </is>
      </c>
      <c r="D955" s="5" t="inlineStr">
        <is>
          <t>05 REINFORCEMENT</t>
        </is>
      </c>
      <c r="E955" s="5" t="inlineStr">
        <is>
          <t>Add for cutting, bending, tagging and baling reinforcement on site</t>
        </is>
      </c>
      <c r="F955" s="5" t="inlineStr">
        <is>
          <t>32 mm nominal size</t>
        </is>
      </c>
      <c r="G955" s="6" t="inlineStr">
        <is>
          <t>tonne</t>
        </is>
      </c>
      <c r="H955" s="7" t="n">
        <v>1.7</v>
      </c>
      <c r="I955" s="8" t="n">
        <v>88.73999999999999</v>
      </c>
      <c r="J955" s="8" t="n">
        <v>33.75</v>
      </c>
      <c r="K955" s="8" t="n">
        <v>3.9</v>
      </c>
      <c r="L955" s="8" t="n">
        <v>0</v>
      </c>
      <c r="M955" s="9">
        <f>ROUND(SUM(I955:L955),2)</f>
        <v/>
      </c>
      <c r="N955" s="10">
        <f>ROUND(I955*'Irish Basis'!$C$6*'Irish Basis'!$C$5,2)</f>
        <v/>
      </c>
      <c r="O955" s="10">
        <f>ROUND(J955*'Irish Basis'!$C$7*'Irish Basis'!$C$5,2)</f>
        <v/>
      </c>
      <c r="P955" s="10">
        <f>ROUND(K955*'Irish Basis'!$C$8*'Irish Basis'!$C$5,2)</f>
        <v/>
      </c>
      <c r="Q955" s="10">
        <f>ROUND(L955*'Irish Basis'!$C$12*'Irish Basis'!$C$5,2)</f>
        <v/>
      </c>
      <c r="R955" s="11">
        <f>ROUND(SUM(N955:Q955),2)</f>
        <v/>
      </c>
      <c r="S955" s="5" t="inlineStr">
        <is>
          <t>Stated build-up</t>
        </is>
      </c>
      <c r="T955" s="12" t="inlineStr">
        <is>
          <t>High</t>
        </is>
      </c>
      <c r="U955" s="8" t="n">
        <v>126.39</v>
      </c>
      <c r="V955" s="13">
        <f>IF(U955="","",ROUND(M955-U955,2))</f>
        <v/>
      </c>
      <c r="W955" s="5" t="n"/>
      <c r="X955" s="5" t="inlineStr">
        <is>
          <t>Labour + plant + material as published; reconciles to the published rate.</t>
        </is>
      </c>
    </row>
    <row r="956" ht="13" customHeight="1">
      <c r="A956" s="4" t="n">
        <v>1621</v>
      </c>
      <c r="B956" s="5" t="inlineStr">
        <is>
          <t>IMG_0087</t>
        </is>
      </c>
      <c r="C956" s="5" t="inlineStr">
        <is>
          <t>CLASS G: CONCRETE ANCILLARIES</t>
        </is>
      </c>
      <c r="D956" s="5" t="inlineStr">
        <is>
          <t>05 REINFORCEMENT</t>
        </is>
      </c>
      <c r="E956" s="5" t="inlineStr">
        <is>
          <t>Add for cutting, bending, tagging and baling reinforcement on site</t>
        </is>
      </c>
      <c r="F956" s="5" t="inlineStr">
        <is>
          <t>40 mm nominal size</t>
        </is>
      </c>
      <c r="G956" s="6" t="inlineStr">
        <is>
          <t>tonne</t>
        </is>
      </c>
      <c r="H956" s="7" t="n">
        <v>1.7</v>
      </c>
      <c r="I956" s="8" t="n">
        <v>88.73999999999999</v>
      </c>
      <c r="J956" s="8" t="n">
        <v>33.75</v>
      </c>
      <c r="K956" s="8" t="n">
        <v>3.9</v>
      </c>
      <c r="L956" s="8" t="n">
        <v>0</v>
      </c>
      <c r="M956" s="9">
        <f>ROUND(SUM(I956:L956),2)</f>
        <v/>
      </c>
      <c r="N956" s="10">
        <f>ROUND(I956*'Irish Basis'!$C$6*'Irish Basis'!$C$5,2)</f>
        <v/>
      </c>
      <c r="O956" s="10">
        <f>ROUND(J956*'Irish Basis'!$C$7*'Irish Basis'!$C$5,2)</f>
        <v/>
      </c>
      <c r="P956" s="10">
        <f>ROUND(K956*'Irish Basis'!$C$8*'Irish Basis'!$C$5,2)</f>
        <v/>
      </c>
      <c r="Q956" s="10">
        <f>ROUND(L956*'Irish Basis'!$C$12*'Irish Basis'!$C$5,2)</f>
        <v/>
      </c>
      <c r="R956" s="11">
        <f>ROUND(SUM(N956:Q956),2)</f>
        <v/>
      </c>
      <c r="S956" s="5" t="inlineStr">
        <is>
          <t>Stated build-up</t>
        </is>
      </c>
      <c r="T956" s="12" t="inlineStr">
        <is>
          <t>High</t>
        </is>
      </c>
      <c r="U956" s="8" t="n">
        <v>126.39</v>
      </c>
      <c r="V956" s="13">
        <f>IF(U956="","",ROUND(M956-U956,2))</f>
        <v/>
      </c>
      <c r="W956" s="5" t="n"/>
      <c r="X956" s="5" t="inlineStr">
        <is>
          <t>Labour + plant + material as published; reconciles to the published rate.</t>
        </is>
      </c>
    </row>
    <row r="957" ht="13" customHeight="1">
      <c r="A957" s="4" t="n">
        <v>1623</v>
      </c>
      <c r="B957" s="5" t="inlineStr">
        <is>
          <t>IMG_0087</t>
        </is>
      </c>
      <c r="C957" s="5" t="inlineStr">
        <is>
          <t>CLASS G: CONCRETE ANCILLARIES</t>
        </is>
      </c>
      <c r="D957" s="5" t="inlineStr">
        <is>
          <t>05 REINFORCEMENT</t>
        </is>
      </c>
      <c r="E957" s="5" t="inlineStr">
        <is>
          <t>Special joints; Lenton type A couplers; threaded ends on reinforcing bars</t>
        </is>
      </c>
      <c r="F957" s="5" t="inlineStr">
        <is>
          <t>12 mm</t>
        </is>
      </c>
      <c r="G957" s="6" t="inlineStr">
        <is>
          <t>nr</t>
        </is>
      </c>
      <c r="H957" s="7" t="n">
        <v>0.09</v>
      </c>
      <c r="I957" s="8" t="n">
        <v>15.17</v>
      </c>
      <c r="J957" s="8" t="n">
        <v>0</v>
      </c>
      <c r="K957" s="8" t="n">
        <v>14.03</v>
      </c>
      <c r="L957" s="8" t="n">
        <v>0</v>
      </c>
      <c r="M957" s="9">
        <f>ROUND(SUM(I957:L957),2)</f>
        <v/>
      </c>
      <c r="N957" s="10">
        <f>ROUND(I957*'Irish Basis'!$C$6*'Irish Basis'!$C$5,2)</f>
        <v/>
      </c>
      <c r="O957" s="10">
        <f>ROUND(J957*'Irish Basis'!$C$7*'Irish Basis'!$C$5,2)</f>
        <v/>
      </c>
      <c r="P957" s="10">
        <f>ROUND(K957*'Irish Basis'!$C$8*'Irish Basis'!$C$5,2)</f>
        <v/>
      </c>
      <c r="Q957" s="10">
        <f>ROUND(L957*'Irish Basis'!$C$12*'Irish Basis'!$C$5,2)</f>
        <v/>
      </c>
      <c r="R957" s="11">
        <f>ROUND(SUM(N957:Q957),2)</f>
        <v/>
      </c>
      <c r="S957" s="5" t="inlineStr">
        <is>
          <t>Stated build-up</t>
        </is>
      </c>
      <c r="T957" s="12" t="inlineStr">
        <is>
          <t>High</t>
        </is>
      </c>
      <c r="U957" s="8" t="n">
        <v>29.2</v>
      </c>
      <c r="V957" s="13">
        <f>IF(U957="","",ROUND(M957-U957,2))</f>
        <v/>
      </c>
      <c r="W957" s="5" t="n"/>
      <c r="X957" s="5" t="inlineStr">
        <is>
          <t>Labour + plant + material as published; reconciles to the published rate.</t>
        </is>
      </c>
    </row>
    <row r="958" ht="13" customHeight="1">
      <c r="A958" s="4" t="n">
        <v>1624</v>
      </c>
      <c r="B958" s="5" t="inlineStr">
        <is>
          <t>IMG_0087</t>
        </is>
      </c>
      <c r="C958" s="5" t="inlineStr">
        <is>
          <t>CLASS G: CONCRETE ANCILLARIES</t>
        </is>
      </c>
      <c r="D958" s="5" t="inlineStr">
        <is>
          <t>05 REINFORCEMENT</t>
        </is>
      </c>
      <c r="E958" s="5" t="inlineStr">
        <is>
          <t>Special joints; Lenton type A couplers; threaded ends on reinforcing bars</t>
        </is>
      </c>
      <c r="F958" s="5" t="inlineStr">
        <is>
          <t>16 mm</t>
        </is>
      </c>
      <c r="G958" s="6" t="inlineStr">
        <is>
          <t>nr</t>
        </is>
      </c>
      <c r="H958" s="7" t="n">
        <v>0.09</v>
      </c>
      <c r="I958" s="8" t="n">
        <v>15.17</v>
      </c>
      <c r="J958" s="8" t="n">
        <v>0</v>
      </c>
      <c r="K958" s="8" t="n">
        <v>16.58</v>
      </c>
      <c r="L958" s="8" t="n">
        <v>0</v>
      </c>
      <c r="M958" s="9">
        <f>ROUND(SUM(I958:L958),2)</f>
        <v/>
      </c>
      <c r="N958" s="10">
        <f>ROUND(I958*'Irish Basis'!$C$6*'Irish Basis'!$C$5,2)</f>
        <v/>
      </c>
      <c r="O958" s="10">
        <f>ROUND(J958*'Irish Basis'!$C$7*'Irish Basis'!$C$5,2)</f>
        <v/>
      </c>
      <c r="P958" s="10">
        <f>ROUND(K958*'Irish Basis'!$C$8*'Irish Basis'!$C$5,2)</f>
        <v/>
      </c>
      <c r="Q958" s="10">
        <f>ROUND(L958*'Irish Basis'!$C$12*'Irish Basis'!$C$5,2)</f>
        <v/>
      </c>
      <c r="R958" s="11">
        <f>ROUND(SUM(N958:Q958),2)</f>
        <v/>
      </c>
      <c r="S958" s="5" t="inlineStr">
        <is>
          <t>Stated build-up</t>
        </is>
      </c>
      <c r="T958" s="12" t="inlineStr">
        <is>
          <t>High</t>
        </is>
      </c>
      <c r="U958" s="8" t="n">
        <v>31.75</v>
      </c>
      <c r="V958" s="13">
        <f>IF(U958="","",ROUND(M958-U958,2))</f>
        <v/>
      </c>
      <c r="W958" s="5" t="n"/>
      <c r="X958" s="5" t="inlineStr">
        <is>
          <t>Labour + plant + material as published; reconciles to the published rate.</t>
        </is>
      </c>
    </row>
    <row r="959" ht="13" customHeight="1">
      <c r="A959" s="4" t="n">
        <v>1625</v>
      </c>
      <c r="B959" s="5" t="inlineStr">
        <is>
          <t>IMG_0087</t>
        </is>
      </c>
      <c r="C959" s="5" t="inlineStr">
        <is>
          <t>CLASS G: CONCRETE ANCILLARIES</t>
        </is>
      </c>
      <c r="D959" s="5" t="inlineStr">
        <is>
          <t>05 REINFORCEMENT</t>
        </is>
      </c>
      <c r="E959" s="5" t="inlineStr">
        <is>
          <t>Special joints; Lenton type A couplers; threaded ends on reinforcing bars</t>
        </is>
      </c>
      <c r="F959" s="5" t="inlineStr">
        <is>
          <t>20 mm</t>
        </is>
      </c>
      <c r="G959" s="6" t="inlineStr">
        <is>
          <t>nr</t>
        </is>
      </c>
      <c r="H959" s="7" t="n">
        <v>0.09</v>
      </c>
      <c r="I959" s="8" t="n">
        <v>15.17</v>
      </c>
      <c r="J959" s="8" t="n">
        <v>0</v>
      </c>
      <c r="K959" s="8" t="n">
        <v>24.57</v>
      </c>
      <c r="L959" s="8" t="n">
        <v>0</v>
      </c>
      <c r="M959" s="9">
        <f>ROUND(SUM(I959:L959),2)</f>
        <v/>
      </c>
      <c r="N959" s="10">
        <f>ROUND(I959*'Irish Basis'!$C$6*'Irish Basis'!$C$5,2)</f>
        <v/>
      </c>
      <c r="O959" s="10">
        <f>ROUND(J959*'Irish Basis'!$C$7*'Irish Basis'!$C$5,2)</f>
        <v/>
      </c>
      <c r="P959" s="10">
        <f>ROUND(K959*'Irish Basis'!$C$8*'Irish Basis'!$C$5,2)</f>
        <v/>
      </c>
      <c r="Q959" s="10">
        <f>ROUND(L959*'Irish Basis'!$C$12*'Irish Basis'!$C$5,2)</f>
        <v/>
      </c>
      <c r="R959" s="11">
        <f>ROUND(SUM(N959:Q959),2)</f>
        <v/>
      </c>
      <c r="S959" s="5" t="inlineStr">
        <is>
          <t>Stated build-up</t>
        </is>
      </c>
      <c r="T959" s="12" t="inlineStr">
        <is>
          <t>High</t>
        </is>
      </c>
      <c r="U959" s="8" t="n">
        <v>39.75</v>
      </c>
      <c r="V959" s="13">
        <f>IF(U959="","",ROUND(M959-U959,2))</f>
        <v/>
      </c>
      <c r="W959" s="5" t="n"/>
      <c r="X959" s="5" t="inlineStr">
        <is>
          <t>Labour + plant + material as published; reconciles to the published rate.</t>
        </is>
      </c>
    </row>
    <row r="960" ht="13" customHeight="1">
      <c r="A960" s="4" t="n">
        <v>1626</v>
      </c>
      <c r="B960" s="5" t="inlineStr">
        <is>
          <t>IMG_0087</t>
        </is>
      </c>
      <c r="C960" s="5" t="inlineStr">
        <is>
          <t>CLASS G: CONCRETE ANCILLARIES</t>
        </is>
      </c>
      <c r="D960" s="5" t="inlineStr">
        <is>
          <t>05 REINFORCEMENT</t>
        </is>
      </c>
      <c r="E960" s="5" t="inlineStr">
        <is>
          <t>Special joints; Lenton type A couplers; threaded ends on reinforcing bars</t>
        </is>
      </c>
      <c r="F960" s="5" t="inlineStr">
        <is>
          <t>25 mm</t>
        </is>
      </c>
      <c r="G960" s="6" t="inlineStr">
        <is>
          <t>nr</t>
        </is>
      </c>
      <c r="H960" s="7" t="n">
        <v>0.09</v>
      </c>
      <c r="I960" s="8" t="n">
        <v>15.17</v>
      </c>
      <c r="J960" s="8" t="n">
        <v>0</v>
      </c>
      <c r="K960" s="8" t="n">
        <v>33.9</v>
      </c>
      <c r="L960" s="8" t="n">
        <v>0</v>
      </c>
      <c r="M960" s="9">
        <f>ROUND(SUM(I960:L960),2)</f>
        <v/>
      </c>
      <c r="N960" s="10">
        <f>ROUND(I960*'Irish Basis'!$C$6*'Irish Basis'!$C$5,2)</f>
        <v/>
      </c>
      <c r="O960" s="10">
        <f>ROUND(J960*'Irish Basis'!$C$7*'Irish Basis'!$C$5,2)</f>
        <v/>
      </c>
      <c r="P960" s="10">
        <f>ROUND(K960*'Irish Basis'!$C$8*'Irish Basis'!$C$5,2)</f>
        <v/>
      </c>
      <c r="Q960" s="10">
        <f>ROUND(L960*'Irish Basis'!$C$12*'Irish Basis'!$C$5,2)</f>
        <v/>
      </c>
      <c r="R960" s="11">
        <f>ROUND(SUM(N960:Q960),2)</f>
        <v/>
      </c>
      <c r="S960" s="5" t="inlineStr">
        <is>
          <t>Stated build-up</t>
        </is>
      </c>
      <c r="T960" s="12" t="inlineStr">
        <is>
          <t>High</t>
        </is>
      </c>
      <c r="U960" s="8" t="n">
        <v>49.07</v>
      </c>
      <c r="V960" s="13">
        <f>IF(U960="","",ROUND(M960-U960,2))</f>
        <v/>
      </c>
      <c r="W960" s="5" t="n"/>
      <c r="X960" s="5" t="inlineStr">
        <is>
          <t>Labour + plant + material as published; reconciles to the published rate.</t>
        </is>
      </c>
    </row>
    <row r="961" ht="13" customHeight="1">
      <c r="A961" s="4" t="n">
        <v>1627</v>
      </c>
      <c r="B961" s="5" t="inlineStr">
        <is>
          <t>IMG_0087</t>
        </is>
      </c>
      <c r="C961" s="5" t="inlineStr">
        <is>
          <t>CLASS G: CONCRETE ANCILLARIES</t>
        </is>
      </c>
      <c r="D961" s="5" t="inlineStr">
        <is>
          <t>05 REINFORCEMENT</t>
        </is>
      </c>
      <c r="E961" s="5" t="inlineStr">
        <is>
          <t>Special joints; Lenton type A couplers; threaded ends on reinforcing bars</t>
        </is>
      </c>
      <c r="F961" s="5" t="inlineStr">
        <is>
          <t>32 mm</t>
        </is>
      </c>
      <c r="G961" s="6" t="inlineStr">
        <is>
          <t>nr</t>
        </is>
      </c>
      <c r="H961" s="7" t="n">
        <v>0.09</v>
      </c>
      <c r="I961" s="8" t="n">
        <v>15.17</v>
      </c>
      <c r="J961" s="8" t="n">
        <v>0</v>
      </c>
      <c r="K961" s="8" t="n">
        <v>45.7</v>
      </c>
      <c r="L961" s="8" t="n">
        <v>0</v>
      </c>
      <c r="M961" s="9">
        <f>ROUND(SUM(I961:L961),2)</f>
        <v/>
      </c>
      <c r="N961" s="10">
        <f>ROUND(I961*'Irish Basis'!$C$6*'Irish Basis'!$C$5,2)</f>
        <v/>
      </c>
      <c r="O961" s="10">
        <f>ROUND(J961*'Irish Basis'!$C$7*'Irish Basis'!$C$5,2)</f>
        <v/>
      </c>
      <c r="P961" s="10">
        <f>ROUND(K961*'Irish Basis'!$C$8*'Irish Basis'!$C$5,2)</f>
        <v/>
      </c>
      <c r="Q961" s="10">
        <f>ROUND(L961*'Irish Basis'!$C$12*'Irish Basis'!$C$5,2)</f>
        <v/>
      </c>
      <c r="R961" s="11">
        <f>ROUND(SUM(N961:Q961),2)</f>
        <v/>
      </c>
      <c r="S961" s="5" t="inlineStr">
        <is>
          <t>Stated build-up</t>
        </is>
      </c>
      <c r="T961" s="12" t="inlineStr">
        <is>
          <t>High</t>
        </is>
      </c>
      <c r="U961" s="8" t="n">
        <v>60.87</v>
      </c>
      <c r="V961" s="13">
        <f>IF(U961="","",ROUND(M961-U961,2))</f>
        <v/>
      </c>
      <c r="W961" s="5" t="n"/>
      <c r="X961" s="5" t="inlineStr">
        <is>
          <t>Labour + plant + material as published; reconciles to the published rate.</t>
        </is>
      </c>
    </row>
    <row r="962" ht="13" customHeight="1">
      <c r="A962" s="4" t="n">
        <v>1628</v>
      </c>
      <c r="B962" s="5" t="inlineStr">
        <is>
          <t>IMG_0087</t>
        </is>
      </c>
      <c r="C962" s="5" t="inlineStr">
        <is>
          <t>CLASS G: CONCRETE ANCILLARIES</t>
        </is>
      </c>
      <c r="D962" s="5" t="inlineStr">
        <is>
          <t>05 REINFORCEMENT</t>
        </is>
      </c>
      <c r="E962" s="5" t="inlineStr">
        <is>
          <t>Special joints; Lenton type A couplers; threaded ends on reinforcing bars</t>
        </is>
      </c>
      <c r="F962" s="5" t="inlineStr">
        <is>
          <t>40 mm</t>
        </is>
      </c>
      <c r="G962" s="6" t="inlineStr">
        <is>
          <t>nr</t>
        </is>
      </c>
      <c r="H962" s="7" t="n">
        <v>0.09</v>
      </c>
      <c r="I962" s="8" t="n">
        <v>15.17</v>
      </c>
      <c r="J962" s="8" t="n">
        <v>0</v>
      </c>
      <c r="K962" s="8" t="n">
        <v>63.5</v>
      </c>
      <c r="L962" s="8" t="n">
        <v>0</v>
      </c>
      <c r="M962" s="9">
        <f>ROUND(SUM(I962:L962),2)</f>
        <v/>
      </c>
      <c r="N962" s="10">
        <f>ROUND(I962*'Irish Basis'!$C$6*'Irish Basis'!$C$5,2)</f>
        <v/>
      </c>
      <c r="O962" s="10">
        <f>ROUND(J962*'Irish Basis'!$C$7*'Irish Basis'!$C$5,2)</f>
        <v/>
      </c>
      <c r="P962" s="10">
        <f>ROUND(K962*'Irish Basis'!$C$8*'Irish Basis'!$C$5,2)</f>
        <v/>
      </c>
      <c r="Q962" s="10">
        <f>ROUND(L962*'Irish Basis'!$C$12*'Irish Basis'!$C$5,2)</f>
        <v/>
      </c>
      <c r="R962" s="11">
        <f>ROUND(SUM(N962:Q962),2)</f>
        <v/>
      </c>
      <c r="S962" s="5" t="inlineStr">
        <is>
          <t>Stated build-up</t>
        </is>
      </c>
      <c r="T962" s="12" t="inlineStr">
        <is>
          <t>High</t>
        </is>
      </c>
      <c r="U962" s="8" t="n">
        <v>78.67</v>
      </c>
      <c r="V962" s="13">
        <f>IF(U962="","",ROUND(M962-U962,2))</f>
        <v/>
      </c>
      <c r="W962" s="5" t="n"/>
      <c r="X962" s="5" t="inlineStr">
        <is>
          <t>Labour + plant + material as published; reconciles to the published rate.</t>
        </is>
      </c>
    </row>
    <row r="963" ht="13" customHeight="1">
      <c r="A963" s="4" t="n">
        <v>1630</v>
      </c>
      <c r="B963" s="5" t="inlineStr">
        <is>
          <t>IMG_0087</t>
        </is>
      </c>
      <c r="C963" s="5" t="inlineStr">
        <is>
          <t>CLASS G: CONCRETE ANCILLARIES</t>
        </is>
      </c>
      <c r="D963" s="5" t="inlineStr">
        <is>
          <t>05 REINFORCEMENT</t>
        </is>
      </c>
      <c r="E963" s="5" t="inlineStr">
        <is>
          <t>Lenton type B couplers; threaded ends on reinforcing bars</t>
        </is>
      </c>
      <c r="F963" s="5" t="inlineStr">
        <is>
          <t>12 mm</t>
        </is>
      </c>
      <c r="G963" s="6" t="inlineStr">
        <is>
          <t>nr</t>
        </is>
      </c>
      <c r="H963" s="7" t="n">
        <v>0.09</v>
      </c>
      <c r="I963" s="8" t="n">
        <v>15.17</v>
      </c>
      <c r="J963" s="8" t="n">
        <v>0</v>
      </c>
      <c r="K963" s="8" t="n">
        <v>44.36</v>
      </c>
      <c r="L963" s="8" t="n">
        <v>0</v>
      </c>
      <c r="M963" s="9">
        <f>ROUND(SUM(I963:L963),2)</f>
        <v/>
      </c>
      <c r="N963" s="10">
        <f>ROUND(I963*'Irish Basis'!$C$6*'Irish Basis'!$C$5,2)</f>
        <v/>
      </c>
      <c r="O963" s="10">
        <f>ROUND(J963*'Irish Basis'!$C$7*'Irish Basis'!$C$5,2)</f>
        <v/>
      </c>
      <c r="P963" s="10">
        <f>ROUND(K963*'Irish Basis'!$C$8*'Irish Basis'!$C$5,2)</f>
        <v/>
      </c>
      <c r="Q963" s="10">
        <f>ROUND(L963*'Irish Basis'!$C$12*'Irish Basis'!$C$5,2)</f>
        <v/>
      </c>
      <c r="R963" s="11">
        <f>ROUND(SUM(N963:Q963),2)</f>
        <v/>
      </c>
      <c r="S963" s="5" t="inlineStr">
        <is>
          <t>Stated build-up</t>
        </is>
      </c>
      <c r="T963" s="12" t="inlineStr">
        <is>
          <t>High</t>
        </is>
      </c>
      <c r="U963" s="8" t="n">
        <v>59.53</v>
      </c>
      <c r="V963" s="13">
        <f>IF(U963="","",ROUND(M963-U963,2))</f>
        <v/>
      </c>
      <c r="W963" s="5" t="n"/>
      <c r="X963" s="5" t="inlineStr">
        <is>
          <t>Labour + plant + material as published; reconciles to the published rate.</t>
        </is>
      </c>
    </row>
    <row r="964" ht="13" customHeight="1">
      <c r="A964" s="4" t="n">
        <v>1631</v>
      </c>
      <c r="B964" s="5" t="inlineStr">
        <is>
          <t>IMG_0087</t>
        </is>
      </c>
      <c r="C964" s="5" t="inlineStr">
        <is>
          <t>CLASS G: CONCRETE ANCILLARIES</t>
        </is>
      </c>
      <c r="D964" s="5" t="inlineStr">
        <is>
          <t>05 REINFORCEMENT</t>
        </is>
      </c>
      <c r="E964" s="5" t="inlineStr">
        <is>
          <t>Lenton type B couplers; threaded ends on reinforcing bars</t>
        </is>
      </c>
      <c r="F964" s="5" t="inlineStr">
        <is>
          <t>16 mm</t>
        </is>
      </c>
      <c r="G964" s="6" t="inlineStr">
        <is>
          <t>nr</t>
        </is>
      </c>
      <c r="H964" s="7" t="n">
        <v>0.09</v>
      </c>
      <c r="I964" s="8" t="n">
        <v>15.17</v>
      </c>
      <c r="J964" s="8" t="n">
        <v>0</v>
      </c>
      <c r="K964" s="8" t="n">
        <v>51.59</v>
      </c>
      <c r="L964" s="8" t="n">
        <v>0</v>
      </c>
      <c r="M964" s="9">
        <f>ROUND(SUM(I964:L964),2)</f>
        <v/>
      </c>
      <c r="N964" s="10">
        <f>ROUND(I964*'Irish Basis'!$C$6*'Irish Basis'!$C$5,2)</f>
        <v/>
      </c>
      <c r="O964" s="10">
        <f>ROUND(J964*'Irish Basis'!$C$7*'Irish Basis'!$C$5,2)</f>
        <v/>
      </c>
      <c r="P964" s="10">
        <f>ROUND(K964*'Irish Basis'!$C$8*'Irish Basis'!$C$5,2)</f>
        <v/>
      </c>
      <c r="Q964" s="10">
        <f>ROUND(L964*'Irish Basis'!$C$12*'Irish Basis'!$C$5,2)</f>
        <v/>
      </c>
      <c r="R964" s="11">
        <f>ROUND(SUM(N964:Q964),2)</f>
        <v/>
      </c>
      <c r="S964" s="5" t="inlineStr">
        <is>
          <t>Stated build-up</t>
        </is>
      </c>
      <c r="T964" s="12" t="inlineStr">
        <is>
          <t>High</t>
        </is>
      </c>
      <c r="U964" s="8" t="n">
        <v>66.77</v>
      </c>
      <c r="V964" s="13">
        <f>IF(U964="","",ROUND(M964-U964,2))</f>
        <v/>
      </c>
      <c r="W964" s="5" t="n"/>
      <c r="X964" s="5" t="inlineStr">
        <is>
          <t>Labour + plant + material as published; reconciles to the published rate.</t>
        </is>
      </c>
    </row>
    <row r="965" ht="13" customHeight="1">
      <c r="A965" s="4" t="n">
        <v>1632</v>
      </c>
      <c r="B965" s="5" t="inlineStr">
        <is>
          <t>IMG_0087</t>
        </is>
      </c>
      <c r="C965" s="5" t="inlineStr">
        <is>
          <t>CLASS G: CONCRETE ANCILLARIES</t>
        </is>
      </c>
      <c r="D965" s="5" t="inlineStr">
        <is>
          <t>05 REINFORCEMENT</t>
        </is>
      </c>
      <c r="E965" s="5" t="inlineStr">
        <is>
          <t>Lenton type B couplers; threaded ends on reinforcing bars</t>
        </is>
      </c>
      <c r="F965" s="5" t="inlineStr">
        <is>
          <t>20 mm</t>
        </is>
      </c>
      <c r="G965" s="6" t="inlineStr">
        <is>
          <t>nr</t>
        </is>
      </c>
      <c r="H965" s="7" t="n">
        <v>0.09</v>
      </c>
      <c r="I965" s="8" t="n">
        <v>15.17</v>
      </c>
      <c r="J965" s="8" t="n">
        <v>0</v>
      </c>
      <c r="K965" s="8" t="n">
        <v>56.2</v>
      </c>
      <c r="L965" s="8" t="n">
        <v>0</v>
      </c>
      <c r="M965" s="9">
        <f>ROUND(SUM(I965:L965),2)</f>
        <v/>
      </c>
      <c r="N965" s="10">
        <f>ROUND(I965*'Irish Basis'!$C$6*'Irish Basis'!$C$5,2)</f>
        <v/>
      </c>
      <c r="O965" s="10">
        <f>ROUND(J965*'Irish Basis'!$C$7*'Irish Basis'!$C$5,2)</f>
        <v/>
      </c>
      <c r="P965" s="10">
        <f>ROUND(K965*'Irish Basis'!$C$8*'Irish Basis'!$C$5,2)</f>
        <v/>
      </c>
      <c r="Q965" s="10">
        <f>ROUND(L965*'Irish Basis'!$C$12*'Irish Basis'!$C$5,2)</f>
        <v/>
      </c>
      <c r="R965" s="11">
        <f>ROUND(SUM(N965:Q965),2)</f>
        <v/>
      </c>
      <c r="S965" s="5" t="inlineStr">
        <is>
          <t>Stated build-up</t>
        </is>
      </c>
      <c r="T965" s="12" t="inlineStr">
        <is>
          <t>High</t>
        </is>
      </c>
      <c r="U965" s="8" t="n">
        <v>71.37</v>
      </c>
      <c r="V965" s="13">
        <f>IF(U965="","",ROUND(M965-U965,2))</f>
        <v/>
      </c>
      <c r="W965" s="5" t="n"/>
      <c r="X965" s="5" t="inlineStr">
        <is>
          <t>Labour + plant + material as published; reconciles to the published rate.</t>
        </is>
      </c>
    </row>
    <row r="966" ht="13" customHeight="1">
      <c r="A966" s="4" t="n">
        <v>1633</v>
      </c>
      <c r="B966" s="5" t="inlineStr">
        <is>
          <t>IMG_0087</t>
        </is>
      </c>
      <c r="C966" s="5" t="inlineStr">
        <is>
          <t>CLASS G: CONCRETE ANCILLARIES</t>
        </is>
      </c>
      <c r="D966" s="5" t="inlineStr">
        <is>
          <t>05 REINFORCEMENT</t>
        </is>
      </c>
      <c r="E966" s="5" t="inlineStr">
        <is>
          <t>Lenton type B couplers; threaded ends on reinforcing bars</t>
        </is>
      </c>
      <c r="F966" s="5" t="inlineStr">
        <is>
          <t>25 mm</t>
        </is>
      </c>
      <c r="G966" s="6" t="inlineStr">
        <is>
          <t>nr</t>
        </is>
      </c>
      <c r="H966" s="7" t="n">
        <v>0.09</v>
      </c>
      <c r="I966" s="8" t="n">
        <v>15.17</v>
      </c>
      <c r="J966" s="8" t="n">
        <v>0</v>
      </c>
      <c r="K966" s="8" t="n">
        <v>65.98999999999999</v>
      </c>
      <c r="L966" s="8" t="n">
        <v>0</v>
      </c>
      <c r="M966" s="9">
        <f>ROUND(SUM(I966:L966),2)</f>
        <v/>
      </c>
      <c r="N966" s="10">
        <f>ROUND(I966*'Irish Basis'!$C$6*'Irish Basis'!$C$5,2)</f>
        <v/>
      </c>
      <c r="O966" s="10">
        <f>ROUND(J966*'Irish Basis'!$C$7*'Irish Basis'!$C$5,2)</f>
        <v/>
      </c>
      <c r="P966" s="10">
        <f>ROUND(K966*'Irish Basis'!$C$8*'Irish Basis'!$C$5,2)</f>
        <v/>
      </c>
      <c r="Q966" s="10">
        <f>ROUND(L966*'Irish Basis'!$C$12*'Irish Basis'!$C$5,2)</f>
        <v/>
      </c>
      <c r="R966" s="11">
        <f>ROUND(SUM(N966:Q966),2)</f>
        <v/>
      </c>
      <c r="S966" s="5" t="inlineStr">
        <is>
          <t>Stated build-up</t>
        </is>
      </c>
      <c r="T966" s="12" t="inlineStr">
        <is>
          <t>High</t>
        </is>
      </c>
      <c r="U966" s="8" t="n">
        <v>81.17</v>
      </c>
      <c r="V966" s="13">
        <f>IF(U966="","",ROUND(M966-U966,2))</f>
        <v/>
      </c>
      <c r="W966" s="5" t="n"/>
      <c r="X966" s="5" t="inlineStr">
        <is>
          <t>Labour + plant + material as published; reconciles to the published rate.</t>
        </is>
      </c>
    </row>
    <row r="967" ht="13" customHeight="1">
      <c r="A967" s="4" t="n">
        <v>1634</v>
      </c>
      <c r="B967" s="5" t="inlineStr">
        <is>
          <t>IMG_0087</t>
        </is>
      </c>
      <c r="C967" s="5" t="inlineStr">
        <is>
          <t>CLASS G: CONCRETE ANCILLARIES</t>
        </is>
      </c>
      <c r="D967" s="5" t="inlineStr">
        <is>
          <t>05 REINFORCEMENT</t>
        </is>
      </c>
      <c r="E967" s="5" t="inlineStr">
        <is>
          <t>Lenton type B couplers; threaded ends on reinforcing bars</t>
        </is>
      </c>
      <c r="F967" s="5" t="inlineStr">
        <is>
          <t>32 mm</t>
        </is>
      </c>
      <c r="G967" s="6" t="inlineStr">
        <is>
          <t>nr</t>
        </is>
      </c>
      <c r="H967" s="7" t="n">
        <v>0.09</v>
      </c>
      <c r="I967" s="8" t="n">
        <v>15.17</v>
      </c>
      <c r="J967" s="8" t="n">
        <v>0</v>
      </c>
      <c r="K967" s="8" t="n">
        <v>88.72</v>
      </c>
      <c r="L967" s="8" t="n">
        <v>0</v>
      </c>
      <c r="M967" s="9">
        <f>ROUND(SUM(I967:L967),2)</f>
        <v/>
      </c>
      <c r="N967" s="10">
        <f>ROUND(I967*'Irish Basis'!$C$6*'Irish Basis'!$C$5,2)</f>
        <v/>
      </c>
      <c r="O967" s="10">
        <f>ROUND(J967*'Irish Basis'!$C$7*'Irish Basis'!$C$5,2)</f>
        <v/>
      </c>
      <c r="P967" s="10">
        <f>ROUND(K967*'Irish Basis'!$C$8*'Irish Basis'!$C$5,2)</f>
        <v/>
      </c>
      <c r="Q967" s="10">
        <f>ROUND(L967*'Irish Basis'!$C$12*'Irish Basis'!$C$5,2)</f>
        <v/>
      </c>
      <c r="R967" s="11">
        <f>ROUND(SUM(N967:Q967),2)</f>
        <v/>
      </c>
      <c r="S967" s="5" t="inlineStr">
        <is>
          <t>Stated build-up</t>
        </is>
      </c>
      <c r="T967" s="12" t="inlineStr">
        <is>
          <t>High</t>
        </is>
      </c>
      <c r="U967" s="8" t="n">
        <v>103.89</v>
      </c>
      <c r="V967" s="13">
        <f>IF(U967="","",ROUND(M967-U967,2))</f>
        <v/>
      </c>
      <c r="W967" s="5" t="n"/>
      <c r="X967" s="5" t="inlineStr">
        <is>
          <t>Labour + plant + material as published; reconciles to the published rate.</t>
        </is>
      </c>
    </row>
    <row r="968" ht="13" customHeight="1">
      <c r="A968" s="4" t="n">
        <v>1635</v>
      </c>
      <c r="B968" s="5" t="inlineStr">
        <is>
          <t>IMG_0087</t>
        </is>
      </c>
      <c r="C968" s="5" t="inlineStr">
        <is>
          <t>CLASS G: CONCRETE ANCILLARIES</t>
        </is>
      </c>
      <c r="D968" s="5" t="inlineStr">
        <is>
          <t>05 REINFORCEMENT</t>
        </is>
      </c>
      <c r="E968" s="5" t="inlineStr">
        <is>
          <t>Lenton type B couplers; threaded ends on reinforcing bars</t>
        </is>
      </c>
      <c r="F968" s="5" t="inlineStr">
        <is>
          <t>40 mm</t>
        </is>
      </c>
      <c r="G968" s="6" t="inlineStr">
        <is>
          <t>nr</t>
        </is>
      </c>
      <c r="H968" s="7" t="n">
        <v>0.09</v>
      </c>
      <c r="I968" s="8" t="n">
        <v>15.17</v>
      </c>
      <c r="J968" s="8" t="n">
        <v>0</v>
      </c>
      <c r="K968" s="8" t="n">
        <v>130.86</v>
      </c>
      <c r="L968" s="8" t="n">
        <v>0</v>
      </c>
      <c r="M968" s="9">
        <f>ROUND(SUM(I968:L968),2)</f>
        <v/>
      </c>
      <c r="N968" s="10">
        <f>ROUND(I968*'Irish Basis'!$C$6*'Irish Basis'!$C$5,2)</f>
        <v/>
      </c>
      <c r="O968" s="10">
        <f>ROUND(J968*'Irish Basis'!$C$7*'Irish Basis'!$C$5,2)</f>
        <v/>
      </c>
      <c r="P968" s="10">
        <f>ROUND(K968*'Irish Basis'!$C$8*'Irish Basis'!$C$5,2)</f>
        <v/>
      </c>
      <c r="Q968" s="10">
        <f>ROUND(L968*'Irish Basis'!$C$12*'Irish Basis'!$C$5,2)</f>
        <v/>
      </c>
      <c r="R968" s="11">
        <f>ROUND(SUM(N968:Q968),2)</f>
        <v/>
      </c>
      <c r="S968" s="5" t="inlineStr">
        <is>
          <t>Stated build-up</t>
        </is>
      </c>
      <c r="T968" s="12" t="inlineStr">
        <is>
          <t>High</t>
        </is>
      </c>
      <c r="U968" s="8" t="n">
        <v>146.04</v>
      </c>
      <c r="V968" s="13">
        <f>IF(U968="","",ROUND(M968-U968,2))</f>
        <v/>
      </c>
      <c r="W968" s="5" t="n"/>
      <c r="X968" s="5" t="inlineStr">
        <is>
          <t>Labour + plant + material as published; reconciles to the published rate.</t>
        </is>
      </c>
    </row>
    <row r="969" ht="13" customHeight="1">
      <c r="A969" s="4" t="n">
        <v>1637</v>
      </c>
      <c r="B969" s="5" t="inlineStr">
        <is>
          <t>IMG_0087</t>
        </is>
      </c>
      <c r="C969" s="5" t="inlineStr">
        <is>
          <t>CLASS G: CONCRETE ANCILLARIES</t>
        </is>
      </c>
      <c r="D969" s="5" t="inlineStr">
        <is>
          <t>05 REINFORCEMENT</t>
        </is>
      </c>
      <c r="E969" s="5" t="inlineStr">
        <is>
          <t>Steel fabric to BS 4483</t>
        </is>
      </c>
      <c r="F969" s="5" t="inlineStr">
        <is>
          <t>nominal mass 0.77 kg/m2; ref D49</t>
        </is>
      </c>
      <c r="G969" s="6" t="inlineStr">
        <is>
          <t>m2</t>
        </is>
      </c>
      <c r="H969" s="7" t="n">
        <v>0.02</v>
      </c>
      <c r="I969" s="8" t="n">
        <v>4.05</v>
      </c>
      <c r="J969" s="8" t="n">
        <v>0.49</v>
      </c>
      <c r="K969" s="8" t="n">
        <v>1.82</v>
      </c>
      <c r="L969" s="8" t="n">
        <v>0</v>
      </c>
      <c r="M969" s="9">
        <f>ROUND(SUM(I969:L969),2)</f>
        <v/>
      </c>
      <c r="N969" s="10">
        <f>ROUND(I969*'Irish Basis'!$C$6*'Irish Basis'!$C$5,2)</f>
        <v/>
      </c>
      <c r="O969" s="10">
        <f>ROUND(J969*'Irish Basis'!$C$7*'Irish Basis'!$C$5,2)</f>
        <v/>
      </c>
      <c r="P969" s="10">
        <f>ROUND(K969*'Irish Basis'!$C$8*'Irish Basis'!$C$5,2)</f>
        <v/>
      </c>
      <c r="Q969" s="10">
        <f>ROUND(L969*'Irish Basis'!$C$12*'Irish Basis'!$C$5,2)</f>
        <v/>
      </c>
      <c r="R969" s="11">
        <f>ROUND(SUM(N969:Q969),2)</f>
        <v/>
      </c>
      <c r="S969" s="5" t="inlineStr">
        <is>
          <t>Stated build-up</t>
        </is>
      </c>
      <c r="T969" s="12" t="inlineStr">
        <is>
          <t>High</t>
        </is>
      </c>
      <c r="U969" s="8" t="n">
        <v>6.35</v>
      </c>
      <c r="V969" s="13">
        <f>IF(U969="","",ROUND(M969-U969,2))</f>
        <v/>
      </c>
      <c r="W969" s="5" t="n"/>
      <c r="X969" s="5" t="inlineStr">
        <is>
          <t>Labour + plant + material as published; reconciles to the published rate.</t>
        </is>
      </c>
    </row>
    <row r="970" ht="13" customHeight="1">
      <c r="A970" s="4" t="n">
        <v>1638</v>
      </c>
      <c r="B970" s="5" t="inlineStr">
        <is>
          <t>IMG_0087</t>
        </is>
      </c>
      <c r="C970" s="5" t="inlineStr">
        <is>
          <t>CLASS G: CONCRETE ANCILLARIES</t>
        </is>
      </c>
      <c r="D970" s="5" t="inlineStr">
        <is>
          <t>05 REINFORCEMENT</t>
        </is>
      </c>
      <c r="E970" s="5" t="inlineStr">
        <is>
          <t>Steel fabric to BS 4483</t>
        </is>
      </c>
      <c r="F970" s="5" t="inlineStr">
        <is>
          <t>nominal mass 1.54 kg/m2; ref D98</t>
        </is>
      </c>
      <c r="G970" s="6" t="inlineStr">
        <is>
          <t>m2</t>
        </is>
      </c>
      <c r="H970" s="7" t="n">
        <v>0.02</v>
      </c>
      <c r="I970" s="8" t="n">
        <v>4.05</v>
      </c>
      <c r="J970" s="8" t="n">
        <v>0.49</v>
      </c>
      <c r="K970" s="8" t="n">
        <v>3.65</v>
      </c>
      <c r="L970" s="8" t="n">
        <v>0</v>
      </c>
      <c r="M970" s="9">
        <f>ROUND(SUM(I970:L970),2)</f>
        <v/>
      </c>
      <c r="N970" s="10">
        <f>ROUND(I970*'Irish Basis'!$C$6*'Irish Basis'!$C$5,2)</f>
        <v/>
      </c>
      <c r="O970" s="10">
        <f>ROUND(J970*'Irish Basis'!$C$7*'Irish Basis'!$C$5,2)</f>
        <v/>
      </c>
      <c r="P970" s="10">
        <f>ROUND(K970*'Irish Basis'!$C$8*'Irish Basis'!$C$5,2)</f>
        <v/>
      </c>
      <c r="Q970" s="10">
        <f>ROUND(L970*'Irish Basis'!$C$12*'Irish Basis'!$C$5,2)</f>
        <v/>
      </c>
      <c r="R970" s="11">
        <f>ROUND(SUM(N970:Q970),2)</f>
        <v/>
      </c>
      <c r="S970" s="5" t="inlineStr">
        <is>
          <t>Stated build-up</t>
        </is>
      </c>
      <c r="T970" s="12" t="inlineStr">
        <is>
          <t>High</t>
        </is>
      </c>
      <c r="U970" s="8" t="n">
        <v>8.18</v>
      </c>
      <c r="V970" s="13">
        <f>IF(U970="","",ROUND(M970-U970,2))</f>
        <v/>
      </c>
      <c r="W970" s="5" t="n"/>
      <c r="X970" s="5" t="inlineStr">
        <is>
          <t>Labour + plant + material as published; reconciles to the published rate.</t>
        </is>
      </c>
    </row>
    <row r="971" ht="13" customHeight="1">
      <c r="A971" s="4" t="n">
        <v>1639</v>
      </c>
      <c r="B971" s="5" t="inlineStr">
        <is>
          <t>IMG_0087</t>
        </is>
      </c>
      <c r="C971" s="5" t="inlineStr">
        <is>
          <t>CLASS G: CONCRETE ANCILLARIES</t>
        </is>
      </c>
      <c r="D971" s="5" t="inlineStr">
        <is>
          <t>05 REINFORCEMENT</t>
        </is>
      </c>
      <c r="E971" s="5" t="inlineStr">
        <is>
          <t>Steel fabric to BS 4483</t>
        </is>
      </c>
      <c r="F971" s="5" t="inlineStr">
        <is>
          <t>nominal mass 1.54 kg/m2; ref A98</t>
        </is>
      </c>
      <c r="G971" s="6" t="inlineStr">
        <is>
          <t>m2</t>
        </is>
      </c>
      <c r="H971" s="7" t="n">
        <v>0.03</v>
      </c>
      <c r="I971" s="8" t="n">
        <v>5.39</v>
      </c>
      <c r="J971" s="8" t="n">
        <v>0.74</v>
      </c>
      <c r="K971" s="8" t="n">
        <v>7.13</v>
      </c>
      <c r="L971" s="8" t="n">
        <v>0</v>
      </c>
      <c r="M971" s="9">
        <f>ROUND(SUM(I971:L971),2)</f>
        <v/>
      </c>
      <c r="N971" s="10">
        <f>ROUND(I971*'Irish Basis'!$C$6*'Irish Basis'!$C$5,2)</f>
        <v/>
      </c>
      <c r="O971" s="10">
        <f>ROUND(J971*'Irish Basis'!$C$7*'Irish Basis'!$C$5,2)</f>
        <v/>
      </c>
      <c r="P971" s="10">
        <f>ROUND(K971*'Irish Basis'!$C$8*'Irish Basis'!$C$5,2)</f>
        <v/>
      </c>
      <c r="Q971" s="10">
        <f>ROUND(L971*'Irish Basis'!$C$12*'Irish Basis'!$C$5,2)</f>
        <v/>
      </c>
      <c r="R971" s="11">
        <f>ROUND(SUM(N971:Q971),2)</f>
        <v/>
      </c>
      <c r="S971" s="5" t="inlineStr">
        <is>
          <t>Stated build-up</t>
        </is>
      </c>
      <c r="T971" s="12" t="inlineStr">
        <is>
          <t>High</t>
        </is>
      </c>
      <c r="U971" s="8" t="n">
        <v>13.26</v>
      </c>
      <c r="V971" s="13">
        <f>IF(U971="","",ROUND(M971-U971,2))</f>
        <v/>
      </c>
      <c r="W971" s="5" t="n"/>
      <c r="X971" s="5" t="inlineStr">
        <is>
          <t>Labour + plant + material as published; reconciles to the published rate.</t>
        </is>
      </c>
    </row>
    <row r="972" ht="13" customHeight="1">
      <c r="A972" s="4" t="n">
        <v>1640</v>
      </c>
      <c r="B972" s="5" t="inlineStr">
        <is>
          <t>IMG_0087</t>
        </is>
      </c>
      <c r="C972" s="5" t="inlineStr">
        <is>
          <t>CLASS G: CONCRETE ANCILLARIES</t>
        </is>
      </c>
      <c r="D972" s="5" t="inlineStr">
        <is>
          <t>05 REINFORCEMENT</t>
        </is>
      </c>
      <c r="E972" s="5" t="inlineStr">
        <is>
          <t>Steel fabric to BS 4483</t>
        </is>
      </c>
      <c r="F972" s="5" t="inlineStr">
        <is>
          <t>nominal mass 2.22 kg/m2; ref A142</t>
        </is>
      </c>
      <c r="G972" s="6" t="inlineStr">
        <is>
          <t>m2</t>
        </is>
      </c>
      <c r="H972" s="7" t="n">
        <v>0.03</v>
      </c>
      <c r="I972" s="8" t="n">
        <v>5.23</v>
      </c>
      <c r="J972" s="8" t="n">
        <v>0.74</v>
      </c>
      <c r="K972" s="8" t="n">
        <v>5.87</v>
      </c>
      <c r="L972" s="8" t="n">
        <v>0</v>
      </c>
      <c r="M972" s="9">
        <f>ROUND(SUM(I972:L972),2)</f>
        <v/>
      </c>
      <c r="N972" s="10">
        <f>ROUND(I972*'Irish Basis'!$C$6*'Irish Basis'!$C$5,2)</f>
        <v/>
      </c>
      <c r="O972" s="10">
        <f>ROUND(J972*'Irish Basis'!$C$7*'Irish Basis'!$C$5,2)</f>
        <v/>
      </c>
      <c r="P972" s="10">
        <f>ROUND(K972*'Irish Basis'!$C$8*'Irish Basis'!$C$5,2)</f>
        <v/>
      </c>
      <c r="Q972" s="10">
        <f>ROUND(L972*'Irish Basis'!$C$12*'Irish Basis'!$C$5,2)</f>
        <v/>
      </c>
      <c r="R972" s="11">
        <f>ROUND(SUM(N972:Q972),2)</f>
        <v/>
      </c>
      <c r="S972" s="5" t="inlineStr">
        <is>
          <t>Stated build-up</t>
        </is>
      </c>
      <c r="T972" s="12" t="inlineStr">
        <is>
          <t>High</t>
        </is>
      </c>
      <c r="U972" s="8" t="n">
        <v>11.83</v>
      </c>
      <c r="V972" s="13">
        <f>IF(U972="","",ROUND(M972-U972,2))</f>
        <v/>
      </c>
      <c r="W972" s="5" t="n"/>
      <c r="X972" s="5" t="inlineStr">
        <is>
          <t>Labour + plant + material as published; reconciles to the published rate.</t>
        </is>
      </c>
    </row>
    <row r="973" ht="13" customHeight="1">
      <c r="A973" s="4" t="n">
        <v>1641</v>
      </c>
      <c r="B973" s="5" t="inlineStr">
        <is>
          <t>IMG_0087</t>
        </is>
      </c>
      <c r="C973" s="5" t="inlineStr">
        <is>
          <t>CLASS G: CONCRETE ANCILLARIES</t>
        </is>
      </c>
      <c r="D973" s="5" t="inlineStr">
        <is>
          <t>05 REINFORCEMENT</t>
        </is>
      </c>
      <c r="E973" s="5" t="inlineStr">
        <is>
          <t>Steel fabric to BS 4483</t>
        </is>
      </c>
      <c r="F973" s="5" t="inlineStr">
        <is>
          <t>nominal mass 2.61 kg/m2; ref C283</t>
        </is>
      </c>
      <c r="G973" s="6" t="inlineStr">
        <is>
          <t>m2</t>
        </is>
      </c>
      <c r="H973" s="7" t="n">
        <v>0.03</v>
      </c>
      <c r="I973" s="8" t="n">
        <v>5.06</v>
      </c>
      <c r="J973" s="8" t="n">
        <v>0.74</v>
      </c>
      <c r="K973" s="8" t="n">
        <v>7.68</v>
      </c>
      <c r="L973" s="8" t="n">
        <v>0</v>
      </c>
      <c r="M973" s="9">
        <f>ROUND(SUM(I973:L973),2)</f>
        <v/>
      </c>
      <c r="N973" s="10">
        <f>ROUND(I973*'Irish Basis'!$C$6*'Irish Basis'!$C$5,2)</f>
        <v/>
      </c>
      <c r="O973" s="10">
        <f>ROUND(J973*'Irish Basis'!$C$7*'Irish Basis'!$C$5,2)</f>
        <v/>
      </c>
      <c r="P973" s="10">
        <f>ROUND(K973*'Irish Basis'!$C$8*'Irish Basis'!$C$5,2)</f>
        <v/>
      </c>
      <c r="Q973" s="10">
        <f>ROUND(L973*'Irish Basis'!$C$12*'Irish Basis'!$C$5,2)</f>
        <v/>
      </c>
      <c r="R973" s="11">
        <f>ROUND(SUM(N973:Q973),2)</f>
        <v/>
      </c>
      <c r="S973" s="5" t="inlineStr">
        <is>
          <t>Stated build-up</t>
        </is>
      </c>
      <c r="T973" s="12" t="inlineStr">
        <is>
          <t>High</t>
        </is>
      </c>
      <c r="U973" s="8" t="n">
        <v>13.48</v>
      </c>
      <c r="V973" s="13">
        <f>IF(U973="","",ROUND(M973-U973,2))</f>
        <v/>
      </c>
      <c r="W973" s="5" t="n"/>
      <c r="X973" s="5" t="inlineStr">
        <is>
          <t>Labour + plant + material as published; reconciles to the published rate.</t>
        </is>
      </c>
    </row>
    <row r="974" ht="13" customHeight="1">
      <c r="A974" s="4" t="n">
        <v>1642</v>
      </c>
      <c r="B974" s="5" t="inlineStr">
        <is>
          <t>IMG_0087</t>
        </is>
      </c>
      <c r="C974" s="5" t="inlineStr">
        <is>
          <t>CLASS G: CONCRETE ANCILLARIES</t>
        </is>
      </c>
      <c r="D974" s="5" t="inlineStr">
        <is>
          <t>05 REINFORCEMENT</t>
        </is>
      </c>
      <c r="E974" s="5" t="inlineStr">
        <is>
          <t>Steel fabric to BS 4483</t>
        </is>
      </c>
      <c r="F974" s="5" t="inlineStr">
        <is>
          <t>nominal mass 3.02 kg/m2; ref A193</t>
        </is>
      </c>
      <c r="G974" s="6" t="inlineStr">
        <is>
          <t>m2</t>
        </is>
      </c>
      <c r="H974" s="7" t="n">
        <v>0.04</v>
      </c>
      <c r="I974" s="8" t="n">
        <v>6.74</v>
      </c>
      <c r="J974" s="8" t="n">
        <v>0.97</v>
      </c>
      <c r="K974" s="8" t="n">
        <v>8.35</v>
      </c>
      <c r="L974" s="8" t="n">
        <v>0</v>
      </c>
      <c r="M974" s="9">
        <f>ROUND(SUM(I974:L974),2)</f>
        <v/>
      </c>
      <c r="N974" s="10">
        <f>ROUND(I974*'Irish Basis'!$C$6*'Irish Basis'!$C$5,2)</f>
        <v/>
      </c>
      <c r="O974" s="10">
        <f>ROUND(J974*'Irish Basis'!$C$7*'Irish Basis'!$C$5,2)</f>
        <v/>
      </c>
      <c r="P974" s="10">
        <f>ROUND(K974*'Irish Basis'!$C$8*'Irish Basis'!$C$5,2)</f>
        <v/>
      </c>
      <c r="Q974" s="10">
        <f>ROUND(L974*'Irish Basis'!$C$12*'Irish Basis'!$C$5,2)</f>
        <v/>
      </c>
      <c r="R974" s="11">
        <f>ROUND(SUM(N974:Q974),2)</f>
        <v/>
      </c>
      <c r="S974" s="5" t="inlineStr">
        <is>
          <t>Stated build-up</t>
        </is>
      </c>
      <c r="T974" s="12" t="inlineStr">
        <is>
          <t>High</t>
        </is>
      </c>
      <c r="U974" s="8" t="n">
        <v>16.06</v>
      </c>
      <c r="V974" s="13">
        <f>IF(U974="","",ROUND(M974-U974,2))</f>
        <v/>
      </c>
      <c r="W974" s="5" t="n"/>
      <c r="X974" s="5" t="inlineStr">
        <is>
          <t>Labour + plant + material as published; reconciles to the published rate.</t>
        </is>
      </c>
    </row>
    <row r="975" ht="13" customHeight="1">
      <c r="A975" s="4" t="n">
        <v>1643</v>
      </c>
      <c r="B975" s="5" t="inlineStr">
        <is>
          <t>IMG_0087</t>
        </is>
      </c>
      <c r="C975" s="5" t="inlineStr">
        <is>
          <t>CLASS G: CONCRETE ANCILLARIES</t>
        </is>
      </c>
      <c r="D975" s="5" t="inlineStr">
        <is>
          <t>05 REINFORCEMENT</t>
        </is>
      </c>
      <c r="E975" s="5" t="inlineStr">
        <is>
          <t>Steel fabric to BS 4483</t>
        </is>
      </c>
      <c r="F975" s="5" t="inlineStr">
        <is>
          <t>nominal mass 3.05 kg/m2; ref B196</t>
        </is>
      </c>
      <c r="G975" s="6" t="inlineStr">
        <is>
          <t>m2</t>
        </is>
      </c>
      <c r="H975" s="7" t="n">
        <v>0.04</v>
      </c>
      <c r="I975" s="8" t="n">
        <v>6.74</v>
      </c>
      <c r="J975" s="8" t="n">
        <v>0.97</v>
      </c>
      <c r="K975" s="8" t="n">
        <v>15.62</v>
      </c>
      <c r="L975" s="8" t="n">
        <v>0</v>
      </c>
      <c r="M975" s="9">
        <f>ROUND(SUM(I975:L975),2)</f>
        <v/>
      </c>
      <c r="N975" s="10">
        <f>ROUND(I975*'Irish Basis'!$C$6*'Irish Basis'!$C$5,2)</f>
        <v/>
      </c>
      <c r="O975" s="10">
        <f>ROUND(J975*'Irish Basis'!$C$7*'Irish Basis'!$C$5,2)</f>
        <v/>
      </c>
      <c r="P975" s="10">
        <f>ROUND(K975*'Irish Basis'!$C$8*'Irish Basis'!$C$5,2)</f>
        <v/>
      </c>
      <c r="Q975" s="10">
        <f>ROUND(L975*'Irish Basis'!$C$12*'Irish Basis'!$C$5,2)</f>
        <v/>
      </c>
      <c r="R975" s="11">
        <f>ROUND(SUM(N975:Q975),2)</f>
        <v/>
      </c>
      <c r="S975" s="5" t="inlineStr">
        <is>
          <t>Stated build-up</t>
        </is>
      </c>
      <c r="T975" s="12" t="inlineStr">
        <is>
          <t>High</t>
        </is>
      </c>
      <c r="U975" s="8" t="n">
        <v>23.34</v>
      </c>
      <c r="V975" s="13">
        <f>IF(U975="","",ROUND(M975-U975,2))</f>
        <v/>
      </c>
      <c r="W975" s="5" t="n"/>
      <c r="X975" s="5" t="inlineStr">
        <is>
          <t>Labour + plant + material as published; reconciles to the published rate.</t>
        </is>
      </c>
    </row>
    <row r="976" ht="13" customHeight="1">
      <c r="A976" s="4" t="n">
        <v>1644</v>
      </c>
      <c r="B976" s="5" t="inlineStr">
        <is>
          <t>IMG_0087</t>
        </is>
      </c>
      <c r="C976" s="5" t="inlineStr">
        <is>
          <t>CLASS G: CONCRETE ANCILLARIES</t>
        </is>
      </c>
      <c r="D976" s="5" t="inlineStr">
        <is>
          <t>05 REINFORCEMENT</t>
        </is>
      </c>
      <c r="E976" s="5" t="inlineStr">
        <is>
          <t>Steel fabric to BS 4483</t>
        </is>
      </c>
      <c r="F976" s="5" t="inlineStr">
        <is>
          <t>nominal mass 3.41 kg/m2; ref C385</t>
        </is>
      </c>
      <c r="G976" s="6" t="inlineStr">
        <is>
          <t>m2</t>
        </is>
      </c>
      <c r="H976" s="7" t="n">
        <v>0.04</v>
      </c>
      <c r="I976" s="8" t="n">
        <v>6.74</v>
      </c>
      <c r="J976" s="8" t="n">
        <v>0.97</v>
      </c>
      <c r="K976" s="8" t="n">
        <v>10.09</v>
      </c>
      <c r="L976" s="8" t="n">
        <v>0</v>
      </c>
      <c r="M976" s="9">
        <f>ROUND(SUM(I976:L976),2)</f>
        <v/>
      </c>
      <c r="N976" s="10">
        <f>ROUND(I976*'Irish Basis'!$C$6*'Irish Basis'!$C$5,2)</f>
        <v/>
      </c>
      <c r="O976" s="10">
        <f>ROUND(J976*'Irish Basis'!$C$7*'Irish Basis'!$C$5,2)</f>
        <v/>
      </c>
      <c r="P976" s="10">
        <f>ROUND(K976*'Irish Basis'!$C$8*'Irish Basis'!$C$5,2)</f>
        <v/>
      </c>
      <c r="Q976" s="10">
        <f>ROUND(L976*'Irish Basis'!$C$12*'Irish Basis'!$C$5,2)</f>
        <v/>
      </c>
      <c r="R976" s="11">
        <f>ROUND(SUM(N976:Q976),2)</f>
        <v/>
      </c>
      <c r="S976" s="5" t="inlineStr">
        <is>
          <t>Stated build-up</t>
        </is>
      </c>
      <c r="T976" s="12" t="inlineStr">
        <is>
          <t>High</t>
        </is>
      </c>
      <c r="U976" s="8" t="n">
        <v>17.8</v>
      </c>
      <c r="V976" s="13">
        <f>IF(U976="","",ROUND(M976-U976,2))</f>
        <v/>
      </c>
      <c r="W976" s="5" t="n"/>
      <c r="X976" s="5" t="inlineStr">
        <is>
          <t>Labour + plant + material as published; reconciles to the published rate.</t>
        </is>
      </c>
    </row>
    <row r="977" ht="13" customHeight="1">
      <c r="A977" s="4" t="n">
        <v>1645</v>
      </c>
      <c r="B977" s="5" t="inlineStr">
        <is>
          <t>IMG_0087</t>
        </is>
      </c>
      <c r="C977" s="5" t="inlineStr">
        <is>
          <t>CLASS G: CONCRETE ANCILLARIES</t>
        </is>
      </c>
      <c r="D977" s="5" t="inlineStr">
        <is>
          <t>05 REINFORCEMENT</t>
        </is>
      </c>
      <c r="E977" s="5" t="inlineStr">
        <is>
          <t>Steel fabric to BS 4483</t>
        </is>
      </c>
      <c r="F977" s="5" t="inlineStr">
        <is>
          <t>nominal mass 3.73 kg/m2; ref B283</t>
        </is>
      </c>
      <c r="G977" s="6" t="inlineStr">
        <is>
          <t>m2</t>
        </is>
      </c>
      <c r="H977" s="7" t="n">
        <v>0.04</v>
      </c>
      <c r="I977" s="8" t="n">
        <v>6.74</v>
      </c>
      <c r="J977" s="8" t="n">
        <v>0.97</v>
      </c>
      <c r="K977" s="8" t="n">
        <v>12.61</v>
      </c>
      <c r="L977" s="8" t="n">
        <v>0</v>
      </c>
      <c r="M977" s="9">
        <f>ROUND(SUM(I977:L977),2)</f>
        <v/>
      </c>
      <c r="N977" s="10">
        <f>ROUND(I977*'Irish Basis'!$C$6*'Irish Basis'!$C$5,2)</f>
        <v/>
      </c>
      <c r="O977" s="10">
        <f>ROUND(J977*'Irish Basis'!$C$7*'Irish Basis'!$C$5,2)</f>
        <v/>
      </c>
      <c r="P977" s="10">
        <f>ROUND(K977*'Irish Basis'!$C$8*'Irish Basis'!$C$5,2)</f>
        <v/>
      </c>
      <c r="Q977" s="10">
        <f>ROUND(L977*'Irish Basis'!$C$12*'Irish Basis'!$C$5,2)</f>
        <v/>
      </c>
      <c r="R977" s="11">
        <f>ROUND(SUM(N977:Q977),2)</f>
        <v/>
      </c>
      <c r="S977" s="5" t="inlineStr">
        <is>
          <t>Stated build-up</t>
        </is>
      </c>
      <c r="T977" s="12" t="inlineStr">
        <is>
          <t>High</t>
        </is>
      </c>
      <c r="U977" s="8" t="n">
        <v>20.32</v>
      </c>
      <c r="V977" s="13">
        <f>IF(U977="","",ROUND(M977-U977,2))</f>
        <v/>
      </c>
      <c r="W977" s="5" t="n"/>
      <c r="X977" s="5" t="inlineStr">
        <is>
          <t>Labour + plant + material as published; reconciles to the published rate.</t>
        </is>
      </c>
    </row>
    <row r="978" ht="13" customHeight="1">
      <c r="A978" s="4" t="n">
        <v>1646</v>
      </c>
      <c r="B978" s="5" t="inlineStr">
        <is>
          <t>IMG_0087</t>
        </is>
      </c>
      <c r="C978" s="5" t="inlineStr">
        <is>
          <t>CLASS G: CONCRETE ANCILLARIES</t>
        </is>
      </c>
      <c r="D978" s="5" t="inlineStr">
        <is>
          <t>05 REINFORCEMENT</t>
        </is>
      </c>
      <c r="E978" s="5" t="inlineStr">
        <is>
          <t>Steel fabric to BS 4483</t>
        </is>
      </c>
      <c r="F978" s="5" t="inlineStr">
        <is>
          <t>nominal mass 3.95 kg/m2; ref A252</t>
        </is>
      </c>
      <c r="G978" s="6" t="inlineStr">
        <is>
          <t>m2</t>
        </is>
      </c>
      <c r="H978" s="7" t="n">
        <v>0.04</v>
      </c>
      <c r="I978" s="8" t="n">
        <v>6.74</v>
      </c>
      <c r="J978" s="8" t="n">
        <v>0.97</v>
      </c>
      <c r="K978" s="8" t="n">
        <v>9.25</v>
      </c>
      <c r="L978" s="8" t="n">
        <v>0</v>
      </c>
      <c r="M978" s="9">
        <f>ROUND(SUM(I978:L978),2)</f>
        <v/>
      </c>
      <c r="N978" s="10">
        <f>ROUND(I978*'Irish Basis'!$C$6*'Irish Basis'!$C$5,2)</f>
        <v/>
      </c>
      <c r="O978" s="10">
        <f>ROUND(J978*'Irish Basis'!$C$7*'Irish Basis'!$C$5,2)</f>
        <v/>
      </c>
      <c r="P978" s="10">
        <f>ROUND(K978*'Irish Basis'!$C$8*'Irish Basis'!$C$5,2)</f>
        <v/>
      </c>
      <c r="Q978" s="10">
        <f>ROUND(L978*'Irish Basis'!$C$12*'Irish Basis'!$C$5,2)</f>
        <v/>
      </c>
      <c r="R978" s="11">
        <f>ROUND(SUM(N978:Q978),2)</f>
        <v/>
      </c>
      <c r="S978" s="5" t="inlineStr">
        <is>
          <t>Stated build-up</t>
        </is>
      </c>
      <c r="T978" s="12" t="inlineStr">
        <is>
          <t>High</t>
        </is>
      </c>
      <c r="U978" s="8" t="n">
        <v>16.96</v>
      </c>
      <c r="V978" s="13">
        <f>IF(U978="","",ROUND(M978-U978,2))</f>
        <v/>
      </c>
      <c r="W978" s="5" t="n"/>
      <c r="X978" s="5" t="inlineStr">
        <is>
          <t>Labour + plant + material as published; reconciles to the published rate.</t>
        </is>
      </c>
    </row>
    <row r="979" ht="13" customHeight="1">
      <c r="A979" s="4" t="n">
        <v>1647</v>
      </c>
      <c r="B979" s="5" t="inlineStr">
        <is>
          <t>IMG_0087</t>
        </is>
      </c>
      <c r="C979" s="5" t="inlineStr">
        <is>
          <t>CLASS G: CONCRETE ANCILLARIES</t>
        </is>
      </c>
      <c r="D979" s="5" t="inlineStr">
        <is>
          <t>05 REINFORCEMENT</t>
        </is>
      </c>
      <c r="E979" s="5" t="inlineStr">
        <is>
          <t>Steel fabric to BS 4483</t>
        </is>
      </c>
      <c r="F979" s="5" t="inlineStr">
        <is>
          <t>nominal mass 4.34 kg/m2; ref C503</t>
        </is>
      </c>
      <c r="G979" s="6" t="inlineStr">
        <is>
          <t>m2</t>
        </is>
      </c>
      <c r="H979" s="7" t="n">
        <v>0.05</v>
      </c>
      <c r="I979" s="8" t="n">
        <v>8.43</v>
      </c>
      <c r="J979" s="8" t="n">
        <v>1.23</v>
      </c>
      <c r="K979" s="8" t="n">
        <v>12.79</v>
      </c>
      <c r="L979" s="8" t="n">
        <v>0</v>
      </c>
      <c r="M979" s="9">
        <f>ROUND(SUM(I979:L979),2)</f>
        <v/>
      </c>
      <c r="N979" s="10">
        <f>ROUND(I979*'Irish Basis'!$C$6*'Irish Basis'!$C$5,2)</f>
        <v/>
      </c>
      <c r="O979" s="10">
        <f>ROUND(J979*'Irish Basis'!$C$7*'Irish Basis'!$C$5,2)</f>
        <v/>
      </c>
      <c r="P979" s="10">
        <f>ROUND(K979*'Irish Basis'!$C$8*'Irish Basis'!$C$5,2)</f>
        <v/>
      </c>
      <c r="Q979" s="10">
        <f>ROUND(L979*'Irish Basis'!$C$12*'Irish Basis'!$C$5,2)</f>
        <v/>
      </c>
      <c r="R979" s="11">
        <f>ROUND(SUM(N979:Q979),2)</f>
        <v/>
      </c>
      <c r="S979" s="5" t="inlineStr">
        <is>
          <t>Stated build-up</t>
        </is>
      </c>
      <c r="T979" s="12" t="inlineStr">
        <is>
          <t>High</t>
        </is>
      </c>
      <c r="U979" s="8" t="n">
        <v>22.44</v>
      </c>
      <c r="V979" s="13">
        <f>IF(U979="","",ROUND(M979-U979,2))</f>
        <v/>
      </c>
      <c r="W979" s="5" t="n"/>
      <c r="X979" s="5" t="inlineStr">
        <is>
          <t>Labour + plant + material as published; reconciles to the published rate.</t>
        </is>
      </c>
    </row>
    <row r="980" ht="13" customHeight="1">
      <c r="A980" s="4" t="n">
        <v>1648</v>
      </c>
      <c r="B980" s="5" t="inlineStr">
        <is>
          <t>IMG_0087</t>
        </is>
      </c>
      <c r="C980" s="5" t="inlineStr">
        <is>
          <t>CLASS G: CONCRETE ANCILLARIES</t>
        </is>
      </c>
      <c r="D980" s="5" t="inlineStr">
        <is>
          <t>05 REINFORCEMENT</t>
        </is>
      </c>
      <c r="E980" s="5" t="inlineStr">
        <is>
          <t>Steel fabric to BS 4483</t>
        </is>
      </c>
      <c r="F980" s="5" t="inlineStr">
        <is>
          <t>nominal mass 4.35 kg/m2; ref B385</t>
        </is>
      </c>
      <c r="G980" s="6" t="inlineStr">
        <is>
          <t>m2</t>
        </is>
      </c>
      <c r="H980" s="7" t="n">
        <v>0.05</v>
      </c>
      <c r="I980" s="8" t="n">
        <v>8.43</v>
      </c>
      <c r="J980" s="8" t="n">
        <v>1.23</v>
      </c>
      <c r="K980" s="8" t="n">
        <v>13.45</v>
      </c>
      <c r="L980" s="8" t="n">
        <v>0</v>
      </c>
      <c r="M980" s="9">
        <f>ROUND(SUM(I980:L980),2)</f>
        <v/>
      </c>
      <c r="N980" s="10">
        <f>ROUND(I980*'Irish Basis'!$C$6*'Irish Basis'!$C$5,2)</f>
        <v/>
      </c>
      <c r="O980" s="10">
        <f>ROUND(J980*'Irish Basis'!$C$7*'Irish Basis'!$C$5,2)</f>
        <v/>
      </c>
      <c r="P980" s="10">
        <f>ROUND(K980*'Irish Basis'!$C$8*'Irish Basis'!$C$5,2)</f>
        <v/>
      </c>
      <c r="Q980" s="10">
        <f>ROUND(L980*'Irish Basis'!$C$12*'Irish Basis'!$C$5,2)</f>
        <v/>
      </c>
      <c r="R980" s="11">
        <f>ROUND(SUM(N980:Q980),2)</f>
        <v/>
      </c>
      <c r="S980" s="5" t="inlineStr">
        <is>
          <t>Stated build-up</t>
        </is>
      </c>
      <c r="T980" s="12" t="inlineStr">
        <is>
          <t>High</t>
        </is>
      </c>
      <c r="U980" s="8" t="n">
        <v>23.11</v>
      </c>
      <c r="V980" s="13">
        <f>IF(U980="","",ROUND(M980-U980,2))</f>
        <v/>
      </c>
      <c r="W980" s="5" t="n"/>
      <c r="X980" s="5" t="inlineStr">
        <is>
          <t>Labour + plant + material as published; reconciles to the published rate.</t>
        </is>
      </c>
    </row>
    <row r="981" ht="13" customHeight="1">
      <c r="A981" s="4" t="n">
        <v>1649</v>
      </c>
      <c r="B981" s="5" t="inlineStr">
        <is>
          <t>IMG_0087</t>
        </is>
      </c>
      <c r="C981" s="5" t="inlineStr">
        <is>
          <t>CLASS G: CONCRETE ANCILLARIES</t>
        </is>
      </c>
      <c r="D981" s="5" t="inlineStr">
        <is>
          <t>05 REINFORCEMENT</t>
        </is>
      </c>
      <c r="E981" s="5" t="inlineStr">
        <is>
          <t>Steel fabric to BS 4483</t>
        </is>
      </c>
      <c r="F981" s="5" t="inlineStr">
        <is>
          <t>nominal mass 5.55 kg/m2; ref C636</t>
        </is>
      </c>
      <c r="G981" s="6" t="inlineStr">
        <is>
          <t>m2</t>
        </is>
      </c>
      <c r="H981" s="7" t="n">
        <v>0.05</v>
      </c>
      <c r="I981" s="8" t="n">
        <v>8.43</v>
      </c>
      <c r="J981" s="8" t="n">
        <v>1.23</v>
      </c>
      <c r="K981" s="8" t="n">
        <v>16.04</v>
      </c>
      <c r="L981" s="8" t="n">
        <v>0</v>
      </c>
      <c r="M981" s="9">
        <f>ROUND(SUM(I981:L981),2)</f>
        <v/>
      </c>
      <c r="N981" s="10">
        <f>ROUND(I981*'Irish Basis'!$C$6*'Irish Basis'!$C$5,2)</f>
        <v/>
      </c>
      <c r="O981" s="10">
        <f>ROUND(J981*'Irish Basis'!$C$7*'Irish Basis'!$C$5,2)</f>
        <v/>
      </c>
      <c r="P981" s="10">
        <f>ROUND(K981*'Irish Basis'!$C$8*'Irish Basis'!$C$5,2)</f>
        <v/>
      </c>
      <c r="Q981" s="10">
        <f>ROUND(L981*'Irish Basis'!$C$12*'Irish Basis'!$C$5,2)</f>
        <v/>
      </c>
      <c r="R981" s="11">
        <f>ROUND(SUM(N981:Q981),2)</f>
        <v/>
      </c>
      <c r="S981" s="5" t="inlineStr">
        <is>
          <t>Stated build-up</t>
        </is>
      </c>
      <c r="T981" s="12" t="inlineStr">
        <is>
          <t>High</t>
        </is>
      </c>
      <c r="U981" s="8" t="n">
        <v>25.7</v>
      </c>
      <c r="V981" s="13">
        <f>IF(U981="","",ROUND(M981-U981,2))</f>
        <v/>
      </c>
      <c r="W981" s="5" t="n"/>
      <c r="X981" s="5" t="inlineStr">
        <is>
          <t>Labour + plant + material as published; reconciles to the published rate.</t>
        </is>
      </c>
    </row>
    <row r="982" ht="13" customHeight="1">
      <c r="A982" s="4" t="n">
        <v>1650</v>
      </c>
      <c r="B982" s="5" t="inlineStr">
        <is>
          <t>IMG_0087</t>
        </is>
      </c>
      <c r="C982" s="5" t="inlineStr">
        <is>
          <t>CLASS G: CONCRETE ANCILLARIES</t>
        </is>
      </c>
      <c r="D982" s="5" t="inlineStr">
        <is>
          <t>05 REINFORCEMENT</t>
        </is>
      </c>
      <c r="E982" s="5" t="inlineStr">
        <is>
          <t>Steel fabric to BS 4483</t>
        </is>
      </c>
      <c r="F982" s="5" t="inlineStr">
        <is>
          <t>nominal mass 5.93 kg/m2; ref B503</t>
        </is>
      </c>
      <c r="G982" s="6" t="inlineStr">
        <is>
          <t>m2</t>
        </is>
      </c>
      <c r="H982" s="7" t="n">
        <v>0.05</v>
      </c>
      <c r="I982" s="8" t="n">
        <v>8.43</v>
      </c>
      <c r="J982" s="8" t="n">
        <v>1.23</v>
      </c>
      <c r="K982" s="8" t="n">
        <v>19.35</v>
      </c>
      <c r="L982" s="8" t="n">
        <v>0</v>
      </c>
      <c r="M982" s="9">
        <f>ROUND(SUM(I982:L982),2)</f>
        <v/>
      </c>
      <c r="N982" s="10">
        <f>ROUND(I982*'Irish Basis'!$C$6*'Irish Basis'!$C$5,2)</f>
        <v/>
      </c>
      <c r="O982" s="10">
        <f>ROUND(J982*'Irish Basis'!$C$7*'Irish Basis'!$C$5,2)</f>
        <v/>
      </c>
      <c r="P982" s="10">
        <f>ROUND(K982*'Irish Basis'!$C$8*'Irish Basis'!$C$5,2)</f>
        <v/>
      </c>
      <c r="Q982" s="10">
        <f>ROUND(L982*'Irish Basis'!$C$12*'Irish Basis'!$C$5,2)</f>
        <v/>
      </c>
      <c r="R982" s="11">
        <f>ROUND(SUM(N982:Q982),2)</f>
        <v/>
      </c>
      <c r="S982" s="5" t="inlineStr">
        <is>
          <t>Stated build-up</t>
        </is>
      </c>
      <c r="T982" s="12" t="inlineStr">
        <is>
          <t>High</t>
        </is>
      </c>
      <c r="U982" s="8" t="n">
        <v>29.01</v>
      </c>
      <c r="V982" s="13">
        <f>IF(U982="","",ROUND(M982-U982,2))</f>
        <v/>
      </c>
      <c r="W982" s="5" t="n"/>
      <c r="X982" s="5" t="inlineStr">
        <is>
          <t>Labour + plant + material as published; reconciles to the published rate.</t>
        </is>
      </c>
    </row>
    <row r="983" ht="13" customHeight="1">
      <c r="A983" s="4" t="n">
        <v>1651</v>
      </c>
      <c r="B983" s="5" t="inlineStr">
        <is>
          <t>IMG_0087</t>
        </is>
      </c>
      <c r="C983" s="5" t="inlineStr">
        <is>
          <t>CLASS G: CONCRETE ANCILLARIES</t>
        </is>
      </c>
      <c r="D983" s="5" t="inlineStr">
        <is>
          <t>05 REINFORCEMENT</t>
        </is>
      </c>
      <c r="E983" s="5" t="inlineStr">
        <is>
          <t>Steel fabric to BS 4483</t>
        </is>
      </c>
      <c r="F983" s="5" t="inlineStr">
        <is>
          <t>nominal mass 6.16 kg/m2; ref A393</t>
        </is>
      </c>
      <c r="G983" s="6" t="inlineStr">
        <is>
          <t>m2</t>
        </is>
      </c>
      <c r="H983" s="7" t="n">
        <v>0.07000000000000001</v>
      </c>
      <c r="I983" s="8" t="n">
        <v>11.8</v>
      </c>
      <c r="J983" s="8" t="n">
        <v>1.71</v>
      </c>
      <c r="K983" s="8" t="n">
        <v>14.21</v>
      </c>
      <c r="L983" s="8" t="n">
        <v>0</v>
      </c>
      <c r="M983" s="9">
        <f>ROUND(SUM(I983:L983),2)</f>
        <v/>
      </c>
      <c r="N983" s="10">
        <f>ROUND(I983*'Irish Basis'!$C$6*'Irish Basis'!$C$5,2)</f>
        <v/>
      </c>
      <c r="O983" s="10">
        <f>ROUND(J983*'Irish Basis'!$C$7*'Irish Basis'!$C$5,2)</f>
        <v/>
      </c>
      <c r="P983" s="10">
        <f>ROUND(K983*'Irish Basis'!$C$8*'Irish Basis'!$C$5,2)</f>
        <v/>
      </c>
      <c r="Q983" s="10">
        <f>ROUND(L983*'Irish Basis'!$C$12*'Irish Basis'!$C$5,2)</f>
        <v/>
      </c>
      <c r="R983" s="11">
        <f>ROUND(SUM(N983:Q983),2)</f>
        <v/>
      </c>
      <c r="S983" s="5" t="inlineStr">
        <is>
          <t>Stated build-up</t>
        </is>
      </c>
      <c r="T983" s="12" t="inlineStr">
        <is>
          <t>High</t>
        </is>
      </c>
      <c r="U983" s="8" t="n">
        <v>27.72</v>
      </c>
      <c r="V983" s="13">
        <f>IF(U983="","",ROUND(M983-U983,2))</f>
        <v/>
      </c>
      <c r="W983" s="5" t="n"/>
      <c r="X983" s="5" t="inlineStr">
        <is>
          <t>Labour + plant + material as published; reconciles to the published rate.</t>
        </is>
      </c>
    </row>
    <row r="984" ht="13" customHeight="1">
      <c r="A984" s="4" t="n">
        <v>1652</v>
      </c>
      <c r="B984" s="5" t="inlineStr">
        <is>
          <t>IMG_0087</t>
        </is>
      </c>
      <c r="C984" s="5" t="inlineStr">
        <is>
          <t>CLASS G: CONCRETE ANCILLARIES</t>
        </is>
      </c>
      <c r="D984" s="5" t="inlineStr">
        <is>
          <t>05 REINFORCEMENT</t>
        </is>
      </c>
      <c r="E984" s="5" t="inlineStr">
        <is>
          <t>Steel fabric to BS 4483</t>
        </is>
      </c>
      <c r="F984" s="5" t="inlineStr">
        <is>
          <t>nominal mass 6.72 kg/m2; ref C785</t>
        </is>
      </c>
      <c r="G984" s="6" t="inlineStr">
        <is>
          <t>m2</t>
        </is>
      </c>
      <c r="H984" s="7" t="n">
        <v>0.07000000000000001</v>
      </c>
      <c r="I984" s="8" t="n">
        <v>11.8</v>
      </c>
      <c r="J984" s="8" t="n">
        <v>1.71</v>
      </c>
      <c r="K984" s="8" t="n">
        <v>18.19</v>
      </c>
      <c r="L984" s="8" t="n">
        <v>0</v>
      </c>
      <c r="M984" s="9">
        <f>ROUND(SUM(I984:L984),2)</f>
        <v/>
      </c>
      <c r="N984" s="10">
        <f>ROUND(I984*'Irish Basis'!$C$6*'Irish Basis'!$C$5,2)</f>
        <v/>
      </c>
      <c r="O984" s="10">
        <f>ROUND(J984*'Irish Basis'!$C$7*'Irish Basis'!$C$5,2)</f>
        <v/>
      </c>
      <c r="P984" s="10">
        <f>ROUND(K984*'Irish Basis'!$C$8*'Irish Basis'!$C$5,2)</f>
        <v/>
      </c>
      <c r="Q984" s="10">
        <f>ROUND(L984*'Irish Basis'!$C$12*'Irish Basis'!$C$5,2)</f>
        <v/>
      </c>
      <c r="R984" s="11">
        <f>ROUND(SUM(N984:Q984),2)</f>
        <v/>
      </c>
      <c r="S984" s="5" t="inlineStr">
        <is>
          <t>Stated build-up</t>
        </is>
      </c>
      <c r="T984" s="12" t="inlineStr">
        <is>
          <t>High</t>
        </is>
      </c>
      <c r="U984" s="8" t="n">
        <v>31.7</v>
      </c>
      <c r="V984" s="13">
        <f>IF(U984="","",ROUND(M984-U984,2))</f>
        <v/>
      </c>
      <c r="W984" s="5" t="n"/>
      <c r="X984" s="5" t="inlineStr">
        <is>
          <t>Labour + plant + material as published; reconciles to the published rate.</t>
        </is>
      </c>
    </row>
    <row r="985" ht="13" customHeight="1">
      <c r="A985" s="4" t="n">
        <v>1653</v>
      </c>
      <c r="B985" s="5" t="inlineStr">
        <is>
          <t>IMG_0087</t>
        </is>
      </c>
      <c r="C985" s="5" t="inlineStr">
        <is>
          <t>CLASS G: CONCRETE ANCILLARIES</t>
        </is>
      </c>
      <c r="D985" s="5" t="inlineStr">
        <is>
          <t>05 REINFORCEMENT</t>
        </is>
      </c>
      <c r="E985" s="5" t="inlineStr">
        <is>
          <t>Steel fabric to BS 4483</t>
        </is>
      </c>
      <c r="F985" s="5" t="inlineStr">
        <is>
          <t>nominal mass 8.14 kg/m2; ref B785</t>
        </is>
      </c>
      <c r="G985" s="6" t="inlineStr">
        <is>
          <t>m2</t>
        </is>
      </c>
      <c r="H985" s="7" t="n">
        <v>0.08</v>
      </c>
      <c r="I985" s="8" t="n">
        <v>13.49</v>
      </c>
      <c r="J985" s="8" t="n">
        <v>1.94</v>
      </c>
      <c r="K985" s="8" t="n">
        <v>25.01</v>
      </c>
      <c r="L985" s="8" t="n">
        <v>0</v>
      </c>
      <c r="M985" s="9">
        <f>ROUND(SUM(I985:L985),2)</f>
        <v/>
      </c>
      <c r="N985" s="10">
        <f>ROUND(I985*'Irish Basis'!$C$6*'Irish Basis'!$C$5,2)</f>
        <v/>
      </c>
      <c r="O985" s="10">
        <f>ROUND(J985*'Irish Basis'!$C$7*'Irish Basis'!$C$5,2)</f>
        <v/>
      </c>
      <c r="P985" s="10">
        <f>ROUND(K985*'Irish Basis'!$C$8*'Irish Basis'!$C$5,2)</f>
        <v/>
      </c>
      <c r="Q985" s="10">
        <f>ROUND(L985*'Irish Basis'!$C$12*'Irish Basis'!$C$5,2)</f>
        <v/>
      </c>
      <c r="R985" s="11">
        <f>ROUND(SUM(N985:Q985),2)</f>
        <v/>
      </c>
      <c r="S985" s="5" t="inlineStr">
        <is>
          <t>Stated build-up</t>
        </is>
      </c>
      <c r="T985" s="12" t="inlineStr">
        <is>
          <t>High</t>
        </is>
      </c>
      <c r="U985" s="8" t="n">
        <v>40.44</v>
      </c>
      <c r="V985" s="13">
        <f>IF(U985="","",ROUND(M985-U985,2))</f>
        <v/>
      </c>
      <c r="W985" s="5" t="n"/>
      <c r="X985" s="5" t="inlineStr">
        <is>
          <t>Labour + plant + material as published; reconciles to the published rate.</t>
        </is>
      </c>
    </row>
    <row r="986" ht="13" customHeight="1">
      <c r="A986" s="4" t="n">
        <v>1654</v>
      </c>
      <c r="B986" s="5" t="inlineStr">
        <is>
          <t>IMG_0087</t>
        </is>
      </c>
      <c r="C986" s="5" t="inlineStr">
        <is>
          <t>CLASS G: CONCRETE ANCILLARIES</t>
        </is>
      </c>
      <c r="D986" s="5" t="inlineStr">
        <is>
          <t>05 REINFORCEMENT</t>
        </is>
      </c>
      <c r="E986" s="5" t="inlineStr">
        <is>
          <t>Steel fabric to BS 4483</t>
        </is>
      </c>
      <c r="F986" s="5" t="inlineStr">
        <is>
          <t>nominal mass 10.90 kg/m2; ref B1131</t>
        </is>
      </c>
      <c r="G986" s="6" t="inlineStr">
        <is>
          <t>m2</t>
        </is>
      </c>
      <c r="H986" s="7" t="n">
        <v>0.09</v>
      </c>
      <c r="I986" s="8" t="n">
        <v>15.17</v>
      </c>
      <c r="J986" s="8" t="n">
        <v>2.17</v>
      </c>
      <c r="K986" s="8" t="n">
        <v>32.91</v>
      </c>
      <c r="L986" s="8" t="n">
        <v>0</v>
      </c>
      <c r="M986" s="9">
        <f>ROUND(SUM(I986:L986),2)</f>
        <v/>
      </c>
      <c r="N986" s="10">
        <f>ROUND(I986*'Irish Basis'!$C$6*'Irish Basis'!$C$5,2)</f>
        <v/>
      </c>
      <c r="O986" s="10">
        <f>ROUND(J986*'Irish Basis'!$C$7*'Irish Basis'!$C$5,2)</f>
        <v/>
      </c>
      <c r="P986" s="10">
        <f>ROUND(K986*'Irish Basis'!$C$8*'Irish Basis'!$C$5,2)</f>
        <v/>
      </c>
      <c r="Q986" s="10">
        <f>ROUND(L986*'Irish Basis'!$C$12*'Irish Basis'!$C$5,2)</f>
        <v/>
      </c>
      <c r="R986" s="11">
        <f>ROUND(SUM(N986:Q986),2)</f>
        <v/>
      </c>
      <c r="S986" s="5" t="inlineStr">
        <is>
          <t>Stated build-up</t>
        </is>
      </c>
      <c r="T986" s="12" t="inlineStr">
        <is>
          <t>High</t>
        </is>
      </c>
      <c r="U986" s="8" t="n">
        <v>50.26</v>
      </c>
      <c r="V986" s="13">
        <f>IF(U986="","",ROUND(M986-U986,2))</f>
        <v/>
      </c>
      <c r="W986" s="5" t="n"/>
      <c r="X986" s="5" t="inlineStr">
        <is>
          <t>Labour + plant + material as published; reconciles to the published rate.</t>
        </is>
      </c>
    </row>
    <row r="987" ht="13" customHeight="1">
      <c r="A987" s="4" t="n">
        <v>1657</v>
      </c>
      <c r="B987" s="5" t="inlineStr">
        <is>
          <t>IMG_0087</t>
        </is>
      </c>
      <c r="C987" s="5" t="inlineStr">
        <is>
          <t>CLASS G: CONCRETE ANCILLARIES</t>
        </is>
      </c>
      <c r="D987" s="5" t="inlineStr">
        <is>
          <t>06 JOINTS</t>
        </is>
      </c>
      <c r="E987" s="5" t="inlineStr">
        <is>
          <t>Joint Filler; Open surface plain; average width</t>
        </is>
      </c>
      <c r="F987" s="5" t="inlineStr">
        <is>
          <t>ne 0.5 m; scabbling concrete for subsequent pour</t>
        </is>
      </c>
      <c r="G987" s="6" t="inlineStr">
        <is>
          <t>m2</t>
        </is>
      </c>
      <c r="H987" s="7" t="n">
        <v>0.04</v>
      </c>
      <c r="I987" s="8" t="n">
        <v>3.01</v>
      </c>
      <c r="J987" s="8" t="n">
        <v>3.39</v>
      </c>
      <c r="K987" s="8" t="n">
        <v>0</v>
      </c>
      <c r="L987" s="8" t="n">
        <v>0</v>
      </c>
      <c r="M987" s="9">
        <f>ROUND(SUM(I987:L987),2)</f>
        <v/>
      </c>
      <c r="N987" s="10">
        <f>ROUND(I987*'Irish Basis'!$C$6*'Irish Basis'!$C$5,2)</f>
        <v/>
      </c>
      <c r="O987" s="10">
        <f>ROUND(J987*'Irish Basis'!$C$7*'Irish Basis'!$C$5,2)</f>
        <v/>
      </c>
      <c r="P987" s="10">
        <f>ROUND(K987*'Irish Basis'!$C$8*'Irish Basis'!$C$5,2)</f>
        <v/>
      </c>
      <c r="Q987" s="10">
        <f>ROUND(L987*'Irish Basis'!$C$12*'Irish Basis'!$C$5,2)</f>
        <v/>
      </c>
      <c r="R987" s="11">
        <f>ROUND(SUM(N987:Q987),2)</f>
        <v/>
      </c>
      <c r="S987" s="5" t="inlineStr">
        <is>
          <t>Stated build-up</t>
        </is>
      </c>
      <c r="T987" s="12" t="inlineStr">
        <is>
          <t>High</t>
        </is>
      </c>
      <c r="U987" s="8" t="n">
        <v>6.41</v>
      </c>
      <c r="V987" s="13">
        <f>IF(U987="","",ROUND(M987-U987,2))</f>
        <v/>
      </c>
      <c r="W987" s="5" t="n"/>
      <c r="X987" s="5" t="inlineStr">
        <is>
          <t>Labour + plant + material as published; reconciles to the published rate.</t>
        </is>
      </c>
    </row>
    <row r="988" ht="13" customHeight="1">
      <c r="A988" s="4" t="n">
        <v>1658</v>
      </c>
      <c r="B988" s="5" t="inlineStr">
        <is>
          <t>IMG_0087</t>
        </is>
      </c>
      <c r="C988" s="5" t="inlineStr">
        <is>
          <t>CLASS G: CONCRETE ANCILLARIES</t>
        </is>
      </c>
      <c r="D988" s="5" t="inlineStr">
        <is>
          <t>06 JOINTS</t>
        </is>
      </c>
      <c r="E988" s="5" t="inlineStr">
        <is>
          <t>Joint Filler; Open surface plain; average width</t>
        </is>
      </c>
      <c r="F988" s="5" t="inlineStr">
        <is>
          <t>0.5-1 m; scabbling concrete for subsequent pour</t>
        </is>
      </c>
      <c r="G988" s="6" t="inlineStr">
        <is>
          <t>m2</t>
        </is>
      </c>
      <c r="H988" s="7" t="n">
        <v>0.03</v>
      </c>
      <c r="I988" s="8" t="n">
        <v>2.26</v>
      </c>
      <c r="J988" s="8" t="n">
        <v>2.61</v>
      </c>
      <c r="K988" s="8" t="n">
        <v>0</v>
      </c>
      <c r="L988" s="8" t="n">
        <v>0</v>
      </c>
      <c r="M988" s="9">
        <f>ROUND(SUM(I988:L988),2)</f>
        <v/>
      </c>
      <c r="N988" s="10">
        <f>ROUND(I988*'Irish Basis'!$C$6*'Irish Basis'!$C$5,2)</f>
        <v/>
      </c>
      <c r="O988" s="10">
        <f>ROUND(J988*'Irish Basis'!$C$7*'Irish Basis'!$C$5,2)</f>
        <v/>
      </c>
      <c r="P988" s="10">
        <f>ROUND(K988*'Irish Basis'!$C$8*'Irish Basis'!$C$5,2)</f>
        <v/>
      </c>
      <c r="Q988" s="10">
        <f>ROUND(L988*'Irish Basis'!$C$12*'Irish Basis'!$C$5,2)</f>
        <v/>
      </c>
      <c r="R988" s="11">
        <f>ROUND(SUM(N988:Q988),2)</f>
        <v/>
      </c>
      <c r="S988" s="5" t="inlineStr">
        <is>
          <t>Stated build-up</t>
        </is>
      </c>
      <c r="T988" s="12" t="inlineStr">
        <is>
          <t>High</t>
        </is>
      </c>
      <c r="U988" s="8" t="n">
        <v>4.87</v>
      </c>
      <c r="V988" s="13">
        <f>IF(U988="","",ROUND(M988-U988,2))</f>
        <v/>
      </c>
      <c r="W988" s="5" t="n"/>
      <c r="X988" s="5" t="inlineStr">
        <is>
          <t>Labour + plant + material as published; reconciles to the published rate.</t>
        </is>
      </c>
    </row>
    <row r="989" ht="13" customHeight="1">
      <c r="A989" s="4" t="n">
        <v>1660</v>
      </c>
      <c r="B989" s="5" t="inlineStr">
        <is>
          <t>IMG_0087</t>
        </is>
      </c>
      <c r="C989" s="5" t="inlineStr">
        <is>
          <t>CLASS G: CONCRETE ANCILLARIES</t>
        </is>
      </c>
      <c r="D989" s="5" t="inlineStr">
        <is>
          <t>06 JOINTS</t>
        </is>
      </c>
      <c r="E989" s="5" t="inlineStr">
        <is>
          <t>Open surface with filler; average width</t>
        </is>
      </c>
      <c r="F989" s="5" t="inlineStr">
        <is>
          <t>ne 0.5 m; 12 mm Flexcell joint filler</t>
        </is>
      </c>
      <c r="G989" s="6" t="inlineStr">
        <is>
          <t>m2</t>
        </is>
      </c>
      <c r="H989" s="7" t="n">
        <v>0.04</v>
      </c>
      <c r="I989" s="8" t="n">
        <v>3.01</v>
      </c>
      <c r="J989" s="8" t="n">
        <v>3.39</v>
      </c>
      <c r="K989" s="8" t="n">
        <v>13.85</v>
      </c>
      <c r="L989" s="8" t="n">
        <v>0</v>
      </c>
      <c r="M989" s="9">
        <f>ROUND(SUM(I989:L989),2)</f>
        <v/>
      </c>
      <c r="N989" s="10">
        <f>ROUND(I989*'Irish Basis'!$C$6*'Irish Basis'!$C$5,2)</f>
        <v/>
      </c>
      <c r="O989" s="10">
        <f>ROUND(J989*'Irish Basis'!$C$7*'Irish Basis'!$C$5,2)</f>
        <v/>
      </c>
      <c r="P989" s="10">
        <f>ROUND(K989*'Irish Basis'!$C$8*'Irish Basis'!$C$5,2)</f>
        <v/>
      </c>
      <c r="Q989" s="10">
        <f>ROUND(L989*'Irish Basis'!$C$12*'Irish Basis'!$C$5,2)</f>
        <v/>
      </c>
      <c r="R989" s="11">
        <f>ROUND(SUM(N989:Q989),2)</f>
        <v/>
      </c>
      <c r="S989" s="5" t="inlineStr">
        <is>
          <t>Stated build-up</t>
        </is>
      </c>
      <c r="T989" s="12" t="inlineStr">
        <is>
          <t>High</t>
        </is>
      </c>
      <c r="U989" s="8" t="n">
        <v>20.26</v>
      </c>
      <c r="V989" s="13">
        <f>IF(U989="","",ROUND(M989-U989,2))</f>
        <v/>
      </c>
      <c r="W989" s="5" t="n"/>
      <c r="X989" s="5" t="inlineStr">
        <is>
          <t>Labour + plant + material as published; reconciles to the published rate.</t>
        </is>
      </c>
    </row>
    <row r="990" ht="13" customHeight="1">
      <c r="A990" s="4" t="n">
        <v>1661</v>
      </c>
      <c r="B990" s="5" t="inlineStr">
        <is>
          <t>IMG_0087</t>
        </is>
      </c>
      <c r="C990" s="5" t="inlineStr">
        <is>
          <t>CLASS G: CONCRETE ANCILLARIES</t>
        </is>
      </c>
      <c r="D990" s="5" t="inlineStr">
        <is>
          <t>06 JOINTS</t>
        </is>
      </c>
      <c r="E990" s="5" t="inlineStr">
        <is>
          <t>Open surface with filler; average width</t>
        </is>
      </c>
      <c r="F990" s="5" t="inlineStr">
        <is>
          <t>0.5-1 m; 12 mm Flexcell joint filler</t>
        </is>
      </c>
      <c r="G990" s="6" t="inlineStr">
        <is>
          <t>m2</t>
        </is>
      </c>
      <c r="H990" s="7" t="n">
        <v>0.04</v>
      </c>
      <c r="I990" s="8" t="n">
        <v>3.01</v>
      </c>
      <c r="J990" s="8" t="n">
        <v>3.39</v>
      </c>
      <c r="K990" s="8" t="n">
        <v>13.85</v>
      </c>
      <c r="L990" s="8" t="n">
        <v>0</v>
      </c>
      <c r="M990" s="9">
        <f>ROUND(SUM(I990:L990),2)</f>
        <v/>
      </c>
      <c r="N990" s="10">
        <f>ROUND(I990*'Irish Basis'!$C$6*'Irish Basis'!$C$5,2)</f>
        <v/>
      </c>
      <c r="O990" s="10">
        <f>ROUND(J990*'Irish Basis'!$C$7*'Irish Basis'!$C$5,2)</f>
        <v/>
      </c>
      <c r="P990" s="10">
        <f>ROUND(K990*'Irish Basis'!$C$8*'Irish Basis'!$C$5,2)</f>
        <v/>
      </c>
      <c r="Q990" s="10">
        <f>ROUND(L990*'Irish Basis'!$C$12*'Irish Basis'!$C$5,2)</f>
        <v/>
      </c>
      <c r="R990" s="11">
        <f>ROUND(SUM(N990:Q990),2)</f>
        <v/>
      </c>
      <c r="S990" s="5" t="inlineStr">
        <is>
          <t>Stated build-up</t>
        </is>
      </c>
      <c r="T990" s="12" t="inlineStr">
        <is>
          <t>High</t>
        </is>
      </c>
      <c r="U990" s="8" t="n">
        <v>20.26</v>
      </c>
      <c r="V990" s="13">
        <f>IF(U990="","",ROUND(M990-U990,2))</f>
        <v/>
      </c>
      <c r="W990" s="5" t="n"/>
      <c r="X990" s="5" t="inlineStr">
        <is>
          <t>Labour + plant + material as published; reconciles to the published rate.</t>
        </is>
      </c>
    </row>
    <row r="991" ht="13" customHeight="1">
      <c r="A991" s="4" t="n">
        <v>1662</v>
      </c>
      <c r="B991" s="5" t="inlineStr">
        <is>
          <t>IMG_0087</t>
        </is>
      </c>
      <c r="C991" s="5" t="inlineStr">
        <is>
          <t>CLASS G: CONCRETE ANCILLARIES</t>
        </is>
      </c>
      <c r="D991" s="5" t="inlineStr">
        <is>
          <t>06 JOINTS</t>
        </is>
      </c>
      <c r="E991" s="5" t="inlineStr">
        <is>
          <t>Open surface with filler; average width</t>
        </is>
      </c>
      <c r="F991" s="5" t="inlineStr">
        <is>
          <t>ne 0.5 m; 19 mm Flexcell joint filler</t>
        </is>
      </c>
      <c r="G991" s="6" t="inlineStr">
        <is>
          <t>m2</t>
        </is>
      </c>
      <c r="H991" s="7" t="n">
        <v>0.05</v>
      </c>
      <c r="I991" s="8" t="n">
        <v>3.77</v>
      </c>
      <c r="J991" s="8" t="n">
        <v>4.19</v>
      </c>
      <c r="K991" s="8" t="n">
        <v>23.19</v>
      </c>
      <c r="L991" s="8" t="n">
        <v>0</v>
      </c>
      <c r="M991" s="9">
        <f>ROUND(SUM(I991:L991),2)</f>
        <v/>
      </c>
      <c r="N991" s="10">
        <f>ROUND(I991*'Irish Basis'!$C$6*'Irish Basis'!$C$5,2)</f>
        <v/>
      </c>
      <c r="O991" s="10">
        <f>ROUND(J991*'Irish Basis'!$C$7*'Irish Basis'!$C$5,2)</f>
        <v/>
      </c>
      <c r="P991" s="10">
        <f>ROUND(K991*'Irish Basis'!$C$8*'Irish Basis'!$C$5,2)</f>
        <v/>
      </c>
      <c r="Q991" s="10">
        <f>ROUND(L991*'Irish Basis'!$C$12*'Irish Basis'!$C$5,2)</f>
        <v/>
      </c>
      <c r="R991" s="11">
        <f>ROUND(SUM(N991:Q991),2)</f>
        <v/>
      </c>
      <c r="S991" s="5" t="inlineStr">
        <is>
          <t>Stated build-up</t>
        </is>
      </c>
      <c r="T991" s="12" t="inlineStr">
        <is>
          <t>High</t>
        </is>
      </c>
      <c r="U991" s="8" t="n">
        <v>31.14</v>
      </c>
      <c r="V991" s="13">
        <f>IF(U991="","",ROUND(M991-U991,2))</f>
        <v/>
      </c>
      <c r="W991" s="5" t="n"/>
      <c r="X991" s="5" t="inlineStr">
        <is>
          <t>Labour + plant + material as published; reconciles to the published rate.</t>
        </is>
      </c>
    </row>
    <row r="992" ht="13" customHeight="1">
      <c r="A992" s="4" t="n">
        <v>1663</v>
      </c>
      <c r="B992" s="5" t="inlineStr">
        <is>
          <t>IMG_0087</t>
        </is>
      </c>
      <c r="C992" s="5" t="inlineStr">
        <is>
          <t>CLASS G: CONCRETE ANCILLARIES</t>
        </is>
      </c>
      <c r="D992" s="5" t="inlineStr">
        <is>
          <t>06 JOINTS</t>
        </is>
      </c>
      <c r="E992" s="5" t="inlineStr">
        <is>
          <t>Open surface with filler; average width</t>
        </is>
      </c>
      <c r="F992" s="5" t="inlineStr">
        <is>
          <t>0.5-1 m; 19 mm Flexcell joint filler</t>
        </is>
      </c>
      <c r="G992" s="6" t="inlineStr">
        <is>
          <t>m2</t>
        </is>
      </c>
      <c r="H992" s="7" t="n">
        <v>0.05</v>
      </c>
      <c r="I992" s="8" t="n">
        <v>3.77</v>
      </c>
      <c r="J992" s="8" t="n">
        <v>4.19</v>
      </c>
      <c r="K992" s="8" t="n">
        <v>23.19</v>
      </c>
      <c r="L992" s="8" t="n">
        <v>0</v>
      </c>
      <c r="M992" s="9">
        <f>ROUND(SUM(I992:L992),2)</f>
        <v/>
      </c>
      <c r="N992" s="10">
        <f>ROUND(I992*'Irish Basis'!$C$6*'Irish Basis'!$C$5,2)</f>
        <v/>
      </c>
      <c r="O992" s="10">
        <f>ROUND(J992*'Irish Basis'!$C$7*'Irish Basis'!$C$5,2)</f>
        <v/>
      </c>
      <c r="P992" s="10">
        <f>ROUND(K992*'Irish Basis'!$C$8*'Irish Basis'!$C$5,2)</f>
        <v/>
      </c>
      <c r="Q992" s="10">
        <f>ROUND(L992*'Irish Basis'!$C$12*'Irish Basis'!$C$5,2)</f>
        <v/>
      </c>
      <c r="R992" s="11">
        <f>ROUND(SUM(N992:Q992),2)</f>
        <v/>
      </c>
      <c r="S992" s="5" t="inlineStr">
        <is>
          <t>Stated build-up</t>
        </is>
      </c>
      <c r="T992" s="12" t="inlineStr">
        <is>
          <t>High</t>
        </is>
      </c>
      <c r="U992" s="8" t="n">
        <v>31.14</v>
      </c>
      <c r="V992" s="13">
        <f>IF(U992="","",ROUND(M992-U992,2))</f>
        <v/>
      </c>
      <c r="W992" s="5" t="n"/>
      <c r="X992" s="5" t="inlineStr">
        <is>
          <t>Labour + plant + material as published; reconciles to the published rate.</t>
        </is>
      </c>
    </row>
    <row r="993" ht="13" customHeight="1">
      <c r="A993" s="4" t="n">
        <v>1665</v>
      </c>
      <c r="B993" s="5" t="inlineStr">
        <is>
          <t>IMG_0087</t>
        </is>
      </c>
      <c r="C993" s="5" t="inlineStr">
        <is>
          <t>CLASS G: CONCRETE ANCILLARIES</t>
        </is>
      </c>
      <c r="D993" s="5" t="inlineStr">
        <is>
          <t>06 JOINTS</t>
        </is>
      </c>
      <c r="E993" s="5" t="inlineStr">
        <is>
          <t>Formed surface plain; average width (including formwork)</t>
        </is>
      </c>
      <c r="F993" s="5" t="inlineStr">
        <is>
          <t>ne 0.5 m</t>
        </is>
      </c>
      <c r="G993" s="6" t="inlineStr">
        <is>
          <t>m2</t>
        </is>
      </c>
      <c r="H993" s="7" t="n">
        <v>0.24</v>
      </c>
      <c r="I993" s="8" t="n">
        <v>18.09</v>
      </c>
      <c r="J993" s="8" t="n">
        <v>20.36</v>
      </c>
      <c r="K993" s="8" t="n">
        <v>23.84</v>
      </c>
      <c r="L993" s="8" t="n">
        <v>0</v>
      </c>
      <c r="M993" s="9">
        <f>ROUND(SUM(I993:L993),2)</f>
        <v/>
      </c>
      <c r="N993" s="10">
        <f>ROUND(I993*'Irish Basis'!$C$6*'Irish Basis'!$C$5,2)</f>
        <v/>
      </c>
      <c r="O993" s="10">
        <f>ROUND(J993*'Irish Basis'!$C$7*'Irish Basis'!$C$5,2)</f>
        <v/>
      </c>
      <c r="P993" s="10">
        <f>ROUND(K993*'Irish Basis'!$C$8*'Irish Basis'!$C$5,2)</f>
        <v/>
      </c>
      <c r="Q993" s="10">
        <f>ROUND(L993*'Irish Basis'!$C$12*'Irish Basis'!$C$5,2)</f>
        <v/>
      </c>
      <c r="R993" s="11">
        <f>ROUND(SUM(N993:Q993),2)</f>
        <v/>
      </c>
      <c r="S993" s="5" t="inlineStr">
        <is>
          <t>Stated build-up</t>
        </is>
      </c>
      <c r="T993" s="12" t="inlineStr">
        <is>
          <t>High</t>
        </is>
      </c>
      <c r="U993" s="8" t="n">
        <v>62.29</v>
      </c>
      <c r="V993" s="13">
        <f>IF(U993="","",ROUND(M993-U993,2))</f>
        <v/>
      </c>
      <c r="W993" s="5" t="n"/>
      <c r="X993" s="5" t="inlineStr">
        <is>
          <t>Labour + plant + material as published; reconciles to the published rate.</t>
        </is>
      </c>
    </row>
    <row r="994" ht="13" customHeight="1">
      <c r="A994" s="4" t="n">
        <v>1666</v>
      </c>
      <c r="B994" s="5" t="inlineStr">
        <is>
          <t>IMG_0087</t>
        </is>
      </c>
      <c r="C994" s="5" t="inlineStr">
        <is>
          <t>CLASS G: CONCRETE ANCILLARIES</t>
        </is>
      </c>
      <c r="D994" s="5" t="inlineStr">
        <is>
          <t>06 JOINTS</t>
        </is>
      </c>
      <c r="E994" s="5" t="inlineStr">
        <is>
          <t>Formed surface plain; average width (including formwork)</t>
        </is>
      </c>
      <c r="F994" s="5" t="inlineStr">
        <is>
          <t>0.5-1.0 m</t>
        </is>
      </c>
      <c r="G994" s="6" t="inlineStr">
        <is>
          <t>m2</t>
        </is>
      </c>
      <c r="H994" s="7" t="n">
        <v>0.24</v>
      </c>
      <c r="I994" s="8" t="n">
        <v>18.09</v>
      </c>
      <c r="J994" s="8" t="n">
        <v>20.36</v>
      </c>
      <c r="K994" s="8" t="n">
        <v>23.84</v>
      </c>
      <c r="L994" s="8" t="n">
        <v>0</v>
      </c>
      <c r="M994" s="9">
        <f>ROUND(SUM(I994:L994),2)</f>
        <v/>
      </c>
      <c r="N994" s="10">
        <f>ROUND(I994*'Irish Basis'!$C$6*'Irish Basis'!$C$5,2)</f>
        <v/>
      </c>
      <c r="O994" s="10">
        <f>ROUND(J994*'Irish Basis'!$C$7*'Irish Basis'!$C$5,2)</f>
        <v/>
      </c>
      <c r="P994" s="10">
        <f>ROUND(K994*'Irish Basis'!$C$8*'Irish Basis'!$C$5,2)</f>
        <v/>
      </c>
      <c r="Q994" s="10">
        <f>ROUND(L994*'Irish Basis'!$C$12*'Irish Basis'!$C$5,2)</f>
        <v/>
      </c>
      <c r="R994" s="11">
        <f>ROUND(SUM(N994:Q994),2)</f>
        <v/>
      </c>
      <c r="S994" s="5" t="inlineStr">
        <is>
          <t>Stated build-up</t>
        </is>
      </c>
      <c r="T994" s="12" t="inlineStr">
        <is>
          <t>High</t>
        </is>
      </c>
      <c r="U994" s="8" t="n">
        <v>62.29</v>
      </c>
      <c r="V994" s="13">
        <f>IF(U994="","",ROUND(M994-U994,2))</f>
        <v/>
      </c>
      <c r="W994" s="5" t="n"/>
      <c r="X994" s="5" t="inlineStr">
        <is>
          <t>Labour + plant + material as published; reconciles to the published rate.</t>
        </is>
      </c>
    </row>
    <row r="995" ht="13" customHeight="1">
      <c r="A995" s="4" t="n">
        <v>1668</v>
      </c>
      <c r="B995" s="5" t="inlineStr">
        <is>
          <t>IMG_0087</t>
        </is>
      </c>
      <c r="C995" s="5" t="inlineStr">
        <is>
          <t>CLASS G: CONCRETE ANCILLARIES</t>
        </is>
      </c>
      <c r="D995" s="5" t="inlineStr">
        <is>
          <t>06 JOINTS</t>
        </is>
      </c>
      <c r="E995" s="5" t="inlineStr">
        <is>
          <t>Formed surface with filler; average width</t>
        </is>
      </c>
      <c r="F995" s="5" t="inlineStr">
        <is>
          <t>ne 0.5 m; 10 mm Flexcell joint filler</t>
        </is>
      </c>
      <c r="G995" s="6" t="inlineStr">
        <is>
          <t>m2</t>
        </is>
      </c>
      <c r="H995" s="7" t="n">
        <v>0.4</v>
      </c>
      <c r="I995" s="8" t="n">
        <v>30.15</v>
      </c>
      <c r="J995" s="8" t="n">
        <v>25.34</v>
      </c>
      <c r="K995" s="8" t="n">
        <v>37.69</v>
      </c>
      <c r="L995" s="8" t="n">
        <v>0</v>
      </c>
      <c r="M995" s="9">
        <f>ROUND(SUM(I995:L995),2)</f>
        <v/>
      </c>
      <c r="N995" s="10">
        <f>ROUND(I995*'Irish Basis'!$C$6*'Irish Basis'!$C$5,2)</f>
        <v/>
      </c>
      <c r="O995" s="10">
        <f>ROUND(J995*'Irish Basis'!$C$7*'Irish Basis'!$C$5,2)</f>
        <v/>
      </c>
      <c r="P995" s="10">
        <f>ROUND(K995*'Irish Basis'!$C$8*'Irish Basis'!$C$5,2)</f>
        <v/>
      </c>
      <c r="Q995" s="10">
        <f>ROUND(L995*'Irish Basis'!$C$12*'Irish Basis'!$C$5,2)</f>
        <v/>
      </c>
      <c r="R995" s="11">
        <f>ROUND(SUM(N995:Q995),2)</f>
        <v/>
      </c>
      <c r="S995" s="5" t="inlineStr">
        <is>
          <t>Stated build-up</t>
        </is>
      </c>
      <c r="T995" s="12" t="inlineStr">
        <is>
          <t>High</t>
        </is>
      </c>
      <c r="U995" s="8" t="n">
        <v>93.17</v>
      </c>
      <c r="V995" s="13">
        <f>IF(U995="","",ROUND(M995-U995,2))</f>
        <v/>
      </c>
      <c r="W995" s="5" t="n"/>
      <c r="X995" s="5" t="inlineStr">
        <is>
          <t>Labour + plant + material as published; reconciles to the published rate.</t>
        </is>
      </c>
    </row>
    <row r="996" ht="13" customHeight="1">
      <c r="A996" s="4" t="n">
        <v>1671</v>
      </c>
      <c r="B996" s="5" t="inlineStr">
        <is>
          <t>IMG_0089</t>
        </is>
      </c>
      <c r="C996" s="5" t="inlineStr">
        <is>
          <t>CLASS G: CONCRETE ANCILLARIES</t>
        </is>
      </c>
      <c r="D996" s="5" t="inlineStr">
        <is>
          <t>CONCRETE FINISHING / ACCESSORIES</t>
        </is>
      </c>
      <c r="E996" s="5" t="inlineStr">
        <is>
          <t>Finishing of top surfaces (continued)</t>
        </is>
      </c>
      <c r="F996" s="5" t="inlineStr">
        <is>
          <t>steel trowel; level</t>
        </is>
      </c>
      <c r="G996" s="6" t="inlineStr">
        <is>
          <t>m2</t>
        </is>
      </c>
      <c r="H996" s="7" t="n">
        <v>0.03</v>
      </c>
      <c r="I996" s="8" t="n">
        <v>2.26</v>
      </c>
      <c r="J996" s="8" t="n">
        <v>0</v>
      </c>
      <c r="K996" s="8" t="n">
        <v>0</v>
      </c>
      <c r="L996" s="8" t="n">
        <v>0</v>
      </c>
      <c r="M996" s="9">
        <f>ROUND(SUM(I996:L996),2)</f>
        <v/>
      </c>
      <c r="N996" s="10">
        <f>ROUND(I996*'Irish Basis'!$C$6*'Irish Basis'!$C$5,2)</f>
        <v/>
      </c>
      <c r="O996" s="10">
        <f>ROUND(J996*'Irish Basis'!$C$7*'Irish Basis'!$C$5,2)</f>
        <v/>
      </c>
      <c r="P996" s="10">
        <f>ROUND(K996*'Irish Basis'!$C$8*'Irish Basis'!$C$5,2)</f>
        <v/>
      </c>
      <c r="Q996" s="10">
        <f>ROUND(L996*'Irish Basis'!$C$12*'Irish Basis'!$C$5,2)</f>
        <v/>
      </c>
      <c r="R996" s="11">
        <f>ROUND(SUM(N996:Q996),2)</f>
        <v/>
      </c>
      <c r="S996" s="5" t="inlineStr">
        <is>
          <t>Stated build-up</t>
        </is>
      </c>
      <c r="T996" s="12" t="inlineStr">
        <is>
          <t>High</t>
        </is>
      </c>
      <c r="U996" s="8" t="n">
        <v>2.26</v>
      </c>
      <c r="V996" s="13">
        <f>IF(U996="","",ROUND(M996-U996,2))</f>
        <v/>
      </c>
      <c r="W996" s="5" t="n"/>
      <c r="X996" s="5" t="inlineStr">
        <is>
          <t>Labour + plant + material as published; reconciles to the published rate.</t>
        </is>
      </c>
    </row>
    <row r="997" ht="13" customHeight="1">
      <c r="A997" s="4" t="n">
        <v>1672</v>
      </c>
      <c r="B997" s="5" t="inlineStr">
        <is>
          <t>IMG_0089</t>
        </is>
      </c>
      <c r="C997" s="5" t="inlineStr">
        <is>
          <t>CLASS G: CONCRETE ANCILLARIES</t>
        </is>
      </c>
      <c r="D997" s="5" t="inlineStr">
        <is>
          <t>CONCRETE FINISHING / ACCESSORIES</t>
        </is>
      </c>
      <c r="E997" s="5" t="inlineStr">
        <is>
          <t>Finishing of top surfaces (continued)</t>
        </is>
      </c>
      <c r="F997" s="5" t="inlineStr">
        <is>
          <t>steel trowel; falls or cross-falls</t>
        </is>
      </c>
      <c r="G997" s="6" t="inlineStr">
        <is>
          <t>m2</t>
        </is>
      </c>
      <c r="H997" s="7" t="n">
        <v>0.05</v>
      </c>
      <c r="I997" s="8" t="n">
        <v>3.77</v>
      </c>
      <c r="J997" s="8" t="n">
        <v>0</v>
      </c>
      <c r="K997" s="8" t="n">
        <v>0</v>
      </c>
      <c r="L997" s="8" t="n">
        <v>0</v>
      </c>
      <c r="M997" s="9">
        <f>ROUND(SUM(I997:L997),2)</f>
        <v/>
      </c>
      <c r="N997" s="10">
        <f>ROUND(I997*'Irish Basis'!$C$6*'Irish Basis'!$C$5,2)</f>
        <v/>
      </c>
      <c r="O997" s="10">
        <f>ROUND(J997*'Irish Basis'!$C$7*'Irish Basis'!$C$5,2)</f>
        <v/>
      </c>
      <c r="P997" s="10">
        <f>ROUND(K997*'Irish Basis'!$C$8*'Irish Basis'!$C$5,2)</f>
        <v/>
      </c>
      <c r="Q997" s="10">
        <f>ROUND(L997*'Irish Basis'!$C$12*'Irish Basis'!$C$5,2)</f>
        <v/>
      </c>
      <c r="R997" s="11">
        <f>ROUND(SUM(N997:Q997),2)</f>
        <v/>
      </c>
      <c r="S997" s="5" t="inlineStr">
        <is>
          <t>Stated build-up</t>
        </is>
      </c>
      <c r="T997" s="12" t="inlineStr">
        <is>
          <t>High</t>
        </is>
      </c>
      <c r="U997" s="8" t="n">
        <v>3.77</v>
      </c>
      <c r="V997" s="13">
        <f>IF(U997="","",ROUND(M997-U997,2))</f>
        <v/>
      </c>
      <c r="W997" s="5" t="n"/>
      <c r="X997" s="5" t="inlineStr">
        <is>
          <t>Labour + plant + material as published; reconciles to the published rate.</t>
        </is>
      </c>
    </row>
    <row r="998" ht="13" customHeight="1">
      <c r="A998" s="4" t="n">
        <v>1673</v>
      </c>
      <c r="B998" s="5" t="inlineStr">
        <is>
          <t>IMG_0089</t>
        </is>
      </c>
      <c r="C998" s="5" t="inlineStr">
        <is>
          <t>CLASS G: CONCRETE ANCILLARIES</t>
        </is>
      </c>
      <c r="D998" s="5" t="inlineStr">
        <is>
          <t>CONCRETE FINISHING / ACCESSORIES</t>
        </is>
      </c>
      <c r="E998" s="5" t="inlineStr">
        <is>
          <t>Finishing of top surfaces (continued)</t>
        </is>
      </c>
      <c r="F998" s="5" t="inlineStr">
        <is>
          <t>granolithic finish 20 mm thick laid monolithically</t>
        </is>
      </c>
      <c r="G998" s="6" t="inlineStr">
        <is>
          <t>m2</t>
        </is>
      </c>
      <c r="H998" s="7" t="n">
        <v>0.07000000000000001</v>
      </c>
      <c r="I998" s="8" t="n">
        <v>5.28</v>
      </c>
      <c r="J998" s="8" t="n">
        <v>1.25</v>
      </c>
      <c r="K998" s="8" t="n">
        <v>12.95</v>
      </c>
      <c r="L998" s="8" t="n">
        <v>0</v>
      </c>
      <c r="M998" s="9">
        <f>ROUND(SUM(I998:L998),2)</f>
        <v/>
      </c>
      <c r="N998" s="10">
        <f>ROUND(I998*'Irish Basis'!$C$6*'Irish Basis'!$C$5,2)</f>
        <v/>
      </c>
      <c r="O998" s="10">
        <f>ROUND(J998*'Irish Basis'!$C$7*'Irish Basis'!$C$5,2)</f>
        <v/>
      </c>
      <c r="P998" s="10">
        <f>ROUND(K998*'Irish Basis'!$C$8*'Irish Basis'!$C$5,2)</f>
        <v/>
      </c>
      <c r="Q998" s="10">
        <f>ROUND(L998*'Irish Basis'!$C$12*'Irish Basis'!$C$5,2)</f>
        <v/>
      </c>
      <c r="R998" s="11">
        <f>ROUND(SUM(N998:Q998),2)</f>
        <v/>
      </c>
      <c r="S998" s="5" t="inlineStr">
        <is>
          <t>Stated build-up</t>
        </is>
      </c>
      <c r="T998" s="12" t="inlineStr">
        <is>
          <t>High</t>
        </is>
      </c>
      <c r="U998" s="8" t="n">
        <v>19.47</v>
      </c>
      <c r="V998" s="13">
        <f>IF(U998="","",ROUND(M998-U998,2))</f>
        <v/>
      </c>
      <c r="W998" s="5" t="n"/>
      <c r="X998" s="5" t="inlineStr">
        <is>
          <t>Labour + plant + material as published; reconciles to the published rate.</t>
        </is>
      </c>
    </row>
    <row r="999" ht="13" customHeight="1">
      <c r="A999" s="4" t="n">
        <v>1675</v>
      </c>
      <c r="B999" s="5" t="inlineStr">
        <is>
          <t>IMG_0089</t>
        </is>
      </c>
      <c r="C999" s="5" t="inlineStr">
        <is>
          <t>CLASS G: CONCRETE ANCILLARIES</t>
        </is>
      </c>
      <c r="D999" s="5" t="inlineStr">
        <is>
          <t>CONCRETE FINISHING / ACCESSORIES</t>
        </is>
      </c>
      <c r="E999" s="5" t="inlineStr">
        <is>
          <t>Finishing of formed surfaces</t>
        </is>
      </c>
      <c r="F999" s="5" t="inlineStr">
        <is>
          <t>aggregate exposure using retarder</t>
        </is>
      </c>
      <c r="G999" s="6" t="inlineStr">
        <is>
          <t>m2</t>
        </is>
      </c>
      <c r="H999" s="7" t="n">
        <v>0.05</v>
      </c>
      <c r="I999" s="8" t="n">
        <v>3.77</v>
      </c>
      <c r="J999" s="8" t="n">
        <v>0</v>
      </c>
      <c r="K999" s="8" t="n">
        <v>1.53</v>
      </c>
      <c r="L999" s="8" t="n">
        <v>0</v>
      </c>
      <c r="M999" s="9">
        <f>ROUND(SUM(I999:L999),2)</f>
        <v/>
      </c>
      <c r="N999" s="10">
        <f>ROUND(I999*'Irish Basis'!$C$6*'Irish Basis'!$C$5,2)</f>
        <v/>
      </c>
      <c r="O999" s="10">
        <f>ROUND(J999*'Irish Basis'!$C$7*'Irish Basis'!$C$5,2)</f>
        <v/>
      </c>
      <c r="P999" s="10">
        <f>ROUND(K999*'Irish Basis'!$C$8*'Irish Basis'!$C$5,2)</f>
        <v/>
      </c>
      <c r="Q999" s="10">
        <f>ROUND(L999*'Irish Basis'!$C$12*'Irish Basis'!$C$5,2)</f>
        <v/>
      </c>
      <c r="R999" s="11">
        <f>ROUND(SUM(N999:Q999),2)</f>
        <v/>
      </c>
      <c r="S999" s="5" t="inlineStr">
        <is>
          <t>Stated build-up</t>
        </is>
      </c>
      <c r="T999" s="12" t="inlineStr">
        <is>
          <t>High</t>
        </is>
      </c>
      <c r="U999" s="8" t="n">
        <v>5.29</v>
      </c>
      <c r="V999" s="13">
        <f>IF(U999="","",ROUND(M999-U999,2))</f>
        <v/>
      </c>
      <c r="W999" s="5" t="n"/>
      <c r="X999" s="5" t="inlineStr">
        <is>
          <t>Labour + plant + material as published; reconciles to the published rate.</t>
        </is>
      </c>
    </row>
    <row r="1000" ht="13" customHeight="1">
      <c r="A1000" s="4" t="n">
        <v>1676</v>
      </c>
      <c r="B1000" s="5" t="inlineStr">
        <is>
          <t>IMG_0089</t>
        </is>
      </c>
      <c r="C1000" s="5" t="inlineStr">
        <is>
          <t>CLASS G: CONCRETE ANCILLARIES</t>
        </is>
      </c>
      <c r="D1000" s="5" t="inlineStr">
        <is>
          <t>CONCRETE FINISHING / ACCESSORIES</t>
        </is>
      </c>
      <c r="E1000" s="5" t="inlineStr">
        <is>
          <t>Finishing of formed surfaces</t>
        </is>
      </c>
      <c r="F1000" s="5" t="inlineStr">
        <is>
          <t>bush hammering; kango hammer</t>
        </is>
      </c>
      <c r="G1000" s="6" t="inlineStr">
        <is>
          <t>m2</t>
        </is>
      </c>
      <c r="H1000" s="7" t="n">
        <v>0.28</v>
      </c>
      <c r="I1000" s="8" t="n">
        <v>21.1</v>
      </c>
      <c r="J1000" s="8" t="n">
        <v>8.35</v>
      </c>
      <c r="K1000" s="8" t="n">
        <v>0</v>
      </c>
      <c r="L1000" s="8" t="n">
        <v>0</v>
      </c>
      <c r="M1000" s="9">
        <f>ROUND(SUM(I1000:L1000),2)</f>
        <v/>
      </c>
      <c r="N1000" s="10">
        <f>ROUND(I1000*'Irish Basis'!$C$6*'Irish Basis'!$C$5,2)</f>
        <v/>
      </c>
      <c r="O1000" s="10">
        <f>ROUND(J1000*'Irish Basis'!$C$7*'Irish Basis'!$C$5,2)</f>
        <v/>
      </c>
      <c r="P1000" s="10">
        <f>ROUND(K1000*'Irish Basis'!$C$8*'Irish Basis'!$C$5,2)</f>
        <v/>
      </c>
      <c r="Q1000" s="10">
        <f>ROUND(L1000*'Irish Basis'!$C$12*'Irish Basis'!$C$5,2)</f>
        <v/>
      </c>
      <c r="R1000" s="11">
        <f>ROUND(SUM(N1000:Q1000),2)</f>
        <v/>
      </c>
      <c r="S1000" s="5" t="inlineStr">
        <is>
          <t>Stated build-up</t>
        </is>
      </c>
      <c r="T1000" s="12" t="inlineStr">
        <is>
          <t>High</t>
        </is>
      </c>
      <c r="U1000" s="8" t="n">
        <v>29.45</v>
      </c>
      <c r="V1000" s="13">
        <f>IF(U1000="","",ROUND(M1000-U1000,2))</f>
        <v/>
      </c>
      <c r="W1000" s="5" t="n"/>
      <c r="X1000" s="5" t="inlineStr">
        <is>
          <t>Labour + plant + material as published; reconciles to the published rate.</t>
        </is>
      </c>
    </row>
    <row r="1001" ht="13" customHeight="1">
      <c r="A1001" s="4" t="n">
        <v>1677</v>
      </c>
      <c r="B1001" s="5" t="inlineStr">
        <is>
          <t>IMG_0089</t>
        </is>
      </c>
      <c r="C1001" s="5" t="inlineStr">
        <is>
          <t>CLASS G: CONCRETE ANCILLARIES</t>
        </is>
      </c>
      <c r="D1001" s="5" t="inlineStr">
        <is>
          <t>CONCRETE FINISHING / ACCESSORIES</t>
        </is>
      </c>
      <c r="E1001" s="5" t="inlineStr">
        <is>
          <t>Finishing of formed surfaces</t>
        </is>
      </c>
      <c r="F1001" s="5" t="inlineStr">
        <is>
          <t>rubbing down concrete surfaces after striking shutters</t>
        </is>
      </c>
      <c r="G1001" s="6" t="inlineStr">
        <is>
          <t>m2</t>
        </is>
      </c>
      <c r="H1001" s="7" t="n">
        <v>0.02</v>
      </c>
      <c r="I1001" s="8" t="n">
        <v>1.51</v>
      </c>
      <c r="J1001" s="8" t="n">
        <v>0</v>
      </c>
      <c r="K1001" s="8" t="n">
        <v>1.03</v>
      </c>
      <c r="L1001" s="8" t="n">
        <v>0</v>
      </c>
      <c r="M1001" s="9">
        <f>ROUND(SUM(I1001:L1001),2)</f>
        <v/>
      </c>
      <c r="N1001" s="10">
        <f>ROUND(I1001*'Irish Basis'!$C$6*'Irish Basis'!$C$5,2)</f>
        <v/>
      </c>
      <c r="O1001" s="10">
        <f>ROUND(J1001*'Irish Basis'!$C$7*'Irish Basis'!$C$5,2)</f>
        <v/>
      </c>
      <c r="P1001" s="10">
        <f>ROUND(K1001*'Irish Basis'!$C$8*'Irish Basis'!$C$5,2)</f>
        <v/>
      </c>
      <c r="Q1001" s="10">
        <f>ROUND(L1001*'Irish Basis'!$C$12*'Irish Basis'!$C$5,2)</f>
        <v/>
      </c>
      <c r="R1001" s="11">
        <f>ROUND(SUM(N1001:Q1001),2)</f>
        <v/>
      </c>
      <c r="S1001" s="5" t="inlineStr">
        <is>
          <t>Stated build-up</t>
        </is>
      </c>
      <c r="T1001" s="12" t="inlineStr">
        <is>
          <t>High</t>
        </is>
      </c>
      <c r="U1001" s="8" t="n">
        <v>2.53</v>
      </c>
      <c r="V1001" s="13">
        <f>IF(U1001="","",ROUND(M1001-U1001,2))</f>
        <v/>
      </c>
      <c r="W1001" s="5" t="n"/>
      <c r="X1001" s="5" t="inlineStr">
        <is>
          <t>Labour + plant + material as published; reconciles to the published rate.</t>
        </is>
      </c>
    </row>
    <row r="1002" ht="13" customHeight="1">
      <c r="A1002" s="4" t="n">
        <v>1679</v>
      </c>
      <c r="B1002" s="5" t="inlineStr">
        <is>
          <t>IMG_0089</t>
        </is>
      </c>
      <c r="C1002" s="5" t="inlineStr">
        <is>
          <t>CLASS G: CONCRETE ANCILLARIES</t>
        </is>
      </c>
      <c r="D1002" s="5" t="inlineStr">
        <is>
          <t>CONCRETE FINISHING / ACCESSORIES</t>
        </is>
      </c>
      <c r="E1002" s="5" t="inlineStr">
        <is>
          <t>Inserts totally within the concrete volume</t>
        </is>
      </c>
      <c r="F1002" s="5" t="inlineStr">
        <is>
          <t>HDPE conduit 20 mm dia.</t>
        </is>
      </c>
      <c r="G1002" s="6" t="inlineStr">
        <is>
          <t>m</t>
        </is>
      </c>
      <c r="H1002" s="7" t="n">
        <v>0.1</v>
      </c>
      <c r="I1002" s="8" t="n">
        <v>7.54</v>
      </c>
      <c r="J1002" s="8" t="n">
        <v>0</v>
      </c>
      <c r="K1002" s="8" t="n">
        <v>4.45</v>
      </c>
      <c r="L1002" s="8" t="n">
        <v>0</v>
      </c>
      <c r="M1002" s="9">
        <f>ROUND(SUM(I1002:L1002),2)</f>
        <v/>
      </c>
      <c r="N1002" s="10">
        <f>ROUND(I1002*'Irish Basis'!$C$6*'Irish Basis'!$C$5,2)</f>
        <v/>
      </c>
      <c r="O1002" s="10">
        <f>ROUND(J1002*'Irish Basis'!$C$7*'Irish Basis'!$C$5,2)</f>
        <v/>
      </c>
      <c r="P1002" s="10">
        <f>ROUND(K1002*'Irish Basis'!$C$8*'Irish Basis'!$C$5,2)</f>
        <v/>
      </c>
      <c r="Q1002" s="10">
        <f>ROUND(L1002*'Irish Basis'!$C$12*'Irish Basis'!$C$5,2)</f>
        <v/>
      </c>
      <c r="R1002" s="11">
        <f>ROUND(SUM(N1002:Q1002),2)</f>
        <v/>
      </c>
      <c r="S1002" s="5" t="inlineStr">
        <is>
          <t>Stated build-up</t>
        </is>
      </c>
      <c r="T1002" s="12" t="inlineStr">
        <is>
          <t>High</t>
        </is>
      </c>
      <c r="U1002" s="8" t="n">
        <v>11.99</v>
      </c>
      <c r="V1002" s="13">
        <f>IF(U1002="","",ROUND(M1002-U1002,2))</f>
        <v/>
      </c>
      <c r="W1002" s="5" t="n"/>
      <c r="X1002" s="5" t="inlineStr">
        <is>
          <t>Labour + plant + material as published; reconciles to the published rate.</t>
        </is>
      </c>
    </row>
    <row r="1003" ht="13" customHeight="1">
      <c r="A1003" s="4" t="n">
        <v>1680</v>
      </c>
      <c r="B1003" s="5" t="inlineStr">
        <is>
          <t>IMG_0089</t>
        </is>
      </c>
      <c r="C1003" s="5" t="inlineStr">
        <is>
          <t>CLASS G: CONCRETE ANCILLARIES</t>
        </is>
      </c>
      <c r="D1003" s="5" t="inlineStr">
        <is>
          <t>CONCRETE FINISHING / ACCESSORIES</t>
        </is>
      </c>
      <c r="E1003" s="5" t="inlineStr">
        <is>
          <t>Inserts totally within the concrete volume</t>
        </is>
      </c>
      <c r="F1003" s="5" t="inlineStr">
        <is>
          <t>black enamelled steel conduit 20 mm dia.</t>
        </is>
      </c>
      <c r="G1003" s="6" t="inlineStr">
        <is>
          <t>m</t>
        </is>
      </c>
      <c r="H1003" s="7" t="n">
        <v>0.1</v>
      </c>
      <c r="I1003" s="8" t="n">
        <v>7.54</v>
      </c>
      <c r="J1003" s="8" t="n">
        <v>0</v>
      </c>
      <c r="K1003" s="8" t="n">
        <v>3.02</v>
      </c>
      <c r="L1003" s="8" t="n">
        <v>0</v>
      </c>
      <c r="M1003" s="9">
        <f>ROUND(SUM(I1003:L1003),2)</f>
        <v/>
      </c>
      <c r="N1003" s="10">
        <f>ROUND(I1003*'Irish Basis'!$C$6*'Irish Basis'!$C$5,2)</f>
        <v/>
      </c>
      <c r="O1003" s="10">
        <f>ROUND(J1003*'Irish Basis'!$C$7*'Irish Basis'!$C$5,2)</f>
        <v/>
      </c>
      <c r="P1003" s="10">
        <f>ROUND(K1003*'Irish Basis'!$C$8*'Irish Basis'!$C$5,2)</f>
        <v/>
      </c>
      <c r="Q1003" s="10">
        <f>ROUND(L1003*'Irish Basis'!$C$12*'Irish Basis'!$C$5,2)</f>
        <v/>
      </c>
      <c r="R1003" s="11">
        <f>ROUND(SUM(N1003:Q1003),2)</f>
        <v/>
      </c>
      <c r="S1003" s="5" t="inlineStr">
        <is>
          <t>Stated build-up</t>
        </is>
      </c>
      <c r="T1003" s="12" t="inlineStr">
        <is>
          <t>High</t>
        </is>
      </c>
      <c r="U1003" s="8" t="n">
        <v>10.55</v>
      </c>
      <c r="V1003" s="13">
        <f>IF(U1003="","",ROUND(M1003-U1003,2))</f>
        <v/>
      </c>
      <c r="W1003" s="5" t="n"/>
      <c r="X1003" s="5" t="inlineStr">
        <is>
          <t>Labour + plant + material as published; reconciles to the published rate.</t>
        </is>
      </c>
    </row>
    <row r="1004" ht="13" customHeight="1">
      <c r="A1004" s="4" t="n">
        <v>1681</v>
      </c>
      <c r="B1004" s="5" t="inlineStr">
        <is>
          <t>IMG_0089</t>
        </is>
      </c>
      <c r="C1004" s="5" t="inlineStr">
        <is>
          <t>CLASS G: CONCRETE ANCILLARIES</t>
        </is>
      </c>
      <c r="D1004" s="5" t="inlineStr">
        <is>
          <t>CONCRETE FINISHING / ACCESSORIES</t>
        </is>
      </c>
      <c r="E1004" s="5" t="inlineStr">
        <is>
          <t>Inserts totally within the concrete volume</t>
        </is>
      </c>
      <c r="F1004" s="5" t="inlineStr">
        <is>
          <t>galvanized steel conduit 20 mm dia.</t>
        </is>
      </c>
      <c r="G1004" s="6" t="inlineStr">
        <is>
          <t>m</t>
        </is>
      </c>
      <c r="H1004" s="7" t="n">
        <v>0.1</v>
      </c>
      <c r="I1004" s="8" t="n">
        <v>7.54</v>
      </c>
      <c r="J1004" s="8" t="n">
        <v>0</v>
      </c>
      <c r="K1004" s="8" t="n">
        <v>4.15</v>
      </c>
      <c r="L1004" s="8" t="n">
        <v>0</v>
      </c>
      <c r="M1004" s="9">
        <f>ROUND(SUM(I1004:L1004),2)</f>
        <v/>
      </c>
      <c r="N1004" s="10">
        <f>ROUND(I1004*'Irish Basis'!$C$6*'Irish Basis'!$C$5,2)</f>
        <v/>
      </c>
      <c r="O1004" s="10">
        <f>ROUND(J1004*'Irish Basis'!$C$7*'Irish Basis'!$C$5,2)</f>
        <v/>
      </c>
      <c r="P1004" s="10">
        <f>ROUND(K1004*'Irish Basis'!$C$8*'Irish Basis'!$C$5,2)</f>
        <v/>
      </c>
      <c r="Q1004" s="10">
        <f>ROUND(L1004*'Irish Basis'!$C$12*'Irish Basis'!$C$5,2)</f>
        <v/>
      </c>
      <c r="R1004" s="11">
        <f>ROUND(SUM(N1004:Q1004),2)</f>
        <v/>
      </c>
      <c r="S1004" s="5" t="inlineStr">
        <is>
          <t>Stated build-up</t>
        </is>
      </c>
      <c r="T1004" s="12" t="inlineStr">
        <is>
          <t>High</t>
        </is>
      </c>
      <c r="U1004" s="8" t="n">
        <v>11.68</v>
      </c>
      <c r="V1004" s="13">
        <f>IF(U1004="","",ROUND(M1004-U1004,2))</f>
        <v/>
      </c>
      <c r="W1004" s="5" t="n"/>
      <c r="X1004" s="5" t="inlineStr">
        <is>
          <t>Labour + plant + material as published; reconciles to the published rate.</t>
        </is>
      </c>
    </row>
    <row r="1005" ht="13" customHeight="1">
      <c r="A1005" s="4" t="n">
        <v>1682</v>
      </c>
      <c r="B1005" s="5" t="inlineStr">
        <is>
          <t>IMG_0089</t>
        </is>
      </c>
      <c r="C1005" s="5" t="inlineStr">
        <is>
          <t>CLASS G: CONCRETE ANCILLARIES</t>
        </is>
      </c>
      <c r="D1005" s="5" t="inlineStr">
        <is>
          <t>CONCRETE FINISHING / ACCESSORIES</t>
        </is>
      </c>
      <c r="E1005" s="5" t="inlineStr">
        <is>
          <t>Inserts totally within the concrete volume</t>
        </is>
      </c>
      <c r="F1005" s="5" t="inlineStr">
        <is>
          <t>Unistrut channel type P3270</t>
        </is>
      </c>
      <c r="G1005" s="6" t="inlineStr">
        <is>
          <t>m</t>
        </is>
      </c>
      <c r="H1005" s="7" t="n">
        <v>0.2</v>
      </c>
      <c r="I1005" s="8" t="n">
        <v>15.07</v>
      </c>
      <c r="J1005" s="8" t="n">
        <v>0</v>
      </c>
      <c r="K1005" s="8" t="n">
        <v>16.23</v>
      </c>
      <c r="L1005" s="8" t="n">
        <v>0</v>
      </c>
      <c r="M1005" s="9">
        <f>ROUND(SUM(I1005:L1005),2)</f>
        <v/>
      </c>
      <c r="N1005" s="10">
        <f>ROUND(I1005*'Irish Basis'!$C$6*'Irish Basis'!$C$5,2)</f>
        <v/>
      </c>
      <c r="O1005" s="10">
        <f>ROUND(J1005*'Irish Basis'!$C$7*'Irish Basis'!$C$5,2)</f>
        <v/>
      </c>
      <c r="P1005" s="10">
        <f>ROUND(K1005*'Irish Basis'!$C$8*'Irish Basis'!$C$5,2)</f>
        <v/>
      </c>
      <c r="Q1005" s="10">
        <f>ROUND(L1005*'Irish Basis'!$C$12*'Irish Basis'!$C$5,2)</f>
        <v/>
      </c>
      <c r="R1005" s="11">
        <f>ROUND(SUM(N1005:Q1005),2)</f>
        <v/>
      </c>
      <c r="S1005" s="5" t="inlineStr">
        <is>
          <t>Stated build-up</t>
        </is>
      </c>
      <c r="T1005" s="12" t="inlineStr">
        <is>
          <t>High</t>
        </is>
      </c>
      <c r="U1005" s="8" t="n">
        <v>31.3</v>
      </c>
      <c r="V1005" s="13">
        <f>IF(U1005="","",ROUND(M1005-U1005,2))</f>
        <v/>
      </c>
      <c r="W1005" s="5" t="n"/>
      <c r="X1005" s="5" t="inlineStr">
        <is>
          <t>Labour + plant + material as published; reconciles to the published rate.</t>
        </is>
      </c>
    </row>
    <row r="1006" ht="13" customHeight="1">
      <c r="A1006" s="4" t="n">
        <v>1683</v>
      </c>
      <c r="B1006" s="5" t="inlineStr">
        <is>
          <t>IMG_0089</t>
        </is>
      </c>
      <c r="C1006" s="5" t="inlineStr">
        <is>
          <t>CLASS G: CONCRETE ANCILLARIES</t>
        </is>
      </c>
      <c r="D1006" s="5" t="inlineStr">
        <is>
          <t>CONCRETE FINISHING / ACCESSORIES</t>
        </is>
      </c>
      <c r="E1006" s="5" t="inlineStr">
        <is>
          <t>Inserts totally within the concrete volume</t>
        </is>
      </c>
      <c r="F1006" s="5" t="inlineStr">
        <is>
          <t>Unistrut channel type P3370</t>
        </is>
      </c>
      <c r="G1006" s="6" t="inlineStr">
        <is>
          <t>m</t>
        </is>
      </c>
      <c r="H1006" s="7" t="n">
        <v>0.2</v>
      </c>
      <c r="I1006" s="8" t="n">
        <v>15.07</v>
      </c>
      <c r="J1006" s="8" t="n">
        <v>0</v>
      </c>
      <c r="K1006" s="8" t="n">
        <v>11.51</v>
      </c>
      <c r="L1006" s="8" t="n">
        <v>0</v>
      </c>
      <c r="M1006" s="9">
        <f>ROUND(SUM(I1006:L1006),2)</f>
        <v/>
      </c>
      <c r="N1006" s="10">
        <f>ROUND(I1006*'Irish Basis'!$C$6*'Irish Basis'!$C$5,2)</f>
        <v/>
      </c>
      <c r="O1006" s="10">
        <f>ROUND(J1006*'Irish Basis'!$C$7*'Irish Basis'!$C$5,2)</f>
        <v/>
      </c>
      <c r="P1006" s="10">
        <f>ROUND(K1006*'Irish Basis'!$C$8*'Irish Basis'!$C$5,2)</f>
        <v/>
      </c>
      <c r="Q1006" s="10">
        <f>ROUND(L1006*'Irish Basis'!$C$12*'Irish Basis'!$C$5,2)</f>
        <v/>
      </c>
      <c r="R1006" s="11">
        <f>ROUND(SUM(N1006:Q1006),2)</f>
        <v/>
      </c>
      <c r="S1006" s="5" t="inlineStr">
        <is>
          <t>Stated build-up</t>
        </is>
      </c>
      <c r="T1006" s="12" t="inlineStr">
        <is>
          <t>High</t>
        </is>
      </c>
      <c r="U1006" s="8" t="n">
        <v>26.58</v>
      </c>
      <c r="V1006" s="13">
        <f>IF(U1006="","",ROUND(M1006-U1006,2))</f>
        <v/>
      </c>
      <c r="W1006" s="5" t="n"/>
      <c r="X1006" s="5" t="inlineStr">
        <is>
          <t>Labour + plant + material as published; reconciles to the published rate.</t>
        </is>
      </c>
    </row>
    <row r="1007" ht="13" customHeight="1">
      <c r="A1007" s="4" t="n">
        <v>1685</v>
      </c>
      <c r="B1007" s="5" t="inlineStr">
        <is>
          <t>IMG_0089</t>
        </is>
      </c>
      <c r="C1007" s="5" t="inlineStr">
        <is>
          <t>CLASS G: CONCRETE ANCILLARIES</t>
        </is>
      </c>
      <c r="D1007" s="5" t="inlineStr">
        <is>
          <t>CONCRETE FINISHING / ACCESSORIES</t>
        </is>
      </c>
      <c r="E1007" s="5" t="inlineStr">
        <is>
          <t>Inserts projecting from surface(s) of the concrete</t>
        </is>
      </c>
      <c r="F1007" s="5" t="inlineStr">
        <is>
          <t>expanding bolt; 10 mm dia. x 25 mm deep</t>
        </is>
      </c>
      <c r="G1007" s="6" t="inlineStr">
        <is>
          <t>nr</t>
        </is>
      </c>
      <c r="H1007" s="7" t="n">
        <v>0.05</v>
      </c>
      <c r="I1007" s="8" t="n">
        <v>3.77</v>
      </c>
      <c r="J1007" s="8" t="n">
        <v>0</v>
      </c>
      <c r="K1007" s="8" t="n">
        <v>2.74</v>
      </c>
      <c r="L1007" s="8" t="n">
        <v>0</v>
      </c>
      <c r="M1007" s="9">
        <f>ROUND(SUM(I1007:L1007),2)</f>
        <v/>
      </c>
      <c r="N1007" s="10">
        <f>ROUND(I1007*'Irish Basis'!$C$6*'Irish Basis'!$C$5,2)</f>
        <v/>
      </c>
      <c r="O1007" s="10">
        <f>ROUND(J1007*'Irish Basis'!$C$7*'Irish Basis'!$C$5,2)</f>
        <v/>
      </c>
      <c r="P1007" s="10">
        <f>ROUND(K1007*'Irish Basis'!$C$8*'Irish Basis'!$C$5,2)</f>
        <v/>
      </c>
      <c r="Q1007" s="10">
        <f>ROUND(L1007*'Irish Basis'!$C$12*'Irish Basis'!$C$5,2)</f>
        <v/>
      </c>
      <c r="R1007" s="11">
        <f>ROUND(SUM(N1007:Q1007),2)</f>
        <v/>
      </c>
      <c r="S1007" s="5" t="inlineStr">
        <is>
          <t>Stated build-up</t>
        </is>
      </c>
      <c r="T1007" s="12" t="inlineStr">
        <is>
          <t>High</t>
        </is>
      </c>
      <c r="U1007" s="8" t="n">
        <v>6.51</v>
      </c>
      <c r="V1007" s="13">
        <f>IF(U1007="","",ROUND(M1007-U1007,2))</f>
        <v/>
      </c>
      <c r="W1007" s="5" t="n"/>
      <c r="X1007" s="5" t="inlineStr">
        <is>
          <t>Labour + plant + material as published; reconciles to the published rate.</t>
        </is>
      </c>
    </row>
    <row r="1008" ht="13" customHeight="1">
      <c r="A1008" s="4" t="n">
        <v>1686</v>
      </c>
      <c r="B1008" s="5" t="inlineStr">
        <is>
          <t>IMG_0089</t>
        </is>
      </c>
      <c r="C1008" s="5" t="inlineStr">
        <is>
          <t>CLASS G: CONCRETE ANCILLARIES</t>
        </is>
      </c>
      <c r="D1008" s="5" t="inlineStr">
        <is>
          <t>CONCRETE FINISHING / ACCESSORIES</t>
        </is>
      </c>
      <c r="E1008" s="5" t="inlineStr">
        <is>
          <t>Inserts projecting from surface(s) of the concrete</t>
        </is>
      </c>
      <c r="F1008" s="5" t="inlineStr">
        <is>
          <t>holding down bolt; 16 mm dia. x 250 mm deep</t>
        </is>
      </c>
      <c r="G1008" s="6" t="inlineStr">
        <is>
          <t>nr</t>
        </is>
      </c>
      <c r="H1008" s="7" t="n">
        <v>0.25</v>
      </c>
      <c r="I1008" s="8" t="n">
        <v>18.84</v>
      </c>
      <c r="J1008" s="8" t="n">
        <v>0</v>
      </c>
      <c r="K1008" s="8" t="n">
        <v>5.61</v>
      </c>
      <c r="L1008" s="8" t="n">
        <v>0</v>
      </c>
      <c r="M1008" s="9">
        <f>ROUND(SUM(I1008:L1008),2)</f>
        <v/>
      </c>
      <c r="N1008" s="10">
        <f>ROUND(I1008*'Irish Basis'!$C$6*'Irish Basis'!$C$5,2)</f>
        <v/>
      </c>
      <c r="O1008" s="10">
        <f>ROUND(J1008*'Irish Basis'!$C$7*'Irish Basis'!$C$5,2)</f>
        <v/>
      </c>
      <c r="P1008" s="10">
        <f>ROUND(K1008*'Irish Basis'!$C$8*'Irish Basis'!$C$5,2)</f>
        <v/>
      </c>
      <c r="Q1008" s="10">
        <f>ROUND(L1008*'Irish Basis'!$C$12*'Irish Basis'!$C$5,2)</f>
        <v/>
      </c>
      <c r="R1008" s="11">
        <f>ROUND(SUM(N1008:Q1008),2)</f>
        <v/>
      </c>
      <c r="S1008" s="5" t="inlineStr">
        <is>
          <t>Stated build-up</t>
        </is>
      </c>
      <c r="T1008" s="12" t="inlineStr">
        <is>
          <t>High</t>
        </is>
      </c>
      <c r="U1008" s="8" t="n">
        <v>24.46</v>
      </c>
      <c r="V1008" s="13">
        <f>IF(U1008="","",ROUND(M1008-U1008,2))</f>
        <v/>
      </c>
      <c r="W1008" s="5" t="n"/>
      <c r="X1008" s="5" t="inlineStr">
        <is>
          <t>Labour + plant + material as published; reconciles to the published rate.</t>
        </is>
      </c>
    </row>
    <row r="1009" ht="13" customHeight="1">
      <c r="A1009" s="4" t="n">
        <v>1687</v>
      </c>
      <c r="B1009" s="5" t="inlineStr">
        <is>
          <t>IMG_0089</t>
        </is>
      </c>
      <c r="C1009" s="5" t="inlineStr">
        <is>
          <t>CLASS G: CONCRETE ANCILLARIES</t>
        </is>
      </c>
      <c r="D1009" s="5" t="inlineStr">
        <is>
          <t>CONCRETE FINISHING / ACCESSORIES</t>
        </is>
      </c>
      <c r="E1009" s="5" t="inlineStr">
        <is>
          <t>Inserts projecting from surface(s) of the concrete</t>
        </is>
      </c>
      <c r="F1009" s="5" t="inlineStr">
        <is>
          <t>holding down bolt; 16 mm dia. x 350 mm deep</t>
        </is>
      </c>
      <c r="G1009" s="6" t="inlineStr">
        <is>
          <t>nr</t>
        </is>
      </c>
      <c r="H1009" s="7" t="n">
        <v>0.25</v>
      </c>
      <c r="I1009" s="8" t="n">
        <v>18.84</v>
      </c>
      <c r="J1009" s="8" t="n">
        <v>0</v>
      </c>
      <c r="K1009" s="8" t="n">
        <v>6.05</v>
      </c>
      <c r="L1009" s="8" t="n">
        <v>0</v>
      </c>
      <c r="M1009" s="9">
        <f>ROUND(SUM(I1009:L1009),2)</f>
        <v/>
      </c>
      <c r="N1009" s="10">
        <f>ROUND(I1009*'Irish Basis'!$C$6*'Irish Basis'!$C$5,2)</f>
        <v/>
      </c>
      <c r="O1009" s="10">
        <f>ROUND(J1009*'Irish Basis'!$C$7*'Irish Basis'!$C$5,2)</f>
        <v/>
      </c>
      <c r="P1009" s="10">
        <f>ROUND(K1009*'Irish Basis'!$C$8*'Irish Basis'!$C$5,2)</f>
        <v/>
      </c>
      <c r="Q1009" s="10">
        <f>ROUND(L1009*'Irish Basis'!$C$12*'Irish Basis'!$C$5,2)</f>
        <v/>
      </c>
      <c r="R1009" s="11">
        <f>ROUND(SUM(N1009:Q1009),2)</f>
        <v/>
      </c>
      <c r="S1009" s="5" t="inlineStr">
        <is>
          <t>Stated build-up</t>
        </is>
      </c>
      <c r="T1009" s="12" t="inlineStr">
        <is>
          <t>High</t>
        </is>
      </c>
      <c r="U1009" s="8" t="n">
        <v>24.89</v>
      </c>
      <c r="V1009" s="13">
        <f>IF(U1009="","",ROUND(M1009-U1009,2))</f>
        <v/>
      </c>
      <c r="W1009" s="5" t="n"/>
      <c r="X1009" s="5" t="inlineStr">
        <is>
          <t>Labour + plant + material as published; reconciles to the published rate.</t>
        </is>
      </c>
    </row>
    <row r="1010" ht="13" customHeight="1">
      <c r="A1010" s="4" t="n">
        <v>1688</v>
      </c>
      <c r="B1010" s="5" t="inlineStr">
        <is>
          <t>IMG_0089</t>
        </is>
      </c>
      <c r="C1010" s="5" t="inlineStr">
        <is>
          <t>CLASS G: CONCRETE ANCILLARIES</t>
        </is>
      </c>
      <c r="D1010" s="5" t="inlineStr">
        <is>
          <t>CONCRETE FINISHING / ACCESSORIES</t>
        </is>
      </c>
      <c r="E1010" s="5" t="inlineStr">
        <is>
          <t>Inserts projecting from surface(s) of the concrete</t>
        </is>
      </c>
      <c r="F1010" s="5" t="inlineStr">
        <is>
          <t>holding down bolt; 20 mm dia. x 250 mm deep</t>
        </is>
      </c>
      <c r="G1010" s="6" t="inlineStr">
        <is>
          <t>nr</t>
        </is>
      </c>
      <c r="H1010" s="7" t="n">
        <v>0.25</v>
      </c>
      <c r="I1010" s="8" t="n">
        <v>18.84</v>
      </c>
      <c r="J1010" s="8" t="n">
        <v>0</v>
      </c>
      <c r="K1010" s="8" t="n">
        <v>7.04</v>
      </c>
      <c r="L1010" s="8" t="n">
        <v>0</v>
      </c>
      <c r="M1010" s="9">
        <f>ROUND(SUM(I1010:L1010),2)</f>
        <v/>
      </c>
      <c r="N1010" s="10">
        <f>ROUND(I1010*'Irish Basis'!$C$6*'Irish Basis'!$C$5,2)</f>
        <v/>
      </c>
      <c r="O1010" s="10">
        <f>ROUND(J1010*'Irish Basis'!$C$7*'Irish Basis'!$C$5,2)</f>
        <v/>
      </c>
      <c r="P1010" s="10">
        <f>ROUND(K1010*'Irish Basis'!$C$8*'Irish Basis'!$C$5,2)</f>
        <v/>
      </c>
      <c r="Q1010" s="10">
        <f>ROUND(L1010*'Irish Basis'!$C$12*'Irish Basis'!$C$5,2)</f>
        <v/>
      </c>
      <c r="R1010" s="11">
        <f>ROUND(SUM(N1010:Q1010),2)</f>
        <v/>
      </c>
      <c r="S1010" s="5" t="inlineStr">
        <is>
          <t>Stated build-up</t>
        </is>
      </c>
      <c r="T1010" s="12" t="inlineStr">
        <is>
          <t>High</t>
        </is>
      </c>
      <c r="U1010" s="8" t="n">
        <v>25.88</v>
      </c>
      <c r="V1010" s="13">
        <f>IF(U1010="","",ROUND(M1010-U1010,2))</f>
        <v/>
      </c>
      <c r="W1010" s="5" t="n"/>
      <c r="X1010" s="5" t="inlineStr">
        <is>
          <t>Labour + plant + material as published; reconciles to the published rate.</t>
        </is>
      </c>
    </row>
    <row r="1011" ht="13" customHeight="1">
      <c r="A1011" s="4" t="n">
        <v>1689</v>
      </c>
      <c r="B1011" s="5" t="inlineStr">
        <is>
          <t>IMG_0089</t>
        </is>
      </c>
      <c r="C1011" s="5" t="inlineStr">
        <is>
          <t>CLASS G: CONCRETE ANCILLARIES</t>
        </is>
      </c>
      <c r="D1011" s="5" t="inlineStr">
        <is>
          <t>CONCRETE FINISHING / ACCESSORIES</t>
        </is>
      </c>
      <c r="E1011" s="5" t="inlineStr">
        <is>
          <t>Inserts projecting from surface(s) of the concrete</t>
        </is>
      </c>
      <c r="F1011" s="5" t="inlineStr">
        <is>
          <t>holding down bolt; 20 mm dia. x 450 mm deep</t>
        </is>
      </c>
      <c r="G1011" s="6" t="inlineStr">
        <is>
          <t>nr</t>
        </is>
      </c>
      <c r="H1011" s="7" t="n">
        <v>0.25</v>
      </c>
      <c r="I1011" s="8" t="n">
        <v>18.84</v>
      </c>
      <c r="J1011" s="8" t="n">
        <v>0</v>
      </c>
      <c r="K1011" s="8" t="n">
        <v>7.34</v>
      </c>
      <c r="L1011" s="8" t="n">
        <v>0</v>
      </c>
      <c r="M1011" s="9">
        <f>ROUND(SUM(I1011:L1011),2)</f>
        <v/>
      </c>
      <c r="N1011" s="10">
        <f>ROUND(I1011*'Irish Basis'!$C$6*'Irish Basis'!$C$5,2)</f>
        <v/>
      </c>
      <c r="O1011" s="10">
        <f>ROUND(J1011*'Irish Basis'!$C$7*'Irish Basis'!$C$5,2)</f>
        <v/>
      </c>
      <c r="P1011" s="10">
        <f>ROUND(K1011*'Irish Basis'!$C$8*'Irish Basis'!$C$5,2)</f>
        <v/>
      </c>
      <c r="Q1011" s="10">
        <f>ROUND(L1011*'Irish Basis'!$C$12*'Irish Basis'!$C$5,2)</f>
        <v/>
      </c>
      <c r="R1011" s="11">
        <f>ROUND(SUM(N1011:Q1011),2)</f>
        <v/>
      </c>
      <c r="S1011" s="5" t="inlineStr">
        <is>
          <t>Stated build-up</t>
        </is>
      </c>
      <c r="T1011" s="12" t="inlineStr">
        <is>
          <t>High</t>
        </is>
      </c>
      <c r="U1011" s="8" t="n">
        <v>26.18</v>
      </c>
      <c r="V1011" s="13">
        <f>IF(U1011="","",ROUND(M1011-U1011,2))</f>
        <v/>
      </c>
      <c r="W1011" s="5" t="n"/>
      <c r="X1011" s="5" t="inlineStr">
        <is>
          <t>Labour + plant + material as published; reconciles to the published rate.</t>
        </is>
      </c>
    </row>
    <row r="1012" ht="13" customHeight="1">
      <c r="A1012" s="4" t="n">
        <v>1690</v>
      </c>
      <c r="B1012" s="5" t="inlineStr">
        <is>
          <t>IMG_0089</t>
        </is>
      </c>
      <c r="C1012" s="5" t="inlineStr">
        <is>
          <t>CLASS G: CONCRETE ANCILLARIES</t>
        </is>
      </c>
      <c r="D1012" s="5" t="inlineStr">
        <is>
          <t>CONCRETE FINISHING / ACCESSORIES</t>
        </is>
      </c>
      <c r="E1012" s="5" t="inlineStr">
        <is>
          <t>Inserts projecting from surface(s) of the concrete</t>
        </is>
      </c>
      <c r="F1012" s="5" t="inlineStr">
        <is>
          <t>vitrified clay pipe to BS 65; 100 mm dia. x 1000 mm long</t>
        </is>
      </c>
      <c r="G1012" s="6" t="inlineStr">
        <is>
          <t>nr</t>
        </is>
      </c>
      <c r="H1012" s="7" t="n">
        <v>0.35</v>
      </c>
      <c r="I1012" s="8" t="n">
        <v>26.38</v>
      </c>
      <c r="J1012" s="8" t="n">
        <v>0</v>
      </c>
      <c r="K1012" s="8" t="n">
        <v>8.85</v>
      </c>
      <c r="L1012" s="8" t="n">
        <v>0</v>
      </c>
      <c r="M1012" s="9">
        <f>ROUND(SUM(I1012:L1012),2)</f>
        <v/>
      </c>
      <c r="N1012" s="10">
        <f>ROUND(I1012*'Irish Basis'!$C$6*'Irish Basis'!$C$5,2)</f>
        <v/>
      </c>
      <c r="O1012" s="10">
        <f>ROUND(J1012*'Irish Basis'!$C$7*'Irish Basis'!$C$5,2)</f>
        <v/>
      </c>
      <c r="P1012" s="10">
        <f>ROUND(K1012*'Irish Basis'!$C$8*'Irish Basis'!$C$5,2)</f>
        <v/>
      </c>
      <c r="Q1012" s="10">
        <f>ROUND(L1012*'Irish Basis'!$C$12*'Irish Basis'!$C$5,2)</f>
        <v/>
      </c>
      <c r="R1012" s="11">
        <f>ROUND(SUM(N1012:Q1012),2)</f>
        <v/>
      </c>
      <c r="S1012" s="5" t="inlineStr">
        <is>
          <t>Stated build-up</t>
        </is>
      </c>
      <c r="T1012" s="12" t="inlineStr">
        <is>
          <t>High</t>
        </is>
      </c>
      <c r="U1012" s="8" t="n">
        <v>35.23</v>
      </c>
      <c r="V1012" s="13">
        <f>IF(U1012="","",ROUND(M1012-U1012,2))</f>
        <v/>
      </c>
      <c r="W1012" s="5" t="n"/>
      <c r="X1012" s="5" t="inlineStr">
        <is>
          <t>Labour + plant + material as published; reconciles to the published rate.</t>
        </is>
      </c>
    </row>
    <row r="1013" ht="13" customHeight="1">
      <c r="A1013" s="4" t="n">
        <v>1691</v>
      </c>
      <c r="B1013" s="5" t="inlineStr">
        <is>
          <t>IMG_0089</t>
        </is>
      </c>
      <c r="C1013" s="5" t="inlineStr">
        <is>
          <t>CLASS G: CONCRETE ANCILLARIES</t>
        </is>
      </c>
      <c r="D1013" s="5" t="inlineStr">
        <is>
          <t>CONCRETE FINISHING / ACCESSORIES</t>
        </is>
      </c>
      <c r="E1013" s="5" t="inlineStr">
        <is>
          <t>Inserts projecting from surface(s) of the concrete</t>
        </is>
      </c>
      <c r="F1013" s="5" t="inlineStr">
        <is>
          <t>cast iron pipe to BS 437; 100 mm dia. x 1000 mm long</t>
        </is>
      </c>
      <c r="G1013" s="6" t="inlineStr">
        <is>
          <t>nr</t>
        </is>
      </c>
      <c r="H1013" s="7" t="n">
        <v>0.25</v>
      </c>
      <c r="I1013" s="8" t="n">
        <v>18.84</v>
      </c>
      <c r="J1013" s="8" t="n">
        <v>0</v>
      </c>
      <c r="K1013" s="8" t="n">
        <v>40.7</v>
      </c>
      <c r="L1013" s="8" t="n">
        <v>0</v>
      </c>
      <c r="M1013" s="9">
        <f>ROUND(SUM(I1013:L1013),2)</f>
        <v/>
      </c>
      <c r="N1013" s="10">
        <f>ROUND(I1013*'Irish Basis'!$C$6*'Irish Basis'!$C$5,2)</f>
        <v/>
      </c>
      <c r="O1013" s="10">
        <f>ROUND(J1013*'Irish Basis'!$C$7*'Irish Basis'!$C$5,2)</f>
        <v/>
      </c>
      <c r="P1013" s="10">
        <f>ROUND(K1013*'Irish Basis'!$C$8*'Irish Basis'!$C$5,2)</f>
        <v/>
      </c>
      <c r="Q1013" s="10">
        <f>ROUND(L1013*'Irish Basis'!$C$12*'Irish Basis'!$C$5,2)</f>
        <v/>
      </c>
      <c r="R1013" s="11">
        <f>ROUND(SUM(N1013:Q1013),2)</f>
        <v/>
      </c>
      <c r="S1013" s="5" t="inlineStr">
        <is>
          <t>Stated build-up</t>
        </is>
      </c>
      <c r="T1013" s="12" t="inlineStr">
        <is>
          <t>High</t>
        </is>
      </c>
      <c r="U1013" s="8" t="n">
        <v>59.54</v>
      </c>
      <c r="V1013" s="13">
        <f>IF(U1013="","",ROUND(M1013-U1013,2))</f>
        <v/>
      </c>
      <c r="W1013" s="5" t="n"/>
      <c r="X1013" s="5" t="inlineStr">
        <is>
          <t>Labour + plant + material as published; reconciles to the published rate.</t>
        </is>
      </c>
    </row>
    <row r="1014" ht="13" customHeight="1">
      <c r="A1014" s="4" t="n">
        <v>1693</v>
      </c>
      <c r="B1014" s="5" t="inlineStr">
        <is>
          <t>IMG_0089</t>
        </is>
      </c>
      <c r="C1014" s="5" t="inlineStr">
        <is>
          <t>CLASS G: CONCRETE ANCILLARIES</t>
        </is>
      </c>
      <c r="D1014" s="5" t="inlineStr">
        <is>
          <t>CONCRETE FINISHING / ACCESSORIES</t>
        </is>
      </c>
      <c r="E1014" s="5" t="inlineStr">
        <is>
          <t>Grouting under plates; cement and sand (1:3)</t>
        </is>
      </c>
      <c r="F1014" s="5" t="inlineStr">
        <is>
          <t>area ne 0.1 m2</t>
        </is>
      </c>
      <c r="G1014" s="6" t="inlineStr">
        <is>
          <t>nr</t>
        </is>
      </c>
      <c r="H1014" s="7" t="n">
        <v>0.1</v>
      </c>
      <c r="I1014" s="8" t="n">
        <v>7.54</v>
      </c>
      <c r="J1014" s="8" t="n">
        <v>0</v>
      </c>
      <c r="K1014" s="8" t="n">
        <v>0.33</v>
      </c>
      <c r="L1014" s="8" t="n">
        <v>0</v>
      </c>
      <c r="M1014" s="9">
        <f>ROUND(SUM(I1014:L1014),2)</f>
        <v/>
      </c>
      <c r="N1014" s="10">
        <f>ROUND(I1014*'Irish Basis'!$C$6*'Irish Basis'!$C$5,2)</f>
        <v/>
      </c>
      <c r="O1014" s="10">
        <f>ROUND(J1014*'Irish Basis'!$C$7*'Irish Basis'!$C$5,2)</f>
        <v/>
      </c>
      <c r="P1014" s="10">
        <f>ROUND(K1014*'Irish Basis'!$C$8*'Irish Basis'!$C$5,2)</f>
        <v/>
      </c>
      <c r="Q1014" s="10">
        <f>ROUND(L1014*'Irish Basis'!$C$12*'Irish Basis'!$C$5,2)</f>
        <v/>
      </c>
      <c r="R1014" s="11">
        <f>ROUND(SUM(N1014:Q1014),2)</f>
        <v/>
      </c>
      <c r="S1014" s="5" t="inlineStr">
        <is>
          <t>Stated build-up</t>
        </is>
      </c>
      <c r="T1014" s="12" t="inlineStr">
        <is>
          <t>High</t>
        </is>
      </c>
      <c r="U1014" s="8" t="n">
        <v>7.87</v>
      </c>
      <c r="V1014" s="13">
        <f>IF(U1014="","",ROUND(M1014-U1014,2))</f>
        <v/>
      </c>
      <c r="W1014" s="5" t="n"/>
      <c r="X1014" s="5" t="inlineStr">
        <is>
          <t>Labour + plant + material as published; reconciles to the published rate.</t>
        </is>
      </c>
    </row>
    <row r="1015" ht="13" customHeight="1">
      <c r="A1015" s="4" t="n">
        <v>1694</v>
      </c>
      <c r="B1015" s="5" t="inlineStr">
        <is>
          <t>IMG_0089</t>
        </is>
      </c>
      <c r="C1015" s="5" t="inlineStr">
        <is>
          <t>CLASS G: CONCRETE ANCILLARIES</t>
        </is>
      </c>
      <c r="D1015" s="5" t="inlineStr">
        <is>
          <t>CONCRETE FINISHING / ACCESSORIES</t>
        </is>
      </c>
      <c r="E1015" s="5" t="inlineStr">
        <is>
          <t>Grouting under plates; cement and sand (1:3)</t>
        </is>
      </c>
      <c r="F1015" s="5" t="inlineStr">
        <is>
          <t>area 0.1-0.5 m2</t>
        </is>
      </c>
      <c r="G1015" s="6" t="inlineStr">
        <is>
          <t>nr</t>
        </is>
      </c>
      <c r="H1015" s="7" t="n">
        <v>0.45</v>
      </c>
      <c r="I1015" s="8" t="n">
        <v>33.91</v>
      </c>
      <c r="J1015" s="8" t="n">
        <v>0</v>
      </c>
      <c r="K1015" s="8" t="n">
        <v>1.62</v>
      </c>
      <c r="L1015" s="8" t="n">
        <v>0</v>
      </c>
      <c r="M1015" s="9">
        <f>ROUND(SUM(I1015:L1015),2)</f>
        <v/>
      </c>
      <c r="N1015" s="10">
        <f>ROUND(I1015*'Irish Basis'!$C$6*'Irish Basis'!$C$5,2)</f>
        <v/>
      </c>
      <c r="O1015" s="10">
        <f>ROUND(J1015*'Irish Basis'!$C$7*'Irish Basis'!$C$5,2)</f>
        <v/>
      </c>
      <c r="P1015" s="10">
        <f>ROUND(K1015*'Irish Basis'!$C$8*'Irish Basis'!$C$5,2)</f>
        <v/>
      </c>
      <c r="Q1015" s="10">
        <f>ROUND(L1015*'Irish Basis'!$C$12*'Irish Basis'!$C$5,2)</f>
        <v/>
      </c>
      <c r="R1015" s="11">
        <f>ROUND(SUM(N1015:Q1015),2)</f>
        <v/>
      </c>
      <c r="S1015" s="5" t="inlineStr">
        <is>
          <t>Stated build-up</t>
        </is>
      </c>
      <c r="T1015" s="12" t="inlineStr">
        <is>
          <t>High</t>
        </is>
      </c>
      <c r="U1015" s="8" t="n">
        <v>35.54</v>
      </c>
      <c r="V1015" s="13">
        <f>IF(U1015="","",ROUND(M1015-U1015,2))</f>
        <v/>
      </c>
      <c r="W1015" s="5" t="n"/>
      <c r="X1015" s="5" t="inlineStr">
        <is>
          <t>Labour + plant + material as published; reconciles to the published rate.</t>
        </is>
      </c>
    </row>
    <row r="1016" ht="13" customHeight="1">
      <c r="A1016" s="4" t="n">
        <v>1695</v>
      </c>
      <c r="B1016" s="5" t="inlineStr">
        <is>
          <t>IMG_0089</t>
        </is>
      </c>
      <c r="C1016" s="5" t="inlineStr">
        <is>
          <t>CLASS G: CONCRETE ANCILLARIES</t>
        </is>
      </c>
      <c r="D1016" s="5" t="inlineStr">
        <is>
          <t>CONCRETE FINISHING / ACCESSORIES</t>
        </is>
      </c>
      <c r="E1016" s="5" t="inlineStr">
        <is>
          <t>Grouting under plates; cement and sand (1:3)</t>
        </is>
      </c>
      <c r="F1016" s="5" t="inlineStr">
        <is>
          <t>area 0.5-1.0 m2</t>
        </is>
      </c>
      <c r="G1016" s="6" t="inlineStr">
        <is>
          <t>nr</t>
        </is>
      </c>
      <c r="H1016" s="7" t="n">
        <v>0.78</v>
      </c>
      <c r="I1016" s="8" t="n">
        <v>58.79</v>
      </c>
      <c r="J1016" s="8" t="n">
        <v>0</v>
      </c>
      <c r="K1016" s="8" t="n">
        <v>3.22</v>
      </c>
      <c r="L1016" s="8" t="n">
        <v>0</v>
      </c>
      <c r="M1016" s="9">
        <f>ROUND(SUM(I1016:L1016),2)</f>
        <v/>
      </c>
      <c r="N1016" s="10">
        <f>ROUND(I1016*'Irish Basis'!$C$6*'Irish Basis'!$C$5,2)</f>
        <v/>
      </c>
      <c r="O1016" s="10">
        <f>ROUND(J1016*'Irish Basis'!$C$7*'Irish Basis'!$C$5,2)</f>
        <v/>
      </c>
      <c r="P1016" s="10">
        <f>ROUND(K1016*'Irish Basis'!$C$8*'Irish Basis'!$C$5,2)</f>
        <v/>
      </c>
      <c r="Q1016" s="10">
        <f>ROUND(L1016*'Irish Basis'!$C$12*'Irish Basis'!$C$5,2)</f>
        <v/>
      </c>
      <c r="R1016" s="11">
        <f>ROUND(SUM(N1016:Q1016),2)</f>
        <v/>
      </c>
      <c r="S1016" s="5" t="inlineStr">
        <is>
          <t>Stated build-up</t>
        </is>
      </c>
      <c r="T1016" s="12" t="inlineStr">
        <is>
          <t>High</t>
        </is>
      </c>
      <c r="U1016" s="8" t="n">
        <v>62</v>
      </c>
      <c r="V1016" s="13">
        <f>IF(U1016="","",ROUND(M1016-U1016,2))</f>
        <v/>
      </c>
      <c r="W1016" s="5" t="n"/>
      <c r="X1016" s="5" t="inlineStr">
        <is>
          <t>Labour + plant + material as published; reconciles to the published rate.</t>
        </is>
      </c>
    </row>
    <row r="1017" ht="13" customHeight="1">
      <c r="A1017" s="4" t="n">
        <v>1697</v>
      </c>
      <c r="B1017" s="5" t="inlineStr">
        <is>
          <t>IMG_0089</t>
        </is>
      </c>
      <c r="C1017" s="5" t="inlineStr">
        <is>
          <t>CLASS G: CONCRETE ANCILLARIES</t>
        </is>
      </c>
      <c r="D1017" s="5" t="inlineStr">
        <is>
          <t>CONCRETE FINISHING / ACCESSORIES</t>
        </is>
      </c>
      <c r="E1017" s="5" t="inlineStr">
        <is>
          <t>Grouting under plates; non-shrink cementitious grout</t>
        </is>
      </c>
      <c r="F1017" s="5" t="inlineStr">
        <is>
          <t>area ne 0.1 m2</t>
        </is>
      </c>
      <c r="G1017" s="6" t="inlineStr">
        <is>
          <t>nr</t>
        </is>
      </c>
      <c r="H1017" s="7" t="n">
        <v>0.1</v>
      </c>
      <c r="I1017" s="8" t="n">
        <v>7.54</v>
      </c>
      <c r="J1017" s="8" t="n">
        <v>0</v>
      </c>
      <c r="K1017" s="8" t="n">
        <v>5.73</v>
      </c>
      <c r="L1017" s="8" t="n">
        <v>0</v>
      </c>
      <c r="M1017" s="9">
        <f>ROUND(SUM(I1017:L1017),2)</f>
        <v/>
      </c>
      <c r="N1017" s="10">
        <f>ROUND(I1017*'Irish Basis'!$C$6*'Irish Basis'!$C$5,2)</f>
        <v/>
      </c>
      <c r="O1017" s="10">
        <f>ROUND(J1017*'Irish Basis'!$C$7*'Irish Basis'!$C$5,2)</f>
        <v/>
      </c>
      <c r="P1017" s="10">
        <f>ROUND(K1017*'Irish Basis'!$C$8*'Irish Basis'!$C$5,2)</f>
        <v/>
      </c>
      <c r="Q1017" s="10">
        <f>ROUND(L1017*'Irish Basis'!$C$12*'Irish Basis'!$C$5,2)</f>
        <v/>
      </c>
      <c r="R1017" s="11">
        <f>ROUND(SUM(N1017:Q1017),2)</f>
        <v/>
      </c>
      <c r="S1017" s="5" t="inlineStr">
        <is>
          <t>Stated build-up</t>
        </is>
      </c>
      <c r="T1017" s="12" t="inlineStr">
        <is>
          <t>High</t>
        </is>
      </c>
      <c r="U1017" s="8" t="n">
        <v>13.27</v>
      </c>
      <c r="V1017" s="13">
        <f>IF(U1017="","",ROUND(M1017-U1017,2))</f>
        <v/>
      </c>
      <c r="W1017" s="5" t="n"/>
      <c r="X1017" s="5" t="inlineStr">
        <is>
          <t>Labour + plant + material as published; reconciles to the published rate.</t>
        </is>
      </c>
    </row>
    <row r="1018" ht="13" customHeight="1">
      <c r="A1018" s="4" t="n">
        <v>1698</v>
      </c>
      <c r="B1018" s="5" t="inlineStr">
        <is>
          <t>IMG_0089</t>
        </is>
      </c>
      <c r="C1018" s="5" t="inlineStr">
        <is>
          <t>CLASS G: CONCRETE ANCILLARIES</t>
        </is>
      </c>
      <c r="D1018" s="5" t="inlineStr">
        <is>
          <t>CONCRETE FINISHING / ACCESSORIES</t>
        </is>
      </c>
      <c r="E1018" s="5" t="inlineStr">
        <is>
          <t>Grouting under plates; non-shrink cementitious grout</t>
        </is>
      </c>
      <c r="F1018" s="5" t="inlineStr">
        <is>
          <t>area 0.1-0.5 m2</t>
        </is>
      </c>
      <c r="G1018" s="6" t="inlineStr">
        <is>
          <t>nr</t>
        </is>
      </c>
      <c r="H1018" s="7" t="n">
        <v>0.45</v>
      </c>
      <c r="I1018" s="8" t="n">
        <v>33.91</v>
      </c>
      <c r="J1018" s="8" t="n">
        <v>0</v>
      </c>
      <c r="K1018" s="8" t="n">
        <v>55.11</v>
      </c>
      <c r="L1018" s="8" t="n">
        <v>0</v>
      </c>
      <c r="M1018" s="9">
        <f>ROUND(SUM(I1018:L1018),2)</f>
        <v/>
      </c>
      <c r="N1018" s="10">
        <f>ROUND(I1018*'Irish Basis'!$C$6*'Irish Basis'!$C$5,2)</f>
        <v/>
      </c>
      <c r="O1018" s="10">
        <f>ROUND(J1018*'Irish Basis'!$C$7*'Irish Basis'!$C$5,2)</f>
        <v/>
      </c>
      <c r="P1018" s="10">
        <f>ROUND(K1018*'Irish Basis'!$C$8*'Irish Basis'!$C$5,2)</f>
        <v/>
      </c>
      <c r="Q1018" s="10">
        <f>ROUND(L1018*'Irish Basis'!$C$12*'Irish Basis'!$C$5,2)</f>
        <v/>
      </c>
      <c r="R1018" s="11">
        <f>ROUND(SUM(N1018:Q1018),2)</f>
        <v/>
      </c>
      <c r="S1018" s="5" t="inlineStr">
        <is>
          <t>Stated build-up</t>
        </is>
      </c>
      <c r="T1018" s="12" t="inlineStr">
        <is>
          <t>High</t>
        </is>
      </c>
      <c r="U1018" s="8" t="n">
        <v>89.02</v>
      </c>
      <c r="V1018" s="13">
        <f>IF(U1018="","",ROUND(M1018-U1018,2))</f>
        <v/>
      </c>
      <c r="W1018" s="5" t="n"/>
      <c r="X1018" s="5" t="inlineStr">
        <is>
          <t>Labour + plant + material as published; reconciles to the published rate.</t>
        </is>
      </c>
    </row>
    <row r="1019" ht="13" customHeight="1">
      <c r="A1019" s="4" t="n">
        <v>1699</v>
      </c>
      <c r="B1019" s="5" t="inlineStr">
        <is>
          <t>IMG_0089</t>
        </is>
      </c>
      <c r="C1019" s="5" t="inlineStr">
        <is>
          <t>CLASS G: CONCRETE ANCILLARIES</t>
        </is>
      </c>
      <c r="D1019" s="5" t="inlineStr">
        <is>
          <t>CONCRETE FINISHING / ACCESSORIES</t>
        </is>
      </c>
      <c r="E1019" s="5" t="inlineStr">
        <is>
          <t>Grouting under plates; non-shrink cementitious grout</t>
        </is>
      </c>
      <c r="F1019" s="5" t="inlineStr">
        <is>
          <t>area 0.5-1.0 m2</t>
        </is>
      </c>
      <c r="G1019" s="6" t="inlineStr">
        <is>
          <t>nr</t>
        </is>
      </c>
      <c r="H1019" s="7" t="n">
        <v>0.78</v>
      </c>
      <c r="I1019" s="8" t="n">
        <v>58.79</v>
      </c>
      <c r="J1019" s="8" t="n">
        <v>0</v>
      </c>
      <c r="K1019" s="8" t="n">
        <v>110.21</v>
      </c>
      <c r="L1019" s="8" t="n">
        <v>0</v>
      </c>
      <c r="M1019" s="9">
        <f>ROUND(SUM(I1019:L1019),2)</f>
        <v/>
      </c>
      <c r="N1019" s="10">
        <f>ROUND(I1019*'Irish Basis'!$C$6*'Irish Basis'!$C$5,2)</f>
        <v/>
      </c>
      <c r="O1019" s="10">
        <f>ROUND(J1019*'Irish Basis'!$C$7*'Irish Basis'!$C$5,2)</f>
        <v/>
      </c>
      <c r="P1019" s="10">
        <f>ROUND(K1019*'Irish Basis'!$C$8*'Irish Basis'!$C$5,2)</f>
        <v/>
      </c>
      <c r="Q1019" s="10">
        <f>ROUND(L1019*'Irish Basis'!$C$12*'Irish Basis'!$C$5,2)</f>
        <v/>
      </c>
      <c r="R1019" s="11">
        <f>ROUND(SUM(N1019:Q1019),2)</f>
        <v/>
      </c>
      <c r="S1019" s="5" t="inlineStr">
        <is>
          <t>Stated build-up</t>
        </is>
      </c>
      <c r="T1019" s="12" t="inlineStr">
        <is>
          <t>High</t>
        </is>
      </c>
      <c r="U1019" s="8" t="n">
        <v>169</v>
      </c>
      <c r="V1019" s="13">
        <f>IF(U1019="","",ROUND(M1019-U1019,2))</f>
        <v/>
      </c>
      <c r="W1019" s="5" t="n"/>
      <c r="X1019" s="5" t="inlineStr">
        <is>
          <t>Labour + plant + material as published; reconciles to the published rate.</t>
        </is>
      </c>
    </row>
    <row r="1020" ht="13" customHeight="1">
      <c r="A1020" s="4" t="n">
        <v>1705</v>
      </c>
      <c r="B1020" s="5" t="inlineStr">
        <is>
          <t>IMG_0090</t>
        </is>
      </c>
      <c r="C1020" s="5" t="inlineStr">
        <is>
          <t>CLASS H: PRECAST CONCRETE</t>
        </is>
      </c>
      <c r="D1020" s="5" t="inlineStr">
        <is>
          <t>01 BEAMS</t>
        </is>
      </c>
      <c r="E1020" s="5" t="inlineStr">
        <is>
          <t>Concrete mix C20; Beams</t>
        </is>
      </c>
      <c r="F1020" s="5" t="inlineStr">
        <is>
          <t>100 x 150 x 1050 mm long</t>
        </is>
      </c>
      <c r="G1020" s="6" t="inlineStr">
        <is>
          <t>nr</t>
        </is>
      </c>
      <c r="H1020" s="7" t="n">
        <v>0.5</v>
      </c>
      <c r="I1020" s="8" t="n">
        <v>90.8</v>
      </c>
      <c r="J1020" s="8" t="n">
        <v>0</v>
      </c>
      <c r="K1020" s="8" t="n">
        <v>11.1</v>
      </c>
      <c r="L1020" s="8" t="n">
        <v>0</v>
      </c>
      <c r="M1020" s="9">
        <f>ROUND(SUM(I1020:L1020),2)</f>
        <v/>
      </c>
      <c r="N1020" s="10">
        <f>ROUND(I1020*'Irish Basis'!$C$6*'Irish Basis'!$C$5,2)</f>
        <v/>
      </c>
      <c r="O1020" s="10">
        <f>ROUND(J1020*'Irish Basis'!$C$7*'Irish Basis'!$C$5,2)</f>
        <v/>
      </c>
      <c r="P1020" s="10">
        <f>ROUND(K1020*'Irish Basis'!$C$8*'Irish Basis'!$C$5,2)</f>
        <v/>
      </c>
      <c r="Q1020" s="10">
        <f>ROUND(L1020*'Irish Basis'!$C$12*'Irish Basis'!$C$5,2)</f>
        <v/>
      </c>
      <c r="R1020" s="11">
        <f>ROUND(SUM(N1020:Q1020),2)</f>
        <v/>
      </c>
      <c r="S1020" s="5" t="inlineStr">
        <is>
          <t>Stated build-up</t>
        </is>
      </c>
      <c r="T1020" s="12" t="inlineStr">
        <is>
          <t>High</t>
        </is>
      </c>
      <c r="U1020" s="8" t="n">
        <v>101.91</v>
      </c>
      <c r="V1020" s="13">
        <f>IF(U1020="","",ROUND(M1020-U1020,2))</f>
        <v/>
      </c>
      <c r="W1020" s="5" t="n"/>
      <c r="X1020" s="5" t="inlineStr">
        <is>
          <t>Labour + plant + material as published; reconciles to the published rate.</t>
        </is>
      </c>
    </row>
    <row r="1021" ht="13" customHeight="1">
      <c r="A1021" s="4" t="n">
        <v>1706</v>
      </c>
      <c r="B1021" s="5" t="inlineStr">
        <is>
          <t>IMG_0090</t>
        </is>
      </c>
      <c r="C1021" s="5" t="inlineStr">
        <is>
          <t>CLASS H: PRECAST CONCRETE</t>
        </is>
      </c>
      <c r="D1021" s="5" t="inlineStr">
        <is>
          <t>01 BEAMS</t>
        </is>
      </c>
      <c r="E1021" s="5" t="inlineStr">
        <is>
          <t>Concrete mix C20; Beams</t>
        </is>
      </c>
      <c r="F1021" s="5" t="inlineStr">
        <is>
          <t>225 x 150 x 1200 mm long</t>
        </is>
      </c>
      <c r="G1021" s="6" t="inlineStr">
        <is>
          <t>nr</t>
        </is>
      </c>
      <c r="H1021" s="7" t="n">
        <v>0.5</v>
      </c>
      <c r="I1021" s="8" t="n">
        <v>90.8</v>
      </c>
      <c r="J1021" s="8" t="n">
        <v>3.34</v>
      </c>
      <c r="K1021" s="8" t="n">
        <v>42.89</v>
      </c>
      <c r="L1021" s="8" t="n">
        <v>0</v>
      </c>
      <c r="M1021" s="9">
        <f>ROUND(SUM(I1021:L1021),2)</f>
        <v/>
      </c>
      <c r="N1021" s="10">
        <f>ROUND(I1021*'Irish Basis'!$C$6*'Irish Basis'!$C$5,2)</f>
        <v/>
      </c>
      <c r="O1021" s="10">
        <f>ROUND(J1021*'Irish Basis'!$C$7*'Irish Basis'!$C$5,2)</f>
        <v/>
      </c>
      <c r="P1021" s="10">
        <f>ROUND(K1021*'Irish Basis'!$C$8*'Irish Basis'!$C$5,2)</f>
        <v/>
      </c>
      <c r="Q1021" s="10">
        <f>ROUND(L1021*'Irish Basis'!$C$12*'Irish Basis'!$C$5,2)</f>
        <v/>
      </c>
      <c r="R1021" s="11">
        <f>ROUND(SUM(N1021:Q1021),2)</f>
        <v/>
      </c>
      <c r="S1021" s="5" t="inlineStr">
        <is>
          <t>Stated build-up</t>
        </is>
      </c>
      <c r="T1021" s="12" t="inlineStr">
        <is>
          <t>High</t>
        </is>
      </c>
      <c r="U1021" s="8" t="n">
        <v>137.03</v>
      </c>
      <c r="V1021" s="13">
        <f>IF(U1021="","",ROUND(M1021-U1021,2))</f>
        <v/>
      </c>
      <c r="W1021" s="5" t="n"/>
      <c r="X1021" s="5" t="inlineStr">
        <is>
          <t>Labour + plant + material as published; reconciles to the published rate.</t>
        </is>
      </c>
    </row>
    <row r="1022" ht="13" customHeight="1">
      <c r="A1022" s="4" t="n">
        <v>1707</v>
      </c>
      <c r="B1022" s="5" t="inlineStr">
        <is>
          <t>IMG_0090</t>
        </is>
      </c>
      <c r="C1022" s="5" t="inlineStr">
        <is>
          <t>CLASS H: PRECAST CONCRETE</t>
        </is>
      </c>
      <c r="D1022" s="5" t="inlineStr">
        <is>
          <t>01 BEAMS</t>
        </is>
      </c>
      <c r="E1022" s="5" t="inlineStr">
        <is>
          <t>Concrete mix C20; Beams</t>
        </is>
      </c>
      <c r="F1022" s="5" t="inlineStr">
        <is>
          <t>225 x 225 x 1800 mm long</t>
        </is>
      </c>
      <c r="G1022" s="6" t="inlineStr">
        <is>
          <t>nr</t>
        </is>
      </c>
      <c r="H1022" s="7" t="n">
        <v>0.6</v>
      </c>
      <c r="I1022" s="8" t="n">
        <v>108.97</v>
      </c>
      <c r="J1022" s="8" t="n">
        <v>3.91</v>
      </c>
      <c r="K1022" s="8" t="n">
        <v>59.79</v>
      </c>
      <c r="L1022" s="8" t="n">
        <v>0</v>
      </c>
      <c r="M1022" s="9">
        <f>ROUND(SUM(I1022:L1022),2)</f>
        <v/>
      </c>
      <c r="N1022" s="10">
        <f>ROUND(I1022*'Irish Basis'!$C$6*'Irish Basis'!$C$5,2)</f>
        <v/>
      </c>
      <c r="O1022" s="10">
        <f>ROUND(J1022*'Irish Basis'!$C$7*'Irish Basis'!$C$5,2)</f>
        <v/>
      </c>
      <c r="P1022" s="10">
        <f>ROUND(K1022*'Irish Basis'!$C$8*'Irish Basis'!$C$5,2)</f>
        <v/>
      </c>
      <c r="Q1022" s="10">
        <f>ROUND(L1022*'Irish Basis'!$C$12*'Irish Basis'!$C$5,2)</f>
        <v/>
      </c>
      <c r="R1022" s="11">
        <f>ROUND(SUM(N1022:Q1022),2)</f>
        <v/>
      </c>
      <c r="S1022" s="5" t="inlineStr">
        <is>
          <t>Stated build-up</t>
        </is>
      </c>
      <c r="T1022" s="12" t="inlineStr">
        <is>
          <t>High</t>
        </is>
      </c>
      <c r="U1022" s="8" t="n">
        <v>172.66</v>
      </c>
      <c r="V1022" s="13">
        <f>IF(U1022="","",ROUND(M1022-U1022,2))</f>
        <v/>
      </c>
      <c r="W1022" s="5" t="n"/>
      <c r="X1022" s="5" t="inlineStr">
        <is>
          <t>Labour + plant + material as published; reconciles to the published rate.</t>
        </is>
      </c>
    </row>
    <row r="1023" ht="13" customHeight="1">
      <c r="A1023" s="4" t="n">
        <v>1710</v>
      </c>
      <c r="B1023" s="5" t="inlineStr">
        <is>
          <t>IMG_0090</t>
        </is>
      </c>
      <c r="C1023" s="5" t="inlineStr">
        <is>
          <t>CLASS H: PRECAST CONCRETE</t>
        </is>
      </c>
      <c r="D1023" s="5" t="inlineStr">
        <is>
          <t>02 PRESTRESSED PRE-TENSIONED BEAMS</t>
        </is>
      </c>
      <c r="E1023" s="5" t="inlineStr">
        <is>
          <t>Concrete mix C20; Beams</t>
        </is>
      </c>
      <c r="F1023" s="5" t="inlineStr">
        <is>
          <t>100 x 65 x 1050 mm long</t>
        </is>
      </c>
      <c r="G1023" s="6" t="inlineStr">
        <is>
          <t>nr</t>
        </is>
      </c>
      <c r="H1023" s="7" t="n">
        <v>0.3</v>
      </c>
      <c r="I1023" s="8" t="n">
        <v>54.48</v>
      </c>
      <c r="J1023" s="8" t="n">
        <v>0</v>
      </c>
      <c r="K1023" s="8" t="n">
        <v>6.66</v>
      </c>
      <c r="L1023" s="8" t="n">
        <v>0</v>
      </c>
      <c r="M1023" s="9">
        <f>ROUND(SUM(I1023:L1023),2)</f>
        <v/>
      </c>
      <c r="N1023" s="10">
        <f>ROUND(I1023*'Irish Basis'!$C$6*'Irish Basis'!$C$5,2)</f>
        <v/>
      </c>
      <c r="O1023" s="10">
        <f>ROUND(J1023*'Irish Basis'!$C$7*'Irish Basis'!$C$5,2)</f>
        <v/>
      </c>
      <c r="P1023" s="10">
        <f>ROUND(K1023*'Irish Basis'!$C$8*'Irish Basis'!$C$5,2)</f>
        <v/>
      </c>
      <c r="Q1023" s="10">
        <f>ROUND(L1023*'Irish Basis'!$C$12*'Irish Basis'!$C$5,2)</f>
        <v/>
      </c>
      <c r="R1023" s="11">
        <f>ROUND(SUM(N1023:Q1023),2)</f>
        <v/>
      </c>
      <c r="S1023" s="5" t="inlineStr">
        <is>
          <t>Stated build-up</t>
        </is>
      </c>
      <c r="T1023" s="12" t="inlineStr">
        <is>
          <t>High</t>
        </is>
      </c>
      <c r="U1023" s="8" t="n">
        <v>61.14</v>
      </c>
      <c r="V1023" s="13">
        <f>IF(U1023="","",ROUND(M1023-U1023,2))</f>
        <v/>
      </c>
      <c r="W1023" s="5" t="n"/>
      <c r="X1023" s="5" t="inlineStr">
        <is>
          <t>Labour + plant + material as published; reconciles to the published rate.</t>
        </is>
      </c>
    </row>
    <row r="1024" ht="13" customHeight="1">
      <c r="A1024" s="4" t="n">
        <v>1711</v>
      </c>
      <c r="B1024" s="5" t="inlineStr">
        <is>
          <t>IMG_0090</t>
        </is>
      </c>
      <c r="C1024" s="5" t="inlineStr">
        <is>
          <t>CLASS H: PRECAST CONCRETE</t>
        </is>
      </c>
      <c r="D1024" s="5" t="inlineStr">
        <is>
          <t>02 PRESTRESSED PRE-TENSIONED BEAMS</t>
        </is>
      </c>
      <c r="E1024" s="5" t="inlineStr">
        <is>
          <t>Concrete mix C20; Beams</t>
        </is>
      </c>
      <c r="F1024" s="5" t="inlineStr">
        <is>
          <t>265 x 65 x 1800 mm long</t>
        </is>
      </c>
      <c r="G1024" s="6" t="inlineStr">
        <is>
          <t>nr</t>
        </is>
      </c>
      <c r="H1024" s="7" t="n">
        <v>0.5</v>
      </c>
      <c r="I1024" s="8" t="n">
        <v>90.8</v>
      </c>
      <c r="J1024" s="8" t="n">
        <v>3.27</v>
      </c>
      <c r="K1024" s="8" t="n">
        <v>27.77</v>
      </c>
      <c r="L1024" s="8" t="n">
        <v>0</v>
      </c>
      <c r="M1024" s="9">
        <f>ROUND(SUM(I1024:L1024),2)</f>
        <v/>
      </c>
      <c r="N1024" s="10">
        <f>ROUND(I1024*'Irish Basis'!$C$6*'Irish Basis'!$C$5,2)</f>
        <v/>
      </c>
      <c r="O1024" s="10">
        <f>ROUND(J1024*'Irish Basis'!$C$7*'Irish Basis'!$C$5,2)</f>
        <v/>
      </c>
      <c r="P1024" s="10">
        <f>ROUND(K1024*'Irish Basis'!$C$8*'Irish Basis'!$C$5,2)</f>
        <v/>
      </c>
      <c r="Q1024" s="10">
        <f>ROUND(L1024*'Irish Basis'!$C$12*'Irish Basis'!$C$5,2)</f>
        <v/>
      </c>
      <c r="R1024" s="11">
        <f>ROUND(SUM(N1024:Q1024),2)</f>
        <v/>
      </c>
      <c r="S1024" s="5" t="inlineStr">
        <is>
          <t>Stated build-up</t>
        </is>
      </c>
      <c r="T1024" s="12" t="inlineStr">
        <is>
          <t>High</t>
        </is>
      </c>
      <c r="U1024" s="8" t="n">
        <v>121.85</v>
      </c>
      <c r="V1024" s="13">
        <f>IF(U1024="","",ROUND(M1024-U1024,2))</f>
        <v/>
      </c>
      <c r="W1024" s="5" t="n"/>
      <c r="X1024" s="5" t="inlineStr">
        <is>
          <t>Labour + plant + material as published; reconciles to the published rate.</t>
        </is>
      </c>
    </row>
    <row r="1025" ht="13" customHeight="1">
      <c r="A1025" s="4" t="n">
        <v>1713</v>
      </c>
      <c r="B1025" s="5" t="inlineStr">
        <is>
          <t>IMG_0090</t>
        </is>
      </c>
      <c r="C1025" s="5" t="inlineStr">
        <is>
          <t>CLASS H: PRECAST CONCRETE</t>
        </is>
      </c>
      <c r="D1025" s="5" t="inlineStr">
        <is>
          <t>02 PRESTRESSED PRE-TENSIONED BEAMS</t>
        </is>
      </c>
      <c r="E1025" s="5" t="inlineStr">
        <is>
          <t>Bridge beams; Inverted 'T' Beams, flange width 495 mm</t>
        </is>
      </c>
      <c r="F1025" s="5" t="inlineStr">
        <is>
          <t>section T1; 8 m long, 380 mm deep; mass 1.88t</t>
        </is>
      </c>
      <c r="G1025" s="6" t="inlineStr">
        <is>
          <t>nr</t>
        </is>
      </c>
      <c r="H1025" s="7" t="n"/>
      <c r="I1025" s="8" t="n">
        <v>845.9299999999999</v>
      </c>
      <c r="J1025" s="8" t="n">
        <v>0</v>
      </c>
      <c r="K1025" s="8" t="n">
        <v>974.65</v>
      </c>
      <c r="L1025" s="8" t="n">
        <v>0</v>
      </c>
      <c r="M1025" s="9">
        <f>ROUND(SUM(I1025:L1025),2)</f>
        <v/>
      </c>
      <c r="N1025" s="10">
        <f>ROUND(I1025*'Irish Basis'!$C$6*'Irish Basis'!$C$5,2)</f>
        <v/>
      </c>
      <c r="O1025" s="10">
        <f>ROUND(J1025*'Irish Basis'!$C$7*'Irish Basis'!$C$5,2)</f>
        <v/>
      </c>
      <c r="P1025" s="10">
        <f>ROUND(K1025*'Irish Basis'!$C$8*'Irish Basis'!$C$5,2)</f>
        <v/>
      </c>
      <c r="Q1025" s="10">
        <f>ROUND(L1025*'Irish Basis'!$C$12*'Irish Basis'!$C$5,2)</f>
        <v/>
      </c>
      <c r="R1025" s="11">
        <f>ROUND(SUM(N1025:Q1025),2)</f>
        <v/>
      </c>
      <c r="S1025" s="5" t="inlineStr">
        <is>
          <t>Apportioned (class)</t>
        </is>
      </c>
      <c r="T1025" s="17" t="inlineStr">
        <is>
          <t>Low</t>
        </is>
      </c>
      <c r="U1025" s="8" t="n">
        <v>1820.58</v>
      </c>
      <c r="V1025" s="13">
        <f>IF(U1025="","",ROUND(M1025-U1025,2))</f>
        <v/>
      </c>
      <c r="W1025" s="15" t="inlineStr">
        <is>
          <t>Apportioned at class level</t>
        </is>
      </c>
      <c r="X1025" s="5" t="inlineStr">
        <is>
          <t>Split from published rate using median L/P/M shares of 19 comparable build-ups at class level (46/0/54).</t>
        </is>
      </c>
    </row>
    <row r="1026" ht="13" customHeight="1">
      <c r="A1026" s="4" t="n">
        <v>1714</v>
      </c>
      <c r="B1026" s="5" t="inlineStr">
        <is>
          <t>IMG_0090</t>
        </is>
      </c>
      <c r="C1026" s="5" t="inlineStr">
        <is>
          <t>CLASS H: PRECAST CONCRETE</t>
        </is>
      </c>
      <c r="D1026" s="5" t="inlineStr">
        <is>
          <t>02 PRESTRESSED PRE-TENSIONED BEAMS</t>
        </is>
      </c>
      <c r="E1026" s="5" t="inlineStr">
        <is>
          <t>Bridge beams; Inverted 'T' Beams, flange width 495 mm</t>
        </is>
      </c>
      <c r="F1026" s="5" t="inlineStr">
        <is>
          <t>section T2; 9 m long, 420 mm deep; mass 2.29t</t>
        </is>
      </c>
      <c r="G1026" s="6" t="inlineStr">
        <is>
          <t>nr</t>
        </is>
      </c>
      <c r="H1026" s="7" t="n"/>
      <c r="I1026" s="8" t="n">
        <v>1042.66</v>
      </c>
      <c r="J1026" s="8" t="n">
        <v>0</v>
      </c>
      <c r="K1026" s="8" t="n">
        <v>1201.3</v>
      </c>
      <c r="L1026" s="8" t="n">
        <v>0</v>
      </c>
      <c r="M1026" s="9">
        <f>ROUND(SUM(I1026:L1026),2)</f>
        <v/>
      </c>
      <c r="N1026" s="10">
        <f>ROUND(I1026*'Irish Basis'!$C$6*'Irish Basis'!$C$5,2)</f>
        <v/>
      </c>
      <c r="O1026" s="10">
        <f>ROUND(J1026*'Irish Basis'!$C$7*'Irish Basis'!$C$5,2)</f>
        <v/>
      </c>
      <c r="P1026" s="10">
        <f>ROUND(K1026*'Irish Basis'!$C$8*'Irish Basis'!$C$5,2)</f>
        <v/>
      </c>
      <c r="Q1026" s="10">
        <f>ROUND(L1026*'Irish Basis'!$C$12*'Irish Basis'!$C$5,2)</f>
        <v/>
      </c>
      <c r="R1026" s="11">
        <f>ROUND(SUM(N1026:Q1026),2)</f>
        <v/>
      </c>
      <c r="S1026" s="5" t="inlineStr">
        <is>
          <t>Apportioned (class)</t>
        </is>
      </c>
      <c r="T1026" s="17" t="inlineStr">
        <is>
          <t>Low</t>
        </is>
      </c>
      <c r="U1026" s="8" t="n">
        <v>2243.96</v>
      </c>
      <c r="V1026" s="13">
        <f>IF(U1026="","",ROUND(M1026-U1026,2))</f>
        <v/>
      </c>
      <c r="W1026" s="15" t="inlineStr">
        <is>
          <t>Apportioned at class level</t>
        </is>
      </c>
      <c r="X1026" s="5" t="inlineStr">
        <is>
          <t>Split from published rate using median L/P/M shares of 19 comparable build-ups at class level (46/0/54).</t>
        </is>
      </c>
    </row>
    <row r="1027" ht="13" customHeight="1">
      <c r="A1027" s="4" t="n">
        <v>1715</v>
      </c>
      <c r="B1027" s="5" t="inlineStr">
        <is>
          <t>IMG_0090</t>
        </is>
      </c>
      <c r="C1027" s="5" t="inlineStr">
        <is>
          <t>CLASS H: PRECAST CONCRETE</t>
        </is>
      </c>
      <c r="D1027" s="5" t="inlineStr">
        <is>
          <t>02 PRESTRESSED PRE-TENSIONED BEAMS</t>
        </is>
      </c>
      <c r="E1027" s="5" t="inlineStr">
        <is>
          <t>Bridge beams; Inverted 'T' Beams, flange width 495 mm</t>
        </is>
      </c>
      <c r="F1027" s="5" t="inlineStr">
        <is>
          <t>section T3; 11 m long, 535 mm deep; mass 3.02t</t>
        </is>
      </c>
      <c r="G1027" s="6" t="inlineStr">
        <is>
          <t>nr</t>
        </is>
      </c>
      <c r="H1027" s="7" t="n"/>
      <c r="I1027" s="8" t="n">
        <v>1229.55</v>
      </c>
      <c r="J1027" s="8" t="n">
        <v>0</v>
      </c>
      <c r="K1027" s="8" t="n">
        <v>1416.63</v>
      </c>
      <c r="L1027" s="8" t="n">
        <v>0</v>
      </c>
      <c r="M1027" s="9">
        <f>ROUND(SUM(I1027:L1027),2)</f>
        <v/>
      </c>
      <c r="N1027" s="10">
        <f>ROUND(I1027*'Irish Basis'!$C$6*'Irish Basis'!$C$5,2)</f>
        <v/>
      </c>
      <c r="O1027" s="10">
        <f>ROUND(J1027*'Irish Basis'!$C$7*'Irish Basis'!$C$5,2)</f>
        <v/>
      </c>
      <c r="P1027" s="10">
        <f>ROUND(K1027*'Irish Basis'!$C$8*'Irish Basis'!$C$5,2)</f>
        <v/>
      </c>
      <c r="Q1027" s="10">
        <f>ROUND(L1027*'Irish Basis'!$C$12*'Irish Basis'!$C$5,2)</f>
        <v/>
      </c>
      <c r="R1027" s="11">
        <f>ROUND(SUM(N1027:Q1027),2)</f>
        <v/>
      </c>
      <c r="S1027" s="5" t="inlineStr">
        <is>
          <t>Apportioned (class)</t>
        </is>
      </c>
      <c r="T1027" s="17" t="inlineStr">
        <is>
          <t>Low</t>
        </is>
      </c>
      <c r="U1027" s="8" t="n">
        <v>2646.18</v>
      </c>
      <c r="V1027" s="13">
        <f>IF(U1027="","",ROUND(M1027-U1027,2))</f>
        <v/>
      </c>
      <c r="W1027" s="15" t="inlineStr">
        <is>
          <t>Apportioned at class level</t>
        </is>
      </c>
      <c r="X1027" s="5" t="inlineStr">
        <is>
          <t>Split from published rate using median L/P/M shares of 19 comparable build-ups at class level (46/0/54).</t>
        </is>
      </c>
    </row>
    <row r="1028" ht="13" customHeight="1">
      <c r="A1028" s="4" t="n">
        <v>1716</v>
      </c>
      <c r="B1028" s="5" t="inlineStr">
        <is>
          <t>IMG_0090</t>
        </is>
      </c>
      <c r="C1028" s="5" t="inlineStr">
        <is>
          <t>CLASS H: PRECAST CONCRETE</t>
        </is>
      </c>
      <c r="D1028" s="5" t="inlineStr">
        <is>
          <t>02 PRESTRESSED PRE-TENSIONED BEAMS</t>
        </is>
      </c>
      <c r="E1028" s="5" t="inlineStr">
        <is>
          <t>Bridge beams; Inverted 'T' Beams, flange width 495 mm</t>
        </is>
      </c>
      <c r="F1028" s="5" t="inlineStr">
        <is>
          <t>section T4; 12 m long, 575 mm deep; mass 3.54t</t>
        </is>
      </c>
      <c r="G1028" s="6" t="inlineStr">
        <is>
          <t>nr</t>
        </is>
      </c>
      <c r="H1028" s="7" t="n"/>
      <c r="I1028" s="8" t="n">
        <v>1278.74</v>
      </c>
      <c r="J1028" s="8" t="n">
        <v>0</v>
      </c>
      <c r="K1028" s="8" t="n">
        <v>1473.31</v>
      </c>
      <c r="L1028" s="8" t="n">
        <v>0</v>
      </c>
      <c r="M1028" s="9">
        <f>ROUND(SUM(I1028:L1028),2)</f>
        <v/>
      </c>
      <c r="N1028" s="10">
        <f>ROUND(I1028*'Irish Basis'!$C$6*'Irish Basis'!$C$5,2)</f>
        <v/>
      </c>
      <c r="O1028" s="10">
        <f>ROUND(J1028*'Irish Basis'!$C$7*'Irish Basis'!$C$5,2)</f>
        <v/>
      </c>
      <c r="P1028" s="10">
        <f>ROUND(K1028*'Irish Basis'!$C$8*'Irish Basis'!$C$5,2)</f>
        <v/>
      </c>
      <c r="Q1028" s="10">
        <f>ROUND(L1028*'Irish Basis'!$C$12*'Irish Basis'!$C$5,2)</f>
        <v/>
      </c>
      <c r="R1028" s="11">
        <f>ROUND(SUM(N1028:Q1028),2)</f>
        <v/>
      </c>
      <c r="S1028" s="5" t="inlineStr">
        <is>
          <t>Apportioned (class)</t>
        </is>
      </c>
      <c r="T1028" s="17" t="inlineStr">
        <is>
          <t>Low</t>
        </is>
      </c>
      <c r="U1028" s="8" t="n">
        <v>2752.05</v>
      </c>
      <c r="V1028" s="13">
        <f>IF(U1028="","",ROUND(M1028-U1028,2))</f>
        <v/>
      </c>
      <c r="W1028" s="15" t="inlineStr">
        <is>
          <t>Apportioned at class level</t>
        </is>
      </c>
      <c r="X1028" s="5" t="inlineStr">
        <is>
          <t>Split from published rate using median L/P/M shares of 19 comparable build-ups at class level (46/0/54).</t>
        </is>
      </c>
    </row>
    <row r="1029" ht="13" customHeight="1">
      <c r="A1029" s="4" t="n">
        <v>1717</v>
      </c>
      <c r="B1029" s="5" t="inlineStr">
        <is>
          <t>IMG_0090</t>
        </is>
      </c>
      <c r="C1029" s="5" t="inlineStr">
        <is>
          <t>CLASS H: PRECAST CONCRETE</t>
        </is>
      </c>
      <c r="D1029" s="5" t="inlineStr">
        <is>
          <t>02 PRESTRESSED PRE-TENSIONED BEAMS</t>
        </is>
      </c>
      <c r="E1029" s="5" t="inlineStr">
        <is>
          <t>Bridge beams; Inverted 'T' Beams, flange width 495 mm</t>
        </is>
      </c>
      <c r="F1029" s="5" t="inlineStr">
        <is>
          <t>section T5; 13 m long, 615 mm deep; mass 4.08t</t>
        </is>
      </c>
      <c r="G1029" s="6" t="inlineStr">
        <is>
          <t>nr</t>
        </is>
      </c>
      <c r="H1029" s="7" t="n"/>
      <c r="I1029" s="8" t="n">
        <v>1426.28</v>
      </c>
      <c r="J1029" s="8" t="n">
        <v>0</v>
      </c>
      <c r="K1029" s="8" t="n">
        <v>1643.3</v>
      </c>
      <c r="L1029" s="8" t="n">
        <v>0</v>
      </c>
      <c r="M1029" s="9">
        <f>ROUND(SUM(I1029:L1029),2)</f>
        <v/>
      </c>
      <c r="N1029" s="10">
        <f>ROUND(I1029*'Irish Basis'!$C$6*'Irish Basis'!$C$5,2)</f>
        <v/>
      </c>
      <c r="O1029" s="10">
        <f>ROUND(J1029*'Irish Basis'!$C$7*'Irish Basis'!$C$5,2)</f>
        <v/>
      </c>
      <c r="P1029" s="10">
        <f>ROUND(K1029*'Irish Basis'!$C$8*'Irish Basis'!$C$5,2)</f>
        <v/>
      </c>
      <c r="Q1029" s="10">
        <f>ROUND(L1029*'Irish Basis'!$C$12*'Irish Basis'!$C$5,2)</f>
        <v/>
      </c>
      <c r="R1029" s="11">
        <f>ROUND(SUM(N1029:Q1029),2)</f>
        <v/>
      </c>
      <c r="S1029" s="5" t="inlineStr">
        <is>
          <t>Apportioned (class)</t>
        </is>
      </c>
      <c r="T1029" s="17" t="inlineStr">
        <is>
          <t>Low</t>
        </is>
      </c>
      <c r="U1029" s="8" t="n">
        <v>3069.58</v>
      </c>
      <c r="V1029" s="13">
        <f>IF(U1029="","",ROUND(M1029-U1029,2))</f>
        <v/>
      </c>
      <c r="W1029" s="15" t="inlineStr">
        <is>
          <t>Apportioned at class level</t>
        </is>
      </c>
      <c r="X1029" s="5" t="inlineStr">
        <is>
          <t>Split from published rate using median L/P/M shares of 19 comparable build-ups at class level (46/0/54).</t>
        </is>
      </c>
    </row>
    <row r="1030" ht="13" customHeight="1">
      <c r="A1030" s="4" t="n">
        <v>1718</v>
      </c>
      <c r="B1030" s="5" t="inlineStr">
        <is>
          <t>IMG_0090</t>
        </is>
      </c>
      <c r="C1030" s="5" t="inlineStr">
        <is>
          <t>CLASS H: PRECAST CONCRETE</t>
        </is>
      </c>
      <c r="D1030" s="5" t="inlineStr">
        <is>
          <t>02 PRESTRESSED PRE-TENSIONED BEAMS</t>
        </is>
      </c>
      <c r="E1030" s="5" t="inlineStr">
        <is>
          <t>Bridge beams; Inverted 'T' Beams, flange width 495 mm</t>
        </is>
      </c>
      <c r="F1030" s="5" t="inlineStr">
        <is>
          <t>section T6; 13 m long, 655 mm deep; mass 4.33t</t>
        </is>
      </c>
      <c r="G1030" s="6" t="inlineStr">
        <is>
          <t>nr</t>
        </is>
      </c>
      <c r="H1030" s="7" t="n"/>
      <c r="I1030" s="8" t="n">
        <v>1426.29</v>
      </c>
      <c r="J1030" s="8" t="n">
        <v>0</v>
      </c>
      <c r="K1030" s="8" t="n">
        <v>1643.31</v>
      </c>
      <c r="L1030" s="8" t="n">
        <v>0</v>
      </c>
      <c r="M1030" s="9">
        <f>ROUND(SUM(I1030:L1030),2)</f>
        <v/>
      </c>
      <c r="N1030" s="10">
        <f>ROUND(I1030*'Irish Basis'!$C$6*'Irish Basis'!$C$5,2)</f>
        <v/>
      </c>
      <c r="O1030" s="10">
        <f>ROUND(J1030*'Irish Basis'!$C$7*'Irish Basis'!$C$5,2)</f>
        <v/>
      </c>
      <c r="P1030" s="10">
        <f>ROUND(K1030*'Irish Basis'!$C$8*'Irish Basis'!$C$5,2)</f>
        <v/>
      </c>
      <c r="Q1030" s="10">
        <f>ROUND(L1030*'Irish Basis'!$C$12*'Irish Basis'!$C$5,2)</f>
        <v/>
      </c>
      <c r="R1030" s="11">
        <f>ROUND(SUM(N1030:Q1030),2)</f>
        <v/>
      </c>
      <c r="S1030" s="5" t="inlineStr">
        <is>
          <t>Apportioned (class)</t>
        </is>
      </c>
      <c r="T1030" s="17" t="inlineStr">
        <is>
          <t>Low</t>
        </is>
      </c>
      <c r="U1030" s="8" t="n">
        <v>3069.6</v>
      </c>
      <c r="V1030" s="13">
        <f>IF(U1030="","",ROUND(M1030-U1030,2))</f>
        <v/>
      </c>
      <c r="W1030" s="15" t="inlineStr">
        <is>
          <t>Apportioned at class level</t>
        </is>
      </c>
      <c r="X1030" s="5" t="inlineStr">
        <is>
          <t>Split from published rate using median L/P/M shares of 19 comparable build-ups at class level (46/0/54).</t>
        </is>
      </c>
    </row>
    <row r="1031" ht="13" customHeight="1">
      <c r="A1031" s="4" t="n">
        <v>1719</v>
      </c>
      <c r="B1031" s="5" t="inlineStr">
        <is>
          <t>IMG_0090</t>
        </is>
      </c>
      <c r="C1031" s="5" t="inlineStr">
        <is>
          <t>CLASS H: PRECAST CONCRETE</t>
        </is>
      </c>
      <c r="D1031" s="5" t="inlineStr">
        <is>
          <t>02 PRESTRESSED PRE-TENSIONED BEAMS</t>
        </is>
      </c>
      <c r="E1031" s="5" t="inlineStr">
        <is>
          <t>Bridge beams; Inverted 'T' Beams, flange width 495 mm</t>
        </is>
      </c>
      <c r="F1031" s="5" t="inlineStr">
        <is>
          <t>section T7; 14 m long, 695 mm deep; mass 4.95t</t>
        </is>
      </c>
      <c r="G1031" s="6" t="inlineStr">
        <is>
          <t>nr</t>
        </is>
      </c>
      <c r="H1031" s="7" t="n"/>
      <c r="I1031" s="8" t="n">
        <v>1524.65</v>
      </c>
      <c r="J1031" s="8" t="n">
        <v>0</v>
      </c>
      <c r="K1031" s="8" t="n">
        <v>1756.64</v>
      </c>
      <c r="L1031" s="8" t="n">
        <v>0</v>
      </c>
      <c r="M1031" s="9">
        <f>ROUND(SUM(I1031:L1031),2)</f>
        <v/>
      </c>
      <c r="N1031" s="10">
        <f>ROUND(I1031*'Irish Basis'!$C$6*'Irish Basis'!$C$5,2)</f>
        <v/>
      </c>
      <c r="O1031" s="10">
        <f>ROUND(J1031*'Irish Basis'!$C$7*'Irish Basis'!$C$5,2)</f>
        <v/>
      </c>
      <c r="P1031" s="10">
        <f>ROUND(K1031*'Irish Basis'!$C$8*'Irish Basis'!$C$5,2)</f>
        <v/>
      </c>
      <c r="Q1031" s="10">
        <f>ROUND(L1031*'Irish Basis'!$C$12*'Irish Basis'!$C$5,2)</f>
        <v/>
      </c>
      <c r="R1031" s="11">
        <f>ROUND(SUM(N1031:Q1031),2)</f>
        <v/>
      </c>
      <c r="S1031" s="5" t="inlineStr">
        <is>
          <t>Apportioned (class)</t>
        </is>
      </c>
      <c r="T1031" s="17" t="inlineStr">
        <is>
          <t>Low</t>
        </is>
      </c>
      <c r="U1031" s="8" t="n">
        <v>3281.29</v>
      </c>
      <c r="V1031" s="13">
        <f>IF(U1031="","",ROUND(M1031-U1031,2))</f>
        <v/>
      </c>
      <c r="W1031" s="15" t="inlineStr">
        <is>
          <t>Apportioned at class level</t>
        </is>
      </c>
      <c r="X1031" s="5" t="inlineStr">
        <is>
          <t>Split from published rate using median L/P/M shares of 19 comparable build-ups at class level (46/0/54).</t>
        </is>
      </c>
    </row>
    <row r="1032" ht="13" customHeight="1">
      <c r="A1032" s="4" t="n">
        <v>1720</v>
      </c>
      <c r="B1032" s="5" t="inlineStr">
        <is>
          <t>IMG_0090</t>
        </is>
      </c>
      <c r="C1032" s="5" t="inlineStr">
        <is>
          <t>CLASS H: PRECAST CONCRETE</t>
        </is>
      </c>
      <c r="D1032" s="5" t="inlineStr">
        <is>
          <t>02 PRESTRESSED PRE-TENSIONED BEAMS</t>
        </is>
      </c>
      <c r="E1032" s="5" t="inlineStr">
        <is>
          <t>Bridge beams; Inverted 'T' Beams, flange width 495 mm</t>
        </is>
      </c>
      <c r="F1032" s="5" t="inlineStr">
        <is>
          <t>section T8; 15 m long, 735 mm deep; mass 5.60t</t>
        </is>
      </c>
      <c r="G1032" s="6" t="inlineStr">
        <is>
          <t>nr</t>
        </is>
      </c>
      <c r="H1032" s="7" t="n"/>
      <c r="I1032" s="8" t="n">
        <v>1721.38</v>
      </c>
      <c r="J1032" s="8" t="n">
        <v>0</v>
      </c>
      <c r="K1032" s="8" t="n">
        <v>1983.29</v>
      </c>
      <c r="L1032" s="8" t="n">
        <v>0</v>
      </c>
      <c r="M1032" s="9">
        <f>ROUND(SUM(I1032:L1032),2)</f>
        <v/>
      </c>
      <c r="N1032" s="10">
        <f>ROUND(I1032*'Irish Basis'!$C$6*'Irish Basis'!$C$5,2)</f>
        <v/>
      </c>
      <c r="O1032" s="10">
        <f>ROUND(J1032*'Irish Basis'!$C$7*'Irish Basis'!$C$5,2)</f>
        <v/>
      </c>
      <c r="P1032" s="10">
        <f>ROUND(K1032*'Irish Basis'!$C$8*'Irish Basis'!$C$5,2)</f>
        <v/>
      </c>
      <c r="Q1032" s="10">
        <f>ROUND(L1032*'Irish Basis'!$C$12*'Irish Basis'!$C$5,2)</f>
        <v/>
      </c>
      <c r="R1032" s="11">
        <f>ROUND(SUM(N1032:Q1032),2)</f>
        <v/>
      </c>
      <c r="S1032" s="5" t="inlineStr">
        <is>
          <t>Apportioned (class)</t>
        </is>
      </c>
      <c r="T1032" s="17" t="inlineStr">
        <is>
          <t>Low</t>
        </is>
      </c>
      <c r="U1032" s="8" t="n">
        <v>3704.67</v>
      </c>
      <c r="V1032" s="13">
        <f>IF(U1032="","",ROUND(M1032-U1032,2))</f>
        <v/>
      </c>
      <c r="W1032" s="15" t="inlineStr">
        <is>
          <t>Apportioned at class level</t>
        </is>
      </c>
      <c r="X1032" s="5" t="inlineStr">
        <is>
          <t>Split from published rate using median L/P/M shares of 19 comparable build-ups at class level (46/0/54).</t>
        </is>
      </c>
    </row>
    <row r="1033" ht="13" customHeight="1">
      <c r="A1033" s="4" t="n">
        <v>1721</v>
      </c>
      <c r="B1033" s="5" t="inlineStr">
        <is>
          <t>IMG_0090</t>
        </is>
      </c>
      <c r="C1033" s="5" t="inlineStr">
        <is>
          <t>CLASS H: PRECAST CONCRETE</t>
        </is>
      </c>
      <c r="D1033" s="5" t="inlineStr">
        <is>
          <t>02 PRESTRESSED PRE-TENSIONED BEAMS</t>
        </is>
      </c>
      <c r="E1033" s="5" t="inlineStr">
        <is>
          <t>Bridge beams; Inverted 'T' Beams, flange width 495 mm</t>
        </is>
      </c>
      <c r="F1033" s="5" t="inlineStr">
        <is>
          <t>section T9; 16 m long, 775 mm deep; mass 6.28t</t>
        </is>
      </c>
      <c r="G1033" s="6" t="inlineStr">
        <is>
          <t>nr</t>
        </is>
      </c>
      <c r="H1033" s="7" t="n"/>
      <c r="I1033" s="8" t="n">
        <v>1770.55</v>
      </c>
      <c r="J1033" s="8" t="n">
        <v>0</v>
      </c>
      <c r="K1033" s="8" t="n">
        <v>2039.95</v>
      </c>
      <c r="L1033" s="8" t="n">
        <v>0</v>
      </c>
      <c r="M1033" s="9">
        <f>ROUND(SUM(I1033:L1033),2)</f>
        <v/>
      </c>
      <c r="N1033" s="10">
        <f>ROUND(I1033*'Irish Basis'!$C$6*'Irish Basis'!$C$5,2)</f>
        <v/>
      </c>
      <c r="O1033" s="10">
        <f>ROUND(J1033*'Irish Basis'!$C$7*'Irish Basis'!$C$5,2)</f>
        <v/>
      </c>
      <c r="P1033" s="10">
        <f>ROUND(K1033*'Irish Basis'!$C$8*'Irish Basis'!$C$5,2)</f>
        <v/>
      </c>
      <c r="Q1033" s="10">
        <f>ROUND(L1033*'Irish Basis'!$C$12*'Irish Basis'!$C$5,2)</f>
        <v/>
      </c>
      <c r="R1033" s="11">
        <f>ROUND(SUM(N1033:Q1033),2)</f>
        <v/>
      </c>
      <c r="S1033" s="5" t="inlineStr">
        <is>
          <t>Apportioned (class)</t>
        </is>
      </c>
      <c r="T1033" s="17" t="inlineStr">
        <is>
          <t>Low</t>
        </is>
      </c>
      <c r="U1033" s="8" t="n">
        <v>3810.5</v>
      </c>
      <c r="V1033" s="13">
        <f>IF(U1033="","",ROUND(M1033-U1033,2))</f>
        <v/>
      </c>
      <c r="W1033" s="15" t="inlineStr">
        <is>
          <t>Apportioned at class level</t>
        </is>
      </c>
      <c r="X1033" s="5" t="inlineStr">
        <is>
          <t>Split from published rate using median L/P/M shares of 19 comparable build-ups at class level (46/0/54).</t>
        </is>
      </c>
    </row>
    <row r="1034" ht="13" customHeight="1">
      <c r="A1034" s="4" t="n">
        <v>1722</v>
      </c>
      <c r="B1034" s="5" t="inlineStr">
        <is>
          <t>IMG_0090</t>
        </is>
      </c>
      <c r="C1034" s="5" t="inlineStr">
        <is>
          <t>CLASS H: PRECAST CONCRETE</t>
        </is>
      </c>
      <c r="D1034" s="5" t="inlineStr">
        <is>
          <t>02 PRESTRESSED PRE-TENSIONED BEAMS</t>
        </is>
      </c>
      <c r="E1034" s="5" t="inlineStr">
        <is>
          <t>Bridge beams; Inverted 'T' Beams, flange width 495 mm</t>
        </is>
      </c>
      <c r="F1034" s="5" t="inlineStr">
        <is>
          <t>section T10; 18 m long, 815 mm deep; mass 7.43t</t>
        </is>
      </c>
      <c r="G1034" s="6" t="inlineStr">
        <is>
          <t>nr</t>
        </is>
      </c>
      <c r="H1034" s="7" t="n"/>
      <c r="I1034" s="8" t="n">
        <v>2085.31</v>
      </c>
      <c r="J1034" s="8" t="n">
        <v>0</v>
      </c>
      <c r="K1034" s="8" t="n">
        <v>2402.59</v>
      </c>
      <c r="L1034" s="8" t="n">
        <v>0</v>
      </c>
      <c r="M1034" s="9">
        <f>ROUND(SUM(I1034:L1034),2)</f>
        <v/>
      </c>
      <c r="N1034" s="10">
        <f>ROUND(I1034*'Irish Basis'!$C$6*'Irish Basis'!$C$5,2)</f>
        <v/>
      </c>
      <c r="O1034" s="10">
        <f>ROUND(J1034*'Irish Basis'!$C$7*'Irish Basis'!$C$5,2)</f>
        <v/>
      </c>
      <c r="P1034" s="10">
        <f>ROUND(K1034*'Irish Basis'!$C$8*'Irish Basis'!$C$5,2)</f>
        <v/>
      </c>
      <c r="Q1034" s="10">
        <f>ROUND(L1034*'Irish Basis'!$C$12*'Irish Basis'!$C$5,2)</f>
        <v/>
      </c>
      <c r="R1034" s="11">
        <f>ROUND(SUM(N1034:Q1034),2)</f>
        <v/>
      </c>
      <c r="S1034" s="5" t="inlineStr">
        <is>
          <t>Apportioned (class)</t>
        </is>
      </c>
      <c r="T1034" s="17" t="inlineStr">
        <is>
          <t>Low</t>
        </is>
      </c>
      <c r="U1034" s="8" t="n">
        <v>4487.9</v>
      </c>
      <c r="V1034" s="13">
        <f>IF(U1034="","",ROUND(M1034-U1034,2))</f>
        <v/>
      </c>
      <c r="W1034" s="15" t="inlineStr">
        <is>
          <t>Apportioned at class level</t>
        </is>
      </c>
      <c r="X1034" s="5" t="inlineStr">
        <is>
          <t>Split from published rate using median L/P/M shares of 19 comparable build-ups at class level (46/0/54).</t>
        </is>
      </c>
    </row>
    <row r="1035" ht="13" customHeight="1">
      <c r="A1035" s="4" t="n">
        <v>1724</v>
      </c>
      <c r="B1035" s="5" t="inlineStr">
        <is>
          <t>IMG_0090</t>
        </is>
      </c>
      <c r="C1035" s="5" t="inlineStr">
        <is>
          <t>CLASS H: PRECAST CONCRETE</t>
        </is>
      </c>
      <c r="D1035" s="5" t="inlineStr">
        <is>
          <t>02 PRESTRESSED PRE-TENSIONED BEAMS</t>
        </is>
      </c>
      <c r="E1035" s="5" t="inlineStr">
        <is>
          <t>'M' beams, flange width 970 mm</t>
        </is>
      </c>
      <c r="F1035" s="5" t="inlineStr">
        <is>
          <t>section M2; 17 m long, 720 mm deep; mass 12.95t</t>
        </is>
      </c>
      <c r="G1035" s="6" t="inlineStr">
        <is>
          <t>nr</t>
        </is>
      </c>
      <c r="H1035" s="7" t="n"/>
      <c r="I1035" s="8" t="n">
        <v>4721.48</v>
      </c>
      <c r="J1035" s="8" t="n">
        <v>0</v>
      </c>
      <c r="K1035" s="8" t="n">
        <v>5439.87</v>
      </c>
      <c r="L1035" s="8" t="n">
        <v>0</v>
      </c>
      <c r="M1035" s="9">
        <f>ROUND(SUM(I1035:L1035),2)</f>
        <v/>
      </c>
      <c r="N1035" s="10">
        <f>ROUND(I1035*'Irish Basis'!$C$6*'Irish Basis'!$C$5,2)</f>
        <v/>
      </c>
      <c r="O1035" s="10">
        <f>ROUND(J1035*'Irish Basis'!$C$7*'Irish Basis'!$C$5,2)</f>
        <v/>
      </c>
      <c r="P1035" s="10">
        <f>ROUND(K1035*'Irish Basis'!$C$8*'Irish Basis'!$C$5,2)</f>
        <v/>
      </c>
      <c r="Q1035" s="10">
        <f>ROUND(L1035*'Irish Basis'!$C$12*'Irish Basis'!$C$5,2)</f>
        <v/>
      </c>
      <c r="R1035" s="11">
        <f>ROUND(SUM(N1035:Q1035),2)</f>
        <v/>
      </c>
      <c r="S1035" s="5" t="inlineStr">
        <is>
          <t>Apportioned (class)</t>
        </is>
      </c>
      <c r="T1035" s="17" t="inlineStr">
        <is>
          <t>Low</t>
        </is>
      </c>
      <c r="U1035" s="8" t="n">
        <v>10161.35</v>
      </c>
      <c r="V1035" s="13">
        <f>IF(U1035="","",ROUND(M1035-U1035,2))</f>
        <v/>
      </c>
      <c r="W1035" s="15" t="inlineStr">
        <is>
          <t>Apportioned at class level</t>
        </is>
      </c>
      <c r="X1035" s="5" t="inlineStr">
        <is>
          <t>Split from published rate using median L/P/M shares of 19 comparable build-ups at class level (46/0/54).</t>
        </is>
      </c>
    </row>
    <row r="1036" ht="13" customHeight="1">
      <c r="A1036" s="4" t="n">
        <v>1725</v>
      </c>
      <c r="B1036" s="5" t="inlineStr">
        <is>
          <t>IMG_0090</t>
        </is>
      </c>
      <c r="C1036" s="5" t="inlineStr">
        <is>
          <t>CLASS H: PRECAST CONCRETE</t>
        </is>
      </c>
      <c r="D1036" s="5" t="inlineStr">
        <is>
          <t>02 PRESTRESSED PRE-TENSIONED BEAMS</t>
        </is>
      </c>
      <c r="E1036" s="5" t="inlineStr">
        <is>
          <t>'M' beams, flange width 970 mm</t>
        </is>
      </c>
      <c r="F1036" s="5" t="inlineStr">
        <is>
          <t>section M3; 18 m long, 800 mm deep; mass 15.11t</t>
        </is>
      </c>
      <c r="G1036" s="6" t="inlineStr">
        <is>
          <t>nr</t>
        </is>
      </c>
      <c r="H1036" s="7" t="n"/>
      <c r="I1036" s="8" t="n">
        <v>4377.2</v>
      </c>
      <c r="J1036" s="8" t="n">
        <v>0</v>
      </c>
      <c r="K1036" s="8" t="n">
        <v>5043.21</v>
      </c>
      <c r="L1036" s="8" t="n">
        <v>0</v>
      </c>
      <c r="M1036" s="9">
        <f>ROUND(SUM(I1036:L1036),2)</f>
        <v/>
      </c>
      <c r="N1036" s="10">
        <f>ROUND(I1036*'Irish Basis'!$C$6*'Irish Basis'!$C$5,2)</f>
        <v/>
      </c>
      <c r="O1036" s="10">
        <f>ROUND(J1036*'Irish Basis'!$C$7*'Irish Basis'!$C$5,2)</f>
        <v/>
      </c>
      <c r="P1036" s="10">
        <f>ROUND(K1036*'Irish Basis'!$C$8*'Irish Basis'!$C$5,2)</f>
        <v/>
      </c>
      <c r="Q1036" s="10">
        <f>ROUND(L1036*'Irish Basis'!$C$12*'Irish Basis'!$C$5,2)</f>
        <v/>
      </c>
      <c r="R1036" s="11">
        <f>ROUND(SUM(N1036:Q1036),2)</f>
        <v/>
      </c>
      <c r="S1036" s="5" t="inlineStr">
        <is>
          <t>Apportioned (class)</t>
        </is>
      </c>
      <c r="T1036" s="17" t="inlineStr">
        <is>
          <t>Low</t>
        </is>
      </c>
      <c r="U1036" s="8" t="n">
        <v>9420.41</v>
      </c>
      <c r="V1036" s="13">
        <f>IF(U1036="","",ROUND(M1036-U1036,2))</f>
        <v/>
      </c>
      <c r="W1036" s="15" t="inlineStr">
        <is>
          <t>Apportioned at class level</t>
        </is>
      </c>
      <c r="X1036" s="5" t="inlineStr">
        <is>
          <t>Split from published rate using median L/P/M shares of 19 comparable build-ups at class level (46/0/54).</t>
        </is>
      </c>
    </row>
    <row r="1037" ht="13" customHeight="1">
      <c r="A1037" s="4" t="n">
        <v>1726</v>
      </c>
      <c r="B1037" s="5" t="inlineStr">
        <is>
          <t>IMG_0090</t>
        </is>
      </c>
      <c r="C1037" s="5" t="inlineStr">
        <is>
          <t>CLASS H: PRECAST CONCRETE</t>
        </is>
      </c>
      <c r="D1037" s="5" t="inlineStr">
        <is>
          <t>02 PRESTRESSED PRE-TENSIONED BEAMS</t>
        </is>
      </c>
      <c r="E1037" s="5" t="inlineStr">
        <is>
          <t>'M' beams, flange width 970 mm</t>
        </is>
      </c>
      <c r="F1037" s="5" t="inlineStr">
        <is>
          <t>section M6; 22 m long, 1040 mm deep; mass 20.48t</t>
        </is>
      </c>
      <c r="G1037" s="6" t="inlineStr">
        <is>
          <t>nr</t>
        </is>
      </c>
      <c r="H1037" s="7" t="n"/>
      <c r="I1037" s="8" t="n">
        <v>7101.86</v>
      </c>
      <c r="J1037" s="8" t="n">
        <v>0</v>
      </c>
      <c r="K1037" s="8" t="n">
        <v>8182.43</v>
      </c>
      <c r="L1037" s="8" t="n">
        <v>0</v>
      </c>
      <c r="M1037" s="9">
        <f>ROUND(SUM(I1037:L1037),2)</f>
        <v/>
      </c>
      <c r="N1037" s="10">
        <f>ROUND(I1037*'Irish Basis'!$C$6*'Irish Basis'!$C$5,2)</f>
        <v/>
      </c>
      <c r="O1037" s="10">
        <f>ROUND(J1037*'Irish Basis'!$C$7*'Irish Basis'!$C$5,2)</f>
        <v/>
      </c>
      <c r="P1037" s="10">
        <f>ROUND(K1037*'Irish Basis'!$C$8*'Irish Basis'!$C$5,2)</f>
        <v/>
      </c>
      <c r="Q1037" s="10">
        <f>ROUND(L1037*'Irish Basis'!$C$12*'Irish Basis'!$C$5,2)</f>
        <v/>
      </c>
      <c r="R1037" s="11">
        <f>ROUND(SUM(N1037:Q1037),2)</f>
        <v/>
      </c>
      <c r="S1037" s="5" t="inlineStr">
        <is>
          <t>Apportioned (class)</t>
        </is>
      </c>
      <c r="T1037" s="17" t="inlineStr">
        <is>
          <t>Low</t>
        </is>
      </c>
      <c r="U1037" s="8" t="n">
        <v>15284.29</v>
      </c>
      <c r="V1037" s="13">
        <f>IF(U1037="","",ROUND(M1037-U1037,2))</f>
        <v/>
      </c>
      <c r="W1037" s="15" t="inlineStr">
        <is>
          <t>Apportioned at class level</t>
        </is>
      </c>
      <c r="X1037" s="5" t="inlineStr">
        <is>
          <t>Split from published rate using median L/P/M shares of 19 comparable build-ups at class level (46/0/54).</t>
        </is>
      </c>
    </row>
    <row r="1038" ht="13" customHeight="1">
      <c r="A1038" s="4" t="n">
        <v>1727</v>
      </c>
      <c r="B1038" s="5" t="inlineStr">
        <is>
          <t>IMG_0090</t>
        </is>
      </c>
      <c r="C1038" s="5" t="inlineStr">
        <is>
          <t>CLASS H: PRECAST CONCRETE</t>
        </is>
      </c>
      <c r="D1038" s="5" t="inlineStr">
        <is>
          <t>02 PRESTRESSED PRE-TENSIONED BEAMS</t>
        </is>
      </c>
      <c r="E1038" s="5" t="inlineStr">
        <is>
          <t>'M' beams, flange width 970 mm</t>
        </is>
      </c>
      <c r="F1038" s="5" t="inlineStr">
        <is>
          <t>section M8; 25 m long, 1200 mm deep; mass 23.68t</t>
        </is>
      </c>
      <c r="G1038" s="6" t="inlineStr">
        <is>
          <t>nr</t>
        </is>
      </c>
      <c r="H1038" s="7" t="n"/>
      <c r="I1038" s="8" t="n">
        <v>9147.73</v>
      </c>
      <c r="J1038" s="8" t="n">
        <v>0</v>
      </c>
      <c r="K1038" s="8" t="n">
        <v>10539.59</v>
      </c>
      <c r="L1038" s="8" t="n">
        <v>0</v>
      </c>
      <c r="M1038" s="9">
        <f>ROUND(SUM(I1038:L1038),2)</f>
        <v/>
      </c>
      <c r="N1038" s="10">
        <f>ROUND(I1038*'Irish Basis'!$C$6*'Irish Basis'!$C$5,2)</f>
        <v/>
      </c>
      <c r="O1038" s="10">
        <f>ROUND(J1038*'Irish Basis'!$C$7*'Irish Basis'!$C$5,2)</f>
        <v/>
      </c>
      <c r="P1038" s="10">
        <f>ROUND(K1038*'Irish Basis'!$C$8*'Irish Basis'!$C$5,2)</f>
        <v/>
      </c>
      <c r="Q1038" s="10">
        <f>ROUND(L1038*'Irish Basis'!$C$12*'Irish Basis'!$C$5,2)</f>
        <v/>
      </c>
      <c r="R1038" s="11">
        <f>ROUND(SUM(N1038:Q1038),2)</f>
        <v/>
      </c>
      <c r="S1038" s="5" t="inlineStr">
        <is>
          <t>Apportioned (class)</t>
        </is>
      </c>
      <c r="T1038" s="17" t="inlineStr">
        <is>
          <t>Low</t>
        </is>
      </c>
      <c r="U1038" s="8" t="n">
        <v>19687.32</v>
      </c>
      <c r="V1038" s="13">
        <f>IF(U1038="","",ROUND(M1038-U1038,2))</f>
        <v/>
      </c>
      <c r="W1038" s="15" t="inlineStr">
        <is>
          <t>Apportioned at class level</t>
        </is>
      </c>
      <c r="X1038" s="5" t="inlineStr">
        <is>
          <t>Split from published rate using median L/P/M shares of 19 comparable build-ups at class level (46/0/54).</t>
        </is>
      </c>
    </row>
    <row r="1039" ht="13" customHeight="1">
      <c r="A1039" s="4" t="n">
        <v>1729</v>
      </c>
      <c r="B1039" s="5" t="inlineStr">
        <is>
          <t>IMG_0090</t>
        </is>
      </c>
      <c r="C1039" s="5" t="inlineStr">
        <is>
          <t>CLASS H: PRECAST CONCRETE</t>
        </is>
      </c>
      <c r="D1039" s="5" t="inlineStr">
        <is>
          <t>02 PRESTRESSED PRE-TENSIONED BEAMS</t>
        </is>
      </c>
      <c r="E1039" s="5" t="inlineStr">
        <is>
          <t>'U' beams, base width 970 mm</t>
        </is>
      </c>
      <c r="F1039" s="5" t="inlineStr">
        <is>
          <t>section U3; 16 m long, 900 mm deep; mass 19.24t</t>
        </is>
      </c>
      <c r="G1039" s="6" t="inlineStr">
        <is>
          <t>nr</t>
        </is>
      </c>
      <c r="H1039" s="7" t="n"/>
      <c r="I1039" s="8" t="n">
        <v>7475.66</v>
      </c>
      <c r="J1039" s="8" t="n">
        <v>0</v>
      </c>
      <c r="K1039" s="8" t="n">
        <v>8613.110000000001</v>
      </c>
      <c r="L1039" s="8" t="n">
        <v>0</v>
      </c>
      <c r="M1039" s="9">
        <f>ROUND(SUM(I1039:L1039),2)</f>
        <v/>
      </c>
      <c r="N1039" s="10">
        <f>ROUND(I1039*'Irish Basis'!$C$6*'Irish Basis'!$C$5,2)</f>
        <v/>
      </c>
      <c r="O1039" s="10">
        <f>ROUND(J1039*'Irish Basis'!$C$7*'Irish Basis'!$C$5,2)</f>
        <v/>
      </c>
      <c r="P1039" s="10">
        <f>ROUND(K1039*'Irish Basis'!$C$8*'Irish Basis'!$C$5,2)</f>
        <v/>
      </c>
      <c r="Q1039" s="10">
        <f>ROUND(L1039*'Irish Basis'!$C$12*'Irish Basis'!$C$5,2)</f>
        <v/>
      </c>
      <c r="R1039" s="11">
        <f>ROUND(SUM(N1039:Q1039),2)</f>
        <v/>
      </c>
      <c r="S1039" s="5" t="inlineStr">
        <is>
          <t>Apportioned (class)</t>
        </is>
      </c>
      <c r="T1039" s="17" t="inlineStr">
        <is>
          <t>Low</t>
        </is>
      </c>
      <c r="U1039" s="8" t="n">
        <v>16088.77</v>
      </c>
      <c r="V1039" s="13">
        <f>IF(U1039="","",ROUND(M1039-U1039,2))</f>
        <v/>
      </c>
      <c r="W1039" s="15" t="inlineStr">
        <is>
          <t>Apportioned at class level</t>
        </is>
      </c>
      <c r="X1039" s="5" t="inlineStr">
        <is>
          <t>Split from published rate using median L/P/M shares of 19 comparable build-ups at class level (46/0/54).</t>
        </is>
      </c>
    </row>
    <row r="1040" ht="13" customHeight="1">
      <c r="A1040" s="4" t="n">
        <v>1730</v>
      </c>
      <c r="B1040" s="5" t="inlineStr">
        <is>
          <t>IMG_0090</t>
        </is>
      </c>
      <c r="C1040" s="5" t="inlineStr">
        <is>
          <t>CLASS H: PRECAST CONCRETE</t>
        </is>
      </c>
      <c r="D1040" s="5" t="inlineStr">
        <is>
          <t>02 PRESTRESSED PRE-TENSIONED BEAMS</t>
        </is>
      </c>
      <c r="E1040" s="5" t="inlineStr">
        <is>
          <t>'U' beams, base width 970 mm</t>
        </is>
      </c>
      <c r="F1040" s="5" t="inlineStr">
        <is>
          <t>section U5; 20 m long, 1000 mm deep; mass 25.64t</t>
        </is>
      </c>
      <c r="G1040" s="6" t="inlineStr">
        <is>
          <t>nr</t>
        </is>
      </c>
      <c r="H1040" s="7" t="n"/>
      <c r="I1040" s="8" t="n">
        <v>9393.76</v>
      </c>
      <c r="J1040" s="8" t="n">
        <v>0</v>
      </c>
      <c r="K1040" s="8" t="n">
        <v>10823.05</v>
      </c>
      <c r="L1040" s="8" t="n">
        <v>0</v>
      </c>
      <c r="M1040" s="9">
        <f>ROUND(SUM(I1040:L1040),2)</f>
        <v/>
      </c>
      <c r="N1040" s="10">
        <f>ROUND(I1040*'Irish Basis'!$C$6*'Irish Basis'!$C$5,2)</f>
        <v/>
      </c>
      <c r="O1040" s="10">
        <f>ROUND(J1040*'Irish Basis'!$C$7*'Irish Basis'!$C$5,2)</f>
        <v/>
      </c>
      <c r="P1040" s="10">
        <f>ROUND(K1040*'Irish Basis'!$C$8*'Irish Basis'!$C$5,2)</f>
        <v/>
      </c>
      <c r="Q1040" s="10">
        <f>ROUND(L1040*'Irish Basis'!$C$12*'Irish Basis'!$C$5,2)</f>
        <v/>
      </c>
      <c r="R1040" s="11">
        <f>ROUND(SUM(N1040:Q1040),2)</f>
        <v/>
      </c>
      <c r="S1040" s="5" t="inlineStr">
        <is>
          <t>Apportioned (class)</t>
        </is>
      </c>
      <c r="T1040" s="17" t="inlineStr">
        <is>
          <t>Low</t>
        </is>
      </c>
      <c r="U1040" s="8" t="n">
        <v>20216.81</v>
      </c>
      <c r="V1040" s="13">
        <f>IF(U1040="","",ROUND(M1040-U1040,2))</f>
        <v/>
      </c>
      <c r="W1040" s="15" t="inlineStr">
        <is>
          <t>Apportioned at class level</t>
        </is>
      </c>
      <c r="X1040" s="5" t="inlineStr">
        <is>
          <t>Split from published rate using median L/P/M shares of 19 comparable build-ups at class level (46/0/54).</t>
        </is>
      </c>
    </row>
    <row r="1041" ht="13" customHeight="1">
      <c r="A1041" s="4" t="n">
        <v>1731</v>
      </c>
      <c r="B1041" s="5" t="inlineStr">
        <is>
          <t>IMG_0090</t>
        </is>
      </c>
      <c r="C1041" s="5" t="inlineStr">
        <is>
          <t>CLASS H: PRECAST CONCRETE</t>
        </is>
      </c>
      <c r="D1041" s="5" t="inlineStr">
        <is>
          <t>02 PRESTRESSED PRE-TENSIONED BEAMS</t>
        </is>
      </c>
      <c r="E1041" s="5" t="inlineStr">
        <is>
          <t>'U' beams, base width 970 mm</t>
        </is>
      </c>
      <c r="F1041" s="5" t="inlineStr">
        <is>
          <t>section U8; 24 m long, 1200 mm deep; mass 34.56t</t>
        </is>
      </c>
      <c r="G1041" s="6" t="inlineStr">
        <is>
          <t>nr</t>
        </is>
      </c>
      <c r="H1041" s="7" t="n"/>
      <c r="I1041" s="8" t="n">
        <v>10426.59</v>
      </c>
      <c r="J1041" s="8" t="n">
        <v>0</v>
      </c>
      <c r="K1041" s="8" t="n">
        <v>12013.04</v>
      </c>
      <c r="L1041" s="8" t="n">
        <v>0</v>
      </c>
      <c r="M1041" s="9">
        <f>ROUND(SUM(I1041:L1041),2)</f>
        <v/>
      </c>
      <c r="N1041" s="10">
        <f>ROUND(I1041*'Irish Basis'!$C$6*'Irish Basis'!$C$5,2)</f>
        <v/>
      </c>
      <c r="O1041" s="10">
        <f>ROUND(J1041*'Irish Basis'!$C$7*'Irish Basis'!$C$5,2)</f>
        <v/>
      </c>
      <c r="P1041" s="10">
        <f>ROUND(K1041*'Irish Basis'!$C$8*'Irish Basis'!$C$5,2)</f>
        <v/>
      </c>
      <c r="Q1041" s="10">
        <f>ROUND(L1041*'Irish Basis'!$C$12*'Irish Basis'!$C$5,2)</f>
        <v/>
      </c>
      <c r="R1041" s="11">
        <f>ROUND(SUM(N1041:Q1041),2)</f>
        <v/>
      </c>
      <c r="S1041" s="5" t="inlineStr">
        <is>
          <t>Apportioned (class)</t>
        </is>
      </c>
      <c r="T1041" s="17" t="inlineStr">
        <is>
          <t>Low</t>
        </is>
      </c>
      <c r="U1041" s="8" t="n">
        <v>22439.63</v>
      </c>
      <c r="V1041" s="13">
        <f>IF(U1041="","",ROUND(M1041-U1041,2))</f>
        <v/>
      </c>
      <c r="W1041" s="15" t="inlineStr">
        <is>
          <t>Apportioned at class level</t>
        </is>
      </c>
      <c r="X1041" s="5" t="inlineStr">
        <is>
          <t>Split from published rate using median L/P/M shares of 19 comparable build-ups at class level (46/0/54).</t>
        </is>
      </c>
    </row>
    <row r="1042" ht="13" customHeight="1">
      <c r="A1042" s="4" t="n">
        <v>1732</v>
      </c>
      <c r="B1042" s="5" t="inlineStr">
        <is>
          <t>IMG_0090</t>
        </is>
      </c>
      <c r="C1042" s="5" t="inlineStr">
        <is>
          <t>CLASS H: PRECAST CONCRETE</t>
        </is>
      </c>
      <c r="D1042" s="5" t="inlineStr">
        <is>
          <t>02 PRESTRESSED PRE-TENSIONED BEAMS</t>
        </is>
      </c>
      <c r="E1042" s="5" t="inlineStr">
        <is>
          <t>'U' beams, base width 970 mm</t>
        </is>
      </c>
      <c r="F1042" s="5" t="inlineStr">
        <is>
          <t>section U12; 30 m long, 1600 mm deep; mass 52.74t</t>
        </is>
      </c>
      <c r="G1042" s="6" t="inlineStr">
        <is>
          <t>nr</t>
        </is>
      </c>
      <c r="H1042" s="7" t="n"/>
      <c r="I1042" s="8" t="n">
        <v>17385.83</v>
      </c>
      <c r="J1042" s="8" t="n">
        <v>0</v>
      </c>
      <c r="K1042" s="8" t="n">
        <v>20031.16</v>
      </c>
      <c r="L1042" s="8" t="n">
        <v>0</v>
      </c>
      <c r="M1042" s="9">
        <f>ROUND(SUM(I1042:L1042),2)</f>
        <v/>
      </c>
      <c r="N1042" s="10">
        <f>ROUND(I1042*'Irish Basis'!$C$6*'Irish Basis'!$C$5,2)</f>
        <v/>
      </c>
      <c r="O1042" s="10">
        <f>ROUND(J1042*'Irish Basis'!$C$7*'Irish Basis'!$C$5,2)</f>
        <v/>
      </c>
      <c r="P1042" s="10">
        <f>ROUND(K1042*'Irish Basis'!$C$8*'Irish Basis'!$C$5,2)</f>
        <v/>
      </c>
      <c r="Q1042" s="10">
        <f>ROUND(L1042*'Irish Basis'!$C$12*'Irish Basis'!$C$5,2)</f>
        <v/>
      </c>
      <c r="R1042" s="11">
        <f>ROUND(SUM(N1042:Q1042),2)</f>
        <v/>
      </c>
      <c r="S1042" s="5" t="inlineStr">
        <is>
          <t>Apportioned (class)</t>
        </is>
      </c>
      <c r="T1042" s="17" t="inlineStr">
        <is>
          <t>Low</t>
        </is>
      </c>
      <c r="U1042" s="8" t="n">
        <v>37416.99</v>
      </c>
      <c r="V1042" s="13">
        <f>IF(U1042="","",ROUND(M1042-U1042,2))</f>
        <v/>
      </c>
      <c r="W1042" s="15" t="inlineStr">
        <is>
          <t>Apportioned at class level</t>
        </is>
      </c>
      <c r="X1042" s="5" t="inlineStr">
        <is>
          <t>Split from published rate using median L/P/M shares of 19 comparable build-ups at class level (46/0/54).</t>
        </is>
      </c>
    </row>
    <row r="1043" ht="13" customHeight="1">
      <c r="A1043" s="4" t="n">
        <v>1735</v>
      </c>
      <c r="B1043" s="5" t="inlineStr">
        <is>
          <t>IMG_0090</t>
        </is>
      </c>
      <c r="C1043" s="5" t="inlineStr">
        <is>
          <t>CLASS H: PRECAST CONCRETE</t>
        </is>
      </c>
      <c r="D1043" s="5" t="inlineStr">
        <is>
          <t>03 PRESTRESSED PRE-TENSIONED COLUMNS</t>
        </is>
      </c>
      <c r="E1043" s="5" t="inlineStr">
        <is>
          <t>Concrete mix C32/40; Columns; including shuttering; dia.</t>
        </is>
      </c>
      <c r="F1043" s="5" t="inlineStr">
        <is>
          <t>not exceeding 300 mm</t>
        </is>
      </c>
      <c r="G1043" s="6" t="inlineStr">
        <is>
          <t>m</t>
        </is>
      </c>
      <c r="H1043" s="7" t="n">
        <v>0.5</v>
      </c>
      <c r="I1043" s="8" t="n">
        <v>73.51000000000001</v>
      </c>
      <c r="J1043" s="8" t="n">
        <v>0</v>
      </c>
      <c r="K1043" s="8" t="n">
        <v>94.63</v>
      </c>
      <c r="L1043" s="8" t="n">
        <v>0</v>
      </c>
      <c r="M1043" s="9">
        <f>ROUND(SUM(I1043:L1043),2)</f>
        <v/>
      </c>
      <c r="N1043" s="10">
        <f>ROUND(I1043*'Irish Basis'!$C$6*'Irish Basis'!$C$5,2)</f>
        <v/>
      </c>
      <c r="O1043" s="10">
        <f>ROUND(J1043*'Irish Basis'!$C$7*'Irish Basis'!$C$5,2)</f>
        <v/>
      </c>
      <c r="P1043" s="10">
        <f>ROUND(K1043*'Irish Basis'!$C$8*'Irish Basis'!$C$5,2)</f>
        <v/>
      </c>
      <c r="Q1043" s="10">
        <f>ROUND(L1043*'Irish Basis'!$C$12*'Irish Basis'!$C$5,2)</f>
        <v/>
      </c>
      <c r="R1043" s="11">
        <f>ROUND(SUM(N1043:Q1043),2)</f>
        <v/>
      </c>
      <c r="S1043" s="5" t="inlineStr">
        <is>
          <t>Stated build-up</t>
        </is>
      </c>
      <c r="T1043" s="12" t="inlineStr">
        <is>
          <t>High</t>
        </is>
      </c>
      <c r="U1043" s="8" t="n">
        <v>168.15</v>
      </c>
      <c r="V1043" s="13">
        <f>IF(U1043="","",ROUND(M1043-U1043,2))</f>
        <v/>
      </c>
      <c r="W1043" s="5" t="n"/>
      <c r="X1043" s="5" t="inlineStr">
        <is>
          <t>Labour + plant + material as published; reconciles to the published rate.</t>
        </is>
      </c>
    </row>
    <row r="1044" ht="13" customHeight="1">
      <c r="A1044" s="4" t="n">
        <v>1736</v>
      </c>
      <c r="B1044" s="5" t="inlineStr">
        <is>
          <t>IMG_0090</t>
        </is>
      </c>
      <c r="C1044" s="5" t="inlineStr">
        <is>
          <t>CLASS H: PRECAST CONCRETE</t>
        </is>
      </c>
      <c r="D1044" s="5" t="inlineStr">
        <is>
          <t>03 PRESTRESSED PRE-TENSIONED COLUMNS</t>
        </is>
      </c>
      <c r="E1044" s="5" t="inlineStr">
        <is>
          <t>Concrete mix C32/40; Columns; including shuttering; dia.</t>
        </is>
      </c>
      <c r="F1044" s="5" t="inlineStr">
        <is>
          <t>300 mm-450 mm</t>
        </is>
      </c>
      <c r="G1044" s="6" t="inlineStr">
        <is>
          <t>m</t>
        </is>
      </c>
      <c r="H1044" s="7" t="n">
        <v>0.6</v>
      </c>
      <c r="I1044" s="8" t="n">
        <v>88.22</v>
      </c>
      <c r="J1044" s="8" t="n">
        <v>0</v>
      </c>
      <c r="K1044" s="8" t="n">
        <v>112.99</v>
      </c>
      <c r="L1044" s="8" t="n">
        <v>0</v>
      </c>
      <c r="M1044" s="9">
        <f>ROUND(SUM(I1044:L1044),2)</f>
        <v/>
      </c>
      <c r="N1044" s="10">
        <f>ROUND(I1044*'Irish Basis'!$C$6*'Irish Basis'!$C$5,2)</f>
        <v/>
      </c>
      <c r="O1044" s="10">
        <f>ROUND(J1044*'Irish Basis'!$C$7*'Irish Basis'!$C$5,2)</f>
        <v/>
      </c>
      <c r="P1044" s="10">
        <f>ROUND(K1044*'Irish Basis'!$C$8*'Irish Basis'!$C$5,2)</f>
        <v/>
      </c>
      <c r="Q1044" s="10">
        <f>ROUND(L1044*'Irish Basis'!$C$12*'Irish Basis'!$C$5,2)</f>
        <v/>
      </c>
      <c r="R1044" s="11">
        <f>ROUND(SUM(N1044:Q1044),2)</f>
        <v/>
      </c>
      <c r="S1044" s="5" t="inlineStr">
        <is>
          <t>Stated build-up</t>
        </is>
      </c>
      <c r="T1044" s="12" t="inlineStr">
        <is>
          <t>High</t>
        </is>
      </c>
      <c r="U1044" s="8" t="n">
        <v>201.21</v>
      </c>
      <c r="V1044" s="13">
        <f>IF(U1044="","",ROUND(M1044-U1044,2))</f>
        <v/>
      </c>
      <c r="W1044" s="5" t="n"/>
      <c r="X1044" s="5" t="inlineStr">
        <is>
          <t>Labour + plant + material as published; reconciles to the published rate.</t>
        </is>
      </c>
    </row>
    <row r="1045" ht="13" customHeight="1">
      <c r="A1045" s="4" t="n">
        <v>1737</v>
      </c>
      <c r="B1045" s="5" t="inlineStr">
        <is>
          <t>IMG_0090</t>
        </is>
      </c>
      <c r="C1045" s="5" t="inlineStr">
        <is>
          <t>CLASS H: PRECAST CONCRETE</t>
        </is>
      </c>
      <c r="D1045" s="5" t="inlineStr">
        <is>
          <t>03 PRESTRESSED PRE-TENSIONED COLUMNS</t>
        </is>
      </c>
      <c r="E1045" s="5" t="inlineStr">
        <is>
          <t>Concrete mix C32/40; Columns; including shuttering; dia.</t>
        </is>
      </c>
      <c r="F1045" s="5" t="inlineStr">
        <is>
          <t>450 mm-600 mm</t>
        </is>
      </c>
      <c r="G1045" s="6" t="inlineStr">
        <is>
          <t>m</t>
        </is>
      </c>
      <c r="H1045" s="7" t="n">
        <v>0.7</v>
      </c>
      <c r="I1045" s="8" t="n">
        <v>102.92</v>
      </c>
      <c r="J1045" s="8" t="n">
        <v>0</v>
      </c>
      <c r="K1045" s="8" t="n">
        <v>103.81</v>
      </c>
      <c r="L1045" s="8" t="n">
        <v>0</v>
      </c>
      <c r="M1045" s="9">
        <f>ROUND(SUM(I1045:L1045),2)</f>
        <v/>
      </c>
      <c r="N1045" s="10">
        <f>ROUND(I1045*'Irish Basis'!$C$6*'Irish Basis'!$C$5,2)</f>
        <v/>
      </c>
      <c r="O1045" s="10">
        <f>ROUND(J1045*'Irish Basis'!$C$7*'Irish Basis'!$C$5,2)</f>
        <v/>
      </c>
      <c r="P1045" s="10">
        <f>ROUND(K1045*'Irish Basis'!$C$8*'Irish Basis'!$C$5,2)</f>
        <v/>
      </c>
      <c r="Q1045" s="10">
        <f>ROUND(L1045*'Irish Basis'!$C$12*'Irish Basis'!$C$5,2)</f>
        <v/>
      </c>
      <c r="R1045" s="11">
        <f>ROUND(SUM(N1045:Q1045),2)</f>
        <v/>
      </c>
      <c r="S1045" s="5" t="inlineStr">
        <is>
          <t>Stated build-up</t>
        </is>
      </c>
      <c r="T1045" s="12" t="inlineStr">
        <is>
          <t>High</t>
        </is>
      </c>
      <c r="U1045" s="8" t="n">
        <v>206.73</v>
      </c>
      <c r="V1045" s="13">
        <f>IF(U1045="","",ROUND(M1045-U1045,2))</f>
        <v/>
      </c>
      <c r="W1045" s="5" t="n"/>
      <c r="X1045" s="5" t="inlineStr">
        <is>
          <t>Labour + plant + material as published; reconciles to the published rate.</t>
        </is>
      </c>
    </row>
    <row r="1046" ht="13" customHeight="1">
      <c r="A1046" s="4" t="n">
        <v>1738</v>
      </c>
      <c r="B1046" s="5" t="inlineStr">
        <is>
          <t>IMG_0090</t>
        </is>
      </c>
      <c r="C1046" s="5" t="inlineStr">
        <is>
          <t>CLASS H: PRECAST CONCRETE</t>
        </is>
      </c>
      <c r="D1046" s="5" t="inlineStr">
        <is>
          <t>03 PRESTRESSED PRE-TENSIONED COLUMNS</t>
        </is>
      </c>
      <c r="E1046" s="5" t="inlineStr">
        <is>
          <t>Concrete mix C32/40; Columns; including shuttering; dia.</t>
        </is>
      </c>
      <c r="F1046" s="5" t="inlineStr">
        <is>
          <t>600 mm-750 mm</t>
        </is>
      </c>
      <c r="G1046" s="6" t="inlineStr">
        <is>
          <t>m</t>
        </is>
      </c>
      <c r="H1046" s="7" t="n">
        <v>0.7</v>
      </c>
      <c r="I1046" s="8" t="n">
        <v>102.92</v>
      </c>
      <c r="J1046" s="8" t="n">
        <v>0</v>
      </c>
      <c r="K1046" s="8" t="n">
        <v>131.35</v>
      </c>
      <c r="L1046" s="8" t="n">
        <v>0</v>
      </c>
      <c r="M1046" s="9">
        <f>ROUND(SUM(I1046:L1046),2)</f>
        <v/>
      </c>
      <c r="N1046" s="10">
        <f>ROUND(I1046*'Irish Basis'!$C$6*'Irish Basis'!$C$5,2)</f>
        <v/>
      </c>
      <c r="O1046" s="10">
        <f>ROUND(J1046*'Irish Basis'!$C$7*'Irish Basis'!$C$5,2)</f>
        <v/>
      </c>
      <c r="P1046" s="10">
        <f>ROUND(K1046*'Irish Basis'!$C$8*'Irish Basis'!$C$5,2)</f>
        <v/>
      </c>
      <c r="Q1046" s="10">
        <f>ROUND(L1046*'Irish Basis'!$C$12*'Irish Basis'!$C$5,2)</f>
        <v/>
      </c>
      <c r="R1046" s="11">
        <f>ROUND(SUM(N1046:Q1046),2)</f>
        <v/>
      </c>
      <c r="S1046" s="5" t="inlineStr">
        <is>
          <t>Stated build-up</t>
        </is>
      </c>
      <c r="T1046" s="12" t="inlineStr">
        <is>
          <t>High</t>
        </is>
      </c>
      <c r="U1046" s="8" t="n">
        <v>234.28</v>
      </c>
      <c r="V1046" s="13">
        <f>IF(U1046="","",ROUND(M1046-U1046,2))</f>
        <v/>
      </c>
      <c r="W1046" s="5" t="n"/>
      <c r="X1046" s="5" t="inlineStr">
        <is>
          <t>Labour + plant + material as published; reconciles to the published rate.</t>
        </is>
      </c>
    </row>
    <row r="1047" ht="13" customHeight="1">
      <c r="A1047" s="4" t="n">
        <v>1739</v>
      </c>
      <c r="B1047" s="5" t="inlineStr">
        <is>
          <t>IMG_0090</t>
        </is>
      </c>
      <c r="C1047" s="5" t="inlineStr">
        <is>
          <t>CLASS H: PRECAST CONCRETE</t>
        </is>
      </c>
      <c r="D1047" s="5" t="inlineStr">
        <is>
          <t>03 PRESTRESSED PRE-TENSIONED COLUMNS</t>
        </is>
      </c>
      <c r="E1047" s="5" t="inlineStr">
        <is>
          <t>Concrete mix C32/40; Columns; including shuttering; dia.</t>
        </is>
      </c>
      <c r="F1047" s="5" t="inlineStr">
        <is>
          <t>750 mm-900 mm</t>
        </is>
      </c>
      <c r="G1047" s="6" t="inlineStr">
        <is>
          <t>m</t>
        </is>
      </c>
      <c r="H1047" s="7" t="n">
        <v>0.8</v>
      </c>
      <c r="I1047" s="8" t="n">
        <v>117.62</v>
      </c>
      <c r="J1047" s="8" t="n">
        <v>0</v>
      </c>
      <c r="K1047" s="8" t="n">
        <v>216.81</v>
      </c>
      <c r="L1047" s="8" t="n">
        <v>0</v>
      </c>
      <c r="M1047" s="9">
        <f>ROUND(SUM(I1047:L1047),2)</f>
        <v/>
      </c>
      <c r="N1047" s="10">
        <f>ROUND(I1047*'Irish Basis'!$C$6*'Irish Basis'!$C$5,2)</f>
        <v/>
      </c>
      <c r="O1047" s="10">
        <f>ROUND(J1047*'Irish Basis'!$C$7*'Irish Basis'!$C$5,2)</f>
        <v/>
      </c>
      <c r="P1047" s="10">
        <f>ROUND(K1047*'Irish Basis'!$C$8*'Irish Basis'!$C$5,2)</f>
        <v/>
      </c>
      <c r="Q1047" s="10">
        <f>ROUND(L1047*'Irish Basis'!$C$12*'Irish Basis'!$C$5,2)</f>
        <v/>
      </c>
      <c r="R1047" s="11">
        <f>ROUND(SUM(N1047:Q1047),2)</f>
        <v/>
      </c>
      <c r="S1047" s="5" t="inlineStr">
        <is>
          <t>Stated build-up</t>
        </is>
      </c>
      <c r="T1047" s="12" t="inlineStr">
        <is>
          <t>High</t>
        </is>
      </c>
      <c r="U1047" s="8" t="n">
        <v>334.43</v>
      </c>
      <c r="V1047" s="13">
        <f>IF(U1047="","",ROUND(M1047-U1047,2))</f>
        <v/>
      </c>
      <c r="W1047" s="5" t="n"/>
      <c r="X1047" s="5" t="inlineStr">
        <is>
          <t>Labour + plant + material as published; reconciles to the published rate.</t>
        </is>
      </c>
    </row>
    <row r="1048" ht="13" customHeight="1">
      <c r="A1048" s="4" t="n">
        <v>1740</v>
      </c>
      <c r="B1048" s="5" t="inlineStr">
        <is>
          <t>IMG_0090</t>
        </is>
      </c>
      <c r="C1048" s="5" t="inlineStr">
        <is>
          <t>CLASS H: PRECAST CONCRETE</t>
        </is>
      </c>
      <c r="D1048" s="5" t="inlineStr">
        <is>
          <t>03 PRESTRESSED PRE-TENSIONED COLUMNS</t>
        </is>
      </c>
      <c r="E1048" s="5" t="inlineStr">
        <is>
          <t>Concrete mix C32/40; Columns; including shuttering; dia.</t>
        </is>
      </c>
      <c r="F1048" s="5" t="inlineStr">
        <is>
          <t>900 mm-1050 mm</t>
        </is>
      </c>
      <c r="G1048" s="6" t="inlineStr">
        <is>
          <t>m</t>
        </is>
      </c>
      <c r="H1048" s="7" t="n">
        <v>1.15</v>
      </c>
      <c r="I1048" s="8" t="n">
        <v>163.9</v>
      </c>
      <c r="J1048" s="8" t="n">
        <v>0</v>
      </c>
      <c r="K1048" s="8" t="n">
        <v>204.8</v>
      </c>
      <c r="L1048" s="8" t="n">
        <v>0</v>
      </c>
      <c r="M1048" s="9">
        <f>ROUND(SUM(I1048:L1048),2)</f>
        <v/>
      </c>
      <c r="N1048" s="10">
        <f>ROUND(I1048*'Irish Basis'!$C$6*'Irish Basis'!$C$5,2)</f>
        <v/>
      </c>
      <c r="O1048" s="10">
        <f>ROUND(J1048*'Irish Basis'!$C$7*'Irish Basis'!$C$5,2)</f>
        <v/>
      </c>
      <c r="P1048" s="10">
        <f>ROUND(K1048*'Irish Basis'!$C$8*'Irish Basis'!$C$5,2)</f>
        <v/>
      </c>
      <c r="Q1048" s="10">
        <f>ROUND(L1048*'Irish Basis'!$C$12*'Irish Basis'!$C$5,2)</f>
        <v/>
      </c>
      <c r="R1048" s="11">
        <f>ROUND(SUM(N1048:Q1048),2)</f>
        <v/>
      </c>
      <c r="S1048" s="5" t="inlineStr">
        <is>
          <t>Stated build-up</t>
        </is>
      </c>
      <c r="T1048" s="12" t="inlineStr">
        <is>
          <t>High</t>
        </is>
      </c>
      <c r="U1048" s="8" t="n">
        <v>368.7</v>
      </c>
      <c r="V1048" s="13">
        <f>IF(U1048="","",ROUND(M1048-U1048,2))</f>
        <v/>
      </c>
      <c r="W1048" s="5" t="n"/>
      <c r="X1048" s="5" t="inlineStr">
        <is>
          <t>Labour + plant + material as published; reconciles to the published rate.</t>
        </is>
      </c>
    </row>
    <row r="1049" ht="13" customHeight="1">
      <c r="A1049" s="4" t="n">
        <v>1741</v>
      </c>
      <c r="B1049" s="5" t="inlineStr">
        <is>
          <t>IMG_0090</t>
        </is>
      </c>
      <c r="C1049" s="5" t="inlineStr">
        <is>
          <t>CLASS H: PRECAST CONCRETE</t>
        </is>
      </c>
      <c r="D1049" s="5" t="inlineStr">
        <is>
          <t>03 PRESTRESSED PRE-TENSIONED COLUMNS</t>
        </is>
      </c>
      <c r="E1049" s="5" t="inlineStr">
        <is>
          <t>Concrete mix C32/40; Columns; including shuttering; dia.</t>
        </is>
      </c>
      <c r="F1049" s="5" t="inlineStr">
        <is>
          <t>1050 mm-1200 mm</t>
        </is>
      </c>
      <c r="G1049" s="6" t="inlineStr">
        <is>
          <t>m</t>
        </is>
      </c>
      <c r="H1049" s="7" t="n">
        <v>1.3</v>
      </c>
      <c r="I1049" s="8" t="n">
        <v>187.68</v>
      </c>
      <c r="J1049" s="8" t="n">
        <v>0</v>
      </c>
      <c r="K1049" s="8" t="n">
        <v>215.82</v>
      </c>
      <c r="L1049" s="8" t="n">
        <v>0</v>
      </c>
      <c r="M1049" s="9">
        <f>ROUND(SUM(I1049:L1049),2)</f>
        <v/>
      </c>
      <c r="N1049" s="10">
        <f>ROUND(I1049*'Irish Basis'!$C$6*'Irish Basis'!$C$5,2)</f>
        <v/>
      </c>
      <c r="O1049" s="10">
        <f>ROUND(J1049*'Irish Basis'!$C$7*'Irish Basis'!$C$5,2)</f>
        <v/>
      </c>
      <c r="P1049" s="10">
        <f>ROUND(K1049*'Irish Basis'!$C$8*'Irish Basis'!$C$5,2)</f>
        <v/>
      </c>
      <c r="Q1049" s="10">
        <f>ROUND(L1049*'Irish Basis'!$C$12*'Irish Basis'!$C$5,2)</f>
        <v/>
      </c>
      <c r="R1049" s="11">
        <f>ROUND(SUM(N1049:Q1049),2)</f>
        <v/>
      </c>
      <c r="S1049" s="5" t="inlineStr">
        <is>
          <t>Stated build-up</t>
        </is>
      </c>
      <c r="T1049" s="12" t="inlineStr">
        <is>
          <t>High</t>
        </is>
      </c>
      <c r="U1049" s="8" t="n">
        <v>403.5</v>
      </c>
      <c r="V1049" s="13">
        <f>IF(U1049="","",ROUND(M1049-U1049,2))</f>
        <v/>
      </c>
      <c r="W1049" s="5" t="n"/>
      <c r="X1049" s="5" t="inlineStr">
        <is>
          <t>Labour + plant + material as published; reconciles to the published rate.</t>
        </is>
      </c>
    </row>
    <row r="1050" ht="13" customHeight="1">
      <c r="A1050" s="4" t="n">
        <v>1742</v>
      </c>
      <c r="B1050" s="5" t="inlineStr">
        <is>
          <t>IMG_0090</t>
        </is>
      </c>
      <c r="C1050" s="5" t="inlineStr">
        <is>
          <t>CLASS H: PRECAST CONCRETE</t>
        </is>
      </c>
      <c r="D1050" s="5" t="inlineStr">
        <is>
          <t>03 PRESTRESSED PRE-TENSIONED COLUMNS</t>
        </is>
      </c>
      <c r="E1050" s="5" t="inlineStr">
        <is>
          <t>Concrete mix C32/40; Columns; including shuttering; dia.</t>
        </is>
      </c>
      <c r="F1050" s="5" t="inlineStr">
        <is>
          <t>Exceeding 1200 mm</t>
        </is>
      </c>
      <c r="G1050" s="6" t="inlineStr">
        <is>
          <t>m</t>
        </is>
      </c>
      <c r="H1050" s="7" t="n">
        <v>2</v>
      </c>
      <c r="I1050" s="8" t="n">
        <v>294.06</v>
      </c>
      <c r="J1050" s="8" t="n">
        <v>0</v>
      </c>
      <c r="K1050" s="8" t="n">
        <v>440.39</v>
      </c>
      <c r="L1050" s="8" t="n">
        <v>0</v>
      </c>
      <c r="M1050" s="9">
        <f>ROUND(SUM(I1050:L1050),2)</f>
        <v/>
      </c>
      <c r="N1050" s="10">
        <f>ROUND(I1050*'Irish Basis'!$C$6*'Irish Basis'!$C$5,2)</f>
        <v/>
      </c>
      <c r="O1050" s="10">
        <f>ROUND(J1050*'Irish Basis'!$C$7*'Irish Basis'!$C$5,2)</f>
        <v/>
      </c>
      <c r="P1050" s="10">
        <f>ROUND(K1050*'Irish Basis'!$C$8*'Irish Basis'!$C$5,2)</f>
        <v/>
      </c>
      <c r="Q1050" s="10">
        <f>ROUND(L1050*'Irish Basis'!$C$12*'Irish Basis'!$C$5,2)</f>
        <v/>
      </c>
      <c r="R1050" s="11">
        <f>ROUND(SUM(N1050:Q1050),2)</f>
        <v/>
      </c>
      <c r="S1050" s="5" t="inlineStr">
        <is>
          <t>Stated build-up</t>
        </is>
      </c>
      <c r="T1050" s="12" t="inlineStr">
        <is>
          <t>High</t>
        </is>
      </c>
      <c r="U1050" s="8" t="n">
        <v>734.45</v>
      </c>
      <c r="V1050" s="13">
        <f>IF(U1050="","",ROUND(M1050-U1050,2))</f>
        <v/>
      </c>
      <c r="W1050" s="5" t="n"/>
      <c r="X1050" s="5" t="inlineStr">
        <is>
          <t>Labour + plant + material as published; reconciles to the published rate.</t>
        </is>
      </c>
    </row>
    <row r="1051" ht="13" customHeight="1">
      <c r="A1051" s="4" t="n">
        <v>1745</v>
      </c>
      <c r="B1051" s="5" t="inlineStr">
        <is>
          <t>IMG_0090</t>
        </is>
      </c>
      <c r="C1051" s="5" t="inlineStr">
        <is>
          <t>CLASS H: PRECAST CONCRETE</t>
        </is>
      </c>
      <c r="D1051" s="5" t="inlineStr">
        <is>
          <t>05 SLABS</t>
        </is>
      </c>
      <c r="E1051" s="5" t="inlineStr">
        <is>
          <t>Prestressed precast concrete flooring planks; Bison or similar; cement mortar grout between planks on bearings; 100 mm thick floor</t>
        </is>
      </c>
      <c r="F1051" s="5" t="inlineStr">
        <is>
          <t>400 mm wide planks</t>
        </is>
      </c>
      <c r="G1051" s="6" t="inlineStr">
        <is>
          <t>m2</t>
        </is>
      </c>
      <c r="H1051" s="7" t="n">
        <v>0.21</v>
      </c>
      <c r="I1051" s="8" t="n">
        <v>20.96</v>
      </c>
      <c r="J1051" s="8" t="n">
        <v>28.69</v>
      </c>
      <c r="K1051" s="8" t="n">
        <v>50.89</v>
      </c>
      <c r="L1051" s="8" t="n">
        <v>0</v>
      </c>
      <c r="M1051" s="9">
        <f>ROUND(SUM(I1051:L1051),2)</f>
        <v/>
      </c>
      <c r="N1051" s="10">
        <f>ROUND(I1051*'Irish Basis'!$C$6*'Irish Basis'!$C$5,2)</f>
        <v/>
      </c>
      <c r="O1051" s="10">
        <f>ROUND(J1051*'Irish Basis'!$C$7*'Irish Basis'!$C$5,2)</f>
        <v/>
      </c>
      <c r="P1051" s="10">
        <f>ROUND(K1051*'Irish Basis'!$C$8*'Irish Basis'!$C$5,2)</f>
        <v/>
      </c>
      <c r="Q1051" s="10">
        <f>ROUND(L1051*'Irish Basis'!$C$12*'Irish Basis'!$C$5,2)</f>
        <v/>
      </c>
      <c r="R1051" s="11">
        <f>ROUND(SUM(N1051:Q1051),2)</f>
        <v/>
      </c>
      <c r="S1051" s="5" t="inlineStr">
        <is>
          <t>Stated build-up</t>
        </is>
      </c>
      <c r="T1051" s="12" t="inlineStr">
        <is>
          <t>High</t>
        </is>
      </c>
      <c r="U1051" s="8" t="n">
        <v>100.54</v>
      </c>
      <c r="V1051" s="13">
        <f>IF(U1051="","",ROUND(M1051-U1051,2))</f>
        <v/>
      </c>
      <c r="W1051" s="5" t="n"/>
      <c r="X1051" s="5" t="inlineStr">
        <is>
          <t>Labour + plant + material as published; reconciles to the published rate.</t>
        </is>
      </c>
    </row>
    <row r="1052" ht="13" customHeight="1">
      <c r="A1052" s="4" t="n">
        <v>1746</v>
      </c>
      <c r="B1052" s="5" t="inlineStr">
        <is>
          <t>IMG_0090</t>
        </is>
      </c>
      <c r="C1052" s="5" t="inlineStr">
        <is>
          <t>CLASS H: PRECAST CONCRETE</t>
        </is>
      </c>
      <c r="D1052" s="5" t="inlineStr">
        <is>
          <t>05 SLABS</t>
        </is>
      </c>
      <c r="E1052" s="5" t="inlineStr">
        <is>
          <t>Prestressed precast concrete flooring planks; Bison or similar; cement mortar grout between planks on bearings; 100 mm thick floor</t>
        </is>
      </c>
      <c r="F1052" s="5" t="inlineStr">
        <is>
          <t>1200 mm wide planks</t>
        </is>
      </c>
      <c r="G1052" s="6" t="inlineStr">
        <is>
          <t>m2</t>
        </is>
      </c>
      <c r="H1052" s="7" t="n">
        <v>0.12</v>
      </c>
      <c r="I1052" s="8" t="n">
        <v>11.69</v>
      </c>
      <c r="J1052" s="8" t="n">
        <v>16</v>
      </c>
      <c r="K1052" s="8" t="n">
        <v>63.86</v>
      </c>
      <c r="L1052" s="8" t="n">
        <v>0</v>
      </c>
      <c r="M1052" s="9">
        <f>ROUND(SUM(I1052:L1052),2)</f>
        <v/>
      </c>
      <c r="N1052" s="10">
        <f>ROUND(I1052*'Irish Basis'!$C$6*'Irish Basis'!$C$5,2)</f>
        <v/>
      </c>
      <c r="O1052" s="10">
        <f>ROUND(J1052*'Irish Basis'!$C$7*'Irish Basis'!$C$5,2)</f>
        <v/>
      </c>
      <c r="P1052" s="10">
        <f>ROUND(K1052*'Irish Basis'!$C$8*'Irish Basis'!$C$5,2)</f>
        <v/>
      </c>
      <c r="Q1052" s="10">
        <f>ROUND(L1052*'Irish Basis'!$C$12*'Irish Basis'!$C$5,2)</f>
        <v/>
      </c>
      <c r="R1052" s="11">
        <f>ROUND(SUM(N1052:Q1052),2)</f>
        <v/>
      </c>
      <c r="S1052" s="5" t="inlineStr">
        <is>
          <t>Stated build-up</t>
        </is>
      </c>
      <c r="T1052" s="12" t="inlineStr">
        <is>
          <t>High</t>
        </is>
      </c>
      <c r="U1052" s="8" t="n">
        <v>91.55</v>
      </c>
      <c r="V1052" s="13">
        <f>IF(U1052="","",ROUND(M1052-U1052,2))</f>
        <v/>
      </c>
      <c r="W1052" s="5" t="n"/>
      <c r="X1052" s="5" t="inlineStr">
        <is>
          <t>Labour + plant + material as published; reconciles to the published rate.</t>
        </is>
      </c>
    </row>
    <row r="1053" ht="13" customHeight="1">
      <c r="A1053" s="4" t="n">
        <v>1748</v>
      </c>
      <c r="B1053" s="5" t="inlineStr">
        <is>
          <t>IMG_0090</t>
        </is>
      </c>
      <c r="C1053" s="5" t="inlineStr">
        <is>
          <t>CLASS H: PRECAST CONCRETE</t>
        </is>
      </c>
      <c r="D1053" s="5" t="inlineStr">
        <is>
          <t>05 SLABS</t>
        </is>
      </c>
      <c r="E1053" s="5" t="inlineStr">
        <is>
          <t>150 mm thick floor</t>
        </is>
      </c>
      <c r="F1053" s="5" t="inlineStr">
        <is>
          <t>400 mm wide planks</t>
        </is>
      </c>
      <c r="G1053" s="6" t="inlineStr">
        <is>
          <t>m2</t>
        </is>
      </c>
      <c r="H1053" s="7" t="n">
        <v>0.26</v>
      </c>
      <c r="I1053" s="8" t="n">
        <v>26.2</v>
      </c>
      <c r="J1053" s="8" t="n">
        <v>35.86</v>
      </c>
      <c r="K1053" s="8" t="n">
        <v>54.86</v>
      </c>
      <c r="L1053" s="8" t="n">
        <v>0</v>
      </c>
      <c r="M1053" s="9">
        <f>ROUND(SUM(I1053:L1053),2)</f>
        <v/>
      </c>
      <c r="N1053" s="10">
        <f>ROUND(I1053*'Irish Basis'!$C$6*'Irish Basis'!$C$5,2)</f>
        <v/>
      </c>
      <c r="O1053" s="10">
        <f>ROUND(J1053*'Irish Basis'!$C$7*'Irish Basis'!$C$5,2)</f>
        <v/>
      </c>
      <c r="P1053" s="10">
        <f>ROUND(K1053*'Irish Basis'!$C$8*'Irish Basis'!$C$5,2)</f>
        <v/>
      </c>
      <c r="Q1053" s="10">
        <f>ROUND(L1053*'Irish Basis'!$C$12*'Irish Basis'!$C$5,2)</f>
        <v/>
      </c>
      <c r="R1053" s="11">
        <f>ROUND(SUM(N1053:Q1053),2)</f>
        <v/>
      </c>
      <c r="S1053" s="5" t="inlineStr">
        <is>
          <t>Stated build-up</t>
        </is>
      </c>
      <c r="T1053" s="12" t="inlineStr">
        <is>
          <t>High</t>
        </is>
      </c>
      <c r="U1053" s="8" t="n">
        <v>116.93</v>
      </c>
      <c r="V1053" s="13">
        <f>IF(U1053="","",ROUND(M1053-U1053,2))</f>
        <v/>
      </c>
      <c r="W1053" s="5" t="n"/>
      <c r="X1053" s="5" t="inlineStr">
        <is>
          <t>Labour + plant + material as published; reconciles to the published rate.</t>
        </is>
      </c>
    </row>
    <row r="1054" ht="13" customHeight="1">
      <c r="A1054" s="4" t="n">
        <v>1749</v>
      </c>
      <c r="B1054" s="5" t="inlineStr">
        <is>
          <t>IMG_0090</t>
        </is>
      </c>
      <c r="C1054" s="5" t="inlineStr">
        <is>
          <t>CLASS H: PRECAST CONCRETE</t>
        </is>
      </c>
      <c r="D1054" s="5" t="inlineStr">
        <is>
          <t>05 SLABS</t>
        </is>
      </c>
      <c r="E1054" s="5" t="inlineStr">
        <is>
          <t>150 mm thick floor</t>
        </is>
      </c>
      <c r="F1054" s="5" t="inlineStr">
        <is>
          <t>1200 mm wide planks</t>
        </is>
      </c>
      <c r="G1054" s="6" t="inlineStr">
        <is>
          <t>m2</t>
        </is>
      </c>
      <c r="H1054" s="7" t="n">
        <v>0.15</v>
      </c>
      <c r="I1054" s="8" t="n">
        <v>14.61</v>
      </c>
      <c r="J1054" s="8" t="n">
        <v>20</v>
      </c>
      <c r="K1054" s="8" t="n">
        <v>66.8</v>
      </c>
      <c r="L1054" s="8" t="n">
        <v>0</v>
      </c>
      <c r="M1054" s="9">
        <f>ROUND(SUM(I1054:L1054),2)</f>
        <v/>
      </c>
      <c r="N1054" s="10">
        <f>ROUND(I1054*'Irish Basis'!$C$6*'Irish Basis'!$C$5,2)</f>
        <v/>
      </c>
      <c r="O1054" s="10">
        <f>ROUND(J1054*'Irish Basis'!$C$7*'Irish Basis'!$C$5,2)</f>
        <v/>
      </c>
      <c r="P1054" s="10">
        <f>ROUND(K1054*'Irish Basis'!$C$8*'Irish Basis'!$C$5,2)</f>
        <v/>
      </c>
      <c r="Q1054" s="10">
        <f>ROUND(L1054*'Irish Basis'!$C$12*'Irish Basis'!$C$5,2)</f>
        <v/>
      </c>
      <c r="R1054" s="11">
        <f>ROUND(SUM(N1054:Q1054),2)</f>
        <v/>
      </c>
      <c r="S1054" s="5" t="inlineStr">
        <is>
          <t>Stated build-up</t>
        </is>
      </c>
      <c r="T1054" s="12" t="inlineStr">
        <is>
          <t>High</t>
        </is>
      </c>
      <c r="U1054" s="8" t="n">
        <v>101.42</v>
      </c>
      <c r="V1054" s="13">
        <f>IF(U1054="","",ROUND(M1054-U1054,2))</f>
        <v/>
      </c>
      <c r="W1054" s="5" t="n"/>
      <c r="X1054" s="5" t="inlineStr">
        <is>
          <t>Labour + plant + material as published; reconciles to the published rate.</t>
        </is>
      </c>
    </row>
    <row r="1055" ht="13" customHeight="1">
      <c r="A1055" s="4" t="n">
        <v>1752</v>
      </c>
      <c r="B1055" s="5" t="inlineStr">
        <is>
          <t>IMG_0090</t>
        </is>
      </c>
      <c r="C1055" s="5" t="inlineStr">
        <is>
          <t>CLASS H: PRECAST CONCRETE</t>
        </is>
      </c>
      <c r="D1055" s="5" t="inlineStr">
        <is>
          <t>08 COPINGS, SILLS AND WEIR BLOCKS</t>
        </is>
      </c>
      <c r="E1055" s="5" t="inlineStr">
        <is>
          <t>Concrete mix C30; Coping; weathered and throated</t>
        </is>
      </c>
      <c r="F1055" s="5" t="inlineStr">
        <is>
          <t>178 x 64 mm</t>
        </is>
      </c>
      <c r="G1055" s="6" t="inlineStr">
        <is>
          <t>m</t>
        </is>
      </c>
      <c r="H1055" s="7" t="n">
        <v>0.25</v>
      </c>
      <c r="I1055" s="8" t="n">
        <v>18.84</v>
      </c>
      <c r="J1055" s="8" t="n">
        <v>7.16</v>
      </c>
      <c r="K1055" s="8" t="n">
        <v>7.51</v>
      </c>
      <c r="L1055" s="8" t="n">
        <v>0</v>
      </c>
      <c r="M1055" s="9">
        <f>ROUND(SUM(I1055:L1055),2)</f>
        <v/>
      </c>
      <c r="N1055" s="10">
        <f>ROUND(I1055*'Irish Basis'!$C$6*'Irish Basis'!$C$5,2)</f>
        <v/>
      </c>
      <c r="O1055" s="10">
        <f>ROUND(J1055*'Irish Basis'!$C$7*'Irish Basis'!$C$5,2)</f>
        <v/>
      </c>
      <c r="P1055" s="10">
        <f>ROUND(K1055*'Irish Basis'!$C$8*'Irish Basis'!$C$5,2)</f>
        <v/>
      </c>
      <c r="Q1055" s="10">
        <f>ROUND(L1055*'Irish Basis'!$C$12*'Irish Basis'!$C$5,2)</f>
        <v/>
      </c>
      <c r="R1055" s="11">
        <f>ROUND(SUM(N1055:Q1055),2)</f>
        <v/>
      </c>
      <c r="S1055" s="5" t="inlineStr">
        <is>
          <t>Stated build-up</t>
        </is>
      </c>
      <c r="T1055" s="12" t="inlineStr">
        <is>
          <t>High</t>
        </is>
      </c>
      <c r="U1055" s="8" t="n">
        <v>33.51</v>
      </c>
      <c r="V1055" s="13">
        <f>IF(U1055="","",ROUND(M1055-U1055,2))</f>
        <v/>
      </c>
      <c r="W1055" s="5" t="n"/>
      <c r="X1055" s="5" t="inlineStr">
        <is>
          <t>Labour + plant + material as published; reconciles to the published rate.</t>
        </is>
      </c>
    </row>
    <row r="1056" ht="13" customHeight="1">
      <c r="A1056" s="4" t="n">
        <v>1753</v>
      </c>
      <c r="B1056" s="5" t="inlineStr">
        <is>
          <t>IMG_0090</t>
        </is>
      </c>
      <c r="C1056" s="5" t="inlineStr">
        <is>
          <t>CLASS H: PRECAST CONCRETE</t>
        </is>
      </c>
      <c r="D1056" s="5" t="inlineStr">
        <is>
          <t>08 COPINGS, SILLS AND WEIR BLOCKS</t>
        </is>
      </c>
      <c r="E1056" s="5" t="inlineStr">
        <is>
          <t>Concrete mix C30; Coping; weathered and throated</t>
        </is>
      </c>
      <c r="F1056" s="5" t="inlineStr">
        <is>
          <t>305 x 76 mm</t>
        </is>
      </c>
      <c r="G1056" s="6" t="inlineStr">
        <is>
          <t>m</t>
        </is>
      </c>
      <c r="H1056" s="7" t="n">
        <v>0.18</v>
      </c>
      <c r="I1056" s="8" t="n">
        <v>13.57</v>
      </c>
      <c r="J1056" s="8" t="n">
        <v>5.27</v>
      </c>
      <c r="K1056" s="8" t="n">
        <v>12.2</v>
      </c>
      <c r="L1056" s="8" t="n">
        <v>0</v>
      </c>
      <c r="M1056" s="9">
        <f>ROUND(SUM(I1056:L1056),2)</f>
        <v/>
      </c>
      <c r="N1056" s="10">
        <f>ROUND(I1056*'Irish Basis'!$C$6*'Irish Basis'!$C$5,2)</f>
        <v/>
      </c>
      <c r="O1056" s="10">
        <f>ROUND(J1056*'Irish Basis'!$C$7*'Irish Basis'!$C$5,2)</f>
        <v/>
      </c>
      <c r="P1056" s="10">
        <f>ROUND(K1056*'Irish Basis'!$C$8*'Irish Basis'!$C$5,2)</f>
        <v/>
      </c>
      <c r="Q1056" s="10">
        <f>ROUND(L1056*'Irish Basis'!$C$12*'Irish Basis'!$C$5,2)</f>
        <v/>
      </c>
      <c r="R1056" s="11">
        <f>ROUND(SUM(N1056:Q1056),2)</f>
        <v/>
      </c>
      <c r="S1056" s="5" t="inlineStr">
        <is>
          <t>Stated build-up</t>
        </is>
      </c>
      <c r="T1056" s="12" t="inlineStr">
        <is>
          <t>High</t>
        </is>
      </c>
      <c r="U1056" s="8" t="n">
        <v>31.04</v>
      </c>
      <c r="V1056" s="13">
        <f>IF(U1056="","",ROUND(M1056-U1056,2))</f>
        <v/>
      </c>
      <c r="W1056" s="5" t="n"/>
      <c r="X1056" s="5" t="inlineStr">
        <is>
          <t>Labour + plant + material as published; reconciles to the published rate.</t>
        </is>
      </c>
    </row>
    <row r="1057" ht="13" customHeight="1">
      <c r="A1057" s="4" t="n">
        <v>1929</v>
      </c>
      <c r="B1057" s="5" t="inlineStr">
        <is>
          <t>IMG_0093</t>
        </is>
      </c>
      <c r="C1057" s="5" t="inlineStr">
        <is>
          <t>CLASS I: PIPEWORK - PIPES</t>
        </is>
      </c>
      <c r="D1057" s="5" t="inlineStr">
        <is>
          <t>01 CLAY PIPES</t>
        </is>
      </c>
      <c r="E1057" s="5" t="inlineStr">
        <is>
          <t>Field drains to BS 1196, butt joints, nominal bore; excavation and supports, backfilling; 75 mm pipes; in trench, depth</t>
        </is>
      </c>
      <c r="F1057" s="5" t="inlineStr">
        <is>
          <t>not in trenches</t>
        </is>
      </c>
      <c r="G1057" s="6" t="inlineStr">
        <is>
          <t>m</t>
        </is>
      </c>
      <c r="H1057" s="7" t="n">
        <v>0.06</v>
      </c>
      <c r="I1057" s="8" t="n">
        <v>5.18</v>
      </c>
      <c r="J1057" s="8" t="n">
        <v>0.09</v>
      </c>
      <c r="K1057" s="8" t="n">
        <v>16.53</v>
      </c>
      <c r="L1057" s="8" t="n">
        <v>0</v>
      </c>
      <c r="M1057" s="9">
        <f>ROUND(SUM(I1057:L1057),2)</f>
        <v/>
      </c>
      <c r="N1057" s="10">
        <f>ROUND(I1057*'Irish Basis'!$C$6*'Irish Basis'!$C$5,2)</f>
        <v/>
      </c>
      <c r="O1057" s="10">
        <f>ROUND(J1057*'Irish Basis'!$C$7*'Irish Basis'!$C$5,2)</f>
        <v/>
      </c>
      <c r="P1057" s="10">
        <f>ROUND(K1057*'Irish Basis'!$C$8*'Irish Basis'!$C$5,2)</f>
        <v/>
      </c>
      <c r="Q1057" s="10">
        <f>ROUND(L1057*'Irish Basis'!$C$12*'Irish Basis'!$C$5,2)</f>
        <v/>
      </c>
      <c r="R1057" s="11">
        <f>ROUND(SUM(N1057:Q1057),2)</f>
        <v/>
      </c>
      <c r="S1057" s="5" t="inlineStr">
        <is>
          <t>Stated build-up</t>
        </is>
      </c>
      <c r="T1057" s="12" t="inlineStr">
        <is>
          <t>High</t>
        </is>
      </c>
      <c r="U1057" s="8" t="n">
        <v>21.8</v>
      </c>
      <c r="V1057" s="13">
        <f>IF(U1057="","",ROUND(M1057-U1057,2))</f>
        <v/>
      </c>
      <c r="W1057" s="5" t="n"/>
      <c r="X1057" s="5" t="inlineStr">
        <is>
          <t>Labour + plant + material as published; reconciles to the published rate.</t>
        </is>
      </c>
    </row>
    <row r="1058" ht="13" customHeight="1">
      <c r="A1058" s="4" t="n">
        <v>1930</v>
      </c>
      <c r="B1058" s="5" t="inlineStr">
        <is>
          <t>IMG_0093</t>
        </is>
      </c>
      <c r="C1058" s="5" t="inlineStr">
        <is>
          <t>CLASS I: PIPEWORK - PIPES</t>
        </is>
      </c>
      <c r="D1058" s="5" t="inlineStr">
        <is>
          <t>01 CLAY PIPES</t>
        </is>
      </c>
      <c r="E1058" s="5" t="inlineStr">
        <is>
          <t>Field drains to BS 1196, butt joints, nominal bore; excavation and supports, backfilling; 75 mm pipes; in trench, depth</t>
        </is>
      </c>
      <c r="F1058" s="5" t="inlineStr">
        <is>
          <t>ne 1.50 m deep</t>
        </is>
      </c>
      <c r="G1058" s="6" t="inlineStr">
        <is>
          <t>m</t>
        </is>
      </c>
      <c r="H1058" s="7" t="n">
        <v>0.09</v>
      </c>
      <c r="I1058" s="8" t="n">
        <v>12.44</v>
      </c>
      <c r="J1058" s="8" t="n">
        <v>7.59</v>
      </c>
      <c r="K1058" s="8" t="n">
        <v>16.53</v>
      </c>
      <c r="L1058" s="8" t="n">
        <v>0</v>
      </c>
      <c r="M1058" s="9">
        <f>ROUND(SUM(I1058:L1058),2)</f>
        <v/>
      </c>
      <c r="N1058" s="10">
        <f>ROUND(I1058*'Irish Basis'!$C$6*'Irish Basis'!$C$5,2)</f>
        <v/>
      </c>
      <c r="O1058" s="10">
        <f>ROUND(J1058*'Irish Basis'!$C$7*'Irish Basis'!$C$5,2)</f>
        <v/>
      </c>
      <c r="P1058" s="10">
        <f>ROUND(K1058*'Irish Basis'!$C$8*'Irish Basis'!$C$5,2)</f>
        <v/>
      </c>
      <c r="Q1058" s="10">
        <f>ROUND(L1058*'Irish Basis'!$C$12*'Irish Basis'!$C$5,2)</f>
        <v/>
      </c>
      <c r="R1058" s="11">
        <f>ROUND(SUM(N1058:Q1058),2)</f>
        <v/>
      </c>
      <c r="S1058" s="5" t="inlineStr">
        <is>
          <t>Stated build-up</t>
        </is>
      </c>
      <c r="T1058" s="12" t="inlineStr">
        <is>
          <t>High</t>
        </is>
      </c>
      <c r="U1058" s="8" t="n">
        <v>36.55</v>
      </c>
      <c r="V1058" s="13">
        <f>IF(U1058="","",ROUND(M1058-U1058,2))</f>
        <v/>
      </c>
      <c r="W1058" s="5" t="n"/>
      <c r="X1058" s="5" t="inlineStr">
        <is>
          <t>Labour + plant + material as published; reconciles to the published rate.</t>
        </is>
      </c>
    </row>
    <row r="1059" ht="13" customHeight="1">
      <c r="A1059" s="4" t="n">
        <v>1931</v>
      </c>
      <c r="B1059" s="5" t="inlineStr">
        <is>
          <t>IMG_0093</t>
        </is>
      </c>
      <c r="C1059" s="5" t="inlineStr">
        <is>
          <t>CLASS I: PIPEWORK - PIPES</t>
        </is>
      </c>
      <c r="D1059" s="5" t="inlineStr">
        <is>
          <t>01 CLAY PIPES</t>
        </is>
      </c>
      <c r="E1059" s="5" t="inlineStr">
        <is>
          <t>Field drains to BS 1196, butt joints, nominal bore; excavation and supports, backfilling; 75 mm pipes; in trench, depth</t>
        </is>
      </c>
      <c r="F1059" s="5" t="inlineStr">
        <is>
          <t>1.50-2.00 m deep</t>
        </is>
      </c>
      <c r="G1059" s="6" t="inlineStr">
        <is>
          <t>m</t>
        </is>
      </c>
      <c r="H1059" s="7" t="n">
        <v>0.13</v>
      </c>
      <c r="I1059" s="8" t="n">
        <v>17.96</v>
      </c>
      <c r="J1059" s="8" t="n">
        <v>10.98</v>
      </c>
      <c r="K1059" s="8" t="n">
        <v>16.53</v>
      </c>
      <c r="L1059" s="8" t="n">
        <v>0</v>
      </c>
      <c r="M1059" s="9">
        <f>ROUND(SUM(I1059:L1059),2)</f>
        <v/>
      </c>
      <c r="N1059" s="10">
        <f>ROUND(I1059*'Irish Basis'!$C$6*'Irish Basis'!$C$5,2)</f>
        <v/>
      </c>
      <c r="O1059" s="10">
        <f>ROUND(J1059*'Irish Basis'!$C$7*'Irish Basis'!$C$5,2)</f>
        <v/>
      </c>
      <c r="P1059" s="10">
        <f>ROUND(K1059*'Irish Basis'!$C$8*'Irish Basis'!$C$5,2)</f>
        <v/>
      </c>
      <c r="Q1059" s="10">
        <f>ROUND(L1059*'Irish Basis'!$C$12*'Irish Basis'!$C$5,2)</f>
        <v/>
      </c>
      <c r="R1059" s="11">
        <f>ROUND(SUM(N1059:Q1059),2)</f>
        <v/>
      </c>
      <c r="S1059" s="5" t="inlineStr">
        <is>
          <t>Stated build-up</t>
        </is>
      </c>
      <c r="T1059" s="12" t="inlineStr">
        <is>
          <t>High</t>
        </is>
      </c>
      <c r="U1059" s="8" t="n">
        <v>45.48</v>
      </c>
      <c r="V1059" s="13">
        <f>IF(U1059="","",ROUND(M1059-U1059,2))</f>
        <v/>
      </c>
      <c r="W1059" s="5" t="n"/>
      <c r="X1059" s="5" t="inlineStr">
        <is>
          <t>Labour + plant + material as published; reconciles to the published rate.</t>
        </is>
      </c>
    </row>
    <row r="1060" ht="13" customHeight="1">
      <c r="A1060" s="4" t="n">
        <v>1932</v>
      </c>
      <c r="B1060" s="5" t="inlineStr">
        <is>
          <t>IMG_0093</t>
        </is>
      </c>
      <c r="C1060" s="5" t="inlineStr">
        <is>
          <t>CLASS I: PIPEWORK - PIPES</t>
        </is>
      </c>
      <c r="D1060" s="5" t="inlineStr">
        <is>
          <t>01 CLAY PIPES</t>
        </is>
      </c>
      <c r="E1060" s="5" t="inlineStr">
        <is>
          <t>Field drains to BS 1196, butt joints, nominal bore; excavation and supports, backfilling; 75 mm pipes; in trench, depth</t>
        </is>
      </c>
      <c r="F1060" s="5" t="inlineStr">
        <is>
          <t>2.00-2.50 m deep</t>
        </is>
      </c>
      <c r="G1060" s="6" t="inlineStr">
        <is>
          <t>m</t>
        </is>
      </c>
      <c r="H1060" s="7" t="n">
        <v>0.18</v>
      </c>
      <c r="I1060" s="8" t="n">
        <v>24.87</v>
      </c>
      <c r="J1060" s="8" t="n">
        <v>15.21</v>
      </c>
      <c r="K1060" s="8" t="n">
        <v>16.53</v>
      </c>
      <c r="L1060" s="8" t="n">
        <v>0</v>
      </c>
      <c r="M1060" s="9">
        <f>ROUND(SUM(I1060:L1060),2)</f>
        <v/>
      </c>
      <c r="N1060" s="10">
        <f>ROUND(I1060*'Irish Basis'!$C$6*'Irish Basis'!$C$5,2)</f>
        <v/>
      </c>
      <c r="O1060" s="10">
        <f>ROUND(J1060*'Irish Basis'!$C$7*'Irish Basis'!$C$5,2)</f>
        <v/>
      </c>
      <c r="P1060" s="10">
        <f>ROUND(K1060*'Irish Basis'!$C$8*'Irish Basis'!$C$5,2)</f>
        <v/>
      </c>
      <c r="Q1060" s="10">
        <f>ROUND(L1060*'Irish Basis'!$C$12*'Irish Basis'!$C$5,2)</f>
        <v/>
      </c>
      <c r="R1060" s="11">
        <f>ROUND(SUM(N1060:Q1060),2)</f>
        <v/>
      </c>
      <c r="S1060" s="5" t="inlineStr">
        <is>
          <t>Stated build-up</t>
        </is>
      </c>
      <c r="T1060" s="12" t="inlineStr">
        <is>
          <t>High</t>
        </is>
      </c>
      <c r="U1060" s="8" t="n">
        <v>56.62</v>
      </c>
      <c r="V1060" s="13">
        <f>IF(U1060="","",ROUND(M1060-U1060,2))</f>
        <v/>
      </c>
      <c r="W1060" s="5" t="n"/>
      <c r="X1060" s="5" t="inlineStr">
        <is>
          <t>Labour + plant + material as published; reconciles to the published rate.</t>
        </is>
      </c>
    </row>
    <row r="1061" ht="13" customHeight="1">
      <c r="A1061" s="4" t="n">
        <v>1933</v>
      </c>
      <c r="B1061" s="5" t="inlineStr">
        <is>
          <t>IMG_0093</t>
        </is>
      </c>
      <c r="C1061" s="5" t="inlineStr">
        <is>
          <t>CLASS I: PIPEWORK - PIPES</t>
        </is>
      </c>
      <c r="D1061" s="5" t="inlineStr">
        <is>
          <t>01 CLAY PIPES</t>
        </is>
      </c>
      <c r="E1061" s="5" t="inlineStr">
        <is>
          <t>Field drains to BS 1196, butt joints, nominal bore; excavation and supports, backfilling; 75 mm pipes; in trench, depth</t>
        </is>
      </c>
      <c r="F1061" s="5" t="inlineStr">
        <is>
          <t>2.50-3.00 m deep</t>
        </is>
      </c>
      <c r="G1061" s="6" t="inlineStr">
        <is>
          <t>m</t>
        </is>
      </c>
      <c r="H1061" s="7" t="n">
        <v>0.23</v>
      </c>
      <c r="I1061" s="8" t="n">
        <v>31.78</v>
      </c>
      <c r="J1061" s="8" t="n">
        <v>19.43</v>
      </c>
      <c r="K1061" s="8" t="n">
        <v>16.53</v>
      </c>
      <c r="L1061" s="8" t="n">
        <v>0</v>
      </c>
      <c r="M1061" s="9">
        <f>ROUND(SUM(I1061:L1061),2)</f>
        <v/>
      </c>
      <c r="N1061" s="10">
        <f>ROUND(I1061*'Irish Basis'!$C$6*'Irish Basis'!$C$5,2)</f>
        <v/>
      </c>
      <c r="O1061" s="10">
        <f>ROUND(J1061*'Irish Basis'!$C$7*'Irish Basis'!$C$5,2)</f>
        <v/>
      </c>
      <c r="P1061" s="10">
        <f>ROUND(K1061*'Irish Basis'!$C$8*'Irish Basis'!$C$5,2)</f>
        <v/>
      </c>
      <c r="Q1061" s="10">
        <f>ROUND(L1061*'Irish Basis'!$C$12*'Irish Basis'!$C$5,2)</f>
        <v/>
      </c>
      <c r="R1061" s="11">
        <f>ROUND(SUM(N1061:Q1061),2)</f>
        <v/>
      </c>
      <c r="S1061" s="5" t="inlineStr">
        <is>
          <t>Stated build-up</t>
        </is>
      </c>
      <c r="T1061" s="12" t="inlineStr">
        <is>
          <t>High</t>
        </is>
      </c>
      <c r="U1061" s="8" t="n">
        <v>67.73999999999999</v>
      </c>
      <c r="V1061" s="13">
        <f>IF(U1061="","",ROUND(M1061-U1061,2))</f>
        <v/>
      </c>
      <c r="W1061" s="5" t="n"/>
      <c r="X1061" s="5" t="inlineStr">
        <is>
          <t>Labour + plant + material as published; reconciles to the published rate.</t>
        </is>
      </c>
    </row>
    <row r="1062" ht="13" customHeight="1">
      <c r="A1062" s="4" t="n">
        <v>1935</v>
      </c>
      <c r="B1062" s="5" t="inlineStr">
        <is>
          <t>IMG_0093</t>
        </is>
      </c>
      <c r="C1062" s="5" t="inlineStr">
        <is>
          <t>CLASS I: PIPEWORK - PIPES</t>
        </is>
      </c>
      <c r="D1062" s="5" t="inlineStr">
        <is>
          <t>01 CLAY PIPES</t>
        </is>
      </c>
      <c r="E1062" s="5" t="inlineStr">
        <is>
          <t>100 mm pipes; in trench, depth</t>
        </is>
      </c>
      <c r="F1062" s="5" t="inlineStr">
        <is>
          <t>not in trenches</t>
        </is>
      </c>
      <c r="G1062" s="6" t="inlineStr">
        <is>
          <t>m</t>
        </is>
      </c>
      <c r="H1062" s="7" t="n">
        <v>0.06</v>
      </c>
      <c r="I1062" s="8" t="n">
        <v>5.18</v>
      </c>
      <c r="J1062" s="8" t="n">
        <v>0.09</v>
      </c>
      <c r="K1062" s="8" t="n">
        <v>23.21</v>
      </c>
      <c r="L1062" s="8" t="n">
        <v>0</v>
      </c>
      <c r="M1062" s="9">
        <f>ROUND(SUM(I1062:L1062),2)</f>
        <v/>
      </c>
      <c r="N1062" s="10">
        <f>ROUND(I1062*'Irish Basis'!$C$6*'Irish Basis'!$C$5,2)</f>
        <v/>
      </c>
      <c r="O1062" s="10">
        <f>ROUND(J1062*'Irish Basis'!$C$7*'Irish Basis'!$C$5,2)</f>
        <v/>
      </c>
      <c r="P1062" s="10">
        <f>ROUND(K1062*'Irish Basis'!$C$8*'Irish Basis'!$C$5,2)</f>
        <v/>
      </c>
      <c r="Q1062" s="10">
        <f>ROUND(L1062*'Irish Basis'!$C$12*'Irish Basis'!$C$5,2)</f>
        <v/>
      </c>
      <c r="R1062" s="11">
        <f>ROUND(SUM(N1062:Q1062),2)</f>
        <v/>
      </c>
      <c r="S1062" s="5" t="inlineStr">
        <is>
          <t>Stated build-up</t>
        </is>
      </c>
      <c r="T1062" s="12" t="inlineStr">
        <is>
          <t>High</t>
        </is>
      </c>
      <c r="U1062" s="8" t="n">
        <v>28.48</v>
      </c>
      <c r="V1062" s="13">
        <f>IF(U1062="","",ROUND(M1062-U1062,2))</f>
        <v/>
      </c>
      <c r="W1062" s="5" t="n"/>
      <c r="X1062" s="5" t="inlineStr">
        <is>
          <t>Labour + plant + material as published; reconciles to the published rate.</t>
        </is>
      </c>
    </row>
    <row r="1063" ht="13" customHeight="1">
      <c r="A1063" s="4" t="n">
        <v>1936</v>
      </c>
      <c r="B1063" s="5" t="inlineStr">
        <is>
          <t>IMG_0093</t>
        </is>
      </c>
      <c r="C1063" s="5" t="inlineStr">
        <is>
          <t>CLASS I: PIPEWORK - PIPES</t>
        </is>
      </c>
      <c r="D1063" s="5" t="inlineStr">
        <is>
          <t>01 CLAY PIPES</t>
        </is>
      </c>
      <c r="E1063" s="5" t="inlineStr">
        <is>
          <t>100 mm pipes; in trench, depth</t>
        </is>
      </c>
      <c r="F1063" s="5" t="inlineStr">
        <is>
          <t>ne 1.50 m deep</t>
        </is>
      </c>
      <c r="G1063" s="6" t="inlineStr">
        <is>
          <t>m</t>
        </is>
      </c>
      <c r="H1063" s="7" t="n">
        <v>0.1</v>
      </c>
      <c r="I1063" s="8" t="n">
        <v>13.82</v>
      </c>
      <c r="J1063" s="8" t="n">
        <v>8.43</v>
      </c>
      <c r="K1063" s="8" t="n">
        <v>23.21</v>
      </c>
      <c r="L1063" s="8" t="n">
        <v>0</v>
      </c>
      <c r="M1063" s="9">
        <f>ROUND(SUM(I1063:L1063),2)</f>
        <v/>
      </c>
      <c r="N1063" s="10">
        <f>ROUND(I1063*'Irish Basis'!$C$6*'Irish Basis'!$C$5,2)</f>
        <v/>
      </c>
      <c r="O1063" s="10">
        <f>ROUND(J1063*'Irish Basis'!$C$7*'Irish Basis'!$C$5,2)</f>
        <v/>
      </c>
      <c r="P1063" s="10">
        <f>ROUND(K1063*'Irish Basis'!$C$8*'Irish Basis'!$C$5,2)</f>
        <v/>
      </c>
      <c r="Q1063" s="10">
        <f>ROUND(L1063*'Irish Basis'!$C$12*'Irish Basis'!$C$5,2)</f>
        <v/>
      </c>
      <c r="R1063" s="11">
        <f>ROUND(SUM(N1063:Q1063),2)</f>
        <v/>
      </c>
      <c r="S1063" s="5" t="inlineStr">
        <is>
          <t>Stated build-up</t>
        </is>
      </c>
      <c r="T1063" s="12" t="inlineStr">
        <is>
          <t>High</t>
        </is>
      </c>
      <c r="U1063" s="8" t="n">
        <v>45.47</v>
      </c>
      <c r="V1063" s="13">
        <f>IF(U1063="","",ROUND(M1063-U1063,2))</f>
        <v/>
      </c>
      <c r="W1063" s="5" t="n"/>
      <c r="X1063" s="5" t="inlineStr">
        <is>
          <t>Labour + plant + material as published; reconciles to the published rate.</t>
        </is>
      </c>
    </row>
    <row r="1064" ht="13" customHeight="1">
      <c r="A1064" s="4" t="n">
        <v>1937</v>
      </c>
      <c r="B1064" s="5" t="inlineStr">
        <is>
          <t>IMG_0093</t>
        </is>
      </c>
      <c r="C1064" s="5" t="inlineStr">
        <is>
          <t>CLASS I: PIPEWORK - PIPES</t>
        </is>
      </c>
      <c r="D1064" s="5" t="inlineStr">
        <is>
          <t>01 CLAY PIPES</t>
        </is>
      </c>
      <c r="E1064" s="5" t="inlineStr">
        <is>
          <t>100 mm pipes; in trench, depth</t>
        </is>
      </c>
      <c r="F1064" s="5" t="inlineStr">
        <is>
          <t>1.50-2.00 m deep</t>
        </is>
      </c>
      <c r="G1064" s="6" t="inlineStr">
        <is>
          <t>m</t>
        </is>
      </c>
      <c r="H1064" s="7" t="n">
        <v>0.14</v>
      </c>
      <c r="I1064" s="8" t="n">
        <v>19.35</v>
      </c>
      <c r="J1064" s="8" t="n">
        <v>11.83</v>
      </c>
      <c r="K1064" s="8" t="n">
        <v>23.21</v>
      </c>
      <c r="L1064" s="8" t="n">
        <v>0</v>
      </c>
      <c r="M1064" s="9">
        <f>ROUND(SUM(I1064:L1064),2)</f>
        <v/>
      </c>
      <c r="N1064" s="10">
        <f>ROUND(I1064*'Irish Basis'!$C$6*'Irish Basis'!$C$5,2)</f>
        <v/>
      </c>
      <c r="O1064" s="10">
        <f>ROUND(J1064*'Irish Basis'!$C$7*'Irish Basis'!$C$5,2)</f>
        <v/>
      </c>
      <c r="P1064" s="10">
        <f>ROUND(K1064*'Irish Basis'!$C$8*'Irish Basis'!$C$5,2)</f>
        <v/>
      </c>
      <c r="Q1064" s="10">
        <f>ROUND(L1064*'Irish Basis'!$C$12*'Irish Basis'!$C$5,2)</f>
        <v/>
      </c>
      <c r="R1064" s="11">
        <f>ROUND(SUM(N1064:Q1064),2)</f>
        <v/>
      </c>
      <c r="S1064" s="5" t="inlineStr">
        <is>
          <t>Stated build-up</t>
        </is>
      </c>
      <c r="T1064" s="12" t="inlineStr">
        <is>
          <t>High</t>
        </is>
      </c>
      <c r="U1064" s="8" t="n">
        <v>54.39</v>
      </c>
      <c r="V1064" s="13">
        <f>IF(U1064="","",ROUND(M1064-U1064,2))</f>
        <v/>
      </c>
      <c r="W1064" s="5" t="n"/>
      <c r="X1064" s="5" t="inlineStr">
        <is>
          <t>Labour + plant + material as published; reconciles to the published rate.</t>
        </is>
      </c>
    </row>
    <row r="1065" ht="13" customHeight="1">
      <c r="A1065" s="4" t="n">
        <v>1938</v>
      </c>
      <c r="B1065" s="5" t="inlineStr">
        <is>
          <t>IMG_0093</t>
        </is>
      </c>
      <c r="C1065" s="5" t="inlineStr">
        <is>
          <t>CLASS I: PIPEWORK - PIPES</t>
        </is>
      </c>
      <c r="D1065" s="5" t="inlineStr">
        <is>
          <t>01 CLAY PIPES</t>
        </is>
      </c>
      <c r="E1065" s="5" t="inlineStr">
        <is>
          <t>100 mm pipes; in trench, depth</t>
        </is>
      </c>
      <c r="F1065" s="5" t="inlineStr">
        <is>
          <t>2.00-2.50 m deep</t>
        </is>
      </c>
      <c r="G1065" s="6" t="inlineStr">
        <is>
          <t>m</t>
        </is>
      </c>
      <c r="H1065" s="7" t="n">
        <v>0.19</v>
      </c>
      <c r="I1065" s="8" t="n">
        <v>26.25</v>
      </c>
      <c r="J1065" s="8" t="n">
        <v>16.04</v>
      </c>
      <c r="K1065" s="8" t="n">
        <v>23.21</v>
      </c>
      <c r="L1065" s="8" t="n">
        <v>0</v>
      </c>
      <c r="M1065" s="9">
        <f>ROUND(SUM(I1065:L1065),2)</f>
        <v/>
      </c>
      <c r="N1065" s="10">
        <f>ROUND(I1065*'Irish Basis'!$C$6*'Irish Basis'!$C$5,2)</f>
        <v/>
      </c>
      <c r="O1065" s="10">
        <f>ROUND(J1065*'Irish Basis'!$C$7*'Irish Basis'!$C$5,2)</f>
        <v/>
      </c>
      <c r="P1065" s="10">
        <f>ROUND(K1065*'Irish Basis'!$C$8*'Irish Basis'!$C$5,2)</f>
        <v/>
      </c>
      <c r="Q1065" s="10">
        <f>ROUND(L1065*'Irish Basis'!$C$12*'Irish Basis'!$C$5,2)</f>
        <v/>
      </c>
      <c r="R1065" s="11">
        <f>ROUND(SUM(N1065:Q1065),2)</f>
        <v/>
      </c>
      <c r="S1065" s="5" t="inlineStr">
        <is>
          <t>Stated build-up</t>
        </is>
      </c>
      <c r="T1065" s="12" t="inlineStr">
        <is>
          <t>High</t>
        </is>
      </c>
      <c r="U1065" s="8" t="n">
        <v>65.5</v>
      </c>
      <c r="V1065" s="13">
        <f>IF(U1065="","",ROUND(M1065-U1065,2))</f>
        <v/>
      </c>
      <c r="W1065" s="5" t="n"/>
      <c r="X1065" s="5" t="inlineStr">
        <is>
          <t>Labour + plant + material as published; reconciles to the published rate.</t>
        </is>
      </c>
    </row>
    <row r="1066" ht="13" customHeight="1">
      <c r="A1066" s="4" t="n">
        <v>1939</v>
      </c>
      <c r="B1066" s="5" t="inlineStr">
        <is>
          <t>IMG_0093</t>
        </is>
      </c>
      <c r="C1066" s="5" t="inlineStr">
        <is>
          <t>CLASS I: PIPEWORK - PIPES</t>
        </is>
      </c>
      <c r="D1066" s="5" t="inlineStr">
        <is>
          <t>01 CLAY PIPES</t>
        </is>
      </c>
      <c r="E1066" s="5" t="inlineStr">
        <is>
          <t>100 mm pipes; in trench, depth</t>
        </is>
      </c>
      <c r="F1066" s="5" t="inlineStr">
        <is>
          <t>2.50-3.00 m deep</t>
        </is>
      </c>
      <c r="G1066" s="6" t="inlineStr">
        <is>
          <t>m</t>
        </is>
      </c>
      <c r="H1066" s="7" t="n">
        <v>0.24</v>
      </c>
      <c r="I1066" s="8" t="n">
        <v>33.16</v>
      </c>
      <c r="J1066" s="8" t="n">
        <v>20.28</v>
      </c>
      <c r="K1066" s="8" t="n">
        <v>23.21</v>
      </c>
      <c r="L1066" s="8" t="n">
        <v>0</v>
      </c>
      <c r="M1066" s="9">
        <f>ROUND(SUM(I1066:L1066),2)</f>
        <v/>
      </c>
      <c r="N1066" s="10">
        <f>ROUND(I1066*'Irish Basis'!$C$6*'Irish Basis'!$C$5,2)</f>
        <v/>
      </c>
      <c r="O1066" s="10">
        <f>ROUND(J1066*'Irish Basis'!$C$7*'Irish Basis'!$C$5,2)</f>
        <v/>
      </c>
      <c r="P1066" s="10">
        <f>ROUND(K1066*'Irish Basis'!$C$8*'Irish Basis'!$C$5,2)</f>
        <v/>
      </c>
      <c r="Q1066" s="10">
        <f>ROUND(L1066*'Irish Basis'!$C$12*'Irish Basis'!$C$5,2)</f>
        <v/>
      </c>
      <c r="R1066" s="11">
        <f>ROUND(SUM(N1066:Q1066),2)</f>
        <v/>
      </c>
      <c r="S1066" s="5" t="inlineStr">
        <is>
          <t>Stated build-up</t>
        </is>
      </c>
      <c r="T1066" s="12" t="inlineStr">
        <is>
          <t>High</t>
        </is>
      </c>
      <c r="U1066" s="8" t="n">
        <v>76.66</v>
      </c>
      <c r="V1066" s="13">
        <f>IF(U1066="","",ROUND(M1066-U1066,2))</f>
        <v/>
      </c>
      <c r="W1066" s="5" t="n"/>
      <c r="X1066" s="5" t="inlineStr">
        <is>
          <t>Labour + plant + material as published; reconciles to the published rate.</t>
        </is>
      </c>
    </row>
    <row r="1067" ht="13" customHeight="1">
      <c r="A1067" s="4" t="n">
        <v>1941</v>
      </c>
      <c r="B1067" s="5" t="inlineStr">
        <is>
          <t>IMG_0093</t>
        </is>
      </c>
      <c r="C1067" s="5" t="inlineStr">
        <is>
          <t>CLASS I: PIPEWORK - PIPES</t>
        </is>
      </c>
      <c r="D1067" s="5" t="inlineStr">
        <is>
          <t>01 CLAY PIPES</t>
        </is>
      </c>
      <c r="E1067" s="5" t="inlineStr">
        <is>
          <t>150 mm pipes; in trench, depth</t>
        </is>
      </c>
      <c r="F1067" s="5" t="inlineStr">
        <is>
          <t>not in trenches</t>
        </is>
      </c>
      <c r="G1067" s="6" t="inlineStr">
        <is>
          <t>m</t>
        </is>
      </c>
      <c r="H1067" s="7" t="n">
        <v>0.06</v>
      </c>
      <c r="I1067" s="8" t="n">
        <v>5.18</v>
      </c>
      <c r="J1067" s="8" t="n">
        <v>0.09</v>
      </c>
      <c r="K1067" s="8" t="n">
        <v>47.35</v>
      </c>
      <c r="L1067" s="8" t="n">
        <v>0</v>
      </c>
      <c r="M1067" s="9">
        <f>ROUND(SUM(I1067:L1067),2)</f>
        <v/>
      </c>
      <c r="N1067" s="10">
        <f>ROUND(I1067*'Irish Basis'!$C$6*'Irish Basis'!$C$5,2)</f>
        <v/>
      </c>
      <c r="O1067" s="10">
        <f>ROUND(J1067*'Irish Basis'!$C$7*'Irish Basis'!$C$5,2)</f>
        <v/>
      </c>
      <c r="P1067" s="10">
        <f>ROUND(K1067*'Irish Basis'!$C$8*'Irish Basis'!$C$5,2)</f>
        <v/>
      </c>
      <c r="Q1067" s="10">
        <f>ROUND(L1067*'Irish Basis'!$C$12*'Irish Basis'!$C$5,2)</f>
        <v/>
      </c>
      <c r="R1067" s="11">
        <f>ROUND(SUM(N1067:Q1067),2)</f>
        <v/>
      </c>
      <c r="S1067" s="5" t="inlineStr">
        <is>
          <t>Stated build-up</t>
        </is>
      </c>
      <c r="T1067" s="12" t="inlineStr">
        <is>
          <t>High</t>
        </is>
      </c>
      <c r="U1067" s="8" t="n">
        <v>52.62</v>
      </c>
      <c r="V1067" s="13">
        <f>IF(U1067="","",ROUND(M1067-U1067,2))</f>
        <v/>
      </c>
      <c r="W1067" s="5" t="n"/>
      <c r="X1067" s="5" t="inlineStr">
        <is>
          <t>Labour + plant + material as published; reconciles to the published rate.</t>
        </is>
      </c>
    </row>
    <row r="1068" ht="13" customHeight="1">
      <c r="A1068" s="4" t="n">
        <v>1942</v>
      </c>
      <c r="B1068" s="5" t="inlineStr">
        <is>
          <t>IMG_0093</t>
        </is>
      </c>
      <c r="C1068" s="5" t="inlineStr">
        <is>
          <t>CLASS I: PIPEWORK - PIPES</t>
        </is>
      </c>
      <c r="D1068" s="5" t="inlineStr">
        <is>
          <t>01 CLAY PIPES</t>
        </is>
      </c>
      <c r="E1068" s="5" t="inlineStr">
        <is>
          <t>150 mm pipes; in trench, depth</t>
        </is>
      </c>
      <c r="F1068" s="5" t="inlineStr">
        <is>
          <t>ne 1.50 m deep</t>
        </is>
      </c>
      <c r="G1068" s="6" t="inlineStr">
        <is>
          <t>m</t>
        </is>
      </c>
      <c r="H1068" s="7" t="n">
        <v>0.11</v>
      </c>
      <c r="I1068" s="8" t="n">
        <v>15.2</v>
      </c>
      <c r="J1068" s="8" t="n">
        <v>9.26</v>
      </c>
      <c r="K1068" s="8" t="n">
        <v>47.35</v>
      </c>
      <c r="L1068" s="8" t="n">
        <v>0</v>
      </c>
      <c r="M1068" s="9">
        <f>ROUND(SUM(I1068:L1068),2)</f>
        <v/>
      </c>
      <c r="N1068" s="10">
        <f>ROUND(I1068*'Irish Basis'!$C$6*'Irish Basis'!$C$5,2)</f>
        <v/>
      </c>
      <c r="O1068" s="10">
        <f>ROUND(J1068*'Irish Basis'!$C$7*'Irish Basis'!$C$5,2)</f>
        <v/>
      </c>
      <c r="P1068" s="10">
        <f>ROUND(K1068*'Irish Basis'!$C$8*'Irish Basis'!$C$5,2)</f>
        <v/>
      </c>
      <c r="Q1068" s="10">
        <f>ROUND(L1068*'Irish Basis'!$C$12*'Irish Basis'!$C$5,2)</f>
        <v/>
      </c>
      <c r="R1068" s="11">
        <f>ROUND(SUM(N1068:Q1068),2)</f>
        <v/>
      </c>
      <c r="S1068" s="5" t="inlineStr">
        <is>
          <t>Stated build-up</t>
        </is>
      </c>
      <c r="T1068" s="12" t="inlineStr">
        <is>
          <t>High</t>
        </is>
      </c>
      <c r="U1068" s="8" t="n">
        <v>71.81</v>
      </c>
      <c r="V1068" s="13">
        <f>IF(U1068="","",ROUND(M1068-U1068,2))</f>
        <v/>
      </c>
      <c r="W1068" s="5" t="n"/>
      <c r="X1068" s="5" t="inlineStr">
        <is>
          <t>Labour + plant + material as published; reconciles to the published rate.</t>
        </is>
      </c>
    </row>
    <row r="1069" ht="13" customHeight="1">
      <c r="A1069" s="4" t="n">
        <v>1943</v>
      </c>
      <c r="B1069" s="5" t="inlineStr">
        <is>
          <t>IMG_0093</t>
        </is>
      </c>
      <c r="C1069" s="5" t="inlineStr">
        <is>
          <t>CLASS I: PIPEWORK - PIPES</t>
        </is>
      </c>
      <c r="D1069" s="5" t="inlineStr">
        <is>
          <t>01 CLAY PIPES</t>
        </is>
      </c>
      <c r="E1069" s="5" t="inlineStr">
        <is>
          <t>150 mm pipes; in trench, depth</t>
        </is>
      </c>
      <c r="F1069" s="5" t="inlineStr">
        <is>
          <t>1.50-2.00 m deep</t>
        </is>
      </c>
      <c r="G1069" s="6" t="inlineStr">
        <is>
          <t>m</t>
        </is>
      </c>
      <c r="H1069" s="7" t="n">
        <v>0.15</v>
      </c>
      <c r="I1069" s="8" t="n">
        <v>20.73</v>
      </c>
      <c r="J1069" s="8" t="n">
        <v>12.66</v>
      </c>
      <c r="K1069" s="8" t="n">
        <v>47.35</v>
      </c>
      <c r="L1069" s="8" t="n">
        <v>0</v>
      </c>
      <c r="M1069" s="9">
        <f>ROUND(SUM(I1069:L1069),2)</f>
        <v/>
      </c>
      <c r="N1069" s="10">
        <f>ROUND(I1069*'Irish Basis'!$C$6*'Irish Basis'!$C$5,2)</f>
        <v/>
      </c>
      <c r="O1069" s="10">
        <f>ROUND(J1069*'Irish Basis'!$C$7*'Irish Basis'!$C$5,2)</f>
        <v/>
      </c>
      <c r="P1069" s="10">
        <f>ROUND(K1069*'Irish Basis'!$C$8*'Irish Basis'!$C$5,2)</f>
        <v/>
      </c>
      <c r="Q1069" s="10">
        <f>ROUND(L1069*'Irish Basis'!$C$12*'Irish Basis'!$C$5,2)</f>
        <v/>
      </c>
      <c r="R1069" s="11">
        <f>ROUND(SUM(N1069:Q1069),2)</f>
        <v/>
      </c>
      <c r="S1069" s="5" t="inlineStr">
        <is>
          <t>Stated build-up</t>
        </is>
      </c>
      <c r="T1069" s="12" t="inlineStr">
        <is>
          <t>High</t>
        </is>
      </c>
      <c r="U1069" s="8" t="n">
        <v>80.73999999999999</v>
      </c>
      <c r="V1069" s="13">
        <f>IF(U1069="","",ROUND(M1069-U1069,2))</f>
        <v/>
      </c>
      <c r="W1069" s="5" t="n"/>
      <c r="X1069" s="5" t="inlineStr">
        <is>
          <t>Labour + plant + material as published; reconciles to the published rate.</t>
        </is>
      </c>
    </row>
    <row r="1070" ht="13" customHeight="1">
      <c r="A1070" s="4" t="n">
        <v>1944</v>
      </c>
      <c r="B1070" s="5" t="inlineStr">
        <is>
          <t>IMG_0093</t>
        </is>
      </c>
      <c r="C1070" s="5" t="inlineStr">
        <is>
          <t>CLASS I: PIPEWORK - PIPES</t>
        </is>
      </c>
      <c r="D1070" s="5" t="inlineStr">
        <is>
          <t>01 CLAY PIPES</t>
        </is>
      </c>
      <c r="E1070" s="5" t="inlineStr">
        <is>
          <t>150 mm pipes; in trench, depth</t>
        </is>
      </c>
      <c r="F1070" s="5" t="inlineStr">
        <is>
          <t>2.00-2.50 m deep</t>
        </is>
      </c>
      <c r="G1070" s="6" t="inlineStr">
        <is>
          <t>m</t>
        </is>
      </c>
      <c r="H1070" s="7" t="n">
        <v>0.2</v>
      </c>
      <c r="I1070" s="8" t="n">
        <v>27.64</v>
      </c>
      <c r="J1070" s="8" t="n">
        <v>16.89</v>
      </c>
      <c r="K1070" s="8" t="n">
        <v>47.35</v>
      </c>
      <c r="L1070" s="8" t="n">
        <v>0</v>
      </c>
      <c r="M1070" s="9">
        <f>ROUND(SUM(I1070:L1070),2)</f>
        <v/>
      </c>
      <c r="N1070" s="10">
        <f>ROUND(I1070*'Irish Basis'!$C$6*'Irish Basis'!$C$5,2)</f>
        <v/>
      </c>
      <c r="O1070" s="10">
        <f>ROUND(J1070*'Irish Basis'!$C$7*'Irish Basis'!$C$5,2)</f>
        <v/>
      </c>
      <c r="P1070" s="10">
        <f>ROUND(K1070*'Irish Basis'!$C$8*'Irish Basis'!$C$5,2)</f>
        <v/>
      </c>
      <c r="Q1070" s="10">
        <f>ROUND(L1070*'Irish Basis'!$C$12*'Irish Basis'!$C$5,2)</f>
        <v/>
      </c>
      <c r="R1070" s="11">
        <f>ROUND(SUM(N1070:Q1070),2)</f>
        <v/>
      </c>
      <c r="S1070" s="5" t="inlineStr">
        <is>
          <t>Stated build-up</t>
        </is>
      </c>
      <c r="T1070" s="12" t="inlineStr">
        <is>
          <t>High</t>
        </is>
      </c>
      <c r="U1070" s="8" t="n">
        <v>91.88</v>
      </c>
      <c r="V1070" s="13">
        <f>IF(U1070="","",ROUND(M1070-U1070,2))</f>
        <v/>
      </c>
      <c r="W1070" s="5" t="n"/>
      <c r="X1070" s="5" t="inlineStr">
        <is>
          <t>Labour + plant + material as published; reconciles to the published rate.</t>
        </is>
      </c>
    </row>
    <row r="1071" ht="13" customHeight="1">
      <c r="A1071" s="4" t="n">
        <v>1945</v>
      </c>
      <c r="B1071" s="5" t="inlineStr">
        <is>
          <t>IMG_0093</t>
        </is>
      </c>
      <c r="C1071" s="5" t="inlineStr">
        <is>
          <t>CLASS I: PIPEWORK - PIPES</t>
        </is>
      </c>
      <c r="D1071" s="5" t="inlineStr">
        <is>
          <t>01 CLAY PIPES</t>
        </is>
      </c>
      <c r="E1071" s="5" t="inlineStr">
        <is>
          <t>150 mm pipes; in trench, depth</t>
        </is>
      </c>
      <c r="F1071" s="5" t="inlineStr">
        <is>
          <t>2.50-3.00 m deep</t>
        </is>
      </c>
      <c r="G1071" s="6" t="inlineStr">
        <is>
          <t>m</t>
        </is>
      </c>
      <c r="H1071" s="7" t="n">
        <v>0.25</v>
      </c>
      <c r="I1071" s="8" t="n">
        <v>34.55</v>
      </c>
      <c r="J1071" s="8" t="n">
        <v>21.13</v>
      </c>
      <c r="K1071" s="8" t="n">
        <v>47.35</v>
      </c>
      <c r="L1071" s="8" t="n">
        <v>0</v>
      </c>
      <c r="M1071" s="9">
        <f>ROUND(SUM(I1071:L1071),2)</f>
        <v/>
      </c>
      <c r="N1071" s="10">
        <f>ROUND(I1071*'Irish Basis'!$C$6*'Irish Basis'!$C$5,2)</f>
        <v/>
      </c>
      <c r="O1071" s="10">
        <f>ROUND(J1071*'Irish Basis'!$C$7*'Irish Basis'!$C$5,2)</f>
        <v/>
      </c>
      <c r="P1071" s="10">
        <f>ROUND(K1071*'Irish Basis'!$C$8*'Irish Basis'!$C$5,2)</f>
        <v/>
      </c>
      <c r="Q1071" s="10">
        <f>ROUND(L1071*'Irish Basis'!$C$12*'Irish Basis'!$C$5,2)</f>
        <v/>
      </c>
      <c r="R1071" s="11">
        <f>ROUND(SUM(N1071:Q1071),2)</f>
        <v/>
      </c>
      <c r="S1071" s="5" t="inlineStr">
        <is>
          <t>Stated build-up</t>
        </is>
      </c>
      <c r="T1071" s="12" t="inlineStr">
        <is>
          <t>High</t>
        </is>
      </c>
      <c r="U1071" s="8" t="n">
        <v>103.03</v>
      </c>
      <c r="V1071" s="13">
        <f>IF(U1071="","",ROUND(M1071-U1071,2))</f>
        <v/>
      </c>
      <c r="W1071" s="5" t="n"/>
      <c r="X1071" s="5" t="inlineStr">
        <is>
          <t>Labour + plant + material as published; reconciles to the published rate.</t>
        </is>
      </c>
    </row>
    <row r="1072" ht="13" customHeight="1">
      <c r="A1072" s="4" t="n">
        <v>1947</v>
      </c>
      <c r="B1072" s="5" t="inlineStr">
        <is>
          <t>IMG_0093</t>
        </is>
      </c>
      <c r="C1072" s="5" t="inlineStr">
        <is>
          <t>CLASS I: PIPEWORK - PIPES</t>
        </is>
      </c>
      <c r="D1072" s="5" t="inlineStr">
        <is>
          <t>01 CLAY PIPES</t>
        </is>
      </c>
      <c r="E1072" s="5" t="inlineStr">
        <is>
          <t>225 mm pipes; in trench, depth</t>
        </is>
      </c>
      <c r="F1072" s="5" t="inlineStr">
        <is>
          <t>not in trenches</t>
        </is>
      </c>
      <c r="G1072" s="6" t="inlineStr">
        <is>
          <t>m</t>
        </is>
      </c>
      <c r="H1072" s="7" t="n">
        <v>0.06</v>
      </c>
      <c r="I1072" s="8" t="n">
        <v>5.18</v>
      </c>
      <c r="J1072" s="8" t="n">
        <v>0.09</v>
      </c>
      <c r="K1072" s="8" t="n">
        <v>121.87</v>
      </c>
      <c r="L1072" s="8" t="n">
        <v>0</v>
      </c>
      <c r="M1072" s="9">
        <f>ROUND(SUM(I1072:L1072),2)</f>
        <v/>
      </c>
      <c r="N1072" s="10">
        <f>ROUND(I1072*'Irish Basis'!$C$6*'Irish Basis'!$C$5,2)</f>
        <v/>
      </c>
      <c r="O1072" s="10">
        <f>ROUND(J1072*'Irish Basis'!$C$7*'Irish Basis'!$C$5,2)</f>
        <v/>
      </c>
      <c r="P1072" s="10">
        <f>ROUND(K1072*'Irish Basis'!$C$8*'Irish Basis'!$C$5,2)</f>
        <v/>
      </c>
      <c r="Q1072" s="10">
        <f>ROUND(L1072*'Irish Basis'!$C$12*'Irish Basis'!$C$5,2)</f>
        <v/>
      </c>
      <c r="R1072" s="11">
        <f>ROUND(SUM(N1072:Q1072),2)</f>
        <v/>
      </c>
      <c r="S1072" s="5" t="inlineStr">
        <is>
          <t>Stated build-up</t>
        </is>
      </c>
      <c r="T1072" s="12" t="inlineStr">
        <is>
          <t>High</t>
        </is>
      </c>
      <c r="U1072" s="8" t="n">
        <v>127.14</v>
      </c>
      <c r="V1072" s="13">
        <f>IF(U1072="","",ROUND(M1072-U1072,2))</f>
        <v/>
      </c>
      <c r="W1072" s="5" t="n"/>
      <c r="X1072" s="5" t="inlineStr">
        <is>
          <t>Labour + plant + material as published; reconciles to the published rate.</t>
        </is>
      </c>
    </row>
    <row r="1073" ht="13" customHeight="1">
      <c r="A1073" s="4" t="n">
        <v>1948</v>
      </c>
      <c r="B1073" s="5" t="inlineStr">
        <is>
          <t>IMG_0093</t>
        </is>
      </c>
      <c r="C1073" s="5" t="inlineStr">
        <is>
          <t>CLASS I: PIPEWORK - PIPES</t>
        </is>
      </c>
      <c r="D1073" s="5" t="inlineStr">
        <is>
          <t>01 CLAY PIPES</t>
        </is>
      </c>
      <c r="E1073" s="5" t="inlineStr">
        <is>
          <t>225 mm pipes; in trench, depth</t>
        </is>
      </c>
      <c r="F1073" s="5" t="inlineStr">
        <is>
          <t>ne 1.50 m deep</t>
        </is>
      </c>
      <c r="G1073" s="6" t="inlineStr">
        <is>
          <t>m</t>
        </is>
      </c>
      <c r="H1073" s="7" t="n">
        <v>0.13</v>
      </c>
      <c r="I1073" s="8" t="n">
        <v>17.96</v>
      </c>
      <c r="J1073" s="8" t="n">
        <v>10.95</v>
      </c>
      <c r="K1073" s="8" t="n">
        <v>121.87</v>
      </c>
      <c r="L1073" s="8" t="n">
        <v>0</v>
      </c>
      <c r="M1073" s="9">
        <f>ROUND(SUM(I1073:L1073),2)</f>
        <v/>
      </c>
      <c r="N1073" s="10">
        <f>ROUND(I1073*'Irish Basis'!$C$6*'Irish Basis'!$C$5,2)</f>
        <v/>
      </c>
      <c r="O1073" s="10">
        <f>ROUND(J1073*'Irish Basis'!$C$7*'Irish Basis'!$C$5,2)</f>
        <v/>
      </c>
      <c r="P1073" s="10">
        <f>ROUND(K1073*'Irish Basis'!$C$8*'Irish Basis'!$C$5,2)</f>
        <v/>
      </c>
      <c r="Q1073" s="10">
        <f>ROUND(L1073*'Irish Basis'!$C$12*'Irish Basis'!$C$5,2)</f>
        <v/>
      </c>
      <c r="R1073" s="11">
        <f>ROUND(SUM(N1073:Q1073),2)</f>
        <v/>
      </c>
      <c r="S1073" s="5" t="inlineStr">
        <is>
          <t>Stated build-up</t>
        </is>
      </c>
      <c r="T1073" s="12" t="inlineStr">
        <is>
          <t>High</t>
        </is>
      </c>
      <c r="U1073" s="8" t="n">
        <v>150.79</v>
      </c>
      <c r="V1073" s="13">
        <f>IF(U1073="","",ROUND(M1073-U1073,2))</f>
        <v/>
      </c>
      <c r="W1073" s="5" t="n"/>
      <c r="X1073" s="5" t="inlineStr">
        <is>
          <t>Labour + plant + material as published; reconciles to the published rate.</t>
        </is>
      </c>
    </row>
    <row r="1074" ht="13" customHeight="1">
      <c r="A1074" s="4" t="n">
        <v>1949</v>
      </c>
      <c r="B1074" s="5" t="inlineStr">
        <is>
          <t>IMG_0093</t>
        </is>
      </c>
      <c r="C1074" s="5" t="inlineStr">
        <is>
          <t>CLASS I: PIPEWORK - PIPES</t>
        </is>
      </c>
      <c r="D1074" s="5" t="inlineStr">
        <is>
          <t>01 CLAY PIPES</t>
        </is>
      </c>
      <c r="E1074" s="5" t="inlineStr">
        <is>
          <t>225 mm pipes; in trench, depth</t>
        </is>
      </c>
      <c r="F1074" s="5" t="inlineStr">
        <is>
          <t>1.50-2.00 m deep</t>
        </is>
      </c>
      <c r="G1074" s="6" t="inlineStr">
        <is>
          <t>m</t>
        </is>
      </c>
      <c r="H1074" s="7" t="n">
        <v>0.17</v>
      </c>
      <c r="I1074" s="8" t="n">
        <v>23.49</v>
      </c>
      <c r="J1074" s="8" t="n">
        <v>14.36</v>
      </c>
      <c r="K1074" s="8" t="n">
        <v>121.87</v>
      </c>
      <c r="L1074" s="8" t="n">
        <v>0</v>
      </c>
      <c r="M1074" s="9">
        <f>ROUND(SUM(I1074:L1074),2)</f>
        <v/>
      </c>
      <c r="N1074" s="10">
        <f>ROUND(I1074*'Irish Basis'!$C$6*'Irish Basis'!$C$5,2)</f>
        <v/>
      </c>
      <c r="O1074" s="10">
        <f>ROUND(J1074*'Irish Basis'!$C$7*'Irish Basis'!$C$5,2)</f>
        <v/>
      </c>
      <c r="P1074" s="10">
        <f>ROUND(K1074*'Irish Basis'!$C$8*'Irish Basis'!$C$5,2)</f>
        <v/>
      </c>
      <c r="Q1074" s="10">
        <f>ROUND(L1074*'Irish Basis'!$C$12*'Irish Basis'!$C$5,2)</f>
        <v/>
      </c>
      <c r="R1074" s="11">
        <f>ROUND(SUM(N1074:Q1074),2)</f>
        <v/>
      </c>
      <c r="S1074" s="5" t="inlineStr">
        <is>
          <t>Stated build-up</t>
        </is>
      </c>
      <c r="T1074" s="12" t="inlineStr">
        <is>
          <t>High</t>
        </is>
      </c>
      <c r="U1074" s="8" t="n">
        <v>159.72</v>
      </c>
      <c r="V1074" s="13">
        <f>IF(U1074="","",ROUND(M1074-U1074,2))</f>
        <v/>
      </c>
      <c r="W1074" s="5" t="n"/>
      <c r="X1074" s="5" t="inlineStr">
        <is>
          <t>Labour + plant + material as published; reconciles to the published rate.</t>
        </is>
      </c>
    </row>
    <row r="1075" ht="13" customHeight="1">
      <c r="A1075" s="4" t="n">
        <v>1950</v>
      </c>
      <c r="B1075" s="5" t="inlineStr">
        <is>
          <t>IMG_0093</t>
        </is>
      </c>
      <c r="C1075" s="5" t="inlineStr">
        <is>
          <t>CLASS I: PIPEWORK - PIPES</t>
        </is>
      </c>
      <c r="D1075" s="5" t="inlineStr">
        <is>
          <t>01 CLAY PIPES</t>
        </is>
      </c>
      <c r="E1075" s="5" t="inlineStr">
        <is>
          <t>225 mm pipes; in trench, depth</t>
        </is>
      </c>
      <c r="F1075" s="5" t="inlineStr">
        <is>
          <t>2.00-2.50 m deep</t>
        </is>
      </c>
      <c r="G1075" s="6" t="inlineStr">
        <is>
          <t>m</t>
        </is>
      </c>
      <c r="H1075" s="7" t="n">
        <v>0.22</v>
      </c>
      <c r="I1075" s="8" t="n">
        <v>30.4</v>
      </c>
      <c r="J1075" s="8" t="n">
        <v>18.59</v>
      </c>
      <c r="K1075" s="8" t="n">
        <v>121.87</v>
      </c>
      <c r="L1075" s="8" t="n">
        <v>0</v>
      </c>
      <c r="M1075" s="9">
        <f>ROUND(SUM(I1075:L1075),2)</f>
        <v/>
      </c>
      <c r="N1075" s="10">
        <f>ROUND(I1075*'Irish Basis'!$C$6*'Irish Basis'!$C$5,2)</f>
        <v/>
      </c>
      <c r="O1075" s="10">
        <f>ROUND(J1075*'Irish Basis'!$C$7*'Irish Basis'!$C$5,2)</f>
        <v/>
      </c>
      <c r="P1075" s="10">
        <f>ROUND(K1075*'Irish Basis'!$C$8*'Irish Basis'!$C$5,2)</f>
        <v/>
      </c>
      <c r="Q1075" s="10">
        <f>ROUND(L1075*'Irish Basis'!$C$12*'Irish Basis'!$C$5,2)</f>
        <v/>
      </c>
      <c r="R1075" s="11">
        <f>ROUND(SUM(N1075:Q1075),2)</f>
        <v/>
      </c>
      <c r="S1075" s="5" t="inlineStr">
        <is>
          <t>Stated build-up</t>
        </is>
      </c>
      <c r="T1075" s="12" t="inlineStr">
        <is>
          <t>High</t>
        </is>
      </c>
      <c r="U1075" s="8" t="n">
        <v>170.86</v>
      </c>
      <c r="V1075" s="13">
        <f>IF(U1075="","",ROUND(M1075-U1075,2))</f>
        <v/>
      </c>
      <c r="W1075" s="5" t="n"/>
      <c r="X1075" s="5" t="inlineStr">
        <is>
          <t>Labour + plant + material as published; reconciles to the published rate.</t>
        </is>
      </c>
    </row>
    <row r="1076" ht="13" customHeight="1">
      <c r="A1076" s="4" t="n">
        <v>1951</v>
      </c>
      <c r="B1076" s="5" t="inlineStr">
        <is>
          <t>IMG_0093</t>
        </is>
      </c>
      <c r="C1076" s="5" t="inlineStr">
        <is>
          <t>CLASS I: PIPEWORK - PIPES</t>
        </is>
      </c>
      <c r="D1076" s="5" t="inlineStr">
        <is>
          <t>01 CLAY PIPES</t>
        </is>
      </c>
      <c r="E1076" s="5" t="inlineStr">
        <is>
          <t>225 mm pipes; in trench, depth</t>
        </is>
      </c>
      <c r="F1076" s="5" t="inlineStr">
        <is>
          <t>2.50-3.00 m deep</t>
        </is>
      </c>
      <c r="G1076" s="6" t="inlineStr">
        <is>
          <t>m</t>
        </is>
      </c>
      <c r="H1076" s="7" t="n">
        <v>0.27</v>
      </c>
      <c r="I1076" s="8" t="n">
        <v>37.31</v>
      </c>
      <c r="J1076" s="8" t="n">
        <v>22.81</v>
      </c>
      <c r="K1076" s="8" t="n">
        <v>121.87</v>
      </c>
      <c r="L1076" s="8" t="n">
        <v>0</v>
      </c>
      <c r="M1076" s="9">
        <f>ROUND(SUM(I1076:L1076),2)</f>
        <v/>
      </c>
      <c r="N1076" s="10">
        <f>ROUND(I1076*'Irish Basis'!$C$6*'Irish Basis'!$C$5,2)</f>
        <v/>
      </c>
      <c r="O1076" s="10">
        <f>ROUND(J1076*'Irish Basis'!$C$7*'Irish Basis'!$C$5,2)</f>
        <v/>
      </c>
      <c r="P1076" s="10">
        <f>ROUND(K1076*'Irish Basis'!$C$8*'Irish Basis'!$C$5,2)</f>
        <v/>
      </c>
      <c r="Q1076" s="10">
        <f>ROUND(L1076*'Irish Basis'!$C$12*'Irish Basis'!$C$5,2)</f>
        <v/>
      </c>
      <c r="R1076" s="11">
        <f>ROUND(SUM(N1076:Q1076),2)</f>
        <v/>
      </c>
      <c r="S1076" s="5" t="inlineStr">
        <is>
          <t>Stated build-up</t>
        </is>
      </c>
      <c r="T1076" s="12" t="inlineStr">
        <is>
          <t>High</t>
        </is>
      </c>
      <c r="U1076" s="8" t="n">
        <v>181.99</v>
      </c>
      <c r="V1076" s="13">
        <f>IF(U1076="","",ROUND(M1076-U1076,2))</f>
        <v/>
      </c>
      <c r="W1076" s="5" t="n"/>
      <c r="X1076" s="5" t="inlineStr">
        <is>
          <t>Labour + plant + material as published; reconciles to the published rate.</t>
        </is>
      </c>
    </row>
    <row r="1077" ht="13" customHeight="1">
      <c r="A1077" s="4" t="n">
        <v>1953</v>
      </c>
      <c r="B1077" s="5" t="inlineStr">
        <is>
          <t>IMG_0093</t>
        </is>
      </c>
      <c r="C1077" s="5" t="inlineStr">
        <is>
          <t>CLASS I: PIPEWORK - PIPES</t>
        </is>
      </c>
      <c r="D1077" s="5" t="inlineStr">
        <is>
          <t>01 CLAY PIPES</t>
        </is>
      </c>
      <c r="E1077" s="5" t="inlineStr">
        <is>
          <t>Vitrified clay perforated field drains to BS EN295, sleeved joints; excavation and supports, backfilling; 100 mm pipes; in trench, depth</t>
        </is>
      </c>
      <c r="F1077" s="5" t="inlineStr">
        <is>
          <t>not in trenches</t>
        </is>
      </c>
      <c r="G1077" s="6" t="inlineStr">
        <is>
          <t>m</t>
        </is>
      </c>
      <c r="H1077" s="7" t="n">
        <v>0.25</v>
      </c>
      <c r="I1077" s="8" t="n">
        <v>21.58</v>
      </c>
      <c r="J1077" s="8" t="n">
        <v>0.09</v>
      </c>
      <c r="K1077" s="8" t="n">
        <v>28.97</v>
      </c>
      <c r="L1077" s="8" t="n">
        <v>0</v>
      </c>
      <c r="M1077" s="9">
        <f>ROUND(SUM(I1077:L1077),2)</f>
        <v/>
      </c>
      <c r="N1077" s="10">
        <f>ROUND(I1077*'Irish Basis'!$C$6*'Irish Basis'!$C$5,2)</f>
        <v/>
      </c>
      <c r="O1077" s="10">
        <f>ROUND(J1077*'Irish Basis'!$C$7*'Irish Basis'!$C$5,2)</f>
        <v/>
      </c>
      <c r="P1077" s="10">
        <f>ROUND(K1077*'Irish Basis'!$C$8*'Irish Basis'!$C$5,2)</f>
        <v/>
      </c>
      <c r="Q1077" s="10">
        <f>ROUND(L1077*'Irish Basis'!$C$12*'Irish Basis'!$C$5,2)</f>
        <v/>
      </c>
      <c r="R1077" s="11">
        <f>ROUND(SUM(N1077:Q1077),2)</f>
        <v/>
      </c>
      <c r="S1077" s="5" t="inlineStr">
        <is>
          <t>Stated build-up</t>
        </is>
      </c>
      <c r="T1077" s="12" t="inlineStr">
        <is>
          <t>High</t>
        </is>
      </c>
      <c r="U1077" s="8" t="n">
        <v>50.64</v>
      </c>
      <c r="V1077" s="13">
        <f>IF(U1077="","",ROUND(M1077-U1077,2))</f>
        <v/>
      </c>
      <c r="W1077" s="5" t="n"/>
      <c r="X1077" s="5" t="inlineStr">
        <is>
          <t>Labour + plant + material as published; reconciles to the published rate.</t>
        </is>
      </c>
    </row>
    <row r="1078" ht="13" customHeight="1">
      <c r="A1078" s="4" t="n">
        <v>1954</v>
      </c>
      <c r="B1078" s="5" t="inlineStr">
        <is>
          <t>IMG_0093</t>
        </is>
      </c>
      <c r="C1078" s="5" t="inlineStr">
        <is>
          <t>CLASS I: PIPEWORK - PIPES</t>
        </is>
      </c>
      <c r="D1078" s="5" t="inlineStr">
        <is>
          <t>01 CLAY PIPES</t>
        </is>
      </c>
      <c r="E1078" s="5" t="inlineStr">
        <is>
          <t>Vitrified clay perforated field drains to BS EN295, sleeved joints; excavation and supports, backfilling; 100 mm pipes; in trench, depth</t>
        </is>
      </c>
      <c r="F1078" s="5" t="inlineStr">
        <is>
          <t>ne 1.50 m deep</t>
        </is>
      </c>
      <c r="G1078" s="6" t="inlineStr">
        <is>
          <t>m</t>
        </is>
      </c>
      <c r="H1078" s="7" t="n">
        <v>0.27</v>
      </c>
      <c r="I1078" s="8" t="n">
        <v>37.31</v>
      </c>
      <c r="J1078" s="8" t="n">
        <v>12.63</v>
      </c>
      <c r="K1078" s="8" t="n">
        <v>28.97</v>
      </c>
      <c r="L1078" s="8" t="n">
        <v>0</v>
      </c>
      <c r="M1078" s="9">
        <f>ROUND(SUM(I1078:L1078),2)</f>
        <v/>
      </c>
      <c r="N1078" s="10">
        <f>ROUND(I1078*'Irish Basis'!$C$6*'Irish Basis'!$C$5,2)</f>
        <v/>
      </c>
      <c r="O1078" s="10">
        <f>ROUND(J1078*'Irish Basis'!$C$7*'Irish Basis'!$C$5,2)</f>
        <v/>
      </c>
      <c r="P1078" s="10">
        <f>ROUND(K1078*'Irish Basis'!$C$8*'Irish Basis'!$C$5,2)</f>
        <v/>
      </c>
      <c r="Q1078" s="10">
        <f>ROUND(L1078*'Irish Basis'!$C$12*'Irish Basis'!$C$5,2)</f>
        <v/>
      </c>
      <c r="R1078" s="11">
        <f>ROUND(SUM(N1078:Q1078),2)</f>
        <v/>
      </c>
      <c r="S1078" s="5" t="inlineStr">
        <is>
          <t>Stated build-up</t>
        </is>
      </c>
      <c r="T1078" s="12" t="inlineStr">
        <is>
          <t>High</t>
        </is>
      </c>
      <c r="U1078" s="8" t="n">
        <v>78.91</v>
      </c>
      <c r="V1078" s="13">
        <f>IF(U1078="","",ROUND(M1078-U1078,2))</f>
        <v/>
      </c>
      <c r="W1078" s="5" t="n"/>
      <c r="X1078" s="5" t="inlineStr">
        <is>
          <t>Labour + plant + material as published; reconciles to the published rate.</t>
        </is>
      </c>
    </row>
    <row r="1079" ht="13" customHeight="1">
      <c r="A1079" s="4" t="n">
        <v>1955</v>
      </c>
      <c r="B1079" s="5" t="inlineStr">
        <is>
          <t>IMG_0093</t>
        </is>
      </c>
      <c r="C1079" s="5" t="inlineStr">
        <is>
          <t>CLASS I: PIPEWORK - PIPES</t>
        </is>
      </c>
      <c r="D1079" s="5" t="inlineStr">
        <is>
          <t>01 CLAY PIPES</t>
        </is>
      </c>
      <c r="E1079" s="5" t="inlineStr">
        <is>
          <t>Vitrified clay perforated field drains to BS EN295, sleeved joints; excavation and supports, backfilling; 100 mm pipes; in trench, depth</t>
        </is>
      </c>
      <c r="F1079" s="5" t="inlineStr">
        <is>
          <t>1.50-2.00 m deep</t>
        </is>
      </c>
      <c r="G1079" s="6" t="inlineStr">
        <is>
          <t>m</t>
        </is>
      </c>
      <c r="H1079" s="7" t="n">
        <v>0.3</v>
      </c>
      <c r="I1079" s="8" t="n">
        <v>41.45</v>
      </c>
      <c r="J1079" s="8" t="n">
        <v>16.04</v>
      </c>
      <c r="K1079" s="8" t="n">
        <v>28.97</v>
      </c>
      <c r="L1079" s="8" t="n">
        <v>0</v>
      </c>
      <c r="M1079" s="9">
        <f>ROUND(SUM(I1079:L1079),2)</f>
        <v/>
      </c>
      <c r="N1079" s="10">
        <f>ROUND(I1079*'Irish Basis'!$C$6*'Irish Basis'!$C$5,2)</f>
        <v/>
      </c>
      <c r="O1079" s="10">
        <f>ROUND(J1079*'Irish Basis'!$C$7*'Irish Basis'!$C$5,2)</f>
        <v/>
      </c>
      <c r="P1079" s="10">
        <f>ROUND(K1079*'Irish Basis'!$C$8*'Irish Basis'!$C$5,2)</f>
        <v/>
      </c>
      <c r="Q1079" s="10">
        <f>ROUND(L1079*'Irish Basis'!$C$12*'Irish Basis'!$C$5,2)</f>
        <v/>
      </c>
      <c r="R1079" s="11">
        <f>ROUND(SUM(N1079:Q1079),2)</f>
        <v/>
      </c>
      <c r="S1079" s="5" t="inlineStr">
        <is>
          <t>Stated build-up</t>
        </is>
      </c>
      <c r="T1079" s="12" t="inlineStr">
        <is>
          <t>High</t>
        </is>
      </c>
      <c r="U1079" s="8" t="n">
        <v>86.45999999999999</v>
      </c>
      <c r="V1079" s="13">
        <f>IF(U1079="","",ROUND(M1079-U1079,2))</f>
        <v/>
      </c>
      <c r="W1079" s="5" t="n"/>
      <c r="X1079" s="5" t="inlineStr">
        <is>
          <t>Labour + plant + material as published; reconciles to the published rate.</t>
        </is>
      </c>
    </row>
    <row r="1080" ht="13" customHeight="1">
      <c r="A1080" s="4" t="n">
        <v>1956</v>
      </c>
      <c r="B1080" s="5" t="inlineStr">
        <is>
          <t>IMG_0093</t>
        </is>
      </c>
      <c r="C1080" s="5" t="inlineStr">
        <is>
          <t>CLASS I: PIPEWORK - PIPES</t>
        </is>
      </c>
      <c r="D1080" s="5" t="inlineStr">
        <is>
          <t>01 CLAY PIPES</t>
        </is>
      </c>
      <c r="E1080" s="5" t="inlineStr">
        <is>
          <t>Vitrified clay perforated field drains to BS EN295, sleeved joints; excavation and supports, backfilling; 100 mm pipes; in trench, depth</t>
        </is>
      </c>
      <c r="F1080" s="5" t="inlineStr">
        <is>
          <t>2.00-2.50 m deep</t>
        </is>
      </c>
      <c r="G1080" s="6" t="inlineStr">
        <is>
          <t>m</t>
        </is>
      </c>
      <c r="H1080" s="7" t="n">
        <v>0.36</v>
      </c>
      <c r="I1080" s="8" t="n">
        <v>49.74</v>
      </c>
      <c r="J1080" s="8" t="n">
        <v>20.26</v>
      </c>
      <c r="K1080" s="8" t="n">
        <v>28.97</v>
      </c>
      <c r="L1080" s="8" t="n">
        <v>0</v>
      </c>
      <c r="M1080" s="9">
        <f>ROUND(SUM(I1080:L1080),2)</f>
        <v/>
      </c>
      <c r="N1080" s="10">
        <f>ROUND(I1080*'Irish Basis'!$C$6*'Irish Basis'!$C$5,2)</f>
        <v/>
      </c>
      <c r="O1080" s="10">
        <f>ROUND(J1080*'Irish Basis'!$C$7*'Irish Basis'!$C$5,2)</f>
        <v/>
      </c>
      <c r="P1080" s="10">
        <f>ROUND(K1080*'Irish Basis'!$C$8*'Irish Basis'!$C$5,2)</f>
        <v/>
      </c>
      <c r="Q1080" s="10">
        <f>ROUND(L1080*'Irish Basis'!$C$12*'Irish Basis'!$C$5,2)</f>
        <v/>
      </c>
      <c r="R1080" s="11">
        <f>ROUND(SUM(N1080:Q1080),2)</f>
        <v/>
      </c>
      <c r="S1080" s="5" t="inlineStr">
        <is>
          <t>Stated build-up</t>
        </is>
      </c>
      <c r="T1080" s="12" t="inlineStr">
        <is>
          <t>High</t>
        </is>
      </c>
      <c r="U1080" s="8" t="n">
        <v>98.97</v>
      </c>
      <c r="V1080" s="13">
        <f>IF(U1080="","",ROUND(M1080-U1080,2))</f>
        <v/>
      </c>
      <c r="W1080" s="5" t="n"/>
      <c r="X1080" s="5" t="inlineStr">
        <is>
          <t>Labour + plant + material as published; reconciles to the published rate.</t>
        </is>
      </c>
    </row>
    <row r="1081" ht="13" customHeight="1">
      <c r="A1081" s="4" t="n">
        <v>1957</v>
      </c>
      <c r="B1081" s="5" t="inlineStr">
        <is>
          <t>IMG_0093</t>
        </is>
      </c>
      <c r="C1081" s="5" t="inlineStr">
        <is>
          <t>CLASS I: PIPEWORK - PIPES</t>
        </is>
      </c>
      <c r="D1081" s="5" t="inlineStr">
        <is>
          <t>01 CLAY PIPES</t>
        </is>
      </c>
      <c r="E1081" s="5" t="inlineStr">
        <is>
          <t>Vitrified clay perforated field drains to BS EN295, sleeved joints; excavation and supports, backfilling; 100 mm pipes; in trench, depth</t>
        </is>
      </c>
      <c r="F1081" s="5" t="inlineStr">
        <is>
          <t>2.50-3.00 m deep</t>
        </is>
      </c>
      <c r="G1081" s="6" t="inlineStr">
        <is>
          <t>m</t>
        </is>
      </c>
      <c r="H1081" s="7" t="n">
        <v>0.41</v>
      </c>
      <c r="I1081" s="8" t="n">
        <v>56.65</v>
      </c>
      <c r="J1081" s="8" t="n">
        <v>24.51</v>
      </c>
      <c r="K1081" s="8" t="n">
        <v>28.97</v>
      </c>
      <c r="L1081" s="8" t="n">
        <v>0</v>
      </c>
      <c r="M1081" s="9">
        <f>ROUND(SUM(I1081:L1081),2)</f>
        <v/>
      </c>
      <c r="N1081" s="10">
        <f>ROUND(I1081*'Irish Basis'!$C$6*'Irish Basis'!$C$5,2)</f>
        <v/>
      </c>
      <c r="O1081" s="10">
        <f>ROUND(J1081*'Irish Basis'!$C$7*'Irish Basis'!$C$5,2)</f>
        <v/>
      </c>
      <c r="P1081" s="10">
        <f>ROUND(K1081*'Irish Basis'!$C$8*'Irish Basis'!$C$5,2)</f>
        <v/>
      </c>
      <c r="Q1081" s="10">
        <f>ROUND(L1081*'Irish Basis'!$C$12*'Irish Basis'!$C$5,2)</f>
        <v/>
      </c>
      <c r="R1081" s="11">
        <f>ROUND(SUM(N1081:Q1081),2)</f>
        <v/>
      </c>
      <c r="S1081" s="5" t="inlineStr">
        <is>
          <t>Stated build-up</t>
        </is>
      </c>
      <c r="T1081" s="12" t="inlineStr">
        <is>
          <t>High</t>
        </is>
      </c>
      <c r="U1081" s="8" t="n">
        <v>110.14</v>
      </c>
      <c r="V1081" s="13">
        <f>IF(U1081="","",ROUND(M1081-U1081,2))</f>
        <v/>
      </c>
      <c r="W1081" s="5" t="n"/>
      <c r="X1081" s="5" t="inlineStr">
        <is>
          <t>Labour + plant + material as published; reconciles to the published rate.</t>
        </is>
      </c>
    </row>
    <row r="1082" ht="13" customHeight="1">
      <c r="A1082" s="4" t="n">
        <v>1958</v>
      </c>
      <c r="B1082" s="5" t="inlineStr">
        <is>
          <t>IMG_0093</t>
        </is>
      </c>
      <c r="C1082" s="5" t="inlineStr">
        <is>
          <t>CLASS I: PIPEWORK - PIPES</t>
        </is>
      </c>
      <c r="D1082" s="5" t="inlineStr">
        <is>
          <t>01 CLAY PIPES</t>
        </is>
      </c>
      <c r="E1082" s="5" t="inlineStr">
        <is>
          <t>Vitrified clay perforated field drains to BS EN295, sleeved joints; excavation and supports, backfilling; 100 mm pipes; in trench, depth</t>
        </is>
      </c>
      <c r="F1082" s="5" t="inlineStr">
        <is>
          <t>extra for bend</t>
        </is>
      </c>
      <c r="G1082" s="6" t="inlineStr">
        <is>
          <t>nr</t>
        </is>
      </c>
      <c r="H1082" s="7" t="n">
        <v>0.08</v>
      </c>
      <c r="I1082" s="8" t="n">
        <v>11.05</v>
      </c>
      <c r="J1082" s="8" t="n">
        <v>0</v>
      </c>
      <c r="K1082" s="8" t="n">
        <v>27.92</v>
      </c>
      <c r="L1082" s="8" t="n">
        <v>0</v>
      </c>
      <c r="M1082" s="9">
        <f>ROUND(SUM(I1082:L1082),2)</f>
        <v/>
      </c>
      <c r="N1082" s="10">
        <f>ROUND(I1082*'Irish Basis'!$C$6*'Irish Basis'!$C$5,2)</f>
        <v/>
      </c>
      <c r="O1082" s="10">
        <f>ROUND(J1082*'Irish Basis'!$C$7*'Irish Basis'!$C$5,2)</f>
        <v/>
      </c>
      <c r="P1082" s="10">
        <f>ROUND(K1082*'Irish Basis'!$C$8*'Irish Basis'!$C$5,2)</f>
        <v/>
      </c>
      <c r="Q1082" s="10">
        <f>ROUND(L1082*'Irish Basis'!$C$12*'Irish Basis'!$C$5,2)</f>
        <v/>
      </c>
      <c r="R1082" s="11">
        <f>ROUND(SUM(N1082:Q1082),2)</f>
        <v/>
      </c>
      <c r="S1082" s="5" t="inlineStr">
        <is>
          <t>Stated build-up</t>
        </is>
      </c>
      <c r="T1082" s="12" t="inlineStr">
        <is>
          <t>High</t>
        </is>
      </c>
      <c r="U1082" s="8" t="n">
        <v>38.97</v>
      </c>
      <c r="V1082" s="13">
        <f>IF(U1082="","",ROUND(M1082-U1082,2))</f>
        <v/>
      </c>
      <c r="W1082" s="5" t="n"/>
      <c r="X1082" s="5" t="inlineStr">
        <is>
          <t>Labour + plant + material as published; reconciles to the published rate.</t>
        </is>
      </c>
    </row>
    <row r="1083" ht="13" customHeight="1">
      <c r="A1083" s="4" t="n">
        <v>1959</v>
      </c>
      <c r="B1083" s="5" t="inlineStr">
        <is>
          <t>IMG_0093</t>
        </is>
      </c>
      <c r="C1083" s="5" t="inlineStr">
        <is>
          <t>CLASS I: PIPEWORK - PIPES</t>
        </is>
      </c>
      <c r="D1083" s="5" t="inlineStr">
        <is>
          <t>01 CLAY PIPES</t>
        </is>
      </c>
      <c r="E1083" s="5" t="inlineStr">
        <is>
          <t>Vitrified clay perforated field drains to BS EN295, sleeved joints; excavation and supports, backfilling; 100 mm pipes; in trench, depth</t>
        </is>
      </c>
      <c r="F1083" s="5" t="inlineStr">
        <is>
          <t>extra for single junction</t>
        </is>
      </c>
      <c r="G1083" s="6" t="inlineStr">
        <is>
          <t>nr</t>
        </is>
      </c>
      <c r="H1083" s="7" t="n">
        <v>0.09</v>
      </c>
      <c r="I1083" s="8" t="n">
        <v>12.44</v>
      </c>
      <c r="J1083" s="8" t="n">
        <v>0</v>
      </c>
      <c r="K1083" s="8" t="n">
        <v>39.77</v>
      </c>
      <c r="L1083" s="8" t="n">
        <v>0</v>
      </c>
      <c r="M1083" s="9">
        <f>ROUND(SUM(I1083:L1083),2)</f>
        <v/>
      </c>
      <c r="N1083" s="10">
        <f>ROUND(I1083*'Irish Basis'!$C$6*'Irish Basis'!$C$5,2)</f>
        <v/>
      </c>
      <c r="O1083" s="10">
        <f>ROUND(J1083*'Irish Basis'!$C$7*'Irish Basis'!$C$5,2)</f>
        <v/>
      </c>
      <c r="P1083" s="10">
        <f>ROUND(K1083*'Irish Basis'!$C$8*'Irish Basis'!$C$5,2)</f>
        <v/>
      </c>
      <c r="Q1083" s="10">
        <f>ROUND(L1083*'Irish Basis'!$C$12*'Irish Basis'!$C$5,2)</f>
        <v/>
      </c>
      <c r="R1083" s="11">
        <f>ROUND(SUM(N1083:Q1083),2)</f>
        <v/>
      </c>
      <c r="S1083" s="5" t="inlineStr">
        <is>
          <t>Stated build-up</t>
        </is>
      </c>
      <c r="T1083" s="12" t="inlineStr">
        <is>
          <t>High</t>
        </is>
      </c>
      <c r="U1083" s="8" t="n">
        <v>52.21</v>
      </c>
      <c r="V1083" s="13">
        <f>IF(U1083="","",ROUND(M1083-U1083,2))</f>
        <v/>
      </c>
      <c r="W1083" s="5" t="n"/>
      <c r="X1083" s="5" t="inlineStr">
        <is>
          <t>Labour + plant + material as published; reconciles to the published rate.</t>
        </is>
      </c>
    </row>
    <row r="1084" ht="13" customHeight="1">
      <c r="A1084" s="4" t="n">
        <v>1961</v>
      </c>
      <c r="B1084" s="5" t="inlineStr">
        <is>
          <t>IMG_0093</t>
        </is>
      </c>
      <c r="C1084" s="5" t="inlineStr">
        <is>
          <t>CLASS I: PIPEWORK - PIPES</t>
        </is>
      </c>
      <c r="D1084" s="5" t="inlineStr">
        <is>
          <t>01 CLAY PIPES</t>
        </is>
      </c>
      <c r="E1084" s="5" t="inlineStr">
        <is>
          <t>150 mm pipes; in trench, depth</t>
        </is>
      </c>
      <c r="F1084" s="5" t="inlineStr">
        <is>
          <t>not in trenches</t>
        </is>
      </c>
      <c r="G1084" s="6" t="inlineStr">
        <is>
          <t>m</t>
        </is>
      </c>
      <c r="H1084" s="7" t="n">
        <v>0.47</v>
      </c>
      <c r="I1084" s="8" t="n">
        <v>40.57</v>
      </c>
      <c r="J1084" s="8" t="n">
        <v>0.09</v>
      </c>
      <c r="K1084" s="8" t="n">
        <v>52.63</v>
      </c>
      <c r="L1084" s="8" t="n">
        <v>0</v>
      </c>
      <c r="M1084" s="9">
        <f>ROUND(SUM(I1084:L1084),2)</f>
        <v/>
      </c>
      <c r="N1084" s="10">
        <f>ROUND(I1084*'Irish Basis'!$C$6*'Irish Basis'!$C$5,2)</f>
        <v/>
      </c>
      <c r="O1084" s="10">
        <f>ROUND(J1084*'Irish Basis'!$C$7*'Irish Basis'!$C$5,2)</f>
        <v/>
      </c>
      <c r="P1084" s="10">
        <f>ROUND(K1084*'Irish Basis'!$C$8*'Irish Basis'!$C$5,2)</f>
        <v/>
      </c>
      <c r="Q1084" s="10">
        <f>ROUND(L1084*'Irish Basis'!$C$12*'Irish Basis'!$C$5,2)</f>
        <v/>
      </c>
      <c r="R1084" s="11">
        <f>ROUND(SUM(N1084:Q1084),2)</f>
        <v/>
      </c>
      <c r="S1084" s="5" t="inlineStr">
        <is>
          <t>Stated build-up</t>
        </is>
      </c>
      <c r="T1084" s="12" t="inlineStr">
        <is>
          <t>High</t>
        </is>
      </c>
      <c r="U1084" s="8" t="n">
        <v>93.29000000000001</v>
      </c>
      <c r="V1084" s="13">
        <f>IF(U1084="","",ROUND(M1084-U1084,2))</f>
        <v/>
      </c>
      <c r="W1084" s="5" t="n"/>
      <c r="X1084" s="5" t="inlineStr">
        <is>
          <t>Labour + plant + material as published; reconciles to the published rate.</t>
        </is>
      </c>
    </row>
    <row r="1085" ht="13" customHeight="1">
      <c r="A1085" s="4" t="n">
        <v>1962</v>
      </c>
      <c r="B1085" s="5" t="inlineStr">
        <is>
          <t>IMG_0093</t>
        </is>
      </c>
      <c r="C1085" s="5" t="inlineStr">
        <is>
          <t>CLASS I: PIPEWORK - PIPES</t>
        </is>
      </c>
      <c r="D1085" s="5" t="inlineStr">
        <is>
          <t>01 CLAY PIPES</t>
        </is>
      </c>
      <c r="E1085" s="5" t="inlineStr">
        <is>
          <t>150 mm pipes; in trench, depth</t>
        </is>
      </c>
      <c r="F1085" s="5" t="inlineStr">
        <is>
          <t>ne 1.50 m deep</t>
        </is>
      </c>
      <c r="G1085" s="6" t="inlineStr">
        <is>
          <t>m</t>
        </is>
      </c>
      <c r="H1085" s="7" t="n">
        <v>0.43</v>
      </c>
      <c r="I1085" s="8" t="n">
        <v>59.42</v>
      </c>
      <c r="J1085" s="8" t="n">
        <v>14.32</v>
      </c>
      <c r="K1085" s="8" t="n">
        <v>52.63</v>
      </c>
      <c r="L1085" s="8" t="n">
        <v>0</v>
      </c>
      <c r="M1085" s="9">
        <f>ROUND(SUM(I1085:L1085),2)</f>
        <v/>
      </c>
      <c r="N1085" s="10">
        <f>ROUND(I1085*'Irish Basis'!$C$6*'Irish Basis'!$C$5,2)</f>
        <v/>
      </c>
      <c r="O1085" s="10">
        <f>ROUND(J1085*'Irish Basis'!$C$7*'Irish Basis'!$C$5,2)</f>
        <v/>
      </c>
      <c r="P1085" s="10">
        <f>ROUND(K1085*'Irish Basis'!$C$8*'Irish Basis'!$C$5,2)</f>
        <v/>
      </c>
      <c r="Q1085" s="10">
        <f>ROUND(L1085*'Irish Basis'!$C$12*'Irish Basis'!$C$5,2)</f>
        <v/>
      </c>
      <c r="R1085" s="11">
        <f>ROUND(SUM(N1085:Q1085),2)</f>
        <v/>
      </c>
      <c r="S1085" s="5" t="inlineStr">
        <is>
          <t>Stated build-up</t>
        </is>
      </c>
      <c r="T1085" s="12" t="inlineStr">
        <is>
          <t>High</t>
        </is>
      </c>
      <c r="U1085" s="8" t="n">
        <v>126.37</v>
      </c>
      <c r="V1085" s="13">
        <f>IF(U1085="","",ROUND(M1085-U1085,2))</f>
        <v/>
      </c>
      <c r="W1085" s="5" t="n"/>
      <c r="X1085" s="5" t="inlineStr">
        <is>
          <t>Labour + plant + material as published; reconciles to the published rate.</t>
        </is>
      </c>
    </row>
    <row r="1086" ht="13" customHeight="1">
      <c r="A1086" s="4" t="n">
        <v>1963</v>
      </c>
      <c r="B1086" s="5" t="inlineStr">
        <is>
          <t>IMG_0093</t>
        </is>
      </c>
      <c r="C1086" s="5" t="inlineStr">
        <is>
          <t>CLASS I: PIPEWORK - PIPES</t>
        </is>
      </c>
      <c r="D1086" s="5" t="inlineStr">
        <is>
          <t>01 CLAY PIPES</t>
        </is>
      </c>
      <c r="E1086" s="5" t="inlineStr">
        <is>
          <t>150 mm pipes; in trench, depth</t>
        </is>
      </c>
      <c r="F1086" s="5" t="inlineStr">
        <is>
          <t>1.50-2.00 m deep</t>
        </is>
      </c>
      <c r="G1086" s="6" t="inlineStr">
        <is>
          <t>m</t>
        </is>
      </c>
      <c r="H1086" s="7" t="n">
        <v>0.46</v>
      </c>
      <c r="I1086" s="8" t="n">
        <v>63.56</v>
      </c>
      <c r="J1086" s="8" t="n">
        <v>16.89</v>
      </c>
      <c r="K1086" s="8" t="n">
        <v>52.63</v>
      </c>
      <c r="L1086" s="8" t="n">
        <v>0</v>
      </c>
      <c r="M1086" s="9">
        <f>ROUND(SUM(I1086:L1086),2)</f>
        <v/>
      </c>
      <c r="N1086" s="10">
        <f>ROUND(I1086*'Irish Basis'!$C$6*'Irish Basis'!$C$5,2)</f>
        <v/>
      </c>
      <c r="O1086" s="10">
        <f>ROUND(J1086*'Irish Basis'!$C$7*'Irish Basis'!$C$5,2)</f>
        <v/>
      </c>
      <c r="P1086" s="10">
        <f>ROUND(K1086*'Irish Basis'!$C$8*'Irish Basis'!$C$5,2)</f>
        <v/>
      </c>
      <c r="Q1086" s="10">
        <f>ROUND(L1086*'Irish Basis'!$C$12*'Irish Basis'!$C$5,2)</f>
        <v/>
      </c>
      <c r="R1086" s="11">
        <f>ROUND(SUM(N1086:Q1086),2)</f>
        <v/>
      </c>
      <c r="S1086" s="5" t="inlineStr">
        <is>
          <t>Stated build-up</t>
        </is>
      </c>
      <c r="T1086" s="12" t="inlineStr">
        <is>
          <t>High</t>
        </is>
      </c>
      <c r="U1086" s="8" t="n">
        <v>133.08</v>
      </c>
      <c r="V1086" s="13">
        <f>IF(U1086="","",ROUND(M1086-U1086,2))</f>
        <v/>
      </c>
      <c r="W1086" s="5" t="n"/>
      <c r="X1086" s="5" t="inlineStr">
        <is>
          <t>Labour + plant + material as published; reconciles to the published rate.</t>
        </is>
      </c>
    </row>
    <row r="1087" ht="13" customHeight="1">
      <c r="A1087" s="4" t="n">
        <v>1964</v>
      </c>
      <c r="B1087" s="5" t="inlineStr">
        <is>
          <t>IMG_0093</t>
        </is>
      </c>
      <c r="C1087" s="5" t="inlineStr">
        <is>
          <t>CLASS I: PIPEWORK - PIPES</t>
        </is>
      </c>
      <c r="D1087" s="5" t="inlineStr">
        <is>
          <t>01 CLAY PIPES</t>
        </is>
      </c>
      <c r="E1087" s="5" t="inlineStr">
        <is>
          <t>150 mm pipes; in trench, depth</t>
        </is>
      </c>
      <c r="F1087" s="5" t="inlineStr">
        <is>
          <t>2.00-2.50 m deep</t>
        </is>
      </c>
      <c r="G1087" s="6" t="inlineStr">
        <is>
          <t>m</t>
        </is>
      </c>
      <c r="H1087" s="7" t="n">
        <v>0.5</v>
      </c>
      <c r="I1087" s="8" t="n">
        <v>69.09</v>
      </c>
      <c r="J1087" s="8" t="n">
        <v>20.26</v>
      </c>
      <c r="K1087" s="8" t="n">
        <v>52.63</v>
      </c>
      <c r="L1087" s="8" t="n">
        <v>0</v>
      </c>
      <c r="M1087" s="9">
        <f>ROUND(SUM(I1087:L1087),2)</f>
        <v/>
      </c>
      <c r="N1087" s="10">
        <f>ROUND(I1087*'Irish Basis'!$C$6*'Irish Basis'!$C$5,2)</f>
        <v/>
      </c>
      <c r="O1087" s="10">
        <f>ROUND(J1087*'Irish Basis'!$C$7*'Irish Basis'!$C$5,2)</f>
        <v/>
      </c>
      <c r="P1087" s="10">
        <f>ROUND(K1087*'Irish Basis'!$C$8*'Irish Basis'!$C$5,2)</f>
        <v/>
      </c>
      <c r="Q1087" s="10">
        <f>ROUND(L1087*'Irish Basis'!$C$12*'Irish Basis'!$C$5,2)</f>
        <v/>
      </c>
      <c r="R1087" s="11">
        <f>ROUND(SUM(N1087:Q1087),2)</f>
        <v/>
      </c>
      <c r="S1087" s="5" t="inlineStr">
        <is>
          <t>Stated build-up</t>
        </is>
      </c>
      <c r="T1087" s="12" t="inlineStr">
        <is>
          <t>High</t>
        </is>
      </c>
      <c r="U1087" s="8" t="n">
        <v>141.98</v>
      </c>
      <c r="V1087" s="13">
        <f>IF(U1087="","",ROUND(M1087-U1087,2))</f>
        <v/>
      </c>
      <c r="W1087" s="5" t="n"/>
      <c r="X1087" s="5" t="inlineStr">
        <is>
          <t>Labour + plant + material as published; reconciles to the published rate.</t>
        </is>
      </c>
    </row>
    <row r="1088" ht="13" customHeight="1">
      <c r="A1088" s="4" t="n">
        <v>1965</v>
      </c>
      <c r="B1088" s="5" t="inlineStr">
        <is>
          <t>IMG_0093</t>
        </is>
      </c>
      <c r="C1088" s="5" t="inlineStr">
        <is>
          <t>CLASS I: PIPEWORK - PIPES</t>
        </is>
      </c>
      <c r="D1088" s="5" t="inlineStr">
        <is>
          <t>01 CLAY PIPES</t>
        </is>
      </c>
      <c r="E1088" s="5" t="inlineStr">
        <is>
          <t>150 mm pipes; in trench, depth</t>
        </is>
      </c>
      <c r="F1088" s="5" t="inlineStr">
        <is>
          <t>2.50-3.00 m deep</t>
        </is>
      </c>
      <c r="G1088" s="6" t="inlineStr">
        <is>
          <t>m</t>
        </is>
      </c>
      <c r="H1088" s="7" t="n">
        <v>0.55</v>
      </c>
      <c r="I1088" s="8" t="n">
        <v>76</v>
      </c>
      <c r="J1088" s="8" t="n">
        <v>24.51</v>
      </c>
      <c r="K1088" s="8" t="n">
        <v>52.63</v>
      </c>
      <c r="L1088" s="8" t="n">
        <v>0</v>
      </c>
      <c r="M1088" s="9">
        <f>ROUND(SUM(I1088:L1088),2)</f>
        <v/>
      </c>
      <c r="N1088" s="10">
        <f>ROUND(I1088*'Irish Basis'!$C$6*'Irish Basis'!$C$5,2)</f>
        <v/>
      </c>
      <c r="O1088" s="10">
        <f>ROUND(J1088*'Irish Basis'!$C$7*'Irish Basis'!$C$5,2)</f>
        <v/>
      </c>
      <c r="P1088" s="10">
        <f>ROUND(K1088*'Irish Basis'!$C$8*'Irish Basis'!$C$5,2)</f>
        <v/>
      </c>
      <c r="Q1088" s="10">
        <f>ROUND(L1088*'Irish Basis'!$C$12*'Irish Basis'!$C$5,2)</f>
        <v/>
      </c>
      <c r="R1088" s="11">
        <f>ROUND(SUM(N1088:Q1088),2)</f>
        <v/>
      </c>
      <c r="S1088" s="5" t="inlineStr">
        <is>
          <t>Stated build-up</t>
        </is>
      </c>
      <c r="T1088" s="12" t="inlineStr">
        <is>
          <t>High</t>
        </is>
      </c>
      <c r="U1088" s="8" t="n">
        <v>153.14</v>
      </c>
      <c r="V1088" s="13">
        <f>IF(U1088="","",ROUND(M1088-U1088,2))</f>
        <v/>
      </c>
      <c r="W1088" s="5" t="n"/>
      <c r="X1088" s="5" t="inlineStr">
        <is>
          <t>Labour + plant + material as published; reconciles to the published rate.</t>
        </is>
      </c>
    </row>
    <row r="1089" ht="13" customHeight="1">
      <c r="A1089" s="4" t="n">
        <v>1966</v>
      </c>
      <c r="B1089" s="5" t="inlineStr">
        <is>
          <t>IMG_0093</t>
        </is>
      </c>
      <c r="C1089" s="5" t="inlineStr">
        <is>
          <t>CLASS I: PIPEWORK - PIPES</t>
        </is>
      </c>
      <c r="D1089" s="5" t="inlineStr">
        <is>
          <t>01 CLAY PIPES</t>
        </is>
      </c>
      <c r="E1089" s="5" t="inlineStr">
        <is>
          <t>150 mm pipes; in trench, depth</t>
        </is>
      </c>
      <c r="F1089" s="5" t="inlineStr">
        <is>
          <t>extra for bend</t>
        </is>
      </c>
      <c r="G1089" s="6" t="inlineStr">
        <is>
          <t>nr</t>
        </is>
      </c>
      <c r="H1089" s="7" t="n">
        <v>0.13</v>
      </c>
      <c r="I1089" s="8" t="n">
        <v>17.27</v>
      </c>
      <c r="J1089" s="8" t="n">
        <v>0</v>
      </c>
      <c r="K1089" s="8" t="n">
        <v>40.56</v>
      </c>
      <c r="L1089" s="8" t="n">
        <v>0</v>
      </c>
      <c r="M1089" s="9">
        <f>ROUND(SUM(I1089:L1089),2)</f>
        <v/>
      </c>
      <c r="N1089" s="10">
        <f>ROUND(I1089*'Irish Basis'!$C$6*'Irish Basis'!$C$5,2)</f>
        <v/>
      </c>
      <c r="O1089" s="10">
        <f>ROUND(J1089*'Irish Basis'!$C$7*'Irish Basis'!$C$5,2)</f>
        <v/>
      </c>
      <c r="P1089" s="10">
        <f>ROUND(K1089*'Irish Basis'!$C$8*'Irish Basis'!$C$5,2)</f>
        <v/>
      </c>
      <c r="Q1089" s="10">
        <f>ROUND(L1089*'Irish Basis'!$C$12*'Irish Basis'!$C$5,2)</f>
        <v/>
      </c>
      <c r="R1089" s="11">
        <f>ROUND(SUM(N1089:Q1089),2)</f>
        <v/>
      </c>
      <c r="S1089" s="5" t="inlineStr">
        <is>
          <t>Stated build-up</t>
        </is>
      </c>
      <c r="T1089" s="12" t="inlineStr">
        <is>
          <t>High</t>
        </is>
      </c>
      <c r="U1089" s="8" t="n">
        <v>57.83</v>
      </c>
      <c r="V1089" s="13">
        <f>IF(U1089="","",ROUND(M1089-U1089,2))</f>
        <v/>
      </c>
      <c r="W1089" s="5" t="n"/>
      <c r="X1089" s="5" t="inlineStr">
        <is>
          <t>Labour + plant + material as published; reconciles to the published rate.</t>
        </is>
      </c>
    </row>
    <row r="1090" ht="13" customHeight="1">
      <c r="A1090" s="4" t="n">
        <v>1967</v>
      </c>
      <c r="B1090" s="5" t="inlineStr">
        <is>
          <t>IMG_0093</t>
        </is>
      </c>
      <c r="C1090" s="5" t="inlineStr">
        <is>
          <t>CLASS I: PIPEWORK - PIPES</t>
        </is>
      </c>
      <c r="D1090" s="5" t="inlineStr">
        <is>
          <t>01 CLAY PIPES</t>
        </is>
      </c>
      <c r="E1090" s="5" t="inlineStr">
        <is>
          <t>150 mm pipes; in trench, depth</t>
        </is>
      </c>
      <c r="F1090" s="5" t="inlineStr">
        <is>
          <t>extra for single junction</t>
        </is>
      </c>
      <c r="G1090" s="6" t="inlineStr">
        <is>
          <t>nr</t>
        </is>
      </c>
      <c r="H1090" s="7" t="n">
        <v>0.25</v>
      </c>
      <c r="I1090" s="8" t="n">
        <v>34.55</v>
      </c>
      <c r="J1090" s="8" t="n">
        <v>0</v>
      </c>
      <c r="K1090" s="8" t="n">
        <v>40.57</v>
      </c>
      <c r="L1090" s="8" t="n">
        <v>0</v>
      </c>
      <c r="M1090" s="9">
        <f>ROUND(SUM(I1090:L1090),2)</f>
        <v/>
      </c>
      <c r="N1090" s="10">
        <f>ROUND(I1090*'Irish Basis'!$C$6*'Irish Basis'!$C$5,2)</f>
        <v/>
      </c>
      <c r="O1090" s="10">
        <f>ROUND(J1090*'Irish Basis'!$C$7*'Irish Basis'!$C$5,2)</f>
        <v/>
      </c>
      <c r="P1090" s="10">
        <f>ROUND(K1090*'Irish Basis'!$C$8*'Irish Basis'!$C$5,2)</f>
        <v/>
      </c>
      <c r="Q1090" s="10">
        <f>ROUND(L1090*'Irish Basis'!$C$12*'Irish Basis'!$C$5,2)</f>
        <v/>
      </c>
      <c r="R1090" s="11">
        <f>ROUND(SUM(N1090:Q1090),2)</f>
        <v/>
      </c>
      <c r="S1090" s="5" t="inlineStr">
        <is>
          <t>Stated build-up</t>
        </is>
      </c>
      <c r="T1090" s="12" t="inlineStr">
        <is>
          <t>High</t>
        </is>
      </c>
      <c r="U1090" s="8" t="n">
        <v>75.12</v>
      </c>
      <c r="V1090" s="13">
        <f>IF(U1090="","",ROUND(M1090-U1090,2))</f>
        <v/>
      </c>
      <c r="W1090" s="5" t="n"/>
      <c r="X1090" s="5" t="inlineStr">
        <is>
          <t>Labour + plant + material as published; reconciles to the published rate.</t>
        </is>
      </c>
    </row>
    <row r="1091" ht="13" customHeight="1">
      <c r="A1091" s="4" t="n">
        <v>1969</v>
      </c>
      <c r="B1091" s="5" t="inlineStr">
        <is>
          <t>IMG_0093</t>
        </is>
      </c>
      <c r="C1091" s="5" t="inlineStr">
        <is>
          <t>CLASS I: PIPEWORK - PIPES</t>
        </is>
      </c>
      <c r="D1091" s="5" t="inlineStr">
        <is>
          <t>01 CLAY PIPES</t>
        </is>
      </c>
      <c r="E1091" s="5" t="inlineStr">
        <is>
          <t>225 mm pipes; in trench, depth</t>
        </is>
      </c>
      <c r="F1091" s="5" t="inlineStr">
        <is>
          <t>not in trenches</t>
        </is>
      </c>
      <c r="G1091" s="6" t="inlineStr">
        <is>
          <t>m</t>
        </is>
      </c>
      <c r="H1091" s="7" t="n">
        <v>0.55</v>
      </c>
      <c r="I1091" s="8" t="n">
        <v>47.47</v>
      </c>
      <c r="J1091" s="8" t="n">
        <v>0.09</v>
      </c>
      <c r="K1091" s="8" t="n">
        <v>60.21</v>
      </c>
      <c r="L1091" s="8" t="n">
        <v>0</v>
      </c>
      <c r="M1091" s="9">
        <f>ROUND(SUM(I1091:L1091),2)</f>
        <v/>
      </c>
      <c r="N1091" s="10">
        <f>ROUND(I1091*'Irish Basis'!$C$6*'Irish Basis'!$C$5,2)</f>
        <v/>
      </c>
      <c r="O1091" s="10">
        <f>ROUND(J1091*'Irish Basis'!$C$7*'Irish Basis'!$C$5,2)</f>
        <v/>
      </c>
      <c r="P1091" s="10">
        <f>ROUND(K1091*'Irish Basis'!$C$8*'Irish Basis'!$C$5,2)</f>
        <v/>
      </c>
      <c r="Q1091" s="10">
        <f>ROUND(L1091*'Irish Basis'!$C$12*'Irish Basis'!$C$5,2)</f>
        <v/>
      </c>
      <c r="R1091" s="11">
        <f>ROUND(SUM(N1091:Q1091),2)</f>
        <v/>
      </c>
      <c r="S1091" s="5" t="inlineStr">
        <is>
          <t>Stated build-up</t>
        </is>
      </c>
      <c r="T1091" s="12" t="inlineStr">
        <is>
          <t>High</t>
        </is>
      </c>
      <c r="U1091" s="8" t="n">
        <v>107.77</v>
      </c>
      <c r="V1091" s="13">
        <f>IF(U1091="","",ROUND(M1091-U1091,2))</f>
        <v/>
      </c>
      <c r="W1091" s="5" t="n"/>
      <c r="X1091" s="5" t="inlineStr">
        <is>
          <t>Labour + plant + material as published; reconciles to the published rate.</t>
        </is>
      </c>
    </row>
    <row r="1092" ht="13" customHeight="1">
      <c r="A1092" s="4" t="n">
        <v>1970</v>
      </c>
      <c r="B1092" s="5" t="inlineStr">
        <is>
          <t>IMG_0093</t>
        </is>
      </c>
      <c r="C1092" s="5" t="inlineStr">
        <is>
          <t>CLASS I: PIPEWORK - PIPES</t>
        </is>
      </c>
      <c r="D1092" s="5" t="inlineStr">
        <is>
          <t>01 CLAY PIPES</t>
        </is>
      </c>
      <c r="E1092" s="5" t="inlineStr">
        <is>
          <t>225 mm pipes; in trench, depth</t>
        </is>
      </c>
      <c r="F1092" s="5" t="inlineStr">
        <is>
          <t>ne 1.50 m deep</t>
        </is>
      </c>
      <c r="G1092" s="6" t="inlineStr">
        <is>
          <t>m</t>
        </is>
      </c>
      <c r="H1092" s="7" t="n">
        <v>0.48</v>
      </c>
      <c r="I1092" s="8" t="n">
        <v>66.33</v>
      </c>
      <c r="J1092" s="8" t="n">
        <v>15.17</v>
      </c>
      <c r="K1092" s="8" t="n">
        <v>60.21</v>
      </c>
      <c r="L1092" s="8" t="n">
        <v>0</v>
      </c>
      <c r="M1092" s="9">
        <f>ROUND(SUM(I1092:L1092),2)</f>
        <v/>
      </c>
      <c r="N1092" s="10">
        <f>ROUND(I1092*'Irish Basis'!$C$6*'Irish Basis'!$C$5,2)</f>
        <v/>
      </c>
      <c r="O1092" s="10">
        <f>ROUND(J1092*'Irish Basis'!$C$7*'Irish Basis'!$C$5,2)</f>
        <v/>
      </c>
      <c r="P1092" s="10">
        <f>ROUND(K1092*'Irish Basis'!$C$8*'Irish Basis'!$C$5,2)</f>
        <v/>
      </c>
      <c r="Q1092" s="10">
        <f>ROUND(L1092*'Irish Basis'!$C$12*'Irish Basis'!$C$5,2)</f>
        <v/>
      </c>
      <c r="R1092" s="11">
        <f>ROUND(SUM(N1092:Q1092),2)</f>
        <v/>
      </c>
      <c r="S1092" s="5" t="inlineStr">
        <is>
          <t>Stated build-up</t>
        </is>
      </c>
      <c r="T1092" s="12" t="inlineStr">
        <is>
          <t>High</t>
        </is>
      </c>
      <c r="U1092" s="8" t="n">
        <v>141.71</v>
      </c>
      <c r="V1092" s="13">
        <f>IF(U1092="","",ROUND(M1092-U1092,2))</f>
        <v/>
      </c>
      <c r="W1092" s="5" t="n"/>
      <c r="X1092" s="5" t="inlineStr">
        <is>
          <t>Labour + plant + material as published; reconciles to the published rate.</t>
        </is>
      </c>
    </row>
    <row r="1093" ht="13" customHeight="1">
      <c r="A1093" s="4" t="n">
        <v>1971</v>
      </c>
      <c r="B1093" s="5" t="inlineStr">
        <is>
          <t>IMG_0093</t>
        </is>
      </c>
      <c r="C1093" s="5" t="inlineStr">
        <is>
          <t>CLASS I: PIPEWORK - PIPES</t>
        </is>
      </c>
      <c r="D1093" s="5" t="inlineStr">
        <is>
          <t>01 CLAY PIPES</t>
        </is>
      </c>
      <c r="E1093" s="5" t="inlineStr">
        <is>
          <t>225 mm pipes; in trench, depth</t>
        </is>
      </c>
      <c r="F1093" s="5" t="inlineStr">
        <is>
          <t>1.50-2.00 m deep</t>
        </is>
      </c>
      <c r="G1093" s="6" t="inlineStr">
        <is>
          <t>m</t>
        </is>
      </c>
      <c r="H1093" s="7" t="n">
        <v>0.52</v>
      </c>
      <c r="I1093" s="8" t="n">
        <v>71.84999999999999</v>
      </c>
      <c r="J1093" s="8" t="n">
        <v>18.59</v>
      </c>
      <c r="K1093" s="8" t="n">
        <v>60.21</v>
      </c>
      <c r="L1093" s="8" t="n">
        <v>0</v>
      </c>
      <c r="M1093" s="9">
        <f>ROUND(SUM(I1093:L1093),2)</f>
        <v/>
      </c>
      <c r="N1093" s="10">
        <f>ROUND(I1093*'Irish Basis'!$C$6*'Irish Basis'!$C$5,2)</f>
        <v/>
      </c>
      <c r="O1093" s="10">
        <f>ROUND(J1093*'Irish Basis'!$C$7*'Irish Basis'!$C$5,2)</f>
        <v/>
      </c>
      <c r="P1093" s="10">
        <f>ROUND(K1093*'Irish Basis'!$C$8*'Irish Basis'!$C$5,2)</f>
        <v/>
      </c>
      <c r="Q1093" s="10">
        <f>ROUND(L1093*'Irish Basis'!$C$12*'Irish Basis'!$C$5,2)</f>
        <v/>
      </c>
      <c r="R1093" s="11">
        <f>ROUND(SUM(N1093:Q1093),2)</f>
        <v/>
      </c>
      <c r="S1093" s="5" t="inlineStr">
        <is>
          <t>Stated build-up</t>
        </is>
      </c>
      <c r="T1093" s="12" t="inlineStr">
        <is>
          <t>High</t>
        </is>
      </c>
      <c r="U1093" s="8" t="n">
        <v>150.65</v>
      </c>
      <c r="V1093" s="13">
        <f>IF(U1093="","",ROUND(M1093-U1093,2))</f>
        <v/>
      </c>
      <c r="W1093" s="5" t="n"/>
      <c r="X1093" s="5" t="inlineStr">
        <is>
          <t>Labour + plant + material as published; reconciles to the published rate.</t>
        </is>
      </c>
    </row>
    <row r="1094" ht="13" customHeight="1">
      <c r="A1094" s="4" t="n">
        <v>1972</v>
      </c>
      <c r="B1094" s="5" t="inlineStr">
        <is>
          <t>IMG_0093</t>
        </is>
      </c>
      <c r="C1094" s="5" t="inlineStr">
        <is>
          <t>CLASS I: PIPEWORK - PIPES</t>
        </is>
      </c>
      <c r="D1094" s="5" t="inlineStr">
        <is>
          <t>01 CLAY PIPES</t>
        </is>
      </c>
      <c r="E1094" s="5" t="inlineStr">
        <is>
          <t>225 mm pipes; in trench, depth</t>
        </is>
      </c>
      <c r="F1094" s="5" t="inlineStr">
        <is>
          <t>2.00-2.50 m deep</t>
        </is>
      </c>
      <c r="G1094" s="6" t="inlineStr">
        <is>
          <t>m</t>
        </is>
      </c>
      <c r="H1094" s="7" t="n">
        <v>0.85</v>
      </c>
      <c r="I1094" s="8" t="n">
        <v>117.45</v>
      </c>
      <c r="J1094" s="8" t="n">
        <v>21.97</v>
      </c>
      <c r="K1094" s="8" t="n">
        <v>60.21</v>
      </c>
      <c r="L1094" s="8" t="n">
        <v>0</v>
      </c>
      <c r="M1094" s="9">
        <f>ROUND(SUM(I1094:L1094),2)</f>
        <v/>
      </c>
      <c r="N1094" s="10">
        <f>ROUND(I1094*'Irish Basis'!$C$6*'Irish Basis'!$C$5,2)</f>
        <v/>
      </c>
      <c r="O1094" s="10">
        <f>ROUND(J1094*'Irish Basis'!$C$7*'Irish Basis'!$C$5,2)</f>
        <v/>
      </c>
      <c r="P1094" s="10">
        <f>ROUND(K1094*'Irish Basis'!$C$8*'Irish Basis'!$C$5,2)</f>
        <v/>
      </c>
      <c r="Q1094" s="10">
        <f>ROUND(L1094*'Irish Basis'!$C$12*'Irish Basis'!$C$5,2)</f>
        <v/>
      </c>
      <c r="R1094" s="11">
        <f>ROUND(SUM(N1094:Q1094),2)</f>
        <v/>
      </c>
      <c r="S1094" s="5" t="inlineStr">
        <is>
          <t>Stated build-up</t>
        </is>
      </c>
      <c r="T1094" s="12" t="inlineStr">
        <is>
          <t>High</t>
        </is>
      </c>
      <c r="U1094" s="8" t="n">
        <v>199.63</v>
      </c>
      <c r="V1094" s="13">
        <f>IF(U1094="","",ROUND(M1094-U1094,2))</f>
        <v/>
      </c>
      <c r="W1094" s="5" t="n"/>
      <c r="X1094" s="5" t="inlineStr">
        <is>
          <t>Labour + plant + material as published; reconciles to the published rate.</t>
        </is>
      </c>
    </row>
    <row r="1095" ht="13" customHeight="1">
      <c r="A1095" s="4" t="n">
        <v>1973</v>
      </c>
      <c r="B1095" s="5" t="inlineStr">
        <is>
          <t>IMG_0093</t>
        </is>
      </c>
      <c r="C1095" s="5" t="inlineStr">
        <is>
          <t>CLASS I: PIPEWORK - PIPES</t>
        </is>
      </c>
      <c r="D1095" s="5" t="inlineStr">
        <is>
          <t>01 CLAY PIPES</t>
        </is>
      </c>
      <c r="E1095" s="5" t="inlineStr">
        <is>
          <t>225 mm pipes; in trench, depth</t>
        </is>
      </c>
      <c r="F1095" s="5" t="inlineStr">
        <is>
          <t>2.50-3.00 m deep</t>
        </is>
      </c>
      <c r="G1095" s="6" t="inlineStr">
        <is>
          <t>m</t>
        </is>
      </c>
      <c r="H1095" s="7" t="n">
        <v>0.6</v>
      </c>
      <c r="I1095" s="8" t="n">
        <v>82.91</v>
      </c>
      <c r="J1095" s="8" t="n">
        <v>25.34</v>
      </c>
      <c r="K1095" s="8" t="n">
        <v>60.21</v>
      </c>
      <c r="L1095" s="8" t="n">
        <v>0</v>
      </c>
      <c r="M1095" s="9">
        <f>ROUND(SUM(I1095:L1095),2)</f>
        <v/>
      </c>
      <c r="N1095" s="10">
        <f>ROUND(I1095*'Irish Basis'!$C$6*'Irish Basis'!$C$5,2)</f>
        <v/>
      </c>
      <c r="O1095" s="10">
        <f>ROUND(J1095*'Irish Basis'!$C$7*'Irish Basis'!$C$5,2)</f>
        <v/>
      </c>
      <c r="P1095" s="10">
        <f>ROUND(K1095*'Irish Basis'!$C$8*'Irish Basis'!$C$5,2)</f>
        <v/>
      </c>
      <c r="Q1095" s="10">
        <f>ROUND(L1095*'Irish Basis'!$C$12*'Irish Basis'!$C$5,2)</f>
        <v/>
      </c>
      <c r="R1095" s="11">
        <f>ROUND(SUM(N1095:Q1095),2)</f>
        <v/>
      </c>
      <c r="S1095" s="5" t="inlineStr">
        <is>
          <t>Stated build-up</t>
        </is>
      </c>
      <c r="T1095" s="12" t="inlineStr">
        <is>
          <t>High</t>
        </is>
      </c>
      <c r="U1095" s="8" t="n">
        <v>168.46</v>
      </c>
      <c r="V1095" s="13">
        <f>IF(U1095="","",ROUND(M1095-U1095,2))</f>
        <v/>
      </c>
      <c r="W1095" s="5" t="n"/>
      <c r="X1095" s="5" t="inlineStr">
        <is>
          <t>Labour + plant + material as published; reconciles to the published rate.</t>
        </is>
      </c>
    </row>
    <row r="1096" ht="13" customHeight="1">
      <c r="A1096" s="4" t="n">
        <v>1974</v>
      </c>
      <c r="B1096" s="5" t="inlineStr">
        <is>
          <t>IMG_0093</t>
        </is>
      </c>
      <c r="C1096" s="5" t="inlineStr">
        <is>
          <t>CLASS I: PIPEWORK - PIPES</t>
        </is>
      </c>
      <c r="D1096" s="5" t="inlineStr">
        <is>
          <t>01 CLAY PIPES</t>
        </is>
      </c>
      <c r="E1096" s="5" t="inlineStr">
        <is>
          <t>225 mm pipes; in trench, depth</t>
        </is>
      </c>
      <c r="F1096" s="5" t="inlineStr">
        <is>
          <t>extra for bend</t>
        </is>
      </c>
      <c r="G1096" s="6" t="inlineStr">
        <is>
          <t>nr</t>
        </is>
      </c>
      <c r="H1096" s="7" t="n">
        <v>0.12</v>
      </c>
      <c r="I1096" s="8" t="n">
        <v>16.58</v>
      </c>
      <c r="J1096" s="8" t="n">
        <v>0</v>
      </c>
      <c r="K1096" s="8" t="n">
        <v>199.24</v>
      </c>
      <c r="L1096" s="8" t="n">
        <v>0</v>
      </c>
      <c r="M1096" s="9">
        <f>ROUND(SUM(I1096:L1096),2)</f>
        <v/>
      </c>
      <c r="N1096" s="10">
        <f>ROUND(I1096*'Irish Basis'!$C$6*'Irish Basis'!$C$5,2)</f>
        <v/>
      </c>
      <c r="O1096" s="10">
        <f>ROUND(J1096*'Irish Basis'!$C$7*'Irish Basis'!$C$5,2)</f>
        <v/>
      </c>
      <c r="P1096" s="10">
        <f>ROUND(K1096*'Irish Basis'!$C$8*'Irish Basis'!$C$5,2)</f>
        <v/>
      </c>
      <c r="Q1096" s="10">
        <f>ROUND(L1096*'Irish Basis'!$C$12*'Irish Basis'!$C$5,2)</f>
        <v/>
      </c>
      <c r="R1096" s="11">
        <f>ROUND(SUM(N1096:Q1096),2)</f>
        <v/>
      </c>
      <c r="S1096" s="5" t="inlineStr">
        <is>
          <t>Stated build-up</t>
        </is>
      </c>
      <c r="T1096" s="12" t="inlineStr">
        <is>
          <t>High</t>
        </is>
      </c>
      <c r="U1096" s="8" t="n">
        <v>215.83</v>
      </c>
      <c r="V1096" s="13">
        <f>IF(U1096="","",ROUND(M1096-U1096,2))</f>
        <v/>
      </c>
      <c r="W1096" s="5" t="n"/>
      <c r="X1096" s="5" t="inlineStr">
        <is>
          <t>Labour + plant + material as published; reconciles to the published rate.</t>
        </is>
      </c>
    </row>
    <row r="1097" ht="13" customHeight="1">
      <c r="A1097" s="4" t="n">
        <v>1975</v>
      </c>
      <c r="B1097" s="5" t="inlineStr">
        <is>
          <t>IMG_0093</t>
        </is>
      </c>
      <c r="C1097" s="5" t="inlineStr">
        <is>
          <t>CLASS I: PIPEWORK - PIPES</t>
        </is>
      </c>
      <c r="D1097" s="5" t="inlineStr">
        <is>
          <t>01 CLAY PIPES</t>
        </is>
      </c>
      <c r="E1097" s="5" t="inlineStr">
        <is>
          <t>225 mm pipes; in trench, depth</t>
        </is>
      </c>
      <c r="F1097" s="5" t="inlineStr">
        <is>
          <t>extra for single junction</t>
        </is>
      </c>
      <c r="G1097" s="6" t="inlineStr">
        <is>
          <t>nr</t>
        </is>
      </c>
      <c r="H1097" s="7" t="n">
        <v>0.2</v>
      </c>
      <c r="I1097" s="8" t="n">
        <v>26.95</v>
      </c>
      <c r="J1097" s="8" t="n">
        <v>0</v>
      </c>
      <c r="K1097" s="8" t="n">
        <v>278.17</v>
      </c>
      <c r="L1097" s="8" t="n">
        <v>0</v>
      </c>
      <c r="M1097" s="9">
        <f>ROUND(SUM(I1097:L1097),2)</f>
        <v/>
      </c>
      <c r="N1097" s="10">
        <f>ROUND(I1097*'Irish Basis'!$C$6*'Irish Basis'!$C$5,2)</f>
        <v/>
      </c>
      <c r="O1097" s="10">
        <f>ROUND(J1097*'Irish Basis'!$C$7*'Irish Basis'!$C$5,2)</f>
        <v/>
      </c>
      <c r="P1097" s="10">
        <f>ROUND(K1097*'Irish Basis'!$C$8*'Irish Basis'!$C$5,2)</f>
        <v/>
      </c>
      <c r="Q1097" s="10">
        <f>ROUND(L1097*'Irish Basis'!$C$12*'Irish Basis'!$C$5,2)</f>
        <v/>
      </c>
      <c r="R1097" s="11">
        <f>ROUND(SUM(N1097:Q1097),2)</f>
        <v/>
      </c>
      <c r="S1097" s="5" t="inlineStr">
        <is>
          <t>Stated build-up</t>
        </is>
      </c>
      <c r="T1097" s="12" t="inlineStr">
        <is>
          <t>High</t>
        </is>
      </c>
      <c r="U1097" s="8" t="n">
        <v>305.11</v>
      </c>
      <c r="V1097" s="13">
        <f>IF(U1097="","",ROUND(M1097-U1097,2))</f>
        <v/>
      </c>
      <c r="W1097" s="5" t="n"/>
      <c r="X1097" s="5" t="inlineStr">
        <is>
          <t>Labour + plant + material as published; reconciles to the published rate.</t>
        </is>
      </c>
    </row>
    <row r="1098" ht="13" customHeight="1">
      <c r="A1098" s="4" t="n">
        <v>1977</v>
      </c>
      <c r="B1098" s="5" t="inlineStr">
        <is>
          <t>IMG_0093</t>
        </is>
      </c>
      <c r="C1098" s="5" t="inlineStr">
        <is>
          <t>CLASS I: PIPEWORK - PIPES</t>
        </is>
      </c>
      <c r="D1098" s="5" t="inlineStr">
        <is>
          <t>01 CLAY PIPES</t>
        </is>
      </c>
      <c r="E1098" s="5" t="inlineStr">
        <is>
          <t>300 mm pipes; in trench, depth</t>
        </is>
      </c>
      <c r="F1098" s="5" t="inlineStr">
        <is>
          <t>not in trenches</t>
        </is>
      </c>
      <c r="G1098" s="6" t="inlineStr">
        <is>
          <t>m</t>
        </is>
      </c>
      <c r="H1098" s="7" t="n">
        <v>1.2</v>
      </c>
      <c r="I1098" s="8" t="n">
        <v>103.58</v>
      </c>
      <c r="J1098" s="8" t="n">
        <v>0.43</v>
      </c>
      <c r="K1098" s="8" t="n">
        <v>108.45</v>
      </c>
      <c r="L1098" s="8" t="n">
        <v>0</v>
      </c>
      <c r="M1098" s="9">
        <f>ROUND(SUM(I1098:L1098),2)</f>
        <v/>
      </c>
      <c r="N1098" s="10">
        <f>ROUND(I1098*'Irish Basis'!$C$6*'Irish Basis'!$C$5,2)</f>
        <v/>
      </c>
      <c r="O1098" s="10">
        <f>ROUND(J1098*'Irish Basis'!$C$7*'Irish Basis'!$C$5,2)</f>
        <v/>
      </c>
      <c r="P1098" s="10">
        <f>ROUND(K1098*'Irish Basis'!$C$8*'Irish Basis'!$C$5,2)</f>
        <v/>
      </c>
      <c r="Q1098" s="10">
        <f>ROUND(L1098*'Irish Basis'!$C$12*'Irish Basis'!$C$5,2)</f>
        <v/>
      </c>
      <c r="R1098" s="11">
        <f>ROUND(SUM(N1098:Q1098),2)</f>
        <v/>
      </c>
      <c r="S1098" s="5" t="inlineStr">
        <is>
          <t>Stated build-up</t>
        </is>
      </c>
      <c r="T1098" s="12" t="inlineStr">
        <is>
          <t>High</t>
        </is>
      </c>
      <c r="U1098" s="8" t="n">
        <v>212.46</v>
      </c>
      <c r="V1098" s="13">
        <f>IF(U1098="","",ROUND(M1098-U1098,2))</f>
        <v/>
      </c>
      <c r="W1098" s="5" t="n"/>
      <c r="X1098" s="5" t="inlineStr">
        <is>
          <t>Labour + plant + material as published; reconciles to the published rate.</t>
        </is>
      </c>
    </row>
    <row r="1099" ht="13" customHeight="1">
      <c r="A1099" s="4" t="n">
        <v>1978</v>
      </c>
      <c r="B1099" s="5" t="inlineStr">
        <is>
          <t>IMG_0093</t>
        </is>
      </c>
      <c r="C1099" s="5" t="inlineStr">
        <is>
          <t>CLASS I: PIPEWORK - PIPES</t>
        </is>
      </c>
      <c r="D1099" s="5" t="inlineStr">
        <is>
          <t>01 CLAY PIPES</t>
        </is>
      </c>
      <c r="E1099" s="5" t="inlineStr">
        <is>
          <t>300 mm pipes; in trench, depth</t>
        </is>
      </c>
      <c r="F1099" s="5" t="inlineStr">
        <is>
          <t>ne 1.50 m deep</t>
        </is>
      </c>
      <c r="G1099" s="6" t="inlineStr">
        <is>
          <t>m</t>
        </is>
      </c>
      <c r="H1099" s="7" t="n">
        <v>0.9</v>
      </c>
      <c r="I1099" s="8" t="n">
        <v>124.36</v>
      </c>
      <c r="J1099" s="8" t="n">
        <v>15.99</v>
      </c>
      <c r="K1099" s="8" t="n">
        <v>108.45</v>
      </c>
      <c r="L1099" s="8" t="n">
        <v>0</v>
      </c>
      <c r="M1099" s="9">
        <f>ROUND(SUM(I1099:L1099),2)</f>
        <v/>
      </c>
      <c r="N1099" s="10">
        <f>ROUND(I1099*'Irish Basis'!$C$6*'Irish Basis'!$C$5,2)</f>
        <v/>
      </c>
      <c r="O1099" s="10">
        <f>ROUND(J1099*'Irish Basis'!$C$7*'Irish Basis'!$C$5,2)</f>
        <v/>
      </c>
      <c r="P1099" s="10">
        <f>ROUND(K1099*'Irish Basis'!$C$8*'Irish Basis'!$C$5,2)</f>
        <v/>
      </c>
      <c r="Q1099" s="10">
        <f>ROUND(L1099*'Irish Basis'!$C$12*'Irish Basis'!$C$5,2)</f>
        <v/>
      </c>
      <c r="R1099" s="11">
        <f>ROUND(SUM(N1099:Q1099),2)</f>
        <v/>
      </c>
      <c r="S1099" s="5" t="inlineStr">
        <is>
          <t>Stated build-up</t>
        </is>
      </c>
      <c r="T1099" s="12" t="inlineStr">
        <is>
          <t>High</t>
        </is>
      </c>
      <c r="U1099" s="8" t="n">
        <v>248.81</v>
      </c>
      <c r="V1099" s="13">
        <f>IF(U1099="","",ROUND(M1099-U1099,2))</f>
        <v/>
      </c>
      <c r="W1099" s="5" t="n"/>
      <c r="X1099" s="5" t="inlineStr">
        <is>
          <t>Labour + plant + material as published; reconciles to the published rate.</t>
        </is>
      </c>
    </row>
    <row r="1100" ht="13" customHeight="1">
      <c r="A1100" s="4" t="n">
        <v>1979</v>
      </c>
      <c r="B1100" s="5" t="inlineStr">
        <is>
          <t>IMG_0093</t>
        </is>
      </c>
      <c r="C1100" s="5" t="inlineStr">
        <is>
          <t>CLASS I: PIPEWORK - PIPES</t>
        </is>
      </c>
      <c r="D1100" s="5" t="inlineStr">
        <is>
          <t>01 CLAY PIPES</t>
        </is>
      </c>
      <c r="E1100" s="5" t="inlineStr">
        <is>
          <t>300 mm pipes; in trench, depth</t>
        </is>
      </c>
      <c r="F1100" s="5" t="inlineStr">
        <is>
          <t>1.50-2.00 m deep</t>
        </is>
      </c>
      <c r="G1100" s="6" t="inlineStr">
        <is>
          <t>m</t>
        </is>
      </c>
      <c r="H1100" s="7" t="n">
        <v>0.97</v>
      </c>
      <c r="I1100" s="8" t="n">
        <v>134.03</v>
      </c>
      <c r="J1100" s="8" t="n">
        <v>20.26</v>
      </c>
      <c r="K1100" s="8" t="n">
        <v>108.45</v>
      </c>
      <c r="L1100" s="8" t="n">
        <v>0</v>
      </c>
      <c r="M1100" s="9">
        <f>ROUND(SUM(I1100:L1100),2)</f>
        <v/>
      </c>
      <c r="N1100" s="10">
        <f>ROUND(I1100*'Irish Basis'!$C$6*'Irish Basis'!$C$5,2)</f>
        <v/>
      </c>
      <c r="O1100" s="10">
        <f>ROUND(J1100*'Irish Basis'!$C$7*'Irish Basis'!$C$5,2)</f>
        <v/>
      </c>
      <c r="P1100" s="10">
        <f>ROUND(K1100*'Irish Basis'!$C$8*'Irish Basis'!$C$5,2)</f>
        <v/>
      </c>
      <c r="Q1100" s="10">
        <f>ROUND(L1100*'Irish Basis'!$C$12*'Irish Basis'!$C$5,2)</f>
        <v/>
      </c>
      <c r="R1100" s="11">
        <f>ROUND(SUM(N1100:Q1100),2)</f>
        <v/>
      </c>
      <c r="S1100" s="5" t="inlineStr">
        <is>
          <t>Stated build-up</t>
        </is>
      </c>
      <c r="T1100" s="12" t="inlineStr">
        <is>
          <t>High</t>
        </is>
      </c>
      <c r="U1100" s="8" t="n">
        <v>262.75</v>
      </c>
      <c r="V1100" s="13">
        <f>IF(U1100="","",ROUND(M1100-U1100,2))</f>
        <v/>
      </c>
      <c r="W1100" s="5" t="n"/>
      <c r="X1100" s="5" t="inlineStr">
        <is>
          <t>Labour + plant + material as published; reconciles to the published rate.</t>
        </is>
      </c>
    </row>
    <row r="1101" ht="13" customHeight="1">
      <c r="A1101" s="4" t="n">
        <v>1980</v>
      </c>
      <c r="B1101" s="5" t="inlineStr">
        <is>
          <t>IMG_0093</t>
        </is>
      </c>
      <c r="C1101" s="5" t="inlineStr">
        <is>
          <t>CLASS I: PIPEWORK - PIPES</t>
        </is>
      </c>
      <c r="D1101" s="5" t="inlineStr">
        <is>
          <t>01 CLAY PIPES</t>
        </is>
      </c>
      <c r="E1101" s="5" t="inlineStr">
        <is>
          <t>300 mm pipes; in trench, depth</t>
        </is>
      </c>
      <c r="F1101" s="5" t="inlineStr">
        <is>
          <t>2.00-2.50 m deep</t>
        </is>
      </c>
      <c r="G1101" s="6" t="inlineStr">
        <is>
          <t>m</t>
        </is>
      </c>
      <c r="H1101" s="7" t="n">
        <v>1</v>
      </c>
      <c r="I1101" s="8" t="n">
        <v>138.18</v>
      </c>
      <c r="J1101" s="8" t="n">
        <v>23.64</v>
      </c>
      <c r="K1101" s="8" t="n">
        <v>108.45</v>
      </c>
      <c r="L1101" s="8" t="n">
        <v>0</v>
      </c>
      <c r="M1101" s="9">
        <f>ROUND(SUM(I1101:L1101),2)</f>
        <v/>
      </c>
      <c r="N1101" s="10">
        <f>ROUND(I1101*'Irish Basis'!$C$6*'Irish Basis'!$C$5,2)</f>
        <v/>
      </c>
      <c r="O1101" s="10">
        <f>ROUND(J1101*'Irish Basis'!$C$7*'Irish Basis'!$C$5,2)</f>
        <v/>
      </c>
      <c r="P1101" s="10">
        <f>ROUND(K1101*'Irish Basis'!$C$8*'Irish Basis'!$C$5,2)</f>
        <v/>
      </c>
      <c r="Q1101" s="10">
        <f>ROUND(L1101*'Irish Basis'!$C$12*'Irish Basis'!$C$5,2)</f>
        <v/>
      </c>
      <c r="R1101" s="11">
        <f>ROUND(SUM(N1101:Q1101),2)</f>
        <v/>
      </c>
      <c r="S1101" s="5" t="inlineStr">
        <is>
          <t>Stated build-up</t>
        </is>
      </c>
      <c r="T1101" s="12" t="inlineStr">
        <is>
          <t>High</t>
        </is>
      </c>
      <c r="U1101" s="8" t="n">
        <v>270.27</v>
      </c>
      <c r="V1101" s="13">
        <f>IF(U1101="","",ROUND(M1101-U1101,2))</f>
        <v/>
      </c>
      <c r="W1101" s="5" t="n"/>
      <c r="X1101" s="5" t="inlineStr">
        <is>
          <t>Labour + plant + material as published; reconciles to the published rate.</t>
        </is>
      </c>
    </row>
    <row r="1102" ht="13" customHeight="1">
      <c r="A1102" s="4" t="n">
        <v>1981</v>
      </c>
      <c r="B1102" s="5" t="inlineStr">
        <is>
          <t>IMG_0093</t>
        </is>
      </c>
      <c r="C1102" s="5" t="inlineStr">
        <is>
          <t>CLASS I: PIPEWORK - PIPES</t>
        </is>
      </c>
      <c r="D1102" s="5" t="inlineStr">
        <is>
          <t>01 CLAY PIPES</t>
        </is>
      </c>
      <c r="E1102" s="5" t="inlineStr">
        <is>
          <t>300 mm pipes; in trench, depth</t>
        </is>
      </c>
      <c r="F1102" s="5" t="inlineStr">
        <is>
          <t>2.50-3.00 m deep</t>
        </is>
      </c>
      <c r="G1102" s="6" t="inlineStr">
        <is>
          <t>m</t>
        </is>
      </c>
      <c r="H1102" s="7" t="n">
        <v>1.05</v>
      </c>
      <c r="I1102" s="8" t="n">
        <v>145.09</v>
      </c>
      <c r="J1102" s="8" t="n">
        <v>27.04</v>
      </c>
      <c r="K1102" s="8" t="n">
        <v>108.45</v>
      </c>
      <c r="L1102" s="8" t="n">
        <v>0</v>
      </c>
      <c r="M1102" s="9">
        <f>ROUND(SUM(I1102:L1102),2)</f>
        <v/>
      </c>
      <c r="N1102" s="10">
        <f>ROUND(I1102*'Irish Basis'!$C$6*'Irish Basis'!$C$5,2)</f>
        <v/>
      </c>
      <c r="O1102" s="10">
        <f>ROUND(J1102*'Irish Basis'!$C$7*'Irish Basis'!$C$5,2)</f>
        <v/>
      </c>
      <c r="P1102" s="10">
        <f>ROUND(K1102*'Irish Basis'!$C$8*'Irish Basis'!$C$5,2)</f>
        <v/>
      </c>
      <c r="Q1102" s="10">
        <f>ROUND(L1102*'Irish Basis'!$C$12*'Irish Basis'!$C$5,2)</f>
        <v/>
      </c>
      <c r="R1102" s="11">
        <f>ROUND(SUM(N1102:Q1102),2)</f>
        <v/>
      </c>
      <c r="S1102" s="5" t="inlineStr">
        <is>
          <t>Stated build-up</t>
        </is>
      </c>
      <c r="T1102" s="12" t="inlineStr">
        <is>
          <t>High</t>
        </is>
      </c>
      <c r="U1102" s="8" t="n">
        <v>280.58</v>
      </c>
      <c r="V1102" s="13">
        <f>IF(U1102="","",ROUND(M1102-U1102,2))</f>
        <v/>
      </c>
      <c r="W1102" s="5" t="n"/>
      <c r="X1102" s="5" t="inlineStr">
        <is>
          <t>Labour + plant + material as published; reconciles to the published rate.</t>
        </is>
      </c>
    </row>
    <row r="1103" ht="13" customHeight="1">
      <c r="A1103" s="4" t="n">
        <v>1982</v>
      </c>
      <c r="B1103" s="5" t="inlineStr">
        <is>
          <t>IMG_0093</t>
        </is>
      </c>
      <c r="C1103" s="5" t="inlineStr">
        <is>
          <t>CLASS I: PIPEWORK - PIPES</t>
        </is>
      </c>
      <c r="D1103" s="5" t="inlineStr">
        <is>
          <t>01 CLAY PIPES</t>
        </is>
      </c>
      <c r="E1103" s="5" t="inlineStr">
        <is>
          <t>300 mm pipes; in trench, depth</t>
        </is>
      </c>
      <c r="F1103" s="5" t="inlineStr">
        <is>
          <t>extra for bend</t>
        </is>
      </c>
      <c r="G1103" s="6" t="inlineStr">
        <is>
          <t>nr</t>
        </is>
      </c>
      <c r="H1103" s="7" t="n">
        <v>0.24</v>
      </c>
      <c r="I1103" s="8" t="n">
        <v>33.16</v>
      </c>
      <c r="J1103" s="8" t="n">
        <v>0</v>
      </c>
      <c r="K1103" s="8" t="n">
        <v>378.43</v>
      </c>
      <c r="L1103" s="8" t="n">
        <v>0</v>
      </c>
      <c r="M1103" s="9">
        <f>ROUND(SUM(I1103:L1103),2)</f>
        <v/>
      </c>
      <c r="N1103" s="10">
        <f>ROUND(I1103*'Irish Basis'!$C$6*'Irish Basis'!$C$5,2)</f>
        <v/>
      </c>
      <c r="O1103" s="10">
        <f>ROUND(J1103*'Irish Basis'!$C$7*'Irish Basis'!$C$5,2)</f>
        <v/>
      </c>
      <c r="P1103" s="10">
        <f>ROUND(K1103*'Irish Basis'!$C$8*'Irish Basis'!$C$5,2)</f>
        <v/>
      </c>
      <c r="Q1103" s="10">
        <f>ROUND(L1103*'Irish Basis'!$C$12*'Irish Basis'!$C$5,2)</f>
        <v/>
      </c>
      <c r="R1103" s="11">
        <f>ROUND(SUM(N1103:Q1103),2)</f>
        <v/>
      </c>
      <c r="S1103" s="5" t="inlineStr">
        <is>
          <t>Stated build-up</t>
        </is>
      </c>
      <c r="T1103" s="12" t="inlineStr">
        <is>
          <t>High</t>
        </is>
      </c>
      <c r="U1103" s="8" t="n">
        <v>411.59</v>
      </c>
      <c r="V1103" s="13">
        <f>IF(U1103="","",ROUND(M1103-U1103,2))</f>
        <v/>
      </c>
      <c r="W1103" s="5" t="n"/>
      <c r="X1103" s="5" t="inlineStr">
        <is>
          <t>Labour + plant + material as published; reconciles to the published rate.</t>
        </is>
      </c>
    </row>
    <row r="1104" ht="13" customHeight="1">
      <c r="A1104" s="4" t="n">
        <v>1983</v>
      </c>
      <c r="B1104" s="5" t="inlineStr">
        <is>
          <t>IMG_0093</t>
        </is>
      </c>
      <c r="C1104" s="5" t="inlineStr">
        <is>
          <t>CLASS I: PIPEWORK - PIPES</t>
        </is>
      </c>
      <c r="D1104" s="5" t="inlineStr">
        <is>
          <t>01 CLAY PIPES</t>
        </is>
      </c>
      <c r="E1104" s="5" t="inlineStr">
        <is>
          <t>300 mm pipes; in trench, depth</t>
        </is>
      </c>
      <c r="F1104" s="5" t="inlineStr">
        <is>
          <t>extra for single junction</t>
        </is>
      </c>
      <c r="G1104" s="6" t="inlineStr">
        <is>
          <t>nr</t>
        </is>
      </c>
      <c r="H1104" s="7" t="n">
        <v>0.23</v>
      </c>
      <c r="I1104" s="8" t="n">
        <v>31.78</v>
      </c>
      <c r="J1104" s="8" t="n">
        <v>0</v>
      </c>
      <c r="K1104" s="8" t="n">
        <v>714.01</v>
      </c>
      <c r="L1104" s="8" t="n">
        <v>0</v>
      </c>
      <c r="M1104" s="9">
        <f>ROUND(SUM(I1104:L1104),2)</f>
        <v/>
      </c>
      <c r="N1104" s="10">
        <f>ROUND(I1104*'Irish Basis'!$C$6*'Irish Basis'!$C$5,2)</f>
        <v/>
      </c>
      <c r="O1104" s="10">
        <f>ROUND(J1104*'Irish Basis'!$C$7*'Irish Basis'!$C$5,2)</f>
        <v/>
      </c>
      <c r="P1104" s="10">
        <f>ROUND(K1104*'Irish Basis'!$C$8*'Irish Basis'!$C$5,2)</f>
        <v/>
      </c>
      <c r="Q1104" s="10">
        <f>ROUND(L1104*'Irish Basis'!$C$12*'Irish Basis'!$C$5,2)</f>
        <v/>
      </c>
      <c r="R1104" s="11">
        <f>ROUND(SUM(N1104:Q1104),2)</f>
        <v/>
      </c>
      <c r="S1104" s="5" t="inlineStr">
        <is>
          <t>Stated build-up</t>
        </is>
      </c>
      <c r="T1104" s="12" t="inlineStr">
        <is>
          <t>High</t>
        </is>
      </c>
      <c r="U1104" s="8" t="n">
        <v>745.8</v>
      </c>
      <c r="V1104" s="13">
        <f>IF(U1104="","",ROUND(M1104-U1104,2))</f>
        <v/>
      </c>
      <c r="W1104" s="5" t="n"/>
      <c r="X1104" s="5" t="inlineStr">
        <is>
          <t>Labour + plant + material as published; reconciles to the published rate.</t>
        </is>
      </c>
    </row>
    <row r="1105" ht="13" customHeight="1">
      <c r="A1105" s="4" t="n">
        <v>1985</v>
      </c>
      <c r="B1105" s="5" t="inlineStr">
        <is>
          <t>IMG_0093</t>
        </is>
      </c>
      <c r="C1105" s="5" t="inlineStr">
        <is>
          <t>CLASS I: PIPEWORK - PIPES</t>
        </is>
      </c>
      <c r="D1105" s="5" t="inlineStr">
        <is>
          <t>01 CLAY PIPES</t>
        </is>
      </c>
      <c r="E1105" s="5" t="inlineStr">
        <is>
          <t>Vitrified clay pipes to BS EN295, plain ends with push-fit polypropylene flexible couplings; excavation and supports, backfilling; 100 mm pipes; in trenches, depth</t>
        </is>
      </c>
      <c r="F1105" s="5" t="inlineStr">
        <is>
          <t>not in trenches</t>
        </is>
      </c>
      <c r="G1105" s="6" t="inlineStr">
        <is>
          <t>m</t>
        </is>
      </c>
      <c r="H1105" s="7" t="n">
        <v>0.15</v>
      </c>
      <c r="I1105" s="8" t="n">
        <v>12.95</v>
      </c>
      <c r="J1105" s="8" t="n">
        <v>0.65</v>
      </c>
      <c r="K1105" s="8" t="n">
        <v>21.74</v>
      </c>
      <c r="L1105" s="8" t="n">
        <v>0</v>
      </c>
      <c r="M1105" s="9">
        <f>ROUND(SUM(I1105:L1105),2)</f>
        <v/>
      </c>
      <c r="N1105" s="10">
        <f>ROUND(I1105*'Irish Basis'!$C$6*'Irish Basis'!$C$5,2)</f>
        <v/>
      </c>
      <c r="O1105" s="10">
        <f>ROUND(J1105*'Irish Basis'!$C$7*'Irish Basis'!$C$5,2)</f>
        <v/>
      </c>
      <c r="P1105" s="10">
        <f>ROUND(K1105*'Irish Basis'!$C$8*'Irish Basis'!$C$5,2)</f>
        <v/>
      </c>
      <c r="Q1105" s="10">
        <f>ROUND(L1105*'Irish Basis'!$C$12*'Irish Basis'!$C$5,2)</f>
        <v/>
      </c>
      <c r="R1105" s="11">
        <f>ROUND(SUM(N1105:Q1105),2)</f>
        <v/>
      </c>
      <c r="S1105" s="5" t="inlineStr">
        <is>
          <t>Stated build-up</t>
        </is>
      </c>
      <c r="T1105" s="12" t="inlineStr">
        <is>
          <t>High</t>
        </is>
      </c>
      <c r="U1105" s="8" t="n">
        <v>35.33</v>
      </c>
      <c r="V1105" s="13">
        <f>IF(U1105="","",ROUND(M1105-U1105,2))</f>
        <v/>
      </c>
      <c r="W1105" s="5" t="n"/>
      <c r="X1105" s="5" t="inlineStr">
        <is>
          <t>Labour + plant + material as published; reconciles to the published rate.</t>
        </is>
      </c>
    </row>
    <row r="1106" ht="13" customHeight="1">
      <c r="A1106" s="4" t="n">
        <v>1986</v>
      </c>
      <c r="B1106" s="5" t="inlineStr">
        <is>
          <t>IMG_0093</t>
        </is>
      </c>
      <c r="C1106" s="5" t="inlineStr">
        <is>
          <t>CLASS I: PIPEWORK - PIPES</t>
        </is>
      </c>
      <c r="D1106" s="5" t="inlineStr">
        <is>
          <t>01 CLAY PIPES</t>
        </is>
      </c>
      <c r="E1106" s="5" t="inlineStr">
        <is>
          <t>Vitrified clay pipes to BS EN295, plain ends with push-fit polypropylene flexible couplings; excavation and supports, backfilling; 100 mm pipes; in trenches, depth</t>
        </is>
      </c>
      <c r="F1106" s="5" t="inlineStr">
        <is>
          <t>ne 1.50 m deep</t>
        </is>
      </c>
      <c r="G1106" s="6" t="inlineStr">
        <is>
          <t>m</t>
        </is>
      </c>
      <c r="H1106" s="7" t="n">
        <v>0.22</v>
      </c>
      <c r="I1106" s="8" t="n">
        <v>30.4</v>
      </c>
      <c r="J1106" s="8" t="n">
        <v>19.27</v>
      </c>
      <c r="K1106" s="8" t="n">
        <v>21.74</v>
      </c>
      <c r="L1106" s="8" t="n">
        <v>0</v>
      </c>
      <c r="M1106" s="9">
        <f>ROUND(SUM(I1106:L1106),2)</f>
        <v/>
      </c>
      <c r="N1106" s="10">
        <f>ROUND(I1106*'Irish Basis'!$C$6*'Irish Basis'!$C$5,2)</f>
        <v/>
      </c>
      <c r="O1106" s="10">
        <f>ROUND(J1106*'Irish Basis'!$C$7*'Irish Basis'!$C$5,2)</f>
        <v/>
      </c>
      <c r="P1106" s="10">
        <f>ROUND(K1106*'Irish Basis'!$C$8*'Irish Basis'!$C$5,2)</f>
        <v/>
      </c>
      <c r="Q1106" s="10">
        <f>ROUND(L1106*'Irish Basis'!$C$12*'Irish Basis'!$C$5,2)</f>
        <v/>
      </c>
      <c r="R1106" s="11">
        <f>ROUND(SUM(N1106:Q1106),2)</f>
        <v/>
      </c>
      <c r="S1106" s="5" t="inlineStr">
        <is>
          <t>Stated build-up</t>
        </is>
      </c>
      <c r="T1106" s="12" t="inlineStr">
        <is>
          <t>High</t>
        </is>
      </c>
      <c r="U1106" s="8" t="n">
        <v>71.41</v>
      </c>
      <c r="V1106" s="13">
        <f>IF(U1106="","",ROUND(M1106-U1106,2))</f>
        <v/>
      </c>
      <c r="W1106" s="5" t="n"/>
      <c r="X1106" s="5" t="inlineStr">
        <is>
          <t>Labour + plant + material as published; reconciles to the published rate.</t>
        </is>
      </c>
    </row>
    <row r="1107" ht="13" customHeight="1">
      <c r="A1107" s="4" t="n">
        <v>1987</v>
      </c>
      <c r="B1107" s="5" t="inlineStr">
        <is>
          <t>IMG_0093</t>
        </is>
      </c>
      <c r="C1107" s="5" t="inlineStr">
        <is>
          <t>CLASS I: PIPEWORK - PIPES</t>
        </is>
      </c>
      <c r="D1107" s="5" t="inlineStr">
        <is>
          <t>01 CLAY PIPES</t>
        </is>
      </c>
      <c r="E1107" s="5" t="inlineStr">
        <is>
          <t>Vitrified clay pipes to BS EN295, plain ends with push-fit polypropylene flexible couplings; excavation and supports, backfilling; 100 mm pipes; in trenches, depth</t>
        </is>
      </c>
      <c r="F1107" s="5" t="inlineStr">
        <is>
          <t>1.50-2.00 m deep</t>
        </is>
      </c>
      <c r="G1107" s="6" t="inlineStr">
        <is>
          <t>m</t>
        </is>
      </c>
      <c r="H1107" s="7" t="n">
        <v>0.25</v>
      </c>
      <c r="I1107" s="8" t="n">
        <v>34.55</v>
      </c>
      <c r="J1107" s="8" t="n">
        <v>24.83</v>
      </c>
      <c r="K1107" s="8" t="n">
        <v>21.74</v>
      </c>
      <c r="L1107" s="8" t="n">
        <v>0</v>
      </c>
      <c r="M1107" s="9">
        <f>ROUND(SUM(I1107:L1107),2)</f>
        <v/>
      </c>
      <c r="N1107" s="10">
        <f>ROUND(I1107*'Irish Basis'!$C$6*'Irish Basis'!$C$5,2)</f>
        <v/>
      </c>
      <c r="O1107" s="10">
        <f>ROUND(J1107*'Irish Basis'!$C$7*'Irish Basis'!$C$5,2)</f>
        <v/>
      </c>
      <c r="P1107" s="10">
        <f>ROUND(K1107*'Irish Basis'!$C$8*'Irish Basis'!$C$5,2)</f>
        <v/>
      </c>
      <c r="Q1107" s="10">
        <f>ROUND(L1107*'Irish Basis'!$C$12*'Irish Basis'!$C$5,2)</f>
        <v/>
      </c>
      <c r="R1107" s="11">
        <f>ROUND(SUM(N1107:Q1107),2)</f>
        <v/>
      </c>
      <c r="S1107" s="5" t="inlineStr">
        <is>
          <t>Stated build-up</t>
        </is>
      </c>
      <c r="T1107" s="12" t="inlineStr">
        <is>
          <t>High</t>
        </is>
      </c>
      <c r="U1107" s="8" t="n">
        <v>81.11</v>
      </c>
      <c r="V1107" s="13">
        <f>IF(U1107="","",ROUND(M1107-U1107,2))</f>
        <v/>
      </c>
      <c r="W1107" s="5" t="n"/>
      <c r="X1107" s="5" t="inlineStr">
        <is>
          <t>Labour + plant + material as published; reconciles to the published rate.</t>
        </is>
      </c>
    </row>
    <row r="1108" ht="13" customHeight="1">
      <c r="A1108" s="4" t="n">
        <v>1988</v>
      </c>
      <c r="B1108" s="5" t="inlineStr">
        <is>
          <t>IMG_0093</t>
        </is>
      </c>
      <c r="C1108" s="5" t="inlineStr">
        <is>
          <t>CLASS I: PIPEWORK - PIPES</t>
        </is>
      </c>
      <c r="D1108" s="5" t="inlineStr">
        <is>
          <t>01 CLAY PIPES</t>
        </is>
      </c>
      <c r="E1108" s="5" t="inlineStr">
        <is>
          <t>Vitrified clay pipes to BS EN295, plain ends with push-fit polypropylene flexible couplings; excavation and supports, backfilling; 100 mm pipes; in trenches, depth</t>
        </is>
      </c>
      <c r="F1108" s="5" t="inlineStr">
        <is>
          <t>2.00-2.50 m deep</t>
        </is>
      </c>
      <c r="G1108" s="6" t="inlineStr">
        <is>
          <t>m</t>
        </is>
      </c>
      <c r="H1108" s="7" t="n">
        <v>0.3</v>
      </c>
      <c r="I1108" s="8" t="n">
        <v>41.45</v>
      </c>
      <c r="J1108" s="8" t="n">
        <v>31.38</v>
      </c>
      <c r="K1108" s="8" t="n">
        <v>21.74</v>
      </c>
      <c r="L1108" s="8" t="n">
        <v>0</v>
      </c>
      <c r="M1108" s="9">
        <f>ROUND(SUM(I1108:L1108),2)</f>
        <v/>
      </c>
      <c r="N1108" s="10">
        <f>ROUND(I1108*'Irish Basis'!$C$6*'Irish Basis'!$C$5,2)</f>
        <v/>
      </c>
      <c r="O1108" s="10">
        <f>ROUND(J1108*'Irish Basis'!$C$7*'Irish Basis'!$C$5,2)</f>
        <v/>
      </c>
      <c r="P1108" s="10">
        <f>ROUND(K1108*'Irish Basis'!$C$8*'Irish Basis'!$C$5,2)</f>
        <v/>
      </c>
      <c r="Q1108" s="10">
        <f>ROUND(L1108*'Irish Basis'!$C$12*'Irish Basis'!$C$5,2)</f>
        <v/>
      </c>
      <c r="R1108" s="11">
        <f>ROUND(SUM(N1108:Q1108),2)</f>
        <v/>
      </c>
      <c r="S1108" s="5" t="inlineStr">
        <is>
          <t>Stated build-up</t>
        </is>
      </c>
      <c r="T1108" s="12" t="inlineStr">
        <is>
          <t>High</t>
        </is>
      </c>
      <c r="U1108" s="8" t="n">
        <v>94.56999999999999</v>
      </c>
      <c r="V1108" s="13">
        <f>IF(U1108="","",ROUND(M1108-U1108,2))</f>
        <v/>
      </c>
      <c r="W1108" s="5" t="n"/>
      <c r="X1108" s="5" t="inlineStr">
        <is>
          <t>Labour + plant + material as published; reconciles to the published rate.</t>
        </is>
      </c>
    </row>
    <row r="1109" ht="13" customHeight="1">
      <c r="A1109" s="4" t="n">
        <v>1989</v>
      </c>
      <c r="B1109" s="5" t="inlineStr">
        <is>
          <t>IMG_0093</t>
        </is>
      </c>
      <c r="C1109" s="5" t="inlineStr">
        <is>
          <t>CLASS I: PIPEWORK - PIPES</t>
        </is>
      </c>
      <c r="D1109" s="5" t="inlineStr">
        <is>
          <t>01 CLAY PIPES</t>
        </is>
      </c>
      <c r="E1109" s="5" t="inlineStr">
        <is>
          <t>Vitrified clay pipes to BS EN295, plain ends with push-fit polypropylene flexible couplings; excavation and supports, backfilling; 100 mm pipes; in trenches, depth</t>
        </is>
      </c>
      <c r="F1109" s="5" t="inlineStr">
        <is>
          <t>2.50-3.00 m deep</t>
        </is>
      </c>
      <c r="G1109" s="6" t="inlineStr">
        <is>
          <t>m</t>
        </is>
      </c>
      <c r="H1109" s="7" t="n">
        <v>0.35</v>
      </c>
      <c r="I1109" s="8" t="n">
        <v>48.36</v>
      </c>
      <c r="J1109" s="8" t="n">
        <v>37.95</v>
      </c>
      <c r="K1109" s="8" t="n">
        <v>21.74</v>
      </c>
      <c r="L1109" s="8" t="n">
        <v>0</v>
      </c>
      <c r="M1109" s="9">
        <f>ROUND(SUM(I1109:L1109),2)</f>
        <v/>
      </c>
      <c r="N1109" s="10">
        <f>ROUND(I1109*'Irish Basis'!$C$6*'Irish Basis'!$C$5,2)</f>
        <v/>
      </c>
      <c r="O1109" s="10">
        <f>ROUND(J1109*'Irish Basis'!$C$7*'Irish Basis'!$C$5,2)</f>
        <v/>
      </c>
      <c r="P1109" s="10">
        <f>ROUND(K1109*'Irish Basis'!$C$8*'Irish Basis'!$C$5,2)</f>
        <v/>
      </c>
      <c r="Q1109" s="10">
        <f>ROUND(L1109*'Irish Basis'!$C$12*'Irish Basis'!$C$5,2)</f>
        <v/>
      </c>
      <c r="R1109" s="11">
        <f>ROUND(SUM(N1109:Q1109),2)</f>
        <v/>
      </c>
      <c r="S1109" s="5" t="inlineStr">
        <is>
          <t>Stated build-up</t>
        </is>
      </c>
      <c r="T1109" s="12" t="inlineStr">
        <is>
          <t>High</t>
        </is>
      </c>
      <c r="U1109" s="8" t="n">
        <v>108.05</v>
      </c>
      <c r="V1109" s="13">
        <f>IF(U1109="","",ROUND(M1109-U1109,2))</f>
        <v/>
      </c>
      <c r="W1109" s="5" t="n"/>
      <c r="X1109" s="5" t="inlineStr">
        <is>
          <t>Labour + plant + material as published; reconciles to the published rate.</t>
        </is>
      </c>
    </row>
    <row r="1110" ht="13" customHeight="1">
      <c r="A1110" s="4" t="n">
        <v>1990</v>
      </c>
      <c r="B1110" s="5" t="inlineStr">
        <is>
          <t>IMG_0093</t>
        </is>
      </c>
      <c r="C1110" s="5" t="inlineStr">
        <is>
          <t>CLASS I: PIPEWORK - PIPES</t>
        </is>
      </c>
      <c r="D1110" s="5" t="inlineStr">
        <is>
          <t>01 CLAY PIPES</t>
        </is>
      </c>
      <c r="E1110" s="5" t="inlineStr">
        <is>
          <t>Vitrified clay pipes to BS EN295, plain ends with push-fit polypropylene flexible couplings; excavation and supports, backfilling; 100 mm pipes; in trenches, depth</t>
        </is>
      </c>
      <c r="F1110" s="5" t="inlineStr">
        <is>
          <t>3.00-3.50 m deep</t>
        </is>
      </c>
      <c r="G1110" s="6" t="inlineStr">
        <is>
          <t>m</t>
        </is>
      </c>
      <c r="H1110" s="7" t="n">
        <v>0.43</v>
      </c>
      <c r="I1110" s="8" t="n">
        <v>59.42</v>
      </c>
      <c r="J1110" s="8" t="n">
        <v>47.11</v>
      </c>
      <c r="K1110" s="8" t="n">
        <v>21.74</v>
      </c>
      <c r="L1110" s="8" t="n">
        <v>0</v>
      </c>
      <c r="M1110" s="9">
        <f>ROUND(SUM(I1110:L1110),2)</f>
        <v/>
      </c>
      <c r="N1110" s="10">
        <f>ROUND(I1110*'Irish Basis'!$C$6*'Irish Basis'!$C$5,2)</f>
        <v/>
      </c>
      <c r="O1110" s="10">
        <f>ROUND(J1110*'Irish Basis'!$C$7*'Irish Basis'!$C$5,2)</f>
        <v/>
      </c>
      <c r="P1110" s="10">
        <f>ROUND(K1110*'Irish Basis'!$C$8*'Irish Basis'!$C$5,2)</f>
        <v/>
      </c>
      <c r="Q1110" s="10">
        <f>ROUND(L1110*'Irish Basis'!$C$12*'Irish Basis'!$C$5,2)</f>
        <v/>
      </c>
      <c r="R1110" s="11">
        <f>ROUND(SUM(N1110:Q1110),2)</f>
        <v/>
      </c>
      <c r="S1110" s="5" t="inlineStr">
        <is>
          <t>Stated build-up</t>
        </is>
      </c>
      <c r="T1110" s="12" t="inlineStr">
        <is>
          <t>High</t>
        </is>
      </c>
      <c r="U1110" s="8" t="n">
        <v>128.27</v>
      </c>
      <c r="V1110" s="13">
        <f>IF(U1110="","",ROUND(M1110-U1110,2))</f>
        <v/>
      </c>
      <c r="W1110" s="5" t="n"/>
      <c r="X1110" s="5" t="inlineStr">
        <is>
          <t>Labour + plant + material as published; reconciles to the published rate.</t>
        </is>
      </c>
    </row>
    <row r="1111" ht="13" customHeight="1">
      <c r="A1111" s="4" t="n">
        <v>1991</v>
      </c>
      <c r="B1111" s="5" t="inlineStr">
        <is>
          <t>IMG_0093</t>
        </is>
      </c>
      <c r="C1111" s="5" t="inlineStr">
        <is>
          <t>CLASS I: PIPEWORK - PIPES</t>
        </is>
      </c>
      <c r="D1111" s="5" t="inlineStr">
        <is>
          <t>01 CLAY PIPES</t>
        </is>
      </c>
      <c r="E1111" s="5" t="inlineStr">
        <is>
          <t>Vitrified clay pipes to BS EN295, plain ends with push-fit polypropylene flexible couplings; excavation and supports, backfilling; 100 mm pipes; in trenches, depth</t>
        </is>
      </c>
      <c r="F1111" s="5" t="inlineStr">
        <is>
          <t>3.50-4.00 m deep</t>
        </is>
      </c>
      <c r="G1111" s="6" t="inlineStr">
        <is>
          <t>m</t>
        </is>
      </c>
      <c r="H1111" s="7" t="n">
        <v>0.5</v>
      </c>
      <c r="I1111" s="8" t="n">
        <v>69.09</v>
      </c>
      <c r="J1111" s="8" t="n">
        <v>57.62</v>
      </c>
      <c r="K1111" s="8" t="n">
        <v>21.74</v>
      </c>
      <c r="L1111" s="8" t="n">
        <v>0</v>
      </c>
      <c r="M1111" s="9">
        <f>ROUND(SUM(I1111:L1111),2)</f>
        <v/>
      </c>
      <c r="N1111" s="10">
        <f>ROUND(I1111*'Irish Basis'!$C$6*'Irish Basis'!$C$5,2)</f>
        <v/>
      </c>
      <c r="O1111" s="10">
        <f>ROUND(J1111*'Irish Basis'!$C$7*'Irish Basis'!$C$5,2)</f>
        <v/>
      </c>
      <c r="P1111" s="10">
        <f>ROUND(K1111*'Irish Basis'!$C$8*'Irish Basis'!$C$5,2)</f>
        <v/>
      </c>
      <c r="Q1111" s="10">
        <f>ROUND(L1111*'Irish Basis'!$C$12*'Irish Basis'!$C$5,2)</f>
        <v/>
      </c>
      <c r="R1111" s="11">
        <f>ROUND(SUM(N1111:Q1111),2)</f>
        <v/>
      </c>
      <c r="S1111" s="5" t="inlineStr">
        <is>
          <t>Stated build-up</t>
        </is>
      </c>
      <c r="T1111" s="12" t="inlineStr">
        <is>
          <t>High</t>
        </is>
      </c>
      <c r="U1111" s="8" t="n">
        <v>148.44</v>
      </c>
      <c r="V1111" s="13">
        <f>IF(U1111="","",ROUND(M1111-U1111,2))</f>
        <v/>
      </c>
      <c r="W1111" s="5" t="n"/>
      <c r="X1111" s="5" t="inlineStr">
        <is>
          <t>Labour + plant + material as published; reconciles to the published rate.</t>
        </is>
      </c>
    </row>
    <row r="1112" ht="13" customHeight="1">
      <c r="A1112" s="4" t="n">
        <v>1992</v>
      </c>
      <c r="B1112" s="5" t="inlineStr">
        <is>
          <t>IMG_0093</t>
        </is>
      </c>
      <c r="C1112" s="5" t="inlineStr">
        <is>
          <t>CLASS I: PIPEWORK - PIPES</t>
        </is>
      </c>
      <c r="D1112" s="5" t="inlineStr">
        <is>
          <t>01 CLAY PIPES</t>
        </is>
      </c>
      <c r="E1112" s="5" t="inlineStr">
        <is>
          <t>Vitrified clay pipes to BS EN295, plain ends with push-fit polypropylene flexible couplings; excavation and supports, backfilling; 100 mm pipes; in trenches, depth</t>
        </is>
      </c>
      <c r="F1112" s="5" t="inlineStr">
        <is>
          <t>4.00-4.50 m deep</t>
        </is>
      </c>
      <c r="G1112" s="6" t="inlineStr">
        <is>
          <t>m</t>
        </is>
      </c>
      <c r="H1112" s="7" t="n">
        <v>0.6</v>
      </c>
      <c r="I1112" s="8" t="n">
        <v>82.91</v>
      </c>
      <c r="J1112" s="8" t="n">
        <v>72.03</v>
      </c>
      <c r="K1112" s="8" t="n">
        <v>21.74</v>
      </c>
      <c r="L1112" s="8" t="n">
        <v>0</v>
      </c>
      <c r="M1112" s="9">
        <f>ROUND(SUM(I1112:L1112),2)</f>
        <v/>
      </c>
      <c r="N1112" s="10">
        <f>ROUND(I1112*'Irish Basis'!$C$6*'Irish Basis'!$C$5,2)</f>
        <v/>
      </c>
      <c r="O1112" s="10">
        <f>ROUND(J1112*'Irish Basis'!$C$7*'Irish Basis'!$C$5,2)</f>
        <v/>
      </c>
      <c r="P1112" s="10">
        <f>ROUND(K1112*'Irish Basis'!$C$8*'Irish Basis'!$C$5,2)</f>
        <v/>
      </c>
      <c r="Q1112" s="10">
        <f>ROUND(L1112*'Irish Basis'!$C$12*'Irish Basis'!$C$5,2)</f>
        <v/>
      </c>
      <c r="R1112" s="11">
        <f>ROUND(SUM(N1112:Q1112),2)</f>
        <v/>
      </c>
      <c r="S1112" s="5" t="inlineStr">
        <is>
          <t>Stated build-up</t>
        </is>
      </c>
      <c r="T1112" s="12" t="inlineStr">
        <is>
          <t>High</t>
        </is>
      </c>
      <c r="U1112" s="8" t="n">
        <v>176.67</v>
      </c>
      <c r="V1112" s="13">
        <f>IF(U1112="","",ROUND(M1112-U1112,2))</f>
        <v/>
      </c>
      <c r="W1112" s="5" t="n"/>
      <c r="X1112" s="5" t="inlineStr">
        <is>
          <t>Labour + plant + material as published; reconciles to the published rate.</t>
        </is>
      </c>
    </row>
    <row r="1113" ht="13" customHeight="1">
      <c r="A1113" s="4" t="n">
        <v>1993</v>
      </c>
      <c r="B1113" s="5" t="inlineStr">
        <is>
          <t>IMG_0093</t>
        </is>
      </c>
      <c r="C1113" s="5" t="inlineStr">
        <is>
          <t>CLASS I: PIPEWORK - PIPES</t>
        </is>
      </c>
      <c r="D1113" s="5" t="inlineStr">
        <is>
          <t>01 CLAY PIPES</t>
        </is>
      </c>
      <c r="E1113" s="5" t="inlineStr">
        <is>
          <t>Vitrified clay pipes to BS EN295, plain ends with push-fit polypropylene flexible couplings; excavation and supports, backfilling; 100 mm pipes; in trenches, depth</t>
        </is>
      </c>
      <c r="F1113" s="5" t="inlineStr">
        <is>
          <t>4.50-5.00 m deep</t>
        </is>
      </c>
      <c r="G1113" s="6" t="inlineStr">
        <is>
          <t>m</t>
        </is>
      </c>
      <c r="H1113" s="7" t="n">
        <v>0.77</v>
      </c>
      <c r="I1113" s="8" t="n">
        <v>106.4</v>
      </c>
      <c r="J1113" s="8" t="n">
        <v>91.76000000000001</v>
      </c>
      <c r="K1113" s="8" t="n">
        <v>21.74</v>
      </c>
      <c r="L1113" s="8" t="n">
        <v>0</v>
      </c>
      <c r="M1113" s="9">
        <f>ROUND(SUM(I1113:L1113),2)</f>
        <v/>
      </c>
      <c r="N1113" s="10">
        <f>ROUND(I1113*'Irish Basis'!$C$6*'Irish Basis'!$C$5,2)</f>
        <v/>
      </c>
      <c r="O1113" s="10">
        <f>ROUND(J1113*'Irish Basis'!$C$7*'Irish Basis'!$C$5,2)</f>
        <v/>
      </c>
      <c r="P1113" s="10">
        <f>ROUND(K1113*'Irish Basis'!$C$8*'Irish Basis'!$C$5,2)</f>
        <v/>
      </c>
      <c r="Q1113" s="10">
        <f>ROUND(L1113*'Irish Basis'!$C$12*'Irish Basis'!$C$5,2)</f>
        <v/>
      </c>
      <c r="R1113" s="11">
        <f>ROUND(SUM(N1113:Q1113),2)</f>
        <v/>
      </c>
      <c r="S1113" s="5" t="inlineStr">
        <is>
          <t>Stated build-up</t>
        </is>
      </c>
      <c r="T1113" s="12" t="inlineStr">
        <is>
          <t>High</t>
        </is>
      </c>
      <c r="U1113" s="8" t="n">
        <v>219.89</v>
      </c>
      <c r="V1113" s="13">
        <f>IF(U1113="","",ROUND(M1113-U1113,2))</f>
        <v/>
      </c>
      <c r="W1113" s="5" t="n"/>
      <c r="X1113" s="5" t="inlineStr">
        <is>
          <t>Labour + plant + material as published; reconciles to the published rate.</t>
        </is>
      </c>
    </row>
    <row r="1114" ht="13" customHeight="1">
      <c r="A1114" s="4" t="n">
        <v>1994</v>
      </c>
      <c r="B1114" s="5" t="inlineStr">
        <is>
          <t>IMG_0093</t>
        </is>
      </c>
      <c r="C1114" s="5" t="inlineStr">
        <is>
          <t>CLASS I: PIPEWORK - PIPES</t>
        </is>
      </c>
      <c r="D1114" s="5" t="inlineStr">
        <is>
          <t>01 CLAY PIPES</t>
        </is>
      </c>
      <c r="E1114" s="5" t="inlineStr">
        <is>
          <t>Vitrified clay pipes to BS EN295, plain ends with push-fit polypropylene flexible couplings; excavation and supports, backfilling; 100 mm pipes; in trenches, depth</t>
        </is>
      </c>
      <c r="F1114" s="5" t="inlineStr">
        <is>
          <t>5.00-5.50 m deep</t>
        </is>
      </c>
      <c r="G1114" s="6" t="inlineStr">
        <is>
          <t>m</t>
        </is>
      </c>
      <c r="H1114" s="7" t="n">
        <v>0.97</v>
      </c>
      <c r="I1114" s="8" t="n">
        <v>134.03</v>
      </c>
      <c r="J1114" s="8" t="n">
        <v>118</v>
      </c>
      <c r="K1114" s="8" t="n">
        <v>21.74</v>
      </c>
      <c r="L1114" s="8" t="n">
        <v>0</v>
      </c>
      <c r="M1114" s="9">
        <f>ROUND(SUM(I1114:L1114),2)</f>
        <v/>
      </c>
      <c r="N1114" s="10">
        <f>ROUND(I1114*'Irish Basis'!$C$6*'Irish Basis'!$C$5,2)</f>
        <v/>
      </c>
      <c r="O1114" s="10">
        <f>ROUND(J1114*'Irish Basis'!$C$7*'Irish Basis'!$C$5,2)</f>
        <v/>
      </c>
      <c r="P1114" s="10">
        <f>ROUND(K1114*'Irish Basis'!$C$8*'Irish Basis'!$C$5,2)</f>
        <v/>
      </c>
      <c r="Q1114" s="10">
        <f>ROUND(L1114*'Irish Basis'!$C$12*'Irish Basis'!$C$5,2)</f>
        <v/>
      </c>
      <c r="R1114" s="11">
        <f>ROUND(SUM(N1114:Q1114),2)</f>
        <v/>
      </c>
      <c r="S1114" s="5" t="inlineStr">
        <is>
          <t>Stated build-up</t>
        </is>
      </c>
      <c r="T1114" s="12" t="inlineStr">
        <is>
          <t>High</t>
        </is>
      </c>
      <c r="U1114" s="8" t="n">
        <v>273.78</v>
      </c>
      <c r="V1114" s="13">
        <f>IF(U1114="","",ROUND(M1114-U1114,2))</f>
        <v/>
      </c>
      <c r="W1114" s="5" t="n"/>
      <c r="X1114" s="5" t="inlineStr">
        <is>
          <t>Labour + plant + material as published; reconciles to the published rate.</t>
        </is>
      </c>
    </row>
    <row r="1115" ht="13" customHeight="1">
      <c r="A1115" s="4" t="n">
        <v>1995</v>
      </c>
      <c r="B1115" s="5" t="inlineStr">
        <is>
          <t>IMG_0093</t>
        </is>
      </c>
      <c r="C1115" s="5" t="inlineStr">
        <is>
          <t>CLASS I: PIPEWORK - PIPES</t>
        </is>
      </c>
      <c r="D1115" s="5" t="inlineStr">
        <is>
          <t>01 CLAY PIPES</t>
        </is>
      </c>
      <c r="E1115" s="5" t="inlineStr">
        <is>
          <t>Vitrified clay pipes to BS EN295, plain ends with push-fit polypropylene flexible couplings; excavation and supports, backfilling; 100 mm pipes; in trenches, depth</t>
        </is>
      </c>
      <c r="F1115" s="5" t="inlineStr">
        <is>
          <t>extra for bend</t>
        </is>
      </c>
      <c r="G1115" s="6" t="inlineStr">
        <is>
          <t>nr</t>
        </is>
      </c>
      <c r="H1115" s="7" t="n">
        <v>0.05</v>
      </c>
      <c r="I1115" s="8" t="n">
        <v>6.91</v>
      </c>
      <c r="J1115" s="8" t="n">
        <v>0</v>
      </c>
      <c r="K1115" s="8" t="n">
        <v>80.7</v>
      </c>
      <c r="L1115" s="8" t="n">
        <v>0</v>
      </c>
      <c r="M1115" s="9">
        <f>ROUND(SUM(I1115:L1115),2)</f>
        <v/>
      </c>
      <c r="N1115" s="10">
        <f>ROUND(I1115*'Irish Basis'!$C$6*'Irish Basis'!$C$5,2)</f>
        <v/>
      </c>
      <c r="O1115" s="10">
        <f>ROUND(J1115*'Irish Basis'!$C$7*'Irish Basis'!$C$5,2)</f>
        <v/>
      </c>
      <c r="P1115" s="10">
        <f>ROUND(K1115*'Irish Basis'!$C$8*'Irish Basis'!$C$5,2)</f>
        <v/>
      </c>
      <c r="Q1115" s="10">
        <f>ROUND(L1115*'Irish Basis'!$C$12*'Irish Basis'!$C$5,2)</f>
        <v/>
      </c>
      <c r="R1115" s="11">
        <f>ROUND(SUM(N1115:Q1115),2)</f>
        <v/>
      </c>
      <c r="S1115" s="5" t="inlineStr">
        <is>
          <t>Stated build-up</t>
        </is>
      </c>
      <c r="T1115" s="12" t="inlineStr">
        <is>
          <t>High</t>
        </is>
      </c>
      <c r="U1115" s="8" t="n">
        <v>87.61</v>
      </c>
      <c r="V1115" s="13">
        <f>IF(U1115="","",ROUND(M1115-U1115,2))</f>
        <v/>
      </c>
      <c r="W1115" s="5" t="n"/>
      <c r="X1115" s="5" t="inlineStr">
        <is>
          <t>Labour + plant + material as published; reconciles to the published rate.</t>
        </is>
      </c>
    </row>
    <row r="1116" ht="13" customHeight="1">
      <c r="A1116" s="4" t="n">
        <v>1996</v>
      </c>
      <c r="B1116" s="5" t="inlineStr">
        <is>
          <t>IMG_0093</t>
        </is>
      </c>
      <c r="C1116" s="5" t="inlineStr">
        <is>
          <t>CLASS I: PIPEWORK - PIPES</t>
        </is>
      </c>
      <c r="D1116" s="5" t="inlineStr">
        <is>
          <t>01 CLAY PIPES</t>
        </is>
      </c>
      <c r="E1116" s="5" t="inlineStr">
        <is>
          <t>Vitrified clay pipes to BS EN295, plain ends with push-fit polypropylene flexible couplings; excavation and supports, backfilling; 100 mm pipes; in trenches, depth</t>
        </is>
      </c>
      <c r="F1116" s="5" t="inlineStr">
        <is>
          <t>extra for rest bend</t>
        </is>
      </c>
      <c r="G1116" s="6" t="inlineStr">
        <is>
          <t>nr</t>
        </is>
      </c>
      <c r="H1116" s="7" t="n">
        <v>0.06</v>
      </c>
      <c r="I1116" s="8" t="n">
        <v>8.289999999999999</v>
      </c>
      <c r="J1116" s="8" t="n">
        <v>0</v>
      </c>
      <c r="K1116" s="8" t="n">
        <v>110.32</v>
      </c>
      <c r="L1116" s="8" t="n">
        <v>0</v>
      </c>
      <c r="M1116" s="9">
        <f>ROUND(SUM(I1116:L1116),2)</f>
        <v/>
      </c>
      <c r="N1116" s="10">
        <f>ROUND(I1116*'Irish Basis'!$C$6*'Irish Basis'!$C$5,2)</f>
        <v/>
      </c>
      <c r="O1116" s="10">
        <f>ROUND(J1116*'Irish Basis'!$C$7*'Irish Basis'!$C$5,2)</f>
        <v/>
      </c>
      <c r="P1116" s="10">
        <f>ROUND(K1116*'Irish Basis'!$C$8*'Irish Basis'!$C$5,2)</f>
        <v/>
      </c>
      <c r="Q1116" s="10">
        <f>ROUND(L1116*'Irish Basis'!$C$12*'Irish Basis'!$C$5,2)</f>
        <v/>
      </c>
      <c r="R1116" s="11">
        <f>ROUND(SUM(N1116:Q1116),2)</f>
        <v/>
      </c>
      <c r="S1116" s="5" t="inlineStr">
        <is>
          <t>Stated build-up</t>
        </is>
      </c>
      <c r="T1116" s="12" t="inlineStr">
        <is>
          <t>High</t>
        </is>
      </c>
      <c r="U1116" s="8" t="n">
        <v>118.62</v>
      </c>
      <c r="V1116" s="13">
        <f>IF(U1116="","",ROUND(M1116-U1116,2))</f>
        <v/>
      </c>
      <c r="W1116" s="5" t="n"/>
      <c r="X1116" s="5" t="inlineStr">
        <is>
          <t>Labour + plant + material as published; reconciles to the published rate.</t>
        </is>
      </c>
    </row>
    <row r="1117" ht="13" customHeight="1">
      <c r="A1117" s="4" t="n">
        <v>1997</v>
      </c>
      <c r="B1117" s="5" t="inlineStr">
        <is>
          <t>IMG_0093</t>
        </is>
      </c>
      <c r="C1117" s="5" t="inlineStr">
        <is>
          <t>CLASS I: PIPEWORK - PIPES</t>
        </is>
      </c>
      <c r="D1117" s="5" t="inlineStr">
        <is>
          <t>01 CLAY PIPES</t>
        </is>
      </c>
      <c r="E1117" s="5" t="inlineStr">
        <is>
          <t>Vitrified clay pipes to BS EN295, plain ends with push-fit polypropylene flexible couplings; excavation and supports, backfilling; 100 mm pipes; in trenches, depth</t>
        </is>
      </c>
      <c r="F1117" s="5" t="inlineStr">
        <is>
          <t>extra for single junction; equal</t>
        </is>
      </c>
      <c r="G1117" s="6" t="inlineStr">
        <is>
          <t>nr</t>
        </is>
      </c>
      <c r="H1117" s="7" t="n">
        <v>0.09</v>
      </c>
      <c r="I1117" s="8" t="n">
        <v>12.44</v>
      </c>
      <c r="J1117" s="8" t="n">
        <v>0</v>
      </c>
      <c r="K1117" s="8" t="n">
        <v>115.17</v>
      </c>
      <c r="L1117" s="8" t="n">
        <v>0</v>
      </c>
      <c r="M1117" s="9">
        <f>ROUND(SUM(I1117:L1117),2)</f>
        <v/>
      </c>
      <c r="N1117" s="10">
        <f>ROUND(I1117*'Irish Basis'!$C$6*'Irish Basis'!$C$5,2)</f>
        <v/>
      </c>
      <c r="O1117" s="10">
        <f>ROUND(J1117*'Irish Basis'!$C$7*'Irish Basis'!$C$5,2)</f>
        <v/>
      </c>
      <c r="P1117" s="10">
        <f>ROUND(K1117*'Irish Basis'!$C$8*'Irish Basis'!$C$5,2)</f>
        <v/>
      </c>
      <c r="Q1117" s="10">
        <f>ROUND(L1117*'Irish Basis'!$C$12*'Irish Basis'!$C$5,2)</f>
        <v/>
      </c>
      <c r="R1117" s="11">
        <f>ROUND(SUM(N1117:Q1117),2)</f>
        <v/>
      </c>
      <c r="S1117" s="5" t="inlineStr">
        <is>
          <t>Stated build-up</t>
        </is>
      </c>
      <c r="T1117" s="12" t="inlineStr">
        <is>
          <t>High</t>
        </is>
      </c>
      <c r="U1117" s="8" t="n">
        <v>127.6</v>
      </c>
      <c r="V1117" s="13">
        <f>IF(U1117="","",ROUND(M1117-U1117,2))</f>
        <v/>
      </c>
      <c r="W1117" s="5" t="n"/>
      <c r="X1117" s="5" t="inlineStr">
        <is>
          <t>Labour + plant + material as published; reconciles to the published rate.</t>
        </is>
      </c>
    </row>
    <row r="1118" ht="13" customHeight="1">
      <c r="A1118" s="4" t="n">
        <v>1998</v>
      </c>
      <c r="B1118" s="5" t="inlineStr">
        <is>
          <t>IMG_0093</t>
        </is>
      </c>
      <c r="C1118" s="5" t="inlineStr">
        <is>
          <t>CLASS I: PIPEWORK - PIPES</t>
        </is>
      </c>
      <c r="D1118" s="5" t="inlineStr">
        <is>
          <t>01 CLAY PIPES</t>
        </is>
      </c>
      <c r="E1118" s="5" t="inlineStr">
        <is>
          <t>Vitrified clay pipes to BS EN295, plain ends with push-fit polypropylene flexible couplings; excavation and supports, backfilling; 100 mm pipes; in trenches, depth</t>
        </is>
      </c>
      <c r="F1118" s="5" t="inlineStr">
        <is>
          <t>extra for saddle; oblique</t>
        </is>
      </c>
      <c r="G1118" s="6" t="inlineStr">
        <is>
          <t>nr</t>
        </is>
      </c>
      <c r="H1118" s="7" t="n">
        <v>0.23</v>
      </c>
      <c r="I1118" s="8" t="n">
        <v>31.78</v>
      </c>
      <c r="J1118" s="8" t="n">
        <v>0</v>
      </c>
      <c r="K1118" s="8" t="n">
        <v>75.29000000000001</v>
      </c>
      <c r="L1118" s="8" t="n">
        <v>0</v>
      </c>
      <c r="M1118" s="9">
        <f>ROUND(SUM(I1118:L1118),2)</f>
        <v/>
      </c>
      <c r="N1118" s="10">
        <f>ROUND(I1118*'Irish Basis'!$C$6*'Irish Basis'!$C$5,2)</f>
        <v/>
      </c>
      <c r="O1118" s="10">
        <f>ROUND(J1118*'Irish Basis'!$C$7*'Irish Basis'!$C$5,2)</f>
        <v/>
      </c>
      <c r="P1118" s="10">
        <f>ROUND(K1118*'Irish Basis'!$C$8*'Irish Basis'!$C$5,2)</f>
        <v/>
      </c>
      <c r="Q1118" s="10">
        <f>ROUND(L1118*'Irish Basis'!$C$12*'Irish Basis'!$C$5,2)</f>
        <v/>
      </c>
      <c r="R1118" s="11">
        <f>ROUND(SUM(N1118:Q1118),2)</f>
        <v/>
      </c>
      <c r="S1118" s="5" t="inlineStr">
        <is>
          <t>Stated build-up</t>
        </is>
      </c>
      <c r="T1118" s="12" t="inlineStr">
        <is>
          <t>High</t>
        </is>
      </c>
      <c r="U1118" s="8" t="n">
        <v>107.07</v>
      </c>
      <c r="V1118" s="13">
        <f>IF(U1118="","",ROUND(M1118-U1118,2))</f>
        <v/>
      </c>
      <c r="W1118" s="5" t="n"/>
      <c r="X1118" s="5" t="inlineStr">
        <is>
          <t>Labour + plant + material as published; reconciles to the published rate.</t>
        </is>
      </c>
    </row>
    <row r="1119" ht="13" customHeight="1">
      <c r="A1119" s="4" t="n">
        <v>2000</v>
      </c>
      <c r="B1119" s="5" t="inlineStr">
        <is>
          <t>IMG_0093</t>
        </is>
      </c>
      <c r="C1119" s="5" t="inlineStr">
        <is>
          <t>CLASS I: PIPEWORK - PIPES</t>
        </is>
      </c>
      <c r="D1119" s="5" t="inlineStr">
        <is>
          <t>01 CLAY PIPES</t>
        </is>
      </c>
      <c r="E1119" s="5" t="inlineStr">
        <is>
          <t>150 mm pipes; in trenches, depth</t>
        </is>
      </c>
      <c r="F1119" s="5" t="inlineStr">
        <is>
          <t>not in trenches</t>
        </is>
      </c>
      <c r="G1119" s="6" t="inlineStr">
        <is>
          <t>m</t>
        </is>
      </c>
      <c r="H1119" s="7" t="n">
        <v>0.28</v>
      </c>
      <c r="I1119" s="8" t="n">
        <v>24.17</v>
      </c>
      <c r="J1119" s="8" t="n">
        <v>0.65</v>
      </c>
      <c r="K1119" s="8" t="n">
        <v>35.82</v>
      </c>
      <c r="L1119" s="8" t="n">
        <v>0</v>
      </c>
      <c r="M1119" s="9">
        <f>ROUND(SUM(I1119:L1119),2)</f>
        <v/>
      </c>
      <c r="N1119" s="10">
        <f>ROUND(I1119*'Irish Basis'!$C$6*'Irish Basis'!$C$5,2)</f>
        <v/>
      </c>
      <c r="O1119" s="10">
        <f>ROUND(J1119*'Irish Basis'!$C$7*'Irish Basis'!$C$5,2)</f>
        <v/>
      </c>
      <c r="P1119" s="10">
        <f>ROUND(K1119*'Irish Basis'!$C$8*'Irish Basis'!$C$5,2)</f>
        <v/>
      </c>
      <c r="Q1119" s="10">
        <f>ROUND(L1119*'Irish Basis'!$C$12*'Irish Basis'!$C$5,2)</f>
        <v/>
      </c>
      <c r="R1119" s="11">
        <f>ROUND(SUM(N1119:Q1119),2)</f>
        <v/>
      </c>
      <c r="S1119" s="5" t="inlineStr">
        <is>
          <t>Stated build-up</t>
        </is>
      </c>
      <c r="T1119" s="12" t="inlineStr">
        <is>
          <t>High</t>
        </is>
      </c>
      <c r="U1119" s="8" t="n">
        <v>60.64</v>
      </c>
      <c r="V1119" s="13">
        <f>IF(U1119="","",ROUND(M1119-U1119,2))</f>
        <v/>
      </c>
      <c r="W1119" s="5" t="n"/>
      <c r="X1119" s="5" t="inlineStr">
        <is>
          <t>Labour + plant + material as published; reconciles to the published rate.</t>
        </is>
      </c>
    </row>
    <row r="1120" ht="13" customHeight="1">
      <c r="A1120" s="4" t="n">
        <v>2001</v>
      </c>
      <c r="B1120" s="5" t="inlineStr">
        <is>
          <t>IMG_0093</t>
        </is>
      </c>
      <c r="C1120" s="5" t="inlineStr">
        <is>
          <t>CLASS I: PIPEWORK - PIPES</t>
        </is>
      </c>
      <c r="D1120" s="5" t="inlineStr">
        <is>
          <t>01 CLAY PIPES</t>
        </is>
      </c>
      <c r="E1120" s="5" t="inlineStr">
        <is>
          <t>150 mm pipes; in trenches, depth</t>
        </is>
      </c>
      <c r="F1120" s="5" t="inlineStr">
        <is>
          <t>ne 1.50 m deep</t>
        </is>
      </c>
      <c r="G1120" s="6" t="inlineStr">
        <is>
          <t>m</t>
        </is>
      </c>
      <c r="H1120" s="7" t="n">
        <v>0.32</v>
      </c>
      <c r="I1120" s="8" t="n">
        <v>44.22</v>
      </c>
      <c r="J1120" s="8" t="n">
        <v>22.2</v>
      </c>
      <c r="K1120" s="8" t="n">
        <v>35.82</v>
      </c>
      <c r="L1120" s="8" t="n">
        <v>0</v>
      </c>
      <c r="M1120" s="9">
        <f>ROUND(SUM(I1120:L1120),2)</f>
        <v/>
      </c>
      <c r="N1120" s="10">
        <f>ROUND(I1120*'Irish Basis'!$C$6*'Irish Basis'!$C$5,2)</f>
        <v/>
      </c>
      <c r="O1120" s="10">
        <f>ROUND(J1120*'Irish Basis'!$C$7*'Irish Basis'!$C$5,2)</f>
        <v/>
      </c>
      <c r="P1120" s="10">
        <f>ROUND(K1120*'Irish Basis'!$C$8*'Irish Basis'!$C$5,2)</f>
        <v/>
      </c>
      <c r="Q1120" s="10">
        <f>ROUND(L1120*'Irish Basis'!$C$12*'Irish Basis'!$C$5,2)</f>
        <v/>
      </c>
      <c r="R1120" s="11">
        <f>ROUND(SUM(N1120:Q1120),2)</f>
        <v/>
      </c>
      <c r="S1120" s="5" t="inlineStr">
        <is>
          <t>Stated build-up</t>
        </is>
      </c>
      <c r="T1120" s="12" t="inlineStr">
        <is>
          <t>High</t>
        </is>
      </c>
      <c r="U1120" s="8" t="n">
        <v>102.24</v>
      </c>
      <c r="V1120" s="13">
        <f>IF(U1120="","",ROUND(M1120-U1120,2))</f>
        <v/>
      </c>
      <c r="W1120" s="5" t="n"/>
      <c r="X1120" s="5" t="inlineStr">
        <is>
          <t>Labour + plant + material as published; reconciles to the published rate.</t>
        </is>
      </c>
    </row>
    <row r="1121" ht="13" customHeight="1">
      <c r="A1121" s="4" t="n">
        <v>2002</v>
      </c>
      <c r="B1121" s="5" t="inlineStr">
        <is>
          <t>IMG_0093</t>
        </is>
      </c>
      <c r="C1121" s="5" t="inlineStr">
        <is>
          <t>CLASS I: PIPEWORK - PIPES</t>
        </is>
      </c>
      <c r="D1121" s="5" t="inlineStr">
        <is>
          <t>01 CLAY PIPES</t>
        </is>
      </c>
      <c r="E1121" s="5" t="inlineStr">
        <is>
          <t>150 mm pipes; in trenches, depth</t>
        </is>
      </c>
      <c r="F1121" s="5" t="inlineStr">
        <is>
          <t>1.50-2.00 m deep</t>
        </is>
      </c>
      <c r="G1121" s="6" t="inlineStr">
        <is>
          <t>m</t>
        </is>
      </c>
      <c r="H1121" s="7" t="n">
        <v>0.2</v>
      </c>
      <c r="I1121" s="8" t="n">
        <v>27.64</v>
      </c>
      <c r="J1121" s="8" t="n">
        <v>26.15</v>
      </c>
      <c r="K1121" s="8" t="n">
        <v>35.82</v>
      </c>
      <c r="L1121" s="8" t="n">
        <v>0</v>
      </c>
      <c r="M1121" s="9">
        <f>ROUND(SUM(I1121:L1121),2)</f>
        <v/>
      </c>
      <c r="N1121" s="10">
        <f>ROUND(I1121*'Irish Basis'!$C$6*'Irish Basis'!$C$5,2)</f>
        <v/>
      </c>
      <c r="O1121" s="10">
        <f>ROUND(J1121*'Irish Basis'!$C$7*'Irish Basis'!$C$5,2)</f>
        <v/>
      </c>
      <c r="P1121" s="10">
        <f>ROUND(K1121*'Irish Basis'!$C$8*'Irish Basis'!$C$5,2)</f>
        <v/>
      </c>
      <c r="Q1121" s="10">
        <f>ROUND(L1121*'Irish Basis'!$C$12*'Irish Basis'!$C$5,2)</f>
        <v/>
      </c>
      <c r="R1121" s="11">
        <f>ROUND(SUM(N1121:Q1121),2)</f>
        <v/>
      </c>
      <c r="S1121" s="5" t="inlineStr">
        <is>
          <t>Stated build-up</t>
        </is>
      </c>
      <c r="T1121" s="12" t="inlineStr">
        <is>
          <t>High</t>
        </is>
      </c>
      <c r="U1121" s="8" t="n">
        <v>89.59999999999999</v>
      </c>
      <c r="V1121" s="13">
        <f>IF(U1121="","",ROUND(M1121-U1121,2))</f>
        <v/>
      </c>
      <c r="W1121" s="5" t="n"/>
      <c r="X1121" s="5" t="inlineStr">
        <is>
          <t>Labour + plant + material as published; reconciles to the published rate.</t>
        </is>
      </c>
    </row>
    <row r="1122" ht="13" customHeight="1">
      <c r="A1122" s="4" t="n">
        <v>2003</v>
      </c>
      <c r="B1122" s="5" t="inlineStr">
        <is>
          <t>IMG_0093</t>
        </is>
      </c>
      <c r="C1122" s="5" t="inlineStr">
        <is>
          <t>CLASS I: PIPEWORK - PIPES</t>
        </is>
      </c>
      <c r="D1122" s="5" t="inlineStr">
        <is>
          <t>01 CLAY PIPES</t>
        </is>
      </c>
      <c r="E1122" s="5" t="inlineStr">
        <is>
          <t>150 mm pipes; in trenches, depth</t>
        </is>
      </c>
      <c r="F1122" s="5" t="inlineStr">
        <is>
          <t>2.00-2.50 m deep</t>
        </is>
      </c>
      <c r="G1122" s="6" t="inlineStr">
        <is>
          <t>m</t>
        </is>
      </c>
      <c r="H1122" s="7" t="n">
        <v>0.31</v>
      </c>
      <c r="I1122" s="8" t="n">
        <v>42.84</v>
      </c>
      <c r="J1122" s="8" t="n">
        <v>31.38</v>
      </c>
      <c r="K1122" s="8" t="n">
        <v>35.82</v>
      </c>
      <c r="L1122" s="8" t="n">
        <v>0</v>
      </c>
      <c r="M1122" s="9">
        <f>ROUND(SUM(I1122:L1122),2)</f>
        <v/>
      </c>
      <c r="N1122" s="10">
        <f>ROUND(I1122*'Irish Basis'!$C$6*'Irish Basis'!$C$5,2)</f>
        <v/>
      </c>
      <c r="O1122" s="10">
        <f>ROUND(J1122*'Irish Basis'!$C$7*'Irish Basis'!$C$5,2)</f>
        <v/>
      </c>
      <c r="P1122" s="10">
        <f>ROUND(K1122*'Irish Basis'!$C$8*'Irish Basis'!$C$5,2)</f>
        <v/>
      </c>
      <c r="Q1122" s="10">
        <f>ROUND(L1122*'Irish Basis'!$C$12*'Irish Basis'!$C$5,2)</f>
        <v/>
      </c>
      <c r="R1122" s="11">
        <f>ROUND(SUM(N1122:Q1122),2)</f>
        <v/>
      </c>
      <c r="S1122" s="5" t="inlineStr">
        <is>
          <t>Stated build-up</t>
        </is>
      </c>
      <c r="T1122" s="12" t="inlineStr">
        <is>
          <t>High</t>
        </is>
      </c>
      <c r="U1122" s="8" t="n">
        <v>110.03</v>
      </c>
      <c r="V1122" s="13">
        <f>IF(U1122="","",ROUND(M1122-U1122,2))</f>
        <v/>
      </c>
      <c r="W1122" s="5" t="n"/>
      <c r="X1122" s="5" t="inlineStr">
        <is>
          <t>Labour + plant + material as published; reconciles to the published rate.</t>
        </is>
      </c>
    </row>
    <row r="1123" ht="13" customHeight="1">
      <c r="A1123" s="4" t="n">
        <v>2004</v>
      </c>
      <c r="B1123" s="5" t="inlineStr">
        <is>
          <t>IMG_0093</t>
        </is>
      </c>
      <c r="C1123" s="5" t="inlineStr">
        <is>
          <t>CLASS I: PIPEWORK - PIPES</t>
        </is>
      </c>
      <c r="D1123" s="5" t="inlineStr">
        <is>
          <t>01 CLAY PIPES</t>
        </is>
      </c>
      <c r="E1123" s="5" t="inlineStr">
        <is>
          <t>150 mm pipes; in trenches, depth</t>
        </is>
      </c>
      <c r="F1123" s="5" t="inlineStr">
        <is>
          <t>2.50-3.00 m deep</t>
        </is>
      </c>
      <c r="G1123" s="6" t="inlineStr">
        <is>
          <t>m</t>
        </is>
      </c>
      <c r="H1123" s="7" t="n">
        <v>0.35</v>
      </c>
      <c r="I1123" s="8" t="n">
        <v>48.36</v>
      </c>
      <c r="J1123" s="8" t="n">
        <v>37.95</v>
      </c>
      <c r="K1123" s="8" t="n">
        <v>35.82</v>
      </c>
      <c r="L1123" s="8" t="n">
        <v>0</v>
      </c>
      <c r="M1123" s="9">
        <f>ROUND(SUM(I1123:L1123),2)</f>
        <v/>
      </c>
      <c r="N1123" s="10">
        <f>ROUND(I1123*'Irish Basis'!$C$6*'Irish Basis'!$C$5,2)</f>
        <v/>
      </c>
      <c r="O1123" s="10">
        <f>ROUND(J1123*'Irish Basis'!$C$7*'Irish Basis'!$C$5,2)</f>
        <v/>
      </c>
      <c r="P1123" s="10">
        <f>ROUND(K1123*'Irish Basis'!$C$8*'Irish Basis'!$C$5,2)</f>
        <v/>
      </c>
      <c r="Q1123" s="10">
        <f>ROUND(L1123*'Irish Basis'!$C$12*'Irish Basis'!$C$5,2)</f>
        <v/>
      </c>
      <c r="R1123" s="11">
        <f>ROUND(SUM(N1123:Q1123),2)</f>
        <v/>
      </c>
      <c r="S1123" s="5" t="inlineStr">
        <is>
          <t>Stated build-up</t>
        </is>
      </c>
      <c r="T1123" s="12" t="inlineStr">
        <is>
          <t>High</t>
        </is>
      </c>
      <c r="U1123" s="8" t="n">
        <v>122.13</v>
      </c>
      <c r="V1123" s="13">
        <f>IF(U1123="","",ROUND(M1123-U1123,2))</f>
        <v/>
      </c>
      <c r="W1123" s="5" t="n"/>
      <c r="X1123" s="5" t="inlineStr">
        <is>
          <t>Labour + plant + material as published; reconciles to the published rate.</t>
        </is>
      </c>
    </row>
    <row r="1124" ht="13" customHeight="1">
      <c r="A1124" s="4" t="n">
        <v>2005</v>
      </c>
      <c r="B1124" s="5" t="inlineStr">
        <is>
          <t>IMG_0093</t>
        </is>
      </c>
      <c r="C1124" s="5" t="inlineStr">
        <is>
          <t>CLASS I: PIPEWORK - PIPES</t>
        </is>
      </c>
      <c r="D1124" s="5" t="inlineStr">
        <is>
          <t>01 CLAY PIPES</t>
        </is>
      </c>
      <c r="E1124" s="5" t="inlineStr">
        <is>
          <t>150 mm pipes; in trenches, depth</t>
        </is>
      </c>
      <c r="F1124" s="5" t="inlineStr">
        <is>
          <t>3.00-3.50 m deep</t>
        </is>
      </c>
      <c r="G1124" s="6" t="inlineStr">
        <is>
          <t>m</t>
        </is>
      </c>
      <c r="H1124" s="7" t="n">
        <v>0.39</v>
      </c>
      <c r="I1124" s="8" t="n">
        <v>53.89</v>
      </c>
      <c r="J1124" s="8" t="n">
        <v>51.02</v>
      </c>
      <c r="K1124" s="8" t="n">
        <v>35.82</v>
      </c>
      <c r="L1124" s="8" t="n">
        <v>0</v>
      </c>
      <c r="M1124" s="9">
        <f>ROUND(SUM(I1124:L1124),2)</f>
        <v/>
      </c>
      <c r="N1124" s="10">
        <f>ROUND(I1124*'Irish Basis'!$C$6*'Irish Basis'!$C$5,2)</f>
        <v/>
      </c>
      <c r="O1124" s="10">
        <f>ROUND(J1124*'Irish Basis'!$C$7*'Irish Basis'!$C$5,2)</f>
        <v/>
      </c>
      <c r="P1124" s="10">
        <f>ROUND(K1124*'Irish Basis'!$C$8*'Irish Basis'!$C$5,2)</f>
        <v/>
      </c>
      <c r="Q1124" s="10">
        <f>ROUND(L1124*'Irish Basis'!$C$12*'Irish Basis'!$C$5,2)</f>
        <v/>
      </c>
      <c r="R1124" s="11">
        <f>ROUND(SUM(N1124:Q1124),2)</f>
        <v/>
      </c>
      <c r="S1124" s="5" t="inlineStr">
        <is>
          <t>Stated build-up</t>
        </is>
      </c>
      <c r="T1124" s="12" t="inlineStr">
        <is>
          <t>High</t>
        </is>
      </c>
      <c r="U1124" s="8" t="n">
        <v>140.73</v>
      </c>
      <c r="V1124" s="13">
        <f>IF(U1124="","",ROUND(M1124-U1124,2))</f>
        <v/>
      </c>
      <c r="W1124" s="5" t="n"/>
      <c r="X1124" s="5" t="inlineStr">
        <is>
          <t>Labour + plant + material as published; reconciles to the published rate.</t>
        </is>
      </c>
    </row>
    <row r="1125" ht="13" customHeight="1">
      <c r="A1125" s="4" t="n">
        <v>2006</v>
      </c>
      <c r="B1125" s="5" t="inlineStr">
        <is>
          <t>IMG_0093</t>
        </is>
      </c>
      <c r="C1125" s="5" t="inlineStr">
        <is>
          <t>CLASS I: PIPEWORK - PIPES</t>
        </is>
      </c>
      <c r="D1125" s="5" t="inlineStr">
        <is>
          <t>01 CLAY PIPES</t>
        </is>
      </c>
      <c r="E1125" s="5" t="inlineStr">
        <is>
          <t>150 mm pipes; in trenches, depth</t>
        </is>
      </c>
      <c r="F1125" s="5" t="inlineStr">
        <is>
          <t>3.50-4.00 m deep</t>
        </is>
      </c>
      <c r="G1125" s="6" t="inlineStr">
        <is>
          <t>m</t>
        </is>
      </c>
      <c r="H1125" s="7" t="n">
        <v>0.45</v>
      </c>
      <c r="I1125" s="8" t="n">
        <v>62.18</v>
      </c>
      <c r="J1125" s="8" t="n">
        <v>58.94</v>
      </c>
      <c r="K1125" s="8" t="n">
        <v>35.82</v>
      </c>
      <c r="L1125" s="8" t="n">
        <v>0</v>
      </c>
      <c r="M1125" s="9">
        <f>ROUND(SUM(I1125:L1125),2)</f>
        <v/>
      </c>
      <c r="N1125" s="10">
        <f>ROUND(I1125*'Irish Basis'!$C$6*'Irish Basis'!$C$5,2)</f>
        <v/>
      </c>
      <c r="O1125" s="10">
        <f>ROUND(J1125*'Irish Basis'!$C$7*'Irish Basis'!$C$5,2)</f>
        <v/>
      </c>
      <c r="P1125" s="10">
        <f>ROUND(K1125*'Irish Basis'!$C$8*'Irish Basis'!$C$5,2)</f>
        <v/>
      </c>
      <c r="Q1125" s="10">
        <f>ROUND(L1125*'Irish Basis'!$C$12*'Irish Basis'!$C$5,2)</f>
        <v/>
      </c>
      <c r="R1125" s="11">
        <f>ROUND(SUM(N1125:Q1125),2)</f>
        <v/>
      </c>
      <c r="S1125" s="5" t="inlineStr">
        <is>
          <t>Stated build-up</t>
        </is>
      </c>
      <c r="T1125" s="12" t="inlineStr">
        <is>
          <t>High</t>
        </is>
      </c>
      <c r="U1125" s="8" t="n">
        <v>156.94</v>
      </c>
      <c r="V1125" s="13">
        <f>IF(U1125="","",ROUND(M1125-U1125,2))</f>
        <v/>
      </c>
      <c r="W1125" s="5" t="n"/>
      <c r="X1125" s="5" t="inlineStr">
        <is>
          <t>Labour + plant + material as published; reconciles to the published rate.</t>
        </is>
      </c>
    </row>
    <row r="1126" ht="13" customHeight="1">
      <c r="A1126" s="4" t="n">
        <v>2007</v>
      </c>
      <c r="B1126" s="5" t="inlineStr">
        <is>
          <t>IMG_0093</t>
        </is>
      </c>
      <c r="C1126" s="5" t="inlineStr">
        <is>
          <t>CLASS I: PIPEWORK - PIPES</t>
        </is>
      </c>
      <c r="D1126" s="5" t="inlineStr">
        <is>
          <t>01 CLAY PIPES</t>
        </is>
      </c>
      <c r="E1126" s="5" t="inlineStr">
        <is>
          <t>150 mm pipes; in trenches, depth</t>
        </is>
      </c>
      <c r="F1126" s="5" t="inlineStr">
        <is>
          <t>4.00-4.50 m deep</t>
        </is>
      </c>
      <c r="G1126" s="6" t="inlineStr">
        <is>
          <t>m</t>
        </is>
      </c>
      <c r="H1126" s="7" t="n">
        <v>0.58</v>
      </c>
      <c r="I1126" s="8" t="n">
        <v>80.14</v>
      </c>
      <c r="J1126" s="8" t="n">
        <v>75.94</v>
      </c>
      <c r="K1126" s="8" t="n">
        <v>35.82</v>
      </c>
      <c r="L1126" s="8" t="n">
        <v>0</v>
      </c>
      <c r="M1126" s="9">
        <f>ROUND(SUM(I1126:L1126),2)</f>
        <v/>
      </c>
      <c r="N1126" s="10">
        <f>ROUND(I1126*'Irish Basis'!$C$6*'Irish Basis'!$C$5,2)</f>
        <v/>
      </c>
      <c r="O1126" s="10">
        <f>ROUND(J1126*'Irish Basis'!$C$7*'Irish Basis'!$C$5,2)</f>
        <v/>
      </c>
      <c r="P1126" s="10">
        <f>ROUND(K1126*'Irish Basis'!$C$8*'Irish Basis'!$C$5,2)</f>
        <v/>
      </c>
      <c r="Q1126" s="10">
        <f>ROUND(L1126*'Irish Basis'!$C$12*'Irish Basis'!$C$5,2)</f>
        <v/>
      </c>
      <c r="R1126" s="11">
        <f>ROUND(SUM(N1126:Q1126),2)</f>
        <v/>
      </c>
      <c r="S1126" s="5" t="inlineStr">
        <is>
          <t>Stated build-up</t>
        </is>
      </c>
      <c r="T1126" s="12" t="inlineStr">
        <is>
          <t>High</t>
        </is>
      </c>
      <c r="U1126" s="8" t="n">
        <v>191.9</v>
      </c>
      <c r="V1126" s="13">
        <f>IF(U1126="","",ROUND(M1126-U1126,2))</f>
        <v/>
      </c>
      <c r="W1126" s="5" t="n"/>
      <c r="X1126" s="5" t="inlineStr">
        <is>
          <t>Labour + plant + material as published; reconciles to the published rate.</t>
        </is>
      </c>
    </row>
    <row r="1127" ht="13" customHeight="1">
      <c r="A1127" s="4" t="n">
        <v>2008</v>
      </c>
      <c r="B1127" s="5" t="inlineStr">
        <is>
          <t>IMG_0093</t>
        </is>
      </c>
      <c r="C1127" s="5" t="inlineStr">
        <is>
          <t>CLASS I: PIPEWORK - PIPES</t>
        </is>
      </c>
      <c r="D1127" s="5" t="inlineStr">
        <is>
          <t>01 CLAY PIPES</t>
        </is>
      </c>
      <c r="E1127" s="5" t="inlineStr">
        <is>
          <t>150 mm pipes; in trenches, depth</t>
        </is>
      </c>
      <c r="F1127" s="5" t="inlineStr">
        <is>
          <t>4.50-5.00 m deep</t>
        </is>
      </c>
      <c r="G1127" s="6" t="inlineStr">
        <is>
          <t>m</t>
        </is>
      </c>
      <c r="H1127" s="7" t="n">
        <v>0.75</v>
      </c>
      <c r="I1127" s="8" t="n">
        <v>103.64</v>
      </c>
      <c r="J1127" s="8" t="n">
        <v>98.26000000000001</v>
      </c>
      <c r="K1127" s="8" t="n">
        <v>35.82</v>
      </c>
      <c r="L1127" s="8" t="n">
        <v>0</v>
      </c>
      <c r="M1127" s="9">
        <f>ROUND(SUM(I1127:L1127),2)</f>
        <v/>
      </c>
      <c r="N1127" s="10">
        <f>ROUND(I1127*'Irish Basis'!$C$6*'Irish Basis'!$C$5,2)</f>
        <v/>
      </c>
      <c r="O1127" s="10">
        <f>ROUND(J1127*'Irish Basis'!$C$7*'Irish Basis'!$C$5,2)</f>
        <v/>
      </c>
      <c r="P1127" s="10">
        <f>ROUND(K1127*'Irish Basis'!$C$8*'Irish Basis'!$C$5,2)</f>
        <v/>
      </c>
      <c r="Q1127" s="10">
        <f>ROUND(L1127*'Irish Basis'!$C$12*'Irish Basis'!$C$5,2)</f>
        <v/>
      </c>
      <c r="R1127" s="11">
        <f>ROUND(SUM(N1127:Q1127),2)</f>
        <v/>
      </c>
      <c r="S1127" s="5" t="inlineStr">
        <is>
          <t>Stated build-up</t>
        </is>
      </c>
      <c r="T1127" s="12" t="inlineStr">
        <is>
          <t>High</t>
        </is>
      </c>
      <c r="U1127" s="8" t="n">
        <v>237.72</v>
      </c>
      <c r="V1127" s="13">
        <f>IF(U1127="","",ROUND(M1127-U1127,2))</f>
        <v/>
      </c>
      <c r="W1127" s="5" t="n"/>
      <c r="X1127" s="5" t="inlineStr">
        <is>
          <t>Labour + plant + material as published; reconciles to the published rate.</t>
        </is>
      </c>
    </row>
    <row r="1128" ht="13" customHeight="1">
      <c r="A1128" s="4" t="n">
        <v>2009</v>
      </c>
      <c r="B1128" s="5" t="inlineStr">
        <is>
          <t>IMG_0093</t>
        </is>
      </c>
      <c r="C1128" s="5" t="inlineStr">
        <is>
          <t>CLASS I: PIPEWORK - PIPES</t>
        </is>
      </c>
      <c r="D1128" s="5" t="inlineStr">
        <is>
          <t>01 CLAY PIPES</t>
        </is>
      </c>
      <c r="E1128" s="5" t="inlineStr">
        <is>
          <t>150 mm pipes; in trenches, depth</t>
        </is>
      </c>
      <c r="F1128" s="5" t="inlineStr">
        <is>
          <t>5.00-5.50 m deep</t>
        </is>
      </c>
      <c r="G1128" s="6" t="inlineStr">
        <is>
          <t>m</t>
        </is>
      </c>
      <c r="H1128" s="7" t="n">
        <v>0.96</v>
      </c>
      <c r="I1128" s="8" t="n">
        <v>132.65</v>
      </c>
      <c r="J1128" s="8" t="n">
        <v>125.84</v>
      </c>
      <c r="K1128" s="8" t="n">
        <v>35.82</v>
      </c>
      <c r="L1128" s="8" t="n">
        <v>0</v>
      </c>
      <c r="M1128" s="9">
        <f>ROUND(SUM(I1128:L1128),2)</f>
        <v/>
      </c>
      <c r="N1128" s="10">
        <f>ROUND(I1128*'Irish Basis'!$C$6*'Irish Basis'!$C$5,2)</f>
        <v/>
      </c>
      <c r="O1128" s="10">
        <f>ROUND(J1128*'Irish Basis'!$C$7*'Irish Basis'!$C$5,2)</f>
        <v/>
      </c>
      <c r="P1128" s="10">
        <f>ROUND(K1128*'Irish Basis'!$C$8*'Irish Basis'!$C$5,2)</f>
        <v/>
      </c>
      <c r="Q1128" s="10">
        <f>ROUND(L1128*'Irish Basis'!$C$12*'Irish Basis'!$C$5,2)</f>
        <v/>
      </c>
      <c r="R1128" s="11">
        <f>ROUND(SUM(N1128:Q1128),2)</f>
        <v/>
      </c>
      <c r="S1128" s="5" t="inlineStr">
        <is>
          <t>Stated build-up</t>
        </is>
      </c>
      <c r="T1128" s="12" t="inlineStr">
        <is>
          <t>High</t>
        </is>
      </c>
      <c r="U1128" s="8" t="n">
        <v>294.31</v>
      </c>
      <c r="V1128" s="13">
        <f>IF(U1128="","",ROUND(M1128-U1128,2))</f>
        <v/>
      </c>
      <c r="W1128" s="5" t="n"/>
      <c r="X1128" s="5" t="inlineStr">
        <is>
          <t>Labour + plant + material as published; reconciles to the published rate.</t>
        </is>
      </c>
    </row>
    <row r="1129" ht="13" customHeight="1">
      <c r="A1129" s="4" t="n">
        <v>2010</v>
      </c>
      <c r="B1129" s="5" t="inlineStr">
        <is>
          <t>IMG_0093</t>
        </is>
      </c>
      <c r="C1129" s="5" t="inlineStr">
        <is>
          <t>CLASS I: PIPEWORK - PIPES</t>
        </is>
      </c>
      <c r="D1129" s="5" t="inlineStr">
        <is>
          <t>01 CLAY PIPES</t>
        </is>
      </c>
      <c r="E1129" s="5" t="inlineStr">
        <is>
          <t>150 mm pipes; in trenches, depth</t>
        </is>
      </c>
      <c r="F1129" s="5" t="inlineStr">
        <is>
          <t>extra for bend</t>
        </is>
      </c>
      <c r="G1129" s="6" t="inlineStr">
        <is>
          <t>nr</t>
        </is>
      </c>
      <c r="H1129" s="7" t="n">
        <v>0.15</v>
      </c>
      <c r="I1129" s="8" t="n">
        <v>20.73</v>
      </c>
      <c r="J1129" s="8" t="n">
        <v>0</v>
      </c>
      <c r="K1129" s="8" t="n">
        <v>121.11</v>
      </c>
      <c r="L1129" s="8" t="n">
        <v>0</v>
      </c>
      <c r="M1129" s="9">
        <f>ROUND(SUM(I1129:L1129),2)</f>
        <v/>
      </c>
      <c r="N1129" s="10">
        <f>ROUND(I1129*'Irish Basis'!$C$6*'Irish Basis'!$C$5,2)</f>
        <v/>
      </c>
      <c r="O1129" s="10">
        <f>ROUND(J1129*'Irish Basis'!$C$7*'Irish Basis'!$C$5,2)</f>
        <v/>
      </c>
      <c r="P1129" s="10">
        <f>ROUND(K1129*'Irish Basis'!$C$8*'Irish Basis'!$C$5,2)</f>
        <v/>
      </c>
      <c r="Q1129" s="10">
        <f>ROUND(L1129*'Irish Basis'!$C$12*'Irish Basis'!$C$5,2)</f>
        <v/>
      </c>
      <c r="R1129" s="11">
        <f>ROUND(SUM(N1129:Q1129),2)</f>
        <v/>
      </c>
      <c r="S1129" s="5" t="inlineStr">
        <is>
          <t>Stated build-up</t>
        </is>
      </c>
      <c r="T1129" s="12" t="inlineStr">
        <is>
          <t>High</t>
        </is>
      </c>
      <c r="U1129" s="8" t="n">
        <v>141.83</v>
      </c>
      <c r="V1129" s="13">
        <f>IF(U1129="","",ROUND(M1129-U1129,2))</f>
        <v/>
      </c>
      <c r="W1129" s="5" t="n"/>
      <c r="X1129" s="5" t="inlineStr">
        <is>
          <t>Labour + plant + material as published; reconciles to the published rate.</t>
        </is>
      </c>
    </row>
    <row r="1130" ht="13" customHeight="1">
      <c r="A1130" s="4" t="n">
        <v>2011</v>
      </c>
      <c r="B1130" s="5" t="inlineStr">
        <is>
          <t>IMG_0093</t>
        </is>
      </c>
      <c r="C1130" s="5" t="inlineStr">
        <is>
          <t>CLASS I: PIPEWORK - PIPES</t>
        </is>
      </c>
      <c r="D1130" s="5" t="inlineStr">
        <is>
          <t>01 CLAY PIPES</t>
        </is>
      </c>
      <c r="E1130" s="5" t="inlineStr">
        <is>
          <t>150 mm pipes; in trenches, depth</t>
        </is>
      </c>
      <c r="F1130" s="5" t="inlineStr">
        <is>
          <t>extra for rest bend</t>
        </is>
      </c>
      <c r="G1130" s="6" t="inlineStr">
        <is>
          <t>nr</t>
        </is>
      </c>
      <c r="H1130" s="7" t="n">
        <v>0.09</v>
      </c>
      <c r="I1130" s="8" t="n">
        <v>12.44</v>
      </c>
      <c r="J1130" s="8" t="n">
        <v>0</v>
      </c>
      <c r="K1130" s="8" t="n">
        <v>149.9</v>
      </c>
      <c r="L1130" s="8" t="n">
        <v>0</v>
      </c>
      <c r="M1130" s="9">
        <f>ROUND(SUM(I1130:L1130),2)</f>
        <v/>
      </c>
      <c r="N1130" s="10">
        <f>ROUND(I1130*'Irish Basis'!$C$6*'Irish Basis'!$C$5,2)</f>
        <v/>
      </c>
      <c r="O1130" s="10">
        <f>ROUND(J1130*'Irish Basis'!$C$7*'Irish Basis'!$C$5,2)</f>
        <v/>
      </c>
      <c r="P1130" s="10">
        <f>ROUND(K1130*'Irish Basis'!$C$8*'Irish Basis'!$C$5,2)</f>
        <v/>
      </c>
      <c r="Q1130" s="10">
        <f>ROUND(L1130*'Irish Basis'!$C$12*'Irish Basis'!$C$5,2)</f>
        <v/>
      </c>
      <c r="R1130" s="11">
        <f>ROUND(SUM(N1130:Q1130),2)</f>
        <v/>
      </c>
      <c r="S1130" s="5" t="inlineStr">
        <is>
          <t>Stated build-up</t>
        </is>
      </c>
      <c r="T1130" s="12" t="inlineStr">
        <is>
          <t>High</t>
        </is>
      </c>
      <c r="U1130" s="8" t="n">
        <v>162.34</v>
      </c>
      <c r="V1130" s="13">
        <f>IF(U1130="","",ROUND(M1130-U1130,2))</f>
        <v/>
      </c>
      <c r="W1130" s="5" t="n"/>
      <c r="X1130" s="5" t="inlineStr">
        <is>
          <t>Labour + plant + material as published; reconciles to the published rate.</t>
        </is>
      </c>
    </row>
    <row r="1131" ht="13" customHeight="1">
      <c r="A1131" s="4" t="n">
        <v>2012</v>
      </c>
      <c r="B1131" s="5" t="inlineStr">
        <is>
          <t>IMG_0093</t>
        </is>
      </c>
      <c r="C1131" s="5" t="inlineStr">
        <is>
          <t>CLASS I: PIPEWORK - PIPES</t>
        </is>
      </c>
      <c r="D1131" s="5" t="inlineStr">
        <is>
          <t>01 CLAY PIPES</t>
        </is>
      </c>
      <c r="E1131" s="5" t="inlineStr">
        <is>
          <t>150 mm pipes; in trenches, depth</t>
        </is>
      </c>
      <c r="F1131" s="5" t="inlineStr">
        <is>
          <t>extra for single junction; equal</t>
        </is>
      </c>
      <c r="G1131" s="6" t="inlineStr">
        <is>
          <t>nr</t>
        </is>
      </c>
      <c r="H1131" s="7" t="n">
        <v>0.11</v>
      </c>
      <c r="I1131" s="8" t="n">
        <v>15.2</v>
      </c>
      <c r="J1131" s="8" t="n">
        <v>0</v>
      </c>
      <c r="K1131" s="8" t="n">
        <v>193.74</v>
      </c>
      <c r="L1131" s="8" t="n">
        <v>0</v>
      </c>
      <c r="M1131" s="9">
        <f>ROUND(SUM(I1131:L1131),2)</f>
        <v/>
      </c>
      <c r="N1131" s="10">
        <f>ROUND(I1131*'Irish Basis'!$C$6*'Irish Basis'!$C$5,2)</f>
        <v/>
      </c>
      <c r="O1131" s="10">
        <f>ROUND(J1131*'Irish Basis'!$C$7*'Irish Basis'!$C$5,2)</f>
        <v/>
      </c>
      <c r="P1131" s="10">
        <f>ROUND(K1131*'Irish Basis'!$C$8*'Irish Basis'!$C$5,2)</f>
        <v/>
      </c>
      <c r="Q1131" s="10">
        <f>ROUND(L1131*'Irish Basis'!$C$12*'Irish Basis'!$C$5,2)</f>
        <v/>
      </c>
      <c r="R1131" s="11">
        <f>ROUND(SUM(N1131:Q1131),2)</f>
        <v/>
      </c>
      <c r="S1131" s="5" t="inlineStr">
        <is>
          <t>Stated build-up</t>
        </is>
      </c>
      <c r="T1131" s="12" t="inlineStr">
        <is>
          <t>High</t>
        </is>
      </c>
      <c r="U1131" s="8" t="n">
        <v>208.94</v>
      </c>
      <c r="V1131" s="13">
        <f>IF(U1131="","",ROUND(M1131-U1131,2))</f>
        <v/>
      </c>
      <c r="W1131" s="5" t="n"/>
      <c r="X1131" s="5" t="inlineStr">
        <is>
          <t>Labour + plant + material as published; reconciles to the published rate.</t>
        </is>
      </c>
    </row>
    <row r="1132" ht="13" customHeight="1">
      <c r="A1132" s="4" t="n">
        <v>2013</v>
      </c>
      <c r="B1132" s="5" t="inlineStr">
        <is>
          <t>IMG_0093</t>
        </is>
      </c>
      <c r="C1132" s="5" t="inlineStr">
        <is>
          <t>CLASS I: PIPEWORK - PIPES</t>
        </is>
      </c>
      <c r="D1132" s="5" t="inlineStr">
        <is>
          <t>01 CLAY PIPES</t>
        </is>
      </c>
      <c r="E1132" s="5" t="inlineStr">
        <is>
          <t>150 mm pipes; in trenches, depth</t>
        </is>
      </c>
      <c r="F1132" s="5" t="inlineStr">
        <is>
          <t>extra for taper reducer</t>
        </is>
      </c>
      <c r="G1132" s="6" t="inlineStr">
        <is>
          <t>nr</t>
        </is>
      </c>
      <c r="H1132" s="7" t="n">
        <v>0.07000000000000001</v>
      </c>
      <c r="I1132" s="8" t="n">
        <v>9.67</v>
      </c>
      <c r="J1132" s="8" t="n">
        <v>0</v>
      </c>
      <c r="K1132" s="8" t="n">
        <v>180.99</v>
      </c>
      <c r="L1132" s="8" t="n">
        <v>0</v>
      </c>
      <c r="M1132" s="9">
        <f>ROUND(SUM(I1132:L1132),2)</f>
        <v/>
      </c>
      <c r="N1132" s="10">
        <f>ROUND(I1132*'Irish Basis'!$C$6*'Irish Basis'!$C$5,2)</f>
        <v/>
      </c>
      <c r="O1132" s="10">
        <f>ROUND(J1132*'Irish Basis'!$C$7*'Irish Basis'!$C$5,2)</f>
        <v/>
      </c>
      <c r="P1132" s="10">
        <f>ROUND(K1132*'Irish Basis'!$C$8*'Irish Basis'!$C$5,2)</f>
        <v/>
      </c>
      <c r="Q1132" s="10">
        <f>ROUND(L1132*'Irish Basis'!$C$12*'Irish Basis'!$C$5,2)</f>
        <v/>
      </c>
      <c r="R1132" s="11">
        <f>ROUND(SUM(N1132:Q1132),2)</f>
        <v/>
      </c>
      <c r="S1132" s="5" t="inlineStr">
        <is>
          <t>Stated build-up</t>
        </is>
      </c>
      <c r="T1132" s="12" t="inlineStr">
        <is>
          <t>High</t>
        </is>
      </c>
      <c r="U1132" s="8" t="n">
        <v>190.66</v>
      </c>
      <c r="V1132" s="13">
        <f>IF(U1132="","",ROUND(M1132-U1132,2))</f>
        <v/>
      </c>
      <c r="W1132" s="5" t="n"/>
      <c r="X1132" s="5" t="inlineStr">
        <is>
          <t>Labour + plant + material as published; reconciles to the published rate.</t>
        </is>
      </c>
    </row>
    <row r="1133" ht="13" customHeight="1">
      <c r="A1133" s="4" t="n">
        <v>2014</v>
      </c>
      <c r="B1133" s="5" t="inlineStr">
        <is>
          <t>IMG_0093</t>
        </is>
      </c>
      <c r="C1133" s="5" t="inlineStr">
        <is>
          <t>CLASS I: PIPEWORK - PIPES</t>
        </is>
      </c>
      <c r="D1133" s="5" t="inlineStr">
        <is>
          <t>01 CLAY PIPES</t>
        </is>
      </c>
      <c r="E1133" s="5" t="inlineStr">
        <is>
          <t>150 mm pipes; in trenches, depth</t>
        </is>
      </c>
      <c r="F1133" s="5" t="inlineStr">
        <is>
          <t>extra for saddle; oblique</t>
        </is>
      </c>
      <c r="G1133" s="6" t="inlineStr">
        <is>
          <t>nr</t>
        </is>
      </c>
      <c r="H1133" s="7" t="n">
        <v>0.29</v>
      </c>
      <c r="I1133" s="8" t="n">
        <v>40.07</v>
      </c>
      <c r="J1133" s="8" t="n">
        <v>0</v>
      </c>
      <c r="K1133" s="8" t="n">
        <v>117.52</v>
      </c>
      <c r="L1133" s="8" t="n">
        <v>0</v>
      </c>
      <c r="M1133" s="9">
        <f>ROUND(SUM(I1133:L1133),2)</f>
        <v/>
      </c>
      <c r="N1133" s="10">
        <f>ROUND(I1133*'Irish Basis'!$C$6*'Irish Basis'!$C$5,2)</f>
        <v/>
      </c>
      <c r="O1133" s="10">
        <f>ROUND(J1133*'Irish Basis'!$C$7*'Irish Basis'!$C$5,2)</f>
        <v/>
      </c>
      <c r="P1133" s="10">
        <f>ROUND(K1133*'Irish Basis'!$C$8*'Irish Basis'!$C$5,2)</f>
        <v/>
      </c>
      <c r="Q1133" s="10">
        <f>ROUND(L1133*'Irish Basis'!$C$12*'Irish Basis'!$C$5,2)</f>
        <v/>
      </c>
      <c r="R1133" s="11">
        <f>ROUND(SUM(N1133:Q1133),2)</f>
        <v/>
      </c>
      <c r="S1133" s="5" t="inlineStr">
        <is>
          <t>Stated build-up</t>
        </is>
      </c>
      <c r="T1133" s="12" t="inlineStr">
        <is>
          <t>High</t>
        </is>
      </c>
      <c r="U1133" s="8" t="n">
        <v>157.59</v>
      </c>
      <c r="V1133" s="13">
        <f>IF(U1133="","",ROUND(M1133-U1133,2))</f>
        <v/>
      </c>
      <c r="W1133" s="5" t="n"/>
      <c r="X1133" s="5" t="inlineStr">
        <is>
          <t>Labour + plant + material as published; reconciles to the published rate.</t>
        </is>
      </c>
    </row>
    <row r="1134" ht="13" customHeight="1">
      <c r="A1134" s="4" t="n">
        <v>2016</v>
      </c>
      <c r="B1134" s="5" t="inlineStr">
        <is>
          <t>IMG_0094</t>
        </is>
      </c>
      <c r="C1134" s="5" t="inlineStr">
        <is>
          <t>CLASS I: PIPEWORK - PIPES</t>
        </is>
      </c>
      <c r="D1134" s="5" t="inlineStr">
        <is>
          <t>01 CLAY PIPES</t>
        </is>
      </c>
      <c r="E1134" s="5" t="inlineStr">
        <is>
          <t>Vitrified clay pipes to BS EN295, plain ends with push-fit polypropylene flexible couplings; 225 mm pipes; in trenches, depth</t>
        </is>
      </c>
      <c r="F1134" s="5" t="inlineStr">
        <is>
          <t>not in trenches</t>
        </is>
      </c>
      <c r="G1134" s="6" t="inlineStr">
        <is>
          <t>m</t>
        </is>
      </c>
      <c r="H1134" s="7" t="n">
        <v>0.83</v>
      </c>
      <c r="I1134" s="8" t="n">
        <v>71.64</v>
      </c>
      <c r="J1134" s="8" t="n">
        <v>0.89</v>
      </c>
      <c r="K1134" s="8" t="n">
        <v>63.93</v>
      </c>
      <c r="L1134" s="8" t="n">
        <v>0</v>
      </c>
      <c r="M1134" s="9">
        <f>ROUND(SUM(I1134:L1134),2)</f>
        <v/>
      </c>
      <c r="N1134" s="10">
        <f>ROUND(I1134*'Irish Basis'!$C$6*'Irish Basis'!$C$5,2)</f>
        <v/>
      </c>
      <c r="O1134" s="10">
        <f>ROUND(J1134*'Irish Basis'!$C$7*'Irish Basis'!$C$5,2)</f>
        <v/>
      </c>
      <c r="P1134" s="10">
        <f>ROUND(K1134*'Irish Basis'!$C$8*'Irish Basis'!$C$5,2)</f>
        <v/>
      </c>
      <c r="Q1134" s="10">
        <f>ROUND(L1134*'Irish Basis'!$C$12*'Irish Basis'!$C$5,2)</f>
        <v/>
      </c>
      <c r="R1134" s="11">
        <f>ROUND(SUM(N1134:Q1134),2)</f>
        <v/>
      </c>
      <c r="S1134" s="5" t="inlineStr">
        <is>
          <t>Stated build-up</t>
        </is>
      </c>
      <c r="T1134" s="12" t="inlineStr">
        <is>
          <t>High</t>
        </is>
      </c>
      <c r="U1134" s="8" t="n">
        <v>136.46</v>
      </c>
      <c r="V1134" s="13">
        <f>IF(U1134="","",ROUND(M1134-U1134,2))</f>
        <v/>
      </c>
      <c r="W1134" s="5" t="n"/>
      <c r="X1134" s="5" t="inlineStr">
        <is>
          <t>Labour + plant + material as published; reconciles to the published rate.</t>
        </is>
      </c>
    </row>
    <row r="1135" ht="13" customHeight="1">
      <c r="A1135" s="4" t="n">
        <v>2017</v>
      </c>
      <c r="B1135" s="5" t="inlineStr">
        <is>
          <t>IMG_0094</t>
        </is>
      </c>
      <c r="C1135" s="5" t="inlineStr">
        <is>
          <t>CLASS I: PIPEWORK - PIPES</t>
        </is>
      </c>
      <c r="D1135" s="5" t="inlineStr">
        <is>
          <t>01 CLAY PIPES</t>
        </is>
      </c>
      <c r="E1135" s="5" t="inlineStr">
        <is>
          <t>Vitrified clay pipes to BS EN295, plain ends with push-fit polypropylene flexible couplings; 225 mm pipes; in trenches, depth</t>
        </is>
      </c>
      <c r="F1135" s="5" t="inlineStr">
        <is>
          <t>ne 1.50 m deep</t>
        </is>
      </c>
      <c r="G1135" s="6" t="inlineStr">
        <is>
          <t>m</t>
        </is>
      </c>
      <c r="H1135" s="7" t="n">
        <v>0.68</v>
      </c>
      <c r="I1135" s="8" t="n">
        <v>93.95999999999999</v>
      </c>
      <c r="J1135" s="8" t="n">
        <v>23.52</v>
      </c>
      <c r="K1135" s="8" t="n">
        <v>63.93</v>
      </c>
      <c r="L1135" s="8" t="n">
        <v>0</v>
      </c>
      <c r="M1135" s="9">
        <f>ROUND(SUM(I1135:L1135),2)</f>
        <v/>
      </c>
      <c r="N1135" s="10">
        <f>ROUND(I1135*'Irish Basis'!$C$6*'Irish Basis'!$C$5,2)</f>
        <v/>
      </c>
      <c r="O1135" s="10">
        <f>ROUND(J1135*'Irish Basis'!$C$7*'Irish Basis'!$C$5,2)</f>
        <v/>
      </c>
      <c r="P1135" s="10">
        <f>ROUND(K1135*'Irish Basis'!$C$8*'Irish Basis'!$C$5,2)</f>
        <v/>
      </c>
      <c r="Q1135" s="10">
        <f>ROUND(L1135*'Irish Basis'!$C$12*'Irish Basis'!$C$5,2)</f>
        <v/>
      </c>
      <c r="R1135" s="11">
        <f>ROUND(SUM(N1135:Q1135),2)</f>
        <v/>
      </c>
      <c r="S1135" s="5" t="inlineStr">
        <is>
          <t>Stated build-up</t>
        </is>
      </c>
      <c r="T1135" s="12" t="inlineStr">
        <is>
          <t>High</t>
        </is>
      </c>
      <c r="U1135" s="8" t="n">
        <v>181.41</v>
      </c>
      <c r="V1135" s="13">
        <f>IF(U1135="","",ROUND(M1135-U1135,2))</f>
        <v/>
      </c>
      <c r="W1135" s="5" t="n"/>
      <c r="X1135" s="5" t="inlineStr">
        <is>
          <t>Labour + plant + material as published; reconciles to the published rate.</t>
        </is>
      </c>
    </row>
    <row r="1136" ht="13" customHeight="1">
      <c r="A1136" s="4" t="n">
        <v>2018</v>
      </c>
      <c r="B1136" s="5" t="inlineStr">
        <is>
          <t>IMG_0094</t>
        </is>
      </c>
      <c r="C1136" s="5" t="inlineStr">
        <is>
          <t>CLASS I: PIPEWORK - PIPES</t>
        </is>
      </c>
      <c r="D1136" s="5" t="inlineStr">
        <is>
          <t>01 CLAY PIPES</t>
        </is>
      </c>
      <c r="E1136" s="5" t="inlineStr">
        <is>
          <t>Vitrified clay pipes to BS EN295, plain ends with push-fit polypropylene flexible couplings; 225 mm pipes; in trenches, depth</t>
        </is>
      </c>
      <c r="F1136" s="5" t="inlineStr">
        <is>
          <t>1.50-2.00 m deep</t>
        </is>
      </c>
      <c r="G1136" s="6" t="inlineStr">
        <is>
          <t>m</t>
        </is>
      </c>
      <c r="H1136" s="7" t="n">
        <v>0.7</v>
      </c>
      <c r="I1136" s="8" t="n">
        <v>96.73</v>
      </c>
      <c r="J1136" s="8" t="n">
        <v>28.79</v>
      </c>
      <c r="K1136" s="8" t="n">
        <v>63.93</v>
      </c>
      <c r="L1136" s="8" t="n">
        <v>0</v>
      </c>
      <c r="M1136" s="9">
        <f>ROUND(SUM(I1136:L1136),2)</f>
        <v/>
      </c>
      <c r="N1136" s="10">
        <f>ROUND(I1136*'Irish Basis'!$C$6*'Irish Basis'!$C$5,2)</f>
        <v/>
      </c>
      <c r="O1136" s="10">
        <f>ROUND(J1136*'Irish Basis'!$C$7*'Irish Basis'!$C$5,2)</f>
        <v/>
      </c>
      <c r="P1136" s="10">
        <f>ROUND(K1136*'Irish Basis'!$C$8*'Irish Basis'!$C$5,2)</f>
        <v/>
      </c>
      <c r="Q1136" s="10">
        <f>ROUND(L1136*'Irish Basis'!$C$12*'Irish Basis'!$C$5,2)</f>
        <v/>
      </c>
      <c r="R1136" s="11">
        <f>ROUND(SUM(N1136:Q1136),2)</f>
        <v/>
      </c>
      <c r="S1136" s="5" t="inlineStr">
        <is>
          <t>Stated build-up</t>
        </is>
      </c>
      <c r="T1136" s="12" t="inlineStr">
        <is>
          <t>High</t>
        </is>
      </c>
      <c r="U1136" s="8" t="n">
        <v>189.45</v>
      </c>
      <c r="V1136" s="13">
        <f>IF(U1136="","",ROUND(M1136-U1136,2))</f>
        <v/>
      </c>
      <c r="W1136" s="5" t="n"/>
      <c r="X1136" s="5" t="inlineStr">
        <is>
          <t>Labour + plant + material as published; reconciles to the published rate.</t>
        </is>
      </c>
    </row>
    <row r="1137" ht="13" customHeight="1">
      <c r="A1137" s="4" t="n">
        <v>2019</v>
      </c>
      <c r="B1137" s="5" t="inlineStr">
        <is>
          <t>IMG_0094</t>
        </is>
      </c>
      <c r="C1137" s="5" t="inlineStr">
        <is>
          <t>CLASS I: PIPEWORK - PIPES</t>
        </is>
      </c>
      <c r="D1137" s="5" t="inlineStr">
        <is>
          <t>01 CLAY PIPES</t>
        </is>
      </c>
      <c r="E1137" s="5" t="inlineStr">
        <is>
          <t>Vitrified clay pipes to BS EN295, plain ends with push-fit polypropylene flexible couplings; 225 mm pipes; in trenches, depth</t>
        </is>
      </c>
      <c r="F1137" s="5" t="inlineStr">
        <is>
          <t>2.00-2.50 m deep</t>
        </is>
      </c>
      <c r="G1137" s="6" t="inlineStr">
        <is>
          <t>m</t>
        </is>
      </c>
      <c r="H1137" s="7" t="n">
        <v>0.75</v>
      </c>
      <c r="I1137" s="8" t="n">
        <v>103.64</v>
      </c>
      <c r="J1137" s="8" t="n">
        <v>34.02</v>
      </c>
      <c r="K1137" s="8" t="n">
        <v>63.93</v>
      </c>
      <c r="L1137" s="8" t="n">
        <v>0</v>
      </c>
      <c r="M1137" s="9">
        <f>ROUND(SUM(I1137:L1137),2)</f>
        <v/>
      </c>
      <c r="N1137" s="10">
        <f>ROUND(I1137*'Irish Basis'!$C$6*'Irish Basis'!$C$5,2)</f>
        <v/>
      </c>
      <c r="O1137" s="10">
        <f>ROUND(J1137*'Irish Basis'!$C$7*'Irish Basis'!$C$5,2)</f>
        <v/>
      </c>
      <c r="P1137" s="10">
        <f>ROUND(K1137*'Irish Basis'!$C$8*'Irish Basis'!$C$5,2)</f>
        <v/>
      </c>
      <c r="Q1137" s="10">
        <f>ROUND(L1137*'Irish Basis'!$C$12*'Irish Basis'!$C$5,2)</f>
        <v/>
      </c>
      <c r="R1137" s="11">
        <f>ROUND(SUM(N1137:Q1137),2)</f>
        <v/>
      </c>
      <c r="S1137" s="5" t="inlineStr">
        <is>
          <t>Stated build-up</t>
        </is>
      </c>
      <c r="T1137" s="12" t="inlineStr">
        <is>
          <t>High</t>
        </is>
      </c>
      <c r="U1137" s="8" t="n">
        <v>201.59</v>
      </c>
      <c r="V1137" s="13">
        <f>IF(U1137="","",ROUND(M1137-U1137,2))</f>
        <v/>
      </c>
      <c r="W1137" s="5" t="n"/>
      <c r="X1137" s="5" t="inlineStr">
        <is>
          <t>Labour + plant + material as published; reconciles to the published rate.</t>
        </is>
      </c>
    </row>
    <row r="1138" ht="13" customHeight="1">
      <c r="A1138" s="4" t="n">
        <v>2020</v>
      </c>
      <c r="B1138" s="5" t="inlineStr">
        <is>
          <t>IMG_0094</t>
        </is>
      </c>
      <c r="C1138" s="5" t="inlineStr">
        <is>
          <t>CLASS I: PIPEWORK - PIPES</t>
        </is>
      </c>
      <c r="D1138" s="5" t="inlineStr">
        <is>
          <t>01 CLAY PIPES</t>
        </is>
      </c>
      <c r="E1138" s="5" t="inlineStr">
        <is>
          <t>Vitrified clay pipes to BS EN295, plain ends with push-fit polypropylene flexible couplings; 225 mm pipes; in trenches, depth</t>
        </is>
      </c>
      <c r="F1138" s="5" t="inlineStr">
        <is>
          <t>2.50-3.00 m deep</t>
        </is>
      </c>
      <c r="G1138" s="6" t="inlineStr">
        <is>
          <t>m</t>
        </is>
      </c>
      <c r="H1138" s="7" t="n">
        <v>0.8</v>
      </c>
      <c r="I1138" s="8" t="n">
        <v>110.54</v>
      </c>
      <c r="J1138" s="8" t="n">
        <v>39.21</v>
      </c>
      <c r="K1138" s="8" t="n">
        <v>63.93</v>
      </c>
      <c r="L1138" s="8" t="n">
        <v>0</v>
      </c>
      <c r="M1138" s="9">
        <f>ROUND(SUM(I1138:L1138),2)</f>
        <v/>
      </c>
      <c r="N1138" s="10">
        <f>ROUND(I1138*'Irish Basis'!$C$6*'Irish Basis'!$C$5,2)</f>
        <v/>
      </c>
      <c r="O1138" s="10">
        <f>ROUND(J1138*'Irish Basis'!$C$7*'Irish Basis'!$C$5,2)</f>
        <v/>
      </c>
      <c r="P1138" s="10">
        <f>ROUND(K1138*'Irish Basis'!$C$8*'Irish Basis'!$C$5,2)</f>
        <v/>
      </c>
      <c r="Q1138" s="10">
        <f>ROUND(L1138*'Irish Basis'!$C$12*'Irish Basis'!$C$5,2)</f>
        <v/>
      </c>
      <c r="R1138" s="11">
        <f>ROUND(SUM(N1138:Q1138),2)</f>
        <v/>
      </c>
      <c r="S1138" s="5" t="inlineStr">
        <is>
          <t>Stated build-up</t>
        </is>
      </c>
      <c r="T1138" s="12" t="inlineStr">
        <is>
          <t>High</t>
        </is>
      </c>
      <c r="U1138" s="8" t="n">
        <v>213.69</v>
      </c>
      <c r="V1138" s="13">
        <f>IF(U1138="","",ROUND(M1138-U1138,2))</f>
        <v/>
      </c>
      <c r="W1138" s="5" t="n"/>
      <c r="X1138" s="5" t="inlineStr">
        <is>
          <t>Labour + plant + material as published; reconciles to the published rate.</t>
        </is>
      </c>
    </row>
    <row r="1139" ht="13" customHeight="1">
      <c r="A1139" s="4" t="n">
        <v>2021</v>
      </c>
      <c r="B1139" s="5" t="inlineStr">
        <is>
          <t>IMG_0094</t>
        </is>
      </c>
      <c r="C1139" s="5" t="inlineStr">
        <is>
          <t>CLASS I: PIPEWORK - PIPES</t>
        </is>
      </c>
      <c r="D1139" s="5" t="inlineStr">
        <is>
          <t>01 CLAY PIPES</t>
        </is>
      </c>
      <c r="E1139" s="5" t="inlineStr">
        <is>
          <t>Vitrified clay pipes to BS EN295, plain ends with push-fit polypropylene flexible couplings; 225 mm pipes; in trenches, depth</t>
        </is>
      </c>
      <c r="F1139" s="5" t="inlineStr">
        <is>
          <t>3.00-3.50 m deep</t>
        </is>
      </c>
      <c r="G1139" s="6" t="inlineStr">
        <is>
          <t>m</t>
        </is>
      </c>
      <c r="H1139" s="7" t="n">
        <v>0.9</v>
      </c>
      <c r="I1139" s="8" t="n">
        <v>124.36</v>
      </c>
      <c r="J1139" s="8" t="n">
        <v>53.67</v>
      </c>
      <c r="K1139" s="8" t="n">
        <v>63.93</v>
      </c>
      <c r="L1139" s="8" t="n">
        <v>0</v>
      </c>
      <c r="M1139" s="9">
        <f>ROUND(SUM(I1139:L1139),2)</f>
        <v/>
      </c>
      <c r="N1139" s="10">
        <f>ROUND(I1139*'Irish Basis'!$C$6*'Irish Basis'!$C$5,2)</f>
        <v/>
      </c>
      <c r="O1139" s="10">
        <f>ROUND(J1139*'Irish Basis'!$C$7*'Irish Basis'!$C$5,2)</f>
        <v/>
      </c>
      <c r="P1139" s="10">
        <f>ROUND(K1139*'Irish Basis'!$C$8*'Irish Basis'!$C$5,2)</f>
        <v/>
      </c>
      <c r="Q1139" s="10">
        <f>ROUND(L1139*'Irish Basis'!$C$12*'Irish Basis'!$C$5,2)</f>
        <v/>
      </c>
      <c r="R1139" s="11">
        <f>ROUND(SUM(N1139:Q1139),2)</f>
        <v/>
      </c>
      <c r="S1139" s="5" t="inlineStr">
        <is>
          <t>Stated build-up</t>
        </is>
      </c>
      <c r="T1139" s="12" t="inlineStr">
        <is>
          <t>High</t>
        </is>
      </c>
      <c r="U1139" s="8" t="n">
        <v>241.96</v>
      </c>
      <c r="V1139" s="13">
        <f>IF(U1139="","",ROUND(M1139-U1139,2))</f>
        <v/>
      </c>
      <c r="W1139" s="5" t="n"/>
      <c r="X1139" s="5" t="inlineStr">
        <is>
          <t>Labour + plant + material as published; reconciles to the published rate.</t>
        </is>
      </c>
    </row>
    <row r="1140" ht="13" customHeight="1">
      <c r="A1140" s="4" t="n">
        <v>2022</v>
      </c>
      <c r="B1140" s="5" t="inlineStr">
        <is>
          <t>IMG_0094</t>
        </is>
      </c>
      <c r="C1140" s="5" t="inlineStr">
        <is>
          <t>CLASS I: PIPEWORK - PIPES</t>
        </is>
      </c>
      <c r="D1140" s="5" t="inlineStr">
        <is>
          <t>01 CLAY PIPES</t>
        </is>
      </c>
      <c r="E1140" s="5" t="inlineStr">
        <is>
          <t>Vitrified clay pipes to BS EN295, plain ends with push-fit polypropylene flexible couplings; 225 mm pipes; in trenches, depth</t>
        </is>
      </c>
      <c r="F1140" s="5" t="inlineStr">
        <is>
          <t>3.50-4.00 m deep</t>
        </is>
      </c>
      <c r="G1140" s="6" t="inlineStr">
        <is>
          <t>m</t>
        </is>
      </c>
      <c r="H1140" s="7" t="n">
        <v>0.96</v>
      </c>
      <c r="I1140" s="8" t="n">
        <v>132.65</v>
      </c>
      <c r="J1140" s="8" t="n">
        <v>61.53</v>
      </c>
      <c r="K1140" s="8" t="n">
        <v>63.93</v>
      </c>
      <c r="L1140" s="8" t="n">
        <v>0</v>
      </c>
      <c r="M1140" s="9">
        <f>ROUND(SUM(I1140:L1140),2)</f>
        <v/>
      </c>
      <c r="N1140" s="10">
        <f>ROUND(I1140*'Irish Basis'!$C$6*'Irish Basis'!$C$5,2)</f>
        <v/>
      </c>
      <c r="O1140" s="10">
        <f>ROUND(J1140*'Irish Basis'!$C$7*'Irish Basis'!$C$5,2)</f>
        <v/>
      </c>
      <c r="P1140" s="10">
        <f>ROUND(K1140*'Irish Basis'!$C$8*'Irish Basis'!$C$5,2)</f>
        <v/>
      </c>
      <c r="Q1140" s="10">
        <f>ROUND(L1140*'Irish Basis'!$C$12*'Irish Basis'!$C$5,2)</f>
        <v/>
      </c>
      <c r="R1140" s="11">
        <f>ROUND(SUM(N1140:Q1140),2)</f>
        <v/>
      </c>
      <c r="S1140" s="5" t="inlineStr">
        <is>
          <t>Stated build-up</t>
        </is>
      </c>
      <c r="T1140" s="12" t="inlineStr">
        <is>
          <t>High</t>
        </is>
      </c>
      <c r="U1140" s="8" t="n">
        <v>258.11</v>
      </c>
      <c r="V1140" s="13">
        <f>IF(U1140="","",ROUND(M1140-U1140,2))</f>
        <v/>
      </c>
      <c r="W1140" s="5" t="n"/>
      <c r="X1140" s="5" t="inlineStr">
        <is>
          <t>Labour + plant + material as published; reconciles to the published rate.</t>
        </is>
      </c>
    </row>
    <row r="1141" ht="13" customHeight="1">
      <c r="A1141" s="4" t="n">
        <v>2023</v>
      </c>
      <c r="B1141" s="5" t="inlineStr">
        <is>
          <t>IMG_0094</t>
        </is>
      </c>
      <c r="C1141" s="5" t="inlineStr">
        <is>
          <t>CLASS I: PIPEWORK - PIPES</t>
        </is>
      </c>
      <c r="D1141" s="5" t="inlineStr">
        <is>
          <t>01 CLAY PIPES</t>
        </is>
      </c>
      <c r="E1141" s="5" t="inlineStr">
        <is>
          <t>Vitrified clay pipes to BS EN295, plain ends with push-fit polypropylene flexible couplings; 225 mm pipes; in trenches, depth</t>
        </is>
      </c>
      <c r="F1141" s="5" t="inlineStr">
        <is>
          <t>4.00-4.50 m deep</t>
        </is>
      </c>
      <c r="G1141" s="6" t="inlineStr">
        <is>
          <t>m</t>
        </is>
      </c>
      <c r="H1141" s="7" t="n">
        <v>1.15</v>
      </c>
      <c r="I1141" s="8" t="n">
        <v>158.91</v>
      </c>
      <c r="J1141" s="8" t="n">
        <v>85.15000000000001</v>
      </c>
      <c r="K1141" s="8" t="n">
        <v>63.93</v>
      </c>
      <c r="L1141" s="8" t="n">
        <v>0</v>
      </c>
      <c r="M1141" s="9">
        <f>ROUND(SUM(I1141:L1141),2)</f>
        <v/>
      </c>
      <c r="N1141" s="10">
        <f>ROUND(I1141*'Irish Basis'!$C$6*'Irish Basis'!$C$5,2)</f>
        <v/>
      </c>
      <c r="O1141" s="10">
        <f>ROUND(J1141*'Irish Basis'!$C$7*'Irish Basis'!$C$5,2)</f>
        <v/>
      </c>
      <c r="P1141" s="10">
        <f>ROUND(K1141*'Irish Basis'!$C$8*'Irish Basis'!$C$5,2)</f>
        <v/>
      </c>
      <c r="Q1141" s="10">
        <f>ROUND(L1141*'Irish Basis'!$C$12*'Irish Basis'!$C$5,2)</f>
        <v/>
      </c>
      <c r="R1141" s="11">
        <f>ROUND(SUM(N1141:Q1141),2)</f>
        <v/>
      </c>
      <c r="S1141" s="5" t="inlineStr">
        <is>
          <t>Stated build-up</t>
        </is>
      </c>
      <c r="T1141" s="12" t="inlineStr">
        <is>
          <t>High</t>
        </is>
      </c>
      <c r="U1141" s="8" t="n">
        <v>307.99</v>
      </c>
      <c r="V1141" s="13">
        <f>IF(U1141="","",ROUND(M1141-U1141,2))</f>
        <v/>
      </c>
      <c r="W1141" s="5" t="n"/>
      <c r="X1141" s="5" t="inlineStr">
        <is>
          <t>Labour + plant + material as published; reconciles to the published rate.</t>
        </is>
      </c>
    </row>
    <row r="1142" ht="13" customHeight="1">
      <c r="A1142" s="4" t="n">
        <v>2024</v>
      </c>
      <c r="B1142" s="5" t="inlineStr">
        <is>
          <t>IMG_0094</t>
        </is>
      </c>
      <c r="C1142" s="5" t="inlineStr">
        <is>
          <t>CLASS I: PIPEWORK - PIPES</t>
        </is>
      </c>
      <c r="D1142" s="5" t="inlineStr">
        <is>
          <t>01 CLAY PIPES</t>
        </is>
      </c>
      <c r="E1142" s="5" t="inlineStr">
        <is>
          <t>Vitrified clay pipes to BS EN295, plain ends with push-fit polypropylene flexible couplings; 225 mm pipes; in trenches, depth</t>
        </is>
      </c>
      <c r="F1142" s="5" t="inlineStr">
        <is>
          <t>4.50-5.00 m deep</t>
        </is>
      </c>
      <c r="G1142" s="6" t="inlineStr">
        <is>
          <t>m</t>
        </is>
      </c>
      <c r="H1142" s="7" t="n">
        <v>1.3</v>
      </c>
      <c r="I1142" s="8" t="n">
        <v>179.63</v>
      </c>
      <c r="J1142" s="8" t="n">
        <v>104.83</v>
      </c>
      <c r="K1142" s="8" t="n">
        <v>63.93</v>
      </c>
      <c r="L1142" s="8" t="n">
        <v>0</v>
      </c>
      <c r="M1142" s="9">
        <f>ROUND(SUM(I1142:L1142),2)</f>
        <v/>
      </c>
      <c r="N1142" s="10">
        <f>ROUND(I1142*'Irish Basis'!$C$6*'Irish Basis'!$C$5,2)</f>
        <v/>
      </c>
      <c r="O1142" s="10">
        <f>ROUND(J1142*'Irish Basis'!$C$7*'Irish Basis'!$C$5,2)</f>
        <v/>
      </c>
      <c r="P1142" s="10">
        <f>ROUND(K1142*'Irish Basis'!$C$8*'Irish Basis'!$C$5,2)</f>
        <v/>
      </c>
      <c r="Q1142" s="10">
        <f>ROUND(L1142*'Irish Basis'!$C$12*'Irish Basis'!$C$5,2)</f>
        <v/>
      </c>
      <c r="R1142" s="11">
        <f>ROUND(SUM(N1142:Q1142),2)</f>
        <v/>
      </c>
      <c r="S1142" s="5" t="inlineStr">
        <is>
          <t>Stated build-up</t>
        </is>
      </c>
      <c r="T1142" s="12" t="inlineStr">
        <is>
          <t>High</t>
        </is>
      </c>
      <c r="U1142" s="8" t="n">
        <v>348.39</v>
      </c>
      <c r="V1142" s="13">
        <f>IF(U1142="","",ROUND(M1142-U1142,2))</f>
        <v/>
      </c>
      <c r="W1142" s="5" t="n"/>
      <c r="X1142" s="5" t="inlineStr">
        <is>
          <t>Labour + plant + material as published; reconciles to the published rate.</t>
        </is>
      </c>
    </row>
    <row r="1143" ht="13" customHeight="1">
      <c r="A1143" s="4" t="n">
        <v>2025</v>
      </c>
      <c r="B1143" s="5" t="inlineStr">
        <is>
          <t>IMG_0094</t>
        </is>
      </c>
      <c r="C1143" s="5" t="inlineStr">
        <is>
          <t>CLASS I: PIPEWORK - PIPES</t>
        </is>
      </c>
      <c r="D1143" s="5" t="inlineStr">
        <is>
          <t>01 CLAY PIPES</t>
        </is>
      </c>
      <c r="E1143" s="5" t="inlineStr">
        <is>
          <t>Vitrified clay pipes to BS EN295, plain ends with push-fit polypropylene flexible couplings; 225 mm pipes; in trenches, depth</t>
        </is>
      </c>
      <c r="F1143" s="5" t="inlineStr">
        <is>
          <t>5.00-5.50 m deep</t>
        </is>
      </c>
      <c r="G1143" s="6" t="inlineStr">
        <is>
          <t>m</t>
        </is>
      </c>
      <c r="H1143" s="7" t="n">
        <v>1.5</v>
      </c>
      <c r="I1143" s="8" t="n">
        <v>207.27</v>
      </c>
      <c r="J1143" s="8" t="n">
        <v>133.73</v>
      </c>
      <c r="K1143" s="8" t="n">
        <v>63.93</v>
      </c>
      <c r="L1143" s="8" t="n">
        <v>0</v>
      </c>
      <c r="M1143" s="9">
        <f>ROUND(SUM(I1143:L1143),2)</f>
        <v/>
      </c>
      <c r="N1143" s="10">
        <f>ROUND(I1143*'Irish Basis'!$C$6*'Irish Basis'!$C$5,2)</f>
        <v/>
      </c>
      <c r="O1143" s="10">
        <f>ROUND(J1143*'Irish Basis'!$C$7*'Irish Basis'!$C$5,2)</f>
        <v/>
      </c>
      <c r="P1143" s="10">
        <f>ROUND(K1143*'Irish Basis'!$C$8*'Irish Basis'!$C$5,2)</f>
        <v/>
      </c>
      <c r="Q1143" s="10">
        <f>ROUND(L1143*'Irish Basis'!$C$12*'Irish Basis'!$C$5,2)</f>
        <v/>
      </c>
      <c r="R1143" s="11">
        <f>ROUND(SUM(N1143:Q1143),2)</f>
        <v/>
      </c>
      <c r="S1143" s="5" t="inlineStr">
        <is>
          <t>Stated build-up</t>
        </is>
      </c>
      <c r="T1143" s="12" t="inlineStr">
        <is>
          <t>High</t>
        </is>
      </c>
      <c r="U1143" s="8" t="n">
        <v>404.93</v>
      </c>
      <c r="V1143" s="13">
        <f>IF(U1143="","",ROUND(M1143-U1143,2))</f>
        <v/>
      </c>
      <c r="W1143" s="5" t="n"/>
      <c r="X1143" s="5" t="inlineStr">
        <is>
          <t>Labour + plant + material as published; reconciles to the published rate.</t>
        </is>
      </c>
    </row>
    <row r="1144" ht="13" customHeight="1">
      <c r="A1144" s="4" t="n">
        <v>2026</v>
      </c>
      <c r="B1144" s="5" t="inlineStr">
        <is>
          <t>IMG_0094</t>
        </is>
      </c>
      <c r="C1144" s="5" t="inlineStr">
        <is>
          <t>CLASS I: PIPEWORK - PIPES</t>
        </is>
      </c>
      <c r="D1144" s="5" t="inlineStr">
        <is>
          <t>01 CLAY PIPES</t>
        </is>
      </c>
      <c r="E1144" s="5" t="inlineStr">
        <is>
          <t>Vitrified clay pipes to BS EN295, plain ends with push-fit polypropylene flexible couplings; 225 mm pipes; in trenches, depth</t>
        </is>
      </c>
      <c r="F1144" s="5" t="inlineStr">
        <is>
          <t>extra for bend</t>
        </is>
      </c>
      <c r="G1144" s="6" t="inlineStr">
        <is>
          <t>nr</t>
        </is>
      </c>
      <c r="H1144" s="7" t="n">
        <v>0.1</v>
      </c>
      <c r="I1144" s="8" t="n">
        <v>13.82</v>
      </c>
      <c r="J1144" s="8" t="n">
        <v>0</v>
      </c>
      <c r="K1144" s="8" t="n">
        <v>355.22</v>
      </c>
      <c r="L1144" s="8" t="n">
        <v>0</v>
      </c>
      <c r="M1144" s="9">
        <f>ROUND(SUM(I1144:L1144),2)</f>
        <v/>
      </c>
      <c r="N1144" s="10">
        <f>ROUND(I1144*'Irish Basis'!$C$6*'Irish Basis'!$C$5,2)</f>
        <v/>
      </c>
      <c r="O1144" s="10">
        <f>ROUND(J1144*'Irish Basis'!$C$7*'Irish Basis'!$C$5,2)</f>
        <v/>
      </c>
      <c r="P1144" s="10">
        <f>ROUND(K1144*'Irish Basis'!$C$8*'Irish Basis'!$C$5,2)</f>
        <v/>
      </c>
      <c r="Q1144" s="10">
        <f>ROUND(L1144*'Irish Basis'!$C$12*'Irish Basis'!$C$5,2)</f>
        <v/>
      </c>
      <c r="R1144" s="11">
        <f>ROUND(SUM(N1144:Q1144),2)</f>
        <v/>
      </c>
      <c r="S1144" s="5" t="inlineStr">
        <is>
          <t>Stated build-up</t>
        </is>
      </c>
      <c r="T1144" s="12" t="inlineStr">
        <is>
          <t>High</t>
        </is>
      </c>
      <c r="U1144" s="8" t="n">
        <v>369.04</v>
      </c>
      <c r="V1144" s="13">
        <f>IF(U1144="","",ROUND(M1144-U1144,2))</f>
        <v/>
      </c>
      <c r="W1144" s="5" t="n"/>
      <c r="X1144" s="5" t="inlineStr">
        <is>
          <t>Labour + plant + material as published; reconciles to the published rate.</t>
        </is>
      </c>
    </row>
    <row r="1145" ht="13" customHeight="1">
      <c r="A1145" s="4" t="n">
        <v>2027</v>
      </c>
      <c r="B1145" s="5" t="inlineStr">
        <is>
          <t>IMG_0094</t>
        </is>
      </c>
      <c r="C1145" s="5" t="inlineStr">
        <is>
          <t>CLASS I: PIPEWORK - PIPES</t>
        </is>
      </c>
      <c r="D1145" s="5" t="inlineStr">
        <is>
          <t>01 CLAY PIPES</t>
        </is>
      </c>
      <c r="E1145" s="5" t="inlineStr">
        <is>
          <t>Vitrified clay pipes to BS EN295, plain ends with push-fit polypropylene flexible couplings; 225 mm pipes; in trenches, depth</t>
        </is>
      </c>
      <c r="F1145" s="5" t="inlineStr">
        <is>
          <t>extra for rest bend</t>
        </is>
      </c>
      <c r="G1145" s="6" t="inlineStr">
        <is>
          <t>nr</t>
        </is>
      </c>
      <c r="H1145" s="7" t="n">
        <v>0.11</v>
      </c>
      <c r="I1145" s="8" t="n">
        <v>15.2</v>
      </c>
      <c r="J1145" s="8" t="n">
        <v>0</v>
      </c>
      <c r="K1145" s="8" t="n">
        <v>351.49</v>
      </c>
      <c r="L1145" s="8" t="n">
        <v>0</v>
      </c>
      <c r="M1145" s="9">
        <f>ROUND(SUM(I1145:L1145),2)</f>
        <v/>
      </c>
      <c r="N1145" s="10">
        <f>ROUND(I1145*'Irish Basis'!$C$6*'Irish Basis'!$C$5,2)</f>
        <v/>
      </c>
      <c r="O1145" s="10">
        <f>ROUND(J1145*'Irish Basis'!$C$7*'Irish Basis'!$C$5,2)</f>
        <v/>
      </c>
      <c r="P1145" s="10">
        <f>ROUND(K1145*'Irish Basis'!$C$8*'Irish Basis'!$C$5,2)</f>
        <v/>
      </c>
      <c r="Q1145" s="10">
        <f>ROUND(L1145*'Irish Basis'!$C$12*'Irish Basis'!$C$5,2)</f>
        <v/>
      </c>
      <c r="R1145" s="11">
        <f>ROUND(SUM(N1145:Q1145),2)</f>
        <v/>
      </c>
      <c r="S1145" s="5" t="inlineStr">
        <is>
          <t>Stated build-up</t>
        </is>
      </c>
      <c r="T1145" s="12" t="inlineStr">
        <is>
          <t>High</t>
        </is>
      </c>
      <c r="U1145" s="8" t="n">
        <v>366.69</v>
      </c>
      <c r="V1145" s="13">
        <f>IF(U1145="","",ROUND(M1145-U1145,2))</f>
        <v/>
      </c>
      <c r="W1145" s="5" t="n"/>
      <c r="X1145" s="5" t="inlineStr">
        <is>
          <t>Labour + plant + material as published; reconciles to the published rate.</t>
        </is>
      </c>
    </row>
    <row r="1146" ht="13" customHeight="1">
      <c r="A1146" s="4" t="n">
        <v>2028</v>
      </c>
      <c r="B1146" s="5" t="inlineStr">
        <is>
          <t>IMG_0094</t>
        </is>
      </c>
      <c r="C1146" s="5" t="inlineStr">
        <is>
          <t>CLASS I: PIPEWORK - PIPES</t>
        </is>
      </c>
      <c r="D1146" s="5" t="inlineStr">
        <is>
          <t>01 CLAY PIPES</t>
        </is>
      </c>
      <c r="E1146" s="5" t="inlineStr">
        <is>
          <t>Vitrified clay pipes to BS EN295, plain ends with push-fit polypropylene flexible couplings; 225 mm pipes; in trenches, depth</t>
        </is>
      </c>
      <c r="F1146" s="5" t="inlineStr">
        <is>
          <t>extra for single junction; equal</t>
        </is>
      </c>
      <c r="G1146" s="6" t="inlineStr">
        <is>
          <t>nr</t>
        </is>
      </c>
      <c r="H1146" s="7" t="n">
        <v>0.16</v>
      </c>
      <c r="I1146" s="8" t="n">
        <v>22.11</v>
      </c>
      <c r="J1146" s="8" t="n">
        <v>0</v>
      </c>
      <c r="K1146" s="8" t="n">
        <v>416.02</v>
      </c>
      <c r="L1146" s="8" t="n">
        <v>0</v>
      </c>
      <c r="M1146" s="9">
        <f>ROUND(SUM(I1146:L1146),2)</f>
        <v/>
      </c>
      <c r="N1146" s="10">
        <f>ROUND(I1146*'Irish Basis'!$C$6*'Irish Basis'!$C$5,2)</f>
        <v/>
      </c>
      <c r="O1146" s="10">
        <f>ROUND(J1146*'Irish Basis'!$C$7*'Irish Basis'!$C$5,2)</f>
        <v/>
      </c>
      <c r="P1146" s="10">
        <f>ROUND(K1146*'Irish Basis'!$C$8*'Irish Basis'!$C$5,2)</f>
        <v/>
      </c>
      <c r="Q1146" s="10">
        <f>ROUND(L1146*'Irish Basis'!$C$12*'Irish Basis'!$C$5,2)</f>
        <v/>
      </c>
      <c r="R1146" s="11">
        <f>ROUND(SUM(N1146:Q1146),2)</f>
        <v/>
      </c>
      <c r="S1146" s="5" t="inlineStr">
        <is>
          <t>Stated build-up</t>
        </is>
      </c>
      <c r="T1146" s="12" t="inlineStr">
        <is>
          <t>High</t>
        </is>
      </c>
      <c r="U1146" s="8" t="n">
        <v>438.13</v>
      </c>
      <c r="V1146" s="13">
        <f>IF(U1146="","",ROUND(M1146-U1146,2))</f>
        <v/>
      </c>
      <c r="W1146" s="5" t="n"/>
      <c r="X1146" s="5" t="inlineStr">
        <is>
          <t>Labour + plant + material as published; reconciles to the published rate.</t>
        </is>
      </c>
    </row>
    <row r="1147" ht="13" customHeight="1">
      <c r="A1147" s="4" t="n">
        <v>2029</v>
      </c>
      <c r="B1147" s="5" t="inlineStr">
        <is>
          <t>IMG_0094</t>
        </is>
      </c>
      <c r="C1147" s="5" t="inlineStr">
        <is>
          <t>CLASS I: PIPEWORK - PIPES</t>
        </is>
      </c>
      <c r="D1147" s="5" t="inlineStr">
        <is>
          <t>01 CLAY PIPES</t>
        </is>
      </c>
      <c r="E1147" s="5" t="inlineStr">
        <is>
          <t>Vitrified clay pipes to BS EN295, plain ends with push-fit polypropylene flexible couplings; 225 mm pipes; in trenches, depth</t>
        </is>
      </c>
      <c r="F1147" s="5" t="inlineStr">
        <is>
          <t>extra for taper reducer</t>
        </is>
      </c>
      <c r="G1147" s="6" t="inlineStr">
        <is>
          <t>nr</t>
        </is>
      </c>
      <c r="H1147" s="7" t="n">
        <v>0.12</v>
      </c>
      <c r="I1147" s="8" t="n">
        <v>16.58</v>
      </c>
      <c r="J1147" s="8" t="n">
        <v>0</v>
      </c>
      <c r="K1147" s="8" t="n">
        <v>332.92</v>
      </c>
      <c r="L1147" s="8" t="n">
        <v>0</v>
      </c>
      <c r="M1147" s="9">
        <f>ROUND(SUM(I1147:L1147),2)</f>
        <v/>
      </c>
      <c r="N1147" s="10">
        <f>ROUND(I1147*'Irish Basis'!$C$6*'Irish Basis'!$C$5,2)</f>
        <v/>
      </c>
      <c r="O1147" s="10">
        <f>ROUND(J1147*'Irish Basis'!$C$7*'Irish Basis'!$C$5,2)</f>
        <v/>
      </c>
      <c r="P1147" s="10">
        <f>ROUND(K1147*'Irish Basis'!$C$8*'Irish Basis'!$C$5,2)</f>
        <v/>
      </c>
      <c r="Q1147" s="10">
        <f>ROUND(L1147*'Irish Basis'!$C$12*'Irish Basis'!$C$5,2)</f>
        <v/>
      </c>
      <c r="R1147" s="11">
        <f>ROUND(SUM(N1147:Q1147),2)</f>
        <v/>
      </c>
      <c r="S1147" s="5" t="inlineStr">
        <is>
          <t>Stated build-up</t>
        </is>
      </c>
      <c r="T1147" s="12" t="inlineStr">
        <is>
          <t>High</t>
        </is>
      </c>
      <c r="U1147" s="8" t="n">
        <v>349.5</v>
      </c>
      <c r="V1147" s="13">
        <f>IF(U1147="","",ROUND(M1147-U1147,2))</f>
        <v/>
      </c>
      <c r="W1147" s="5" t="n"/>
      <c r="X1147" s="5" t="inlineStr">
        <is>
          <t>Labour + plant + material as published; reconciles to the published rate.</t>
        </is>
      </c>
    </row>
    <row r="1148" ht="13" customHeight="1">
      <c r="A1148" s="4" t="n">
        <v>2030</v>
      </c>
      <c r="B1148" s="5" t="inlineStr">
        <is>
          <t>IMG_0094</t>
        </is>
      </c>
      <c r="C1148" s="5" t="inlineStr">
        <is>
          <t>CLASS I: PIPEWORK - PIPES</t>
        </is>
      </c>
      <c r="D1148" s="5" t="inlineStr">
        <is>
          <t>01 CLAY PIPES</t>
        </is>
      </c>
      <c r="E1148" s="5" t="inlineStr">
        <is>
          <t>Vitrified clay pipes to BS EN295, plain ends with push-fit polypropylene flexible couplings; 225 mm pipes; in trenches, depth</t>
        </is>
      </c>
      <c r="F1148" s="5" t="inlineStr">
        <is>
          <t>extra for saddle; oblique</t>
        </is>
      </c>
      <c r="G1148" s="6" t="inlineStr">
        <is>
          <t>nr</t>
        </is>
      </c>
      <c r="H1148" s="7" t="n">
        <v>0.36</v>
      </c>
      <c r="I1148" s="8" t="n">
        <v>49.74</v>
      </c>
      <c r="J1148" s="8" t="n">
        <v>0</v>
      </c>
      <c r="K1148" s="8" t="n">
        <v>334.37</v>
      </c>
      <c r="L1148" s="8" t="n">
        <v>0</v>
      </c>
      <c r="M1148" s="9">
        <f>ROUND(SUM(I1148:L1148),2)</f>
        <v/>
      </c>
      <c r="N1148" s="10">
        <f>ROUND(I1148*'Irish Basis'!$C$6*'Irish Basis'!$C$5,2)</f>
        <v/>
      </c>
      <c r="O1148" s="10">
        <f>ROUND(J1148*'Irish Basis'!$C$7*'Irish Basis'!$C$5,2)</f>
        <v/>
      </c>
      <c r="P1148" s="10">
        <f>ROUND(K1148*'Irish Basis'!$C$8*'Irish Basis'!$C$5,2)</f>
        <v/>
      </c>
      <c r="Q1148" s="10">
        <f>ROUND(L1148*'Irish Basis'!$C$12*'Irish Basis'!$C$5,2)</f>
        <v/>
      </c>
      <c r="R1148" s="11">
        <f>ROUND(SUM(N1148:Q1148),2)</f>
        <v/>
      </c>
      <c r="S1148" s="5" t="inlineStr">
        <is>
          <t>Stated build-up</t>
        </is>
      </c>
      <c r="T1148" s="12" t="inlineStr">
        <is>
          <t>High</t>
        </is>
      </c>
      <c r="U1148" s="8" t="n">
        <v>384.12</v>
      </c>
      <c r="V1148" s="13">
        <f>IF(U1148="","",ROUND(M1148-U1148,2))</f>
        <v/>
      </c>
      <c r="W1148" s="5" t="n"/>
      <c r="X1148" s="5" t="inlineStr">
        <is>
          <t>Labour + plant + material as published; reconciles to the published rate.</t>
        </is>
      </c>
    </row>
    <row r="1149" ht="13" customHeight="1">
      <c r="A1149" s="4" t="n">
        <v>2032</v>
      </c>
      <c r="B1149" s="5" t="inlineStr">
        <is>
          <t>IMG_0094</t>
        </is>
      </c>
      <c r="C1149" s="5" t="inlineStr">
        <is>
          <t>CLASS I: PIPEWORK - PIPES</t>
        </is>
      </c>
      <c r="D1149" s="5" t="inlineStr">
        <is>
          <t>01 CLAY PIPES</t>
        </is>
      </c>
      <c r="E1149" s="5" t="inlineStr">
        <is>
          <t>300 mm pipes; in trenches, depth</t>
        </is>
      </c>
      <c r="F1149" s="5" t="inlineStr">
        <is>
          <t>not in trenches</t>
        </is>
      </c>
      <c r="G1149" s="6" t="inlineStr">
        <is>
          <t>m</t>
        </is>
      </c>
      <c r="H1149" s="7" t="n">
        <v>0.9</v>
      </c>
      <c r="I1149" s="8" t="n">
        <v>77.68000000000001</v>
      </c>
      <c r="J1149" s="8" t="n">
        <v>1.13</v>
      </c>
      <c r="K1149" s="8" t="n">
        <v>132.28</v>
      </c>
      <c r="L1149" s="8" t="n">
        <v>0</v>
      </c>
      <c r="M1149" s="9">
        <f>ROUND(SUM(I1149:L1149),2)</f>
        <v/>
      </c>
      <c r="N1149" s="10">
        <f>ROUND(I1149*'Irish Basis'!$C$6*'Irish Basis'!$C$5,2)</f>
        <v/>
      </c>
      <c r="O1149" s="10">
        <f>ROUND(J1149*'Irish Basis'!$C$7*'Irish Basis'!$C$5,2)</f>
        <v/>
      </c>
      <c r="P1149" s="10">
        <f>ROUND(K1149*'Irish Basis'!$C$8*'Irish Basis'!$C$5,2)</f>
        <v/>
      </c>
      <c r="Q1149" s="10">
        <f>ROUND(L1149*'Irish Basis'!$C$12*'Irish Basis'!$C$5,2)</f>
        <v/>
      </c>
      <c r="R1149" s="11">
        <f>ROUND(SUM(N1149:Q1149),2)</f>
        <v/>
      </c>
      <c r="S1149" s="5" t="inlineStr">
        <is>
          <t>Stated build-up</t>
        </is>
      </c>
      <c r="T1149" s="12" t="inlineStr">
        <is>
          <t>High</t>
        </is>
      </c>
      <c r="U1149" s="8" t="n">
        <v>211.09</v>
      </c>
      <c r="V1149" s="13">
        <f>IF(U1149="","",ROUND(M1149-U1149,2))</f>
        <v/>
      </c>
      <c r="W1149" s="5" t="n"/>
      <c r="X1149" s="5" t="inlineStr">
        <is>
          <t>Labour + plant + material as published; reconciles to the published rate.</t>
        </is>
      </c>
    </row>
    <row r="1150" ht="13" customHeight="1">
      <c r="A1150" s="4" t="n">
        <v>2033</v>
      </c>
      <c r="B1150" s="5" t="inlineStr">
        <is>
          <t>IMG_0094</t>
        </is>
      </c>
      <c r="C1150" s="5" t="inlineStr">
        <is>
          <t>CLASS I: PIPEWORK - PIPES</t>
        </is>
      </c>
      <c r="D1150" s="5" t="inlineStr">
        <is>
          <t>01 CLAY PIPES</t>
        </is>
      </c>
      <c r="E1150" s="5" t="inlineStr">
        <is>
          <t>300 mm pipes; in trenches, depth</t>
        </is>
      </c>
      <c r="F1150" s="5" t="inlineStr">
        <is>
          <t>ne 1.50 m deep</t>
        </is>
      </c>
      <c r="G1150" s="6" t="inlineStr">
        <is>
          <t>m</t>
        </is>
      </c>
      <c r="H1150" s="7" t="n">
        <v>0.72</v>
      </c>
      <c r="I1150" s="8" t="n">
        <v>99.48999999999999</v>
      </c>
      <c r="J1150" s="8" t="n">
        <v>24.79</v>
      </c>
      <c r="K1150" s="8" t="n">
        <v>132.28</v>
      </c>
      <c r="L1150" s="8" t="n">
        <v>0</v>
      </c>
      <c r="M1150" s="9">
        <f>ROUND(SUM(I1150:L1150),2)</f>
        <v/>
      </c>
      <c r="N1150" s="10">
        <f>ROUND(I1150*'Irish Basis'!$C$6*'Irish Basis'!$C$5,2)</f>
        <v/>
      </c>
      <c r="O1150" s="10">
        <f>ROUND(J1150*'Irish Basis'!$C$7*'Irish Basis'!$C$5,2)</f>
        <v/>
      </c>
      <c r="P1150" s="10">
        <f>ROUND(K1150*'Irish Basis'!$C$8*'Irish Basis'!$C$5,2)</f>
        <v/>
      </c>
      <c r="Q1150" s="10">
        <f>ROUND(L1150*'Irish Basis'!$C$12*'Irish Basis'!$C$5,2)</f>
        <v/>
      </c>
      <c r="R1150" s="11">
        <f>ROUND(SUM(N1150:Q1150),2)</f>
        <v/>
      </c>
      <c r="S1150" s="5" t="inlineStr">
        <is>
          <t>Stated build-up</t>
        </is>
      </c>
      <c r="T1150" s="12" t="inlineStr">
        <is>
          <t>High</t>
        </is>
      </c>
      <c r="U1150" s="8" t="n">
        <v>256.55</v>
      </c>
      <c r="V1150" s="13">
        <f>IF(U1150="","",ROUND(M1150-U1150,2))</f>
        <v/>
      </c>
      <c r="W1150" s="5" t="n"/>
      <c r="X1150" s="5" t="inlineStr">
        <is>
          <t>Labour + plant + material as published; reconciles to the published rate.</t>
        </is>
      </c>
    </row>
    <row r="1151" ht="13" customHeight="1">
      <c r="A1151" s="4" t="n">
        <v>2034</v>
      </c>
      <c r="B1151" s="5" t="inlineStr">
        <is>
          <t>IMG_0094</t>
        </is>
      </c>
      <c r="C1151" s="5" t="inlineStr">
        <is>
          <t>CLASS I: PIPEWORK - PIPES</t>
        </is>
      </c>
      <c r="D1151" s="5" t="inlineStr">
        <is>
          <t>01 CLAY PIPES</t>
        </is>
      </c>
      <c r="E1151" s="5" t="inlineStr">
        <is>
          <t>300 mm pipes; in trenches, depth</t>
        </is>
      </c>
      <c r="F1151" s="5" t="inlineStr">
        <is>
          <t>1.50-2.00 m deep</t>
        </is>
      </c>
      <c r="G1151" s="6" t="inlineStr">
        <is>
          <t>m</t>
        </is>
      </c>
      <c r="H1151" s="7" t="n">
        <v>0.77</v>
      </c>
      <c r="I1151" s="8" t="n">
        <v>106.4</v>
      </c>
      <c r="J1151" s="8" t="n">
        <v>31.38</v>
      </c>
      <c r="K1151" s="8" t="n">
        <v>132.28</v>
      </c>
      <c r="L1151" s="8" t="n">
        <v>0</v>
      </c>
      <c r="M1151" s="9">
        <f>ROUND(SUM(I1151:L1151),2)</f>
        <v/>
      </c>
      <c r="N1151" s="10">
        <f>ROUND(I1151*'Irish Basis'!$C$6*'Irish Basis'!$C$5,2)</f>
        <v/>
      </c>
      <c r="O1151" s="10">
        <f>ROUND(J1151*'Irish Basis'!$C$7*'Irish Basis'!$C$5,2)</f>
        <v/>
      </c>
      <c r="P1151" s="10">
        <f>ROUND(K1151*'Irish Basis'!$C$8*'Irish Basis'!$C$5,2)</f>
        <v/>
      </c>
      <c r="Q1151" s="10">
        <f>ROUND(L1151*'Irish Basis'!$C$12*'Irish Basis'!$C$5,2)</f>
        <v/>
      </c>
      <c r="R1151" s="11">
        <f>ROUND(SUM(N1151:Q1151),2)</f>
        <v/>
      </c>
      <c r="S1151" s="5" t="inlineStr">
        <is>
          <t>Stated build-up</t>
        </is>
      </c>
      <c r="T1151" s="12" t="inlineStr">
        <is>
          <t>High</t>
        </is>
      </c>
      <c r="U1151" s="8" t="n">
        <v>270.05</v>
      </c>
      <c r="V1151" s="13">
        <f>IF(U1151="","",ROUND(M1151-U1151,2))</f>
        <v/>
      </c>
      <c r="W1151" s="5" t="n"/>
      <c r="X1151" s="5" t="inlineStr">
        <is>
          <t>Labour + plant + material as published; reconciles to the published rate.</t>
        </is>
      </c>
    </row>
    <row r="1152" ht="13" customHeight="1">
      <c r="A1152" s="4" t="n">
        <v>2035</v>
      </c>
      <c r="B1152" s="5" t="inlineStr">
        <is>
          <t>IMG_0094</t>
        </is>
      </c>
      <c r="C1152" s="5" t="inlineStr">
        <is>
          <t>CLASS I: PIPEWORK - PIPES</t>
        </is>
      </c>
      <c r="D1152" s="5" t="inlineStr">
        <is>
          <t>01 CLAY PIPES</t>
        </is>
      </c>
      <c r="E1152" s="5" t="inlineStr">
        <is>
          <t>300 mm pipes; in trenches, depth</t>
        </is>
      </c>
      <c r="F1152" s="5" t="inlineStr">
        <is>
          <t>2.00-2.50 m deep</t>
        </is>
      </c>
      <c r="G1152" s="6" t="inlineStr">
        <is>
          <t>m</t>
        </is>
      </c>
      <c r="H1152" s="7" t="n">
        <v>0.82</v>
      </c>
      <c r="I1152" s="8" t="n">
        <v>113.31</v>
      </c>
      <c r="J1152" s="8" t="n">
        <v>36.61</v>
      </c>
      <c r="K1152" s="8" t="n">
        <v>132.28</v>
      </c>
      <c r="L1152" s="8" t="n">
        <v>0</v>
      </c>
      <c r="M1152" s="9">
        <f>ROUND(SUM(I1152:L1152),2)</f>
        <v/>
      </c>
      <c r="N1152" s="10">
        <f>ROUND(I1152*'Irish Basis'!$C$6*'Irish Basis'!$C$5,2)</f>
        <v/>
      </c>
      <c r="O1152" s="10">
        <f>ROUND(J1152*'Irish Basis'!$C$7*'Irish Basis'!$C$5,2)</f>
        <v/>
      </c>
      <c r="P1152" s="10">
        <f>ROUND(K1152*'Irish Basis'!$C$8*'Irish Basis'!$C$5,2)</f>
        <v/>
      </c>
      <c r="Q1152" s="10">
        <f>ROUND(L1152*'Irish Basis'!$C$12*'Irish Basis'!$C$5,2)</f>
        <v/>
      </c>
      <c r="R1152" s="11">
        <f>ROUND(SUM(N1152:Q1152),2)</f>
        <v/>
      </c>
      <c r="S1152" s="5" t="inlineStr">
        <is>
          <t>Stated build-up</t>
        </is>
      </c>
      <c r="T1152" s="12" t="inlineStr">
        <is>
          <t>High</t>
        </is>
      </c>
      <c r="U1152" s="8" t="n">
        <v>282.19</v>
      </c>
      <c r="V1152" s="13">
        <f>IF(U1152="","",ROUND(M1152-U1152,2))</f>
        <v/>
      </c>
      <c r="W1152" s="5" t="n"/>
      <c r="X1152" s="5" t="inlineStr">
        <is>
          <t>Labour + plant + material as published; reconciles to the published rate.</t>
        </is>
      </c>
    </row>
    <row r="1153" ht="13" customHeight="1">
      <c r="A1153" s="4" t="n">
        <v>2036</v>
      </c>
      <c r="B1153" s="5" t="inlineStr">
        <is>
          <t>IMG_0094</t>
        </is>
      </c>
      <c r="C1153" s="5" t="inlineStr">
        <is>
          <t>CLASS I: PIPEWORK - PIPES</t>
        </is>
      </c>
      <c r="D1153" s="5" t="inlineStr">
        <is>
          <t>01 CLAY PIPES</t>
        </is>
      </c>
      <c r="E1153" s="5" t="inlineStr">
        <is>
          <t>300 mm pipes; in trenches, depth</t>
        </is>
      </c>
      <c r="F1153" s="5" t="inlineStr">
        <is>
          <t>2.50-3.00 m deep</t>
        </is>
      </c>
      <c r="G1153" s="6" t="inlineStr">
        <is>
          <t>m</t>
        </is>
      </c>
      <c r="H1153" s="7" t="n">
        <v>0.85</v>
      </c>
      <c r="I1153" s="8" t="n">
        <v>117.45</v>
      </c>
      <c r="J1153" s="8" t="n">
        <v>41.86</v>
      </c>
      <c r="K1153" s="8" t="n">
        <v>132.28</v>
      </c>
      <c r="L1153" s="8" t="n">
        <v>0</v>
      </c>
      <c r="M1153" s="9">
        <f>ROUND(SUM(I1153:L1153),2)</f>
        <v/>
      </c>
      <c r="N1153" s="10">
        <f>ROUND(I1153*'Irish Basis'!$C$6*'Irish Basis'!$C$5,2)</f>
        <v/>
      </c>
      <c r="O1153" s="10">
        <f>ROUND(J1153*'Irish Basis'!$C$7*'Irish Basis'!$C$5,2)</f>
        <v/>
      </c>
      <c r="P1153" s="10">
        <f>ROUND(K1153*'Irish Basis'!$C$8*'Irish Basis'!$C$5,2)</f>
        <v/>
      </c>
      <c r="Q1153" s="10">
        <f>ROUND(L1153*'Irish Basis'!$C$12*'Irish Basis'!$C$5,2)</f>
        <v/>
      </c>
      <c r="R1153" s="11">
        <f>ROUND(SUM(N1153:Q1153),2)</f>
        <v/>
      </c>
      <c r="S1153" s="5" t="inlineStr">
        <is>
          <t>Stated build-up</t>
        </is>
      </c>
      <c r="T1153" s="12" t="inlineStr">
        <is>
          <t>High</t>
        </is>
      </c>
      <c r="U1153" s="8" t="n">
        <v>291.59</v>
      </c>
      <c r="V1153" s="13">
        <f>IF(U1153="","",ROUND(M1153-U1153,2))</f>
        <v/>
      </c>
      <c r="W1153" s="5" t="n"/>
      <c r="X1153" s="5" t="inlineStr">
        <is>
          <t>Labour + plant + material as published; reconciles to the published rate.</t>
        </is>
      </c>
    </row>
    <row r="1154" ht="13" customHeight="1">
      <c r="A1154" s="4" t="n">
        <v>2037</v>
      </c>
      <c r="B1154" s="5" t="inlineStr">
        <is>
          <t>IMG_0094</t>
        </is>
      </c>
      <c r="C1154" s="5" t="inlineStr">
        <is>
          <t>CLASS I: PIPEWORK - PIPES</t>
        </is>
      </c>
      <c r="D1154" s="5" t="inlineStr">
        <is>
          <t>01 CLAY PIPES</t>
        </is>
      </c>
      <c r="E1154" s="5" t="inlineStr">
        <is>
          <t>300 mm pipes; in trenches, depth</t>
        </is>
      </c>
      <c r="F1154" s="5" t="inlineStr">
        <is>
          <t>3.00-3.50 m deep</t>
        </is>
      </c>
      <c r="G1154" s="6" t="inlineStr">
        <is>
          <t>m</t>
        </is>
      </c>
      <c r="H1154" s="7" t="n">
        <v>0.95</v>
      </c>
      <c r="I1154" s="8" t="n">
        <v>131.27</v>
      </c>
      <c r="J1154" s="8" t="n">
        <v>54.99</v>
      </c>
      <c r="K1154" s="8" t="n">
        <v>132.28</v>
      </c>
      <c r="L1154" s="8" t="n">
        <v>0</v>
      </c>
      <c r="M1154" s="9">
        <f>ROUND(SUM(I1154:L1154),2)</f>
        <v/>
      </c>
      <c r="N1154" s="10">
        <f>ROUND(I1154*'Irish Basis'!$C$6*'Irish Basis'!$C$5,2)</f>
        <v/>
      </c>
      <c r="O1154" s="10">
        <f>ROUND(J1154*'Irish Basis'!$C$7*'Irish Basis'!$C$5,2)</f>
        <v/>
      </c>
      <c r="P1154" s="10">
        <f>ROUND(K1154*'Irish Basis'!$C$8*'Irish Basis'!$C$5,2)</f>
        <v/>
      </c>
      <c r="Q1154" s="10">
        <f>ROUND(L1154*'Irish Basis'!$C$12*'Irish Basis'!$C$5,2)</f>
        <v/>
      </c>
      <c r="R1154" s="11">
        <f>ROUND(SUM(N1154:Q1154),2)</f>
        <v/>
      </c>
      <c r="S1154" s="5" t="inlineStr">
        <is>
          <t>Stated build-up</t>
        </is>
      </c>
      <c r="T1154" s="12" t="inlineStr">
        <is>
          <t>High</t>
        </is>
      </c>
      <c r="U1154" s="8" t="n">
        <v>318.54</v>
      </c>
      <c r="V1154" s="13">
        <f>IF(U1154="","",ROUND(M1154-U1154,2))</f>
        <v/>
      </c>
      <c r="W1154" s="5" t="n"/>
      <c r="X1154" s="5" t="inlineStr">
        <is>
          <t>Labour + plant + material as published; reconciles to the published rate.</t>
        </is>
      </c>
    </row>
    <row r="1155" ht="13" customHeight="1">
      <c r="A1155" s="4" t="n">
        <v>2038</v>
      </c>
      <c r="B1155" s="5" t="inlineStr">
        <is>
          <t>IMG_0094</t>
        </is>
      </c>
      <c r="C1155" s="5" t="inlineStr">
        <is>
          <t>CLASS I: PIPEWORK - PIPES</t>
        </is>
      </c>
      <c r="D1155" s="5" t="inlineStr">
        <is>
          <t>01 CLAY PIPES</t>
        </is>
      </c>
      <c r="E1155" s="5" t="inlineStr">
        <is>
          <t>300 mm pipes; in trenches, depth</t>
        </is>
      </c>
      <c r="F1155" s="5" t="inlineStr">
        <is>
          <t>3.50-4.00 m deep</t>
        </is>
      </c>
      <c r="G1155" s="6" t="inlineStr">
        <is>
          <t>m</t>
        </is>
      </c>
      <c r="H1155" s="7" t="n">
        <v>1.05</v>
      </c>
      <c r="I1155" s="8" t="n">
        <v>145.09</v>
      </c>
      <c r="J1155" s="8" t="n">
        <v>68.09</v>
      </c>
      <c r="K1155" s="8" t="n">
        <v>132.28</v>
      </c>
      <c r="L1155" s="8" t="n">
        <v>0</v>
      </c>
      <c r="M1155" s="9">
        <f>ROUND(SUM(I1155:L1155),2)</f>
        <v/>
      </c>
      <c r="N1155" s="10">
        <f>ROUND(I1155*'Irish Basis'!$C$6*'Irish Basis'!$C$5,2)</f>
        <v/>
      </c>
      <c r="O1155" s="10">
        <f>ROUND(J1155*'Irish Basis'!$C$7*'Irish Basis'!$C$5,2)</f>
        <v/>
      </c>
      <c r="P1155" s="10">
        <f>ROUND(K1155*'Irish Basis'!$C$8*'Irish Basis'!$C$5,2)</f>
        <v/>
      </c>
      <c r="Q1155" s="10">
        <f>ROUND(L1155*'Irish Basis'!$C$12*'Irish Basis'!$C$5,2)</f>
        <v/>
      </c>
      <c r="R1155" s="11">
        <f>ROUND(SUM(N1155:Q1155),2)</f>
        <v/>
      </c>
      <c r="S1155" s="5" t="inlineStr">
        <is>
          <t>Stated build-up</t>
        </is>
      </c>
      <c r="T1155" s="12" t="inlineStr">
        <is>
          <t>High</t>
        </is>
      </c>
      <c r="U1155" s="8" t="n">
        <v>345.46</v>
      </c>
      <c r="V1155" s="13">
        <f>IF(U1155="","",ROUND(M1155-U1155,2))</f>
        <v/>
      </c>
      <c r="W1155" s="5" t="n"/>
      <c r="X1155" s="5" t="inlineStr">
        <is>
          <t>Labour + plant + material as published; reconciles to the published rate.</t>
        </is>
      </c>
    </row>
    <row r="1156" ht="13" customHeight="1">
      <c r="A1156" s="4" t="n">
        <v>2039</v>
      </c>
      <c r="B1156" s="5" t="inlineStr">
        <is>
          <t>IMG_0094</t>
        </is>
      </c>
      <c r="C1156" s="5" t="inlineStr">
        <is>
          <t>CLASS I: PIPEWORK - PIPES</t>
        </is>
      </c>
      <c r="D1156" s="5" t="inlineStr">
        <is>
          <t>01 CLAY PIPES</t>
        </is>
      </c>
      <c r="E1156" s="5" t="inlineStr">
        <is>
          <t>300 mm pipes; in trenches, depth</t>
        </is>
      </c>
      <c r="F1156" s="5" t="inlineStr">
        <is>
          <t>4.00-4.50 m deep</t>
        </is>
      </c>
      <c r="G1156" s="6" t="inlineStr">
        <is>
          <t>m</t>
        </is>
      </c>
      <c r="H1156" s="7" t="n">
        <v>1.23</v>
      </c>
      <c r="I1156" s="8" t="n">
        <v>169.96</v>
      </c>
      <c r="J1156" s="8" t="n">
        <v>91.72</v>
      </c>
      <c r="K1156" s="8" t="n">
        <v>132.28</v>
      </c>
      <c r="L1156" s="8" t="n">
        <v>0</v>
      </c>
      <c r="M1156" s="9">
        <f>ROUND(SUM(I1156:L1156),2)</f>
        <v/>
      </c>
      <c r="N1156" s="10">
        <f>ROUND(I1156*'Irish Basis'!$C$6*'Irish Basis'!$C$5,2)</f>
        <v/>
      </c>
      <c r="O1156" s="10">
        <f>ROUND(J1156*'Irish Basis'!$C$7*'Irish Basis'!$C$5,2)</f>
        <v/>
      </c>
      <c r="P1156" s="10">
        <f>ROUND(K1156*'Irish Basis'!$C$8*'Irish Basis'!$C$5,2)</f>
        <v/>
      </c>
      <c r="Q1156" s="10">
        <f>ROUND(L1156*'Irish Basis'!$C$12*'Irish Basis'!$C$5,2)</f>
        <v/>
      </c>
      <c r="R1156" s="11">
        <f>ROUND(SUM(N1156:Q1156),2)</f>
        <v/>
      </c>
      <c r="S1156" s="5" t="inlineStr">
        <is>
          <t>Stated build-up</t>
        </is>
      </c>
      <c r="T1156" s="12" t="inlineStr">
        <is>
          <t>High</t>
        </is>
      </c>
      <c r="U1156" s="8" t="n">
        <v>393.95</v>
      </c>
      <c r="V1156" s="13">
        <f>IF(U1156="","",ROUND(M1156-U1156,2))</f>
        <v/>
      </c>
      <c r="W1156" s="5" t="n"/>
      <c r="X1156" s="5" t="inlineStr">
        <is>
          <t>Labour + plant + material as published; reconciles to the published rate.</t>
        </is>
      </c>
    </row>
    <row r="1157" ht="13" customHeight="1">
      <c r="A1157" s="4" t="n">
        <v>2040</v>
      </c>
      <c r="B1157" s="5" t="inlineStr">
        <is>
          <t>IMG_0094</t>
        </is>
      </c>
      <c r="C1157" s="5" t="inlineStr">
        <is>
          <t>CLASS I: PIPEWORK - PIPES</t>
        </is>
      </c>
      <c r="D1157" s="5" t="inlineStr">
        <is>
          <t>01 CLAY PIPES</t>
        </is>
      </c>
      <c r="E1157" s="5" t="inlineStr">
        <is>
          <t>300 mm pipes; in trenches, depth</t>
        </is>
      </c>
      <c r="F1157" s="5" t="inlineStr">
        <is>
          <t>4.50-5.00 m deep</t>
        </is>
      </c>
      <c r="G1157" s="6" t="inlineStr">
        <is>
          <t>m</t>
        </is>
      </c>
      <c r="H1157" s="7" t="n">
        <v>1.45</v>
      </c>
      <c r="I1157" s="8" t="n">
        <v>200.36</v>
      </c>
      <c r="J1157" s="8" t="n">
        <v>117.96</v>
      </c>
      <c r="K1157" s="8" t="n">
        <v>132.28</v>
      </c>
      <c r="L1157" s="8" t="n">
        <v>0</v>
      </c>
      <c r="M1157" s="9">
        <f>ROUND(SUM(I1157:L1157),2)</f>
        <v/>
      </c>
      <c r="N1157" s="10">
        <f>ROUND(I1157*'Irish Basis'!$C$6*'Irish Basis'!$C$5,2)</f>
        <v/>
      </c>
      <c r="O1157" s="10">
        <f>ROUND(J1157*'Irish Basis'!$C$7*'Irish Basis'!$C$5,2)</f>
        <v/>
      </c>
      <c r="P1157" s="10">
        <f>ROUND(K1157*'Irish Basis'!$C$8*'Irish Basis'!$C$5,2)</f>
        <v/>
      </c>
      <c r="Q1157" s="10">
        <f>ROUND(L1157*'Irish Basis'!$C$12*'Irish Basis'!$C$5,2)</f>
        <v/>
      </c>
      <c r="R1157" s="11">
        <f>ROUND(SUM(N1157:Q1157),2)</f>
        <v/>
      </c>
      <c r="S1157" s="5" t="inlineStr">
        <is>
          <t>Stated build-up</t>
        </is>
      </c>
      <c r="T1157" s="12" t="inlineStr">
        <is>
          <t>High</t>
        </is>
      </c>
      <c r="U1157" s="8" t="n">
        <v>450.6</v>
      </c>
      <c r="V1157" s="13">
        <f>IF(U1157="","",ROUND(M1157-U1157,2))</f>
        <v/>
      </c>
      <c r="W1157" s="5" t="n"/>
      <c r="X1157" s="5" t="inlineStr">
        <is>
          <t>Labour + plant + material as published; reconciles to the published rate.</t>
        </is>
      </c>
    </row>
    <row r="1158" ht="13" customHeight="1">
      <c r="A1158" s="4" t="n">
        <v>2041</v>
      </c>
      <c r="B1158" s="5" t="inlineStr">
        <is>
          <t>IMG_0094</t>
        </is>
      </c>
      <c r="C1158" s="5" t="inlineStr">
        <is>
          <t>CLASS I: PIPEWORK - PIPES</t>
        </is>
      </c>
      <c r="D1158" s="5" t="inlineStr">
        <is>
          <t>01 CLAY PIPES</t>
        </is>
      </c>
      <c r="E1158" s="5" t="inlineStr">
        <is>
          <t>300 mm pipes; in trenches, depth</t>
        </is>
      </c>
      <c r="F1158" s="5" t="inlineStr">
        <is>
          <t>5.00-5.50 m deep</t>
        </is>
      </c>
      <c r="G1158" s="6" t="inlineStr">
        <is>
          <t>m</t>
        </is>
      </c>
      <c r="H1158" s="7" t="n">
        <v>1.65</v>
      </c>
      <c r="I1158" s="8" t="n">
        <v>228</v>
      </c>
      <c r="J1158" s="8" t="n">
        <v>146.81</v>
      </c>
      <c r="K1158" s="8" t="n">
        <v>132.28</v>
      </c>
      <c r="L1158" s="8" t="n">
        <v>0</v>
      </c>
      <c r="M1158" s="9">
        <f>ROUND(SUM(I1158:L1158),2)</f>
        <v/>
      </c>
      <c r="N1158" s="10">
        <f>ROUND(I1158*'Irish Basis'!$C$6*'Irish Basis'!$C$5,2)</f>
        <v/>
      </c>
      <c r="O1158" s="10">
        <f>ROUND(J1158*'Irish Basis'!$C$7*'Irish Basis'!$C$5,2)</f>
        <v/>
      </c>
      <c r="P1158" s="10">
        <f>ROUND(K1158*'Irish Basis'!$C$8*'Irish Basis'!$C$5,2)</f>
        <v/>
      </c>
      <c r="Q1158" s="10">
        <f>ROUND(L1158*'Irish Basis'!$C$12*'Irish Basis'!$C$5,2)</f>
        <v/>
      </c>
      <c r="R1158" s="11">
        <f>ROUND(SUM(N1158:Q1158),2)</f>
        <v/>
      </c>
      <c r="S1158" s="5" t="inlineStr">
        <is>
          <t>Stated build-up</t>
        </is>
      </c>
      <c r="T1158" s="12" t="inlineStr">
        <is>
          <t>High</t>
        </is>
      </c>
      <c r="U1158" s="8" t="n">
        <v>507.09</v>
      </c>
      <c r="V1158" s="13">
        <f>IF(U1158="","",ROUND(M1158-U1158,2))</f>
        <v/>
      </c>
      <c r="W1158" s="5" t="n"/>
      <c r="X1158" s="5" t="inlineStr">
        <is>
          <t>Labour + plant + material as published; reconciles to the published rate.</t>
        </is>
      </c>
    </row>
    <row r="1159" ht="13" customHeight="1">
      <c r="A1159" s="4" t="n">
        <v>2042</v>
      </c>
      <c r="B1159" s="5" t="inlineStr">
        <is>
          <t>IMG_0094</t>
        </is>
      </c>
      <c r="C1159" s="5" t="inlineStr">
        <is>
          <t>CLASS I: PIPEWORK - PIPES</t>
        </is>
      </c>
      <c r="D1159" s="5" t="inlineStr">
        <is>
          <t>01 CLAY PIPES</t>
        </is>
      </c>
      <c r="E1159" s="5" t="inlineStr">
        <is>
          <t>300 mm pipes; in trenches, depth</t>
        </is>
      </c>
      <c r="F1159" s="5" t="inlineStr">
        <is>
          <t>extra for bend</t>
        </is>
      </c>
      <c r="G1159" s="6" t="inlineStr">
        <is>
          <t>nr</t>
        </is>
      </c>
      <c r="H1159" s="7" t="n">
        <v>0.15</v>
      </c>
      <c r="I1159" s="8" t="n">
        <v>20.73</v>
      </c>
      <c r="J1159" s="8" t="n">
        <v>0</v>
      </c>
      <c r="K1159" s="8" t="n">
        <v>500.91</v>
      </c>
      <c r="L1159" s="8" t="n">
        <v>0</v>
      </c>
      <c r="M1159" s="9">
        <f>ROUND(SUM(I1159:L1159),2)</f>
        <v/>
      </c>
      <c r="N1159" s="10">
        <f>ROUND(I1159*'Irish Basis'!$C$6*'Irish Basis'!$C$5,2)</f>
        <v/>
      </c>
      <c r="O1159" s="10">
        <f>ROUND(J1159*'Irish Basis'!$C$7*'Irish Basis'!$C$5,2)</f>
        <v/>
      </c>
      <c r="P1159" s="10">
        <f>ROUND(K1159*'Irish Basis'!$C$8*'Irish Basis'!$C$5,2)</f>
        <v/>
      </c>
      <c r="Q1159" s="10">
        <f>ROUND(L1159*'Irish Basis'!$C$12*'Irish Basis'!$C$5,2)</f>
        <v/>
      </c>
      <c r="R1159" s="11">
        <f>ROUND(SUM(N1159:Q1159),2)</f>
        <v/>
      </c>
      <c r="S1159" s="5" t="inlineStr">
        <is>
          <t>Stated build-up</t>
        </is>
      </c>
      <c r="T1159" s="12" t="inlineStr">
        <is>
          <t>High</t>
        </is>
      </c>
      <c r="U1159" s="8" t="n">
        <v>521.64</v>
      </c>
      <c r="V1159" s="13">
        <f>IF(U1159="","",ROUND(M1159-U1159,2))</f>
        <v/>
      </c>
      <c r="W1159" s="5" t="n"/>
      <c r="X1159" s="5" t="inlineStr">
        <is>
          <t>Labour + plant + material as published; reconciles to the published rate.</t>
        </is>
      </c>
    </row>
    <row r="1160" ht="13" customHeight="1">
      <c r="A1160" s="4" t="n">
        <v>2043</v>
      </c>
      <c r="B1160" s="5" t="inlineStr">
        <is>
          <t>IMG_0094</t>
        </is>
      </c>
      <c r="C1160" s="5" t="inlineStr">
        <is>
          <t>CLASS I: PIPEWORK - PIPES</t>
        </is>
      </c>
      <c r="D1160" s="5" t="inlineStr">
        <is>
          <t>01 CLAY PIPES</t>
        </is>
      </c>
      <c r="E1160" s="5" t="inlineStr">
        <is>
          <t>300 mm pipes; in trenches, depth</t>
        </is>
      </c>
      <c r="F1160" s="5" t="inlineStr">
        <is>
          <t>extra for rest bend</t>
        </is>
      </c>
      <c r="G1160" s="6" t="inlineStr">
        <is>
          <t>nr</t>
        </is>
      </c>
      <c r="H1160" s="7" t="n">
        <v>0.16</v>
      </c>
      <c r="I1160" s="8" t="n">
        <v>22.11</v>
      </c>
      <c r="J1160" s="8" t="n">
        <v>0</v>
      </c>
      <c r="K1160" s="8" t="n">
        <v>876.04</v>
      </c>
      <c r="L1160" s="8" t="n">
        <v>0</v>
      </c>
      <c r="M1160" s="9">
        <f>ROUND(SUM(I1160:L1160),2)</f>
        <v/>
      </c>
      <c r="N1160" s="10">
        <f>ROUND(I1160*'Irish Basis'!$C$6*'Irish Basis'!$C$5,2)</f>
        <v/>
      </c>
      <c r="O1160" s="10">
        <f>ROUND(J1160*'Irish Basis'!$C$7*'Irish Basis'!$C$5,2)</f>
        <v/>
      </c>
      <c r="P1160" s="10">
        <f>ROUND(K1160*'Irish Basis'!$C$8*'Irish Basis'!$C$5,2)</f>
        <v/>
      </c>
      <c r="Q1160" s="10">
        <f>ROUND(L1160*'Irish Basis'!$C$12*'Irish Basis'!$C$5,2)</f>
        <v/>
      </c>
      <c r="R1160" s="11">
        <f>ROUND(SUM(N1160:Q1160),2)</f>
        <v/>
      </c>
      <c r="S1160" s="5" t="inlineStr">
        <is>
          <t>Stated build-up</t>
        </is>
      </c>
      <c r="T1160" s="12" t="inlineStr">
        <is>
          <t>High</t>
        </is>
      </c>
      <c r="U1160" s="8" t="n">
        <v>898.14</v>
      </c>
      <c r="V1160" s="13">
        <f>IF(U1160="","",ROUND(M1160-U1160,2))</f>
        <v/>
      </c>
      <c r="W1160" s="5" t="n"/>
      <c r="X1160" s="5" t="inlineStr">
        <is>
          <t>Labour + plant + material as published; reconciles to the published rate.</t>
        </is>
      </c>
    </row>
    <row r="1161" ht="13" customHeight="1">
      <c r="A1161" s="4" t="n">
        <v>2044</v>
      </c>
      <c r="B1161" s="5" t="inlineStr">
        <is>
          <t>IMG_0094</t>
        </is>
      </c>
      <c r="C1161" s="5" t="inlineStr">
        <is>
          <t>CLASS I: PIPEWORK - PIPES</t>
        </is>
      </c>
      <c r="D1161" s="5" t="inlineStr">
        <is>
          <t>01 CLAY PIPES</t>
        </is>
      </c>
      <c r="E1161" s="5" t="inlineStr">
        <is>
          <t>300 mm pipes; in trenches, depth</t>
        </is>
      </c>
      <c r="F1161" s="5" t="inlineStr">
        <is>
          <t>extra for single junction; equal</t>
        </is>
      </c>
      <c r="G1161" s="6" t="inlineStr">
        <is>
          <t>nr</t>
        </is>
      </c>
      <c r="H1161" s="7" t="n">
        <v>0.19</v>
      </c>
      <c r="I1161" s="8" t="n">
        <v>26.25</v>
      </c>
      <c r="J1161" s="8" t="n">
        <v>0</v>
      </c>
      <c r="K1161" s="8" t="n">
        <v>1002.08</v>
      </c>
      <c r="L1161" s="8" t="n">
        <v>0</v>
      </c>
      <c r="M1161" s="9">
        <f>ROUND(SUM(I1161:L1161),2)</f>
        <v/>
      </c>
      <c r="N1161" s="10">
        <f>ROUND(I1161*'Irish Basis'!$C$6*'Irish Basis'!$C$5,2)</f>
        <v/>
      </c>
      <c r="O1161" s="10">
        <f>ROUND(J1161*'Irish Basis'!$C$7*'Irish Basis'!$C$5,2)</f>
        <v/>
      </c>
      <c r="P1161" s="10">
        <f>ROUND(K1161*'Irish Basis'!$C$8*'Irish Basis'!$C$5,2)</f>
        <v/>
      </c>
      <c r="Q1161" s="10">
        <f>ROUND(L1161*'Irish Basis'!$C$12*'Irish Basis'!$C$5,2)</f>
        <v/>
      </c>
      <c r="R1161" s="11">
        <f>ROUND(SUM(N1161:Q1161),2)</f>
        <v/>
      </c>
      <c r="S1161" s="5" t="inlineStr">
        <is>
          <t>Stated build-up</t>
        </is>
      </c>
      <c r="T1161" s="12" t="inlineStr">
        <is>
          <t>High</t>
        </is>
      </c>
      <c r="U1161" s="8" t="n">
        <v>1028.34</v>
      </c>
      <c r="V1161" s="13">
        <f>IF(U1161="","",ROUND(M1161-U1161,2))</f>
        <v/>
      </c>
      <c r="W1161" s="5" t="n"/>
      <c r="X1161" s="5" t="inlineStr">
        <is>
          <t>Labour + plant + material as published; reconciles to the published rate.</t>
        </is>
      </c>
    </row>
    <row r="1162" ht="13" customHeight="1">
      <c r="A1162" s="4" t="n">
        <v>2045</v>
      </c>
      <c r="B1162" s="5" t="inlineStr">
        <is>
          <t>IMG_0094</t>
        </is>
      </c>
      <c r="C1162" s="5" t="inlineStr">
        <is>
          <t>CLASS I: PIPEWORK - PIPES</t>
        </is>
      </c>
      <c r="D1162" s="5" t="inlineStr">
        <is>
          <t>01 CLAY PIPES</t>
        </is>
      </c>
      <c r="E1162" s="5" t="inlineStr">
        <is>
          <t>300 mm pipes; in trenches, depth</t>
        </is>
      </c>
      <c r="F1162" s="5" t="inlineStr">
        <is>
          <t>extra for saddle; oblique</t>
        </is>
      </c>
      <c r="G1162" s="6" t="inlineStr">
        <is>
          <t>nr</t>
        </is>
      </c>
      <c r="H1162" s="7" t="n">
        <v>0.44</v>
      </c>
      <c r="I1162" s="8" t="n">
        <v>60.8</v>
      </c>
      <c r="J1162" s="8" t="n">
        <v>0</v>
      </c>
      <c r="K1162" s="8" t="n">
        <v>594.86</v>
      </c>
      <c r="L1162" s="8" t="n">
        <v>0</v>
      </c>
      <c r="M1162" s="9">
        <f>ROUND(SUM(I1162:L1162),2)</f>
        <v/>
      </c>
      <c r="N1162" s="10">
        <f>ROUND(I1162*'Irish Basis'!$C$6*'Irish Basis'!$C$5,2)</f>
        <v/>
      </c>
      <c r="O1162" s="10">
        <f>ROUND(J1162*'Irish Basis'!$C$7*'Irish Basis'!$C$5,2)</f>
        <v/>
      </c>
      <c r="P1162" s="10">
        <f>ROUND(K1162*'Irish Basis'!$C$8*'Irish Basis'!$C$5,2)</f>
        <v/>
      </c>
      <c r="Q1162" s="10">
        <f>ROUND(L1162*'Irish Basis'!$C$12*'Irish Basis'!$C$5,2)</f>
        <v/>
      </c>
      <c r="R1162" s="11">
        <f>ROUND(SUM(N1162:Q1162),2)</f>
        <v/>
      </c>
      <c r="S1162" s="5" t="inlineStr">
        <is>
          <t>Stated build-up</t>
        </is>
      </c>
      <c r="T1162" s="12" t="inlineStr">
        <is>
          <t>High</t>
        </is>
      </c>
      <c r="U1162" s="8" t="n">
        <v>655.66</v>
      </c>
      <c r="V1162" s="13">
        <f>IF(U1162="","",ROUND(M1162-U1162,2))</f>
        <v/>
      </c>
      <c r="W1162" s="5" t="n"/>
      <c r="X1162" s="5" t="inlineStr">
        <is>
          <t>Labour + plant + material as published; reconciles to the published rate.</t>
        </is>
      </c>
    </row>
    <row r="1163" ht="13" customHeight="1">
      <c r="A1163" s="4" t="n">
        <v>2047</v>
      </c>
      <c r="B1163" s="5" t="inlineStr">
        <is>
          <t>IMG_0094</t>
        </is>
      </c>
      <c r="C1163" s="5" t="inlineStr">
        <is>
          <t>CLASS I: PIPEWORK - PIPES</t>
        </is>
      </c>
      <c r="D1163" s="5" t="inlineStr">
        <is>
          <t>01 CLAY PIPES</t>
        </is>
      </c>
      <c r="E1163" s="5" t="inlineStr">
        <is>
          <t>Vitrified clay pipes to BS EN295, spigot and socket joints with sealing ring; excavation and supports, backfilling; 100 mm pipes; in trenches, depth</t>
        </is>
      </c>
      <c r="F1163" s="5" t="inlineStr">
        <is>
          <t>not in trenches</t>
        </is>
      </c>
      <c r="G1163" s="6" t="inlineStr">
        <is>
          <t>m</t>
        </is>
      </c>
      <c r="H1163" s="7" t="n">
        <v>0.06</v>
      </c>
      <c r="I1163" s="8" t="n">
        <v>5.18</v>
      </c>
      <c r="J1163" s="8" t="n">
        <v>0.74</v>
      </c>
      <c r="K1163" s="8" t="n">
        <v>14.4</v>
      </c>
      <c r="L1163" s="8" t="n">
        <v>0</v>
      </c>
      <c r="M1163" s="9">
        <f>ROUND(SUM(I1163:L1163),2)</f>
        <v/>
      </c>
      <c r="N1163" s="10">
        <f>ROUND(I1163*'Irish Basis'!$C$6*'Irish Basis'!$C$5,2)</f>
        <v/>
      </c>
      <c r="O1163" s="10">
        <f>ROUND(J1163*'Irish Basis'!$C$7*'Irish Basis'!$C$5,2)</f>
        <v/>
      </c>
      <c r="P1163" s="10">
        <f>ROUND(K1163*'Irish Basis'!$C$8*'Irish Basis'!$C$5,2)</f>
        <v/>
      </c>
      <c r="Q1163" s="10">
        <f>ROUND(L1163*'Irish Basis'!$C$12*'Irish Basis'!$C$5,2)</f>
        <v/>
      </c>
      <c r="R1163" s="11">
        <f>ROUND(SUM(N1163:Q1163),2)</f>
        <v/>
      </c>
      <c r="S1163" s="5" t="inlineStr">
        <is>
          <t>Stated build-up</t>
        </is>
      </c>
      <c r="T1163" s="12" t="inlineStr">
        <is>
          <t>High</t>
        </is>
      </c>
      <c r="U1163" s="8" t="n">
        <v>20.32</v>
      </c>
      <c r="V1163" s="13">
        <f>IF(U1163="","",ROUND(M1163-U1163,2))</f>
        <v/>
      </c>
      <c r="W1163" s="5" t="n"/>
      <c r="X1163" s="5" t="inlineStr">
        <is>
          <t>Labour + plant + material as published; reconciles to the published rate.</t>
        </is>
      </c>
    </row>
    <row r="1164" ht="13" customHeight="1">
      <c r="A1164" s="4" t="n">
        <v>2048</v>
      </c>
      <c r="B1164" s="5" t="inlineStr">
        <is>
          <t>IMG_0094</t>
        </is>
      </c>
      <c r="C1164" s="5" t="inlineStr">
        <is>
          <t>CLASS I: PIPEWORK - PIPES</t>
        </is>
      </c>
      <c r="D1164" s="5" t="inlineStr">
        <is>
          <t>01 CLAY PIPES</t>
        </is>
      </c>
      <c r="E1164" s="5" t="inlineStr">
        <is>
          <t>Vitrified clay pipes to BS EN295, spigot and socket joints with sealing ring; excavation and supports, backfilling; 100 mm pipes; in trenches, depth</t>
        </is>
      </c>
      <c r="F1164" s="5" t="inlineStr">
        <is>
          <t>ne 1.50 m deep</t>
        </is>
      </c>
      <c r="G1164" s="6" t="inlineStr">
        <is>
          <t>m</t>
        </is>
      </c>
      <c r="H1164" s="7" t="n">
        <v>0.15</v>
      </c>
      <c r="I1164" s="8" t="n">
        <v>20.73</v>
      </c>
      <c r="J1164" s="8" t="n">
        <v>19.83</v>
      </c>
      <c r="K1164" s="8" t="n">
        <v>14.4</v>
      </c>
      <c r="L1164" s="8" t="n">
        <v>0</v>
      </c>
      <c r="M1164" s="9">
        <f>ROUND(SUM(I1164:L1164),2)</f>
        <v/>
      </c>
      <c r="N1164" s="10">
        <f>ROUND(I1164*'Irish Basis'!$C$6*'Irish Basis'!$C$5,2)</f>
        <v/>
      </c>
      <c r="O1164" s="10">
        <f>ROUND(J1164*'Irish Basis'!$C$7*'Irish Basis'!$C$5,2)</f>
        <v/>
      </c>
      <c r="P1164" s="10">
        <f>ROUND(K1164*'Irish Basis'!$C$8*'Irish Basis'!$C$5,2)</f>
        <v/>
      </c>
      <c r="Q1164" s="10">
        <f>ROUND(L1164*'Irish Basis'!$C$12*'Irish Basis'!$C$5,2)</f>
        <v/>
      </c>
      <c r="R1164" s="11">
        <f>ROUND(SUM(N1164:Q1164),2)</f>
        <v/>
      </c>
      <c r="S1164" s="5" t="inlineStr">
        <is>
          <t>Stated build-up</t>
        </is>
      </c>
      <c r="T1164" s="12" t="inlineStr">
        <is>
          <t>High</t>
        </is>
      </c>
      <c r="U1164" s="8" t="n">
        <v>54.96</v>
      </c>
      <c r="V1164" s="13">
        <f>IF(U1164="","",ROUND(M1164-U1164,2))</f>
        <v/>
      </c>
      <c r="W1164" s="5" t="n"/>
      <c r="X1164" s="5" t="inlineStr">
        <is>
          <t>Labour + plant + material as published; reconciles to the published rate.</t>
        </is>
      </c>
    </row>
    <row r="1165" ht="13" customHeight="1">
      <c r="A1165" s="4" t="n">
        <v>2049</v>
      </c>
      <c r="B1165" s="5" t="inlineStr">
        <is>
          <t>IMG_0094</t>
        </is>
      </c>
      <c r="C1165" s="5" t="inlineStr">
        <is>
          <t>CLASS I: PIPEWORK - PIPES</t>
        </is>
      </c>
      <c r="D1165" s="5" t="inlineStr">
        <is>
          <t>01 CLAY PIPES</t>
        </is>
      </c>
      <c r="E1165" s="5" t="inlineStr">
        <is>
          <t>Vitrified clay pipes to BS EN295, spigot and socket joints with sealing ring; excavation and supports, backfilling; 100 mm pipes; in trenches, depth</t>
        </is>
      </c>
      <c r="F1165" s="5" t="inlineStr">
        <is>
          <t>1.50-2.00 m deep</t>
        </is>
      </c>
      <c r="G1165" s="6" t="inlineStr">
        <is>
          <t>m</t>
        </is>
      </c>
      <c r="H1165" s="7" t="n">
        <v>0.19</v>
      </c>
      <c r="I1165" s="8" t="n">
        <v>26.25</v>
      </c>
      <c r="J1165" s="8" t="n">
        <v>24.83</v>
      </c>
      <c r="K1165" s="8" t="n">
        <v>14.4</v>
      </c>
      <c r="L1165" s="8" t="n">
        <v>0</v>
      </c>
      <c r="M1165" s="9">
        <f>ROUND(SUM(I1165:L1165),2)</f>
        <v/>
      </c>
      <c r="N1165" s="10">
        <f>ROUND(I1165*'Irish Basis'!$C$6*'Irish Basis'!$C$5,2)</f>
        <v/>
      </c>
      <c r="O1165" s="10">
        <f>ROUND(J1165*'Irish Basis'!$C$7*'Irish Basis'!$C$5,2)</f>
        <v/>
      </c>
      <c r="P1165" s="10">
        <f>ROUND(K1165*'Irish Basis'!$C$8*'Irish Basis'!$C$5,2)</f>
        <v/>
      </c>
      <c r="Q1165" s="10">
        <f>ROUND(L1165*'Irish Basis'!$C$12*'Irish Basis'!$C$5,2)</f>
        <v/>
      </c>
      <c r="R1165" s="11">
        <f>ROUND(SUM(N1165:Q1165),2)</f>
        <v/>
      </c>
      <c r="S1165" s="5" t="inlineStr">
        <is>
          <t>Stated build-up</t>
        </is>
      </c>
      <c r="T1165" s="12" t="inlineStr">
        <is>
          <t>High</t>
        </is>
      </c>
      <c r="U1165" s="8" t="n">
        <v>65.48</v>
      </c>
      <c r="V1165" s="13">
        <f>IF(U1165="","",ROUND(M1165-U1165,2))</f>
        <v/>
      </c>
      <c r="W1165" s="5" t="n"/>
      <c r="X1165" s="5" t="inlineStr">
        <is>
          <t>Labour + plant + material as published; reconciles to the published rate.</t>
        </is>
      </c>
    </row>
    <row r="1166" ht="13" customHeight="1">
      <c r="A1166" s="4" t="n">
        <v>2050</v>
      </c>
      <c r="B1166" s="5" t="inlineStr">
        <is>
          <t>IMG_0094</t>
        </is>
      </c>
      <c r="C1166" s="5" t="inlineStr">
        <is>
          <t>CLASS I: PIPEWORK - PIPES</t>
        </is>
      </c>
      <c r="D1166" s="5" t="inlineStr">
        <is>
          <t>01 CLAY PIPES</t>
        </is>
      </c>
      <c r="E1166" s="5" t="inlineStr">
        <is>
          <t>Vitrified clay pipes to BS EN295, spigot and socket joints with sealing ring; excavation and supports, backfilling; 100 mm pipes; in trenches, depth</t>
        </is>
      </c>
      <c r="F1166" s="5" t="inlineStr">
        <is>
          <t>2.00-2.50 m deep</t>
        </is>
      </c>
      <c r="G1166" s="6" t="inlineStr">
        <is>
          <t>m</t>
        </is>
      </c>
      <c r="H1166" s="7" t="n">
        <v>0.24</v>
      </c>
      <c r="I1166" s="8" t="n">
        <v>33.16</v>
      </c>
      <c r="J1166" s="8" t="n">
        <v>31.38</v>
      </c>
      <c r="K1166" s="8" t="n">
        <v>14.4</v>
      </c>
      <c r="L1166" s="8" t="n">
        <v>0</v>
      </c>
      <c r="M1166" s="9">
        <f>ROUND(SUM(I1166:L1166),2)</f>
        <v/>
      </c>
      <c r="N1166" s="10">
        <f>ROUND(I1166*'Irish Basis'!$C$6*'Irish Basis'!$C$5,2)</f>
        <v/>
      </c>
      <c r="O1166" s="10">
        <f>ROUND(J1166*'Irish Basis'!$C$7*'Irish Basis'!$C$5,2)</f>
        <v/>
      </c>
      <c r="P1166" s="10">
        <f>ROUND(K1166*'Irish Basis'!$C$8*'Irish Basis'!$C$5,2)</f>
        <v/>
      </c>
      <c r="Q1166" s="10">
        <f>ROUND(L1166*'Irish Basis'!$C$12*'Irish Basis'!$C$5,2)</f>
        <v/>
      </c>
      <c r="R1166" s="11">
        <f>ROUND(SUM(N1166:Q1166),2)</f>
        <v/>
      </c>
      <c r="S1166" s="5" t="inlineStr">
        <is>
          <t>Stated build-up</t>
        </is>
      </c>
      <c r="T1166" s="12" t="inlineStr">
        <is>
          <t>High</t>
        </is>
      </c>
      <c r="U1166" s="8" t="n">
        <v>78.94</v>
      </c>
      <c r="V1166" s="13">
        <f>IF(U1166="","",ROUND(M1166-U1166,2))</f>
        <v/>
      </c>
      <c r="W1166" s="5" t="n"/>
      <c r="X1166" s="5" t="inlineStr">
        <is>
          <t>Labour + plant + material as published; reconciles to the published rate.</t>
        </is>
      </c>
    </row>
    <row r="1167" ht="13" customHeight="1">
      <c r="A1167" s="4" t="n">
        <v>2051</v>
      </c>
      <c r="B1167" s="5" t="inlineStr">
        <is>
          <t>IMG_0094</t>
        </is>
      </c>
      <c r="C1167" s="5" t="inlineStr">
        <is>
          <t>CLASS I: PIPEWORK - PIPES</t>
        </is>
      </c>
      <c r="D1167" s="5" t="inlineStr">
        <is>
          <t>01 CLAY PIPES</t>
        </is>
      </c>
      <c r="E1167" s="5" t="inlineStr">
        <is>
          <t>Vitrified clay pipes to BS EN295, spigot and socket joints with sealing ring; excavation and supports, backfilling; 100 mm pipes; in trenches, depth</t>
        </is>
      </c>
      <c r="F1167" s="5" t="inlineStr">
        <is>
          <t>2.50-3.00 m deep</t>
        </is>
      </c>
      <c r="G1167" s="6" t="inlineStr">
        <is>
          <t>m</t>
        </is>
      </c>
      <c r="H1167" s="7" t="n">
        <v>0.29</v>
      </c>
      <c r="I1167" s="8" t="n">
        <v>40.07</v>
      </c>
      <c r="J1167" s="8" t="n">
        <v>37.95</v>
      </c>
      <c r="K1167" s="8" t="n">
        <v>14.4</v>
      </c>
      <c r="L1167" s="8" t="n">
        <v>0</v>
      </c>
      <c r="M1167" s="9">
        <f>ROUND(SUM(I1167:L1167),2)</f>
        <v/>
      </c>
      <c r="N1167" s="10">
        <f>ROUND(I1167*'Irish Basis'!$C$6*'Irish Basis'!$C$5,2)</f>
        <v/>
      </c>
      <c r="O1167" s="10">
        <f>ROUND(J1167*'Irish Basis'!$C$7*'Irish Basis'!$C$5,2)</f>
        <v/>
      </c>
      <c r="P1167" s="10">
        <f>ROUND(K1167*'Irish Basis'!$C$8*'Irish Basis'!$C$5,2)</f>
        <v/>
      </c>
      <c r="Q1167" s="10">
        <f>ROUND(L1167*'Irish Basis'!$C$12*'Irish Basis'!$C$5,2)</f>
        <v/>
      </c>
      <c r="R1167" s="11">
        <f>ROUND(SUM(N1167:Q1167),2)</f>
        <v/>
      </c>
      <c r="S1167" s="5" t="inlineStr">
        <is>
          <t>Stated build-up</t>
        </is>
      </c>
      <c r="T1167" s="12" t="inlineStr">
        <is>
          <t>High</t>
        </is>
      </c>
      <c r="U1167" s="8" t="n">
        <v>92.42</v>
      </c>
      <c r="V1167" s="13">
        <f>IF(U1167="","",ROUND(M1167-U1167,2))</f>
        <v/>
      </c>
      <c r="W1167" s="5" t="n"/>
      <c r="X1167" s="5" t="inlineStr">
        <is>
          <t>Labour + plant + material as published; reconciles to the published rate.</t>
        </is>
      </c>
    </row>
    <row r="1168" ht="13" customHeight="1">
      <c r="A1168" s="4" t="n">
        <v>2052</v>
      </c>
      <c r="B1168" s="5" t="inlineStr">
        <is>
          <t>IMG_0094</t>
        </is>
      </c>
      <c r="C1168" s="5" t="inlineStr">
        <is>
          <t>CLASS I: PIPEWORK - PIPES</t>
        </is>
      </c>
      <c r="D1168" s="5" t="inlineStr">
        <is>
          <t>01 CLAY PIPES</t>
        </is>
      </c>
      <c r="E1168" s="5" t="inlineStr">
        <is>
          <t>Vitrified clay pipes to BS EN295, spigot and socket joints with sealing ring; excavation and supports, backfilling; 100 mm pipes; in trenches, depth</t>
        </is>
      </c>
      <c r="F1168" s="5" t="inlineStr">
        <is>
          <t>3.00-3.50 m deep</t>
        </is>
      </c>
      <c r="G1168" s="6" t="inlineStr">
        <is>
          <t>m</t>
        </is>
      </c>
      <c r="H1168" s="7" t="n">
        <v>0.36</v>
      </c>
      <c r="I1168" s="8" t="n">
        <v>49.74</v>
      </c>
      <c r="J1168" s="8" t="n">
        <v>47.11</v>
      </c>
      <c r="K1168" s="8" t="n">
        <v>14.4</v>
      </c>
      <c r="L1168" s="8" t="n">
        <v>0</v>
      </c>
      <c r="M1168" s="9">
        <f>ROUND(SUM(I1168:L1168),2)</f>
        <v/>
      </c>
      <c r="N1168" s="10">
        <f>ROUND(I1168*'Irish Basis'!$C$6*'Irish Basis'!$C$5,2)</f>
        <v/>
      </c>
      <c r="O1168" s="10">
        <f>ROUND(J1168*'Irish Basis'!$C$7*'Irish Basis'!$C$5,2)</f>
        <v/>
      </c>
      <c r="P1168" s="10">
        <f>ROUND(K1168*'Irish Basis'!$C$8*'Irish Basis'!$C$5,2)</f>
        <v/>
      </c>
      <c r="Q1168" s="10">
        <f>ROUND(L1168*'Irish Basis'!$C$12*'Irish Basis'!$C$5,2)</f>
        <v/>
      </c>
      <c r="R1168" s="11">
        <f>ROUND(SUM(N1168:Q1168),2)</f>
        <v/>
      </c>
      <c r="S1168" s="5" t="inlineStr">
        <is>
          <t>Stated build-up</t>
        </is>
      </c>
      <c r="T1168" s="12" t="inlineStr">
        <is>
          <t>High</t>
        </is>
      </c>
      <c r="U1168" s="8" t="n">
        <v>111.26</v>
      </c>
      <c r="V1168" s="13">
        <f>IF(U1168="","",ROUND(M1168-U1168,2))</f>
        <v/>
      </c>
      <c r="W1168" s="5" t="n"/>
      <c r="X1168" s="5" t="inlineStr">
        <is>
          <t>Labour + plant + material as published; reconciles to the published rate.</t>
        </is>
      </c>
    </row>
    <row r="1169" ht="13" customHeight="1">
      <c r="A1169" s="4" t="n">
        <v>2053</v>
      </c>
      <c r="B1169" s="5" t="inlineStr">
        <is>
          <t>IMG_0094</t>
        </is>
      </c>
      <c r="C1169" s="5" t="inlineStr">
        <is>
          <t>CLASS I: PIPEWORK - PIPES</t>
        </is>
      </c>
      <c r="D1169" s="5" t="inlineStr">
        <is>
          <t>01 CLAY PIPES</t>
        </is>
      </c>
      <c r="E1169" s="5" t="inlineStr">
        <is>
          <t>Vitrified clay pipes to BS EN295, spigot and socket joints with sealing ring; excavation and supports, backfilling; 100 mm pipes; in trenches, depth</t>
        </is>
      </c>
      <c r="F1169" s="5" t="inlineStr">
        <is>
          <t>3.50-4.00 m deep</t>
        </is>
      </c>
      <c r="G1169" s="6" t="inlineStr">
        <is>
          <t>m</t>
        </is>
      </c>
      <c r="H1169" s="7" t="n">
        <v>0.44</v>
      </c>
      <c r="I1169" s="8" t="n">
        <v>60.8</v>
      </c>
      <c r="J1169" s="8" t="n">
        <v>57.62</v>
      </c>
      <c r="K1169" s="8" t="n">
        <v>14.4</v>
      </c>
      <c r="L1169" s="8" t="n">
        <v>0</v>
      </c>
      <c r="M1169" s="9">
        <f>ROUND(SUM(I1169:L1169),2)</f>
        <v/>
      </c>
      <c r="N1169" s="10">
        <f>ROUND(I1169*'Irish Basis'!$C$6*'Irish Basis'!$C$5,2)</f>
        <v/>
      </c>
      <c r="O1169" s="10">
        <f>ROUND(J1169*'Irish Basis'!$C$7*'Irish Basis'!$C$5,2)</f>
        <v/>
      </c>
      <c r="P1169" s="10">
        <f>ROUND(K1169*'Irish Basis'!$C$8*'Irish Basis'!$C$5,2)</f>
        <v/>
      </c>
      <c r="Q1169" s="10">
        <f>ROUND(L1169*'Irish Basis'!$C$12*'Irish Basis'!$C$5,2)</f>
        <v/>
      </c>
      <c r="R1169" s="11">
        <f>ROUND(SUM(N1169:Q1169),2)</f>
        <v/>
      </c>
      <c r="S1169" s="5" t="inlineStr">
        <is>
          <t>Stated build-up</t>
        </is>
      </c>
      <c r="T1169" s="12" t="inlineStr">
        <is>
          <t>High</t>
        </is>
      </c>
      <c r="U1169" s="8" t="n">
        <v>132.82</v>
      </c>
      <c r="V1169" s="13">
        <f>IF(U1169="","",ROUND(M1169-U1169,2))</f>
        <v/>
      </c>
      <c r="W1169" s="5" t="n"/>
      <c r="X1169" s="5" t="inlineStr">
        <is>
          <t>Labour + plant + material as published; reconciles to the published rate.</t>
        </is>
      </c>
    </row>
    <row r="1170" ht="13" customHeight="1">
      <c r="A1170" s="4" t="n">
        <v>2054</v>
      </c>
      <c r="B1170" s="5" t="inlineStr">
        <is>
          <t>IMG_0094</t>
        </is>
      </c>
      <c r="C1170" s="5" t="inlineStr">
        <is>
          <t>CLASS I: PIPEWORK - PIPES</t>
        </is>
      </c>
      <c r="D1170" s="5" t="inlineStr">
        <is>
          <t>01 CLAY PIPES</t>
        </is>
      </c>
      <c r="E1170" s="5" t="inlineStr">
        <is>
          <t>Vitrified clay pipes to BS EN295, spigot and socket joints with sealing ring; excavation and supports, backfilling; 100 mm pipes; in trenches, depth</t>
        </is>
      </c>
      <c r="F1170" s="5" t="inlineStr">
        <is>
          <t>4.00-4.50 m deep</t>
        </is>
      </c>
      <c r="G1170" s="6" t="inlineStr">
        <is>
          <t>m</t>
        </is>
      </c>
      <c r="H1170" s="7" t="n">
        <v>0.55</v>
      </c>
      <c r="I1170" s="8" t="n">
        <v>76</v>
      </c>
      <c r="J1170" s="8" t="n">
        <v>72.03</v>
      </c>
      <c r="K1170" s="8" t="n">
        <v>14.4</v>
      </c>
      <c r="L1170" s="8" t="n">
        <v>0</v>
      </c>
      <c r="M1170" s="9">
        <f>ROUND(SUM(I1170:L1170),2)</f>
        <v/>
      </c>
      <c r="N1170" s="10">
        <f>ROUND(I1170*'Irish Basis'!$C$6*'Irish Basis'!$C$5,2)</f>
        <v/>
      </c>
      <c r="O1170" s="10">
        <f>ROUND(J1170*'Irish Basis'!$C$7*'Irish Basis'!$C$5,2)</f>
        <v/>
      </c>
      <c r="P1170" s="10">
        <f>ROUND(K1170*'Irish Basis'!$C$8*'Irish Basis'!$C$5,2)</f>
        <v/>
      </c>
      <c r="Q1170" s="10">
        <f>ROUND(L1170*'Irish Basis'!$C$12*'Irish Basis'!$C$5,2)</f>
        <v/>
      </c>
      <c r="R1170" s="11">
        <f>ROUND(SUM(N1170:Q1170),2)</f>
        <v/>
      </c>
      <c r="S1170" s="5" t="inlineStr">
        <is>
          <t>Stated build-up</t>
        </is>
      </c>
      <c r="T1170" s="12" t="inlineStr">
        <is>
          <t>High</t>
        </is>
      </c>
      <c r="U1170" s="8" t="n">
        <v>162.43</v>
      </c>
      <c r="V1170" s="13">
        <f>IF(U1170="","",ROUND(M1170-U1170,2))</f>
        <v/>
      </c>
      <c r="W1170" s="5" t="n"/>
      <c r="X1170" s="5" t="inlineStr">
        <is>
          <t>Labour + plant + material as published; reconciles to the published rate.</t>
        </is>
      </c>
    </row>
    <row r="1171" ht="13" customHeight="1">
      <c r="A1171" s="4" t="n">
        <v>2055</v>
      </c>
      <c r="B1171" s="5" t="inlineStr">
        <is>
          <t>IMG_0094</t>
        </is>
      </c>
      <c r="C1171" s="5" t="inlineStr">
        <is>
          <t>CLASS I: PIPEWORK - PIPES</t>
        </is>
      </c>
      <c r="D1171" s="5" t="inlineStr">
        <is>
          <t>01 CLAY PIPES</t>
        </is>
      </c>
      <c r="E1171" s="5" t="inlineStr">
        <is>
          <t>Vitrified clay pipes to BS EN295, spigot and socket joints with sealing ring; excavation and supports, backfilling; 100 mm pipes; in trenches, depth</t>
        </is>
      </c>
      <c r="F1171" s="5" t="inlineStr">
        <is>
          <t>4.50-5.00 m deep</t>
        </is>
      </c>
      <c r="G1171" s="6" t="inlineStr">
        <is>
          <t>m</t>
        </is>
      </c>
      <c r="H1171" s="7" t="n">
        <v>0.7</v>
      </c>
      <c r="I1171" s="8" t="n">
        <v>96.73</v>
      </c>
      <c r="J1171" s="8" t="n">
        <v>91.76000000000001</v>
      </c>
      <c r="K1171" s="8" t="n">
        <v>14.4</v>
      </c>
      <c r="L1171" s="8" t="n">
        <v>0</v>
      </c>
      <c r="M1171" s="9">
        <f>ROUND(SUM(I1171:L1171),2)</f>
        <v/>
      </c>
      <c r="N1171" s="10">
        <f>ROUND(I1171*'Irish Basis'!$C$6*'Irish Basis'!$C$5,2)</f>
        <v/>
      </c>
      <c r="O1171" s="10">
        <f>ROUND(J1171*'Irish Basis'!$C$7*'Irish Basis'!$C$5,2)</f>
        <v/>
      </c>
      <c r="P1171" s="10">
        <f>ROUND(K1171*'Irish Basis'!$C$8*'Irish Basis'!$C$5,2)</f>
        <v/>
      </c>
      <c r="Q1171" s="10">
        <f>ROUND(L1171*'Irish Basis'!$C$12*'Irish Basis'!$C$5,2)</f>
        <v/>
      </c>
      <c r="R1171" s="11">
        <f>ROUND(SUM(N1171:Q1171),2)</f>
        <v/>
      </c>
      <c r="S1171" s="5" t="inlineStr">
        <is>
          <t>Stated build-up</t>
        </is>
      </c>
      <c r="T1171" s="12" t="inlineStr">
        <is>
          <t>High</t>
        </is>
      </c>
      <c r="U1171" s="8" t="n">
        <v>202.89</v>
      </c>
      <c r="V1171" s="13">
        <f>IF(U1171="","",ROUND(M1171-U1171,2))</f>
        <v/>
      </c>
      <c r="W1171" s="5" t="n"/>
      <c r="X1171" s="5" t="inlineStr">
        <is>
          <t>Labour + plant + material as published; reconciles to the published rate.</t>
        </is>
      </c>
    </row>
    <row r="1172" ht="13" customHeight="1">
      <c r="A1172" s="4" t="n">
        <v>2056</v>
      </c>
      <c r="B1172" s="5" t="inlineStr">
        <is>
          <t>IMG_0094</t>
        </is>
      </c>
      <c r="C1172" s="5" t="inlineStr">
        <is>
          <t>CLASS I: PIPEWORK - PIPES</t>
        </is>
      </c>
      <c r="D1172" s="5" t="inlineStr">
        <is>
          <t>01 CLAY PIPES</t>
        </is>
      </c>
      <c r="E1172" s="5" t="inlineStr">
        <is>
          <t>Vitrified clay pipes to BS EN295, spigot and socket joints with sealing ring; excavation and supports, backfilling; 100 mm pipes; in trenches, depth</t>
        </is>
      </c>
      <c r="F1172" s="5" t="inlineStr">
        <is>
          <t>5.00-5.50 m deep</t>
        </is>
      </c>
      <c r="G1172" s="6" t="inlineStr">
        <is>
          <t>m</t>
        </is>
      </c>
      <c r="H1172" s="7" t="n">
        <v>0.9</v>
      </c>
      <c r="I1172" s="8" t="n">
        <v>124.36</v>
      </c>
      <c r="J1172" s="8" t="n">
        <v>118</v>
      </c>
      <c r="K1172" s="8" t="n">
        <v>14.4</v>
      </c>
      <c r="L1172" s="8" t="n">
        <v>0</v>
      </c>
      <c r="M1172" s="9">
        <f>ROUND(SUM(I1172:L1172),2)</f>
        <v/>
      </c>
      <c r="N1172" s="10">
        <f>ROUND(I1172*'Irish Basis'!$C$6*'Irish Basis'!$C$5,2)</f>
        <v/>
      </c>
      <c r="O1172" s="10">
        <f>ROUND(J1172*'Irish Basis'!$C$7*'Irish Basis'!$C$5,2)</f>
        <v/>
      </c>
      <c r="P1172" s="10">
        <f>ROUND(K1172*'Irish Basis'!$C$8*'Irish Basis'!$C$5,2)</f>
        <v/>
      </c>
      <c r="Q1172" s="10">
        <f>ROUND(L1172*'Irish Basis'!$C$12*'Irish Basis'!$C$5,2)</f>
        <v/>
      </c>
      <c r="R1172" s="11">
        <f>ROUND(SUM(N1172:Q1172),2)</f>
        <v/>
      </c>
      <c r="S1172" s="5" t="inlineStr">
        <is>
          <t>Stated build-up</t>
        </is>
      </c>
      <c r="T1172" s="12" t="inlineStr">
        <is>
          <t>High</t>
        </is>
      </c>
      <c r="U1172" s="8" t="n">
        <v>256.77</v>
      </c>
      <c r="V1172" s="13">
        <f>IF(U1172="","",ROUND(M1172-U1172,2))</f>
        <v/>
      </c>
      <c r="W1172" s="5" t="n"/>
      <c r="X1172" s="5" t="inlineStr">
        <is>
          <t>Labour + plant + material as published; reconciles to the published rate.</t>
        </is>
      </c>
    </row>
    <row r="1173" ht="13" customHeight="1">
      <c r="A1173" s="4" t="n">
        <v>2057</v>
      </c>
      <c r="B1173" s="5" t="inlineStr">
        <is>
          <t>IMG_0094</t>
        </is>
      </c>
      <c r="C1173" s="5" t="inlineStr">
        <is>
          <t>CLASS I: PIPEWORK - PIPES</t>
        </is>
      </c>
      <c r="D1173" s="5" t="inlineStr">
        <is>
          <t>01 CLAY PIPES</t>
        </is>
      </c>
      <c r="E1173" s="5" t="inlineStr">
        <is>
          <t>Vitrified clay pipes to BS EN295, spigot and socket joints with sealing ring; excavation and supports, backfilling; 100 mm pipes; in trenches, depth</t>
        </is>
      </c>
      <c r="F1173" s="5" t="inlineStr">
        <is>
          <t>extra for bend</t>
        </is>
      </c>
      <c r="G1173" s="6" t="inlineStr">
        <is>
          <t>nr</t>
        </is>
      </c>
      <c r="H1173" s="7" t="n">
        <v>0.05</v>
      </c>
      <c r="I1173" s="8" t="n">
        <v>6.91</v>
      </c>
      <c r="J1173" s="8" t="n">
        <v>0</v>
      </c>
      <c r="K1173" s="8" t="n">
        <v>60.75</v>
      </c>
      <c r="L1173" s="8" t="n">
        <v>0</v>
      </c>
      <c r="M1173" s="9">
        <f>ROUND(SUM(I1173:L1173),2)</f>
        <v/>
      </c>
      <c r="N1173" s="10">
        <f>ROUND(I1173*'Irish Basis'!$C$6*'Irish Basis'!$C$5,2)</f>
        <v/>
      </c>
      <c r="O1173" s="10">
        <f>ROUND(J1173*'Irish Basis'!$C$7*'Irish Basis'!$C$5,2)</f>
        <v/>
      </c>
      <c r="P1173" s="10">
        <f>ROUND(K1173*'Irish Basis'!$C$8*'Irish Basis'!$C$5,2)</f>
        <v/>
      </c>
      <c r="Q1173" s="10">
        <f>ROUND(L1173*'Irish Basis'!$C$12*'Irish Basis'!$C$5,2)</f>
        <v/>
      </c>
      <c r="R1173" s="11">
        <f>ROUND(SUM(N1173:Q1173),2)</f>
        <v/>
      </c>
      <c r="S1173" s="5" t="inlineStr">
        <is>
          <t>Stated build-up</t>
        </is>
      </c>
      <c r="T1173" s="12" t="inlineStr">
        <is>
          <t>High</t>
        </is>
      </c>
      <c r="U1173" s="8" t="n">
        <v>67.65000000000001</v>
      </c>
      <c r="V1173" s="13">
        <f>IF(U1173="","",ROUND(M1173-U1173,2))</f>
        <v/>
      </c>
      <c r="W1173" s="5" t="n"/>
      <c r="X1173" s="5" t="inlineStr">
        <is>
          <t>Labour + plant + material as published; reconciles to the published rate.</t>
        </is>
      </c>
    </row>
    <row r="1174" ht="13" customHeight="1">
      <c r="A1174" s="4" t="n">
        <v>2058</v>
      </c>
      <c r="B1174" s="5" t="inlineStr">
        <is>
          <t>IMG_0094</t>
        </is>
      </c>
      <c r="C1174" s="5" t="inlineStr">
        <is>
          <t>CLASS I: PIPEWORK - PIPES</t>
        </is>
      </c>
      <c r="D1174" s="5" t="inlineStr">
        <is>
          <t>01 CLAY PIPES</t>
        </is>
      </c>
      <c r="E1174" s="5" t="inlineStr">
        <is>
          <t>Vitrified clay pipes to BS EN295, spigot and socket joints with sealing ring; excavation and supports, backfilling; 100 mm pipes; in trenches, depth</t>
        </is>
      </c>
      <c r="F1174" s="5" t="inlineStr">
        <is>
          <t>extra for rest bend</t>
        </is>
      </c>
      <c r="G1174" s="6" t="inlineStr">
        <is>
          <t>nr</t>
        </is>
      </c>
      <c r="H1174" s="7" t="n">
        <v>0.12</v>
      </c>
      <c r="I1174" s="8" t="n">
        <v>16.58</v>
      </c>
      <c r="J1174" s="8" t="n">
        <v>0</v>
      </c>
      <c r="K1174" s="8" t="n">
        <v>45.21</v>
      </c>
      <c r="L1174" s="8" t="n">
        <v>0</v>
      </c>
      <c r="M1174" s="9">
        <f>ROUND(SUM(I1174:L1174),2)</f>
        <v/>
      </c>
      <c r="N1174" s="10">
        <f>ROUND(I1174*'Irish Basis'!$C$6*'Irish Basis'!$C$5,2)</f>
        <v/>
      </c>
      <c r="O1174" s="10">
        <f>ROUND(J1174*'Irish Basis'!$C$7*'Irish Basis'!$C$5,2)</f>
        <v/>
      </c>
      <c r="P1174" s="10">
        <f>ROUND(K1174*'Irish Basis'!$C$8*'Irish Basis'!$C$5,2)</f>
        <v/>
      </c>
      <c r="Q1174" s="10">
        <f>ROUND(L1174*'Irish Basis'!$C$12*'Irish Basis'!$C$5,2)</f>
        <v/>
      </c>
      <c r="R1174" s="11">
        <f>ROUND(SUM(N1174:Q1174),2)</f>
        <v/>
      </c>
      <c r="S1174" s="5" t="inlineStr">
        <is>
          <t>Stated build-up</t>
        </is>
      </c>
      <c r="T1174" s="12" t="inlineStr">
        <is>
          <t>High</t>
        </is>
      </c>
      <c r="U1174" s="8" t="n">
        <v>61.79</v>
      </c>
      <c r="V1174" s="13">
        <f>IF(U1174="","",ROUND(M1174-U1174,2))</f>
        <v/>
      </c>
      <c r="W1174" s="5" t="n"/>
      <c r="X1174" s="5" t="inlineStr">
        <is>
          <t>Labour + plant + material as published; reconciles to the published rate.</t>
        </is>
      </c>
    </row>
    <row r="1175" ht="13" customHeight="1">
      <c r="A1175" s="4" t="n">
        <v>2059</v>
      </c>
      <c r="B1175" s="5" t="inlineStr">
        <is>
          <t>IMG_0094</t>
        </is>
      </c>
      <c r="C1175" s="5" t="inlineStr">
        <is>
          <t>CLASS I: PIPEWORK - PIPES</t>
        </is>
      </c>
      <c r="D1175" s="5" t="inlineStr">
        <is>
          <t>01 CLAY PIPES</t>
        </is>
      </c>
      <c r="E1175" s="5" t="inlineStr">
        <is>
          <t>Vitrified clay pipes to BS EN295, spigot and socket joints with sealing ring; excavation and supports, backfilling; 100 mm pipes; in trenches, depth</t>
        </is>
      </c>
      <c r="F1175" s="5" t="inlineStr">
        <is>
          <t>extra for single junction; equal</t>
        </is>
      </c>
      <c r="G1175" s="6" t="inlineStr">
        <is>
          <t>nr</t>
        </is>
      </c>
      <c r="H1175" s="7" t="n">
        <v>0.09</v>
      </c>
      <c r="I1175" s="8" t="n">
        <v>12.44</v>
      </c>
      <c r="J1175" s="8" t="n">
        <v>0</v>
      </c>
      <c r="K1175" s="8" t="n">
        <v>45.48</v>
      </c>
      <c r="L1175" s="8" t="n">
        <v>0</v>
      </c>
      <c r="M1175" s="9">
        <f>ROUND(SUM(I1175:L1175),2)</f>
        <v/>
      </c>
      <c r="N1175" s="10">
        <f>ROUND(I1175*'Irish Basis'!$C$6*'Irish Basis'!$C$5,2)</f>
        <v/>
      </c>
      <c r="O1175" s="10">
        <f>ROUND(J1175*'Irish Basis'!$C$7*'Irish Basis'!$C$5,2)</f>
        <v/>
      </c>
      <c r="P1175" s="10">
        <f>ROUND(K1175*'Irish Basis'!$C$8*'Irish Basis'!$C$5,2)</f>
        <v/>
      </c>
      <c r="Q1175" s="10">
        <f>ROUND(L1175*'Irish Basis'!$C$12*'Irish Basis'!$C$5,2)</f>
        <v/>
      </c>
      <c r="R1175" s="11">
        <f>ROUND(SUM(N1175:Q1175),2)</f>
        <v/>
      </c>
      <c r="S1175" s="5" t="inlineStr">
        <is>
          <t>Stated build-up</t>
        </is>
      </c>
      <c r="T1175" s="12" t="inlineStr">
        <is>
          <t>High</t>
        </is>
      </c>
      <c r="U1175" s="8" t="n">
        <v>57.92</v>
      </c>
      <c r="V1175" s="13">
        <f>IF(U1175="","",ROUND(M1175-U1175,2))</f>
        <v/>
      </c>
      <c r="W1175" s="5" t="n"/>
      <c r="X1175" s="5" t="inlineStr">
        <is>
          <t>Labour + plant + material as published; reconciles to the published rate.</t>
        </is>
      </c>
    </row>
    <row r="1176" ht="13" customHeight="1">
      <c r="A1176" s="4" t="n">
        <v>2060</v>
      </c>
      <c r="B1176" s="5" t="inlineStr">
        <is>
          <t>IMG_0094</t>
        </is>
      </c>
      <c r="C1176" s="5" t="inlineStr">
        <is>
          <t>CLASS I: PIPEWORK - PIPES</t>
        </is>
      </c>
      <c r="D1176" s="5" t="inlineStr">
        <is>
          <t>01 CLAY PIPES</t>
        </is>
      </c>
      <c r="E1176" s="5" t="inlineStr">
        <is>
          <t>Vitrified clay pipes to BS EN295, spigot and socket joints with sealing ring; excavation and supports, backfilling; 100 mm pipes; in trenches, depth</t>
        </is>
      </c>
      <c r="F1176" s="5" t="inlineStr">
        <is>
          <t>extra for saddle; oblique</t>
        </is>
      </c>
      <c r="G1176" s="6" t="inlineStr">
        <is>
          <t>nr</t>
        </is>
      </c>
      <c r="H1176" s="7" t="n">
        <v>0.23</v>
      </c>
      <c r="I1176" s="8" t="n">
        <v>31.78</v>
      </c>
      <c r="J1176" s="8" t="n">
        <v>0</v>
      </c>
      <c r="K1176" s="8" t="n">
        <v>49.78</v>
      </c>
      <c r="L1176" s="8" t="n">
        <v>0</v>
      </c>
      <c r="M1176" s="9">
        <f>ROUND(SUM(I1176:L1176),2)</f>
        <v/>
      </c>
      <c r="N1176" s="10">
        <f>ROUND(I1176*'Irish Basis'!$C$6*'Irish Basis'!$C$5,2)</f>
        <v/>
      </c>
      <c r="O1176" s="10">
        <f>ROUND(J1176*'Irish Basis'!$C$7*'Irish Basis'!$C$5,2)</f>
        <v/>
      </c>
      <c r="P1176" s="10">
        <f>ROUND(K1176*'Irish Basis'!$C$8*'Irish Basis'!$C$5,2)</f>
        <v/>
      </c>
      <c r="Q1176" s="10">
        <f>ROUND(L1176*'Irish Basis'!$C$12*'Irish Basis'!$C$5,2)</f>
        <v/>
      </c>
      <c r="R1176" s="11">
        <f>ROUND(SUM(N1176:Q1176),2)</f>
        <v/>
      </c>
      <c r="S1176" s="5" t="inlineStr">
        <is>
          <t>Stated build-up</t>
        </is>
      </c>
      <c r="T1176" s="12" t="inlineStr">
        <is>
          <t>High</t>
        </is>
      </c>
      <c r="U1176" s="8" t="n">
        <v>81.56</v>
      </c>
      <c r="V1176" s="13">
        <f>IF(U1176="","",ROUND(M1176-U1176,2))</f>
        <v/>
      </c>
      <c r="W1176" s="5" t="n"/>
      <c r="X1176" s="5" t="inlineStr">
        <is>
          <t>Labour + plant + material as published; reconciles to the published rate.</t>
        </is>
      </c>
    </row>
    <row r="1177" ht="13" customHeight="1">
      <c r="A1177" s="4" t="n">
        <v>2062</v>
      </c>
      <c r="B1177" s="5" t="inlineStr">
        <is>
          <t>IMG_0094</t>
        </is>
      </c>
      <c r="C1177" s="5" t="inlineStr">
        <is>
          <t>CLASS I: PIPEWORK - PIPES</t>
        </is>
      </c>
      <c r="D1177" s="5" t="inlineStr">
        <is>
          <t>01 CLAY PIPES</t>
        </is>
      </c>
      <c r="E1177" s="5" t="inlineStr">
        <is>
          <t>150 mm pipes; in trenches, depth</t>
        </is>
      </c>
      <c r="F1177" s="5" t="inlineStr">
        <is>
          <t>not in trenches</t>
        </is>
      </c>
      <c r="G1177" s="6" t="inlineStr">
        <is>
          <t>m</t>
        </is>
      </c>
      <c r="H1177" s="7" t="n">
        <v>0.06</v>
      </c>
      <c r="I1177" s="8" t="n">
        <v>5.18</v>
      </c>
      <c r="J1177" s="8" t="n">
        <v>0.65</v>
      </c>
      <c r="K1177" s="8" t="n">
        <v>21.94</v>
      </c>
      <c r="L1177" s="8" t="n">
        <v>0</v>
      </c>
      <c r="M1177" s="9">
        <f>ROUND(SUM(I1177:L1177),2)</f>
        <v/>
      </c>
      <c r="N1177" s="10">
        <f>ROUND(I1177*'Irish Basis'!$C$6*'Irish Basis'!$C$5,2)</f>
        <v/>
      </c>
      <c r="O1177" s="10">
        <f>ROUND(J1177*'Irish Basis'!$C$7*'Irish Basis'!$C$5,2)</f>
        <v/>
      </c>
      <c r="P1177" s="10">
        <f>ROUND(K1177*'Irish Basis'!$C$8*'Irish Basis'!$C$5,2)</f>
        <v/>
      </c>
      <c r="Q1177" s="10">
        <f>ROUND(L1177*'Irish Basis'!$C$12*'Irish Basis'!$C$5,2)</f>
        <v/>
      </c>
      <c r="R1177" s="11">
        <f>ROUND(SUM(N1177:Q1177),2)</f>
        <v/>
      </c>
      <c r="S1177" s="5" t="inlineStr">
        <is>
          <t>Stated build-up</t>
        </is>
      </c>
      <c r="T1177" s="12" t="inlineStr">
        <is>
          <t>High</t>
        </is>
      </c>
      <c r="U1177" s="8" t="n">
        <v>27.77</v>
      </c>
      <c r="V1177" s="13">
        <f>IF(U1177="","",ROUND(M1177-U1177,2))</f>
        <v/>
      </c>
      <c r="W1177" s="5" t="n"/>
      <c r="X1177" s="5" t="inlineStr">
        <is>
          <t>Labour + plant + material as published; reconciles to the published rate.</t>
        </is>
      </c>
    </row>
    <row r="1178" ht="13" customHeight="1">
      <c r="A1178" s="4" t="n">
        <v>2063</v>
      </c>
      <c r="B1178" s="5" t="inlineStr">
        <is>
          <t>IMG_0094</t>
        </is>
      </c>
      <c r="C1178" s="5" t="inlineStr">
        <is>
          <t>CLASS I: PIPEWORK - PIPES</t>
        </is>
      </c>
      <c r="D1178" s="5" t="inlineStr">
        <is>
          <t>01 CLAY PIPES</t>
        </is>
      </c>
      <c r="E1178" s="5" t="inlineStr">
        <is>
          <t>150 mm pipes; in trenches, depth</t>
        </is>
      </c>
      <c r="F1178" s="5" t="inlineStr">
        <is>
          <t>ne 1.50 m deep</t>
        </is>
      </c>
      <c r="G1178" s="6" t="inlineStr">
        <is>
          <t>m</t>
        </is>
      </c>
      <c r="H1178" s="7" t="n">
        <v>0.17</v>
      </c>
      <c r="I1178" s="8" t="n">
        <v>23.49</v>
      </c>
      <c r="J1178" s="8" t="n">
        <v>22.2</v>
      </c>
      <c r="K1178" s="8" t="n">
        <v>21.94</v>
      </c>
      <c r="L1178" s="8" t="n">
        <v>0</v>
      </c>
      <c r="M1178" s="9">
        <f>ROUND(SUM(I1178:L1178),2)</f>
        <v/>
      </c>
      <c r="N1178" s="10">
        <f>ROUND(I1178*'Irish Basis'!$C$6*'Irish Basis'!$C$5,2)</f>
        <v/>
      </c>
      <c r="O1178" s="10">
        <f>ROUND(J1178*'Irish Basis'!$C$7*'Irish Basis'!$C$5,2)</f>
        <v/>
      </c>
      <c r="P1178" s="10">
        <f>ROUND(K1178*'Irish Basis'!$C$8*'Irish Basis'!$C$5,2)</f>
        <v/>
      </c>
      <c r="Q1178" s="10">
        <f>ROUND(L1178*'Irish Basis'!$C$12*'Irish Basis'!$C$5,2)</f>
        <v/>
      </c>
      <c r="R1178" s="11">
        <f>ROUND(SUM(N1178:Q1178),2)</f>
        <v/>
      </c>
      <c r="S1178" s="5" t="inlineStr">
        <is>
          <t>Stated build-up</t>
        </is>
      </c>
      <c r="T1178" s="12" t="inlineStr">
        <is>
          <t>High</t>
        </is>
      </c>
      <c r="U1178" s="8" t="n">
        <v>67.63</v>
      </c>
      <c r="V1178" s="13">
        <f>IF(U1178="","",ROUND(M1178-U1178,2))</f>
        <v/>
      </c>
      <c r="W1178" s="5" t="n"/>
      <c r="X1178" s="5" t="inlineStr">
        <is>
          <t>Labour + plant + material as published; reconciles to the published rate.</t>
        </is>
      </c>
    </row>
    <row r="1179" ht="13" customHeight="1">
      <c r="A1179" s="4" t="n">
        <v>2064</v>
      </c>
      <c r="B1179" s="5" t="inlineStr">
        <is>
          <t>IMG_0094</t>
        </is>
      </c>
      <c r="C1179" s="5" t="inlineStr">
        <is>
          <t>CLASS I: PIPEWORK - PIPES</t>
        </is>
      </c>
      <c r="D1179" s="5" t="inlineStr">
        <is>
          <t>01 CLAY PIPES</t>
        </is>
      </c>
      <c r="E1179" s="5" t="inlineStr">
        <is>
          <t>150 mm pipes; in trenches, depth</t>
        </is>
      </c>
      <c r="F1179" s="5" t="inlineStr">
        <is>
          <t>1.50-2.00 m deep</t>
        </is>
      </c>
      <c r="G1179" s="6" t="inlineStr">
        <is>
          <t>m</t>
        </is>
      </c>
      <c r="H1179" s="7" t="n">
        <v>0.2</v>
      </c>
      <c r="I1179" s="8" t="n">
        <v>27.64</v>
      </c>
      <c r="J1179" s="8" t="n">
        <v>26.15</v>
      </c>
      <c r="K1179" s="8" t="n">
        <v>21.94</v>
      </c>
      <c r="L1179" s="8" t="n">
        <v>0</v>
      </c>
      <c r="M1179" s="9">
        <f>ROUND(SUM(I1179:L1179),2)</f>
        <v/>
      </c>
      <c r="N1179" s="10">
        <f>ROUND(I1179*'Irish Basis'!$C$6*'Irish Basis'!$C$5,2)</f>
        <v/>
      </c>
      <c r="O1179" s="10">
        <f>ROUND(J1179*'Irish Basis'!$C$7*'Irish Basis'!$C$5,2)</f>
        <v/>
      </c>
      <c r="P1179" s="10">
        <f>ROUND(K1179*'Irish Basis'!$C$8*'Irish Basis'!$C$5,2)</f>
        <v/>
      </c>
      <c r="Q1179" s="10">
        <f>ROUND(L1179*'Irish Basis'!$C$12*'Irish Basis'!$C$5,2)</f>
        <v/>
      </c>
      <c r="R1179" s="11">
        <f>ROUND(SUM(N1179:Q1179),2)</f>
        <v/>
      </c>
      <c r="S1179" s="5" t="inlineStr">
        <is>
          <t>Stated build-up</t>
        </is>
      </c>
      <c r="T1179" s="12" t="inlineStr">
        <is>
          <t>High</t>
        </is>
      </c>
      <c r="U1179" s="8" t="n">
        <v>75.72</v>
      </c>
      <c r="V1179" s="13">
        <f>IF(U1179="","",ROUND(M1179-U1179,2))</f>
        <v/>
      </c>
      <c r="W1179" s="5" t="n"/>
      <c r="X1179" s="5" t="inlineStr">
        <is>
          <t>Labour + plant + material as published; reconciles to the published rate.</t>
        </is>
      </c>
    </row>
    <row r="1180" ht="13" customHeight="1">
      <c r="A1180" s="4" t="n">
        <v>2065</v>
      </c>
      <c r="B1180" s="5" t="inlineStr">
        <is>
          <t>IMG_0094</t>
        </is>
      </c>
      <c r="C1180" s="5" t="inlineStr">
        <is>
          <t>CLASS I: PIPEWORK - PIPES</t>
        </is>
      </c>
      <c r="D1180" s="5" t="inlineStr">
        <is>
          <t>01 CLAY PIPES</t>
        </is>
      </c>
      <c r="E1180" s="5" t="inlineStr">
        <is>
          <t>150 mm pipes; in trenches, depth</t>
        </is>
      </c>
      <c r="F1180" s="5" t="inlineStr">
        <is>
          <t>2.00-2.50 m deep</t>
        </is>
      </c>
      <c r="G1180" s="6" t="inlineStr">
        <is>
          <t>m</t>
        </is>
      </c>
      <c r="H1180" s="7" t="n">
        <v>0.24</v>
      </c>
      <c r="I1180" s="8" t="n">
        <v>33.16</v>
      </c>
      <c r="J1180" s="8" t="n">
        <v>31.38</v>
      </c>
      <c r="K1180" s="8" t="n">
        <v>21.94</v>
      </c>
      <c r="L1180" s="8" t="n">
        <v>0</v>
      </c>
      <c r="M1180" s="9">
        <f>ROUND(SUM(I1180:L1180),2)</f>
        <v/>
      </c>
      <c r="N1180" s="10">
        <f>ROUND(I1180*'Irish Basis'!$C$6*'Irish Basis'!$C$5,2)</f>
        <v/>
      </c>
      <c r="O1180" s="10">
        <f>ROUND(J1180*'Irish Basis'!$C$7*'Irish Basis'!$C$5,2)</f>
        <v/>
      </c>
      <c r="P1180" s="10">
        <f>ROUND(K1180*'Irish Basis'!$C$8*'Irish Basis'!$C$5,2)</f>
        <v/>
      </c>
      <c r="Q1180" s="10">
        <f>ROUND(L1180*'Irish Basis'!$C$12*'Irish Basis'!$C$5,2)</f>
        <v/>
      </c>
      <c r="R1180" s="11">
        <f>ROUND(SUM(N1180:Q1180),2)</f>
        <v/>
      </c>
      <c r="S1180" s="5" t="inlineStr">
        <is>
          <t>Stated build-up</t>
        </is>
      </c>
      <c r="T1180" s="12" t="inlineStr">
        <is>
          <t>High</t>
        </is>
      </c>
      <c r="U1180" s="8" t="n">
        <v>86.48</v>
      </c>
      <c r="V1180" s="13">
        <f>IF(U1180="","",ROUND(M1180-U1180,2))</f>
        <v/>
      </c>
      <c r="W1180" s="5" t="n"/>
      <c r="X1180" s="5" t="inlineStr">
        <is>
          <t>Labour + plant + material as published; reconciles to the published rate.</t>
        </is>
      </c>
    </row>
    <row r="1181" ht="13" customHeight="1">
      <c r="A1181" s="4" t="n">
        <v>2066</v>
      </c>
      <c r="B1181" s="5" t="inlineStr">
        <is>
          <t>IMG_0094</t>
        </is>
      </c>
      <c r="C1181" s="5" t="inlineStr">
        <is>
          <t>CLASS I: PIPEWORK - PIPES</t>
        </is>
      </c>
      <c r="D1181" s="5" t="inlineStr">
        <is>
          <t>01 CLAY PIPES</t>
        </is>
      </c>
      <c r="E1181" s="5" t="inlineStr">
        <is>
          <t>150 mm pipes; in trenches, depth</t>
        </is>
      </c>
      <c r="F1181" s="5" t="inlineStr">
        <is>
          <t>2.50-3.00 m deep</t>
        </is>
      </c>
      <c r="G1181" s="6" t="inlineStr">
        <is>
          <t>m</t>
        </is>
      </c>
      <c r="H1181" s="7" t="n">
        <v>0.29</v>
      </c>
      <c r="I1181" s="8" t="n">
        <v>40.07</v>
      </c>
      <c r="J1181" s="8" t="n">
        <v>37.95</v>
      </c>
      <c r="K1181" s="8" t="n">
        <v>21.94</v>
      </c>
      <c r="L1181" s="8" t="n">
        <v>0</v>
      </c>
      <c r="M1181" s="9">
        <f>ROUND(SUM(I1181:L1181),2)</f>
        <v/>
      </c>
      <c r="N1181" s="10">
        <f>ROUND(I1181*'Irish Basis'!$C$6*'Irish Basis'!$C$5,2)</f>
        <v/>
      </c>
      <c r="O1181" s="10">
        <f>ROUND(J1181*'Irish Basis'!$C$7*'Irish Basis'!$C$5,2)</f>
        <v/>
      </c>
      <c r="P1181" s="10">
        <f>ROUND(K1181*'Irish Basis'!$C$8*'Irish Basis'!$C$5,2)</f>
        <v/>
      </c>
      <c r="Q1181" s="10">
        <f>ROUND(L1181*'Irish Basis'!$C$12*'Irish Basis'!$C$5,2)</f>
        <v/>
      </c>
      <c r="R1181" s="11">
        <f>ROUND(SUM(N1181:Q1181),2)</f>
        <v/>
      </c>
      <c r="S1181" s="5" t="inlineStr">
        <is>
          <t>Stated build-up</t>
        </is>
      </c>
      <c r="T1181" s="12" t="inlineStr">
        <is>
          <t>High</t>
        </is>
      </c>
      <c r="U1181" s="8" t="n">
        <v>99.95999999999999</v>
      </c>
      <c r="V1181" s="13">
        <f>IF(U1181="","",ROUND(M1181-U1181,2))</f>
        <v/>
      </c>
      <c r="W1181" s="5" t="n"/>
      <c r="X1181" s="5" t="inlineStr">
        <is>
          <t>Labour + plant + material as published; reconciles to the published rate.</t>
        </is>
      </c>
    </row>
    <row r="1182" ht="13" customHeight="1">
      <c r="A1182" s="4" t="n">
        <v>2067</v>
      </c>
      <c r="B1182" s="5" t="inlineStr">
        <is>
          <t>IMG_0094</t>
        </is>
      </c>
      <c r="C1182" s="5" t="inlineStr">
        <is>
          <t>CLASS I: PIPEWORK - PIPES</t>
        </is>
      </c>
      <c r="D1182" s="5" t="inlineStr">
        <is>
          <t>01 CLAY PIPES</t>
        </is>
      </c>
      <c r="E1182" s="5" t="inlineStr">
        <is>
          <t>150 mm pipes; in trenches, depth</t>
        </is>
      </c>
      <c r="F1182" s="5" t="inlineStr">
        <is>
          <t>3.00-3.50 m deep</t>
        </is>
      </c>
      <c r="G1182" s="6" t="inlineStr">
        <is>
          <t>m</t>
        </is>
      </c>
      <c r="H1182" s="7" t="n">
        <v>0.39</v>
      </c>
      <c r="I1182" s="8" t="n">
        <v>53.89</v>
      </c>
      <c r="J1182" s="8" t="n">
        <v>51.02</v>
      </c>
      <c r="K1182" s="8" t="n">
        <v>21.94</v>
      </c>
      <c r="L1182" s="8" t="n">
        <v>0</v>
      </c>
      <c r="M1182" s="9">
        <f>ROUND(SUM(I1182:L1182),2)</f>
        <v/>
      </c>
      <c r="N1182" s="10">
        <f>ROUND(I1182*'Irish Basis'!$C$6*'Irish Basis'!$C$5,2)</f>
        <v/>
      </c>
      <c r="O1182" s="10">
        <f>ROUND(J1182*'Irish Basis'!$C$7*'Irish Basis'!$C$5,2)</f>
        <v/>
      </c>
      <c r="P1182" s="10">
        <f>ROUND(K1182*'Irish Basis'!$C$8*'Irish Basis'!$C$5,2)</f>
        <v/>
      </c>
      <c r="Q1182" s="10">
        <f>ROUND(L1182*'Irish Basis'!$C$12*'Irish Basis'!$C$5,2)</f>
        <v/>
      </c>
      <c r="R1182" s="11">
        <f>ROUND(SUM(N1182:Q1182),2)</f>
        <v/>
      </c>
      <c r="S1182" s="5" t="inlineStr">
        <is>
          <t>Stated build-up</t>
        </is>
      </c>
      <c r="T1182" s="12" t="inlineStr">
        <is>
          <t>High</t>
        </is>
      </c>
      <c r="U1182" s="8" t="n">
        <v>126.85</v>
      </c>
      <c r="V1182" s="13">
        <f>IF(U1182="","",ROUND(M1182-U1182,2))</f>
        <v/>
      </c>
      <c r="W1182" s="5" t="n"/>
      <c r="X1182" s="5" t="inlineStr">
        <is>
          <t>Labour + plant + material as published; reconciles to the published rate.</t>
        </is>
      </c>
    </row>
    <row r="1183" ht="13" customHeight="1">
      <c r="A1183" s="4" t="n">
        <v>2068</v>
      </c>
      <c r="B1183" s="5" t="inlineStr">
        <is>
          <t>IMG_0094</t>
        </is>
      </c>
      <c r="C1183" s="5" t="inlineStr">
        <is>
          <t>CLASS I: PIPEWORK - PIPES</t>
        </is>
      </c>
      <c r="D1183" s="5" t="inlineStr">
        <is>
          <t>01 CLAY PIPES</t>
        </is>
      </c>
      <c r="E1183" s="5" t="inlineStr">
        <is>
          <t>150 mm pipes; in trenches, depth</t>
        </is>
      </c>
      <c r="F1183" s="5" t="inlineStr">
        <is>
          <t>3.50-4.00 m deep</t>
        </is>
      </c>
      <c r="G1183" s="6" t="inlineStr">
        <is>
          <t>m</t>
        </is>
      </c>
      <c r="H1183" s="7" t="n">
        <v>0.45</v>
      </c>
      <c r="I1183" s="8" t="n">
        <v>62.18</v>
      </c>
      <c r="J1183" s="8" t="n">
        <v>58.94</v>
      </c>
      <c r="K1183" s="8" t="n">
        <v>21.94</v>
      </c>
      <c r="L1183" s="8" t="n">
        <v>0</v>
      </c>
      <c r="M1183" s="9">
        <f>ROUND(SUM(I1183:L1183),2)</f>
        <v/>
      </c>
      <c r="N1183" s="10">
        <f>ROUND(I1183*'Irish Basis'!$C$6*'Irish Basis'!$C$5,2)</f>
        <v/>
      </c>
      <c r="O1183" s="10">
        <f>ROUND(J1183*'Irish Basis'!$C$7*'Irish Basis'!$C$5,2)</f>
        <v/>
      </c>
      <c r="P1183" s="10">
        <f>ROUND(K1183*'Irish Basis'!$C$8*'Irish Basis'!$C$5,2)</f>
        <v/>
      </c>
      <c r="Q1183" s="10">
        <f>ROUND(L1183*'Irish Basis'!$C$12*'Irish Basis'!$C$5,2)</f>
        <v/>
      </c>
      <c r="R1183" s="11">
        <f>ROUND(SUM(N1183:Q1183),2)</f>
        <v/>
      </c>
      <c r="S1183" s="5" t="inlineStr">
        <is>
          <t>Stated build-up</t>
        </is>
      </c>
      <c r="T1183" s="12" t="inlineStr">
        <is>
          <t>High</t>
        </is>
      </c>
      <c r="U1183" s="8" t="n">
        <v>143.06</v>
      </c>
      <c r="V1183" s="13">
        <f>IF(U1183="","",ROUND(M1183-U1183,2))</f>
        <v/>
      </c>
      <c r="W1183" s="5" t="n"/>
      <c r="X1183" s="5" t="inlineStr">
        <is>
          <t>Labour + plant + material as published; reconciles to the published rate.</t>
        </is>
      </c>
    </row>
    <row r="1184" ht="13" customHeight="1">
      <c r="A1184" s="4" t="n">
        <v>2069</v>
      </c>
      <c r="B1184" s="5" t="inlineStr">
        <is>
          <t>IMG_0094</t>
        </is>
      </c>
      <c r="C1184" s="5" t="inlineStr">
        <is>
          <t>CLASS I: PIPEWORK - PIPES</t>
        </is>
      </c>
      <c r="D1184" s="5" t="inlineStr">
        <is>
          <t>01 CLAY PIPES</t>
        </is>
      </c>
      <c r="E1184" s="5" t="inlineStr">
        <is>
          <t>150 mm pipes; in trenches, depth</t>
        </is>
      </c>
      <c r="F1184" s="5" t="inlineStr">
        <is>
          <t>4.00-4.50 m deep</t>
        </is>
      </c>
      <c r="G1184" s="6" t="inlineStr">
        <is>
          <t>m</t>
        </is>
      </c>
      <c r="H1184" s="7" t="n">
        <v>0.58</v>
      </c>
      <c r="I1184" s="8" t="n">
        <v>80.14</v>
      </c>
      <c r="J1184" s="8" t="n">
        <v>75.94</v>
      </c>
      <c r="K1184" s="8" t="n">
        <v>21.94</v>
      </c>
      <c r="L1184" s="8" t="n">
        <v>0</v>
      </c>
      <c r="M1184" s="9">
        <f>ROUND(SUM(I1184:L1184),2)</f>
        <v/>
      </c>
      <c r="N1184" s="10">
        <f>ROUND(I1184*'Irish Basis'!$C$6*'Irish Basis'!$C$5,2)</f>
        <v/>
      </c>
      <c r="O1184" s="10">
        <f>ROUND(J1184*'Irish Basis'!$C$7*'Irish Basis'!$C$5,2)</f>
        <v/>
      </c>
      <c r="P1184" s="10">
        <f>ROUND(K1184*'Irish Basis'!$C$8*'Irish Basis'!$C$5,2)</f>
        <v/>
      </c>
      <c r="Q1184" s="10">
        <f>ROUND(L1184*'Irish Basis'!$C$12*'Irish Basis'!$C$5,2)</f>
        <v/>
      </c>
      <c r="R1184" s="11">
        <f>ROUND(SUM(N1184:Q1184),2)</f>
        <v/>
      </c>
      <c r="S1184" s="5" t="inlineStr">
        <is>
          <t>Stated build-up</t>
        </is>
      </c>
      <c r="T1184" s="12" t="inlineStr">
        <is>
          <t>High</t>
        </is>
      </c>
      <c r="U1184" s="8" t="n">
        <v>178.02</v>
      </c>
      <c r="V1184" s="13">
        <f>IF(U1184="","",ROUND(M1184-U1184,2))</f>
        <v/>
      </c>
      <c r="W1184" s="5" t="n"/>
      <c r="X1184" s="5" t="inlineStr">
        <is>
          <t>Labour + plant + material as published; reconciles to the published rate.</t>
        </is>
      </c>
    </row>
    <row r="1185" ht="13" customHeight="1">
      <c r="A1185" s="4" t="n">
        <v>2070</v>
      </c>
      <c r="B1185" s="5" t="inlineStr">
        <is>
          <t>IMG_0094</t>
        </is>
      </c>
      <c r="C1185" s="5" t="inlineStr">
        <is>
          <t>CLASS I: PIPEWORK - PIPES</t>
        </is>
      </c>
      <c r="D1185" s="5" t="inlineStr">
        <is>
          <t>01 CLAY PIPES</t>
        </is>
      </c>
      <c r="E1185" s="5" t="inlineStr">
        <is>
          <t>150 mm pipes; in trenches, depth</t>
        </is>
      </c>
      <c r="F1185" s="5" t="inlineStr">
        <is>
          <t>4.50-5.00 m deep</t>
        </is>
      </c>
      <c r="G1185" s="6" t="inlineStr">
        <is>
          <t>m</t>
        </is>
      </c>
      <c r="H1185" s="7" t="n">
        <v>0.75</v>
      </c>
      <c r="I1185" s="8" t="n">
        <v>103.64</v>
      </c>
      <c r="J1185" s="8" t="n">
        <v>98.26000000000001</v>
      </c>
      <c r="K1185" s="8" t="n">
        <v>21.94</v>
      </c>
      <c r="L1185" s="8" t="n">
        <v>0</v>
      </c>
      <c r="M1185" s="9">
        <f>ROUND(SUM(I1185:L1185),2)</f>
        <v/>
      </c>
      <c r="N1185" s="10">
        <f>ROUND(I1185*'Irish Basis'!$C$6*'Irish Basis'!$C$5,2)</f>
        <v/>
      </c>
      <c r="O1185" s="10">
        <f>ROUND(J1185*'Irish Basis'!$C$7*'Irish Basis'!$C$5,2)</f>
        <v/>
      </c>
      <c r="P1185" s="10">
        <f>ROUND(K1185*'Irish Basis'!$C$8*'Irish Basis'!$C$5,2)</f>
        <v/>
      </c>
      <c r="Q1185" s="10">
        <f>ROUND(L1185*'Irish Basis'!$C$12*'Irish Basis'!$C$5,2)</f>
        <v/>
      </c>
      <c r="R1185" s="11">
        <f>ROUND(SUM(N1185:Q1185),2)</f>
        <v/>
      </c>
      <c r="S1185" s="5" t="inlineStr">
        <is>
          <t>Stated build-up</t>
        </is>
      </c>
      <c r="T1185" s="12" t="inlineStr">
        <is>
          <t>High</t>
        </is>
      </c>
      <c r="U1185" s="8" t="n">
        <v>223.84</v>
      </c>
      <c r="V1185" s="13">
        <f>IF(U1185="","",ROUND(M1185-U1185,2))</f>
        <v/>
      </c>
      <c r="W1185" s="5" t="n"/>
      <c r="X1185" s="5" t="inlineStr">
        <is>
          <t>Labour + plant + material as published; reconciles to the published rate.</t>
        </is>
      </c>
    </row>
    <row r="1186" ht="13" customHeight="1">
      <c r="A1186" s="4" t="n">
        <v>2071</v>
      </c>
      <c r="B1186" s="5" t="inlineStr">
        <is>
          <t>IMG_0094</t>
        </is>
      </c>
      <c r="C1186" s="5" t="inlineStr">
        <is>
          <t>CLASS I: PIPEWORK - PIPES</t>
        </is>
      </c>
      <c r="D1186" s="5" t="inlineStr">
        <is>
          <t>01 CLAY PIPES</t>
        </is>
      </c>
      <c r="E1186" s="5" t="inlineStr">
        <is>
          <t>150 mm pipes; in trenches, depth</t>
        </is>
      </c>
      <c r="F1186" s="5" t="inlineStr">
        <is>
          <t>5.00-5.50 m deep</t>
        </is>
      </c>
      <c r="G1186" s="6" t="inlineStr">
        <is>
          <t>m</t>
        </is>
      </c>
      <c r="H1186" s="7" t="n">
        <v>0.96</v>
      </c>
      <c r="I1186" s="8" t="n">
        <v>132.65</v>
      </c>
      <c r="J1186" s="8" t="n">
        <v>125.84</v>
      </c>
      <c r="K1186" s="8" t="n">
        <v>21.94</v>
      </c>
      <c r="L1186" s="8" t="n">
        <v>0</v>
      </c>
      <c r="M1186" s="9">
        <f>ROUND(SUM(I1186:L1186),2)</f>
        <v/>
      </c>
      <c r="N1186" s="10">
        <f>ROUND(I1186*'Irish Basis'!$C$6*'Irish Basis'!$C$5,2)</f>
        <v/>
      </c>
      <c r="O1186" s="10">
        <f>ROUND(J1186*'Irish Basis'!$C$7*'Irish Basis'!$C$5,2)</f>
        <v/>
      </c>
      <c r="P1186" s="10">
        <f>ROUND(K1186*'Irish Basis'!$C$8*'Irish Basis'!$C$5,2)</f>
        <v/>
      </c>
      <c r="Q1186" s="10">
        <f>ROUND(L1186*'Irish Basis'!$C$12*'Irish Basis'!$C$5,2)</f>
        <v/>
      </c>
      <c r="R1186" s="11">
        <f>ROUND(SUM(N1186:Q1186),2)</f>
        <v/>
      </c>
      <c r="S1186" s="5" t="inlineStr">
        <is>
          <t>Stated build-up</t>
        </is>
      </c>
      <c r="T1186" s="12" t="inlineStr">
        <is>
          <t>High</t>
        </is>
      </c>
      <c r="U1186" s="8" t="n">
        <v>280.43</v>
      </c>
      <c r="V1186" s="13">
        <f>IF(U1186="","",ROUND(M1186-U1186,2))</f>
        <v/>
      </c>
      <c r="W1186" s="5" t="n"/>
      <c r="X1186" s="5" t="inlineStr">
        <is>
          <t>Labour + plant + material as published; reconciles to the published rate.</t>
        </is>
      </c>
    </row>
    <row r="1187" ht="13" customHeight="1">
      <c r="A1187" s="4" t="n">
        <v>2072</v>
      </c>
      <c r="B1187" s="5" t="inlineStr">
        <is>
          <t>IMG_0094</t>
        </is>
      </c>
      <c r="C1187" s="5" t="inlineStr">
        <is>
          <t>CLASS I: PIPEWORK - PIPES</t>
        </is>
      </c>
      <c r="D1187" s="5" t="inlineStr">
        <is>
          <t>01 CLAY PIPES</t>
        </is>
      </c>
      <c r="E1187" s="5" t="inlineStr">
        <is>
          <t>150 mm pipes; in trenches, depth</t>
        </is>
      </c>
      <c r="F1187" s="5" t="inlineStr">
        <is>
          <t>extra for bend</t>
        </is>
      </c>
      <c r="G1187" s="6" t="inlineStr">
        <is>
          <t>nr</t>
        </is>
      </c>
      <c r="H1187" s="7" t="n">
        <v>0.08</v>
      </c>
      <c r="I1187" s="8" t="n">
        <v>11.05</v>
      </c>
      <c r="J1187" s="8" t="n">
        <v>0</v>
      </c>
      <c r="K1187" s="8" t="n">
        <v>80.54000000000001</v>
      </c>
      <c r="L1187" s="8" t="n">
        <v>0</v>
      </c>
      <c r="M1187" s="9">
        <f>ROUND(SUM(I1187:L1187),2)</f>
        <v/>
      </c>
      <c r="N1187" s="10">
        <f>ROUND(I1187*'Irish Basis'!$C$6*'Irish Basis'!$C$5,2)</f>
        <v/>
      </c>
      <c r="O1187" s="10">
        <f>ROUND(J1187*'Irish Basis'!$C$7*'Irish Basis'!$C$5,2)</f>
        <v/>
      </c>
      <c r="P1187" s="10">
        <f>ROUND(K1187*'Irish Basis'!$C$8*'Irish Basis'!$C$5,2)</f>
        <v/>
      </c>
      <c r="Q1187" s="10">
        <f>ROUND(L1187*'Irish Basis'!$C$12*'Irish Basis'!$C$5,2)</f>
        <v/>
      </c>
      <c r="R1187" s="11">
        <f>ROUND(SUM(N1187:Q1187),2)</f>
        <v/>
      </c>
      <c r="S1187" s="5" t="inlineStr">
        <is>
          <t>Stated build-up</t>
        </is>
      </c>
      <c r="T1187" s="12" t="inlineStr">
        <is>
          <t>High</t>
        </is>
      </c>
      <c r="U1187" s="8" t="n">
        <v>91.59999999999999</v>
      </c>
      <c r="V1187" s="13">
        <f>IF(U1187="","",ROUND(M1187-U1187,2))</f>
        <v/>
      </c>
      <c r="W1187" s="5" t="n"/>
      <c r="X1187" s="5" t="inlineStr">
        <is>
          <t>Labour + plant + material as published; reconciles to the published rate.</t>
        </is>
      </c>
    </row>
    <row r="1188" ht="13" customHeight="1">
      <c r="A1188" s="4" t="n">
        <v>2073</v>
      </c>
      <c r="B1188" s="5" t="inlineStr">
        <is>
          <t>IMG_0094</t>
        </is>
      </c>
      <c r="C1188" s="5" t="inlineStr">
        <is>
          <t>CLASS I: PIPEWORK - PIPES</t>
        </is>
      </c>
      <c r="D1188" s="5" t="inlineStr">
        <is>
          <t>01 CLAY PIPES</t>
        </is>
      </c>
      <c r="E1188" s="5" t="inlineStr">
        <is>
          <t>150 mm pipes; in trenches, depth</t>
        </is>
      </c>
      <c r="F1188" s="5" t="inlineStr">
        <is>
          <t>extra for rest bend</t>
        </is>
      </c>
      <c r="G1188" s="6" t="inlineStr">
        <is>
          <t>nr</t>
        </is>
      </c>
      <c r="H1188" s="7" t="n">
        <v>0.09</v>
      </c>
      <c r="I1188" s="8" t="n">
        <v>12.44</v>
      </c>
      <c r="J1188" s="8" t="n">
        <v>0</v>
      </c>
      <c r="K1188" s="8" t="n">
        <v>60.33</v>
      </c>
      <c r="L1188" s="8" t="n">
        <v>0</v>
      </c>
      <c r="M1188" s="9">
        <f>ROUND(SUM(I1188:L1188),2)</f>
        <v/>
      </c>
      <c r="N1188" s="10">
        <f>ROUND(I1188*'Irish Basis'!$C$6*'Irish Basis'!$C$5,2)</f>
        <v/>
      </c>
      <c r="O1188" s="10">
        <f>ROUND(J1188*'Irish Basis'!$C$7*'Irish Basis'!$C$5,2)</f>
        <v/>
      </c>
      <c r="P1188" s="10">
        <f>ROUND(K1188*'Irish Basis'!$C$8*'Irish Basis'!$C$5,2)</f>
        <v/>
      </c>
      <c r="Q1188" s="10">
        <f>ROUND(L1188*'Irish Basis'!$C$12*'Irish Basis'!$C$5,2)</f>
        <v/>
      </c>
      <c r="R1188" s="11">
        <f>ROUND(SUM(N1188:Q1188),2)</f>
        <v/>
      </c>
      <c r="S1188" s="5" t="inlineStr">
        <is>
          <t>Stated build-up</t>
        </is>
      </c>
      <c r="T1188" s="12" t="inlineStr">
        <is>
          <t>High</t>
        </is>
      </c>
      <c r="U1188" s="8" t="n">
        <v>72.77</v>
      </c>
      <c r="V1188" s="13">
        <f>IF(U1188="","",ROUND(M1188-U1188,2))</f>
        <v/>
      </c>
      <c r="W1188" s="5" t="n"/>
      <c r="X1188" s="5" t="inlineStr">
        <is>
          <t>Labour + plant + material as published; reconciles to the published rate.</t>
        </is>
      </c>
    </row>
    <row r="1189" ht="13" customHeight="1">
      <c r="A1189" s="4" t="n">
        <v>2074</v>
      </c>
      <c r="B1189" s="5" t="inlineStr">
        <is>
          <t>IMG_0094</t>
        </is>
      </c>
      <c r="C1189" s="5" t="inlineStr">
        <is>
          <t>CLASS I: PIPEWORK - PIPES</t>
        </is>
      </c>
      <c r="D1189" s="5" t="inlineStr">
        <is>
          <t>01 CLAY PIPES</t>
        </is>
      </c>
      <c r="E1189" s="5" t="inlineStr">
        <is>
          <t>150 mm pipes; in trenches, depth</t>
        </is>
      </c>
      <c r="F1189" s="5" t="inlineStr">
        <is>
          <t>extra for single junction; equal</t>
        </is>
      </c>
      <c r="G1189" s="6" t="inlineStr">
        <is>
          <t>nr</t>
        </is>
      </c>
      <c r="H1189" s="7" t="n">
        <v>0.11</v>
      </c>
      <c r="I1189" s="8" t="n">
        <v>15.2</v>
      </c>
      <c r="J1189" s="8" t="n">
        <v>0</v>
      </c>
      <c r="K1189" s="8" t="n">
        <v>75.29000000000001</v>
      </c>
      <c r="L1189" s="8" t="n">
        <v>0</v>
      </c>
      <c r="M1189" s="9">
        <f>ROUND(SUM(I1189:L1189),2)</f>
        <v/>
      </c>
      <c r="N1189" s="10">
        <f>ROUND(I1189*'Irish Basis'!$C$6*'Irish Basis'!$C$5,2)</f>
        <v/>
      </c>
      <c r="O1189" s="10">
        <f>ROUND(J1189*'Irish Basis'!$C$7*'Irish Basis'!$C$5,2)</f>
        <v/>
      </c>
      <c r="P1189" s="10">
        <f>ROUND(K1189*'Irish Basis'!$C$8*'Irish Basis'!$C$5,2)</f>
        <v/>
      </c>
      <c r="Q1189" s="10">
        <f>ROUND(L1189*'Irish Basis'!$C$12*'Irish Basis'!$C$5,2)</f>
        <v/>
      </c>
      <c r="R1189" s="11">
        <f>ROUND(SUM(N1189:Q1189),2)</f>
        <v/>
      </c>
      <c r="S1189" s="5" t="inlineStr">
        <is>
          <t>Stated build-up</t>
        </is>
      </c>
      <c r="T1189" s="12" t="inlineStr">
        <is>
          <t>High</t>
        </is>
      </c>
      <c r="U1189" s="8" t="n">
        <v>90.48999999999999</v>
      </c>
      <c r="V1189" s="13">
        <f>IF(U1189="","",ROUND(M1189-U1189,2))</f>
        <v/>
      </c>
      <c r="W1189" s="5" t="n"/>
      <c r="X1189" s="5" t="inlineStr">
        <is>
          <t>Labour + plant + material as published; reconciles to the published rate.</t>
        </is>
      </c>
    </row>
    <row r="1190" ht="13" customHeight="1">
      <c r="A1190" s="4" t="n">
        <v>2075</v>
      </c>
      <c r="B1190" s="5" t="inlineStr">
        <is>
          <t>IMG_0094</t>
        </is>
      </c>
      <c r="C1190" s="5" t="inlineStr">
        <is>
          <t>CLASS I: PIPEWORK - PIPES</t>
        </is>
      </c>
      <c r="D1190" s="5" t="inlineStr">
        <is>
          <t>01 CLAY PIPES</t>
        </is>
      </c>
      <c r="E1190" s="5" t="inlineStr">
        <is>
          <t>150 mm pipes; in trenches, depth</t>
        </is>
      </c>
      <c r="F1190" s="5" t="inlineStr">
        <is>
          <t>extra for double junction; equal</t>
        </is>
      </c>
      <c r="G1190" s="6" t="inlineStr">
        <is>
          <t>nr</t>
        </is>
      </c>
      <c r="H1190" s="7" t="n">
        <v>0.13</v>
      </c>
      <c r="I1190" s="8" t="n">
        <v>17.96</v>
      </c>
      <c r="J1190" s="8" t="n">
        <v>0</v>
      </c>
      <c r="K1190" s="8" t="n">
        <v>113.57</v>
      </c>
      <c r="L1190" s="8" t="n">
        <v>0</v>
      </c>
      <c r="M1190" s="9">
        <f>ROUND(SUM(I1190:L1190),2)</f>
        <v/>
      </c>
      <c r="N1190" s="10">
        <f>ROUND(I1190*'Irish Basis'!$C$6*'Irish Basis'!$C$5,2)</f>
        <v/>
      </c>
      <c r="O1190" s="10">
        <f>ROUND(J1190*'Irish Basis'!$C$7*'Irish Basis'!$C$5,2)</f>
        <v/>
      </c>
      <c r="P1190" s="10">
        <f>ROUND(K1190*'Irish Basis'!$C$8*'Irish Basis'!$C$5,2)</f>
        <v/>
      </c>
      <c r="Q1190" s="10">
        <f>ROUND(L1190*'Irish Basis'!$C$12*'Irish Basis'!$C$5,2)</f>
        <v/>
      </c>
      <c r="R1190" s="11">
        <f>ROUND(SUM(N1190:Q1190),2)</f>
        <v/>
      </c>
      <c r="S1190" s="5" t="inlineStr">
        <is>
          <t>Stated build-up</t>
        </is>
      </c>
      <c r="T1190" s="12" t="inlineStr">
        <is>
          <t>High</t>
        </is>
      </c>
      <c r="U1190" s="8" t="n">
        <v>131.54</v>
      </c>
      <c r="V1190" s="13">
        <f>IF(U1190="","",ROUND(M1190-U1190,2))</f>
        <v/>
      </c>
      <c r="W1190" s="5" t="n"/>
      <c r="X1190" s="5" t="inlineStr">
        <is>
          <t>Labour + plant + material as published; reconciles to the published rate.</t>
        </is>
      </c>
    </row>
    <row r="1191" ht="13" customHeight="1">
      <c r="A1191" s="4" t="n">
        <v>2076</v>
      </c>
      <c r="B1191" s="5" t="inlineStr">
        <is>
          <t>IMG_0094</t>
        </is>
      </c>
      <c r="C1191" s="5" t="inlineStr">
        <is>
          <t>CLASS I: PIPEWORK - PIPES</t>
        </is>
      </c>
      <c r="D1191" s="5" t="inlineStr">
        <is>
          <t>01 CLAY PIPES</t>
        </is>
      </c>
      <c r="E1191" s="5" t="inlineStr">
        <is>
          <t>150 mm pipes; in trenches, depth</t>
        </is>
      </c>
      <c r="F1191" s="5" t="inlineStr">
        <is>
          <t>extra for taper reducer</t>
        </is>
      </c>
      <c r="G1191" s="6" t="inlineStr">
        <is>
          <t>nr</t>
        </is>
      </c>
      <c r="H1191" s="7" t="n">
        <v>0.07000000000000001</v>
      </c>
      <c r="I1191" s="8" t="n">
        <v>9.67</v>
      </c>
      <c r="J1191" s="8" t="n">
        <v>0</v>
      </c>
      <c r="K1191" s="8" t="n">
        <v>102.97</v>
      </c>
      <c r="L1191" s="8" t="n">
        <v>0</v>
      </c>
      <c r="M1191" s="9">
        <f>ROUND(SUM(I1191:L1191),2)</f>
        <v/>
      </c>
      <c r="N1191" s="10">
        <f>ROUND(I1191*'Irish Basis'!$C$6*'Irish Basis'!$C$5,2)</f>
        <v/>
      </c>
      <c r="O1191" s="10">
        <f>ROUND(J1191*'Irish Basis'!$C$7*'Irish Basis'!$C$5,2)</f>
        <v/>
      </c>
      <c r="P1191" s="10">
        <f>ROUND(K1191*'Irish Basis'!$C$8*'Irish Basis'!$C$5,2)</f>
        <v/>
      </c>
      <c r="Q1191" s="10">
        <f>ROUND(L1191*'Irish Basis'!$C$12*'Irish Basis'!$C$5,2)</f>
        <v/>
      </c>
      <c r="R1191" s="11">
        <f>ROUND(SUM(N1191:Q1191),2)</f>
        <v/>
      </c>
      <c r="S1191" s="5" t="inlineStr">
        <is>
          <t>Stated build-up</t>
        </is>
      </c>
      <c r="T1191" s="12" t="inlineStr">
        <is>
          <t>High</t>
        </is>
      </c>
      <c r="U1191" s="8" t="n">
        <v>112.64</v>
      </c>
      <c r="V1191" s="13">
        <f>IF(U1191="","",ROUND(M1191-U1191,2))</f>
        <v/>
      </c>
      <c r="W1191" s="5" t="n"/>
      <c r="X1191" s="5" t="inlineStr">
        <is>
          <t>Labour + plant + material as published; reconciles to the published rate.</t>
        </is>
      </c>
    </row>
    <row r="1192" ht="13" customHeight="1">
      <c r="A1192" s="4" t="n">
        <v>2077</v>
      </c>
      <c r="B1192" s="5" t="inlineStr">
        <is>
          <t>IMG_0094</t>
        </is>
      </c>
      <c r="C1192" s="5" t="inlineStr">
        <is>
          <t>CLASS I: PIPEWORK - PIPES</t>
        </is>
      </c>
      <c r="D1192" s="5" t="inlineStr">
        <is>
          <t>01 CLAY PIPES</t>
        </is>
      </c>
      <c r="E1192" s="5" t="inlineStr">
        <is>
          <t>150 mm pipes; in trenches, depth</t>
        </is>
      </c>
      <c r="F1192" s="5" t="inlineStr">
        <is>
          <t>extra for saddle; oblique</t>
        </is>
      </c>
      <c r="G1192" s="6" t="inlineStr">
        <is>
          <t>nr</t>
        </is>
      </c>
      <c r="H1192" s="7" t="n">
        <v>0.29</v>
      </c>
      <c r="I1192" s="8" t="n">
        <v>40.07</v>
      </c>
      <c r="J1192" s="8" t="n">
        <v>0</v>
      </c>
      <c r="K1192" s="8" t="n">
        <v>74.05</v>
      </c>
      <c r="L1192" s="8" t="n">
        <v>0</v>
      </c>
      <c r="M1192" s="9">
        <f>ROUND(SUM(I1192:L1192),2)</f>
        <v/>
      </c>
      <c r="N1192" s="10">
        <f>ROUND(I1192*'Irish Basis'!$C$6*'Irish Basis'!$C$5,2)</f>
        <v/>
      </c>
      <c r="O1192" s="10">
        <f>ROUND(J1192*'Irish Basis'!$C$7*'Irish Basis'!$C$5,2)</f>
        <v/>
      </c>
      <c r="P1192" s="10">
        <f>ROUND(K1192*'Irish Basis'!$C$8*'Irish Basis'!$C$5,2)</f>
        <v/>
      </c>
      <c r="Q1192" s="10">
        <f>ROUND(L1192*'Irish Basis'!$C$12*'Irish Basis'!$C$5,2)</f>
        <v/>
      </c>
      <c r="R1192" s="11">
        <f>ROUND(SUM(N1192:Q1192),2)</f>
        <v/>
      </c>
      <c r="S1192" s="5" t="inlineStr">
        <is>
          <t>Stated build-up</t>
        </is>
      </c>
      <c r="T1192" s="12" t="inlineStr">
        <is>
          <t>High</t>
        </is>
      </c>
      <c r="U1192" s="8" t="n">
        <v>114.13</v>
      </c>
      <c r="V1192" s="13">
        <f>IF(U1192="","",ROUND(M1192-U1192,2))</f>
        <v/>
      </c>
      <c r="W1192" s="5" t="n"/>
      <c r="X1192" s="5" t="inlineStr">
        <is>
          <t>Labour + plant + material as published; reconciles to the published rate.</t>
        </is>
      </c>
    </row>
    <row r="1193" ht="13" customHeight="1">
      <c r="A1193" s="4" t="n">
        <v>2079</v>
      </c>
      <c r="B1193" s="5" t="inlineStr">
        <is>
          <t>IMG_0094</t>
        </is>
      </c>
      <c r="C1193" s="5" t="inlineStr">
        <is>
          <t>CLASS I: PIPEWORK - PIPES</t>
        </is>
      </c>
      <c r="D1193" s="5" t="inlineStr">
        <is>
          <t>01 CLAY PIPES</t>
        </is>
      </c>
      <c r="E1193" s="5" t="inlineStr">
        <is>
          <t>225 mm pipes; in trenches, depth</t>
        </is>
      </c>
      <c r="F1193" s="5" t="inlineStr">
        <is>
          <t>not in trenches</t>
        </is>
      </c>
      <c r="G1193" s="6" t="inlineStr">
        <is>
          <t>m</t>
        </is>
      </c>
      <c r="H1193" s="7" t="n">
        <v>0.08</v>
      </c>
      <c r="I1193" s="8" t="n">
        <v>6.91</v>
      </c>
      <c r="J1193" s="8" t="n">
        <v>0.89</v>
      </c>
      <c r="K1193" s="8" t="n">
        <v>49.26</v>
      </c>
      <c r="L1193" s="8" t="n">
        <v>0</v>
      </c>
      <c r="M1193" s="9">
        <f>ROUND(SUM(I1193:L1193),2)</f>
        <v/>
      </c>
      <c r="N1193" s="10">
        <f>ROUND(I1193*'Irish Basis'!$C$6*'Irish Basis'!$C$5,2)</f>
        <v/>
      </c>
      <c r="O1193" s="10">
        <f>ROUND(J1193*'Irish Basis'!$C$7*'Irish Basis'!$C$5,2)</f>
        <v/>
      </c>
      <c r="P1193" s="10">
        <f>ROUND(K1193*'Irish Basis'!$C$8*'Irish Basis'!$C$5,2)</f>
        <v/>
      </c>
      <c r="Q1193" s="10">
        <f>ROUND(L1193*'Irish Basis'!$C$12*'Irish Basis'!$C$5,2)</f>
        <v/>
      </c>
      <c r="R1193" s="11">
        <f>ROUND(SUM(N1193:Q1193),2)</f>
        <v/>
      </c>
      <c r="S1193" s="5" t="inlineStr">
        <is>
          <t>Stated build-up</t>
        </is>
      </c>
      <c r="T1193" s="12" t="inlineStr">
        <is>
          <t>High</t>
        </is>
      </c>
      <c r="U1193" s="8" t="n">
        <v>57.06</v>
      </c>
      <c r="V1193" s="13">
        <f>IF(U1193="","",ROUND(M1193-U1193,2))</f>
        <v/>
      </c>
      <c r="W1193" s="5" t="n"/>
      <c r="X1193" s="5" t="inlineStr">
        <is>
          <t>Labour + plant + material as published; reconciles to the published rate.</t>
        </is>
      </c>
    </row>
    <row r="1194" ht="13" customHeight="1">
      <c r="A1194" s="4" t="n">
        <v>2080</v>
      </c>
      <c r="B1194" s="5" t="inlineStr">
        <is>
          <t>IMG_0094</t>
        </is>
      </c>
      <c r="C1194" s="5" t="inlineStr">
        <is>
          <t>CLASS I: PIPEWORK - PIPES</t>
        </is>
      </c>
      <c r="D1194" s="5" t="inlineStr">
        <is>
          <t>01 CLAY PIPES</t>
        </is>
      </c>
      <c r="E1194" s="5" t="inlineStr">
        <is>
          <t>225 mm pipes; in trenches, depth</t>
        </is>
      </c>
      <c r="F1194" s="5" t="inlineStr">
        <is>
          <t>ne 1.50 m deep</t>
        </is>
      </c>
      <c r="G1194" s="6" t="inlineStr">
        <is>
          <t>m</t>
        </is>
      </c>
      <c r="H1194" s="7" t="n">
        <v>0.18</v>
      </c>
      <c r="I1194" s="8" t="n">
        <v>24.87</v>
      </c>
      <c r="J1194" s="8" t="n">
        <v>23.52</v>
      </c>
      <c r="K1194" s="8" t="n">
        <v>49.26</v>
      </c>
      <c r="L1194" s="8" t="n">
        <v>0</v>
      </c>
      <c r="M1194" s="9">
        <f>ROUND(SUM(I1194:L1194),2)</f>
        <v/>
      </c>
      <c r="N1194" s="10">
        <f>ROUND(I1194*'Irish Basis'!$C$6*'Irish Basis'!$C$5,2)</f>
        <v/>
      </c>
      <c r="O1194" s="10">
        <f>ROUND(J1194*'Irish Basis'!$C$7*'Irish Basis'!$C$5,2)</f>
        <v/>
      </c>
      <c r="P1194" s="10">
        <f>ROUND(K1194*'Irish Basis'!$C$8*'Irish Basis'!$C$5,2)</f>
        <v/>
      </c>
      <c r="Q1194" s="10">
        <f>ROUND(L1194*'Irish Basis'!$C$12*'Irish Basis'!$C$5,2)</f>
        <v/>
      </c>
      <c r="R1194" s="11">
        <f>ROUND(SUM(N1194:Q1194),2)</f>
        <v/>
      </c>
      <c r="S1194" s="5" t="inlineStr">
        <is>
          <t>Stated build-up</t>
        </is>
      </c>
      <c r="T1194" s="12" t="inlineStr">
        <is>
          <t>High</t>
        </is>
      </c>
      <c r="U1194" s="8" t="n">
        <v>97.66</v>
      </c>
      <c r="V1194" s="13">
        <f>IF(U1194="","",ROUND(M1194-U1194,2))</f>
        <v/>
      </c>
      <c r="W1194" s="5" t="n"/>
      <c r="X1194" s="5" t="inlineStr">
        <is>
          <t>Labour + plant + material as published; reconciles to the published rate.</t>
        </is>
      </c>
    </row>
    <row r="1195" ht="13" customHeight="1">
      <c r="A1195" s="4" t="n">
        <v>2081</v>
      </c>
      <c r="B1195" s="5" t="inlineStr">
        <is>
          <t>IMG_0094</t>
        </is>
      </c>
      <c r="C1195" s="5" t="inlineStr">
        <is>
          <t>CLASS I: PIPEWORK - PIPES</t>
        </is>
      </c>
      <c r="D1195" s="5" t="inlineStr">
        <is>
          <t>01 CLAY PIPES</t>
        </is>
      </c>
      <c r="E1195" s="5" t="inlineStr">
        <is>
          <t>225 mm pipes; in trenches, depth</t>
        </is>
      </c>
      <c r="F1195" s="5" t="inlineStr">
        <is>
          <t>1.50-2.00 m deep</t>
        </is>
      </c>
      <c r="G1195" s="6" t="inlineStr">
        <is>
          <t>m</t>
        </is>
      </c>
      <c r="H1195" s="7" t="n">
        <v>0.22</v>
      </c>
      <c r="I1195" s="8" t="n">
        <v>30.4</v>
      </c>
      <c r="J1195" s="8" t="n">
        <v>28.79</v>
      </c>
      <c r="K1195" s="8" t="n">
        <v>49.26</v>
      </c>
      <c r="L1195" s="8" t="n">
        <v>0</v>
      </c>
      <c r="M1195" s="9">
        <f>ROUND(SUM(I1195:L1195),2)</f>
        <v/>
      </c>
      <c r="N1195" s="10">
        <f>ROUND(I1195*'Irish Basis'!$C$6*'Irish Basis'!$C$5,2)</f>
        <v/>
      </c>
      <c r="O1195" s="10">
        <f>ROUND(J1195*'Irish Basis'!$C$7*'Irish Basis'!$C$5,2)</f>
        <v/>
      </c>
      <c r="P1195" s="10">
        <f>ROUND(K1195*'Irish Basis'!$C$8*'Irish Basis'!$C$5,2)</f>
        <v/>
      </c>
      <c r="Q1195" s="10">
        <f>ROUND(L1195*'Irish Basis'!$C$12*'Irish Basis'!$C$5,2)</f>
        <v/>
      </c>
      <c r="R1195" s="11">
        <f>ROUND(SUM(N1195:Q1195),2)</f>
        <v/>
      </c>
      <c r="S1195" s="5" t="inlineStr">
        <is>
          <t>Stated build-up</t>
        </is>
      </c>
      <c r="T1195" s="12" t="inlineStr">
        <is>
          <t>High</t>
        </is>
      </c>
      <c r="U1195" s="8" t="n">
        <v>108.46</v>
      </c>
      <c r="V1195" s="13">
        <f>IF(U1195="","",ROUND(M1195-U1195,2))</f>
        <v/>
      </c>
      <c r="W1195" s="5" t="n"/>
      <c r="X1195" s="5" t="inlineStr">
        <is>
          <t>Labour + plant + material as published; reconciles to the published rate.</t>
        </is>
      </c>
    </row>
    <row r="1196" ht="13" customHeight="1">
      <c r="A1196" s="4" t="n">
        <v>2082</v>
      </c>
      <c r="B1196" s="5" t="inlineStr">
        <is>
          <t>IMG_0094</t>
        </is>
      </c>
      <c r="C1196" s="5" t="inlineStr">
        <is>
          <t>CLASS I: PIPEWORK - PIPES</t>
        </is>
      </c>
      <c r="D1196" s="5" t="inlineStr">
        <is>
          <t>01 CLAY PIPES</t>
        </is>
      </c>
      <c r="E1196" s="5" t="inlineStr">
        <is>
          <t>225 mm pipes; in trenches, depth</t>
        </is>
      </c>
      <c r="F1196" s="5" t="inlineStr">
        <is>
          <t>2.00-2.50 m deep</t>
        </is>
      </c>
      <c r="G1196" s="6" t="inlineStr">
        <is>
          <t>m</t>
        </is>
      </c>
      <c r="H1196" s="7" t="n">
        <v>0.26</v>
      </c>
      <c r="I1196" s="8" t="n">
        <v>35.93</v>
      </c>
      <c r="J1196" s="8" t="n">
        <v>34.02</v>
      </c>
      <c r="K1196" s="8" t="n">
        <v>49.26</v>
      </c>
      <c r="L1196" s="8" t="n">
        <v>0</v>
      </c>
      <c r="M1196" s="9">
        <f>ROUND(SUM(I1196:L1196),2)</f>
        <v/>
      </c>
      <c r="N1196" s="10">
        <f>ROUND(I1196*'Irish Basis'!$C$6*'Irish Basis'!$C$5,2)</f>
        <v/>
      </c>
      <c r="O1196" s="10">
        <f>ROUND(J1196*'Irish Basis'!$C$7*'Irish Basis'!$C$5,2)</f>
        <v/>
      </c>
      <c r="P1196" s="10">
        <f>ROUND(K1196*'Irish Basis'!$C$8*'Irish Basis'!$C$5,2)</f>
        <v/>
      </c>
      <c r="Q1196" s="10">
        <f>ROUND(L1196*'Irish Basis'!$C$12*'Irish Basis'!$C$5,2)</f>
        <v/>
      </c>
      <c r="R1196" s="11">
        <f>ROUND(SUM(N1196:Q1196),2)</f>
        <v/>
      </c>
      <c r="S1196" s="5" t="inlineStr">
        <is>
          <t>Stated build-up</t>
        </is>
      </c>
      <c r="T1196" s="12" t="inlineStr">
        <is>
          <t>High</t>
        </is>
      </c>
      <c r="U1196" s="8" t="n">
        <v>119.21</v>
      </c>
      <c r="V1196" s="13">
        <f>IF(U1196="","",ROUND(M1196-U1196,2))</f>
        <v/>
      </c>
      <c r="W1196" s="5" t="n"/>
      <c r="X1196" s="5" t="inlineStr">
        <is>
          <t>Labour + plant + material as published; reconciles to the published rate.</t>
        </is>
      </c>
    </row>
    <row r="1197" ht="13" customHeight="1">
      <c r="A1197" s="4" t="n">
        <v>2083</v>
      </c>
      <c r="B1197" s="5" t="inlineStr">
        <is>
          <t>IMG_0094</t>
        </is>
      </c>
      <c r="C1197" s="5" t="inlineStr">
        <is>
          <t>CLASS I: PIPEWORK - PIPES</t>
        </is>
      </c>
      <c r="D1197" s="5" t="inlineStr">
        <is>
          <t>01 CLAY PIPES</t>
        </is>
      </c>
      <c r="E1197" s="5" t="inlineStr">
        <is>
          <t>225 mm pipes; in trenches, depth</t>
        </is>
      </c>
      <c r="F1197" s="5" t="inlineStr">
        <is>
          <t>2.50-3.00 m deep</t>
        </is>
      </c>
      <c r="G1197" s="6" t="inlineStr">
        <is>
          <t>m</t>
        </is>
      </c>
      <c r="H1197" s="7" t="n">
        <v>0.3</v>
      </c>
      <c r="I1197" s="8" t="n">
        <v>41.45</v>
      </c>
      <c r="J1197" s="8" t="n">
        <v>39.21</v>
      </c>
      <c r="K1197" s="8" t="n">
        <v>49.26</v>
      </c>
      <c r="L1197" s="8" t="n">
        <v>0</v>
      </c>
      <c r="M1197" s="9">
        <f>ROUND(SUM(I1197:L1197),2)</f>
        <v/>
      </c>
      <c r="N1197" s="10">
        <f>ROUND(I1197*'Irish Basis'!$C$6*'Irish Basis'!$C$5,2)</f>
        <v/>
      </c>
      <c r="O1197" s="10">
        <f>ROUND(J1197*'Irish Basis'!$C$7*'Irish Basis'!$C$5,2)</f>
        <v/>
      </c>
      <c r="P1197" s="10">
        <f>ROUND(K1197*'Irish Basis'!$C$8*'Irish Basis'!$C$5,2)</f>
        <v/>
      </c>
      <c r="Q1197" s="10">
        <f>ROUND(L1197*'Irish Basis'!$C$12*'Irish Basis'!$C$5,2)</f>
        <v/>
      </c>
      <c r="R1197" s="11">
        <f>ROUND(SUM(N1197:Q1197),2)</f>
        <v/>
      </c>
      <c r="S1197" s="5" t="inlineStr">
        <is>
          <t>Stated build-up</t>
        </is>
      </c>
      <c r="T1197" s="12" t="inlineStr">
        <is>
          <t>High</t>
        </is>
      </c>
      <c r="U1197" s="8" t="n">
        <v>129.93</v>
      </c>
      <c r="V1197" s="13">
        <f>IF(U1197="","",ROUND(M1197-U1197,2))</f>
        <v/>
      </c>
      <c r="W1197" s="5" t="n"/>
      <c r="X1197" s="5" t="inlineStr">
        <is>
          <t>Labour + plant + material as published; reconciles to the published rate.</t>
        </is>
      </c>
    </row>
    <row r="1198" ht="13" customHeight="1">
      <c r="A1198" s="4" t="n">
        <v>2084</v>
      </c>
      <c r="B1198" s="5" t="inlineStr">
        <is>
          <t>IMG_0094</t>
        </is>
      </c>
      <c r="C1198" s="5" t="inlineStr">
        <is>
          <t>CLASS I: PIPEWORK - PIPES</t>
        </is>
      </c>
      <c r="D1198" s="5" t="inlineStr">
        <is>
          <t>01 CLAY PIPES</t>
        </is>
      </c>
      <c r="E1198" s="5" t="inlineStr">
        <is>
          <t>225 mm pipes; in trenches, depth</t>
        </is>
      </c>
      <c r="F1198" s="5" t="inlineStr">
        <is>
          <t>3.00-3.50 m deep</t>
        </is>
      </c>
      <c r="G1198" s="6" t="inlineStr">
        <is>
          <t>m</t>
        </is>
      </c>
      <c r="H1198" s="7" t="n">
        <v>0.41</v>
      </c>
      <c r="I1198" s="8" t="n">
        <v>56.65</v>
      </c>
      <c r="J1198" s="8" t="n">
        <v>53.67</v>
      </c>
      <c r="K1198" s="8" t="n">
        <v>49.26</v>
      </c>
      <c r="L1198" s="8" t="n">
        <v>0</v>
      </c>
      <c r="M1198" s="9">
        <f>ROUND(SUM(I1198:L1198),2)</f>
        <v/>
      </c>
      <c r="N1198" s="10">
        <f>ROUND(I1198*'Irish Basis'!$C$6*'Irish Basis'!$C$5,2)</f>
        <v/>
      </c>
      <c r="O1198" s="10">
        <f>ROUND(J1198*'Irish Basis'!$C$7*'Irish Basis'!$C$5,2)</f>
        <v/>
      </c>
      <c r="P1198" s="10">
        <f>ROUND(K1198*'Irish Basis'!$C$8*'Irish Basis'!$C$5,2)</f>
        <v/>
      </c>
      <c r="Q1198" s="10">
        <f>ROUND(L1198*'Irish Basis'!$C$12*'Irish Basis'!$C$5,2)</f>
        <v/>
      </c>
      <c r="R1198" s="11">
        <f>ROUND(SUM(N1198:Q1198),2)</f>
        <v/>
      </c>
      <c r="S1198" s="5" t="inlineStr">
        <is>
          <t>Stated build-up</t>
        </is>
      </c>
      <c r="T1198" s="12" t="inlineStr">
        <is>
          <t>High</t>
        </is>
      </c>
      <c r="U1198" s="8" t="n">
        <v>159.59</v>
      </c>
      <c r="V1198" s="13">
        <f>IF(U1198="","",ROUND(M1198-U1198,2))</f>
        <v/>
      </c>
      <c r="W1198" s="5" t="n"/>
      <c r="X1198" s="5" t="inlineStr">
        <is>
          <t>Labour + plant + material as published; reconciles to the published rate.</t>
        </is>
      </c>
    </row>
    <row r="1199" ht="13" customHeight="1">
      <c r="A1199" s="4" t="n">
        <v>2085</v>
      </c>
      <c r="B1199" s="5" t="inlineStr">
        <is>
          <t>IMG_0094</t>
        </is>
      </c>
      <c r="C1199" s="5" t="inlineStr">
        <is>
          <t>CLASS I: PIPEWORK - PIPES</t>
        </is>
      </c>
      <c r="D1199" s="5" t="inlineStr">
        <is>
          <t>01 CLAY PIPES</t>
        </is>
      </c>
      <c r="E1199" s="5" t="inlineStr">
        <is>
          <t>225 mm pipes; in trenches, depth</t>
        </is>
      </c>
      <c r="F1199" s="5" t="inlineStr">
        <is>
          <t>3.50-4.00 m deep</t>
        </is>
      </c>
      <c r="G1199" s="6" t="inlineStr">
        <is>
          <t>m</t>
        </is>
      </c>
      <c r="H1199" s="7" t="n">
        <v>0.47</v>
      </c>
      <c r="I1199" s="8" t="n">
        <v>64.94</v>
      </c>
      <c r="J1199" s="8" t="n">
        <v>61.49</v>
      </c>
      <c r="K1199" s="8" t="n">
        <v>49.26</v>
      </c>
      <c r="L1199" s="8" t="n">
        <v>0</v>
      </c>
      <c r="M1199" s="9">
        <f>ROUND(SUM(I1199:L1199),2)</f>
        <v/>
      </c>
      <c r="N1199" s="10">
        <f>ROUND(I1199*'Irish Basis'!$C$6*'Irish Basis'!$C$5,2)</f>
        <v/>
      </c>
      <c r="O1199" s="10">
        <f>ROUND(J1199*'Irish Basis'!$C$7*'Irish Basis'!$C$5,2)</f>
        <v/>
      </c>
      <c r="P1199" s="10">
        <f>ROUND(K1199*'Irish Basis'!$C$8*'Irish Basis'!$C$5,2)</f>
        <v/>
      </c>
      <c r="Q1199" s="10">
        <f>ROUND(L1199*'Irish Basis'!$C$12*'Irish Basis'!$C$5,2)</f>
        <v/>
      </c>
      <c r="R1199" s="11">
        <f>ROUND(SUM(N1199:Q1199),2)</f>
        <v/>
      </c>
      <c r="S1199" s="5" t="inlineStr">
        <is>
          <t>Stated build-up</t>
        </is>
      </c>
      <c r="T1199" s="12" t="inlineStr">
        <is>
          <t>High</t>
        </is>
      </c>
      <c r="U1199" s="8" t="n">
        <v>175.7</v>
      </c>
      <c r="V1199" s="13">
        <f>IF(U1199="","",ROUND(M1199-U1199,2))</f>
        <v/>
      </c>
      <c r="W1199" s="5" t="n"/>
      <c r="X1199" s="5" t="inlineStr">
        <is>
          <t>Labour + plant + material as published; reconciles to the published rate.</t>
        </is>
      </c>
    </row>
    <row r="1200" ht="13" customHeight="1">
      <c r="A1200" s="4" t="n">
        <v>2086</v>
      </c>
      <c r="B1200" s="5" t="inlineStr">
        <is>
          <t>IMG_0094</t>
        </is>
      </c>
      <c r="C1200" s="5" t="inlineStr">
        <is>
          <t>CLASS I: PIPEWORK - PIPES</t>
        </is>
      </c>
      <c r="D1200" s="5" t="inlineStr">
        <is>
          <t>01 CLAY PIPES</t>
        </is>
      </c>
      <c r="E1200" s="5" t="inlineStr">
        <is>
          <t>225 mm pipes; in trenches, depth</t>
        </is>
      </c>
      <c r="F1200" s="5" t="inlineStr">
        <is>
          <t>4.00-4.50 m deep</t>
        </is>
      </c>
      <c r="G1200" s="6" t="inlineStr">
        <is>
          <t>m</t>
        </is>
      </c>
      <c r="H1200" s="7" t="n">
        <v>0.65</v>
      </c>
      <c r="I1200" s="8" t="n">
        <v>89.81999999999999</v>
      </c>
      <c r="J1200" s="8" t="n">
        <v>85.15000000000001</v>
      </c>
      <c r="K1200" s="8" t="n">
        <v>49.26</v>
      </c>
      <c r="L1200" s="8" t="n">
        <v>0</v>
      </c>
      <c r="M1200" s="9">
        <f>ROUND(SUM(I1200:L1200),2)</f>
        <v/>
      </c>
      <c r="N1200" s="10">
        <f>ROUND(I1200*'Irish Basis'!$C$6*'Irish Basis'!$C$5,2)</f>
        <v/>
      </c>
      <c r="O1200" s="10">
        <f>ROUND(J1200*'Irish Basis'!$C$7*'Irish Basis'!$C$5,2)</f>
        <v/>
      </c>
      <c r="P1200" s="10">
        <f>ROUND(K1200*'Irish Basis'!$C$8*'Irish Basis'!$C$5,2)</f>
        <v/>
      </c>
      <c r="Q1200" s="10">
        <f>ROUND(L1200*'Irish Basis'!$C$12*'Irish Basis'!$C$5,2)</f>
        <v/>
      </c>
      <c r="R1200" s="11">
        <f>ROUND(SUM(N1200:Q1200),2)</f>
        <v/>
      </c>
      <c r="S1200" s="5" t="inlineStr">
        <is>
          <t>Stated build-up</t>
        </is>
      </c>
      <c r="T1200" s="12" t="inlineStr">
        <is>
          <t>High</t>
        </is>
      </c>
      <c r="U1200" s="8" t="n">
        <v>224.23</v>
      </c>
      <c r="V1200" s="13">
        <f>IF(U1200="","",ROUND(M1200-U1200,2))</f>
        <v/>
      </c>
      <c r="W1200" s="5" t="n"/>
      <c r="X1200" s="5" t="inlineStr">
        <is>
          <t>Labour + plant + material as published; reconciles to the published rate.</t>
        </is>
      </c>
    </row>
    <row r="1201" ht="13" customHeight="1">
      <c r="A1201" s="4" t="n">
        <v>2087</v>
      </c>
      <c r="B1201" s="5" t="inlineStr">
        <is>
          <t>IMG_0094</t>
        </is>
      </c>
      <c r="C1201" s="5" t="inlineStr">
        <is>
          <t>CLASS I: PIPEWORK - PIPES</t>
        </is>
      </c>
      <c r="D1201" s="5" t="inlineStr">
        <is>
          <t>01 CLAY PIPES</t>
        </is>
      </c>
      <c r="E1201" s="5" t="inlineStr">
        <is>
          <t>225 mm pipes; in trenches, depth</t>
        </is>
      </c>
      <c r="F1201" s="5" t="inlineStr">
        <is>
          <t>4.50-5.00 m deep</t>
        </is>
      </c>
      <c r="G1201" s="6" t="inlineStr">
        <is>
          <t>m</t>
        </is>
      </c>
      <c r="H1201" s="7" t="n">
        <v>0.8</v>
      </c>
      <c r="I1201" s="8" t="n">
        <v>110.54</v>
      </c>
      <c r="J1201" s="8" t="n">
        <v>104.83</v>
      </c>
      <c r="K1201" s="8" t="n">
        <v>49.26</v>
      </c>
      <c r="L1201" s="8" t="n">
        <v>0</v>
      </c>
      <c r="M1201" s="9">
        <f>ROUND(SUM(I1201:L1201),2)</f>
        <v/>
      </c>
      <c r="N1201" s="10">
        <f>ROUND(I1201*'Irish Basis'!$C$6*'Irish Basis'!$C$5,2)</f>
        <v/>
      </c>
      <c r="O1201" s="10">
        <f>ROUND(J1201*'Irish Basis'!$C$7*'Irish Basis'!$C$5,2)</f>
        <v/>
      </c>
      <c r="P1201" s="10">
        <f>ROUND(K1201*'Irish Basis'!$C$8*'Irish Basis'!$C$5,2)</f>
        <v/>
      </c>
      <c r="Q1201" s="10">
        <f>ROUND(L1201*'Irish Basis'!$C$12*'Irish Basis'!$C$5,2)</f>
        <v/>
      </c>
      <c r="R1201" s="11">
        <f>ROUND(SUM(N1201:Q1201),2)</f>
        <v/>
      </c>
      <c r="S1201" s="5" t="inlineStr">
        <is>
          <t>Stated build-up</t>
        </is>
      </c>
      <c r="T1201" s="12" t="inlineStr">
        <is>
          <t>High</t>
        </is>
      </c>
      <c r="U1201" s="8" t="n">
        <v>264.64</v>
      </c>
      <c r="V1201" s="13">
        <f>IF(U1201="","",ROUND(M1201-U1201,2))</f>
        <v/>
      </c>
      <c r="W1201" s="5" t="n"/>
      <c r="X1201" s="5" t="inlineStr">
        <is>
          <t>Labour + plant + material as published; reconciles to the published rate.</t>
        </is>
      </c>
    </row>
    <row r="1202" ht="13" customHeight="1">
      <c r="A1202" s="4" t="n">
        <v>2088</v>
      </c>
      <c r="B1202" s="5" t="inlineStr">
        <is>
          <t>IMG_0094</t>
        </is>
      </c>
      <c r="C1202" s="5" t="inlineStr">
        <is>
          <t>CLASS I: PIPEWORK - PIPES</t>
        </is>
      </c>
      <c r="D1202" s="5" t="inlineStr">
        <is>
          <t>01 CLAY PIPES</t>
        </is>
      </c>
      <c r="E1202" s="5" t="inlineStr">
        <is>
          <t>225 mm pipes; in trenches, depth</t>
        </is>
      </c>
      <c r="F1202" s="5" t="inlineStr">
        <is>
          <t>5.00-5.50 m deep</t>
        </is>
      </c>
      <c r="G1202" s="6" t="inlineStr">
        <is>
          <t>m</t>
        </is>
      </c>
      <c r="H1202" s="7" t="n">
        <v>1.02</v>
      </c>
      <c r="I1202" s="8" t="n">
        <v>140.94</v>
      </c>
      <c r="J1202" s="8" t="n">
        <v>133.73</v>
      </c>
      <c r="K1202" s="8" t="n">
        <v>49.26</v>
      </c>
      <c r="L1202" s="8" t="n">
        <v>0</v>
      </c>
      <c r="M1202" s="9">
        <f>ROUND(SUM(I1202:L1202),2)</f>
        <v/>
      </c>
      <c r="N1202" s="10">
        <f>ROUND(I1202*'Irish Basis'!$C$6*'Irish Basis'!$C$5,2)</f>
        <v/>
      </c>
      <c r="O1202" s="10">
        <f>ROUND(J1202*'Irish Basis'!$C$7*'Irish Basis'!$C$5,2)</f>
        <v/>
      </c>
      <c r="P1202" s="10">
        <f>ROUND(K1202*'Irish Basis'!$C$8*'Irish Basis'!$C$5,2)</f>
        <v/>
      </c>
      <c r="Q1202" s="10">
        <f>ROUND(L1202*'Irish Basis'!$C$12*'Irish Basis'!$C$5,2)</f>
        <v/>
      </c>
      <c r="R1202" s="11">
        <f>ROUND(SUM(N1202:Q1202),2)</f>
        <v/>
      </c>
      <c r="S1202" s="5" t="inlineStr">
        <is>
          <t>Stated build-up</t>
        </is>
      </c>
      <c r="T1202" s="12" t="inlineStr">
        <is>
          <t>High</t>
        </is>
      </c>
      <c r="U1202" s="8" t="n">
        <v>323.94</v>
      </c>
      <c r="V1202" s="13">
        <f>IF(U1202="","",ROUND(M1202-U1202,2))</f>
        <v/>
      </c>
      <c r="W1202" s="5" t="n"/>
      <c r="X1202" s="5" t="inlineStr">
        <is>
          <t>Labour + plant + material as published; reconciles to the published rate.</t>
        </is>
      </c>
    </row>
    <row r="1203" ht="13" customHeight="1">
      <c r="A1203" s="4" t="n">
        <v>2089</v>
      </c>
      <c r="B1203" s="5" t="inlineStr">
        <is>
          <t>IMG_0094</t>
        </is>
      </c>
      <c r="C1203" s="5" t="inlineStr">
        <is>
          <t>CLASS I: PIPEWORK - PIPES</t>
        </is>
      </c>
      <c r="D1203" s="5" t="inlineStr">
        <is>
          <t>01 CLAY PIPES</t>
        </is>
      </c>
      <c r="E1203" s="5" t="inlineStr">
        <is>
          <t>225 mm pipes; in trenches, depth</t>
        </is>
      </c>
      <c r="F1203" s="5" t="inlineStr">
        <is>
          <t>extra for bend</t>
        </is>
      </c>
      <c r="G1203" s="6" t="inlineStr">
        <is>
          <t>nr</t>
        </is>
      </c>
      <c r="H1203" s="7" t="n">
        <v>0.1</v>
      </c>
      <c r="I1203" s="8" t="n">
        <v>13.82</v>
      </c>
      <c r="J1203" s="8" t="n">
        <v>0</v>
      </c>
      <c r="K1203" s="8" t="n">
        <v>266.2</v>
      </c>
      <c r="L1203" s="8" t="n">
        <v>0</v>
      </c>
      <c r="M1203" s="9">
        <f>ROUND(SUM(I1203:L1203),2)</f>
        <v/>
      </c>
      <c r="N1203" s="10">
        <f>ROUND(I1203*'Irish Basis'!$C$6*'Irish Basis'!$C$5,2)</f>
        <v/>
      </c>
      <c r="O1203" s="10">
        <f>ROUND(J1203*'Irish Basis'!$C$7*'Irish Basis'!$C$5,2)</f>
        <v/>
      </c>
      <c r="P1203" s="10">
        <f>ROUND(K1203*'Irish Basis'!$C$8*'Irish Basis'!$C$5,2)</f>
        <v/>
      </c>
      <c r="Q1203" s="10">
        <f>ROUND(L1203*'Irish Basis'!$C$12*'Irish Basis'!$C$5,2)</f>
        <v/>
      </c>
      <c r="R1203" s="11">
        <f>ROUND(SUM(N1203:Q1203),2)</f>
        <v/>
      </c>
      <c r="S1203" s="5" t="inlineStr">
        <is>
          <t>Stated build-up</t>
        </is>
      </c>
      <c r="T1203" s="12" t="inlineStr">
        <is>
          <t>High</t>
        </is>
      </c>
      <c r="U1203" s="8" t="n">
        <v>280.02</v>
      </c>
      <c r="V1203" s="13">
        <f>IF(U1203="","",ROUND(M1203-U1203,2))</f>
        <v/>
      </c>
      <c r="W1203" s="5" t="n"/>
      <c r="X1203" s="5" t="inlineStr">
        <is>
          <t>Labour + plant + material as published; reconciles to the published rate.</t>
        </is>
      </c>
    </row>
    <row r="1204" ht="13" customHeight="1">
      <c r="A1204" s="4" t="n">
        <v>2090</v>
      </c>
      <c r="B1204" s="5" t="inlineStr">
        <is>
          <t>IMG_0094</t>
        </is>
      </c>
      <c r="C1204" s="5" t="inlineStr">
        <is>
          <t>CLASS I: PIPEWORK - PIPES</t>
        </is>
      </c>
      <c r="D1204" s="5" t="inlineStr">
        <is>
          <t>01 CLAY PIPES</t>
        </is>
      </c>
      <c r="E1204" s="5" t="inlineStr">
        <is>
          <t>225 mm pipes; in trenches, depth</t>
        </is>
      </c>
      <c r="F1204" s="5" t="inlineStr">
        <is>
          <t>extra for rest bend</t>
        </is>
      </c>
      <c r="G1204" s="6" t="inlineStr">
        <is>
          <t>nr</t>
        </is>
      </c>
      <c r="H1204" s="7" t="n">
        <v>0.11</v>
      </c>
      <c r="I1204" s="8" t="n">
        <v>15.2</v>
      </c>
      <c r="J1204" s="8" t="n">
        <v>0</v>
      </c>
      <c r="K1204" s="8" t="n">
        <v>261.76</v>
      </c>
      <c r="L1204" s="8" t="n">
        <v>0</v>
      </c>
      <c r="M1204" s="9">
        <f>ROUND(SUM(I1204:L1204),2)</f>
        <v/>
      </c>
      <c r="N1204" s="10">
        <f>ROUND(I1204*'Irish Basis'!$C$6*'Irish Basis'!$C$5,2)</f>
        <v/>
      </c>
      <c r="O1204" s="10">
        <f>ROUND(J1204*'Irish Basis'!$C$7*'Irish Basis'!$C$5,2)</f>
        <v/>
      </c>
      <c r="P1204" s="10">
        <f>ROUND(K1204*'Irish Basis'!$C$8*'Irish Basis'!$C$5,2)</f>
        <v/>
      </c>
      <c r="Q1204" s="10">
        <f>ROUND(L1204*'Irish Basis'!$C$12*'Irish Basis'!$C$5,2)</f>
        <v/>
      </c>
      <c r="R1204" s="11">
        <f>ROUND(SUM(N1204:Q1204),2)</f>
        <v/>
      </c>
      <c r="S1204" s="5" t="inlineStr">
        <is>
          <t>Stated build-up</t>
        </is>
      </c>
      <c r="T1204" s="12" t="inlineStr">
        <is>
          <t>High</t>
        </is>
      </c>
      <c r="U1204" s="8" t="n">
        <v>276.96</v>
      </c>
      <c r="V1204" s="13">
        <f>IF(U1204="","",ROUND(M1204-U1204,2))</f>
        <v/>
      </c>
      <c r="W1204" s="5" t="n"/>
      <c r="X1204" s="5" t="inlineStr">
        <is>
          <t>Labour + plant + material as published; reconciles to the published rate.</t>
        </is>
      </c>
    </row>
    <row r="1205" ht="13" customHeight="1">
      <c r="A1205" s="4" t="n">
        <v>2091</v>
      </c>
      <c r="B1205" s="5" t="inlineStr">
        <is>
          <t>IMG_0094</t>
        </is>
      </c>
      <c r="C1205" s="5" t="inlineStr">
        <is>
          <t>CLASS I: PIPEWORK - PIPES</t>
        </is>
      </c>
      <c r="D1205" s="5" t="inlineStr">
        <is>
          <t>01 CLAY PIPES</t>
        </is>
      </c>
      <c r="E1205" s="5" t="inlineStr">
        <is>
          <t>225 mm pipes; in trenches, depth</t>
        </is>
      </c>
      <c r="F1205" s="5" t="inlineStr">
        <is>
          <t>extra for single junction; equal</t>
        </is>
      </c>
      <c r="G1205" s="6" t="inlineStr">
        <is>
          <t>nr</t>
        </is>
      </c>
      <c r="H1205" s="7" t="n">
        <v>0.83</v>
      </c>
      <c r="I1205" s="8" t="n">
        <v>114.69</v>
      </c>
      <c r="J1205" s="8" t="n">
        <v>0</v>
      </c>
      <c r="K1205" s="8" t="n">
        <v>216.76</v>
      </c>
      <c r="L1205" s="8" t="n">
        <v>0</v>
      </c>
      <c r="M1205" s="9">
        <f>ROUND(SUM(I1205:L1205),2)</f>
        <v/>
      </c>
      <c r="N1205" s="10">
        <f>ROUND(I1205*'Irish Basis'!$C$6*'Irish Basis'!$C$5,2)</f>
        <v/>
      </c>
      <c r="O1205" s="10">
        <f>ROUND(J1205*'Irish Basis'!$C$7*'Irish Basis'!$C$5,2)</f>
        <v/>
      </c>
      <c r="P1205" s="10">
        <f>ROUND(K1205*'Irish Basis'!$C$8*'Irish Basis'!$C$5,2)</f>
        <v/>
      </c>
      <c r="Q1205" s="10">
        <f>ROUND(L1205*'Irish Basis'!$C$12*'Irish Basis'!$C$5,2)</f>
        <v/>
      </c>
      <c r="R1205" s="11">
        <f>ROUND(SUM(N1205:Q1205),2)</f>
        <v/>
      </c>
      <c r="S1205" s="5" t="inlineStr">
        <is>
          <t>Stated build-up</t>
        </is>
      </c>
      <c r="T1205" s="12" t="inlineStr">
        <is>
          <t>High</t>
        </is>
      </c>
      <c r="U1205" s="8" t="n">
        <v>331.45</v>
      </c>
      <c r="V1205" s="13">
        <f>IF(U1205="","",ROUND(M1205-U1205,2))</f>
        <v/>
      </c>
      <c r="W1205" s="5" t="n"/>
      <c r="X1205" s="5" t="inlineStr">
        <is>
          <t>Labour + plant + material as published; reconciles to the published rate.</t>
        </is>
      </c>
    </row>
    <row r="1206" ht="13" customHeight="1">
      <c r="A1206" s="4" t="n">
        <v>2092</v>
      </c>
      <c r="B1206" s="5" t="inlineStr">
        <is>
          <t>IMG_0094</t>
        </is>
      </c>
      <c r="C1206" s="5" t="inlineStr">
        <is>
          <t>CLASS I: PIPEWORK - PIPES</t>
        </is>
      </c>
      <c r="D1206" s="5" t="inlineStr">
        <is>
          <t>01 CLAY PIPES</t>
        </is>
      </c>
      <c r="E1206" s="5" t="inlineStr">
        <is>
          <t>225 mm pipes; in trenches, depth</t>
        </is>
      </c>
      <c r="F1206" s="5" t="inlineStr">
        <is>
          <t>extra for double junction; equal</t>
        </is>
      </c>
      <c r="G1206" s="6" t="inlineStr">
        <is>
          <t>nr</t>
        </is>
      </c>
      <c r="H1206" s="7" t="n">
        <v>0.18</v>
      </c>
      <c r="I1206" s="8" t="n">
        <v>24.87</v>
      </c>
      <c r="J1206" s="8" t="n">
        <v>0</v>
      </c>
      <c r="K1206" s="8" t="n">
        <v>346.77</v>
      </c>
      <c r="L1206" s="8" t="n">
        <v>0</v>
      </c>
      <c r="M1206" s="9">
        <f>ROUND(SUM(I1206:L1206),2)</f>
        <v/>
      </c>
      <c r="N1206" s="10">
        <f>ROUND(I1206*'Irish Basis'!$C$6*'Irish Basis'!$C$5,2)</f>
        <v/>
      </c>
      <c r="O1206" s="10">
        <f>ROUND(J1206*'Irish Basis'!$C$7*'Irish Basis'!$C$5,2)</f>
        <v/>
      </c>
      <c r="P1206" s="10">
        <f>ROUND(K1206*'Irish Basis'!$C$8*'Irish Basis'!$C$5,2)</f>
        <v/>
      </c>
      <c r="Q1206" s="10">
        <f>ROUND(L1206*'Irish Basis'!$C$12*'Irish Basis'!$C$5,2)</f>
        <v/>
      </c>
      <c r="R1206" s="11">
        <f>ROUND(SUM(N1206:Q1206),2)</f>
        <v/>
      </c>
      <c r="S1206" s="5" t="inlineStr">
        <is>
          <t>Stated build-up</t>
        </is>
      </c>
      <c r="T1206" s="12" t="inlineStr">
        <is>
          <t>High</t>
        </is>
      </c>
      <c r="U1206" s="8" t="n">
        <v>371.64</v>
      </c>
      <c r="V1206" s="13">
        <f>IF(U1206="","",ROUND(M1206-U1206,2))</f>
        <v/>
      </c>
      <c r="W1206" s="5" t="n"/>
      <c r="X1206" s="5" t="inlineStr">
        <is>
          <t>Labour + plant + material as published; reconciles to the published rate.</t>
        </is>
      </c>
    </row>
    <row r="1207" ht="13" customHeight="1">
      <c r="A1207" s="4" t="n">
        <v>2093</v>
      </c>
      <c r="B1207" s="5" t="inlineStr">
        <is>
          <t>IMG_0094</t>
        </is>
      </c>
      <c r="C1207" s="5" t="inlineStr">
        <is>
          <t>CLASS I: PIPEWORK - PIPES</t>
        </is>
      </c>
      <c r="D1207" s="5" t="inlineStr">
        <is>
          <t>01 CLAY PIPES</t>
        </is>
      </c>
      <c r="E1207" s="5" t="inlineStr">
        <is>
          <t>225 mm pipes; in trenches, depth</t>
        </is>
      </c>
      <c r="F1207" s="5" t="inlineStr">
        <is>
          <t>extra for taper reducer</t>
        </is>
      </c>
      <c r="G1207" s="6" t="inlineStr">
        <is>
          <t>nr</t>
        </is>
      </c>
      <c r="H1207" s="7" t="n">
        <v>0.12</v>
      </c>
      <c r="I1207" s="8" t="n">
        <v>16.58</v>
      </c>
      <c r="J1207" s="8" t="n">
        <v>0</v>
      </c>
      <c r="K1207" s="8" t="n">
        <v>228.99</v>
      </c>
      <c r="L1207" s="8" t="n">
        <v>0</v>
      </c>
      <c r="M1207" s="9">
        <f>ROUND(SUM(I1207:L1207),2)</f>
        <v/>
      </c>
      <c r="N1207" s="10">
        <f>ROUND(I1207*'Irish Basis'!$C$6*'Irish Basis'!$C$5,2)</f>
        <v/>
      </c>
      <c r="O1207" s="10">
        <f>ROUND(J1207*'Irish Basis'!$C$7*'Irish Basis'!$C$5,2)</f>
        <v/>
      </c>
      <c r="P1207" s="10">
        <f>ROUND(K1207*'Irish Basis'!$C$8*'Irish Basis'!$C$5,2)</f>
        <v/>
      </c>
      <c r="Q1207" s="10">
        <f>ROUND(L1207*'Irish Basis'!$C$12*'Irish Basis'!$C$5,2)</f>
        <v/>
      </c>
      <c r="R1207" s="11">
        <f>ROUND(SUM(N1207:Q1207),2)</f>
        <v/>
      </c>
      <c r="S1207" s="5" t="inlineStr">
        <is>
          <t>Stated build-up</t>
        </is>
      </c>
      <c r="T1207" s="12" t="inlineStr">
        <is>
          <t>High</t>
        </is>
      </c>
      <c r="U1207" s="8" t="n">
        <v>245.57</v>
      </c>
      <c r="V1207" s="13">
        <f>IF(U1207="","",ROUND(M1207-U1207,2))</f>
        <v/>
      </c>
      <c r="W1207" s="5" t="n"/>
      <c r="X1207" s="5" t="inlineStr">
        <is>
          <t>Labour + plant + material as published; reconciles to the published rate.</t>
        </is>
      </c>
    </row>
    <row r="1208" ht="13" customHeight="1">
      <c r="A1208" s="4" t="n">
        <v>2094</v>
      </c>
      <c r="B1208" s="5" t="inlineStr">
        <is>
          <t>IMG_0094</t>
        </is>
      </c>
      <c r="C1208" s="5" t="inlineStr">
        <is>
          <t>CLASS I: PIPEWORK - PIPES</t>
        </is>
      </c>
      <c r="D1208" s="5" t="inlineStr">
        <is>
          <t>01 CLAY PIPES</t>
        </is>
      </c>
      <c r="E1208" s="5" t="inlineStr">
        <is>
          <t>225 mm pipes; in trenches, depth</t>
        </is>
      </c>
      <c r="F1208" s="5" t="inlineStr">
        <is>
          <t>extra for saddle; oblique</t>
        </is>
      </c>
      <c r="G1208" s="6" t="inlineStr">
        <is>
          <t>nr</t>
        </is>
      </c>
      <c r="H1208" s="7" t="n">
        <v>0.36</v>
      </c>
      <c r="I1208" s="8" t="n">
        <v>49.74</v>
      </c>
      <c r="J1208" s="8" t="n">
        <v>0</v>
      </c>
      <c r="K1208" s="8" t="n">
        <v>275.48</v>
      </c>
      <c r="L1208" s="8" t="n">
        <v>0</v>
      </c>
      <c r="M1208" s="9">
        <f>ROUND(SUM(I1208:L1208),2)</f>
        <v/>
      </c>
      <c r="N1208" s="10">
        <f>ROUND(I1208*'Irish Basis'!$C$6*'Irish Basis'!$C$5,2)</f>
        <v/>
      </c>
      <c r="O1208" s="10">
        <f>ROUND(J1208*'Irish Basis'!$C$7*'Irish Basis'!$C$5,2)</f>
        <v/>
      </c>
      <c r="P1208" s="10">
        <f>ROUND(K1208*'Irish Basis'!$C$8*'Irish Basis'!$C$5,2)</f>
        <v/>
      </c>
      <c r="Q1208" s="10">
        <f>ROUND(L1208*'Irish Basis'!$C$12*'Irish Basis'!$C$5,2)</f>
        <v/>
      </c>
      <c r="R1208" s="11">
        <f>ROUND(SUM(N1208:Q1208),2)</f>
        <v/>
      </c>
      <c r="S1208" s="5" t="inlineStr">
        <is>
          <t>Stated build-up</t>
        </is>
      </c>
      <c r="T1208" s="12" t="inlineStr">
        <is>
          <t>High</t>
        </is>
      </c>
      <c r="U1208" s="8" t="n">
        <v>325.22</v>
      </c>
      <c r="V1208" s="13">
        <f>IF(U1208="","",ROUND(M1208-U1208,2))</f>
        <v/>
      </c>
      <c r="W1208" s="5" t="n"/>
      <c r="X1208" s="5" t="inlineStr">
        <is>
          <t>Labour + plant + material as published; reconciles to the published rate.</t>
        </is>
      </c>
    </row>
    <row r="1209" ht="13" customHeight="1">
      <c r="A1209" s="4" t="n">
        <v>2096</v>
      </c>
      <c r="B1209" s="5" t="inlineStr">
        <is>
          <t>IMG_0094</t>
        </is>
      </c>
      <c r="C1209" s="5" t="inlineStr">
        <is>
          <t>CLASS I: PIPEWORK - PIPES</t>
        </is>
      </c>
      <c r="D1209" s="5" t="inlineStr">
        <is>
          <t>01 CLAY PIPES</t>
        </is>
      </c>
      <c r="E1209" s="5" t="inlineStr">
        <is>
          <t>300 mm pipes; in trenches, depth</t>
        </is>
      </c>
      <c r="F1209" s="5" t="inlineStr">
        <is>
          <t>not in trenches</t>
        </is>
      </c>
      <c r="G1209" s="6" t="inlineStr">
        <is>
          <t>m</t>
        </is>
      </c>
      <c r="H1209" s="7" t="n">
        <v>0.15</v>
      </c>
      <c r="I1209" s="8" t="n">
        <v>12.95</v>
      </c>
      <c r="J1209" s="8" t="n">
        <v>1.13</v>
      </c>
      <c r="K1209" s="8" t="n">
        <v>54.35</v>
      </c>
      <c r="L1209" s="8" t="n">
        <v>0</v>
      </c>
      <c r="M1209" s="9">
        <f>ROUND(SUM(I1209:L1209),2)</f>
        <v/>
      </c>
      <c r="N1209" s="10">
        <f>ROUND(I1209*'Irish Basis'!$C$6*'Irish Basis'!$C$5,2)</f>
        <v/>
      </c>
      <c r="O1209" s="10">
        <f>ROUND(J1209*'Irish Basis'!$C$7*'Irish Basis'!$C$5,2)</f>
        <v/>
      </c>
      <c r="P1209" s="10">
        <f>ROUND(K1209*'Irish Basis'!$C$8*'Irish Basis'!$C$5,2)</f>
        <v/>
      </c>
      <c r="Q1209" s="10">
        <f>ROUND(L1209*'Irish Basis'!$C$12*'Irish Basis'!$C$5,2)</f>
        <v/>
      </c>
      <c r="R1209" s="11">
        <f>ROUND(SUM(N1209:Q1209),2)</f>
        <v/>
      </c>
      <c r="S1209" s="5" t="inlineStr">
        <is>
          <t>Stated build-up</t>
        </is>
      </c>
      <c r="T1209" s="12" t="inlineStr">
        <is>
          <t>High</t>
        </is>
      </c>
      <c r="U1209" s="8" t="n">
        <v>68.43000000000001</v>
      </c>
      <c r="V1209" s="13">
        <f>IF(U1209="","",ROUND(M1209-U1209,2))</f>
        <v/>
      </c>
      <c r="W1209" s="5" t="n"/>
      <c r="X1209" s="5" t="inlineStr">
        <is>
          <t>Labour + plant + material as published; reconciles to the published rate.</t>
        </is>
      </c>
    </row>
    <row r="1210" ht="13" customHeight="1">
      <c r="A1210" s="4" t="n">
        <v>2097</v>
      </c>
      <c r="B1210" s="5" t="inlineStr">
        <is>
          <t>IMG_0094</t>
        </is>
      </c>
      <c r="C1210" s="5" t="inlineStr">
        <is>
          <t>CLASS I: PIPEWORK - PIPES</t>
        </is>
      </c>
      <c r="D1210" s="5" t="inlineStr">
        <is>
          <t>01 CLAY PIPES</t>
        </is>
      </c>
      <c r="E1210" s="5" t="inlineStr">
        <is>
          <t>300 mm pipes; in trenches, depth</t>
        </is>
      </c>
      <c r="F1210" s="5" t="inlineStr">
        <is>
          <t>ne 1.50 m deep</t>
        </is>
      </c>
      <c r="G1210" s="6" t="inlineStr">
        <is>
          <t>m</t>
        </is>
      </c>
      <c r="H1210" s="7" t="n">
        <v>0.23</v>
      </c>
      <c r="I1210" s="8" t="n">
        <v>31.78</v>
      </c>
      <c r="J1210" s="8" t="n">
        <v>24.79</v>
      </c>
      <c r="K1210" s="8" t="n">
        <v>54.35</v>
      </c>
      <c r="L1210" s="8" t="n">
        <v>0</v>
      </c>
      <c r="M1210" s="9">
        <f>ROUND(SUM(I1210:L1210),2)</f>
        <v/>
      </c>
      <c r="N1210" s="10">
        <f>ROUND(I1210*'Irish Basis'!$C$6*'Irish Basis'!$C$5,2)</f>
        <v/>
      </c>
      <c r="O1210" s="10">
        <f>ROUND(J1210*'Irish Basis'!$C$7*'Irish Basis'!$C$5,2)</f>
        <v/>
      </c>
      <c r="P1210" s="10">
        <f>ROUND(K1210*'Irish Basis'!$C$8*'Irish Basis'!$C$5,2)</f>
        <v/>
      </c>
      <c r="Q1210" s="10">
        <f>ROUND(L1210*'Irish Basis'!$C$12*'Irish Basis'!$C$5,2)</f>
        <v/>
      </c>
      <c r="R1210" s="11">
        <f>ROUND(SUM(N1210:Q1210),2)</f>
        <v/>
      </c>
      <c r="S1210" s="5" t="inlineStr">
        <is>
          <t>Stated build-up</t>
        </is>
      </c>
      <c r="T1210" s="12" t="inlineStr">
        <is>
          <t>High</t>
        </is>
      </c>
      <c r="U1210" s="8" t="n">
        <v>110.92</v>
      </c>
      <c r="V1210" s="13">
        <f>IF(U1210="","",ROUND(M1210-U1210,2))</f>
        <v/>
      </c>
      <c r="W1210" s="5" t="n"/>
      <c r="X1210" s="5" t="inlineStr">
        <is>
          <t>Labour + plant + material as published; reconciles to the published rate.</t>
        </is>
      </c>
    </row>
    <row r="1211" ht="13" customHeight="1">
      <c r="A1211" s="4" t="n">
        <v>2098</v>
      </c>
      <c r="B1211" s="5" t="inlineStr">
        <is>
          <t>IMG_0094</t>
        </is>
      </c>
      <c r="C1211" s="5" t="inlineStr">
        <is>
          <t>CLASS I: PIPEWORK - PIPES</t>
        </is>
      </c>
      <c r="D1211" s="5" t="inlineStr">
        <is>
          <t>01 CLAY PIPES</t>
        </is>
      </c>
      <c r="E1211" s="5" t="inlineStr">
        <is>
          <t>300 mm pipes; in trenches, depth</t>
        </is>
      </c>
      <c r="F1211" s="5" t="inlineStr">
        <is>
          <t>1.50-2.00 m deep</t>
        </is>
      </c>
      <c r="G1211" s="6" t="inlineStr">
        <is>
          <t>m</t>
        </is>
      </c>
      <c r="H1211" s="7" t="n">
        <v>0.27</v>
      </c>
      <c r="I1211" s="8" t="n">
        <v>37.31</v>
      </c>
      <c r="J1211" s="8" t="n">
        <v>31.38</v>
      </c>
      <c r="K1211" s="8" t="n">
        <v>54.35</v>
      </c>
      <c r="L1211" s="8" t="n">
        <v>0</v>
      </c>
      <c r="M1211" s="9">
        <f>ROUND(SUM(I1211:L1211),2)</f>
        <v/>
      </c>
      <c r="N1211" s="10">
        <f>ROUND(I1211*'Irish Basis'!$C$6*'Irish Basis'!$C$5,2)</f>
        <v/>
      </c>
      <c r="O1211" s="10">
        <f>ROUND(J1211*'Irish Basis'!$C$7*'Irish Basis'!$C$5,2)</f>
        <v/>
      </c>
      <c r="P1211" s="10">
        <f>ROUND(K1211*'Irish Basis'!$C$8*'Irish Basis'!$C$5,2)</f>
        <v/>
      </c>
      <c r="Q1211" s="10">
        <f>ROUND(L1211*'Irish Basis'!$C$12*'Irish Basis'!$C$5,2)</f>
        <v/>
      </c>
      <c r="R1211" s="11">
        <f>ROUND(SUM(N1211:Q1211),2)</f>
        <v/>
      </c>
      <c r="S1211" s="5" t="inlineStr">
        <is>
          <t>Stated build-up</t>
        </is>
      </c>
      <c r="T1211" s="12" t="inlineStr">
        <is>
          <t>High</t>
        </is>
      </c>
      <c r="U1211" s="8" t="n">
        <v>123.04</v>
      </c>
      <c r="V1211" s="13">
        <f>IF(U1211="","",ROUND(M1211-U1211,2))</f>
        <v/>
      </c>
      <c r="W1211" s="5" t="n"/>
      <c r="X1211" s="5" t="inlineStr">
        <is>
          <t>Labour + plant + material as published; reconciles to the published rate.</t>
        </is>
      </c>
    </row>
    <row r="1212" ht="13" customHeight="1">
      <c r="A1212" s="4" t="n">
        <v>2099</v>
      </c>
      <c r="B1212" s="5" t="inlineStr">
        <is>
          <t>IMG_0094</t>
        </is>
      </c>
      <c r="C1212" s="5" t="inlineStr">
        <is>
          <t>CLASS I: PIPEWORK - PIPES</t>
        </is>
      </c>
      <c r="D1212" s="5" t="inlineStr">
        <is>
          <t>01 CLAY PIPES</t>
        </is>
      </c>
      <c r="E1212" s="5" t="inlineStr">
        <is>
          <t>300 mm pipes; in trenches, depth</t>
        </is>
      </c>
      <c r="F1212" s="5" t="inlineStr">
        <is>
          <t>2.00-2.50 m deep</t>
        </is>
      </c>
      <c r="G1212" s="6" t="inlineStr">
        <is>
          <t>m</t>
        </is>
      </c>
      <c r="H1212" s="7" t="n">
        <v>0.32</v>
      </c>
      <c r="I1212" s="8" t="n">
        <v>44.22</v>
      </c>
      <c r="J1212" s="8" t="n">
        <v>36.61</v>
      </c>
      <c r="K1212" s="8" t="n">
        <v>54.35</v>
      </c>
      <c r="L1212" s="8" t="n">
        <v>0</v>
      </c>
      <c r="M1212" s="9">
        <f>ROUND(SUM(I1212:L1212),2)</f>
        <v/>
      </c>
      <c r="N1212" s="10">
        <f>ROUND(I1212*'Irish Basis'!$C$6*'Irish Basis'!$C$5,2)</f>
        <v/>
      </c>
      <c r="O1212" s="10">
        <f>ROUND(J1212*'Irish Basis'!$C$7*'Irish Basis'!$C$5,2)</f>
        <v/>
      </c>
      <c r="P1212" s="10">
        <f>ROUND(K1212*'Irish Basis'!$C$8*'Irish Basis'!$C$5,2)</f>
        <v/>
      </c>
      <c r="Q1212" s="10">
        <f>ROUND(L1212*'Irish Basis'!$C$12*'Irish Basis'!$C$5,2)</f>
        <v/>
      </c>
      <c r="R1212" s="11">
        <f>ROUND(SUM(N1212:Q1212),2)</f>
        <v/>
      </c>
      <c r="S1212" s="5" t="inlineStr">
        <is>
          <t>Stated build-up</t>
        </is>
      </c>
      <c r="T1212" s="12" t="inlineStr">
        <is>
          <t>High</t>
        </is>
      </c>
      <c r="U1212" s="8" t="n">
        <v>135.18</v>
      </c>
      <c r="V1212" s="13">
        <f>IF(U1212="","",ROUND(M1212-U1212,2))</f>
        <v/>
      </c>
      <c r="W1212" s="5" t="n"/>
      <c r="X1212" s="5" t="inlineStr">
        <is>
          <t>Labour + plant + material as published; reconciles to the published rate.</t>
        </is>
      </c>
    </row>
    <row r="1213" ht="13" customHeight="1">
      <c r="A1213" s="4" t="n">
        <v>2100</v>
      </c>
      <c r="B1213" s="5" t="inlineStr">
        <is>
          <t>IMG_0094</t>
        </is>
      </c>
      <c r="C1213" s="5" t="inlineStr">
        <is>
          <t>CLASS I: PIPEWORK - PIPES</t>
        </is>
      </c>
      <c r="D1213" s="5" t="inlineStr">
        <is>
          <t>01 CLAY PIPES</t>
        </is>
      </c>
      <c r="E1213" s="5" t="inlineStr">
        <is>
          <t>300 mm pipes; in trenches, depth</t>
        </is>
      </c>
      <c r="F1213" s="5" t="inlineStr">
        <is>
          <t>2.50-3.00 m deep</t>
        </is>
      </c>
      <c r="G1213" s="6" t="inlineStr">
        <is>
          <t>m</t>
        </is>
      </c>
      <c r="H1213" s="7" t="n">
        <v>0.35</v>
      </c>
      <c r="I1213" s="8" t="n">
        <v>48.36</v>
      </c>
      <c r="J1213" s="8" t="n">
        <v>41.86</v>
      </c>
      <c r="K1213" s="8" t="n">
        <v>54.35</v>
      </c>
      <c r="L1213" s="8" t="n">
        <v>0</v>
      </c>
      <c r="M1213" s="9">
        <f>ROUND(SUM(I1213:L1213),2)</f>
        <v/>
      </c>
      <c r="N1213" s="10">
        <f>ROUND(I1213*'Irish Basis'!$C$6*'Irish Basis'!$C$5,2)</f>
        <v/>
      </c>
      <c r="O1213" s="10">
        <f>ROUND(J1213*'Irish Basis'!$C$7*'Irish Basis'!$C$5,2)</f>
        <v/>
      </c>
      <c r="P1213" s="10">
        <f>ROUND(K1213*'Irish Basis'!$C$8*'Irish Basis'!$C$5,2)</f>
        <v/>
      </c>
      <c r="Q1213" s="10">
        <f>ROUND(L1213*'Irish Basis'!$C$12*'Irish Basis'!$C$5,2)</f>
        <v/>
      </c>
      <c r="R1213" s="11">
        <f>ROUND(SUM(N1213:Q1213),2)</f>
        <v/>
      </c>
      <c r="S1213" s="5" t="inlineStr">
        <is>
          <t>Stated build-up</t>
        </is>
      </c>
      <c r="T1213" s="12" t="inlineStr">
        <is>
          <t>High</t>
        </is>
      </c>
      <c r="U1213" s="8" t="n">
        <v>144.57</v>
      </c>
      <c r="V1213" s="13">
        <f>IF(U1213="","",ROUND(M1213-U1213,2))</f>
        <v/>
      </c>
      <c r="W1213" s="5" t="n"/>
      <c r="X1213" s="5" t="inlineStr">
        <is>
          <t>Labour + plant + material as published; reconciles to the published rate.</t>
        </is>
      </c>
    </row>
    <row r="1214" ht="13" customHeight="1">
      <c r="A1214" s="4" t="n">
        <v>2101</v>
      </c>
      <c r="B1214" s="5" t="inlineStr">
        <is>
          <t>IMG_0094</t>
        </is>
      </c>
      <c r="C1214" s="5" t="inlineStr">
        <is>
          <t>CLASS I: PIPEWORK - PIPES</t>
        </is>
      </c>
      <c r="D1214" s="5" t="inlineStr">
        <is>
          <t>01 CLAY PIPES</t>
        </is>
      </c>
      <c r="E1214" s="5" t="inlineStr">
        <is>
          <t>300 mm pipes; in trenches, depth</t>
        </is>
      </c>
      <c r="F1214" s="5" t="inlineStr">
        <is>
          <t>3.00-3.50 m deep</t>
        </is>
      </c>
      <c r="G1214" s="6" t="inlineStr">
        <is>
          <t>m</t>
        </is>
      </c>
      <c r="H1214" s="7" t="n">
        <v>0.42</v>
      </c>
      <c r="I1214" s="8" t="n">
        <v>58.04</v>
      </c>
      <c r="J1214" s="8" t="n">
        <v>54.99</v>
      </c>
      <c r="K1214" s="8" t="n">
        <v>54.35</v>
      </c>
      <c r="L1214" s="8" t="n">
        <v>0</v>
      </c>
      <c r="M1214" s="9">
        <f>ROUND(SUM(I1214:L1214),2)</f>
        <v/>
      </c>
      <c r="N1214" s="10">
        <f>ROUND(I1214*'Irish Basis'!$C$6*'Irish Basis'!$C$5,2)</f>
        <v/>
      </c>
      <c r="O1214" s="10">
        <f>ROUND(J1214*'Irish Basis'!$C$7*'Irish Basis'!$C$5,2)</f>
        <v/>
      </c>
      <c r="P1214" s="10">
        <f>ROUND(K1214*'Irish Basis'!$C$8*'Irish Basis'!$C$5,2)</f>
        <v/>
      </c>
      <c r="Q1214" s="10">
        <f>ROUND(L1214*'Irish Basis'!$C$12*'Irish Basis'!$C$5,2)</f>
        <v/>
      </c>
      <c r="R1214" s="11">
        <f>ROUND(SUM(N1214:Q1214),2)</f>
        <v/>
      </c>
      <c r="S1214" s="5" t="inlineStr">
        <is>
          <t>Stated build-up</t>
        </is>
      </c>
      <c r="T1214" s="12" t="inlineStr">
        <is>
          <t>High</t>
        </is>
      </c>
      <c r="U1214" s="8" t="n">
        <v>167.38</v>
      </c>
      <c r="V1214" s="13">
        <f>IF(U1214="","",ROUND(M1214-U1214,2))</f>
        <v/>
      </c>
      <c r="W1214" s="5" t="n"/>
      <c r="X1214" s="5" t="inlineStr">
        <is>
          <t>Labour + plant + material as published; reconciles to the published rate.</t>
        </is>
      </c>
    </row>
    <row r="1215" ht="13" customHeight="1">
      <c r="A1215" s="4" t="n">
        <v>2102</v>
      </c>
      <c r="B1215" s="5" t="inlineStr">
        <is>
          <t>IMG_0094</t>
        </is>
      </c>
      <c r="C1215" s="5" t="inlineStr">
        <is>
          <t>CLASS I: PIPEWORK - PIPES</t>
        </is>
      </c>
      <c r="D1215" s="5" t="inlineStr">
        <is>
          <t>01 CLAY PIPES</t>
        </is>
      </c>
      <c r="E1215" s="5" t="inlineStr">
        <is>
          <t>300 mm pipes; in trenches, depth</t>
        </is>
      </c>
      <c r="F1215" s="5" t="inlineStr">
        <is>
          <t>3.50-4.00 m deep</t>
        </is>
      </c>
      <c r="G1215" s="6" t="inlineStr">
        <is>
          <t>m</t>
        </is>
      </c>
      <c r="H1215" s="7" t="n">
        <v>0.52</v>
      </c>
      <c r="I1215" s="8" t="n">
        <v>71.84999999999999</v>
      </c>
      <c r="J1215" s="8" t="n">
        <v>68.09</v>
      </c>
      <c r="K1215" s="8" t="n">
        <v>54.35</v>
      </c>
      <c r="L1215" s="8" t="n">
        <v>0</v>
      </c>
      <c r="M1215" s="9">
        <f>ROUND(SUM(I1215:L1215),2)</f>
        <v/>
      </c>
      <c r="N1215" s="10">
        <f>ROUND(I1215*'Irish Basis'!$C$6*'Irish Basis'!$C$5,2)</f>
        <v/>
      </c>
      <c r="O1215" s="10">
        <f>ROUND(J1215*'Irish Basis'!$C$7*'Irish Basis'!$C$5,2)</f>
        <v/>
      </c>
      <c r="P1215" s="10">
        <f>ROUND(K1215*'Irish Basis'!$C$8*'Irish Basis'!$C$5,2)</f>
        <v/>
      </c>
      <c r="Q1215" s="10">
        <f>ROUND(L1215*'Irish Basis'!$C$12*'Irish Basis'!$C$5,2)</f>
        <v/>
      </c>
      <c r="R1215" s="11">
        <f>ROUND(SUM(N1215:Q1215),2)</f>
        <v/>
      </c>
      <c r="S1215" s="5" t="inlineStr">
        <is>
          <t>Stated build-up</t>
        </is>
      </c>
      <c r="T1215" s="12" t="inlineStr">
        <is>
          <t>High</t>
        </is>
      </c>
      <c r="U1215" s="8" t="n">
        <v>194.3</v>
      </c>
      <c r="V1215" s="13">
        <f>IF(U1215="","",ROUND(M1215-U1215,2))</f>
        <v/>
      </c>
      <c r="W1215" s="5" t="n"/>
      <c r="X1215" s="5" t="inlineStr">
        <is>
          <t>Labour + plant + material as published; reconciles to the published rate.</t>
        </is>
      </c>
    </row>
    <row r="1216" ht="13" customHeight="1">
      <c r="A1216" s="4" t="n">
        <v>2103</v>
      </c>
      <c r="B1216" s="5" t="inlineStr">
        <is>
          <t>IMG_0094</t>
        </is>
      </c>
      <c r="C1216" s="5" t="inlineStr">
        <is>
          <t>CLASS I: PIPEWORK - PIPES</t>
        </is>
      </c>
      <c r="D1216" s="5" t="inlineStr">
        <is>
          <t>01 CLAY PIPES</t>
        </is>
      </c>
      <c r="E1216" s="5" t="inlineStr">
        <is>
          <t>300 mm pipes; in trenches, depth</t>
        </is>
      </c>
      <c r="F1216" s="5" t="inlineStr">
        <is>
          <t>4.00-4.50 m deep</t>
        </is>
      </c>
      <c r="G1216" s="6" t="inlineStr">
        <is>
          <t>m</t>
        </is>
      </c>
      <c r="H1216" s="7" t="n">
        <v>0.7</v>
      </c>
      <c r="I1216" s="8" t="n">
        <v>96.73</v>
      </c>
      <c r="J1216" s="8" t="n">
        <v>91.72</v>
      </c>
      <c r="K1216" s="8" t="n">
        <v>54.35</v>
      </c>
      <c r="L1216" s="8" t="n">
        <v>0</v>
      </c>
      <c r="M1216" s="9">
        <f>ROUND(SUM(I1216:L1216),2)</f>
        <v/>
      </c>
      <c r="N1216" s="10">
        <f>ROUND(I1216*'Irish Basis'!$C$6*'Irish Basis'!$C$5,2)</f>
        <v/>
      </c>
      <c r="O1216" s="10">
        <f>ROUND(J1216*'Irish Basis'!$C$7*'Irish Basis'!$C$5,2)</f>
        <v/>
      </c>
      <c r="P1216" s="10">
        <f>ROUND(K1216*'Irish Basis'!$C$8*'Irish Basis'!$C$5,2)</f>
        <v/>
      </c>
      <c r="Q1216" s="10">
        <f>ROUND(L1216*'Irish Basis'!$C$12*'Irish Basis'!$C$5,2)</f>
        <v/>
      </c>
      <c r="R1216" s="11">
        <f>ROUND(SUM(N1216:Q1216),2)</f>
        <v/>
      </c>
      <c r="S1216" s="5" t="inlineStr">
        <is>
          <t>Stated build-up</t>
        </is>
      </c>
      <c r="T1216" s="12" t="inlineStr">
        <is>
          <t>High</t>
        </is>
      </c>
      <c r="U1216" s="8" t="n">
        <v>242.79</v>
      </c>
      <c r="V1216" s="13">
        <f>IF(U1216="","",ROUND(M1216-U1216,2))</f>
        <v/>
      </c>
      <c r="W1216" s="5" t="n"/>
      <c r="X1216" s="5" t="inlineStr">
        <is>
          <t>Labour + plant + material as published; reconciles to the published rate.</t>
        </is>
      </c>
    </row>
    <row r="1217" ht="13" customHeight="1">
      <c r="A1217" s="4" t="n">
        <v>2105</v>
      </c>
      <c r="B1217" s="5" t="inlineStr">
        <is>
          <t>IMG_0095</t>
        </is>
      </c>
      <c r="C1217" s="5" t="inlineStr">
        <is>
          <t>CLASS I: PIPEWORK - PIPES</t>
        </is>
      </c>
      <c r="D1217" s="5" t="inlineStr">
        <is>
          <t>01 CLAY PIPES</t>
        </is>
      </c>
      <c r="E1217" s="5" t="inlineStr">
        <is>
          <t>Vitrified clay pipes to BS EN295, spigot and socket joints; 300 mm pipes; in trenches, depth (continued)</t>
        </is>
      </c>
      <c r="F1217" s="5" t="inlineStr">
        <is>
          <t>4.50-5.00 m deep</t>
        </is>
      </c>
      <c r="G1217" s="6" t="inlineStr">
        <is>
          <t>m</t>
        </is>
      </c>
      <c r="H1217" s="7" t="n">
        <v>0.9</v>
      </c>
      <c r="I1217" s="8" t="n">
        <v>124.36</v>
      </c>
      <c r="J1217" s="8" t="n">
        <v>117.96</v>
      </c>
      <c r="K1217" s="8" t="n">
        <v>54.35</v>
      </c>
      <c r="L1217" s="8" t="n">
        <v>0</v>
      </c>
      <c r="M1217" s="9">
        <f>ROUND(SUM(I1217:L1217),2)</f>
        <v/>
      </c>
      <c r="N1217" s="10">
        <f>ROUND(I1217*'Irish Basis'!$C$6*'Irish Basis'!$C$5,2)</f>
        <v/>
      </c>
      <c r="O1217" s="10">
        <f>ROUND(J1217*'Irish Basis'!$C$7*'Irish Basis'!$C$5,2)</f>
        <v/>
      </c>
      <c r="P1217" s="10">
        <f>ROUND(K1217*'Irish Basis'!$C$8*'Irish Basis'!$C$5,2)</f>
        <v/>
      </c>
      <c r="Q1217" s="10">
        <f>ROUND(L1217*'Irish Basis'!$C$12*'Irish Basis'!$C$5,2)</f>
        <v/>
      </c>
      <c r="R1217" s="11">
        <f>ROUND(SUM(N1217:Q1217),2)</f>
        <v/>
      </c>
      <c r="S1217" s="5" t="inlineStr">
        <is>
          <t>Stated build-up</t>
        </is>
      </c>
      <c r="T1217" s="12" t="inlineStr">
        <is>
          <t>High</t>
        </is>
      </c>
      <c r="U1217" s="8" t="n">
        <v>296.68</v>
      </c>
      <c r="V1217" s="13">
        <f>IF(U1217="","",ROUND(M1217-U1217,2))</f>
        <v/>
      </c>
      <c r="W1217" s="5" t="n"/>
      <c r="X1217" s="5" t="inlineStr">
        <is>
          <t>Labour + plant + material as published; reconciles to the published rate.</t>
        </is>
      </c>
    </row>
    <row r="1218" ht="13" customHeight="1">
      <c r="A1218" s="4" t="n">
        <v>2106</v>
      </c>
      <c r="B1218" s="5" t="inlineStr">
        <is>
          <t>IMG_0095</t>
        </is>
      </c>
      <c r="C1218" s="5" t="inlineStr">
        <is>
          <t>CLASS I: PIPEWORK - PIPES</t>
        </is>
      </c>
      <c r="D1218" s="5" t="inlineStr">
        <is>
          <t>01 CLAY PIPES</t>
        </is>
      </c>
      <c r="E1218" s="5" t="inlineStr">
        <is>
          <t>Vitrified clay pipes to BS EN295, spigot and socket joints; 300 mm pipes; in trenches, depth (continued)</t>
        </is>
      </c>
      <c r="F1218" s="5" t="inlineStr">
        <is>
          <t>5.00-5.50 m deep</t>
        </is>
      </c>
      <c r="G1218" s="6" t="inlineStr">
        <is>
          <t>m</t>
        </is>
      </c>
      <c r="H1218" s="7" t="n">
        <v>1.12</v>
      </c>
      <c r="I1218" s="8" t="n">
        <v>154.76</v>
      </c>
      <c r="J1218" s="8" t="n">
        <v>146.81</v>
      </c>
      <c r="K1218" s="8" t="n">
        <v>54.35</v>
      </c>
      <c r="L1218" s="8" t="n">
        <v>0</v>
      </c>
      <c r="M1218" s="9">
        <f>ROUND(SUM(I1218:L1218),2)</f>
        <v/>
      </c>
      <c r="N1218" s="10">
        <f>ROUND(I1218*'Irish Basis'!$C$6*'Irish Basis'!$C$5,2)</f>
        <v/>
      </c>
      <c r="O1218" s="10">
        <f>ROUND(J1218*'Irish Basis'!$C$7*'Irish Basis'!$C$5,2)</f>
        <v/>
      </c>
      <c r="P1218" s="10">
        <f>ROUND(K1218*'Irish Basis'!$C$8*'Irish Basis'!$C$5,2)</f>
        <v/>
      </c>
      <c r="Q1218" s="10">
        <f>ROUND(L1218*'Irish Basis'!$C$12*'Irish Basis'!$C$5,2)</f>
        <v/>
      </c>
      <c r="R1218" s="11">
        <f>ROUND(SUM(N1218:Q1218),2)</f>
        <v/>
      </c>
      <c r="S1218" s="5" t="inlineStr">
        <is>
          <t>Stated build-up</t>
        </is>
      </c>
      <c r="T1218" s="12" t="inlineStr">
        <is>
          <t>High</t>
        </is>
      </c>
      <c r="U1218" s="8" t="n">
        <v>355.93</v>
      </c>
      <c r="V1218" s="13">
        <f>IF(U1218="","",ROUND(M1218-U1218,2))</f>
        <v/>
      </c>
      <c r="W1218" s="5" t="n"/>
      <c r="X1218" s="5" t="inlineStr">
        <is>
          <t>Labour + plant + material as published; reconciles to the published rate.</t>
        </is>
      </c>
    </row>
    <row r="1219" ht="13" customHeight="1">
      <c r="A1219" s="4" t="n">
        <v>2107</v>
      </c>
      <c r="B1219" s="5" t="inlineStr">
        <is>
          <t>IMG_0095</t>
        </is>
      </c>
      <c r="C1219" s="5" t="inlineStr">
        <is>
          <t>CLASS I: PIPEWORK - PIPES</t>
        </is>
      </c>
      <c r="D1219" s="5" t="inlineStr">
        <is>
          <t>01 CLAY PIPES</t>
        </is>
      </c>
      <c r="E1219" s="5" t="inlineStr">
        <is>
          <t>Vitrified clay pipes to BS EN295, spigot and socket joints; 300 mm pipes; in trenches, depth (continued)</t>
        </is>
      </c>
      <c r="F1219" s="5" t="inlineStr">
        <is>
          <t>extra for bend</t>
        </is>
      </c>
      <c r="G1219" s="6" t="inlineStr">
        <is>
          <t>nr</t>
        </is>
      </c>
      <c r="H1219" s="7" t="n">
        <v>0.15</v>
      </c>
      <c r="I1219" s="8" t="n">
        <v>20.73</v>
      </c>
      <c r="J1219" s="8" t="n">
        <v>0</v>
      </c>
      <c r="K1219" s="8" t="n">
        <v>490.96</v>
      </c>
      <c r="L1219" s="8" t="n">
        <v>0</v>
      </c>
      <c r="M1219" s="9">
        <f>ROUND(SUM(I1219:L1219),2)</f>
        <v/>
      </c>
      <c r="N1219" s="10">
        <f>ROUND(I1219*'Irish Basis'!$C$6*'Irish Basis'!$C$5,2)</f>
        <v/>
      </c>
      <c r="O1219" s="10">
        <f>ROUND(J1219*'Irish Basis'!$C$7*'Irish Basis'!$C$5,2)</f>
        <v/>
      </c>
      <c r="P1219" s="10">
        <f>ROUND(K1219*'Irish Basis'!$C$8*'Irish Basis'!$C$5,2)</f>
        <v/>
      </c>
      <c r="Q1219" s="10">
        <f>ROUND(L1219*'Irish Basis'!$C$12*'Irish Basis'!$C$5,2)</f>
        <v/>
      </c>
      <c r="R1219" s="11">
        <f>ROUND(SUM(N1219:Q1219),2)</f>
        <v/>
      </c>
      <c r="S1219" s="5" t="inlineStr">
        <is>
          <t>Stated build-up</t>
        </is>
      </c>
      <c r="T1219" s="12" t="inlineStr">
        <is>
          <t>High</t>
        </is>
      </c>
      <c r="U1219" s="8" t="n">
        <v>511.69</v>
      </c>
      <c r="V1219" s="13">
        <f>IF(U1219="","",ROUND(M1219-U1219,2))</f>
        <v/>
      </c>
      <c r="W1219" s="5" t="n"/>
      <c r="X1219" s="5" t="inlineStr">
        <is>
          <t>Labour + plant + material as published; reconciles to the published rate.</t>
        </is>
      </c>
    </row>
    <row r="1220" ht="13" customHeight="1">
      <c r="A1220" s="4" t="n">
        <v>2108</v>
      </c>
      <c r="B1220" s="5" t="inlineStr">
        <is>
          <t>IMG_0095</t>
        </is>
      </c>
      <c r="C1220" s="5" t="inlineStr">
        <is>
          <t>CLASS I: PIPEWORK - PIPES</t>
        </is>
      </c>
      <c r="D1220" s="5" t="inlineStr">
        <is>
          <t>01 CLAY PIPES</t>
        </is>
      </c>
      <c r="E1220" s="5" t="inlineStr">
        <is>
          <t>Vitrified clay pipes to BS EN295, spigot and socket joints; 300 mm pipes; in trenches, depth (continued)</t>
        </is>
      </c>
      <c r="F1220" s="5" t="inlineStr">
        <is>
          <t>extra for rest bend</t>
        </is>
      </c>
      <c r="G1220" s="6" t="inlineStr">
        <is>
          <t>nr</t>
        </is>
      </c>
      <c r="H1220" s="7" t="n">
        <v>0.16</v>
      </c>
      <c r="I1220" s="8" t="n">
        <v>22.11</v>
      </c>
      <c r="J1220" s="8" t="n">
        <v>0</v>
      </c>
      <c r="K1220" s="8" t="n">
        <v>691.85</v>
      </c>
      <c r="L1220" s="8" t="n">
        <v>0</v>
      </c>
      <c r="M1220" s="9">
        <f>ROUND(SUM(I1220:L1220),2)</f>
        <v/>
      </c>
      <c r="N1220" s="10">
        <f>ROUND(I1220*'Irish Basis'!$C$6*'Irish Basis'!$C$5,2)</f>
        <v/>
      </c>
      <c r="O1220" s="10">
        <f>ROUND(J1220*'Irish Basis'!$C$7*'Irish Basis'!$C$5,2)</f>
        <v/>
      </c>
      <c r="P1220" s="10">
        <f>ROUND(K1220*'Irish Basis'!$C$8*'Irish Basis'!$C$5,2)</f>
        <v/>
      </c>
      <c r="Q1220" s="10">
        <f>ROUND(L1220*'Irish Basis'!$C$12*'Irish Basis'!$C$5,2)</f>
        <v/>
      </c>
      <c r="R1220" s="11">
        <f>ROUND(SUM(N1220:Q1220),2)</f>
        <v/>
      </c>
      <c r="S1220" s="5" t="inlineStr">
        <is>
          <t>Stated build-up</t>
        </is>
      </c>
      <c r="T1220" s="12" t="inlineStr">
        <is>
          <t>High</t>
        </is>
      </c>
      <c r="U1220" s="8" t="n">
        <v>713.96</v>
      </c>
      <c r="V1220" s="13">
        <f>IF(U1220="","",ROUND(M1220-U1220,2))</f>
        <v/>
      </c>
      <c r="W1220" s="5" t="n"/>
      <c r="X1220" s="5" t="inlineStr">
        <is>
          <t>Labour + plant + material as published; reconciles to the published rate.</t>
        </is>
      </c>
    </row>
    <row r="1221" ht="13" customHeight="1">
      <c r="A1221" s="4" t="n">
        <v>2109</v>
      </c>
      <c r="B1221" s="5" t="inlineStr">
        <is>
          <t>IMG_0095</t>
        </is>
      </c>
      <c r="C1221" s="5" t="inlineStr">
        <is>
          <t>CLASS I: PIPEWORK - PIPES</t>
        </is>
      </c>
      <c r="D1221" s="5" t="inlineStr">
        <is>
          <t>01 CLAY PIPES</t>
        </is>
      </c>
      <c r="E1221" s="5" t="inlineStr">
        <is>
          <t>Vitrified clay pipes to BS EN295, spigot and socket joints; 300 mm pipes; in trenches, depth (continued)</t>
        </is>
      </c>
      <c r="F1221" s="5" t="inlineStr">
        <is>
          <t>extra for single junction; equal</t>
        </is>
      </c>
      <c r="G1221" s="6" t="inlineStr">
        <is>
          <t>nr</t>
        </is>
      </c>
      <c r="H1221" s="7" t="n">
        <v>0.19</v>
      </c>
      <c r="I1221" s="8" t="n">
        <v>26.25</v>
      </c>
      <c r="J1221" s="8" t="n">
        <v>0</v>
      </c>
      <c r="K1221" s="8" t="n">
        <v>691.85</v>
      </c>
      <c r="L1221" s="8" t="n">
        <v>0</v>
      </c>
      <c r="M1221" s="9">
        <f>ROUND(SUM(I1221:L1221),2)</f>
        <v/>
      </c>
      <c r="N1221" s="10">
        <f>ROUND(I1221*'Irish Basis'!$C$6*'Irish Basis'!$C$5,2)</f>
        <v/>
      </c>
      <c r="O1221" s="10">
        <f>ROUND(J1221*'Irish Basis'!$C$7*'Irish Basis'!$C$5,2)</f>
        <v/>
      </c>
      <c r="P1221" s="10">
        <f>ROUND(K1221*'Irish Basis'!$C$8*'Irish Basis'!$C$5,2)</f>
        <v/>
      </c>
      <c r="Q1221" s="10">
        <f>ROUND(L1221*'Irish Basis'!$C$12*'Irish Basis'!$C$5,2)</f>
        <v/>
      </c>
      <c r="R1221" s="11">
        <f>ROUND(SUM(N1221:Q1221),2)</f>
        <v/>
      </c>
      <c r="S1221" s="5" t="inlineStr">
        <is>
          <t>Stated build-up</t>
        </is>
      </c>
      <c r="T1221" s="12" t="inlineStr">
        <is>
          <t>High</t>
        </is>
      </c>
      <c r="U1221" s="8" t="n">
        <v>718.11</v>
      </c>
      <c r="V1221" s="13">
        <f>IF(U1221="","",ROUND(M1221-U1221,2))</f>
        <v/>
      </c>
      <c r="W1221" s="5" t="n"/>
      <c r="X1221" s="5" t="inlineStr">
        <is>
          <t>Labour + plant + material as published; reconciles to the published rate.</t>
        </is>
      </c>
    </row>
    <row r="1222" ht="13" customHeight="1">
      <c r="A1222" s="4" t="n">
        <v>2110</v>
      </c>
      <c r="B1222" s="5" t="inlineStr">
        <is>
          <t>IMG_0095</t>
        </is>
      </c>
      <c r="C1222" s="5" t="inlineStr">
        <is>
          <t>CLASS I: PIPEWORK - PIPES</t>
        </is>
      </c>
      <c r="D1222" s="5" t="inlineStr">
        <is>
          <t>01 CLAY PIPES</t>
        </is>
      </c>
      <c r="E1222" s="5" t="inlineStr">
        <is>
          <t>Vitrified clay pipes to BS EN295, spigot and socket joints; 300 mm pipes; in trenches, depth (continued)</t>
        </is>
      </c>
      <c r="F1222" s="5" t="inlineStr">
        <is>
          <t>extra for double junction; equal</t>
        </is>
      </c>
      <c r="G1222" s="6" t="inlineStr">
        <is>
          <t>nr</t>
        </is>
      </c>
      <c r="H1222" s="7" t="n">
        <v>0.21</v>
      </c>
      <c r="I1222" s="8" t="n">
        <v>29.02</v>
      </c>
      <c r="J1222" s="8" t="n">
        <v>0</v>
      </c>
      <c r="K1222" s="8" t="n">
        <v>795.96</v>
      </c>
      <c r="L1222" s="8" t="n">
        <v>0</v>
      </c>
      <c r="M1222" s="9">
        <f>ROUND(SUM(I1222:L1222),2)</f>
        <v/>
      </c>
      <c r="N1222" s="10">
        <f>ROUND(I1222*'Irish Basis'!$C$6*'Irish Basis'!$C$5,2)</f>
        <v/>
      </c>
      <c r="O1222" s="10">
        <f>ROUND(J1222*'Irish Basis'!$C$7*'Irish Basis'!$C$5,2)</f>
        <v/>
      </c>
      <c r="P1222" s="10">
        <f>ROUND(K1222*'Irish Basis'!$C$8*'Irish Basis'!$C$5,2)</f>
        <v/>
      </c>
      <c r="Q1222" s="10">
        <f>ROUND(L1222*'Irish Basis'!$C$12*'Irish Basis'!$C$5,2)</f>
        <v/>
      </c>
      <c r="R1222" s="11">
        <f>ROUND(SUM(N1222:Q1222),2)</f>
        <v/>
      </c>
      <c r="S1222" s="5" t="inlineStr">
        <is>
          <t>Stated build-up</t>
        </is>
      </c>
      <c r="T1222" s="12" t="inlineStr">
        <is>
          <t>High</t>
        </is>
      </c>
      <c r="U1222" s="8" t="n">
        <v>824.97</v>
      </c>
      <c r="V1222" s="13">
        <f>IF(U1222="","",ROUND(M1222-U1222,2))</f>
        <v/>
      </c>
      <c r="W1222" s="5" t="n"/>
      <c r="X1222" s="5" t="inlineStr">
        <is>
          <t>Labour + plant + material as published; reconciles to the published rate.</t>
        </is>
      </c>
    </row>
    <row r="1223" ht="13" customHeight="1">
      <c r="A1223" s="4" t="n">
        <v>2111</v>
      </c>
      <c r="B1223" s="5" t="inlineStr">
        <is>
          <t>IMG_0095</t>
        </is>
      </c>
      <c r="C1223" s="5" t="inlineStr">
        <is>
          <t>CLASS I: PIPEWORK - PIPES</t>
        </is>
      </c>
      <c r="D1223" s="5" t="inlineStr">
        <is>
          <t>01 CLAY PIPES</t>
        </is>
      </c>
      <c r="E1223" s="5" t="inlineStr">
        <is>
          <t>Vitrified clay pipes to BS EN295, spigot and socket joints; 300 mm pipes; in trenches, depth (continued)</t>
        </is>
      </c>
      <c r="F1223" s="5" t="inlineStr">
        <is>
          <t>extra for taper reducer</t>
        </is>
      </c>
      <c r="G1223" s="6" t="inlineStr">
        <is>
          <t>nr</t>
        </is>
      </c>
      <c r="H1223" s="7" t="n">
        <v>0.15</v>
      </c>
      <c r="I1223" s="8" t="n">
        <v>20.73</v>
      </c>
      <c r="J1223" s="8" t="n">
        <v>0</v>
      </c>
      <c r="K1223" s="8" t="n">
        <v>451.82</v>
      </c>
      <c r="L1223" s="8" t="n">
        <v>0</v>
      </c>
      <c r="M1223" s="9">
        <f>ROUND(SUM(I1223:L1223),2)</f>
        <v/>
      </c>
      <c r="N1223" s="10">
        <f>ROUND(I1223*'Irish Basis'!$C$6*'Irish Basis'!$C$5,2)</f>
        <v/>
      </c>
      <c r="O1223" s="10">
        <f>ROUND(J1223*'Irish Basis'!$C$7*'Irish Basis'!$C$5,2)</f>
        <v/>
      </c>
      <c r="P1223" s="10">
        <f>ROUND(K1223*'Irish Basis'!$C$8*'Irish Basis'!$C$5,2)</f>
        <v/>
      </c>
      <c r="Q1223" s="10">
        <f>ROUND(L1223*'Irish Basis'!$C$12*'Irish Basis'!$C$5,2)</f>
        <v/>
      </c>
      <c r="R1223" s="11">
        <f>ROUND(SUM(N1223:Q1223),2)</f>
        <v/>
      </c>
      <c r="S1223" s="5" t="inlineStr">
        <is>
          <t>Stated build-up</t>
        </is>
      </c>
      <c r="T1223" s="12" t="inlineStr">
        <is>
          <t>High</t>
        </is>
      </c>
      <c r="U1223" s="8" t="n">
        <v>472.55</v>
      </c>
      <c r="V1223" s="13">
        <f>IF(U1223="","",ROUND(M1223-U1223,2))</f>
        <v/>
      </c>
      <c r="W1223" s="5" t="n"/>
      <c r="X1223" s="5" t="inlineStr">
        <is>
          <t>Labour + plant + material as published; reconciles to the published rate.</t>
        </is>
      </c>
    </row>
    <row r="1224" ht="13" customHeight="1">
      <c r="A1224" s="4" t="n">
        <v>2112</v>
      </c>
      <c r="B1224" s="5" t="inlineStr">
        <is>
          <t>IMG_0095</t>
        </is>
      </c>
      <c r="C1224" s="5" t="inlineStr">
        <is>
          <t>CLASS I: PIPEWORK - PIPES</t>
        </is>
      </c>
      <c r="D1224" s="5" t="inlineStr">
        <is>
          <t>01 CLAY PIPES</t>
        </is>
      </c>
      <c r="E1224" s="5" t="inlineStr">
        <is>
          <t>Vitrified clay pipes to BS EN295, spigot and socket joints; 300 mm pipes; in trenches, depth (continued)</t>
        </is>
      </c>
      <c r="F1224" s="5" t="inlineStr">
        <is>
          <t>extra for saddle; oblique</t>
        </is>
      </c>
      <c r="G1224" s="6" t="inlineStr">
        <is>
          <t>nr</t>
        </is>
      </c>
      <c r="H1224" s="7" t="n">
        <v>0.44</v>
      </c>
      <c r="I1224" s="8" t="n">
        <v>60.8</v>
      </c>
      <c r="J1224" s="8" t="n">
        <v>0</v>
      </c>
      <c r="K1224" s="8" t="n">
        <v>479.32</v>
      </c>
      <c r="L1224" s="8" t="n">
        <v>0</v>
      </c>
      <c r="M1224" s="9">
        <f>ROUND(SUM(I1224:L1224),2)</f>
        <v/>
      </c>
      <c r="N1224" s="10">
        <f>ROUND(I1224*'Irish Basis'!$C$6*'Irish Basis'!$C$5,2)</f>
        <v/>
      </c>
      <c r="O1224" s="10">
        <f>ROUND(J1224*'Irish Basis'!$C$7*'Irish Basis'!$C$5,2)</f>
        <v/>
      </c>
      <c r="P1224" s="10">
        <f>ROUND(K1224*'Irish Basis'!$C$8*'Irish Basis'!$C$5,2)</f>
        <v/>
      </c>
      <c r="Q1224" s="10">
        <f>ROUND(L1224*'Irish Basis'!$C$12*'Irish Basis'!$C$5,2)</f>
        <v/>
      </c>
      <c r="R1224" s="11">
        <f>ROUND(SUM(N1224:Q1224),2)</f>
        <v/>
      </c>
      <c r="S1224" s="5" t="inlineStr">
        <is>
          <t>Stated build-up</t>
        </is>
      </c>
      <c r="T1224" s="12" t="inlineStr">
        <is>
          <t>High</t>
        </is>
      </c>
      <c r="U1224" s="8" t="n">
        <v>540.12</v>
      </c>
      <c r="V1224" s="13">
        <f>IF(U1224="","",ROUND(M1224-U1224,2))</f>
        <v/>
      </c>
      <c r="W1224" s="5" t="n"/>
      <c r="X1224" s="5" t="inlineStr">
        <is>
          <t>Labour + plant + material as published; reconciles to the published rate.</t>
        </is>
      </c>
    </row>
    <row r="1225" ht="13" customHeight="1">
      <c r="A1225" s="4" t="n">
        <v>2114</v>
      </c>
      <c r="B1225" s="5" t="inlineStr">
        <is>
          <t>IMG_0095</t>
        </is>
      </c>
      <c r="C1225" s="5" t="inlineStr">
        <is>
          <t>CLASS I: PIPEWORK - PIPES</t>
        </is>
      </c>
      <c r="D1225" s="5" t="inlineStr">
        <is>
          <t>01 CLAY PIPES</t>
        </is>
      </c>
      <c r="E1225" s="5" t="inlineStr">
        <is>
          <t>400 mm pipes; in trenches, depth</t>
        </is>
      </c>
      <c r="F1225" s="5" t="inlineStr">
        <is>
          <t>not in trenches</t>
        </is>
      </c>
      <c r="G1225" s="6" t="inlineStr">
        <is>
          <t>m</t>
        </is>
      </c>
      <c r="H1225" s="7" t="n">
        <v>0.1</v>
      </c>
      <c r="I1225" s="8" t="n">
        <v>8.630000000000001</v>
      </c>
      <c r="J1225" s="8" t="n">
        <v>1.13</v>
      </c>
      <c r="K1225" s="8" t="n">
        <v>198.09</v>
      </c>
      <c r="L1225" s="8" t="n">
        <v>0</v>
      </c>
      <c r="M1225" s="9">
        <f>ROUND(SUM(I1225:L1225),2)</f>
        <v/>
      </c>
      <c r="N1225" s="10">
        <f>ROUND(I1225*'Irish Basis'!$C$6*'Irish Basis'!$C$5,2)</f>
        <v/>
      </c>
      <c r="O1225" s="10">
        <f>ROUND(J1225*'Irish Basis'!$C$7*'Irish Basis'!$C$5,2)</f>
        <v/>
      </c>
      <c r="P1225" s="10">
        <f>ROUND(K1225*'Irish Basis'!$C$8*'Irish Basis'!$C$5,2)</f>
        <v/>
      </c>
      <c r="Q1225" s="10">
        <f>ROUND(L1225*'Irish Basis'!$C$12*'Irish Basis'!$C$5,2)</f>
        <v/>
      </c>
      <c r="R1225" s="11">
        <f>ROUND(SUM(N1225:Q1225),2)</f>
        <v/>
      </c>
      <c r="S1225" s="5" t="inlineStr">
        <is>
          <t>Stated build-up</t>
        </is>
      </c>
      <c r="T1225" s="12" t="inlineStr">
        <is>
          <t>High</t>
        </is>
      </c>
      <c r="U1225" s="8" t="n">
        <v>207.85</v>
      </c>
      <c r="V1225" s="13">
        <f>IF(U1225="","",ROUND(M1225-U1225,2))</f>
        <v/>
      </c>
      <c r="W1225" s="5" t="n"/>
      <c r="X1225" s="5" t="inlineStr">
        <is>
          <t>Labour + plant + material as published; reconciles to the published rate.</t>
        </is>
      </c>
    </row>
    <row r="1226" ht="13" customHeight="1">
      <c r="A1226" s="4" t="n">
        <v>2115</v>
      </c>
      <c r="B1226" s="5" t="inlineStr">
        <is>
          <t>IMG_0095</t>
        </is>
      </c>
      <c r="C1226" s="5" t="inlineStr">
        <is>
          <t>CLASS I: PIPEWORK - PIPES</t>
        </is>
      </c>
      <c r="D1226" s="5" t="inlineStr">
        <is>
          <t>01 CLAY PIPES</t>
        </is>
      </c>
      <c r="E1226" s="5" t="inlineStr">
        <is>
          <t>400 mm pipes; in trenches, depth</t>
        </is>
      </c>
      <c r="F1226" s="5" t="inlineStr">
        <is>
          <t>ne 1.50 m deep</t>
        </is>
      </c>
      <c r="G1226" s="6" t="inlineStr">
        <is>
          <t>m</t>
        </is>
      </c>
      <c r="H1226" s="7" t="n">
        <v>0.23</v>
      </c>
      <c r="I1226" s="8" t="n">
        <v>31.78</v>
      </c>
      <c r="J1226" s="8" t="n">
        <v>30.01</v>
      </c>
      <c r="K1226" s="8" t="n">
        <v>198.09</v>
      </c>
      <c r="L1226" s="8" t="n">
        <v>0</v>
      </c>
      <c r="M1226" s="9">
        <f>ROUND(SUM(I1226:L1226),2)</f>
        <v/>
      </c>
      <c r="N1226" s="10">
        <f>ROUND(I1226*'Irish Basis'!$C$6*'Irish Basis'!$C$5,2)</f>
        <v/>
      </c>
      <c r="O1226" s="10">
        <f>ROUND(J1226*'Irish Basis'!$C$7*'Irish Basis'!$C$5,2)</f>
        <v/>
      </c>
      <c r="P1226" s="10">
        <f>ROUND(K1226*'Irish Basis'!$C$8*'Irish Basis'!$C$5,2)</f>
        <v/>
      </c>
      <c r="Q1226" s="10">
        <f>ROUND(L1226*'Irish Basis'!$C$12*'Irish Basis'!$C$5,2)</f>
        <v/>
      </c>
      <c r="R1226" s="11">
        <f>ROUND(SUM(N1226:Q1226),2)</f>
        <v/>
      </c>
      <c r="S1226" s="5" t="inlineStr">
        <is>
          <t>Stated build-up</t>
        </is>
      </c>
      <c r="T1226" s="12" t="inlineStr">
        <is>
          <t>High</t>
        </is>
      </c>
      <c r="U1226" s="8" t="n">
        <v>259.88</v>
      </c>
      <c r="V1226" s="13">
        <f>IF(U1226="","",ROUND(M1226-U1226,2))</f>
        <v/>
      </c>
      <c r="W1226" s="5" t="n"/>
      <c r="X1226" s="5" t="inlineStr">
        <is>
          <t>Labour + plant + material as published; reconciles to the published rate.</t>
        </is>
      </c>
    </row>
    <row r="1227" ht="13" customHeight="1">
      <c r="A1227" s="4" t="n">
        <v>2116</v>
      </c>
      <c r="B1227" s="5" t="inlineStr">
        <is>
          <t>IMG_0095</t>
        </is>
      </c>
      <c r="C1227" s="5" t="inlineStr">
        <is>
          <t>CLASS I: PIPEWORK - PIPES</t>
        </is>
      </c>
      <c r="D1227" s="5" t="inlineStr">
        <is>
          <t>01 CLAY PIPES</t>
        </is>
      </c>
      <c r="E1227" s="5" t="inlineStr">
        <is>
          <t>400 mm pipes; in trenches, depth</t>
        </is>
      </c>
      <c r="F1227" s="5" t="inlineStr">
        <is>
          <t>1.50-2.00 m deep</t>
        </is>
      </c>
      <c r="G1227" s="6" t="inlineStr">
        <is>
          <t>m</t>
        </is>
      </c>
      <c r="H1227" s="7" t="n">
        <v>0.29</v>
      </c>
      <c r="I1227" s="8" t="n">
        <v>40.07</v>
      </c>
      <c r="J1227" s="8" t="n">
        <v>37.93</v>
      </c>
      <c r="K1227" s="8" t="n">
        <v>198.09</v>
      </c>
      <c r="L1227" s="8" t="n">
        <v>0</v>
      </c>
      <c r="M1227" s="9">
        <f>ROUND(SUM(I1227:L1227),2)</f>
        <v/>
      </c>
      <c r="N1227" s="10">
        <f>ROUND(I1227*'Irish Basis'!$C$6*'Irish Basis'!$C$5,2)</f>
        <v/>
      </c>
      <c r="O1227" s="10">
        <f>ROUND(J1227*'Irish Basis'!$C$7*'Irish Basis'!$C$5,2)</f>
        <v/>
      </c>
      <c r="P1227" s="10">
        <f>ROUND(K1227*'Irish Basis'!$C$8*'Irish Basis'!$C$5,2)</f>
        <v/>
      </c>
      <c r="Q1227" s="10">
        <f>ROUND(L1227*'Irish Basis'!$C$12*'Irish Basis'!$C$5,2)</f>
        <v/>
      </c>
      <c r="R1227" s="11">
        <f>ROUND(SUM(N1227:Q1227),2)</f>
        <v/>
      </c>
      <c r="S1227" s="5" t="inlineStr">
        <is>
          <t>Stated build-up</t>
        </is>
      </c>
      <c r="T1227" s="12" t="inlineStr">
        <is>
          <t>High</t>
        </is>
      </c>
      <c r="U1227" s="8" t="n">
        <v>276.09</v>
      </c>
      <c r="V1227" s="13">
        <f>IF(U1227="","",ROUND(M1227-U1227,2))</f>
        <v/>
      </c>
      <c r="W1227" s="5" t="n"/>
      <c r="X1227" s="5" t="inlineStr">
        <is>
          <t>Labour + plant + material as published; reconciles to the published rate.</t>
        </is>
      </c>
    </row>
    <row r="1228" ht="13" customHeight="1">
      <c r="A1228" s="4" t="n">
        <v>2117</v>
      </c>
      <c r="B1228" s="5" t="inlineStr">
        <is>
          <t>IMG_0095</t>
        </is>
      </c>
      <c r="C1228" s="5" t="inlineStr">
        <is>
          <t>CLASS I: PIPEWORK - PIPES</t>
        </is>
      </c>
      <c r="D1228" s="5" t="inlineStr">
        <is>
          <t>01 CLAY PIPES</t>
        </is>
      </c>
      <c r="E1228" s="5" t="inlineStr">
        <is>
          <t>400 mm pipes; in trenches, depth</t>
        </is>
      </c>
      <c r="F1228" s="5" t="inlineStr">
        <is>
          <t>2.00-2.50 m deep</t>
        </is>
      </c>
      <c r="G1228" s="6" t="inlineStr">
        <is>
          <t>m</t>
        </is>
      </c>
      <c r="H1228" s="7" t="n">
        <v>0.32</v>
      </c>
      <c r="I1228" s="8" t="n">
        <v>44.22</v>
      </c>
      <c r="J1228" s="8" t="n">
        <v>41.84</v>
      </c>
      <c r="K1228" s="8" t="n">
        <v>198.09</v>
      </c>
      <c r="L1228" s="8" t="n">
        <v>0</v>
      </c>
      <c r="M1228" s="9">
        <f>ROUND(SUM(I1228:L1228),2)</f>
        <v/>
      </c>
      <c r="N1228" s="10">
        <f>ROUND(I1228*'Irish Basis'!$C$6*'Irish Basis'!$C$5,2)</f>
        <v/>
      </c>
      <c r="O1228" s="10">
        <f>ROUND(J1228*'Irish Basis'!$C$7*'Irish Basis'!$C$5,2)</f>
        <v/>
      </c>
      <c r="P1228" s="10">
        <f>ROUND(K1228*'Irish Basis'!$C$8*'Irish Basis'!$C$5,2)</f>
        <v/>
      </c>
      <c r="Q1228" s="10">
        <f>ROUND(L1228*'Irish Basis'!$C$12*'Irish Basis'!$C$5,2)</f>
        <v/>
      </c>
      <c r="R1228" s="11">
        <f>ROUND(SUM(N1228:Q1228),2)</f>
        <v/>
      </c>
      <c r="S1228" s="5" t="inlineStr">
        <is>
          <t>Stated build-up</t>
        </is>
      </c>
      <c r="T1228" s="12" t="inlineStr">
        <is>
          <t>High</t>
        </is>
      </c>
      <c r="U1228" s="8" t="n">
        <v>284.14</v>
      </c>
      <c r="V1228" s="13">
        <f>IF(U1228="","",ROUND(M1228-U1228,2))</f>
        <v/>
      </c>
      <c r="W1228" s="5" t="n"/>
      <c r="X1228" s="5" t="inlineStr">
        <is>
          <t>Labour + plant + material as published; reconciles to the published rate.</t>
        </is>
      </c>
    </row>
    <row r="1229" ht="13" customHeight="1">
      <c r="A1229" s="4" t="n">
        <v>2118</v>
      </c>
      <c r="B1229" s="5" t="inlineStr">
        <is>
          <t>IMG_0095</t>
        </is>
      </c>
      <c r="C1229" s="5" t="inlineStr">
        <is>
          <t>CLASS I: PIPEWORK - PIPES</t>
        </is>
      </c>
      <c r="D1229" s="5" t="inlineStr">
        <is>
          <t>01 CLAY PIPES</t>
        </is>
      </c>
      <c r="E1229" s="5" t="inlineStr">
        <is>
          <t>400 mm pipes; in trenches, depth</t>
        </is>
      </c>
      <c r="F1229" s="5" t="inlineStr">
        <is>
          <t>2.50-3.00 m deep</t>
        </is>
      </c>
      <c r="G1229" s="6" t="inlineStr">
        <is>
          <t>m</t>
        </is>
      </c>
      <c r="H1229" s="7" t="n">
        <v>0.38</v>
      </c>
      <c r="I1229" s="8" t="n">
        <v>52.51</v>
      </c>
      <c r="J1229" s="8" t="n">
        <v>49.74</v>
      </c>
      <c r="K1229" s="8" t="n">
        <v>198.09</v>
      </c>
      <c r="L1229" s="8" t="n">
        <v>0</v>
      </c>
      <c r="M1229" s="9">
        <f>ROUND(SUM(I1229:L1229),2)</f>
        <v/>
      </c>
      <c r="N1229" s="10">
        <f>ROUND(I1229*'Irish Basis'!$C$6*'Irish Basis'!$C$5,2)</f>
        <v/>
      </c>
      <c r="O1229" s="10">
        <f>ROUND(J1229*'Irish Basis'!$C$7*'Irish Basis'!$C$5,2)</f>
        <v/>
      </c>
      <c r="P1229" s="10">
        <f>ROUND(K1229*'Irish Basis'!$C$8*'Irish Basis'!$C$5,2)</f>
        <v/>
      </c>
      <c r="Q1229" s="10">
        <f>ROUND(L1229*'Irish Basis'!$C$12*'Irish Basis'!$C$5,2)</f>
        <v/>
      </c>
      <c r="R1229" s="11">
        <f>ROUND(SUM(N1229:Q1229),2)</f>
        <v/>
      </c>
      <c r="S1229" s="5" t="inlineStr">
        <is>
          <t>Stated build-up</t>
        </is>
      </c>
      <c r="T1229" s="12" t="inlineStr">
        <is>
          <t>High</t>
        </is>
      </c>
      <c r="U1229" s="8" t="n">
        <v>300.33</v>
      </c>
      <c r="V1229" s="13">
        <f>IF(U1229="","",ROUND(M1229-U1229,2))</f>
        <v/>
      </c>
      <c r="W1229" s="5" t="n"/>
      <c r="X1229" s="5" t="inlineStr">
        <is>
          <t>Labour + plant + material as published; reconciles to the published rate.</t>
        </is>
      </c>
    </row>
    <row r="1230" ht="13" customHeight="1">
      <c r="A1230" s="4" t="n">
        <v>2119</v>
      </c>
      <c r="B1230" s="5" t="inlineStr">
        <is>
          <t>IMG_0095</t>
        </is>
      </c>
      <c r="C1230" s="5" t="inlineStr">
        <is>
          <t>CLASS I: PIPEWORK - PIPES</t>
        </is>
      </c>
      <c r="D1230" s="5" t="inlineStr">
        <is>
          <t>01 CLAY PIPES</t>
        </is>
      </c>
      <c r="E1230" s="5" t="inlineStr">
        <is>
          <t>400 mm pipes; in trenches, depth</t>
        </is>
      </c>
      <c r="F1230" s="5" t="inlineStr">
        <is>
          <t>3.00-3.50 m deep</t>
        </is>
      </c>
      <c r="G1230" s="6" t="inlineStr">
        <is>
          <t>m</t>
        </is>
      </c>
      <c r="H1230" s="7" t="n">
        <v>0.46</v>
      </c>
      <c r="I1230" s="8" t="n">
        <v>63.56</v>
      </c>
      <c r="J1230" s="8" t="n">
        <v>60.23</v>
      </c>
      <c r="K1230" s="8" t="n">
        <v>198.09</v>
      </c>
      <c r="L1230" s="8" t="n">
        <v>0</v>
      </c>
      <c r="M1230" s="9">
        <f>ROUND(SUM(I1230:L1230),2)</f>
        <v/>
      </c>
      <c r="N1230" s="10">
        <f>ROUND(I1230*'Irish Basis'!$C$6*'Irish Basis'!$C$5,2)</f>
        <v/>
      </c>
      <c r="O1230" s="10">
        <f>ROUND(J1230*'Irish Basis'!$C$7*'Irish Basis'!$C$5,2)</f>
        <v/>
      </c>
      <c r="P1230" s="10">
        <f>ROUND(K1230*'Irish Basis'!$C$8*'Irish Basis'!$C$5,2)</f>
        <v/>
      </c>
      <c r="Q1230" s="10">
        <f>ROUND(L1230*'Irish Basis'!$C$12*'Irish Basis'!$C$5,2)</f>
        <v/>
      </c>
      <c r="R1230" s="11">
        <f>ROUND(SUM(N1230:Q1230),2)</f>
        <v/>
      </c>
      <c r="S1230" s="5" t="inlineStr">
        <is>
          <t>Stated build-up</t>
        </is>
      </c>
      <c r="T1230" s="12" t="inlineStr">
        <is>
          <t>High</t>
        </is>
      </c>
      <c r="U1230" s="8" t="n">
        <v>321.88</v>
      </c>
      <c r="V1230" s="13">
        <f>IF(U1230="","",ROUND(M1230-U1230,2))</f>
        <v/>
      </c>
      <c r="W1230" s="5" t="n"/>
      <c r="X1230" s="5" t="inlineStr">
        <is>
          <t>Labour + plant + material as published; reconciles to the published rate.</t>
        </is>
      </c>
    </row>
    <row r="1231" ht="13" customHeight="1">
      <c r="A1231" s="4" t="n">
        <v>2120</v>
      </c>
      <c r="B1231" s="5" t="inlineStr">
        <is>
          <t>IMG_0095</t>
        </is>
      </c>
      <c r="C1231" s="5" t="inlineStr">
        <is>
          <t>CLASS I: PIPEWORK - PIPES</t>
        </is>
      </c>
      <c r="D1231" s="5" t="inlineStr">
        <is>
          <t>01 CLAY PIPES</t>
        </is>
      </c>
      <c r="E1231" s="5" t="inlineStr">
        <is>
          <t>400 mm pipes; in trenches, depth</t>
        </is>
      </c>
      <c r="F1231" s="5" t="inlineStr">
        <is>
          <t>3.50-4.00 m deep</t>
        </is>
      </c>
      <c r="G1231" s="6" t="inlineStr">
        <is>
          <t>m</t>
        </is>
      </c>
      <c r="H1231" s="7" t="n">
        <v>0.58</v>
      </c>
      <c r="I1231" s="8" t="n">
        <v>80.14</v>
      </c>
      <c r="J1231" s="8" t="n">
        <v>75.92</v>
      </c>
      <c r="K1231" s="8" t="n">
        <v>198.09</v>
      </c>
      <c r="L1231" s="8" t="n">
        <v>0</v>
      </c>
      <c r="M1231" s="9">
        <f>ROUND(SUM(I1231:L1231),2)</f>
        <v/>
      </c>
      <c r="N1231" s="10">
        <f>ROUND(I1231*'Irish Basis'!$C$6*'Irish Basis'!$C$5,2)</f>
        <v/>
      </c>
      <c r="O1231" s="10">
        <f>ROUND(J1231*'Irish Basis'!$C$7*'Irish Basis'!$C$5,2)</f>
        <v/>
      </c>
      <c r="P1231" s="10">
        <f>ROUND(K1231*'Irish Basis'!$C$8*'Irish Basis'!$C$5,2)</f>
        <v/>
      </c>
      <c r="Q1231" s="10">
        <f>ROUND(L1231*'Irish Basis'!$C$12*'Irish Basis'!$C$5,2)</f>
        <v/>
      </c>
      <c r="R1231" s="11">
        <f>ROUND(SUM(N1231:Q1231),2)</f>
        <v/>
      </c>
      <c r="S1231" s="5" t="inlineStr">
        <is>
          <t>Stated build-up</t>
        </is>
      </c>
      <c r="T1231" s="12" t="inlineStr">
        <is>
          <t>High</t>
        </is>
      </c>
      <c r="U1231" s="8" t="n">
        <v>354.15</v>
      </c>
      <c r="V1231" s="13">
        <f>IF(U1231="","",ROUND(M1231-U1231,2))</f>
        <v/>
      </c>
      <c r="W1231" s="5" t="n"/>
      <c r="X1231" s="5" t="inlineStr">
        <is>
          <t>Labour + plant + material as published; reconciles to the published rate.</t>
        </is>
      </c>
    </row>
    <row r="1232" ht="13" customHeight="1">
      <c r="A1232" s="4" t="n">
        <v>2121</v>
      </c>
      <c r="B1232" s="5" t="inlineStr">
        <is>
          <t>IMG_0095</t>
        </is>
      </c>
      <c r="C1232" s="5" t="inlineStr">
        <is>
          <t>CLASS I: PIPEWORK - PIPES</t>
        </is>
      </c>
      <c r="D1232" s="5" t="inlineStr">
        <is>
          <t>01 CLAY PIPES</t>
        </is>
      </c>
      <c r="E1232" s="5" t="inlineStr">
        <is>
          <t>400 mm pipes; in trenches, depth</t>
        </is>
      </c>
      <c r="F1232" s="5" t="inlineStr">
        <is>
          <t>4.00-4.50 m deep</t>
        </is>
      </c>
      <c r="G1232" s="6" t="inlineStr">
        <is>
          <t>m</t>
        </is>
      </c>
      <c r="H1232" s="7" t="n">
        <v>0.75</v>
      </c>
      <c r="I1232" s="8" t="n">
        <v>103.64</v>
      </c>
      <c r="J1232" s="8" t="n">
        <v>98.22</v>
      </c>
      <c r="K1232" s="8" t="n">
        <v>198.09</v>
      </c>
      <c r="L1232" s="8" t="n">
        <v>0</v>
      </c>
      <c r="M1232" s="9">
        <f>ROUND(SUM(I1232:L1232),2)</f>
        <v/>
      </c>
      <c r="N1232" s="10">
        <f>ROUND(I1232*'Irish Basis'!$C$6*'Irish Basis'!$C$5,2)</f>
        <v/>
      </c>
      <c r="O1232" s="10">
        <f>ROUND(J1232*'Irish Basis'!$C$7*'Irish Basis'!$C$5,2)</f>
        <v/>
      </c>
      <c r="P1232" s="10">
        <f>ROUND(K1232*'Irish Basis'!$C$8*'Irish Basis'!$C$5,2)</f>
        <v/>
      </c>
      <c r="Q1232" s="10">
        <f>ROUND(L1232*'Irish Basis'!$C$12*'Irish Basis'!$C$5,2)</f>
        <v/>
      </c>
      <c r="R1232" s="11">
        <f>ROUND(SUM(N1232:Q1232),2)</f>
        <v/>
      </c>
      <c r="S1232" s="5" t="inlineStr">
        <is>
          <t>Stated build-up</t>
        </is>
      </c>
      <c r="T1232" s="12" t="inlineStr">
        <is>
          <t>High</t>
        </is>
      </c>
      <c r="U1232" s="8" t="n">
        <v>399.95</v>
      </c>
      <c r="V1232" s="13">
        <f>IF(U1232="","",ROUND(M1232-U1232,2))</f>
        <v/>
      </c>
      <c r="W1232" s="5" t="n"/>
      <c r="X1232" s="5" t="inlineStr">
        <is>
          <t>Labour + plant + material as published; reconciles to the published rate.</t>
        </is>
      </c>
    </row>
    <row r="1233" ht="13" customHeight="1">
      <c r="A1233" s="4" t="n">
        <v>2122</v>
      </c>
      <c r="B1233" s="5" t="inlineStr">
        <is>
          <t>IMG_0095</t>
        </is>
      </c>
      <c r="C1233" s="5" t="inlineStr">
        <is>
          <t>CLASS I: PIPEWORK - PIPES</t>
        </is>
      </c>
      <c r="D1233" s="5" t="inlineStr">
        <is>
          <t>01 CLAY PIPES</t>
        </is>
      </c>
      <c r="E1233" s="5" t="inlineStr">
        <is>
          <t>400 mm pipes; in trenches, depth</t>
        </is>
      </c>
      <c r="F1233" s="5" t="inlineStr">
        <is>
          <t>4.50-5.00 m deep</t>
        </is>
      </c>
      <c r="G1233" s="6" t="inlineStr">
        <is>
          <t>m</t>
        </is>
      </c>
      <c r="H1233" s="7" t="n">
        <v>0.95</v>
      </c>
      <c r="I1233" s="8" t="n">
        <v>131.27</v>
      </c>
      <c r="J1233" s="8" t="n">
        <v>124.47</v>
      </c>
      <c r="K1233" s="8" t="n">
        <v>198.09</v>
      </c>
      <c r="L1233" s="8" t="n">
        <v>0</v>
      </c>
      <c r="M1233" s="9">
        <f>ROUND(SUM(I1233:L1233),2)</f>
        <v/>
      </c>
      <c r="N1233" s="10">
        <f>ROUND(I1233*'Irish Basis'!$C$6*'Irish Basis'!$C$5,2)</f>
        <v/>
      </c>
      <c r="O1233" s="10">
        <f>ROUND(J1233*'Irish Basis'!$C$7*'Irish Basis'!$C$5,2)</f>
        <v/>
      </c>
      <c r="P1233" s="10">
        <f>ROUND(K1233*'Irish Basis'!$C$8*'Irish Basis'!$C$5,2)</f>
        <v/>
      </c>
      <c r="Q1233" s="10">
        <f>ROUND(L1233*'Irish Basis'!$C$12*'Irish Basis'!$C$5,2)</f>
        <v/>
      </c>
      <c r="R1233" s="11">
        <f>ROUND(SUM(N1233:Q1233),2)</f>
        <v/>
      </c>
      <c r="S1233" s="5" t="inlineStr">
        <is>
          <t>Stated build-up</t>
        </is>
      </c>
      <c r="T1233" s="12" t="inlineStr">
        <is>
          <t>High</t>
        </is>
      </c>
      <c r="U1233" s="8" t="n">
        <v>453.83</v>
      </c>
      <c r="V1233" s="13">
        <f>IF(U1233="","",ROUND(M1233-U1233,2))</f>
        <v/>
      </c>
      <c r="W1233" s="5" t="n"/>
      <c r="X1233" s="5" t="inlineStr">
        <is>
          <t>Labour + plant + material as published; reconciles to the published rate.</t>
        </is>
      </c>
    </row>
    <row r="1234" ht="13" customHeight="1">
      <c r="A1234" s="4" t="n">
        <v>2123</v>
      </c>
      <c r="B1234" s="5" t="inlineStr">
        <is>
          <t>IMG_0095</t>
        </is>
      </c>
      <c r="C1234" s="5" t="inlineStr">
        <is>
          <t>CLASS I: PIPEWORK - PIPES</t>
        </is>
      </c>
      <c r="D1234" s="5" t="inlineStr">
        <is>
          <t>01 CLAY PIPES</t>
        </is>
      </c>
      <c r="E1234" s="5" t="inlineStr">
        <is>
          <t>400 mm pipes; in trenches, depth</t>
        </is>
      </c>
      <c r="F1234" s="5" t="inlineStr">
        <is>
          <t>5.00-5.50 m deep</t>
        </is>
      </c>
      <c r="G1234" s="6" t="inlineStr">
        <is>
          <t>m</t>
        </is>
      </c>
      <c r="H1234" s="7" t="n">
        <v>1.2</v>
      </c>
      <c r="I1234" s="8" t="n">
        <v>165.82</v>
      </c>
      <c r="J1234" s="8" t="n">
        <v>157.3</v>
      </c>
      <c r="K1234" s="8" t="n">
        <v>198.09</v>
      </c>
      <c r="L1234" s="8" t="n">
        <v>0</v>
      </c>
      <c r="M1234" s="9">
        <f>ROUND(SUM(I1234:L1234),2)</f>
        <v/>
      </c>
      <c r="N1234" s="10">
        <f>ROUND(I1234*'Irish Basis'!$C$6*'Irish Basis'!$C$5,2)</f>
        <v/>
      </c>
      <c r="O1234" s="10">
        <f>ROUND(J1234*'Irish Basis'!$C$7*'Irish Basis'!$C$5,2)</f>
        <v/>
      </c>
      <c r="P1234" s="10">
        <f>ROUND(K1234*'Irish Basis'!$C$8*'Irish Basis'!$C$5,2)</f>
        <v/>
      </c>
      <c r="Q1234" s="10">
        <f>ROUND(L1234*'Irish Basis'!$C$12*'Irish Basis'!$C$5,2)</f>
        <v/>
      </c>
      <c r="R1234" s="11">
        <f>ROUND(SUM(N1234:Q1234),2)</f>
        <v/>
      </c>
      <c r="S1234" s="5" t="inlineStr">
        <is>
          <t>Stated build-up</t>
        </is>
      </c>
      <c r="T1234" s="12" t="inlineStr">
        <is>
          <t>High</t>
        </is>
      </c>
      <c r="U1234" s="8" t="n">
        <v>521.21</v>
      </c>
      <c r="V1234" s="13">
        <f>IF(U1234="","",ROUND(M1234-U1234,2))</f>
        <v/>
      </c>
      <c r="W1234" s="5" t="n"/>
      <c r="X1234" s="5" t="inlineStr">
        <is>
          <t>Labour + plant + material as published; reconciles to the published rate.</t>
        </is>
      </c>
    </row>
    <row r="1235" ht="13" customHeight="1">
      <c r="A1235" s="4" t="n">
        <v>2124</v>
      </c>
      <c r="B1235" s="5" t="inlineStr">
        <is>
          <t>IMG_0095</t>
        </is>
      </c>
      <c r="C1235" s="5" t="inlineStr">
        <is>
          <t>CLASS I: PIPEWORK - PIPES</t>
        </is>
      </c>
      <c r="D1235" s="5" t="inlineStr">
        <is>
          <t>01 CLAY PIPES</t>
        </is>
      </c>
      <c r="E1235" s="5" t="inlineStr">
        <is>
          <t>400 mm pipes; in trenches, depth</t>
        </is>
      </c>
      <c r="F1235" s="5" t="inlineStr">
        <is>
          <t>extra for bend; 90 degree</t>
        </is>
      </c>
      <c r="G1235" s="6" t="inlineStr">
        <is>
          <t>nr</t>
        </is>
      </c>
      <c r="H1235" s="7" t="n">
        <v>0.24</v>
      </c>
      <c r="I1235" s="8" t="n">
        <v>33.16</v>
      </c>
      <c r="J1235" s="8" t="n">
        <v>0</v>
      </c>
      <c r="K1235" s="8" t="n">
        <v>1247.79</v>
      </c>
      <c r="L1235" s="8" t="n">
        <v>0</v>
      </c>
      <c r="M1235" s="9">
        <f>ROUND(SUM(I1235:L1235),2)</f>
        <v/>
      </c>
      <c r="N1235" s="10">
        <f>ROUND(I1235*'Irish Basis'!$C$6*'Irish Basis'!$C$5,2)</f>
        <v/>
      </c>
      <c r="O1235" s="10">
        <f>ROUND(J1235*'Irish Basis'!$C$7*'Irish Basis'!$C$5,2)</f>
        <v/>
      </c>
      <c r="P1235" s="10">
        <f>ROUND(K1235*'Irish Basis'!$C$8*'Irish Basis'!$C$5,2)</f>
        <v/>
      </c>
      <c r="Q1235" s="10">
        <f>ROUND(L1235*'Irish Basis'!$C$12*'Irish Basis'!$C$5,2)</f>
        <v/>
      </c>
      <c r="R1235" s="11">
        <f>ROUND(SUM(N1235:Q1235),2)</f>
        <v/>
      </c>
      <c r="S1235" s="5" t="inlineStr">
        <is>
          <t>Stated build-up</t>
        </is>
      </c>
      <c r="T1235" s="12" t="inlineStr">
        <is>
          <t>High</t>
        </is>
      </c>
      <c r="U1235" s="8" t="n">
        <v>1280.95</v>
      </c>
      <c r="V1235" s="13">
        <f>IF(U1235="","",ROUND(M1235-U1235,2))</f>
        <v/>
      </c>
      <c r="W1235" s="5" t="n"/>
      <c r="X1235" s="5" t="inlineStr">
        <is>
          <t>Labour + plant + material as published; reconciles to the published rate.</t>
        </is>
      </c>
    </row>
    <row r="1236" ht="13" customHeight="1">
      <c r="A1236" s="4" t="n">
        <v>2125</v>
      </c>
      <c r="B1236" s="5" t="inlineStr">
        <is>
          <t>IMG_0095</t>
        </is>
      </c>
      <c r="C1236" s="5" t="inlineStr">
        <is>
          <t>CLASS I: PIPEWORK - PIPES</t>
        </is>
      </c>
      <c r="D1236" s="5" t="inlineStr">
        <is>
          <t>01 CLAY PIPES</t>
        </is>
      </c>
      <c r="E1236" s="5" t="inlineStr">
        <is>
          <t>400 mm pipes; in trenches, depth</t>
        </is>
      </c>
      <c r="F1236" s="5" t="inlineStr">
        <is>
          <t>extra for bend; 45 degree</t>
        </is>
      </c>
      <c r="G1236" s="6" t="inlineStr">
        <is>
          <t>nr</t>
        </is>
      </c>
      <c r="H1236" s="7" t="n">
        <v>0.24</v>
      </c>
      <c r="I1236" s="8" t="n">
        <v>33.16</v>
      </c>
      <c r="J1236" s="8" t="n">
        <v>0</v>
      </c>
      <c r="K1236" s="8" t="n">
        <v>1249.02</v>
      </c>
      <c r="L1236" s="8" t="n">
        <v>0</v>
      </c>
      <c r="M1236" s="9">
        <f>ROUND(SUM(I1236:L1236),2)</f>
        <v/>
      </c>
      <c r="N1236" s="10">
        <f>ROUND(I1236*'Irish Basis'!$C$6*'Irish Basis'!$C$5,2)</f>
        <v/>
      </c>
      <c r="O1236" s="10">
        <f>ROUND(J1236*'Irish Basis'!$C$7*'Irish Basis'!$C$5,2)</f>
        <v/>
      </c>
      <c r="P1236" s="10">
        <f>ROUND(K1236*'Irish Basis'!$C$8*'Irish Basis'!$C$5,2)</f>
        <v/>
      </c>
      <c r="Q1236" s="10">
        <f>ROUND(L1236*'Irish Basis'!$C$12*'Irish Basis'!$C$5,2)</f>
        <v/>
      </c>
      <c r="R1236" s="11">
        <f>ROUND(SUM(N1236:Q1236),2)</f>
        <v/>
      </c>
      <c r="S1236" s="5" t="inlineStr">
        <is>
          <t>Stated build-up</t>
        </is>
      </c>
      <c r="T1236" s="12" t="inlineStr">
        <is>
          <t>High</t>
        </is>
      </c>
      <c r="U1236" s="8" t="n">
        <v>1282.18</v>
      </c>
      <c r="V1236" s="13">
        <f>IF(U1236="","",ROUND(M1236-U1236,2))</f>
        <v/>
      </c>
      <c r="W1236" s="5" t="n"/>
      <c r="X1236" s="5" t="inlineStr">
        <is>
          <t>Labour + plant + material as published; reconciles to the published rate.</t>
        </is>
      </c>
    </row>
    <row r="1237" ht="13" customHeight="1">
      <c r="A1237" s="4" t="n">
        <v>2126</v>
      </c>
      <c r="B1237" s="5" t="inlineStr">
        <is>
          <t>IMG_0095</t>
        </is>
      </c>
      <c r="C1237" s="5" t="inlineStr">
        <is>
          <t>CLASS I: PIPEWORK - PIPES</t>
        </is>
      </c>
      <c r="D1237" s="5" t="inlineStr">
        <is>
          <t>01 CLAY PIPES</t>
        </is>
      </c>
      <c r="E1237" s="5" t="inlineStr">
        <is>
          <t>400 mm pipes; in trenches, depth</t>
        </is>
      </c>
      <c r="F1237" s="5" t="inlineStr">
        <is>
          <t>extra for bend; 22.5 degree</t>
        </is>
      </c>
      <c r="G1237" s="6" t="inlineStr">
        <is>
          <t>nr</t>
        </is>
      </c>
      <c r="H1237" s="7" t="n">
        <v>0.24</v>
      </c>
      <c r="I1237" s="8" t="n">
        <v>33.16</v>
      </c>
      <c r="J1237" s="8" t="n">
        <v>0</v>
      </c>
      <c r="K1237" s="8" t="n">
        <v>1249.05</v>
      </c>
      <c r="L1237" s="8" t="n">
        <v>0</v>
      </c>
      <c r="M1237" s="9">
        <f>ROUND(SUM(I1237:L1237),2)</f>
        <v/>
      </c>
      <c r="N1237" s="10">
        <f>ROUND(I1237*'Irish Basis'!$C$6*'Irish Basis'!$C$5,2)</f>
        <v/>
      </c>
      <c r="O1237" s="10">
        <f>ROUND(J1237*'Irish Basis'!$C$7*'Irish Basis'!$C$5,2)</f>
        <v/>
      </c>
      <c r="P1237" s="10">
        <f>ROUND(K1237*'Irish Basis'!$C$8*'Irish Basis'!$C$5,2)</f>
        <v/>
      </c>
      <c r="Q1237" s="10">
        <f>ROUND(L1237*'Irish Basis'!$C$12*'Irish Basis'!$C$5,2)</f>
        <v/>
      </c>
      <c r="R1237" s="11">
        <f>ROUND(SUM(N1237:Q1237),2)</f>
        <v/>
      </c>
      <c r="S1237" s="5" t="inlineStr">
        <is>
          <t>Stated build-up</t>
        </is>
      </c>
      <c r="T1237" s="12" t="inlineStr">
        <is>
          <t>High</t>
        </is>
      </c>
      <c r="U1237" s="8" t="n">
        <v>1282.21</v>
      </c>
      <c r="V1237" s="13">
        <f>IF(U1237="","",ROUND(M1237-U1237,2))</f>
        <v/>
      </c>
      <c r="W1237" s="5" t="n"/>
      <c r="X1237" s="5" t="inlineStr">
        <is>
          <t>Labour + plant + material as published; reconciles to the published rate.</t>
        </is>
      </c>
    </row>
    <row r="1238" ht="13" customHeight="1">
      <c r="A1238" s="4" t="n">
        <v>2128</v>
      </c>
      <c r="B1238" s="5" t="inlineStr">
        <is>
          <t>IMG_0095</t>
        </is>
      </c>
      <c r="C1238" s="5" t="inlineStr">
        <is>
          <t>CLASS I: PIPEWORK - PIPES</t>
        </is>
      </c>
      <c r="D1238" s="5" t="inlineStr">
        <is>
          <t>01 CLAY PIPES</t>
        </is>
      </c>
      <c r="E1238" s="5" t="inlineStr">
        <is>
          <t>450 mm pipes; in trenches, depth</t>
        </is>
      </c>
      <c r="F1238" s="5" t="inlineStr">
        <is>
          <t>not in trenches</t>
        </is>
      </c>
      <c r="G1238" s="6" t="inlineStr">
        <is>
          <t>m</t>
        </is>
      </c>
      <c r="H1238" s="7" t="n">
        <v>0.23</v>
      </c>
      <c r="I1238" s="8" t="n">
        <v>19.85</v>
      </c>
      <c r="J1238" s="8" t="n">
        <v>2.55</v>
      </c>
      <c r="K1238" s="8" t="n">
        <v>221.66</v>
      </c>
      <c r="L1238" s="8" t="n">
        <v>0</v>
      </c>
      <c r="M1238" s="9">
        <f>ROUND(SUM(I1238:L1238),2)</f>
        <v/>
      </c>
      <c r="N1238" s="10">
        <f>ROUND(I1238*'Irish Basis'!$C$6*'Irish Basis'!$C$5,2)</f>
        <v/>
      </c>
      <c r="O1238" s="10">
        <f>ROUND(J1238*'Irish Basis'!$C$7*'Irish Basis'!$C$5,2)</f>
        <v/>
      </c>
      <c r="P1238" s="10">
        <f>ROUND(K1238*'Irish Basis'!$C$8*'Irish Basis'!$C$5,2)</f>
        <v/>
      </c>
      <c r="Q1238" s="10">
        <f>ROUND(L1238*'Irish Basis'!$C$12*'Irish Basis'!$C$5,2)</f>
        <v/>
      </c>
      <c r="R1238" s="11">
        <f>ROUND(SUM(N1238:Q1238),2)</f>
        <v/>
      </c>
      <c r="S1238" s="5" t="inlineStr">
        <is>
          <t>Stated build-up</t>
        </is>
      </c>
      <c r="T1238" s="12" t="inlineStr">
        <is>
          <t>High</t>
        </is>
      </c>
      <c r="U1238" s="8" t="n">
        <v>244.06</v>
      </c>
      <c r="V1238" s="13">
        <f>IF(U1238="","",ROUND(M1238-U1238,2))</f>
        <v/>
      </c>
      <c r="W1238" s="5" t="n"/>
      <c r="X1238" s="5" t="inlineStr">
        <is>
          <t>Labour + plant + material as published; reconciles to the published rate.</t>
        </is>
      </c>
    </row>
    <row r="1239" ht="13" customHeight="1">
      <c r="A1239" s="4" t="n">
        <v>2129</v>
      </c>
      <c r="B1239" s="5" t="inlineStr">
        <is>
          <t>IMG_0095</t>
        </is>
      </c>
      <c r="C1239" s="5" t="inlineStr">
        <is>
          <t>CLASS I: PIPEWORK - PIPES</t>
        </is>
      </c>
      <c r="D1239" s="5" t="inlineStr">
        <is>
          <t>01 CLAY PIPES</t>
        </is>
      </c>
      <c r="E1239" s="5" t="inlineStr">
        <is>
          <t>450 mm pipes; in trenches, depth</t>
        </is>
      </c>
      <c r="F1239" s="5" t="inlineStr">
        <is>
          <t>ne 1.50 m deep</t>
        </is>
      </c>
      <c r="G1239" s="6" t="inlineStr">
        <is>
          <t>m</t>
        </is>
      </c>
      <c r="H1239" s="7" t="n">
        <v>0.23</v>
      </c>
      <c r="I1239" s="8" t="n">
        <v>31.78</v>
      </c>
      <c r="J1239" s="8" t="n">
        <v>30.01</v>
      </c>
      <c r="K1239" s="8" t="n">
        <v>221.66</v>
      </c>
      <c r="L1239" s="8" t="n">
        <v>0</v>
      </c>
      <c r="M1239" s="9">
        <f>ROUND(SUM(I1239:L1239),2)</f>
        <v/>
      </c>
      <c r="N1239" s="10">
        <f>ROUND(I1239*'Irish Basis'!$C$6*'Irish Basis'!$C$5,2)</f>
        <v/>
      </c>
      <c r="O1239" s="10">
        <f>ROUND(J1239*'Irish Basis'!$C$7*'Irish Basis'!$C$5,2)</f>
        <v/>
      </c>
      <c r="P1239" s="10">
        <f>ROUND(K1239*'Irish Basis'!$C$8*'Irish Basis'!$C$5,2)</f>
        <v/>
      </c>
      <c r="Q1239" s="10">
        <f>ROUND(L1239*'Irish Basis'!$C$12*'Irish Basis'!$C$5,2)</f>
        <v/>
      </c>
      <c r="R1239" s="11">
        <f>ROUND(SUM(N1239:Q1239),2)</f>
        <v/>
      </c>
      <c r="S1239" s="5" t="inlineStr">
        <is>
          <t>Stated build-up</t>
        </is>
      </c>
      <c r="T1239" s="12" t="inlineStr">
        <is>
          <t>High</t>
        </is>
      </c>
      <c r="U1239" s="8" t="n">
        <v>283.45</v>
      </c>
      <c r="V1239" s="13">
        <f>IF(U1239="","",ROUND(M1239-U1239,2))</f>
        <v/>
      </c>
      <c r="W1239" s="5" t="n"/>
      <c r="X1239" s="5" t="inlineStr">
        <is>
          <t>Labour + plant + material as published; reconciles to the published rate.</t>
        </is>
      </c>
    </row>
    <row r="1240" ht="13" customHeight="1">
      <c r="A1240" s="4" t="n">
        <v>2130</v>
      </c>
      <c r="B1240" s="5" t="inlineStr">
        <is>
          <t>IMG_0095</t>
        </is>
      </c>
      <c r="C1240" s="5" t="inlineStr">
        <is>
          <t>CLASS I: PIPEWORK - PIPES</t>
        </is>
      </c>
      <c r="D1240" s="5" t="inlineStr">
        <is>
          <t>01 CLAY PIPES</t>
        </is>
      </c>
      <c r="E1240" s="5" t="inlineStr">
        <is>
          <t>450 mm pipes; in trenches, depth</t>
        </is>
      </c>
      <c r="F1240" s="5" t="inlineStr">
        <is>
          <t>1.50-2.00 m deep</t>
        </is>
      </c>
      <c r="G1240" s="6" t="inlineStr">
        <is>
          <t>m</t>
        </is>
      </c>
      <c r="H1240" s="7" t="n">
        <v>0.3</v>
      </c>
      <c r="I1240" s="8" t="n">
        <v>41.45</v>
      </c>
      <c r="J1240" s="8" t="n">
        <v>39.19</v>
      </c>
      <c r="K1240" s="8" t="n">
        <v>221.66</v>
      </c>
      <c r="L1240" s="8" t="n">
        <v>0</v>
      </c>
      <c r="M1240" s="9">
        <f>ROUND(SUM(I1240:L1240),2)</f>
        <v/>
      </c>
      <c r="N1240" s="10">
        <f>ROUND(I1240*'Irish Basis'!$C$6*'Irish Basis'!$C$5,2)</f>
        <v/>
      </c>
      <c r="O1240" s="10">
        <f>ROUND(J1240*'Irish Basis'!$C$7*'Irish Basis'!$C$5,2)</f>
        <v/>
      </c>
      <c r="P1240" s="10">
        <f>ROUND(K1240*'Irish Basis'!$C$8*'Irish Basis'!$C$5,2)</f>
        <v/>
      </c>
      <c r="Q1240" s="10">
        <f>ROUND(L1240*'Irish Basis'!$C$12*'Irish Basis'!$C$5,2)</f>
        <v/>
      </c>
      <c r="R1240" s="11">
        <f>ROUND(SUM(N1240:Q1240),2)</f>
        <v/>
      </c>
      <c r="S1240" s="5" t="inlineStr">
        <is>
          <t>Stated build-up</t>
        </is>
      </c>
      <c r="T1240" s="12" t="inlineStr">
        <is>
          <t>High</t>
        </is>
      </c>
      <c r="U1240" s="8" t="n">
        <v>302.31</v>
      </c>
      <c r="V1240" s="13">
        <f>IF(U1240="","",ROUND(M1240-U1240,2))</f>
        <v/>
      </c>
      <c r="W1240" s="5" t="n"/>
      <c r="X1240" s="5" t="inlineStr">
        <is>
          <t>Labour + plant + material as published; reconciles to the published rate.</t>
        </is>
      </c>
    </row>
    <row r="1241" ht="13" customHeight="1">
      <c r="A1241" s="4" t="n">
        <v>2131</v>
      </c>
      <c r="B1241" s="5" t="inlineStr">
        <is>
          <t>IMG_0095</t>
        </is>
      </c>
      <c r="C1241" s="5" t="inlineStr">
        <is>
          <t>CLASS I: PIPEWORK - PIPES</t>
        </is>
      </c>
      <c r="D1241" s="5" t="inlineStr">
        <is>
          <t>01 CLAY PIPES</t>
        </is>
      </c>
      <c r="E1241" s="5" t="inlineStr">
        <is>
          <t>450 mm pipes; in trenches, depth</t>
        </is>
      </c>
      <c r="F1241" s="5" t="inlineStr">
        <is>
          <t>2.00-2.50 m deep</t>
        </is>
      </c>
      <c r="G1241" s="6" t="inlineStr">
        <is>
          <t>m</t>
        </is>
      </c>
      <c r="H1241" s="7" t="n">
        <v>0.32</v>
      </c>
      <c r="I1241" s="8" t="n">
        <v>44.22</v>
      </c>
      <c r="J1241" s="8" t="n">
        <v>41.84</v>
      </c>
      <c r="K1241" s="8" t="n">
        <v>221.66</v>
      </c>
      <c r="L1241" s="8" t="n">
        <v>0</v>
      </c>
      <c r="M1241" s="9">
        <f>ROUND(SUM(I1241:L1241),2)</f>
        <v/>
      </c>
      <c r="N1241" s="10">
        <f>ROUND(I1241*'Irish Basis'!$C$6*'Irish Basis'!$C$5,2)</f>
        <v/>
      </c>
      <c r="O1241" s="10">
        <f>ROUND(J1241*'Irish Basis'!$C$7*'Irish Basis'!$C$5,2)</f>
        <v/>
      </c>
      <c r="P1241" s="10">
        <f>ROUND(K1241*'Irish Basis'!$C$8*'Irish Basis'!$C$5,2)</f>
        <v/>
      </c>
      <c r="Q1241" s="10">
        <f>ROUND(L1241*'Irish Basis'!$C$12*'Irish Basis'!$C$5,2)</f>
        <v/>
      </c>
      <c r="R1241" s="11">
        <f>ROUND(SUM(N1241:Q1241),2)</f>
        <v/>
      </c>
      <c r="S1241" s="5" t="inlineStr">
        <is>
          <t>Stated build-up</t>
        </is>
      </c>
      <c r="T1241" s="12" t="inlineStr">
        <is>
          <t>High</t>
        </is>
      </c>
      <c r="U1241" s="8" t="n">
        <v>307.71</v>
      </c>
      <c r="V1241" s="13">
        <f>IF(U1241="","",ROUND(M1241-U1241,2))</f>
        <v/>
      </c>
      <c r="W1241" s="5" t="n"/>
      <c r="X1241" s="5" t="inlineStr">
        <is>
          <t>Labour + plant + material as published; reconciles to the published rate.</t>
        </is>
      </c>
    </row>
    <row r="1242" ht="13" customHeight="1">
      <c r="A1242" s="4" t="n">
        <v>2132</v>
      </c>
      <c r="B1242" s="5" t="inlineStr">
        <is>
          <t>IMG_0095</t>
        </is>
      </c>
      <c r="C1242" s="5" t="inlineStr">
        <is>
          <t>CLASS I: PIPEWORK - PIPES</t>
        </is>
      </c>
      <c r="D1242" s="5" t="inlineStr">
        <is>
          <t>01 CLAY PIPES</t>
        </is>
      </c>
      <c r="E1242" s="5" t="inlineStr">
        <is>
          <t>450 mm pipes; in trenches, depth</t>
        </is>
      </c>
      <c r="F1242" s="5" t="inlineStr">
        <is>
          <t>2.50-3.00 m deep</t>
        </is>
      </c>
      <c r="G1242" s="6" t="inlineStr">
        <is>
          <t>m</t>
        </is>
      </c>
      <c r="H1242" s="7" t="n">
        <v>0.38</v>
      </c>
      <c r="I1242" s="8" t="n">
        <v>52.51</v>
      </c>
      <c r="J1242" s="8" t="n">
        <v>49.74</v>
      </c>
      <c r="K1242" s="8" t="n">
        <v>221.66</v>
      </c>
      <c r="L1242" s="8" t="n">
        <v>0</v>
      </c>
      <c r="M1242" s="9">
        <f>ROUND(SUM(I1242:L1242),2)</f>
        <v/>
      </c>
      <c r="N1242" s="10">
        <f>ROUND(I1242*'Irish Basis'!$C$6*'Irish Basis'!$C$5,2)</f>
        <v/>
      </c>
      <c r="O1242" s="10">
        <f>ROUND(J1242*'Irish Basis'!$C$7*'Irish Basis'!$C$5,2)</f>
        <v/>
      </c>
      <c r="P1242" s="10">
        <f>ROUND(K1242*'Irish Basis'!$C$8*'Irish Basis'!$C$5,2)</f>
        <v/>
      </c>
      <c r="Q1242" s="10">
        <f>ROUND(L1242*'Irish Basis'!$C$12*'Irish Basis'!$C$5,2)</f>
        <v/>
      </c>
      <c r="R1242" s="11">
        <f>ROUND(SUM(N1242:Q1242),2)</f>
        <v/>
      </c>
      <c r="S1242" s="5" t="inlineStr">
        <is>
          <t>Stated build-up</t>
        </is>
      </c>
      <c r="T1242" s="12" t="inlineStr">
        <is>
          <t>High</t>
        </is>
      </c>
      <c r="U1242" s="8" t="n">
        <v>323.9</v>
      </c>
      <c r="V1242" s="13">
        <f>IF(U1242="","",ROUND(M1242-U1242,2))</f>
        <v/>
      </c>
      <c r="W1242" s="5" t="n"/>
      <c r="X1242" s="5" t="inlineStr">
        <is>
          <t>Labour + plant + material as published; reconciles to the published rate.</t>
        </is>
      </c>
    </row>
    <row r="1243" ht="13" customHeight="1">
      <c r="A1243" s="4" t="n">
        <v>2133</v>
      </c>
      <c r="B1243" s="5" t="inlineStr">
        <is>
          <t>IMG_0095</t>
        </is>
      </c>
      <c r="C1243" s="5" t="inlineStr">
        <is>
          <t>CLASS I: PIPEWORK - PIPES</t>
        </is>
      </c>
      <c r="D1243" s="5" t="inlineStr">
        <is>
          <t>01 CLAY PIPES</t>
        </is>
      </c>
      <c r="E1243" s="5" t="inlineStr">
        <is>
          <t>450 mm pipes; in trenches, depth</t>
        </is>
      </c>
      <c r="F1243" s="5" t="inlineStr">
        <is>
          <t>3.00-3.50 m deep</t>
        </is>
      </c>
      <c r="G1243" s="6" t="inlineStr">
        <is>
          <t>m</t>
        </is>
      </c>
      <c r="H1243" s="7" t="n">
        <v>0.47</v>
      </c>
      <c r="I1243" s="8" t="n">
        <v>64.94</v>
      </c>
      <c r="J1243" s="8" t="n">
        <v>61.49</v>
      </c>
      <c r="K1243" s="8" t="n">
        <v>221.66</v>
      </c>
      <c r="L1243" s="8" t="n">
        <v>0</v>
      </c>
      <c r="M1243" s="9">
        <f>ROUND(SUM(I1243:L1243),2)</f>
        <v/>
      </c>
      <c r="N1243" s="10">
        <f>ROUND(I1243*'Irish Basis'!$C$6*'Irish Basis'!$C$5,2)</f>
        <v/>
      </c>
      <c r="O1243" s="10">
        <f>ROUND(J1243*'Irish Basis'!$C$7*'Irish Basis'!$C$5,2)</f>
        <v/>
      </c>
      <c r="P1243" s="10">
        <f>ROUND(K1243*'Irish Basis'!$C$8*'Irish Basis'!$C$5,2)</f>
        <v/>
      </c>
      <c r="Q1243" s="10">
        <f>ROUND(L1243*'Irish Basis'!$C$12*'Irish Basis'!$C$5,2)</f>
        <v/>
      </c>
      <c r="R1243" s="11">
        <f>ROUND(SUM(N1243:Q1243),2)</f>
        <v/>
      </c>
      <c r="S1243" s="5" t="inlineStr">
        <is>
          <t>Stated build-up</t>
        </is>
      </c>
      <c r="T1243" s="12" t="inlineStr">
        <is>
          <t>High</t>
        </is>
      </c>
      <c r="U1243" s="8" t="n">
        <v>348.1</v>
      </c>
      <c r="V1243" s="13">
        <f>IF(U1243="","",ROUND(M1243-U1243,2))</f>
        <v/>
      </c>
      <c r="W1243" s="5" t="n"/>
      <c r="X1243" s="5" t="inlineStr">
        <is>
          <t>Labour + plant + material as published; reconciles to the published rate.</t>
        </is>
      </c>
    </row>
    <row r="1244" ht="13" customHeight="1">
      <c r="A1244" s="4" t="n">
        <v>2134</v>
      </c>
      <c r="B1244" s="5" t="inlineStr">
        <is>
          <t>IMG_0095</t>
        </is>
      </c>
      <c r="C1244" s="5" t="inlineStr">
        <is>
          <t>CLASS I: PIPEWORK - PIPES</t>
        </is>
      </c>
      <c r="D1244" s="5" t="inlineStr">
        <is>
          <t>01 CLAY PIPES</t>
        </is>
      </c>
      <c r="E1244" s="5" t="inlineStr">
        <is>
          <t>450 mm pipes; in trenches, depth</t>
        </is>
      </c>
      <c r="F1244" s="5" t="inlineStr">
        <is>
          <t>3.50-4.00 m deep</t>
        </is>
      </c>
      <c r="G1244" s="6" t="inlineStr">
        <is>
          <t>m</t>
        </is>
      </c>
      <c r="H1244" s="7" t="n">
        <v>0.6</v>
      </c>
      <c r="I1244" s="8" t="n">
        <v>82.91</v>
      </c>
      <c r="J1244" s="8" t="n">
        <v>78.56999999999999</v>
      </c>
      <c r="K1244" s="8" t="n">
        <v>221.66</v>
      </c>
      <c r="L1244" s="8" t="n">
        <v>0</v>
      </c>
      <c r="M1244" s="9">
        <f>ROUND(SUM(I1244:L1244),2)</f>
        <v/>
      </c>
      <c r="N1244" s="10">
        <f>ROUND(I1244*'Irish Basis'!$C$6*'Irish Basis'!$C$5,2)</f>
        <v/>
      </c>
      <c r="O1244" s="10">
        <f>ROUND(J1244*'Irish Basis'!$C$7*'Irish Basis'!$C$5,2)</f>
        <v/>
      </c>
      <c r="P1244" s="10">
        <f>ROUND(K1244*'Irish Basis'!$C$8*'Irish Basis'!$C$5,2)</f>
        <v/>
      </c>
      <c r="Q1244" s="10">
        <f>ROUND(L1244*'Irish Basis'!$C$12*'Irish Basis'!$C$5,2)</f>
        <v/>
      </c>
      <c r="R1244" s="11">
        <f>ROUND(SUM(N1244:Q1244),2)</f>
        <v/>
      </c>
      <c r="S1244" s="5" t="inlineStr">
        <is>
          <t>Stated build-up</t>
        </is>
      </c>
      <c r="T1244" s="12" t="inlineStr">
        <is>
          <t>High</t>
        </is>
      </c>
      <c r="U1244" s="8" t="n">
        <v>383.13</v>
      </c>
      <c r="V1244" s="13">
        <f>IF(U1244="","",ROUND(M1244-U1244,2))</f>
        <v/>
      </c>
      <c r="W1244" s="5" t="n"/>
      <c r="X1244" s="5" t="inlineStr">
        <is>
          <t>Labour + plant + material as published; reconciles to the published rate.</t>
        </is>
      </c>
    </row>
    <row r="1245" ht="13" customHeight="1">
      <c r="A1245" s="4" t="n">
        <v>2135</v>
      </c>
      <c r="B1245" s="5" t="inlineStr">
        <is>
          <t>IMG_0095</t>
        </is>
      </c>
      <c r="C1245" s="5" t="inlineStr">
        <is>
          <t>CLASS I: PIPEWORK - PIPES</t>
        </is>
      </c>
      <c r="D1245" s="5" t="inlineStr">
        <is>
          <t>01 CLAY PIPES</t>
        </is>
      </c>
      <c r="E1245" s="5" t="inlineStr">
        <is>
          <t>450 mm pipes; in trenches, depth</t>
        </is>
      </c>
      <c r="F1245" s="5" t="inlineStr">
        <is>
          <t>4.00-4.50 m deep</t>
        </is>
      </c>
      <c r="G1245" s="6" t="inlineStr">
        <is>
          <t>m</t>
        </is>
      </c>
      <c r="H1245" s="7" t="n">
        <v>0.77</v>
      </c>
      <c r="I1245" s="8" t="n">
        <v>106.4</v>
      </c>
      <c r="J1245" s="8" t="n">
        <v>100.87</v>
      </c>
      <c r="K1245" s="8" t="n">
        <v>221.66</v>
      </c>
      <c r="L1245" s="8" t="n">
        <v>0</v>
      </c>
      <c r="M1245" s="9">
        <f>ROUND(SUM(I1245:L1245),2)</f>
        <v/>
      </c>
      <c r="N1245" s="10">
        <f>ROUND(I1245*'Irish Basis'!$C$6*'Irish Basis'!$C$5,2)</f>
        <v/>
      </c>
      <c r="O1245" s="10">
        <f>ROUND(J1245*'Irish Basis'!$C$7*'Irish Basis'!$C$5,2)</f>
        <v/>
      </c>
      <c r="P1245" s="10">
        <f>ROUND(K1245*'Irish Basis'!$C$8*'Irish Basis'!$C$5,2)</f>
        <v/>
      </c>
      <c r="Q1245" s="10">
        <f>ROUND(L1245*'Irish Basis'!$C$12*'Irish Basis'!$C$5,2)</f>
        <v/>
      </c>
      <c r="R1245" s="11">
        <f>ROUND(SUM(N1245:Q1245),2)</f>
        <v/>
      </c>
      <c r="S1245" s="5" t="inlineStr">
        <is>
          <t>Stated build-up</t>
        </is>
      </c>
      <c r="T1245" s="12" t="inlineStr">
        <is>
          <t>High</t>
        </is>
      </c>
      <c r="U1245" s="8" t="n">
        <v>428.93</v>
      </c>
      <c r="V1245" s="13">
        <f>IF(U1245="","",ROUND(M1245-U1245,2))</f>
        <v/>
      </c>
      <c r="W1245" s="5" t="n"/>
      <c r="X1245" s="5" t="inlineStr">
        <is>
          <t>Labour + plant + material as published; reconciles to the published rate.</t>
        </is>
      </c>
    </row>
    <row r="1246" ht="13" customHeight="1">
      <c r="A1246" s="4" t="n">
        <v>2136</v>
      </c>
      <c r="B1246" s="5" t="inlineStr">
        <is>
          <t>IMG_0095</t>
        </is>
      </c>
      <c r="C1246" s="5" t="inlineStr">
        <is>
          <t>CLASS I: PIPEWORK - PIPES</t>
        </is>
      </c>
      <c r="D1246" s="5" t="inlineStr">
        <is>
          <t>01 CLAY PIPES</t>
        </is>
      </c>
      <c r="E1246" s="5" t="inlineStr">
        <is>
          <t>450 mm pipes; in trenches, depth</t>
        </is>
      </c>
      <c r="F1246" s="5" t="inlineStr">
        <is>
          <t>4.50-5.00 m deep</t>
        </is>
      </c>
      <c r="G1246" s="6" t="inlineStr">
        <is>
          <t>m</t>
        </is>
      </c>
      <c r="H1246" s="7" t="n">
        <v>0.97</v>
      </c>
      <c r="I1246" s="8" t="n">
        <v>134.03</v>
      </c>
      <c r="J1246" s="8" t="n">
        <v>127.12</v>
      </c>
      <c r="K1246" s="8" t="n">
        <v>221.66</v>
      </c>
      <c r="L1246" s="8" t="n">
        <v>0</v>
      </c>
      <c r="M1246" s="9">
        <f>ROUND(SUM(I1246:L1246),2)</f>
        <v/>
      </c>
      <c r="N1246" s="10">
        <f>ROUND(I1246*'Irish Basis'!$C$6*'Irish Basis'!$C$5,2)</f>
        <v/>
      </c>
      <c r="O1246" s="10">
        <f>ROUND(J1246*'Irish Basis'!$C$7*'Irish Basis'!$C$5,2)</f>
        <v/>
      </c>
      <c r="P1246" s="10">
        <f>ROUND(K1246*'Irish Basis'!$C$8*'Irish Basis'!$C$5,2)</f>
        <v/>
      </c>
      <c r="Q1246" s="10">
        <f>ROUND(L1246*'Irish Basis'!$C$12*'Irish Basis'!$C$5,2)</f>
        <v/>
      </c>
      <c r="R1246" s="11">
        <f>ROUND(SUM(N1246:Q1246),2)</f>
        <v/>
      </c>
      <c r="S1246" s="5" t="inlineStr">
        <is>
          <t>Stated build-up</t>
        </is>
      </c>
      <c r="T1246" s="12" t="inlineStr">
        <is>
          <t>High</t>
        </is>
      </c>
      <c r="U1246" s="8" t="n">
        <v>482.81</v>
      </c>
      <c r="V1246" s="13">
        <f>IF(U1246="","",ROUND(M1246-U1246,2))</f>
        <v/>
      </c>
      <c r="W1246" s="5" t="n"/>
      <c r="X1246" s="5" t="inlineStr">
        <is>
          <t>Labour + plant + material as published; reconciles to the published rate.</t>
        </is>
      </c>
    </row>
    <row r="1247" ht="13" customHeight="1">
      <c r="A1247" s="4" t="n">
        <v>2137</v>
      </c>
      <c r="B1247" s="5" t="inlineStr">
        <is>
          <t>IMG_0095</t>
        </is>
      </c>
      <c r="C1247" s="5" t="inlineStr">
        <is>
          <t>CLASS I: PIPEWORK - PIPES</t>
        </is>
      </c>
      <c r="D1247" s="5" t="inlineStr">
        <is>
          <t>01 CLAY PIPES</t>
        </is>
      </c>
      <c r="E1247" s="5" t="inlineStr">
        <is>
          <t>450 mm pipes; in trenches, depth</t>
        </is>
      </c>
      <c r="F1247" s="5" t="inlineStr">
        <is>
          <t>5.00-5.50 m deep</t>
        </is>
      </c>
      <c r="G1247" s="6" t="inlineStr">
        <is>
          <t>m</t>
        </is>
      </c>
      <c r="H1247" s="7" t="n">
        <v>1.2</v>
      </c>
      <c r="I1247" s="8" t="n">
        <v>165.82</v>
      </c>
      <c r="J1247" s="8" t="n">
        <v>157.3</v>
      </c>
      <c r="K1247" s="8" t="n">
        <v>221.66</v>
      </c>
      <c r="L1247" s="8" t="n">
        <v>0</v>
      </c>
      <c r="M1247" s="9">
        <f>ROUND(SUM(I1247:L1247),2)</f>
        <v/>
      </c>
      <c r="N1247" s="10">
        <f>ROUND(I1247*'Irish Basis'!$C$6*'Irish Basis'!$C$5,2)</f>
        <v/>
      </c>
      <c r="O1247" s="10">
        <f>ROUND(J1247*'Irish Basis'!$C$7*'Irish Basis'!$C$5,2)</f>
        <v/>
      </c>
      <c r="P1247" s="10">
        <f>ROUND(K1247*'Irish Basis'!$C$8*'Irish Basis'!$C$5,2)</f>
        <v/>
      </c>
      <c r="Q1247" s="10">
        <f>ROUND(L1247*'Irish Basis'!$C$12*'Irish Basis'!$C$5,2)</f>
        <v/>
      </c>
      <c r="R1247" s="11">
        <f>ROUND(SUM(N1247:Q1247),2)</f>
        <v/>
      </c>
      <c r="S1247" s="5" t="inlineStr">
        <is>
          <t>Stated build-up</t>
        </is>
      </c>
      <c r="T1247" s="12" t="inlineStr">
        <is>
          <t>High</t>
        </is>
      </c>
      <c r="U1247" s="8" t="n">
        <v>544.78</v>
      </c>
      <c r="V1247" s="13">
        <f>IF(U1247="","",ROUND(M1247-U1247,2))</f>
        <v/>
      </c>
      <c r="W1247" s="5" t="n"/>
      <c r="X1247" s="5" t="inlineStr">
        <is>
          <t>Labour + plant + material as published; reconciles to the published rate.</t>
        </is>
      </c>
    </row>
    <row r="1248" ht="13" customHeight="1">
      <c r="A1248" s="4" t="n">
        <v>2138</v>
      </c>
      <c r="B1248" s="5" t="inlineStr">
        <is>
          <t>IMG_0095</t>
        </is>
      </c>
      <c r="C1248" s="5" t="inlineStr">
        <is>
          <t>CLASS I: PIPEWORK - PIPES</t>
        </is>
      </c>
      <c r="D1248" s="5" t="inlineStr">
        <is>
          <t>01 CLAY PIPES</t>
        </is>
      </c>
      <c r="E1248" s="5" t="inlineStr">
        <is>
          <t>450 mm pipes; in trenches, depth</t>
        </is>
      </c>
      <c r="F1248" s="5" t="inlineStr">
        <is>
          <t>extra for bend; 90 degree</t>
        </is>
      </c>
      <c r="G1248" s="6" t="inlineStr">
        <is>
          <t>nr</t>
        </is>
      </c>
      <c r="H1248" s="7" t="n">
        <v>0.29</v>
      </c>
      <c r="I1248" s="8" t="n">
        <v>40.07</v>
      </c>
      <c r="J1248" s="8" t="n">
        <v>0</v>
      </c>
      <c r="K1248" s="8" t="n">
        <v>1644.75</v>
      </c>
      <c r="L1248" s="8" t="n">
        <v>0</v>
      </c>
      <c r="M1248" s="9">
        <f>ROUND(SUM(I1248:L1248),2)</f>
        <v/>
      </c>
      <c r="N1248" s="10">
        <f>ROUND(I1248*'Irish Basis'!$C$6*'Irish Basis'!$C$5,2)</f>
        <v/>
      </c>
      <c r="O1248" s="10">
        <f>ROUND(J1248*'Irish Basis'!$C$7*'Irish Basis'!$C$5,2)</f>
        <v/>
      </c>
      <c r="P1248" s="10">
        <f>ROUND(K1248*'Irish Basis'!$C$8*'Irish Basis'!$C$5,2)</f>
        <v/>
      </c>
      <c r="Q1248" s="10">
        <f>ROUND(L1248*'Irish Basis'!$C$12*'Irish Basis'!$C$5,2)</f>
        <v/>
      </c>
      <c r="R1248" s="11">
        <f>ROUND(SUM(N1248:Q1248),2)</f>
        <v/>
      </c>
      <c r="S1248" s="5" t="inlineStr">
        <is>
          <t>Stated build-up</t>
        </is>
      </c>
      <c r="T1248" s="12" t="inlineStr">
        <is>
          <t>High</t>
        </is>
      </c>
      <c r="U1248" s="8" t="n">
        <v>1684.82</v>
      </c>
      <c r="V1248" s="13">
        <f>IF(U1248="","",ROUND(M1248-U1248,2))</f>
        <v/>
      </c>
      <c r="W1248" s="5" t="n"/>
      <c r="X1248" s="5" t="inlineStr">
        <is>
          <t>Labour + plant + material as published; reconciles to the published rate.</t>
        </is>
      </c>
    </row>
    <row r="1249" ht="13" customHeight="1">
      <c r="A1249" s="4" t="n">
        <v>2139</v>
      </c>
      <c r="B1249" s="5" t="inlineStr">
        <is>
          <t>IMG_0095</t>
        </is>
      </c>
      <c r="C1249" s="5" t="inlineStr">
        <is>
          <t>CLASS I: PIPEWORK - PIPES</t>
        </is>
      </c>
      <c r="D1249" s="5" t="inlineStr">
        <is>
          <t>01 CLAY PIPES</t>
        </is>
      </c>
      <c r="E1249" s="5" t="inlineStr">
        <is>
          <t>450 mm pipes; in trenches, depth</t>
        </is>
      </c>
      <c r="F1249" s="5" t="inlineStr">
        <is>
          <t>extra for bend; 45 degree</t>
        </is>
      </c>
      <c r="G1249" s="6" t="inlineStr">
        <is>
          <t>nr</t>
        </is>
      </c>
      <c r="H1249" s="7" t="n">
        <v>0.29</v>
      </c>
      <c r="I1249" s="8" t="n">
        <v>40.07</v>
      </c>
      <c r="J1249" s="8" t="n">
        <v>0</v>
      </c>
      <c r="K1249" s="8" t="n">
        <v>1644.75</v>
      </c>
      <c r="L1249" s="8" t="n">
        <v>0</v>
      </c>
      <c r="M1249" s="9">
        <f>ROUND(SUM(I1249:L1249),2)</f>
        <v/>
      </c>
      <c r="N1249" s="10">
        <f>ROUND(I1249*'Irish Basis'!$C$6*'Irish Basis'!$C$5,2)</f>
        <v/>
      </c>
      <c r="O1249" s="10">
        <f>ROUND(J1249*'Irish Basis'!$C$7*'Irish Basis'!$C$5,2)</f>
        <v/>
      </c>
      <c r="P1249" s="10">
        <f>ROUND(K1249*'Irish Basis'!$C$8*'Irish Basis'!$C$5,2)</f>
        <v/>
      </c>
      <c r="Q1249" s="10">
        <f>ROUND(L1249*'Irish Basis'!$C$12*'Irish Basis'!$C$5,2)</f>
        <v/>
      </c>
      <c r="R1249" s="11">
        <f>ROUND(SUM(N1249:Q1249),2)</f>
        <v/>
      </c>
      <c r="S1249" s="5" t="inlineStr">
        <is>
          <t>Stated build-up</t>
        </is>
      </c>
      <c r="T1249" s="12" t="inlineStr">
        <is>
          <t>High</t>
        </is>
      </c>
      <c r="U1249" s="8" t="n">
        <v>1684.82</v>
      </c>
      <c r="V1249" s="13">
        <f>IF(U1249="","",ROUND(M1249-U1249,2))</f>
        <v/>
      </c>
      <c r="W1249" s="5" t="n"/>
      <c r="X1249" s="5" t="inlineStr">
        <is>
          <t>Labour + plant + material as published; reconciles to the published rate.</t>
        </is>
      </c>
    </row>
    <row r="1250" ht="13" customHeight="1">
      <c r="A1250" s="4" t="n">
        <v>2140</v>
      </c>
      <c r="B1250" s="5" t="inlineStr">
        <is>
          <t>IMG_0095</t>
        </is>
      </c>
      <c r="C1250" s="5" t="inlineStr">
        <is>
          <t>CLASS I: PIPEWORK - PIPES</t>
        </is>
      </c>
      <c r="D1250" s="5" t="inlineStr">
        <is>
          <t>01 CLAY PIPES</t>
        </is>
      </c>
      <c r="E1250" s="5" t="inlineStr">
        <is>
          <t>450 mm pipes; in trenches, depth</t>
        </is>
      </c>
      <c r="F1250" s="5" t="inlineStr">
        <is>
          <t>extra for bend; 22.5 degree</t>
        </is>
      </c>
      <c r="G1250" s="6" t="inlineStr">
        <is>
          <t>nr</t>
        </is>
      </c>
      <c r="H1250" s="7" t="n">
        <v>0.29</v>
      </c>
      <c r="I1250" s="8" t="n">
        <v>40.07</v>
      </c>
      <c r="J1250" s="8" t="n">
        <v>0</v>
      </c>
      <c r="K1250" s="8" t="n">
        <v>1644.75</v>
      </c>
      <c r="L1250" s="8" t="n">
        <v>0</v>
      </c>
      <c r="M1250" s="9">
        <f>ROUND(SUM(I1250:L1250),2)</f>
        <v/>
      </c>
      <c r="N1250" s="10">
        <f>ROUND(I1250*'Irish Basis'!$C$6*'Irish Basis'!$C$5,2)</f>
        <v/>
      </c>
      <c r="O1250" s="10">
        <f>ROUND(J1250*'Irish Basis'!$C$7*'Irish Basis'!$C$5,2)</f>
        <v/>
      </c>
      <c r="P1250" s="10">
        <f>ROUND(K1250*'Irish Basis'!$C$8*'Irish Basis'!$C$5,2)</f>
        <v/>
      </c>
      <c r="Q1250" s="10">
        <f>ROUND(L1250*'Irish Basis'!$C$12*'Irish Basis'!$C$5,2)</f>
        <v/>
      </c>
      <c r="R1250" s="11">
        <f>ROUND(SUM(N1250:Q1250),2)</f>
        <v/>
      </c>
      <c r="S1250" s="5" t="inlineStr">
        <is>
          <t>Stated build-up</t>
        </is>
      </c>
      <c r="T1250" s="12" t="inlineStr">
        <is>
          <t>High</t>
        </is>
      </c>
      <c r="U1250" s="8" t="n">
        <v>1684.82</v>
      </c>
      <c r="V1250" s="13">
        <f>IF(U1250="","",ROUND(M1250-U1250,2))</f>
        <v/>
      </c>
      <c r="W1250" s="5" t="n"/>
      <c r="X1250" s="5" t="inlineStr">
        <is>
          <t>Labour + plant + material as published; reconciles to the published rate.</t>
        </is>
      </c>
    </row>
    <row r="1251" ht="13" customHeight="1">
      <c r="A1251" s="4" t="n">
        <v>2143</v>
      </c>
      <c r="B1251" s="5" t="inlineStr">
        <is>
          <t>IMG_0095</t>
        </is>
      </c>
      <c r="C1251" s="5" t="inlineStr">
        <is>
          <t>CLASS I: PIPEWORK - PIPES</t>
        </is>
      </c>
      <c r="D1251" s="5" t="inlineStr">
        <is>
          <t>02 CONCRETE PIPES</t>
        </is>
      </c>
      <c r="E1251" s="5" t="inlineStr">
        <is>
          <t>Concrete porous pipes to BS 5911; excavation and supports, backfilling; 150 mm pipes; in trench, depth</t>
        </is>
      </c>
      <c r="F1251" s="5" t="inlineStr">
        <is>
          <t>not in trenches</t>
        </is>
      </c>
      <c r="G1251" s="6" t="inlineStr">
        <is>
          <t>m</t>
        </is>
      </c>
      <c r="H1251" s="7" t="n">
        <v>0.06</v>
      </c>
      <c r="I1251" s="8" t="n">
        <v>5.18</v>
      </c>
      <c r="J1251" s="8" t="n">
        <v>0.6</v>
      </c>
      <c r="K1251" s="8" t="n">
        <v>11.06</v>
      </c>
      <c r="L1251" s="8" t="n">
        <v>0</v>
      </c>
      <c r="M1251" s="9">
        <f>ROUND(SUM(I1251:L1251),2)</f>
        <v/>
      </c>
      <c r="N1251" s="10">
        <f>ROUND(I1251*'Irish Basis'!$C$6*'Irish Basis'!$C$5,2)</f>
        <v/>
      </c>
      <c r="O1251" s="10">
        <f>ROUND(J1251*'Irish Basis'!$C$7*'Irish Basis'!$C$5,2)</f>
        <v/>
      </c>
      <c r="P1251" s="10">
        <f>ROUND(K1251*'Irish Basis'!$C$8*'Irish Basis'!$C$5,2)</f>
        <v/>
      </c>
      <c r="Q1251" s="10">
        <f>ROUND(L1251*'Irish Basis'!$C$12*'Irish Basis'!$C$5,2)</f>
        <v/>
      </c>
      <c r="R1251" s="11">
        <f>ROUND(SUM(N1251:Q1251),2)</f>
        <v/>
      </c>
      <c r="S1251" s="5" t="inlineStr">
        <is>
          <t>Stated build-up</t>
        </is>
      </c>
      <c r="T1251" s="12" t="inlineStr">
        <is>
          <t>High</t>
        </is>
      </c>
      <c r="U1251" s="8" t="n">
        <v>16.84</v>
      </c>
      <c r="V1251" s="13">
        <f>IF(U1251="","",ROUND(M1251-U1251,2))</f>
        <v/>
      </c>
      <c r="W1251" s="5" t="n"/>
      <c r="X1251" s="5" t="inlineStr">
        <is>
          <t>Labour + plant + material as published; reconciles to the published rate.</t>
        </is>
      </c>
    </row>
    <row r="1252" ht="13" customHeight="1">
      <c r="A1252" s="4" t="n">
        <v>2144</v>
      </c>
      <c r="B1252" s="5" t="inlineStr">
        <is>
          <t>IMG_0095</t>
        </is>
      </c>
      <c r="C1252" s="5" t="inlineStr">
        <is>
          <t>CLASS I: PIPEWORK - PIPES</t>
        </is>
      </c>
      <c r="D1252" s="5" t="inlineStr">
        <is>
          <t>02 CONCRETE PIPES</t>
        </is>
      </c>
      <c r="E1252" s="5" t="inlineStr">
        <is>
          <t>Concrete porous pipes to BS 5911; excavation and supports, backfilling; 150 mm pipes; in trench, depth</t>
        </is>
      </c>
      <c r="F1252" s="5" t="inlineStr">
        <is>
          <t>ne 1.50 m deep</t>
        </is>
      </c>
      <c r="G1252" s="6" t="inlineStr">
        <is>
          <t>m</t>
        </is>
      </c>
      <c r="H1252" s="7" t="n">
        <v>0.17</v>
      </c>
      <c r="I1252" s="8" t="n">
        <v>23.49</v>
      </c>
      <c r="J1252" s="8" t="n">
        <v>14.32</v>
      </c>
      <c r="K1252" s="8" t="n">
        <v>11.06</v>
      </c>
      <c r="L1252" s="8" t="n">
        <v>0</v>
      </c>
      <c r="M1252" s="9">
        <f>ROUND(SUM(I1252:L1252),2)</f>
        <v/>
      </c>
      <c r="N1252" s="10">
        <f>ROUND(I1252*'Irish Basis'!$C$6*'Irish Basis'!$C$5,2)</f>
        <v/>
      </c>
      <c r="O1252" s="10">
        <f>ROUND(J1252*'Irish Basis'!$C$7*'Irish Basis'!$C$5,2)</f>
        <v/>
      </c>
      <c r="P1252" s="10">
        <f>ROUND(K1252*'Irish Basis'!$C$8*'Irish Basis'!$C$5,2)</f>
        <v/>
      </c>
      <c r="Q1252" s="10">
        <f>ROUND(L1252*'Irish Basis'!$C$12*'Irish Basis'!$C$5,2)</f>
        <v/>
      </c>
      <c r="R1252" s="11">
        <f>ROUND(SUM(N1252:Q1252),2)</f>
        <v/>
      </c>
      <c r="S1252" s="5" t="inlineStr">
        <is>
          <t>Stated build-up</t>
        </is>
      </c>
      <c r="T1252" s="12" t="inlineStr">
        <is>
          <t>High</t>
        </is>
      </c>
      <c r="U1252" s="8" t="n">
        <v>48.88</v>
      </c>
      <c r="V1252" s="13">
        <f>IF(U1252="","",ROUND(M1252-U1252,2))</f>
        <v/>
      </c>
      <c r="W1252" s="5" t="n"/>
      <c r="X1252" s="5" t="inlineStr">
        <is>
          <t>Labour + plant + material as published; reconciles to the published rate.</t>
        </is>
      </c>
    </row>
    <row r="1253" ht="13" customHeight="1">
      <c r="A1253" s="4" t="n">
        <v>2145</v>
      </c>
      <c r="B1253" s="5" t="inlineStr">
        <is>
          <t>IMG_0095</t>
        </is>
      </c>
      <c r="C1253" s="5" t="inlineStr">
        <is>
          <t>CLASS I: PIPEWORK - PIPES</t>
        </is>
      </c>
      <c r="D1253" s="5" t="inlineStr">
        <is>
          <t>02 CONCRETE PIPES</t>
        </is>
      </c>
      <c r="E1253" s="5" t="inlineStr">
        <is>
          <t>Concrete porous pipes to BS 5911; excavation and supports, backfilling; 150 mm pipes; in trench, depth</t>
        </is>
      </c>
      <c r="F1253" s="5" t="inlineStr">
        <is>
          <t>1.50-2.00 m deep</t>
        </is>
      </c>
      <c r="G1253" s="6" t="inlineStr">
        <is>
          <t>m</t>
        </is>
      </c>
      <c r="H1253" s="7" t="n">
        <v>0.2</v>
      </c>
      <c r="I1253" s="8" t="n">
        <v>27.64</v>
      </c>
      <c r="J1253" s="8" t="n">
        <v>16.89</v>
      </c>
      <c r="K1253" s="8" t="n">
        <v>11.06</v>
      </c>
      <c r="L1253" s="8" t="n">
        <v>0</v>
      </c>
      <c r="M1253" s="9">
        <f>ROUND(SUM(I1253:L1253),2)</f>
        <v/>
      </c>
      <c r="N1253" s="10">
        <f>ROUND(I1253*'Irish Basis'!$C$6*'Irish Basis'!$C$5,2)</f>
        <v/>
      </c>
      <c r="O1253" s="10">
        <f>ROUND(J1253*'Irish Basis'!$C$7*'Irish Basis'!$C$5,2)</f>
        <v/>
      </c>
      <c r="P1253" s="10">
        <f>ROUND(K1253*'Irish Basis'!$C$8*'Irish Basis'!$C$5,2)</f>
        <v/>
      </c>
      <c r="Q1253" s="10">
        <f>ROUND(L1253*'Irish Basis'!$C$12*'Irish Basis'!$C$5,2)</f>
        <v/>
      </c>
      <c r="R1253" s="11">
        <f>ROUND(SUM(N1253:Q1253),2)</f>
        <v/>
      </c>
      <c r="S1253" s="5" t="inlineStr">
        <is>
          <t>Stated build-up</t>
        </is>
      </c>
      <c r="T1253" s="12" t="inlineStr">
        <is>
          <t>High</t>
        </is>
      </c>
      <c r="U1253" s="8" t="n">
        <v>55.58</v>
      </c>
      <c r="V1253" s="13">
        <f>IF(U1253="","",ROUND(M1253-U1253,2))</f>
        <v/>
      </c>
      <c r="W1253" s="5" t="n"/>
      <c r="X1253" s="5" t="inlineStr">
        <is>
          <t>Labour + plant + material as published; reconciles to the published rate.</t>
        </is>
      </c>
    </row>
    <row r="1254" ht="13" customHeight="1">
      <c r="A1254" s="4" t="n">
        <v>2146</v>
      </c>
      <c r="B1254" s="5" t="inlineStr">
        <is>
          <t>IMG_0095</t>
        </is>
      </c>
      <c r="C1254" s="5" t="inlineStr">
        <is>
          <t>CLASS I: PIPEWORK - PIPES</t>
        </is>
      </c>
      <c r="D1254" s="5" t="inlineStr">
        <is>
          <t>02 CONCRETE PIPES</t>
        </is>
      </c>
      <c r="E1254" s="5" t="inlineStr">
        <is>
          <t>Concrete porous pipes to BS 5911; excavation and supports, backfilling; 150 mm pipes; in trench, depth</t>
        </is>
      </c>
      <c r="F1254" s="5" t="inlineStr">
        <is>
          <t>2.00-2.50 m deep</t>
        </is>
      </c>
      <c r="G1254" s="6" t="inlineStr">
        <is>
          <t>m</t>
        </is>
      </c>
      <c r="H1254" s="7" t="n">
        <v>0.24</v>
      </c>
      <c r="I1254" s="8" t="n">
        <v>33.16</v>
      </c>
      <c r="J1254" s="8" t="n">
        <v>20.26</v>
      </c>
      <c r="K1254" s="8" t="n">
        <v>11.06</v>
      </c>
      <c r="L1254" s="8" t="n">
        <v>0</v>
      </c>
      <c r="M1254" s="9">
        <f>ROUND(SUM(I1254:L1254),2)</f>
        <v/>
      </c>
      <c r="N1254" s="10">
        <f>ROUND(I1254*'Irish Basis'!$C$6*'Irish Basis'!$C$5,2)</f>
        <v/>
      </c>
      <c r="O1254" s="10">
        <f>ROUND(J1254*'Irish Basis'!$C$7*'Irish Basis'!$C$5,2)</f>
        <v/>
      </c>
      <c r="P1254" s="10">
        <f>ROUND(K1254*'Irish Basis'!$C$8*'Irish Basis'!$C$5,2)</f>
        <v/>
      </c>
      <c r="Q1254" s="10">
        <f>ROUND(L1254*'Irish Basis'!$C$12*'Irish Basis'!$C$5,2)</f>
        <v/>
      </c>
      <c r="R1254" s="11">
        <f>ROUND(SUM(N1254:Q1254),2)</f>
        <v/>
      </c>
      <c r="S1254" s="5" t="inlineStr">
        <is>
          <t>Stated build-up</t>
        </is>
      </c>
      <c r="T1254" s="12" t="inlineStr">
        <is>
          <t>High</t>
        </is>
      </c>
      <c r="U1254" s="8" t="n">
        <v>64.48</v>
      </c>
      <c r="V1254" s="13">
        <f>IF(U1254="","",ROUND(M1254-U1254,2))</f>
        <v/>
      </c>
      <c r="W1254" s="5" t="n"/>
      <c r="X1254" s="5" t="inlineStr">
        <is>
          <t>Labour + plant + material as published; reconciles to the published rate.</t>
        </is>
      </c>
    </row>
    <row r="1255" ht="13" customHeight="1">
      <c r="A1255" s="4" t="n">
        <v>2147</v>
      </c>
      <c r="B1255" s="5" t="inlineStr">
        <is>
          <t>IMG_0095</t>
        </is>
      </c>
      <c r="C1255" s="5" t="inlineStr">
        <is>
          <t>CLASS I: PIPEWORK - PIPES</t>
        </is>
      </c>
      <c r="D1255" s="5" t="inlineStr">
        <is>
          <t>02 CONCRETE PIPES</t>
        </is>
      </c>
      <c r="E1255" s="5" t="inlineStr">
        <is>
          <t>Concrete porous pipes to BS 5911; excavation and supports, backfilling; 150 mm pipes; in trench, depth</t>
        </is>
      </c>
      <c r="F1255" s="5" t="inlineStr">
        <is>
          <t>2.50-3.00 m deep</t>
        </is>
      </c>
      <c r="G1255" s="6" t="inlineStr">
        <is>
          <t>m</t>
        </is>
      </c>
      <c r="H1255" s="7" t="n">
        <v>0.29</v>
      </c>
      <c r="I1255" s="8" t="n">
        <v>40.07</v>
      </c>
      <c r="J1255" s="8" t="n">
        <v>24.51</v>
      </c>
      <c r="K1255" s="8" t="n">
        <v>11.06</v>
      </c>
      <c r="L1255" s="8" t="n">
        <v>0</v>
      </c>
      <c r="M1255" s="9">
        <f>ROUND(SUM(I1255:L1255),2)</f>
        <v/>
      </c>
      <c r="N1255" s="10">
        <f>ROUND(I1255*'Irish Basis'!$C$6*'Irish Basis'!$C$5,2)</f>
        <v/>
      </c>
      <c r="O1255" s="10">
        <f>ROUND(J1255*'Irish Basis'!$C$7*'Irish Basis'!$C$5,2)</f>
        <v/>
      </c>
      <c r="P1255" s="10">
        <f>ROUND(K1255*'Irish Basis'!$C$8*'Irish Basis'!$C$5,2)</f>
        <v/>
      </c>
      <c r="Q1255" s="10">
        <f>ROUND(L1255*'Irish Basis'!$C$12*'Irish Basis'!$C$5,2)</f>
        <v/>
      </c>
      <c r="R1255" s="11">
        <f>ROUND(SUM(N1255:Q1255),2)</f>
        <v/>
      </c>
      <c r="S1255" s="5" t="inlineStr">
        <is>
          <t>Stated build-up</t>
        </is>
      </c>
      <c r="T1255" s="12" t="inlineStr">
        <is>
          <t>High</t>
        </is>
      </c>
      <c r="U1255" s="8" t="n">
        <v>75.65000000000001</v>
      </c>
      <c r="V1255" s="13">
        <f>IF(U1255="","",ROUND(M1255-U1255,2))</f>
        <v/>
      </c>
      <c r="W1255" s="5" t="n"/>
      <c r="X1255" s="5" t="inlineStr">
        <is>
          <t>Labour + plant + material as published; reconciles to the published rate.</t>
        </is>
      </c>
    </row>
    <row r="1256" ht="13" customHeight="1">
      <c r="A1256" s="4" t="n">
        <v>2148</v>
      </c>
      <c r="B1256" s="5" t="inlineStr">
        <is>
          <t>IMG_0095</t>
        </is>
      </c>
      <c r="C1256" s="5" t="inlineStr">
        <is>
          <t>CLASS I: PIPEWORK - PIPES</t>
        </is>
      </c>
      <c r="D1256" s="5" t="inlineStr">
        <is>
          <t>02 CONCRETE PIPES</t>
        </is>
      </c>
      <c r="E1256" s="5" t="inlineStr">
        <is>
          <t>Concrete porous pipes to BS 5911; excavation and supports, backfilling; 150 mm pipes; in trench, depth</t>
        </is>
      </c>
      <c r="F1256" s="5" t="inlineStr">
        <is>
          <t>3.00-3.50 m deep</t>
        </is>
      </c>
      <c r="G1256" s="6" t="inlineStr">
        <is>
          <t>m</t>
        </is>
      </c>
      <c r="H1256" s="7" t="n">
        <v>0.39</v>
      </c>
      <c r="I1256" s="8" t="n">
        <v>53.89</v>
      </c>
      <c r="J1256" s="8" t="n">
        <v>32.97</v>
      </c>
      <c r="K1256" s="8" t="n">
        <v>11.06</v>
      </c>
      <c r="L1256" s="8" t="n">
        <v>0</v>
      </c>
      <c r="M1256" s="9">
        <f>ROUND(SUM(I1256:L1256),2)</f>
        <v/>
      </c>
      <c r="N1256" s="10">
        <f>ROUND(I1256*'Irish Basis'!$C$6*'Irish Basis'!$C$5,2)</f>
        <v/>
      </c>
      <c r="O1256" s="10">
        <f>ROUND(J1256*'Irish Basis'!$C$7*'Irish Basis'!$C$5,2)</f>
        <v/>
      </c>
      <c r="P1256" s="10">
        <f>ROUND(K1256*'Irish Basis'!$C$8*'Irish Basis'!$C$5,2)</f>
        <v/>
      </c>
      <c r="Q1256" s="10">
        <f>ROUND(L1256*'Irish Basis'!$C$12*'Irish Basis'!$C$5,2)</f>
        <v/>
      </c>
      <c r="R1256" s="11">
        <f>ROUND(SUM(N1256:Q1256),2)</f>
        <v/>
      </c>
      <c r="S1256" s="5" t="inlineStr">
        <is>
          <t>Stated build-up</t>
        </is>
      </c>
      <c r="T1256" s="12" t="inlineStr">
        <is>
          <t>High</t>
        </is>
      </c>
      <c r="U1256" s="8" t="n">
        <v>97.92</v>
      </c>
      <c r="V1256" s="13">
        <f>IF(U1256="","",ROUND(M1256-U1256,2))</f>
        <v/>
      </c>
      <c r="W1256" s="5" t="n"/>
      <c r="X1256" s="5" t="inlineStr">
        <is>
          <t>Labour + plant + material as published; reconciles to the published rate.</t>
        </is>
      </c>
    </row>
    <row r="1257" ht="13" customHeight="1">
      <c r="A1257" s="4" t="n">
        <v>2149</v>
      </c>
      <c r="B1257" s="5" t="inlineStr">
        <is>
          <t>IMG_0095</t>
        </is>
      </c>
      <c r="C1257" s="5" t="inlineStr">
        <is>
          <t>CLASS I: PIPEWORK - PIPES</t>
        </is>
      </c>
      <c r="D1257" s="5" t="inlineStr">
        <is>
          <t>02 CONCRETE PIPES</t>
        </is>
      </c>
      <c r="E1257" s="5" t="inlineStr">
        <is>
          <t>Concrete porous pipes to BS 5911; excavation and supports, backfilling; 150 mm pipes; in trench, depth</t>
        </is>
      </c>
      <c r="F1257" s="5" t="inlineStr">
        <is>
          <t>3.50-4.00 m deep</t>
        </is>
      </c>
      <c r="G1257" s="6" t="inlineStr">
        <is>
          <t>m</t>
        </is>
      </c>
      <c r="H1257" s="7" t="n">
        <v>0.45</v>
      </c>
      <c r="I1257" s="8" t="n">
        <v>62.18</v>
      </c>
      <c r="J1257" s="8" t="n">
        <v>38.09</v>
      </c>
      <c r="K1257" s="8" t="n">
        <v>11.06</v>
      </c>
      <c r="L1257" s="8" t="n">
        <v>0</v>
      </c>
      <c r="M1257" s="9">
        <f>ROUND(SUM(I1257:L1257),2)</f>
        <v/>
      </c>
      <c r="N1257" s="10">
        <f>ROUND(I1257*'Irish Basis'!$C$6*'Irish Basis'!$C$5,2)</f>
        <v/>
      </c>
      <c r="O1257" s="10">
        <f>ROUND(J1257*'Irish Basis'!$C$7*'Irish Basis'!$C$5,2)</f>
        <v/>
      </c>
      <c r="P1257" s="10">
        <f>ROUND(K1257*'Irish Basis'!$C$8*'Irish Basis'!$C$5,2)</f>
        <v/>
      </c>
      <c r="Q1257" s="10">
        <f>ROUND(L1257*'Irish Basis'!$C$12*'Irish Basis'!$C$5,2)</f>
        <v/>
      </c>
      <c r="R1257" s="11">
        <f>ROUND(SUM(N1257:Q1257),2)</f>
        <v/>
      </c>
      <c r="S1257" s="5" t="inlineStr">
        <is>
          <t>Stated build-up</t>
        </is>
      </c>
      <c r="T1257" s="12" t="inlineStr">
        <is>
          <t>High</t>
        </is>
      </c>
      <c r="U1257" s="8" t="n">
        <v>111.34</v>
      </c>
      <c r="V1257" s="13">
        <f>IF(U1257="","",ROUND(M1257-U1257,2))</f>
        <v/>
      </c>
      <c r="W1257" s="5" t="n"/>
      <c r="X1257" s="5" t="inlineStr">
        <is>
          <t>Labour + plant + material as published; reconciles to the published rate.</t>
        </is>
      </c>
    </row>
    <row r="1258" ht="13" customHeight="1">
      <c r="A1258" s="4" t="n">
        <v>2150</v>
      </c>
      <c r="B1258" s="5" t="inlineStr">
        <is>
          <t>IMG_0095</t>
        </is>
      </c>
      <c r="C1258" s="5" t="inlineStr">
        <is>
          <t>CLASS I: PIPEWORK - PIPES</t>
        </is>
      </c>
      <c r="D1258" s="5" t="inlineStr">
        <is>
          <t>02 CONCRETE PIPES</t>
        </is>
      </c>
      <c r="E1258" s="5" t="inlineStr">
        <is>
          <t>Concrete porous pipes to BS 5911; excavation and supports, backfilling; 150 mm pipes; in trench, depth</t>
        </is>
      </c>
      <c r="F1258" s="5" t="inlineStr">
        <is>
          <t>4.00-4.50 m deep</t>
        </is>
      </c>
      <c r="G1258" s="6" t="inlineStr">
        <is>
          <t>m</t>
        </is>
      </c>
      <c r="H1258" s="7" t="n">
        <v>0.58</v>
      </c>
      <c r="I1258" s="8" t="n">
        <v>80.14</v>
      </c>
      <c r="J1258" s="8" t="n">
        <v>49.1</v>
      </c>
      <c r="K1258" s="8" t="n">
        <v>11.06</v>
      </c>
      <c r="L1258" s="8" t="n">
        <v>0</v>
      </c>
      <c r="M1258" s="9">
        <f>ROUND(SUM(I1258:L1258),2)</f>
        <v/>
      </c>
      <c r="N1258" s="10">
        <f>ROUND(I1258*'Irish Basis'!$C$6*'Irish Basis'!$C$5,2)</f>
        <v/>
      </c>
      <c r="O1258" s="10">
        <f>ROUND(J1258*'Irish Basis'!$C$7*'Irish Basis'!$C$5,2)</f>
        <v/>
      </c>
      <c r="P1258" s="10">
        <f>ROUND(K1258*'Irish Basis'!$C$8*'Irish Basis'!$C$5,2)</f>
        <v/>
      </c>
      <c r="Q1258" s="10">
        <f>ROUND(L1258*'Irish Basis'!$C$12*'Irish Basis'!$C$5,2)</f>
        <v/>
      </c>
      <c r="R1258" s="11">
        <f>ROUND(SUM(N1258:Q1258),2)</f>
        <v/>
      </c>
      <c r="S1258" s="5" t="inlineStr">
        <is>
          <t>Stated build-up</t>
        </is>
      </c>
      <c r="T1258" s="12" t="inlineStr">
        <is>
          <t>High</t>
        </is>
      </c>
      <c r="U1258" s="8" t="n">
        <v>140.3</v>
      </c>
      <c r="V1258" s="13">
        <f>IF(U1258="","",ROUND(M1258-U1258,2))</f>
        <v/>
      </c>
      <c r="W1258" s="5" t="n"/>
      <c r="X1258" s="5" t="inlineStr">
        <is>
          <t>Labour + plant + material as published; reconciles to the published rate.</t>
        </is>
      </c>
    </row>
    <row r="1259" ht="13" customHeight="1">
      <c r="A1259" s="4" t="n">
        <v>2151</v>
      </c>
      <c r="B1259" s="5" t="inlineStr">
        <is>
          <t>IMG_0095</t>
        </is>
      </c>
      <c r="C1259" s="5" t="inlineStr">
        <is>
          <t>CLASS I: PIPEWORK - PIPES</t>
        </is>
      </c>
      <c r="D1259" s="5" t="inlineStr">
        <is>
          <t>02 CONCRETE PIPES</t>
        </is>
      </c>
      <c r="E1259" s="5" t="inlineStr">
        <is>
          <t>Concrete porous pipes to BS 5911; excavation and supports, backfilling; 150 mm pipes; in trench, depth</t>
        </is>
      </c>
      <c r="F1259" s="5" t="inlineStr">
        <is>
          <t>4.50-5.00 m deep</t>
        </is>
      </c>
      <c r="G1259" s="6" t="inlineStr">
        <is>
          <t>m</t>
        </is>
      </c>
      <c r="H1259" s="7" t="n">
        <v>0.75</v>
      </c>
      <c r="I1259" s="8" t="n">
        <v>103.64</v>
      </c>
      <c r="J1259" s="8" t="n">
        <v>63.54</v>
      </c>
      <c r="K1259" s="8" t="n">
        <v>11.06</v>
      </c>
      <c r="L1259" s="8" t="n">
        <v>0</v>
      </c>
      <c r="M1259" s="9">
        <f>ROUND(SUM(I1259:L1259),2)</f>
        <v/>
      </c>
      <c r="N1259" s="10">
        <f>ROUND(I1259*'Irish Basis'!$C$6*'Irish Basis'!$C$5,2)</f>
        <v/>
      </c>
      <c r="O1259" s="10">
        <f>ROUND(J1259*'Irish Basis'!$C$7*'Irish Basis'!$C$5,2)</f>
        <v/>
      </c>
      <c r="P1259" s="10">
        <f>ROUND(K1259*'Irish Basis'!$C$8*'Irish Basis'!$C$5,2)</f>
        <v/>
      </c>
      <c r="Q1259" s="10">
        <f>ROUND(L1259*'Irish Basis'!$C$12*'Irish Basis'!$C$5,2)</f>
        <v/>
      </c>
      <c r="R1259" s="11">
        <f>ROUND(SUM(N1259:Q1259),2)</f>
        <v/>
      </c>
      <c r="S1259" s="5" t="inlineStr">
        <is>
          <t>Stated build-up</t>
        </is>
      </c>
      <c r="T1259" s="12" t="inlineStr">
        <is>
          <t>High</t>
        </is>
      </c>
      <c r="U1259" s="8" t="n">
        <v>178.24</v>
      </c>
      <c r="V1259" s="13">
        <f>IF(U1259="","",ROUND(M1259-U1259,2))</f>
        <v/>
      </c>
      <c r="W1259" s="5" t="n"/>
      <c r="X1259" s="5" t="inlineStr">
        <is>
          <t>Labour + plant + material as published; reconciles to the published rate.</t>
        </is>
      </c>
    </row>
    <row r="1260" ht="13" customHeight="1">
      <c r="A1260" s="4" t="n">
        <v>2152</v>
      </c>
      <c r="B1260" s="5" t="inlineStr">
        <is>
          <t>IMG_0095</t>
        </is>
      </c>
      <c r="C1260" s="5" t="inlineStr">
        <is>
          <t>CLASS I: PIPEWORK - PIPES</t>
        </is>
      </c>
      <c r="D1260" s="5" t="inlineStr">
        <is>
          <t>02 CONCRETE PIPES</t>
        </is>
      </c>
      <c r="E1260" s="5" t="inlineStr">
        <is>
          <t>Concrete porous pipes to BS 5911; excavation and supports, backfilling; 150 mm pipes; in trench, depth</t>
        </is>
      </c>
      <c r="F1260" s="5" t="inlineStr">
        <is>
          <t>5.00-5.50 m deep</t>
        </is>
      </c>
      <c r="G1260" s="6" t="inlineStr">
        <is>
          <t>m</t>
        </is>
      </c>
      <c r="H1260" s="7" t="n">
        <v>0.96</v>
      </c>
      <c r="I1260" s="8" t="n">
        <v>132.65</v>
      </c>
      <c r="J1260" s="8" t="n">
        <v>81.38</v>
      </c>
      <c r="K1260" s="8" t="n">
        <v>11.06</v>
      </c>
      <c r="L1260" s="8" t="n">
        <v>0</v>
      </c>
      <c r="M1260" s="9">
        <f>ROUND(SUM(I1260:L1260),2)</f>
        <v/>
      </c>
      <c r="N1260" s="10">
        <f>ROUND(I1260*'Irish Basis'!$C$6*'Irish Basis'!$C$5,2)</f>
        <v/>
      </c>
      <c r="O1260" s="10">
        <f>ROUND(J1260*'Irish Basis'!$C$7*'Irish Basis'!$C$5,2)</f>
        <v/>
      </c>
      <c r="P1260" s="10">
        <f>ROUND(K1260*'Irish Basis'!$C$8*'Irish Basis'!$C$5,2)</f>
        <v/>
      </c>
      <c r="Q1260" s="10">
        <f>ROUND(L1260*'Irish Basis'!$C$12*'Irish Basis'!$C$5,2)</f>
        <v/>
      </c>
      <c r="R1260" s="11">
        <f>ROUND(SUM(N1260:Q1260),2)</f>
        <v/>
      </c>
      <c r="S1260" s="5" t="inlineStr">
        <is>
          <t>Stated build-up</t>
        </is>
      </c>
      <c r="T1260" s="12" t="inlineStr">
        <is>
          <t>High</t>
        </is>
      </c>
      <c r="U1260" s="8" t="n">
        <v>225.1</v>
      </c>
      <c r="V1260" s="13">
        <f>IF(U1260="","",ROUND(M1260-U1260,2))</f>
        <v/>
      </c>
      <c r="W1260" s="5" t="n"/>
      <c r="X1260" s="5" t="inlineStr">
        <is>
          <t>Labour + plant + material as published; reconciles to the published rate.</t>
        </is>
      </c>
    </row>
    <row r="1261" ht="13" customHeight="1">
      <c r="A1261" s="4" t="n">
        <v>2154</v>
      </c>
      <c r="B1261" s="5" t="inlineStr">
        <is>
          <t>IMG_0095</t>
        </is>
      </c>
      <c r="C1261" s="5" t="inlineStr">
        <is>
          <t>CLASS I: PIPEWORK - PIPES</t>
        </is>
      </c>
      <c r="D1261" s="5" t="inlineStr">
        <is>
          <t>02 CONCRETE PIPES</t>
        </is>
      </c>
      <c r="E1261" s="5" t="inlineStr">
        <is>
          <t>225 mm pipes; in trench, depth</t>
        </is>
      </c>
      <c r="F1261" s="5" t="inlineStr">
        <is>
          <t>not in trenches</t>
        </is>
      </c>
      <c r="G1261" s="6" t="inlineStr">
        <is>
          <t>m</t>
        </is>
      </c>
      <c r="H1261" s="7" t="n">
        <v>0.08</v>
      </c>
      <c r="I1261" s="8" t="n">
        <v>6.91</v>
      </c>
      <c r="J1261" s="8" t="n">
        <v>0.34</v>
      </c>
      <c r="K1261" s="8" t="n">
        <v>12.09</v>
      </c>
      <c r="L1261" s="8" t="n">
        <v>0</v>
      </c>
      <c r="M1261" s="9">
        <f>ROUND(SUM(I1261:L1261),2)</f>
        <v/>
      </c>
      <c r="N1261" s="10">
        <f>ROUND(I1261*'Irish Basis'!$C$6*'Irish Basis'!$C$5,2)</f>
        <v/>
      </c>
      <c r="O1261" s="10">
        <f>ROUND(J1261*'Irish Basis'!$C$7*'Irish Basis'!$C$5,2)</f>
        <v/>
      </c>
      <c r="P1261" s="10">
        <f>ROUND(K1261*'Irish Basis'!$C$8*'Irish Basis'!$C$5,2)</f>
        <v/>
      </c>
      <c r="Q1261" s="10">
        <f>ROUND(L1261*'Irish Basis'!$C$12*'Irish Basis'!$C$5,2)</f>
        <v/>
      </c>
      <c r="R1261" s="11">
        <f>ROUND(SUM(N1261:Q1261),2)</f>
        <v/>
      </c>
      <c r="S1261" s="5" t="inlineStr">
        <is>
          <t>Stated build-up</t>
        </is>
      </c>
      <c r="T1261" s="12" t="inlineStr">
        <is>
          <t>High</t>
        </is>
      </c>
      <c r="U1261" s="8" t="n">
        <v>19.34</v>
      </c>
      <c r="V1261" s="13">
        <f>IF(U1261="","",ROUND(M1261-U1261,2))</f>
        <v/>
      </c>
      <c r="W1261" s="5" t="n"/>
      <c r="X1261" s="5" t="inlineStr">
        <is>
          <t>Labour + plant + material as published; reconciles to the published rate.</t>
        </is>
      </c>
    </row>
    <row r="1262" ht="13" customHeight="1">
      <c r="A1262" s="4" t="n">
        <v>2155</v>
      </c>
      <c r="B1262" s="5" t="inlineStr">
        <is>
          <t>IMG_0095</t>
        </is>
      </c>
      <c r="C1262" s="5" t="inlineStr">
        <is>
          <t>CLASS I: PIPEWORK - PIPES</t>
        </is>
      </c>
      <c r="D1262" s="5" t="inlineStr">
        <is>
          <t>02 CONCRETE PIPES</t>
        </is>
      </c>
      <c r="E1262" s="5" t="inlineStr">
        <is>
          <t>225 mm pipes; in trench, depth</t>
        </is>
      </c>
      <c r="F1262" s="5" t="inlineStr">
        <is>
          <t>ne 1.50 m deep</t>
        </is>
      </c>
      <c r="G1262" s="6" t="inlineStr">
        <is>
          <t>m</t>
        </is>
      </c>
      <c r="H1262" s="7" t="n">
        <v>0.18</v>
      </c>
      <c r="I1262" s="8" t="n">
        <v>24.87</v>
      </c>
      <c r="J1262" s="8" t="n">
        <v>15.17</v>
      </c>
      <c r="K1262" s="8" t="n">
        <v>12.09</v>
      </c>
      <c r="L1262" s="8" t="n">
        <v>0</v>
      </c>
      <c r="M1262" s="9">
        <f>ROUND(SUM(I1262:L1262),2)</f>
        <v/>
      </c>
      <c r="N1262" s="10">
        <f>ROUND(I1262*'Irish Basis'!$C$6*'Irish Basis'!$C$5,2)</f>
        <v/>
      </c>
      <c r="O1262" s="10">
        <f>ROUND(J1262*'Irish Basis'!$C$7*'Irish Basis'!$C$5,2)</f>
        <v/>
      </c>
      <c r="P1262" s="10">
        <f>ROUND(K1262*'Irish Basis'!$C$8*'Irish Basis'!$C$5,2)</f>
        <v/>
      </c>
      <c r="Q1262" s="10">
        <f>ROUND(L1262*'Irish Basis'!$C$12*'Irish Basis'!$C$5,2)</f>
        <v/>
      </c>
      <c r="R1262" s="11">
        <f>ROUND(SUM(N1262:Q1262),2)</f>
        <v/>
      </c>
      <c r="S1262" s="5" t="inlineStr">
        <is>
          <t>Stated build-up</t>
        </is>
      </c>
      <c r="T1262" s="12" t="inlineStr">
        <is>
          <t>High</t>
        </is>
      </c>
      <c r="U1262" s="8" t="n">
        <v>52.13</v>
      </c>
      <c r="V1262" s="13">
        <f>IF(U1262="","",ROUND(M1262-U1262,2))</f>
        <v/>
      </c>
      <c r="W1262" s="5" t="n"/>
      <c r="X1262" s="5" t="inlineStr">
        <is>
          <t>Labour + plant + material as published; reconciles to the published rate.</t>
        </is>
      </c>
    </row>
    <row r="1263" ht="13" customHeight="1">
      <c r="A1263" s="4" t="n">
        <v>2156</v>
      </c>
      <c r="B1263" s="5" t="inlineStr">
        <is>
          <t>IMG_0095</t>
        </is>
      </c>
      <c r="C1263" s="5" t="inlineStr">
        <is>
          <t>CLASS I: PIPEWORK - PIPES</t>
        </is>
      </c>
      <c r="D1263" s="5" t="inlineStr">
        <is>
          <t>02 CONCRETE PIPES</t>
        </is>
      </c>
      <c r="E1263" s="5" t="inlineStr">
        <is>
          <t>225 mm pipes; in trench, depth</t>
        </is>
      </c>
      <c r="F1263" s="5" t="inlineStr">
        <is>
          <t>1.50-2.00 m deep</t>
        </is>
      </c>
      <c r="G1263" s="6" t="inlineStr">
        <is>
          <t>m</t>
        </is>
      </c>
      <c r="H1263" s="7" t="n">
        <v>0.22</v>
      </c>
      <c r="I1263" s="8" t="n">
        <v>30.4</v>
      </c>
      <c r="J1263" s="8" t="n">
        <v>18.59</v>
      </c>
      <c r="K1263" s="8" t="n">
        <v>12.09</v>
      </c>
      <c r="L1263" s="8" t="n">
        <v>0</v>
      </c>
      <c r="M1263" s="9">
        <f>ROUND(SUM(I1263:L1263),2)</f>
        <v/>
      </c>
      <c r="N1263" s="10">
        <f>ROUND(I1263*'Irish Basis'!$C$6*'Irish Basis'!$C$5,2)</f>
        <v/>
      </c>
      <c r="O1263" s="10">
        <f>ROUND(J1263*'Irish Basis'!$C$7*'Irish Basis'!$C$5,2)</f>
        <v/>
      </c>
      <c r="P1263" s="10">
        <f>ROUND(K1263*'Irish Basis'!$C$8*'Irish Basis'!$C$5,2)</f>
        <v/>
      </c>
      <c r="Q1263" s="10">
        <f>ROUND(L1263*'Irish Basis'!$C$12*'Irish Basis'!$C$5,2)</f>
        <v/>
      </c>
      <c r="R1263" s="11">
        <f>ROUND(SUM(N1263:Q1263),2)</f>
        <v/>
      </c>
      <c r="S1263" s="5" t="inlineStr">
        <is>
          <t>Stated build-up</t>
        </is>
      </c>
      <c r="T1263" s="12" t="inlineStr">
        <is>
          <t>High</t>
        </is>
      </c>
      <c r="U1263" s="8" t="n">
        <v>61.08</v>
      </c>
      <c r="V1263" s="13">
        <f>IF(U1263="","",ROUND(M1263-U1263,2))</f>
        <v/>
      </c>
      <c r="W1263" s="5" t="n"/>
      <c r="X1263" s="5" t="inlineStr">
        <is>
          <t>Labour + plant + material as published; reconciles to the published rate.</t>
        </is>
      </c>
    </row>
    <row r="1264" ht="13" customHeight="1">
      <c r="A1264" s="4" t="n">
        <v>2157</v>
      </c>
      <c r="B1264" s="5" t="inlineStr">
        <is>
          <t>IMG_0095</t>
        </is>
      </c>
      <c r="C1264" s="5" t="inlineStr">
        <is>
          <t>CLASS I: PIPEWORK - PIPES</t>
        </is>
      </c>
      <c r="D1264" s="5" t="inlineStr">
        <is>
          <t>02 CONCRETE PIPES</t>
        </is>
      </c>
      <c r="E1264" s="5" t="inlineStr">
        <is>
          <t>225 mm pipes; in trench, depth</t>
        </is>
      </c>
      <c r="F1264" s="5" t="inlineStr">
        <is>
          <t>2.00-2.50 m deep</t>
        </is>
      </c>
      <c r="G1264" s="6" t="inlineStr">
        <is>
          <t>m</t>
        </is>
      </c>
      <c r="H1264" s="7" t="n">
        <v>0.26</v>
      </c>
      <c r="I1264" s="8" t="n">
        <v>35.93</v>
      </c>
      <c r="J1264" s="8" t="n">
        <v>21.97</v>
      </c>
      <c r="K1264" s="8" t="n">
        <v>12.09</v>
      </c>
      <c r="L1264" s="8" t="n">
        <v>0</v>
      </c>
      <c r="M1264" s="9">
        <f>ROUND(SUM(I1264:L1264),2)</f>
        <v/>
      </c>
      <c r="N1264" s="10">
        <f>ROUND(I1264*'Irish Basis'!$C$6*'Irish Basis'!$C$5,2)</f>
        <v/>
      </c>
      <c r="O1264" s="10">
        <f>ROUND(J1264*'Irish Basis'!$C$7*'Irish Basis'!$C$5,2)</f>
        <v/>
      </c>
      <c r="P1264" s="10">
        <f>ROUND(K1264*'Irish Basis'!$C$8*'Irish Basis'!$C$5,2)</f>
        <v/>
      </c>
      <c r="Q1264" s="10">
        <f>ROUND(L1264*'Irish Basis'!$C$12*'Irish Basis'!$C$5,2)</f>
        <v/>
      </c>
      <c r="R1264" s="11">
        <f>ROUND(SUM(N1264:Q1264),2)</f>
        <v/>
      </c>
      <c r="S1264" s="5" t="inlineStr">
        <is>
          <t>Stated build-up</t>
        </is>
      </c>
      <c r="T1264" s="12" t="inlineStr">
        <is>
          <t>High</t>
        </is>
      </c>
      <c r="U1264" s="8" t="n">
        <v>69.98</v>
      </c>
      <c r="V1264" s="13">
        <f>IF(U1264="","",ROUND(M1264-U1264,2))</f>
        <v/>
      </c>
      <c r="W1264" s="5" t="n"/>
      <c r="X1264" s="5" t="inlineStr">
        <is>
          <t>Labour + plant + material as published; reconciles to the published rate.</t>
        </is>
      </c>
    </row>
    <row r="1265" ht="13" customHeight="1">
      <c r="A1265" s="4" t="n">
        <v>2158</v>
      </c>
      <c r="B1265" s="5" t="inlineStr">
        <is>
          <t>IMG_0095</t>
        </is>
      </c>
      <c r="C1265" s="5" t="inlineStr">
        <is>
          <t>CLASS I: PIPEWORK - PIPES</t>
        </is>
      </c>
      <c r="D1265" s="5" t="inlineStr">
        <is>
          <t>02 CONCRETE PIPES</t>
        </is>
      </c>
      <c r="E1265" s="5" t="inlineStr">
        <is>
          <t>225 mm pipes; in trench, depth</t>
        </is>
      </c>
      <c r="F1265" s="5" t="inlineStr">
        <is>
          <t>2.50-3.00 m deep</t>
        </is>
      </c>
      <c r="G1265" s="6" t="inlineStr">
        <is>
          <t>m</t>
        </is>
      </c>
      <c r="H1265" s="7" t="n">
        <v>0.3</v>
      </c>
      <c r="I1265" s="8" t="n">
        <v>41.45</v>
      </c>
      <c r="J1265" s="8" t="n">
        <v>25.34</v>
      </c>
      <c r="K1265" s="8" t="n">
        <v>12.09</v>
      </c>
      <c r="L1265" s="8" t="n">
        <v>0</v>
      </c>
      <c r="M1265" s="9">
        <f>ROUND(SUM(I1265:L1265),2)</f>
        <v/>
      </c>
      <c r="N1265" s="10">
        <f>ROUND(I1265*'Irish Basis'!$C$6*'Irish Basis'!$C$5,2)</f>
        <v/>
      </c>
      <c r="O1265" s="10">
        <f>ROUND(J1265*'Irish Basis'!$C$7*'Irish Basis'!$C$5,2)</f>
        <v/>
      </c>
      <c r="P1265" s="10">
        <f>ROUND(K1265*'Irish Basis'!$C$8*'Irish Basis'!$C$5,2)</f>
        <v/>
      </c>
      <c r="Q1265" s="10">
        <f>ROUND(L1265*'Irish Basis'!$C$12*'Irish Basis'!$C$5,2)</f>
        <v/>
      </c>
      <c r="R1265" s="11">
        <f>ROUND(SUM(N1265:Q1265),2)</f>
        <v/>
      </c>
      <c r="S1265" s="5" t="inlineStr">
        <is>
          <t>Stated build-up</t>
        </is>
      </c>
      <c r="T1265" s="12" t="inlineStr">
        <is>
          <t>High</t>
        </is>
      </c>
      <c r="U1265" s="8" t="n">
        <v>78.88</v>
      </c>
      <c r="V1265" s="13">
        <f>IF(U1265="","",ROUND(M1265-U1265,2))</f>
        <v/>
      </c>
      <c r="W1265" s="5" t="n"/>
      <c r="X1265" s="5" t="inlineStr">
        <is>
          <t>Labour + plant + material as published; reconciles to the published rate.</t>
        </is>
      </c>
    </row>
    <row r="1266" ht="13" customHeight="1">
      <c r="A1266" s="4" t="n">
        <v>2159</v>
      </c>
      <c r="B1266" s="5" t="inlineStr">
        <is>
          <t>IMG_0095</t>
        </is>
      </c>
      <c r="C1266" s="5" t="inlineStr">
        <is>
          <t>CLASS I: PIPEWORK - PIPES</t>
        </is>
      </c>
      <c r="D1266" s="5" t="inlineStr">
        <is>
          <t>02 CONCRETE PIPES</t>
        </is>
      </c>
      <c r="E1266" s="5" t="inlineStr">
        <is>
          <t>225 mm pipes; in trench, depth</t>
        </is>
      </c>
      <c r="F1266" s="5" t="inlineStr">
        <is>
          <t>3.00-3.50 m deep</t>
        </is>
      </c>
      <c r="G1266" s="6" t="inlineStr">
        <is>
          <t>m</t>
        </is>
      </c>
      <c r="H1266" s="7" t="n">
        <v>0.41</v>
      </c>
      <c r="I1266" s="8" t="n">
        <v>56.65</v>
      </c>
      <c r="J1266" s="8" t="n">
        <v>34.68</v>
      </c>
      <c r="K1266" s="8" t="n">
        <v>12.09</v>
      </c>
      <c r="L1266" s="8" t="n">
        <v>0</v>
      </c>
      <c r="M1266" s="9">
        <f>ROUND(SUM(I1266:L1266),2)</f>
        <v/>
      </c>
      <c r="N1266" s="10">
        <f>ROUND(I1266*'Irish Basis'!$C$6*'Irish Basis'!$C$5,2)</f>
        <v/>
      </c>
      <c r="O1266" s="10">
        <f>ROUND(J1266*'Irish Basis'!$C$7*'Irish Basis'!$C$5,2)</f>
        <v/>
      </c>
      <c r="P1266" s="10">
        <f>ROUND(K1266*'Irish Basis'!$C$8*'Irish Basis'!$C$5,2)</f>
        <v/>
      </c>
      <c r="Q1266" s="10">
        <f>ROUND(L1266*'Irish Basis'!$C$12*'Irish Basis'!$C$5,2)</f>
        <v/>
      </c>
      <c r="R1266" s="11">
        <f>ROUND(SUM(N1266:Q1266),2)</f>
        <v/>
      </c>
      <c r="S1266" s="5" t="inlineStr">
        <is>
          <t>Stated build-up</t>
        </is>
      </c>
      <c r="T1266" s="12" t="inlineStr">
        <is>
          <t>High</t>
        </is>
      </c>
      <c r="U1266" s="8" t="n">
        <v>103.42</v>
      </c>
      <c r="V1266" s="13">
        <f>IF(U1266="","",ROUND(M1266-U1266,2))</f>
        <v/>
      </c>
      <c r="W1266" s="5" t="n"/>
      <c r="X1266" s="5" t="inlineStr">
        <is>
          <t>Labour + plant + material as published; reconciles to the published rate.</t>
        </is>
      </c>
    </row>
    <row r="1267" ht="13" customHeight="1">
      <c r="A1267" s="4" t="n">
        <v>2160</v>
      </c>
      <c r="B1267" s="5" t="inlineStr">
        <is>
          <t>IMG_0095</t>
        </is>
      </c>
      <c r="C1267" s="5" t="inlineStr">
        <is>
          <t>CLASS I: PIPEWORK - PIPES</t>
        </is>
      </c>
      <c r="D1267" s="5" t="inlineStr">
        <is>
          <t>02 CONCRETE PIPES</t>
        </is>
      </c>
      <c r="E1267" s="5" t="inlineStr">
        <is>
          <t>225 mm pipes; in trench, depth</t>
        </is>
      </c>
      <c r="F1267" s="5" t="inlineStr">
        <is>
          <t>3.50-4.00 m deep</t>
        </is>
      </c>
      <c r="G1267" s="6" t="inlineStr">
        <is>
          <t>m</t>
        </is>
      </c>
      <c r="H1267" s="7" t="n">
        <v>0.47</v>
      </c>
      <c r="I1267" s="8" t="n">
        <v>64.94</v>
      </c>
      <c r="J1267" s="8" t="n">
        <v>39.77</v>
      </c>
      <c r="K1267" s="8" t="n">
        <v>12.09</v>
      </c>
      <c r="L1267" s="8" t="n">
        <v>0</v>
      </c>
      <c r="M1267" s="9">
        <f>ROUND(SUM(I1267:L1267),2)</f>
        <v/>
      </c>
      <c r="N1267" s="10">
        <f>ROUND(I1267*'Irish Basis'!$C$6*'Irish Basis'!$C$5,2)</f>
        <v/>
      </c>
      <c r="O1267" s="10">
        <f>ROUND(J1267*'Irish Basis'!$C$7*'Irish Basis'!$C$5,2)</f>
        <v/>
      </c>
      <c r="P1267" s="10">
        <f>ROUND(K1267*'Irish Basis'!$C$8*'Irish Basis'!$C$5,2)</f>
        <v/>
      </c>
      <c r="Q1267" s="10">
        <f>ROUND(L1267*'Irish Basis'!$C$12*'Irish Basis'!$C$5,2)</f>
        <v/>
      </c>
      <c r="R1267" s="11">
        <f>ROUND(SUM(N1267:Q1267),2)</f>
        <v/>
      </c>
      <c r="S1267" s="5" t="inlineStr">
        <is>
          <t>Stated build-up</t>
        </is>
      </c>
      <c r="T1267" s="12" t="inlineStr">
        <is>
          <t>High</t>
        </is>
      </c>
      <c r="U1267" s="8" t="n">
        <v>116.81</v>
      </c>
      <c r="V1267" s="13">
        <f>IF(U1267="","",ROUND(M1267-U1267,2))</f>
        <v/>
      </c>
      <c r="W1267" s="5" t="n"/>
      <c r="X1267" s="5" t="inlineStr">
        <is>
          <t>Labour + plant + material as published; reconciles to the published rate.</t>
        </is>
      </c>
    </row>
    <row r="1268" ht="13" customHeight="1">
      <c r="A1268" s="4" t="n">
        <v>2161</v>
      </c>
      <c r="B1268" s="5" t="inlineStr">
        <is>
          <t>IMG_0095</t>
        </is>
      </c>
      <c r="C1268" s="5" t="inlineStr">
        <is>
          <t>CLASS I: PIPEWORK - PIPES</t>
        </is>
      </c>
      <c r="D1268" s="5" t="inlineStr">
        <is>
          <t>02 CONCRETE PIPES</t>
        </is>
      </c>
      <c r="E1268" s="5" t="inlineStr">
        <is>
          <t>225 mm pipes; in trench, depth</t>
        </is>
      </c>
      <c r="F1268" s="5" t="inlineStr">
        <is>
          <t>4.00-4.50 m deep</t>
        </is>
      </c>
      <c r="G1268" s="6" t="inlineStr">
        <is>
          <t>m</t>
        </is>
      </c>
      <c r="H1268" s="7" t="n">
        <v>0.65</v>
      </c>
      <c r="I1268" s="8" t="n">
        <v>89.81999999999999</v>
      </c>
      <c r="J1268" s="8" t="n">
        <v>55.04</v>
      </c>
      <c r="K1268" s="8" t="n">
        <v>12.09</v>
      </c>
      <c r="L1268" s="8" t="n">
        <v>0</v>
      </c>
      <c r="M1268" s="9">
        <f>ROUND(SUM(I1268:L1268),2)</f>
        <v/>
      </c>
      <c r="N1268" s="10">
        <f>ROUND(I1268*'Irish Basis'!$C$6*'Irish Basis'!$C$5,2)</f>
        <v/>
      </c>
      <c r="O1268" s="10">
        <f>ROUND(J1268*'Irish Basis'!$C$7*'Irish Basis'!$C$5,2)</f>
        <v/>
      </c>
      <c r="P1268" s="10">
        <f>ROUND(K1268*'Irish Basis'!$C$8*'Irish Basis'!$C$5,2)</f>
        <v/>
      </c>
      <c r="Q1268" s="10">
        <f>ROUND(L1268*'Irish Basis'!$C$12*'Irish Basis'!$C$5,2)</f>
        <v/>
      </c>
      <c r="R1268" s="11">
        <f>ROUND(SUM(N1268:Q1268),2)</f>
        <v/>
      </c>
      <c r="S1268" s="5" t="inlineStr">
        <is>
          <t>Stated build-up</t>
        </is>
      </c>
      <c r="T1268" s="12" t="inlineStr">
        <is>
          <t>High</t>
        </is>
      </c>
      <c r="U1268" s="8" t="n">
        <v>156.95</v>
      </c>
      <c r="V1268" s="13">
        <f>IF(U1268="","",ROUND(M1268-U1268,2))</f>
        <v/>
      </c>
      <c r="W1268" s="5" t="n"/>
      <c r="X1268" s="5" t="inlineStr">
        <is>
          <t>Labour + plant + material as published; reconciles to the published rate.</t>
        </is>
      </c>
    </row>
    <row r="1269" ht="13" customHeight="1">
      <c r="A1269" s="4" t="n">
        <v>2162</v>
      </c>
      <c r="B1269" s="5" t="inlineStr">
        <is>
          <t>IMG_0095</t>
        </is>
      </c>
      <c r="C1269" s="5" t="inlineStr">
        <is>
          <t>CLASS I: PIPEWORK - PIPES</t>
        </is>
      </c>
      <c r="D1269" s="5" t="inlineStr">
        <is>
          <t>02 CONCRETE PIPES</t>
        </is>
      </c>
      <c r="E1269" s="5" t="inlineStr">
        <is>
          <t>225 mm pipes; in trench, depth</t>
        </is>
      </c>
      <c r="F1269" s="5" t="inlineStr">
        <is>
          <t>4.50-5.00 m deep</t>
        </is>
      </c>
      <c r="G1269" s="6" t="inlineStr">
        <is>
          <t>m</t>
        </is>
      </c>
      <c r="H1269" s="7" t="n">
        <v>0.8</v>
      </c>
      <c r="I1269" s="8" t="n">
        <v>110.54</v>
      </c>
      <c r="J1269" s="8" t="n">
        <v>67.78</v>
      </c>
      <c r="K1269" s="8" t="n">
        <v>12.09</v>
      </c>
      <c r="L1269" s="8" t="n">
        <v>0</v>
      </c>
      <c r="M1269" s="9">
        <f>ROUND(SUM(I1269:L1269),2)</f>
        <v/>
      </c>
      <c r="N1269" s="10">
        <f>ROUND(I1269*'Irish Basis'!$C$6*'Irish Basis'!$C$5,2)</f>
        <v/>
      </c>
      <c r="O1269" s="10">
        <f>ROUND(J1269*'Irish Basis'!$C$7*'Irish Basis'!$C$5,2)</f>
        <v/>
      </c>
      <c r="P1269" s="10">
        <f>ROUND(K1269*'Irish Basis'!$C$8*'Irish Basis'!$C$5,2)</f>
        <v/>
      </c>
      <c r="Q1269" s="10">
        <f>ROUND(L1269*'Irish Basis'!$C$12*'Irish Basis'!$C$5,2)</f>
        <v/>
      </c>
      <c r="R1269" s="11">
        <f>ROUND(SUM(N1269:Q1269),2)</f>
        <v/>
      </c>
      <c r="S1269" s="5" t="inlineStr">
        <is>
          <t>Stated build-up</t>
        </is>
      </c>
      <c r="T1269" s="12" t="inlineStr">
        <is>
          <t>High</t>
        </is>
      </c>
      <c r="U1269" s="8" t="n">
        <v>190.42</v>
      </c>
      <c r="V1269" s="13">
        <f>IF(U1269="","",ROUND(M1269-U1269,2))</f>
        <v/>
      </c>
      <c r="W1269" s="5" t="n"/>
      <c r="X1269" s="5" t="inlineStr">
        <is>
          <t>Labour + plant + material as published; reconciles to the published rate.</t>
        </is>
      </c>
    </row>
    <row r="1270" ht="13" customHeight="1">
      <c r="A1270" s="4" t="n">
        <v>2163</v>
      </c>
      <c r="B1270" s="5" t="inlineStr">
        <is>
          <t>IMG_0095</t>
        </is>
      </c>
      <c r="C1270" s="5" t="inlineStr">
        <is>
          <t>CLASS I: PIPEWORK - PIPES</t>
        </is>
      </c>
      <c r="D1270" s="5" t="inlineStr">
        <is>
          <t>02 CONCRETE PIPES</t>
        </is>
      </c>
      <c r="E1270" s="5" t="inlineStr">
        <is>
          <t>225 mm pipes; in trench, depth</t>
        </is>
      </c>
      <c r="F1270" s="5" t="inlineStr">
        <is>
          <t>5.00-5.50 m deep</t>
        </is>
      </c>
      <c r="G1270" s="6" t="inlineStr">
        <is>
          <t>m</t>
        </is>
      </c>
      <c r="H1270" s="7" t="n">
        <v>1.02</v>
      </c>
      <c r="I1270" s="8" t="n">
        <v>140.94</v>
      </c>
      <c r="J1270" s="8" t="n">
        <v>86.48</v>
      </c>
      <c r="K1270" s="8" t="n">
        <v>12.09</v>
      </c>
      <c r="L1270" s="8" t="n">
        <v>0</v>
      </c>
      <c r="M1270" s="9">
        <f>ROUND(SUM(I1270:L1270),2)</f>
        <v/>
      </c>
      <c r="N1270" s="10">
        <f>ROUND(I1270*'Irish Basis'!$C$6*'Irish Basis'!$C$5,2)</f>
        <v/>
      </c>
      <c r="O1270" s="10">
        <f>ROUND(J1270*'Irish Basis'!$C$7*'Irish Basis'!$C$5,2)</f>
        <v/>
      </c>
      <c r="P1270" s="10">
        <f>ROUND(K1270*'Irish Basis'!$C$8*'Irish Basis'!$C$5,2)</f>
        <v/>
      </c>
      <c r="Q1270" s="10">
        <f>ROUND(L1270*'Irish Basis'!$C$12*'Irish Basis'!$C$5,2)</f>
        <v/>
      </c>
      <c r="R1270" s="11">
        <f>ROUND(SUM(N1270:Q1270),2)</f>
        <v/>
      </c>
      <c r="S1270" s="5" t="inlineStr">
        <is>
          <t>Stated build-up</t>
        </is>
      </c>
      <c r="T1270" s="12" t="inlineStr">
        <is>
          <t>High</t>
        </is>
      </c>
      <c r="U1270" s="8" t="n">
        <v>239.52</v>
      </c>
      <c r="V1270" s="13">
        <f>IF(U1270="","",ROUND(M1270-U1270,2))</f>
        <v/>
      </c>
      <c r="W1270" s="5" t="n"/>
      <c r="X1270" s="5" t="inlineStr">
        <is>
          <t>Labour + plant + material as published; reconciles to the published rate.</t>
        </is>
      </c>
    </row>
    <row r="1271" ht="13" customHeight="1">
      <c r="A1271" s="4" t="n">
        <v>2165</v>
      </c>
      <c r="B1271" s="5" t="inlineStr">
        <is>
          <t>IMG_0095</t>
        </is>
      </c>
      <c r="C1271" s="5" t="inlineStr">
        <is>
          <t>CLASS I: PIPEWORK - PIPES</t>
        </is>
      </c>
      <c r="D1271" s="5" t="inlineStr">
        <is>
          <t>02 CONCRETE PIPES</t>
        </is>
      </c>
      <c r="E1271" s="5" t="inlineStr">
        <is>
          <t>300 mm pipes; in trench, depth</t>
        </is>
      </c>
      <c r="F1271" s="5" t="inlineStr">
        <is>
          <t>not in trenches</t>
        </is>
      </c>
      <c r="G1271" s="6" t="inlineStr">
        <is>
          <t>m</t>
        </is>
      </c>
      <c r="H1271" s="7" t="n">
        <v>0.1</v>
      </c>
      <c r="I1271" s="8" t="n">
        <v>8.630000000000001</v>
      </c>
      <c r="J1271" s="8" t="n">
        <v>0.43</v>
      </c>
      <c r="K1271" s="8" t="n">
        <v>12.56</v>
      </c>
      <c r="L1271" s="8" t="n">
        <v>0</v>
      </c>
      <c r="M1271" s="9">
        <f>ROUND(SUM(I1271:L1271),2)</f>
        <v/>
      </c>
      <c r="N1271" s="10">
        <f>ROUND(I1271*'Irish Basis'!$C$6*'Irish Basis'!$C$5,2)</f>
        <v/>
      </c>
      <c r="O1271" s="10">
        <f>ROUND(J1271*'Irish Basis'!$C$7*'Irish Basis'!$C$5,2)</f>
        <v/>
      </c>
      <c r="P1271" s="10">
        <f>ROUND(K1271*'Irish Basis'!$C$8*'Irish Basis'!$C$5,2)</f>
        <v/>
      </c>
      <c r="Q1271" s="10">
        <f>ROUND(L1271*'Irish Basis'!$C$12*'Irish Basis'!$C$5,2)</f>
        <v/>
      </c>
      <c r="R1271" s="11">
        <f>ROUND(SUM(N1271:Q1271),2)</f>
        <v/>
      </c>
      <c r="S1271" s="5" t="inlineStr">
        <is>
          <t>Stated build-up</t>
        </is>
      </c>
      <c r="T1271" s="12" t="inlineStr">
        <is>
          <t>High</t>
        </is>
      </c>
      <c r="U1271" s="8" t="n">
        <v>21.63</v>
      </c>
      <c r="V1271" s="13">
        <f>IF(U1271="","",ROUND(M1271-U1271,2))</f>
        <v/>
      </c>
      <c r="W1271" s="5" t="n"/>
      <c r="X1271" s="5" t="inlineStr">
        <is>
          <t>Labour + plant + material as published; reconciles to the published rate.</t>
        </is>
      </c>
    </row>
    <row r="1272" ht="13" customHeight="1">
      <c r="A1272" s="4" t="n">
        <v>2166</v>
      </c>
      <c r="B1272" s="5" t="inlineStr">
        <is>
          <t>IMG_0095</t>
        </is>
      </c>
      <c r="C1272" s="5" t="inlineStr">
        <is>
          <t>CLASS I: PIPEWORK - PIPES</t>
        </is>
      </c>
      <c r="D1272" s="5" t="inlineStr">
        <is>
          <t>02 CONCRETE PIPES</t>
        </is>
      </c>
      <c r="E1272" s="5" t="inlineStr">
        <is>
          <t>300 mm pipes; in trench, depth</t>
        </is>
      </c>
      <c r="F1272" s="5" t="inlineStr">
        <is>
          <t>ne 1.50 m deep</t>
        </is>
      </c>
      <c r="G1272" s="6" t="inlineStr">
        <is>
          <t>m</t>
        </is>
      </c>
      <c r="H1272" s="7" t="n">
        <v>0.19</v>
      </c>
      <c r="I1272" s="8" t="n">
        <v>26.25</v>
      </c>
      <c r="J1272" s="8" t="n">
        <v>15.99</v>
      </c>
      <c r="K1272" s="8" t="n">
        <v>12.56</v>
      </c>
      <c r="L1272" s="8" t="n">
        <v>0</v>
      </c>
      <c r="M1272" s="9">
        <f>ROUND(SUM(I1272:L1272),2)</f>
        <v/>
      </c>
      <c r="N1272" s="10">
        <f>ROUND(I1272*'Irish Basis'!$C$6*'Irish Basis'!$C$5,2)</f>
        <v/>
      </c>
      <c r="O1272" s="10">
        <f>ROUND(J1272*'Irish Basis'!$C$7*'Irish Basis'!$C$5,2)</f>
        <v/>
      </c>
      <c r="P1272" s="10">
        <f>ROUND(K1272*'Irish Basis'!$C$8*'Irish Basis'!$C$5,2)</f>
        <v/>
      </c>
      <c r="Q1272" s="10">
        <f>ROUND(L1272*'Irish Basis'!$C$12*'Irish Basis'!$C$5,2)</f>
        <v/>
      </c>
      <c r="R1272" s="11">
        <f>ROUND(SUM(N1272:Q1272),2)</f>
        <v/>
      </c>
      <c r="S1272" s="5" t="inlineStr">
        <is>
          <t>Stated build-up</t>
        </is>
      </c>
      <c r="T1272" s="12" t="inlineStr">
        <is>
          <t>High</t>
        </is>
      </c>
      <c r="U1272" s="8" t="n">
        <v>54.81</v>
      </c>
      <c r="V1272" s="13">
        <f>IF(U1272="","",ROUND(M1272-U1272,2))</f>
        <v/>
      </c>
      <c r="W1272" s="5" t="n"/>
      <c r="X1272" s="5" t="inlineStr">
        <is>
          <t>Labour + plant + material as published; reconciles to the published rate.</t>
        </is>
      </c>
    </row>
    <row r="1273" ht="13" customHeight="1">
      <c r="A1273" s="4" t="n">
        <v>2167</v>
      </c>
      <c r="B1273" s="5" t="inlineStr">
        <is>
          <t>IMG_0095</t>
        </is>
      </c>
      <c r="C1273" s="5" t="inlineStr">
        <is>
          <t>CLASS I: PIPEWORK - PIPES</t>
        </is>
      </c>
      <c r="D1273" s="5" t="inlineStr">
        <is>
          <t>02 CONCRETE PIPES</t>
        </is>
      </c>
      <c r="E1273" s="5" t="inlineStr">
        <is>
          <t>300 mm pipes; in trench, depth</t>
        </is>
      </c>
      <c r="F1273" s="5" t="inlineStr">
        <is>
          <t>1.50-2.00 m deep</t>
        </is>
      </c>
      <c r="G1273" s="6" t="inlineStr">
        <is>
          <t>m</t>
        </is>
      </c>
      <c r="H1273" s="7" t="n">
        <v>0.24</v>
      </c>
      <c r="I1273" s="8" t="n">
        <v>33.16</v>
      </c>
      <c r="J1273" s="8" t="n">
        <v>20.26</v>
      </c>
      <c r="K1273" s="8" t="n">
        <v>12.56</v>
      </c>
      <c r="L1273" s="8" t="n">
        <v>0</v>
      </c>
      <c r="M1273" s="9">
        <f>ROUND(SUM(I1273:L1273),2)</f>
        <v/>
      </c>
      <c r="N1273" s="10">
        <f>ROUND(I1273*'Irish Basis'!$C$6*'Irish Basis'!$C$5,2)</f>
        <v/>
      </c>
      <c r="O1273" s="10">
        <f>ROUND(J1273*'Irish Basis'!$C$7*'Irish Basis'!$C$5,2)</f>
        <v/>
      </c>
      <c r="P1273" s="10">
        <f>ROUND(K1273*'Irish Basis'!$C$8*'Irish Basis'!$C$5,2)</f>
        <v/>
      </c>
      <c r="Q1273" s="10">
        <f>ROUND(L1273*'Irish Basis'!$C$12*'Irish Basis'!$C$5,2)</f>
        <v/>
      </c>
      <c r="R1273" s="11">
        <f>ROUND(SUM(N1273:Q1273),2)</f>
        <v/>
      </c>
      <c r="S1273" s="5" t="inlineStr">
        <is>
          <t>Stated build-up</t>
        </is>
      </c>
      <c r="T1273" s="12" t="inlineStr">
        <is>
          <t>High</t>
        </is>
      </c>
      <c r="U1273" s="8" t="n">
        <v>65.98999999999999</v>
      </c>
      <c r="V1273" s="13">
        <f>IF(U1273="","",ROUND(M1273-U1273,2))</f>
        <v/>
      </c>
      <c r="W1273" s="5" t="n"/>
      <c r="X1273" s="5" t="inlineStr">
        <is>
          <t>Labour + plant + material as published; reconciles to the published rate.</t>
        </is>
      </c>
    </row>
    <row r="1274" ht="13" customHeight="1">
      <c r="A1274" s="4" t="n">
        <v>2168</v>
      </c>
      <c r="B1274" s="5" t="inlineStr">
        <is>
          <t>IMG_0095</t>
        </is>
      </c>
      <c r="C1274" s="5" t="inlineStr">
        <is>
          <t>CLASS I: PIPEWORK - PIPES</t>
        </is>
      </c>
      <c r="D1274" s="5" t="inlineStr">
        <is>
          <t>02 CONCRETE PIPES</t>
        </is>
      </c>
      <c r="E1274" s="5" t="inlineStr">
        <is>
          <t>300 mm pipes; in trench, depth</t>
        </is>
      </c>
      <c r="F1274" s="5" t="inlineStr">
        <is>
          <t>2.00-2.50 m deep</t>
        </is>
      </c>
      <c r="G1274" s="6" t="inlineStr">
        <is>
          <t>m</t>
        </is>
      </c>
      <c r="H1274" s="7" t="n">
        <v>0.28</v>
      </c>
      <c r="I1274" s="8" t="n">
        <v>38.69</v>
      </c>
      <c r="J1274" s="8" t="n">
        <v>23.64</v>
      </c>
      <c r="K1274" s="8" t="n">
        <v>12.56</v>
      </c>
      <c r="L1274" s="8" t="n">
        <v>0</v>
      </c>
      <c r="M1274" s="9">
        <f>ROUND(SUM(I1274:L1274),2)</f>
        <v/>
      </c>
      <c r="N1274" s="10">
        <f>ROUND(I1274*'Irish Basis'!$C$6*'Irish Basis'!$C$5,2)</f>
        <v/>
      </c>
      <c r="O1274" s="10">
        <f>ROUND(J1274*'Irish Basis'!$C$7*'Irish Basis'!$C$5,2)</f>
        <v/>
      </c>
      <c r="P1274" s="10">
        <f>ROUND(K1274*'Irish Basis'!$C$8*'Irish Basis'!$C$5,2)</f>
        <v/>
      </c>
      <c r="Q1274" s="10">
        <f>ROUND(L1274*'Irish Basis'!$C$12*'Irish Basis'!$C$5,2)</f>
        <v/>
      </c>
      <c r="R1274" s="11">
        <f>ROUND(SUM(N1274:Q1274),2)</f>
        <v/>
      </c>
      <c r="S1274" s="5" t="inlineStr">
        <is>
          <t>Stated build-up</t>
        </is>
      </c>
      <c r="T1274" s="12" t="inlineStr">
        <is>
          <t>High</t>
        </is>
      </c>
      <c r="U1274" s="8" t="n">
        <v>74.89</v>
      </c>
      <c r="V1274" s="13">
        <f>IF(U1274="","",ROUND(M1274-U1274,2))</f>
        <v/>
      </c>
      <c r="W1274" s="5" t="n"/>
      <c r="X1274" s="5" t="inlineStr">
        <is>
          <t>Labour + plant + material as published; reconciles to the published rate.</t>
        </is>
      </c>
    </row>
    <row r="1275" ht="13" customHeight="1">
      <c r="A1275" s="4" t="n">
        <v>2169</v>
      </c>
      <c r="B1275" s="5" t="inlineStr">
        <is>
          <t>IMG_0095</t>
        </is>
      </c>
      <c r="C1275" s="5" t="inlineStr">
        <is>
          <t>CLASS I: PIPEWORK - PIPES</t>
        </is>
      </c>
      <c r="D1275" s="5" t="inlineStr">
        <is>
          <t>02 CONCRETE PIPES</t>
        </is>
      </c>
      <c r="E1275" s="5" t="inlineStr">
        <is>
          <t>300 mm pipes; in trench, depth</t>
        </is>
      </c>
      <c r="F1275" s="5" t="inlineStr">
        <is>
          <t>2.50-3.00 m deep</t>
        </is>
      </c>
      <c r="G1275" s="6" t="inlineStr">
        <is>
          <t>m</t>
        </is>
      </c>
      <c r="H1275" s="7" t="n">
        <v>0.32</v>
      </c>
      <c r="I1275" s="8" t="n">
        <v>44.22</v>
      </c>
      <c r="J1275" s="8" t="n">
        <v>27.04</v>
      </c>
      <c r="K1275" s="8" t="n">
        <v>12.56</v>
      </c>
      <c r="L1275" s="8" t="n">
        <v>0</v>
      </c>
      <c r="M1275" s="9">
        <f>ROUND(SUM(I1275:L1275),2)</f>
        <v/>
      </c>
      <c r="N1275" s="10">
        <f>ROUND(I1275*'Irish Basis'!$C$6*'Irish Basis'!$C$5,2)</f>
        <v/>
      </c>
      <c r="O1275" s="10">
        <f>ROUND(J1275*'Irish Basis'!$C$7*'Irish Basis'!$C$5,2)</f>
        <v/>
      </c>
      <c r="P1275" s="10">
        <f>ROUND(K1275*'Irish Basis'!$C$8*'Irish Basis'!$C$5,2)</f>
        <v/>
      </c>
      <c r="Q1275" s="10">
        <f>ROUND(L1275*'Irish Basis'!$C$12*'Irish Basis'!$C$5,2)</f>
        <v/>
      </c>
      <c r="R1275" s="11">
        <f>ROUND(SUM(N1275:Q1275),2)</f>
        <v/>
      </c>
      <c r="S1275" s="5" t="inlineStr">
        <is>
          <t>Stated build-up</t>
        </is>
      </c>
      <c r="T1275" s="12" t="inlineStr">
        <is>
          <t>High</t>
        </is>
      </c>
      <c r="U1275" s="8" t="n">
        <v>83.81999999999999</v>
      </c>
      <c r="V1275" s="13">
        <f>IF(U1275="","",ROUND(M1275-U1275,2))</f>
        <v/>
      </c>
      <c r="W1275" s="5" t="n"/>
      <c r="X1275" s="5" t="inlineStr">
        <is>
          <t>Labour + plant + material as published; reconciles to the published rate.</t>
        </is>
      </c>
    </row>
    <row r="1276" ht="13" customHeight="1">
      <c r="A1276" s="4" t="n">
        <v>2170</v>
      </c>
      <c r="B1276" s="5" t="inlineStr">
        <is>
          <t>IMG_0095</t>
        </is>
      </c>
      <c r="C1276" s="5" t="inlineStr">
        <is>
          <t>CLASS I: PIPEWORK - PIPES</t>
        </is>
      </c>
      <c r="D1276" s="5" t="inlineStr">
        <is>
          <t>02 CONCRETE PIPES</t>
        </is>
      </c>
      <c r="E1276" s="5" t="inlineStr">
        <is>
          <t>300 mm pipes; in trench, depth</t>
        </is>
      </c>
      <c r="F1276" s="5" t="inlineStr">
        <is>
          <t>3.00-3.50 m deep</t>
        </is>
      </c>
      <c r="G1276" s="6" t="inlineStr">
        <is>
          <t>m</t>
        </is>
      </c>
      <c r="H1276" s="7" t="n">
        <v>0.42</v>
      </c>
      <c r="I1276" s="8" t="n">
        <v>58.04</v>
      </c>
      <c r="J1276" s="8" t="n">
        <v>35.53</v>
      </c>
      <c r="K1276" s="8" t="n">
        <v>12.56</v>
      </c>
      <c r="L1276" s="8" t="n">
        <v>0</v>
      </c>
      <c r="M1276" s="9">
        <f>ROUND(SUM(I1276:L1276),2)</f>
        <v/>
      </c>
      <c r="N1276" s="10">
        <f>ROUND(I1276*'Irish Basis'!$C$6*'Irish Basis'!$C$5,2)</f>
        <v/>
      </c>
      <c r="O1276" s="10">
        <f>ROUND(J1276*'Irish Basis'!$C$7*'Irish Basis'!$C$5,2)</f>
        <v/>
      </c>
      <c r="P1276" s="10">
        <f>ROUND(K1276*'Irish Basis'!$C$8*'Irish Basis'!$C$5,2)</f>
        <v/>
      </c>
      <c r="Q1276" s="10">
        <f>ROUND(L1276*'Irish Basis'!$C$12*'Irish Basis'!$C$5,2)</f>
        <v/>
      </c>
      <c r="R1276" s="11">
        <f>ROUND(SUM(N1276:Q1276),2)</f>
        <v/>
      </c>
      <c r="S1276" s="5" t="inlineStr">
        <is>
          <t>Stated build-up</t>
        </is>
      </c>
      <c r="T1276" s="12" t="inlineStr">
        <is>
          <t>High</t>
        </is>
      </c>
      <c r="U1276" s="8" t="n">
        <v>106.13</v>
      </c>
      <c r="V1276" s="13">
        <f>IF(U1276="","",ROUND(M1276-U1276,2))</f>
        <v/>
      </c>
      <c r="W1276" s="5" t="n"/>
      <c r="X1276" s="5" t="inlineStr">
        <is>
          <t>Labour + plant + material as published; reconciles to the published rate.</t>
        </is>
      </c>
    </row>
    <row r="1277" ht="13" customHeight="1">
      <c r="A1277" s="4" t="n">
        <v>2171</v>
      </c>
      <c r="B1277" s="5" t="inlineStr">
        <is>
          <t>IMG_0095</t>
        </is>
      </c>
      <c r="C1277" s="5" t="inlineStr">
        <is>
          <t>CLASS I: PIPEWORK - PIPES</t>
        </is>
      </c>
      <c r="D1277" s="5" t="inlineStr">
        <is>
          <t>02 CONCRETE PIPES</t>
        </is>
      </c>
      <c r="E1277" s="5" t="inlineStr">
        <is>
          <t>300 mm pipes; in trench, depth</t>
        </is>
      </c>
      <c r="F1277" s="5" t="inlineStr">
        <is>
          <t>3.50-4.00 m deep</t>
        </is>
      </c>
      <c r="G1277" s="6" t="inlineStr">
        <is>
          <t>m</t>
        </is>
      </c>
      <c r="H1277" s="7" t="n">
        <v>0.52</v>
      </c>
      <c r="I1277" s="8" t="n">
        <v>71.84999999999999</v>
      </c>
      <c r="J1277" s="8" t="n">
        <v>44.01</v>
      </c>
      <c r="K1277" s="8" t="n">
        <v>12.56</v>
      </c>
      <c r="L1277" s="8" t="n">
        <v>0</v>
      </c>
      <c r="M1277" s="9">
        <f>ROUND(SUM(I1277:L1277),2)</f>
        <v/>
      </c>
      <c r="N1277" s="10">
        <f>ROUND(I1277*'Irish Basis'!$C$6*'Irish Basis'!$C$5,2)</f>
        <v/>
      </c>
      <c r="O1277" s="10">
        <f>ROUND(J1277*'Irish Basis'!$C$7*'Irish Basis'!$C$5,2)</f>
        <v/>
      </c>
      <c r="P1277" s="10">
        <f>ROUND(K1277*'Irish Basis'!$C$8*'Irish Basis'!$C$5,2)</f>
        <v/>
      </c>
      <c r="Q1277" s="10">
        <f>ROUND(L1277*'Irish Basis'!$C$12*'Irish Basis'!$C$5,2)</f>
        <v/>
      </c>
      <c r="R1277" s="11">
        <f>ROUND(SUM(N1277:Q1277),2)</f>
        <v/>
      </c>
      <c r="S1277" s="5" t="inlineStr">
        <is>
          <t>Stated build-up</t>
        </is>
      </c>
      <c r="T1277" s="12" t="inlineStr">
        <is>
          <t>High</t>
        </is>
      </c>
      <c r="U1277" s="8" t="n">
        <v>128.43</v>
      </c>
      <c r="V1277" s="13">
        <f>IF(U1277="","",ROUND(M1277-U1277,2))</f>
        <v/>
      </c>
      <c r="W1277" s="5" t="n"/>
      <c r="X1277" s="5" t="inlineStr">
        <is>
          <t>Labour + plant + material as published; reconciles to the published rate.</t>
        </is>
      </c>
    </row>
    <row r="1278" ht="13" customHeight="1">
      <c r="A1278" s="4" t="n">
        <v>2172</v>
      </c>
      <c r="B1278" s="5" t="inlineStr">
        <is>
          <t>IMG_0095</t>
        </is>
      </c>
      <c r="C1278" s="5" t="inlineStr">
        <is>
          <t>CLASS I: PIPEWORK - PIPES</t>
        </is>
      </c>
      <c r="D1278" s="5" t="inlineStr">
        <is>
          <t>02 CONCRETE PIPES</t>
        </is>
      </c>
      <c r="E1278" s="5" t="inlineStr">
        <is>
          <t>300 mm pipes; in trench, depth</t>
        </is>
      </c>
      <c r="F1278" s="5" t="inlineStr">
        <is>
          <t>4.00-4.50 m deep</t>
        </is>
      </c>
      <c r="G1278" s="6" t="inlineStr">
        <is>
          <t>m</t>
        </is>
      </c>
      <c r="H1278" s="7" t="n">
        <v>0.7</v>
      </c>
      <c r="I1278" s="8" t="n">
        <v>96.73</v>
      </c>
      <c r="J1278" s="8" t="n">
        <v>59.28</v>
      </c>
      <c r="K1278" s="8" t="n">
        <v>12.56</v>
      </c>
      <c r="L1278" s="8" t="n">
        <v>0</v>
      </c>
      <c r="M1278" s="9">
        <f>ROUND(SUM(I1278:L1278),2)</f>
        <v/>
      </c>
      <c r="N1278" s="10">
        <f>ROUND(I1278*'Irish Basis'!$C$6*'Irish Basis'!$C$5,2)</f>
        <v/>
      </c>
      <c r="O1278" s="10">
        <f>ROUND(J1278*'Irish Basis'!$C$7*'Irish Basis'!$C$5,2)</f>
        <v/>
      </c>
      <c r="P1278" s="10">
        <f>ROUND(K1278*'Irish Basis'!$C$8*'Irish Basis'!$C$5,2)</f>
        <v/>
      </c>
      <c r="Q1278" s="10">
        <f>ROUND(L1278*'Irish Basis'!$C$12*'Irish Basis'!$C$5,2)</f>
        <v/>
      </c>
      <c r="R1278" s="11">
        <f>ROUND(SUM(N1278:Q1278),2)</f>
        <v/>
      </c>
      <c r="S1278" s="5" t="inlineStr">
        <is>
          <t>Stated build-up</t>
        </is>
      </c>
      <c r="T1278" s="12" t="inlineStr">
        <is>
          <t>High</t>
        </is>
      </c>
      <c r="U1278" s="8" t="n">
        <v>168.57</v>
      </c>
      <c r="V1278" s="13">
        <f>IF(U1278="","",ROUND(M1278-U1278,2))</f>
        <v/>
      </c>
      <c r="W1278" s="5" t="n"/>
      <c r="X1278" s="5" t="inlineStr">
        <is>
          <t>Labour + plant + material as published; reconciles to the published rate.</t>
        </is>
      </c>
    </row>
    <row r="1279" ht="13" customHeight="1">
      <c r="A1279" s="4" t="n">
        <v>2173</v>
      </c>
      <c r="B1279" s="5" t="inlineStr">
        <is>
          <t>IMG_0095</t>
        </is>
      </c>
      <c r="C1279" s="5" t="inlineStr">
        <is>
          <t>CLASS I: PIPEWORK - PIPES</t>
        </is>
      </c>
      <c r="D1279" s="5" t="inlineStr">
        <is>
          <t>02 CONCRETE PIPES</t>
        </is>
      </c>
      <c r="E1279" s="5" t="inlineStr">
        <is>
          <t>300 mm pipes; in trench, depth</t>
        </is>
      </c>
      <c r="F1279" s="5" t="inlineStr">
        <is>
          <t>4.50-5.00 m deep</t>
        </is>
      </c>
      <c r="G1279" s="6" t="inlineStr">
        <is>
          <t>m</t>
        </is>
      </c>
      <c r="H1279" s="7" t="n">
        <v>0.9</v>
      </c>
      <c r="I1279" s="8" t="n">
        <v>124.36</v>
      </c>
      <c r="J1279" s="8" t="n">
        <v>76.27</v>
      </c>
      <c r="K1279" s="8" t="n">
        <v>12.56</v>
      </c>
      <c r="L1279" s="8" t="n">
        <v>0</v>
      </c>
      <c r="M1279" s="9">
        <f>ROUND(SUM(I1279:L1279),2)</f>
        <v/>
      </c>
      <c r="N1279" s="10">
        <f>ROUND(I1279*'Irish Basis'!$C$6*'Irish Basis'!$C$5,2)</f>
        <v/>
      </c>
      <c r="O1279" s="10">
        <f>ROUND(J1279*'Irish Basis'!$C$7*'Irish Basis'!$C$5,2)</f>
        <v/>
      </c>
      <c r="P1279" s="10">
        <f>ROUND(K1279*'Irish Basis'!$C$8*'Irish Basis'!$C$5,2)</f>
        <v/>
      </c>
      <c r="Q1279" s="10">
        <f>ROUND(L1279*'Irish Basis'!$C$12*'Irish Basis'!$C$5,2)</f>
        <v/>
      </c>
      <c r="R1279" s="11">
        <f>ROUND(SUM(N1279:Q1279),2)</f>
        <v/>
      </c>
      <c r="S1279" s="5" t="inlineStr">
        <is>
          <t>Stated build-up</t>
        </is>
      </c>
      <c r="T1279" s="12" t="inlineStr">
        <is>
          <t>High</t>
        </is>
      </c>
      <c r="U1279" s="8" t="n">
        <v>213.19</v>
      </c>
      <c r="V1279" s="13">
        <f>IF(U1279="","",ROUND(M1279-U1279,2))</f>
        <v/>
      </c>
      <c r="W1279" s="5" t="n"/>
      <c r="X1279" s="5" t="inlineStr">
        <is>
          <t>Labour + plant + material as published; reconciles to the published rate.</t>
        </is>
      </c>
    </row>
    <row r="1280" ht="13" customHeight="1">
      <c r="A1280" s="4" t="n">
        <v>2174</v>
      </c>
      <c r="B1280" s="5" t="inlineStr">
        <is>
          <t>IMG_0095</t>
        </is>
      </c>
      <c r="C1280" s="5" t="inlineStr">
        <is>
          <t>CLASS I: PIPEWORK - PIPES</t>
        </is>
      </c>
      <c r="D1280" s="5" t="inlineStr">
        <is>
          <t>02 CONCRETE PIPES</t>
        </is>
      </c>
      <c r="E1280" s="5" t="inlineStr">
        <is>
          <t>300 mm pipes; in trench, depth</t>
        </is>
      </c>
      <c r="F1280" s="5" t="inlineStr">
        <is>
          <t>5.00-5.50 m deep</t>
        </is>
      </c>
      <c r="G1280" s="6" t="inlineStr">
        <is>
          <t>m</t>
        </is>
      </c>
      <c r="H1280" s="7" t="n">
        <v>1.12</v>
      </c>
      <c r="I1280" s="8" t="n">
        <v>154.76</v>
      </c>
      <c r="J1280" s="8" t="n">
        <v>94.95</v>
      </c>
      <c r="K1280" s="8" t="n">
        <v>12.56</v>
      </c>
      <c r="L1280" s="8" t="n">
        <v>0</v>
      </c>
      <c r="M1280" s="9">
        <f>ROUND(SUM(I1280:L1280),2)</f>
        <v/>
      </c>
      <c r="N1280" s="10">
        <f>ROUND(I1280*'Irish Basis'!$C$6*'Irish Basis'!$C$5,2)</f>
        <v/>
      </c>
      <c r="O1280" s="10">
        <f>ROUND(J1280*'Irish Basis'!$C$7*'Irish Basis'!$C$5,2)</f>
        <v/>
      </c>
      <c r="P1280" s="10">
        <f>ROUND(K1280*'Irish Basis'!$C$8*'Irish Basis'!$C$5,2)</f>
        <v/>
      </c>
      <c r="Q1280" s="10">
        <f>ROUND(L1280*'Irish Basis'!$C$12*'Irish Basis'!$C$5,2)</f>
        <v/>
      </c>
      <c r="R1280" s="11">
        <f>ROUND(SUM(N1280:Q1280),2)</f>
        <v/>
      </c>
      <c r="S1280" s="5" t="inlineStr">
        <is>
          <t>Stated build-up</t>
        </is>
      </c>
      <c r="T1280" s="12" t="inlineStr">
        <is>
          <t>High</t>
        </is>
      </c>
      <c r="U1280" s="8" t="n">
        <v>262.27</v>
      </c>
      <c r="V1280" s="13">
        <f>IF(U1280="","",ROUND(M1280-U1280,2))</f>
        <v/>
      </c>
      <c r="W1280" s="5" t="n"/>
      <c r="X1280" s="5" t="inlineStr">
        <is>
          <t>Labour + plant + material as published; reconciles to the published rate.</t>
        </is>
      </c>
    </row>
    <row r="1281" ht="13" customHeight="1">
      <c r="A1281" s="4" t="n">
        <v>2176</v>
      </c>
      <c r="B1281" s="5" t="inlineStr">
        <is>
          <t>IMG_0095</t>
        </is>
      </c>
      <c r="C1281" s="5" t="inlineStr">
        <is>
          <t>CLASS I: PIPEWORK - PIPES</t>
        </is>
      </c>
      <c r="D1281" s="5" t="inlineStr">
        <is>
          <t>02 CONCRETE PIPES</t>
        </is>
      </c>
      <c r="E1281" s="5" t="inlineStr">
        <is>
          <t>Concrete pipes with rebated flexible joints to BS 5911 Class 120; excavation and supports, backfilling; 300 mm pipes; in trenches, depth</t>
        </is>
      </c>
      <c r="F1281" s="5" t="inlineStr">
        <is>
          <t>not in trenches</t>
        </is>
      </c>
      <c r="G1281" s="6" t="inlineStr">
        <is>
          <t>m</t>
        </is>
      </c>
      <c r="H1281" s="7" t="n">
        <v>0.12</v>
      </c>
      <c r="I1281" s="8" t="n">
        <v>10.36</v>
      </c>
      <c r="J1281" s="8" t="n">
        <v>0.65</v>
      </c>
      <c r="K1281" s="8" t="n">
        <v>40.13</v>
      </c>
      <c r="L1281" s="8" t="n">
        <v>0</v>
      </c>
      <c r="M1281" s="9">
        <f>ROUND(SUM(I1281:L1281),2)</f>
        <v/>
      </c>
      <c r="N1281" s="10">
        <f>ROUND(I1281*'Irish Basis'!$C$6*'Irish Basis'!$C$5,2)</f>
        <v/>
      </c>
      <c r="O1281" s="10">
        <f>ROUND(J1281*'Irish Basis'!$C$7*'Irish Basis'!$C$5,2)</f>
        <v/>
      </c>
      <c r="P1281" s="10">
        <f>ROUND(K1281*'Irish Basis'!$C$8*'Irish Basis'!$C$5,2)</f>
        <v/>
      </c>
      <c r="Q1281" s="10">
        <f>ROUND(L1281*'Irish Basis'!$C$12*'Irish Basis'!$C$5,2)</f>
        <v/>
      </c>
      <c r="R1281" s="11">
        <f>ROUND(SUM(N1281:Q1281),2)</f>
        <v/>
      </c>
      <c r="S1281" s="5" t="inlineStr">
        <is>
          <t>Stated build-up</t>
        </is>
      </c>
      <c r="T1281" s="12" t="inlineStr">
        <is>
          <t>High</t>
        </is>
      </c>
      <c r="U1281" s="8" t="n">
        <v>51.13</v>
      </c>
      <c r="V1281" s="13">
        <f>IF(U1281="","",ROUND(M1281-U1281,2))</f>
        <v/>
      </c>
      <c r="W1281" s="5" t="n"/>
      <c r="X1281" s="5" t="inlineStr">
        <is>
          <t>Labour + plant + material as published; reconciles to the published rate.</t>
        </is>
      </c>
    </row>
    <row r="1282" ht="13" customHeight="1">
      <c r="A1282" s="4" t="n">
        <v>2177</v>
      </c>
      <c r="B1282" s="5" t="inlineStr">
        <is>
          <t>IMG_0095</t>
        </is>
      </c>
      <c r="C1282" s="5" t="inlineStr">
        <is>
          <t>CLASS I: PIPEWORK - PIPES</t>
        </is>
      </c>
      <c r="D1282" s="5" t="inlineStr">
        <is>
          <t>02 CONCRETE PIPES</t>
        </is>
      </c>
      <c r="E1282" s="5" t="inlineStr">
        <is>
          <t>Concrete pipes with rebated flexible joints to BS 5911 Class 120; excavation and supports, backfilling; 300 mm pipes; in trenches, depth</t>
        </is>
      </c>
      <c r="F1282" s="5" t="inlineStr">
        <is>
          <t>ne 1.50 m deep</t>
        </is>
      </c>
      <c r="G1282" s="6" t="inlineStr">
        <is>
          <t>m</t>
        </is>
      </c>
      <c r="H1282" s="7" t="n">
        <v>0.22</v>
      </c>
      <c r="I1282" s="8" t="n">
        <v>30.4</v>
      </c>
      <c r="J1282" s="8" t="n">
        <v>28.74</v>
      </c>
      <c r="K1282" s="8" t="n">
        <v>40.13</v>
      </c>
      <c r="L1282" s="8" t="n">
        <v>0</v>
      </c>
      <c r="M1282" s="9">
        <f>ROUND(SUM(I1282:L1282),2)</f>
        <v/>
      </c>
      <c r="N1282" s="10">
        <f>ROUND(I1282*'Irish Basis'!$C$6*'Irish Basis'!$C$5,2)</f>
        <v/>
      </c>
      <c r="O1282" s="10">
        <f>ROUND(J1282*'Irish Basis'!$C$7*'Irish Basis'!$C$5,2)</f>
        <v/>
      </c>
      <c r="P1282" s="10">
        <f>ROUND(K1282*'Irish Basis'!$C$8*'Irish Basis'!$C$5,2)</f>
        <v/>
      </c>
      <c r="Q1282" s="10">
        <f>ROUND(L1282*'Irish Basis'!$C$12*'Irish Basis'!$C$5,2)</f>
        <v/>
      </c>
      <c r="R1282" s="11">
        <f>ROUND(SUM(N1282:Q1282),2)</f>
        <v/>
      </c>
      <c r="S1282" s="5" t="inlineStr">
        <is>
          <t>Stated build-up</t>
        </is>
      </c>
      <c r="T1282" s="12" t="inlineStr">
        <is>
          <t>High</t>
        </is>
      </c>
      <c r="U1282" s="8" t="n">
        <v>99.27</v>
      </c>
      <c r="V1282" s="13">
        <f>IF(U1282="","",ROUND(M1282-U1282,2))</f>
        <v/>
      </c>
      <c r="W1282" s="5" t="n"/>
      <c r="X1282" s="5" t="inlineStr">
        <is>
          <t>Labour + plant + material as published; reconciles to the published rate.</t>
        </is>
      </c>
    </row>
    <row r="1283" ht="13" customHeight="1">
      <c r="A1283" s="4" t="n">
        <v>2178</v>
      </c>
      <c r="B1283" s="5" t="inlineStr">
        <is>
          <t>IMG_0095</t>
        </is>
      </c>
      <c r="C1283" s="5" t="inlineStr">
        <is>
          <t>CLASS I: PIPEWORK - PIPES</t>
        </is>
      </c>
      <c r="D1283" s="5" t="inlineStr">
        <is>
          <t>02 CONCRETE PIPES</t>
        </is>
      </c>
      <c r="E1283" s="5" t="inlineStr">
        <is>
          <t>Concrete pipes with rebated flexible joints to BS 5911 Class 120; excavation and supports, backfilling; 300 mm pipes; in trenches, depth</t>
        </is>
      </c>
      <c r="F1283" s="5" t="inlineStr">
        <is>
          <t>1.50-2.00 m deep</t>
        </is>
      </c>
      <c r="G1283" s="6" t="inlineStr">
        <is>
          <t>m</t>
        </is>
      </c>
      <c r="H1283" s="7" t="n">
        <v>0.26</v>
      </c>
      <c r="I1283" s="8" t="n">
        <v>35.93</v>
      </c>
      <c r="J1283" s="8" t="n">
        <v>34.02</v>
      </c>
      <c r="K1283" s="8" t="n">
        <v>40.13</v>
      </c>
      <c r="L1283" s="8" t="n">
        <v>0</v>
      </c>
      <c r="M1283" s="9">
        <f>ROUND(SUM(I1283:L1283),2)</f>
        <v/>
      </c>
      <c r="N1283" s="10">
        <f>ROUND(I1283*'Irish Basis'!$C$6*'Irish Basis'!$C$5,2)</f>
        <v/>
      </c>
      <c r="O1283" s="10">
        <f>ROUND(J1283*'Irish Basis'!$C$7*'Irish Basis'!$C$5,2)</f>
        <v/>
      </c>
      <c r="P1283" s="10">
        <f>ROUND(K1283*'Irish Basis'!$C$8*'Irish Basis'!$C$5,2)</f>
        <v/>
      </c>
      <c r="Q1283" s="10">
        <f>ROUND(L1283*'Irish Basis'!$C$12*'Irish Basis'!$C$5,2)</f>
        <v/>
      </c>
      <c r="R1283" s="11">
        <f>ROUND(SUM(N1283:Q1283),2)</f>
        <v/>
      </c>
      <c r="S1283" s="5" t="inlineStr">
        <is>
          <t>Stated build-up</t>
        </is>
      </c>
      <c r="T1283" s="12" t="inlineStr">
        <is>
          <t>High</t>
        </is>
      </c>
      <c r="U1283" s="8" t="n">
        <v>110.07</v>
      </c>
      <c r="V1283" s="13">
        <f>IF(U1283="","",ROUND(M1283-U1283,2))</f>
        <v/>
      </c>
      <c r="W1283" s="5" t="n"/>
      <c r="X1283" s="5" t="inlineStr">
        <is>
          <t>Labour + plant + material as published; reconciles to the published rate.</t>
        </is>
      </c>
    </row>
    <row r="1284" ht="13" customHeight="1">
      <c r="A1284" s="4" t="n">
        <v>2179</v>
      </c>
      <c r="B1284" s="5" t="inlineStr">
        <is>
          <t>IMG_0095</t>
        </is>
      </c>
      <c r="C1284" s="5" t="inlineStr">
        <is>
          <t>CLASS I: PIPEWORK - PIPES</t>
        </is>
      </c>
      <c r="D1284" s="5" t="inlineStr">
        <is>
          <t>02 CONCRETE PIPES</t>
        </is>
      </c>
      <c r="E1284" s="5" t="inlineStr">
        <is>
          <t>Concrete pipes with rebated flexible joints to BS 5911 Class 120; excavation and supports, backfilling; 300 mm pipes; in trenches, depth</t>
        </is>
      </c>
      <c r="F1284" s="5" t="inlineStr">
        <is>
          <t>2.00-2.50 m deep</t>
        </is>
      </c>
      <c r="G1284" s="6" t="inlineStr">
        <is>
          <t>m</t>
        </is>
      </c>
      <c r="H1284" s="7" t="n">
        <v>0.3</v>
      </c>
      <c r="I1284" s="8" t="n">
        <v>41.45</v>
      </c>
      <c r="J1284" s="8" t="n">
        <v>39.2</v>
      </c>
      <c r="K1284" s="8" t="n">
        <v>40.13</v>
      </c>
      <c r="L1284" s="8" t="n">
        <v>0</v>
      </c>
      <c r="M1284" s="9">
        <f>ROUND(SUM(I1284:L1284),2)</f>
        <v/>
      </c>
      <c r="N1284" s="10">
        <f>ROUND(I1284*'Irish Basis'!$C$6*'Irish Basis'!$C$5,2)</f>
        <v/>
      </c>
      <c r="O1284" s="10">
        <f>ROUND(J1284*'Irish Basis'!$C$7*'Irish Basis'!$C$5,2)</f>
        <v/>
      </c>
      <c r="P1284" s="10">
        <f>ROUND(K1284*'Irish Basis'!$C$8*'Irish Basis'!$C$5,2)</f>
        <v/>
      </c>
      <c r="Q1284" s="10">
        <f>ROUND(L1284*'Irish Basis'!$C$12*'Irish Basis'!$C$5,2)</f>
        <v/>
      </c>
      <c r="R1284" s="11">
        <f>ROUND(SUM(N1284:Q1284),2)</f>
        <v/>
      </c>
      <c r="S1284" s="5" t="inlineStr">
        <is>
          <t>Stated build-up</t>
        </is>
      </c>
      <c r="T1284" s="12" t="inlineStr">
        <is>
          <t>High</t>
        </is>
      </c>
      <c r="U1284" s="8" t="n">
        <v>120.77</v>
      </c>
      <c r="V1284" s="13">
        <f>IF(U1284="","",ROUND(M1284-U1284,2))</f>
        <v/>
      </c>
      <c r="W1284" s="5" t="n"/>
      <c r="X1284" s="5" t="inlineStr">
        <is>
          <t>Labour + plant + material as published; reconciles to the published rate.</t>
        </is>
      </c>
    </row>
    <row r="1285" ht="13" customHeight="1">
      <c r="A1285" s="4" t="n">
        <v>2180</v>
      </c>
      <c r="B1285" s="5" t="inlineStr">
        <is>
          <t>IMG_0095</t>
        </is>
      </c>
      <c r="C1285" s="5" t="inlineStr">
        <is>
          <t>CLASS I: PIPEWORK - PIPES</t>
        </is>
      </c>
      <c r="D1285" s="5" t="inlineStr">
        <is>
          <t>02 CONCRETE PIPES</t>
        </is>
      </c>
      <c r="E1285" s="5" t="inlineStr">
        <is>
          <t>Concrete pipes with rebated flexible joints to BS 5911 Class 120; excavation and supports, backfilling; 300 mm pipes; in trenches, depth</t>
        </is>
      </c>
      <c r="F1285" s="5" t="inlineStr">
        <is>
          <t>2.50-3.00 m deep</t>
        </is>
      </c>
      <c r="G1285" s="6" t="inlineStr">
        <is>
          <t>m</t>
        </is>
      </c>
      <c r="H1285" s="7" t="n">
        <v>0.34</v>
      </c>
      <c r="I1285" s="8" t="n">
        <v>46.98</v>
      </c>
      <c r="J1285" s="8" t="n">
        <v>44.5</v>
      </c>
      <c r="K1285" s="8" t="n">
        <v>40.13</v>
      </c>
      <c r="L1285" s="8" t="n">
        <v>0</v>
      </c>
      <c r="M1285" s="9">
        <f>ROUND(SUM(I1285:L1285),2)</f>
        <v/>
      </c>
      <c r="N1285" s="10">
        <f>ROUND(I1285*'Irish Basis'!$C$6*'Irish Basis'!$C$5,2)</f>
        <v/>
      </c>
      <c r="O1285" s="10">
        <f>ROUND(J1285*'Irish Basis'!$C$7*'Irish Basis'!$C$5,2)</f>
        <v/>
      </c>
      <c r="P1285" s="10">
        <f>ROUND(K1285*'Irish Basis'!$C$8*'Irish Basis'!$C$5,2)</f>
        <v/>
      </c>
      <c r="Q1285" s="10">
        <f>ROUND(L1285*'Irish Basis'!$C$12*'Irish Basis'!$C$5,2)</f>
        <v/>
      </c>
      <c r="R1285" s="11">
        <f>ROUND(SUM(N1285:Q1285),2)</f>
        <v/>
      </c>
      <c r="S1285" s="5" t="inlineStr">
        <is>
          <t>Stated build-up</t>
        </is>
      </c>
      <c r="T1285" s="12" t="inlineStr">
        <is>
          <t>High</t>
        </is>
      </c>
      <c r="U1285" s="8" t="n">
        <v>131.61</v>
      </c>
      <c r="V1285" s="13">
        <f>IF(U1285="","",ROUND(M1285-U1285,2))</f>
        <v/>
      </c>
      <c r="W1285" s="5" t="n"/>
      <c r="X1285" s="5" t="inlineStr">
        <is>
          <t>Labour + plant + material as published; reconciles to the published rate.</t>
        </is>
      </c>
    </row>
    <row r="1286" ht="13" customHeight="1">
      <c r="A1286" s="4" t="n">
        <v>2181</v>
      </c>
      <c r="B1286" s="5" t="inlineStr">
        <is>
          <t>IMG_0095</t>
        </is>
      </c>
      <c r="C1286" s="5" t="inlineStr">
        <is>
          <t>CLASS I: PIPEWORK - PIPES</t>
        </is>
      </c>
      <c r="D1286" s="5" t="inlineStr">
        <is>
          <t>02 CONCRETE PIPES</t>
        </is>
      </c>
      <c r="E1286" s="5" t="inlineStr">
        <is>
          <t>Concrete pipes with rebated flexible joints to BS 5911 Class 120; excavation and supports, backfilling; 300 mm pipes; in trenches, depth</t>
        </is>
      </c>
      <c r="F1286" s="5" t="inlineStr">
        <is>
          <t>3.00-3.50 m deep</t>
        </is>
      </c>
      <c r="G1286" s="6" t="inlineStr">
        <is>
          <t>m</t>
        </is>
      </c>
      <c r="H1286" s="7" t="n">
        <v>0.44</v>
      </c>
      <c r="I1286" s="8" t="n">
        <v>60.8</v>
      </c>
      <c r="J1286" s="8" t="n">
        <v>57.58</v>
      </c>
      <c r="K1286" s="8" t="n">
        <v>40.13</v>
      </c>
      <c r="L1286" s="8" t="n">
        <v>0</v>
      </c>
      <c r="M1286" s="9">
        <f>ROUND(SUM(I1286:L1286),2)</f>
        <v/>
      </c>
      <c r="N1286" s="10">
        <f>ROUND(I1286*'Irish Basis'!$C$6*'Irish Basis'!$C$5,2)</f>
        <v/>
      </c>
      <c r="O1286" s="10">
        <f>ROUND(J1286*'Irish Basis'!$C$7*'Irish Basis'!$C$5,2)</f>
        <v/>
      </c>
      <c r="P1286" s="10">
        <f>ROUND(K1286*'Irish Basis'!$C$8*'Irish Basis'!$C$5,2)</f>
        <v/>
      </c>
      <c r="Q1286" s="10">
        <f>ROUND(L1286*'Irish Basis'!$C$12*'Irish Basis'!$C$5,2)</f>
        <v/>
      </c>
      <c r="R1286" s="11">
        <f>ROUND(SUM(N1286:Q1286),2)</f>
        <v/>
      </c>
      <c r="S1286" s="5" t="inlineStr">
        <is>
          <t>Stated build-up</t>
        </is>
      </c>
      <c r="T1286" s="12" t="inlineStr">
        <is>
          <t>High</t>
        </is>
      </c>
      <c r="U1286" s="8" t="n">
        <v>158.51</v>
      </c>
      <c r="V1286" s="13">
        <f>IF(U1286="","",ROUND(M1286-U1286,2))</f>
        <v/>
      </c>
      <c r="W1286" s="5" t="n"/>
      <c r="X1286" s="5" t="inlineStr">
        <is>
          <t>Labour + plant + material as published; reconciles to the published rate.</t>
        </is>
      </c>
    </row>
    <row r="1287" ht="13" customHeight="1">
      <c r="A1287" s="4" t="n">
        <v>2182</v>
      </c>
      <c r="B1287" s="5" t="inlineStr">
        <is>
          <t>IMG_0095</t>
        </is>
      </c>
      <c r="C1287" s="5" t="inlineStr">
        <is>
          <t>CLASS I: PIPEWORK - PIPES</t>
        </is>
      </c>
      <c r="D1287" s="5" t="inlineStr">
        <is>
          <t>02 CONCRETE PIPES</t>
        </is>
      </c>
      <c r="E1287" s="5" t="inlineStr">
        <is>
          <t>Concrete pipes with rebated flexible joints to BS 5911 Class 120; excavation and supports, backfilling; 300 mm pipes; in trenches, depth</t>
        </is>
      </c>
      <c r="F1287" s="5" t="inlineStr">
        <is>
          <t>3.50-4.00 m deep</t>
        </is>
      </c>
      <c r="G1287" s="6" t="inlineStr">
        <is>
          <t>m</t>
        </is>
      </c>
      <c r="H1287" s="7" t="n">
        <v>0.5600000000000001</v>
      </c>
      <c r="I1287" s="8" t="n">
        <v>77.38</v>
      </c>
      <c r="J1287" s="8" t="n">
        <v>73.33</v>
      </c>
      <c r="K1287" s="8" t="n">
        <v>40.13</v>
      </c>
      <c r="L1287" s="8" t="n">
        <v>0</v>
      </c>
      <c r="M1287" s="9">
        <f>ROUND(SUM(I1287:L1287),2)</f>
        <v/>
      </c>
      <c r="N1287" s="10">
        <f>ROUND(I1287*'Irish Basis'!$C$6*'Irish Basis'!$C$5,2)</f>
        <v/>
      </c>
      <c r="O1287" s="10">
        <f>ROUND(J1287*'Irish Basis'!$C$7*'Irish Basis'!$C$5,2)</f>
        <v/>
      </c>
      <c r="P1287" s="10">
        <f>ROUND(K1287*'Irish Basis'!$C$8*'Irish Basis'!$C$5,2)</f>
        <v/>
      </c>
      <c r="Q1287" s="10">
        <f>ROUND(L1287*'Irish Basis'!$C$12*'Irish Basis'!$C$5,2)</f>
        <v/>
      </c>
      <c r="R1287" s="11">
        <f>ROUND(SUM(N1287:Q1287),2)</f>
        <v/>
      </c>
      <c r="S1287" s="5" t="inlineStr">
        <is>
          <t>Stated build-up</t>
        </is>
      </c>
      <c r="T1287" s="12" t="inlineStr">
        <is>
          <t>High</t>
        </is>
      </c>
      <c r="U1287" s="8" t="n">
        <v>190.84</v>
      </c>
      <c r="V1287" s="13">
        <f>IF(U1287="","",ROUND(M1287-U1287,2))</f>
        <v/>
      </c>
      <c r="W1287" s="5" t="n"/>
      <c r="X1287" s="5" t="inlineStr">
        <is>
          <t>Labour + plant + material as published; reconciles to the published rate.</t>
        </is>
      </c>
    </row>
    <row r="1288" ht="13" customHeight="1">
      <c r="A1288" s="4" t="n">
        <v>2183</v>
      </c>
      <c r="B1288" s="5" t="inlineStr">
        <is>
          <t>IMG_0095</t>
        </is>
      </c>
      <c r="C1288" s="5" t="inlineStr">
        <is>
          <t>CLASS I: PIPEWORK - PIPES</t>
        </is>
      </c>
      <c r="D1288" s="5" t="inlineStr">
        <is>
          <t>02 CONCRETE PIPES</t>
        </is>
      </c>
      <c r="E1288" s="5" t="inlineStr">
        <is>
          <t>Concrete pipes with rebated flexible joints to BS 5911 Class 120; excavation and supports, backfilling; 300 mm pipes; in trenches, depth</t>
        </is>
      </c>
      <c r="F1288" s="5" t="inlineStr">
        <is>
          <t>4.00-4.50 m deep</t>
        </is>
      </c>
      <c r="G1288" s="6" t="inlineStr">
        <is>
          <t>m</t>
        </is>
      </c>
      <c r="H1288" s="7" t="n">
        <v>0.73</v>
      </c>
      <c r="I1288" s="8" t="n">
        <v>100.87</v>
      </c>
      <c r="J1288" s="8" t="n">
        <v>95.63</v>
      </c>
      <c r="K1288" s="8" t="n">
        <v>40.13</v>
      </c>
      <c r="L1288" s="8" t="n">
        <v>0</v>
      </c>
      <c r="M1288" s="9">
        <f>ROUND(SUM(I1288:L1288),2)</f>
        <v/>
      </c>
      <c r="N1288" s="10">
        <f>ROUND(I1288*'Irish Basis'!$C$6*'Irish Basis'!$C$5,2)</f>
        <v/>
      </c>
      <c r="O1288" s="10">
        <f>ROUND(J1288*'Irish Basis'!$C$7*'Irish Basis'!$C$5,2)</f>
        <v/>
      </c>
      <c r="P1288" s="10">
        <f>ROUND(K1288*'Irish Basis'!$C$8*'Irish Basis'!$C$5,2)</f>
        <v/>
      </c>
      <c r="Q1288" s="10">
        <f>ROUND(L1288*'Irish Basis'!$C$12*'Irish Basis'!$C$5,2)</f>
        <v/>
      </c>
      <c r="R1288" s="11">
        <f>ROUND(SUM(N1288:Q1288),2)</f>
        <v/>
      </c>
      <c r="S1288" s="5" t="inlineStr">
        <is>
          <t>Stated build-up</t>
        </is>
      </c>
      <c r="T1288" s="12" t="inlineStr">
        <is>
          <t>High</t>
        </is>
      </c>
      <c r="U1288" s="8" t="n">
        <v>236.63</v>
      </c>
      <c r="V1288" s="13">
        <f>IF(U1288="","",ROUND(M1288-U1288,2))</f>
        <v/>
      </c>
      <c r="W1288" s="5" t="n"/>
      <c r="X1288" s="5" t="inlineStr">
        <is>
          <t>Labour + plant + material as published; reconciles to the published rate.</t>
        </is>
      </c>
    </row>
    <row r="1289" ht="13" customHeight="1">
      <c r="A1289" s="4" t="n">
        <v>2184</v>
      </c>
      <c r="B1289" s="5" t="inlineStr">
        <is>
          <t>IMG_0095</t>
        </is>
      </c>
      <c r="C1289" s="5" t="inlineStr">
        <is>
          <t>CLASS I: PIPEWORK - PIPES</t>
        </is>
      </c>
      <c r="D1289" s="5" t="inlineStr">
        <is>
          <t>02 CONCRETE PIPES</t>
        </is>
      </c>
      <c r="E1289" s="5" t="inlineStr">
        <is>
          <t>Concrete pipes with rebated flexible joints to BS 5911 Class 120; excavation and supports, backfilling; 300 mm pipes; in trenches, depth</t>
        </is>
      </c>
      <c r="F1289" s="5" t="inlineStr">
        <is>
          <t>4.50-5.00 m deep</t>
        </is>
      </c>
      <c r="G1289" s="6" t="inlineStr">
        <is>
          <t>m</t>
        </is>
      </c>
      <c r="H1289" s="7" t="n">
        <v>0.92</v>
      </c>
      <c r="I1289" s="8" t="n">
        <v>127.13</v>
      </c>
      <c r="J1289" s="8" t="n">
        <v>120.56</v>
      </c>
      <c r="K1289" s="8" t="n">
        <v>40.13</v>
      </c>
      <c r="L1289" s="8" t="n">
        <v>0</v>
      </c>
      <c r="M1289" s="9">
        <f>ROUND(SUM(I1289:L1289),2)</f>
        <v/>
      </c>
      <c r="N1289" s="10">
        <f>ROUND(I1289*'Irish Basis'!$C$6*'Irish Basis'!$C$5,2)</f>
        <v/>
      </c>
      <c r="O1289" s="10">
        <f>ROUND(J1289*'Irish Basis'!$C$7*'Irish Basis'!$C$5,2)</f>
        <v/>
      </c>
      <c r="P1289" s="10">
        <f>ROUND(K1289*'Irish Basis'!$C$8*'Irish Basis'!$C$5,2)</f>
        <v/>
      </c>
      <c r="Q1289" s="10">
        <f>ROUND(L1289*'Irish Basis'!$C$12*'Irish Basis'!$C$5,2)</f>
        <v/>
      </c>
      <c r="R1289" s="11">
        <f>ROUND(SUM(N1289:Q1289),2)</f>
        <v/>
      </c>
      <c r="S1289" s="5" t="inlineStr">
        <is>
          <t>Stated build-up</t>
        </is>
      </c>
      <c r="T1289" s="12" t="inlineStr">
        <is>
          <t>High</t>
        </is>
      </c>
      <c r="U1289" s="8" t="n">
        <v>287.81</v>
      </c>
      <c r="V1289" s="13">
        <f>IF(U1289="","",ROUND(M1289-U1289,2))</f>
        <v/>
      </c>
      <c r="W1289" s="5" t="n"/>
      <c r="X1289" s="5" t="inlineStr">
        <is>
          <t>Labour + plant + material as published; reconciles to the published rate.</t>
        </is>
      </c>
    </row>
    <row r="1290" ht="13" customHeight="1">
      <c r="A1290" s="4" t="n">
        <v>2185</v>
      </c>
      <c r="B1290" s="5" t="inlineStr">
        <is>
          <t>IMG_0095</t>
        </is>
      </c>
      <c r="C1290" s="5" t="inlineStr">
        <is>
          <t>CLASS I: PIPEWORK - PIPES</t>
        </is>
      </c>
      <c r="D1290" s="5" t="inlineStr">
        <is>
          <t>02 CONCRETE PIPES</t>
        </is>
      </c>
      <c r="E1290" s="5" t="inlineStr">
        <is>
          <t>Concrete pipes with rebated flexible joints to BS 5911 Class 120; excavation and supports, backfilling; 300 mm pipes; in trenches, depth</t>
        </is>
      </c>
      <c r="F1290" s="5" t="inlineStr">
        <is>
          <t>5.00-5.50 m deep</t>
        </is>
      </c>
      <c r="G1290" s="6" t="inlineStr">
        <is>
          <t>m</t>
        </is>
      </c>
      <c r="H1290" s="7" t="n">
        <v>1.19</v>
      </c>
      <c r="I1290" s="8" t="n">
        <v>164.43</v>
      </c>
      <c r="J1290" s="8" t="n">
        <v>155.98</v>
      </c>
      <c r="K1290" s="8" t="n">
        <v>40.13</v>
      </c>
      <c r="L1290" s="8" t="n">
        <v>0</v>
      </c>
      <c r="M1290" s="9">
        <f>ROUND(SUM(I1290:L1290),2)</f>
        <v/>
      </c>
      <c r="N1290" s="10">
        <f>ROUND(I1290*'Irish Basis'!$C$6*'Irish Basis'!$C$5,2)</f>
        <v/>
      </c>
      <c r="O1290" s="10">
        <f>ROUND(J1290*'Irish Basis'!$C$7*'Irish Basis'!$C$5,2)</f>
        <v/>
      </c>
      <c r="P1290" s="10">
        <f>ROUND(K1290*'Irish Basis'!$C$8*'Irish Basis'!$C$5,2)</f>
        <v/>
      </c>
      <c r="Q1290" s="10">
        <f>ROUND(L1290*'Irish Basis'!$C$12*'Irish Basis'!$C$5,2)</f>
        <v/>
      </c>
      <c r="R1290" s="11">
        <f>ROUND(SUM(N1290:Q1290),2)</f>
        <v/>
      </c>
      <c r="S1290" s="5" t="inlineStr">
        <is>
          <t>Stated build-up</t>
        </is>
      </c>
      <c r="T1290" s="12" t="inlineStr">
        <is>
          <t>High</t>
        </is>
      </c>
      <c r="U1290" s="8" t="n">
        <v>360.54</v>
      </c>
      <c r="V1290" s="13">
        <f>IF(U1290="","",ROUND(M1290-U1290,2))</f>
        <v/>
      </c>
      <c r="W1290" s="5" t="n"/>
      <c r="X1290" s="5" t="inlineStr">
        <is>
          <t>Labour + plant + material as published; reconciles to the published rate.</t>
        </is>
      </c>
    </row>
    <row r="1291" ht="13" customHeight="1">
      <c r="A1291" s="4" t="n">
        <v>2186</v>
      </c>
      <c r="B1291" s="5" t="inlineStr">
        <is>
          <t>IMG_0095</t>
        </is>
      </c>
      <c r="C1291" s="5" t="inlineStr">
        <is>
          <t>CLASS I: PIPEWORK - PIPES</t>
        </is>
      </c>
      <c r="D1291" s="5" t="inlineStr">
        <is>
          <t>02 CONCRETE PIPES</t>
        </is>
      </c>
      <c r="E1291" s="5" t="inlineStr">
        <is>
          <t>Concrete pipes with rebated flexible joints to BS 5911 Class 120; excavation and supports, backfilling; 300 mm pipes; in trenches, depth</t>
        </is>
      </c>
      <c r="F1291" s="5" t="inlineStr">
        <is>
          <t>5.50-6.00 m deep</t>
        </is>
      </c>
      <c r="G1291" s="6" t="inlineStr">
        <is>
          <t>m</t>
        </is>
      </c>
      <c r="H1291" s="7" t="n">
        <v>1.42</v>
      </c>
      <c r="I1291" s="8" t="n">
        <v>196.22</v>
      </c>
      <c r="J1291" s="8" t="n">
        <v>186.19</v>
      </c>
      <c r="K1291" s="8" t="n">
        <v>40.13</v>
      </c>
      <c r="L1291" s="8" t="n">
        <v>0</v>
      </c>
      <c r="M1291" s="9">
        <f>ROUND(SUM(I1291:L1291),2)</f>
        <v/>
      </c>
      <c r="N1291" s="10">
        <f>ROUND(I1291*'Irish Basis'!$C$6*'Irish Basis'!$C$5,2)</f>
        <v/>
      </c>
      <c r="O1291" s="10">
        <f>ROUND(J1291*'Irish Basis'!$C$7*'Irish Basis'!$C$5,2)</f>
        <v/>
      </c>
      <c r="P1291" s="10">
        <f>ROUND(K1291*'Irish Basis'!$C$8*'Irish Basis'!$C$5,2)</f>
        <v/>
      </c>
      <c r="Q1291" s="10">
        <f>ROUND(L1291*'Irish Basis'!$C$12*'Irish Basis'!$C$5,2)</f>
        <v/>
      </c>
      <c r="R1291" s="11">
        <f>ROUND(SUM(N1291:Q1291),2)</f>
        <v/>
      </c>
      <c r="S1291" s="5" t="inlineStr">
        <is>
          <t>Stated build-up</t>
        </is>
      </c>
      <c r="T1291" s="12" t="inlineStr">
        <is>
          <t>High</t>
        </is>
      </c>
      <c r="U1291" s="8" t="n">
        <v>422.53</v>
      </c>
      <c r="V1291" s="13">
        <f>IF(U1291="","",ROUND(M1291-U1291,2))</f>
        <v/>
      </c>
      <c r="W1291" s="5" t="n"/>
      <c r="X1291" s="5" t="inlineStr">
        <is>
          <t>Labour + plant + material as published; reconciles to the published rate.</t>
        </is>
      </c>
    </row>
    <row r="1292" ht="13" customHeight="1">
      <c r="A1292" s="4" t="n">
        <v>2187</v>
      </c>
      <c r="B1292" s="5" t="inlineStr">
        <is>
          <t>IMG_0095</t>
        </is>
      </c>
      <c r="C1292" s="5" t="inlineStr">
        <is>
          <t>CLASS I: PIPEWORK - PIPES</t>
        </is>
      </c>
      <c r="D1292" s="5" t="inlineStr">
        <is>
          <t>02 CONCRETE PIPES</t>
        </is>
      </c>
      <c r="E1292" s="5" t="inlineStr">
        <is>
          <t>Concrete pipes with rebated flexible joints to BS 5911 Class 120; excavation and supports, backfilling; 300 mm pipes; in trenches, depth</t>
        </is>
      </c>
      <c r="F1292" s="5" t="inlineStr">
        <is>
          <t>extra for bend</t>
        </is>
      </c>
      <c r="G1292" s="6" t="inlineStr">
        <is>
          <t>nr</t>
        </is>
      </c>
      <c r="H1292" s="7" t="n">
        <v>0.08</v>
      </c>
      <c r="I1292" s="8" t="n">
        <v>11.05</v>
      </c>
      <c r="J1292" s="8" t="n">
        <v>8.460000000000001</v>
      </c>
      <c r="K1292" s="8" t="n">
        <v>400.79</v>
      </c>
      <c r="L1292" s="8" t="n">
        <v>0</v>
      </c>
      <c r="M1292" s="9">
        <f>ROUND(SUM(I1292:L1292),2)</f>
        <v/>
      </c>
      <c r="N1292" s="10">
        <f>ROUND(I1292*'Irish Basis'!$C$6*'Irish Basis'!$C$5,2)</f>
        <v/>
      </c>
      <c r="O1292" s="10">
        <f>ROUND(J1292*'Irish Basis'!$C$7*'Irish Basis'!$C$5,2)</f>
        <v/>
      </c>
      <c r="P1292" s="10">
        <f>ROUND(K1292*'Irish Basis'!$C$8*'Irish Basis'!$C$5,2)</f>
        <v/>
      </c>
      <c r="Q1292" s="10">
        <f>ROUND(L1292*'Irish Basis'!$C$12*'Irish Basis'!$C$5,2)</f>
        <v/>
      </c>
      <c r="R1292" s="11">
        <f>ROUND(SUM(N1292:Q1292),2)</f>
        <v/>
      </c>
      <c r="S1292" s="5" t="inlineStr">
        <is>
          <t>Stated build-up</t>
        </is>
      </c>
      <c r="T1292" s="12" t="inlineStr">
        <is>
          <t>High</t>
        </is>
      </c>
      <c r="U1292" s="8" t="n">
        <v>420.31</v>
      </c>
      <c r="V1292" s="13">
        <f>IF(U1292="","",ROUND(M1292-U1292,2))</f>
        <v/>
      </c>
      <c r="W1292" s="5" t="n"/>
      <c r="X1292" s="5" t="inlineStr">
        <is>
          <t>Labour + plant + material as published; reconciles to the published rate.</t>
        </is>
      </c>
    </row>
    <row r="1293" ht="13" customHeight="1">
      <c r="A1293" s="4" t="n">
        <v>2189</v>
      </c>
      <c r="B1293" s="5" t="inlineStr">
        <is>
          <t>IMG_0095</t>
        </is>
      </c>
      <c r="C1293" s="5" t="inlineStr">
        <is>
          <t>CLASS I: PIPEWORK - PIPES</t>
        </is>
      </c>
      <c r="D1293" s="5" t="inlineStr">
        <is>
          <t>02 CONCRETE PIPES</t>
        </is>
      </c>
      <c r="E1293" s="5" t="inlineStr">
        <is>
          <t>375 mm pipes; in trenches, depth</t>
        </is>
      </c>
      <c r="F1293" s="5" t="inlineStr">
        <is>
          <t>not in trenches</t>
        </is>
      </c>
      <c r="G1293" s="6" t="inlineStr">
        <is>
          <t>m</t>
        </is>
      </c>
      <c r="H1293" s="7" t="n">
        <v>0.15</v>
      </c>
      <c r="I1293" s="8" t="n">
        <v>12.95</v>
      </c>
      <c r="J1293" s="8" t="n">
        <v>1.66</v>
      </c>
      <c r="K1293" s="8" t="n">
        <v>49.63</v>
      </c>
      <c r="L1293" s="8" t="n">
        <v>0</v>
      </c>
      <c r="M1293" s="9">
        <f>ROUND(SUM(I1293:L1293),2)</f>
        <v/>
      </c>
      <c r="N1293" s="10">
        <f>ROUND(I1293*'Irish Basis'!$C$6*'Irish Basis'!$C$5,2)</f>
        <v/>
      </c>
      <c r="O1293" s="10">
        <f>ROUND(J1293*'Irish Basis'!$C$7*'Irish Basis'!$C$5,2)</f>
        <v/>
      </c>
      <c r="P1293" s="10">
        <f>ROUND(K1293*'Irish Basis'!$C$8*'Irish Basis'!$C$5,2)</f>
        <v/>
      </c>
      <c r="Q1293" s="10">
        <f>ROUND(L1293*'Irish Basis'!$C$12*'Irish Basis'!$C$5,2)</f>
        <v/>
      </c>
      <c r="R1293" s="11">
        <f>ROUND(SUM(N1293:Q1293),2)</f>
        <v/>
      </c>
      <c r="S1293" s="5" t="inlineStr">
        <is>
          <t>Stated build-up</t>
        </is>
      </c>
      <c r="T1293" s="12" t="inlineStr">
        <is>
          <t>High</t>
        </is>
      </c>
      <c r="U1293" s="8" t="n">
        <v>64.23</v>
      </c>
      <c r="V1293" s="13">
        <f>IF(U1293="","",ROUND(M1293-U1293,2))</f>
        <v/>
      </c>
      <c r="W1293" s="5" t="n"/>
      <c r="X1293" s="5" t="inlineStr">
        <is>
          <t>Labour + plant + material as published; reconciles to the published rate.</t>
        </is>
      </c>
    </row>
    <row r="1294" ht="13" customHeight="1">
      <c r="A1294" s="4" t="n">
        <v>2190</v>
      </c>
      <c r="B1294" s="5" t="inlineStr">
        <is>
          <t>IMG_0095</t>
        </is>
      </c>
      <c r="C1294" s="5" t="inlineStr">
        <is>
          <t>CLASS I: PIPEWORK - PIPES</t>
        </is>
      </c>
      <c r="D1294" s="5" t="inlineStr">
        <is>
          <t>02 CONCRETE PIPES</t>
        </is>
      </c>
      <c r="E1294" s="5" t="inlineStr">
        <is>
          <t>375 mm pipes; in trenches, depth</t>
        </is>
      </c>
      <c r="F1294" s="5" t="inlineStr">
        <is>
          <t>ne 1.50 m deep</t>
        </is>
      </c>
      <c r="G1294" s="6" t="inlineStr">
        <is>
          <t>m</t>
        </is>
      </c>
      <c r="H1294" s="7" t="n">
        <v>0.24</v>
      </c>
      <c r="I1294" s="8" t="n">
        <v>33.16</v>
      </c>
      <c r="J1294" s="8" t="n">
        <v>31.33</v>
      </c>
      <c r="K1294" s="8" t="n">
        <v>49.63</v>
      </c>
      <c r="L1294" s="8" t="n">
        <v>0</v>
      </c>
      <c r="M1294" s="9">
        <f>ROUND(SUM(I1294:L1294),2)</f>
        <v/>
      </c>
      <c r="N1294" s="10">
        <f>ROUND(I1294*'Irish Basis'!$C$6*'Irish Basis'!$C$5,2)</f>
        <v/>
      </c>
      <c r="O1294" s="10">
        <f>ROUND(J1294*'Irish Basis'!$C$7*'Irish Basis'!$C$5,2)</f>
        <v/>
      </c>
      <c r="P1294" s="10">
        <f>ROUND(K1294*'Irish Basis'!$C$8*'Irish Basis'!$C$5,2)</f>
        <v/>
      </c>
      <c r="Q1294" s="10">
        <f>ROUND(L1294*'Irish Basis'!$C$12*'Irish Basis'!$C$5,2)</f>
        <v/>
      </c>
      <c r="R1294" s="11">
        <f>ROUND(SUM(N1294:Q1294),2)</f>
        <v/>
      </c>
      <c r="S1294" s="5" t="inlineStr">
        <is>
          <t>Stated build-up</t>
        </is>
      </c>
      <c r="T1294" s="12" t="inlineStr">
        <is>
          <t>High</t>
        </is>
      </c>
      <c r="U1294" s="8" t="n">
        <v>114.12</v>
      </c>
      <c r="V1294" s="13">
        <f>IF(U1294="","",ROUND(M1294-U1294,2))</f>
        <v/>
      </c>
      <c r="W1294" s="5" t="n"/>
      <c r="X1294" s="5" t="inlineStr">
        <is>
          <t>Labour + plant + material as published; reconciles to the published rate.</t>
        </is>
      </c>
    </row>
    <row r="1295" ht="13" customHeight="1">
      <c r="A1295" s="4" t="n">
        <v>2191</v>
      </c>
      <c r="B1295" s="5" t="inlineStr">
        <is>
          <t>IMG_0095</t>
        </is>
      </c>
      <c r="C1295" s="5" t="inlineStr">
        <is>
          <t>CLASS I: PIPEWORK - PIPES</t>
        </is>
      </c>
      <c r="D1295" s="5" t="inlineStr">
        <is>
          <t>02 CONCRETE PIPES</t>
        </is>
      </c>
      <c r="E1295" s="5" t="inlineStr">
        <is>
          <t>375 mm pipes; in trenches, depth</t>
        </is>
      </c>
      <c r="F1295" s="5" t="inlineStr">
        <is>
          <t>1.50-2.00 m deep</t>
        </is>
      </c>
      <c r="G1295" s="6" t="inlineStr">
        <is>
          <t>m</t>
        </is>
      </c>
      <c r="H1295" s="7" t="n">
        <v>0.29</v>
      </c>
      <c r="I1295" s="8" t="n">
        <v>40.07</v>
      </c>
      <c r="J1295" s="8" t="n">
        <v>37.93</v>
      </c>
      <c r="K1295" s="8" t="n">
        <v>49.63</v>
      </c>
      <c r="L1295" s="8" t="n">
        <v>0</v>
      </c>
      <c r="M1295" s="9">
        <f>ROUND(SUM(I1295:L1295),2)</f>
        <v/>
      </c>
      <c r="N1295" s="10">
        <f>ROUND(I1295*'Irish Basis'!$C$6*'Irish Basis'!$C$5,2)</f>
        <v/>
      </c>
      <c r="O1295" s="10">
        <f>ROUND(J1295*'Irish Basis'!$C$7*'Irish Basis'!$C$5,2)</f>
        <v/>
      </c>
      <c r="P1295" s="10">
        <f>ROUND(K1295*'Irish Basis'!$C$8*'Irish Basis'!$C$5,2)</f>
        <v/>
      </c>
      <c r="Q1295" s="10">
        <f>ROUND(L1295*'Irish Basis'!$C$12*'Irish Basis'!$C$5,2)</f>
        <v/>
      </c>
      <c r="R1295" s="11">
        <f>ROUND(SUM(N1295:Q1295),2)</f>
        <v/>
      </c>
      <c r="S1295" s="5" t="inlineStr">
        <is>
          <t>Stated build-up</t>
        </is>
      </c>
      <c r="T1295" s="12" t="inlineStr">
        <is>
          <t>High</t>
        </is>
      </c>
      <c r="U1295" s="8" t="n">
        <v>127.63</v>
      </c>
      <c r="V1295" s="13">
        <f>IF(U1295="","",ROUND(M1295-U1295,2))</f>
        <v/>
      </c>
      <c r="W1295" s="5" t="n"/>
      <c r="X1295" s="5" t="inlineStr">
        <is>
          <t>Labour + plant + material as published; reconciles to the published rate.</t>
        </is>
      </c>
    </row>
    <row r="1296" ht="13" customHeight="1">
      <c r="A1296" s="4" t="n">
        <v>2193</v>
      </c>
      <c r="B1296" s="5" t="inlineStr">
        <is>
          <t>IMG_0096</t>
        </is>
      </c>
      <c r="C1296" s="5" t="inlineStr">
        <is>
          <t>CLASS I: PIPEWORK - PIPES</t>
        </is>
      </c>
      <c r="D1296" s="5" t="inlineStr">
        <is>
          <t>02 CONCRETE PIPES</t>
        </is>
      </c>
      <c r="E1296" s="5" t="inlineStr">
        <is>
          <t>Concrete pipes with rebated flexible joints to BS 5911 Class 120; 375 mm pipes; in trenches, depth (continued)</t>
        </is>
      </c>
      <c r="F1296" s="5" t="inlineStr">
        <is>
          <t>2.00-2.50 m deep</t>
        </is>
      </c>
      <c r="G1296" s="6" t="inlineStr">
        <is>
          <t>m</t>
        </is>
      </c>
      <c r="H1296" s="7" t="n">
        <v>0.33</v>
      </c>
      <c r="I1296" s="8" t="n">
        <v>45.6</v>
      </c>
      <c r="J1296" s="8" t="n">
        <v>43.16</v>
      </c>
      <c r="K1296" s="8" t="n">
        <v>49.63</v>
      </c>
      <c r="L1296" s="8" t="n">
        <v>0</v>
      </c>
      <c r="M1296" s="9">
        <f>ROUND(SUM(I1296:L1296),2)</f>
        <v/>
      </c>
      <c r="N1296" s="10">
        <f>ROUND(I1296*'Irish Basis'!$C$6*'Irish Basis'!$C$5,2)</f>
        <v/>
      </c>
      <c r="O1296" s="10">
        <f>ROUND(J1296*'Irish Basis'!$C$7*'Irish Basis'!$C$5,2)</f>
        <v/>
      </c>
      <c r="P1296" s="10">
        <f>ROUND(K1296*'Irish Basis'!$C$8*'Irish Basis'!$C$5,2)</f>
        <v/>
      </c>
      <c r="Q1296" s="10">
        <f>ROUND(L1296*'Irish Basis'!$C$12*'Irish Basis'!$C$5,2)</f>
        <v/>
      </c>
      <c r="R1296" s="11">
        <f>ROUND(SUM(N1296:Q1296),2)</f>
        <v/>
      </c>
      <c r="S1296" s="5" t="inlineStr">
        <is>
          <t>Stated build-up</t>
        </is>
      </c>
      <c r="T1296" s="12" t="inlineStr">
        <is>
          <t>High</t>
        </is>
      </c>
      <c r="U1296" s="8" t="n">
        <v>138.38</v>
      </c>
      <c r="V1296" s="13">
        <f>IF(U1296="","",ROUND(M1296-U1296,2))</f>
        <v/>
      </c>
      <c r="W1296" s="5" t="n"/>
      <c r="X1296" s="5" t="inlineStr">
        <is>
          <t>Labour + plant + material as published; reconciles to the published rate.</t>
        </is>
      </c>
    </row>
    <row r="1297" ht="13" customHeight="1">
      <c r="A1297" s="4" t="n">
        <v>2194</v>
      </c>
      <c r="B1297" s="5" t="inlineStr">
        <is>
          <t>IMG_0096</t>
        </is>
      </c>
      <c r="C1297" s="5" t="inlineStr">
        <is>
          <t>CLASS I: PIPEWORK - PIPES</t>
        </is>
      </c>
      <c r="D1297" s="5" t="inlineStr">
        <is>
          <t>02 CONCRETE PIPES</t>
        </is>
      </c>
      <c r="E1297" s="5" t="inlineStr">
        <is>
          <t>Concrete pipes with rebated flexible joints to BS 5911 Class 120; 375 mm pipes; in trenches, depth (continued)</t>
        </is>
      </c>
      <c r="F1297" s="5" t="inlineStr">
        <is>
          <t>2.50-3.00 m deep</t>
        </is>
      </c>
      <c r="G1297" s="6" t="inlineStr">
        <is>
          <t>m</t>
        </is>
      </c>
      <c r="H1297" s="7" t="n">
        <v>0.38</v>
      </c>
      <c r="I1297" s="8" t="n">
        <v>52.51</v>
      </c>
      <c r="J1297" s="8" t="n">
        <v>49.74</v>
      </c>
      <c r="K1297" s="8" t="n">
        <v>49.63</v>
      </c>
      <c r="L1297" s="8" t="n">
        <v>0</v>
      </c>
      <c r="M1297" s="9">
        <f>ROUND(SUM(I1297:L1297),2)</f>
        <v/>
      </c>
      <c r="N1297" s="10">
        <f>ROUND(I1297*'Irish Basis'!$C$6*'Irish Basis'!$C$5,2)</f>
        <v/>
      </c>
      <c r="O1297" s="10">
        <f>ROUND(J1297*'Irish Basis'!$C$7*'Irish Basis'!$C$5,2)</f>
        <v/>
      </c>
      <c r="P1297" s="10">
        <f>ROUND(K1297*'Irish Basis'!$C$8*'Irish Basis'!$C$5,2)</f>
        <v/>
      </c>
      <c r="Q1297" s="10">
        <f>ROUND(L1297*'Irish Basis'!$C$12*'Irish Basis'!$C$5,2)</f>
        <v/>
      </c>
      <c r="R1297" s="11">
        <f>ROUND(SUM(N1297:Q1297),2)</f>
        <v/>
      </c>
      <c r="S1297" s="5" t="inlineStr">
        <is>
          <t>Stated build-up</t>
        </is>
      </c>
      <c r="T1297" s="12" t="inlineStr">
        <is>
          <t>High</t>
        </is>
      </c>
      <c r="U1297" s="8" t="n">
        <v>151.87</v>
      </c>
      <c r="V1297" s="13">
        <f>IF(U1297="","",ROUND(M1297-U1297,2))</f>
        <v/>
      </c>
      <c r="W1297" s="5" t="n"/>
      <c r="X1297" s="5" t="inlineStr">
        <is>
          <t>Labour + plant + material as published; reconciles to the published rate.</t>
        </is>
      </c>
    </row>
    <row r="1298" ht="13" customHeight="1">
      <c r="A1298" s="4" t="n">
        <v>2195</v>
      </c>
      <c r="B1298" s="5" t="inlineStr">
        <is>
          <t>IMG_0096</t>
        </is>
      </c>
      <c r="C1298" s="5" t="inlineStr">
        <is>
          <t>CLASS I: PIPEWORK - PIPES</t>
        </is>
      </c>
      <c r="D1298" s="5" t="inlineStr">
        <is>
          <t>02 CONCRETE PIPES</t>
        </is>
      </c>
      <c r="E1298" s="5" t="inlineStr">
        <is>
          <t>Concrete pipes with rebated flexible joints to BS 5911 Class 120; 375 mm pipes; in trenches, depth (continued)</t>
        </is>
      </c>
      <c r="F1298" s="5" t="inlineStr">
        <is>
          <t>3.00-3.50 m deep</t>
        </is>
      </c>
      <c r="G1298" s="6" t="inlineStr">
        <is>
          <t>m</t>
        </is>
      </c>
      <c r="H1298" s="7" t="n">
        <v>0.46</v>
      </c>
      <c r="I1298" s="8" t="n">
        <v>63.56</v>
      </c>
      <c r="J1298" s="8" t="n">
        <v>60.23</v>
      </c>
      <c r="K1298" s="8" t="n">
        <v>49.63</v>
      </c>
      <c r="L1298" s="8" t="n">
        <v>0</v>
      </c>
      <c r="M1298" s="9">
        <f>ROUND(SUM(I1298:L1298),2)</f>
        <v/>
      </c>
      <c r="N1298" s="10">
        <f>ROUND(I1298*'Irish Basis'!$C$6*'Irish Basis'!$C$5,2)</f>
        <v/>
      </c>
      <c r="O1298" s="10">
        <f>ROUND(J1298*'Irish Basis'!$C$7*'Irish Basis'!$C$5,2)</f>
        <v/>
      </c>
      <c r="P1298" s="10">
        <f>ROUND(K1298*'Irish Basis'!$C$8*'Irish Basis'!$C$5,2)</f>
        <v/>
      </c>
      <c r="Q1298" s="10">
        <f>ROUND(L1298*'Irish Basis'!$C$12*'Irish Basis'!$C$5,2)</f>
        <v/>
      </c>
      <c r="R1298" s="11">
        <f>ROUND(SUM(N1298:Q1298),2)</f>
        <v/>
      </c>
      <c r="S1298" s="5" t="inlineStr">
        <is>
          <t>Stated build-up</t>
        </is>
      </c>
      <c r="T1298" s="12" t="inlineStr">
        <is>
          <t>High</t>
        </is>
      </c>
      <c r="U1298" s="8" t="n">
        <v>173.42</v>
      </c>
      <c r="V1298" s="13">
        <f>IF(U1298="","",ROUND(M1298-U1298,2))</f>
        <v/>
      </c>
      <c r="W1298" s="5" t="n"/>
      <c r="X1298" s="5" t="inlineStr">
        <is>
          <t>Labour + plant + material as published; reconciles to the published rate.</t>
        </is>
      </c>
    </row>
    <row r="1299" ht="13" customHeight="1">
      <c r="A1299" s="4" t="n">
        <v>2196</v>
      </c>
      <c r="B1299" s="5" t="inlineStr">
        <is>
          <t>IMG_0096</t>
        </is>
      </c>
      <c r="C1299" s="5" t="inlineStr">
        <is>
          <t>CLASS I: PIPEWORK - PIPES</t>
        </is>
      </c>
      <c r="D1299" s="5" t="inlineStr">
        <is>
          <t>02 CONCRETE PIPES</t>
        </is>
      </c>
      <c r="E1299" s="5" t="inlineStr">
        <is>
          <t>Concrete pipes with rebated flexible joints to BS 5911 Class 120; 375 mm pipes; in trenches, depth (continued)</t>
        </is>
      </c>
      <c r="F1299" s="5" t="inlineStr">
        <is>
          <t>3.50-4.00 m deep</t>
        </is>
      </c>
      <c r="G1299" s="6" t="inlineStr">
        <is>
          <t>m</t>
        </is>
      </c>
      <c r="H1299" s="7" t="n">
        <v>0.58</v>
      </c>
      <c r="I1299" s="8" t="n">
        <v>80.14</v>
      </c>
      <c r="J1299" s="8" t="n">
        <v>75.92</v>
      </c>
      <c r="K1299" s="8" t="n">
        <v>49.63</v>
      </c>
      <c r="L1299" s="8" t="n">
        <v>0</v>
      </c>
      <c r="M1299" s="9">
        <f>ROUND(SUM(I1299:L1299),2)</f>
        <v/>
      </c>
      <c r="N1299" s="10">
        <f>ROUND(I1299*'Irish Basis'!$C$6*'Irish Basis'!$C$5,2)</f>
        <v/>
      </c>
      <c r="O1299" s="10">
        <f>ROUND(J1299*'Irish Basis'!$C$7*'Irish Basis'!$C$5,2)</f>
        <v/>
      </c>
      <c r="P1299" s="10">
        <f>ROUND(K1299*'Irish Basis'!$C$8*'Irish Basis'!$C$5,2)</f>
        <v/>
      </c>
      <c r="Q1299" s="10">
        <f>ROUND(L1299*'Irish Basis'!$C$12*'Irish Basis'!$C$5,2)</f>
        <v/>
      </c>
      <c r="R1299" s="11">
        <f>ROUND(SUM(N1299:Q1299),2)</f>
        <v/>
      </c>
      <c r="S1299" s="5" t="inlineStr">
        <is>
          <t>Stated build-up</t>
        </is>
      </c>
      <c r="T1299" s="12" t="inlineStr">
        <is>
          <t>High</t>
        </is>
      </c>
      <c r="U1299" s="8" t="n">
        <v>205.69</v>
      </c>
      <c r="V1299" s="13">
        <f>IF(U1299="","",ROUND(M1299-U1299,2))</f>
        <v/>
      </c>
      <c r="W1299" s="5" t="n"/>
      <c r="X1299" s="5" t="inlineStr">
        <is>
          <t>Labour + plant + material as published; reconciles to the published rate.</t>
        </is>
      </c>
    </row>
    <row r="1300" ht="13" customHeight="1">
      <c r="A1300" s="4" t="n">
        <v>2197</v>
      </c>
      <c r="B1300" s="5" t="inlineStr">
        <is>
          <t>IMG_0096</t>
        </is>
      </c>
      <c r="C1300" s="5" t="inlineStr">
        <is>
          <t>CLASS I: PIPEWORK - PIPES</t>
        </is>
      </c>
      <c r="D1300" s="5" t="inlineStr">
        <is>
          <t>02 CONCRETE PIPES</t>
        </is>
      </c>
      <c r="E1300" s="5" t="inlineStr">
        <is>
          <t>Concrete pipes with rebated flexible joints to BS 5911 Class 120; 375 mm pipes; in trenches, depth (continued)</t>
        </is>
      </c>
      <c r="F1300" s="5" t="inlineStr">
        <is>
          <t>4.00-4.50 m deep</t>
        </is>
      </c>
      <c r="G1300" s="6" t="inlineStr">
        <is>
          <t>m</t>
        </is>
      </c>
      <c r="H1300" s="7" t="n">
        <v>0.75</v>
      </c>
      <c r="I1300" s="8" t="n">
        <v>103.64</v>
      </c>
      <c r="J1300" s="8" t="n">
        <v>98.22</v>
      </c>
      <c r="K1300" s="8" t="n">
        <v>49.63</v>
      </c>
      <c r="L1300" s="8" t="n">
        <v>0</v>
      </c>
      <c r="M1300" s="9">
        <f>ROUND(SUM(I1300:L1300),2)</f>
        <v/>
      </c>
      <c r="N1300" s="10">
        <f>ROUND(I1300*'Irish Basis'!$C$6*'Irish Basis'!$C$5,2)</f>
        <v/>
      </c>
      <c r="O1300" s="10">
        <f>ROUND(J1300*'Irish Basis'!$C$7*'Irish Basis'!$C$5,2)</f>
        <v/>
      </c>
      <c r="P1300" s="10">
        <f>ROUND(K1300*'Irish Basis'!$C$8*'Irish Basis'!$C$5,2)</f>
        <v/>
      </c>
      <c r="Q1300" s="10">
        <f>ROUND(L1300*'Irish Basis'!$C$12*'Irish Basis'!$C$5,2)</f>
        <v/>
      </c>
      <c r="R1300" s="11">
        <f>ROUND(SUM(N1300:Q1300),2)</f>
        <v/>
      </c>
      <c r="S1300" s="5" t="inlineStr">
        <is>
          <t>Stated build-up</t>
        </is>
      </c>
      <c r="T1300" s="12" t="inlineStr">
        <is>
          <t>High</t>
        </is>
      </c>
      <c r="U1300" s="8" t="n">
        <v>251.48</v>
      </c>
      <c r="V1300" s="13">
        <f>IF(U1300="","",ROUND(M1300-U1300,2))</f>
        <v/>
      </c>
      <c r="W1300" s="5" t="n"/>
      <c r="X1300" s="5" t="inlineStr">
        <is>
          <t>Labour + plant + material as published; reconciles to the published rate.</t>
        </is>
      </c>
    </row>
    <row r="1301" ht="13" customHeight="1">
      <c r="A1301" s="4" t="n">
        <v>2198</v>
      </c>
      <c r="B1301" s="5" t="inlineStr">
        <is>
          <t>IMG_0096</t>
        </is>
      </c>
      <c r="C1301" s="5" t="inlineStr">
        <is>
          <t>CLASS I: PIPEWORK - PIPES</t>
        </is>
      </c>
      <c r="D1301" s="5" t="inlineStr">
        <is>
          <t>02 CONCRETE PIPES</t>
        </is>
      </c>
      <c r="E1301" s="5" t="inlineStr">
        <is>
          <t>Concrete pipes with rebated flexible joints to BS 5911 Class 120; 375 mm pipes; in trenches, depth (continued)</t>
        </is>
      </c>
      <c r="F1301" s="5" t="inlineStr">
        <is>
          <t>4.50-5.00 m deep</t>
        </is>
      </c>
      <c r="G1301" s="6" t="inlineStr">
        <is>
          <t>m</t>
        </is>
      </c>
      <c r="H1301" s="7" t="n">
        <v>0.95</v>
      </c>
      <c r="I1301" s="8" t="n">
        <v>131.27</v>
      </c>
      <c r="J1301" s="8" t="n">
        <v>124.47</v>
      </c>
      <c r="K1301" s="8" t="n">
        <v>49.63</v>
      </c>
      <c r="L1301" s="8" t="n">
        <v>0</v>
      </c>
      <c r="M1301" s="9">
        <f>ROUND(SUM(I1301:L1301),2)</f>
        <v/>
      </c>
      <c r="N1301" s="10">
        <f>ROUND(I1301*'Irish Basis'!$C$6*'Irish Basis'!$C$5,2)</f>
        <v/>
      </c>
      <c r="O1301" s="10">
        <f>ROUND(J1301*'Irish Basis'!$C$7*'Irish Basis'!$C$5,2)</f>
        <v/>
      </c>
      <c r="P1301" s="10">
        <f>ROUND(K1301*'Irish Basis'!$C$8*'Irish Basis'!$C$5,2)</f>
        <v/>
      </c>
      <c r="Q1301" s="10">
        <f>ROUND(L1301*'Irish Basis'!$C$12*'Irish Basis'!$C$5,2)</f>
        <v/>
      </c>
      <c r="R1301" s="11">
        <f>ROUND(SUM(N1301:Q1301),2)</f>
        <v/>
      </c>
      <c r="S1301" s="5" t="inlineStr">
        <is>
          <t>Stated build-up</t>
        </is>
      </c>
      <c r="T1301" s="12" t="inlineStr">
        <is>
          <t>High</t>
        </is>
      </c>
      <c r="U1301" s="8" t="n">
        <v>305.37</v>
      </c>
      <c r="V1301" s="13">
        <f>IF(U1301="","",ROUND(M1301-U1301,2))</f>
        <v/>
      </c>
      <c r="W1301" s="5" t="n"/>
      <c r="X1301" s="5" t="inlineStr">
        <is>
          <t>Labour + plant + material as published; reconciles to the published rate.</t>
        </is>
      </c>
    </row>
    <row r="1302" ht="13" customHeight="1">
      <c r="A1302" s="4" t="n">
        <v>2199</v>
      </c>
      <c r="B1302" s="5" t="inlineStr">
        <is>
          <t>IMG_0096</t>
        </is>
      </c>
      <c r="C1302" s="5" t="inlineStr">
        <is>
          <t>CLASS I: PIPEWORK - PIPES</t>
        </is>
      </c>
      <c r="D1302" s="5" t="inlineStr">
        <is>
          <t>02 CONCRETE PIPES</t>
        </is>
      </c>
      <c r="E1302" s="5" t="inlineStr">
        <is>
          <t>Concrete pipes with rebated flexible joints to BS 5911 Class 120; 375 mm pipes; in trenches, depth (continued)</t>
        </is>
      </c>
      <c r="F1302" s="5" t="inlineStr">
        <is>
          <t>5.00-5.50 m deep</t>
        </is>
      </c>
      <c r="G1302" s="6" t="inlineStr">
        <is>
          <t>m</t>
        </is>
      </c>
      <c r="H1302" s="7" t="n">
        <v>1.2</v>
      </c>
      <c r="I1302" s="8" t="n">
        <v>165.82</v>
      </c>
      <c r="J1302" s="8" t="n">
        <v>157.3</v>
      </c>
      <c r="K1302" s="8" t="n">
        <v>49.63</v>
      </c>
      <c r="L1302" s="8" t="n">
        <v>0</v>
      </c>
      <c r="M1302" s="9">
        <f>ROUND(SUM(I1302:L1302),2)</f>
        <v/>
      </c>
      <c r="N1302" s="10">
        <f>ROUND(I1302*'Irish Basis'!$C$6*'Irish Basis'!$C$5,2)</f>
        <v/>
      </c>
      <c r="O1302" s="10">
        <f>ROUND(J1302*'Irish Basis'!$C$7*'Irish Basis'!$C$5,2)</f>
        <v/>
      </c>
      <c r="P1302" s="10">
        <f>ROUND(K1302*'Irish Basis'!$C$8*'Irish Basis'!$C$5,2)</f>
        <v/>
      </c>
      <c r="Q1302" s="10">
        <f>ROUND(L1302*'Irish Basis'!$C$12*'Irish Basis'!$C$5,2)</f>
        <v/>
      </c>
      <c r="R1302" s="11">
        <f>ROUND(SUM(N1302:Q1302),2)</f>
        <v/>
      </c>
      <c r="S1302" s="5" t="inlineStr">
        <is>
          <t>Stated build-up</t>
        </is>
      </c>
      <c r="T1302" s="12" t="inlineStr">
        <is>
          <t>High</t>
        </is>
      </c>
      <c r="U1302" s="8" t="n">
        <v>372.74</v>
      </c>
      <c r="V1302" s="13">
        <f>IF(U1302="","",ROUND(M1302-U1302,2))</f>
        <v/>
      </c>
      <c r="W1302" s="5" t="n"/>
      <c r="X1302" s="5" t="inlineStr">
        <is>
          <t>Labour + plant + material as published; reconciles to the published rate.</t>
        </is>
      </c>
    </row>
    <row r="1303" ht="13" customHeight="1">
      <c r="A1303" s="4" t="n">
        <v>2200</v>
      </c>
      <c r="B1303" s="5" t="inlineStr">
        <is>
          <t>IMG_0096</t>
        </is>
      </c>
      <c r="C1303" s="5" t="inlineStr">
        <is>
          <t>CLASS I: PIPEWORK - PIPES</t>
        </is>
      </c>
      <c r="D1303" s="5" t="inlineStr">
        <is>
          <t>02 CONCRETE PIPES</t>
        </is>
      </c>
      <c r="E1303" s="5" t="inlineStr">
        <is>
          <t>Concrete pipes with rebated flexible joints to BS 5911 Class 120; 375 mm pipes; in trenches, depth (continued)</t>
        </is>
      </c>
      <c r="F1303" s="5" t="inlineStr">
        <is>
          <t>5.50-6.00 m deep</t>
        </is>
      </c>
      <c r="G1303" s="6" t="inlineStr">
        <is>
          <t>m</t>
        </is>
      </c>
      <c r="H1303" s="7" t="n">
        <v>1.45</v>
      </c>
      <c r="I1303" s="8" t="n">
        <v>200.36</v>
      </c>
      <c r="J1303" s="8" t="n">
        <v>190.17</v>
      </c>
      <c r="K1303" s="8" t="n">
        <v>49.63</v>
      </c>
      <c r="L1303" s="8" t="n">
        <v>0</v>
      </c>
      <c r="M1303" s="9">
        <f>ROUND(SUM(I1303:L1303),2)</f>
        <v/>
      </c>
      <c r="N1303" s="10">
        <f>ROUND(I1303*'Irish Basis'!$C$6*'Irish Basis'!$C$5,2)</f>
        <v/>
      </c>
      <c r="O1303" s="10">
        <f>ROUND(J1303*'Irish Basis'!$C$7*'Irish Basis'!$C$5,2)</f>
        <v/>
      </c>
      <c r="P1303" s="10">
        <f>ROUND(K1303*'Irish Basis'!$C$8*'Irish Basis'!$C$5,2)</f>
        <v/>
      </c>
      <c r="Q1303" s="10">
        <f>ROUND(L1303*'Irish Basis'!$C$12*'Irish Basis'!$C$5,2)</f>
        <v/>
      </c>
      <c r="R1303" s="11">
        <f>ROUND(SUM(N1303:Q1303),2)</f>
        <v/>
      </c>
      <c r="S1303" s="5" t="inlineStr">
        <is>
          <t>Stated build-up</t>
        </is>
      </c>
      <c r="T1303" s="12" t="inlineStr">
        <is>
          <t>High</t>
        </is>
      </c>
      <c r="U1303" s="8" t="n">
        <v>440.16</v>
      </c>
      <c r="V1303" s="13">
        <f>IF(U1303="","",ROUND(M1303-U1303,2))</f>
        <v/>
      </c>
      <c r="W1303" s="5" t="n"/>
      <c r="X1303" s="5" t="inlineStr">
        <is>
          <t>Labour + plant + material as published; reconciles to the published rate.</t>
        </is>
      </c>
    </row>
    <row r="1304" ht="13" customHeight="1">
      <c r="A1304" s="4" t="n">
        <v>2201</v>
      </c>
      <c r="B1304" s="5" t="inlineStr">
        <is>
          <t>IMG_0096</t>
        </is>
      </c>
      <c r="C1304" s="5" t="inlineStr">
        <is>
          <t>CLASS I: PIPEWORK - PIPES</t>
        </is>
      </c>
      <c r="D1304" s="5" t="inlineStr">
        <is>
          <t>02 CONCRETE PIPES</t>
        </is>
      </c>
      <c r="E1304" s="5" t="inlineStr">
        <is>
          <t>Concrete pipes with rebated flexible joints to BS 5911 Class 120; 375 mm pipes; in trenches, depth (continued)</t>
        </is>
      </c>
      <c r="F1304" s="5" t="inlineStr">
        <is>
          <t>extra for bend</t>
        </is>
      </c>
      <c r="G1304" s="6" t="inlineStr">
        <is>
          <t>nr</t>
        </is>
      </c>
      <c r="H1304" s="7" t="n">
        <v>0.1</v>
      </c>
      <c r="I1304" s="8" t="n">
        <v>13.82</v>
      </c>
      <c r="J1304" s="8" t="n">
        <v>11.82</v>
      </c>
      <c r="K1304" s="8" t="n">
        <v>496.14</v>
      </c>
      <c r="L1304" s="8" t="n">
        <v>0</v>
      </c>
      <c r="M1304" s="9">
        <f>ROUND(SUM(I1304:L1304),2)</f>
        <v/>
      </c>
      <c r="N1304" s="10">
        <f>ROUND(I1304*'Irish Basis'!$C$6*'Irish Basis'!$C$5,2)</f>
        <v/>
      </c>
      <c r="O1304" s="10">
        <f>ROUND(J1304*'Irish Basis'!$C$7*'Irish Basis'!$C$5,2)</f>
        <v/>
      </c>
      <c r="P1304" s="10">
        <f>ROUND(K1304*'Irish Basis'!$C$8*'Irish Basis'!$C$5,2)</f>
        <v/>
      </c>
      <c r="Q1304" s="10">
        <f>ROUND(L1304*'Irish Basis'!$C$12*'Irish Basis'!$C$5,2)</f>
        <v/>
      </c>
      <c r="R1304" s="11">
        <f>ROUND(SUM(N1304:Q1304),2)</f>
        <v/>
      </c>
      <c r="S1304" s="5" t="inlineStr">
        <is>
          <t>Stated build-up</t>
        </is>
      </c>
      <c r="T1304" s="12" t="inlineStr">
        <is>
          <t>High</t>
        </is>
      </c>
      <c r="U1304" s="8" t="n">
        <v>521.77</v>
      </c>
      <c r="V1304" s="13">
        <f>IF(U1304="","",ROUND(M1304-U1304,2))</f>
        <v/>
      </c>
      <c r="W1304" s="5" t="n"/>
      <c r="X1304" s="5" t="inlineStr">
        <is>
          <t>Labour + plant + material as published; reconciles to the published rate.</t>
        </is>
      </c>
    </row>
    <row r="1305" ht="13" customHeight="1">
      <c r="A1305" s="4" t="n">
        <v>2203</v>
      </c>
      <c r="B1305" s="5" t="inlineStr">
        <is>
          <t>IMG_0096</t>
        </is>
      </c>
      <c r="C1305" s="5" t="inlineStr">
        <is>
          <t>CLASS I: PIPEWORK - PIPES</t>
        </is>
      </c>
      <c r="D1305" s="5" t="inlineStr">
        <is>
          <t>02 CONCRETE PIPES</t>
        </is>
      </c>
      <c r="E1305" s="5" t="inlineStr">
        <is>
          <t>450 mm pipes; in trenches, depth</t>
        </is>
      </c>
      <c r="F1305" s="5" t="inlineStr">
        <is>
          <t>not in trenches</t>
        </is>
      </c>
      <c r="G1305" s="6" t="inlineStr">
        <is>
          <t>m</t>
        </is>
      </c>
      <c r="H1305" s="7" t="n">
        <v>0.17</v>
      </c>
      <c r="I1305" s="8" t="n">
        <v>14.67</v>
      </c>
      <c r="J1305" s="8" t="n">
        <v>1.9</v>
      </c>
      <c r="K1305" s="8" t="n">
        <v>58.56</v>
      </c>
      <c r="L1305" s="8" t="n">
        <v>0</v>
      </c>
      <c r="M1305" s="9">
        <f>ROUND(SUM(I1305:L1305),2)</f>
        <v/>
      </c>
      <c r="N1305" s="10">
        <f>ROUND(I1305*'Irish Basis'!$C$6*'Irish Basis'!$C$5,2)</f>
        <v/>
      </c>
      <c r="O1305" s="10">
        <f>ROUND(J1305*'Irish Basis'!$C$7*'Irish Basis'!$C$5,2)</f>
        <v/>
      </c>
      <c r="P1305" s="10">
        <f>ROUND(K1305*'Irish Basis'!$C$8*'Irish Basis'!$C$5,2)</f>
        <v/>
      </c>
      <c r="Q1305" s="10">
        <f>ROUND(L1305*'Irish Basis'!$C$12*'Irish Basis'!$C$5,2)</f>
        <v/>
      </c>
      <c r="R1305" s="11">
        <f>ROUND(SUM(N1305:Q1305),2)</f>
        <v/>
      </c>
      <c r="S1305" s="5" t="inlineStr">
        <is>
          <t>Stated build-up</t>
        </is>
      </c>
      <c r="T1305" s="12" t="inlineStr">
        <is>
          <t>High</t>
        </is>
      </c>
      <c r="U1305" s="8" t="n">
        <v>75.13</v>
      </c>
      <c r="V1305" s="13">
        <f>IF(U1305="","",ROUND(M1305-U1305,2))</f>
        <v/>
      </c>
      <c r="W1305" s="5" t="n"/>
      <c r="X1305" s="5" t="inlineStr">
        <is>
          <t>Labour + plant + material as published; reconciles to the published rate.</t>
        </is>
      </c>
    </row>
    <row r="1306" ht="13" customHeight="1">
      <c r="A1306" s="4" t="n">
        <v>2204</v>
      </c>
      <c r="B1306" s="5" t="inlineStr">
        <is>
          <t>IMG_0096</t>
        </is>
      </c>
      <c r="C1306" s="5" t="inlineStr">
        <is>
          <t>CLASS I: PIPEWORK - PIPES</t>
        </is>
      </c>
      <c r="D1306" s="5" t="inlineStr">
        <is>
          <t>02 CONCRETE PIPES</t>
        </is>
      </c>
      <c r="E1306" s="5" t="inlineStr">
        <is>
          <t>450 mm pipes; in trenches, depth</t>
        </is>
      </c>
      <c r="F1306" s="5" t="inlineStr">
        <is>
          <t>ne 1.50 m deep</t>
        </is>
      </c>
      <c r="G1306" s="6" t="inlineStr">
        <is>
          <t>m</t>
        </is>
      </c>
      <c r="H1306" s="7" t="n">
        <v>0.25</v>
      </c>
      <c r="I1306" s="8" t="n">
        <v>34.55</v>
      </c>
      <c r="J1306" s="8" t="n">
        <v>32.65</v>
      </c>
      <c r="K1306" s="8" t="n">
        <v>58.56</v>
      </c>
      <c r="L1306" s="8" t="n">
        <v>0</v>
      </c>
      <c r="M1306" s="9">
        <f>ROUND(SUM(I1306:L1306),2)</f>
        <v/>
      </c>
      <c r="N1306" s="10">
        <f>ROUND(I1306*'Irish Basis'!$C$6*'Irish Basis'!$C$5,2)</f>
        <v/>
      </c>
      <c r="O1306" s="10">
        <f>ROUND(J1306*'Irish Basis'!$C$7*'Irish Basis'!$C$5,2)</f>
        <v/>
      </c>
      <c r="P1306" s="10">
        <f>ROUND(K1306*'Irish Basis'!$C$8*'Irish Basis'!$C$5,2)</f>
        <v/>
      </c>
      <c r="Q1306" s="10">
        <f>ROUND(L1306*'Irish Basis'!$C$12*'Irish Basis'!$C$5,2)</f>
        <v/>
      </c>
      <c r="R1306" s="11">
        <f>ROUND(SUM(N1306:Q1306),2)</f>
        <v/>
      </c>
      <c r="S1306" s="5" t="inlineStr">
        <is>
          <t>Stated build-up</t>
        </is>
      </c>
      <c r="T1306" s="12" t="inlineStr">
        <is>
          <t>High</t>
        </is>
      </c>
      <c r="U1306" s="8" t="n">
        <v>125.75</v>
      </c>
      <c r="V1306" s="13">
        <f>IF(U1306="","",ROUND(M1306-U1306,2))</f>
        <v/>
      </c>
      <c r="W1306" s="5" t="n"/>
      <c r="X1306" s="5" t="inlineStr">
        <is>
          <t>Labour + plant + material as published; reconciles to the published rate.</t>
        </is>
      </c>
    </row>
    <row r="1307" ht="13" customHeight="1">
      <c r="A1307" s="4" t="n">
        <v>2205</v>
      </c>
      <c r="B1307" s="5" t="inlineStr">
        <is>
          <t>IMG_0096</t>
        </is>
      </c>
      <c r="C1307" s="5" t="inlineStr">
        <is>
          <t>CLASS I: PIPEWORK - PIPES</t>
        </is>
      </c>
      <c r="D1307" s="5" t="inlineStr">
        <is>
          <t>02 CONCRETE PIPES</t>
        </is>
      </c>
      <c r="E1307" s="5" t="inlineStr">
        <is>
          <t>450 mm pipes; in trenches, depth</t>
        </is>
      </c>
      <c r="F1307" s="5" t="inlineStr">
        <is>
          <t>1.50-2.00 m deep</t>
        </is>
      </c>
      <c r="G1307" s="6" t="inlineStr">
        <is>
          <t>m</t>
        </is>
      </c>
      <c r="H1307" s="7" t="n">
        <v>0.31</v>
      </c>
      <c r="I1307" s="8" t="n">
        <v>42.84</v>
      </c>
      <c r="J1307" s="8" t="n">
        <v>40.52</v>
      </c>
      <c r="K1307" s="8" t="n">
        <v>58.56</v>
      </c>
      <c r="L1307" s="8" t="n">
        <v>0</v>
      </c>
      <c r="M1307" s="9">
        <f>ROUND(SUM(I1307:L1307),2)</f>
        <v/>
      </c>
      <c r="N1307" s="10">
        <f>ROUND(I1307*'Irish Basis'!$C$6*'Irish Basis'!$C$5,2)</f>
        <v/>
      </c>
      <c r="O1307" s="10">
        <f>ROUND(J1307*'Irish Basis'!$C$7*'Irish Basis'!$C$5,2)</f>
        <v/>
      </c>
      <c r="P1307" s="10">
        <f>ROUND(K1307*'Irish Basis'!$C$8*'Irish Basis'!$C$5,2)</f>
        <v/>
      </c>
      <c r="Q1307" s="10">
        <f>ROUND(L1307*'Irish Basis'!$C$12*'Irish Basis'!$C$5,2)</f>
        <v/>
      </c>
      <c r="R1307" s="11">
        <f>ROUND(SUM(N1307:Q1307),2)</f>
        <v/>
      </c>
      <c r="S1307" s="5" t="inlineStr">
        <is>
          <t>Stated build-up</t>
        </is>
      </c>
      <c r="T1307" s="12" t="inlineStr">
        <is>
          <t>High</t>
        </is>
      </c>
      <c r="U1307" s="8" t="n">
        <v>141.92</v>
      </c>
      <c r="V1307" s="13">
        <f>IF(U1307="","",ROUND(M1307-U1307,2))</f>
        <v/>
      </c>
      <c r="W1307" s="5" t="n"/>
      <c r="X1307" s="5" t="inlineStr">
        <is>
          <t>Labour + plant + material as published; reconciles to the published rate.</t>
        </is>
      </c>
    </row>
    <row r="1308" ht="13" customHeight="1">
      <c r="A1308" s="4" t="n">
        <v>2206</v>
      </c>
      <c r="B1308" s="5" t="inlineStr">
        <is>
          <t>IMG_0096</t>
        </is>
      </c>
      <c r="C1308" s="5" t="inlineStr">
        <is>
          <t>CLASS I: PIPEWORK - PIPES</t>
        </is>
      </c>
      <c r="D1308" s="5" t="inlineStr">
        <is>
          <t>02 CONCRETE PIPES</t>
        </is>
      </c>
      <c r="E1308" s="5" t="inlineStr">
        <is>
          <t>450 mm pipes; in trenches, depth</t>
        </is>
      </c>
      <c r="F1308" s="5" t="inlineStr">
        <is>
          <t>2.00-2.50 m deep</t>
        </is>
      </c>
      <c r="G1308" s="6" t="inlineStr">
        <is>
          <t>m</t>
        </is>
      </c>
      <c r="H1308" s="7" t="n">
        <v>0.35</v>
      </c>
      <c r="I1308" s="8" t="n">
        <v>48.36</v>
      </c>
      <c r="J1308" s="8" t="n">
        <v>45.79</v>
      </c>
      <c r="K1308" s="8" t="n">
        <v>58.56</v>
      </c>
      <c r="L1308" s="8" t="n">
        <v>0</v>
      </c>
      <c r="M1308" s="9">
        <f>ROUND(SUM(I1308:L1308),2)</f>
        <v/>
      </c>
      <c r="N1308" s="10">
        <f>ROUND(I1308*'Irish Basis'!$C$6*'Irish Basis'!$C$5,2)</f>
        <v/>
      </c>
      <c r="O1308" s="10">
        <f>ROUND(J1308*'Irish Basis'!$C$7*'Irish Basis'!$C$5,2)</f>
        <v/>
      </c>
      <c r="P1308" s="10">
        <f>ROUND(K1308*'Irish Basis'!$C$8*'Irish Basis'!$C$5,2)</f>
        <v/>
      </c>
      <c r="Q1308" s="10">
        <f>ROUND(L1308*'Irish Basis'!$C$12*'Irish Basis'!$C$5,2)</f>
        <v/>
      </c>
      <c r="R1308" s="11">
        <f>ROUND(SUM(N1308:Q1308),2)</f>
        <v/>
      </c>
      <c r="S1308" s="5" t="inlineStr">
        <is>
          <t>Stated build-up</t>
        </is>
      </c>
      <c r="T1308" s="12" t="inlineStr">
        <is>
          <t>High</t>
        </is>
      </c>
      <c r="U1308" s="8" t="n">
        <v>152.72</v>
      </c>
      <c r="V1308" s="13">
        <f>IF(U1308="","",ROUND(M1308-U1308,2))</f>
        <v/>
      </c>
      <c r="W1308" s="5" t="n"/>
      <c r="X1308" s="5" t="inlineStr">
        <is>
          <t>Labour + plant + material as published; reconciles to the published rate.</t>
        </is>
      </c>
    </row>
    <row r="1309" ht="13" customHeight="1">
      <c r="A1309" s="4" t="n">
        <v>2207</v>
      </c>
      <c r="B1309" s="5" t="inlineStr">
        <is>
          <t>IMG_0096</t>
        </is>
      </c>
      <c r="C1309" s="5" t="inlineStr">
        <is>
          <t>CLASS I: PIPEWORK - PIPES</t>
        </is>
      </c>
      <c r="D1309" s="5" t="inlineStr">
        <is>
          <t>02 CONCRETE PIPES</t>
        </is>
      </c>
      <c r="E1309" s="5" t="inlineStr">
        <is>
          <t>450 mm pipes; in trenches, depth</t>
        </is>
      </c>
      <c r="F1309" s="5" t="inlineStr">
        <is>
          <t>2.50-3.00 m deep</t>
        </is>
      </c>
      <c r="G1309" s="6" t="inlineStr">
        <is>
          <t>m</t>
        </is>
      </c>
      <c r="H1309" s="7" t="n">
        <v>0.4</v>
      </c>
      <c r="I1309" s="8" t="n">
        <v>55.27</v>
      </c>
      <c r="J1309" s="8" t="n">
        <v>52.32</v>
      </c>
      <c r="K1309" s="8" t="n">
        <v>58.56</v>
      </c>
      <c r="L1309" s="8" t="n">
        <v>0</v>
      </c>
      <c r="M1309" s="9">
        <f>ROUND(SUM(I1309:L1309),2)</f>
        <v/>
      </c>
      <c r="N1309" s="10">
        <f>ROUND(I1309*'Irish Basis'!$C$6*'Irish Basis'!$C$5,2)</f>
        <v/>
      </c>
      <c r="O1309" s="10">
        <f>ROUND(J1309*'Irish Basis'!$C$7*'Irish Basis'!$C$5,2)</f>
        <v/>
      </c>
      <c r="P1309" s="10">
        <f>ROUND(K1309*'Irish Basis'!$C$8*'Irish Basis'!$C$5,2)</f>
        <v/>
      </c>
      <c r="Q1309" s="10">
        <f>ROUND(L1309*'Irish Basis'!$C$12*'Irish Basis'!$C$5,2)</f>
        <v/>
      </c>
      <c r="R1309" s="11">
        <f>ROUND(SUM(N1309:Q1309),2)</f>
        <v/>
      </c>
      <c r="S1309" s="5" t="inlineStr">
        <is>
          <t>Stated build-up</t>
        </is>
      </c>
      <c r="T1309" s="12" t="inlineStr">
        <is>
          <t>High</t>
        </is>
      </c>
      <c r="U1309" s="8" t="n">
        <v>166.16</v>
      </c>
      <c r="V1309" s="13">
        <f>IF(U1309="","",ROUND(M1309-U1309,2))</f>
        <v/>
      </c>
      <c r="W1309" s="5" t="n"/>
      <c r="X1309" s="5" t="inlineStr">
        <is>
          <t>Labour + plant + material as published; reconciles to the published rate.</t>
        </is>
      </c>
    </row>
    <row r="1310" ht="13" customHeight="1">
      <c r="A1310" s="4" t="n">
        <v>2208</v>
      </c>
      <c r="B1310" s="5" t="inlineStr">
        <is>
          <t>IMG_0096</t>
        </is>
      </c>
      <c r="C1310" s="5" t="inlineStr">
        <is>
          <t>CLASS I: PIPEWORK - PIPES</t>
        </is>
      </c>
      <c r="D1310" s="5" t="inlineStr">
        <is>
          <t>02 CONCRETE PIPES</t>
        </is>
      </c>
      <c r="E1310" s="5" t="inlineStr">
        <is>
          <t>450 mm pipes; in trenches, depth</t>
        </is>
      </c>
      <c r="F1310" s="5" t="inlineStr">
        <is>
          <t>3.00-3.50 m deep</t>
        </is>
      </c>
      <c r="G1310" s="6" t="inlineStr">
        <is>
          <t>m</t>
        </is>
      </c>
      <c r="H1310" s="7" t="n">
        <v>0.48</v>
      </c>
      <c r="I1310" s="8" t="n">
        <v>66.33</v>
      </c>
      <c r="J1310" s="8" t="n">
        <v>62.87</v>
      </c>
      <c r="K1310" s="8" t="n">
        <v>58.56</v>
      </c>
      <c r="L1310" s="8" t="n">
        <v>0</v>
      </c>
      <c r="M1310" s="9">
        <f>ROUND(SUM(I1310:L1310),2)</f>
        <v/>
      </c>
      <c r="N1310" s="10">
        <f>ROUND(I1310*'Irish Basis'!$C$6*'Irish Basis'!$C$5,2)</f>
        <v/>
      </c>
      <c r="O1310" s="10">
        <f>ROUND(J1310*'Irish Basis'!$C$7*'Irish Basis'!$C$5,2)</f>
        <v/>
      </c>
      <c r="P1310" s="10">
        <f>ROUND(K1310*'Irish Basis'!$C$8*'Irish Basis'!$C$5,2)</f>
        <v/>
      </c>
      <c r="Q1310" s="10">
        <f>ROUND(L1310*'Irish Basis'!$C$12*'Irish Basis'!$C$5,2)</f>
        <v/>
      </c>
      <c r="R1310" s="11">
        <f>ROUND(SUM(N1310:Q1310),2)</f>
        <v/>
      </c>
      <c r="S1310" s="5" t="inlineStr">
        <is>
          <t>Stated build-up</t>
        </is>
      </c>
      <c r="T1310" s="12" t="inlineStr">
        <is>
          <t>High</t>
        </is>
      </c>
      <c r="U1310" s="8" t="n">
        <v>187.76</v>
      </c>
      <c r="V1310" s="13">
        <f>IF(U1310="","",ROUND(M1310-U1310,2))</f>
        <v/>
      </c>
      <c r="W1310" s="5" t="n"/>
      <c r="X1310" s="5" t="inlineStr">
        <is>
          <t>Labour + plant + material as published; reconciles to the published rate.</t>
        </is>
      </c>
    </row>
    <row r="1311" ht="13" customHeight="1">
      <c r="A1311" s="4" t="n">
        <v>2209</v>
      </c>
      <c r="B1311" s="5" t="inlineStr">
        <is>
          <t>IMG_0096</t>
        </is>
      </c>
      <c r="C1311" s="5" t="inlineStr">
        <is>
          <t>CLASS I: PIPEWORK - PIPES</t>
        </is>
      </c>
      <c r="D1311" s="5" t="inlineStr">
        <is>
          <t>02 CONCRETE PIPES</t>
        </is>
      </c>
      <c r="E1311" s="5" t="inlineStr">
        <is>
          <t>450 mm pipes; in trenches, depth</t>
        </is>
      </c>
      <c r="F1311" s="5" t="inlineStr">
        <is>
          <t>3.50-4.00 m deep</t>
        </is>
      </c>
      <c r="G1311" s="6" t="inlineStr">
        <is>
          <t>m</t>
        </is>
      </c>
      <c r="H1311" s="7" t="n">
        <v>0.63</v>
      </c>
      <c r="I1311" s="8" t="n">
        <v>87.05</v>
      </c>
      <c r="J1311" s="8" t="n">
        <v>82.48</v>
      </c>
      <c r="K1311" s="8" t="n">
        <v>58.56</v>
      </c>
      <c r="L1311" s="8" t="n">
        <v>0</v>
      </c>
      <c r="M1311" s="9">
        <f>ROUND(SUM(I1311:L1311),2)</f>
        <v/>
      </c>
      <c r="N1311" s="10">
        <f>ROUND(I1311*'Irish Basis'!$C$6*'Irish Basis'!$C$5,2)</f>
        <v/>
      </c>
      <c r="O1311" s="10">
        <f>ROUND(J1311*'Irish Basis'!$C$7*'Irish Basis'!$C$5,2)</f>
        <v/>
      </c>
      <c r="P1311" s="10">
        <f>ROUND(K1311*'Irish Basis'!$C$8*'Irish Basis'!$C$5,2)</f>
        <v/>
      </c>
      <c r="Q1311" s="10">
        <f>ROUND(L1311*'Irish Basis'!$C$12*'Irish Basis'!$C$5,2)</f>
        <v/>
      </c>
      <c r="R1311" s="11">
        <f>ROUND(SUM(N1311:Q1311),2)</f>
        <v/>
      </c>
      <c r="S1311" s="5" t="inlineStr">
        <is>
          <t>Stated build-up</t>
        </is>
      </c>
      <c r="T1311" s="12" t="inlineStr">
        <is>
          <t>High</t>
        </is>
      </c>
      <c r="U1311" s="8" t="n">
        <v>228.1</v>
      </c>
      <c r="V1311" s="13">
        <f>IF(U1311="","",ROUND(M1311-U1311,2))</f>
        <v/>
      </c>
      <c r="W1311" s="5" t="n"/>
      <c r="X1311" s="5" t="inlineStr">
        <is>
          <t>Labour + plant + material as published; reconciles to the published rate.</t>
        </is>
      </c>
    </row>
    <row r="1312" ht="13" customHeight="1">
      <c r="A1312" s="4" t="n">
        <v>2210</v>
      </c>
      <c r="B1312" s="5" t="inlineStr">
        <is>
          <t>IMG_0096</t>
        </is>
      </c>
      <c r="C1312" s="5" t="inlineStr">
        <is>
          <t>CLASS I: PIPEWORK - PIPES</t>
        </is>
      </c>
      <c r="D1312" s="5" t="inlineStr">
        <is>
          <t>02 CONCRETE PIPES</t>
        </is>
      </c>
      <c r="E1312" s="5" t="inlineStr">
        <is>
          <t>450 mm pipes; in trenches, depth</t>
        </is>
      </c>
      <c r="F1312" s="5" t="inlineStr">
        <is>
          <t>4.00-4.50 m deep</t>
        </is>
      </c>
      <c r="G1312" s="6" t="inlineStr">
        <is>
          <t>m</t>
        </is>
      </c>
      <c r="H1312" s="7" t="n">
        <v>0.8</v>
      </c>
      <c r="I1312" s="8" t="n">
        <v>110.54</v>
      </c>
      <c r="J1312" s="8" t="n">
        <v>104.79</v>
      </c>
      <c r="K1312" s="8" t="n">
        <v>58.56</v>
      </c>
      <c r="L1312" s="8" t="n">
        <v>0</v>
      </c>
      <c r="M1312" s="9">
        <f>ROUND(SUM(I1312:L1312),2)</f>
        <v/>
      </c>
      <c r="N1312" s="10">
        <f>ROUND(I1312*'Irish Basis'!$C$6*'Irish Basis'!$C$5,2)</f>
        <v/>
      </c>
      <c r="O1312" s="10">
        <f>ROUND(J1312*'Irish Basis'!$C$7*'Irish Basis'!$C$5,2)</f>
        <v/>
      </c>
      <c r="P1312" s="10">
        <f>ROUND(K1312*'Irish Basis'!$C$8*'Irish Basis'!$C$5,2)</f>
        <v/>
      </c>
      <c r="Q1312" s="10">
        <f>ROUND(L1312*'Irish Basis'!$C$12*'Irish Basis'!$C$5,2)</f>
        <v/>
      </c>
      <c r="R1312" s="11">
        <f>ROUND(SUM(N1312:Q1312),2)</f>
        <v/>
      </c>
      <c r="S1312" s="5" t="inlineStr">
        <is>
          <t>Stated build-up</t>
        </is>
      </c>
      <c r="T1312" s="12" t="inlineStr">
        <is>
          <t>High</t>
        </is>
      </c>
      <c r="U1312" s="8" t="n">
        <v>273.89</v>
      </c>
      <c r="V1312" s="13">
        <f>IF(U1312="","",ROUND(M1312-U1312,2))</f>
        <v/>
      </c>
      <c r="W1312" s="5" t="n"/>
      <c r="X1312" s="5" t="inlineStr">
        <is>
          <t>Labour + plant + material as published; reconciles to the published rate.</t>
        </is>
      </c>
    </row>
    <row r="1313" ht="13" customHeight="1">
      <c r="A1313" s="4" t="n">
        <v>2211</v>
      </c>
      <c r="B1313" s="5" t="inlineStr">
        <is>
          <t>IMG_0096</t>
        </is>
      </c>
      <c r="C1313" s="5" t="inlineStr">
        <is>
          <t>CLASS I: PIPEWORK - PIPES</t>
        </is>
      </c>
      <c r="D1313" s="5" t="inlineStr">
        <is>
          <t>02 CONCRETE PIPES</t>
        </is>
      </c>
      <c r="E1313" s="5" t="inlineStr">
        <is>
          <t>450 mm pipes; in trenches, depth</t>
        </is>
      </c>
      <c r="F1313" s="5" t="inlineStr">
        <is>
          <t>4.50-5.00 m deep</t>
        </is>
      </c>
      <c r="G1313" s="6" t="inlineStr">
        <is>
          <t>m</t>
        </is>
      </c>
      <c r="H1313" s="7" t="n">
        <v>1</v>
      </c>
      <c r="I1313" s="8" t="n">
        <v>138.18</v>
      </c>
      <c r="J1313" s="8" t="n">
        <v>131.04</v>
      </c>
      <c r="K1313" s="8" t="n">
        <v>58.56</v>
      </c>
      <c r="L1313" s="8" t="n">
        <v>0</v>
      </c>
      <c r="M1313" s="9">
        <f>ROUND(SUM(I1313:L1313),2)</f>
        <v/>
      </c>
      <c r="N1313" s="10">
        <f>ROUND(I1313*'Irish Basis'!$C$6*'Irish Basis'!$C$5,2)</f>
        <v/>
      </c>
      <c r="O1313" s="10">
        <f>ROUND(J1313*'Irish Basis'!$C$7*'Irish Basis'!$C$5,2)</f>
        <v/>
      </c>
      <c r="P1313" s="10">
        <f>ROUND(K1313*'Irish Basis'!$C$8*'Irish Basis'!$C$5,2)</f>
        <v/>
      </c>
      <c r="Q1313" s="10">
        <f>ROUND(L1313*'Irish Basis'!$C$12*'Irish Basis'!$C$5,2)</f>
        <v/>
      </c>
      <c r="R1313" s="11">
        <f>ROUND(SUM(N1313:Q1313),2)</f>
        <v/>
      </c>
      <c r="S1313" s="5" t="inlineStr">
        <is>
          <t>Stated build-up</t>
        </is>
      </c>
      <c r="T1313" s="12" t="inlineStr">
        <is>
          <t>High</t>
        </is>
      </c>
      <c r="U1313" s="8" t="n">
        <v>327.78</v>
      </c>
      <c r="V1313" s="13">
        <f>IF(U1313="","",ROUND(M1313-U1313,2))</f>
        <v/>
      </c>
      <c r="W1313" s="5" t="n"/>
      <c r="X1313" s="5" t="inlineStr">
        <is>
          <t>Labour + plant + material as published; reconciles to the published rate.</t>
        </is>
      </c>
    </row>
    <row r="1314" ht="13" customHeight="1">
      <c r="A1314" s="4" t="n">
        <v>2212</v>
      </c>
      <c r="B1314" s="5" t="inlineStr">
        <is>
          <t>IMG_0096</t>
        </is>
      </c>
      <c r="C1314" s="5" t="inlineStr">
        <is>
          <t>CLASS I: PIPEWORK - PIPES</t>
        </is>
      </c>
      <c r="D1314" s="5" t="inlineStr">
        <is>
          <t>02 CONCRETE PIPES</t>
        </is>
      </c>
      <c r="E1314" s="5" t="inlineStr">
        <is>
          <t>450 mm pipes; in trenches, depth</t>
        </is>
      </c>
      <c r="F1314" s="5" t="inlineStr">
        <is>
          <t>5.00-5.50 m deep</t>
        </is>
      </c>
      <c r="G1314" s="6" t="inlineStr">
        <is>
          <t>m</t>
        </is>
      </c>
      <c r="H1314" s="7" t="n">
        <v>1.25</v>
      </c>
      <c r="I1314" s="8" t="n">
        <v>172.73</v>
      </c>
      <c r="J1314" s="8" t="n">
        <v>163.87</v>
      </c>
      <c r="K1314" s="8" t="n">
        <v>58.56</v>
      </c>
      <c r="L1314" s="8" t="n">
        <v>0</v>
      </c>
      <c r="M1314" s="9">
        <f>ROUND(SUM(I1314:L1314),2)</f>
        <v/>
      </c>
      <c r="N1314" s="10">
        <f>ROUND(I1314*'Irish Basis'!$C$6*'Irish Basis'!$C$5,2)</f>
        <v/>
      </c>
      <c r="O1314" s="10">
        <f>ROUND(J1314*'Irish Basis'!$C$7*'Irish Basis'!$C$5,2)</f>
        <v/>
      </c>
      <c r="P1314" s="10">
        <f>ROUND(K1314*'Irish Basis'!$C$8*'Irish Basis'!$C$5,2)</f>
        <v/>
      </c>
      <c r="Q1314" s="10">
        <f>ROUND(L1314*'Irish Basis'!$C$12*'Irish Basis'!$C$5,2)</f>
        <v/>
      </c>
      <c r="R1314" s="11">
        <f>ROUND(SUM(N1314:Q1314),2)</f>
        <v/>
      </c>
      <c r="S1314" s="5" t="inlineStr">
        <is>
          <t>Stated build-up</t>
        </is>
      </c>
      <c r="T1314" s="12" t="inlineStr">
        <is>
          <t>High</t>
        </is>
      </c>
      <c r="U1314" s="8" t="n">
        <v>395.16</v>
      </c>
      <c r="V1314" s="13">
        <f>IF(U1314="","",ROUND(M1314-U1314,2))</f>
        <v/>
      </c>
      <c r="W1314" s="5" t="n"/>
      <c r="X1314" s="5" t="inlineStr">
        <is>
          <t>Labour + plant + material as published; reconciles to the published rate.</t>
        </is>
      </c>
    </row>
    <row r="1315" ht="13" customHeight="1">
      <c r="A1315" s="4" t="n">
        <v>2213</v>
      </c>
      <c r="B1315" s="5" t="inlineStr">
        <is>
          <t>IMG_0096</t>
        </is>
      </c>
      <c r="C1315" s="5" t="inlineStr">
        <is>
          <t>CLASS I: PIPEWORK - PIPES</t>
        </is>
      </c>
      <c r="D1315" s="5" t="inlineStr">
        <is>
          <t>02 CONCRETE PIPES</t>
        </is>
      </c>
      <c r="E1315" s="5" t="inlineStr">
        <is>
          <t>450 mm pipes; in trenches, depth</t>
        </is>
      </c>
      <c r="F1315" s="5" t="inlineStr">
        <is>
          <t>5.50-6.00 m deep</t>
        </is>
      </c>
      <c r="G1315" s="6" t="inlineStr">
        <is>
          <t>m</t>
        </is>
      </c>
      <c r="H1315" s="7" t="n">
        <v>1.51</v>
      </c>
      <c r="I1315" s="8" t="n">
        <v>208.65</v>
      </c>
      <c r="J1315" s="8" t="n">
        <v>198.01</v>
      </c>
      <c r="K1315" s="8" t="n">
        <v>58.56</v>
      </c>
      <c r="L1315" s="8" t="n">
        <v>0</v>
      </c>
      <c r="M1315" s="9">
        <f>ROUND(SUM(I1315:L1315),2)</f>
        <v/>
      </c>
      <c r="N1315" s="10">
        <f>ROUND(I1315*'Irish Basis'!$C$6*'Irish Basis'!$C$5,2)</f>
        <v/>
      </c>
      <c r="O1315" s="10">
        <f>ROUND(J1315*'Irish Basis'!$C$7*'Irish Basis'!$C$5,2)</f>
        <v/>
      </c>
      <c r="P1315" s="10">
        <f>ROUND(K1315*'Irish Basis'!$C$8*'Irish Basis'!$C$5,2)</f>
        <v/>
      </c>
      <c r="Q1315" s="10">
        <f>ROUND(L1315*'Irish Basis'!$C$12*'Irish Basis'!$C$5,2)</f>
        <v/>
      </c>
      <c r="R1315" s="11">
        <f>ROUND(SUM(N1315:Q1315),2)</f>
        <v/>
      </c>
      <c r="S1315" s="5" t="inlineStr">
        <is>
          <t>Stated build-up</t>
        </is>
      </c>
      <c r="T1315" s="12" t="inlineStr">
        <is>
          <t>High</t>
        </is>
      </c>
      <c r="U1315" s="8" t="n">
        <v>465.23</v>
      </c>
      <c r="V1315" s="13">
        <f>IF(U1315="","",ROUND(M1315-U1315,2))</f>
        <v/>
      </c>
      <c r="W1315" s="5" t="n"/>
      <c r="X1315" s="5" t="inlineStr">
        <is>
          <t>Labour + plant + material as published; reconciles to the published rate.</t>
        </is>
      </c>
    </row>
    <row r="1316" ht="13" customHeight="1">
      <c r="A1316" s="4" t="n">
        <v>2214</v>
      </c>
      <c r="B1316" s="5" t="inlineStr">
        <is>
          <t>IMG_0096</t>
        </is>
      </c>
      <c r="C1316" s="5" t="inlineStr">
        <is>
          <t>CLASS I: PIPEWORK - PIPES</t>
        </is>
      </c>
      <c r="D1316" s="5" t="inlineStr">
        <is>
          <t>02 CONCRETE PIPES</t>
        </is>
      </c>
      <c r="E1316" s="5" t="inlineStr">
        <is>
          <t>450 mm pipes; in trenches, depth</t>
        </is>
      </c>
      <c r="F1316" s="5" t="inlineStr">
        <is>
          <t>extra for bend</t>
        </is>
      </c>
      <c r="G1316" s="6" t="inlineStr">
        <is>
          <t>nr</t>
        </is>
      </c>
      <c r="H1316" s="7" t="n">
        <v>0.13</v>
      </c>
      <c r="I1316" s="8" t="n">
        <v>17.96</v>
      </c>
      <c r="J1316" s="8" t="n">
        <v>16.93</v>
      </c>
      <c r="K1316" s="8" t="n">
        <v>585.79</v>
      </c>
      <c r="L1316" s="8" t="n">
        <v>0</v>
      </c>
      <c r="M1316" s="9">
        <f>ROUND(SUM(I1316:L1316),2)</f>
        <v/>
      </c>
      <c r="N1316" s="10">
        <f>ROUND(I1316*'Irish Basis'!$C$6*'Irish Basis'!$C$5,2)</f>
        <v/>
      </c>
      <c r="O1316" s="10">
        <f>ROUND(J1316*'Irish Basis'!$C$7*'Irish Basis'!$C$5,2)</f>
        <v/>
      </c>
      <c r="P1316" s="10">
        <f>ROUND(K1316*'Irish Basis'!$C$8*'Irish Basis'!$C$5,2)</f>
        <v/>
      </c>
      <c r="Q1316" s="10">
        <f>ROUND(L1316*'Irish Basis'!$C$12*'Irish Basis'!$C$5,2)</f>
        <v/>
      </c>
      <c r="R1316" s="11">
        <f>ROUND(SUM(N1316:Q1316),2)</f>
        <v/>
      </c>
      <c r="S1316" s="5" t="inlineStr">
        <is>
          <t>Stated build-up</t>
        </is>
      </c>
      <c r="T1316" s="12" t="inlineStr">
        <is>
          <t>High</t>
        </is>
      </c>
      <c r="U1316" s="8" t="n">
        <v>620.6799999999999</v>
      </c>
      <c r="V1316" s="13">
        <f>IF(U1316="","",ROUND(M1316-U1316,2))</f>
        <v/>
      </c>
      <c r="W1316" s="5" t="n"/>
      <c r="X1316" s="5" t="inlineStr">
        <is>
          <t>Labour + plant + material as published; reconciles to the published rate.</t>
        </is>
      </c>
    </row>
    <row r="1317" ht="13" customHeight="1">
      <c r="A1317" s="4" t="n">
        <v>2216</v>
      </c>
      <c r="B1317" s="5" t="inlineStr">
        <is>
          <t>IMG_0096</t>
        </is>
      </c>
      <c r="C1317" s="5" t="inlineStr">
        <is>
          <t>CLASS I: PIPEWORK - PIPES</t>
        </is>
      </c>
      <c r="D1317" s="5" t="inlineStr">
        <is>
          <t>02 CONCRETE PIPES</t>
        </is>
      </c>
      <c r="E1317" s="5" t="inlineStr">
        <is>
          <t>525 mm pipes; in trenches, depth</t>
        </is>
      </c>
      <c r="F1317" s="5" t="inlineStr">
        <is>
          <t>not in trenches</t>
        </is>
      </c>
      <c r="G1317" s="6" t="inlineStr">
        <is>
          <t>m</t>
        </is>
      </c>
      <c r="H1317" s="7" t="n">
        <v>0.2</v>
      </c>
      <c r="I1317" s="8" t="n">
        <v>17.26</v>
      </c>
      <c r="J1317" s="8" t="n">
        <v>2.22</v>
      </c>
      <c r="K1317" s="8" t="n">
        <v>76.89</v>
      </c>
      <c r="L1317" s="8" t="n">
        <v>0</v>
      </c>
      <c r="M1317" s="9">
        <f>ROUND(SUM(I1317:L1317),2)</f>
        <v/>
      </c>
      <c r="N1317" s="10">
        <f>ROUND(I1317*'Irish Basis'!$C$6*'Irish Basis'!$C$5,2)</f>
        <v/>
      </c>
      <c r="O1317" s="10">
        <f>ROUND(J1317*'Irish Basis'!$C$7*'Irish Basis'!$C$5,2)</f>
        <v/>
      </c>
      <c r="P1317" s="10">
        <f>ROUND(K1317*'Irish Basis'!$C$8*'Irish Basis'!$C$5,2)</f>
        <v/>
      </c>
      <c r="Q1317" s="10">
        <f>ROUND(L1317*'Irish Basis'!$C$12*'Irish Basis'!$C$5,2)</f>
        <v/>
      </c>
      <c r="R1317" s="11">
        <f>ROUND(SUM(N1317:Q1317),2)</f>
        <v/>
      </c>
      <c r="S1317" s="5" t="inlineStr">
        <is>
          <t>Stated build-up</t>
        </is>
      </c>
      <c r="T1317" s="12" t="inlineStr">
        <is>
          <t>High</t>
        </is>
      </c>
      <c r="U1317" s="8" t="n">
        <v>96.37</v>
      </c>
      <c r="V1317" s="13">
        <f>IF(U1317="","",ROUND(M1317-U1317,2))</f>
        <v/>
      </c>
      <c r="W1317" s="5" t="n"/>
      <c r="X1317" s="5" t="inlineStr">
        <is>
          <t>Labour + plant + material as published; reconciles to the published rate.</t>
        </is>
      </c>
    </row>
    <row r="1318" ht="13" customHeight="1">
      <c r="A1318" s="4" t="n">
        <v>2217</v>
      </c>
      <c r="B1318" s="5" t="inlineStr">
        <is>
          <t>IMG_0096</t>
        </is>
      </c>
      <c r="C1318" s="5" t="inlineStr">
        <is>
          <t>CLASS I: PIPEWORK - PIPES</t>
        </is>
      </c>
      <c r="D1318" s="5" t="inlineStr">
        <is>
          <t>02 CONCRETE PIPES</t>
        </is>
      </c>
      <c r="E1318" s="5" t="inlineStr">
        <is>
          <t>525 mm pipes; in trenches, depth</t>
        </is>
      </c>
      <c r="F1318" s="5" t="inlineStr">
        <is>
          <t>ne 1.50 m deep</t>
        </is>
      </c>
      <c r="G1318" s="6" t="inlineStr">
        <is>
          <t>m</t>
        </is>
      </c>
      <c r="H1318" s="7" t="n">
        <v>0.27</v>
      </c>
      <c r="I1318" s="8" t="n">
        <v>37.31</v>
      </c>
      <c r="J1318" s="8" t="n">
        <v>35.23</v>
      </c>
      <c r="K1318" s="8" t="n">
        <v>76.89</v>
      </c>
      <c r="L1318" s="8" t="n">
        <v>0</v>
      </c>
      <c r="M1318" s="9">
        <f>ROUND(SUM(I1318:L1318),2)</f>
        <v/>
      </c>
      <c r="N1318" s="10">
        <f>ROUND(I1318*'Irish Basis'!$C$6*'Irish Basis'!$C$5,2)</f>
        <v/>
      </c>
      <c r="O1318" s="10">
        <f>ROUND(J1318*'Irish Basis'!$C$7*'Irish Basis'!$C$5,2)</f>
        <v/>
      </c>
      <c r="P1318" s="10">
        <f>ROUND(K1318*'Irish Basis'!$C$8*'Irish Basis'!$C$5,2)</f>
        <v/>
      </c>
      <c r="Q1318" s="10">
        <f>ROUND(L1318*'Irish Basis'!$C$12*'Irish Basis'!$C$5,2)</f>
        <v/>
      </c>
      <c r="R1318" s="11">
        <f>ROUND(SUM(N1318:Q1318),2)</f>
        <v/>
      </c>
      <c r="S1318" s="5" t="inlineStr">
        <is>
          <t>Stated build-up</t>
        </is>
      </c>
      <c r="T1318" s="12" t="inlineStr">
        <is>
          <t>High</t>
        </is>
      </c>
      <c r="U1318" s="8" t="n">
        <v>149.43</v>
      </c>
      <c r="V1318" s="13">
        <f>IF(U1318="","",ROUND(M1318-U1318,2))</f>
        <v/>
      </c>
      <c r="W1318" s="5" t="n"/>
      <c r="X1318" s="5" t="inlineStr">
        <is>
          <t>Labour + plant + material as published; reconciles to the published rate.</t>
        </is>
      </c>
    </row>
    <row r="1319" ht="13" customHeight="1">
      <c r="A1319" s="4" t="n">
        <v>2218</v>
      </c>
      <c r="B1319" s="5" t="inlineStr">
        <is>
          <t>IMG_0096</t>
        </is>
      </c>
      <c r="C1319" s="5" t="inlineStr">
        <is>
          <t>CLASS I: PIPEWORK - PIPES</t>
        </is>
      </c>
      <c r="D1319" s="5" t="inlineStr">
        <is>
          <t>02 CONCRETE PIPES</t>
        </is>
      </c>
      <c r="E1319" s="5" t="inlineStr">
        <is>
          <t>525 mm pipes; in trenches, depth</t>
        </is>
      </c>
      <c r="F1319" s="5" t="inlineStr">
        <is>
          <t>1.50-2.00 m deep</t>
        </is>
      </c>
      <c r="G1319" s="6" t="inlineStr">
        <is>
          <t>m</t>
        </is>
      </c>
      <c r="H1319" s="7" t="n">
        <v>0.33</v>
      </c>
      <c r="I1319" s="8" t="n">
        <v>45.6</v>
      </c>
      <c r="J1319" s="8" t="n">
        <v>43.16</v>
      </c>
      <c r="K1319" s="8" t="n">
        <v>76.89</v>
      </c>
      <c r="L1319" s="8" t="n">
        <v>0</v>
      </c>
      <c r="M1319" s="9">
        <f>ROUND(SUM(I1319:L1319),2)</f>
        <v/>
      </c>
      <c r="N1319" s="10">
        <f>ROUND(I1319*'Irish Basis'!$C$6*'Irish Basis'!$C$5,2)</f>
        <v/>
      </c>
      <c r="O1319" s="10">
        <f>ROUND(J1319*'Irish Basis'!$C$7*'Irish Basis'!$C$5,2)</f>
        <v/>
      </c>
      <c r="P1319" s="10">
        <f>ROUND(K1319*'Irish Basis'!$C$8*'Irish Basis'!$C$5,2)</f>
        <v/>
      </c>
      <c r="Q1319" s="10">
        <f>ROUND(L1319*'Irish Basis'!$C$12*'Irish Basis'!$C$5,2)</f>
        <v/>
      </c>
      <c r="R1319" s="11">
        <f>ROUND(SUM(N1319:Q1319),2)</f>
        <v/>
      </c>
      <c r="S1319" s="5" t="inlineStr">
        <is>
          <t>Stated build-up</t>
        </is>
      </c>
      <c r="T1319" s="12" t="inlineStr">
        <is>
          <t>High</t>
        </is>
      </c>
      <c r="U1319" s="8" t="n">
        <v>165.65</v>
      </c>
      <c r="V1319" s="13">
        <f>IF(U1319="","",ROUND(M1319-U1319,2))</f>
        <v/>
      </c>
      <c r="W1319" s="5" t="n"/>
      <c r="X1319" s="5" t="inlineStr">
        <is>
          <t>Labour + plant + material as published; reconciles to the published rate.</t>
        </is>
      </c>
    </row>
    <row r="1320" ht="13" customHeight="1">
      <c r="A1320" s="4" t="n">
        <v>2219</v>
      </c>
      <c r="B1320" s="5" t="inlineStr">
        <is>
          <t>IMG_0096</t>
        </is>
      </c>
      <c r="C1320" s="5" t="inlineStr">
        <is>
          <t>CLASS I: PIPEWORK - PIPES</t>
        </is>
      </c>
      <c r="D1320" s="5" t="inlineStr">
        <is>
          <t>02 CONCRETE PIPES</t>
        </is>
      </c>
      <c r="E1320" s="5" t="inlineStr">
        <is>
          <t>525 mm pipes; in trenches, depth</t>
        </is>
      </c>
      <c r="F1320" s="5" t="inlineStr">
        <is>
          <t>2.00-2.50 m deep</t>
        </is>
      </c>
      <c r="G1320" s="6" t="inlineStr">
        <is>
          <t>m</t>
        </is>
      </c>
      <c r="H1320" s="7" t="n">
        <v>0.37</v>
      </c>
      <c r="I1320" s="8" t="n">
        <v>51.13</v>
      </c>
      <c r="J1320" s="8" t="n">
        <v>48.39</v>
      </c>
      <c r="K1320" s="8" t="n">
        <v>76.89</v>
      </c>
      <c r="L1320" s="8" t="n">
        <v>0</v>
      </c>
      <c r="M1320" s="9">
        <f>ROUND(SUM(I1320:L1320),2)</f>
        <v/>
      </c>
      <c r="N1320" s="10">
        <f>ROUND(I1320*'Irish Basis'!$C$6*'Irish Basis'!$C$5,2)</f>
        <v/>
      </c>
      <c r="O1320" s="10">
        <f>ROUND(J1320*'Irish Basis'!$C$7*'Irish Basis'!$C$5,2)</f>
        <v/>
      </c>
      <c r="P1320" s="10">
        <f>ROUND(K1320*'Irish Basis'!$C$8*'Irish Basis'!$C$5,2)</f>
        <v/>
      </c>
      <c r="Q1320" s="10">
        <f>ROUND(L1320*'Irish Basis'!$C$12*'Irish Basis'!$C$5,2)</f>
        <v/>
      </c>
      <c r="R1320" s="11">
        <f>ROUND(SUM(N1320:Q1320),2)</f>
        <v/>
      </c>
      <c r="S1320" s="5" t="inlineStr">
        <is>
          <t>Stated build-up</t>
        </is>
      </c>
      <c r="T1320" s="12" t="inlineStr">
        <is>
          <t>High</t>
        </is>
      </c>
      <c r="U1320" s="8" t="n">
        <v>176.41</v>
      </c>
      <c r="V1320" s="13">
        <f>IF(U1320="","",ROUND(M1320-U1320,2))</f>
        <v/>
      </c>
      <c r="W1320" s="5" t="n"/>
      <c r="X1320" s="5" t="inlineStr">
        <is>
          <t>Labour + plant + material as published; reconciles to the published rate.</t>
        </is>
      </c>
    </row>
    <row r="1321" ht="13" customHeight="1">
      <c r="A1321" s="4" t="n">
        <v>2220</v>
      </c>
      <c r="B1321" s="5" t="inlineStr">
        <is>
          <t>IMG_0096</t>
        </is>
      </c>
      <c r="C1321" s="5" t="inlineStr">
        <is>
          <t>CLASS I: PIPEWORK - PIPES</t>
        </is>
      </c>
      <c r="D1321" s="5" t="inlineStr">
        <is>
          <t>02 CONCRETE PIPES</t>
        </is>
      </c>
      <c r="E1321" s="5" t="inlineStr">
        <is>
          <t>525 mm pipes; in trenches, depth</t>
        </is>
      </c>
      <c r="F1321" s="5" t="inlineStr">
        <is>
          <t>2.50-3.00 m deep</t>
        </is>
      </c>
      <c r="G1321" s="6" t="inlineStr">
        <is>
          <t>m</t>
        </is>
      </c>
      <c r="H1321" s="7" t="n">
        <v>0.42</v>
      </c>
      <c r="I1321" s="8" t="n">
        <v>58.04</v>
      </c>
      <c r="J1321" s="8" t="n">
        <v>54.97</v>
      </c>
      <c r="K1321" s="8" t="n">
        <v>76.89</v>
      </c>
      <c r="L1321" s="8" t="n">
        <v>0</v>
      </c>
      <c r="M1321" s="9">
        <f>ROUND(SUM(I1321:L1321),2)</f>
        <v/>
      </c>
      <c r="N1321" s="10">
        <f>ROUND(I1321*'Irish Basis'!$C$6*'Irish Basis'!$C$5,2)</f>
        <v/>
      </c>
      <c r="O1321" s="10">
        <f>ROUND(J1321*'Irish Basis'!$C$7*'Irish Basis'!$C$5,2)</f>
        <v/>
      </c>
      <c r="P1321" s="10">
        <f>ROUND(K1321*'Irish Basis'!$C$8*'Irish Basis'!$C$5,2)</f>
        <v/>
      </c>
      <c r="Q1321" s="10">
        <f>ROUND(L1321*'Irish Basis'!$C$12*'Irish Basis'!$C$5,2)</f>
        <v/>
      </c>
      <c r="R1321" s="11">
        <f>ROUND(SUM(N1321:Q1321),2)</f>
        <v/>
      </c>
      <c r="S1321" s="5" t="inlineStr">
        <is>
          <t>Stated build-up</t>
        </is>
      </c>
      <c r="T1321" s="12" t="inlineStr">
        <is>
          <t>High</t>
        </is>
      </c>
      <c r="U1321" s="8" t="n">
        <v>189.89</v>
      </c>
      <c r="V1321" s="13">
        <f>IF(U1321="","",ROUND(M1321-U1321,2))</f>
        <v/>
      </c>
      <c r="W1321" s="5" t="n"/>
      <c r="X1321" s="5" t="inlineStr">
        <is>
          <t>Labour + plant + material as published; reconciles to the published rate.</t>
        </is>
      </c>
    </row>
    <row r="1322" ht="13" customHeight="1">
      <c r="A1322" s="4" t="n">
        <v>2221</v>
      </c>
      <c r="B1322" s="5" t="inlineStr">
        <is>
          <t>IMG_0096</t>
        </is>
      </c>
      <c r="C1322" s="5" t="inlineStr">
        <is>
          <t>CLASS I: PIPEWORK - PIPES</t>
        </is>
      </c>
      <c r="D1322" s="5" t="inlineStr">
        <is>
          <t>02 CONCRETE PIPES</t>
        </is>
      </c>
      <c r="E1322" s="5" t="inlineStr">
        <is>
          <t>525 mm pipes; in trenches, depth</t>
        </is>
      </c>
      <c r="F1322" s="5" t="inlineStr">
        <is>
          <t>3.00-3.50 m deep</t>
        </is>
      </c>
      <c r="G1322" s="6" t="inlineStr">
        <is>
          <t>m</t>
        </is>
      </c>
      <c r="H1322" s="7" t="n">
        <v>0.49</v>
      </c>
      <c r="I1322" s="8" t="n">
        <v>67.70999999999999</v>
      </c>
      <c r="J1322" s="8" t="n">
        <v>64.14</v>
      </c>
      <c r="K1322" s="8" t="n">
        <v>76.89</v>
      </c>
      <c r="L1322" s="8" t="n">
        <v>0</v>
      </c>
      <c r="M1322" s="9">
        <f>ROUND(SUM(I1322:L1322),2)</f>
        <v/>
      </c>
      <c r="N1322" s="10">
        <f>ROUND(I1322*'Irish Basis'!$C$6*'Irish Basis'!$C$5,2)</f>
        <v/>
      </c>
      <c r="O1322" s="10">
        <f>ROUND(J1322*'Irish Basis'!$C$7*'Irish Basis'!$C$5,2)</f>
        <v/>
      </c>
      <c r="P1322" s="10">
        <f>ROUND(K1322*'Irish Basis'!$C$8*'Irish Basis'!$C$5,2)</f>
        <v/>
      </c>
      <c r="Q1322" s="10">
        <f>ROUND(L1322*'Irish Basis'!$C$12*'Irish Basis'!$C$5,2)</f>
        <v/>
      </c>
      <c r="R1322" s="11">
        <f>ROUND(SUM(N1322:Q1322),2)</f>
        <v/>
      </c>
      <c r="S1322" s="5" t="inlineStr">
        <is>
          <t>Stated build-up</t>
        </is>
      </c>
      <c r="T1322" s="12" t="inlineStr">
        <is>
          <t>High</t>
        </is>
      </c>
      <c r="U1322" s="8" t="n">
        <v>208.74</v>
      </c>
      <c r="V1322" s="13">
        <f>IF(U1322="","",ROUND(M1322-U1322,2))</f>
        <v/>
      </c>
      <c r="W1322" s="5" t="n"/>
      <c r="X1322" s="5" t="inlineStr">
        <is>
          <t>Labour + plant + material as published; reconciles to the published rate.</t>
        </is>
      </c>
    </row>
    <row r="1323" ht="13" customHeight="1">
      <c r="A1323" s="4" t="n">
        <v>2222</v>
      </c>
      <c r="B1323" s="5" t="inlineStr">
        <is>
          <t>IMG_0096</t>
        </is>
      </c>
      <c r="C1323" s="5" t="inlineStr">
        <is>
          <t>CLASS I: PIPEWORK - PIPES</t>
        </is>
      </c>
      <c r="D1323" s="5" t="inlineStr">
        <is>
          <t>02 CONCRETE PIPES</t>
        </is>
      </c>
      <c r="E1323" s="5" t="inlineStr">
        <is>
          <t>525 mm pipes; in trenches, depth</t>
        </is>
      </c>
      <c r="F1323" s="5" t="inlineStr">
        <is>
          <t>3.50-4.00 m deep</t>
        </is>
      </c>
      <c r="G1323" s="6" t="inlineStr">
        <is>
          <t>m</t>
        </is>
      </c>
      <c r="H1323" s="7" t="n">
        <v>0.65</v>
      </c>
      <c r="I1323" s="8" t="n">
        <v>89.81999999999999</v>
      </c>
      <c r="J1323" s="8" t="n">
        <v>85.13</v>
      </c>
      <c r="K1323" s="8" t="n">
        <v>76.89</v>
      </c>
      <c r="L1323" s="8" t="n">
        <v>0</v>
      </c>
      <c r="M1323" s="9">
        <f>ROUND(SUM(I1323:L1323),2)</f>
        <v/>
      </c>
      <c r="N1323" s="10">
        <f>ROUND(I1323*'Irish Basis'!$C$6*'Irish Basis'!$C$5,2)</f>
        <v/>
      </c>
      <c r="O1323" s="10">
        <f>ROUND(J1323*'Irish Basis'!$C$7*'Irish Basis'!$C$5,2)</f>
        <v/>
      </c>
      <c r="P1323" s="10">
        <f>ROUND(K1323*'Irish Basis'!$C$8*'Irish Basis'!$C$5,2)</f>
        <v/>
      </c>
      <c r="Q1323" s="10">
        <f>ROUND(L1323*'Irish Basis'!$C$12*'Irish Basis'!$C$5,2)</f>
        <v/>
      </c>
      <c r="R1323" s="11">
        <f>ROUND(SUM(N1323:Q1323),2)</f>
        <v/>
      </c>
      <c r="S1323" s="5" t="inlineStr">
        <is>
          <t>Stated build-up</t>
        </is>
      </c>
      <c r="T1323" s="12" t="inlineStr">
        <is>
          <t>High</t>
        </is>
      </c>
      <c r="U1323" s="8" t="n">
        <v>251.84</v>
      </c>
      <c r="V1323" s="13">
        <f>IF(U1323="","",ROUND(M1323-U1323,2))</f>
        <v/>
      </c>
      <c r="W1323" s="5" t="n"/>
      <c r="X1323" s="5" t="inlineStr">
        <is>
          <t>Labour + plant + material as published; reconciles to the published rate.</t>
        </is>
      </c>
    </row>
    <row r="1324" ht="13" customHeight="1">
      <c r="A1324" s="4" t="n">
        <v>2223</v>
      </c>
      <c r="B1324" s="5" t="inlineStr">
        <is>
          <t>IMG_0096</t>
        </is>
      </c>
      <c r="C1324" s="5" t="inlineStr">
        <is>
          <t>CLASS I: PIPEWORK - PIPES</t>
        </is>
      </c>
      <c r="D1324" s="5" t="inlineStr">
        <is>
          <t>02 CONCRETE PIPES</t>
        </is>
      </c>
      <c r="E1324" s="5" t="inlineStr">
        <is>
          <t>525 mm pipes; in trenches, depth</t>
        </is>
      </c>
      <c r="F1324" s="5" t="inlineStr">
        <is>
          <t>4.00-4.50 m deep</t>
        </is>
      </c>
      <c r="G1324" s="6" t="inlineStr">
        <is>
          <t>m</t>
        </is>
      </c>
      <c r="H1324" s="7" t="n">
        <v>0.83</v>
      </c>
      <c r="I1324" s="8" t="n">
        <v>114.69</v>
      </c>
      <c r="J1324" s="8" t="n">
        <v>108.7</v>
      </c>
      <c r="K1324" s="8" t="n">
        <v>76.89</v>
      </c>
      <c r="L1324" s="8" t="n">
        <v>0</v>
      </c>
      <c r="M1324" s="9">
        <f>ROUND(SUM(I1324:L1324),2)</f>
        <v/>
      </c>
      <c r="N1324" s="10">
        <f>ROUND(I1324*'Irish Basis'!$C$6*'Irish Basis'!$C$5,2)</f>
        <v/>
      </c>
      <c r="O1324" s="10">
        <f>ROUND(J1324*'Irish Basis'!$C$7*'Irish Basis'!$C$5,2)</f>
        <v/>
      </c>
      <c r="P1324" s="10">
        <f>ROUND(K1324*'Irish Basis'!$C$8*'Irish Basis'!$C$5,2)</f>
        <v/>
      </c>
      <c r="Q1324" s="10">
        <f>ROUND(L1324*'Irish Basis'!$C$12*'Irish Basis'!$C$5,2)</f>
        <v/>
      </c>
      <c r="R1324" s="11">
        <f>ROUND(SUM(N1324:Q1324),2)</f>
        <v/>
      </c>
      <c r="S1324" s="5" t="inlineStr">
        <is>
          <t>Stated build-up</t>
        </is>
      </c>
      <c r="T1324" s="12" t="inlineStr">
        <is>
          <t>High</t>
        </is>
      </c>
      <c r="U1324" s="8" t="n">
        <v>300.28</v>
      </c>
      <c r="V1324" s="13">
        <f>IF(U1324="","",ROUND(M1324-U1324,2))</f>
        <v/>
      </c>
      <c r="W1324" s="5" t="n"/>
      <c r="X1324" s="5" t="inlineStr">
        <is>
          <t>Labour + plant + material as published; reconciles to the published rate.</t>
        </is>
      </c>
    </row>
    <row r="1325" ht="13" customHeight="1">
      <c r="A1325" s="4" t="n">
        <v>2224</v>
      </c>
      <c r="B1325" s="5" t="inlineStr">
        <is>
          <t>IMG_0096</t>
        </is>
      </c>
      <c r="C1325" s="5" t="inlineStr">
        <is>
          <t>CLASS I: PIPEWORK - PIPES</t>
        </is>
      </c>
      <c r="D1325" s="5" t="inlineStr">
        <is>
          <t>02 CONCRETE PIPES</t>
        </is>
      </c>
      <c r="E1325" s="5" t="inlineStr">
        <is>
          <t>525 mm pipes; in trenches, depth</t>
        </is>
      </c>
      <c r="F1325" s="5" t="inlineStr">
        <is>
          <t>4.50-5.00 m deep</t>
        </is>
      </c>
      <c r="G1325" s="6" t="inlineStr">
        <is>
          <t>m</t>
        </is>
      </c>
      <c r="H1325" s="7" t="n">
        <v>1.03</v>
      </c>
      <c r="I1325" s="8" t="n">
        <v>142.33</v>
      </c>
      <c r="J1325" s="8" t="n">
        <v>134.96</v>
      </c>
      <c r="K1325" s="8" t="n">
        <v>76.89</v>
      </c>
      <c r="L1325" s="8" t="n">
        <v>0</v>
      </c>
      <c r="M1325" s="9">
        <f>ROUND(SUM(I1325:L1325),2)</f>
        <v/>
      </c>
      <c r="N1325" s="10">
        <f>ROUND(I1325*'Irish Basis'!$C$6*'Irish Basis'!$C$5,2)</f>
        <v/>
      </c>
      <c r="O1325" s="10">
        <f>ROUND(J1325*'Irish Basis'!$C$7*'Irish Basis'!$C$5,2)</f>
        <v/>
      </c>
      <c r="P1325" s="10">
        <f>ROUND(K1325*'Irish Basis'!$C$8*'Irish Basis'!$C$5,2)</f>
        <v/>
      </c>
      <c r="Q1325" s="10">
        <f>ROUND(L1325*'Irish Basis'!$C$12*'Irish Basis'!$C$5,2)</f>
        <v/>
      </c>
      <c r="R1325" s="11">
        <f>ROUND(SUM(N1325:Q1325),2)</f>
        <v/>
      </c>
      <c r="S1325" s="5" t="inlineStr">
        <is>
          <t>Stated build-up</t>
        </is>
      </c>
      <c r="T1325" s="12" t="inlineStr">
        <is>
          <t>High</t>
        </is>
      </c>
      <c r="U1325" s="8" t="n">
        <v>354.17</v>
      </c>
      <c r="V1325" s="13">
        <f>IF(U1325="","",ROUND(M1325-U1325,2))</f>
        <v/>
      </c>
      <c r="W1325" s="5" t="n"/>
      <c r="X1325" s="5" t="inlineStr">
        <is>
          <t>Labour + plant + material as published; reconciles to the published rate.</t>
        </is>
      </c>
    </row>
    <row r="1326" ht="13" customHeight="1">
      <c r="A1326" s="4" t="n">
        <v>2225</v>
      </c>
      <c r="B1326" s="5" t="inlineStr">
        <is>
          <t>IMG_0096</t>
        </is>
      </c>
      <c r="C1326" s="5" t="inlineStr">
        <is>
          <t>CLASS I: PIPEWORK - PIPES</t>
        </is>
      </c>
      <c r="D1326" s="5" t="inlineStr">
        <is>
          <t>02 CONCRETE PIPES</t>
        </is>
      </c>
      <c r="E1326" s="5" t="inlineStr">
        <is>
          <t>525 mm pipes; in trenches, depth</t>
        </is>
      </c>
      <c r="F1326" s="5" t="inlineStr">
        <is>
          <t>5.00-5.50 m deep</t>
        </is>
      </c>
      <c r="G1326" s="6" t="inlineStr">
        <is>
          <t>m</t>
        </is>
      </c>
      <c r="H1326" s="7" t="n">
        <v>1.28</v>
      </c>
      <c r="I1326" s="8" t="n">
        <v>176.87</v>
      </c>
      <c r="J1326" s="8" t="n">
        <v>167.79</v>
      </c>
      <c r="K1326" s="8" t="n">
        <v>76.89</v>
      </c>
      <c r="L1326" s="8" t="n">
        <v>0</v>
      </c>
      <c r="M1326" s="9">
        <f>ROUND(SUM(I1326:L1326),2)</f>
        <v/>
      </c>
      <c r="N1326" s="10">
        <f>ROUND(I1326*'Irish Basis'!$C$6*'Irish Basis'!$C$5,2)</f>
        <v/>
      </c>
      <c r="O1326" s="10">
        <f>ROUND(J1326*'Irish Basis'!$C$7*'Irish Basis'!$C$5,2)</f>
        <v/>
      </c>
      <c r="P1326" s="10">
        <f>ROUND(K1326*'Irish Basis'!$C$8*'Irish Basis'!$C$5,2)</f>
        <v/>
      </c>
      <c r="Q1326" s="10">
        <f>ROUND(L1326*'Irish Basis'!$C$12*'Irish Basis'!$C$5,2)</f>
        <v/>
      </c>
      <c r="R1326" s="11">
        <f>ROUND(SUM(N1326:Q1326),2)</f>
        <v/>
      </c>
      <c r="S1326" s="5" t="inlineStr">
        <is>
          <t>Stated build-up</t>
        </is>
      </c>
      <c r="T1326" s="12" t="inlineStr">
        <is>
          <t>High</t>
        </is>
      </c>
      <c r="U1326" s="8" t="n">
        <v>421.55</v>
      </c>
      <c r="V1326" s="13">
        <f>IF(U1326="","",ROUND(M1326-U1326,2))</f>
        <v/>
      </c>
      <c r="W1326" s="5" t="n"/>
      <c r="X1326" s="5" t="inlineStr">
        <is>
          <t>Labour + plant + material as published; reconciles to the published rate.</t>
        </is>
      </c>
    </row>
    <row r="1327" ht="13" customHeight="1">
      <c r="A1327" s="4" t="n">
        <v>2226</v>
      </c>
      <c r="B1327" s="5" t="inlineStr">
        <is>
          <t>IMG_0096</t>
        </is>
      </c>
      <c r="C1327" s="5" t="inlineStr">
        <is>
          <t>CLASS I: PIPEWORK - PIPES</t>
        </is>
      </c>
      <c r="D1327" s="5" t="inlineStr">
        <is>
          <t>02 CONCRETE PIPES</t>
        </is>
      </c>
      <c r="E1327" s="5" t="inlineStr">
        <is>
          <t>525 mm pipes; in trenches, depth</t>
        </is>
      </c>
      <c r="F1327" s="5" t="inlineStr">
        <is>
          <t>5.50-6.00 m deep</t>
        </is>
      </c>
      <c r="G1327" s="6" t="inlineStr">
        <is>
          <t>m</t>
        </is>
      </c>
      <c r="H1327" s="7" t="n">
        <v>1.55</v>
      </c>
      <c r="I1327" s="8" t="n">
        <v>214.18</v>
      </c>
      <c r="J1327" s="8" t="n">
        <v>203.26</v>
      </c>
      <c r="K1327" s="8" t="n">
        <v>76.89</v>
      </c>
      <c r="L1327" s="8" t="n">
        <v>0</v>
      </c>
      <c r="M1327" s="9">
        <f>ROUND(SUM(I1327:L1327),2)</f>
        <v/>
      </c>
      <c r="N1327" s="10">
        <f>ROUND(I1327*'Irish Basis'!$C$6*'Irish Basis'!$C$5,2)</f>
        <v/>
      </c>
      <c r="O1327" s="10">
        <f>ROUND(J1327*'Irish Basis'!$C$7*'Irish Basis'!$C$5,2)</f>
        <v/>
      </c>
      <c r="P1327" s="10">
        <f>ROUND(K1327*'Irish Basis'!$C$8*'Irish Basis'!$C$5,2)</f>
        <v/>
      </c>
      <c r="Q1327" s="10">
        <f>ROUND(L1327*'Irish Basis'!$C$12*'Irish Basis'!$C$5,2)</f>
        <v/>
      </c>
      <c r="R1327" s="11">
        <f>ROUND(SUM(N1327:Q1327),2)</f>
        <v/>
      </c>
      <c r="S1327" s="5" t="inlineStr">
        <is>
          <t>Stated build-up</t>
        </is>
      </c>
      <c r="T1327" s="12" t="inlineStr">
        <is>
          <t>High</t>
        </is>
      </c>
      <c r="U1327" s="8" t="n">
        <v>494.32</v>
      </c>
      <c r="V1327" s="13">
        <f>IF(U1327="","",ROUND(M1327-U1327,2))</f>
        <v/>
      </c>
      <c r="W1327" s="5" t="n"/>
      <c r="X1327" s="5" t="inlineStr">
        <is>
          <t>Labour + plant + material as published; reconciles to the published rate.</t>
        </is>
      </c>
    </row>
    <row r="1328" ht="13" customHeight="1">
      <c r="A1328" s="4" t="n">
        <v>2227</v>
      </c>
      <c r="B1328" s="5" t="inlineStr">
        <is>
          <t>IMG_0096</t>
        </is>
      </c>
      <c r="C1328" s="5" t="inlineStr">
        <is>
          <t>CLASS I: PIPEWORK - PIPES</t>
        </is>
      </c>
      <c r="D1328" s="5" t="inlineStr">
        <is>
          <t>02 CONCRETE PIPES</t>
        </is>
      </c>
      <c r="E1328" s="5" t="inlineStr">
        <is>
          <t>525 mm pipes; in trenches, depth</t>
        </is>
      </c>
      <c r="F1328" s="5" t="inlineStr">
        <is>
          <t>extra for bend</t>
        </is>
      </c>
      <c r="G1328" s="6" t="inlineStr">
        <is>
          <t>nr</t>
        </is>
      </c>
      <c r="H1328" s="7" t="n">
        <v>0.16</v>
      </c>
      <c r="I1328" s="8" t="n">
        <v>22.11</v>
      </c>
      <c r="J1328" s="8" t="n">
        <v>21.98</v>
      </c>
      <c r="K1328" s="8" t="n">
        <v>768.78</v>
      </c>
      <c r="L1328" s="8" t="n">
        <v>0</v>
      </c>
      <c r="M1328" s="9">
        <f>ROUND(SUM(I1328:L1328),2)</f>
        <v/>
      </c>
      <c r="N1328" s="10">
        <f>ROUND(I1328*'Irish Basis'!$C$6*'Irish Basis'!$C$5,2)</f>
        <v/>
      </c>
      <c r="O1328" s="10">
        <f>ROUND(J1328*'Irish Basis'!$C$7*'Irish Basis'!$C$5,2)</f>
        <v/>
      </c>
      <c r="P1328" s="10">
        <f>ROUND(K1328*'Irish Basis'!$C$8*'Irish Basis'!$C$5,2)</f>
        <v/>
      </c>
      <c r="Q1328" s="10">
        <f>ROUND(L1328*'Irish Basis'!$C$12*'Irish Basis'!$C$5,2)</f>
        <v/>
      </c>
      <c r="R1328" s="11">
        <f>ROUND(SUM(N1328:Q1328),2)</f>
        <v/>
      </c>
      <c r="S1328" s="5" t="inlineStr">
        <is>
          <t>Stated build-up</t>
        </is>
      </c>
      <c r="T1328" s="12" t="inlineStr">
        <is>
          <t>High</t>
        </is>
      </c>
      <c r="U1328" s="8" t="n">
        <v>812.87</v>
      </c>
      <c r="V1328" s="13">
        <f>IF(U1328="","",ROUND(M1328-U1328,2))</f>
        <v/>
      </c>
      <c r="W1328" s="5" t="n"/>
      <c r="X1328" s="5" t="inlineStr">
        <is>
          <t>Labour + plant + material as published; reconciles to the published rate.</t>
        </is>
      </c>
    </row>
    <row r="1329" ht="13" customHeight="1">
      <c r="A1329" s="4" t="n">
        <v>2229</v>
      </c>
      <c r="B1329" s="5" t="inlineStr">
        <is>
          <t>IMG_0096</t>
        </is>
      </c>
      <c r="C1329" s="5" t="inlineStr">
        <is>
          <t>CLASS I: PIPEWORK - PIPES</t>
        </is>
      </c>
      <c r="D1329" s="5" t="inlineStr">
        <is>
          <t>02 CONCRETE PIPES</t>
        </is>
      </c>
      <c r="E1329" s="5" t="inlineStr">
        <is>
          <t>750 mm pipes; in trenches, depth</t>
        </is>
      </c>
      <c r="F1329" s="5" t="inlineStr">
        <is>
          <t>not in trenches</t>
        </is>
      </c>
      <c r="G1329" s="6" t="inlineStr">
        <is>
          <t>m</t>
        </is>
      </c>
      <c r="H1329" s="7" t="n">
        <v>0.22</v>
      </c>
      <c r="I1329" s="8" t="n">
        <v>18.99</v>
      </c>
      <c r="J1329" s="8" t="n">
        <v>2.46</v>
      </c>
      <c r="K1329" s="8" t="n">
        <v>190.22</v>
      </c>
      <c r="L1329" s="8" t="n">
        <v>0</v>
      </c>
      <c r="M1329" s="9">
        <f>ROUND(SUM(I1329:L1329),2)</f>
        <v/>
      </c>
      <c r="N1329" s="10">
        <f>ROUND(I1329*'Irish Basis'!$C$6*'Irish Basis'!$C$5,2)</f>
        <v/>
      </c>
      <c r="O1329" s="10">
        <f>ROUND(J1329*'Irish Basis'!$C$7*'Irish Basis'!$C$5,2)</f>
        <v/>
      </c>
      <c r="P1329" s="10">
        <f>ROUND(K1329*'Irish Basis'!$C$8*'Irish Basis'!$C$5,2)</f>
        <v/>
      </c>
      <c r="Q1329" s="10">
        <f>ROUND(L1329*'Irish Basis'!$C$12*'Irish Basis'!$C$5,2)</f>
        <v/>
      </c>
      <c r="R1329" s="11">
        <f>ROUND(SUM(N1329:Q1329),2)</f>
        <v/>
      </c>
      <c r="S1329" s="5" t="inlineStr">
        <is>
          <t>Stated build-up</t>
        </is>
      </c>
      <c r="T1329" s="12" t="inlineStr">
        <is>
          <t>High</t>
        </is>
      </c>
      <c r="U1329" s="8" t="n">
        <v>211.67</v>
      </c>
      <c r="V1329" s="13">
        <f>IF(U1329="","",ROUND(M1329-U1329,2))</f>
        <v/>
      </c>
      <c r="W1329" s="5" t="n"/>
      <c r="X1329" s="5" t="inlineStr">
        <is>
          <t>Labour + plant + material as published; reconciles to the published rate.</t>
        </is>
      </c>
    </row>
    <row r="1330" ht="13" customHeight="1">
      <c r="A1330" s="4" t="n">
        <v>2230</v>
      </c>
      <c r="B1330" s="5" t="inlineStr">
        <is>
          <t>IMG_0096</t>
        </is>
      </c>
      <c r="C1330" s="5" t="inlineStr">
        <is>
          <t>CLASS I: PIPEWORK - PIPES</t>
        </is>
      </c>
      <c r="D1330" s="5" t="inlineStr">
        <is>
          <t>02 CONCRETE PIPES</t>
        </is>
      </c>
      <c r="E1330" s="5" t="inlineStr">
        <is>
          <t>750 mm pipes; in trenches, depth</t>
        </is>
      </c>
      <c r="F1330" s="5" t="inlineStr">
        <is>
          <t>ne 1.50 m deep</t>
        </is>
      </c>
      <c r="G1330" s="6" t="inlineStr">
        <is>
          <t>m</t>
        </is>
      </c>
      <c r="H1330" s="7" t="n">
        <v>0.3</v>
      </c>
      <c r="I1330" s="8" t="n">
        <v>36.67</v>
      </c>
      <c r="J1330" s="8" t="n">
        <v>47.99</v>
      </c>
      <c r="K1330" s="8" t="n">
        <v>190.22</v>
      </c>
      <c r="L1330" s="8" t="n">
        <v>0</v>
      </c>
      <c r="M1330" s="9">
        <f>ROUND(SUM(I1330:L1330),2)</f>
        <v/>
      </c>
      <c r="N1330" s="10">
        <f>ROUND(I1330*'Irish Basis'!$C$6*'Irish Basis'!$C$5,2)</f>
        <v/>
      </c>
      <c r="O1330" s="10">
        <f>ROUND(J1330*'Irish Basis'!$C$7*'Irish Basis'!$C$5,2)</f>
        <v/>
      </c>
      <c r="P1330" s="10">
        <f>ROUND(K1330*'Irish Basis'!$C$8*'Irish Basis'!$C$5,2)</f>
        <v/>
      </c>
      <c r="Q1330" s="10">
        <f>ROUND(L1330*'Irish Basis'!$C$12*'Irish Basis'!$C$5,2)</f>
        <v/>
      </c>
      <c r="R1330" s="11">
        <f>ROUND(SUM(N1330:Q1330),2)</f>
        <v/>
      </c>
      <c r="S1330" s="5" t="inlineStr">
        <is>
          <t>Stated build-up</t>
        </is>
      </c>
      <c r="T1330" s="12" t="inlineStr">
        <is>
          <t>High</t>
        </is>
      </c>
      <c r="U1330" s="8" t="n">
        <v>274.88</v>
      </c>
      <c r="V1330" s="13">
        <f>IF(U1330="","",ROUND(M1330-U1330,2))</f>
        <v/>
      </c>
      <c r="W1330" s="5" t="n"/>
      <c r="X1330" s="5" t="inlineStr">
        <is>
          <t>Labour + plant + material as published; reconciles to the published rate.</t>
        </is>
      </c>
    </row>
    <row r="1331" ht="13" customHeight="1">
      <c r="A1331" s="4" t="n">
        <v>2231</v>
      </c>
      <c r="B1331" s="5" t="inlineStr">
        <is>
          <t>IMG_0096</t>
        </is>
      </c>
      <c r="C1331" s="5" t="inlineStr">
        <is>
          <t>CLASS I: PIPEWORK - PIPES</t>
        </is>
      </c>
      <c r="D1331" s="5" t="inlineStr">
        <is>
          <t>02 CONCRETE PIPES</t>
        </is>
      </c>
      <c r="E1331" s="5" t="inlineStr">
        <is>
          <t>750 mm pipes; in trenches, depth</t>
        </is>
      </c>
      <c r="F1331" s="5" t="inlineStr">
        <is>
          <t>1.50-2.00 m deep</t>
        </is>
      </c>
      <c r="G1331" s="6" t="inlineStr">
        <is>
          <t>m</t>
        </is>
      </c>
      <c r="H1331" s="7" t="n">
        <v>0.36</v>
      </c>
      <c r="I1331" s="8" t="n">
        <v>44</v>
      </c>
      <c r="J1331" s="8" t="n">
        <v>57.7</v>
      </c>
      <c r="K1331" s="8" t="n">
        <v>190.22</v>
      </c>
      <c r="L1331" s="8" t="n">
        <v>0</v>
      </c>
      <c r="M1331" s="9">
        <f>ROUND(SUM(I1331:L1331),2)</f>
        <v/>
      </c>
      <c r="N1331" s="10">
        <f>ROUND(I1331*'Irish Basis'!$C$6*'Irish Basis'!$C$5,2)</f>
        <v/>
      </c>
      <c r="O1331" s="10">
        <f>ROUND(J1331*'Irish Basis'!$C$7*'Irish Basis'!$C$5,2)</f>
        <v/>
      </c>
      <c r="P1331" s="10">
        <f>ROUND(K1331*'Irish Basis'!$C$8*'Irish Basis'!$C$5,2)</f>
        <v/>
      </c>
      <c r="Q1331" s="10">
        <f>ROUND(L1331*'Irish Basis'!$C$12*'Irish Basis'!$C$5,2)</f>
        <v/>
      </c>
      <c r="R1331" s="11">
        <f>ROUND(SUM(N1331:Q1331),2)</f>
        <v/>
      </c>
      <c r="S1331" s="5" t="inlineStr">
        <is>
          <t>Stated build-up</t>
        </is>
      </c>
      <c r="T1331" s="12" t="inlineStr">
        <is>
          <t>High</t>
        </is>
      </c>
      <c r="U1331" s="8" t="n">
        <v>291.92</v>
      </c>
      <c r="V1331" s="13">
        <f>IF(U1331="","",ROUND(M1331-U1331,2))</f>
        <v/>
      </c>
      <c r="W1331" s="5" t="n"/>
      <c r="X1331" s="5" t="inlineStr">
        <is>
          <t>Labour + plant + material as published; reconciles to the published rate.</t>
        </is>
      </c>
    </row>
    <row r="1332" ht="13" customHeight="1">
      <c r="A1332" s="4" t="n">
        <v>2232</v>
      </c>
      <c r="B1332" s="5" t="inlineStr">
        <is>
          <t>IMG_0096</t>
        </is>
      </c>
      <c r="C1332" s="5" t="inlineStr">
        <is>
          <t>CLASS I: PIPEWORK - PIPES</t>
        </is>
      </c>
      <c r="D1332" s="5" t="inlineStr">
        <is>
          <t>02 CONCRETE PIPES</t>
        </is>
      </c>
      <c r="E1332" s="5" t="inlineStr">
        <is>
          <t>750 mm pipes; in trenches, depth</t>
        </is>
      </c>
      <c r="F1332" s="5" t="inlineStr">
        <is>
          <t>2.00-2.50 m deep</t>
        </is>
      </c>
      <c r="G1332" s="6" t="inlineStr">
        <is>
          <t>m</t>
        </is>
      </c>
      <c r="H1332" s="7" t="n">
        <v>0.41</v>
      </c>
      <c r="I1332" s="8" t="n">
        <v>50.11</v>
      </c>
      <c r="J1332" s="8" t="n">
        <v>65.72</v>
      </c>
      <c r="K1332" s="8" t="n">
        <v>190.22</v>
      </c>
      <c r="L1332" s="8" t="n">
        <v>0</v>
      </c>
      <c r="M1332" s="9">
        <f>ROUND(SUM(I1332:L1332),2)</f>
        <v/>
      </c>
      <c r="N1332" s="10">
        <f>ROUND(I1332*'Irish Basis'!$C$6*'Irish Basis'!$C$5,2)</f>
        <v/>
      </c>
      <c r="O1332" s="10">
        <f>ROUND(J1332*'Irish Basis'!$C$7*'Irish Basis'!$C$5,2)</f>
        <v/>
      </c>
      <c r="P1332" s="10">
        <f>ROUND(K1332*'Irish Basis'!$C$8*'Irish Basis'!$C$5,2)</f>
        <v/>
      </c>
      <c r="Q1332" s="10">
        <f>ROUND(L1332*'Irish Basis'!$C$12*'Irish Basis'!$C$5,2)</f>
        <v/>
      </c>
      <c r="R1332" s="11">
        <f>ROUND(SUM(N1332:Q1332),2)</f>
        <v/>
      </c>
      <c r="S1332" s="5" t="inlineStr">
        <is>
          <t>Stated build-up</t>
        </is>
      </c>
      <c r="T1332" s="12" t="inlineStr">
        <is>
          <t>High</t>
        </is>
      </c>
      <c r="U1332" s="8" t="n">
        <v>306.06</v>
      </c>
      <c r="V1332" s="13">
        <f>IF(U1332="","",ROUND(M1332-U1332,2))</f>
        <v/>
      </c>
      <c r="W1332" s="5" t="n"/>
      <c r="X1332" s="5" t="inlineStr">
        <is>
          <t>Labour + plant + material as published; reconciles to the published rate.</t>
        </is>
      </c>
    </row>
    <row r="1333" ht="13" customHeight="1">
      <c r="A1333" s="4" t="n">
        <v>2233</v>
      </c>
      <c r="B1333" s="5" t="inlineStr">
        <is>
          <t>IMG_0096</t>
        </is>
      </c>
      <c r="C1333" s="5" t="inlineStr">
        <is>
          <t>CLASS I: PIPEWORK - PIPES</t>
        </is>
      </c>
      <c r="D1333" s="5" t="inlineStr">
        <is>
          <t>02 CONCRETE PIPES</t>
        </is>
      </c>
      <c r="E1333" s="5" t="inlineStr">
        <is>
          <t>750 mm pipes; in trenches, depth</t>
        </is>
      </c>
      <c r="F1333" s="5" t="inlineStr">
        <is>
          <t>2.50-3.00 m deep</t>
        </is>
      </c>
      <c r="G1333" s="6" t="inlineStr">
        <is>
          <t>m</t>
        </is>
      </c>
      <c r="H1333" s="7" t="n">
        <v>0.47</v>
      </c>
      <c r="I1333" s="8" t="n">
        <v>57.45</v>
      </c>
      <c r="J1333" s="8" t="n">
        <v>75.34</v>
      </c>
      <c r="K1333" s="8" t="n">
        <v>190.22</v>
      </c>
      <c r="L1333" s="8" t="n">
        <v>0</v>
      </c>
      <c r="M1333" s="9">
        <f>ROUND(SUM(I1333:L1333),2)</f>
        <v/>
      </c>
      <c r="N1333" s="10">
        <f>ROUND(I1333*'Irish Basis'!$C$6*'Irish Basis'!$C$5,2)</f>
        <v/>
      </c>
      <c r="O1333" s="10">
        <f>ROUND(J1333*'Irish Basis'!$C$7*'Irish Basis'!$C$5,2)</f>
        <v/>
      </c>
      <c r="P1333" s="10">
        <f>ROUND(K1333*'Irish Basis'!$C$8*'Irish Basis'!$C$5,2)</f>
        <v/>
      </c>
      <c r="Q1333" s="10">
        <f>ROUND(L1333*'Irish Basis'!$C$12*'Irish Basis'!$C$5,2)</f>
        <v/>
      </c>
      <c r="R1333" s="11">
        <f>ROUND(SUM(N1333:Q1333),2)</f>
        <v/>
      </c>
      <c r="S1333" s="5" t="inlineStr">
        <is>
          <t>Stated build-up</t>
        </is>
      </c>
      <c r="T1333" s="12" t="inlineStr">
        <is>
          <t>High</t>
        </is>
      </c>
      <c r="U1333" s="8" t="n">
        <v>323.01</v>
      </c>
      <c r="V1333" s="13">
        <f>IF(U1333="","",ROUND(M1333-U1333,2))</f>
        <v/>
      </c>
      <c r="W1333" s="5" t="n"/>
      <c r="X1333" s="5" t="inlineStr">
        <is>
          <t>Labour + plant + material as published; reconciles to the published rate.</t>
        </is>
      </c>
    </row>
    <row r="1334" ht="13" customHeight="1">
      <c r="A1334" s="4" t="n">
        <v>2234</v>
      </c>
      <c r="B1334" s="5" t="inlineStr">
        <is>
          <t>IMG_0096</t>
        </is>
      </c>
      <c r="C1334" s="5" t="inlineStr">
        <is>
          <t>CLASS I: PIPEWORK - PIPES</t>
        </is>
      </c>
      <c r="D1334" s="5" t="inlineStr">
        <is>
          <t>02 CONCRETE PIPES</t>
        </is>
      </c>
      <c r="E1334" s="5" t="inlineStr">
        <is>
          <t>750 mm pipes; in trenches, depth</t>
        </is>
      </c>
      <c r="F1334" s="5" t="inlineStr">
        <is>
          <t>3.00-3.50 m deep</t>
        </is>
      </c>
      <c r="G1334" s="6" t="inlineStr">
        <is>
          <t>m</t>
        </is>
      </c>
      <c r="H1334" s="7" t="n">
        <v>0.58</v>
      </c>
      <c r="I1334" s="8" t="n">
        <v>70.89</v>
      </c>
      <c r="J1334" s="8" t="n">
        <v>93</v>
      </c>
      <c r="K1334" s="8" t="n">
        <v>190.22</v>
      </c>
      <c r="L1334" s="8" t="n">
        <v>0</v>
      </c>
      <c r="M1334" s="9">
        <f>ROUND(SUM(I1334:L1334),2)</f>
        <v/>
      </c>
      <c r="N1334" s="10">
        <f>ROUND(I1334*'Irish Basis'!$C$6*'Irish Basis'!$C$5,2)</f>
        <v/>
      </c>
      <c r="O1334" s="10">
        <f>ROUND(J1334*'Irish Basis'!$C$7*'Irish Basis'!$C$5,2)</f>
        <v/>
      </c>
      <c r="P1334" s="10">
        <f>ROUND(K1334*'Irish Basis'!$C$8*'Irish Basis'!$C$5,2)</f>
        <v/>
      </c>
      <c r="Q1334" s="10">
        <f>ROUND(L1334*'Irish Basis'!$C$12*'Irish Basis'!$C$5,2)</f>
        <v/>
      </c>
      <c r="R1334" s="11">
        <f>ROUND(SUM(N1334:Q1334),2)</f>
        <v/>
      </c>
      <c r="S1334" s="5" t="inlineStr">
        <is>
          <t>Stated build-up</t>
        </is>
      </c>
      <c r="T1334" s="12" t="inlineStr">
        <is>
          <t>High</t>
        </is>
      </c>
      <c r="U1334" s="8" t="n">
        <v>354.11</v>
      </c>
      <c r="V1334" s="13">
        <f>IF(U1334="","",ROUND(M1334-U1334,2))</f>
        <v/>
      </c>
      <c r="W1334" s="5" t="n"/>
      <c r="X1334" s="5" t="inlineStr">
        <is>
          <t>Labour + plant + material as published; reconciles to the published rate.</t>
        </is>
      </c>
    </row>
    <row r="1335" ht="13" customHeight="1">
      <c r="A1335" s="4" t="n">
        <v>2235</v>
      </c>
      <c r="B1335" s="5" t="inlineStr">
        <is>
          <t>IMG_0096</t>
        </is>
      </c>
      <c r="C1335" s="5" t="inlineStr">
        <is>
          <t>CLASS I: PIPEWORK - PIPES</t>
        </is>
      </c>
      <c r="D1335" s="5" t="inlineStr">
        <is>
          <t>02 CONCRETE PIPES</t>
        </is>
      </c>
      <c r="E1335" s="5" t="inlineStr">
        <is>
          <t>750 mm pipes; in trenches, depth</t>
        </is>
      </c>
      <c r="F1335" s="5" t="inlineStr">
        <is>
          <t>3.50-4.00 m deep</t>
        </is>
      </c>
      <c r="G1335" s="6" t="inlineStr">
        <is>
          <t>m</t>
        </is>
      </c>
      <c r="H1335" s="7" t="n">
        <v>0.8</v>
      </c>
      <c r="I1335" s="8" t="n">
        <v>97.78</v>
      </c>
      <c r="J1335" s="8" t="n">
        <v>128.38</v>
      </c>
      <c r="K1335" s="8" t="n">
        <v>190.22</v>
      </c>
      <c r="L1335" s="8" t="n">
        <v>0</v>
      </c>
      <c r="M1335" s="9">
        <f>ROUND(SUM(I1335:L1335),2)</f>
        <v/>
      </c>
      <c r="N1335" s="10">
        <f>ROUND(I1335*'Irish Basis'!$C$6*'Irish Basis'!$C$5,2)</f>
        <v/>
      </c>
      <c r="O1335" s="10">
        <f>ROUND(J1335*'Irish Basis'!$C$7*'Irish Basis'!$C$5,2)</f>
        <v/>
      </c>
      <c r="P1335" s="10">
        <f>ROUND(K1335*'Irish Basis'!$C$8*'Irish Basis'!$C$5,2)</f>
        <v/>
      </c>
      <c r="Q1335" s="10">
        <f>ROUND(L1335*'Irish Basis'!$C$12*'Irish Basis'!$C$5,2)</f>
        <v/>
      </c>
      <c r="R1335" s="11">
        <f>ROUND(SUM(N1335:Q1335),2)</f>
        <v/>
      </c>
      <c r="S1335" s="5" t="inlineStr">
        <is>
          <t>Stated build-up</t>
        </is>
      </c>
      <c r="T1335" s="12" t="inlineStr">
        <is>
          <t>High</t>
        </is>
      </c>
      <c r="U1335" s="8" t="n">
        <v>416.38</v>
      </c>
      <c r="V1335" s="13">
        <f>IF(U1335="","",ROUND(M1335-U1335,2))</f>
        <v/>
      </c>
      <c r="W1335" s="5" t="n"/>
      <c r="X1335" s="5" t="inlineStr">
        <is>
          <t>Labour + plant + material as published; reconciles to the published rate.</t>
        </is>
      </c>
    </row>
    <row r="1336" ht="13" customHeight="1">
      <c r="A1336" s="4" t="n">
        <v>2236</v>
      </c>
      <c r="B1336" s="5" t="inlineStr">
        <is>
          <t>IMG_0096</t>
        </is>
      </c>
      <c r="C1336" s="5" t="inlineStr">
        <is>
          <t>CLASS I: PIPEWORK - PIPES</t>
        </is>
      </c>
      <c r="D1336" s="5" t="inlineStr">
        <is>
          <t>02 CONCRETE PIPES</t>
        </is>
      </c>
      <c r="E1336" s="5" t="inlineStr">
        <is>
          <t>750 mm pipes; in trenches, depth</t>
        </is>
      </c>
      <c r="F1336" s="5" t="inlineStr">
        <is>
          <t>4.00-4.50 m deep</t>
        </is>
      </c>
      <c r="G1336" s="6" t="inlineStr">
        <is>
          <t>m</t>
        </is>
      </c>
      <c r="H1336" s="7" t="n">
        <v>1.05</v>
      </c>
      <c r="I1336" s="8" t="n">
        <v>128.34</v>
      </c>
      <c r="J1336" s="8" t="n">
        <v>168.54</v>
      </c>
      <c r="K1336" s="8" t="n">
        <v>190.22</v>
      </c>
      <c r="L1336" s="8" t="n">
        <v>0</v>
      </c>
      <c r="M1336" s="9">
        <f>ROUND(SUM(I1336:L1336),2)</f>
        <v/>
      </c>
      <c r="N1336" s="10">
        <f>ROUND(I1336*'Irish Basis'!$C$6*'Irish Basis'!$C$5,2)</f>
        <v/>
      </c>
      <c r="O1336" s="10">
        <f>ROUND(J1336*'Irish Basis'!$C$7*'Irish Basis'!$C$5,2)</f>
        <v/>
      </c>
      <c r="P1336" s="10">
        <f>ROUND(K1336*'Irish Basis'!$C$8*'Irish Basis'!$C$5,2)</f>
        <v/>
      </c>
      <c r="Q1336" s="10">
        <f>ROUND(L1336*'Irish Basis'!$C$12*'Irish Basis'!$C$5,2)</f>
        <v/>
      </c>
      <c r="R1336" s="11">
        <f>ROUND(SUM(N1336:Q1336),2)</f>
        <v/>
      </c>
      <c r="S1336" s="5" t="inlineStr">
        <is>
          <t>Stated build-up</t>
        </is>
      </c>
      <c r="T1336" s="12" t="inlineStr">
        <is>
          <t>High</t>
        </is>
      </c>
      <c r="U1336" s="8" t="n">
        <v>487.11</v>
      </c>
      <c r="V1336" s="13">
        <f>IF(U1336="","",ROUND(M1336-U1336,2))</f>
        <v/>
      </c>
      <c r="W1336" s="5" t="n"/>
      <c r="X1336" s="5" t="inlineStr">
        <is>
          <t>Labour + plant + material as published; reconciles to the published rate.</t>
        </is>
      </c>
    </row>
    <row r="1337" ht="13" customHeight="1">
      <c r="A1337" s="4" t="n">
        <v>2237</v>
      </c>
      <c r="B1337" s="5" t="inlineStr">
        <is>
          <t>IMG_0096</t>
        </is>
      </c>
      <c r="C1337" s="5" t="inlineStr">
        <is>
          <t>CLASS I: PIPEWORK - PIPES</t>
        </is>
      </c>
      <c r="D1337" s="5" t="inlineStr">
        <is>
          <t>02 CONCRETE PIPES</t>
        </is>
      </c>
      <c r="E1337" s="5" t="inlineStr">
        <is>
          <t>750 mm pipes; in trenches, depth</t>
        </is>
      </c>
      <c r="F1337" s="5" t="inlineStr">
        <is>
          <t>4.50-5.00 m deep</t>
        </is>
      </c>
      <c r="G1337" s="6" t="inlineStr">
        <is>
          <t>m</t>
        </is>
      </c>
      <c r="H1337" s="7" t="n">
        <v>1.3</v>
      </c>
      <c r="I1337" s="8" t="n">
        <v>158.9</v>
      </c>
      <c r="J1337" s="8" t="n">
        <v>208.76</v>
      </c>
      <c r="K1337" s="8" t="n">
        <v>190.22</v>
      </c>
      <c r="L1337" s="8" t="n">
        <v>0</v>
      </c>
      <c r="M1337" s="9">
        <f>ROUND(SUM(I1337:L1337),2)</f>
        <v/>
      </c>
      <c r="N1337" s="10">
        <f>ROUND(I1337*'Irish Basis'!$C$6*'Irish Basis'!$C$5,2)</f>
        <v/>
      </c>
      <c r="O1337" s="10">
        <f>ROUND(J1337*'Irish Basis'!$C$7*'Irish Basis'!$C$5,2)</f>
        <v/>
      </c>
      <c r="P1337" s="10">
        <f>ROUND(K1337*'Irish Basis'!$C$8*'Irish Basis'!$C$5,2)</f>
        <v/>
      </c>
      <c r="Q1337" s="10">
        <f>ROUND(L1337*'Irish Basis'!$C$12*'Irish Basis'!$C$5,2)</f>
        <v/>
      </c>
      <c r="R1337" s="11">
        <f>ROUND(SUM(N1337:Q1337),2)</f>
        <v/>
      </c>
      <c r="S1337" s="5" t="inlineStr">
        <is>
          <t>Stated build-up</t>
        </is>
      </c>
      <c r="T1337" s="12" t="inlineStr">
        <is>
          <t>High</t>
        </is>
      </c>
      <c r="U1337" s="8" t="n">
        <v>557.88</v>
      </c>
      <c r="V1337" s="13">
        <f>IF(U1337="","",ROUND(M1337-U1337,2))</f>
        <v/>
      </c>
      <c r="W1337" s="5" t="n"/>
      <c r="X1337" s="5" t="inlineStr">
        <is>
          <t>Labour + plant + material as published; reconciles to the published rate.</t>
        </is>
      </c>
    </row>
    <row r="1338" ht="13" customHeight="1">
      <c r="A1338" s="4" t="n">
        <v>2238</v>
      </c>
      <c r="B1338" s="5" t="inlineStr">
        <is>
          <t>IMG_0096</t>
        </is>
      </c>
      <c r="C1338" s="5" t="inlineStr">
        <is>
          <t>CLASS I: PIPEWORK - PIPES</t>
        </is>
      </c>
      <c r="D1338" s="5" t="inlineStr">
        <is>
          <t>02 CONCRETE PIPES</t>
        </is>
      </c>
      <c r="E1338" s="5" t="inlineStr">
        <is>
          <t>750 mm pipes; in trenches, depth</t>
        </is>
      </c>
      <c r="F1338" s="5" t="inlineStr">
        <is>
          <t>5.00-5.50 m deep</t>
        </is>
      </c>
      <c r="G1338" s="6" t="inlineStr">
        <is>
          <t>m</t>
        </is>
      </c>
      <c r="H1338" s="7" t="n">
        <v>1.55</v>
      </c>
      <c r="I1338" s="8" t="n">
        <v>189.46</v>
      </c>
      <c r="J1338" s="8" t="n">
        <v>248.93</v>
      </c>
      <c r="K1338" s="8" t="n">
        <v>190.22</v>
      </c>
      <c r="L1338" s="8" t="n">
        <v>0</v>
      </c>
      <c r="M1338" s="9">
        <f>ROUND(SUM(I1338:L1338),2)</f>
        <v/>
      </c>
      <c r="N1338" s="10">
        <f>ROUND(I1338*'Irish Basis'!$C$6*'Irish Basis'!$C$5,2)</f>
        <v/>
      </c>
      <c r="O1338" s="10">
        <f>ROUND(J1338*'Irish Basis'!$C$7*'Irish Basis'!$C$5,2)</f>
        <v/>
      </c>
      <c r="P1338" s="10">
        <f>ROUND(K1338*'Irish Basis'!$C$8*'Irish Basis'!$C$5,2)</f>
        <v/>
      </c>
      <c r="Q1338" s="10">
        <f>ROUND(L1338*'Irish Basis'!$C$12*'Irish Basis'!$C$5,2)</f>
        <v/>
      </c>
      <c r="R1338" s="11">
        <f>ROUND(SUM(N1338:Q1338),2)</f>
        <v/>
      </c>
      <c r="S1338" s="5" t="inlineStr">
        <is>
          <t>Stated build-up</t>
        </is>
      </c>
      <c r="T1338" s="12" t="inlineStr">
        <is>
          <t>High</t>
        </is>
      </c>
      <c r="U1338" s="8" t="n">
        <v>628.61</v>
      </c>
      <c r="V1338" s="13">
        <f>IF(U1338="","",ROUND(M1338-U1338,2))</f>
        <v/>
      </c>
      <c r="W1338" s="5" t="n"/>
      <c r="X1338" s="5" t="inlineStr">
        <is>
          <t>Labour + plant + material as published; reconciles to the published rate.</t>
        </is>
      </c>
    </row>
    <row r="1339" ht="13" customHeight="1">
      <c r="A1339" s="4" t="n">
        <v>2239</v>
      </c>
      <c r="B1339" s="5" t="inlineStr">
        <is>
          <t>IMG_0096</t>
        </is>
      </c>
      <c r="C1339" s="5" t="inlineStr">
        <is>
          <t>CLASS I: PIPEWORK - PIPES</t>
        </is>
      </c>
      <c r="D1339" s="5" t="inlineStr">
        <is>
          <t>02 CONCRETE PIPES</t>
        </is>
      </c>
      <c r="E1339" s="5" t="inlineStr">
        <is>
          <t>750 mm pipes; in trenches, depth</t>
        </is>
      </c>
      <c r="F1339" s="5" t="inlineStr">
        <is>
          <t>5.50-6.00 m deep</t>
        </is>
      </c>
      <c r="G1339" s="6" t="inlineStr">
        <is>
          <t>m</t>
        </is>
      </c>
      <c r="H1339" s="7" t="n">
        <v>1.82</v>
      </c>
      <c r="I1339" s="8" t="n">
        <v>222.46</v>
      </c>
      <c r="J1339" s="8" t="n">
        <v>292.44</v>
      </c>
      <c r="K1339" s="8" t="n">
        <v>190.22</v>
      </c>
      <c r="L1339" s="8" t="n">
        <v>0</v>
      </c>
      <c r="M1339" s="9">
        <f>ROUND(SUM(I1339:L1339),2)</f>
        <v/>
      </c>
      <c r="N1339" s="10">
        <f>ROUND(I1339*'Irish Basis'!$C$6*'Irish Basis'!$C$5,2)</f>
        <v/>
      </c>
      <c r="O1339" s="10">
        <f>ROUND(J1339*'Irish Basis'!$C$7*'Irish Basis'!$C$5,2)</f>
        <v/>
      </c>
      <c r="P1339" s="10">
        <f>ROUND(K1339*'Irish Basis'!$C$8*'Irish Basis'!$C$5,2)</f>
        <v/>
      </c>
      <c r="Q1339" s="10">
        <f>ROUND(L1339*'Irish Basis'!$C$12*'Irish Basis'!$C$5,2)</f>
        <v/>
      </c>
      <c r="R1339" s="11">
        <f>ROUND(SUM(N1339:Q1339),2)</f>
        <v/>
      </c>
      <c r="S1339" s="5" t="inlineStr">
        <is>
          <t>Stated build-up</t>
        </is>
      </c>
      <c r="T1339" s="12" t="inlineStr">
        <is>
          <t>High</t>
        </is>
      </c>
      <c r="U1339" s="8" t="n">
        <v>705.12</v>
      </c>
      <c r="V1339" s="13">
        <f>IF(U1339="","",ROUND(M1339-U1339,2))</f>
        <v/>
      </c>
      <c r="W1339" s="5" t="n"/>
      <c r="X1339" s="5" t="inlineStr">
        <is>
          <t>Labour + plant + material as published; reconciles to the published rate.</t>
        </is>
      </c>
    </row>
    <row r="1340" ht="13" customHeight="1">
      <c r="A1340" s="4" t="n">
        <v>2240</v>
      </c>
      <c r="B1340" s="5" t="inlineStr">
        <is>
          <t>IMG_0096</t>
        </is>
      </c>
      <c r="C1340" s="5" t="inlineStr">
        <is>
          <t>CLASS I: PIPEWORK - PIPES</t>
        </is>
      </c>
      <c r="D1340" s="5" t="inlineStr">
        <is>
          <t>02 CONCRETE PIPES</t>
        </is>
      </c>
      <c r="E1340" s="5" t="inlineStr">
        <is>
          <t>750 mm pipes; in trenches, depth</t>
        </is>
      </c>
      <c r="F1340" s="5" t="inlineStr">
        <is>
          <t>extra for bends</t>
        </is>
      </c>
      <c r="G1340" s="6" t="inlineStr">
        <is>
          <t>nr</t>
        </is>
      </c>
      <c r="H1340" s="7" t="n">
        <v>0.24</v>
      </c>
      <c r="I1340" s="8" t="n">
        <v>29.34</v>
      </c>
      <c r="J1340" s="8" t="n">
        <v>68.59999999999999</v>
      </c>
      <c r="K1340" s="8" t="n">
        <v>1902.42</v>
      </c>
      <c r="L1340" s="8" t="n">
        <v>0</v>
      </c>
      <c r="M1340" s="9">
        <f>ROUND(SUM(I1340:L1340),2)</f>
        <v/>
      </c>
      <c r="N1340" s="10">
        <f>ROUND(I1340*'Irish Basis'!$C$6*'Irish Basis'!$C$5,2)</f>
        <v/>
      </c>
      <c r="O1340" s="10">
        <f>ROUND(J1340*'Irish Basis'!$C$7*'Irish Basis'!$C$5,2)</f>
        <v/>
      </c>
      <c r="P1340" s="10">
        <f>ROUND(K1340*'Irish Basis'!$C$8*'Irish Basis'!$C$5,2)</f>
        <v/>
      </c>
      <c r="Q1340" s="10">
        <f>ROUND(L1340*'Irish Basis'!$C$12*'Irish Basis'!$C$5,2)</f>
        <v/>
      </c>
      <c r="R1340" s="11">
        <f>ROUND(SUM(N1340:Q1340),2)</f>
        <v/>
      </c>
      <c r="S1340" s="5" t="inlineStr">
        <is>
          <t>Stated build-up</t>
        </is>
      </c>
      <c r="T1340" s="12" t="inlineStr">
        <is>
          <t>High</t>
        </is>
      </c>
      <c r="U1340" s="8" t="n">
        <v>2000.35</v>
      </c>
      <c r="V1340" s="13">
        <f>IF(U1340="","",ROUND(M1340-U1340,2))</f>
        <v/>
      </c>
      <c r="W1340" s="5" t="n"/>
      <c r="X1340" s="5" t="inlineStr">
        <is>
          <t>Labour + plant + material as published; reconciles to the published rate.</t>
        </is>
      </c>
    </row>
    <row r="1341" ht="13" customHeight="1">
      <c r="A1341" s="4" t="n">
        <v>2242</v>
      </c>
      <c r="B1341" s="5" t="inlineStr">
        <is>
          <t>IMG_0096</t>
        </is>
      </c>
      <c r="C1341" s="5" t="inlineStr">
        <is>
          <t>CLASS I: PIPEWORK - PIPES</t>
        </is>
      </c>
      <c r="D1341" s="5" t="inlineStr">
        <is>
          <t>02 CONCRETE PIPES</t>
        </is>
      </c>
      <c r="E1341" s="5" t="inlineStr">
        <is>
          <t>900 mm pipes; in trenches, depth</t>
        </is>
      </c>
      <c r="F1341" s="5" t="inlineStr">
        <is>
          <t>not in trenches</t>
        </is>
      </c>
      <c r="G1341" s="6" t="inlineStr">
        <is>
          <t>m</t>
        </is>
      </c>
      <c r="H1341" s="7" t="n">
        <v>0.25</v>
      </c>
      <c r="I1341" s="8" t="n">
        <v>21.58</v>
      </c>
      <c r="J1341" s="8" t="n">
        <v>2.78</v>
      </c>
      <c r="K1341" s="8" t="n">
        <v>255.18</v>
      </c>
      <c r="L1341" s="8" t="n">
        <v>0</v>
      </c>
      <c r="M1341" s="9">
        <f>ROUND(SUM(I1341:L1341),2)</f>
        <v/>
      </c>
      <c r="N1341" s="10">
        <f>ROUND(I1341*'Irish Basis'!$C$6*'Irish Basis'!$C$5,2)</f>
        <v/>
      </c>
      <c r="O1341" s="10">
        <f>ROUND(J1341*'Irish Basis'!$C$7*'Irish Basis'!$C$5,2)</f>
        <v/>
      </c>
      <c r="P1341" s="10">
        <f>ROUND(K1341*'Irish Basis'!$C$8*'Irish Basis'!$C$5,2)</f>
        <v/>
      </c>
      <c r="Q1341" s="10">
        <f>ROUND(L1341*'Irish Basis'!$C$12*'Irish Basis'!$C$5,2)</f>
        <v/>
      </c>
      <c r="R1341" s="11">
        <f>ROUND(SUM(N1341:Q1341),2)</f>
        <v/>
      </c>
      <c r="S1341" s="5" t="inlineStr">
        <is>
          <t>Stated build-up</t>
        </is>
      </c>
      <c r="T1341" s="12" t="inlineStr">
        <is>
          <t>High</t>
        </is>
      </c>
      <c r="U1341" s="8" t="n">
        <v>279.55</v>
      </c>
      <c r="V1341" s="13">
        <f>IF(U1341="","",ROUND(M1341-U1341,2))</f>
        <v/>
      </c>
      <c r="W1341" s="5" t="n"/>
      <c r="X1341" s="5" t="inlineStr">
        <is>
          <t>Labour + plant + material as published; reconciles to the published rate.</t>
        </is>
      </c>
    </row>
    <row r="1342" ht="13" customHeight="1">
      <c r="A1342" s="4" t="n">
        <v>2243</v>
      </c>
      <c r="B1342" s="5" t="inlineStr">
        <is>
          <t>IMG_0096</t>
        </is>
      </c>
      <c r="C1342" s="5" t="inlineStr">
        <is>
          <t>CLASS I: PIPEWORK - PIPES</t>
        </is>
      </c>
      <c r="D1342" s="5" t="inlineStr">
        <is>
          <t>02 CONCRETE PIPES</t>
        </is>
      </c>
      <c r="E1342" s="5" t="inlineStr">
        <is>
          <t>900 mm pipes; in trenches, depth</t>
        </is>
      </c>
      <c r="F1342" s="5" t="inlineStr">
        <is>
          <t>ne 1.50 m deep</t>
        </is>
      </c>
      <c r="G1342" s="6" t="inlineStr">
        <is>
          <t>m</t>
        </is>
      </c>
      <c r="H1342" s="7" t="n">
        <v>0.33</v>
      </c>
      <c r="I1342" s="8" t="n">
        <v>40.34</v>
      </c>
      <c r="J1342" s="8" t="n">
        <v>52.83</v>
      </c>
      <c r="K1342" s="8" t="n">
        <v>255.18</v>
      </c>
      <c r="L1342" s="8" t="n">
        <v>0</v>
      </c>
      <c r="M1342" s="9">
        <f>ROUND(SUM(I1342:L1342),2)</f>
        <v/>
      </c>
      <c r="N1342" s="10">
        <f>ROUND(I1342*'Irish Basis'!$C$6*'Irish Basis'!$C$5,2)</f>
        <v/>
      </c>
      <c r="O1342" s="10">
        <f>ROUND(J1342*'Irish Basis'!$C$7*'Irish Basis'!$C$5,2)</f>
        <v/>
      </c>
      <c r="P1342" s="10">
        <f>ROUND(K1342*'Irish Basis'!$C$8*'Irish Basis'!$C$5,2)</f>
        <v/>
      </c>
      <c r="Q1342" s="10">
        <f>ROUND(L1342*'Irish Basis'!$C$12*'Irish Basis'!$C$5,2)</f>
        <v/>
      </c>
      <c r="R1342" s="11">
        <f>ROUND(SUM(N1342:Q1342),2)</f>
        <v/>
      </c>
      <c r="S1342" s="5" t="inlineStr">
        <is>
          <t>Stated build-up</t>
        </is>
      </c>
      <c r="T1342" s="12" t="inlineStr">
        <is>
          <t>High</t>
        </is>
      </c>
      <c r="U1342" s="8" t="n">
        <v>348.35</v>
      </c>
      <c r="V1342" s="13">
        <f>IF(U1342="","",ROUND(M1342-U1342,2))</f>
        <v/>
      </c>
      <c r="W1342" s="5" t="n"/>
      <c r="X1342" s="5" t="inlineStr">
        <is>
          <t>Labour + plant + material as published; reconciles to the published rate.</t>
        </is>
      </c>
    </row>
    <row r="1343" ht="13" customHeight="1">
      <c r="A1343" s="4" t="n">
        <v>2244</v>
      </c>
      <c r="B1343" s="5" t="inlineStr">
        <is>
          <t>IMG_0096</t>
        </is>
      </c>
      <c r="C1343" s="5" t="inlineStr">
        <is>
          <t>CLASS I: PIPEWORK - PIPES</t>
        </is>
      </c>
      <c r="D1343" s="5" t="inlineStr">
        <is>
          <t>02 CONCRETE PIPES</t>
        </is>
      </c>
      <c r="E1343" s="5" t="inlineStr">
        <is>
          <t>900 mm pipes; in trenches, depth</t>
        </is>
      </c>
      <c r="F1343" s="5" t="inlineStr">
        <is>
          <t>1.50-2.00 m deep</t>
        </is>
      </c>
      <c r="G1343" s="6" t="inlineStr">
        <is>
          <t>m</t>
        </is>
      </c>
      <c r="H1343" s="7" t="n">
        <v>0.4</v>
      </c>
      <c r="I1343" s="8" t="n">
        <v>48.89</v>
      </c>
      <c r="J1343" s="8" t="n">
        <v>64.11</v>
      </c>
      <c r="K1343" s="8" t="n">
        <v>255.18</v>
      </c>
      <c r="L1343" s="8" t="n">
        <v>0</v>
      </c>
      <c r="M1343" s="9">
        <f>ROUND(SUM(I1343:L1343),2)</f>
        <v/>
      </c>
      <c r="N1343" s="10">
        <f>ROUND(I1343*'Irish Basis'!$C$6*'Irish Basis'!$C$5,2)</f>
        <v/>
      </c>
      <c r="O1343" s="10">
        <f>ROUND(J1343*'Irish Basis'!$C$7*'Irish Basis'!$C$5,2)</f>
        <v/>
      </c>
      <c r="P1343" s="10">
        <f>ROUND(K1343*'Irish Basis'!$C$8*'Irish Basis'!$C$5,2)</f>
        <v/>
      </c>
      <c r="Q1343" s="10">
        <f>ROUND(L1343*'Irish Basis'!$C$12*'Irish Basis'!$C$5,2)</f>
        <v/>
      </c>
      <c r="R1343" s="11">
        <f>ROUND(SUM(N1343:Q1343),2)</f>
        <v/>
      </c>
      <c r="S1343" s="5" t="inlineStr">
        <is>
          <t>Stated build-up</t>
        </is>
      </c>
      <c r="T1343" s="12" t="inlineStr">
        <is>
          <t>High</t>
        </is>
      </c>
      <c r="U1343" s="8" t="n">
        <v>368.18</v>
      </c>
      <c r="V1343" s="13">
        <f>IF(U1343="","",ROUND(M1343-U1343,2))</f>
        <v/>
      </c>
      <c r="W1343" s="5" t="n"/>
      <c r="X1343" s="5" t="inlineStr">
        <is>
          <t>Labour + plant + material as published; reconciles to the published rate.</t>
        </is>
      </c>
    </row>
    <row r="1344" ht="13" customHeight="1">
      <c r="A1344" s="4" t="n">
        <v>2245</v>
      </c>
      <c r="B1344" s="5" t="inlineStr">
        <is>
          <t>IMG_0096</t>
        </is>
      </c>
      <c r="C1344" s="5" t="inlineStr">
        <is>
          <t>CLASS I: PIPEWORK - PIPES</t>
        </is>
      </c>
      <c r="D1344" s="5" t="inlineStr">
        <is>
          <t>02 CONCRETE PIPES</t>
        </is>
      </c>
      <c r="E1344" s="5" t="inlineStr">
        <is>
          <t>900 mm pipes; in trenches, depth</t>
        </is>
      </c>
      <c r="F1344" s="5" t="inlineStr">
        <is>
          <t>2.00-2.50 m deep</t>
        </is>
      </c>
      <c r="G1344" s="6" t="inlineStr">
        <is>
          <t>m</t>
        </is>
      </c>
      <c r="H1344" s="7" t="n">
        <v>0.46</v>
      </c>
      <c r="I1344" s="8" t="n">
        <v>56.23</v>
      </c>
      <c r="J1344" s="8" t="n">
        <v>73.75</v>
      </c>
      <c r="K1344" s="8" t="n">
        <v>255.18</v>
      </c>
      <c r="L1344" s="8" t="n">
        <v>0</v>
      </c>
      <c r="M1344" s="9">
        <f>ROUND(SUM(I1344:L1344),2)</f>
        <v/>
      </c>
      <c r="N1344" s="10">
        <f>ROUND(I1344*'Irish Basis'!$C$6*'Irish Basis'!$C$5,2)</f>
        <v/>
      </c>
      <c r="O1344" s="10">
        <f>ROUND(J1344*'Irish Basis'!$C$7*'Irish Basis'!$C$5,2)</f>
        <v/>
      </c>
      <c r="P1344" s="10">
        <f>ROUND(K1344*'Irish Basis'!$C$8*'Irish Basis'!$C$5,2)</f>
        <v/>
      </c>
      <c r="Q1344" s="10">
        <f>ROUND(L1344*'Irish Basis'!$C$12*'Irish Basis'!$C$5,2)</f>
        <v/>
      </c>
      <c r="R1344" s="11">
        <f>ROUND(SUM(N1344:Q1344),2)</f>
        <v/>
      </c>
      <c r="S1344" s="5" t="inlineStr">
        <is>
          <t>Stated build-up</t>
        </is>
      </c>
      <c r="T1344" s="12" t="inlineStr">
        <is>
          <t>High</t>
        </is>
      </c>
      <c r="U1344" s="8" t="n">
        <v>385.16</v>
      </c>
      <c r="V1344" s="13">
        <f>IF(U1344="","",ROUND(M1344-U1344,2))</f>
        <v/>
      </c>
      <c r="W1344" s="5" t="n"/>
      <c r="X1344" s="5" t="inlineStr">
        <is>
          <t>Labour + plant + material as published; reconciles to the published rate.</t>
        </is>
      </c>
    </row>
    <row r="1345" ht="13" customHeight="1">
      <c r="A1345" s="4" t="n">
        <v>2246</v>
      </c>
      <c r="B1345" s="5" t="inlineStr">
        <is>
          <t>IMG_0096</t>
        </is>
      </c>
      <c r="C1345" s="5" t="inlineStr">
        <is>
          <t>CLASS I: PIPEWORK - PIPES</t>
        </is>
      </c>
      <c r="D1345" s="5" t="inlineStr">
        <is>
          <t>02 CONCRETE PIPES</t>
        </is>
      </c>
      <c r="E1345" s="5" t="inlineStr">
        <is>
          <t>900 mm pipes; in trenches, depth</t>
        </is>
      </c>
      <c r="F1345" s="5" t="inlineStr">
        <is>
          <t>2.50-3.00 m deep</t>
        </is>
      </c>
      <c r="G1345" s="6" t="inlineStr">
        <is>
          <t>m</t>
        </is>
      </c>
      <c r="H1345" s="7" t="n">
        <v>0.53</v>
      </c>
      <c r="I1345" s="8" t="n">
        <v>64.78</v>
      </c>
      <c r="J1345" s="8" t="n">
        <v>84.98999999999999</v>
      </c>
      <c r="K1345" s="8" t="n">
        <v>255.18</v>
      </c>
      <c r="L1345" s="8" t="n">
        <v>0</v>
      </c>
      <c r="M1345" s="9">
        <f>ROUND(SUM(I1345:L1345),2)</f>
        <v/>
      </c>
      <c r="N1345" s="10">
        <f>ROUND(I1345*'Irish Basis'!$C$6*'Irish Basis'!$C$5,2)</f>
        <v/>
      </c>
      <c r="O1345" s="10">
        <f>ROUND(J1345*'Irish Basis'!$C$7*'Irish Basis'!$C$5,2)</f>
        <v/>
      </c>
      <c r="P1345" s="10">
        <f>ROUND(K1345*'Irish Basis'!$C$8*'Irish Basis'!$C$5,2)</f>
        <v/>
      </c>
      <c r="Q1345" s="10">
        <f>ROUND(L1345*'Irish Basis'!$C$12*'Irish Basis'!$C$5,2)</f>
        <v/>
      </c>
      <c r="R1345" s="11">
        <f>ROUND(SUM(N1345:Q1345),2)</f>
        <v/>
      </c>
      <c r="S1345" s="5" t="inlineStr">
        <is>
          <t>Stated build-up</t>
        </is>
      </c>
      <c r="T1345" s="12" t="inlineStr">
        <is>
          <t>High</t>
        </is>
      </c>
      <c r="U1345" s="8" t="n">
        <v>404.96</v>
      </c>
      <c r="V1345" s="13">
        <f>IF(U1345="","",ROUND(M1345-U1345,2))</f>
        <v/>
      </c>
      <c r="W1345" s="5" t="n"/>
      <c r="X1345" s="5" t="inlineStr">
        <is>
          <t>Labour + plant + material as published; reconciles to the published rate.</t>
        </is>
      </c>
    </row>
    <row r="1346" ht="13" customHeight="1">
      <c r="A1346" s="4" t="n">
        <v>2247</v>
      </c>
      <c r="B1346" s="5" t="inlineStr">
        <is>
          <t>IMG_0096</t>
        </is>
      </c>
      <c r="C1346" s="5" t="inlineStr">
        <is>
          <t>CLASS I: PIPEWORK - PIPES</t>
        </is>
      </c>
      <c r="D1346" s="5" t="inlineStr">
        <is>
          <t>02 CONCRETE PIPES</t>
        </is>
      </c>
      <c r="E1346" s="5" t="inlineStr">
        <is>
          <t>900 mm pipes; in trenches, depth</t>
        </is>
      </c>
      <c r="F1346" s="5" t="inlineStr">
        <is>
          <t>3.00-3.50 m deep</t>
        </is>
      </c>
      <c r="G1346" s="6" t="inlineStr">
        <is>
          <t>m</t>
        </is>
      </c>
      <c r="H1346" s="7" t="n">
        <v>0.7</v>
      </c>
      <c r="I1346" s="8" t="n">
        <v>85.56</v>
      </c>
      <c r="J1346" s="8" t="n">
        <v>112.3</v>
      </c>
      <c r="K1346" s="8" t="n">
        <v>255.18</v>
      </c>
      <c r="L1346" s="8" t="n">
        <v>0</v>
      </c>
      <c r="M1346" s="9">
        <f>ROUND(SUM(I1346:L1346),2)</f>
        <v/>
      </c>
      <c r="N1346" s="10">
        <f>ROUND(I1346*'Irish Basis'!$C$6*'Irish Basis'!$C$5,2)</f>
        <v/>
      </c>
      <c r="O1346" s="10">
        <f>ROUND(J1346*'Irish Basis'!$C$7*'Irish Basis'!$C$5,2)</f>
        <v/>
      </c>
      <c r="P1346" s="10">
        <f>ROUND(K1346*'Irish Basis'!$C$8*'Irish Basis'!$C$5,2)</f>
        <v/>
      </c>
      <c r="Q1346" s="10">
        <f>ROUND(L1346*'Irish Basis'!$C$12*'Irish Basis'!$C$5,2)</f>
        <v/>
      </c>
      <c r="R1346" s="11">
        <f>ROUND(SUM(N1346:Q1346),2)</f>
        <v/>
      </c>
      <c r="S1346" s="5" t="inlineStr">
        <is>
          <t>Stated build-up</t>
        </is>
      </c>
      <c r="T1346" s="12" t="inlineStr">
        <is>
          <t>High</t>
        </is>
      </c>
      <c r="U1346" s="8" t="n">
        <v>453.05</v>
      </c>
      <c r="V1346" s="13">
        <f>IF(U1346="","",ROUND(M1346-U1346,2))</f>
        <v/>
      </c>
      <c r="W1346" s="5" t="n"/>
      <c r="X1346" s="5" t="inlineStr">
        <is>
          <t>Labour + plant + material as published; reconciles to the published rate.</t>
        </is>
      </c>
    </row>
    <row r="1347" ht="13" customHeight="1">
      <c r="A1347" s="4" t="n">
        <v>2248</v>
      </c>
      <c r="B1347" s="5" t="inlineStr">
        <is>
          <t>IMG_0096</t>
        </is>
      </c>
      <c r="C1347" s="5" t="inlineStr">
        <is>
          <t>CLASS I: PIPEWORK - PIPES</t>
        </is>
      </c>
      <c r="D1347" s="5" t="inlineStr">
        <is>
          <t>02 CONCRETE PIPES</t>
        </is>
      </c>
      <c r="E1347" s="5" t="inlineStr">
        <is>
          <t>900 mm pipes; in trenches, depth</t>
        </is>
      </c>
      <c r="F1347" s="5" t="inlineStr">
        <is>
          <t>3.50-4.00 m deep</t>
        </is>
      </c>
      <c r="G1347" s="6" t="inlineStr">
        <is>
          <t>m</t>
        </is>
      </c>
      <c r="H1347" s="7" t="n">
        <v>0.92</v>
      </c>
      <c r="I1347" s="8" t="n">
        <v>112.45</v>
      </c>
      <c r="J1347" s="8" t="n">
        <v>147.63</v>
      </c>
      <c r="K1347" s="8" t="n">
        <v>255.18</v>
      </c>
      <c r="L1347" s="8" t="n">
        <v>0</v>
      </c>
      <c r="M1347" s="9">
        <f>ROUND(SUM(I1347:L1347),2)</f>
        <v/>
      </c>
      <c r="N1347" s="10">
        <f>ROUND(I1347*'Irish Basis'!$C$6*'Irish Basis'!$C$5,2)</f>
        <v/>
      </c>
      <c r="O1347" s="10">
        <f>ROUND(J1347*'Irish Basis'!$C$7*'Irish Basis'!$C$5,2)</f>
        <v/>
      </c>
      <c r="P1347" s="10">
        <f>ROUND(K1347*'Irish Basis'!$C$8*'Irish Basis'!$C$5,2)</f>
        <v/>
      </c>
      <c r="Q1347" s="10">
        <f>ROUND(L1347*'Irish Basis'!$C$12*'Irish Basis'!$C$5,2)</f>
        <v/>
      </c>
      <c r="R1347" s="11">
        <f>ROUND(SUM(N1347:Q1347),2)</f>
        <v/>
      </c>
      <c r="S1347" s="5" t="inlineStr">
        <is>
          <t>Stated build-up</t>
        </is>
      </c>
      <c r="T1347" s="12" t="inlineStr">
        <is>
          <t>High</t>
        </is>
      </c>
      <c r="U1347" s="8" t="n">
        <v>515.27</v>
      </c>
      <c r="V1347" s="13">
        <f>IF(U1347="","",ROUND(M1347-U1347,2))</f>
        <v/>
      </c>
      <c r="W1347" s="5" t="n"/>
      <c r="X1347" s="5" t="inlineStr">
        <is>
          <t>Labour + plant + material as published; reconciles to the published rate.</t>
        </is>
      </c>
    </row>
    <row r="1348" ht="13" customHeight="1">
      <c r="A1348" s="4" t="n">
        <v>2249</v>
      </c>
      <c r="B1348" s="5" t="inlineStr">
        <is>
          <t>IMG_0096</t>
        </is>
      </c>
      <c r="C1348" s="5" t="inlineStr">
        <is>
          <t>CLASS I: PIPEWORK - PIPES</t>
        </is>
      </c>
      <c r="D1348" s="5" t="inlineStr">
        <is>
          <t>02 CONCRETE PIPES</t>
        </is>
      </c>
      <c r="E1348" s="5" t="inlineStr">
        <is>
          <t>900 mm pipes; in trenches, depth</t>
        </is>
      </c>
      <c r="F1348" s="5" t="inlineStr">
        <is>
          <t>4.00-4.50 m deep</t>
        </is>
      </c>
      <c r="G1348" s="6" t="inlineStr">
        <is>
          <t>m</t>
        </is>
      </c>
      <c r="H1348" s="7" t="n">
        <v>1.2</v>
      </c>
      <c r="I1348" s="8" t="n">
        <v>146.68</v>
      </c>
      <c r="J1348" s="8" t="n">
        <v>192.61</v>
      </c>
      <c r="K1348" s="8" t="n">
        <v>255.18</v>
      </c>
      <c r="L1348" s="8" t="n">
        <v>0</v>
      </c>
      <c r="M1348" s="9">
        <f>ROUND(SUM(I1348:L1348),2)</f>
        <v/>
      </c>
      <c r="N1348" s="10">
        <f>ROUND(I1348*'Irish Basis'!$C$6*'Irish Basis'!$C$5,2)</f>
        <v/>
      </c>
      <c r="O1348" s="10">
        <f>ROUND(J1348*'Irish Basis'!$C$7*'Irish Basis'!$C$5,2)</f>
        <v/>
      </c>
      <c r="P1348" s="10">
        <f>ROUND(K1348*'Irish Basis'!$C$8*'Irish Basis'!$C$5,2)</f>
        <v/>
      </c>
      <c r="Q1348" s="10">
        <f>ROUND(L1348*'Irish Basis'!$C$12*'Irish Basis'!$C$5,2)</f>
        <v/>
      </c>
      <c r="R1348" s="11">
        <f>ROUND(SUM(N1348:Q1348),2)</f>
        <v/>
      </c>
      <c r="S1348" s="5" t="inlineStr">
        <is>
          <t>Stated build-up</t>
        </is>
      </c>
      <c r="T1348" s="12" t="inlineStr">
        <is>
          <t>High</t>
        </is>
      </c>
      <c r="U1348" s="8" t="n">
        <v>594.47</v>
      </c>
      <c r="V1348" s="13">
        <f>IF(U1348="","",ROUND(M1348-U1348,2))</f>
        <v/>
      </c>
      <c r="W1348" s="5" t="n"/>
      <c r="X1348" s="5" t="inlineStr">
        <is>
          <t>Labour + plant + material as published; reconciles to the published rate.</t>
        </is>
      </c>
    </row>
    <row r="1349" ht="13" customHeight="1">
      <c r="A1349" s="4" t="n">
        <v>2250</v>
      </c>
      <c r="B1349" s="5" t="inlineStr">
        <is>
          <t>IMG_0096</t>
        </is>
      </c>
      <c r="C1349" s="5" t="inlineStr">
        <is>
          <t>CLASS I: PIPEWORK - PIPES</t>
        </is>
      </c>
      <c r="D1349" s="5" t="inlineStr">
        <is>
          <t>02 CONCRETE PIPES</t>
        </is>
      </c>
      <c r="E1349" s="5" t="inlineStr">
        <is>
          <t>900 mm pipes; in trenches, depth</t>
        </is>
      </c>
      <c r="F1349" s="5" t="inlineStr">
        <is>
          <t>4.50-5.00 m deep</t>
        </is>
      </c>
      <c r="G1349" s="6" t="inlineStr">
        <is>
          <t>m</t>
        </is>
      </c>
      <c r="H1349" s="7" t="n">
        <v>1.5</v>
      </c>
      <c r="I1349" s="8" t="n">
        <v>183.34</v>
      </c>
      <c r="J1349" s="8" t="n">
        <v>240.87</v>
      </c>
      <c r="K1349" s="8" t="n">
        <v>255.18</v>
      </c>
      <c r="L1349" s="8" t="n">
        <v>0</v>
      </c>
      <c r="M1349" s="9">
        <f>ROUND(SUM(I1349:L1349),2)</f>
        <v/>
      </c>
      <c r="N1349" s="10">
        <f>ROUND(I1349*'Irish Basis'!$C$6*'Irish Basis'!$C$5,2)</f>
        <v/>
      </c>
      <c r="O1349" s="10">
        <f>ROUND(J1349*'Irish Basis'!$C$7*'Irish Basis'!$C$5,2)</f>
        <v/>
      </c>
      <c r="P1349" s="10">
        <f>ROUND(K1349*'Irish Basis'!$C$8*'Irish Basis'!$C$5,2)</f>
        <v/>
      </c>
      <c r="Q1349" s="10">
        <f>ROUND(L1349*'Irish Basis'!$C$12*'Irish Basis'!$C$5,2)</f>
        <v/>
      </c>
      <c r="R1349" s="11">
        <f>ROUND(SUM(N1349:Q1349),2)</f>
        <v/>
      </c>
      <c r="S1349" s="5" t="inlineStr">
        <is>
          <t>Stated build-up</t>
        </is>
      </c>
      <c r="T1349" s="12" t="inlineStr">
        <is>
          <t>High</t>
        </is>
      </c>
      <c r="U1349" s="8" t="n">
        <v>679.4</v>
      </c>
      <c r="V1349" s="13">
        <f>IF(U1349="","",ROUND(M1349-U1349,2))</f>
        <v/>
      </c>
      <c r="W1349" s="5" t="n"/>
      <c r="X1349" s="5" t="inlineStr">
        <is>
          <t>Labour + plant + material as published; reconciles to the published rate.</t>
        </is>
      </c>
    </row>
    <row r="1350" ht="13" customHeight="1">
      <c r="A1350" s="4" t="n">
        <v>2251</v>
      </c>
      <c r="B1350" s="5" t="inlineStr">
        <is>
          <t>IMG_0096</t>
        </is>
      </c>
      <c r="C1350" s="5" t="inlineStr">
        <is>
          <t>CLASS I: PIPEWORK - PIPES</t>
        </is>
      </c>
      <c r="D1350" s="5" t="inlineStr">
        <is>
          <t>02 CONCRETE PIPES</t>
        </is>
      </c>
      <c r="E1350" s="5" t="inlineStr">
        <is>
          <t>900 mm pipes; in trenches, depth</t>
        </is>
      </c>
      <c r="F1350" s="5" t="inlineStr">
        <is>
          <t>5.00-5.50 m deep</t>
        </is>
      </c>
      <c r="G1350" s="6" t="inlineStr">
        <is>
          <t>m</t>
        </is>
      </c>
      <c r="H1350" s="7" t="n">
        <v>1.8</v>
      </c>
      <c r="I1350" s="8" t="n">
        <v>220.01</v>
      </c>
      <c r="J1350" s="8" t="n">
        <v>289.09</v>
      </c>
      <c r="K1350" s="8" t="n">
        <v>255.18</v>
      </c>
      <c r="L1350" s="8" t="n">
        <v>0</v>
      </c>
      <c r="M1350" s="9">
        <f>ROUND(SUM(I1350:L1350),2)</f>
        <v/>
      </c>
      <c r="N1350" s="10">
        <f>ROUND(I1350*'Irish Basis'!$C$6*'Irish Basis'!$C$5,2)</f>
        <v/>
      </c>
      <c r="O1350" s="10">
        <f>ROUND(J1350*'Irish Basis'!$C$7*'Irish Basis'!$C$5,2)</f>
        <v/>
      </c>
      <c r="P1350" s="10">
        <f>ROUND(K1350*'Irish Basis'!$C$8*'Irish Basis'!$C$5,2)</f>
        <v/>
      </c>
      <c r="Q1350" s="10">
        <f>ROUND(L1350*'Irish Basis'!$C$12*'Irish Basis'!$C$5,2)</f>
        <v/>
      </c>
      <c r="R1350" s="11">
        <f>ROUND(SUM(N1350:Q1350),2)</f>
        <v/>
      </c>
      <c r="S1350" s="5" t="inlineStr">
        <is>
          <t>Stated build-up</t>
        </is>
      </c>
      <c r="T1350" s="12" t="inlineStr">
        <is>
          <t>High</t>
        </is>
      </c>
      <c r="U1350" s="8" t="n">
        <v>764.29</v>
      </c>
      <c r="V1350" s="13">
        <f>IF(U1350="","",ROUND(M1350-U1350,2))</f>
        <v/>
      </c>
      <c r="W1350" s="5" t="n"/>
      <c r="X1350" s="5" t="inlineStr">
        <is>
          <t>Labour + plant + material as published; reconciles to the published rate.</t>
        </is>
      </c>
    </row>
    <row r="1351" ht="13" customHeight="1">
      <c r="A1351" s="4" t="n">
        <v>2252</v>
      </c>
      <c r="B1351" s="5" t="inlineStr">
        <is>
          <t>IMG_0096</t>
        </is>
      </c>
      <c r="C1351" s="5" t="inlineStr">
        <is>
          <t>CLASS I: PIPEWORK - PIPES</t>
        </is>
      </c>
      <c r="D1351" s="5" t="inlineStr">
        <is>
          <t>02 CONCRETE PIPES</t>
        </is>
      </c>
      <c r="E1351" s="5" t="inlineStr">
        <is>
          <t>900 mm pipes; in trenches, depth</t>
        </is>
      </c>
      <c r="F1351" s="5" t="inlineStr">
        <is>
          <t>5.50-6.00 m deep</t>
        </is>
      </c>
      <c r="G1351" s="6" t="inlineStr">
        <is>
          <t>m</t>
        </is>
      </c>
      <c r="H1351" s="7" t="n">
        <v>2.1</v>
      </c>
      <c r="I1351" s="8" t="n">
        <v>256.68</v>
      </c>
      <c r="J1351" s="8" t="n">
        <v>337.43</v>
      </c>
      <c r="K1351" s="8" t="n">
        <v>255.18</v>
      </c>
      <c r="L1351" s="8" t="n">
        <v>0</v>
      </c>
      <c r="M1351" s="9">
        <f>ROUND(SUM(I1351:L1351),2)</f>
        <v/>
      </c>
      <c r="N1351" s="10">
        <f>ROUND(I1351*'Irish Basis'!$C$6*'Irish Basis'!$C$5,2)</f>
        <v/>
      </c>
      <c r="O1351" s="10">
        <f>ROUND(J1351*'Irish Basis'!$C$7*'Irish Basis'!$C$5,2)</f>
        <v/>
      </c>
      <c r="P1351" s="10">
        <f>ROUND(K1351*'Irish Basis'!$C$8*'Irish Basis'!$C$5,2)</f>
        <v/>
      </c>
      <c r="Q1351" s="10">
        <f>ROUND(L1351*'Irish Basis'!$C$12*'Irish Basis'!$C$5,2)</f>
        <v/>
      </c>
      <c r="R1351" s="11">
        <f>ROUND(SUM(N1351:Q1351),2)</f>
        <v/>
      </c>
      <c r="S1351" s="5" t="inlineStr">
        <is>
          <t>Stated build-up</t>
        </is>
      </c>
      <c r="T1351" s="12" t="inlineStr">
        <is>
          <t>High</t>
        </is>
      </c>
      <c r="U1351" s="8" t="n">
        <v>849.29</v>
      </c>
      <c r="V1351" s="13">
        <f>IF(U1351="","",ROUND(M1351-U1351,2))</f>
        <v/>
      </c>
      <c r="W1351" s="5" t="n"/>
      <c r="X1351" s="5" t="inlineStr">
        <is>
          <t>Labour + plant + material as published; reconciles to the published rate.</t>
        </is>
      </c>
    </row>
    <row r="1352" ht="13" customHeight="1">
      <c r="A1352" s="4" t="n">
        <v>2253</v>
      </c>
      <c r="B1352" s="5" t="inlineStr">
        <is>
          <t>IMG_0096</t>
        </is>
      </c>
      <c r="C1352" s="5" t="inlineStr">
        <is>
          <t>CLASS I: PIPEWORK - PIPES</t>
        </is>
      </c>
      <c r="D1352" s="5" t="inlineStr">
        <is>
          <t>02 CONCRETE PIPES</t>
        </is>
      </c>
      <c r="E1352" s="5" t="inlineStr">
        <is>
          <t>900 mm pipes; in trenches, depth</t>
        </is>
      </c>
      <c r="F1352" s="5" t="inlineStr">
        <is>
          <t>extra for bends</t>
        </is>
      </c>
      <c r="G1352" s="6" t="inlineStr">
        <is>
          <t>nr</t>
        </is>
      </c>
      <c r="H1352" s="7" t="n">
        <v>0.39</v>
      </c>
      <c r="I1352" s="8" t="n">
        <v>47.67</v>
      </c>
      <c r="J1352" s="8" t="n">
        <v>112.07</v>
      </c>
      <c r="K1352" s="8" t="n">
        <v>2365.12</v>
      </c>
      <c r="L1352" s="8" t="n">
        <v>0</v>
      </c>
      <c r="M1352" s="9">
        <f>ROUND(SUM(I1352:L1352),2)</f>
        <v/>
      </c>
      <c r="N1352" s="10">
        <f>ROUND(I1352*'Irish Basis'!$C$6*'Irish Basis'!$C$5,2)</f>
        <v/>
      </c>
      <c r="O1352" s="10">
        <f>ROUND(J1352*'Irish Basis'!$C$7*'Irish Basis'!$C$5,2)</f>
        <v/>
      </c>
      <c r="P1352" s="10">
        <f>ROUND(K1352*'Irish Basis'!$C$8*'Irish Basis'!$C$5,2)</f>
        <v/>
      </c>
      <c r="Q1352" s="10">
        <f>ROUND(L1352*'Irish Basis'!$C$12*'Irish Basis'!$C$5,2)</f>
        <v/>
      </c>
      <c r="R1352" s="11">
        <f>ROUND(SUM(N1352:Q1352),2)</f>
        <v/>
      </c>
      <c r="S1352" s="5" t="inlineStr">
        <is>
          <t>Stated build-up</t>
        </is>
      </c>
      <c r="T1352" s="12" t="inlineStr">
        <is>
          <t>High</t>
        </is>
      </c>
      <c r="U1352" s="8" t="n">
        <v>2524.86</v>
      </c>
      <c r="V1352" s="13">
        <f>IF(U1352="","",ROUND(M1352-U1352,2))</f>
        <v/>
      </c>
      <c r="W1352" s="5" t="n"/>
      <c r="X1352" s="5" t="inlineStr">
        <is>
          <t>Labour + plant + material as published; reconciles to the published rate.</t>
        </is>
      </c>
    </row>
    <row r="1353" ht="13" customHeight="1">
      <c r="A1353" s="4" t="n">
        <v>2255</v>
      </c>
      <c r="B1353" s="5" t="inlineStr">
        <is>
          <t>IMG_0096</t>
        </is>
      </c>
      <c r="C1353" s="5" t="inlineStr">
        <is>
          <t>CLASS I: PIPEWORK - PIPES</t>
        </is>
      </c>
      <c r="D1353" s="5" t="inlineStr">
        <is>
          <t>02 CONCRETE PIPES</t>
        </is>
      </c>
      <c r="E1353" s="5" t="inlineStr">
        <is>
          <t>1200 mm pipes; in trenches, depth</t>
        </is>
      </c>
      <c r="F1353" s="5" t="inlineStr">
        <is>
          <t>not in trenches</t>
        </is>
      </c>
      <c r="G1353" s="6" t="inlineStr">
        <is>
          <t>m</t>
        </is>
      </c>
      <c r="H1353" s="7" t="n">
        <v>0.25</v>
      </c>
      <c r="I1353" s="8" t="n">
        <v>21.58</v>
      </c>
      <c r="J1353" s="8" t="n">
        <v>2.78</v>
      </c>
      <c r="K1353" s="8" t="n">
        <v>436.65</v>
      </c>
      <c r="L1353" s="8" t="n">
        <v>0</v>
      </c>
      <c r="M1353" s="9">
        <f>ROUND(SUM(I1353:L1353),2)</f>
        <v/>
      </c>
      <c r="N1353" s="10">
        <f>ROUND(I1353*'Irish Basis'!$C$6*'Irish Basis'!$C$5,2)</f>
        <v/>
      </c>
      <c r="O1353" s="10">
        <f>ROUND(J1353*'Irish Basis'!$C$7*'Irish Basis'!$C$5,2)</f>
        <v/>
      </c>
      <c r="P1353" s="10">
        <f>ROUND(K1353*'Irish Basis'!$C$8*'Irish Basis'!$C$5,2)</f>
        <v/>
      </c>
      <c r="Q1353" s="10">
        <f>ROUND(L1353*'Irish Basis'!$C$12*'Irish Basis'!$C$5,2)</f>
        <v/>
      </c>
      <c r="R1353" s="11">
        <f>ROUND(SUM(N1353:Q1353),2)</f>
        <v/>
      </c>
      <c r="S1353" s="5" t="inlineStr">
        <is>
          <t>Stated build-up</t>
        </is>
      </c>
      <c r="T1353" s="12" t="inlineStr">
        <is>
          <t>High</t>
        </is>
      </c>
      <c r="U1353" s="8" t="n">
        <v>461.01</v>
      </c>
      <c r="V1353" s="13">
        <f>IF(U1353="","",ROUND(M1353-U1353,2))</f>
        <v/>
      </c>
      <c r="W1353" s="5" t="n"/>
      <c r="X1353" s="5" t="inlineStr">
        <is>
          <t>Labour + plant + material as published; reconciles to the published rate.</t>
        </is>
      </c>
    </row>
    <row r="1354" ht="13" customHeight="1">
      <c r="A1354" s="4" t="n">
        <v>2256</v>
      </c>
      <c r="B1354" s="5" t="inlineStr">
        <is>
          <t>IMG_0096</t>
        </is>
      </c>
      <c r="C1354" s="5" t="inlineStr">
        <is>
          <t>CLASS I: PIPEWORK - PIPES</t>
        </is>
      </c>
      <c r="D1354" s="5" t="inlineStr">
        <is>
          <t>02 CONCRETE PIPES</t>
        </is>
      </c>
      <c r="E1354" s="5" t="inlineStr">
        <is>
          <t>1200 mm pipes; in trenches, depth</t>
        </is>
      </c>
      <c r="F1354" s="5" t="inlineStr">
        <is>
          <t>ne 1.50 m deep</t>
        </is>
      </c>
      <c r="G1354" s="6" t="inlineStr">
        <is>
          <t>m</t>
        </is>
      </c>
      <c r="H1354" s="7" t="n">
        <v>0.46</v>
      </c>
      <c r="I1354" s="8" t="n">
        <v>56.23</v>
      </c>
      <c r="J1354" s="8" t="n">
        <v>73.65000000000001</v>
      </c>
      <c r="K1354" s="8" t="n">
        <v>436.65</v>
      </c>
      <c r="L1354" s="8" t="n">
        <v>0</v>
      </c>
      <c r="M1354" s="9">
        <f>ROUND(SUM(I1354:L1354),2)</f>
        <v/>
      </c>
      <c r="N1354" s="10">
        <f>ROUND(I1354*'Irish Basis'!$C$6*'Irish Basis'!$C$5,2)</f>
        <v/>
      </c>
      <c r="O1354" s="10">
        <f>ROUND(J1354*'Irish Basis'!$C$7*'Irish Basis'!$C$5,2)</f>
        <v/>
      </c>
      <c r="P1354" s="10">
        <f>ROUND(K1354*'Irish Basis'!$C$8*'Irish Basis'!$C$5,2)</f>
        <v/>
      </c>
      <c r="Q1354" s="10">
        <f>ROUND(L1354*'Irish Basis'!$C$12*'Irish Basis'!$C$5,2)</f>
        <v/>
      </c>
      <c r="R1354" s="11">
        <f>ROUND(SUM(N1354:Q1354),2)</f>
        <v/>
      </c>
      <c r="S1354" s="5" t="inlineStr">
        <is>
          <t>Stated build-up</t>
        </is>
      </c>
      <c r="T1354" s="12" t="inlineStr">
        <is>
          <t>High</t>
        </is>
      </c>
      <c r="U1354" s="8" t="n">
        <v>566.52</v>
      </c>
      <c r="V1354" s="13">
        <f>IF(U1354="","",ROUND(M1354-U1354,2))</f>
        <v/>
      </c>
      <c r="W1354" s="5" t="n"/>
      <c r="X1354" s="5" t="inlineStr">
        <is>
          <t>Labour + plant + material as published; reconciles to the published rate.</t>
        </is>
      </c>
    </row>
    <row r="1355" ht="13" customHeight="1">
      <c r="A1355" s="4" t="n">
        <v>2257</v>
      </c>
      <c r="B1355" s="5" t="inlineStr">
        <is>
          <t>IMG_0096</t>
        </is>
      </c>
      <c r="C1355" s="5" t="inlineStr">
        <is>
          <t>CLASS I: PIPEWORK - PIPES</t>
        </is>
      </c>
      <c r="D1355" s="5" t="inlineStr">
        <is>
          <t>02 CONCRETE PIPES</t>
        </is>
      </c>
      <c r="E1355" s="5" t="inlineStr">
        <is>
          <t>1200 mm pipes; in trenches, depth</t>
        </is>
      </c>
      <c r="F1355" s="5" t="inlineStr">
        <is>
          <t>1.50-2.00 m deep</t>
        </is>
      </c>
      <c r="G1355" s="6" t="inlineStr">
        <is>
          <t>m</t>
        </is>
      </c>
      <c r="H1355" s="7" t="n">
        <v>0.53</v>
      </c>
      <c r="I1355" s="8" t="n">
        <v>64.78</v>
      </c>
      <c r="J1355" s="8" t="n">
        <v>84.95</v>
      </c>
      <c r="K1355" s="8" t="n">
        <v>436.65</v>
      </c>
      <c r="L1355" s="8" t="n">
        <v>0</v>
      </c>
      <c r="M1355" s="9">
        <f>ROUND(SUM(I1355:L1355),2)</f>
        <v/>
      </c>
      <c r="N1355" s="10">
        <f>ROUND(I1355*'Irish Basis'!$C$6*'Irish Basis'!$C$5,2)</f>
        <v/>
      </c>
      <c r="O1355" s="10">
        <f>ROUND(J1355*'Irish Basis'!$C$7*'Irish Basis'!$C$5,2)</f>
        <v/>
      </c>
      <c r="P1355" s="10">
        <f>ROUND(K1355*'Irish Basis'!$C$8*'Irish Basis'!$C$5,2)</f>
        <v/>
      </c>
      <c r="Q1355" s="10">
        <f>ROUND(L1355*'Irish Basis'!$C$12*'Irish Basis'!$C$5,2)</f>
        <v/>
      </c>
      <c r="R1355" s="11">
        <f>ROUND(SUM(N1355:Q1355),2)</f>
        <v/>
      </c>
      <c r="S1355" s="5" t="inlineStr">
        <is>
          <t>Stated build-up</t>
        </is>
      </c>
      <c r="T1355" s="12" t="inlineStr">
        <is>
          <t>High</t>
        </is>
      </c>
      <c r="U1355" s="8" t="n">
        <v>586.38</v>
      </c>
      <c r="V1355" s="13">
        <f>IF(U1355="","",ROUND(M1355-U1355,2))</f>
        <v/>
      </c>
      <c r="W1355" s="5" t="n"/>
      <c r="X1355" s="5" t="inlineStr">
        <is>
          <t>Labour + plant + material as published; reconciles to the published rate.</t>
        </is>
      </c>
    </row>
    <row r="1356" ht="13" customHeight="1">
      <c r="A1356" s="4" t="n">
        <v>2258</v>
      </c>
      <c r="B1356" s="5" t="inlineStr">
        <is>
          <t>IMG_0096</t>
        </is>
      </c>
      <c r="C1356" s="5" t="inlineStr">
        <is>
          <t>CLASS I: PIPEWORK - PIPES</t>
        </is>
      </c>
      <c r="D1356" s="5" t="inlineStr">
        <is>
          <t>02 CONCRETE PIPES</t>
        </is>
      </c>
      <c r="E1356" s="5" t="inlineStr">
        <is>
          <t>1200 mm pipes; in trenches, depth</t>
        </is>
      </c>
      <c r="F1356" s="5" t="inlineStr">
        <is>
          <t>2.00-2.50 m deep</t>
        </is>
      </c>
      <c r="G1356" s="6" t="inlineStr">
        <is>
          <t>m</t>
        </is>
      </c>
      <c r="H1356" s="7" t="n">
        <v>0.6</v>
      </c>
      <c r="I1356" s="8" t="n">
        <v>73.34</v>
      </c>
      <c r="J1356" s="8" t="n">
        <v>96.16</v>
      </c>
      <c r="K1356" s="8" t="n">
        <v>436.65</v>
      </c>
      <c r="L1356" s="8" t="n">
        <v>0</v>
      </c>
      <c r="M1356" s="9">
        <f>ROUND(SUM(I1356:L1356),2)</f>
        <v/>
      </c>
      <c r="N1356" s="10">
        <f>ROUND(I1356*'Irish Basis'!$C$6*'Irish Basis'!$C$5,2)</f>
        <v/>
      </c>
      <c r="O1356" s="10">
        <f>ROUND(J1356*'Irish Basis'!$C$7*'Irish Basis'!$C$5,2)</f>
        <v/>
      </c>
      <c r="P1356" s="10">
        <f>ROUND(K1356*'Irish Basis'!$C$8*'Irish Basis'!$C$5,2)</f>
        <v/>
      </c>
      <c r="Q1356" s="10">
        <f>ROUND(L1356*'Irish Basis'!$C$12*'Irish Basis'!$C$5,2)</f>
        <v/>
      </c>
      <c r="R1356" s="11">
        <f>ROUND(SUM(N1356:Q1356),2)</f>
        <v/>
      </c>
      <c r="S1356" s="5" t="inlineStr">
        <is>
          <t>Stated build-up</t>
        </is>
      </c>
      <c r="T1356" s="12" t="inlineStr">
        <is>
          <t>High</t>
        </is>
      </c>
      <c r="U1356" s="8" t="n">
        <v>606.14</v>
      </c>
      <c r="V1356" s="13">
        <f>IF(U1356="","",ROUND(M1356-U1356,2))</f>
        <v/>
      </c>
      <c r="W1356" s="5" t="n"/>
      <c r="X1356" s="5" t="inlineStr">
        <is>
          <t>Labour + plant + material as published; reconciles to the published rate.</t>
        </is>
      </c>
    </row>
    <row r="1357" ht="13" customHeight="1">
      <c r="A1357" s="4" t="n">
        <v>2259</v>
      </c>
      <c r="B1357" s="5" t="inlineStr">
        <is>
          <t>IMG_0096</t>
        </is>
      </c>
      <c r="C1357" s="5" t="inlineStr">
        <is>
          <t>CLASS I: PIPEWORK - PIPES</t>
        </is>
      </c>
      <c r="D1357" s="5" t="inlineStr">
        <is>
          <t>02 CONCRETE PIPES</t>
        </is>
      </c>
      <c r="E1357" s="5" t="inlineStr">
        <is>
          <t>1200 mm pipes; in trenches, depth</t>
        </is>
      </c>
      <c r="F1357" s="5" t="inlineStr">
        <is>
          <t>2.50-3.00 m deep</t>
        </is>
      </c>
      <c r="G1357" s="6" t="inlineStr">
        <is>
          <t>m</t>
        </is>
      </c>
      <c r="H1357" s="7" t="n">
        <v>0.7</v>
      </c>
      <c r="I1357" s="8" t="n">
        <v>85.56</v>
      </c>
      <c r="J1357" s="8" t="n">
        <v>112.26</v>
      </c>
      <c r="K1357" s="8" t="n">
        <v>436.65</v>
      </c>
      <c r="L1357" s="8" t="n">
        <v>0</v>
      </c>
      <c r="M1357" s="9">
        <f>ROUND(SUM(I1357:L1357),2)</f>
        <v/>
      </c>
      <c r="N1357" s="10">
        <f>ROUND(I1357*'Irish Basis'!$C$6*'Irish Basis'!$C$5,2)</f>
        <v/>
      </c>
      <c r="O1357" s="10">
        <f>ROUND(J1357*'Irish Basis'!$C$7*'Irish Basis'!$C$5,2)</f>
        <v/>
      </c>
      <c r="P1357" s="10">
        <f>ROUND(K1357*'Irish Basis'!$C$8*'Irish Basis'!$C$5,2)</f>
        <v/>
      </c>
      <c r="Q1357" s="10">
        <f>ROUND(L1357*'Irish Basis'!$C$12*'Irish Basis'!$C$5,2)</f>
        <v/>
      </c>
      <c r="R1357" s="11">
        <f>ROUND(SUM(N1357:Q1357),2)</f>
        <v/>
      </c>
      <c r="S1357" s="5" t="inlineStr">
        <is>
          <t>Stated build-up</t>
        </is>
      </c>
      <c r="T1357" s="12" t="inlineStr">
        <is>
          <t>High</t>
        </is>
      </c>
      <c r="U1357" s="8" t="n">
        <v>634.47</v>
      </c>
      <c r="V1357" s="13">
        <f>IF(U1357="","",ROUND(M1357-U1357,2))</f>
        <v/>
      </c>
      <c r="W1357" s="5" t="n"/>
      <c r="X1357" s="5" t="inlineStr">
        <is>
          <t>Labour + plant + material as published; reconciles to the published rate.</t>
        </is>
      </c>
    </row>
    <row r="1358" ht="13" customHeight="1">
      <c r="A1358" s="4" t="n">
        <v>2260</v>
      </c>
      <c r="B1358" s="5" t="inlineStr">
        <is>
          <t>IMG_0096</t>
        </is>
      </c>
      <c r="C1358" s="5" t="inlineStr">
        <is>
          <t>CLASS I: PIPEWORK - PIPES</t>
        </is>
      </c>
      <c r="D1358" s="5" t="inlineStr">
        <is>
          <t>02 CONCRETE PIPES</t>
        </is>
      </c>
      <c r="E1358" s="5" t="inlineStr">
        <is>
          <t>1200 mm pipes; in trenches, depth</t>
        </is>
      </c>
      <c r="F1358" s="5" t="inlineStr">
        <is>
          <t>3.00-3.50 m deep</t>
        </is>
      </c>
      <c r="G1358" s="6" t="inlineStr">
        <is>
          <t>m</t>
        </is>
      </c>
      <c r="H1358" s="7" t="n">
        <v>0.85</v>
      </c>
      <c r="I1358" s="8" t="n">
        <v>103.9</v>
      </c>
      <c r="J1358" s="8" t="n">
        <v>136.35</v>
      </c>
      <c r="K1358" s="8" t="n">
        <v>436.65</v>
      </c>
      <c r="L1358" s="8" t="n">
        <v>0</v>
      </c>
      <c r="M1358" s="9">
        <f>ROUND(SUM(I1358:L1358),2)</f>
        <v/>
      </c>
      <c r="N1358" s="10">
        <f>ROUND(I1358*'Irish Basis'!$C$6*'Irish Basis'!$C$5,2)</f>
        <v/>
      </c>
      <c r="O1358" s="10">
        <f>ROUND(J1358*'Irish Basis'!$C$7*'Irish Basis'!$C$5,2)</f>
        <v/>
      </c>
      <c r="P1358" s="10">
        <f>ROUND(K1358*'Irish Basis'!$C$8*'Irish Basis'!$C$5,2)</f>
        <v/>
      </c>
      <c r="Q1358" s="10">
        <f>ROUND(L1358*'Irish Basis'!$C$12*'Irish Basis'!$C$5,2)</f>
        <v/>
      </c>
      <c r="R1358" s="11">
        <f>ROUND(SUM(N1358:Q1358),2)</f>
        <v/>
      </c>
      <c r="S1358" s="5" t="inlineStr">
        <is>
          <t>Stated build-up</t>
        </is>
      </c>
      <c r="T1358" s="12" t="inlineStr">
        <is>
          <t>High</t>
        </is>
      </c>
      <c r="U1358" s="8" t="n">
        <v>676.89</v>
      </c>
      <c r="V1358" s="13">
        <f>IF(U1358="","",ROUND(M1358-U1358,2))</f>
        <v/>
      </c>
      <c r="W1358" s="5" t="n"/>
      <c r="X1358" s="5" t="inlineStr">
        <is>
          <t>Labour + plant + material as published; reconciles to the published rate.</t>
        </is>
      </c>
    </row>
    <row r="1359" ht="13" customHeight="1">
      <c r="A1359" s="4" t="n">
        <v>2261</v>
      </c>
      <c r="B1359" s="5" t="inlineStr">
        <is>
          <t>IMG_0096</t>
        </is>
      </c>
      <c r="C1359" s="5" t="inlineStr">
        <is>
          <t>CLASS I: PIPEWORK - PIPES</t>
        </is>
      </c>
      <c r="D1359" s="5" t="inlineStr">
        <is>
          <t>02 CONCRETE PIPES</t>
        </is>
      </c>
      <c r="E1359" s="5" t="inlineStr">
        <is>
          <t>1200 mm pipes; in trenches, depth</t>
        </is>
      </c>
      <c r="F1359" s="5" t="inlineStr">
        <is>
          <t>3.50-4.00 m deep</t>
        </is>
      </c>
      <c r="G1359" s="6" t="inlineStr">
        <is>
          <t>m</t>
        </is>
      </c>
      <c r="H1359" s="7" t="n">
        <v>1.12</v>
      </c>
      <c r="I1359" s="8" t="n">
        <v>136.9</v>
      </c>
      <c r="J1359" s="8" t="n">
        <v>179.73</v>
      </c>
      <c r="K1359" s="8" t="n">
        <v>436.65</v>
      </c>
      <c r="L1359" s="8" t="n">
        <v>0</v>
      </c>
      <c r="M1359" s="9">
        <f>ROUND(SUM(I1359:L1359),2)</f>
        <v/>
      </c>
      <c r="N1359" s="10">
        <f>ROUND(I1359*'Irish Basis'!$C$6*'Irish Basis'!$C$5,2)</f>
        <v/>
      </c>
      <c r="O1359" s="10">
        <f>ROUND(J1359*'Irish Basis'!$C$7*'Irish Basis'!$C$5,2)</f>
        <v/>
      </c>
      <c r="P1359" s="10">
        <f>ROUND(K1359*'Irish Basis'!$C$8*'Irish Basis'!$C$5,2)</f>
        <v/>
      </c>
      <c r="Q1359" s="10">
        <f>ROUND(L1359*'Irish Basis'!$C$12*'Irish Basis'!$C$5,2)</f>
        <v/>
      </c>
      <c r="R1359" s="11">
        <f>ROUND(SUM(N1359:Q1359),2)</f>
        <v/>
      </c>
      <c r="S1359" s="5" t="inlineStr">
        <is>
          <t>Stated build-up</t>
        </is>
      </c>
      <c r="T1359" s="12" t="inlineStr">
        <is>
          <t>High</t>
        </is>
      </c>
      <c r="U1359" s="8" t="n">
        <v>753.27</v>
      </c>
      <c r="V1359" s="13">
        <f>IF(U1359="","",ROUND(M1359-U1359,2))</f>
        <v/>
      </c>
      <c r="W1359" s="5" t="n"/>
      <c r="X1359" s="5" t="inlineStr">
        <is>
          <t>Labour + plant + material as published; reconciles to the published rate.</t>
        </is>
      </c>
    </row>
    <row r="1360" ht="13" customHeight="1">
      <c r="A1360" s="4" t="n">
        <v>2262</v>
      </c>
      <c r="B1360" s="5" t="inlineStr">
        <is>
          <t>IMG_0096</t>
        </is>
      </c>
      <c r="C1360" s="5" t="inlineStr">
        <is>
          <t>CLASS I: PIPEWORK - PIPES</t>
        </is>
      </c>
      <c r="D1360" s="5" t="inlineStr">
        <is>
          <t>02 CONCRETE PIPES</t>
        </is>
      </c>
      <c r="E1360" s="5" t="inlineStr">
        <is>
          <t>1200 mm pipes; in trenches, depth</t>
        </is>
      </c>
      <c r="F1360" s="5" t="inlineStr">
        <is>
          <t>4.00-4.50 m deep</t>
        </is>
      </c>
      <c r="G1360" s="6" t="inlineStr">
        <is>
          <t>m</t>
        </is>
      </c>
      <c r="H1360" s="7" t="n">
        <v>1.45</v>
      </c>
      <c r="I1360" s="8" t="n">
        <v>177.23</v>
      </c>
      <c r="J1360" s="8" t="n">
        <v>232.75</v>
      </c>
      <c r="K1360" s="8" t="n">
        <v>436.65</v>
      </c>
      <c r="L1360" s="8" t="n">
        <v>0</v>
      </c>
      <c r="M1360" s="9">
        <f>ROUND(SUM(I1360:L1360),2)</f>
        <v/>
      </c>
      <c r="N1360" s="10">
        <f>ROUND(I1360*'Irish Basis'!$C$6*'Irish Basis'!$C$5,2)</f>
        <v/>
      </c>
      <c r="O1360" s="10">
        <f>ROUND(J1360*'Irish Basis'!$C$7*'Irish Basis'!$C$5,2)</f>
        <v/>
      </c>
      <c r="P1360" s="10">
        <f>ROUND(K1360*'Irish Basis'!$C$8*'Irish Basis'!$C$5,2)</f>
        <v/>
      </c>
      <c r="Q1360" s="10">
        <f>ROUND(L1360*'Irish Basis'!$C$12*'Irish Basis'!$C$5,2)</f>
        <v/>
      </c>
      <c r="R1360" s="11">
        <f>ROUND(SUM(N1360:Q1360),2)</f>
        <v/>
      </c>
      <c r="S1360" s="5" t="inlineStr">
        <is>
          <t>Stated build-up</t>
        </is>
      </c>
      <c r="T1360" s="12" t="inlineStr">
        <is>
          <t>High</t>
        </is>
      </c>
      <c r="U1360" s="8" t="n">
        <v>846.63</v>
      </c>
      <c r="V1360" s="13">
        <f>IF(U1360="","",ROUND(M1360-U1360,2))</f>
        <v/>
      </c>
      <c r="W1360" s="5" t="n"/>
      <c r="X1360" s="5" t="inlineStr">
        <is>
          <t>Labour + plant + material as published; reconciles to the published rate.</t>
        </is>
      </c>
    </row>
    <row r="1361" ht="13" customHeight="1">
      <c r="A1361" s="4" t="n">
        <v>2263</v>
      </c>
      <c r="B1361" s="5" t="inlineStr">
        <is>
          <t>IMG_0096</t>
        </is>
      </c>
      <c r="C1361" s="5" t="inlineStr">
        <is>
          <t>CLASS I: PIPEWORK - PIPES</t>
        </is>
      </c>
      <c r="D1361" s="5" t="inlineStr">
        <is>
          <t>02 CONCRETE PIPES</t>
        </is>
      </c>
      <c r="E1361" s="5" t="inlineStr">
        <is>
          <t>1200 mm pipes; in trenches, depth</t>
        </is>
      </c>
      <c r="F1361" s="5" t="inlineStr">
        <is>
          <t>4.50-5.00 m deep</t>
        </is>
      </c>
      <c r="G1361" s="6" t="inlineStr">
        <is>
          <t>m</t>
        </is>
      </c>
      <c r="H1361" s="7" t="n">
        <v>1.75</v>
      </c>
      <c r="I1361" s="8" t="n">
        <v>213.9</v>
      </c>
      <c r="J1361" s="8" t="n">
        <v>280.97</v>
      </c>
      <c r="K1361" s="8" t="n">
        <v>436.65</v>
      </c>
      <c r="L1361" s="8" t="n">
        <v>0</v>
      </c>
      <c r="M1361" s="9">
        <f>ROUND(SUM(I1361:L1361),2)</f>
        <v/>
      </c>
      <c r="N1361" s="10">
        <f>ROUND(I1361*'Irish Basis'!$C$6*'Irish Basis'!$C$5,2)</f>
        <v/>
      </c>
      <c r="O1361" s="10">
        <f>ROUND(J1361*'Irish Basis'!$C$7*'Irish Basis'!$C$5,2)</f>
        <v/>
      </c>
      <c r="P1361" s="10">
        <f>ROUND(K1361*'Irish Basis'!$C$8*'Irish Basis'!$C$5,2)</f>
        <v/>
      </c>
      <c r="Q1361" s="10">
        <f>ROUND(L1361*'Irish Basis'!$C$12*'Irish Basis'!$C$5,2)</f>
        <v/>
      </c>
      <c r="R1361" s="11">
        <f>ROUND(SUM(N1361:Q1361),2)</f>
        <v/>
      </c>
      <c r="S1361" s="5" t="inlineStr">
        <is>
          <t>Stated build-up</t>
        </is>
      </c>
      <c r="T1361" s="12" t="inlineStr">
        <is>
          <t>High</t>
        </is>
      </c>
      <c r="U1361" s="8" t="n">
        <v>931.52</v>
      </c>
      <c r="V1361" s="13">
        <f>IF(U1361="","",ROUND(M1361-U1361,2))</f>
        <v/>
      </c>
      <c r="W1361" s="5" t="n"/>
      <c r="X1361" s="5" t="inlineStr">
        <is>
          <t>Labour + plant + material as published; reconciles to the published rate.</t>
        </is>
      </c>
    </row>
    <row r="1362" ht="13" customHeight="1">
      <c r="A1362" s="4" t="n">
        <v>2264</v>
      </c>
      <c r="B1362" s="5" t="inlineStr">
        <is>
          <t>IMG_0096</t>
        </is>
      </c>
      <c r="C1362" s="5" t="inlineStr">
        <is>
          <t>CLASS I: PIPEWORK - PIPES</t>
        </is>
      </c>
      <c r="D1362" s="5" t="inlineStr">
        <is>
          <t>02 CONCRETE PIPES</t>
        </is>
      </c>
      <c r="E1362" s="5" t="inlineStr">
        <is>
          <t>1200 mm pipes; in trenches, depth</t>
        </is>
      </c>
      <c r="F1362" s="5" t="inlineStr">
        <is>
          <t>5.00-5.50 m deep</t>
        </is>
      </c>
      <c r="G1362" s="6" t="inlineStr">
        <is>
          <t>m</t>
        </is>
      </c>
      <c r="H1362" s="7" t="n">
        <v>2.05</v>
      </c>
      <c r="I1362" s="8" t="n">
        <v>250.57</v>
      </c>
      <c r="J1362" s="8" t="n">
        <v>329.26</v>
      </c>
      <c r="K1362" s="8" t="n">
        <v>436.65</v>
      </c>
      <c r="L1362" s="8" t="n">
        <v>0</v>
      </c>
      <c r="M1362" s="9">
        <f>ROUND(SUM(I1362:L1362),2)</f>
        <v/>
      </c>
      <c r="N1362" s="10">
        <f>ROUND(I1362*'Irish Basis'!$C$6*'Irish Basis'!$C$5,2)</f>
        <v/>
      </c>
      <c r="O1362" s="10">
        <f>ROUND(J1362*'Irish Basis'!$C$7*'Irish Basis'!$C$5,2)</f>
        <v/>
      </c>
      <c r="P1362" s="10">
        <f>ROUND(K1362*'Irish Basis'!$C$8*'Irish Basis'!$C$5,2)</f>
        <v/>
      </c>
      <c r="Q1362" s="10">
        <f>ROUND(L1362*'Irish Basis'!$C$12*'Irish Basis'!$C$5,2)</f>
        <v/>
      </c>
      <c r="R1362" s="11">
        <f>ROUND(SUM(N1362:Q1362),2)</f>
        <v/>
      </c>
      <c r="S1362" s="5" t="inlineStr">
        <is>
          <t>Stated build-up</t>
        </is>
      </c>
      <c r="T1362" s="12" t="inlineStr">
        <is>
          <t>High</t>
        </is>
      </c>
      <c r="U1362" s="8" t="n">
        <v>1016.48</v>
      </c>
      <c r="V1362" s="13">
        <f>IF(U1362="","",ROUND(M1362-U1362,2))</f>
        <v/>
      </c>
      <c r="W1362" s="5" t="n"/>
      <c r="X1362" s="5" t="inlineStr">
        <is>
          <t>Labour + plant + material as published; reconciles to the published rate.</t>
        </is>
      </c>
    </row>
    <row r="1363" ht="13" customHeight="1">
      <c r="A1363" s="4" t="n">
        <v>2265</v>
      </c>
      <c r="B1363" s="5" t="inlineStr">
        <is>
          <t>IMG_0096</t>
        </is>
      </c>
      <c r="C1363" s="5" t="inlineStr">
        <is>
          <t>CLASS I: PIPEWORK - PIPES</t>
        </is>
      </c>
      <c r="D1363" s="5" t="inlineStr">
        <is>
          <t>02 CONCRETE PIPES</t>
        </is>
      </c>
      <c r="E1363" s="5" t="inlineStr">
        <is>
          <t>1200 mm pipes; in trenches, depth</t>
        </is>
      </c>
      <c r="F1363" s="5" t="inlineStr">
        <is>
          <t>5.50-6.00 m deep</t>
        </is>
      </c>
      <c r="G1363" s="6" t="inlineStr">
        <is>
          <t>m</t>
        </is>
      </c>
      <c r="H1363" s="7" t="n">
        <v>2.36</v>
      </c>
      <c r="I1363" s="8" t="n">
        <v>288.46</v>
      </c>
      <c r="J1363" s="8" t="n">
        <v>379.17</v>
      </c>
      <c r="K1363" s="8" t="n">
        <v>436.65</v>
      </c>
      <c r="L1363" s="8" t="n">
        <v>0</v>
      </c>
      <c r="M1363" s="9">
        <f>ROUND(SUM(I1363:L1363),2)</f>
        <v/>
      </c>
      <c r="N1363" s="10">
        <f>ROUND(I1363*'Irish Basis'!$C$6*'Irish Basis'!$C$5,2)</f>
        <v/>
      </c>
      <c r="O1363" s="10">
        <f>ROUND(J1363*'Irish Basis'!$C$7*'Irish Basis'!$C$5,2)</f>
        <v/>
      </c>
      <c r="P1363" s="10">
        <f>ROUND(K1363*'Irish Basis'!$C$8*'Irish Basis'!$C$5,2)</f>
        <v/>
      </c>
      <c r="Q1363" s="10">
        <f>ROUND(L1363*'Irish Basis'!$C$12*'Irish Basis'!$C$5,2)</f>
        <v/>
      </c>
      <c r="R1363" s="11">
        <f>ROUND(SUM(N1363:Q1363),2)</f>
        <v/>
      </c>
      <c r="S1363" s="5" t="inlineStr">
        <is>
          <t>Stated build-up</t>
        </is>
      </c>
      <c r="T1363" s="12" t="inlineStr">
        <is>
          <t>High</t>
        </is>
      </c>
      <c r="U1363" s="8" t="n">
        <v>1104.28</v>
      </c>
      <c r="V1363" s="13">
        <f>IF(U1363="","",ROUND(M1363-U1363,2))</f>
        <v/>
      </c>
      <c r="W1363" s="5" t="n"/>
      <c r="X1363" s="5" t="inlineStr">
        <is>
          <t>Labour + plant + material as published; reconciles to the published rate.</t>
        </is>
      </c>
    </row>
    <row r="1364" ht="13" customHeight="1">
      <c r="A1364" s="4" t="n">
        <v>2266</v>
      </c>
      <c r="B1364" s="5" t="inlineStr">
        <is>
          <t>IMG_0096</t>
        </is>
      </c>
      <c r="C1364" s="5" t="inlineStr">
        <is>
          <t>CLASS I: PIPEWORK - PIPES</t>
        </is>
      </c>
      <c r="D1364" s="5" t="inlineStr">
        <is>
          <t>02 CONCRETE PIPES</t>
        </is>
      </c>
      <c r="E1364" s="5" t="inlineStr">
        <is>
          <t>1200 mm pipes; in trenches, depth</t>
        </is>
      </c>
      <c r="F1364" s="5" t="inlineStr">
        <is>
          <t>extra for bends</t>
        </is>
      </c>
      <c r="G1364" s="6" t="inlineStr">
        <is>
          <t>nr</t>
        </is>
      </c>
      <c r="H1364" s="7" t="n">
        <v>0.51</v>
      </c>
      <c r="I1364" s="8" t="n">
        <v>62.34</v>
      </c>
      <c r="J1364" s="8" t="n">
        <v>146.82</v>
      </c>
      <c r="K1364" s="8" t="n">
        <v>4366.2</v>
      </c>
      <c r="L1364" s="8" t="n">
        <v>0</v>
      </c>
      <c r="M1364" s="9">
        <f>ROUND(SUM(I1364:L1364),2)</f>
        <v/>
      </c>
      <c r="N1364" s="10">
        <f>ROUND(I1364*'Irish Basis'!$C$6*'Irish Basis'!$C$5,2)</f>
        <v/>
      </c>
      <c r="O1364" s="10">
        <f>ROUND(J1364*'Irish Basis'!$C$7*'Irish Basis'!$C$5,2)</f>
        <v/>
      </c>
      <c r="P1364" s="10">
        <f>ROUND(K1364*'Irish Basis'!$C$8*'Irish Basis'!$C$5,2)</f>
        <v/>
      </c>
      <c r="Q1364" s="10">
        <f>ROUND(L1364*'Irish Basis'!$C$12*'Irish Basis'!$C$5,2)</f>
        <v/>
      </c>
      <c r="R1364" s="11">
        <f>ROUND(SUM(N1364:Q1364),2)</f>
        <v/>
      </c>
      <c r="S1364" s="5" t="inlineStr">
        <is>
          <t>Stated build-up</t>
        </is>
      </c>
      <c r="T1364" s="12" t="inlineStr">
        <is>
          <t>High</t>
        </is>
      </c>
      <c r="U1364" s="8" t="n">
        <v>4575.36</v>
      </c>
      <c r="V1364" s="13">
        <f>IF(U1364="","",ROUND(M1364-U1364,2))</f>
        <v/>
      </c>
      <c r="W1364" s="5" t="n"/>
      <c r="X1364" s="5" t="inlineStr">
        <is>
          <t>Labour + plant + material as published; reconciles to the published rate.</t>
        </is>
      </c>
    </row>
    <row r="1365" ht="13" customHeight="1">
      <c r="A1365" s="4" t="n">
        <v>2268</v>
      </c>
      <c r="B1365" s="5" t="inlineStr">
        <is>
          <t>IMG_0096</t>
        </is>
      </c>
      <c r="C1365" s="5" t="inlineStr">
        <is>
          <t>CLASS I: PIPEWORK - PIPES</t>
        </is>
      </c>
      <c r="D1365" s="5" t="inlineStr">
        <is>
          <t>02 CONCRETE PIPES</t>
        </is>
      </c>
      <c r="E1365" s="5" t="inlineStr">
        <is>
          <t>1500 mm pipes; in trenches, depth</t>
        </is>
      </c>
      <c r="F1365" s="5" t="inlineStr">
        <is>
          <t>not in trenches</t>
        </is>
      </c>
      <c r="G1365" s="6" t="inlineStr">
        <is>
          <t>m</t>
        </is>
      </c>
      <c r="H1365" s="7" t="n">
        <v>0.35</v>
      </c>
      <c r="I1365" s="8" t="n">
        <v>30.21</v>
      </c>
      <c r="J1365" s="8" t="n">
        <v>3.88</v>
      </c>
      <c r="K1365" s="8" t="n">
        <v>773.36</v>
      </c>
      <c r="L1365" s="8" t="n">
        <v>0</v>
      </c>
      <c r="M1365" s="9">
        <f>ROUND(SUM(I1365:L1365),2)</f>
        <v/>
      </c>
      <c r="N1365" s="10">
        <f>ROUND(I1365*'Irish Basis'!$C$6*'Irish Basis'!$C$5,2)</f>
        <v/>
      </c>
      <c r="O1365" s="10">
        <f>ROUND(J1365*'Irish Basis'!$C$7*'Irish Basis'!$C$5,2)</f>
        <v/>
      </c>
      <c r="P1365" s="10">
        <f>ROUND(K1365*'Irish Basis'!$C$8*'Irish Basis'!$C$5,2)</f>
        <v/>
      </c>
      <c r="Q1365" s="10">
        <f>ROUND(L1365*'Irish Basis'!$C$12*'Irish Basis'!$C$5,2)</f>
        <v/>
      </c>
      <c r="R1365" s="11">
        <f>ROUND(SUM(N1365:Q1365),2)</f>
        <v/>
      </c>
      <c r="S1365" s="5" t="inlineStr">
        <is>
          <t>Stated build-up</t>
        </is>
      </c>
      <c r="T1365" s="12" t="inlineStr">
        <is>
          <t>High</t>
        </is>
      </c>
      <c r="U1365" s="8" t="n">
        <v>807.4400000000001</v>
      </c>
      <c r="V1365" s="13">
        <f>IF(U1365="","",ROUND(M1365-U1365,2))</f>
        <v/>
      </c>
      <c r="W1365" s="5" t="n"/>
      <c r="X1365" s="5" t="inlineStr">
        <is>
          <t>Labour + plant + material as published; reconciles to the published rate.</t>
        </is>
      </c>
    </row>
    <row r="1366" ht="13" customHeight="1">
      <c r="A1366" s="4" t="n">
        <v>2269</v>
      </c>
      <c r="B1366" s="5" t="inlineStr">
        <is>
          <t>IMG_0096</t>
        </is>
      </c>
      <c r="C1366" s="5" t="inlineStr">
        <is>
          <t>CLASS I: PIPEWORK - PIPES</t>
        </is>
      </c>
      <c r="D1366" s="5" t="inlineStr">
        <is>
          <t>02 CONCRETE PIPES</t>
        </is>
      </c>
      <c r="E1366" s="5" t="inlineStr">
        <is>
          <t>1500 mm pipes; in trenches, depth</t>
        </is>
      </c>
      <c r="F1366" s="5" t="inlineStr">
        <is>
          <t>ne 1.50 m deep</t>
        </is>
      </c>
      <c r="G1366" s="6" t="inlineStr">
        <is>
          <t>m</t>
        </is>
      </c>
      <c r="H1366" s="7" t="n">
        <v>0.6</v>
      </c>
      <c r="I1366" s="8" t="n">
        <v>73.34</v>
      </c>
      <c r="J1366" s="8" t="n">
        <v>96.03</v>
      </c>
      <c r="K1366" s="8" t="n">
        <v>773.36</v>
      </c>
      <c r="L1366" s="8" t="n">
        <v>0</v>
      </c>
      <c r="M1366" s="9">
        <f>ROUND(SUM(I1366:L1366),2)</f>
        <v/>
      </c>
      <c r="N1366" s="10">
        <f>ROUND(I1366*'Irish Basis'!$C$6*'Irish Basis'!$C$5,2)</f>
        <v/>
      </c>
      <c r="O1366" s="10">
        <f>ROUND(J1366*'Irish Basis'!$C$7*'Irish Basis'!$C$5,2)</f>
        <v/>
      </c>
      <c r="P1366" s="10">
        <f>ROUND(K1366*'Irish Basis'!$C$8*'Irish Basis'!$C$5,2)</f>
        <v/>
      </c>
      <c r="Q1366" s="10">
        <f>ROUND(L1366*'Irish Basis'!$C$12*'Irish Basis'!$C$5,2)</f>
        <v/>
      </c>
      <c r="R1366" s="11">
        <f>ROUND(SUM(N1366:Q1366),2)</f>
        <v/>
      </c>
      <c r="S1366" s="5" t="inlineStr">
        <is>
          <t>Stated build-up</t>
        </is>
      </c>
      <c r="T1366" s="12" t="inlineStr">
        <is>
          <t>High</t>
        </is>
      </c>
      <c r="U1366" s="8" t="n">
        <v>942.73</v>
      </c>
      <c r="V1366" s="13">
        <f>IF(U1366="","",ROUND(M1366-U1366,2))</f>
        <v/>
      </c>
      <c r="W1366" s="5" t="n"/>
      <c r="X1366" s="5" t="inlineStr">
        <is>
          <t>Labour + plant + material as published; reconciles to the published rate.</t>
        </is>
      </c>
    </row>
    <row r="1367" ht="13" customHeight="1">
      <c r="A1367" s="4" t="n">
        <v>2270</v>
      </c>
      <c r="B1367" s="5" t="inlineStr">
        <is>
          <t>IMG_0096</t>
        </is>
      </c>
      <c r="C1367" s="5" t="inlineStr">
        <is>
          <t>CLASS I: PIPEWORK - PIPES</t>
        </is>
      </c>
      <c r="D1367" s="5" t="inlineStr">
        <is>
          <t>02 CONCRETE PIPES</t>
        </is>
      </c>
      <c r="E1367" s="5" t="inlineStr">
        <is>
          <t>1500 mm pipes; in trenches, depth</t>
        </is>
      </c>
      <c r="F1367" s="5" t="inlineStr">
        <is>
          <t>1.50-2.00 m deep</t>
        </is>
      </c>
      <c r="G1367" s="6" t="inlineStr">
        <is>
          <t>m</t>
        </is>
      </c>
      <c r="H1367" s="7" t="n">
        <v>0.7</v>
      </c>
      <c r="I1367" s="8" t="n">
        <v>85.56</v>
      </c>
      <c r="J1367" s="8" t="n">
        <v>112.21</v>
      </c>
      <c r="K1367" s="8" t="n">
        <v>773.36</v>
      </c>
      <c r="L1367" s="8" t="n">
        <v>0</v>
      </c>
      <c r="M1367" s="9">
        <f>ROUND(SUM(I1367:L1367),2)</f>
        <v/>
      </c>
      <c r="N1367" s="10">
        <f>ROUND(I1367*'Irish Basis'!$C$6*'Irish Basis'!$C$5,2)</f>
        <v/>
      </c>
      <c r="O1367" s="10">
        <f>ROUND(J1367*'Irish Basis'!$C$7*'Irish Basis'!$C$5,2)</f>
        <v/>
      </c>
      <c r="P1367" s="10">
        <f>ROUND(K1367*'Irish Basis'!$C$8*'Irish Basis'!$C$5,2)</f>
        <v/>
      </c>
      <c r="Q1367" s="10">
        <f>ROUND(L1367*'Irish Basis'!$C$12*'Irish Basis'!$C$5,2)</f>
        <v/>
      </c>
      <c r="R1367" s="11">
        <f>ROUND(SUM(N1367:Q1367),2)</f>
        <v/>
      </c>
      <c r="S1367" s="5" t="inlineStr">
        <is>
          <t>Stated build-up</t>
        </is>
      </c>
      <c r="T1367" s="12" t="inlineStr">
        <is>
          <t>High</t>
        </is>
      </c>
      <c r="U1367" s="8" t="n">
        <v>971.13</v>
      </c>
      <c r="V1367" s="13">
        <f>IF(U1367="","",ROUND(M1367-U1367,2))</f>
        <v/>
      </c>
      <c r="W1367" s="5" t="n"/>
      <c r="X1367" s="5" t="inlineStr">
        <is>
          <t>Labour + plant + material as published; reconciles to the published rate.</t>
        </is>
      </c>
    </row>
    <row r="1368" ht="13" customHeight="1">
      <c r="A1368" s="4" t="n">
        <v>2271</v>
      </c>
      <c r="B1368" s="5" t="inlineStr">
        <is>
          <t>IMG_0096</t>
        </is>
      </c>
      <c r="C1368" s="5" t="inlineStr">
        <is>
          <t>CLASS I: PIPEWORK - PIPES</t>
        </is>
      </c>
      <c r="D1368" s="5" t="inlineStr">
        <is>
          <t>02 CONCRETE PIPES</t>
        </is>
      </c>
      <c r="E1368" s="5" t="inlineStr">
        <is>
          <t>1500 mm pipes; in trenches, depth</t>
        </is>
      </c>
      <c r="F1368" s="5" t="inlineStr">
        <is>
          <t>2.00-2.50 m deep</t>
        </is>
      </c>
      <c r="G1368" s="6" t="inlineStr">
        <is>
          <t>m</t>
        </is>
      </c>
      <c r="H1368" s="7" t="n">
        <v>0.8100000000000001</v>
      </c>
      <c r="I1368" s="8" t="n">
        <v>99.01000000000001</v>
      </c>
      <c r="J1368" s="8" t="n">
        <v>129.83</v>
      </c>
      <c r="K1368" s="8" t="n">
        <v>773.36</v>
      </c>
      <c r="L1368" s="8" t="n">
        <v>0</v>
      </c>
      <c r="M1368" s="9">
        <f>ROUND(SUM(I1368:L1368),2)</f>
        <v/>
      </c>
      <c r="N1368" s="10">
        <f>ROUND(I1368*'Irish Basis'!$C$6*'Irish Basis'!$C$5,2)</f>
        <v/>
      </c>
      <c r="O1368" s="10">
        <f>ROUND(J1368*'Irish Basis'!$C$7*'Irish Basis'!$C$5,2)</f>
        <v/>
      </c>
      <c r="P1368" s="10">
        <f>ROUND(K1368*'Irish Basis'!$C$8*'Irish Basis'!$C$5,2)</f>
        <v/>
      </c>
      <c r="Q1368" s="10">
        <f>ROUND(L1368*'Irish Basis'!$C$12*'Irish Basis'!$C$5,2)</f>
        <v/>
      </c>
      <c r="R1368" s="11">
        <f>ROUND(SUM(N1368:Q1368),2)</f>
        <v/>
      </c>
      <c r="S1368" s="5" t="inlineStr">
        <is>
          <t>Stated build-up</t>
        </is>
      </c>
      <c r="T1368" s="12" t="inlineStr">
        <is>
          <t>High</t>
        </is>
      </c>
      <c r="U1368" s="8" t="n">
        <v>1002.19</v>
      </c>
      <c r="V1368" s="13">
        <f>IF(U1368="","",ROUND(M1368-U1368,2))</f>
        <v/>
      </c>
      <c r="W1368" s="5" t="n"/>
      <c r="X1368" s="5" t="inlineStr">
        <is>
          <t>Labour + plant + material as published; reconciles to the published rate.</t>
        </is>
      </c>
    </row>
    <row r="1369" ht="13" customHeight="1">
      <c r="A1369" s="4" t="n">
        <v>2272</v>
      </c>
      <c r="B1369" s="5" t="inlineStr">
        <is>
          <t>IMG_0096</t>
        </is>
      </c>
      <c r="C1369" s="5" t="inlineStr">
        <is>
          <t>CLASS I: PIPEWORK - PIPES</t>
        </is>
      </c>
      <c r="D1369" s="5" t="inlineStr">
        <is>
          <t>02 CONCRETE PIPES</t>
        </is>
      </c>
      <c r="E1369" s="5" t="inlineStr">
        <is>
          <t>1500 mm pipes; in trenches, depth</t>
        </is>
      </c>
      <c r="F1369" s="5" t="inlineStr">
        <is>
          <t>2.50-3.00 m deep</t>
        </is>
      </c>
      <c r="G1369" s="6" t="inlineStr">
        <is>
          <t>m</t>
        </is>
      </c>
      <c r="H1369" s="7" t="n">
        <v>0.92</v>
      </c>
      <c r="I1369" s="8" t="n">
        <v>112.45</v>
      </c>
      <c r="J1369" s="8" t="n">
        <v>147.51</v>
      </c>
      <c r="K1369" s="8" t="n">
        <v>773.36</v>
      </c>
      <c r="L1369" s="8" t="n">
        <v>0</v>
      </c>
      <c r="M1369" s="9">
        <f>ROUND(SUM(I1369:L1369),2)</f>
        <v/>
      </c>
      <c r="N1369" s="10">
        <f>ROUND(I1369*'Irish Basis'!$C$6*'Irish Basis'!$C$5,2)</f>
        <v/>
      </c>
      <c r="O1369" s="10">
        <f>ROUND(J1369*'Irish Basis'!$C$7*'Irish Basis'!$C$5,2)</f>
        <v/>
      </c>
      <c r="P1369" s="10">
        <f>ROUND(K1369*'Irish Basis'!$C$8*'Irish Basis'!$C$5,2)</f>
        <v/>
      </c>
      <c r="Q1369" s="10">
        <f>ROUND(L1369*'Irish Basis'!$C$12*'Irish Basis'!$C$5,2)</f>
        <v/>
      </c>
      <c r="R1369" s="11">
        <f>ROUND(SUM(N1369:Q1369),2)</f>
        <v/>
      </c>
      <c r="S1369" s="5" t="inlineStr">
        <is>
          <t>Stated build-up</t>
        </is>
      </c>
      <c r="T1369" s="12" t="inlineStr">
        <is>
          <t>High</t>
        </is>
      </c>
      <c r="U1369" s="8" t="n">
        <v>1033.31</v>
      </c>
      <c r="V1369" s="13">
        <f>IF(U1369="","",ROUND(M1369-U1369,2))</f>
        <v/>
      </c>
      <c r="W1369" s="5" t="n"/>
      <c r="X1369" s="5" t="inlineStr">
        <is>
          <t>Labour + plant + material as published; reconciles to the published rate.</t>
        </is>
      </c>
    </row>
    <row r="1370" ht="13" customHeight="1">
      <c r="A1370" s="4" t="n">
        <v>2273</v>
      </c>
      <c r="B1370" s="5" t="inlineStr">
        <is>
          <t>IMG_0096</t>
        </is>
      </c>
      <c r="C1370" s="5" t="inlineStr">
        <is>
          <t>CLASS I: PIPEWORK - PIPES</t>
        </is>
      </c>
      <c r="D1370" s="5" t="inlineStr">
        <is>
          <t>02 CONCRETE PIPES</t>
        </is>
      </c>
      <c r="E1370" s="5" t="inlineStr">
        <is>
          <t>1500 mm pipes; in trenches, depth</t>
        </is>
      </c>
      <c r="F1370" s="5" t="inlineStr">
        <is>
          <t>3.00-3.50 m deep</t>
        </is>
      </c>
      <c r="G1370" s="6" t="inlineStr">
        <is>
          <t>m</t>
        </is>
      </c>
      <c r="H1370" s="7" t="n">
        <v>1.05</v>
      </c>
      <c r="I1370" s="8" t="n">
        <v>128.34</v>
      </c>
      <c r="J1370" s="8" t="n">
        <v>168.42</v>
      </c>
      <c r="K1370" s="8" t="n">
        <v>773.36</v>
      </c>
      <c r="L1370" s="8" t="n">
        <v>0</v>
      </c>
      <c r="M1370" s="9">
        <f>ROUND(SUM(I1370:L1370),2)</f>
        <v/>
      </c>
      <c r="N1370" s="10">
        <f>ROUND(I1370*'Irish Basis'!$C$6*'Irish Basis'!$C$5,2)</f>
        <v/>
      </c>
      <c r="O1370" s="10">
        <f>ROUND(J1370*'Irish Basis'!$C$7*'Irish Basis'!$C$5,2)</f>
        <v/>
      </c>
      <c r="P1370" s="10">
        <f>ROUND(K1370*'Irish Basis'!$C$8*'Irish Basis'!$C$5,2)</f>
        <v/>
      </c>
      <c r="Q1370" s="10">
        <f>ROUND(L1370*'Irish Basis'!$C$12*'Irish Basis'!$C$5,2)</f>
        <v/>
      </c>
      <c r="R1370" s="11">
        <f>ROUND(SUM(N1370:Q1370),2)</f>
        <v/>
      </c>
      <c r="S1370" s="5" t="inlineStr">
        <is>
          <t>Stated build-up</t>
        </is>
      </c>
      <c r="T1370" s="12" t="inlineStr">
        <is>
          <t>High</t>
        </is>
      </c>
      <c r="U1370" s="8" t="n">
        <v>1070.12</v>
      </c>
      <c r="V1370" s="13">
        <f>IF(U1370="","",ROUND(M1370-U1370,2))</f>
        <v/>
      </c>
      <c r="W1370" s="5" t="n"/>
      <c r="X1370" s="5" t="inlineStr">
        <is>
          <t>Labour + plant + material as published; reconciles to the published rate.</t>
        </is>
      </c>
    </row>
    <row r="1371" ht="13" customHeight="1">
      <c r="A1371" s="4" t="n">
        <v>2274</v>
      </c>
      <c r="B1371" s="5" t="inlineStr">
        <is>
          <t>IMG_0096</t>
        </is>
      </c>
      <c r="C1371" s="5" t="inlineStr">
        <is>
          <t>CLASS I: PIPEWORK - PIPES</t>
        </is>
      </c>
      <c r="D1371" s="5" t="inlineStr">
        <is>
          <t>02 CONCRETE PIPES</t>
        </is>
      </c>
      <c r="E1371" s="5" t="inlineStr">
        <is>
          <t>1500 mm pipes; in trenches, depth</t>
        </is>
      </c>
      <c r="F1371" s="5" t="inlineStr">
        <is>
          <t>3.50-4.00 m deep</t>
        </is>
      </c>
      <c r="G1371" s="6" t="inlineStr">
        <is>
          <t>m</t>
        </is>
      </c>
      <c r="H1371" s="7" t="n">
        <v>1.27</v>
      </c>
      <c r="I1371" s="8" t="n">
        <v>155.23</v>
      </c>
      <c r="J1371" s="8" t="n">
        <v>203.78</v>
      </c>
      <c r="K1371" s="8" t="n">
        <v>773.36</v>
      </c>
      <c r="L1371" s="8" t="n">
        <v>0</v>
      </c>
      <c r="M1371" s="9">
        <f>ROUND(SUM(I1371:L1371),2)</f>
        <v/>
      </c>
      <c r="N1371" s="10">
        <f>ROUND(I1371*'Irish Basis'!$C$6*'Irish Basis'!$C$5,2)</f>
        <v/>
      </c>
      <c r="O1371" s="10">
        <f>ROUND(J1371*'Irish Basis'!$C$7*'Irish Basis'!$C$5,2)</f>
        <v/>
      </c>
      <c r="P1371" s="10">
        <f>ROUND(K1371*'Irish Basis'!$C$8*'Irish Basis'!$C$5,2)</f>
        <v/>
      </c>
      <c r="Q1371" s="10">
        <f>ROUND(L1371*'Irish Basis'!$C$12*'Irish Basis'!$C$5,2)</f>
        <v/>
      </c>
      <c r="R1371" s="11">
        <f>ROUND(SUM(N1371:Q1371),2)</f>
        <v/>
      </c>
      <c r="S1371" s="5" t="inlineStr">
        <is>
          <t>Stated build-up</t>
        </is>
      </c>
      <c r="T1371" s="12" t="inlineStr">
        <is>
          <t>High</t>
        </is>
      </c>
      <c r="U1371" s="8" t="n">
        <v>1132.37</v>
      </c>
      <c r="V1371" s="13">
        <f>IF(U1371="","",ROUND(M1371-U1371,2))</f>
        <v/>
      </c>
      <c r="W1371" s="5" t="n"/>
      <c r="X1371" s="5" t="inlineStr">
        <is>
          <t>Labour + plant + material as published; reconciles to the published rate.</t>
        </is>
      </c>
    </row>
    <row r="1372" ht="13" customHeight="1">
      <c r="A1372" s="4" t="n">
        <v>2275</v>
      </c>
      <c r="B1372" s="5" t="inlineStr">
        <is>
          <t>IMG_0096</t>
        </is>
      </c>
      <c r="C1372" s="5" t="inlineStr">
        <is>
          <t>CLASS I: PIPEWORK - PIPES</t>
        </is>
      </c>
      <c r="D1372" s="5" t="inlineStr">
        <is>
          <t>02 CONCRETE PIPES</t>
        </is>
      </c>
      <c r="E1372" s="5" t="inlineStr">
        <is>
          <t>1500 mm pipes; in trenches, depth</t>
        </is>
      </c>
      <c r="F1372" s="5" t="inlineStr">
        <is>
          <t>4.00-4.50 m deep</t>
        </is>
      </c>
      <c r="G1372" s="6" t="inlineStr">
        <is>
          <t>m</t>
        </is>
      </c>
      <c r="H1372" s="7" t="n">
        <v>1.7</v>
      </c>
      <c r="I1372" s="8" t="n">
        <v>207.79</v>
      </c>
      <c r="J1372" s="8" t="n">
        <v>272.89</v>
      </c>
      <c r="K1372" s="8" t="n">
        <v>773.36</v>
      </c>
      <c r="L1372" s="8" t="n">
        <v>0</v>
      </c>
      <c r="M1372" s="9">
        <f>ROUND(SUM(I1372:L1372),2)</f>
        <v/>
      </c>
      <c r="N1372" s="10">
        <f>ROUND(I1372*'Irish Basis'!$C$6*'Irish Basis'!$C$5,2)</f>
        <v/>
      </c>
      <c r="O1372" s="10">
        <f>ROUND(J1372*'Irish Basis'!$C$7*'Irish Basis'!$C$5,2)</f>
        <v/>
      </c>
      <c r="P1372" s="10">
        <f>ROUND(K1372*'Irish Basis'!$C$8*'Irish Basis'!$C$5,2)</f>
        <v/>
      </c>
      <c r="Q1372" s="10">
        <f>ROUND(L1372*'Irish Basis'!$C$12*'Irish Basis'!$C$5,2)</f>
        <v/>
      </c>
      <c r="R1372" s="11">
        <f>ROUND(SUM(N1372:Q1372),2)</f>
        <v/>
      </c>
      <c r="S1372" s="5" t="inlineStr">
        <is>
          <t>Stated build-up</t>
        </is>
      </c>
      <c r="T1372" s="12" t="inlineStr">
        <is>
          <t>High</t>
        </is>
      </c>
      <c r="U1372" s="8" t="n">
        <v>1254.03</v>
      </c>
      <c r="V1372" s="13">
        <f>IF(U1372="","",ROUND(M1372-U1372,2))</f>
        <v/>
      </c>
      <c r="W1372" s="5" t="n"/>
      <c r="X1372" s="5" t="inlineStr">
        <is>
          <t>Labour + plant + material as published; reconciles to the published rate.</t>
        </is>
      </c>
    </row>
    <row r="1373" ht="13" customHeight="1">
      <c r="A1373" s="4" t="n">
        <v>2276</v>
      </c>
      <c r="B1373" s="5" t="inlineStr">
        <is>
          <t>IMG_0096</t>
        </is>
      </c>
      <c r="C1373" s="5" t="inlineStr">
        <is>
          <t>CLASS I: PIPEWORK - PIPES</t>
        </is>
      </c>
      <c r="D1373" s="5" t="inlineStr">
        <is>
          <t>02 CONCRETE PIPES</t>
        </is>
      </c>
      <c r="E1373" s="5" t="inlineStr">
        <is>
          <t>1500 mm pipes; in trenches, depth</t>
        </is>
      </c>
      <c r="F1373" s="5" t="inlineStr">
        <is>
          <t>4.50-5.00 m deep</t>
        </is>
      </c>
      <c r="G1373" s="6" t="inlineStr">
        <is>
          <t>m</t>
        </is>
      </c>
      <c r="H1373" s="7" t="n">
        <v>2.05</v>
      </c>
      <c r="I1373" s="8" t="n">
        <v>250.57</v>
      </c>
      <c r="J1373" s="8" t="n">
        <v>329.17</v>
      </c>
      <c r="K1373" s="8" t="n">
        <v>773.36</v>
      </c>
      <c r="L1373" s="8" t="n">
        <v>0</v>
      </c>
      <c r="M1373" s="9">
        <f>ROUND(SUM(I1373:L1373),2)</f>
        <v/>
      </c>
      <c r="N1373" s="10">
        <f>ROUND(I1373*'Irish Basis'!$C$6*'Irish Basis'!$C$5,2)</f>
        <v/>
      </c>
      <c r="O1373" s="10">
        <f>ROUND(J1373*'Irish Basis'!$C$7*'Irish Basis'!$C$5,2)</f>
        <v/>
      </c>
      <c r="P1373" s="10">
        <f>ROUND(K1373*'Irish Basis'!$C$8*'Irish Basis'!$C$5,2)</f>
        <v/>
      </c>
      <c r="Q1373" s="10">
        <f>ROUND(L1373*'Irish Basis'!$C$12*'Irish Basis'!$C$5,2)</f>
        <v/>
      </c>
      <c r="R1373" s="11">
        <f>ROUND(SUM(N1373:Q1373),2)</f>
        <v/>
      </c>
      <c r="S1373" s="5" t="inlineStr">
        <is>
          <t>Stated build-up</t>
        </is>
      </c>
      <c r="T1373" s="12" t="inlineStr">
        <is>
          <t>High</t>
        </is>
      </c>
      <c r="U1373" s="8" t="n">
        <v>1353.09</v>
      </c>
      <c r="V1373" s="13">
        <f>IF(U1373="","",ROUND(M1373-U1373,2))</f>
        <v/>
      </c>
      <c r="W1373" s="5" t="n"/>
      <c r="X1373" s="5" t="inlineStr">
        <is>
          <t>Labour + plant + material as published; reconciles to the published rate.</t>
        </is>
      </c>
    </row>
    <row r="1374" ht="13" customHeight="1">
      <c r="A1374" s="4" t="n">
        <v>2277</v>
      </c>
      <c r="B1374" s="5" t="inlineStr">
        <is>
          <t>IMG_0096</t>
        </is>
      </c>
      <c r="C1374" s="5" t="inlineStr">
        <is>
          <t>CLASS I: PIPEWORK - PIPES</t>
        </is>
      </c>
      <c r="D1374" s="5" t="inlineStr">
        <is>
          <t>02 CONCRETE PIPES</t>
        </is>
      </c>
      <c r="E1374" s="5" t="inlineStr">
        <is>
          <t>1500 mm pipes; in trenches, depth</t>
        </is>
      </c>
      <c r="F1374" s="5" t="inlineStr">
        <is>
          <t>5.00-5.50 m deep</t>
        </is>
      </c>
      <c r="G1374" s="6" t="inlineStr">
        <is>
          <t>m</t>
        </is>
      </c>
      <c r="H1374" s="7" t="n">
        <v>2.4</v>
      </c>
      <c r="I1374" s="8" t="n">
        <v>293.35</v>
      </c>
      <c r="J1374" s="8" t="n">
        <v>385.46</v>
      </c>
      <c r="K1374" s="8" t="n">
        <v>773.36</v>
      </c>
      <c r="L1374" s="8" t="n">
        <v>0</v>
      </c>
      <c r="M1374" s="9">
        <f>ROUND(SUM(I1374:L1374),2)</f>
        <v/>
      </c>
      <c r="N1374" s="10">
        <f>ROUND(I1374*'Irish Basis'!$C$6*'Irish Basis'!$C$5,2)</f>
        <v/>
      </c>
      <c r="O1374" s="10">
        <f>ROUND(J1374*'Irish Basis'!$C$7*'Irish Basis'!$C$5,2)</f>
        <v/>
      </c>
      <c r="P1374" s="10">
        <f>ROUND(K1374*'Irish Basis'!$C$8*'Irish Basis'!$C$5,2)</f>
        <v/>
      </c>
      <c r="Q1374" s="10">
        <f>ROUND(L1374*'Irish Basis'!$C$12*'Irish Basis'!$C$5,2)</f>
        <v/>
      </c>
      <c r="R1374" s="11">
        <f>ROUND(SUM(N1374:Q1374),2)</f>
        <v/>
      </c>
      <c r="S1374" s="5" t="inlineStr">
        <is>
          <t>Stated build-up</t>
        </is>
      </c>
      <c r="T1374" s="12" t="inlineStr">
        <is>
          <t>High</t>
        </is>
      </c>
      <c r="U1374" s="8" t="n">
        <v>1452.17</v>
      </c>
      <c r="V1374" s="13">
        <f>IF(U1374="","",ROUND(M1374-U1374,2))</f>
        <v/>
      </c>
      <c r="W1374" s="5" t="n"/>
      <c r="X1374" s="5" t="inlineStr">
        <is>
          <t>Labour + plant + material as published; reconciles to the published rate.</t>
        </is>
      </c>
    </row>
    <row r="1375" ht="13" customHeight="1">
      <c r="A1375" s="4" t="n">
        <v>2278</v>
      </c>
      <c r="B1375" s="5" t="inlineStr">
        <is>
          <t>IMG_0096</t>
        </is>
      </c>
      <c r="C1375" s="5" t="inlineStr">
        <is>
          <t>CLASS I: PIPEWORK - PIPES</t>
        </is>
      </c>
      <c r="D1375" s="5" t="inlineStr">
        <is>
          <t>02 CONCRETE PIPES</t>
        </is>
      </c>
      <c r="E1375" s="5" t="inlineStr">
        <is>
          <t>1500 mm pipes; in trenches, depth</t>
        </is>
      </c>
      <c r="F1375" s="5" t="inlineStr">
        <is>
          <t>5.50-6.00 m deep</t>
        </is>
      </c>
      <c r="G1375" s="6" t="inlineStr">
        <is>
          <t>m</t>
        </is>
      </c>
      <c r="H1375" s="7" t="n">
        <v>2.75</v>
      </c>
      <c r="I1375" s="8" t="n">
        <v>336.13</v>
      </c>
      <c r="J1375" s="8" t="n">
        <v>437.33</v>
      </c>
      <c r="K1375" s="8" t="n">
        <v>779.7</v>
      </c>
      <c r="L1375" s="8" t="n">
        <v>0</v>
      </c>
      <c r="M1375" s="9">
        <f>ROUND(SUM(I1375:L1375),2)</f>
        <v/>
      </c>
      <c r="N1375" s="10">
        <f>ROUND(I1375*'Irish Basis'!$C$6*'Irish Basis'!$C$5,2)</f>
        <v/>
      </c>
      <c r="O1375" s="10">
        <f>ROUND(J1375*'Irish Basis'!$C$7*'Irish Basis'!$C$5,2)</f>
        <v/>
      </c>
      <c r="P1375" s="10">
        <f>ROUND(K1375*'Irish Basis'!$C$8*'Irish Basis'!$C$5,2)</f>
        <v/>
      </c>
      <c r="Q1375" s="10">
        <f>ROUND(L1375*'Irish Basis'!$C$12*'Irish Basis'!$C$5,2)</f>
        <v/>
      </c>
      <c r="R1375" s="11">
        <f>ROUND(SUM(N1375:Q1375),2)</f>
        <v/>
      </c>
      <c r="S1375" s="5" t="inlineStr">
        <is>
          <t>Stated build-up</t>
        </is>
      </c>
      <c r="T1375" s="12" t="inlineStr">
        <is>
          <t>High</t>
        </is>
      </c>
      <c r="U1375" s="8" t="n">
        <v>1553.16</v>
      </c>
      <c r="V1375" s="13">
        <f>IF(U1375="","",ROUND(M1375-U1375,2))</f>
        <v/>
      </c>
      <c r="W1375" s="5" t="n"/>
      <c r="X1375" s="5" t="inlineStr">
        <is>
          <t>Labour + plant + material as published; reconciles to the published rate.</t>
        </is>
      </c>
    </row>
    <row r="1376" ht="13" customHeight="1">
      <c r="A1376" s="4" t="n">
        <v>2279</v>
      </c>
      <c r="B1376" s="5" t="inlineStr">
        <is>
          <t>IMG_0096</t>
        </is>
      </c>
      <c r="C1376" s="5" t="inlineStr">
        <is>
          <t>CLASS I: PIPEWORK - PIPES</t>
        </is>
      </c>
      <c r="D1376" s="5" t="inlineStr">
        <is>
          <t>02 CONCRETE PIPES</t>
        </is>
      </c>
      <c r="E1376" s="5" t="inlineStr">
        <is>
          <t>1500 mm pipes; in trenches, depth</t>
        </is>
      </c>
      <c r="F1376" s="5" t="inlineStr">
        <is>
          <t>extra for bends</t>
        </is>
      </c>
      <c r="G1376" s="6" t="inlineStr">
        <is>
          <t>nr</t>
        </is>
      </c>
      <c r="H1376" s="7" t="n">
        <v>0.63</v>
      </c>
      <c r="I1376" s="8" t="n">
        <v>77</v>
      </c>
      <c r="J1376" s="8" t="n">
        <v>181.37</v>
      </c>
      <c r="K1376" s="8" t="n">
        <v>7733.06</v>
      </c>
      <c r="L1376" s="8" t="n">
        <v>0</v>
      </c>
      <c r="M1376" s="9">
        <f>ROUND(SUM(I1376:L1376),2)</f>
        <v/>
      </c>
      <c r="N1376" s="10">
        <f>ROUND(I1376*'Irish Basis'!$C$6*'Irish Basis'!$C$5,2)</f>
        <v/>
      </c>
      <c r="O1376" s="10">
        <f>ROUND(J1376*'Irish Basis'!$C$7*'Irish Basis'!$C$5,2)</f>
        <v/>
      </c>
      <c r="P1376" s="10">
        <f>ROUND(K1376*'Irish Basis'!$C$8*'Irish Basis'!$C$5,2)</f>
        <v/>
      </c>
      <c r="Q1376" s="10">
        <f>ROUND(L1376*'Irish Basis'!$C$12*'Irish Basis'!$C$5,2)</f>
        <v/>
      </c>
      <c r="R1376" s="11">
        <f>ROUND(SUM(N1376:Q1376),2)</f>
        <v/>
      </c>
      <c r="S1376" s="5" t="inlineStr">
        <is>
          <t>Stated build-up</t>
        </is>
      </c>
      <c r="T1376" s="12" t="inlineStr">
        <is>
          <t>High</t>
        </is>
      </c>
      <c r="U1376" s="8" t="n">
        <v>7991.43</v>
      </c>
      <c r="V1376" s="13">
        <f>IF(U1376="","",ROUND(M1376-U1376,2))</f>
        <v/>
      </c>
      <c r="W1376" s="5" t="n"/>
      <c r="X1376" s="5" t="inlineStr">
        <is>
          <t>Labour + plant + material as published; reconciles to the published rate.</t>
        </is>
      </c>
    </row>
    <row r="1377" ht="13" customHeight="1">
      <c r="A1377" s="4" t="n">
        <v>2281</v>
      </c>
      <c r="B1377" s="5" t="inlineStr">
        <is>
          <t>IMG_0096</t>
        </is>
      </c>
      <c r="C1377" s="5" t="inlineStr">
        <is>
          <t>CLASS I: PIPEWORK - PIPES</t>
        </is>
      </c>
      <c r="D1377" s="5" t="inlineStr">
        <is>
          <t>02 CONCRETE PIPES</t>
        </is>
      </c>
      <c r="E1377" s="5" t="inlineStr">
        <is>
          <t>1800 mm pipes; in trenches, depth</t>
        </is>
      </c>
      <c r="F1377" s="5" t="inlineStr">
        <is>
          <t>not in trenches</t>
        </is>
      </c>
      <c r="G1377" s="6" t="inlineStr">
        <is>
          <t>m</t>
        </is>
      </c>
      <c r="H1377" s="7" t="n">
        <v>0.4</v>
      </c>
      <c r="I1377" s="8" t="n">
        <v>34.53</v>
      </c>
      <c r="J1377" s="8" t="n">
        <v>4.44</v>
      </c>
      <c r="K1377" s="8" t="n">
        <v>1075.62</v>
      </c>
      <c r="L1377" s="8" t="n">
        <v>0</v>
      </c>
      <c r="M1377" s="9">
        <f>ROUND(SUM(I1377:L1377),2)</f>
        <v/>
      </c>
      <c r="N1377" s="10">
        <f>ROUND(I1377*'Irish Basis'!$C$6*'Irish Basis'!$C$5,2)</f>
        <v/>
      </c>
      <c r="O1377" s="10">
        <f>ROUND(J1377*'Irish Basis'!$C$7*'Irish Basis'!$C$5,2)</f>
        <v/>
      </c>
      <c r="P1377" s="10">
        <f>ROUND(K1377*'Irish Basis'!$C$8*'Irish Basis'!$C$5,2)</f>
        <v/>
      </c>
      <c r="Q1377" s="10">
        <f>ROUND(L1377*'Irish Basis'!$C$12*'Irish Basis'!$C$5,2)</f>
        <v/>
      </c>
      <c r="R1377" s="11">
        <f>ROUND(SUM(N1377:Q1377),2)</f>
        <v/>
      </c>
      <c r="S1377" s="5" t="inlineStr">
        <is>
          <t>Stated build-up</t>
        </is>
      </c>
      <c r="T1377" s="12" t="inlineStr">
        <is>
          <t>High</t>
        </is>
      </c>
      <c r="U1377" s="8" t="n">
        <v>1114.59</v>
      </c>
      <c r="V1377" s="13">
        <f>IF(U1377="","",ROUND(M1377-U1377,2))</f>
        <v/>
      </c>
      <c r="W1377" s="5" t="n"/>
      <c r="X1377" s="5" t="inlineStr">
        <is>
          <t>Labour + plant + material as published; reconciles to the published rate.</t>
        </is>
      </c>
    </row>
    <row r="1378" ht="13" customHeight="1">
      <c r="A1378" s="4" t="n">
        <v>2282</v>
      </c>
      <c r="B1378" s="5" t="inlineStr">
        <is>
          <t>IMG_0096</t>
        </is>
      </c>
      <c r="C1378" s="5" t="inlineStr">
        <is>
          <t>CLASS I: PIPEWORK - PIPES</t>
        </is>
      </c>
      <c r="D1378" s="5" t="inlineStr">
        <is>
          <t>02 CONCRETE PIPES</t>
        </is>
      </c>
      <c r="E1378" s="5" t="inlineStr">
        <is>
          <t>1800 mm pipes; in trenches, depth</t>
        </is>
      </c>
      <c r="F1378" s="5" t="inlineStr">
        <is>
          <t>ne 1.50 m deep</t>
        </is>
      </c>
      <c r="G1378" s="6" t="inlineStr">
        <is>
          <t>m</t>
        </is>
      </c>
      <c r="H1378" s="7" t="n">
        <v>0.77</v>
      </c>
      <c r="I1378" s="8" t="n">
        <v>94.12</v>
      </c>
      <c r="J1378" s="8" t="n">
        <v>123.25</v>
      </c>
      <c r="K1378" s="8" t="n">
        <v>1075.62</v>
      </c>
      <c r="L1378" s="8" t="n">
        <v>0</v>
      </c>
      <c r="M1378" s="9">
        <f>ROUND(SUM(I1378:L1378),2)</f>
        <v/>
      </c>
      <c r="N1378" s="10">
        <f>ROUND(I1378*'Irish Basis'!$C$6*'Irish Basis'!$C$5,2)</f>
        <v/>
      </c>
      <c r="O1378" s="10">
        <f>ROUND(J1378*'Irish Basis'!$C$7*'Irish Basis'!$C$5,2)</f>
        <v/>
      </c>
      <c r="P1378" s="10">
        <f>ROUND(K1378*'Irish Basis'!$C$8*'Irish Basis'!$C$5,2)</f>
        <v/>
      </c>
      <c r="Q1378" s="10">
        <f>ROUND(L1378*'Irish Basis'!$C$12*'Irish Basis'!$C$5,2)</f>
        <v/>
      </c>
      <c r="R1378" s="11">
        <f>ROUND(SUM(N1378:Q1378),2)</f>
        <v/>
      </c>
      <c r="S1378" s="5" t="inlineStr">
        <is>
          <t>Stated build-up</t>
        </is>
      </c>
      <c r="T1378" s="12" t="inlineStr">
        <is>
          <t>High</t>
        </is>
      </c>
      <c r="U1378" s="8" t="n">
        <v>1292.99</v>
      </c>
      <c r="V1378" s="13">
        <f>IF(U1378="","",ROUND(M1378-U1378,2))</f>
        <v/>
      </c>
      <c r="W1378" s="5" t="n"/>
      <c r="X1378" s="5" t="inlineStr">
        <is>
          <t>Labour + plant + material as published; reconciles to the published rate.</t>
        </is>
      </c>
    </row>
    <row r="1379" ht="13" customHeight="1">
      <c r="A1379" s="4" t="n">
        <v>2283</v>
      </c>
      <c r="B1379" s="5" t="inlineStr">
        <is>
          <t>IMG_0096</t>
        </is>
      </c>
      <c r="C1379" s="5" t="inlineStr">
        <is>
          <t>CLASS I: PIPEWORK - PIPES</t>
        </is>
      </c>
      <c r="D1379" s="5" t="inlineStr">
        <is>
          <t>02 CONCRETE PIPES</t>
        </is>
      </c>
      <c r="E1379" s="5" t="inlineStr">
        <is>
          <t>1800 mm pipes; in trenches, depth</t>
        </is>
      </c>
      <c r="F1379" s="5" t="inlineStr">
        <is>
          <t>1.50-2.00 m deep</t>
        </is>
      </c>
      <c r="G1379" s="6" t="inlineStr">
        <is>
          <t>m</t>
        </is>
      </c>
      <c r="H1379" s="7" t="n">
        <v>0.91</v>
      </c>
      <c r="I1379" s="8" t="n">
        <v>111.23</v>
      </c>
      <c r="J1379" s="8" t="n">
        <v>145.83</v>
      </c>
      <c r="K1379" s="8" t="n">
        <v>1075.62</v>
      </c>
      <c r="L1379" s="8" t="n">
        <v>0</v>
      </c>
      <c r="M1379" s="9">
        <f>ROUND(SUM(I1379:L1379),2)</f>
        <v/>
      </c>
      <c r="N1379" s="10">
        <f>ROUND(I1379*'Irish Basis'!$C$6*'Irish Basis'!$C$5,2)</f>
        <v/>
      </c>
      <c r="O1379" s="10">
        <f>ROUND(J1379*'Irish Basis'!$C$7*'Irish Basis'!$C$5,2)</f>
        <v/>
      </c>
      <c r="P1379" s="10">
        <f>ROUND(K1379*'Irish Basis'!$C$8*'Irish Basis'!$C$5,2)</f>
        <v/>
      </c>
      <c r="Q1379" s="10">
        <f>ROUND(L1379*'Irish Basis'!$C$12*'Irish Basis'!$C$5,2)</f>
        <v/>
      </c>
      <c r="R1379" s="11">
        <f>ROUND(SUM(N1379:Q1379),2)</f>
        <v/>
      </c>
      <c r="S1379" s="5" t="inlineStr">
        <is>
          <t>Stated build-up</t>
        </is>
      </c>
      <c r="T1379" s="12" t="inlineStr">
        <is>
          <t>High</t>
        </is>
      </c>
      <c r="U1379" s="8" t="n">
        <v>1332.68</v>
      </c>
      <c r="V1379" s="13">
        <f>IF(U1379="","",ROUND(M1379-U1379,2))</f>
        <v/>
      </c>
      <c r="W1379" s="5" t="n"/>
      <c r="X1379" s="5" t="inlineStr">
        <is>
          <t>Labour + plant + material as published; reconciles to the published rate.</t>
        </is>
      </c>
    </row>
    <row r="1380" ht="13" customHeight="1">
      <c r="A1380" s="4" t="n">
        <v>2284</v>
      </c>
      <c r="B1380" s="5" t="inlineStr">
        <is>
          <t>IMG_0096</t>
        </is>
      </c>
      <c r="C1380" s="5" t="inlineStr">
        <is>
          <t>CLASS I: PIPEWORK - PIPES</t>
        </is>
      </c>
      <c r="D1380" s="5" t="inlineStr">
        <is>
          <t>02 CONCRETE PIPES</t>
        </is>
      </c>
      <c r="E1380" s="5" t="inlineStr">
        <is>
          <t>1800 mm pipes; in trenches, depth</t>
        </is>
      </c>
      <c r="F1380" s="5" t="inlineStr">
        <is>
          <t>2.00-2.50 m deep</t>
        </is>
      </c>
      <c r="G1380" s="6" t="inlineStr">
        <is>
          <t>m</t>
        </is>
      </c>
      <c r="H1380" s="7" t="n">
        <v>1.03</v>
      </c>
      <c r="I1380" s="8" t="n">
        <v>125.9</v>
      </c>
      <c r="J1380" s="8" t="n">
        <v>165.06</v>
      </c>
      <c r="K1380" s="8" t="n">
        <v>1075.62</v>
      </c>
      <c r="L1380" s="8" t="n">
        <v>0</v>
      </c>
      <c r="M1380" s="9">
        <f>ROUND(SUM(I1380:L1380),2)</f>
        <v/>
      </c>
      <c r="N1380" s="10">
        <f>ROUND(I1380*'Irish Basis'!$C$6*'Irish Basis'!$C$5,2)</f>
        <v/>
      </c>
      <c r="O1380" s="10">
        <f>ROUND(J1380*'Irish Basis'!$C$7*'Irish Basis'!$C$5,2)</f>
        <v/>
      </c>
      <c r="P1380" s="10">
        <f>ROUND(K1380*'Irish Basis'!$C$8*'Irish Basis'!$C$5,2)</f>
        <v/>
      </c>
      <c r="Q1380" s="10">
        <f>ROUND(L1380*'Irish Basis'!$C$12*'Irish Basis'!$C$5,2)</f>
        <v/>
      </c>
      <c r="R1380" s="11">
        <f>ROUND(SUM(N1380:Q1380),2)</f>
        <v/>
      </c>
      <c r="S1380" s="5" t="inlineStr">
        <is>
          <t>Stated build-up</t>
        </is>
      </c>
      <c r="T1380" s="12" t="inlineStr">
        <is>
          <t>High</t>
        </is>
      </c>
      <c r="U1380" s="8" t="n">
        <v>1366.58</v>
      </c>
      <c r="V1380" s="13">
        <f>IF(U1380="","",ROUND(M1380-U1380,2))</f>
        <v/>
      </c>
      <c r="W1380" s="5" t="n"/>
      <c r="X1380" s="5" t="inlineStr">
        <is>
          <t>Labour + plant + material as published; reconciles to the published rate.</t>
        </is>
      </c>
    </row>
    <row r="1381" ht="13" customHeight="1">
      <c r="A1381" s="4" t="n">
        <v>2286</v>
      </c>
      <c r="B1381" s="5" t="inlineStr">
        <is>
          <t>IMG_0097</t>
        </is>
      </c>
      <c r="C1381" s="5" t="inlineStr">
        <is>
          <t>CLASS I: PIPEWORK - PIPES</t>
        </is>
      </c>
      <c r="D1381" s="5" t="inlineStr">
        <is>
          <t>02 CONCRETE PIPES</t>
        </is>
      </c>
      <c r="E1381" s="5" t="inlineStr">
        <is>
          <t>Concrete pipes with rebated flexible joints to BS 5911 Class 120; 1800 mm pipes; in trenches, depth (continued)</t>
        </is>
      </c>
      <c r="F1381" s="5" t="inlineStr">
        <is>
          <t>2.50-3.00 m deep</t>
        </is>
      </c>
      <c r="G1381" s="6" t="inlineStr">
        <is>
          <t>m</t>
        </is>
      </c>
      <c r="H1381" s="7" t="n">
        <v>1.12</v>
      </c>
      <c r="I1381" s="8" t="n">
        <v>136.9</v>
      </c>
      <c r="J1381" s="8" t="n">
        <v>179.57</v>
      </c>
      <c r="K1381" s="8" t="n">
        <v>1075.62</v>
      </c>
      <c r="L1381" s="8" t="n">
        <v>0</v>
      </c>
      <c r="M1381" s="9">
        <f>ROUND(SUM(I1381:L1381),2)</f>
        <v/>
      </c>
      <c r="N1381" s="10">
        <f>ROUND(I1381*'Irish Basis'!$C$6*'Irish Basis'!$C$5,2)</f>
        <v/>
      </c>
      <c r="O1381" s="10">
        <f>ROUND(J1381*'Irish Basis'!$C$7*'Irish Basis'!$C$5,2)</f>
        <v/>
      </c>
      <c r="P1381" s="10">
        <f>ROUND(K1381*'Irish Basis'!$C$8*'Irish Basis'!$C$5,2)</f>
        <v/>
      </c>
      <c r="Q1381" s="10">
        <f>ROUND(L1381*'Irish Basis'!$C$12*'Irish Basis'!$C$5,2)</f>
        <v/>
      </c>
      <c r="R1381" s="11">
        <f>ROUND(SUM(N1381:Q1381),2)</f>
        <v/>
      </c>
      <c r="S1381" s="5" t="inlineStr">
        <is>
          <t>Stated build-up</t>
        </is>
      </c>
      <c r="T1381" s="12" t="inlineStr">
        <is>
          <t>High</t>
        </is>
      </c>
      <c r="U1381" s="8" t="n">
        <v>1392.1</v>
      </c>
      <c r="V1381" s="13">
        <f>IF(U1381="","",ROUND(M1381-U1381,2))</f>
        <v/>
      </c>
      <c r="W1381" s="5" t="n"/>
      <c r="X1381" s="5" t="inlineStr">
        <is>
          <t>Labour + plant + material as published; reconciles to the published rate.</t>
        </is>
      </c>
    </row>
    <row r="1382" ht="13" customHeight="1">
      <c r="A1382" s="4" t="n">
        <v>2287</v>
      </c>
      <c r="B1382" s="5" t="inlineStr">
        <is>
          <t>IMG_0097</t>
        </is>
      </c>
      <c r="C1382" s="5" t="inlineStr">
        <is>
          <t>CLASS I: PIPEWORK - PIPES</t>
        </is>
      </c>
      <c r="D1382" s="5" t="inlineStr">
        <is>
          <t>02 CONCRETE PIPES</t>
        </is>
      </c>
      <c r="E1382" s="5" t="inlineStr">
        <is>
          <t>Concrete pipes with rebated flexible joints to BS 5911 Class 120; 1800 mm pipes; in trenches, depth (continued)</t>
        </is>
      </c>
      <c r="F1382" s="5" t="inlineStr">
        <is>
          <t>3.00-3.50 m deep</t>
        </is>
      </c>
      <c r="G1382" s="6" t="inlineStr">
        <is>
          <t>m</t>
        </is>
      </c>
      <c r="H1382" s="7" t="n">
        <v>1.2</v>
      </c>
      <c r="I1382" s="8" t="n">
        <v>146.68</v>
      </c>
      <c r="J1382" s="8" t="n">
        <v>192.47</v>
      </c>
      <c r="K1382" s="8" t="n">
        <v>1075.62</v>
      </c>
      <c r="L1382" s="8" t="n">
        <v>0</v>
      </c>
      <c r="M1382" s="9">
        <f>ROUND(SUM(I1382:L1382),2)</f>
        <v/>
      </c>
      <c r="N1382" s="10">
        <f>ROUND(I1382*'Irish Basis'!$C$6*'Irish Basis'!$C$5,2)</f>
        <v/>
      </c>
      <c r="O1382" s="10">
        <f>ROUND(J1382*'Irish Basis'!$C$7*'Irish Basis'!$C$5,2)</f>
        <v/>
      </c>
      <c r="P1382" s="10">
        <f>ROUND(K1382*'Irish Basis'!$C$8*'Irish Basis'!$C$5,2)</f>
        <v/>
      </c>
      <c r="Q1382" s="10">
        <f>ROUND(L1382*'Irish Basis'!$C$12*'Irish Basis'!$C$5,2)</f>
        <v/>
      </c>
      <c r="R1382" s="11">
        <f>ROUND(SUM(N1382:Q1382),2)</f>
        <v/>
      </c>
      <c r="S1382" s="5" t="inlineStr">
        <is>
          <t>Stated build-up</t>
        </is>
      </c>
      <c r="T1382" s="12" t="inlineStr">
        <is>
          <t>High</t>
        </is>
      </c>
      <c r="U1382" s="8" t="n">
        <v>1414.77</v>
      </c>
      <c r="V1382" s="13">
        <f>IF(U1382="","",ROUND(M1382-U1382,2))</f>
        <v/>
      </c>
      <c r="W1382" s="5" t="n"/>
      <c r="X1382" s="5" t="inlineStr">
        <is>
          <t>Labour + plant + material as published; reconciles to the published rate.</t>
        </is>
      </c>
    </row>
    <row r="1383" ht="13" customHeight="1">
      <c r="A1383" s="4" t="n">
        <v>2288</v>
      </c>
      <c r="B1383" s="5" t="inlineStr">
        <is>
          <t>IMG_0097</t>
        </is>
      </c>
      <c r="C1383" s="5" t="inlineStr">
        <is>
          <t>CLASS I: PIPEWORK - PIPES</t>
        </is>
      </c>
      <c r="D1383" s="5" t="inlineStr">
        <is>
          <t>02 CONCRETE PIPES</t>
        </is>
      </c>
      <c r="E1383" s="5" t="inlineStr">
        <is>
          <t>Concrete pipes with rebated flexible joints to BS 5911 Class 120; 1800 mm pipes; in trenches, depth (continued)</t>
        </is>
      </c>
      <c r="F1383" s="5" t="inlineStr">
        <is>
          <t>3.50-4.00 m deep</t>
        </is>
      </c>
      <c r="G1383" s="6" t="inlineStr">
        <is>
          <t>m</t>
        </is>
      </c>
      <c r="H1383" s="7" t="n">
        <v>1.52</v>
      </c>
      <c r="I1383" s="8" t="n">
        <v>185.79</v>
      </c>
      <c r="J1383" s="8" t="n">
        <v>243.92</v>
      </c>
      <c r="K1383" s="8" t="n">
        <v>1075.62</v>
      </c>
      <c r="L1383" s="8" t="n">
        <v>0</v>
      </c>
      <c r="M1383" s="9">
        <f>ROUND(SUM(I1383:L1383),2)</f>
        <v/>
      </c>
      <c r="N1383" s="10">
        <f>ROUND(I1383*'Irish Basis'!$C$6*'Irish Basis'!$C$5,2)</f>
        <v/>
      </c>
      <c r="O1383" s="10">
        <f>ROUND(J1383*'Irish Basis'!$C$7*'Irish Basis'!$C$5,2)</f>
        <v/>
      </c>
      <c r="P1383" s="10">
        <f>ROUND(K1383*'Irish Basis'!$C$8*'Irish Basis'!$C$5,2)</f>
        <v/>
      </c>
      <c r="Q1383" s="10">
        <f>ROUND(L1383*'Irish Basis'!$C$12*'Irish Basis'!$C$5,2)</f>
        <v/>
      </c>
      <c r="R1383" s="11">
        <f>ROUND(SUM(N1383:Q1383),2)</f>
        <v/>
      </c>
      <c r="S1383" s="5" t="inlineStr">
        <is>
          <t>Stated build-up</t>
        </is>
      </c>
      <c r="T1383" s="12" t="inlineStr">
        <is>
          <t>High</t>
        </is>
      </c>
      <c r="U1383" s="8" t="n">
        <v>1505.33</v>
      </c>
      <c r="V1383" s="13">
        <f>IF(U1383="","",ROUND(M1383-U1383,2))</f>
        <v/>
      </c>
      <c r="W1383" s="5" t="n"/>
      <c r="X1383" s="5" t="inlineStr">
        <is>
          <t>Labour + plant + material as published; reconciles to the published rate.</t>
        </is>
      </c>
    </row>
    <row r="1384" ht="13" customHeight="1">
      <c r="A1384" s="4" t="n">
        <v>2289</v>
      </c>
      <c r="B1384" s="5" t="inlineStr">
        <is>
          <t>IMG_0097</t>
        </is>
      </c>
      <c r="C1384" s="5" t="inlineStr">
        <is>
          <t>CLASS I: PIPEWORK - PIPES</t>
        </is>
      </c>
      <c r="D1384" s="5" t="inlineStr">
        <is>
          <t>02 CONCRETE PIPES</t>
        </is>
      </c>
      <c r="E1384" s="5" t="inlineStr">
        <is>
          <t>Concrete pipes with rebated flexible joints to BS 5911 Class 120; 1800 mm pipes; in trenches, depth (continued)</t>
        </is>
      </c>
      <c r="F1384" s="5" t="inlineStr">
        <is>
          <t>4.00-4.50 m deep</t>
        </is>
      </c>
      <c r="G1384" s="6" t="inlineStr">
        <is>
          <t>m</t>
        </is>
      </c>
      <c r="H1384" s="7" t="n">
        <v>2</v>
      </c>
      <c r="I1384" s="8" t="n">
        <v>244.46</v>
      </c>
      <c r="J1384" s="8" t="n">
        <v>321.01</v>
      </c>
      <c r="K1384" s="8" t="n">
        <v>1075.62</v>
      </c>
      <c r="L1384" s="8" t="n">
        <v>0</v>
      </c>
      <c r="M1384" s="9">
        <f>ROUND(SUM(I1384:L1384),2)</f>
        <v/>
      </c>
      <c r="N1384" s="10">
        <f>ROUND(I1384*'Irish Basis'!$C$6*'Irish Basis'!$C$5,2)</f>
        <v/>
      </c>
      <c r="O1384" s="10">
        <f>ROUND(J1384*'Irish Basis'!$C$7*'Irish Basis'!$C$5,2)</f>
        <v/>
      </c>
      <c r="P1384" s="10">
        <f>ROUND(K1384*'Irish Basis'!$C$8*'Irish Basis'!$C$5,2)</f>
        <v/>
      </c>
      <c r="Q1384" s="10">
        <f>ROUND(L1384*'Irish Basis'!$C$12*'Irish Basis'!$C$5,2)</f>
        <v/>
      </c>
      <c r="R1384" s="11">
        <f>ROUND(SUM(N1384:Q1384),2)</f>
        <v/>
      </c>
      <c r="S1384" s="5" t="inlineStr">
        <is>
          <t>Stated build-up</t>
        </is>
      </c>
      <c r="T1384" s="12" t="inlineStr">
        <is>
          <t>High</t>
        </is>
      </c>
      <c r="U1384" s="8" t="n">
        <v>1641.09</v>
      </c>
      <c r="V1384" s="13">
        <f>IF(U1384="","",ROUND(M1384-U1384,2))</f>
        <v/>
      </c>
      <c r="W1384" s="5" t="n"/>
      <c r="X1384" s="5" t="inlineStr">
        <is>
          <t>Labour + plant + material as published; reconciles to the published rate.</t>
        </is>
      </c>
    </row>
    <row r="1385" ht="13" customHeight="1">
      <c r="A1385" s="4" t="n">
        <v>2290</v>
      </c>
      <c r="B1385" s="5" t="inlineStr">
        <is>
          <t>IMG_0097</t>
        </is>
      </c>
      <c r="C1385" s="5" t="inlineStr">
        <is>
          <t>CLASS I: PIPEWORK - PIPES</t>
        </is>
      </c>
      <c r="D1385" s="5" t="inlineStr">
        <is>
          <t>02 CONCRETE PIPES</t>
        </is>
      </c>
      <c r="E1385" s="5" t="inlineStr">
        <is>
          <t>Concrete pipes with rebated flexible joints to BS 5911 Class 120; 1800 mm pipes; in trenches, depth (continued)</t>
        </is>
      </c>
      <c r="F1385" s="5" t="inlineStr">
        <is>
          <t>4.50-5.00 m deep</t>
        </is>
      </c>
      <c r="G1385" s="6" t="inlineStr">
        <is>
          <t>m</t>
        </is>
      </c>
      <c r="H1385" s="7" t="n">
        <v>2.4</v>
      </c>
      <c r="I1385" s="8" t="n">
        <v>293.35</v>
      </c>
      <c r="J1385" s="8" t="n">
        <v>385.35</v>
      </c>
      <c r="K1385" s="8" t="n">
        <v>1075.62</v>
      </c>
      <c r="L1385" s="8" t="n">
        <v>0</v>
      </c>
      <c r="M1385" s="9">
        <f>ROUND(SUM(I1385:L1385),2)</f>
        <v/>
      </c>
      <c r="N1385" s="10">
        <f>ROUND(I1385*'Irish Basis'!$C$6*'Irish Basis'!$C$5,2)</f>
        <v/>
      </c>
      <c r="O1385" s="10">
        <f>ROUND(J1385*'Irish Basis'!$C$7*'Irish Basis'!$C$5,2)</f>
        <v/>
      </c>
      <c r="P1385" s="10">
        <f>ROUND(K1385*'Irish Basis'!$C$8*'Irish Basis'!$C$5,2)</f>
        <v/>
      </c>
      <c r="Q1385" s="10">
        <f>ROUND(L1385*'Irish Basis'!$C$12*'Irish Basis'!$C$5,2)</f>
        <v/>
      </c>
      <c r="R1385" s="11">
        <f>ROUND(SUM(N1385:Q1385),2)</f>
        <v/>
      </c>
      <c r="S1385" s="5" t="inlineStr">
        <is>
          <t>Stated build-up</t>
        </is>
      </c>
      <c r="T1385" s="12" t="inlineStr">
        <is>
          <t>High</t>
        </is>
      </c>
      <c r="U1385" s="8" t="n">
        <v>1754.32</v>
      </c>
      <c r="V1385" s="13">
        <f>IF(U1385="","",ROUND(M1385-U1385,2))</f>
        <v/>
      </c>
      <c r="W1385" s="5" t="n"/>
      <c r="X1385" s="5" t="inlineStr">
        <is>
          <t>Labour + plant + material as published; reconciles to the published rate.</t>
        </is>
      </c>
    </row>
    <row r="1386" ht="13" customHeight="1">
      <c r="A1386" s="4" t="n">
        <v>2291</v>
      </c>
      <c r="B1386" s="5" t="inlineStr">
        <is>
          <t>IMG_0097</t>
        </is>
      </c>
      <c r="C1386" s="5" t="inlineStr">
        <is>
          <t>CLASS I: PIPEWORK - PIPES</t>
        </is>
      </c>
      <c r="D1386" s="5" t="inlineStr">
        <is>
          <t>02 CONCRETE PIPES</t>
        </is>
      </c>
      <c r="E1386" s="5" t="inlineStr">
        <is>
          <t>Concrete pipes with rebated flexible joints to BS 5911 Class 120; 1800 mm pipes; in trenches, depth (continued)</t>
        </is>
      </c>
      <c r="F1386" s="5" t="inlineStr">
        <is>
          <t>5.00-5.50 m deep</t>
        </is>
      </c>
      <c r="G1386" s="6" t="inlineStr">
        <is>
          <t>m</t>
        </is>
      </c>
      <c r="H1386" s="7" t="n">
        <v>2.8</v>
      </c>
      <c r="I1386" s="8" t="n">
        <v>342.24</v>
      </c>
      <c r="J1386" s="8" t="n">
        <v>449.7</v>
      </c>
      <c r="K1386" s="8" t="n">
        <v>1075.62</v>
      </c>
      <c r="L1386" s="8" t="n">
        <v>0</v>
      </c>
      <c r="M1386" s="9">
        <f>ROUND(SUM(I1386:L1386),2)</f>
        <v/>
      </c>
      <c r="N1386" s="10">
        <f>ROUND(I1386*'Irish Basis'!$C$6*'Irish Basis'!$C$5,2)</f>
        <v/>
      </c>
      <c r="O1386" s="10">
        <f>ROUND(J1386*'Irish Basis'!$C$7*'Irish Basis'!$C$5,2)</f>
        <v/>
      </c>
      <c r="P1386" s="10">
        <f>ROUND(K1386*'Irish Basis'!$C$8*'Irish Basis'!$C$5,2)</f>
        <v/>
      </c>
      <c r="Q1386" s="10">
        <f>ROUND(L1386*'Irish Basis'!$C$12*'Irish Basis'!$C$5,2)</f>
        <v/>
      </c>
      <c r="R1386" s="11">
        <f>ROUND(SUM(N1386:Q1386),2)</f>
        <v/>
      </c>
      <c r="S1386" s="5" t="inlineStr">
        <is>
          <t>Stated build-up</t>
        </is>
      </c>
      <c r="T1386" s="12" t="inlineStr">
        <is>
          <t>High</t>
        </is>
      </c>
      <c r="U1386" s="8" t="n">
        <v>1867.57</v>
      </c>
      <c r="V1386" s="13">
        <f>IF(U1386="","",ROUND(M1386-U1386,2))</f>
        <v/>
      </c>
      <c r="W1386" s="5" t="n"/>
      <c r="X1386" s="5" t="inlineStr">
        <is>
          <t>Labour + plant + material as published; reconciles to the published rate.</t>
        </is>
      </c>
    </row>
    <row r="1387" ht="13" customHeight="1">
      <c r="A1387" s="4" t="n">
        <v>2292</v>
      </c>
      <c r="B1387" s="5" t="inlineStr">
        <is>
          <t>IMG_0097</t>
        </is>
      </c>
      <c r="C1387" s="5" t="inlineStr">
        <is>
          <t>CLASS I: PIPEWORK - PIPES</t>
        </is>
      </c>
      <c r="D1387" s="5" t="inlineStr">
        <is>
          <t>02 CONCRETE PIPES</t>
        </is>
      </c>
      <c r="E1387" s="5" t="inlineStr">
        <is>
          <t>Concrete pipes with rebated flexible joints to BS 5911 Class 120; 1800 mm pipes; in trenches, depth (continued)</t>
        </is>
      </c>
      <c r="F1387" s="5" t="inlineStr">
        <is>
          <t>5.50-6.00 m deep</t>
        </is>
      </c>
      <c r="G1387" s="6" t="inlineStr">
        <is>
          <t>m</t>
        </is>
      </c>
      <c r="H1387" s="7" t="n">
        <v>3.15</v>
      </c>
      <c r="I1387" s="8" t="n">
        <v>385.02</v>
      </c>
      <c r="J1387" s="8" t="n">
        <v>506.08</v>
      </c>
      <c r="K1387" s="8" t="n">
        <v>1075.62</v>
      </c>
      <c r="L1387" s="8" t="n">
        <v>0</v>
      </c>
      <c r="M1387" s="9">
        <f>ROUND(SUM(I1387:L1387),2)</f>
        <v/>
      </c>
      <c r="N1387" s="10">
        <f>ROUND(I1387*'Irish Basis'!$C$6*'Irish Basis'!$C$5,2)</f>
        <v/>
      </c>
      <c r="O1387" s="10">
        <f>ROUND(J1387*'Irish Basis'!$C$7*'Irish Basis'!$C$5,2)</f>
        <v/>
      </c>
      <c r="P1387" s="10">
        <f>ROUND(K1387*'Irish Basis'!$C$8*'Irish Basis'!$C$5,2)</f>
        <v/>
      </c>
      <c r="Q1387" s="10">
        <f>ROUND(L1387*'Irish Basis'!$C$12*'Irish Basis'!$C$5,2)</f>
        <v/>
      </c>
      <c r="R1387" s="11">
        <f>ROUND(SUM(N1387:Q1387),2)</f>
        <v/>
      </c>
      <c r="S1387" s="5" t="inlineStr">
        <is>
          <t>Stated build-up</t>
        </is>
      </c>
      <c r="T1387" s="12" t="inlineStr">
        <is>
          <t>High</t>
        </is>
      </c>
      <c r="U1387" s="8" t="n">
        <v>1966.73</v>
      </c>
      <c r="V1387" s="13">
        <f>IF(U1387="","",ROUND(M1387-U1387,2))</f>
        <v/>
      </c>
      <c r="W1387" s="5" t="n"/>
      <c r="X1387" s="5" t="inlineStr">
        <is>
          <t>Labour + plant + material as published; reconciles to the published rate.</t>
        </is>
      </c>
    </row>
    <row r="1388" ht="13" customHeight="1">
      <c r="A1388" s="4" t="n">
        <v>2293</v>
      </c>
      <c r="B1388" s="5" t="inlineStr">
        <is>
          <t>IMG_0097</t>
        </is>
      </c>
      <c r="C1388" s="5" t="inlineStr">
        <is>
          <t>CLASS I: PIPEWORK - PIPES</t>
        </is>
      </c>
      <c r="D1388" s="5" t="inlineStr">
        <is>
          <t>02 CONCRETE PIPES</t>
        </is>
      </c>
      <c r="E1388" s="5" t="inlineStr">
        <is>
          <t>Concrete pipes with rebated flexible joints to BS 5911 Class 120; 1800 mm pipes; in trenches, depth (continued)</t>
        </is>
      </c>
      <c r="F1388" s="5" t="inlineStr">
        <is>
          <t>extra for bends</t>
        </is>
      </c>
      <c r="G1388" s="6" t="inlineStr">
        <is>
          <t>nr</t>
        </is>
      </c>
      <c r="H1388" s="7" t="n">
        <v>0.77</v>
      </c>
      <c r="I1388" s="8" t="n">
        <v>94.12</v>
      </c>
      <c r="J1388" s="8" t="n">
        <v>221.7</v>
      </c>
      <c r="K1388" s="8" t="n">
        <v>10756.12</v>
      </c>
      <c r="L1388" s="8" t="n">
        <v>0</v>
      </c>
      <c r="M1388" s="9">
        <f>ROUND(SUM(I1388:L1388),2)</f>
        <v/>
      </c>
      <c r="N1388" s="10">
        <f>ROUND(I1388*'Irish Basis'!$C$6*'Irish Basis'!$C$5,2)</f>
        <v/>
      </c>
      <c r="O1388" s="10">
        <f>ROUND(J1388*'Irish Basis'!$C$7*'Irish Basis'!$C$5,2)</f>
        <v/>
      </c>
      <c r="P1388" s="10">
        <f>ROUND(K1388*'Irish Basis'!$C$8*'Irish Basis'!$C$5,2)</f>
        <v/>
      </c>
      <c r="Q1388" s="10">
        <f>ROUND(L1388*'Irish Basis'!$C$12*'Irish Basis'!$C$5,2)</f>
        <v/>
      </c>
      <c r="R1388" s="11">
        <f>ROUND(SUM(N1388:Q1388),2)</f>
        <v/>
      </c>
      <c r="S1388" s="5" t="inlineStr">
        <is>
          <t>Stated build-up</t>
        </is>
      </c>
      <c r="T1388" s="12" t="inlineStr">
        <is>
          <t>High</t>
        </is>
      </c>
      <c r="U1388" s="8" t="n">
        <v>11071.95</v>
      </c>
      <c r="V1388" s="13">
        <f>IF(U1388="","",ROUND(M1388-U1388,2))</f>
        <v/>
      </c>
      <c r="W1388" s="5" t="n"/>
      <c r="X1388" s="5" t="inlineStr">
        <is>
          <t>Labour + plant + material as published; reconciles to the published rate.</t>
        </is>
      </c>
    </row>
    <row r="1389" ht="13" customHeight="1">
      <c r="A1389" s="4" t="n">
        <v>2295</v>
      </c>
      <c r="B1389" s="5" t="inlineStr">
        <is>
          <t>IMG_0097</t>
        </is>
      </c>
      <c r="C1389" s="5" t="inlineStr">
        <is>
          <t>CLASS I: PIPEWORK - PIPES</t>
        </is>
      </c>
      <c r="D1389" s="5" t="inlineStr">
        <is>
          <t>02 CONCRETE PIPES</t>
        </is>
      </c>
      <c r="E1389" s="5" t="inlineStr">
        <is>
          <t>2100 mm pipes; in trenches, depth</t>
        </is>
      </c>
      <c r="F1389" s="5" t="inlineStr">
        <is>
          <t>not in trenches</t>
        </is>
      </c>
      <c r="G1389" s="6" t="inlineStr">
        <is>
          <t>m</t>
        </is>
      </c>
      <c r="H1389" s="7" t="n">
        <v>1.6</v>
      </c>
      <c r="I1389" s="8" t="n">
        <v>138.1</v>
      </c>
      <c r="J1389" s="8" t="n">
        <v>5.01</v>
      </c>
      <c r="K1389" s="8" t="n">
        <v>1167.42</v>
      </c>
      <c r="L1389" s="8" t="n">
        <v>0</v>
      </c>
      <c r="M1389" s="9">
        <f>ROUND(SUM(I1389:L1389),2)</f>
        <v/>
      </c>
      <c r="N1389" s="10">
        <f>ROUND(I1389*'Irish Basis'!$C$6*'Irish Basis'!$C$5,2)</f>
        <v/>
      </c>
      <c r="O1389" s="10">
        <f>ROUND(J1389*'Irish Basis'!$C$7*'Irish Basis'!$C$5,2)</f>
        <v/>
      </c>
      <c r="P1389" s="10">
        <f>ROUND(K1389*'Irish Basis'!$C$8*'Irish Basis'!$C$5,2)</f>
        <v/>
      </c>
      <c r="Q1389" s="10">
        <f>ROUND(L1389*'Irish Basis'!$C$12*'Irish Basis'!$C$5,2)</f>
        <v/>
      </c>
      <c r="R1389" s="11">
        <f>ROUND(SUM(N1389:Q1389),2)</f>
        <v/>
      </c>
      <c r="S1389" s="5" t="inlineStr">
        <is>
          <t>Stated build-up</t>
        </is>
      </c>
      <c r="T1389" s="12" t="inlineStr">
        <is>
          <t>High</t>
        </is>
      </c>
      <c r="U1389" s="8" t="n">
        <v>1310.53</v>
      </c>
      <c r="V1389" s="13">
        <f>IF(U1389="","",ROUND(M1389-U1389,2))</f>
        <v/>
      </c>
      <c r="W1389" s="5" t="n"/>
      <c r="X1389" s="5" t="inlineStr">
        <is>
          <t>Labour + plant + material as published; reconciles to the published rate.</t>
        </is>
      </c>
    </row>
    <row r="1390" ht="13" customHeight="1">
      <c r="A1390" s="4" t="n">
        <v>2296</v>
      </c>
      <c r="B1390" s="5" t="inlineStr">
        <is>
          <t>IMG_0097</t>
        </is>
      </c>
      <c r="C1390" s="5" t="inlineStr">
        <is>
          <t>CLASS I: PIPEWORK - PIPES</t>
        </is>
      </c>
      <c r="D1390" s="5" t="inlineStr">
        <is>
          <t>02 CONCRETE PIPES</t>
        </is>
      </c>
      <c r="E1390" s="5" t="inlineStr">
        <is>
          <t>2100 mm pipes; in trenches, depth</t>
        </is>
      </c>
      <c r="F1390" s="5" t="inlineStr">
        <is>
          <t>ne 1.50 m deep</t>
        </is>
      </c>
      <c r="G1390" s="6" t="inlineStr">
        <is>
          <t>m</t>
        </is>
      </c>
      <c r="H1390" s="7" t="n">
        <v>1.84</v>
      </c>
      <c r="I1390" s="8" t="n">
        <v>224.9</v>
      </c>
      <c r="J1390" s="8" t="n">
        <v>156.82</v>
      </c>
      <c r="K1390" s="8" t="n">
        <v>1167.42</v>
      </c>
      <c r="L1390" s="8" t="n">
        <v>0</v>
      </c>
      <c r="M1390" s="9">
        <f>ROUND(SUM(I1390:L1390),2)</f>
        <v/>
      </c>
      <c r="N1390" s="10">
        <f>ROUND(I1390*'Irish Basis'!$C$6*'Irish Basis'!$C$5,2)</f>
        <v/>
      </c>
      <c r="O1390" s="10">
        <f>ROUND(J1390*'Irish Basis'!$C$7*'Irish Basis'!$C$5,2)</f>
        <v/>
      </c>
      <c r="P1390" s="10">
        <f>ROUND(K1390*'Irish Basis'!$C$8*'Irish Basis'!$C$5,2)</f>
        <v/>
      </c>
      <c r="Q1390" s="10">
        <f>ROUND(L1390*'Irish Basis'!$C$12*'Irish Basis'!$C$5,2)</f>
        <v/>
      </c>
      <c r="R1390" s="11">
        <f>ROUND(SUM(N1390:Q1390),2)</f>
        <v/>
      </c>
      <c r="S1390" s="5" t="inlineStr">
        <is>
          <t>Stated build-up</t>
        </is>
      </c>
      <c r="T1390" s="12" t="inlineStr">
        <is>
          <t>High</t>
        </is>
      </c>
      <c r="U1390" s="8" t="n">
        <v>1549.14</v>
      </c>
      <c r="V1390" s="13">
        <f>IF(U1390="","",ROUND(M1390-U1390,2))</f>
        <v/>
      </c>
      <c r="W1390" s="5" t="n"/>
      <c r="X1390" s="5" t="inlineStr">
        <is>
          <t>Labour + plant + material as published; reconciles to the published rate.</t>
        </is>
      </c>
    </row>
    <row r="1391" ht="13" customHeight="1">
      <c r="A1391" s="4" t="n">
        <v>2297</v>
      </c>
      <c r="B1391" s="5" t="inlineStr">
        <is>
          <t>IMG_0097</t>
        </is>
      </c>
      <c r="C1391" s="5" t="inlineStr">
        <is>
          <t>CLASS I: PIPEWORK - PIPES</t>
        </is>
      </c>
      <c r="D1391" s="5" t="inlineStr">
        <is>
          <t>02 CONCRETE PIPES</t>
        </is>
      </c>
      <c r="E1391" s="5" t="inlineStr">
        <is>
          <t>2100 mm pipes; in trenches, depth</t>
        </is>
      </c>
      <c r="F1391" s="5" t="inlineStr">
        <is>
          <t>1.50-2.00 m deep</t>
        </is>
      </c>
      <c r="G1391" s="6" t="inlineStr">
        <is>
          <t>m</t>
        </is>
      </c>
      <c r="H1391" s="7" t="n">
        <v>2</v>
      </c>
      <c r="I1391" s="8" t="n">
        <v>244.46</v>
      </c>
      <c r="J1391" s="8" t="n">
        <v>181.11</v>
      </c>
      <c r="K1391" s="8" t="n">
        <v>1167.42</v>
      </c>
      <c r="L1391" s="8" t="n">
        <v>0</v>
      </c>
      <c r="M1391" s="9">
        <f>ROUND(SUM(I1391:L1391),2)</f>
        <v/>
      </c>
      <c r="N1391" s="10">
        <f>ROUND(I1391*'Irish Basis'!$C$6*'Irish Basis'!$C$5,2)</f>
        <v/>
      </c>
      <c r="O1391" s="10">
        <f>ROUND(J1391*'Irish Basis'!$C$7*'Irish Basis'!$C$5,2)</f>
        <v/>
      </c>
      <c r="P1391" s="10">
        <f>ROUND(K1391*'Irish Basis'!$C$8*'Irish Basis'!$C$5,2)</f>
        <v/>
      </c>
      <c r="Q1391" s="10">
        <f>ROUND(L1391*'Irish Basis'!$C$12*'Irish Basis'!$C$5,2)</f>
        <v/>
      </c>
      <c r="R1391" s="11">
        <f>ROUND(SUM(N1391:Q1391),2)</f>
        <v/>
      </c>
      <c r="S1391" s="5" t="inlineStr">
        <is>
          <t>Stated build-up</t>
        </is>
      </c>
      <c r="T1391" s="12" t="inlineStr">
        <is>
          <t>High</t>
        </is>
      </c>
      <c r="U1391" s="8" t="n">
        <v>1592.99</v>
      </c>
      <c r="V1391" s="13">
        <f>IF(U1391="","",ROUND(M1391-U1391,2))</f>
        <v/>
      </c>
      <c r="W1391" s="5" t="n"/>
      <c r="X1391" s="5" t="inlineStr">
        <is>
          <t>Labour + plant + material as published; reconciles to the published rate.</t>
        </is>
      </c>
    </row>
    <row r="1392" ht="13" customHeight="1">
      <c r="A1392" s="4" t="n">
        <v>2298</v>
      </c>
      <c r="B1392" s="5" t="inlineStr">
        <is>
          <t>IMG_0097</t>
        </is>
      </c>
      <c r="C1392" s="5" t="inlineStr">
        <is>
          <t>CLASS I: PIPEWORK - PIPES</t>
        </is>
      </c>
      <c r="D1392" s="5" t="inlineStr">
        <is>
          <t>02 CONCRETE PIPES</t>
        </is>
      </c>
      <c r="E1392" s="5" t="inlineStr">
        <is>
          <t>2100 mm pipes; in trenches, depth</t>
        </is>
      </c>
      <c r="F1392" s="5" t="inlineStr">
        <is>
          <t>2.00-2.50 m deep</t>
        </is>
      </c>
      <c r="G1392" s="6" t="inlineStr">
        <is>
          <t>m</t>
        </is>
      </c>
      <c r="H1392" s="7" t="n">
        <v>2.08</v>
      </c>
      <c r="I1392" s="8" t="n">
        <v>254.24</v>
      </c>
      <c r="J1392" s="8" t="n">
        <v>196.94</v>
      </c>
      <c r="K1392" s="8" t="n">
        <v>1167.42</v>
      </c>
      <c r="L1392" s="8" t="n">
        <v>0</v>
      </c>
      <c r="M1392" s="9">
        <f>ROUND(SUM(I1392:L1392),2)</f>
        <v/>
      </c>
      <c r="N1392" s="10">
        <f>ROUND(I1392*'Irish Basis'!$C$6*'Irish Basis'!$C$5,2)</f>
        <v/>
      </c>
      <c r="O1392" s="10">
        <f>ROUND(J1392*'Irish Basis'!$C$7*'Irish Basis'!$C$5,2)</f>
        <v/>
      </c>
      <c r="P1392" s="10">
        <f>ROUND(K1392*'Irish Basis'!$C$8*'Irish Basis'!$C$5,2)</f>
        <v/>
      </c>
      <c r="Q1392" s="10">
        <f>ROUND(L1392*'Irish Basis'!$C$12*'Irish Basis'!$C$5,2)</f>
        <v/>
      </c>
      <c r="R1392" s="11">
        <f>ROUND(SUM(N1392:Q1392),2)</f>
        <v/>
      </c>
      <c r="S1392" s="5" t="inlineStr">
        <is>
          <t>Stated build-up</t>
        </is>
      </c>
      <c r="T1392" s="12" t="inlineStr">
        <is>
          <t>High</t>
        </is>
      </c>
      <c r="U1392" s="8" t="n">
        <v>1618.6</v>
      </c>
      <c r="V1392" s="13">
        <f>IF(U1392="","",ROUND(M1392-U1392,2))</f>
        <v/>
      </c>
      <c r="W1392" s="5" t="n"/>
      <c r="X1392" s="5" t="inlineStr">
        <is>
          <t>Labour + plant + material as published; reconciles to the published rate.</t>
        </is>
      </c>
    </row>
    <row r="1393" ht="13" customHeight="1">
      <c r="A1393" s="4" t="n">
        <v>2299</v>
      </c>
      <c r="B1393" s="5" t="inlineStr">
        <is>
          <t>IMG_0097</t>
        </is>
      </c>
      <c r="C1393" s="5" t="inlineStr">
        <is>
          <t>CLASS I: PIPEWORK - PIPES</t>
        </is>
      </c>
      <c r="D1393" s="5" t="inlineStr">
        <is>
          <t>02 CONCRETE PIPES</t>
        </is>
      </c>
      <c r="E1393" s="5" t="inlineStr">
        <is>
          <t>2100 mm pipes; in trenches, depth</t>
        </is>
      </c>
      <c r="F1393" s="5" t="inlineStr">
        <is>
          <t>2.50-3.00 m deep</t>
        </is>
      </c>
      <c r="G1393" s="6" t="inlineStr">
        <is>
          <t>m</t>
        </is>
      </c>
      <c r="H1393" s="7" t="n">
        <v>2.15</v>
      </c>
      <c r="I1393" s="8" t="n">
        <v>262.79</v>
      </c>
      <c r="J1393" s="8" t="n">
        <v>208.46</v>
      </c>
      <c r="K1393" s="8" t="n">
        <v>1167.42</v>
      </c>
      <c r="L1393" s="8" t="n">
        <v>0</v>
      </c>
      <c r="M1393" s="9">
        <f>ROUND(SUM(I1393:L1393),2)</f>
        <v/>
      </c>
      <c r="N1393" s="10">
        <f>ROUND(I1393*'Irish Basis'!$C$6*'Irish Basis'!$C$5,2)</f>
        <v/>
      </c>
      <c r="O1393" s="10">
        <f>ROUND(J1393*'Irish Basis'!$C$7*'Irish Basis'!$C$5,2)</f>
        <v/>
      </c>
      <c r="P1393" s="10">
        <f>ROUND(K1393*'Irish Basis'!$C$8*'Irish Basis'!$C$5,2)</f>
        <v/>
      </c>
      <c r="Q1393" s="10">
        <f>ROUND(L1393*'Irish Basis'!$C$12*'Irish Basis'!$C$5,2)</f>
        <v/>
      </c>
      <c r="R1393" s="11">
        <f>ROUND(SUM(N1393:Q1393),2)</f>
        <v/>
      </c>
      <c r="S1393" s="5" t="inlineStr">
        <is>
          <t>Stated build-up</t>
        </is>
      </c>
      <c r="T1393" s="12" t="inlineStr">
        <is>
          <t>High</t>
        </is>
      </c>
      <c r="U1393" s="8" t="n">
        <v>1638.67</v>
      </c>
      <c r="V1393" s="13">
        <f>IF(U1393="","",ROUND(M1393-U1393,2))</f>
        <v/>
      </c>
      <c r="W1393" s="5" t="n"/>
      <c r="X1393" s="5" t="inlineStr">
        <is>
          <t>Labour + plant + material as published; reconciles to the published rate.</t>
        </is>
      </c>
    </row>
    <row r="1394" ht="13" customHeight="1">
      <c r="A1394" s="4" t="n">
        <v>2300</v>
      </c>
      <c r="B1394" s="5" t="inlineStr">
        <is>
          <t>IMG_0097</t>
        </is>
      </c>
      <c r="C1394" s="5" t="inlineStr">
        <is>
          <t>CLASS I: PIPEWORK - PIPES</t>
        </is>
      </c>
      <c r="D1394" s="5" t="inlineStr">
        <is>
          <t>02 CONCRETE PIPES</t>
        </is>
      </c>
      <c r="E1394" s="5" t="inlineStr">
        <is>
          <t>2100 mm pipes; in trenches, depth</t>
        </is>
      </c>
      <c r="F1394" s="5" t="inlineStr">
        <is>
          <t>3.00-3.50 m deep</t>
        </is>
      </c>
      <c r="G1394" s="6" t="inlineStr">
        <is>
          <t>m</t>
        </is>
      </c>
      <c r="H1394" s="7" t="n">
        <v>2.35</v>
      </c>
      <c r="I1394" s="8" t="n">
        <v>287.24</v>
      </c>
      <c r="J1394" s="8" t="n">
        <v>240.62</v>
      </c>
      <c r="K1394" s="8" t="n">
        <v>1167.42</v>
      </c>
      <c r="L1394" s="8" t="n">
        <v>0</v>
      </c>
      <c r="M1394" s="9">
        <f>ROUND(SUM(I1394:L1394),2)</f>
        <v/>
      </c>
      <c r="N1394" s="10">
        <f>ROUND(I1394*'Irish Basis'!$C$6*'Irish Basis'!$C$5,2)</f>
        <v/>
      </c>
      <c r="O1394" s="10">
        <f>ROUND(J1394*'Irish Basis'!$C$7*'Irish Basis'!$C$5,2)</f>
        <v/>
      </c>
      <c r="P1394" s="10">
        <f>ROUND(K1394*'Irish Basis'!$C$8*'Irish Basis'!$C$5,2)</f>
        <v/>
      </c>
      <c r="Q1394" s="10">
        <f>ROUND(L1394*'Irish Basis'!$C$12*'Irish Basis'!$C$5,2)</f>
        <v/>
      </c>
      <c r="R1394" s="11">
        <f>ROUND(SUM(N1394:Q1394),2)</f>
        <v/>
      </c>
      <c r="S1394" s="5" t="inlineStr">
        <is>
          <t>Stated build-up</t>
        </is>
      </c>
      <c r="T1394" s="12" t="inlineStr">
        <is>
          <t>High</t>
        </is>
      </c>
      <c r="U1394" s="8" t="n">
        <v>1695.27</v>
      </c>
      <c r="V1394" s="13">
        <f>IF(U1394="","",ROUND(M1394-U1394,2))</f>
        <v/>
      </c>
      <c r="W1394" s="5" t="n"/>
      <c r="X1394" s="5" t="inlineStr">
        <is>
          <t>Labour + plant + material as published; reconciles to the published rate.</t>
        </is>
      </c>
    </row>
    <row r="1395" ht="13" customHeight="1">
      <c r="A1395" s="4" t="n">
        <v>2301</v>
      </c>
      <c r="B1395" s="5" t="inlineStr">
        <is>
          <t>IMG_0097</t>
        </is>
      </c>
      <c r="C1395" s="5" t="inlineStr">
        <is>
          <t>CLASS I: PIPEWORK - PIPES</t>
        </is>
      </c>
      <c r="D1395" s="5" t="inlineStr">
        <is>
          <t>02 CONCRETE PIPES</t>
        </is>
      </c>
      <c r="E1395" s="5" t="inlineStr">
        <is>
          <t>2100 mm pipes; in trenches, depth</t>
        </is>
      </c>
      <c r="F1395" s="5" t="inlineStr">
        <is>
          <t>3.50-4.00 m deep</t>
        </is>
      </c>
      <c r="G1395" s="6" t="inlineStr">
        <is>
          <t>m</t>
        </is>
      </c>
      <c r="H1395" s="7" t="n">
        <v>2.7</v>
      </c>
      <c r="I1395" s="8" t="n">
        <v>330.02</v>
      </c>
      <c r="J1395" s="8" t="n">
        <v>292.09</v>
      </c>
      <c r="K1395" s="8" t="n">
        <v>1167.42</v>
      </c>
      <c r="L1395" s="8" t="n">
        <v>0</v>
      </c>
      <c r="M1395" s="9">
        <f>ROUND(SUM(I1395:L1395),2)</f>
        <v/>
      </c>
      <c r="N1395" s="10">
        <f>ROUND(I1395*'Irish Basis'!$C$6*'Irish Basis'!$C$5,2)</f>
        <v/>
      </c>
      <c r="O1395" s="10">
        <f>ROUND(J1395*'Irish Basis'!$C$7*'Irish Basis'!$C$5,2)</f>
        <v/>
      </c>
      <c r="P1395" s="10">
        <f>ROUND(K1395*'Irish Basis'!$C$8*'Irish Basis'!$C$5,2)</f>
        <v/>
      </c>
      <c r="Q1395" s="10">
        <f>ROUND(L1395*'Irish Basis'!$C$12*'Irish Basis'!$C$5,2)</f>
        <v/>
      </c>
      <c r="R1395" s="11">
        <f>ROUND(SUM(N1395:Q1395),2)</f>
        <v/>
      </c>
      <c r="S1395" s="5" t="inlineStr">
        <is>
          <t>Stated build-up</t>
        </is>
      </c>
      <c r="T1395" s="12" t="inlineStr">
        <is>
          <t>High</t>
        </is>
      </c>
      <c r="U1395" s="8" t="n">
        <v>1789.52</v>
      </c>
      <c r="V1395" s="13">
        <f>IF(U1395="","",ROUND(M1395-U1395,2))</f>
        <v/>
      </c>
      <c r="W1395" s="5" t="n"/>
      <c r="X1395" s="5" t="inlineStr">
        <is>
          <t>Labour + plant + material as published; reconciles to the published rate.</t>
        </is>
      </c>
    </row>
    <row r="1396" ht="13" customHeight="1">
      <c r="A1396" s="4" t="n">
        <v>2302</v>
      </c>
      <c r="B1396" s="5" t="inlineStr">
        <is>
          <t>IMG_0097</t>
        </is>
      </c>
      <c r="C1396" s="5" t="inlineStr">
        <is>
          <t>CLASS I: PIPEWORK - PIPES</t>
        </is>
      </c>
      <c r="D1396" s="5" t="inlineStr">
        <is>
          <t>02 CONCRETE PIPES</t>
        </is>
      </c>
      <c r="E1396" s="5" t="inlineStr">
        <is>
          <t>2100 mm pipes; in trenches, depth</t>
        </is>
      </c>
      <c r="F1396" s="5" t="inlineStr">
        <is>
          <t>4.00-4.50 m deep</t>
        </is>
      </c>
      <c r="G1396" s="6" t="inlineStr">
        <is>
          <t>m</t>
        </is>
      </c>
      <c r="H1396" s="7" t="n">
        <v>3.2</v>
      </c>
      <c r="I1396" s="8" t="n">
        <v>391.13</v>
      </c>
      <c r="J1396" s="8" t="n">
        <v>377.17</v>
      </c>
      <c r="K1396" s="8" t="n">
        <v>1167.42</v>
      </c>
      <c r="L1396" s="8" t="n">
        <v>0</v>
      </c>
      <c r="M1396" s="9">
        <f>ROUND(SUM(I1396:L1396),2)</f>
        <v/>
      </c>
      <c r="N1396" s="10">
        <f>ROUND(I1396*'Irish Basis'!$C$6*'Irish Basis'!$C$5,2)</f>
        <v/>
      </c>
      <c r="O1396" s="10">
        <f>ROUND(J1396*'Irish Basis'!$C$7*'Irish Basis'!$C$5,2)</f>
        <v/>
      </c>
      <c r="P1396" s="10">
        <f>ROUND(K1396*'Irish Basis'!$C$8*'Irish Basis'!$C$5,2)</f>
        <v/>
      </c>
      <c r="Q1396" s="10">
        <f>ROUND(L1396*'Irish Basis'!$C$12*'Irish Basis'!$C$5,2)</f>
        <v/>
      </c>
      <c r="R1396" s="11">
        <f>ROUND(SUM(N1396:Q1396),2)</f>
        <v/>
      </c>
      <c r="S1396" s="5" t="inlineStr">
        <is>
          <t>Stated build-up</t>
        </is>
      </c>
      <c r="T1396" s="12" t="inlineStr">
        <is>
          <t>High</t>
        </is>
      </c>
      <c r="U1396" s="8" t="n">
        <v>1935.72</v>
      </c>
      <c r="V1396" s="13">
        <f>IF(U1396="","",ROUND(M1396-U1396,2))</f>
        <v/>
      </c>
      <c r="W1396" s="5" t="n"/>
      <c r="X1396" s="5" t="inlineStr">
        <is>
          <t>Labour + plant + material as published; reconciles to the published rate.</t>
        </is>
      </c>
    </row>
    <row r="1397" ht="13" customHeight="1">
      <c r="A1397" s="4" t="n">
        <v>2303</v>
      </c>
      <c r="B1397" s="5" t="inlineStr">
        <is>
          <t>IMG_0097</t>
        </is>
      </c>
      <c r="C1397" s="5" t="inlineStr">
        <is>
          <t>CLASS I: PIPEWORK - PIPES</t>
        </is>
      </c>
      <c r="D1397" s="5" t="inlineStr">
        <is>
          <t>02 CONCRETE PIPES</t>
        </is>
      </c>
      <c r="E1397" s="5" t="inlineStr">
        <is>
          <t>2100 mm pipes; in trenches, depth</t>
        </is>
      </c>
      <c r="F1397" s="5" t="inlineStr">
        <is>
          <t>4.50-5.00 m deep</t>
        </is>
      </c>
      <c r="G1397" s="6" t="inlineStr">
        <is>
          <t>m</t>
        </is>
      </c>
      <c r="H1397" s="7" t="n">
        <v>3.65</v>
      </c>
      <c r="I1397" s="8" t="n">
        <v>446.14</v>
      </c>
      <c r="J1397" s="8" t="n">
        <v>449.57</v>
      </c>
      <c r="K1397" s="8" t="n">
        <v>1167.42</v>
      </c>
      <c r="L1397" s="8" t="n">
        <v>0</v>
      </c>
      <c r="M1397" s="9">
        <f>ROUND(SUM(I1397:L1397),2)</f>
        <v/>
      </c>
      <c r="N1397" s="10">
        <f>ROUND(I1397*'Irish Basis'!$C$6*'Irish Basis'!$C$5,2)</f>
        <v/>
      </c>
      <c r="O1397" s="10">
        <f>ROUND(J1397*'Irish Basis'!$C$7*'Irish Basis'!$C$5,2)</f>
        <v/>
      </c>
      <c r="P1397" s="10">
        <f>ROUND(K1397*'Irish Basis'!$C$8*'Irish Basis'!$C$5,2)</f>
        <v/>
      </c>
      <c r="Q1397" s="10">
        <f>ROUND(L1397*'Irish Basis'!$C$12*'Irish Basis'!$C$5,2)</f>
        <v/>
      </c>
      <c r="R1397" s="11">
        <f>ROUND(SUM(N1397:Q1397),2)</f>
        <v/>
      </c>
      <c r="S1397" s="5" t="inlineStr">
        <is>
          <t>Stated build-up</t>
        </is>
      </c>
      <c r="T1397" s="12" t="inlineStr">
        <is>
          <t>High</t>
        </is>
      </c>
      <c r="U1397" s="8" t="n">
        <v>2063.13</v>
      </c>
      <c r="V1397" s="13">
        <f>IF(U1397="","",ROUND(M1397-U1397,2))</f>
        <v/>
      </c>
      <c r="W1397" s="5" t="n"/>
      <c r="X1397" s="5" t="inlineStr">
        <is>
          <t>Labour + plant + material as published; reconciles to the published rate.</t>
        </is>
      </c>
    </row>
    <row r="1398" ht="13" customHeight="1">
      <c r="A1398" s="4" t="n">
        <v>2304</v>
      </c>
      <c r="B1398" s="5" t="inlineStr">
        <is>
          <t>IMG_0097</t>
        </is>
      </c>
      <c r="C1398" s="5" t="inlineStr">
        <is>
          <t>CLASS I: PIPEWORK - PIPES</t>
        </is>
      </c>
      <c r="D1398" s="5" t="inlineStr">
        <is>
          <t>02 CONCRETE PIPES</t>
        </is>
      </c>
      <c r="E1398" s="5" t="inlineStr">
        <is>
          <t>2100 mm pipes; in trenches, depth</t>
        </is>
      </c>
      <c r="F1398" s="5" t="inlineStr">
        <is>
          <t>5.00-5.50 m deep</t>
        </is>
      </c>
      <c r="G1398" s="6" t="inlineStr">
        <is>
          <t>m</t>
        </is>
      </c>
      <c r="H1398" s="7" t="n">
        <v>4.05</v>
      </c>
      <c r="I1398" s="8" t="n">
        <v>495.03</v>
      </c>
      <c r="J1398" s="8" t="n">
        <v>513.95</v>
      </c>
      <c r="K1398" s="8" t="n">
        <v>1167.42</v>
      </c>
      <c r="L1398" s="8" t="n">
        <v>0</v>
      </c>
      <c r="M1398" s="9">
        <f>ROUND(SUM(I1398:L1398),2)</f>
        <v/>
      </c>
      <c r="N1398" s="10">
        <f>ROUND(I1398*'Irish Basis'!$C$6*'Irish Basis'!$C$5,2)</f>
        <v/>
      </c>
      <c r="O1398" s="10">
        <f>ROUND(J1398*'Irish Basis'!$C$7*'Irish Basis'!$C$5,2)</f>
        <v/>
      </c>
      <c r="P1398" s="10">
        <f>ROUND(K1398*'Irish Basis'!$C$8*'Irish Basis'!$C$5,2)</f>
        <v/>
      </c>
      <c r="Q1398" s="10">
        <f>ROUND(L1398*'Irish Basis'!$C$12*'Irish Basis'!$C$5,2)</f>
        <v/>
      </c>
      <c r="R1398" s="11">
        <f>ROUND(SUM(N1398:Q1398),2)</f>
        <v/>
      </c>
      <c r="S1398" s="5" t="inlineStr">
        <is>
          <t>Stated build-up</t>
        </is>
      </c>
      <c r="T1398" s="12" t="inlineStr">
        <is>
          <t>High</t>
        </is>
      </c>
      <c r="U1398" s="8" t="n">
        <v>2176.39</v>
      </c>
      <c r="V1398" s="13">
        <f>IF(U1398="","",ROUND(M1398-U1398,2))</f>
        <v/>
      </c>
      <c r="W1398" s="5" t="n"/>
      <c r="X1398" s="5" t="inlineStr">
        <is>
          <t>Labour + plant + material as published; reconciles to the published rate.</t>
        </is>
      </c>
    </row>
    <row r="1399" ht="13" customHeight="1">
      <c r="A1399" s="4" t="n">
        <v>2305</v>
      </c>
      <c r="B1399" s="5" t="inlineStr">
        <is>
          <t>IMG_0097</t>
        </is>
      </c>
      <c r="C1399" s="5" t="inlineStr">
        <is>
          <t>CLASS I: PIPEWORK - PIPES</t>
        </is>
      </c>
      <c r="D1399" s="5" t="inlineStr">
        <is>
          <t>02 CONCRETE PIPES</t>
        </is>
      </c>
      <c r="E1399" s="5" t="inlineStr">
        <is>
          <t>2100 mm pipes; in trenches, depth</t>
        </is>
      </c>
      <c r="F1399" s="5" t="inlineStr">
        <is>
          <t>5.50-6.00 m deep</t>
        </is>
      </c>
      <c r="G1399" s="6" t="inlineStr">
        <is>
          <t>m</t>
        </is>
      </c>
      <c r="H1399" s="7" t="n">
        <v>4.4</v>
      </c>
      <c r="I1399" s="8" t="n">
        <v>537.8099999999999</v>
      </c>
      <c r="J1399" s="8" t="n">
        <v>570.35</v>
      </c>
      <c r="K1399" s="8" t="n">
        <v>1167.42</v>
      </c>
      <c r="L1399" s="8" t="n">
        <v>0</v>
      </c>
      <c r="M1399" s="9">
        <f>ROUND(SUM(I1399:L1399),2)</f>
        <v/>
      </c>
      <c r="N1399" s="10">
        <f>ROUND(I1399*'Irish Basis'!$C$6*'Irish Basis'!$C$5,2)</f>
        <v/>
      </c>
      <c r="O1399" s="10">
        <f>ROUND(J1399*'Irish Basis'!$C$7*'Irish Basis'!$C$5,2)</f>
        <v/>
      </c>
      <c r="P1399" s="10">
        <f>ROUND(K1399*'Irish Basis'!$C$8*'Irish Basis'!$C$5,2)</f>
        <v/>
      </c>
      <c r="Q1399" s="10">
        <f>ROUND(L1399*'Irish Basis'!$C$12*'Irish Basis'!$C$5,2)</f>
        <v/>
      </c>
      <c r="R1399" s="11">
        <f>ROUND(SUM(N1399:Q1399),2)</f>
        <v/>
      </c>
      <c r="S1399" s="5" t="inlineStr">
        <is>
          <t>Stated build-up</t>
        </is>
      </c>
      <c r="T1399" s="12" t="inlineStr">
        <is>
          <t>High</t>
        </is>
      </c>
      <c r="U1399" s="8" t="n">
        <v>2275.57</v>
      </c>
      <c r="V1399" s="13">
        <f>IF(U1399="","",ROUND(M1399-U1399,2))</f>
        <v/>
      </c>
      <c r="W1399" s="5" t="n"/>
      <c r="X1399" s="5" t="inlineStr">
        <is>
          <t>Labour + plant + material as published; reconciles to the published rate.</t>
        </is>
      </c>
    </row>
    <row r="1400" ht="13" customHeight="1">
      <c r="A1400" s="4" t="n">
        <v>2306</v>
      </c>
      <c r="B1400" s="5" t="inlineStr">
        <is>
          <t>IMG_0097</t>
        </is>
      </c>
      <c r="C1400" s="5" t="inlineStr">
        <is>
          <t>CLASS I: PIPEWORK - PIPES</t>
        </is>
      </c>
      <c r="D1400" s="5" t="inlineStr">
        <is>
          <t>02 CONCRETE PIPES</t>
        </is>
      </c>
      <c r="E1400" s="5" t="inlineStr">
        <is>
          <t>2100 mm pipes; in trenches, depth</t>
        </is>
      </c>
      <c r="F1400" s="5" t="inlineStr">
        <is>
          <t>extra for bends</t>
        </is>
      </c>
      <c r="G1400" s="6" t="inlineStr">
        <is>
          <t>nr</t>
        </is>
      </c>
      <c r="H1400" s="7" t="n">
        <v>0.89</v>
      </c>
      <c r="I1400" s="8" t="n">
        <v>108.78</v>
      </c>
      <c r="J1400" s="8" t="n">
        <v>256.4</v>
      </c>
      <c r="K1400" s="8" t="n">
        <v>12946.25</v>
      </c>
      <c r="L1400" s="8" t="n">
        <v>0</v>
      </c>
      <c r="M1400" s="9">
        <f>ROUND(SUM(I1400:L1400),2)</f>
        <v/>
      </c>
      <c r="N1400" s="10">
        <f>ROUND(I1400*'Irish Basis'!$C$6*'Irish Basis'!$C$5,2)</f>
        <v/>
      </c>
      <c r="O1400" s="10">
        <f>ROUND(J1400*'Irish Basis'!$C$7*'Irish Basis'!$C$5,2)</f>
        <v/>
      </c>
      <c r="P1400" s="10">
        <f>ROUND(K1400*'Irish Basis'!$C$8*'Irish Basis'!$C$5,2)</f>
        <v/>
      </c>
      <c r="Q1400" s="10">
        <f>ROUND(L1400*'Irish Basis'!$C$12*'Irish Basis'!$C$5,2)</f>
        <v/>
      </c>
      <c r="R1400" s="11">
        <f>ROUND(SUM(N1400:Q1400),2)</f>
        <v/>
      </c>
      <c r="S1400" s="5" t="inlineStr">
        <is>
          <t>Stated build-up</t>
        </is>
      </c>
      <c r="T1400" s="12" t="inlineStr">
        <is>
          <t>High</t>
        </is>
      </c>
      <c r="U1400" s="8" t="n">
        <v>13311.43</v>
      </c>
      <c r="V1400" s="13">
        <f>IF(U1400="","",ROUND(M1400-U1400,2))</f>
        <v/>
      </c>
      <c r="W1400" s="5" t="n"/>
      <c r="X1400" s="5" t="inlineStr">
        <is>
          <t>Labour + plant + material as published; reconciles to the published rate.</t>
        </is>
      </c>
    </row>
    <row r="1401" ht="13" customHeight="1">
      <c r="A1401" s="4" t="n">
        <v>2309</v>
      </c>
      <c r="B1401" s="5" t="inlineStr">
        <is>
          <t>IMG_0097</t>
        </is>
      </c>
      <c r="C1401" s="5" t="inlineStr">
        <is>
          <t>CLASS I: PIPEWORK - PIPES</t>
        </is>
      </c>
      <c r="D1401" s="5" t="inlineStr">
        <is>
          <t>03 IRON PIPES</t>
        </is>
      </c>
      <c r="E1401" s="5" t="inlineStr">
        <is>
          <t>Cast iron pipes to BS 437 plain ended pipe with Timesaver mechanical coupling joints; excavation and supports, backfilling; 75 mm pipes; in trenches, depth</t>
        </is>
      </c>
      <c r="F1401" s="5" t="inlineStr">
        <is>
          <t>not in trenches</t>
        </is>
      </c>
      <c r="G1401" s="6" t="inlineStr">
        <is>
          <t>m</t>
        </is>
      </c>
      <c r="H1401" s="7" t="n">
        <v>0.12</v>
      </c>
      <c r="I1401" s="8" t="n">
        <v>10.36</v>
      </c>
      <c r="J1401" s="8" t="n">
        <v>1.33</v>
      </c>
      <c r="K1401" s="8" t="n">
        <v>38.05</v>
      </c>
      <c r="L1401" s="8" t="n">
        <v>0</v>
      </c>
      <c r="M1401" s="9">
        <f>ROUND(SUM(I1401:L1401),2)</f>
        <v/>
      </c>
      <c r="N1401" s="10">
        <f>ROUND(I1401*'Irish Basis'!$C$6*'Irish Basis'!$C$5,2)</f>
        <v/>
      </c>
      <c r="O1401" s="10">
        <f>ROUND(J1401*'Irish Basis'!$C$7*'Irish Basis'!$C$5,2)</f>
        <v/>
      </c>
      <c r="P1401" s="10">
        <f>ROUND(K1401*'Irish Basis'!$C$8*'Irish Basis'!$C$5,2)</f>
        <v/>
      </c>
      <c r="Q1401" s="10">
        <f>ROUND(L1401*'Irish Basis'!$C$12*'Irish Basis'!$C$5,2)</f>
        <v/>
      </c>
      <c r="R1401" s="11">
        <f>ROUND(SUM(N1401:Q1401),2)</f>
        <v/>
      </c>
      <c r="S1401" s="5" t="inlineStr">
        <is>
          <t>Stated build-up</t>
        </is>
      </c>
      <c r="T1401" s="12" t="inlineStr">
        <is>
          <t>High</t>
        </is>
      </c>
      <c r="U1401" s="8" t="n">
        <v>49.74</v>
      </c>
      <c r="V1401" s="13">
        <f>IF(U1401="","",ROUND(M1401-U1401,2))</f>
        <v/>
      </c>
      <c r="W1401" s="5" t="n"/>
      <c r="X1401" s="5" t="inlineStr">
        <is>
          <t>Labour + plant + material as published; reconciles to the published rate.</t>
        </is>
      </c>
    </row>
    <row r="1402" ht="13" customHeight="1">
      <c r="A1402" s="4" t="n">
        <v>2310</v>
      </c>
      <c r="B1402" s="5" t="inlineStr">
        <is>
          <t>IMG_0097</t>
        </is>
      </c>
      <c r="C1402" s="5" t="inlineStr">
        <is>
          <t>CLASS I: PIPEWORK - PIPES</t>
        </is>
      </c>
      <c r="D1402" s="5" t="inlineStr">
        <is>
          <t>03 IRON PIPES</t>
        </is>
      </c>
      <c r="E1402" s="5" t="inlineStr">
        <is>
          <t>Cast iron pipes to BS 437 plain ended pipe with Timesaver mechanical coupling joints; excavation and supports, backfilling; 75 mm pipes; in trenches, depth</t>
        </is>
      </c>
      <c r="F1402" s="5" t="inlineStr">
        <is>
          <t>ne 1.50 m deep</t>
        </is>
      </c>
      <c r="G1402" s="6" t="inlineStr">
        <is>
          <t>m</t>
        </is>
      </c>
      <c r="H1402" s="7" t="n">
        <v>0.19</v>
      </c>
      <c r="I1402" s="8" t="n">
        <v>26.25</v>
      </c>
      <c r="J1402" s="8" t="n">
        <v>24.41</v>
      </c>
      <c r="K1402" s="8" t="n">
        <v>38.05</v>
      </c>
      <c r="L1402" s="8" t="n">
        <v>0</v>
      </c>
      <c r="M1402" s="9">
        <f>ROUND(SUM(I1402:L1402),2)</f>
        <v/>
      </c>
      <c r="N1402" s="10">
        <f>ROUND(I1402*'Irish Basis'!$C$6*'Irish Basis'!$C$5,2)</f>
        <v/>
      </c>
      <c r="O1402" s="10">
        <f>ROUND(J1402*'Irish Basis'!$C$7*'Irish Basis'!$C$5,2)</f>
        <v/>
      </c>
      <c r="P1402" s="10">
        <f>ROUND(K1402*'Irish Basis'!$C$8*'Irish Basis'!$C$5,2)</f>
        <v/>
      </c>
      <c r="Q1402" s="10">
        <f>ROUND(L1402*'Irish Basis'!$C$12*'Irish Basis'!$C$5,2)</f>
        <v/>
      </c>
      <c r="R1402" s="11">
        <f>ROUND(SUM(N1402:Q1402),2)</f>
        <v/>
      </c>
      <c r="S1402" s="5" t="inlineStr">
        <is>
          <t>Stated build-up</t>
        </is>
      </c>
      <c r="T1402" s="12" t="inlineStr">
        <is>
          <t>High</t>
        </is>
      </c>
      <c r="U1402" s="8" t="n">
        <v>88.72</v>
      </c>
      <c r="V1402" s="13">
        <f>IF(U1402="","",ROUND(M1402-U1402,2))</f>
        <v/>
      </c>
      <c r="W1402" s="5" t="n"/>
      <c r="X1402" s="5" t="inlineStr">
        <is>
          <t>Labour + plant + material as published; reconciles to the published rate.</t>
        </is>
      </c>
    </row>
    <row r="1403" ht="13" customHeight="1">
      <c r="A1403" s="4" t="n">
        <v>2311</v>
      </c>
      <c r="B1403" s="5" t="inlineStr">
        <is>
          <t>IMG_0097</t>
        </is>
      </c>
      <c r="C1403" s="5" t="inlineStr">
        <is>
          <t>CLASS I: PIPEWORK - PIPES</t>
        </is>
      </c>
      <c r="D1403" s="5" t="inlineStr">
        <is>
          <t>03 IRON PIPES</t>
        </is>
      </c>
      <c r="E1403" s="5" t="inlineStr">
        <is>
          <t>Cast iron pipes to BS 437 plain ended pipe with Timesaver mechanical coupling joints; excavation and supports, backfilling; 75 mm pipes; in trenches, depth</t>
        </is>
      </c>
      <c r="F1403" s="5" t="inlineStr">
        <is>
          <t>1.50-2.00 m deep</t>
        </is>
      </c>
      <c r="G1403" s="6" t="inlineStr">
        <is>
          <t>m</t>
        </is>
      </c>
      <c r="H1403" s="7" t="n">
        <v>0.21</v>
      </c>
      <c r="I1403" s="8" t="n">
        <v>29.02</v>
      </c>
      <c r="J1403" s="8" t="n">
        <v>27.47</v>
      </c>
      <c r="K1403" s="8" t="n">
        <v>38.05</v>
      </c>
      <c r="L1403" s="8" t="n">
        <v>0</v>
      </c>
      <c r="M1403" s="9">
        <f>ROUND(SUM(I1403:L1403),2)</f>
        <v/>
      </c>
      <c r="N1403" s="10">
        <f>ROUND(I1403*'Irish Basis'!$C$6*'Irish Basis'!$C$5,2)</f>
        <v/>
      </c>
      <c r="O1403" s="10">
        <f>ROUND(J1403*'Irish Basis'!$C$7*'Irish Basis'!$C$5,2)</f>
        <v/>
      </c>
      <c r="P1403" s="10">
        <f>ROUND(K1403*'Irish Basis'!$C$8*'Irish Basis'!$C$5,2)</f>
        <v/>
      </c>
      <c r="Q1403" s="10">
        <f>ROUND(L1403*'Irish Basis'!$C$12*'Irish Basis'!$C$5,2)</f>
        <v/>
      </c>
      <c r="R1403" s="11">
        <f>ROUND(SUM(N1403:Q1403),2)</f>
        <v/>
      </c>
      <c r="S1403" s="5" t="inlineStr">
        <is>
          <t>Stated build-up</t>
        </is>
      </c>
      <c r="T1403" s="12" t="inlineStr">
        <is>
          <t>High</t>
        </is>
      </c>
      <c r="U1403" s="8" t="n">
        <v>94.54000000000001</v>
      </c>
      <c r="V1403" s="13">
        <f>IF(U1403="","",ROUND(M1403-U1403,2))</f>
        <v/>
      </c>
      <c r="W1403" s="5" t="n"/>
      <c r="X1403" s="5" t="inlineStr">
        <is>
          <t>Labour + plant + material as published; reconciles to the published rate.</t>
        </is>
      </c>
    </row>
    <row r="1404" ht="13" customHeight="1">
      <c r="A1404" s="4" t="n">
        <v>2312</v>
      </c>
      <c r="B1404" s="5" t="inlineStr">
        <is>
          <t>IMG_0097</t>
        </is>
      </c>
      <c r="C1404" s="5" t="inlineStr">
        <is>
          <t>CLASS I: PIPEWORK - PIPES</t>
        </is>
      </c>
      <c r="D1404" s="5" t="inlineStr">
        <is>
          <t>03 IRON PIPES</t>
        </is>
      </c>
      <c r="E1404" s="5" t="inlineStr">
        <is>
          <t>Cast iron pipes to BS 437 plain ended pipe with Timesaver mechanical coupling joints; excavation and supports, backfilling; 75 mm pipes; in trenches, depth</t>
        </is>
      </c>
      <c r="F1404" s="5" t="inlineStr">
        <is>
          <t>2.00-2.50 m deep</t>
        </is>
      </c>
      <c r="G1404" s="6" t="inlineStr">
        <is>
          <t>m</t>
        </is>
      </c>
      <c r="H1404" s="7" t="n">
        <v>0.28</v>
      </c>
      <c r="I1404" s="8" t="n">
        <v>38.69</v>
      </c>
      <c r="J1404" s="8" t="n">
        <v>36.61</v>
      </c>
      <c r="K1404" s="8" t="n">
        <v>38.05</v>
      </c>
      <c r="L1404" s="8" t="n">
        <v>0</v>
      </c>
      <c r="M1404" s="9">
        <f>ROUND(SUM(I1404:L1404),2)</f>
        <v/>
      </c>
      <c r="N1404" s="10">
        <f>ROUND(I1404*'Irish Basis'!$C$6*'Irish Basis'!$C$5,2)</f>
        <v/>
      </c>
      <c r="O1404" s="10">
        <f>ROUND(J1404*'Irish Basis'!$C$7*'Irish Basis'!$C$5,2)</f>
        <v/>
      </c>
      <c r="P1404" s="10">
        <f>ROUND(K1404*'Irish Basis'!$C$8*'Irish Basis'!$C$5,2)</f>
        <v/>
      </c>
      <c r="Q1404" s="10">
        <f>ROUND(L1404*'Irish Basis'!$C$12*'Irish Basis'!$C$5,2)</f>
        <v/>
      </c>
      <c r="R1404" s="11">
        <f>ROUND(SUM(N1404:Q1404),2)</f>
        <v/>
      </c>
      <c r="S1404" s="5" t="inlineStr">
        <is>
          <t>Stated build-up</t>
        </is>
      </c>
      <c r="T1404" s="12" t="inlineStr">
        <is>
          <t>High</t>
        </is>
      </c>
      <c r="U1404" s="8" t="n">
        <v>113.35</v>
      </c>
      <c r="V1404" s="13">
        <f>IF(U1404="","",ROUND(M1404-U1404,2))</f>
        <v/>
      </c>
      <c r="W1404" s="5" t="n"/>
      <c r="X1404" s="5" t="inlineStr">
        <is>
          <t>Labour + plant + material as published; reconciles to the published rate.</t>
        </is>
      </c>
    </row>
    <row r="1405" ht="13" customHeight="1">
      <c r="A1405" s="4" t="n">
        <v>2313</v>
      </c>
      <c r="B1405" s="5" t="inlineStr">
        <is>
          <t>IMG_0097</t>
        </is>
      </c>
      <c r="C1405" s="5" t="inlineStr">
        <is>
          <t>CLASS I: PIPEWORK - PIPES</t>
        </is>
      </c>
      <c r="D1405" s="5" t="inlineStr">
        <is>
          <t>03 IRON PIPES</t>
        </is>
      </c>
      <c r="E1405" s="5" t="inlineStr">
        <is>
          <t>Cast iron pipes to BS 437 plain ended pipe with Timesaver mechanical coupling joints; excavation and supports, backfilling; 75 mm pipes; in trenches, depth</t>
        </is>
      </c>
      <c r="F1405" s="5" t="inlineStr">
        <is>
          <t>2.50-3.00 m deep</t>
        </is>
      </c>
      <c r="G1405" s="6" t="inlineStr">
        <is>
          <t>m</t>
        </is>
      </c>
      <c r="H1405" s="7" t="n">
        <v>0.34</v>
      </c>
      <c r="I1405" s="8" t="n">
        <v>46.98</v>
      </c>
      <c r="J1405" s="8" t="n">
        <v>44.5</v>
      </c>
      <c r="K1405" s="8" t="n">
        <v>38.05</v>
      </c>
      <c r="L1405" s="8" t="n">
        <v>0</v>
      </c>
      <c r="M1405" s="9">
        <f>ROUND(SUM(I1405:L1405),2)</f>
        <v/>
      </c>
      <c r="N1405" s="10">
        <f>ROUND(I1405*'Irish Basis'!$C$6*'Irish Basis'!$C$5,2)</f>
        <v/>
      </c>
      <c r="O1405" s="10">
        <f>ROUND(J1405*'Irish Basis'!$C$7*'Irish Basis'!$C$5,2)</f>
        <v/>
      </c>
      <c r="P1405" s="10">
        <f>ROUND(K1405*'Irish Basis'!$C$8*'Irish Basis'!$C$5,2)</f>
        <v/>
      </c>
      <c r="Q1405" s="10">
        <f>ROUND(L1405*'Irish Basis'!$C$12*'Irish Basis'!$C$5,2)</f>
        <v/>
      </c>
      <c r="R1405" s="11">
        <f>ROUND(SUM(N1405:Q1405),2)</f>
        <v/>
      </c>
      <c r="S1405" s="5" t="inlineStr">
        <is>
          <t>Stated build-up</t>
        </is>
      </c>
      <c r="T1405" s="12" t="inlineStr">
        <is>
          <t>High</t>
        </is>
      </c>
      <c r="U1405" s="8" t="n">
        <v>129.54</v>
      </c>
      <c r="V1405" s="13">
        <f>IF(U1405="","",ROUND(M1405-U1405,2))</f>
        <v/>
      </c>
      <c r="W1405" s="5" t="n"/>
      <c r="X1405" s="5" t="inlineStr">
        <is>
          <t>Labour + plant + material as published; reconciles to the published rate.</t>
        </is>
      </c>
    </row>
    <row r="1406" ht="13" customHeight="1">
      <c r="A1406" s="4" t="n">
        <v>2314</v>
      </c>
      <c r="B1406" s="5" t="inlineStr">
        <is>
          <t>IMG_0097</t>
        </is>
      </c>
      <c r="C1406" s="5" t="inlineStr">
        <is>
          <t>CLASS I: PIPEWORK - PIPES</t>
        </is>
      </c>
      <c r="D1406" s="5" t="inlineStr">
        <is>
          <t>03 IRON PIPES</t>
        </is>
      </c>
      <c r="E1406" s="5" t="inlineStr">
        <is>
          <t>Cast iron pipes to BS 437 plain ended pipe with Timesaver mechanical coupling joints; excavation and supports, backfilling; 75 mm pipes; in trenches, depth</t>
        </is>
      </c>
      <c r="F1406" s="5" t="inlineStr">
        <is>
          <t>3.00-3.50 m deep</t>
        </is>
      </c>
      <c r="G1406" s="6" t="inlineStr">
        <is>
          <t>m</t>
        </is>
      </c>
      <c r="H1406" s="7" t="n">
        <v>0.43</v>
      </c>
      <c r="I1406" s="8" t="n">
        <v>59.42</v>
      </c>
      <c r="J1406" s="8" t="n">
        <v>56.26</v>
      </c>
      <c r="K1406" s="8" t="n">
        <v>38.05</v>
      </c>
      <c r="L1406" s="8" t="n">
        <v>0</v>
      </c>
      <c r="M1406" s="9">
        <f>ROUND(SUM(I1406:L1406),2)</f>
        <v/>
      </c>
      <c r="N1406" s="10">
        <f>ROUND(I1406*'Irish Basis'!$C$6*'Irish Basis'!$C$5,2)</f>
        <v/>
      </c>
      <c r="O1406" s="10">
        <f>ROUND(J1406*'Irish Basis'!$C$7*'Irish Basis'!$C$5,2)</f>
        <v/>
      </c>
      <c r="P1406" s="10">
        <f>ROUND(K1406*'Irish Basis'!$C$8*'Irish Basis'!$C$5,2)</f>
        <v/>
      </c>
      <c r="Q1406" s="10">
        <f>ROUND(L1406*'Irish Basis'!$C$12*'Irish Basis'!$C$5,2)</f>
        <v/>
      </c>
      <c r="R1406" s="11">
        <f>ROUND(SUM(N1406:Q1406),2)</f>
        <v/>
      </c>
      <c r="S1406" s="5" t="inlineStr">
        <is>
          <t>Stated build-up</t>
        </is>
      </c>
      <c r="T1406" s="12" t="inlineStr">
        <is>
          <t>High</t>
        </is>
      </c>
      <c r="U1406" s="8" t="n">
        <v>153.73</v>
      </c>
      <c r="V1406" s="13">
        <f>IF(U1406="","",ROUND(M1406-U1406,2))</f>
        <v/>
      </c>
      <c r="W1406" s="5" t="n"/>
      <c r="X1406" s="5" t="inlineStr">
        <is>
          <t>Labour + plant + material as published; reconciles to the published rate.</t>
        </is>
      </c>
    </row>
    <row r="1407" ht="13" customHeight="1">
      <c r="A1407" s="4" t="n">
        <v>2315</v>
      </c>
      <c r="B1407" s="5" t="inlineStr">
        <is>
          <t>IMG_0097</t>
        </is>
      </c>
      <c r="C1407" s="5" t="inlineStr">
        <is>
          <t>CLASS I: PIPEWORK - PIPES</t>
        </is>
      </c>
      <c r="D1407" s="5" t="inlineStr">
        <is>
          <t>03 IRON PIPES</t>
        </is>
      </c>
      <c r="E1407" s="5" t="inlineStr">
        <is>
          <t>Cast iron pipes to BS 437 plain ended pipe with Timesaver mechanical coupling joints; excavation and supports, backfilling; 75 mm pipes; in trenches, depth</t>
        </is>
      </c>
      <c r="F1407" s="5" t="inlineStr">
        <is>
          <t>3.50-4.00 m deep</t>
        </is>
      </c>
      <c r="G1407" s="6" t="inlineStr">
        <is>
          <t>m</t>
        </is>
      </c>
      <c r="H1407" s="7" t="n">
        <v>0.55</v>
      </c>
      <c r="I1407" s="8" t="n">
        <v>76</v>
      </c>
      <c r="J1407" s="8" t="n">
        <v>72.01000000000001</v>
      </c>
      <c r="K1407" s="8" t="n">
        <v>38.05</v>
      </c>
      <c r="L1407" s="8" t="n">
        <v>0</v>
      </c>
      <c r="M1407" s="9">
        <f>ROUND(SUM(I1407:L1407),2)</f>
        <v/>
      </c>
      <c r="N1407" s="10">
        <f>ROUND(I1407*'Irish Basis'!$C$6*'Irish Basis'!$C$5,2)</f>
        <v/>
      </c>
      <c r="O1407" s="10">
        <f>ROUND(J1407*'Irish Basis'!$C$7*'Irish Basis'!$C$5,2)</f>
        <v/>
      </c>
      <c r="P1407" s="10">
        <f>ROUND(K1407*'Irish Basis'!$C$8*'Irish Basis'!$C$5,2)</f>
        <v/>
      </c>
      <c r="Q1407" s="10">
        <f>ROUND(L1407*'Irish Basis'!$C$12*'Irish Basis'!$C$5,2)</f>
        <v/>
      </c>
      <c r="R1407" s="11">
        <f>ROUND(SUM(N1407:Q1407),2)</f>
        <v/>
      </c>
      <c r="S1407" s="5" t="inlineStr">
        <is>
          <t>Stated build-up</t>
        </is>
      </c>
      <c r="T1407" s="12" t="inlineStr">
        <is>
          <t>High</t>
        </is>
      </c>
      <c r="U1407" s="8" t="n">
        <v>186.06</v>
      </c>
      <c r="V1407" s="13">
        <f>IF(U1407="","",ROUND(M1407-U1407,2))</f>
        <v/>
      </c>
      <c r="W1407" s="5" t="n"/>
      <c r="X1407" s="5" t="inlineStr">
        <is>
          <t>Labour + plant + material as published; reconciles to the published rate.</t>
        </is>
      </c>
    </row>
    <row r="1408" ht="13" customHeight="1">
      <c r="A1408" s="4" t="n">
        <v>2316</v>
      </c>
      <c r="B1408" s="5" t="inlineStr">
        <is>
          <t>IMG_0097</t>
        </is>
      </c>
      <c r="C1408" s="5" t="inlineStr">
        <is>
          <t>CLASS I: PIPEWORK - PIPES</t>
        </is>
      </c>
      <c r="D1408" s="5" t="inlineStr">
        <is>
          <t>03 IRON PIPES</t>
        </is>
      </c>
      <c r="E1408" s="5" t="inlineStr">
        <is>
          <t>Cast iron pipes to BS 437 plain ended pipe with Timesaver mechanical coupling joints; excavation and supports, backfilling; 75 mm pipes; in trenches, depth</t>
        </is>
      </c>
      <c r="F1408" s="5" t="inlineStr">
        <is>
          <t>4.00-4.50 m deep</t>
        </is>
      </c>
      <c r="G1408" s="6" t="inlineStr">
        <is>
          <t>m</t>
        </is>
      </c>
      <c r="H1408" s="7" t="n">
        <v>0.71</v>
      </c>
      <c r="I1408" s="8" t="n">
        <v>98.11</v>
      </c>
      <c r="J1408" s="8" t="n">
        <v>92.98</v>
      </c>
      <c r="K1408" s="8" t="n">
        <v>38.05</v>
      </c>
      <c r="L1408" s="8" t="n">
        <v>0</v>
      </c>
      <c r="M1408" s="9">
        <f>ROUND(SUM(I1408:L1408),2)</f>
        <v/>
      </c>
      <c r="N1408" s="10">
        <f>ROUND(I1408*'Irish Basis'!$C$6*'Irish Basis'!$C$5,2)</f>
        <v/>
      </c>
      <c r="O1408" s="10">
        <f>ROUND(J1408*'Irish Basis'!$C$7*'Irish Basis'!$C$5,2)</f>
        <v/>
      </c>
      <c r="P1408" s="10">
        <f>ROUND(K1408*'Irish Basis'!$C$8*'Irish Basis'!$C$5,2)</f>
        <v/>
      </c>
      <c r="Q1408" s="10">
        <f>ROUND(L1408*'Irish Basis'!$C$12*'Irish Basis'!$C$5,2)</f>
        <v/>
      </c>
      <c r="R1408" s="11">
        <f>ROUND(SUM(N1408:Q1408),2)</f>
        <v/>
      </c>
      <c r="S1408" s="5" t="inlineStr">
        <is>
          <t>Stated build-up</t>
        </is>
      </c>
      <c r="T1408" s="12" t="inlineStr">
        <is>
          <t>High</t>
        </is>
      </c>
      <c r="U1408" s="8" t="n">
        <v>229.14</v>
      </c>
      <c r="V1408" s="13">
        <f>IF(U1408="","",ROUND(M1408-U1408,2))</f>
        <v/>
      </c>
      <c r="W1408" s="5" t="n"/>
      <c r="X1408" s="5" t="inlineStr">
        <is>
          <t>Labour + plant + material as published; reconciles to the published rate.</t>
        </is>
      </c>
    </row>
    <row r="1409" ht="13" customHeight="1">
      <c r="A1409" s="4" t="n">
        <v>2317</v>
      </c>
      <c r="B1409" s="5" t="inlineStr">
        <is>
          <t>IMG_0097</t>
        </is>
      </c>
      <c r="C1409" s="5" t="inlineStr">
        <is>
          <t>CLASS I: PIPEWORK - PIPES</t>
        </is>
      </c>
      <c r="D1409" s="5" t="inlineStr">
        <is>
          <t>03 IRON PIPES</t>
        </is>
      </c>
      <c r="E1409" s="5" t="inlineStr">
        <is>
          <t>Cast iron pipes to BS 437 plain ended pipe with Timesaver mechanical coupling joints; excavation and supports, backfilling; 75 mm pipes; in trenches, depth</t>
        </is>
      </c>
      <c r="F1409" s="5" t="inlineStr">
        <is>
          <t>4.50-5.00 m deep</t>
        </is>
      </c>
      <c r="G1409" s="6" t="inlineStr">
        <is>
          <t>m</t>
        </is>
      </c>
      <c r="H1409" s="7" t="n">
        <v>0.89</v>
      </c>
      <c r="I1409" s="8" t="n">
        <v>122.98</v>
      </c>
      <c r="J1409" s="8" t="n">
        <v>116.64</v>
      </c>
      <c r="K1409" s="8" t="n">
        <v>38.05</v>
      </c>
      <c r="L1409" s="8" t="n">
        <v>0</v>
      </c>
      <c r="M1409" s="9">
        <f>ROUND(SUM(I1409:L1409),2)</f>
        <v/>
      </c>
      <c r="N1409" s="10">
        <f>ROUND(I1409*'Irish Basis'!$C$6*'Irish Basis'!$C$5,2)</f>
        <v/>
      </c>
      <c r="O1409" s="10">
        <f>ROUND(J1409*'Irish Basis'!$C$7*'Irish Basis'!$C$5,2)</f>
        <v/>
      </c>
      <c r="P1409" s="10">
        <f>ROUND(K1409*'Irish Basis'!$C$8*'Irish Basis'!$C$5,2)</f>
        <v/>
      </c>
      <c r="Q1409" s="10">
        <f>ROUND(L1409*'Irish Basis'!$C$12*'Irish Basis'!$C$5,2)</f>
        <v/>
      </c>
      <c r="R1409" s="11">
        <f>ROUND(SUM(N1409:Q1409),2)</f>
        <v/>
      </c>
      <c r="S1409" s="5" t="inlineStr">
        <is>
          <t>Stated build-up</t>
        </is>
      </c>
      <c r="T1409" s="12" t="inlineStr">
        <is>
          <t>High</t>
        </is>
      </c>
      <c r="U1409" s="8" t="n">
        <v>277.67</v>
      </c>
      <c r="V1409" s="13">
        <f>IF(U1409="","",ROUND(M1409-U1409,2))</f>
        <v/>
      </c>
      <c r="W1409" s="5" t="n"/>
      <c r="X1409" s="5" t="inlineStr">
        <is>
          <t>Labour + plant + material as published; reconciles to the published rate.</t>
        </is>
      </c>
    </row>
    <row r="1410" ht="13" customHeight="1">
      <c r="A1410" s="4" t="n">
        <v>2318</v>
      </c>
      <c r="B1410" s="5" t="inlineStr">
        <is>
          <t>IMG_0097</t>
        </is>
      </c>
      <c r="C1410" s="5" t="inlineStr">
        <is>
          <t>CLASS I: PIPEWORK - PIPES</t>
        </is>
      </c>
      <c r="D1410" s="5" t="inlineStr">
        <is>
          <t>03 IRON PIPES</t>
        </is>
      </c>
      <c r="E1410" s="5" t="inlineStr">
        <is>
          <t>Cast iron pipes to BS 437 plain ended pipe with Timesaver mechanical coupling joints; excavation and supports, backfilling; 75 mm pipes; in trenches, depth</t>
        </is>
      </c>
      <c r="F1410" s="5" t="inlineStr">
        <is>
          <t>5.00-5.50 m deep</t>
        </is>
      </c>
      <c r="G1410" s="6" t="inlineStr">
        <is>
          <t>m</t>
        </is>
      </c>
      <c r="H1410" s="7" t="n">
        <v>1.15</v>
      </c>
      <c r="I1410" s="8" t="n">
        <v>158.91</v>
      </c>
      <c r="J1410" s="8" t="n">
        <v>150.73</v>
      </c>
      <c r="K1410" s="8" t="n">
        <v>38.05</v>
      </c>
      <c r="L1410" s="8" t="n">
        <v>0</v>
      </c>
      <c r="M1410" s="9">
        <f>ROUND(SUM(I1410:L1410),2)</f>
        <v/>
      </c>
      <c r="N1410" s="10">
        <f>ROUND(I1410*'Irish Basis'!$C$6*'Irish Basis'!$C$5,2)</f>
        <v/>
      </c>
      <c r="O1410" s="10">
        <f>ROUND(J1410*'Irish Basis'!$C$7*'Irish Basis'!$C$5,2)</f>
        <v/>
      </c>
      <c r="P1410" s="10">
        <f>ROUND(K1410*'Irish Basis'!$C$8*'Irish Basis'!$C$5,2)</f>
        <v/>
      </c>
      <c r="Q1410" s="10">
        <f>ROUND(L1410*'Irish Basis'!$C$12*'Irish Basis'!$C$5,2)</f>
        <v/>
      </c>
      <c r="R1410" s="11">
        <f>ROUND(SUM(N1410:Q1410),2)</f>
        <v/>
      </c>
      <c r="S1410" s="5" t="inlineStr">
        <is>
          <t>Stated build-up</t>
        </is>
      </c>
      <c r="T1410" s="12" t="inlineStr">
        <is>
          <t>High</t>
        </is>
      </c>
      <c r="U1410" s="8" t="n">
        <v>347.69</v>
      </c>
      <c r="V1410" s="13">
        <f>IF(U1410="","",ROUND(M1410-U1410,2))</f>
        <v/>
      </c>
      <c r="W1410" s="5" t="n"/>
      <c r="X1410" s="5" t="inlineStr">
        <is>
          <t>Labour + plant + material as published; reconciles to the published rate.</t>
        </is>
      </c>
    </row>
    <row r="1411" ht="13" customHeight="1">
      <c r="A1411" s="4" t="n">
        <v>2319</v>
      </c>
      <c r="B1411" s="5" t="inlineStr">
        <is>
          <t>IMG_0097</t>
        </is>
      </c>
      <c r="C1411" s="5" t="inlineStr">
        <is>
          <t>CLASS I: PIPEWORK - PIPES</t>
        </is>
      </c>
      <c r="D1411" s="5" t="inlineStr">
        <is>
          <t>03 IRON PIPES</t>
        </is>
      </c>
      <c r="E1411" s="5" t="inlineStr">
        <is>
          <t>Cast iron pipes to BS 437 plain ended pipe with Timesaver mechanical coupling joints; excavation and supports, backfilling; 75 mm pipes; in trenches, depth</t>
        </is>
      </c>
      <c r="F1411" s="5" t="inlineStr">
        <is>
          <t>extra for bend; 87.5 deg</t>
        </is>
      </c>
      <c r="G1411" s="6" t="inlineStr">
        <is>
          <t>nr</t>
        </is>
      </c>
      <c r="H1411" s="7" t="n">
        <v>0.31</v>
      </c>
      <c r="I1411" s="8" t="n">
        <v>42.84</v>
      </c>
      <c r="J1411" s="8" t="n">
        <v>3.41</v>
      </c>
      <c r="K1411" s="8" t="n">
        <v>79.13</v>
      </c>
      <c r="L1411" s="8" t="n">
        <v>0</v>
      </c>
      <c r="M1411" s="9">
        <f>ROUND(SUM(I1411:L1411),2)</f>
        <v/>
      </c>
      <c r="N1411" s="10">
        <f>ROUND(I1411*'Irish Basis'!$C$6*'Irish Basis'!$C$5,2)</f>
        <v/>
      </c>
      <c r="O1411" s="10">
        <f>ROUND(J1411*'Irish Basis'!$C$7*'Irish Basis'!$C$5,2)</f>
        <v/>
      </c>
      <c r="P1411" s="10">
        <f>ROUND(K1411*'Irish Basis'!$C$8*'Irish Basis'!$C$5,2)</f>
        <v/>
      </c>
      <c r="Q1411" s="10">
        <f>ROUND(L1411*'Irish Basis'!$C$12*'Irish Basis'!$C$5,2)</f>
        <v/>
      </c>
      <c r="R1411" s="11">
        <f>ROUND(SUM(N1411:Q1411),2)</f>
        <v/>
      </c>
      <c r="S1411" s="5" t="inlineStr">
        <is>
          <t>Stated build-up</t>
        </is>
      </c>
      <c r="T1411" s="12" t="inlineStr">
        <is>
          <t>High</t>
        </is>
      </c>
      <c r="U1411" s="8" t="n">
        <v>125.37</v>
      </c>
      <c r="V1411" s="13">
        <f>IF(U1411="","",ROUND(M1411-U1411,2))</f>
        <v/>
      </c>
      <c r="W1411" s="5" t="n"/>
      <c r="X1411" s="5" t="inlineStr">
        <is>
          <t>Labour + plant + material as published; reconciles to the published rate.</t>
        </is>
      </c>
    </row>
    <row r="1412" ht="13" customHeight="1">
      <c r="A1412" s="4" t="n">
        <v>2320</v>
      </c>
      <c r="B1412" s="5" t="inlineStr">
        <is>
          <t>IMG_0097</t>
        </is>
      </c>
      <c r="C1412" s="5" t="inlineStr">
        <is>
          <t>CLASS I: PIPEWORK - PIPES</t>
        </is>
      </c>
      <c r="D1412" s="5" t="inlineStr">
        <is>
          <t>03 IRON PIPES</t>
        </is>
      </c>
      <c r="E1412" s="5" t="inlineStr">
        <is>
          <t>Cast iron pipes to BS 437 plain ended pipe with Timesaver mechanical coupling joints; excavation and supports, backfilling; 75 mm pipes; in trenches, depth</t>
        </is>
      </c>
      <c r="F1412" s="5" t="inlineStr">
        <is>
          <t>extra for bend; 45 deg</t>
        </is>
      </c>
      <c r="G1412" s="6" t="inlineStr">
        <is>
          <t>nr</t>
        </is>
      </c>
      <c r="H1412" s="7" t="n">
        <v>0.31</v>
      </c>
      <c r="I1412" s="8" t="n">
        <v>42.84</v>
      </c>
      <c r="J1412" s="8" t="n">
        <v>3.42</v>
      </c>
      <c r="K1412" s="8" t="n">
        <v>54.83</v>
      </c>
      <c r="L1412" s="8" t="n">
        <v>0</v>
      </c>
      <c r="M1412" s="9">
        <f>ROUND(SUM(I1412:L1412),2)</f>
        <v/>
      </c>
      <c r="N1412" s="10">
        <f>ROUND(I1412*'Irish Basis'!$C$6*'Irish Basis'!$C$5,2)</f>
        <v/>
      </c>
      <c r="O1412" s="10">
        <f>ROUND(J1412*'Irish Basis'!$C$7*'Irish Basis'!$C$5,2)</f>
        <v/>
      </c>
      <c r="P1412" s="10">
        <f>ROUND(K1412*'Irish Basis'!$C$8*'Irish Basis'!$C$5,2)</f>
        <v/>
      </c>
      <c r="Q1412" s="10">
        <f>ROUND(L1412*'Irish Basis'!$C$12*'Irish Basis'!$C$5,2)</f>
        <v/>
      </c>
      <c r="R1412" s="11">
        <f>ROUND(SUM(N1412:Q1412),2)</f>
        <v/>
      </c>
      <c r="S1412" s="5" t="inlineStr">
        <is>
          <t>Stated build-up</t>
        </is>
      </c>
      <c r="T1412" s="12" t="inlineStr">
        <is>
          <t>High</t>
        </is>
      </c>
      <c r="U1412" s="8" t="n">
        <v>101.08</v>
      </c>
      <c r="V1412" s="13">
        <f>IF(U1412="","",ROUND(M1412-U1412,2))</f>
        <v/>
      </c>
      <c r="W1412" s="5" t="n"/>
      <c r="X1412" s="5" t="inlineStr">
        <is>
          <t>Labour + plant + material as published; reconciles to the published rate.</t>
        </is>
      </c>
    </row>
    <row r="1413" ht="13" customHeight="1">
      <c r="A1413" s="4" t="n">
        <v>2321</v>
      </c>
      <c r="B1413" s="5" t="inlineStr">
        <is>
          <t>IMG_0097</t>
        </is>
      </c>
      <c r="C1413" s="5" t="inlineStr">
        <is>
          <t>CLASS I: PIPEWORK - PIPES</t>
        </is>
      </c>
      <c r="D1413" s="5" t="inlineStr">
        <is>
          <t>03 IRON PIPES</t>
        </is>
      </c>
      <c r="E1413" s="5" t="inlineStr">
        <is>
          <t>Cast iron pipes to BS 437 plain ended pipe with Timesaver mechanical coupling joints; excavation and supports, backfilling; 75 mm pipes; in trenches, depth</t>
        </is>
      </c>
      <c r="F1413" s="5" t="inlineStr">
        <is>
          <t>extra for single junction; equal</t>
        </is>
      </c>
      <c r="G1413" s="6" t="inlineStr">
        <is>
          <t>nr</t>
        </is>
      </c>
      <c r="H1413" s="7" t="n">
        <v>0.48</v>
      </c>
      <c r="I1413" s="8" t="n">
        <v>66.33</v>
      </c>
      <c r="J1413" s="8" t="n">
        <v>6.78</v>
      </c>
      <c r="K1413" s="8" t="n">
        <v>82.41</v>
      </c>
      <c r="L1413" s="8" t="n">
        <v>0</v>
      </c>
      <c r="M1413" s="9">
        <f>ROUND(SUM(I1413:L1413),2)</f>
        <v/>
      </c>
      <c r="N1413" s="10">
        <f>ROUND(I1413*'Irish Basis'!$C$6*'Irish Basis'!$C$5,2)</f>
        <v/>
      </c>
      <c r="O1413" s="10">
        <f>ROUND(J1413*'Irish Basis'!$C$7*'Irish Basis'!$C$5,2)</f>
        <v/>
      </c>
      <c r="P1413" s="10">
        <f>ROUND(K1413*'Irish Basis'!$C$8*'Irish Basis'!$C$5,2)</f>
        <v/>
      </c>
      <c r="Q1413" s="10">
        <f>ROUND(L1413*'Irish Basis'!$C$12*'Irish Basis'!$C$5,2)</f>
        <v/>
      </c>
      <c r="R1413" s="11">
        <f>ROUND(SUM(N1413:Q1413),2)</f>
        <v/>
      </c>
      <c r="S1413" s="5" t="inlineStr">
        <is>
          <t>Stated build-up</t>
        </is>
      </c>
      <c r="T1413" s="12" t="inlineStr">
        <is>
          <t>High</t>
        </is>
      </c>
      <c r="U1413" s="8" t="n">
        <v>155.51</v>
      </c>
      <c r="V1413" s="13">
        <f>IF(U1413="","",ROUND(M1413-U1413,2))</f>
        <v/>
      </c>
      <c r="W1413" s="5" t="n"/>
      <c r="X1413" s="5" t="inlineStr">
        <is>
          <t>Labour + plant + material as published; reconciles to the published rate.</t>
        </is>
      </c>
    </row>
    <row r="1414" ht="13" customHeight="1">
      <c r="A1414" s="4" t="n">
        <v>2322</v>
      </c>
      <c r="B1414" s="5" t="inlineStr">
        <is>
          <t>IMG_0097</t>
        </is>
      </c>
      <c r="C1414" s="5" t="inlineStr">
        <is>
          <t>CLASS I: PIPEWORK - PIPES</t>
        </is>
      </c>
      <c r="D1414" s="5" t="inlineStr">
        <is>
          <t>03 IRON PIPES</t>
        </is>
      </c>
      <c r="E1414" s="5" t="inlineStr">
        <is>
          <t>Cast iron pipes to BS 437 plain ended pipe with Timesaver mechanical coupling joints; excavation and supports, backfilling; 75 mm pipes; in trenches, depth</t>
        </is>
      </c>
      <c r="F1414" s="5" t="inlineStr">
        <is>
          <t>extra for taper reducer</t>
        </is>
      </c>
      <c r="G1414" s="6" t="inlineStr">
        <is>
          <t>nr</t>
        </is>
      </c>
      <c r="H1414" s="7" t="n">
        <v>0.27</v>
      </c>
      <c r="I1414" s="8" t="n">
        <v>37.31</v>
      </c>
      <c r="J1414" s="8" t="n">
        <v>3.42</v>
      </c>
      <c r="K1414" s="8" t="n">
        <v>64.45</v>
      </c>
      <c r="L1414" s="8" t="n">
        <v>0</v>
      </c>
      <c r="M1414" s="9">
        <f>ROUND(SUM(I1414:L1414),2)</f>
        <v/>
      </c>
      <c r="N1414" s="10">
        <f>ROUND(I1414*'Irish Basis'!$C$6*'Irish Basis'!$C$5,2)</f>
        <v/>
      </c>
      <c r="O1414" s="10">
        <f>ROUND(J1414*'Irish Basis'!$C$7*'Irish Basis'!$C$5,2)</f>
        <v/>
      </c>
      <c r="P1414" s="10">
        <f>ROUND(K1414*'Irish Basis'!$C$8*'Irish Basis'!$C$5,2)</f>
        <v/>
      </c>
      <c r="Q1414" s="10">
        <f>ROUND(L1414*'Irish Basis'!$C$12*'Irish Basis'!$C$5,2)</f>
        <v/>
      </c>
      <c r="R1414" s="11">
        <f>ROUND(SUM(N1414:Q1414),2)</f>
        <v/>
      </c>
      <c r="S1414" s="5" t="inlineStr">
        <is>
          <t>Stated build-up</t>
        </is>
      </c>
      <c r="T1414" s="12" t="inlineStr">
        <is>
          <t>High</t>
        </is>
      </c>
      <c r="U1414" s="8" t="n">
        <v>105.17</v>
      </c>
      <c r="V1414" s="13">
        <f>IF(U1414="","",ROUND(M1414-U1414,2))</f>
        <v/>
      </c>
      <c r="W1414" s="5" t="n"/>
      <c r="X1414" s="5" t="inlineStr">
        <is>
          <t>Labour + plant + material as published; reconciles to the published rate.</t>
        </is>
      </c>
    </row>
    <row r="1415" ht="13" customHeight="1">
      <c r="A1415" s="4" t="n">
        <v>2324</v>
      </c>
      <c r="B1415" s="5" t="inlineStr">
        <is>
          <t>IMG_0097</t>
        </is>
      </c>
      <c r="C1415" s="5" t="inlineStr">
        <is>
          <t>CLASS I: PIPEWORK - PIPES</t>
        </is>
      </c>
      <c r="D1415" s="5" t="inlineStr">
        <is>
          <t>03 IRON PIPES</t>
        </is>
      </c>
      <c r="E1415" s="5" t="inlineStr">
        <is>
          <t>100 mm pipes; in trenches, depth</t>
        </is>
      </c>
      <c r="F1415" s="5" t="inlineStr">
        <is>
          <t>not in trenches</t>
        </is>
      </c>
      <c r="G1415" s="6" t="inlineStr">
        <is>
          <t>m</t>
        </is>
      </c>
      <c r="H1415" s="7" t="n">
        <v>0.13</v>
      </c>
      <c r="I1415" s="8" t="n">
        <v>11.22</v>
      </c>
      <c r="J1415" s="8" t="n">
        <v>0.5600000000000001</v>
      </c>
      <c r="K1415" s="8" t="n">
        <v>47.04</v>
      </c>
      <c r="L1415" s="8" t="n">
        <v>0</v>
      </c>
      <c r="M1415" s="9">
        <f>ROUND(SUM(I1415:L1415),2)</f>
        <v/>
      </c>
      <c r="N1415" s="10">
        <f>ROUND(I1415*'Irish Basis'!$C$6*'Irish Basis'!$C$5,2)</f>
        <v/>
      </c>
      <c r="O1415" s="10">
        <f>ROUND(J1415*'Irish Basis'!$C$7*'Irish Basis'!$C$5,2)</f>
        <v/>
      </c>
      <c r="P1415" s="10">
        <f>ROUND(K1415*'Irish Basis'!$C$8*'Irish Basis'!$C$5,2)</f>
        <v/>
      </c>
      <c r="Q1415" s="10">
        <f>ROUND(L1415*'Irish Basis'!$C$12*'Irish Basis'!$C$5,2)</f>
        <v/>
      </c>
      <c r="R1415" s="11">
        <f>ROUND(SUM(N1415:Q1415),2)</f>
        <v/>
      </c>
      <c r="S1415" s="5" t="inlineStr">
        <is>
          <t>Stated build-up</t>
        </is>
      </c>
      <c r="T1415" s="12" t="inlineStr">
        <is>
          <t>High</t>
        </is>
      </c>
      <c r="U1415" s="8" t="n">
        <v>58.83</v>
      </c>
      <c r="V1415" s="13">
        <f>IF(U1415="","",ROUND(M1415-U1415,2))</f>
        <v/>
      </c>
      <c r="W1415" s="5" t="n"/>
      <c r="X1415" s="5" t="inlineStr">
        <is>
          <t>Labour + plant + material as published; reconciles to the published rate.</t>
        </is>
      </c>
    </row>
    <row r="1416" ht="13" customHeight="1">
      <c r="A1416" s="4" t="n">
        <v>2325</v>
      </c>
      <c r="B1416" s="5" t="inlineStr">
        <is>
          <t>IMG_0097</t>
        </is>
      </c>
      <c r="C1416" s="5" t="inlineStr">
        <is>
          <t>CLASS I: PIPEWORK - PIPES</t>
        </is>
      </c>
      <c r="D1416" s="5" t="inlineStr">
        <is>
          <t>03 IRON PIPES</t>
        </is>
      </c>
      <c r="E1416" s="5" t="inlineStr">
        <is>
          <t>100 mm pipes; in trenches, depth</t>
        </is>
      </c>
      <c r="F1416" s="5" t="inlineStr">
        <is>
          <t>ne 1.50 m deep</t>
        </is>
      </c>
      <c r="G1416" s="6" t="inlineStr">
        <is>
          <t>m</t>
        </is>
      </c>
      <c r="H1416" s="7" t="n">
        <v>0.21</v>
      </c>
      <c r="I1416" s="8" t="n">
        <v>29.02</v>
      </c>
      <c r="J1416" s="8" t="n">
        <v>27.42</v>
      </c>
      <c r="K1416" s="8" t="n">
        <v>47.04</v>
      </c>
      <c r="L1416" s="8" t="n">
        <v>0</v>
      </c>
      <c r="M1416" s="9">
        <f>ROUND(SUM(I1416:L1416),2)</f>
        <v/>
      </c>
      <c r="N1416" s="10">
        <f>ROUND(I1416*'Irish Basis'!$C$6*'Irish Basis'!$C$5,2)</f>
        <v/>
      </c>
      <c r="O1416" s="10">
        <f>ROUND(J1416*'Irish Basis'!$C$7*'Irish Basis'!$C$5,2)</f>
        <v/>
      </c>
      <c r="P1416" s="10">
        <f>ROUND(K1416*'Irish Basis'!$C$8*'Irish Basis'!$C$5,2)</f>
        <v/>
      </c>
      <c r="Q1416" s="10">
        <f>ROUND(L1416*'Irish Basis'!$C$12*'Irish Basis'!$C$5,2)</f>
        <v/>
      </c>
      <c r="R1416" s="11">
        <f>ROUND(SUM(N1416:Q1416),2)</f>
        <v/>
      </c>
      <c r="S1416" s="5" t="inlineStr">
        <is>
          <t>Stated build-up</t>
        </is>
      </c>
      <c r="T1416" s="12" t="inlineStr">
        <is>
          <t>High</t>
        </is>
      </c>
      <c r="U1416" s="8" t="n">
        <v>103.48</v>
      </c>
      <c r="V1416" s="13">
        <f>IF(U1416="","",ROUND(M1416-U1416,2))</f>
        <v/>
      </c>
      <c r="W1416" s="5" t="n"/>
      <c r="X1416" s="5" t="inlineStr">
        <is>
          <t>Labour + plant + material as published; reconciles to the published rate.</t>
        </is>
      </c>
    </row>
    <row r="1417" ht="13" customHeight="1">
      <c r="A1417" s="4" t="n">
        <v>2326</v>
      </c>
      <c r="B1417" s="5" t="inlineStr">
        <is>
          <t>IMG_0097</t>
        </is>
      </c>
      <c r="C1417" s="5" t="inlineStr">
        <is>
          <t>CLASS I: PIPEWORK - PIPES</t>
        </is>
      </c>
      <c r="D1417" s="5" t="inlineStr">
        <is>
          <t>03 IRON PIPES</t>
        </is>
      </c>
      <c r="E1417" s="5" t="inlineStr">
        <is>
          <t>100 mm pipes; in trenches, depth</t>
        </is>
      </c>
      <c r="F1417" s="5" t="inlineStr">
        <is>
          <t>1.50-2.00 m deep</t>
        </is>
      </c>
      <c r="G1417" s="6" t="inlineStr">
        <is>
          <t>m</t>
        </is>
      </c>
      <c r="H1417" s="7" t="n">
        <v>0.23</v>
      </c>
      <c r="I1417" s="8" t="n">
        <v>31.78</v>
      </c>
      <c r="J1417" s="8" t="n">
        <v>30.06</v>
      </c>
      <c r="K1417" s="8" t="n">
        <v>47.04</v>
      </c>
      <c r="L1417" s="8" t="n">
        <v>0</v>
      </c>
      <c r="M1417" s="9">
        <f>ROUND(SUM(I1417:L1417),2)</f>
        <v/>
      </c>
      <c r="N1417" s="10">
        <f>ROUND(I1417*'Irish Basis'!$C$6*'Irish Basis'!$C$5,2)</f>
        <v/>
      </c>
      <c r="O1417" s="10">
        <f>ROUND(J1417*'Irish Basis'!$C$7*'Irish Basis'!$C$5,2)</f>
        <v/>
      </c>
      <c r="P1417" s="10">
        <f>ROUND(K1417*'Irish Basis'!$C$8*'Irish Basis'!$C$5,2)</f>
        <v/>
      </c>
      <c r="Q1417" s="10">
        <f>ROUND(L1417*'Irish Basis'!$C$12*'Irish Basis'!$C$5,2)</f>
        <v/>
      </c>
      <c r="R1417" s="11">
        <f>ROUND(SUM(N1417:Q1417),2)</f>
        <v/>
      </c>
      <c r="S1417" s="5" t="inlineStr">
        <is>
          <t>Stated build-up</t>
        </is>
      </c>
      <c r="T1417" s="12" t="inlineStr">
        <is>
          <t>High</t>
        </is>
      </c>
      <c r="U1417" s="8" t="n">
        <v>108.88</v>
      </c>
      <c r="V1417" s="13">
        <f>IF(U1417="","",ROUND(M1417-U1417,2))</f>
        <v/>
      </c>
      <c r="W1417" s="5" t="n"/>
      <c r="X1417" s="5" t="inlineStr">
        <is>
          <t>Labour + plant + material as published; reconciles to the published rate.</t>
        </is>
      </c>
    </row>
    <row r="1418" ht="13" customHeight="1">
      <c r="A1418" s="4" t="n">
        <v>2327</v>
      </c>
      <c r="B1418" s="5" t="inlineStr">
        <is>
          <t>IMG_0097</t>
        </is>
      </c>
      <c r="C1418" s="5" t="inlineStr">
        <is>
          <t>CLASS I: PIPEWORK - PIPES</t>
        </is>
      </c>
      <c r="D1418" s="5" t="inlineStr">
        <is>
          <t>03 IRON PIPES</t>
        </is>
      </c>
      <c r="E1418" s="5" t="inlineStr">
        <is>
          <t>100 mm pipes; in trenches, depth</t>
        </is>
      </c>
      <c r="F1418" s="5" t="inlineStr">
        <is>
          <t>2.00-2.50 m deep</t>
        </is>
      </c>
      <c r="G1418" s="6" t="inlineStr">
        <is>
          <t>m</t>
        </is>
      </c>
      <c r="H1418" s="7" t="n">
        <v>0.3</v>
      </c>
      <c r="I1418" s="8" t="n">
        <v>41.45</v>
      </c>
      <c r="J1418" s="8" t="n">
        <v>39.19</v>
      </c>
      <c r="K1418" s="8" t="n">
        <v>47.04</v>
      </c>
      <c r="L1418" s="8" t="n">
        <v>0</v>
      </c>
      <c r="M1418" s="9">
        <f>ROUND(SUM(I1418:L1418),2)</f>
        <v/>
      </c>
      <c r="N1418" s="10">
        <f>ROUND(I1418*'Irish Basis'!$C$6*'Irish Basis'!$C$5,2)</f>
        <v/>
      </c>
      <c r="O1418" s="10">
        <f>ROUND(J1418*'Irish Basis'!$C$7*'Irish Basis'!$C$5,2)</f>
        <v/>
      </c>
      <c r="P1418" s="10">
        <f>ROUND(K1418*'Irish Basis'!$C$8*'Irish Basis'!$C$5,2)</f>
        <v/>
      </c>
      <c r="Q1418" s="10">
        <f>ROUND(L1418*'Irish Basis'!$C$12*'Irish Basis'!$C$5,2)</f>
        <v/>
      </c>
      <c r="R1418" s="11">
        <f>ROUND(SUM(N1418:Q1418),2)</f>
        <v/>
      </c>
      <c r="S1418" s="5" t="inlineStr">
        <is>
          <t>Stated build-up</t>
        </is>
      </c>
      <c r="T1418" s="12" t="inlineStr">
        <is>
          <t>High</t>
        </is>
      </c>
      <c r="U1418" s="8" t="n">
        <v>127.69</v>
      </c>
      <c r="V1418" s="13">
        <f>IF(U1418="","",ROUND(M1418-U1418,2))</f>
        <v/>
      </c>
      <c r="W1418" s="5" t="n"/>
      <c r="X1418" s="5" t="inlineStr">
        <is>
          <t>Labour + plant + material as published; reconciles to the published rate.</t>
        </is>
      </c>
    </row>
    <row r="1419" ht="13" customHeight="1">
      <c r="A1419" s="4" t="n">
        <v>2328</v>
      </c>
      <c r="B1419" s="5" t="inlineStr">
        <is>
          <t>IMG_0097</t>
        </is>
      </c>
      <c r="C1419" s="5" t="inlineStr">
        <is>
          <t>CLASS I: PIPEWORK - PIPES</t>
        </is>
      </c>
      <c r="D1419" s="5" t="inlineStr">
        <is>
          <t>03 IRON PIPES</t>
        </is>
      </c>
      <c r="E1419" s="5" t="inlineStr">
        <is>
          <t>100 mm pipes; in trenches, depth</t>
        </is>
      </c>
      <c r="F1419" s="5" t="inlineStr">
        <is>
          <t>2.50-3.00 m deep</t>
        </is>
      </c>
      <c r="G1419" s="6" t="inlineStr">
        <is>
          <t>m</t>
        </is>
      </c>
      <c r="H1419" s="7" t="n">
        <v>0.37</v>
      </c>
      <c r="I1419" s="8" t="n">
        <v>51.13</v>
      </c>
      <c r="J1419" s="8" t="n">
        <v>48.41</v>
      </c>
      <c r="K1419" s="8" t="n">
        <v>47.04</v>
      </c>
      <c r="L1419" s="8" t="n">
        <v>0</v>
      </c>
      <c r="M1419" s="9">
        <f>ROUND(SUM(I1419:L1419),2)</f>
        <v/>
      </c>
      <c r="N1419" s="10">
        <f>ROUND(I1419*'Irish Basis'!$C$6*'Irish Basis'!$C$5,2)</f>
        <v/>
      </c>
      <c r="O1419" s="10">
        <f>ROUND(J1419*'Irish Basis'!$C$7*'Irish Basis'!$C$5,2)</f>
        <v/>
      </c>
      <c r="P1419" s="10">
        <f>ROUND(K1419*'Irish Basis'!$C$8*'Irish Basis'!$C$5,2)</f>
        <v/>
      </c>
      <c r="Q1419" s="10">
        <f>ROUND(L1419*'Irish Basis'!$C$12*'Irish Basis'!$C$5,2)</f>
        <v/>
      </c>
      <c r="R1419" s="11">
        <f>ROUND(SUM(N1419:Q1419),2)</f>
        <v/>
      </c>
      <c r="S1419" s="5" t="inlineStr">
        <is>
          <t>Stated build-up</t>
        </is>
      </c>
      <c r="T1419" s="12" t="inlineStr">
        <is>
          <t>High</t>
        </is>
      </c>
      <c r="U1419" s="8" t="n">
        <v>146.58</v>
      </c>
      <c r="V1419" s="13">
        <f>IF(U1419="","",ROUND(M1419-U1419,2))</f>
        <v/>
      </c>
      <c r="W1419" s="5" t="n"/>
      <c r="X1419" s="5" t="inlineStr">
        <is>
          <t>Labour + plant + material as published; reconciles to the published rate.</t>
        </is>
      </c>
    </row>
    <row r="1420" ht="13" customHeight="1">
      <c r="A1420" s="4" t="n">
        <v>2329</v>
      </c>
      <c r="B1420" s="5" t="inlineStr">
        <is>
          <t>IMG_0097</t>
        </is>
      </c>
      <c r="C1420" s="5" t="inlineStr">
        <is>
          <t>CLASS I: PIPEWORK - PIPES</t>
        </is>
      </c>
      <c r="D1420" s="5" t="inlineStr">
        <is>
          <t>03 IRON PIPES</t>
        </is>
      </c>
      <c r="E1420" s="5" t="inlineStr">
        <is>
          <t>100 mm pipes; in trenches, depth</t>
        </is>
      </c>
      <c r="F1420" s="5" t="inlineStr">
        <is>
          <t>3.00-3.50 m deep</t>
        </is>
      </c>
      <c r="G1420" s="6" t="inlineStr">
        <is>
          <t>m</t>
        </is>
      </c>
      <c r="H1420" s="7" t="n">
        <v>0.48</v>
      </c>
      <c r="I1420" s="8" t="n">
        <v>66.33</v>
      </c>
      <c r="J1420" s="8" t="n">
        <v>62.82</v>
      </c>
      <c r="K1420" s="8" t="n">
        <v>47.04</v>
      </c>
      <c r="L1420" s="8" t="n">
        <v>0</v>
      </c>
      <c r="M1420" s="9">
        <f>ROUND(SUM(I1420:L1420),2)</f>
        <v/>
      </c>
      <c r="N1420" s="10">
        <f>ROUND(I1420*'Irish Basis'!$C$6*'Irish Basis'!$C$5,2)</f>
        <v/>
      </c>
      <c r="O1420" s="10">
        <f>ROUND(J1420*'Irish Basis'!$C$7*'Irish Basis'!$C$5,2)</f>
        <v/>
      </c>
      <c r="P1420" s="10">
        <f>ROUND(K1420*'Irish Basis'!$C$8*'Irish Basis'!$C$5,2)</f>
        <v/>
      </c>
      <c r="Q1420" s="10">
        <f>ROUND(L1420*'Irish Basis'!$C$12*'Irish Basis'!$C$5,2)</f>
        <v/>
      </c>
      <c r="R1420" s="11">
        <f>ROUND(SUM(N1420:Q1420),2)</f>
        <v/>
      </c>
      <c r="S1420" s="5" t="inlineStr">
        <is>
          <t>Stated build-up</t>
        </is>
      </c>
      <c r="T1420" s="12" t="inlineStr">
        <is>
          <t>High</t>
        </is>
      </c>
      <c r="U1420" s="8" t="n">
        <v>176.18</v>
      </c>
      <c r="V1420" s="13">
        <f>IF(U1420="","",ROUND(M1420-U1420,2))</f>
        <v/>
      </c>
      <c r="W1420" s="5" t="n"/>
      <c r="X1420" s="5" t="inlineStr">
        <is>
          <t>Labour + plant + material as published; reconciles to the published rate.</t>
        </is>
      </c>
    </row>
    <row r="1421" ht="13" customHeight="1">
      <c r="A1421" s="4" t="n">
        <v>2330</v>
      </c>
      <c r="B1421" s="5" t="inlineStr">
        <is>
          <t>IMG_0097</t>
        </is>
      </c>
      <c r="C1421" s="5" t="inlineStr">
        <is>
          <t>CLASS I: PIPEWORK - PIPES</t>
        </is>
      </c>
      <c r="D1421" s="5" t="inlineStr">
        <is>
          <t>03 IRON PIPES</t>
        </is>
      </c>
      <c r="E1421" s="5" t="inlineStr">
        <is>
          <t>100 mm pipes; in trenches, depth</t>
        </is>
      </c>
      <c r="F1421" s="5" t="inlineStr">
        <is>
          <t>3.50-4.00 m deep</t>
        </is>
      </c>
      <c r="G1421" s="6" t="inlineStr">
        <is>
          <t>m</t>
        </is>
      </c>
      <c r="H1421" s="7" t="n">
        <v>0.6</v>
      </c>
      <c r="I1421" s="8" t="n">
        <v>82.91</v>
      </c>
      <c r="J1421" s="8" t="n">
        <v>78.56999999999999</v>
      </c>
      <c r="K1421" s="8" t="n">
        <v>47.04</v>
      </c>
      <c r="L1421" s="8" t="n">
        <v>0</v>
      </c>
      <c r="M1421" s="9">
        <f>ROUND(SUM(I1421:L1421),2)</f>
        <v/>
      </c>
      <c r="N1421" s="10">
        <f>ROUND(I1421*'Irish Basis'!$C$6*'Irish Basis'!$C$5,2)</f>
        <v/>
      </c>
      <c r="O1421" s="10">
        <f>ROUND(J1421*'Irish Basis'!$C$7*'Irish Basis'!$C$5,2)</f>
        <v/>
      </c>
      <c r="P1421" s="10">
        <f>ROUND(K1421*'Irish Basis'!$C$8*'Irish Basis'!$C$5,2)</f>
        <v/>
      </c>
      <c r="Q1421" s="10">
        <f>ROUND(L1421*'Irish Basis'!$C$12*'Irish Basis'!$C$5,2)</f>
        <v/>
      </c>
      <c r="R1421" s="11">
        <f>ROUND(SUM(N1421:Q1421),2)</f>
        <v/>
      </c>
      <c r="S1421" s="5" t="inlineStr">
        <is>
          <t>Stated build-up</t>
        </is>
      </c>
      <c r="T1421" s="12" t="inlineStr">
        <is>
          <t>High</t>
        </is>
      </c>
      <c r="U1421" s="8" t="n">
        <v>208.52</v>
      </c>
      <c r="V1421" s="13">
        <f>IF(U1421="","",ROUND(M1421-U1421,2))</f>
        <v/>
      </c>
      <c r="W1421" s="5" t="n"/>
      <c r="X1421" s="5" t="inlineStr">
        <is>
          <t>Labour + plant + material as published; reconciles to the published rate.</t>
        </is>
      </c>
    </row>
    <row r="1422" ht="13" customHeight="1">
      <c r="A1422" s="4" t="n">
        <v>2331</v>
      </c>
      <c r="B1422" s="5" t="inlineStr">
        <is>
          <t>IMG_0097</t>
        </is>
      </c>
      <c r="C1422" s="5" t="inlineStr">
        <is>
          <t>CLASS I: PIPEWORK - PIPES</t>
        </is>
      </c>
      <c r="D1422" s="5" t="inlineStr">
        <is>
          <t>03 IRON PIPES</t>
        </is>
      </c>
      <c r="E1422" s="5" t="inlineStr">
        <is>
          <t>100 mm pipes; in trenches, depth</t>
        </is>
      </c>
      <c r="F1422" s="5" t="inlineStr">
        <is>
          <t>4.00-4.50 m deep</t>
        </is>
      </c>
      <c r="G1422" s="6" t="inlineStr">
        <is>
          <t>m</t>
        </is>
      </c>
      <c r="H1422" s="7" t="n">
        <v>0.75</v>
      </c>
      <c r="I1422" s="8" t="n">
        <v>103.64</v>
      </c>
      <c r="J1422" s="8" t="n">
        <v>98.22</v>
      </c>
      <c r="K1422" s="8" t="n">
        <v>47.04</v>
      </c>
      <c r="L1422" s="8" t="n">
        <v>0</v>
      </c>
      <c r="M1422" s="9">
        <f>ROUND(SUM(I1422:L1422),2)</f>
        <v/>
      </c>
      <c r="N1422" s="10">
        <f>ROUND(I1422*'Irish Basis'!$C$6*'Irish Basis'!$C$5,2)</f>
        <v/>
      </c>
      <c r="O1422" s="10">
        <f>ROUND(J1422*'Irish Basis'!$C$7*'Irish Basis'!$C$5,2)</f>
        <v/>
      </c>
      <c r="P1422" s="10">
        <f>ROUND(K1422*'Irish Basis'!$C$8*'Irish Basis'!$C$5,2)</f>
        <v/>
      </c>
      <c r="Q1422" s="10">
        <f>ROUND(L1422*'Irish Basis'!$C$12*'Irish Basis'!$C$5,2)</f>
        <v/>
      </c>
      <c r="R1422" s="11">
        <f>ROUND(SUM(N1422:Q1422),2)</f>
        <v/>
      </c>
      <c r="S1422" s="5" t="inlineStr">
        <is>
          <t>Stated build-up</t>
        </is>
      </c>
      <c r="T1422" s="12" t="inlineStr">
        <is>
          <t>High</t>
        </is>
      </c>
      <c r="U1422" s="8" t="n">
        <v>248.9</v>
      </c>
      <c r="V1422" s="13">
        <f>IF(U1422="","",ROUND(M1422-U1422,2))</f>
        <v/>
      </c>
      <c r="W1422" s="5" t="n"/>
      <c r="X1422" s="5" t="inlineStr">
        <is>
          <t>Labour + plant + material as published; reconciles to the published rate.</t>
        </is>
      </c>
    </row>
    <row r="1423" ht="13" customHeight="1">
      <c r="A1423" s="4" t="n">
        <v>2332</v>
      </c>
      <c r="B1423" s="5" t="inlineStr">
        <is>
          <t>IMG_0097</t>
        </is>
      </c>
      <c r="C1423" s="5" t="inlineStr">
        <is>
          <t>CLASS I: PIPEWORK - PIPES</t>
        </is>
      </c>
      <c r="D1423" s="5" t="inlineStr">
        <is>
          <t>03 IRON PIPES</t>
        </is>
      </c>
      <c r="E1423" s="5" t="inlineStr">
        <is>
          <t>100 mm pipes; in trenches, depth</t>
        </is>
      </c>
      <c r="F1423" s="5" t="inlineStr">
        <is>
          <t>4.50-5.00 m deep</t>
        </is>
      </c>
      <c r="G1423" s="6" t="inlineStr">
        <is>
          <t>m</t>
        </is>
      </c>
      <c r="H1423" s="7" t="n">
        <v>0.95</v>
      </c>
      <c r="I1423" s="8" t="n">
        <v>131.27</v>
      </c>
      <c r="J1423" s="8" t="n">
        <v>124.47</v>
      </c>
      <c r="K1423" s="8" t="n">
        <v>47.04</v>
      </c>
      <c r="L1423" s="8" t="n">
        <v>0</v>
      </c>
      <c r="M1423" s="9">
        <f>ROUND(SUM(I1423:L1423),2)</f>
        <v/>
      </c>
      <c r="N1423" s="10">
        <f>ROUND(I1423*'Irish Basis'!$C$6*'Irish Basis'!$C$5,2)</f>
        <v/>
      </c>
      <c r="O1423" s="10">
        <f>ROUND(J1423*'Irish Basis'!$C$7*'Irish Basis'!$C$5,2)</f>
        <v/>
      </c>
      <c r="P1423" s="10">
        <f>ROUND(K1423*'Irish Basis'!$C$8*'Irish Basis'!$C$5,2)</f>
        <v/>
      </c>
      <c r="Q1423" s="10">
        <f>ROUND(L1423*'Irish Basis'!$C$12*'Irish Basis'!$C$5,2)</f>
        <v/>
      </c>
      <c r="R1423" s="11">
        <f>ROUND(SUM(N1423:Q1423),2)</f>
        <v/>
      </c>
      <c r="S1423" s="5" t="inlineStr">
        <is>
          <t>Stated build-up</t>
        </is>
      </c>
      <c r="T1423" s="12" t="inlineStr">
        <is>
          <t>High</t>
        </is>
      </c>
      <c r="U1423" s="8" t="n">
        <v>302.78</v>
      </c>
      <c r="V1423" s="13">
        <f>IF(U1423="","",ROUND(M1423-U1423,2))</f>
        <v/>
      </c>
      <c r="W1423" s="5" t="n"/>
      <c r="X1423" s="5" t="inlineStr">
        <is>
          <t>Labour + plant + material as published; reconciles to the published rate.</t>
        </is>
      </c>
    </row>
    <row r="1424" ht="13" customHeight="1">
      <c r="A1424" s="4" t="n">
        <v>2333</v>
      </c>
      <c r="B1424" s="5" t="inlineStr">
        <is>
          <t>IMG_0097</t>
        </is>
      </c>
      <c r="C1424" s="5" t="inlineStr">
        <is>
          <t>CLASS I: PIPEWORK - PIPES</t>
        </is>
      </c>
      <c r="D1424" s="5" t="inlineStr">
        <is>
          <t>03 IRON PIPES</t>
        </is>
      </c>
      <c r="E1424" s="5" t="inlineStr">
        <is>
          <t>100 mm pipes; in trenches, depth</t>
        </is>
      </c>
      <c r="F1424" s="5" t="inlineStr">
        <is>
          <t>5.00-5.50 m deep</t>
        </is>
      </c>
      <c r="G1424" s="6" t="inlineStr">
        <is>
          <t>m</t>
        </is>
      </c>
      <c r="H1424" s="7" t="n">
        <v>1.22</v>
      </c>
      <c r="I1424" s="8" t="n">
        <v>168.58</v>
      </c>
      <c r="J1424" s="8" t="n">
        <v>159.95</v>
      </c>
      <c r="K1424" s="8" t="n">
        <v>47.04</v>
      </c>
      <c r="L1424" s="8" t="n">
        <v>0</v>
      </c>
      <c r="M1424" s="9">
        <f>ROUND(SUM(I1424:L1424),2)</f>
        <v/>
      </c>
      <c r="N1424" s="10">
        <f>ROUND(I1424*'Irish Basis'!$C$6*'Irish Basis'!$C$5,2)</f>
        <v/>
      </c>
      <c r="O1424" s="10">
        <f>ROUND(J1424*'Irish Basis'!$C$7*'Irish Basis'!$C$5,2)</f>
        <v/>
      </c>
      <c r="P1424" s="10">
        <f>ROUND(K1424*'Irish Basis'!$C$8*'Irish Basis'!$C$5,2)</f>
        <v/>
      </c>
      <c r="Q1424" s="10">
        <f>ROUND(L1424*'Irish Basis'!$C$12*'Irish Basis'!$C$5,2)</f>
        <v/>
      </c>
      <c r="R1424" s="11">
        <f>ROUND(SUM(N1424:Q1424),2)</f>
        <v/>
      </c>
      <c r="S1424" s="5" t="inlineStr">
        <is>
          <t>Stated build-up</t>
        </is>
      </c>
      <c r="T1424" s="12" t="inlineStr">
        <is>
          <t>High</t>
        </is>
      </c>
      <c r="U1424" s="8" t="n">
        <v>375.57</v>
      </c>
      <c r="V1424" s="13">
        <f>IF(U1424="","",ROUND(M1424-U1424,2))</f>
        <v/>
      </c>
      <c r="W1424" s="5" t="n"/>
      <c r="X1424" s="5" t="inlineStr">
        <is>
          <t>Labour + plant + material as published; reconciles to the published rate.</t>
        </is>
      </c>
    </row>
    <row r="1425" ht="13" customHeight="1">
      <c r="A1425" s="4" t="n">
        <v>2334</v>
      </c>
      <c r="B1425" s="5" t="inlineStr">
        <is>
          <t>IMG_0097</t>
        </is>
      </c>
      <c r="C1425" s="5" t="inlineStr">
        <is>
          <t>CLASS I: PIPEWORK - PIPES</t>
        </is>
      </c>
      <c r="D1425" s="5" t="inlineStr">
        <is>
          <t>03 IRON PIPES</t>
        </is>
      </c>
      <c r="E1425" s="5" t="inlineStr">
        <is>
          <t>100 mm pipes; in trenches, depth</t>
        </is>
      </c>
      <c r="F1425" s="5" t="inlineStr">
        <is>
          <t>extra for bend; 87.5 deg</t>
        </is>
      </c>
      <c r="G1425" s="6" t="inlineStr">
        <is>
          <t>nr</t>
        </is>
      </c>
      <c r="H1425" s="7" t="n">
        <v>0.38</v>
      </c>
      <c r="I1425" s="8" t="n">
        <v>52.51</v>
      </c>
      <c r="J1425" s="8" t="n">
        <v>5.14</v>
      </c>
      <c r="K1425" s="8" t="n">
        <v>111.3</v>
      </c>
      <c r="L1425" s="8" t="n">
        <v>0</v>
      </c>
      <c r="M1425" s="9">
        <f>ROUND(SUM(I1425:L1425),2)</f>
        <v/>
      </c>
      <c r="N1425" s="10">
        <f>ROUND(I1425*'Irish Basis'!$C$6*'Irish Basis'!$C$5,2)</f>
        <v/>
      </c>
      <c r="O1425" s="10">
        <f>ROUND(J1425*'Irish Basis'!$C$7*'Irish Basis'!$C$5,2)</f>
        <v/>
      </c>
      <c r="P1425" s="10">
        <f>ROUND(K1425*'Irish Basis'!$C$8*'Irish Basis'!$C$5,2)</f>
        <v/>
      </c>
      <c r="Q1425" s="10">
        <f>ROUND(L1425*'Irish Basis'!$C$12*'Irish Basis'!$C$5,2)</f>
        <v/>
      </c>
      <c r="R1425" s="11">
        <f>ROUND(SUM(N1425:Q1425),2)</f>
        <v/>
      </c>
      <c r="S1425" s="5" t="inlineStr">
        <is>
          <t>Stated build-up</t>
        </is>
      </c>
      <c r="T1425" s="12" t="inlineStr">
        <is>
          <t>High</t>
        </is>
      </c>
      <c r="U1425" s="8" t="n">
        <v>168.94</v>
      </c>
      <c r="V1425" s="13">
        <f>IF(U1425="","",ROUND(M1425-U1425,2))</f>
        <v/>
      </c>
      <c r="W1425" s="5" t="n"/>
      <c r="X1425" s="5" t="inlineStr">
        <is>
          <t>Labour + plant + material as published; reconciles to the published rate.</t>
        </is>
      </c>
    </row>
    <row r="1426" ht="13" customHeight="1">
      <c r="A1426" s="4" t="n">
        <v>2335</v>
      </c>
      <c r="B1426" s="5" t="inlineStr">
        <is>
          <t>IMG_0097</t>
        </is>
      </c>
      <c r="C1426" s="5" t="inlineStr">
        <is>
          <t>CLASS I: PIPEWORK - PIPES</t>
        </is>
      </c>
      <c r="D1426" s="5" t="inlineStr">
        <is>
          <t>03 IRON PIPES</t>
        </is>
      </c>
      <c r="E1426" s="5" t="inlineStr">
        <is>
          <t>100 mm pipes; in trenches, depth</t>
        </is>
      </c>
      <c r="F1426" s="5" t="inlineStr">
        <is>
          <t>extra for bend; 45 deg</t>
        </is>
      </c>
      <c r="G1426" s="6" t="inlineStr">
        <is>
          <t>nr</t>
        </is>
      </c>
      <c r="H1426" s="7" t="n">
        <v>0.38</v>
      </c>
      <c r="I1426" s="8" t="n">
        <v>52.51</v>
      </c>
      <c r="J1426" s="8" t="n">
        <v>5.14</v>
      </c>
      <c r="K1426" s="8" t="n">
        <v>68.67</v>
      </c>
      <c r="L1426" s="8" t="n">
        <v>0</v>
      </c>
      <c r="M1426" s="9">
        <f>ROUND(SUM(I1426:L1426),2)</f>
        <v/>
      </c>
      <c r="N1426" s="10">
        <f>ROUND(I1426*'Irish Basis'!$C$6*'Irish Basis'!$C$5,2)</f>
        <v/>
      </c>
      <c r="O1426" s="10">
        <f>ROUND(J1426*'Irish Basis'!$C$7*'Irish Basis'!$C$5,2)</f>
        <v/>
      </c>
      <c r="P1426" s="10">
        <f>ROUND(K1426*'Irish Basis'!$C$8*'Irish Basis'!$C$5,2)</f>
        <v/>
      </c>
      <c r="Q1426" s="10">
        <f>ROUND(L1426*'Irish Basis'!$C$12*'Irish Basis'!$C$5,2)</f>
        <v/>
      </c>
      <c r="R1426" s="11">
        <f>ROUND(SUM(N1426:Q1426),2)</f>
        <v/>
      </c>
      <c r="S1426" s="5" t="inlineStr">
        <is>
          <t>Stated build-up</t>
        </is>
      </c>
      <c r="T1426" s="12" t="inlineStr">
        <is>
          <t>High</t>
        </is>
      </c>
      <c r="U1426" s="8" t="n">
        <v>126.32</v>
      </c>
      <c r="V1426" s="13">
        <f>IF(U1426="","",ROUND(M1426-U1426,2))</f>
        <v/>
      </c>
      <c r="W1426" s="5" t="n"/>
      <c r="X1426" s="5" t="inlineStr">
        <is>
          <t>Labour + plant + material as published; reconciles to the published rate.</t>
        </is>
      </c>
    </row>
    <row r="1427" ht="13" customHeight="1">
      <c r="A1427" s="4" t="n">
        <v>2336</v>
      </c>
      <c r="B1427" s="5" t="inlineStr">
        <is>
          <t>IMG_0097</t>
        </is>
      </c>
      <c r="C1427" s="5" t="inlineStr">
        <is>
          <t>CLASS I: PIPEWORK - PIPES</t>
        </is>
      </c>
      <c r="D1427" s="5" t="inlineStr">
        <is>
          <t>03 IRON PIPES</t>
        </is>
      </c>
      <c r="E1427" s="5" t="inlineStr">
        <is>
          <t>100 mm pipes; in trenches, depth</t>
        </is>
      </c>
      <c r="F1427" s="5" t="inlineStr">
        <is>
          <t>extra for bend; long radius</t>
        </is>
      </c>
      <c r="G1427" s="6" t="inlineStr">
        <is>
          <t>nr</t>
        </is>
      </c>
      <c r="H1427" s="7" t="n">
        <v>0.38</v>
      </c>
      <c r="I1427" s="8" t="n">
        <v>52.51</v>
      </c>
      <c r="J1427" s="8" t="n">
        <v>5.14</v>
      </c>
      <c r="K1427" s="8" t="n">
        <v>115.89</v>
      </c>
      <c r="L1427" s="8" t="n">
        <v>0</v>
      </c>
      <c r="M1427" s="9">
        <f>ROUND(SUM(I1427:L1427),2)</f>
        <v/>
      </c>
      <c r="N1427" s="10">
        <f>ROUND(I1427*'Irish Basis'!$C$6*'Irish Basis'!$C$5,2)</f>
        <v/>
      </c>
      <c r="O1427" s="10">
        <f>ROUND(J1427*'Irish Basis'!$C$7*'Irish Basis'!$C$5,2)</f>
        <v/>
      </c>
      <c r="P1427" s="10">
        <f>ROUND(K1427*'Irish Basis'!$C$8*'Irish Basis'!$C$5,2)</f>
        <v/>
      </c>
      <c r="Q1427" s="10">
        <f>ROUND(L1427*'Irish Basis'!$C$12*'Irish Basis'!$C$5,2)</f>
        <v/>
      </c>
      <c r="R1427" s="11">
        <f>ROUND(SUM(N1427:Q1427),2)</f>
        <v/>
      </c>
      <c r="S1427" s="5" t="inlineStr">
        <is>
          <t>Stated build-up</t>
        </is>
      </c>
      <c r="T1427" s="12" t="inlineStr">
        <is>
          <t>High</t>
        </is>
      </c>
      <c r="U1427" s="8" t="n">
        <v>173.54</v>
      </c>
      <c r="V1427" s="13">
        <f>IF(U1427="","",ROUND(M1427-U1427,2))</f>
        <v/>
      </c>
      <c r="W1427" s="5" t="n"/>
      <c r="X1427" s="5" t="inlineStr">
        <is>
          <t>Labour + plant + material as published; reconciles to the published rate.</t>
        </is>
      </c>
    </row>
    <row r="1428" ht="13" customHeight="1">
      <c r="A1428" s="4" t="n">
        <v>2337</v>
      </c>
      <c r="B1428" s="5" t="inlineStr">
        <is>
          <t>IMG_0097</t>
        </is>
      </c>
      <c r="C1428" s="5" t="inlineStr">
        <is>
          <t>CLASS I: PIPEWORK - PIPES</t>
        </is>
      </c>
      <c r="D1428" s="5" t="inlineStr">
        <is>
          <t>03 IRON PIPES</t>
        </is>
      </c>
      <c r="E1428" s="5" t="inlineStr">
        <is>
          <t>100 mm pipes; in trenches, depth</t>
        </is>
      </c>
      <c r="F1428" s="5" t="inlineStr">
        <is>
          <t>extra for single junction; equal</t>
        </is>
      </c>
      <c r="G1428" s="6" t="inlineStr">
        <is>
          <t>nr</t>
        </is>
      </c>
      <c r="H1428" s="7" t="n">
        <v>0.59</v>
      </c>
      <c r="I1428" s="8" t="n">
        <v>81.53</v>
      </c>
      <c r="J1428" s="8" t="n">
        <v>8.49</v>
      </c>
      <c r="K1428" s="8" t="n">
        <v>180.35</v>
      </c>
      <c r="L1428" s="8" t="n">
        <v>0</v>
      </c>
      <c r="M1428" s="9">
        <f>ROUND(SUM(I1428:L1428),2)</f>
        <v/>
      </c>
      <c r="N1428" s="10">
        <f>ROUND(I1428*'Irish Basis'!$C$6*'Irish Basis'!$C$5,2)</f>
        <v/>
      </c>
      <c r="O1428" s="10">
        <f>ROUND(J1428*'Irish Basis'!$C$7*'Irish Basis'!$C$5,2)</f>
        <v/>
      </c>
      <c r="P1428" s="10">
        <f>ROUND(K1428*'Irish Basis'!$C$8*'Irish Basis'!$C$5,2)</f>
        <v/>
      </c>
      <c r="Q1428" s="10">
        <f>ROUND(L1428*'Irish Basis'!$C$12*'Irish Basis'!$C$5,2)</f>
        <v/>
      </c>
      <c r="R1428" s="11">
        <f>ROUND(SUM(N1428:Q1428),2)</f>
        <v/>
      </c>
      <c r="S1428" s="5" t="inlineStr">
        <is>
          <t>Stated build-up</t>
        </is>
      </c>
      <c r="T1428" s="12" t="inlineStr">
        <is>
          <t>High</t>
        </is>
      </c>
      <c r="U1428" s="8" t="n">
        <v>270.36</v>
      </c>
      <c r="V1428" s="13">
        <f>IF(U1428="","",ROUND(M1428-U1428,2))</f>
        <v/>
      </c>
      <c r="W1428" s="5" t="n"/>
      <c r="X1428" s="5" t="inlineStr">
        <is>
          <t>Labour + plant + material as published; reconciles to the published rate.</t>
        </is>
      </c>
    </row>
    <row r="1429" ht="13" customHeight="1">
      <c r="A1429" s="4" t="n">
        <v>2338</v>
      </c>
      <c r="B1429" s="5" t="inlineStr">
        <is>
          <t>IMG_0097</t>
        </is>
      </c>
      <c r="C1429" s="5" t="inlineStr">
        <is>
          <t>CLASS I: PIPEWORK - PIPES</t>
        </is>
      </c>
      <c r="D1429" s="5" t="inlineStr">
        <is>
          <t>03 IRON PIPES</t>
        </is>
      </c>
      <c r="E1429" s="5" t="inlineStr">
        <is>
          <t>100 mm pipes; in trenches, depth</t>
        </is>
      </c>
      <c r="F1429" s="5" t="inlineStr">
        <is>
          <t>extra for double junction; equal</t>
        </is>
      </c>
      <c r="G1429" s="6" t="inlineStr">
        <is>
          <t>nr</t>
        </is>
      </c>
      <c r="H1429" s="7" t="n">
        <v>0.8</v>
      </c>
      <c r="I1429" s="8" t="n">
        <v>110.54</v>
      </c>
      <c r="J1429" s="8" t="n">
        <v>13.55</v>
      </c>
      <c r="K1429" s="8" t="n">
        <v>150.13</v>
      </c>
      <c r="L1429" s="8" t="n">
        <v>0</v>
      </c>
      <c r="M1429" s="9">
        <f>ROUND(SUM(I1429:L1429),2)</f>
        <v/>
      </c>
      <c r="N1429" s="10">
        <f>ROUND(I1429*'Irish Basis'!$C$6*'Irish Basis'!$C$5,2)</f>
        <v/>
      </c>
      <c r="O1429" s="10">
        <f>ROUND(J1429*'Irish Basis'!$C$7*'Irish Basis'!$C$5,2)</f>
        <v/>
      </c>
      <c r="P1429" s="10">
        <f>ROUND(K1429*'Irish Basis'!$C$8*'Irish Basis'!$C$5,2)</f>
        <v/>
      </c>
      <c r="Q1429" s="10">
        <f>ROUND(L1429*'Irish Basis'!$C$12*'Irish Basis'!$C$5,2)</f>
        <v/>
      </c>
      <c r="R1429" s="11">
        <f>ROUND(SUM(N1429:Q1429),2)</f>
        <v/>
      </c>
      <c r="S1429" s="5" t="inlineStr">
        <is>
          <t>Stated build-up</t>
        </is>
      </c>
      <c r="T1429" s="12" t="inlineStr">
        <is>
          <t>High</t>
        </is>
      </c>
      <c r="U1429" s="8" t="n">
        <v>274.23</v>
      </c>
      <c r="V1429" s="13">
        <f>IF(U1429="","",ROUND(M1429-U1429,2))</f>
        <v/>
      </c>
      <c r="W1429" s="5" t="n"/>
      <c r="X1429" s="5" t="inlineStr">
        <is>
          <t>Labour + plant + material as published; reconciles to the published rate.</t>
        </is>
      </c>
    </row>
    <row r="1430" ht="13" customHeight="1">
      <c r="A1430" s="4" t="n">
        <v>2339</v>
      </c>
      <c r="B1430" s="5" t="inlineStr">
        <is>
          <t>IMG_0097</t>
        </is>
      </c>
      <c r="C1430" s="5" t="inlineStr">
        <is>
          <t>CLASS I: PIPEWORK - PIPES</t>
        </is>
      </c>
      <c r="D1430" s="5" t="inlineStr">
        <is>
          <t>03 IRON PIPES</t>
        </is>
      </c>
      <c r="E1430" s="5" t="inlineStr">
        <is>
          <t>100 mm pipes; in trenches, depth</t>
        </is>
      </c>
      <c r="F1430" s="5" t="inlineStr">
        <is>
          <t>extra for taper reducer</t>
        </is>
      </c>
      <c r="G1430" s="6" t="inlineStr">
        <is>
          <t>nr</t>
        </is>
      </c>
      <c r="H1430" s="7" t="n">
        <v>0.4</v>
      </c>
      <c r="I1430" s="8" t="n">
        <v>55.27</v>
      </c>
      <c r="J1430" s="8" t="n">
        <v>8.49</v>
      </c>
      <c r="K1430" s="8" t="n">
        <v>76.58</v>
      </c>
      <c r="L1430" s="8" t="n">
        <v>0</v>
      </c>
      <c r="M1430" s="9">
        <f>ROUND(SUM(I1430:L1430),2)</f>
        <v/>
      </c>
      <c r="N1430" s="10">
        <f>ROUND(I1430*'Irish Basis'!$C$6*'Irish Basis'!$C$5,2)</f>
        <v/>
      </c>
      <c r="O1430" s="10">
        <f>ROUND(J1430*'Irish Basis'!$C$7*'Irish Basis'!$C$5,2)</f>
        <v/>
      </c>
      <c r="P1430" s="10">
        <f>ROUND(K1430*'Irish Basis'!$C$8*'Irish Basis'!$C$5,2)</f>
        <v/>
      </c>
      <c r="Q1430" s="10">
        <f>ROUND(L1430*'Irish Basis'!$C$12*'Irish Basis'!$C$5,2)</f>
        <v/>
      </c>
      <c r="R1430" s="11">
        <f>ROUND(SUM(N1430:Q1430),2)</f>
        <v/>
      </c>
      <c r="S1430" s="5" t="inlineStr">
        <is>
          <t>Stated build-up</t>
        </is>
      </c>
      <c r="T1430" s="12" t="inlineStr">
        <is>
          <t>High</t>
        </is>
      </c>
      <c r="U1430" s="8" t="n">
        <v>140.34</v>
      </c>
      <c r="V1430" s="13">
        <f>IF(U1430="","",ROUND(M1430-U1430,2))</f>
        <v/>
      </c>
      <c r="W1430" s="5" t="n"/>
      <c r="X1430" s="5" t="inlineStr">
        <is>
          <t>Labour + plant + material as published; reconciles to the published rate.</t>
        </is>
      </c>
    </row>
    <row r="1431" ht="13" customHeight="1">
      <c r="A1431" s="4" t="n">
        <v>2341</v>
      </c>
      <c r="B1431" s="5" t="inlineStr">
        <is>
          <t>IMG_0097</t>
        </is>
      </c>
      <c r="C1431" s="5" t="inlineStr">
        <is>
          <t>CLASS I: PIPEWORK - PIPES</t>
        </is>
      </c>
      <c r="D1431" s="5" t="inlineStr">
        <is>
          <t>03 IRON PIPES</t>
        </is>
      </c>
      <c r="E1431" s="5" t="inlineStr">
        <is>
          <t>150 mm pipes; in trenches, depth</t>
        </is>
      </c>
      <c r="F1431" s="5" t="inlineStr">
        <is>
          <t>not in trenches</t>
        </is>
      </c>
      <c r="G1431" s="6" t="inlineStr">
        <is>
          <t>m</t>
        </is>
      </c>
      <c r="H1431" s="7" t="n">
        <v>0.18</v>
      </c>
      <c r="I1431" s="8" t="n">
        <v>15.54</v>
      </c>
      <c r="J1431" s="8" t="n">
        <v>0.5600000000000001</v>
      </c>
      <c r="K1431" s="8" t="n">
        <v>24.9</v>
      </c>
      <c r="L1431" s="8" t="n">
        <v>0</v>
      </c>
      <c r="M1431" s="9">
        <f>ROUND(SUM(I1431:L1431),2)</f>
        <v/>
      </c>
      <c r="N1431" s="10">
        <f>ROUND(I1431*'Irish Basis'!$C$6*'Irish Basis'!$C$5,2)</f>
        <v/>
      </c>
      <c r="O1431" s="10">
        <f>ROUND(J1431*'Irish Basis'!$C$7*'Irish Basis'!$C$5,2)</f>
        <v/>
      </c>
      <c r="P1431" s="10">
        <f>ROUND(K1431*'Irish Basis'!$C$8*'Irish Basis'!$C$5,2)</f>
        <v/>
      </c>
      <c r="Q1431" s="10">
        <f>ROUND(L1431*'Irish Basis'!$C$12*'Irish Basis'!$C$5,2)</f>
        <v/>
      </c>
      <c r="R1431" s="11">
        <f>ROUND(SUM(N1431:Q1431),2)</f>
        <v/>
      </c>
      <c r="S1431" s="5" t="inlineStr">
        <is>
          <t>Stated build-up</t>
        </is>
      </c>
      <c r="T1431" s="12" t="inlineStr">
        <is>
          <t>High</t>
        </is>
      </c>
      <c r="U1431" s="8" t="n">
        <v>41</v>
      </c>
      <c r="V1431" s="13">
        <f>IF(U1431="","",ROUND(M1431-U1431,2))</f>
        <v/>
      </c>
      <c r="W1431" s="5" t="n"/>
      <c r="X1431" s="5" t="inlineStr">
        <is>
          <t>Labour + plant + material as published; reconciles to the published rate.</t>
        </is>
      </c>
    </row>
    <row r="1432" ht="13" customHeight="1">
      <c r="A1432" s="4" t="n">
        <v>2342</v>
      </c>
      <c r="B1432" s="5" t="inlineStr">
        <is>
          <t>IMG_0097</t>
        </is>
      </c>
      <c r="C1432" s="5" t="inlineStr">
        <is>
          <t>CLASS I: PIPEWORK - PIPES</t>
        </is>
      </c>
      <c r="D1432" s="5" t="inlineStr">
        <is>
          <t>03 IRON PIPES</t>
        </is>
      </c>
      <c r="E1432" s="5" t="inlineStr">
        <is>
          <t>150 mm pipes; in trenches, depth</t>
        </is>
      </c>
      <c r="F1432" s="5" t="inlineStr">
        <is>
          <t>ne 1.50 m deep</t>
        </is>
      </c>
      <c r="G1432" s="6" t="inlineStr">
        <is>
          <t>m</t>
        </is>
      </c>
      <c r="H1432" s="7" t="n">
        <v>0.26</v>
      </c>
      <c r="I1432" s="8" t="n">
        <v>35.93</v>
      </c>
      <c r="J1432" s="8" t="n">
        <v>31.33</v>
      </c>
      <c r="K1432" s="8" t="n">
        <v>24.9</v>
      </c>
      <c r="L1432" s="8" t="n">
        <v>0</v>
      </c>
      <c r="M1432" s="9">
        <f>ROUND(SUM(I1432:L1432),2)</f>
        <v/>
      </c>
      <c r="N1432" s="10">
        <f>ROUND(I1432*'Irish Basis'!$C$6*'Irish Basis'!$C$5,2)</f>
        <v/>
      </c>
      <c r="O1432" s="10">
        <f>ROUND(J1432*'Irish Basis'!$C$7*'Irish Basis'!$C$5,2)</f>
        <v/>
      </c>
      <c r="P1432" s="10">
        <f>ROUND(K1432*'Irish Basis'!$C$8*'Irish Basis'!$C$5,2)</f>
        <v/>
      </c>
      <c r="Q1432" s="10">
        <f>ROUND(L1432*'Irish Basis'!$C$12*'Irish Basis'!$C$5,2)</f>
        <v/>
      </c>
      <c r="R1432" s="11">
        <f>ROUND(SUM(N1432:Q1432),2)</f>
        <v/>
      </c>
      <c r="S1432" s="5" t="inlineStr">
        <is>
          <t>Stated build-up</t>
        </is>
      </c>
      <c r="T1432" s="12" t="inlineStr">
        <is>
          <t>High</t>
        </is>
      </c>
      <c r="U1432" s="8" t="n">
        <v>92.15000000000001</v>
      </c>
      <c r="V1432" s="13">
        <f>IF(U1432="","",ROUND(M1432-U1432,2))</f>
        <v/>
      </c>
      <c r="W1432" s="5" t="n"/>
      <c r="X1432" s="5" t="inlineStr">
        <is>
          <t>Labour + plant + material as published; reconciles to the published rate.</t>
        </is>
      </c>
    </row>
    <row r="1433" ht="13" customHeight="1">
      <c r="A1433" s="4" t="n">
        <v>2343</v>
      </c>
      <c r="B1433" s="5" t="inlineStr">
        <is>
          <t>IMG_0097</t>
        </is>
      </c>
      <c r="C1433" s="5" t="inlineStr">
        <is>
          <t>CLASS I: PIPEWORK - PIPES</t>
        </is>
      </c>
      <c r="D1433" s="5" t="inlineStr">
        <is>
          <t>03 IRON PIPES</t>
        </is>
      </c>
      <c r="E1433" s="5" t="inlineStr">
        <is>
          <t>150 mm pipes; in trenches, depth</t>
        </is>
      </c>
      <c r="F1433" s="5" t="inlineStr">
        <is>
          <t>1.50-2.00 m deep</t>
        </is>
      </c>
      <c r="G1433" s="6" t="inlineStr">
        <is>
          <t>m</t>
        </is>
      </c>
      <c r="H1433" s="7" t="n">
        <v>0.31</v>
      </c>
      <c r="I1433" s="8" t="n">
        <v>42.84</v>
      </c>
      <c r="J1433" s="8" t="n">
        <v>36.61</v>
      </c>
      <c r="K1433" s="8" t="n">
        <v>24.9</v>
      </c>
      <c r="L1433" s="8" t="n">
        <v>0</v>
      </c>
      <c r="M1433" s="9">
        <f>ROUND(SUM(I1433:L1433),2)</f>
        <v/>
      </c>
      <c r="N1433" s="10">
        <f>ROUND(I1433*'Irish Basis'!$C$6*'Irish Basis'!$C$5,2)</f>
        <v/>
      </c>
      <c r="O1433" s="10">
        <f>ROUND(J1433*'Irish Basis'!$C$7*'Irish Basis'!$C$5,2)</f>
        <v/>
      </c>
      <c r="P1433" s="10">
        <f>ROUND(K1433*'Irish Basis'!$C$8*'Irish Basis'!$C$5,2)</f>
        <v/>
      </c>
      <c r="Q1433" s="10">
        <f>ROUND(L1433*'Irish Basis'!$C$12*'Irish Basis'!$C$5,2)</f>
        <v/>
      </c>
      <c r="R1433" s="11">
        <f>ROUND(SUM(N1433:Q1433),2)</f>
        <v/>
      </c>
      <c r="S1433" s="5" t="inlineStr">
        <is>
          <t>Stated build-up</t>
        </is>
      </c>
      <c r="T1433" s="12" t="inlineStr">
        <is>
          <t>High</t>
        </is>
      </c>
      <c r="U1433" s="8" t="n">
        <v>104.34</v>
      </c>
      <c r="V1433" s="13">
        <f>IF(U1433="","",ROUND(M1433-U1433,2))</f>
        <v/>
      </c>
      <c r="W1433" s="5" t="n"/>
      <c r="X1433" s="5" t="inlineStr">
        <is>
          <t>Labour + plant + material as published; reconciles to the published rate.</t>
        </is>
      </c>
    </row>
    <row r="1434" ht="13" customHeight="1">
      <c r="A1434" s="4" t="n">
        <v>2344</v>
      </c>
      <c r="B1434" s="5" t="inlineStr">
        <is>
          <t>IMG_0097</t>
        </is>
      </c>
      <c r="C1434" s="5" t="inlineStr">
        <is>
          <t>CLASS I: PIPEWORK - PIPES</t>
        </is>
      </c>
      <c r="D1434" s="5" t="inlineStr">
        <is>
          <t>03 IRON PIPES</t>
        </is>
      </c>
      <c r="E1434" s="5" t="inlineStr">
        <is>
          <t>150 mm pipes; in trenches, depth</t>
        </is>
      </c>
      <c r="F1434" s="5" t="inlineStr">
        <is>
          <t>2.00-2.50 m deep</t>
        </is>
      </c>
      <c r="G1434" s="6" t="inlineStr">
        <is>
          <t>m</t>
        </is>
      </c>
      <c r="H1434" s="7" t="n">
        <v>0.37</v>
      </c>
      <c r="I1434" s="8" t="n">
        <v>51.13</v>
      </c>
      <c r="J1434" s="8" t="n">
        <v>44.53</v>
      </c>
      <c r="K1434" s="8" t="n">
        <v>24.9</v>
      </c>
      <c r="L1434" s="8" t="n">
        <v>0</v>
      </c>
      <c r="M1434" s="9">
        <f>ROUND(SUM(I1434:L1434),2)</f>
        <v/>
      </c>
      <c r="N1434" s="10">
        <f>ROUND(I1434*'Irish Basis'!$C$6*'Irish Basis'!$C$5,2)</f>
        <v/>
      </c>
      <c r="O1434" s="10">
        <f>ROUND(J1434*'Irish Basis'!$C$7*'Irish Basis'!$C$5,2)</f>
        <v/>
      </c>
      <c r="P1434" s="10">
        <f>ROUND(K1434*'Irish Basis'!$C$8*'Irish Basis'!$C$5,2)</f>
        <v/>
      </c>
      <c r="Q1434" s="10">
        <f>ROUND(L1434*'Irish Basis'!$C$12*'Irish Basis'!$C$5,2)</f>
        <v/>
      </c>
      <c r="R1434" s="11">
        <f>ROUND(SUM(N1434:Q1434),2)</f>
        <v/>
      </c>
      <c r="S1434" s="5" t="inlineStr">
        <is>
          <t>Stated build-up</t>
        </is>
      </c>
      <c r="T1434" s="12" t="inlineStr">
        <is>
          <t>High</t>
        </is>
      </c>
      <c r="U1434" s="8" t="n">
        <v>120.55</v>
      </c>
      <c r="V1434" s="13">
        <f>IF(U1434="","",ROUND(M1434-U1434,2))</f>
        <v/>
      </c>
      <c r="W1434" s="5" t="n"/>
      <c r="X1434" s="5" t="inlineStr">
        <is>
          <t>Labour + plant + material as published; reconciles to the published rate.</t>
        </is>
      </c>
    </row>
    <row r="1435" ht="13" customHeight="1">
      <c r="A1435" s="4" t="n">
        <v>2345</v>
      </c>
      <c r="B1435" s="5" t="inlineStr">
        <is>
          <t>IMG_0097</t>
        </is>
      </c>
      <c r="C1435" s="5" t="inlineStr">
        <is>
          <t>CLASS I: PIPEWORK - PIPES</t>
        </is>
      </c>
      <c r="D1435" s="5" t="inlineStr">
        <is>
          <t>03 IRON PIPES</t>
        </is>
      </c>
      <c r="E1435" s="5" t="inlineStr">
        <is>
          <t>150 mm pipes; in trenches, depth</t>
        </is>
      </c>
      <c r="F1435" s="5" t="inlineStr">
        <is>
          <t>2.50-3.00 m deep</t>
        </is>
      </c>
      <c r="G1435" s="6" t="inlineStr">
        <is>
          <t>m</t>
        </is>
      </c>
      <c r="H1435" s="7" t="n">
        <v>0.43</v>
      </c>
      <c r="I1435" s="8" t="n">
        <v>59.42</v>
      </c>
      <c r="J1435" s="8" t="n">
        <v>52.32</v>
      </c>
      <c r="K1435" s="8" t="n">
        <v>24.9</v>
      </c>
      <c r="L1435" s="8" t="n">
        <v>0</v>
      </c>
      <c r="M1435" s="9">
        <f>ROUND(SUM(I1435:L1435),2)</f>
        <v/>
      </c>
      <c r="N1435" s="10">
        <f>ROUND(I1435*'Irish Basis'!$C$6*'Irish Basis'!$C$5,2)</f>
        <v/>
      </c>
      <c r="O1435" s="10">
        <f>ROUND(J1435*'Irish Basis'!$C$7*'Irish Basis'!$C$5,2)</f>
        <v/>
      </c>
      <c r="P1435" s="10">
        <f>ROUND(K1435*'Irish Basis'!$C$8*'Irish Basis'!$C$5,2)</f>
        <v/>
      </c>
      <c r="Q1435" s="10">
        <f>ROUND(L1435*'Irish Basis'!$C$12*'Irish Basis'!$C$5,2)</f>
        <v/>
      </c>
      <c r="R1435" s="11">
        <f>ROUND(SUM(N1435:Q1435),2)</f>
        <v/>
      </c>
      <c r="S1435" s="5" t="inlineStr">
        <is>
          <t>Stated build-up</t>
        </is>
      </c>
      <c r="T1435" s="12" t="inlineStr">
        <is>
          <t>High</t>
        </is>
      </c>
      <c r="U1435" s="8" t="n">
        <v>136.64</v>
      </c>
      <c r="V1435" s="13">
        <f>IF(U1435="","",ROUND(M1435-U1435,2))</f>
        <v/>
      </c>
      <c r="W1435" s="5" t="n"/>
      <c r="X1435" s="5" t="inlineStr">
        <is>
          <t>Labour + plant + material as published; reconciles to the published rate.</t>
        </is>
      </c>
    </row>
    <row r="1436" ht="13" customHeight="1">
      <c r="A1436" s="4" t="n">
        <v>2346</v>
      </c>
      <c r="B1436" s="5" t="inlineStr">
        <is>
          <t>IMG_0097</t>
        </is>
      </c>
      <c r="C1436" s="5" t="inlineStr">
        <is>
          <t>CLASS I: PIPEWORK - PIPES</t>
        </is>
      </c>
      <c r="D1436" s="5" t="inlineStr">
        <is>
          <t>03 IRON PIPES</t>
        </is>
      </c>
      <c r="E1436" s="5" t="inlineStr">
        <is>
          <t>150 mm pipes; in trenches, depth</t>
        </is>
      </c>
      <c r="F1436" s="5" t="inlineStr">
        <is>
          <t>3.00-3.50 m deep</t>
        </is>
      </c>
      <c r="G1436" s="6" t="inlineStr">
        <is>
          <t>m</t>
        </is>
      </c>
      <c r="H1436" s="7" t="n">
        <v>0.57</v>
      </c>
      <c r="I1436" s="8" t="n">
        <v>78.76000000000001</v>
      </c>
      <c r="J1436" s="8" t="n">
        <v>70.7</v>
      </c>
      <c r="K1436" s="8" t="n">
        <v>24.9</v>
      </c>
      <c r="L1436" s="8" t="n">
        <v>0</v>
      </c>
      <c r="M1436" s="9">
        <f>ROUND(SUM(I1436:L1436),2)</f>
        <v/>
      </c>
      <c r="N1436" s="10">
        <f>ROUND(I1436*'Irish Basis'!$C$6*'Irish Basis'!$C$5,2)</f>
        <v/>
      </c>
      <c r="O1436" s="10">
        <f>ROUND(J1436*'Irish Basis'!$C$7*'Irish Basis'!$C$5,2)</f>
        <v/>
      </c>
      <c r="P1436" s="10">
        <f>ROUND(K1436*'Irish Basis'!$C$8*'Irish Basis'!$C$5,2)</f>
        <v/>
      </c>
      <c r="Q1436" s="10">
        <f>ROUND(L1436*'Irish Basis'!$C$12*'Irish Basis'!$C$5,2)</f>
        <v/>
      </c>
      <c r="R1436" s="11">
        <f>ROUND(SUM(N1436:Q1436),2)</f>
        <v/>
      </c>
      <c r="S1436" s="5" t="inlineStr">
        <is>
          <t>Stated build-up</t>
        </is>
      </c>
      <c r="T1436" s="12" t="inlineStr">
        <is>
          <t>High</t>
        </is>
      </c>
      <c r="U1436" s="8" t="n">
        <v>174.36</v>
      </c>
      <c r="V1436" s="13">
        <f>IF(U1436="","",ROUND(M1436-U1436,2))</f>
        <v/>
      </c>
      <c r="W1436" s="5" t="n"/>
      <c r="X1436" s="5" t="inlineStr">
        <is>
          <t>Labour + plant + material as published; reconciles to the published rate.</t>
        </is>
      </c>
    </row>
    <row r="1437" ht="13" customHeight="1">
      <c r="A1437" s="4" t="n">
        <v>2347</v>
      </c>
      <c r="B1437" s="5" t="inlineStr">
        <is>
          <t>IMG_0097</t>
        </is>
      </c>
      <c r="C1437" s="5" t="inlineStr">
        <is>
          <t>CLASS I: PIPEWORK - PIPES</t>
        </is>
      </c>
      <c r="D1437" s="5" t="inlineStr">
        <is>
          <t>03 IRON PIPES</t>
        </is>
      </c>
      <c r="E1437" s="5" t="inlineStr">
        <is>
          <t>150 mm pipes; in trenches, depth</t>
        </is>
      </c>
      <c r="F1437" s="5" t="inlineStr">
        <is>
          <t>3.50-4.00 m deep</t>
        </is>
      </c>
      <c r="G1437" s="6" t="inlineStr">
        <is>
          <t>m</t>
        </is>
      </c>
      <c r="H1437" s="7" t="n">
        <v>0.61</v>
      </c>
      <c r="I1437" s="8" t="n">
        <v>84.29000000000001</v>
      </c>
      <c r="J1437" s="8" t="n">
        <v>79.89</v>
      </c>
      <c r="K1437" s="8" t="n">
        <v>24.9</v>
      </c>
      <c r="L1437" s="8" t="n">
        <v>0</v>
      </c>
      <c r="M1437" s="9">
        <f>ROUND(SUM(I1437:L1437),2)</f>
        <v/>
      </c>
      <c r="N1437" s="10">
        <f>ROUND(I1437*'Irish Basis'!$C$6*'Irish Basis'!$C$5,2)</f>
        <v/>
      </c>
      <c r="O1437" s="10">
        <f>ROUND(J1437*'Irish Basis'!$C$7*'Irish Basis'!$C$5,2)</f>
        <v/>
      </c>
      <c r="P1437" s="10">
        <f>ROUND(K1437*'Irish Basis'!$C$8*'Irish Basis'!$C$5,2)</f>
        <v/>
      </c>
      <c r="Q1437" s="10">
        <f>ROUND(L1437*'Irish Basis'!$C$12*'Irish Basis'!$C$5,2)</f>
        <v/>
      </c>
      <c r="R1437" s="11">
        <f>ROUND(SUM(N1437:Q1437),2)</f>
        <v/>
      </c>
      <c r="S1437" s="5" t="inlineStr">
        <is>
          <t>Stated build-up</t>
        </is>
      </c>
      <c r="T1437" s="12" t="inlineStr">
        <is>
          <t>High</t>
        </is>
      </c>
      <c r="U1437" s="8" t="n">
        <v>189.08</v>
      </c>
      <c r="V1437" s="13">
        <f>IF(U1437="","",ROUND(M1437-U1437,2))</f>
        <v/>
      </c>
      <c r="W1437" s="5" t="n"/>
      <c r="X1437" s="5" t="inlineStr">
        <is>
          <t>Labour + plant + material as published; reconciles to the published rate.</t>
        </is>
      </c>
    </row>
    <row r="1438" ht="13" customHeight="1">
      <c r="A1438" s="4" t="n">
        <v>2348</v>
      </c>
      <c r="B1438" s="5" t="inlineStr">
        <is>
          <t>IMG_0097</t>
        </is>
      </c>
      <c r="C1438" s="5" t="inlineStr">
        <is>
          <t>CLASS I: PIPEWORK - PIPES</t>
        </is>
      </c>
      <c r="D1438" s="5" t="inlineStr">
        <is>
          <t>03 IRON PIPES</t>
        </is>
      </c>
      <c r="E1438" s="5" t="inlineStr">
        <is>
          <t>150 mm pipes; in trenches, depth</t>
        </is>
      </c>
      <c r="F1438" s="5" t="inlineStr">
        <is>
          <t>4.00-4.50 m deep</t>
        </is>
      </c>
      <c r="G1438" s="6" t="inlineStr">
        <is>
          <t>m</t>
        </is>
      </c>
      <c r="H1438" s="7" t="n">
        <v>0.79</v>
      </c>
      <c r="I1438" s="8" t="n">
        <v>109.16</v>
      </c>
      <c r="J1438" s="8" t="n">
        <v>103.46</v>
      </c>
      <c r="K1438" s="8" t="n">
        <v>24.9</v>
      </c>
      <c r="L1438" s="8" t="n">
        <v>0</v>
      </c>
      <c r="M1438" s="9">
        <f>ROUND(SUM(I1438:L1438),2)</f>
        <v/>
      </c>
      <c r="N1438" s="10">
        <f>ROUND(I1438*'Irish Basis'!$C$6*'Irish Basis'!$C$5,2)</f>
        <v/>
      </c>
      <c r="O1438" s="10">
        <f>ROUND(J1438*'Irish Basis'!$C$7*'Irish Basis'!$C$5,2)</f>
        <v/>
      </c>
      <c r="P1438" s="10">
        <f>ROUND(K1438*'Irish Basis'!$C$8*'Irish Basis'!$C$5,2)</f>
        <v/>
      </c>
      <c r="Q1438" s="10">
        <f>ROUND(L1438*'Irish Basis'!$C$12*'Irish Basis'!$C$5,2)</f>
        <v/>
      </c>
      <c r="R1438" s="11">
        <f>ROUND(SUM(N1438:Q1438),2)</f>
        <v/>
      </c>
      <c r="S1438" s="5" t="inlineStr">
        <is>
          <t>Stated build-up</t>
        </is>
      </c>
      <c r="T1438" s="12" t="inlineStr">
        <is>
          <t>High</t>
        </is>
      </c>
      <c r="U1438" s="8" t="n">
        <v>237.52</v>
      </c>
      <c r="V1438" s="13">
        <f>IF(U1438="","",ROUND(M1438-U1438,2))</f>
        <v/>
      </c>
      <c r="W1438" s="5" t="n"/>
      <c r="X1438" s="5" t="inlineStr">
        <is>
          <t>Labour + plant + material as published; reconciles to the published rate.</t>
        </is>
      </c>
    </row>
    <row r="1439" ht="13" customHeight="1">
      <c r="A1439" s="4" t="n">
        <v>2349</v>
      </c>
      <c r="B1439" s="5" t="inlineStr">
        <is>
          <t>IMG_0097</t>
        </is>
      </c>
      <c r="C1439" s="5" t="inlineStr">
        <is>
          <t>CLASS I: PIPEWORK - PIPES</t>
        </is>
      </c>
      <c r="D1439" s="5" t="inlineStr">
        <is>
          <t>03 IRON PIPES</t>
        </is>
      </c>
      <c r="E1439" s="5" t="inlineStr">
        <is>
          <t>150 mm pipes; in trenches, depth</t>
        </is>
      </c>
      <c r="F1439" s="5" t="inlineStr">
        <is>
          <t>4.50-5.00 m deep</t>
        </is>
      </c>
      <c r="G1439" s="6" t="inlineStr">
        <is>
          <t>m</t>
        </is>
      </c>
      <c r="H1439" s="7" t="n">
        <v>1.05</v>
      </c>
      <c r="I1439" s="8" t="n">
        <v>145.09</v>
      </c>
      <c r="J1439" s="8" t="n">
        <v>137.6</v>
      </c>
      <c r="K1439" s="8" t="n">
        <v>24.9</v>
      </c>
      <c r="L1439" s="8" t="n">
        <v>0</v>
      </c>
      <c r="M1439" s="9">
        <f>ROUND(SUM(I1439:L1439),2)</f>
        <v/>
      </c>
      <c r="N1439" s="10">
        <f>ROUND(I1439*'Irish Basis'!$C$6*'Irish Basis'!$C$5,2)</f>
        <v/>
      </c>
      <c r="O1439" s="10">
        <f>ROUND(J1439*'Irish Basis'!$C$7*'Irish Basis'!$C$5,2)</f>
        <v/>
      </c>
      <c r="P1439" s="10">
        <f>ROUND(K1439*'Irish Basis'!$C$8*'Irish Basis'!$C$5,2)</f>
        <v/>
      </c>
      <c r="Q1439" s="10">
        <f>ROUND(L1439*'Irish Basis'!$C$12*'Irish Basis'!$C$5,2)</f>
        <v/>
      </c>
      <c r="R1439" s="11">
        <f>ROUND(SUM(N1439:Q1439),2)</f>
        <v/>
      </c>
      <c r="S1439" s="5" t="inlineStr">
        <is>
          <t>Stated build-up</t>
        </is>
      </c>
      <c r="T1439" s="12" t="inlineStr">
        <is>
          <t>High</t>
        </is>
      </c>
      <c r="U1439" s="8" t="n">
        <v>307.59</v>
      </c>
      <c r="V1439" s="13">
        <f>IF(U1439="","",ROUND(M1439-U1439,2))</f>
        <v/>
      </c>
      <c r="W1439" s="5" t="n"/>
      <c r="X1439" s="5" t="inlineStr">
        <is>
          <t>Labour + plant + material as published; reconciles to the published rate.</t>
        </is>
      </c>
    </row>
    <row r="1440" ht="13" customHeight="1">
      <c r="A1440" s="4" t="n">
        <v>2350</v>
      </c>
      <c r="B1440" s="5" t="inlineStr">
        <is>
          <t>IMG_0097</t>
        </is>
      </c>
      <c r="C1440" s="5" t="inlineStr">
        <is>
          <t>CLASS I: PIPEWORK - PIPES</t>
        </is>
      </c>
      <c r="D1440" s="5" t="inlineStr">
        <is>
          <t>03 IRON PIPES</t>
        </is>
      </c>
      <c r="E1440" s="5" t="inlineStr">
        <is>
          <t>150 mm pipes; in trenches, depth</t>
        </is>
      </c>
      <c r="F1440" s="5" t="inlineStr">
        <is>
          <t>5.00-5.50 m deep</t>
        </is>
      </c>
      <c r="G1440" s="6" t="inlineStr">
        <is>
          <t>m</t>
        </is>
      </c>
      <c r="H1440" s="7" t="n">
        <v>1.32</v>
      </c>
      <c r="I1440" s="8" t="n">
        <v>182.4</v>
      </c>
      <c r="J1440" s="8" t="n">
        <v>173.03</v>
      </c>
      <c r="K1440" s="8" t="n">
        <v>24.9</v>
      </c>
      <c r="L1440" s="8" t="n">
        <v>0</v>
      </c>
      <c r="M1440" s="9">
        <f>ROUND(SUM(I1440:L1440),2)</f>
        <v/>
      </c>
      <c r="N1440" s="10">
        <f>ROUND(I1440*'Irish Basis'!$C$6*'Irish Basis'!$C$5,2)</f>
        <v/>
      </c>
      <c r="O1440" s="10">
        <f>ROUND(J1440*'Irish Basis'!$C$7*'Irish Basis'!$C$5,2)</f>
        <v/>
      </c>
      <c r="P1440" s="10">
        <f>ROUND(K1440*'Irish Basis'!$C$8*'Irish Basis'!$C$5,2)</f>
        <v/>
      </c>
      <c r="Q1440" s="10">
        <f>ROUND(L1440*'Irish Basis'!$C$12*'Irish Basis'!$C$5,2)</f>
        <v/>
      </c>
      <c r="R1440" s="11">
        <f>ROUND(SUM(N1440:Q1440),2)</f>
        <v/>
      </c>
      <c r="S1440" s="5" t="inlineStr">
        <is>
          <t>Stated build-up</t>
        </is>
      </c>
      <c r="T1440" s="12" t="inlineStr">
        <is>
          <t>High</t>
        </is>
      </c>
      <c r="U1440" s="8" t="n">
        <v>380.33</v>
      </c>
      <c r="V1440" s="13">
        <f>IF(U1440="","",ROUND(M1440-U1440,2))</f>
        <v/>
      </c>
      <c r="W1440" s="5" t="n"/>
      <c r="X1440" s="5" t="inlineStr">
        <is>
          <t>Labour + plant + material as published; reconciles to the published rate.</t>
        </is>
      </c>
    </row>
    <row r="1441" ht="13" customHeight="1">
      <c r="A1441" s="4" t="n">
        <v>2351</v>
      </c>
      <c r="B1441" s="5" t="inlineStr">
        <is>
          <t>IMG_0097</t>
        </is>
      </c>
      <c r="C1441" s="5" t="inlineStr">
        <is>
          <t>CLASS I: PIPEWORK - PIPES</t>
        </is>
      </c>
      <c r="D1441" s="5" t="inlineStr">
        <is>
          <t>03 IRON PIPES</t>
        </is>
      </c>
      <c r="E1441" s="5" t="inlineStr">
        <is>
          <t>150 mm pipes; in trenches, depth</t>
        </is>
      </c>
      <c r="F1441" s="5" t="inlineStr">
        <is>
          <t>extra for bend; 87.5 deg</t>
        </is>
      </c>
      <c r="G1441" s="6" t="inlineStr">
        <is>
          <t>nr</t>
        </is>
      </c>
      <c r="H1441" s="7" t="n">
        <v>0.5600000000000001</v>
      </c>
      <c r="I1441" s="8" t="n">
        <v>77.38</v>
      </c>
      <c r="J1441" s="8" t="n">
        <v>6.76</v>
      </c>
      <c r="K1441" s="8" t="n">
        <v>176.15</v>
      </c>
      <c r="L1441" s="8" t="n">
        <v>0</v>
      </c>
      <c r="M1441" s="9">
        <f>ROUND(SUM(I1441:L1441),2)</f>
        <v/>
      </c>
      <c r="N1441" s="10">
        <f>ROUND(I1441*'Irish Basis'!$C$6*'Irish Basis'!$C$5,2)</f>
        <v/>
      </c>
      <c r="O1441" s="10">
        <f>ROUND(J1441*'Irish Basis'!$C$7*'Irish Basis'!$C$5,2)</f>
        <v/>
      </c>
      <c r="P1441" s="10">
        <f>ROUND(K1441*'Irish Basis'!$C$8*'Irish Basis'!$C$5,2)</f>
        <v/>
      </c>
      <c r="Q1441" s="10">
        <f>ROUND(L1441*'Irish Basis'!$C$12*'Irish Basis'!$C$5,2)</f>
        <v/>
      </c>
      <c r="R1441" s="11">
        <f>ROUND(SUM(N1441:Q1441),2)</f>
        <v/>
      </c>
      <c r="S1441" s="5" t="inlineStr">
        <is>
          <t>Stated build-up</t>
        </is>
      </c>
      <c r="T1441" s="12" t="inlineStr">
        <is>
          <t>High</t>
        </is>
      </c>
      <c r="U1441" s="8" t="n">
        <v>260.29</v>
      </c>
      <c r="V1441" s="13">
        <f>IF(U1441="","",ROUND(M1441-U1441,2))</f>
        <v/>
      </c>
      <c r="W1441" s="5" t="n"/>
      <c r="X1441" s="5" t="inlineStr">
        <is>
          <t>Labour + plant + material as published; reconciles to the published rate.</t>
        </is>
      </c>
    </row>
    <row r="1442" ht="13" customHeight="1">
      <c r="A1442" s="4" t="n">
        <v>2352</v>
      </c>
      <c r="B1442" s="5" t="inlineStr">
        <is>
          <t>IMG_0097</t>
        </is>
      </c>
      <c r="C1442" s="5" t="inlineStr">
        <is>
          <t>CLASS I: PIPEWORK - PIPES</t>
        </is>
      </c>
      <c r="D1442" s="5" t="inlineStr">
        <is>
          <t>03 IRON PIPES</t>
        </is>
      </c>
      <c r="E1442" s="5" t="inlineStr">
        <is>
          <t>150 mm pipes; in trenches, depth</t>
        </is>
      </c>
      <c r="F1442" s="5" t="inlineStr">
        <is>
          <t>extra for bend; 45 deg</t>
        </is>
      </c>
      <c r="G1442" s="6" t="inlineStr">
        <is>
          <t>nr</t>
        </is>
      </c>
      <c r="H1442" s="7" t="n">
        <v>0.75</v>
      </c>
      <c r="I1442" s="8" t="n">
        <v>103.64</v>
      </c>
      <c r="J1442" s="8" t="n">
        <v>6.76</v>
      </c>
      <c r="K1442" s="8" t="n">
        <v>102.24</v>
      </c>
      <c r="L1442" s="8" t="n">
        <v>0</v>
      </c>
      <c r="M1442" s="9">
        <f>ROUND(SUM(I1442:L1442),2)</f>
        <v/>
      </c>
      <c r="N1442" s="10">
        <f>ROUND(I1442*'Irish Basis'!$C$6*'Irish Basis'!$C$5,2)</f>
        <v/>
      </c>
      <c r="O1442" s="10">
        <f>ROUND(J1442*'Irish Basis'!$C$7*'Irish Basis'!$C$5,2)</f>
        <v/>
      </c>
      <c r="P1442" s="10">
        <f>ROUND(K1442*'Irish Basis'!$C$8*'Irish Basis'!$C$5,2)</f>
        <v/>
      </c>
      <c r="Q1442" s="10">
        <f>ROUND(L1442*'Irish Basis'!$C$12*'Irish Basis'!$C$5,2)</f>
        <v/>
      </c>
      <c r="R1442" s="11">
        <f>ROUND(SUM(N1442:Q1442),2)</f>
        <v/>
      </c>
      <c r="S1442" s="5" t="inlineStr">
        <is>
          <t>Stated build-up</t>
        </is>
      </c>
      <c r="T1442" s="12" t="inlineStr">
        <is>
          <t>High</t>
        </is>
      </c>
      <c r="U1442" s="8" t="n">
        <v>212.64</v>
      </c>
      <c r="V1442" s="13">
        <f>IF(U1442="","",ROUND(M1442-U1442,2))</f>
        <v/>
      </c>
      <c r="W1442" s="5" t="n"/>
      <c r="X1442" s="5" t="inlineStr">
        <is>
          <t>Labour + plant + material as published; reconciles to the published rate.</t>
        </is>
      </c>
    </row>
    <row r="1443" ht="13" customHeight="1">
      <c r="A1443" s="4" t="n">
        <v>2353</v>
      </c>
      <c r="B1443" s="5" t="inlineStr">
        <is>
          <t>IMG_0097</t>
        </is>
      </c>
      <c r="C1443" s="5" t="inlineStr">
        <is>
          <t>CLASS I: PIPEWORK - PIPES</t>
        </is>
      </c>
      <c r="D1443" s="5" t="inlineStr">
        <is>
          <t>03 IRON PIPES</t>
        </is>
      </c>
      <c r="E1443" s="5" t="inlineStr">
        <is>
          <t>150 mm pipes; in trenches, depth</t>
        </is>
      </c>
      <c r="F1443" s="5" t="inlineStr">
        <is>
          <t>extra for bend; long radius</t>
        </is>
      </c>
      <c r="G1443" s="6" t="inlineStr">
        <is>
          <t>nr</t>
        </is>
      </c>
      <c r="H1443" s="7" t="n">
        <v>0.67</v>
      </c>
      <c r="I1443" s="8" t="n">
        <v>92.58</v>
      </c>
      <c r="J1443" s="8" t="n">
        <v>6.76</v>
      </c>
      <c r="K1443" s="8" t="n">
        <v>270.44</v>
      </c>
      <c r="L1443" s="8" t="n">
        <v>0</v>
      </c>
      <c r="M1443" s="9">
        <f>ROUND(SUM(I1443:L1443),2)</f>
        <v/>
      </c>
      <c r="N1443" s="10">
        <f>ROUND(I1443*'Irish Basis'!$C$6*'Irish Basis'!$C$5,2)</f>
        <v/>
      </c>
      <c r="O1443" s="10">
        <f>ROUND(J1443*'Irish Basis'!$C$7*'Irish Basis'!$C$5,2)</f>
        <v/>
      </c>
      <c r="P1443" s="10">
        <f>ROUND(K1443*'Irish Basis'!$C$8*'Irish Basis'!$C$5,2)</f>
        <v/>
      </c>
      <c r="Q1443" s="10">
        <f>ROUND(L1443*'Irish Basis'!$C$12*'Irish Basis'!$C$5,2)</f>
        <v/>
      </c>
      <c r="R1443" s="11">
        <f>ROUND(SUM(N1443:Q1443),2)</f>
        <v/>
      </c>
      <c r="S1443" s="5" t="inlineStr">
        <is>
          <t>Stated build-up</t>
        </is>
      </c>
      <c r="T1443" s="12" t="inlineStr">
        <is>
          <t>High</t>
        </is>
      </c>
      <c r="U1443" s="8" t="n">
        <v>369.78</v>
      </c>
      <c r="V1443" s="13">
        <f>IF(U1443="","",ROUND(M1443-U1443,2))</f>
        <v/>
      </c>
      <c r="W1443" s="5" t="n"/>
      <c r="X1443" s="5" t="inlineStr">
        <is>
          <t>Labour + plant + material as published; reconciles to the published rate.</t>
        </is>
      </c>
    </row>
    <row r="1444" ht="13" customHeight="1">
      <c r="A1444" s="4" t="n">
        <v>2354</v>
      </c>
      <c r="B1444" s="5" t="inlineStr">
        <is>
          <t>IMG_0097</t>
        </is>
      </c>
      <c r="C1444" s="5" t="inlineStr">
        <is>
          <t>CLASS I: PIPEWORK - PIPES</t>
        </is>
      </c>
      <c r="D1444" s="5" t="inlineStr">
        <is>
          <t>03 IRON PIPES</t>
        </is>
      </c>
      <c r="E1444" s="5" t="inlineStr">
        <is>
          <t>150 mm pipes; in trenches, depth</t>
        </is>
      </c>
      <c r="F1444" s="5" t="inlineStr">
        <is>
          <t>extra for single junction; equal</t>
        </is>
      </c>
      <c r="G1444" s="6" t="inlineStr">
        <is>
          <t>nr</t>
        </is>
      </c>
      <c r="H1444" s="7" t="n">
        <v>1.03</v>
      </c>
      <c r="I1444" s="8" t="n">
        <v>142.33</v>
      </c>
      <c r="J1444" s="8" t="n">
        <v>13.52</v>
      </c>
      <c r="K1444" s="8" t="n">
        <v>207.82</v>
      </c>
      <c r="L1444" s="8" t="n">
        <v>0</v>
      </c>
      <c r="M1444" s="9">
        <f>ROUND(SUM(I1444:L1444),2)</f>
        <v/>
      </c>
      <c r="N1444" s="10">
        <f>ROUND(I1444*'Irish Basis'!$C$6*'Irish Basis'!$C$5,2)</f>
        <v/>
      </c>
      <c r="O1444" s="10">
        <f>ROUND(J1444*'Irish Basis'!$C$7*'Irish Basis'!$C$5,2)</f>
        <v/>
      </c>
      <c r="P1444" s="10">
        <f>ROUND(K1444*'Irish Basis'!$C$8*'Irish Basis'!$C$5,2)</f>
        <v/>
      </c>
      <c r="Q1444" s="10">
        <f>ROUND(L1444*'Irish Basis'!$C$12*'Irish Basis'!$C$5,2)</f>
        <v/>
      </c>
      <c r="R1444" s="11">
        <f>ROUND(SUM(N1444:Q1444),2)</f>
        <v/>
      </c>
      <c r="S1444" s="5" t="inlineStr">
        <is>
          <t>Stated build-up</t>
        </is>
      </c>
      <c r="T1444" s="12" t="inlineStr">
        <is>
          <t>High</t>
        </is>
      </c>
      <c r="U1444" s="8" t="n">
        <v>363.67</v>
      </c>
      <c r="V1444" s="13">
        <f>IF(U1444="","",ROUND(M1444-U1444,2))</f>
        <v/>
      </c>
      <c r="W1444" s="5" t="n"/>
      <c r="X1444" s="5" t="inlineStr">
        <is>
          <t>Labour + plant + material as published; reconciles to the published rate.</t>
        </is>
      </c>
    </row>
    <row r="1445" ht="13" customHeight="1">
      <c r="A1445" s="4" t="n">
        <v>2355</v>
      </c>
      <c r="B1445" s="5" t="inlineStr">
        <is>
          <t>IMG_0097</t>
        </is>
      </c>
      <c r="C1445" s="5" t="inlineStr">
        <is>
          <t>CLASS I: PIPEWORK - PIPES</t>
        </is>
      </c>
      <c r="D1445" s="5" t="inlineStr">
        <is>
          <t>03 IRON PIPES</t>
        </is>
      </c>
      <c r="E1445" s="5" t="inlineStr">
        <is>
          <t>150 mm pipes; in trenches, depth</t>
        </is>
      </c>
      <c r="F1445" s="5" t="inlineStr">
        <is>
          <t>extra for taper reducer</t>
        </is>
      </c>
      <c r="G1445" s="6" t="inlineStr">
        <is>
          <t>nr</t>
        </is>
      </c>
      <c r="H1445" s="7" t="n">
        <v>0.5600000000000001</v>
      </c>
      <c r="I1445" s="8" t="n">
        <v>77.38</v>
      </c>
      <c r="J1445" s="8" t="n">
        <v>13.52</v>
      </c>
      <c r="K1445" s="8" t="n">
        <v>140.39</v>
      </c>
      <c r="L1445" s="8" t="n">
        <v>0</v>
      </c>
      <c r="M1445" s="9">
        <f>ROUND(SUM(I1445:L1445),2)</f>
        <v/>
      </c>
      <c r="N1445" s="10">
        <f>ROUND(I1445*'Irish Basis'!$C$6*'Irish Basis'!$C$5,2)</f>
        <v/>
      </c>
      <c r="O1445" s="10">
        <f>ROUND(J1445*'Irish Basis'!$C$7*'Irish Basis'!$C$5,2)</f>
        <v/>
      </c>
      <c r="P1445" s="10">
        <f>ROUND(K1445*'Irish Basis'!$C$8*'Irish Basis'!$C$5,2)</f>
        <v/>
      </c>
      <c r="Q1445" s="10">
        <f>ROUND(L1445*'Irish Basis'!$C$12*'Irish Basis'!$C$5,2)</f>
        <v/>
      </c>
      <c r="R1445" s="11">
        <f>ROUND(SUM(N1445:Q1445),2)</f>
        <v/>
      </c>
      <c r="S1445" s="5" t="inlineStr">
        <is>
          <t>Stated build-up</t>
        </is>
      </c>
      <c r="T1445" s="12" t="inlineStr">
        <is>
          <t>High</t>
        </is>
      </c>
      <c r="U1445" s="8" t="n">
        <v>231.29</v>
      </c>
      <c r="V1445" s="13">
        <f>IF(U1445="","",ROUND(M1445-U1445,2))</f>
        <v/>
      </c>
      <c r="W1445" s="5" t="n"/>
      <c r="X1445" s="5" t="inlineStr">
        <is>
          <t>Labour + plant + material as published; reconciles to the published rate.</t>
        </is>
      </c>
    </row>
    <row r="1446" ht="13" customHeight="1">
      <c r="A1446" s="4" t="n">
        <v>2357</v>
      </c>
      <c r="B1446" s="5" t="inlineStr">
        <is>
          <t>IMG_0097</t>
        </is>
      </c>
      <c r="C1446" s="5" t="inlineStr">
        <is>
          <t>CLASS I: PIPEWORK - PIPES</t>
        </is>
      </c>
      <c r="D1446" s="5" t="inlineStr">
        <is>
          <t>03 IRON PIPES</t>
        </is>
      </c>
      <c r="E1446" s="5" t="inlineStr">
        <is>
          <t>225 mm pipes; in trenches, depth</t>
        </is>
      </c>
      <c r="F1446" s="5" t="inlineStr">
        <is>
          <t>not in trenches</t>
        </is>
      </c>
      <c r="G1446" s="6" t="inlineStr">
        <is>
          <t>m</t>
        </is>
      </c>
      <c r="H1446" s="7" t="n">
        <v>0.15</v>
      </c>
      <c r="I1446" s="8" t="n">
        <v>12.95</v>
      </c>
      <c r="J1446" s="8" t="n">
        <v>0.5600000000000001</v>
      </c>
      <c r="K1446" s="8" t="n">
        <v>194.28</v>
      </c>
      <c r="L1446" s="8" t="n">
        <v>0</v>
      </c>
      <c r="M1446" s="9">
        <f>ROUND(SUM(I1446:L1446),2)</f>
        <v/>
      </c>
      <c r="N1446" s="10">
        <f>ROUND(I1446*'Irish Basis'!$C$6*'Irish Basis'!$C$5,2)</f>
        <v/>
      </c>
      <c r="O1446" s="10">
        <f>ROUND(J1446*'Irish Basis'!$C$7*'Irish Basis'!$C$5,2)</f>
        <v/>
      </c>
      <c r="P1446" s="10">
        <f>ROUND(K1446*'Irish Basis'!$C$8*'Irish Basis'!$C$5,2)</f>
        <v/>
      </c>
      <c r="Q1446" s="10">
        <f>ROUND(L1446*'Irish Basis'!$C$12*'Irish Basis'!$C$5,2)</f>
        <v/>
      </c>
      <c r="R1446" s="11">
        <f>ROUND(SUM(N1446:Q1446),2)</f>
        <v/>
      </c>
      <c r="S1446" s="5" t="inlineStr">
        <is>
          <t>Stated build-up</t>
        </is>
      </c>
      <c r="T1446" s="12" t="inlineStr">
        <is>
          <t>High</t>
        </is>
      </c>
      <c r="U1446" s="8" t="n">
        <v>207.79</v>
      </c>
      <c r="V1446" s="13">
        <f>IF(U1446="","",ROUND(M1446-U1446,2))</f>
        <v/>
      </c>
      <c r="W1446" s="5" t="n"/>
      <c r="X1446" s="5" t="inlineStr">
        <is>
          <t>Labour + plant + material as published; reconciles to the published rate.</t>
        </is>
      </c>
    </row>
    <row r="1447" ht="13" customHeight="1">
      <c r="A1447" s="4" t="n">
        <v>2358</v>
      </c>
      <c r="B1447" s="5" t="inlineStr">
        <is>
          <t>IMG_0097</t>
        </is>
      </c>
      <c r="C1447" s="5" t="inlineStr">
        <is>
          <t>CLASS I: PIPEWORK - PIPES</t>
        </is>
      </c>
      <c r="D1447" s="5" t="inlineStr">
        <is>
          <t>03 IRON PIPES</t>
        </is>
      </c>
      <c r="E1447" s="5" t="inlineStr">
        <is>
          <t>225 mm pipes; in trenches, depth</t>
        </is>
      </c>
      <c r="F1447" s="5" t="inlineStr">
        <is>
          <t>ne 1.50 m deep</t>
        </is>
      </c>
      <c r="G1447" s="6" t="inlineStr">
        <is>
          <t>m</t>
        </is>
      </c>
      <c r="H1447" s="7" t="n">
        <v>0.25</v>
      </c>
      <c r="I1447" s="8" t="n">
        <v>34.55</v>
      </c>
      <c r="J1447" s="8" t="n">
        <v>32.65</v>
      </c>
      <c r="K1447" s="8" t="n">
        <v>194.28</v>
      </c>
      <c r="L1447" s="8" t="n">
        <v>0</v>
      </c>
      <c r="M1447" s="9">
        <f>ROUND(SUM(I1447:L1447),2)</f>
        <v/>
      </c>
      <c r="N1447" s="10">
        <f>ROUND(I1447*'Irish Basis'!$C$6*'Irish Basis'!$C$5,2)</f>
        <v/>
      </c>
      <c r="O1447" s="10">
        <f>ROUND(J1447*'Irish Basis'!$C$7*'Irish Basis'!$C$5,2)</f>
        <v/>
      </c>
      <c r="P1447" s="10">
        <f>ROUND(K1447*'Irish Basis'!$C$8*'Irish Basis'!$C$5,2)</f>
        <v/>
      </c>
      <c r="Q1447" s="10">
        <f>ROUND(L1447*'Irish Basis'!$C$12*'Irish Basis'!$C$5,2)</f>
        <v/>
      </c>
      <c r="R1447" s="11">
        <f>ROUND(SUM(N1447:Q1447),2)</f>
        <v/>
      </c>
      <c r="S1447" s="5" t="inlineStr">
        <is>
          <t>Stated build-up</t>
        </is>
      </c>
      <c r="T1447" s="12" t="inlineStr">
        <is>
          <t>High</t>
        </is>
      </c>
      <c r="U1447" s="8" t="n">
        <v>261.47</v>
      </c>
      <c r="V1447" s="13">
        <f>IF(U1447="","",ROUND(M1447-U1447,2))</f>
        <v/>
      </c>
      <c r="W1447" s="5" t="n"/>
      <c r="X1447" s="5" t="inlineStr">
        <is>
          <t>Labour + plant + material as published; reconciles to the published rate.</t>
        </is>
      </c>
    </row>
    <row r="1448" ht="13" customHeight="1">
      <c r="A1448" s="4" t="n">
        <v>2359</v>
      </c>
      <c r="B1448" s="5" t="inlineStr">
        <is>
          <t>IMG_0097</t>
        </is>
      </c>
      <c r="C1448" s="5" t="inlineStr">
        <is>
          <t>CLASS I: PIPEWORK - PIPES</t>
        </is>
      </c>
      <c r="D1448" s="5" t="inlineStr">
        <is>
          <t>03 IRON PIPES</t>
        </is>
      </c>
      <c r="E1448" s="5" t="inlineStr">
        <is>
          <t>225 mm pipes; in trenches, depth</t>
        </is>
      </c>
      <c r="F1448" s="5" t="inlineStr">
        <is>
          <t>1.50-2.00 m deep</t>
        </is>
      </c>
      <c r="G1448" s="6" t="inlineStr">
        <is>
          <t>m</t>
        </is>
      </c>
      <c r="H1448" s="7" t="n">
        <v>0.3</v>
      </c>
      <c r="I1448" s="8" t="n">
        <v>41.45</v>
      </c>
      <c r="J1448" s="8" t="n">
        <v>39.19</v>
      </c>
      <c r="K1448" s="8" t="n">
        <v>194.28</v>
      </c>
      <c r="L1448" s="8" t="n">
        <v>0</v>
      </c>
      <c r="M1448" s="9">
        <f>ROUND(SUM(I1448:L1448),2)</f>
        <v/>
      </c>
      <c r="N1448" s="10">
        <f>ROUND(I1448*'Irish Basis'!$C$6*'Irish Basis'!$C$5,2)</f>
        <v/>
      </c>
      <c r="O1448" s="10">
        <f>ROUND(J1448*'Irish Basis'!$C$7*'Irish Basis'!$C$5,2)</f>
        <v/>
      </c>
      <c r="P1448" s="10">
        <f>ROUND(K1448*'Irish Basis'!$C$8*'Irish Basis'!$C$5,2)</f>
        <v/>
      </c>
      <c r="Q1448" s="10">
        <f>ROUND(L1448*'Irish Basis'!$C$12*'Irish Basis'!$C$5,2)</f>
        <v/>
      </c>
      <c r="R1448" s="11">
        <f>ROUND(SUM(N1448:Q1448),2)</f>
        <v/>
      </c>
      <c r="S1448" s="5" t="inlineStr">
        <is>
          <t>Stated build-up</t>
        </is>
      </c>
      <c r="T1448" s="12" t="inlineStr">
        <is>
          <t>High</t>
        </is>
      </c>
      <c r="U1448" s="8" t="n">
        <v>274.93</v>
      </c>
      <c r="V1448" s="13">
        <f>IF(U1448="","",ROUND(M1448-U1448,2))</f>
        <v/>
      </c>
      <c r="W1448" s="5" t="n"/>
      <c r="X1448" s="5" t="inlineStr">
        <is>
          <t>Labour + plant + material as published; reconciles to the published rate.</t>
        </is>
      </c>
    </row>
    <row r="1449" ht="13" customHeight="1">
      <c r="A1449" s="4" t="n">
        <v>2360</v>
      </c>
      <c r="B1449" s="5" t="inlineStr">
        <is>
          <t>IMG_0097</t>
        </is>
      </c>
      <c r="C1449" s="5" t="inlineStr">
        <is>
          <t>CLASS I: PIPEWORK - PIPES</t>
        </is>
      </c>
      <c r="D1449" s="5" t="inlineStr">
        <is>
          <t>03 IRON PIPES</t>
        </is>
      </c>
      <c r="E1449" s="5" t="inlineStr">
        <is>
          <t>225 mm pipes; in trenches, depth</t>
        </is>
      </c>
      <c r="F1449" s="5" t="inlineStr">
        <is>
          <t>2.00-2.50 m deep</t>
        </is>
      </c>
      <c r="G1449" s="6" t="inlineStr">
        <is>
          <t>m</t>
        </is>
      </c>
      <c r="H1449" s="7" t="n">
        <v>0.35</v>
      </c>
      <c r="I1449" s="8" t="n">
        <v>48.36</v>
      </c>
      <c r="J1449" s="8" t="n">
        <v>45.75</v>
      </c>
      <c r="K1449" s="8" t="n">
        <v>194.28</v>
      </c>
      <c r="L1449" s="8" t="n">
        <v>0</v>
      </c>
      <c r="M1449" s="9">
        <f>ROUND(SUM(I1449:L1449),2)</f>
        <v/>
      </c>
      <c r="N1449" s="10">
        <f>ROUND(I1449*'Irish Basis'!$C$6*'Irish Basis'!$C$5,2)</f>
        <v/>
      </c>
      <c r="O1449" s="10">
        <f>ROUND(J1449*'Irish Basis'!$C$7*'Irish Basis'!$C$5,2)</f>
        <v/>
      </c>
      <c r="P1449" s="10">
        <f>ROUND(K1449*'Irish Basis'!$C$8*'Irish Basis'!$C$5,2)</f>
        <v/>
      </c>
      <c r="Q1449" s="10">
        <f>ROUND(L1449*'Irish Basis'!$C$12*'Irish Basis'!$C$5,2)</f>
        <v/>
      </c>
      <c r="R1449" s="11">
        <f>ROUND(SUM(N1449:Q1449),2)</f>
        <v/>
      </c>
      <c r="S1449" s="5" t="inlineStr">
        <is>
          <t>Stated build-up</t>
        </is>
      </c>
      <c r="T1449" s="12" t="inlineStr">
        <is>
          <t>High</t>
        </is>
      </c>
      <c r="U1449" s="8" t="n">
        <v>288.39</v>
      </c>
      <c r="V1449" s="13">
        <f>IF(U1449="","",ROUND(M1449-U1449,2))</f>
        <v/>
      </c>
      <c r="W1449" s="5" t="n"/>
      <c r="X1449" s="5" t="inlineStr">
        <is>
          <t>Labour + plant + material as published; reconciles to the published rate.</t>
        </is>
      </c>
    </row>
    <row r="1450" ht="13" customHeight="1">
      <c r="A1450" s="4" t="n">
        <v>2361</v>
      </c>
      <c r="B1450" s="5" t="inlineStr">
        <is>
          <t>IMG_0097</t>
        </is>
      </c>
      <c r="C1450" s="5" t="inlineStr">
        <is>
          <t>CLASS I: PIPEWORK - PIPES</t>
        </is>
      </c>
      <c r="D1450" s="5" t="inlineStr">
        <is>
          <t>03 IRON PIPES</t>
        </is>
      </c>
      <c r="E1450" s="5" t="inlineStr">
        <is>
          <t>225 mm pipes; in trenches, depth</t>
        </is>
      </c>
      <c r="F1450" s="5" t="inlineStr">
        <is>
          <t>2.50-3.00 m deep</t>
        </is>
      </c>
      <c r="G1450" s="6" t="inlineStr">
        <is>
          <t>m</t>
        </is>
      </c>
      <c r="H1450" s="7" t="n">
        <v>0.41</v>
      </c>
      <c r="I1450" s="8" t="n">
        <v>56.65</v>
      </c>
      <c r="J1450" s="8" t="n">
        <v>53.65</v>
      </c>
      <c r="K1450" s="8" t="n">
        <v>194.28</v>
      </c>
      <c r="L1450" s="8" t="n">
        <v>0</v>
      </c>
      <c r="M1450" s="9">
        <f>ROUND(SUM(I1450:L1450),2)</f>
        <v/>
      </c>
      <c r="N1450" s="10">
        <f>ROUND(I1450*'Irish Basis'!$C$6*'Irish Basis'!$C$5,2)</f>
        <v/>
      </c>
      <c r="O1450" s="10">
        <f>ROUND(J1450*'Irish Basis'!$C$7*'Irish Basis'!$C$5,2)</f>
        <v/>
      </c>
      <c r="P1450" s="10">
        <f>ROUND(K1450*'Irish Basis'!$C$8*'Irish Basis'!$C$5,2)</f>
        <v/>
      </c>
      <c r="Q1450" s="10">
        <f>ROUND(L1450*'Irish Basis'!$C$12*'Irish Basis'!$C$5,2)</f>
        <v/>
      </c>
      <c r="R1450" s="11">
        <f>ROUND(SUM(N1450:Q1450),2)</f>
        <v/>
      </c>
      <c r="S1450" s="5" t="inlineStr">
        <is>
          <t>Stated build-up</t>
        </is>
      </c>
      <c r="T1450" s="12" t="inlineStr">
        <is>
          <t>High</t>
        </is>
      </c>
      <c r="U1450" s="8" t="n">
        <v>304.58</v>
      </c>
      <c r="V1450" s="13">
        <f>IF(U1450="","",ROUND(M1450-U1450,2))</f>
        <v/>
      </c>
      <c r="W1450" s="5" t="n"/>
      <c r="X1450" s="5" t="inlineStr">
        <is>
          <t>Labour + plant + material as published; reconciles to the published rate.</t>
        </is>
      </c>
    </row>
    <row r="1451" ht="13" customHeight="1">
      <c r="A1451" s="4" t="n">
        <v>2362</v>
      </c>
      <c r="B1451" s="5" t="inlineStr">
        <is>
          <t>IMG_0097</t>
        </is>
      </c>
      <c r="C1451" s="5" t="inlineStr">
        <is>
          <t>CLASS I: PIPEWORK - PIPES</t>
        </is>
      </c>
      <c r="D1451" s="5" t="inlineStr">
        <is>
          <t>03 IRON PIPES</t>
        </is>
      </c>
      <c r="E1451" s="5" t="inlineStr">
        <is>
          <t>225 mm pipes; in trenches, depth</t>
        </is>
      </c>
      <c r="F1451" s="5" t="inlineStr">
        <is>
          <t>3.00-3.50 m deep</t>
        </is>
      </c>
      <c r="G1451" s="6" t="inlineStr">
        <is>
          <t>m</t>
        </is>
      </c>
      <c r="H1451" s="7" t="n">
        <v>0.54</v>
      </c>
      <c r="I1451" s="8" t="n">
        <v>74.62</v>
      </c>
      <c r="J1451" s="8" t="n">
        <v>70.7</v>
      </c>
      <c r="K1451" s="8" t="n">
        <v>194.28</v>
      </c>
      <c r="L1451" s="8" t="n">
        <v>0</v>
      </c>
      <c r="M1451" s="9">
        <f>ROUND(SUM(I1451:L1451),2)</f>
        <v/>
      </c>
      <c r="N1451" s="10">
        <f>ROUND(I1451*'Irish Basis'!$C$6*'Irish Basis'!$C$5,2)</f>
        <v/>
      </c>
      <c r="O1451" s="10">
        <f>ROUND(J1451*'Irish Basis'!$C$7*'Irish Basis'!$C$5,2)</f>
        <v/>
      </c>
      <c r="P1451" s="10">
        <f>ROUND(K1451*'Irish Basis'!$C$8*'Irish Basis'!$C$5,2)</f>
        <v/>
      </c>
      <c r="Q1451" s="10">
        <f>ROUND(L1451*'Irish Basis'!$C$12*'Irish Basis'!$C$5,2)</f>
        <v/>
      </c>
      <c r="R1451" s="11">
        <f>ROUND(SUM(N1451:Q1451),2)</f>
        <v/>
      </c>
      <c r="S1451" s="5" t="inlineStr">
        <is>
          <t>Stated build-up</t>
        </is>
      </c>
      <c r="T1451" s="12" t="inlineStr">
        <is>
          <t>High</t>
        </is>
      </c>
      <c r="U1451" s="8" t="n">
        <v>339.59</v>
      </c>
      <c r="V1451" s="13">
        <f>IF(U1451="","",ROUND(M1451-U1451,2))</f>
        <v/>
      </c>
      <c r="W1451" s="5" t="n"/>
      <c r="X1451" s="5" t="inlineStr">
        <is>
          <t>Labour + plant + material as published; reconciles to the published rate.</t>
        </is>
      </c>
    </row>
    <row r="1452" ht="13" customHeight="1">
      <c r="A1452" s="4" t="n">
        <v>2363</v>
      </c>
      <c r="B1452" s="5" t="inlineStr">
        <is>
          <t>IMG_0097</t>
        </is>
      </c>
      <c r="C1452" s="5" t="inlineStr">
        <is>
          <t>CLASS I: PIPEWORK - PIPES</t>
        </is>
      </c>
      <c r="D1452" s="5" t="inlineStr">
        <is>
          <t>03 IRON PIPES</t>
        </is>
      </c>
      <c r="E1452" s="5" t="inlineStr">
        <is>
          <t>225 mm pipes; in trenches, depth</t>
        </is>
      </c>
      <c r="F1452" s="5" t="inlineStr">
        <is>
          <t>3.50-4.00 m deep</t>
        </is>
      </c>
      <c r="G1452" s="6" t="inlineStr">
        <is>
          <t>m</t>
        </is>
      </c>
      <c r="H1452" s="7" t="n">
        <v>0.61</v>
      </c>
      <c r="I1452" s="8" t="n">
        <v>84.29000000000001</v>
      </c>
      <c r="J1452" s="8" t="n">
        <v>79.89</v>
      </c>
      <c r="K1452" s="8" t="n">
        <v>194.28</v>
      </c>
      <c r="L1452" s="8" t="n">
        <v>0</v>
      </c>
      <c r="M1452" s="9">
        <f>ROUND(SUM(I1452:L1452),2)</f>
        <v/>
      </c>
      <c r="N1452" s="10">
        <f>ROUND(I1452*'Irish Basis'!$C$6*'Irish Basis'!$C$5,2)</f>
        <v/>
      </c>
      <c r="O1452" s="10">
        <f>ROUND(J1452*'Irish Basis'!$C$7*'Irish Basis'!$C$5,2)</f>
        <v/>
      </c>
      <c r="P1452" s="10">
        <f>ROUND(K1452*'Irish Basis'!$C$8*'Irish Basis'!$C$5,2)</f>
        <v/>
      </c>
      <c r="Q1452" s="10">
        <f>ROUND(L1452*'Irish Basis'!$C$12*'Irish Basis'!$C$5,2)</f>
        <v/>
      </c>
      <c r="R1452" s="11">
        <f>ROUND(SUM(N1452:Q1452),2)</f>
        <v/>
      </c>
      <c r="S1452" s="5" t="inlineStr">
        <is>
          <t>Stated build-up</t>
        </is>
      </c>
      <c r="T1452" s="12" t="inlineStr">
        <is>
          <t>High</t>
        </is>
      </c>
      <c r="U1452" s="8" t="n">
        <v>358.46</v>
      </c>
      <c r="V1452" s="13">
        <f>IF(U1452="","",ROUND(M1452-U1452,2))</f>
        <v/>
      </c>
      <c r="W1452" s="5" t="n"/>
      <c r="X1452" s="5" t="inlineStr">
        <is>
          <t>Labour + plant + material as published; reconciles to the published rate.</t>
        </is>
      </c>
    </row>
    <row r="1453" ht="13" customHeight="1">
      <c r="A1453" s="4" t="n">
        <v>2364</v>
      </c>
      <c r="B1453" s="5" t="inlineStr">
        <is>
          <t>IMG_0097</t>
        </is>
      </c>
      <c r="C1453" s="5" t="inlineStr">
        <is>
          <t>CLASS I: PIPEWORK - PIPES</t>
        </is>
      </c>
      <c r="D1453" s="5" t="inlineStr">
        <is>
          <t>03 IRON PIPES</t>
        </is>
      </c>
      <c r="E1453" s="5" t="inlineStr">
        <is>
          <t>225 mm pipes; in trenches, depth</t>
        </is>
      </c>
      <c r="F1453" s="5" t="inlineStr">
        <is>
          <t>4.00-4.50 m deep</t>
        </is>
      </c>
      <c r="G1453" s="6" t="inlineStr">
        <is>
          <t>m</t>
        </is>
      </c>
      <c r="H1453" s="7" t="n">
        <v>0.77</v>
      </c>
      <c r="I1453" s="8" t="n">
        <v>106.4</v>
      </c>
      <c r="J1453" s="8" t="n">
        <v>100.87</v>
      </c>
      <c r="K1453" s="8" t="n">
        <v>194.28</v>
      </c>
      <c r="L1453" s="8" t="n">
        <v>0</v>
      </c>
      <c r="M1453" s="9">
        <f>ROUND(SUM(I1453:L1453),2)</f>
        <v/>
      </c>
      <c r="N1453" s="10">
        <f>ROUND(I1453*'Irish Basis'!$C$6*'Irish Basis'!$C$5,2)</f>
        <v/>
      </c>
      <c r="O1453" s="10">
        <f>ROUND(J1453*'Irish Basis'!$C$7*'Irish Basis'!$C$5,2)</f>
        <v/>
      </c>
      <c r="P1453" s="10">
        <f>ROUND(K1453*'Irish Basis'!$C$8*'Irish Basis'!$C$5,2)</f>
        <v/>
      </c>
      <c r="Q1453" s="10">
        <f>ROUND(L1453*'Irish Basis'!$C$12*'Irish Basis'!$C$5,2)</f>
        <v/>
      </c>
      <c r="R1453" s="11">
        <f>ROUND(SUM(N1453:Q1453),2)</f>
        <v/>
      </c>
      <c r="S1453" s="5" t="inlineStr">
        <is>
          <t>Stated build-up</t>
        </is>
      </c>
      <c r="T1453" s="12" t="inlineStr">
        <is>
          <t>High</t>
        </is>
      </c>
      <c r="U1453" s="8" t="n">
        <v>401.55</v>
      </c>
      <c r="V1453" s="13">
        <f>IF(U1453="","",ROUND(M1453-U1453,2))</f>
        <v/>
      </c>
      <c r="W1453" s="5" t="n"/>
      <c r="X1453" s="5" t="inlineStr">
        <is>
          <t>Labour + plant + material as published; reconciles to the published rate.</t>
        </is>
      </c>
    </row>
    <row r="1454" ht="13" customHeight="1">
      <c r="A1454" s="4" t="n">
        <v>2365</v>
      </c>
      <c r="B1454" s="5" t="inlineStr">
        <is>
          <t>IMG_0097</t>
        </is>
      </c>
      <c r="C1454" s="5" t="inlineStr">
        <is>
          <t>CLASS I: PIPEWORK - PIPES</t>
        </is>
      </c>
      <c r="D1454" s="5" t="inlineStr">
        <is>
          <t>03 IRON PIPES</t>
        </is>
      </c>
      <c r="E1454" s="5" t="inlineStr">
        <is>
          <t>225 mm pipes; in trenches, depth</t>
        </is>
      </c>
      <c r="F1454" s="5" t="inlineStr">
        <is>
          <t>4.50-5.00 m deep</t>
        </is>
      </c>
      <c r="G1454" s="6" t="inlineStr">
        <is>
          <t>m</t>
        </is>
      </c>
      <c r="H1454" s="7" t="n">
        <v>1.02</v>
      </c>
      <c r="I1454" s="8" t="n">
        <v>140.94</v>
      </c>
      <c r="J1454" s="8" t="n">
        <v>133.69</v>
      </c>
      <c r="K1454" s="8" t="n">
        <v>194.28</v>
      </c>
      <c r="L1454" s="8" t="n">
        <v>0</v>
      </c>
      <c r="M1454" s="9">
        <f>ROUND(SUM(I1454:L1454),2)</f>
        <v/>
      </c>
      <c r="N1454" s="10">
        <f>ROUND(I1454*'Irish Basis'!$C$6*'Irish Basis'!$C$5,2)</f>
        <v/>
      </c>
      <c r="O1454" s="10">
        <f>ROUND(J1454*'Irish Basis'!$C$7*'Irish Basis'!$C$5,2)</f>
        <v/>
      </c>
      <c r="P1454" s="10">
        <f>ROUND(K1454*'Irish Basis'!$C$8*'Irish Basis'!$C$5,2)</f>
        <v/>
      </c>
      <c r="Q1454" s="10">
        <f>ROUND(L1454*'Irish Basis'!$C$12*'Irish Basis'!$C$5,2)</f>
        <v/>
      </c>
      <c r="R1454" s="11">
        <f>ROUND(SUM(N1454:Q1454),2)</f>
        <v/>
      </c>
      <c r="S1454" s="5" t="inlineStr">
        <is>
          <t>Stated build-up</t>
        </is>
      </c>
      <c r="T1454" s="12" t="inlineStr">
        <is>
          <t>High</t>
        </is>
      </c>
      <c r="U1454" s="8" t="n">
        <v>468.91</v>
      </c>
      <c r="V1454" s="13">
        <f>IF(U1454="","",ROUND(M1454-U1454,2))</f>
        <v/>
      </c>
      <c r="W1454" s="5" t="n"/>
      <c r="X1454" s="5" t="inlineStr">
        <is>
          <t>Labour + plant + material as published; reconciles to the published rate.</t>
        </is>
      </c>
    </row>
    <row r="1455" ht="13" customHeight="1">
      <c r="A1455" s="4" t="n">
        <v>2366</v>
      </c>
      <c r="B1455" s="5" t="inlineStr">
        <is>
          <t>IMG_0097</t>
        </is>
      </c>
      <c r="C1455" s="5" t="inlineStr">
        <is>
          <t>CLASS I: PIPEWORK - PIPES</t>
        </is>
      </c>
      <c r="D1455" s="5" t="inlineStr">
        <is>
          <t>03 IRON PIPES</t>
        </is>
      </c>
      <c r="E1455" s="5" t="inlineStr">
        <is>
          <t>225 mm pipes; in trenches, depth</t>
        </is>
      </c>
      <c r="F1455" s="5" t="inlineStr">
        <is>
          <t>5.00-5.50 m deep</t>
        </is>
      </c>
      <c r="G1455" s="6" t="inlineStr">
        <is>
          <t>m</t>
        </is>
      </c>
      <c r="H1455" s="7" t="n">
        <v>1.3</v>
      </c>
      <c r="I1455" s="8" t="n">
        <v>179.63</v>
      </c>
      <c r="J1455" s="8" t="n">
        <v>170.44</v>
      </c>
      <c r="K1455" s="8" t="n">
        <v>194.28</v>
      </c>
      <c r="L1455" s="8" t="n">
        <v>0</v>
      </c>
      <c r="M1455" s="9">
        <f>ROUND(SUM(I1455:L1455),2)</f>
        <v/>
      </c>
      <c r="N1455" s="10">
        <f>ROUND(I1455*'Irish Basis'!$C$6*'Irish Basis'!$C$5,2)</f>
        <v/>
      </c>
      <c r="O1455" s="10">
        <f>ROUND(J1455*'Irish Basis'!$C$7*'Irish Basis'!$C$5,2)</f>
        <v/>
      </c>
      <c r="P1455" s="10">
        <f>ROUND(K1455*'Irish Basis'!$C$8*'Irish Basis'!$C$5,2)</f>
        <v/>
      </c>
      <c r="Q1455" s="10">
        <f>ROUND(L1455*'Irish Basis'!$C$12*'Irish Basis'!$C$5,2)</f>
        <v/>
      </c>
      <c r="R1455" s="11">
        <f>ROUND(SUM(N1455:Q1455),2)</f>
        <v/>
      </c>
      <c r="S1455" s="5" t="inlineStr">
        <is>
          <t>Stated build-up</t>
        </is>
      </c>
      <c r="T1455" s="12" t="inlineStr">
        <is>
          <t>High</t>
        </is>
      </c>
      <c r="U1455" s="8" t="n">
        <v>544.35</v>
      </c>
      <c r="V1455" s="13">
        <f>IF(U1455="","",ROUND(M1455-U1455,2))</f>
        <v/>
      </c>
      <c r="W1455" s="5" t="n"/>
      <c r="X1455" s="5" t="inlineStr">
        <is>
          <t>Labour + plant + material as published; reconciles to the published rate.</t>
        </is>
      </c>
    </row>
    <row r="1456" ht="13" customHeight="1">
      <c r="A1456" s="4" t="n">
        <v>2367</v>
      </c>
      <c r="B1456" s="5" t="inlineStr">
        <is>
          <t>IMG_0097</t>
        </is>
      </c>
      <c r="C1456" s="5" t="inlineStr">
        <is>
          <t>CLASS I: PIPEWORK - PIPES</t>
        </is>
      </c>
      <c r="D1456" s="5" t="inlineStr">
        <is>
          <t>03 IRON PIPES</t>
        </is>
      </c>
      <c r="E1456" s="5" t="inlineStr">
        <is>
          <t>225 mm pipes; in trenches, depth</t>
        </is>
      </c>
      <c r="F1456" s="5" t="inlineStr">
        <is>
          <t>extra for bend; 87.5 deg</t>
        </is>
      </c>
      <c r="G1456" s="6" t="inlineStr">
        <is>
          <t>nr</t>
        </is>
      </c>
      <c r="H1456" s="7" t="n">
        <v>0.77</v>
      </c>
      <c r="I1456" s="8" t="n">
        <v>106.4</v>
      </c>
      <c r="J1456" s="8" t="n">
        <v>6.76</v>
      </c>
      <c r="K1456" s="8" t="n">
        <v>565.75</v>
      </c>
      <c r="L1456" s="8" t="n">
        <v>0</v>
      </c>
      <c r="M1456" s="9">
        <f>ROUND(SUM(I1456:L1456),2)</f>
        <v/>
      </c>
      <c r="N1456" s="10">
        <f>ROUND(I1456*'Irish Basis'!$C$6*'Irish Basis'!$C$5,2)</f>
        <v/>
      </c>
      <c r="O1456" s="10">
        <f>ROUND(J1456*'Irish Basis'!$C$7*'Irish Basis'!$C$5,2)</f>
        <v/>
      </c>
      <c r="P1456" s="10">
        <f>ROUND(K1456*'Irish Basis'!$C$8*'Irish Basis'!$C$5,2)</f>
        <v/>
      </c>
      <c r="Q1456" s="10">
        <f>ROUND(L1456*'Irish Basis'!$C$12*'Irish Basis'!$C$5,2)</f>
        <v/>
      </c>
      <c r="R1456" s="11">
        <f>ROUND(SUM(N1456:Q1456),2)</f>
        <v/>
      </c>
      <c r="S1456" s="5" t="inlineStr">
        <is>
          <t>Stated build-up</t>
        </is>
      </c>
      <c r="T1456" s="12" t="inlineStr">
        <is>
          <t>High</t>
        </is>
      </c>
      <c r="U1456" s="8" t="n">
        <v>678.91</v>
      </c>
      <c r="V1456" s="13">
        <f>IF(U1456="","",ROUND(M1456-U1456,2))</f>
        <v/>
      </c>
      <c r="W1456" s="5" t="n"/>
      <c r="X1456" s="5" t="inlineStr">
        <is>
          <t>Labour + plant + material as published; reconciles to the published rate.</t>
        </is>
      </c>
    </row>
    <row r="1457" ht="13" customHeight="1">
      <c r="A1457" s="4" t="n">
        <v>2368</v>
      </c>
      <c r="B1457" s="5" t="inlineStr">
        <is>
          <t>IMG_0097</t>
        </is>
      </c>
      <c r="C1457" s="5" t="inlineStr">
        <is>
          <t>CLASS I: PIPEWORK - PIPES</t>
        </is>
      </c>
      <c r="D1457" s="5" t="inlineStr">
        <is>
          <t>03 IRON PIPES</t>
        </is>
      </c>
      <c r="E1457" s="5" t="inlineStr">
        <is>
          <t>225 mm pipes; in trenches, depth</t>
        </is>
      </c>
      <c r="F1457" s="5" t="inlineStr">
        <is>
          <t>extra for bend; 45 deg</t>
        </is>
      </c>
      <c r="G1457" s="6" t="inlineStr">
        <is>
          <t>nr</t>
        </is>
      </c>
      <c r="H1457" s="7" t="n">
        <v>0.77</v>
      </c>
      <c r="I1457" s="8" t="n">
        <v>106.4</v>
      </c>
      <c r="J1457" s="8" t="n">
        <v>6.76</v>
      </c>
      <c r="K1457" s="8" t="n">
        <v>563.97</v>
      </c>
      <c r="L1457" s="8" t="n">
        <v>0</v>
      </c>
      <c r="M1457" s="9">
        <f>ROUND(SUM(I1457:L1457),2)</f>
        <v/>
      </c>
      <c r="N1457" s="10">
        <f>ROUND(I1457*'Irish Basis'!$C$6*'Irish Basis'!$C$5,2)</f>
        <v/>
      </c>
      <c r="O1457" s="10">
        <f>ROUND(J1457*'Irish Basis'!$C$7*'Irish Basis'!$C$5,2)</f>
        <v/>
      </c>
      <c r="P1457" s="10">
        <f>ROUND(K1457*'Irish Basis'!$C$8*'Irish Basis'!$C$5,2)</f>
        <v/>
      </c>
      <c r="Q1457" s="10">
        <f>ROUND(L1457*'Irish Basis'!$C$12*'Irish Basis'!$C$5,2)</f>
        <v/>
      </c>
      <c r="R1457" s="11">
        <f>ROUND(SUM(N1457:Q1457),2)</f>
        <v/>
      </c>
      <c r="S1457" s="5" t="inlineStr">
        <is>
          <t>Stated build-up</t>
        </is>
      </c>
      <c r="T1457" s="12" t="inlineStr">
        <is>
          <t>High</t>
        </is>
      </c>
      <c r="U1457" s="8" t="n">
        <v>677.12</v>
      </c>
      <c r="V1457" s="13">
        <f>IF(U1457="","",ROUND(M1457-U1457,2))</f>
        <v/>
      </c>
      <c r="W1457" s="5" t="n"/>
      <c r="X1457" s="5" t="inlineStr">
        <is>
          <t>Labour + plant + material as published; reconciles to the published rate.</t>
        </is>
      </c>
    </row>
    <row r="1458" ht="13" customHeight="1">
      <c r="A1458" s="4" t="n">
        <v>2369</v>
      </c>
      <c r="B1458" s="5" t="inlineStr">
        <is>
          <t>IMG_0097</t>
        </is>
      </c>
      <c r="C1458" s="5" t="inlineStr">
        <is>
          <t>CLASS I: PIPEWORK - PIPES</t>
        </is>
      </c>
      <c r="D1458" s="5" t="inlineStr">
        <is>
          <t>03 IRON PIPES</t>
        </is>
      </c>
      <c r="E1458" s="5" t="inlineStr">
        <is>
          <t>225 mm pipes; in trenches, depth</t>
        </is>
      </c>
      <c r="F1458" s="5" t="inlineStr">
        <is>
          <t>extra for single junction; equal</t>
        </is>
      </c>
      <c r="G1458" s="6" t="inlineStr">
        <is>
          <t>nr</t>
        </is>
      </c>
      <c r="H1458" s="7" t="n">
        <v>1.21</v>
      </c>
      <c r="I1458" s="8" t="n">
        <v>167.2</v>
      </c>
      <c r="J1458" s="8" t="n">
        <v>15.22</v>
      </c>
      <c r="K1458" s="8" t="n">
        <v>1207.54</v>
      </c>
      <c r="L1458" s="8" t="n">
        <v>0</v>
      </c>
      <c r="M1458" s="9">
        <f>ROUND(SUM(I1458:L1458),2)</f>
        <v/>
      </c>
      <c r="N1458" s="10">
        <f>ROUND(I1458*'Irish Basis'!$C$6*'Irish Basis'!$C$5,2)</f>
        <v/>
      </c>
      <c r="O1458" s="10">
        <f>ROUND(J1458*'Irish Basis'!$C$7*'Irish Basis'!$C$5,2)</f>
        <v/>
      </c>
      <c r="P1458" s="10">
        <f>ROUND(K1458*'Irish Basis'!$C$8*'Irish Basis'!$C$5,2)</f>
        <v/>
      </c>
      <c r="Q1458" s="10">
        <f>ROUND(L1458*'Irish Basis'!$C$12*'Irish Basis'!$C$5,2)</f>
        <v/>
      </c>
      <c r="R1458" s="11">
        <f>ROUND(SUM(N1458:Q1458),2)</f>
        <v/>
      </c>
      <c r="S1458" s="5" t="inlineStr">
        <is>
          <t>Stated build-up</t>
        </is>
      </c>
      <c r="T1458" s="12" t="inlineStr">
        <is>
          <t>High</t>
        </is>
      </c>
      <c r="U1458" s="8" t="n">
        <v>1389.96</v>
      </c>
      <c r="V1458" s="13">
        <f>IF(U1458="","",ROUND(M1458-U1458,2))</f>
        <v/>
      </c>
      <c r="W1458" s="5" t="n"/>
      <c r="X1458" s="5" t="inlineStr">
        <is>
          <t>Labour + plant + material as published; reconciles to the published rate.</t>
        </is>
      </c>
    </row>
    <row r="1459" ht="13" customHeight="1">
      <c r="A1459" s="4" t="n">
        <v>2370</v>
      </c>
      <c r="B1459" s="5" t="inlineStr">
        <is>
          <t>IMG_0097</t>
        </is>
      </c>
      <c r="C1459" s="5" t="inlineStr">
        <is>
          <t>CLASS I: PIPEWORK - PIPES</t>
        </is>
      </c>
      <c r="D1459" s="5" t="inlineStr">
        <is>
          <t>03 IRON PIPES</t>
        </is>
      </c>
      <c r="E1459" s="5" t="inlineStr">
        <is>
          <t>225 mm pipes; in trenches, depth</t>
        </is>
      </c>
      <c r="F1459" s="5" t="inlineStr">
        <is>
          <t>extra for taper reducer</t>
        </is>
      </c>
      <c r="G1459" s="6" t="inlineStr">
        <is>
          <t>nr</t>
        </is>
      </c>
      <c r="H1459" s="7" t="n">
        <v>0.77</v>
      </c>
      <c r="I1459" s="8" t="n">
        <v>106.4</v>
      </c>
      <c r="J1459" s="8" t="n">
        <v>15.22</v>
      </c>
      <c r="K1459" s="8" t="n">
        <v>392.8</v>
      </c>
      <c r="L1459" s="8" t="n">
        <v>0</v>
      </c>
      <c r="M1459" s="9">
        <f>ROUND(SUM(I1459:L1459),2)</f>
        <v/>
      </c>
      <c r="N1459" s="10">
        <f>ROUND(I1459*'Irish Basis'!$C$6*'Irish Basis'!$C$5,2)</f>
        <v/>
      </c>
      <c r="O1459" s="10">
        <f>ROUND(J1459*'Irish Basis'!$C$7*'Irish Basis'!$C$5,2)</f>
        <v/>
      </c>
      <c r="P1459" s="10">
        <f>ROUND(K1459*'Irish Basis'!$C$8*'Irish Basis'!$C$5,2)</f>
        <v/>
      </c>
      <c r="Q1459" s="10">
        <f>ROUND(L1459*'Irish Basis'!$C$12*'Irish Basis'!$C$5,2)</f>
        <v/>
      </c>
      <c r="R1459" s="11">
        <f>ROUND(SUM(N1459:Q1459),2)</f>
        <v/>
      </c>
      <c r="S1459" s="5" t="inlineStr">
        <is>
          <t>Stated build-up</t>
        </is>
      </c>
      <c r="T1459" s="12" t="inlineStr">
        <is>
          <t>High</t>
        </is>
      </c>
      <c r="U1459" s="8" t="n">
        <v>514.4299999999999</v>
      </c>
      <c r="V1459" s="13">
        <f>IF(U1459="","",ROUND(M1459-U1459,2))</f>
        <v/>
      </c>
      <c r="W1459" s="5" t="n"/>
      <c r="X1459" s="5" t="inlineStr">
        <is>
          <t>Labour + plant + material as published; reconciles to the published rate.</t>
        </is>
      </c>
    </row>
    <row r="1460" ht="13" customHeight="1">
      <c r="A1460" s="4" t="n">
        <v>2372</v>
      </c>
      <c r="B1460" s="5" t="inlineStr">
        <is>
          <t>IMG_0097</t>
        </is>
      </c>
      <c r="C1460" s="5" t="inlineStr">
        <is>
          <t>CLASS I: PIPEWORK - PIPES</t>
        </is>
      </c>
      <c r="D1460" s="5" t="inlineStr">
        <is>
          <t>03 IRON PIPES</t>
        </is>
      </c>
      <c r="E1460" s="5" t="inlineStr">
        <is>
          <t>Ductile iron pipes to BS 4772, Tyton joints; excavation and supports, backfilling; 100 mm pipes; in trenches, depth</t>
        </is>
      </c>
      <c r="F1460" s="5" t="inlineStr">
        <is>
          <t>not in trenches</t>
        </is>
      </c>
      <c r="G1460" s="6" t="inlineStr">
        <is>
          <t>m</t>
        </is>
      </c>
      <c r="H1460" s="7" t="n">
        <v>0.1</v>
      </c>
      <c r="I1460" s="8" t="n">
        <v>8.630000000000001</v>
      </c>
      <c r="J1460" s="8" t="n">
        <v>0.5600000000000001</v>
      </c>
      <c r="K1460" s="8" t="n">
        <v>91.61</v>
      </c>
      <c r="L1460" s="8" t="n">
        <v>0</v>
      </c>
      <c r="M1460" s="9">
        <f>ROUND(SUM(I1460:L1460),2)</f>
        <v/>
      </c>
      <c r="N1460" s="10">
        <f>ROUND(I1460*'Irish Basis'!$C$6*'Irish Basis'!$C$5,2)</f>
        <v/>
      </c>
      <c r="O1460" s="10">
        <f>ROUND(J1460*'Irish Basis'!$C$7*'Irish Basis'!$C$5,2)</f>
        <v/>
      </c>
      <c r="P1460" s="10">
        <f>ROUND(K1460*'Irish Basis'!$C$8*'Irish Basis'!$C$5,2)</f>
        <v/>
      </c>
      <c r="Q1460" s="10">
        <f>ROUND(L1460*'Irish Basis'!$C$12*'Irish Basis'!$C$5,2)</f>
        <v/>
      </c>
      <c r="R1460" s="11">
        <f>ROUND(SUM(N1460:Q1460),2)</f>
        <v/>
      </c>
      <c r="S1460" s="5" t="inlineStr">
        <is>
          <t>Stated build-up</t>
        </is>
      </c>
      <c r="T1460" s="12" t="inlineStr">
        <is>
          <t>High</t>
        </is>
      </c>
      <c r="U1460" s="8" t="n">
        <v>100.81</v>
      </c>
      <c r="V1460" s="13">
        <f>IF(U1460="","",ROUND(M1460-U1460,2))</f>
        <v/>
      </c>
      <c r="W1460" s="5" t="n"/>
      <c r="X1460" s="5" t="inlineStr">
        <is>
          <t>Labour + plant + material as published; reconciles to the published rate.</t>
        </is>
      </c>
    </row>
    <row r="1461" ht="13" customHeight="1">
      <c r="A1461" s="4" t="n">
        <v>2373</v>
      </c>
      <c r="B1461" s="5" t="inlineStr">
        <is>
          <t>IMG_0097</t>
        </is>
      </c>
      <c r="C1461" s="5" t="inlineStr">
        <is>
          <t>CLASS I: PIPEWORK - PIPES</t>
        </is>
      </c>
      <c r="D1461" s="5" t="inlineStr">
        <is>
          <t>03 IRON PIPES</t>
        </is>
      </c>
      <c r="E1461" s="5" t="inlineStr">
        <is>
          <t>Ductile iron pipes to BS 4772, Tyton joints; excavation and supports, backfilling; 100 mm pipes; in trenches, depth</t>
        </is>
      </c>
      <c r="F1461" s="5" t="inlineStr">
        <is>
          <t>ne 1.50 m deep</t>
        </is>
      </c>
      <c r="G1461" s="6" t="inlineStr">
        <is>
          <t>m</t>
        </is>
      </c>
      <c r="H1461" s="7" t="n">
        <v>0.19</v>
      </c>
      <c r="I1461" s="8" t="n">
        <v>26.25</v>
      </c>
      <c r="J1461" s="8" t="n">
        <v>23.52</v>
      </c>
      <c r="K1461" s="8" t="n">
        <v>91.61</v>
      </c>
      <c r="L1461" s="8" t="n">
        <v>0</v>
      </c>
      <c r="M1461" s="9">
        <f>ROUND(SUM(I1461:L1461),2)</f>
        <v/>
      </c>
      <c r="N1461" s="10">
        <f>ROUND(I1461*'Irish Basis'!$C$6*'Irish Basis'!$C$5,2)</f>
        <v/>
      </c>
      <c r="O1461" s="10">
        <f>ROUND(J1461*'Irish Basis'!$C$7*'Irish Basis'!$C$5,2)</f>
        <v/>
      </c>
      <c r="P1461" s="10">
        <f>ROUND(K1461*'Irish Basis'!$C$8*'Irish Basis'!$C$5,2)</f>
        <v/>
      </c>
      <c r="Q1461" s="10">
        <f>ROUND(L1461*'Irish Basis'!$C$12*'Irish Basis'!$C$5,2)</f>
        <v/>
      </c>
      <c r="R1461" s="11">
        <f>ROUND(SUM(N1461:Q1461),2)</f>
        <v/>
      </c>
      <c r="S1461" s="5" t="inlineStr">
        <is>
          <t>Stated build-up</t>
        </is>
      </c>
      <c r="T1461" s="12" t="inlineStr">
        <is>
          <t>High</t>
        </is>
      </c>
      <c r="U1461" s="8" t="n">
        <v>141.39</v>
      </c>
      <c r="V1461" s="13">
        <f>IF(U1461="","",ROUND(M1461-U1461,2))</f>
        <v/>
      </c>
      <c r="W1461" s="5" t="n"/>
      <c r="X1461" s="5" t="inlineStr">
        <is>
          <t>Labour + plant + material as published; reconciles to the published rate.</t>
        </is>
      </c>
    </row>
    <row r="1462" ht="13" customHeight="1">
      <c r="A1462" s="4" t="n">
        <v>2374</v>
      </c>
      <c r="B1462" s="5" t="inlineStr">
        <is>
          <t>IMG_0097</t>
        </is>
      </c>
      <c r="C1462" s="5" t="inlineStr">
        <is>
          <t>CLASS I: PIPEWORK - PIPES</t>
        </is>
      </c>
      <c r="D1462" s="5" t="inlineStr">
        <is>
          <t>03 IRON PIPES</t>
        </is>
      </c>
      <c r="E1462" s="5" t="inlineStr">
        <is>
          <t>Ductile iron pipes to BS 4772, Tyton joints; excavation and supports, backfilling; 100 mm pipes; in trenches, depth</t>
        </is>
      </c>
      <c r="F1462" s="5" t="inlineStr">
        <is>
          <t>1.50-2.00 m deep</t>
        </is>
      </c>
      <c r="G1462" s="6" t="inlineStr">
        <is>
          <t>m</t>
        </is>
      </c>
      <c r="H1462" s="7" t="n">
        <v>0.2</v>
      </c>
      <c r="I1462" s="8" t="n">
        <v>27.64</v>
      </c>
      <c r="J1462" s="8" t="n">
        <v>26.15</v>
      </c>
      <c r="K1462" s="8" t="n">
        <v>91.61</v>
      </c>
      <c r="L1462" s="8" t="n">
        <v>0</v>
      </c>
      <c r="M1462" s="9">
        <f>ROUND(SUM(I1462:L1462),2)</f>
        <v/>
      </c>
      <c r="N1462" s="10">
        <f>ROUND(I1462*'Irish Basis'!$C$6*'Irish Basis'!$C$5,2)</f>
        <v/>
      </c>
      <c r="O1462" s="10">
        <f>ROUND(J1462*'Irish Basis'!$C$7*'Irish Basis'!$C$5,2)</f>
        <v/>
      </c>
      <c r="P1462" s="10">
        <f>ROUND(K1462*'Irish Basis'!$C$8*'Irish Basis'!$C$5,2)</f>
        <v/>
      </c>
      <c r="Q1462" s="10">
        <f>ROUND(L1462*'Irish Basis'!$C$12*'Irish Basis'!$C$5,2)</f>
        <v/>
      </c>
      <c r="R1462" s="11">
        <f>ROUND(SUM(N1462:Q1462),2)</f>
        <v/>
      </c>
      <c r="S1462" s="5" t="inlineStr">
        <is>
          <t>Stated build-up</t>
        </is>
      </c>
      <c r="T1462" s="12" t="inlineStr">
        <is>
          <t>High</t>
        </is>
      </c>
      <c r="U1462" s="8" t="n">
        <v>145.4</v>
      </c>
      <c r="V1462" s="13">
        <f>IF(U1462="","",ROUND(M1462-U1462,2))</f>
        <v/>
      </c>
      <c r="W1462" s="5" t="n"/>
      <c r="X1462" s="5" t="inlineStr">
        <is>
          <t>Labour + plant + material as published; reconciles to the published rate.</t>
        </is>
      </c>
    </row>
    <row r="1463" ht="13" customHeight="1">
      <c r="A1463" s="4" t="n">
        <v>2376</v>
      </c>
      <c r="B1463" s="5" t="inlineStr">
        <is>
          <t>IMG_0098</t>
        </is>
      </c>
      <c r="C1463" s="5" t="inlineStr">
        <is>
          <t>CLASS I: PIPEWORK - PIPES</t>
        </is>
      </c>
      <c r="D1463" s="5" t="inlineStr">
        <is>
          <t>03 IRON PIPES</t>
        </is>
      </c>
      <c r="E1463" s="5" t="inlineStr">
        <is>
          <t>Ductile iron pipes to BS 4772, Tyton joints; 100 mm pipes; in trenches, depth (continued)</t>
        </is>
      </c>
      <c r="F1463" s="5" t="inlineStr">
        <is>
          <t>2.00-2.50 m deep</t>
        </is>
      </c>
      <c r="G1463" s="6" t="inlineStr">
        <is>
          <t>m</t>
        </is>
      </c>
      <c r="H1463" s="7" t="n">
        <v>0.26</v>
      </c>
      <c r="I1463" s="8" t="n">
        <v>35.93</v>
      </c>
      <c r="J1463" s="8" t="n">
        <v>34.02</v>
      </c>
      <c r="K1463" s="8" t="n">
        <v>91.61</v>
      </c>
      <c r="L1463" s="8" t="n">
        <v>0</v>
      </c>
      <c r="M1463" s="9">
        <f>ROUND(SUM(I1463:L1463),2)</f>
        <v/>
      </c>
      <c r="N1463" s="10">
        <f>ROUND(I1463*'Irish Basis'!$C$6*'Irish Basis'!$C$5,2)</f>
        <v/>
      </c>
      <c r="O1463" s="10">
        <f>ROUND(J1463*'Irish Basis'!$C$7*'Irish Basis'!$C$5,2)</f>
        <v/>
      </c>
      <c r="P1463" s="10">
        <f>ROUND(K1463*'Irish Basis'!$C$8*'Irish Basis'!$C$5,2)</f>
        <v/>
      </c>
      <c r="Q1463" s="10">
        <f>ROUND(L1463*'Irish Basis'!$C$12*'Irish Basis'!$C$5,2)</f>
        <v/>
      </c>
      <c r="R1463" s="11">
        <f>ROUND(SUM(N1463:Q1463),2)</f>
        <v/>
      </c>
      <c r="S1463" s="5" t="inlineStr">
        <is>
          <t>Stated build-up</t>
        </is>
      </c>
      <c r="T1463" s="12" t="inlineStr">
        <is>
          <t>High</t>
        </is>
      </c>
      <c r="U1463" s="8" t="n">
        <v>161.56</v>
      </c>
      <c r="V1463" s="13">
        <f>IF(U1463="","",ROUND(M1463-U1463,2))</f>
        <v/>
      </c>
      <c r="W1463" s="5" t="n"/>
      <c r="X1463" s="5" t="inlineStr">
        <is>
          <t>Labour + plant + material as published; reconciles to the published rate.</t>
        </is>
      </c>
    </row>
    <row r="1464" ht="13" customHeight="1">
      <c r="A1464" s="4" t="n">
        <v>2377</v>
      </c>
      <c r="B1464" s="5" t="inlineStr">
        <is>
          <t>IMG_0098</t>
        </is>
      </c>
      <c r="C1464" s="5" t="inlineStr">
        <is>
          <t>CLASS I: PIPEWORK - PIPES</t>
        </is>
      </c>
      <c r="D1464" s="5" t="inlineStr">
        <is>
          <t>03 IRON PIPES</t>
        </is>
      </c>
      <c r="E1464" s="5" t="inlineStr">
        <is>
          <t>Ductile iron pipes to BS 4772, Tyton joints; 100 mm pipes; in trenches, depth (continued)</t>
        </is>
      </c>
      <c r="F1464" s="5" t="inlineStr">
        <is>
          <t>2.50-3.00 m deep</t>
        </is>
      </c>
      <c r="G1464" s="6" t="inlineStr">
        <is>
          <t>m</t>
        </is>
      </c>
      <c r="H1464" s="7" t="n">
        <v>0.32</v>
      </c>
      <c r="I1464" s="8" t="n">
        <v>44.22</v>
      </c>
      <c r="J1464" s="8" t="n">
        <v>41.86</v>
      </c>
      <c r="K1464" s="8" t="n">
        <v>91.61</v>
      </c>
      <c r="L1464" s="8" t="n">
        <v>0</v>
      </c>
      <c r="M1464" s="9">
        <f>ROUND(SUM(I1464:L1464),2)</f>
        <v/>
      </c>
      <c r="N1464" s="10">
        <f>ROUND(I1464*'Irish Basis'!$C$6*'Irish Basis'!$C$5,2)</f>
        <v/>
      </c>
      <c r="O1464" s="10">
        <f>ROUND(J1464*'Irish Basis'!$C$7*'Irish Basis'!$C$5,2)</f>
        <v/>
      </c>
      <c r="P1464" s="10">
        <f>ROUND(K1464*'Irish Basis'!$C$8*'Irish Basis'!$C$5,2)</f>
        <v/>
      </c>
      <c r="Q1464" s="10">
        <f>ROUND(L1464*'Irish Basis'!$C$12*'Irish Basis'!$C$5,2)</f>
        <v/>
      </c>
      <c r="R1464" s="11">
        <f>ROUND(SUM(N1464:Q1464),2)</f>
        <v/>
      </c>
      <c r="S1464" s="5" t="inlineStr">
        <is>
          <t>Stated build-up</t>
        </is>
      </c>
      <c r="T1464" s="12" t="inlineStr">
        <is>
          <t>High</t>
        </is>
      </c>
      <c r="U1464" s="8" t="n">
        <v>177.69</v>
      </c>
      <c r="V1464" s="13">
        <f>IF(U1464="","",ROUND(M1464-U1464,2))</f>
        <v/>
      </c>
      <c r="W1464" s="5" t="n"/>
      <c r="X1464" s="5" t="inlineStr">
        <is>
          <t>Labour + plant + material as published; reconciles to the published rate.</t>
        </is>
      </c>
    </row>
    <row r="1465" ht="13" customHeight="1">
      <c r="A1465" s="4" t="n">
        <v>2378</v>
      </c>
      <c r="B1465" s="5" t="inlineStr">
        <is>
          <t>IMG_0098</t>
        </is>
      </c>
      <c r="C1465" s="5" t="inlineStr">
        <is>
          <t>CLASS I: PIPEWORK - PIPES</t>
        </is>
      </c>
      <c r="D1465" s="5" t="inlineStr">
        <is>
          <t>03 IRON PIPES</t>
        </is>
      </c>
      <c r="E1465" s="5" t="inlineStr">
        <is>
          <t>Ductile iron pipes to BS 4772, Tyton joints; 100 mm pipes; in trenches, depth (continued)</t>
        </is>
      </c>
      <c r="F1465" s="5" t="inlineStr">
        <is>
          <t>3.00-3.50 m deep</t>
        </is>
      </c>
      <c r="G1465" s="6" t="inlineStr">
        <is>
          <t>m</t>
        </is>
      </c>
      <c r="H1465" s="7" t="n">
        <v>0.42</v>
      </c>
      <c r="I1465" s="8" t="n">
        <v>58.04</v>
      </c>
      <c r="J1465" s="8" t="n">
        <v>54.99</v>
      </c>
      <c r="K1465" s="8" t="n">
        <v>91.61</v>
      </c>
      <c r="L1465" s="8" t="n">
        <v>0</v>
      </c>
      <c r="M1465" s="9">
        <f>ROUND(SUM(I1465:L1465),2)</f>
        <v/>
      </c>
      <c r="N1465" s="10">
        <f>ROUND(I1465*'Irish Basis'!$C$6*'Irish Basis'!$C$5,2)</f>
        <v/>
      </c>
      <c r="O1465" s="10">
        <f>ROUND(J1465*'Irish Basis'!$C$7*'Irish Basis'!$C$5,2)</f>
        <v/>
      </c>
      <c r="P1465" s="10">
        <f>ROUND(K1465*'Irish Basis'!$C$8*'Irish Basis'!$C$5,2)</f>
        <v/>
      </c>
      <c r="Q1465" s="10">
        <f>ROUND(L1465*'Irish Basis'!$C$12*'Irish Basis'!$C$5,2)</f>
        <v/>
      </c>
      <c r="R1465" s="11">
        <f>ROUND(SUM(N1465:Q1465),2)</f>
        <v/>
      </c>
      <c r="S1465" s="5" t="inlineStr">
        <is>
          <t>Stated build-up</t>
        </is>
      </c>
      <c r="T1465" s="12" t="inlineStr">
        <is>
          <t>High</t>
        </is>
      </c>
      <c r="U1465" s="8" t="n">
        <v>204.64</v>
      </c>
      <c r="V1465" s="13">
        <f>IF(U1465="","",ROUND(M1465-U1465,2))</f>
        <v/>
      </c>
      <c r="W1465" s="5" t="n"/>
      <c r="X1465" s="5" t="inlineStr">
        <is>
          <t>Labour + plant + material as published; reconciles to the published rate.</t>
        </is>
      </c>
    </row>
    <row r="1466" ht="13" customHeight="1">
      <c r="A1466" s="4" t="n">
        <v>2379</v>
      </c>
      <c r="B1466" s="5" t="inlineStr">
        <is>
          <t>IMG_0098</t>
        </is>
      </c>
      <c r="C1466" s="5" t="inlineStr">
        <is>
          <t>CLASS I: PIPEWORK - PIPES</t>
        </is>
      </c>
      <c r="D1466" s="5" t="inlineStr">
        <is>
          <t>03 IRON PIPES</t>
        </is>
      </c>
      <c r="E1466" s="5" t="inlineStr">
        <is>
          <t>Ductile iron pipes to BS 4772, Tyton joints; 100 mm pipes; in trenches, depth (continued)</t>
        </is>
      </c>
      <c r="F1466" s="5" t="inlineStr">
        <is>
          <t>3.50-4.00 m deep</t>
        </is>
      </c>
      <c r="G1466" s="6" t="inlineStr">
        <is>
          <t>m</t>
        </is>
      </c>
      <c r="H1466" s="7" t="n">
        <v>0.53</v>
      </c>
      <c r="I1466" s="8" t="n">
        <v>73.23999999999999</v>
      </c>
      <c r="J1466" s="8" t="n">
        <v>69.42</v>
      </c>
      <c r="K1466" s="8" t="n">
        <v>91.61</v>
      </c>
      <c r="L1466" s="8" t="n">
        <v>0</v>
      </c>
      <c r="M1466" s="9">
        <f>ROUND(SUM(I1466:L1466),2)</f>
        <v/>
      </c>
      <c r="N1466" s="10">
        <f>ROUND(I1466*'Irish Basis'!$C$6*'Irish Basis'!$C$5,2)</f>
        <v/>
      </c>
      <c r="O1466" s="10">
        <f>ROUND(J1466*'Irish Basis'!$C$7*'Irish Basis'!$C$5,2)</f>
        <v/>
      </c>
      <c r="P1466" s="10">
        <f>ROUND(K1466*'Irish Basis'!$C$8*'Irish Basis'!$C$5,2)</f>
        <v/>
      </c>
      <c r="Q1466" s="10">
        <f>ROUND(L1466*'Irish Basis'!$C$12*'Irish Basis'!$C$5,2)</f>
        <v/>
      </c>
      <c r="R1466" s="11">
        <f>ROUND(SUM(N1466:Q1466),2)</f>
        <v/>
      </c>
      <c r="S1466" s="5" t="inlineStr">
        <is>
          <t>Stated build-up</t>
        </is>
      </c>
      <c r="T1466" s="12" t="inlineStr">
        <is>
          <t>High</t>
        </is>
      </c>
      <c r="U1466" s="8" t="n">
        <v>234.26</v>
      </c>
      <c r="V1466" s="13">
        <f>IF(U1466="","",ROUND(M1466-U1466,2))</f>
        <v/>
      </c>
      <c r="W1466" s="5" t="n"/>
      <c r="X1466" s="5" t="inlineStr">
        <is>
          <t>Labour + plant + material as published; reconciles to the published rate.</t>
        </is>
      </c>
    </row>
    <row r="1467" ht="13" customHeight="1">
      <c r="A1467" s="4" t="n">
        <v>2380</v>
      </c>
      <c r="B1467" s="5" t="inlineStr">
        <is>
          <t>IMG_0098</t>
        </is>
      </c>
      <c r="C1467" s="5" t="inlineStr">
        <is>
          <t>CLASS I: PIPEWORK - PIPES</t>
        </is>
      </c>
      <c r="D1467" s="5" t="inlineStr">
        <is>
          <t>03 IRON PIPES</t>
        </is>
      </c>
      <c r="E1467" s="5" t="inlineStr">
        <is>
          <t>Ductile iron pipes to BS 4772, Tyton joints; 100 mm pipes; in trenches, depth (continued)</t>
        </is>
      </c>
      <c r="F1467" s="5" t="inlineStr">
        <is>
          <t>4.00-4.50 m deep</t>
        </is>
      </c>
      <c r="G1467" s="6" t="inlineStr">
        <is>
          <t>m</t>
        </is>
      </c>
      <c r="H1467" s="7" t="n">
        <v>0.66</v>
      </c>
      <c r="I1467" s="8" t="n">
        <v>91.2</v>
      </c>
      <c r="J1467" s="8" t="n">
        <v>86.48</v>
      </c>
      <c r="K1467" s="8" t="n">
        <v>91.61</v>
      </c>
      <c r="L1467" s="8" t="n">
        <v>0</v>
      </c>
      <c r="M1467" s="9">
        <f>ROUND(SUM(I1467:L1467),2)</f>
        <v/>
      </c>
      <c r="N1467" s="10">
        <f>ROUND(I1467*'Irish Basis'!$C$6*'Irish Basis'!$C$5,2)</f>
        <v/>
      </c>
      <c r="O1467" s="10">
        <f>ROUND(J1467*'Irish Basis'!$C$7*'Irish Basis'!$C$5,2)</f>
        <v/>
      </c>
      <c r="P1467" s="10">
        <f>ROUND(K1467*'Irish Basis'!$C$8*'Irish Basis'!$C$5,2)</f>
        <v/>
      </c>
      <c r="Q1467" s="10">
        <f>ROUND(L1467*'Irish Basis'!$C$12*'Irish Basis'!$C$5,2)</f>
        <v/>
      </c>
      <c r="R1467" s="11">
        <f>ROUND(SUM(N1467:Q1467),2)</f>
        <v/>
      </c>
      <c r="S1467" s="5" t="inlineStr">
        <is>
          <t>Stated build-up</t>
        </is>
      </c>
      <c r="T1467" s="12" t="inlineStr">
        <is>
          <t>High</t>
        </is>
      </c>
      <c r="U1467" s="8" t="n">
        <v>269.29</v>
      </c>
      <c r="V1467" s="13">
        <f>IF(U1467="","",ROUND(M1467-U1467,2))</f>
        <v/>
      </c>
      <c r="W1467" s="5" t="n"/>
      <c r="X1467" s="5" t="inlineStr">
        <is>
          <t>Labour + plant + material as published; reconciles to the published rate.</t>
        </is>
      </c>
    </row>
    <row r="1468" ht="13" customHeight="1">
      <c r="A1468" s="4" t="n">
        <v>2381</v>
      </c>
      <c r="B1468" s="5" t="inlineStr">
        <is>
          <t>IMG_0098</t>
        </is>
      </c>
      <c r="C1468" s="5" t="inlineStr">
        <is>
          <t>CLASS I: PIPEWORK - PIPES</t>
        </is>
      </c>
      <c r="D1468" s="5" t="inlineStr">
        <is>
          <t>03 IRON PIPES</t>
        </is>
      </c>
      <c r="E1468" s="5" t="inlineStr">
        <is>
          <t>Ductile iron pipes to BS 4772, Tyton joints; 100 mm pipes; in trenches, depth (continued)</t>
        </is>
      </c>
      <c r="F1468" s="5" t="inlineStr">
        <is>
          <t>4.50-5.00 m deep</t>
        </is>
      </c>
      <c r="G1468" s="6" t="inlineStr">
        <is>
          <t>m</t>
        </is>
      </c>
      <c r="H1468" s="7" t="n">
        <v>0.84</v>
      </c>
      <c r="I1468" s="8" t="n">
        <v>116.07</v>
      </c>
      <c r="J1468" s="8" t="n">
        <v>110.07</v>
      </c>
      <c r="K1468" s="8" t="n">
        <v>91.61</v>
      </c>
      <c r="L1468" s="8" t="n">
        <v>0</v>
      </c>
      <c r="M1468" s="9">
        <f>ROUND(SUM(I1468:L1468),2)</f>
        <v/>
      </c>
      <c r="N1468" s="10">
        <f>ROUND(I1468*'Irish Basis'!$C$6*'Irish Basis'!$C$5,2)</f>
        <v/>
      </c>
      <c r="O1468" s="10">
        <f>ROUND(J1468*'Irish Basis'!$C$7*'Irish Basis'!$C$5,2)</f>
        <v/>
      </c>
      <c r="P1468" s="10">
        <f>ROUND(K1468*'Irish Basis'!$C$8*'Irish Basis'!$C$5,2)</f>
        <v/>
      </c>
      <c r="Q1468" s="10">
        <f>ROUND(L1468*'Irish Basis'!$C$12*'Irish Basis'!$C$5,2)</f>
        <v/>
      </c>
      <c r="R1468" s="11">
        <f>ROUND(SUM(N1468:Q1468),2)</f>
        <v/>
      </c>
      <c r="S1468" s="5" t="inlineStr">
        <is>
          <t>Stated build-up</t>
        </is>
      </c>
      <c r="T1468" s="12" t="inlineStr">
        <is>
          <t>High</t>
        </is>
      </c>
      <c r="U1468" s="8" t="n">
        <v>317.76</v>
      </c>
      <c r="V1468" s="13">
        <f>IF(U1468="","",ROUND(M1468-U1468,2))</f>
        <v/>
      </c>
      <c r="W1468" s="5" t="n"/>
      <c r="X1468" s="5" t="inlineStr">
        <is>
          <t>Labour + plant + material as published; reconciles to the published rate.</t>
        </is>
      </c>
    </row>
    <row r="1469" ht="13" customHeight="1">
      <c r="A1469" s="4" t="n">
        <v>2382</v>
      </c>
      <c r="B1469" s="5" t="inlineStr">
        <is>
          <t>IMG_0098</t>
        </is>
      </c>
      <c r="C1469" s="5" t="inlineStr">
        <is>
          <t>CLASS I: PIPEWORK - PIPES</t>
        </is>
      </c>
      <c r="D1469" s="5" t="inlineStr">
        <is>
          <t>03 IRON PIPES</t>
        </is>
      </c>
      <c r="E1469" s="5" t="inlineStr">
        <is>
          <t>Ductile iron pipes to BS 4772, Tyton joints; 100 mm pipes; in trenches, depth (continued)</t>
        </is>
      </c>
      <c r="F1469" s="5" t="inlineStr">
        <is>
          <t>5.00-5.50 m deep</t>
        </is>
      </c>
      <c r="G1469" s="6" t="inlineStr">
        <is>
          <t>m</t>
        </is>
      </c>
      <c r="H1469" s="7" t="n">
        <v>1.08</v>
      </c>
      <c r="I1469" s="8" t="n">
        <v>149.23</v>
      </c>
      <c r="J1469" s="8" t="n">
        <v>141.57</v>
      </c>
      <c r="K1469" s="8" t="n">
        <v>91.61</v>
      </c>
      <c r="L1469" s="8" t="n">
        <v>0</v>
      </c>
      <c r="M1469" s="9">
        <f>ROUND(SUM(I1469:L1469),2)</f>
        <v/>
      </c>
      <c r="N1469" s="10">
        <f>ROUND(I1469*'Irish Basis'!$C$6*'Irish Basis'!$C$5,2)</f>
        <v/>
      </c>
      <c r="O1469" s="10">
        <f>ROUND(J1469*'Irish Basis'!$C$7*'Irish Basis'!$C$5,2)</f>
        <v/>
      </c>
      <c r="P1469" s="10">
        <f>ROUND(K1469*'Irish Basis'!$C$8*'Irish Basis'!$C$5,2)</f>
        <v/>
      </c>
      <c r="Q1469" s="10">
        <f>ROUND(L1469*'Irish Basis'!$C$12*'Irish Basis'!$C$5,2)</f>
        <v/>
      </c>
      <c r="R1469" s="11">
        <f>ROUND(SUM(N1469:Q1469),2)</f>
        <v/>
      </c>
      <c r="S1469" s="5" t="inlineStr">
        <is>
          <t>Stated build-up</t>
        </is>
      </c>
      <c r="T1469" s="12" t="inlineStr">
        <is>
          <t>High</t>
        </is>
      </c>
      <c r="U1469" s="8" t="n">
        <v>382.42</v>
      </c>
      <c r="V1469" s="13">
        <f>IF(U1469="","",ROUND(M1469-U1469,2))</f>
        <v/>
      </c>
      <c r="W1469" s="5" t="n"/>
      <c r="X1469" s="5" t="inlineStr">
        <is>
          <t>Labour + plant + material as published; reconciles to the published rate.</t>
        </is>
      </c>
    </row>
    <row r="1470" ht="13" customHeight="1">
      <c r="A1470" s="4" t="n">
        <v>2383</v>
      </c>
      <c r="B1470" s="5" t="inlineStr">
        <is>
          <t>IMG_0098</t>
        </is>
      </c>
      <c r="C1470" s="5" t="inlineStr">
        <is>
          <t>CLASS I: PIPEWORK - PIPES</t>
        </is>
      </c>
      <c r="D1470" s="5" t="inlineStr">
        <is>
          <t>03 IRON PIPES</t>
        </is>
      </c>
      <c r="E1470" s="5" t="inlineStr">
        <is>
          <t>Ductile iron pipes to BS 4772, Tyton joints; 100 mm pipes; in trenches, depth (continued)</t>
        </is>
      </c>
      <c r="F1470" s="5" t="inlineStr">
        <is>
          <t>extra for bend; 90 deg</t>
        </is>
      </c>
      <c r="G1470" s="6" t="inlineStr">
        <is>
          <t>nr</t>
        </is>
      </c>
      <c r="H1470" s="7" t="n">
        <v>0.38</v>
      </c>
      <c r="I1470" s="8" t="n">
        <v>52.51</v>
      </c>
      <c r="J1470" s="8" t="n">
        <v>36.65</v>
      </c>
      <c r="K1470" s="8" t="n">
        <v>170.26</v>
      </c>
      <c r="L1470" s="8" t="n">
        <v>0</v>
      </c>
      <c r="M1470" s="9">
        <f>ROUND(SUM(I1470:L1470),2)</f>
        <v/>
      </c>
      <c r="N1470" s="10">
        <f>ROUND(I1470*'Irish Basis'!$C$6*'Irish Basis'!$C$5,2)</f>
        <v/>
      </c>
      <c r="O1470" s="10">
        <f>ROUND(J1470*'Irish Basis'!$C$7*'Irish Basis'!$C$5,2)</f>
        <v/>
      </c>
      <c r="P1470" s="10">
        <f>ROUND(K1470*'Irish Basis'!$C$8*'Irish Basis'!$C$5,2)</f>
        <v/>
      </c>
      <c r="Q1470" s="10">
        <f>ROUND(L1470*'Irish Basis'!$C$12*'Irish Basis'!$C$5,2)</f>
        <v/>
      </c>
      <c r="R1470" s="11">
        <f>ROUND(SUM(N1470:Q1470),2)</f>
        <v/>
      </c>
      <c r="S1470" s="5" t="inlineStr">
        <is>
          <t>Stated build-up</t>
        </is>
      </c>
      <c r="T1470" s="12" t="inlineStr">
        <is>
          <t>High</t>
        </is>
      </c>
      <c r="U1470" s="8" t="n">
        <v>259.42</v>
      </c>
      <c r="V1470" s="13">
        <f>IF(U1470="","",ROUND(M1470-U1470,2))</f>
        <v/>
      </c>
      <c r="W1470" s="5" t="n"/>
      <c r="X1470" s="5" t="inlineStr">
        <is>
          <t>Labour + plant + material as published; reconciles to the published rate.</t>
        </is>
      </c>
    </row>
    <row r="1471" ht="13" customHeight="1">
      <c r="A1471" s="4" t="n">
        <v>2384</v>
      </c>
      <c r="B1471" s="5" t="inlineStr">
        <is>
          <t>IMG_0098</t>
        </is>
      </c>
      <c r="C1471" s="5" t="inlineStr">
        <is>
          <t>CLASS I: PIPEWORK - PIPES</t>
        </is>
      </c>
      <c r="D1471" s="5" t="inlineStr">
        <is>
          <t>03 IRON PIPES</t>
        </is>
      </c>
      <c r="E1471" s="5" t="inlineStr">
        <is>
          <t>Ductile iron pipes to BS 4772, Tyton joints; 100 mm pipes; in trenches, depth (continued)</t>
        </is>
      </c>
      <c r="F1471" s="5" t="inlineStr">
        <is>
          <t>extra for single junction; equal</t>
        </is>
      </c>
      <c r="G1471" s="6" t="inlineStr">
        <is>
          <t>nr</t>
        </is>
      </c>
      <c r="H1471" s="7" t="n">
        <v>0.6</v>
      </c>
      <c r="I1471" s="8" t="n">
        <v>82.91</v>
      </c>
      <c r="J1471" s="8" t="n">
        <v>10.11</v>
      </c>
      <c r="K1471" s="8" t="n">
        <v>366.28</v>
      </c>
      <c r="L1471" s="8" t="n">
        <v>0</v>
      </c>
      <c r="M1471" s="9">
        <f>ROUND(SUM(I1471:L1471),2)</f>
        <v/>
      </c>
      <c r="N1471" s="10">
        <f>ROUND(I1471*'Irish Basis'!$C$6*'Irish Basis'!$C$5,2)</f>
        <v/>
      </c>
      <c r="O1471" s="10">
        <f>ROUND(J1471*'Irish Basis'!$C$7*'Irish Basis'!$C$5,2)</f>
        <v/>
      </c>
      <c r="P1471" s="10">
        <f>ROUND(K1471*'Irish Basis'!$C$8*'Irish Basis'!$C$5,2)</f>
        <v/>
      </c>
      <c r="Q1471" s="10">
        <f>ROUND(L1471*'Irish Basis'!$C$12*'Irish Basis'!$C$5,2)</f>
        <v/>
      </c>
      <c r="R1471" s="11">
        <f>ROUND(SUM(N1471:Q1471),2)</f>
        <v/>
      </c>
      <c r="S1471" s="5" t="inlineStr">
        <is>
          <t>Stated build-up</t>
        </is>
      </c>
      <c r="T1471" s="12" t="inlineStr">
        <is>
          <t>High</t>
        </is>
      </c>
      <c r="U1471" s="8" t="n">
        <v>459.29</v>
      </c>
      <c r="V1471" s="13">
        <f>IF(U1471="","",ROUND(M1471-U1471,2))</f>
        <v/>
      </c>
      <c r="W1471" s="5" t="n"/>
      <c r="X1471" s="5" t="inlineStr">
        <is>
          <t>Labour + plant + material as published; reconciles to the published rate.</t>
        </is>
      </c>
    </row>
    <row r="1472" ht="13" customHeight="1">
      <c r="A1472" s="4" t="n">
        <v>2386</v>
      </c>
      <c r="B1472" s="5" t="inlineStr">
        <is>
          <t>IMG_0098</t>
        </is>
      </c>
      <c r="C1472" s="5" t="inlineStr">
        <is>
          <t>CLASS I: PIPEWORK - PIPES</t>
        </is>
      </c>
      <c r="D1472" s="5" t="inlineStr">
        <is>
          <t>03 IRON PIPES</t>
        </is>
      </c>
      <c r="E1472" s="5" t="inlineStr">
        <is>
          <t>150 mm pipes; in trenches, depth</t>
        </is>
      </c>
      <c r="F1472" s="5" t="inlineStr">
        <is>
          <t>not in trenches</t>
        </is>
      </c>
      <c r="G1472" s="6" t="inlineStr">
        <is>
          <t>m</t>
        </is>
      </c>
      <c r="H1472" s="7" t="n">
        <v>0.11</v>
      </c>
      <c r="I1472" s="8" t="n">
        <v>9.49</v>
      </c>
      <c r="J1472" s="8" t="n">
        <v>0.5600000000000001</v>
      </c>
      <c r="K1472" s="8" t="n">
        <v>114.85</v>
      </c>
      <c r="L1472" s="8" t="n">
        <v>0</v>
      </c>
      <c r="M1472" s="9">
        <f>ROUND(SUM(I1472:L1472),2)</f>
        <v/>
      </c>
      <c r="N1472" s="10">
        <f>ROUND(I1472*'Irish Basis'!$C$6*'Irish Basis'!$C$5,2)</f>
        <v/>
      </c>
      <c r="O1472" s="10">
        <f>ROUND(J1472*'Irish Basis'!$C$7*'Irish Basis'!$C$5,2)</f>
        <v/>
      </c>
      <c r="P1472" s="10">
        <f>ROUND(K1472*'Irish Basis'!$C$8*'Irish Basis'!$C$5,2)</f>
        <v/>
      </c>
      <c r="Q1472" s="10">
        <f>ROUND(L1472*'Irish Basis'!$C$12*'Irish Basis'!$C$5,2)</f>
        <v/>
      </c>
      <c r="R1472" s="11">
        <f>ROUND(SUM(N1472:Q1472),2)</f>
        <v/>
      </c>
      <c r="S1472" s="5" t="inlineStr">
        <is>
          <t>Stated build-up</t>
        </is>
      </c>
      <c r="T1472" s="12" t="inlineStr">
        <is>
          <t>High</t>
        </is>
      </c>
      <c r="U1472" s="8" t="n">
        <v>124.91</v>
      </c>
      <c r="V1472" s="13">
        <f>IF(U1472="","",ROUND(M1472-U1472,2))</f>
        <v/>
      </c>
      <c r="W1472" s="5" t="n"/>
      <c r="X1472" s="5" t="inlineStr">
        <is>
          <t>Labour + plant + material as published; reconciles to the published rate.</t>
        </is>
      </c>
    </row>
    <row r="1473" ht="13" customHeight="1">
      <c r="A1473" s="4" t="n">
        <v>2387</v>
      </c>
      <c r="B1473" s="5" t="inlineStr">
        <is>
          <t>IMG_0098</t>
        </is>
      </c>
      <c r="C1473" s="5" t="inlineStr">
        <is>
          <t>CLASS I: PIPEWORK - PIPES</t>
        </is>
      </c>
      <c r="D1473" s="5" t="inlineStr">
        <is>
          <t>03 IRON PIPES</t>
        </is>
      </c>
      <c r="E1473" s="5" t="inlineStr">
        <is>
          <t>150 mm pipes; in trenches, depth</t>
        </is>
      </c>
      <c r="F1473" s="5" t="inlineStr">
        <is>
          <t>ne 1.50 m deep</t>
        </is>
      </c>
      <c r="G1473" s="6" t="inlineStr">
        <is>
          <t>m</t>
        </is>
      </c>
      <c r="H1473" s="7" t="n">
        <v>0.21</v>
      </c>
      <c r="I1473" s="8" t="n">
        <v>29.02</v>
      </c>
      <c r="J1473" s="8" t="n">
        <v>27.42</v>
      </c>
      <c r="K1473" s="8" t="n">
        <v>114.85</v>
      </c>
      <c r="L1473" s="8" t="n">
        <v>0</v>
      </c>
      <c r="M1473" s="9">
        <f>ROUND(SUM(I1473:L1473),2)</f>
        <v/>
      </c>
      <c r="N1473" s="10">
        <f>ROUND(I1473*'Irish Basis'!$C$6*'Irish Basis'!$C$5,2)</f>
        <v/>
      </c>
      <c r="O1473" s="10">
        <f>ROUND(J1473*'Irish Basis'!$C$7*'Irish Basis'!$C$5,2)</f>
        <v/>
      </c>
      <c r="P1473" s="10">
        <f>ROUND(K1473*'Irish Basis'!$C$8*'Irish Basis'!$C$5,2)</f>
        <v/>
      </c>
      <c r="Q1473" s="10">
        <f>ROUND(L1473*'Irish Basis'!$C$12*'Irish Basis'!$C$5,2)</f>
        <v/>
      </c>
      <c r="R1473" s="11">
        <f>ROUND(SUM(N1473:Q1473),2)</f>
        <v/>
      </c>
      <c r="S1473" s="5" t="inlineStr">
        <is>
          <t>Stated build-up</t>
        </is>
      </c>
      <c r="T1473" s="12" t="inlineStr">
        <is>
          <t>High</t>
        </is>
      </c>
      <c r="U1473" s="8" t="n">
        <v>171.29</v>
      </c>
      <c r="V1473" s="13">
        <f>IF(U1473="","",ROUND(M1473-U1473,2))</f>
        <v/>
      </c>
      <c r="W1473" s="5" t="n"/>
      <c r="X1473" s="5" t="inlineStr">
        <is>
          <t>Labour + plant + material as published; reconciles to the published rate.</t>
        </is>
      </c>
    </row>
    <row r="1474" ht="13" customHeight="1">
      <c r="A1474" s="4" t="n">
        <v>2388</v>
      </c>
      <c r="B1474" s="5" t="inlineStr">
        <is>
          <t>IMG_0098</t>
        </is>
      </c>
      <c r="C1474" s="5" t="inlineStr">
        <is>
          <t>CLASS I: PIPEWORK - PIPES</t>
        </is>
      </c>
      <c r="D1474" s="5" t="inlineStr">
        <is>
          <t>03 IRON PIPES</t>
        </is>
      </c>
      <c r="E1474" s="5" t="inlineStr">
        <is>
          <t>150 mm pipes; in trenches, depth</t>
        </is>
      </c>
      <c r="F1474" s="5" t="inlineStr">
        <is>
          <t>1.50-2.00 m deep</t>
        </is>
      </c>
      <c r="G1474" s="6" t="inlineStr">
        <is>
          <t>m</t>
        </is>
      </c>
      <c r="H1474" s="7" t="n">
        <v>0.25</v>
      </c>
      <c r="I1474" s="8" t="n">
        <v>34.55</v>
      </c>
      <c r="J1474" s="8" t="n">
        <v>32.7</v>
      </c>
      <c r="K1474" s="8" t="n">
        <v>114.85</v>
      </c>
      <c r="L1474" s="8" t="n">
        <v>0</v>
      </c>
      <c r="M1474" s="9">
        <f>ROUND(SUM(I1474:L1474),2)</f>
        <v/>
      </c>
      <c r="N1474" s="10">
        <f>ROUND(I1474*'Irish Basis'!$C$6*'Irish Basis'!$C$5,2)</f>
        <v/>
      </c>
      <c r="O1474" s="10">
        <f>ROUND(J1474*'Irish Basis'!$C$7*'Irish Basis'!$C$5,2)</f>
        <v/>
      </c>
      <c r="P1474" s="10">
        <f>ROUND(K1474*'Irish Basis'!$C$8*'Irish Basis'!$C$5,2)</f>
        <v/>
      </c>
      <c r="Q1474" s="10">
        <f>ROUND(L1474*'Irish Basis'!$C$12*'Irish Basis'!$C$5,2)</f>
        <v/>
      </c>
      <c r="R1474" s="11">
        <f>ROUND(SUM(N1474:Q1474),2)</f>
        <v/>
      </c>
      <c r="S1474" s="5" t="inlineStr">
        <is>
          <t>Stated build-up</t>
        </is>
      </c>
      <c r="T1474" s="12" t="inlineStr">
        <is>
          <t>High</t>
        </is>
      </c>
      <c r="U1474" s="8" t="n">
        <v>182.1</v>
      </c>
      <c r="V1474" s="13">
        <f>IF(U1474="","",ROUND(M1474-U1474,2))</f>
        <v/>
      </c>
      <c r="W1474" s="5" t="n"/>
      <c r="X1474" s="5" t="inlineStr">
        <is>
          <t>Labour + plant + material as published; reconciles to the published rate.</t>
        </is>
      </c>
    </row>
    <row r="1475" ht="13" customHeight="1">
      <c r="A1475" s="4" t="n">
        <v>2389</v>
      </c>
      <c r="B1475" s="5" t="inlineStr">
        <is>
          <t>IMG_0098</t>
        </is>
      </c>
      <c r="C1475" s="5" t="inlineStr">
        <is>
          <t>CLASS I: PIPEWORK - PIPES</t>
        </is>
      </c>
      <c r="D1475" s="5" t="inlineStr">
        <is>
          <t>03 IRON PIPES</t>
        </is>
      </c>
      <c r="E1475" s="5" t="inlineStr">
        <is>
          <t>150 mm pipes; in trenches, depth</t>
        </is>
      </c>
      <c r="F1475" s="5" t="inlineStr">
        <is>
          <t>2.00-2.50 m deep</t>
        </is>
      </c>
      <c r="G1475" s="6" t="inlineStr">
        <is>
          <t>m</t>
        </is>
      </c>
      <c r="H1475" s="7" t="n">
        <v>0.3</v>
      </c>
      <c r="I1475" s="8" t="n">
        <v>41.45</v>
      </c>
      <c r="J1475" s="8" t="n">
        <v>39.19</v>
      </c>
      <c r="K1475" s="8" t="n">
        <v>114.85</v>
      </c>
      <c r="L1475" s="8" t="n">
        <v>0</v>
      </c>
      <c r="M1475" s="9">
        <f>ROUND(SUM(I1475:L1475),2)</f>
        <v/>
      </c>
      <c r="N1475" s="10">
        <f>ROUND(I1475*'Irish Basis'!$C$6*'Irish Basis'!$C$5,2)</f>
        <v/>
      </c>
      <c r="O1475" s="10">
        <f>ROUND(J1475*'Irish Basis'!$C$7*'Irish Basis'!$C$5,2)</f>
        <v/>
      </c>
      <c r="P1475" s="10">
        <f>ROUND(K1475*'Irish Basis'!$C$8*'Irish Basis'!$C$5,2)</f>
        <v/>
      </c>
      <c r="Q1475" s="10">
        <f>ROUND(L1475*'Irish Basis'!$C$12*'Irish Basis'!$C$5,2)</f>
        <v/>
      </c>
      <c r="R1475" s="11">
        <f>ROUND(SUM(N1475:Q1475),2)</f>
        <v/>
      </c>
      <c r="S1475" s="5" t="inlineStr">
        <is>
          <t>Stated build-up</t>
        </is>
      </c>
      <c r="T1475" s="12" t="inlineStr">
        <is>
          <t>High</t>
        </is>
      </c>
      <c r="U1475" s="8" t="n">
        <v>195.5</v>
      </c>
      <c r="V1475" s="13">
        <f>IF(U1475="","",ROUND(M1475-U1475,2))</f>
        <v/>
      </c>
      <c r="W1475" s="5" t="n"/>
      <c r="X1475" s="5" t="inlineStr">
        <is>
          <t>Labour + plant + material as published; reconciles to the published rate.</t>
        </is>
      </c>
    </row>
    <row r="1476" ht="13" customHeight="1">
      <c r="A1476" s="4" t="n">
        <v>2390</v>
      </c>
      <c r="B1476" s="5" t="inlineStr">
        <is>
          <t>IMG_0098</t>
        </is>
      </c>
      <c r="C1476" s="5" t="inlineStr">
        <is>
          <t>CLASS I: PIPEWORK - PIPES</t>
        </is>
      </c>
      <c r="D1476" s="5" t="inlineStr">
        <is>
          <t>03 IRON PIPES</t>
        </is>
      </c>
      <c r="E1476" s="5" t="inlineStr">
        <is>
          <t>150 mm pipes; in trenches, depth</t>
        </is>
      </c>
      <c r="F1476" s="5" t="inlineStr">
        <is>
          <t>2.50-3.00 m deep</t>
        </is>
      </c>
      <c r="G1476" s="6" t="inlineStr">
        <is>
          <t>m</t>
        </is>
      </c>
      <c r="H1476" s="7" t="n">
        <v>0.37</v>
      </c>
      <c r="I1476" s="8" t="n">
        <v>51.13</v>
      </c>
      <c r="J1476" s="8" t="n">
        <v>48.41</v>
      </c>
      <c r="K1476" s="8" t="n">
        <v>114.85</v>
      </c>
      <c r="L1476" s="8" t="n">
        <v>0</v>
      </c>
      <c r="M1476" s="9">
        <f>ROUND(SUM(I1476:L1476),2)</f>
        <v/>
      </c>
      <c r="N1476" s="10">
        <f>ROUND(I1476*'Irish Basis'!$C$6*'Irish Basis'!$C$5,2)</f>
        <v/>
      </c>
      <c r="O1476" s="10">
        <f>ROUND(J1476*'Irish Basis'!$C$7*'Irish Basis'!$C$5,2)</f>
        <v/>
      </c>
      <c r="P1476" s="10">
        <f>ROUND(K1476*'Irish Basis'!$C$8*'Irish Basis'!$C$5,2)</f>
        <v/>
      </c>
      <c r="Q1476" s="10">
        <f>ROUND(L1476*'Irish Basis'!$C$12*'Irish Basis'!$C$5,2)</f>
        <v/>
      </c>
      <c r="R1476" s="11">
        <f>ROUND(SUM(N1476:Q1476),2)</f>
        <v/>
      </c>
      <c r="S1476" s="5" t="inlineStr">
        <is>
          <t>Stated build-up</t>
        </is>
      </c>
      <c r="T1476" s="12" t="inlineStr">
        <is>
          <t>High</t>
        </is>
      </c>
      <c r="U1476" s="8" t="n">
        <v>214.39</v>
      </c>
      <c r="V1476" s="13">
        <f>IF(U1476="","",ROUND(M1476-U1476,2))</f>
        <v/>
      </c>
      <c r="W1476" s="5" t="n"/>
      <c r="X1476" s="5" t="inlineStr">
        <is>
          <t>Labour + plant + material as published; reconciles to the published rate.</t>
        </is>
      </c>
    </row>
    <row r="1477" ht="13" customHeight="1">
      <c r="A1477" s="4" t="n">
        <v>2391</v>
      </c>
      <c r="B1477" s="5" t="inlineStr">
        <is>
          <t>IMG_0098</t>
        </is>
      </c>
      <c r="C1477" s="5" t="inlineStr">
        <is>
          <t>CLASS I: PIPEWORK - PIPES</t>
        </is>
      </c>
      <c r="D1477" s="5" t="inlineStr">
        <is>
          <t>03 IRON PIPES</t>
        </is>
      </c>
      <c r="E1477" s="5" t="inlineStr">
        <is>
          <t>150 mm pipes; in trenches, depth</t>
        </is>
      </c>
      <c r="F1477" s="5" t="inlineStr">
        <is>
          <t>3.00-3.50 m deep</t>
        </is>
      </c>
      <c r="G1477" s="6" t="inlineStr">
        <is>
          <t>m</t>
        </is>
      </c>
      <c r="H1477" s="7" t="n">
        <v>0.49</v>
      </c>
      <c r="I1477" s="8" t="n">
        <v>67.70999999999999</v>
      </c>
      <c r="J1477" s="8" t="n">
        <v>64.14</v>
      </c>
      <c r="K1477" s="8" t="n">
        <v>114.85</v>
      </c>
      <c r="L1477" s="8" t="n">
        <v>0</v>
      </c>
      <c r="M1477" s="9">
        <f>ROUND(SUM(I1477:L1477),2)</f>
        <v/>
      </c>
      <c r="N1477" s="10">
        <f>ROUND(I1477*'Irish Basis'!$C$6*'Irish Basis'!$C$5,2)</f>
        <v/>
      </c>
      <c r="O1477" s="10">
        <f>ROUND(J1477*'Irish Basis'!$C$7*'Irish Basis'!$C$5,2)</f>
        <v/>
      </c>
      <c r="P1477" s="10">
        <f>ROUND(K1477*'Irish Basis'!$C$8*'Irish Basis'!$C$5,2)</f>
        <v/>
      </c>
      <c r="Q1477" s="10">
        <f>ROUND(L1477*'Irish Basis'!$C$12*'Irish Basis'!$C$5,2)</f>
        <v/>
      </c>
      <c r="R1477" s="11">
        <f>ROUND(SUM(N1477:Q1477),2)</f>
        <v/>
      </c>
      <c r="S1477" s="5" t="inlineStr">
        <is>
          <t>Stated build-up</t>
        </is>
      </c>
      <c r="T1477" s="12" t="inlineStr">
        <is>
          <t>High</t>
        </is>
      </c>
      <c r="U1477" s="8" t="n">
        <v>246.7</v>
      </c>
      <c r="V1477" s="13">
        <f>IF(U1477="","",ROUND(M1477-U1477,2))</f>
        <v/>
      </c>
      <c r="W1477" s="5" t="n"/>
      <c r="X1477" s="5" t="inlineStr">
        <is>
          <t>Labour + plant + material as published; reconciles to the published rate.</t>
        </is>
      </c>
    </row>
    <row r="1478" ht="13" customHeight="1">
      <c r="A1478" s="4" t="n">
        <v>2392</v>
      </c>
      <c r="B1478" s="5" t="inlineStr">
        <is>
          <t>IMG_0098</t>
        </is>
      </c>
      <c r="C1478" s="5" t="inlineStr">
        <is>
          <t>CLASS I: PIPEWORK - PIPES</t>
        </is>
      </c>
      <c r="D1478" s="5" t="inlineStr">
        <is>
          <t>03 IRON PIPES</t>
        </is>
      </c>
      <c r="E1478" s="5" t="inlineStr">
        <is>
          <t>150 mm pipes; in trenches, depth</t>
        </is>
      </c>
      <c r="F1478" s="5" t="inlineStr">
        <is>
          <t>3.50-4.00 m deep</t>
        </is>
      </c>
      <c r="G1478" s="6" t="inlineStr">
        <is>
          <t>m</t>
        </is>
      </c>
      <c r="H1478" s="7" t="n">
        <v>0.55</v>
      </c>
      <c r="I1478" s="8" t="n">
        <v>76</v>
      </c>
      <c r="J1478" s="8" t="n">
        <v>72.01000000000001</v>
      </c>
      <c r="K1478" s="8" t="n">
        <v>114.85</v>
      </c>
      <c r="L1478" s="8" t="n">
        <v>0</v>
      </c>
      <c r="M1478" s="9">
        <f>ROUND(SUM(I1478:L1478),2)</f>
        <v/>
      </c>
      <c r="N1478" s="10">
        <f>ROUND(I1478*'Irish Basis'!$C$6*'Irish Basis'!$C$5,2)</f>
        <v/>
      </c>
      <c r="O1478" s="10">
        <f>ROUND(J1478*'Irish Basis'!$C$7*'Irish Basis'!$C$5,2)</f>
        <v/>
      </c>
      <c r="P1478" s="10">
        <f>ROUND(K1478*'Irish Basis'!$C$8*'Irish Basis'!$C$5,2)</f>
        <v/>
      </c>
      <c r="Q1478" s="10">
        <f>ROUND(L1478*'Irish Basis'!$C$12*'Irish Basis'!$C$5,2)</f>
        <v/>
      </c>
      <c r="R1478" s="11">
        <f>ROUND(SUM(N1478:Q1478),2)</f>
        <v/>
      </c>
      <c r="S1478" s="5" t="inlineStr">
        <is>
          <t>Stated build-up</t>
        </is>
      </c>
      <c r="T1478" s="12" t="inlineStr">
        <is>
          <t>High</t>
        </is>
      </c>
      <c r="U1478" s="8" t="n">
        <v>262.86</v>
      </c>
      <c r="V1478" s="13">
        <f>IF(U1478="","",ROUND(M1478-U1478,2))</f>
        <v/>
      </c>
      <c r="W1478" s="5" t="n"/>
      <c r="X1478" s="5" t="inlineStr">
        <is>
          <t>Labour + plant + material as published; reconciles to the published rate.</t>
        </is>
      </c>
    </row>
    <row r="1479" ht="13" customHeight="1">
      <c r="A1479" s="4" t="n">
        <v>2393</v>
      </c>
      <c r="B1479" s="5" t="inlineStr">
        <is>
          <t>IMG_0098</t>
        </is>
      </c>
      <c r="C1479" s="5" t="inlineStr">
        <is>
          <t>CLASS I: PIPEWORK - PIPES</t>
        </is>
      </c>
      <c r="D1479" s="5" t="inlineStr">
        <is>
          <t>03 IRON PIPES</t>
        </is>
      </c>
      <c r="E1479" s="5" t="inlineStr">
        <is>
          <t>150 mm pipes; in trenches, depth</t>
        </is>
      </c>
      <c r="F1479" s="5" t="inlineStr">
        <is>
          <t>4.00-4.50 m deep</t>
        </is>
      </c>
      <c r="G1479" s="6" t="inlineStr">
        <is>
          <t>m</t>
        </is>
      </c>
      <c r="H1479" s="7" t="n">
        <v>0.72</v>
      </c>
      <c r="I1479" s="8" t="n">
        <v>99.48999999999999</v>
      </c>
      <c r="J1479" s="8" t="n">
        <v>94.31</v>
      </c>
      <c r="K1479" s="8" t="n">
        <v>114.85</v>
      </c>
      <c r="L1479" s="8" t="n">
        <v>0</v>
      </c>
      <c r="M1479" s="9">
        <f>ROUND(SUM(I1479:L1479),2)</f>
        <v/>
      </c>
      <c r="N1479" s="10">
        <f>ROUND(I1479*'Irish Basis'!$C$6*'Irish Basis'!$C$5,2)</f>
        <v/>
      </c>
      <c r="O1479" s="10">
        <f>ROUND(J1479*'Irish Basis'!$C$7*'Irish Basis'!$C$5,2)</f>
        <v/>
      </c>
      <c r="P1479" s="10">
        <f>ROUND(K1479*'Irish Basis'!$C$8*'Irish Basis'!$C$5,2)</f>
        <v/>
      </c>
      <c r="Q1479" s="10">
        <f>ROUND(L1479*'Irish Basis'!$C$12*'Irish Basis'!$C$5,2)</f>
        <v/>
      </c>
      <c r="R1479" s="11">
        <f>ROUND(SUM(N1479:Q1479),2)</f>
        <v/>
      </c>
      <c r="S1479" s="5" t="inlineStr">
        <is>
          <t>Stated build-up</t>
        </is>
      </c>
      <c r="T1479" s="12" t="inlineStr">
        <is>
          <t>High</t>
        </is>
      </c>
      <c r="U1479" s="8" t="n">
        <v>308.65</v>
      </c>
      <c r="V1479" s="13">
        <f>IF(U1479="","",ROUND(M1479-U1479,2))</f>
        <v/>
      </c>
      <c r="W1479" s="5" t="n"/>
      <c r="X1479" s="5" t="inlineStr">
        <is>
          <t>Labour + plant + material as published; reconciles to the published rate.</t>
        </is>
      </c>
    </row>
    <row r="1480" ht="13" customHeight="1">
      <c r="A1480" s="4" t="n">
        <v>2394</v>
      </c>
      <c r="B1480" s="5" t="inlineStr">
        <is>
          <t>IMG_0098</t>
        </is>
      </c>
      <c r="C1480" s="5" t="inlineStr">
        <is>
          <t>CLASS I: PIPEWORK - PIPES</t>
        </is>
      </c>
      <c r="D1480" s="5" t="inlineStr">
        <is>
          <t>03 IRON PIPES</t>
        </is>
      </c>
      <c r="E1480" s="5" t="inlineStr">
        <is>
          <t>150 mm pipes; in trenches, depth</t>
        </is>
      </c>
      <c r="F1480" s="5" t="inlineStr">
        <is>
          <t>4.50-5.00 m deep</t>
        </is>
      </c>
      <c r="G1480" s="6" t="inlineStr">
        <is>
          <t>m</t>
        </is>
      </c>
      <c r="H1480" s="7" t="n">
        <v>0.9399999999999999</v>
      </c>
      <c r="I1480" s="8" t="n">
        <v>129.89</v>
      </c>
      <c r="J1480" s="8" t="n">
        <v>123.15</v>
      </c>
      <c r="K1480" s="8" t="n">
        <v>114.85</v>
      </c>
      <c r="L1480" s="8" t="n">
        <v>0</v>
      </c>
      <c r="M1480" s="9">
        <f>ROUND(SUM(I1480:L1480),2)</f>
        <v/>
      </c>
      <c r="N1480" s="10">
        <f>ROUND(I1480*'Irish Basis'!$C$6*'Irish Basis'!$C$5,2)</f>
        <v/>
      </c>
      <c r="O1480" s="10">
        <f>ROUND(J1480*'Irish Basis'!$C$7*'Irish Basis'!$C$5,2)</f>
        <v/>
      </c>
      <c r="P1480" s="10">
        <f>ROUND(K1480*'Irish Basis'!$C$8*'Irish Basis'!$C$5,2)</f>
        <v/>
      </c>
      <c r="Q1480" s="10">
        <f>ROUND(L1480*'Irish Basis'!$C$12*'Irish Basis'!$C$5,2)</f>
        <v/>
      </c>
      <c r="R1480" s="11">
        <f>ROUND(SUM(N1480:Q1480),2)</f>
        <v/>
      </c>
      <c r="S1480" s="5" t="inlineStr">
        <is>
          <t>Stated build-up</t>
        </is>
      </c>
      <c r="T1480" s="12" t="inlineStr">
        <is>
          <t>High</t>
        </is>
      </c>
      <c r="U1480" s="8" t="n">
        <v>367.89</v>
      </c>
      <c r="V1480" s="13">
        <f>IF(U1480="","",ROUND(M1480-U1480,2))</f>
        <v/>
      </c>
      <c r="W1480" s="5" t="n"/>
      <c r="X1480" s="5" t="inlineStr">
        <is>
          <t>Labour + plant + material as published; reconciles to the published rate.</t>
        </is>
      </c>
    </row>
    <row r="1481" ht="13" customHeight="1">
      <c r="A1481" s="4" t="n">
        <v>2395</v>
      </c>
      <c r="B1481" s="5" t="inlineStr">
        <is>
          <t>IMG_0098</t>
        </is>
      </c>
      <c r="C1481" s="5" t="inlineStr">
        <is>
          <t>CLASS I: PIPEWORK - PIPES</t>
        </is>
      </c>
      <c r="D1481" s="5" t="inlineStr">
        <is>
          <t>03 IRON PIPES</t>
        </is>
      </c>
      <c r="E1481" s="5" t="inlineStr">
        <is>
          <t>150 mm pipes; in trenches, depth</t>
        </is>
      </c>
      <c r="F1481" s="5" t="inlineStr">
        <is>
          <t>5.00-5.50 m deep</t>
        </is>
      </c>
      <c r="G1481" s="6" t="inlineStr">
        <is>
          <t>m</t>
        </is>
      </c>
      <c r="H1481" s="7" t="n">
        <v>1.19</v>
      </c>
      <c r="I1481" s="8" t="n">
        <v>164.43</v>
      </c>
      <c r="J1481" s="8" t="n">
        <v>155.98</v>
      </c>
      <c r="K1481" s="8" t="n">
        <v>114.85</v>
      </c>
      <c r="L1481" s="8" t="n">
        <v>0</v>
      </c>
      <c r="M1481" s="9">
        <f>ROUND(SUM(I1481:L1481),2)</f>
        <v/>
      </c>
      <c r="N1481" s="10">
        <f>ROUND(I1481*'Irish Basis'!$C$6*'Irish Basis'!$C$5,2)</f>
        <v/>
      </c>
      <c r="O1481" s="10">
        <f>ROUND(J1481*'Irish Basis'!$C$7*'Irish Basis'!$C$5,2)</f>
        <v/>
      </c>
      <c r="P1481" s="10">
        <f>ROUND(K1481*'Irish Basis'!$C$8*'Irish Basis'!$C$5,2)</f>
        <v/>
      </c>
      <c r="Q1481" s="10">
        <f>ROUND(L1481*'Irish Basis'!$C$12*'Irish Basis'!$C$5,2)</f>
        <v/>
      </c>
      <c r="R1481" s="11">
        <f>ROUND(SUM(N1481:Q1481),2)</f>
        <v/>
      </c>
      <c r="S1481" s="5" t="inlineStr">
        <is>
          <t>Stated build-up</t>
        </is>
      </c>
      <c r="T1481" s="12" t="inlineStr">
        <is>
          <t>High</t>
        </is>
      </c>
      <c r="U1481" s="8" t="n">
        <v>435.26</v>
      </c>
      <c r="V1481" s="13">
        <f>IF(U1481="","",ROUND(M1481-U1481,2))</f>
        <v/>
      </c>
      <c r="W1481" s="5" t="n"/>
      <c r="X1481" s="5" t="inlineStr">
        <is>
          <t>Labour + plant + material as published; reconciles to the published rate.</t>
        </is>
      </c>
    </row>
    <row r="1482" ht="13" customHeight="1">
      <c r="A1482" s="4" t="n">
        <v>2396</v>
      </c>
      <c r="B1482" s="5" t="inlineStr">
        <is>
          <t>IMG_0098</t>
        </is>
      </c>
      <c r="C1482" s="5" t="inlineStr">
        <is>
          <t>CLASS I: PIPEWORK - PIPES</t>
        </is>
      </c>
      <c r="D1482" s="5" t="inlineStr">
        <is>
          <t>03 IRON PIPES</t>
        </is>
      </c>
      <c r="E1482" s="5" t="inlineStr">
        <is>
          <t>150 mm pipes; in trenches, depth</t>
        </is>
      </c>
      <c r="F1482" s="5" t="inlineStr">
        <is>
          <t>extra for bend; 90 deg</t>
        </is>
      </c>
      <c r="G1482" s="6" t="inlineStr">
        <is>
          <t>nr</t>
        </is>
      </c>
      <c r="H1482" s="7" t="n">
        <v>0.57</v>
      </c>
      <c r="I1482" s="8" t="n">
        <v>78.76000000000001</v>
      </c>
      <c r="J1482" s="8" t="n">
        <v>6.76</v>
      </c>
      <c r="K1482" s="8" t="n">
        <v>262.05</v>
      </c>
      <c r="L1482" s="8" t="n">
        <v>0</v>
      </c>
      <c r="M1482" s="9">
        <f>ROUND(SUM(I1482:L1482),2)</f>
        <v/>
      </c>
      <c r="N1482" s="10">
        <f>ROUND(I1482*'Irish Basis'!$C$6*'Irish Basis'!$C$5,2)</f>
        <v/>
      </c>
      <c r="O1482" s="10">
        <f>ROUND(J1482*'Irish Basis'!$C$7*'Irish Basis'!$C$5,2)</f>
        <v/>
      </c>
      <c r="P1482" s="10">
        <f>ROUND(K1482*'Irish Basis'!$C$8*'Irish Basis'!$C$5,2)</f>
        <v/>
      </c>
      <c r="Q1482" s="10">
        <f>ROUND(L1482*'Irish Basis'!$C$12*'Irish Basis'!$C$5,2)</f>
        <v/>
      </c>
      <c r="R1482" s="11">
        <f>ROUND(SUM(N1482:Q1482),2)</f>
        <v/>
      </c>
      <c r="S1482" s="5" t="inlineStr">
        <is>
          <t>Stated build-up</t>
        </is>
      </c>
      <c r="T1482" s="12" t="inlineStr">
        <is>
          <t>High</t>
        </is>
      </c>
      <c r="U1482" s="8" t="n">
        <v>347.57</v>
      </c>
      <c r="V1482" s="13">
        <f>IF(U1482="","",ROUND(M1482-U1482,2))</f>
        <v/>
      </c>
      <c r="W1482" s="5" t="n"/>
      <c r="X1482" s="5" t="inlineStr">
        <is>
          <t>Labour + plant + material as published; reconciles to the published rate.</t>
        </is>
      </c>
    </row>
    <row r="1483" ht="13" customHeight="1">
      <c r="A1483" s="4" t="n">
        <v>2397</v>
      </c>
      <c r="B1483" s="5" t="inlineStr">
        <is>
          <t>IMG_0098</t>
        </is>
      </c>
      <c r="C1483" s="5" t="inlineStr">
        <is>
          <t>CLASS I: PIPEWORK - PIPES</t>
        </is>
      </c>
      <c r="D1483" s="5" t="inlineStr">
        <is>
          <t>03 IRON PIPES</t>
        </is>
      </c>
      <c r="E1483" s="5" t="inlineStr">
        <is>
          <t>150 mm pipes; in trenches, depth</t>
        </is>
      </c>
      <c r="F1483" s="5" t="inlineStr">
        <is>
          <t>extra for single junction; equal</t>
        </is>
      </c>
      <c r="G1483" s="6" t="inlineStr">
        <is>
          <t>nr</t>
        </is>
      </c>
      <c r="H1483" s="7" t="n">
        <v>0.88</v>
      </c>
      <c r="I1483" s="8" t="n">
        <v>121.6</v>
      </c>
      <c r="J1483" s="8" t="n">
        <v>13.52</v>
      </c>
      <c r="K1483" s="8" t="n">
        <v>558</v>
      </c>
      <c r="L1483" s="8" t="n">
        <v>0</v>
      </c>
      <c r="M1483" s="9">
        <f>ROUND(SUM(I1483:L1483),2)</f>
        <v/>
      </c>
      <c r="N1483" s="10">
        <f>ROUND(I1483*'Irish Basis'!$C$6*'Irish Basis'!$C$5,2)</f>
        <v/>
      </c>
      <c r="O1483" s="10">
        <f>ROUND(J1483*'Irish Basis'!$C$7*'Irish Basis'!$C$5,2)</f>
        <v/>
      </c>
      <c r="P1483" s="10">
        <f>ROUND(K1483*'Irish Basis'!$C$8*'Irish Basis'!$C$5,2)</f>
        <v/>
      </c>
      <c r="Q1483" s="10">
        <f>ROUND(L1483*'Irish Basis'!$C$12*'Irish Basis'!$C$5,2)</f>
        <v/>
      </c>
      <c r="R1483" s="11">
        <f>ROUND(SUM(N1483:Q1483),2)</f>
        <v/>
      </c>
      <c r="S1483" s="5" t="inlineStr">
        <is>
          <t>Stated build-up</t>
        </is>
      </c>
      <c r="T1483" s="12" t="inlineStr">
        <is>
          <t>High</t>
        </is>
      </c>
      <c r="U1483" s="8" t="n">
        <v>693.11</v>
      </c>
      <c r="V1483" s="13">
        <f>IF(U1483="","",ROUND(M1483-U1483,2))</f>
        <v/>
      </c>
      <c r="W1483" s="5" t="n"/>
      <c r="X1483" s="5" t="inlineStr">
        <is>
          <t>Labour + plant + material as published; reconciles to the published rate.</t>
        </is>
      </c>
    </row>
    <row r="1484" ht="13" customHeight="1">
      <c r="A1484" s="4" t="n">
        <v>2399</v>
      </c>
      <c r="B1484" s="5" t="inlineStr">
        <is>
          <t>IMG_0098</t>
        </is>
      </c>
      <c r="C1484" s="5" t="inlineStr">
        <is>
          <t>CLASS I: PIPEWORK - PIPES</t>
        </is>
      </c>
      <c r="D1484" s="5" t="inlineStr">
        <is>
          <t>03 IRON PIPES</t>
        </is>
      </c>
      <c r="E1484" s="5" t="inlineStr">
        <is>
          <t>250 mm pipes; in trenches, depth</t>
        </is>
      </c>
      <c r="F1484" s="5" t="inlineStr">
        <is>
          <t>not in trenches</t>
        </is>
      </c>
      <c r="G1484" s="6" t="inlineStr">
        <is>
          <t>m</t>
        </is>
      </c>
      <c r="H1484" s="7" t="n">
        <v>0.16</v>
      </c>
      <c r="I1484" s="8" t="n">
        <v>13.81</v>
      </c>
      <c r="J1484" s="8" t="n">
        <v>0.5600000000000001</v>
      </c>
      <c r="K1484" s="8" t="n">
        <v>150.65</v>
      </c>
      <c r="L1484" s="8" t="n">
        <v>0</v>
      </c>
      <c r="M1484" s="9">
        <f>ROUND(SUM(I1484:L1484),2)</f>
        <v/>
      </c>
      <c r="N1484" s="10">
        <f>ROUND(I1484*'Irish Basis'!$C$6*'Irish Basis'!$C$5,2)</f>
        <v/>
      </c>
      <c r="O1484" s="10">
        <f>ROUND(J1484*'Irish Basis'!$C$7*'Irish Basis'!$C$5,2)</f>
        <v/>
      </c>
      <c r="P1484" s="10">
        <f>ROUND(K1484*'Irish Basis'!$C$8*'Irish Basis'!$C$5,2)</f>
        <v/>
      </c>
      <c r="Q1484" s="10">
        <f>ROUND(L1484*'Irish Basis'!$C$12*'Irish Basis'!$C$5,2)</f>
        <v/>
      </c>
      <c r="R1484" s="11">
        <f>ROUND(SUM(N1484:Q1484),2)</f>
        <v/>
      </c>
      <c r="S1484" s="5" t="inlineStr">
        <is>
          <t>Stated build-up</t>
        </is>
      </c>
      <c r="T1484" s="12" t="inlineStr">
        <is>
          <t>High</t>
        </is>
      </c>
      <c r="U1484" s="8" t="n">
        <v>165.02</v>
      </c>
      <c r="V1484" s="13">
        <f>IF(U1484="","",ROUND(M1484-U1484,2))</f>
        <v/>
      </c>
      <c r="W1484" s="5" t="n"/>
      <c r="X1484" s="5" t="inlineStr">
        <is>
          <t>Labour + plant + material as published; reconciles to the published rate.</t>
        </is>
      </c>
    </row>
    <row r="1485" ht="13" customHeight="1">
      <c r="A1485" s="4" t="n">
        <v>2400</v>
      </c>
      <c r="B1485" s="5" t="inlineStr">
        <is>
          <t>IMG_0098</t>
        </is>
      </c>
      <c r="C1485" s="5" t="inlineStr">
        <is>
          <t>CLASS I: PIPEWORK - PIPES</t>
        </is>
      </c>
      <c r="D1485" s="5" t="inlineStr">
        <is>
          <t>03 IRON PIPES</t>
        </is>
      </c>
      <c r="E1485" s="5" t="inlineStr">
        <is>
          <t>250 mm pipes; in trenches, depth</t>
        </is>
      </c>
      <c r="F1485" s="5" t="inlineStr">
        <is>
          <t>ne 1.50 m deep</t>
        </is>
      </c>
      <c r="G1485" s="6" t="inlineStr">
        <is>
          <t>m</t>
        </is>
      </c>
      <c r="H1485" s="7" t="n">
        <v>0.24</v>
      </c>
      <c r="I1485" s="8" t="n">
        <v>33.16</v>
      </c>
      <c r="J1485" s="8" t="n">
        <v>31.33</v>
      </c>
      <c r="K1485" s="8" t="n">
        <v>150.65</v>
      </c>
      <c r="L1485" s="8" t="n">
        <v>0</v>
      </c>
      <c r="M1485" s="9">
        <f>ROUND(SUM(I1485:L1485),2)</f>
        <v/>
      </c>
      <c r="N1485" s="10">
        <f>ROUND(I1485*'Irish Basis'!$C$6*'Irish Basis'!$C$5,2)</f>
        <v/>
      </c>
      <c r="O1485" s="10">
        <f>ROUND(J1485*'Irish Basis'!$C$7*'Irish Basis'!$C$5,2)</f>
        <v/>
      </c>
      <c r="P1485" s="10">
        <f>ROUND(K1485*'Irish Basis'!$C$8*'Irish Basis'!$C$5,2)</f>
        <v/>
      </c>
      <c r="Q1485" s="10">
        <f>ROUND(L1485*'Irish Basis'!$C$12*'Irish Basis'!$C$5,2)</f>
        <v/>
      </c>
      <c r="R1485" s="11">
        <f>ROUND(SUM(N1485:Q1485),2)</f>
        <v/>
      </c>
      <c r="S1485" s="5" t="inlineStr">
        <is>
          <t>Stated build-up</t>
        </is>
      </c>
      <c r="T1485" s="12" t="inlineStr">
        <is>
          <t>High</t>
        </is>
      </c>
      <c r="U1485" s="8" t="n">
        <v>215.14</v>
      </c>
      <c r="V1485" s="13">
        <f>IF(U1485="","",ROUND(M1485-U1485,2))</f>
        <v/>
      </c>
      <c r="W1485" s="5" t="n"/>
      <c r="X1485" s="5" t="inlineStr">
        <is>
          <t>Labour + plant + material as published; reconciles to the published rate.</t>
        </is>
      </c>
    </row>
    <row r="1486" ht="13" customHeight="1">
      <c r="A1486" s="4" t="n">
        <v>2401</v>
      </c>
      <c r="B1486" s="5" t="inlineStr">
        <is>
          <t>IMG_0098</t>
        </is>
      </c>
      <c r="C1486" s="5" t="inlineStr">
        <is>
          <t>CLASS I: PIPEWORK - PIPES</t>
        </is>
      </c>
      <c r="D1486" s="5" t="inlineStr">
        <is>
          <t>03 IRON PIPES</t>
        </is>
      </c>
      <c r="E1486" s="5" t="inlineStr">
        <is>
          <t>250 mm pipes; in trenches, depth</t>
        </is>
      </c>
      <c r="F1486" s="5" t="inlineStr">
        <is>
          <t>1.50-2.00 m deep</t>
        </is>
      </c>
      <c r="G1486" s="6" t="inlineStr">
        <is>
          <t>m</t>
        </is>
      </c>
      <c r="H1486" s="7" t="n">
        <v>0.3</v>
      </c>
      <c r="I1486" s="8" t="n">
        <v>41.45</v>
      </c>
      <c r="J1486" s="8" t="n">
        <v>39.19</v>
      </c>
      <c r="K1486" s="8" t="n">
        <v>150.65</v>
      </c>
      <c r="L1486" s="8" t="n">
        <v>0</v>
      </c>
      <c r="M1486" s="9">
        <f>ROUND(SUM(I1486:L1486),2)</f>
        <v/>
      </c>
      <c r="N1486" s="10">
        <f>ROUND(I1486*'Irish Basis'!$C$6*'Irish Basis'!$C$5,2)</f>
        <v/>
      </c>
      <c r="O1486" s="10">
        <f>ROUND(J1486*'Irish Basis'!$C$7*'Irish Basis'!$C$5,2)</f>
        <v/>
      </c>
      <c r="P1486" s="10">
        <f>ROUND(K1486*'Irish Basis'!$C$8*'Irish Basis'!$C$5,2)</f>
        <v/>
      </c>
      <c r="Q1486" s="10">
        <f>ROUND(L1486*'Irish Basis'!$C$12*'Irish Basis'!$C$5,2)</f>
        <v/>
      </c>
      <c r="R1486" s="11">
        <f>ROUND(SUM(N1486:Q1486),2)</f>
        <v/>
      </c>
      <c r="S1486" s="5" t="inlineStr">
        <is>
          <t>Stated build-up</t>
        </is>
      </c>
      <c r="T1486" s="12" t="inlineStr">
        <is>
          <t>High</t>
        </is>
      </c>
      <c r="U1486" s="8" t="n">
        <v>231.3</v>
      </c>
      <c r="V1486" s="13">
        <f>IF(U1486="","",ROUND(M1486-U1486,2))</f>
        <v/>
      </c>
      <c r="W1486" s="5" t="n"/>
      <c r="X1486" s="5" t="inlineStr">
        <is>
          <t>Labour + plant + material as published; reconciles to the published rate.</t>
        </is>
      </c>
    </row>
    <row r="1487" ht="13" customHeight="1">
      <c r="A1487" s="4" t="n">
        <v>2402</v>
      </c>
      <c r="B1487" s="5" t="inlineStr">
        <is>
          <t>IMG_0098</t>
        </is>
      </c>
      <c r="C1487" s="5" t="inlineStr">
        <is>
          <t>CLASS I: PIPEWORK - PIPES</t>
        </is>
      </c>
      <c r="D1487" s="5" t="inlineStr">
        <is>
          <t>03 IRON PIPES</t>
        </is>
      </c>
      <c r="E1487" s="5" t="inlineStr">
        <is>
          <t>250 mm pipes; in trenches, depth</t>
        </is>
      </c>
      <c r="F1487" s="5" t="inlineStr">
        <is>
          <t>2.00-2.50 m deep</t>
        </is>
      </c>
      <c r="G1487" s="6" t="inlineStr">
        <is>
          <t>m</t>
        </is>
      </c>
      <c r="H1487" s="7" t="n">
        <v>0.35</v>
      </c>
      <c r="I1487" s="8" t="n">
        <v>48.36</v>
      </c>
      <c r="J1487" s="8" t="n">
        <v>45.79</v>
      </c>
      <c r="K1487" s="8" t="n">
        <v>150.65</v>
      </c>
      <c r="L1487" s="8" t="n">
        <v>0</v>
      </c>
      <c r="M1487" s="9">
        <f>ROUND(SUM(I1487:L1487),2)</f>
        <v/>
      </c>
      <c r="N1487" s="10">
        <f>ROUND(I1487*'Irish Basis'!$C$6*'Irish Basis'!$C$5,2)</f>
        <v/>
      </c>
      <c r="O1487" s="10">
        <f>ROUND(J1487*'Irish Basis'!$C$7*'Irish Basis'!$C$5,2)</f>
        <v/>
      </c>
      <c r="P1487" s="10">
        <f>ROUND(K1487*'Irish Basis'!$C$8*'Irish Basis'!$C$5,2)</f>
        <v/>
      </c>
      <c r="Q1487" s="10">
        <f>ROUND(L1487*'Irish Basis'!$C$12*'Irish Basis'!$C$5,2)</f>
        <v/>
      </c>
      <c r="R1487" s="11">
        <f>ROUND(SUM(N1487:Q1487),2)</f>
        <v/>
      </c>
      <c r="S1487" s="5" t="inlineStr">
        <is>
          <t>Stated build-up</t>
        </is>
      </c>
      <c r="T1487" s="12" t="inlineStr">
        <is>
          <t>High</t>
        </is>
      </c>
      <c r="U1487" s="8" t="n">
        <v>244.8</v>
      </c>
      <c r="V1487" s="13">
        <f>IF(U1487="","",ROUND(M1487-U1487,2))</f>
        <v/>
      </c>
      <c r="W1487" s="5" t="n"/>
      <c r="X1487" s="5" t="inlineStr">
        <is>
          <t>Labour + plant + material as published; reconciles to the published rate.</t>
        </is>
      </c>
    </row>
    <row r="1488" ht="13" customHeight="1">
      <c r="A1488" s="4" t="n">
        <v>2403</v>
      </c>
      <c r="B1488" s="5" t="inlineStr">
        <is>
          <t>IMG_0098</t>
        </is>
      </c>
      <c r="C1488" s="5" t="inlineStr">
        <is>
          <t>CLASS I: PIPEWORK - PIPES</t>
        </is>
      </c>
      <c r="D1488" s="5" t="inlineStr">
        <is>
          <t>03 IRON PIPES</t>
        </is>
      </c>
      <c r="E1488" s="5" t="inlineStr">
        <is>
          <t>250 mm pipes; in trenches, depth</t>
        </is>
      </c>
      <c r="F1488" s="5" t="inlineStr">
        <is>
          <t>2.50-3.00 m deep</t>
        </is>
      </c>
      <c r="G1488" s="6" t="inlineStr">
        <is>
          <t>m</t>
        </is>
      </c>
      <c r="H1488" s="7" t="n">
        <v>0.42</v>
      </c>
      <c r="I1488" s="8" t="n">
        <v>58.04</v>
      </c>
      <c r="J1488" s="8" t="n">
        <v>54.97</v>
      </c>
      <c r="K1488" s="8" t="n">
        <v>150.65</v>
      </c>
      <c r="L1488" s="8" t="n">
        <v>0</v>
      </c>
      <c r="M1488" s="9">
        <f>ROUND(SUM(I1488:L1488),2)</f>
        <v/>
      </c>
      <c r="N1488" s="10">
        <f>ROUND(I1488*'Irish Basis'!$C$6*'Irish Basis'!$C$5,2)</f>
        <v/>
      </c>
      <c r="O1488" s="10">
        <f>ROUND(J1488*'Irish Basis'!$C$7*'Irish Basis'!$C$5,2)</f>
        <v/>
      </c>
      <c r="P1488" s="10">
        <f>ROUND(K1488*'Irish Basis'!$C$8*'Irish Basis'!$C$5,2)</f>
        <v/>
      </c>
      <c r="Q1488" s="10">
        <f>ROUND(L1488*'Irish Basis'!$C$12*'Irish Basis'!$C$5,2)</f>
        <v/>
      </c>
      <c r="R1488" s="11">
        <f>ROUND(SUM(N1488:Q1488),2)</f>
        <v/>
      </c>
      <c r="S1488" s="5" t="inlineStr">
        <is>
          <t>Stated build-up</t>
        </is>
      </c>
      <c r="T1488" s="12" t="inlineStr">
        <is>
          <t>High</t>
        </is>
      </c>
      <c r="U1488" s="8" t="n">
        <v>263.65</v>
      </c>
      <c r="V1488" s="13">
        <f>IF(U1488="","",ROUND(M1488-U1488,2))</f>
        <v/>
      </c>
      <c r="W1488" s="5" t="n"/>
      <c r="X1488" s="5" t="inlineStr">
        <is>
          <t>Labour + plant + material as published; reconciles to the published rate.</t>
        </is>
      </c>
    </row>
    <row r="1489" ht="13" customHeight="1">
      <c r="A1489" s="4" t="n">
        <v>2404</v>
      </c>
      <c r="B1489" s="5" t="inlineStr">
        <is>
          <t>IMG_0098</t>
        </is>
      </c>
      <c r="C1489" s="5" t="inlineStr">
        <is>
          <t>CLASS I: PIPEWORK - PIPES</t>
        </is>
      </c>
      <c r="D1489" s="5" t="inlineStr">
        <is>
          <t>03 IRON PIPES</t>
        </is>
      </c>
      <c r="E1489" s="5" t="inlineStr">
        <is>
          <t>250 mm pipes; in trenches, depth</t>
        </is>
      </c>
      <c r="F1489" s="5" t="inlineStr">
        <is>
          <t>3.00-3.50 m deep</t>
        </is>
      </c>
      <c r="G1489" s="6" t="inlineStr">
        <is>
          <t>m</t>
        </is>
      </c>
      <c r="H1489" s="7" t="n">
        <v>0.5600000000000001</v>
      </c>
      <c r="I1489" s="8" t="n">
        <v>77.38</v>
      </c>
      <c r="J1489" s="8" t="n">
        <v>73.29000000000001</v>
      </c>
      <c r="K1489" s="8" t="n">
        <v>150.65</v>
      </c>
      <c r="L1489" s="8" t="n">
        <v>0</v>
      </c>
      <c r="M1489" s="9">
        <f>ROUND(SUM(I1489:L1489),2)</f>
        <v/>
      </c>
      <c r="N1489" s="10">
        <f>ROUND(I1489*'Irish Basis'!$C$6*'Irish Basis'!$C$5,2)</f>
        <v/>
      </c>
      <c r="O1489" s="10">
        <f>ROUND(J1489*'Irish Basis'!$C$7*'Irish Basis'!$C$5,2)</f>
        <v/>
      </c>
      <c r="P1489" s="10">
        <f>ROUND(K1489*'Irish Basis'!$C$8*'Irish Basis'!$C$5,2)</f>
        <v/>
      </c>
      <c r="Q1489" s="10">
        <f>ROUND(L1489*'Irish Basis'!$C$12*'Irish Basis'!$C$5,2)</f>
        <v/>
      </c>
      <c r="R1489" s="11">
        <f>ROUND(SUM(N1489:Q1489),2)</f>
        <v/>
      </c>
      <c r="S1489" s="5" t="inlineStr">
        <is>
          <t>Stated build-up</t>
        </is>
      </c>
      <c r="T1489" s="12" t="inlineStr">
        <is>
          <t>High</t>
        </is>
      </c>
      <c r="U1489" s="8" t="n">
        <v>301.32</v>
      </c>
      <c r="V1489" s="13">
        <f>IF(U1489="","",ROUND(M1489-U1489,2))</f>
        <v/>
      </c>
      <c r="W1489" s="5" t="n"/>
      <c r="X1489" s="5" t="inlineStr">
        <is>
          <t>Labour + plant + material as published; reconciles to the published rate.</t>
        </is>
      </c>
    </row>
    <row r="1490" ht="13" customHeight="1">
      <c r="A1490" s="4" t="n">
        <v>2405</v>
      </c>
      <c r="B1490" s="5" t="inlineStr">
        <is>
          <t>IMG_0098</t>
        </is>
      </c>
      <c r="C1490" s="5" t="inlineStr">
        <is>
          <t>CLASS I: PIPEWORK - PIPES</t>
        </is>
      </c>
      <c r="D1490" s="5" t="inlineStr">
        <is>
          <t>03 IRON PIPES</t>
        </is>
      </c>
      <c r="E1490" s="5" t="inlineStr">
        <is>
          <t>250 mm pipes; in trenches, depth</t>
        </is>
      </c>
      <c r="F1490" s="5" t="inlineStr">
        <is>
          <t>3.50-4.00 m deep</t>
        </is>
      </c>
      <c r="G1490" s="6" t="inlineStr">
        <is>
          <t>m</t>
        </is>
      </c>
      <c r="H1490" s="7" t="n">
        <v>0.64</v>
      </c>
      <c r="I1490" s="8" t="n">
        <v>88.44</v>
      </c>
      <c r="J1490" s="8" t="n">
        <v>83.81</v>
      </c>
      <c r="K1490" s="8" t="n">
        <v>150.65</v>
      </c>
      <c r="L1490" s="8" t="n">
        <v>0</v>
      </c>
      <c r="M1490" s="9">
        <f>ROUND(SUM(I1490:L1490),2)</f>
        <v/>
      </c>
      <c r="N1490" s="10">
        <f>ROUND(I1490*'Irish Basis'!$C$6*'Irish Basis'!$C$5,2)</f>
        <v/>
      </c>
      <c r="O1490" s="10">
        <f>ROUND(J1490*'Irish Basis'!$C$7*'Irish Basis'!$C$5,2)</f>
        <v/>
      </c>
      <c r="P1490" s="10">
        <f>ROUND(K1490*'Irish Basis'!$C$8*'Irish Basis'!$C$5,2)</f>
        <v/>
      </c>
      <c r="Q1490" s="10">
        <f>ROUND(L1490*'Irish Basis'!$C$12*'Irish Basis'!$C$5,2)</f>
        <v/>
      </c>
      <c r="R1490" s="11">
        <f>ROUND(SUM(N1490:Q1490),2)</f>
        <v/>
      </c>
      <c r="S1490" s="5" t="inlineStr">
        <is>
          <t>Stated build-up</t>
        </is>
      </c>
      <c r="T1490" s="12" t="inlineStr">
        <is>
          <t>High</t>
        </is>
      </c>
      <c r="U1490" s="8" t="n">
        <v>322.89</v>
      </c>
      <c r="V1490" s="13">
        <f>IF(U1490="","",ROUND(M1490-U1490,2))</f>
        <v/>
      </c>
      <c r="W1490" s="5" t="n"/>
      <c r="X1490" s="5" t="inlineStr">
        <is>
          <t>Labour + plant + material as published; reconciles to the published rate.</t>
        </is>
      </c>
    </row>
    <row r="1491" ht="13" customHeight="1">
      <c r="A1491" s="4" t="n">
        <v>2406</v>
      </c>
      <c r="B1491" s="5" t="inlineStr">
        <is>
          <t>IMG_0098</t>
        </is>
      </c>
      <c r="C1491" s="5" t="inlineStr">
        <is>
          <t>CLASS I: PIPEWORK - PIPES</t>
        </is>
      </c>
      <c r="D1491" s="5" t="inlineStr">
        <is>
          <t>03 IRON PIPES</t>
        </is>
      </c>
      <c r="E1491" s="5" t="inlineStr">
        <is>
          <t>250 mm pipes; in trenches, depth</t>
        </is>
      </c>
      <c r="F1491" s="5" t="inlineStr">
        <is>
          <t>4.00-4.50 m deep</t>
        </is>
      </c>
      <c r="G1491" s="6" t="inlineStr">
        <is>
          <t>m</t>
        </is>
      </c>
      <c r="H1491" s="7" t="n">
        <v>0.8100000000000001</v>
      </c>
      <c r="I1491" s="8" t="n">
        <v>111.93</v>
      </c>
      <c r="J1491" s="8" t="n">
        <v>106.11</v>
      </c>
      <c r="K1491" s="8" t="n">
        <v>150.65</v>
      </c>
      <c r="L1491" s="8" t="n">
        <v>0</v>
      </c>
      <c r="M1491" s="9">
        <f>ROUND(SUM(I1491:L1491),2)</f>
        <v/>
      </c>
      <c r="N1491" s="10">
        <f>ROUND(I1491*'Irish Basis'!$C$6*'Irish Basis'!$C$5,2)</f>
        <v/>
      </c>
      <c r="O1491" s="10">
        <f>ROUND(J1491*'Irish Basis'!$C$7*'Irish Basis'!$C$5,2)</f>
        <v/>
      </c>
      <c r="P1491" s="10">
        <f>ROUND(K1491*'Irish Basis'!$C$8*'Irish Basis'!$C$5,2)</f>
        <v/>
      </c>
      <c r="Q1491" s="10">
        <f>ROUND(L1491*'Irish Basis'!$C$12*'Irish Basis'!$C$5,2)</f>
        <v/>
      </c>
      <c r="R1491" s="11">
        <f>ROUND(SUM(N1491:Q1491),2)</f>
        <v/>
      </c>
      <c r="S1491" s="5" t="inlineStr">
        <is>
          <t>Stated build-up</t>
        </is>
      </c>
      <c r="T1491" s="12" t="inlineStr">
        <is>
          <t>High</t>
        </is>
      </c>
      <c r="U1491" s="8" t="n">
        <v>368.68</v>
      </c>
      <c r="V1491" s="13">
        <f>IF(U1491="","",ROUND(M1491-U1491,2))</f>
        <v/>
      </c>
      <c r="W1491" s="5" t="n"/>
      <c r="X1491" s="5" t="inlineStr">
        <is>
          <t>Labour + plant + material as published; reconciles to the published rate.</t>
        </is>
      </c>
    </row>
    <row r="1492" ht="13" customHeight="1">
      <c r="A1492" s="4" t="n">
        <v>2407</v>
      </c>
      <c r="B1492" s="5" t="inlineStr">
        <is>
          <t>IMG_0098</t>
        </is>
      </c>
      <c r="C1492" s="5" t="inlineStr">
        <is>
          <t>CLASS I: PIPEWORK - PIPES</t>
        </is>
      </c>
      <c r="D1492" s="5" t="inlineStr">
        <is>
          <t>03 IRON PIPES</t>
        </is>
      </c>
      <c r="E1492" s="5" t="inlineStr">
        <is>
          <t>250 mm pipes; in trenches, depth</t>
        </is>
      </c>
      <c r="F1492" s="5" t="inlineStr">
        <is>
          <t>4.50-5.00 m deep</t>
        </is>
      </c>
      <c r="G1492" s="6" t="inlineStr">
        <is>
          <t>m</t>
        </is>
      </c>
      <c r="H1492" s="7" t="n">
        <v>1.02</v>
      </c>
      <c r="I1492" s="8" t="n">
        <v>140.94</v>
      </c>
      <c r="J1492" s="8" t="n">
        <v>133.69</v>
      </c>
      <c r="K1492" s="8" t="n">
        <v>150.65</v>
      </c>
      <c r="L1492" s="8" t="n">
        <v>0</v>
      </c>
      <c r="M1492" s="9">
        <f>ROUND(SUM(I1492:L1492),2)</f>
        <v/>
      </c>
      <c r="N1492" s="10">
        <f>ROUND(I1492*'Irish Basis'!$C$6*'Irish Basis'!$C$5,2)</f>
        <v/>
      </c>
      <c r="O1492" s="10">
        <f>ROUND(J1492*'Irish Basis'!$C$7*'Irish Basis'!$C$5,2)</f>
        <v/>
      </c>
      <c r="P1492" s="10">
        <f>ROUND(K1492*'Irish Basis'!$C$8*'Irish Basis'!$C$5,2)</f>
        <v/>
      </c>
      <c r="Q1492" s="10">
        <f>ROUND(L1492*'Irish Basis'!$C$12*'Irish Basis'!$C$5,2)</f>
        <v/>
      </c>
      <c r="R1492" s="11">
        <f>ROUND(SUM(N1492:Q1492),2)</f>
        <v/>
      </c>
      <c r="S1492" s="5" t="inlineStr">
        <is>
          <t>Stated build-up</t>
        </is>
      </c>
      <c r="T1492" s="12" t="inlineStr">
        <is>
          <t>High</t>
        </is>
      </c>
      <c r="U1492" s="8" t="n">
        <v>425.28</v>
      </c>
      <c r="V1492" s="13">
        <f>IF(U1492="","",ROUND(M1492-U1492,2))</f>
        <v/>
      </c>
      <c r="W1492" s="5" t="n"/>
      <c r="X1492" s="5" t="inlineStr">
        <is>
          <t>Labour + plant + material as published; reconciles to the published rate.</t>
        </is>
      </c>
    </row>
    <row r="1493" ht="13" customHeight="1">
      <c r="A1493" s="4" t="n">
        <v>2408</v>
      </c>
      <c r="B1493" s="5" t="inlineStr">
        <is>
          <t>IMG_0098</t>
        </is>
      </c>
      <c r="C1493" s="5" t="inlineStr">
        <is>
          <t>CLASS I: PIPEWORK - PIPES</t>
        </is>
      </c>
      <c r="D1493" s="5" t="inlineStr">
        <is>
          <t>03 IRON PIPES</t>
        </is>
      </c>
      <c r="E1493" s="5" t="inlineStr">
        <is>
          <t>250 mm pipes; in trenches, depth</t>
        </is>
      </c>
      <c r="F1493" s="5" t="inlineStr">
        <is>
          <t>5.00-5.50 m deep</t>
        </is>
      </c>
      <c r="G1493" s="6" t="inlineStr">
        <is>
          <t>m</t>
        </is>
      </c>
      <c r="H1493" s="7" t="n">
        <v>1.27</v>
      </c>
      <c r="I1493" s="8" t="n">
        <v>175.49</v>
      </c>
      <c r="J1493" s="8" t="n">
        <v>166.46</v>
      </c>
      <c r="K1493" s="8" t="n">
        <v>150.65</v>
      </c>
      <c r="L1493" s="8" t="n">
        <v>0</v>
      </c>
      <c r="M1493" s="9">
        <f>ROUND(SUM(I1493:L1493),2)</f>
        <v/>
      </c>
      <c r="N1493" s="10">
        <f>ROUND(I1493*'Irish Basis'!$C$6*'Irish Basis'!$C$5,2)</f>
        <v/>
      </c>
      <c r="O1493" s="10">
        <f>ROUND(J1493*'Irish Basis'!$C$7*'Irish Basis'!$C$5,2)</f>
        <v/>
      </c>
      <c r="P1493" s="10">
        <f>ROUND(K1493*'Irish Basis'!$C$8*'Irish Basis'!$C$5,2)</f>
        <v/>
      </c>
      <c r="Q1493" s="10">
        <f>ROUND(L1493*'Irish Basis'!$C$12*'Irish Basis'!$C$5,2)</f>
        <v/>
      </c>
      <c r="R1493" s="11">
        <f>ROUND(SUM(N1493:Q1493),2)</f>
        <v/>
      </c>
      <c r="S1493" s="5" t="inlineStr">
        <is>
          <t>Stated build-up</t>
        </is>
      </c>
      <c r="T1493" s="12" t="inlineStr">
        <is>
          <t>High</t>
        </is>
      </c>
      <c r="U1493" s="8" t="n">
        <v>492.6</v>
      </c>
      <c r="V1493" s="13">
        <f>IF(U1493="","",ROUND(M1493-U1493,2))</f>
        <v/>
      </c>
      <c r="W1493" s="5" t="n"/>
      <c r="X1493" s="5" t="inlineStr">
        <is>
          <t>Labour + plant + material as published; reconciles to the published rate.</t>
        </is>
      </c>
    </row>
    <row r="1494" ht="13" customHeight="1">
      <c r="A1494" s="4" t="n">
        <v>2409</v>
      </c>
      <c r="B1494" s="5" t="inlineStr">
        <is>
          <t>IMG_0098</t>
        </is>
      </c>
      <c r="C1494" s="5" t="inlineStr">
        <is>
          <t>CLASS I: PIPEWORK - PIPES</t>
        </is>
      </c>
      <c r="D1494" s="5" t="inlineStr">
        <is>
          <t>03 IRON PIPES</t>
        </is>
      </c>
      <c r="E1494" s="5" t="inlineStr">
        <is>
          <t>250 mm pipes; in trenches, depth</t>
        </is>
      </c>
      <c r="F1494" s="5" t="inlineStr">
        <is>
          <t>extra for bend; 90 deg</t>
        </is>
      </c>
      <c r="G1494" s="6" t="inlineStr">
        <is>
          <t>nr</t>
        </is>
      </c>
      <c r="H1494" s="7" t="n">
        <v>0.96</v>
      </c>
      <c r="I1494" s="8" t="n">
        <v>132.65</v>
      </c>
      <c r="J1494" s="8" t="n">
        <v>10.11</v>
      </c>
      <c r="K1494" s="8" t="n">
        <v>770.5</v>
      </c>
      <c r="L1494" s="8" t="n">
        <v>0</v>
      </c>
      <c r="M1494" s="9">
        <f>ROUND(SUM(I1494:L1494),2)</f>
        <v/>
      </c>
      <c r="N1494" s="10">
        <f>ROUND(I1494*'Irish Basis'!$C$6*'Irish Basis'!$C$5,2)</f>
        <v/>
      </c>
      <c r="O1494" s="10">
        <f>ROUND(J1494*'Irish Basis'!$C$7*'Irish Basis'!$C$5,2)</f>
        <v/>
      </c>
      <c r="P1494" s="10">
        <f>ROUND(K1494*'Irish Basis'!$C$8*'Irish Basis'!$C$5,2)</f>
        <v/>
      </c>
      <c r="Q1494" s="10">
        <f>ROUND(L1494*'Irish Basis'!$C$12*'Irish Basis'!$C$5,2)</f>
        <v/>
      </c>
      <c r="R1494" s="11">
        <f>ROUND(SUM(N1494:Q1494),2)</f>
        <v/>
      </c>
      <c r="S1494" s="5" t="inlineStr">
        <is>
          <t>Stated build-up</t>
        </is>
      </c>
      <c r="T1494" s="12" t="inlineStr">
        <is>
          <t>High</t>
        </is>
      </c>
      <c r="U1494" s="8" t="n">
        <v>913.26</v>
      </c>
      <c r="V1494" s="13">
        <f>IF(U1494="","",ROUND(M1494-U1494,2))</f>
        <v/>
      </c>
      <c r="W1494" s="5" t="n"/>
      <c r="X1494" s="5" t="inlineStr">
        <is>
          <t>Labour + plant + material as published; reconciles to the published rate.</t>
        </is>
      </c>
    </row>
    <row r="1495" ht="13" customHeight="1">
      <c r="A1495" s="4" t="n">
        <v>2410</v>
      </c>
      <c r="B1495" s="5" t="inlineStr">
        <is>
          <t>IMG_0098</t>
        </is>
      </c>
      <c r="C1495" s="5" t="inlineStr">
        <is>
          <t>CLASS I: PIPEWORK - PIPES</t>
        </is>
      </c>
      <c r="D1495" s="5" t="inlineStr">
        <is>
          <t>03 IRON PIPES</t>
        </is>
      </c>
      <c r="E1495" s="5" t="inlineStr">
        <is>
          <t>250 mm pipes; in trenches, depth</t>
        </is>
      </c>
      <c r="F1495" s="5" t="inlineStr">
        <is>
          <t>extra for single junction; equal</t>
        </is>
      </c>
      <c r="G1495" s="6" t="inlineStr">
        <is>
          <t>nr</t>
        </is>
      </c>
      <c r="H1495" s="7" t="n">
        <v>1.32</v>
      </c>
      <c r="I1495" s="8" t="n">
        <v>182.4</v>
      </c>
      <c r="J1495" s="8" t="n">
        <v>16.93</v>
      </c>
      <c r="K1495" s="8" t="n">
        <v>1608.33</v>
      </c>
      <c r="L1495" s="8" t="n">
        <v>0</v>
      </c>
      <c r="M1495" s="9">
        <f>ROUND(SUM(I1495:L1495),2)</f>
        <v/>
      </c>
      <c r="N1495" s="10">
        <f>ROUND(I1495*'Irish Basis'!$C$6*'Irish Basis'!$C$5,2)</f>
        <v/>
      </c>
      <c r="O1495" s="10">
        <f>ROUND(J1495*'Irish Basis'!$C$7*'Irish Basis'!$C$5,2)</f>
        <v/>
      </c>
      <c r="P1495" s="10">
        <f>ROUND(K1495*'Irish Basis'!$C$8*'Irish Basis'!$C$5,2)</f>
        <v/>
      </c>
      <c r="Q1495" s="10">
        <f>ROUND(L1495*'Irish Basis'!$C$12*'Irish Basis'!$C$5,2)</f>
        <v/>
      </c>
      <c r="R1495" s="11">
        <f>ROUND(SUM(N1495:Q1495),2)</f>
        <v/>
      </c>
      <c r="S1495" s="5" t="inlineStr">
        <is>
          <t>Stated build-up</t>
        </is>
      </c>
      <c r="T1495" s="12" t="inlineStr">
        <is>
          <t>High</t>
        </is>
      </c>
      <c r="U1495" s="8" t="n">
        <v>1807.65</v>
      </c>
      <c r="V1495" s="13">
        <f>IF(U1495="","",ROUND(M1495-U1495,2))</f>
        <v/>
      </c>
      <c r="W1495" s="5" t="n"/>
      <c r="X1495" s="5" t="inlineStr">
        <is>
          <t>Labour + plant + material as published; reconciles to the published rate.</t>
        </is>
      </c>
    </row>
    <row r="1496" ht="13" customHeight="1">
      <c r="A1496" s="4" t="n">
        <v>2412</v>
      </c>
      <c r="B1496" s="5" t="inlineStr">
        <is>
          <t>IMG_0098</t>
        </is>
      </c>
      <c r="C1496" s="5" t="inlineStr">
        <is>
          <t>CLASS I: PIPEWORK - PIPES</t>
        </is>
      </c>
      <c r="D1496" s="5" t="inlineStr">
        <is>
          <t>03 IRON PIPES</t>
        </is>
      </c>
      <c r="E1496" s="5" t="inlineStr">
        <is>
          <t>400 mm pipes; in trenches, depth</t>
        </is>
      </c>
      <c r="F1496" s="5" t="inlineStr">
        <is>
          <t>not in trenches</t>
        </is>
      </c>
      <c r="G1496" s="6" t="inlineStr">
        <is>
          <t>m</t>
        </is>
      </c>
      <c r="H1496" s="7" t="n">
        <v>0.24</v>
      </c>
      <c r="I1496" s="8" t="n">
        <v>20.72</v>
      </c>
      <c r="J1496" s="8" t="n">
        <v>1.21</v>
      </c>
      <c r="K1496" s="8" t="n">
        <v>195.05</v>
      </c>
      <c r="L1496" s="8" t="n">
        <v>0</v>
      </c>
      <c r="M1496" s="9">
        <f>ROUND(SUM(I1496:L1496),2)</f>
        <v/>
      </c>
      <c r="N1496" s="10">
        <f>ROUND(I1496*'Irish Basis'!$C$6*'Irish Basis'!$C$5,2)</f>
        <v/>
      </c>
      <c r="O1496" s="10">
        <f>ROUND(J1496*'Irish Basis'!$C$7*'Irish Basis'!$C$5,2)</f>
        <v/>
      </c>
      <c r="P1496" s="10">
        <f>ROUND(K1496*'Irish Basis'!$C$8*'Irish Basis'!$C$5,2)</f>
        <v/>
      </c>
      <c r="Q1496" s="10">
        <f>ROUND(L1496*'Irish Basis'!$C$12*'Irish Basis'!$C$5,2)</f>
        <v/>
      </c>
      <c r="R1496" s="11">
        <f>ROUND(SUM(N1496:Q1496),2)</f>
        <v/>
      </c>
      <c r="S1496" s="5" t="inlineStr">
        <is>
          <t>Stated build-up</t>
        </is>
      </c>
      <c r="T1496" s="12" t="inlineStr">
        <is>
          <t>High</t>
        </is>
      </c>
      <c r="U1496" s="8" t="n">
        <v>216.98</v>
      </c>
      <c r="V1496" s="13">
        <f>IF(U1496="","",ROUND(M1496-U1496,2))</f>
        <v/>
      </c>
      <c r="W1496" s="5" t="n"/>
      <c r="X1496" s="5" t="inlineStr">
        <is>
          <t>Labour + plant + material as published; reconciles to the published rate.</t>
        </is>
      </c>
    </row>
    <row r="1497" ht="13" customHeight="1">
      <c r="A1497" s="4" t="n">
        <v>2413</v>
      </c>
      <c r="B1497" s="5" t="inlineStr">
        <is>
          <t>IMG_0098</t>
        </is>
      </c>
      <c r="C1497" s="5" t="inlineStr">
        <is>
          <t>CLASS I: PIPEWORK - PIPES</t>
        </is>
      </c>
      <c r="D1497" s="5" t="inlineStr">
        <is>
          <t>03 IRON PIPES</t>
        </is>
      </c>
      <c r="E1497" s="5" t="inlineStr">
        <is>
          <t>400 mm pipes; in trenches, depth</t>
        </is>
      </c>
      <c r="F1497" s="5" t="inlineStr">
        <is>
          <t>ne 1.50 m deep</t>
        </is>
      </c>
      <c r="G1497" s="6" t="inlineStr">
        <is>
          <t>m</t>
        </is>
      </c>
      <c r="H1497" s="7" t="n">
        <v>0.33</v>
      </c>
      <c r="I1497" s="8" t="n">
        <v>45.6</v>
      </c>
      <c r="J1497" s="8" t="n">
        <v>43.09</v>
      </c>
      <c r="K1497" s="8" t="n">
        <v>195.05</v>
      </c>
      <c r="L1497" s="8" t="n">
        <v>0</v>
      </c>
      <c r="M1497" s="9">
        <f>ROUND(SUM(I1497:L1497),2)</f>
        <v/>
      </c>
      <c r="N1497" s="10">
        <f>ROUND(I1497*'Irish Basis'!$C$6*'Irish Basis'!$C$5,2)</f>
        <v/>
      </c>
      <c r="O1497" s="10">
        <f>ROUND(J1497*'Irish Basis'!$C$7*'Irish Basis'!$C$5,2)</f>
        <v/>
      </c>
      <c r="P1497" s="10">
        <f>ROUND(K1497*'Irish Basis'!$C$8*'Irish Basis'!$C$5,2)</f>
        <v/>
      </c>
      <c r="Q1497" s="10">
        <f>ROUND(L1497*'Irish Basis'!$C$12*'Irish Basis'!$C$5,2)</f>
        <v/>
      </c>
      <c r="R1497" s="11">
        <f>ROUND(SUM(N1497:Q1497),2)</f>
        <v/>
      </c>
      <c r="S1497" s="5" t="inlineStr">
        <is>
          <t>Stated build-up</t>
        </is>
      </c>
      <c r="T1497" s="12" t="inlineStr">
        <is>
          <t>High</t>
        </is>
      </c>
      <c r="U1497" s="8" t="n">
        <v>283.74</v>
      </c>
      <c r="V1497" s="13">
        <f>IF(U1497="","",ROUND(M1497-U1497,2))</f>
        <v/>
      </c>
      <c r="W1497" s="5" t="n"/>
      <c r="X1497" s="5" t="inlineStr">
        <is>
          <t>Labour + plant + material as published; reconciles to the published rate.</t>
        </is>
      </c>
    </row>
    <row r="1498" ht="13" customHeight="1">
      <c r="A1498" s="4" t="n">
        <v>2414</v>
      </c>
      <c r="B1498" s="5" t="inlineStr">
        <is>
          <t>IMG_0098</t>
        </is>
      </c>
      <c r="C1498" s="5" t="inlineStr">
        <is>
          <t>CLASS I: PIPEWORK - PIPES</t>
        </is>
      </c>
      <c r="D1498" s="5" t="inlineStr">
        <is>
          <t>03 IRON PIPES</t>
        </is>
      </c>
      <c r="E1498" s="5" t="inlineStr">
        <is>
          <t>400 mm pipes; in trenches, depth</t>
        </is>
      </c>
      <c r="F1498" s="5" t="inlineStr">
        <is>
          <t>1.50-2.00 m deep</t>
        </is>
      </c>
      <c r="G1498" s="6" t="inlineStr">
        <is>
          <t>m</t>
        </is>
      </c>
      <c r="H1498" s="7" t="n">
        <v>0.43</v>
      </c>
      <c r="I1498" s="8" t="n">
        <v>59.42</v>
      </c>
      <c r="J1498" s="8" t="n">
        <v>56.2</v>
      </c>
      <c r="K1498" s="8" t="n">
        <v>195.05</v>
      </c>
      <c r="L1498" s="8" t="n">
        <v>0</v>
      </c>
      <c r="M1498" s="9">
        <f>ROUND(SUM(I1498:L1498),2)</f>
        <v/>
      </c>
      <c r="N1498" s="10">
        <f>ROUND(I1498*'Irish Basis'!$C$6*'Irish Basis'!$C$5,2)</f>
        <v/>
      </c>
      <c r="O1498" s="10">
        <f>ROUND(J1498*'Irish Basis'!$C$7*'Irish Basis'!$C$5,2)</f>
        <v/>
      </c>
      <c r="P1498" s="10">
        <f>ROUND(K1498*'Irish Basis'!$C$8*'Irish Basis'!$C$5,2)</f>
        <v/>
      </c>
      <c r="Q1498" s="10">
        <f>ROUND(L1498*'Irish Basis'!$C$12*'Irish Basis'!$C$5,2)</f>
        <v/>
      </c>
      <c r="R1498" s="11">
        <f>ROUND(SUM(N1498:Q1498),2)</f>
        <v/>
      </c>
      <c r="S1498" s="5" t="inlineStr">
        <is>
          <t>Stated build-up</t>
        </is>
      </c>
      <c r="T1498" s="12" t="inlineStr">
        <is>
          <t>High</t>
        </is>
      </c>
      <c r="U1498" s="8" t="n">
        <v>310.68</v>
      </c>
      <c r="V1498" s="13">
        <f>IF(U1498="","",ROUND(M1498-U1498,2))</f>
        <v/>
      </c>
      <c r="W1498" s="5" t="n"/>
      <c r="X1498" s="5" t="inlineStr">
        <is>
          <t>Labour + plant + material as published; reconciles to the published rate.</t>
        </is>
      </c>
    </row>
    <row r="1499" ht="13" customHeight="1">
      <c r="A1499" s="4" t="n">
        <v>2415</v>
      </c>
      <c r="B1499" s="5" t="inlineStr">
        <is>
          <t>IMG_0098</t>
        </is>
      </c>
      <c r="C1499" s="5" t="inlineStr">
        <is>
          <t>CLASS I: PIPEWORK - PIPES</t>
        </is>
      </c>
      <c r="D1499" s="5" t="inlineStr">
        <is>
          <t>03 IRON PIPES</t>
        </is>
      </c>
      <c r="E1499" s="5" t="inlineStr">
        <is>
          <t>400 mm pipes; in trenches, depth</t>
        </is>
      </c>
      <c r="F1499" s="5" t="inlineStr">
        <is>
          <t>2.00-2.50 m deep</t>
        </is>
      </c>
      <c r="G1499" s="6" t="inlineStr">
        <is>
          <t>m</t>
        </is>
      </c>
      <c r="H1499" s="7" t="n">
        <v>0.48</v>
      </c>
      <c r="I1499" s="8" t="n">
        <v>66.33</v>
      </c>
      <c r="J1499" s="8" t="n">
        <v>62.76</v>
      </c>
      <c r="K1499" s="8" t="n">
        <v>195.05</v>
      </c>
      <c r="L1499" s="8" t="n">
        <v>0</v>
      </c>
      <c r="M1499" s="9">
        <f>ROUND(SUM(I1499:L1499),2)</f>
        <v/>
      </c>
      <c r="N1499" s="10">
        <f>ROUND(I1499*'Irish Basis'!$C$6*'Irish Basis'!$C$5,2)</f>
        <v/>
      </c>
      <c r="O1499" s="10">
        <f>ROUND(J1499*'Irish Basis'!$C$7*'Irish Basis'!$C$5,2)</f>
        <v/>
      </c>
      <c r="P1499" s="10">
        <f>ROUND(K1499*'Irish Basis'!$C$8*'Irish Basis'!$C$5,2)</f>
        <v/>
      </c>
      <c r="Q1499" s="10">
        <f>ROUND(L1499*'Irish Basis'!$C$12*'Irish Basis'!$C$5,2)</f>
        <v/>
      </c>
      <c r="R1499" s="11">
        <f>ROUND(SUM(N1499:Q1499),2)</f>
        <v/>
      </c>
      <c r="S1499" s="5" t="inlineStr">
        <is>
          <t>Stated build-up</t>
        </is>
      </c>
      <c r="T1499" s="12" t="inlineStr">
        <is>
          <t>High</t>
        </is>
      </c>
      <c r="U1499" s="8" t="n">
        <v>324.14</v>
      </c>
      <c r="V1499" s="13">
        <f>IF(U1499="","",ROUND(M1499-U1499,2))</f>
        <v/>
      </c>
      <c r="W1499" s="5" t="n"/>
      <c r="X1499" s="5" t="inlineStr">
        <is>
          <t>Labour + plant + material as published; reconciles to the published rate.</t>
        </is>
      </c>
    </row>
    <row r="1500" ht="13" customHeight="1">
      <c r="A1500" s="4" t="n">
        <v>2416</v>
      </c>
      <c r="B1500" s="5" t="inlineStr">
        <is>
          <t>IMG_0098</t>
        </is>
      </c>
      <c r="C1500" s="5" t="inlineStr">
        <is>
          <t>CLASS I: PIPEWORK - PIPES</t>
        </is>
      </c>
      <c r="D1500" s="5" t="inlineStr">
        <is>
          <t>03 IRON PIPES</t>
        </is>
      </c>
      <c r="E1500" s="5" t="inlineStr">
        <is>
          <t>400 mm pipes; in trenches, depth</t>
        </is>
      </c>
      <c r="F1500" s="5" t="inlineStr">
        <is>
          <t>2.50-3.00 m deep</t>
        </is>
      </c>
      <c r="G1500" s="6" t="inlineStr">
        <is>
          <t>m</t>
        </is>
      </c>
      <c r="H1500" s="7" t="n">
        <v>0.57</v>
      </c>
      <c r="I1500" s="8" t="n">
        <v>78.76000000000001</v>
      </c>
      <c r="J1500" s="8" t="n">
        <v>74.58</v>
      </c>
      <c r="K1500" s="8" t="n">
        <v>195.05</v>
      </c>
      <c r="L1500" s="8" t="n">
        <v>0</v>
      </c>
      <c r="M1500" s="9">
        <f>ROUND(SUM(I1500:L1500),2)</f>
        <v/>
      </c>
      <c r="N1500" s="10">
        <f>ROUND(I1500*'Irish Basis'!$C$6*'Irish Basis'!$C$5,2)</f>
        <v/>
      </c>
      <c r="O1500" s="10">
        <f>ROUND(J1500*'Irish Basis'!$C$7*'Irish Basis'!$C$5,2)</f>
        <v/>
      </c>
      <c r="P1500" s="10">
        <f>ROUND(K1500*'Irish Basis'!$C$8*'Irish Basis'!$C$5,2)</f>
        <v/>
      </c>
      <c r="Q1500" s="10">
        <f>ROUND(L1500*'Irish Basis'!$C$12*'Irish Basis'!$C$5,2)</f>
        <v/>
      </c>
      <c r="R1500" s="11">
        <f>ROUND(SUM(N1500:Q1500),2)</f>
        <v/>
      </c>
      <c r="S1500" s="5" t="inlineStr">
        <is>
          <t>Stated build-up</t>
        </is>
      </c>
      <c r="T1500" s="12" t="inlineStr">
        <is>
          <t>High</t>
        </is>
      </c>
      <c r="U1500" s="8" t="n">
        <v>348.39</v>
      </c>
      <c r="V1500" s="13">
        <f>IF(U1500="","",ROUND(M1500-U1500,2))</f>
        <v/>
      </c>
      <c r="W1500" s="5" t="n"/>
      <c r="X1500" s="5" t="inlineStr">
        <is>
          <t>Labour + plant + material as published; reconciles to the published rate.</t>
        </is>
      </c>
    </row>
    <row r="1501" ht="13" customHeight="1">
      <c r="A1501" s="4" t="n">
        <v>2417</v>
      </c>
      <c r="B1501" s="5" t="inlineStr">
        <is>
          <t>IMG_0098</t>
        </is>
      </c>
      <c r="C1501" s="5" t="inlineStr">
        <is>
          <t>CLASS I: PIPEWORK - PIPES</t>
        </is>
      </c>
      <c r="D1501" s="5" t="inlineStr">
        <is>
          <t>03 IRON PIPES</t>
        </is>
      </c>
      <c r="E1501" s="5" t="inlineStr">
        <is>
          <t>400 mm pipes; in trenches, depth</t>
        </is>
      </c>
      <c r="F1501" s="5" t="inlineStr">
        <is>
          <t>3.00-3.50 m deep</t>
        </is>
      </c>
      <c r="G1501" s="6" t="inlineStr">
        <is>
          <t>m</t>
        </is>
      </c>
      <c r="H1501" s="7" t="n">
        <v>0.71</v>
      </c>
      <c r="I1501" s="8" t="n">
        <v>98.11</v>
      </c>
      <c r="J1501" s="8" t="n">
        <v>92.90000000000001</v>
      </c>
      <c r="K1501" s="8" t="n">
        <v>195.05</v>
      </c>
      <c r="L1501" s="8" t="n">
        <v>0</v>
      </c>
      <c r="M1501" s="9">
        <f>ROUND(SUM(I1501:L1501),2)</f>
        <v/>
      </c>
      <c r="N1501" s="10">
        <f>ROUND(I1501*'Irish Basis'!$C$6*'Irish Basis'!$C$5,2)</f>
        <v/>
      </c>
      <c r="O1501" s="10">
        <f>ROUND(J1501*'Irish Basis'!$C$7*'Irish Basis'!$C$5,2)</f>
        <v/>
      </c>
      <c r="P1501" s="10">
        <f>ROUND(K1501*'Irish Basis'!$C$8*'Irish Basis'!$C$5,2)</f>
        <v/>
      </c>
      <c r="Q1501" s="10">
        <f>ROUND(L1501*'Irish Basis'!$C$12*'Irish Basis'!$C$5,2)</f>
        <v/>
      </c>
      <c r="R1501" s="11">
        <f>ROUND(SUM(N1501:Q1501),2)</f>
        <v/>
      </c>
      <c r="S1501" s="5" t="inlineStr">
        <is>
          <t>Stated build-up</t>
        </is>
      </c>
      <c r="T1501" s="12" t="inlineStr">
        <is>
          <t>High</t>
        </is>
      </c>
      <c r="U1501" s="8" t="n">
        <v>386.06</v>
      </c>
      <c r="V1501" s="13">
        <f>IF(U1501="","",ROUND(M1501-U1501,2))</f>
        <v/>
      </c>
      <c r="W1501" s="5" t="n"/>
      <c r="X1501" s="5" t="inlineStr">
        <is>
          <t>Labour + plant + material as published; reconciles to the published rate.</t>
        </is>
      </c>
    </row>
    <row r="1502" ht="13" customHeight="1">
      <c r="A1502" s="4" t="n">
        <v>2418</v>
      </c>
      <c r="B1502" s="5" t="inlineStr">
        <is>
          <t>IMG_0098</t>
        </is>
      </c>
      <c r="C1502" s="5" t="inlineStr">
        <is>
          <t>CLASS I: PIPEWORK - PIPES</t>
        </is>
      </c>
      <c r="D1502" s="5" t="inlineStr">
        <is>
          <t>03 IRON PIPES</t>
        </is>
      </c>
      <c r="E1502" s="5" t="inlineStr">
        <is>
          <t>400 mm pipes; in trenches, depth</t>
        </is>
      </c>
      <c r="F1502" s="5" t="inlineStr">
        <is>
          <t>3.50-4.00 m deep</t>
        </is>
      </c>
      <c r="G1502" s="6" t="inlineStr">
        <is>
          <t>m</t>
        </is>
      </c>
      <c r="H1502" s="7" t="n">
        <v>0.91</v>
      </c>
      <c r="I1502" s="8" t="n">
        <v>125.74</v>
      </c>
      <c r="J1502" s="8" t="n">
        <v>119.15</v>
      </c>
      <c r="K1502" s="8" t="n">
        <v>195.05</v>
      </c>
      <c r="L1502" s="8" t="n">
        <v>0</v>
      </c>
      <c r="M1502" s="9">
        <f>ROUND(SUM(I1502:L1502),2)</f>
        <v/>
      </c>
      <c r="N1502" s="10">
        <f>ROUND(I1502*'Irish Basis'!$C$6*'Irish Basis'!$C$5,2)</f>
        <v/>
      </c>
      <c r="O1502" s="10">
        <f>ROUND(J1502*'Irish Basis'!$C$7*'Irish Basis'!$C$5,2)</f>
        <v/>
      </c>
      <c r="P1502" s="10">
        <f>ROUND(K1502*'Irish Basis'!$C$8*'Irish Basis'!$C$5,2)</f>
        <v/>
      </c>
      <c r="Q1502" s="10">
        <f>ROUND(L1502*'Irish Basis'!$C$12*'Irish Basis'!$C$5,2)</f>
        <v/>
      </c>
      <c r="R1502" s="11">
        <f>ROUND(SUM(N1502:Q1502),2)</f>
        <v/>
      </c>
      <c r="S1502" s="5" t="inlineStr">
        <is>
          <t>Stated build-up</t>
        </is>
      </c>
      <c r="T1502" s="12" t="inlineStr">
        <is>
          <t>High</t>
        </is>
      </c>
      <c r="U1502" s="8" t="n">
        <v>439.95</v>
      </c>
      <c r="V1502" s="13">
        <f>IF(U1502="","",ROUND(M1502-U1502,2))</f>
        <v/>
      </c>
      <c r="W1502" s="5" t="n"/>
      <c r="X1502" s="5" t="inlineStr">
        <is>
          <t>Labour + plant + material as published; reconciles to the published rate.</t>
        </is>
      </c>
    </row>
    <row r="1503" ht="13" customHeight="1">
      <c r="A1503" s="4" t="n">
        <v>2419</v>
      </c>
      <c r="B1503" s="5" t="inlineStr">
        <is>
          <t>IMG_0098</t>
        </is>
      </c>
      <c r="C1503" s="5" t="inlineStr">
        <is>
          <t>CLASS I: PIPEWORK - PIPES</t>
        </is>
      </c>
      <c r="D1503" s="5" t="inlineStr">
        <is>
          <t>03 IRON PIPES</t>
        </is>
      </c>
      <c r="E1503" s="5" t="inlineStr">
        <is>
          <t>400 mm pipes; in trenches, depth</t>
        </is>
      </c>
      <c r="F1503" s="5" t="inlineStr">
        <is>
          <t>4.00-4.50 m deep</t>
        </is>
      </c>
      <c r="G1503" s="6" t="inlineStr">
        <is>
          <t>m</t>
        </is>
      </c>
      <c r="H1503" s="7" t="n">
        <v>1.16</v>
      </c>
      <c r="I1503" s="8" t="n">
        <v>160.29</v>
      </c>
      <c r="J1503" s="8" t="n">
        <v>151.94</v>
      </c>
      <c r="K1503" s="8" t="n">
        <v>195.05</v>
      </c>
      <c r="L1503" s="8" t="n">
        <v>0</v>
      </c>
      <c r="M1503" s="9">
        <f>ROUND(SUM(I1503:L1503),2)</f>
        <v/>
      </c>
      <c r="N1503" s="10">
        <f>ROUND(I1503*'Irish Basis'!$C$6*'Irish Basis'!$C$5,2)</f>
        <v/>
      </c>
      <c r="O1503" s="10">
        <f>ROUND(J1503*'Irish Basis'!$C$7*'Irish Basis'!$C$5,2)</f>
        <v/>
      </c>
      <c r="P1503" s="10">
        <f>ROUND(K1503*'Irish Basis'!$C$8*'Irish Basis'!$C$5,2)</f>
        <v/>
      </c>
      <c r="Q1503" s="10">
        <f>ROUND(L1503*'Irish Basis'!$C$12*'Irish Basis'!$C$5,2)</f>
        <v/>
      </c>
      <c r="R1503" s="11">
        <f>ROUND(SUM(N1503:Q1503),2)</f>
        <v/>
      </c>
      <c r="S1503" s="5" t="inlineStr">
        <is>
          <t>Stated build-up</t>
        </is>
      </c>
      <c r="T1503" s="12" t="inlineStr">
        <is>
          <t>High</t>
        </is>
      </c>
      <c r="U1503" s="8" t="n">
        <v>507.28</v>
      </c>
      <c r="V1503" s="13">
        <f>IF(U1503="","",ROUND(M1503-U1503,2))</f>
        <v/>
      </c>
      <c r="W1503" s="5" t="n"/>
      <c r="X1503" s="5" t="inlineStr">
        <is>
          <t>Labour + plant + material as published; reconciles to the published rate.</t>
        </is>
      </c>
    </row>
    <row r="1504" ht="13" customHeight="1">
      <c r="A1504" s="4" t="n">
        <v>2420</v>
      </c>
      <c r="B1504" s="5" t="inlineStr">
        <is>
          <t>IMG_0098</t>
        </is>
      </c>
      <c r="C1504" s="5" t="inlineStr">
        <is>
          <t>CLASS I: PIPEWORK - PIPES</t>
        </is>
      </c>
      <c r="D1504" s="5" t="inlineStr">
        <is>
          <t>03 IRON PIPES</t>
        </is>
      </c>
      <c r="E1504" s="5" t="inlineStr">
        <is>
          <t>400 mm pipes; in trenches, depth</t>
        </is>
      </c>
      <c r="F1504" s="5" t="inlineStr">
        <is>
          <t>4.50-5.00 m deep</t>
        </is>
      </c>
      <c r="G1504" s="6" t="inlineStr">
        <is>
          <t>m</t>
        </is>
      </c>
      <c r="H1504" s="7" t="n">
        <v>1.47</v>
      </c>
      <c r="I1504" s="8" t="n">
        <v>203.12</v>
      </c>
      <c r="J1504" s="8" t="n">
        <v>192.61</v>
      </c>
      <c r="K1504" s="8" t="n">
        <v>195.05</v>
      </c>
      <c r="L1504" s="8" t="n">
        <v>0</v>
      </c>
      <c r="M1504" s="9">
        <f>ROUND(SUM(I1504:L1504),2)</f>
        <v/>
      </c>
      <c r="N1504" s="10">
        <f>ROUND(I1504*'Irish Basis'!$C$6*'Irish Basis'!$C$5,2)</f>
        <v/>
      </c>
      <c r="O1504" s="10">
        <f>ROUND(J1504*'Irish Basis'!$C$7*'Irish Basis'!$C$5,2)</f>
        <v/>
      </c>
      <c r="P1504" s="10">
        <f>ROUND(K1504*'Irish Basis'!$C$8*'Irish Basis'!$C$5,2)</f>
        <v/>
      </c>
      <c r="Q1504" s="10">
        <f>ROUND(L1504*'Irish Basis'!$C$12*'Irish Basis'!$C$5,2)</f>
        <v/>
      </c>
      <c r="R1504" s="11">
        <f>ROUND(SUM(N1504:Q1504),2)</f>
        <v/>
      </c>
      <c r="S1504" s="5" t="inlineStr">
        <is>
          <t>Stated build-up</t>
        </is>
      </c>
      <c r="T1504" s="12" t="inlineStr">
        <is>
          <t>High</t>
        </is>
      </c>
      <c r="U1504" s="8" t="n">
        <v>590.79</v>
      </c>
      <c r="V1504" s="13">
        <f>IF(U1504="","",ROUND(M1504-U1504,2))</f>
        <v/>
      </c>
      <c r="W1504" s="5" t="n"/>
      <c r="X1504" s="5" t="inlineStr">
        <is>
          <t>Labour + plant + material as published; reconciles to the published rate.</t>
        </is>
      </c>
    </row>
    <row r="1505" ht="13" customHeight="1">
      <c r="A1505" s="4" t="n">
        <v>2421</v>
      </c>
      <c r="B1505" s="5" t="inlineStr">
        <is>
          <t>IMG_0098</t>
        </is>
      </c>
      <c r="C1505" s="5" t="inlineStr">
        <is>
          <t>CLASS I: PIPEWORK - PIPES</t>
        </is>
      </c>
      <c r="D1505" s="5" t="inlineStr">
        <is>
          <t>03 IRON PIPES</t>
        </is>
      </c>
      <c r="E1505" s="5" t="inlineStr">
        <is>
          <t>400 mm pipes; in trenches, depth</t>
        </is>
      </c>
      <c r="F1505" s="5" t="inlineStr">
        <is>
          <t>5.00-5.50 m deep</t>
        </is>
      </c>
      <c r="G1505" s="6" t="inlineStr">
        <is>
          <t>m</t>
        </is>
      </c>
      <c r="H1505" s="7" t="n">
        <v>1.77</v>
      </c>
      <c r="I1505" s="8" t="n">
        <v>244.58</v>
      </c>
      <c r="J1505" s="8" t="n">
        <v>232.03</v>
      </c>
      <c r="K1505" s="8" t="n">
        <v>195.05</v>
      </c>
      <c r="L1505" s="8" t="n">
        <v>0</v>
      </c>
      <c r="M1505" s="9">
        <f>ROUND(SUM(I1505:L1505),2)</f>
        <v/>
      </c>
      <c r="N1505" s="10">
        <f>ROUND(I1505*'Irish Basis'!$C$6*'Irish Basis'!$C$5,2)</f>
        <v/>
      </c>
      <c r="O1505" s="10">
        <f>ROUND(J1505*'Irish Basis'!$C$7*'Irish Basis'!$C$5,2)</f>
        <v/>
      </c>
      <c r="P1505" s="10">
        <f>ROUND(K1505*'Irish Basis'!$C$8*'Irish Basis'!$C$5,2)</f>
        <v/>
      </c>
      <c r="Q1505" s="10">
        <f>ROUND(L1505*'Irish Basis'!$C$12*'Irish Basis'!$C$5,2)</f>
        <v/>
      </c>
      <c r="R1505" s="11">
        <f>ROUND(SUM(N1505:Q1505),2)</f>
        <v/>
      </c>
      <c r="S1505" s="5" t="inlineStr">
        <is>
          <t>Stated build-up</t>
        </is>
      </c>
      <c r="T1505" s="12" t="inlineStr">
        <is>
          <t>High</t>
        </is>
      </c>
      <c r="U1505" s="8" t="n">
        <v>671.67</v>
      </c>
      <c r="V1505" s="13">
        <f>IF(U1505="","",ROUND(M1505-U1505,2))</f>
        <v/>
      </c>
      <c r="W1505" s="5" t="n"/>
      <c r="X1505" s="5" t="inlineStr">
        <is>
          <t>Labour + plant + material as published; reconciles to the published rate.</t>
        </is>
      </c>
    </row>
    <row r="1506" ht="13" customHeight="1">
      <c r="A1506" s="4" t="n">
        <v>2423</v>
      </c>
      <c r="B1506" s="5" t="inlineStr">
        <is>
          <t>IMG_0098</t>
        </is>
      </c>
      <c r="C1506" s="5" t="inlineStr">
        <is>
          <t>CLASS I: PIPEWORK - PIPES</t>
        </is>
      </c>
      <c r="D1506" s="5" t="inlineStr">
        <is>
          <t>03 IRON PIPES</t>
        </is>
      </c>
      <c r="E1506" s="5" t="inlineStr">
        <is>
          <t>600 mm pipes; in trenches, depth</t>
        </is>
      </c>
      <c r="F1506" s="5" t="inlineStr">
        <is>
          <t>not in trenches</t>
        </is>
      </c>
      <c r="G1506" s="6" t="inlineStr">
        <is>
          <t>m</t>
        </is>
      </c>
      <c r="H1506" s="7" t="n">
        <v>0.34</v>
      </c>
      <c r="I1506" s="8" t="n">
        <v>29.35</v>
      </c>
      <c r="J1506" s="8" t="n">
        <v>1.66</v>
      </c>
      <c r="K1506" s="8" t="n">
        <v>248.46</v>
      </c>
      <c r="L1506" s="8" t="n">
        <v>0</v>
      </c>
      <c r="M1506" s="9">
        <f>ROUND(SUM(I1506:L1506),2)</f>
        <v/>
      </c>
      <c r="N1506" s="10">
        <f>ROUND(I1506*'Irish Basis'!$C$6*'Irish Basis'!$C$5,2)</f>
        <v/>
      </c>
      <c r="O1506" s="10">
        <f>ROUND(J1506*'Irish Basis'!$C$7*'Irish Basis'!$C$5,2)</f>
        <v/>
      </c>
      <c r="P1506" s="10">
        <f>ROUND(K1506*'Irish Basis'!$C$8*'Irish Basis'!$C$5,2)</f>
        <v/>
      </c>
      <c r="Q1506" s="10">
        <f>ROUND(L1506*'Irish Basis'!$C$12*'Irish Basis'!$C$5,2)</f>
        <v/>
      </c>
      <c r="R1506" s="11">
        <f>ROUND(SUM(N1506:Q1506),2)</f>
        <v/>
      </c>
      <c r="S1506" s="5" t="inlineStr">
        <is>
          <t>Stated build-up</t>
        </is>
      </c>
      <c r="T1506" s="12" t="inlineStr">
        <is>
          <t>High</t>
        </is>
      </c>
      <c r="U1506" s="8" t="n">
        <v>279.46</v>
      </c>
      <c r="V1506" s="13">
        <f>IF(U1506="","",ROUND(M1506-U1506,2))</f>
        <v/>
      </c>
      <c r="W1506" s="5" t="n"/>
      <c r="X1506" s="5" t="inlineStr">
        <is>
          <t>Labour + plant + material as published; reconciles to the published rate.</t>
        </is>
      </c>
    </row>
    <row r="1507" ht="13" customHeight="1">
      <c r="A1507" s="4" t="n">
        <v>2424</v>
      </c>
      <c r="B1507" s="5" t="inlineStr">
        <is>
          <t>IMG_0098</t>
        </is>
      </c>
      <c r="C1507" s="5" t="inlineStr">
        <is>
          <t>CLASS I: PIPEWORK - PIPES</t>
        </is>
      </c>
      <c r="D1507" s="5" t="inlineStr">
        <is>
          <t>03 IRON PIPES</t>
        </is>
      </c>
      <c r="E1507" s="5" t="inlineStr">
        <is>
          <t>600 mm pipes; in trenches, depth</t>
        </is>
      </c>
      <c r="F1507" s="5" t="inlineStr">
        <is>
          <t>ne 1.50 m deep</t>
        </is>
      </c>
      <c r="G1507" s="6" t="inlineStr">
        <is>
          <t>m</t>
        </is>
      </c>
      <c r="H1507" s="7" t="n">
        <v>0.47</v>
      </c>
      <c r="I1507" s="8" t="n">
        <v>64.94</v>
      </c>
      <c r="J1507" s="8" t="n">
        <v>61.33</v>
      </c>
      <c r="K1507" s="8" t="n">
        <v>248.46</v>
      </c>
      <c r="L1507" s="8" t="n">
        <v>0</v>
      </c>
      <c r="M1507" s="9">
        <f>ROUND(SUM(I1507:L1507),2)</f>
        <v/>
      </c>
      <c r="N1507" s="10">
        <f>ROUND(I1507*'Irish Basis'!$C$6*'Irish Basis'!$C$5,2)</f>
        <v/>
      </c>
      <c r="O1507" s="10">
        <f>ROUND(J1507*'Irish Basis'!$C$7*'Irish Basis'!$C$5,2)</f>
        <v/>
      </c>
      <c r="P1507" s="10">
        <f>ROUND(K1507*'Irish Basis'!$C$8*'Irish Basis'!$C$5,2)</f>
        <v/>
      </c>
      <c r="Q1507" s="10">
        <f>ROUND(L1507*'Irish Basis'!$C$12*'Irish Basis'!$C$5,2)</f>
        <v/>
      </c>
      <c r="R1507" s="11">
        <f>ROUND(SUM(N1507:Q1507),2)</f>
        <v/>
      </c>
      <c r="S1507" s="5" t="inlineStr">
        <is>
          <t>Stated build-up</t>
        </is>
      </c>
      <c r="T1507" s="12" t="inlineStr">
        <is>
          <t>High</t>
        </is>
      </c>
      <c r="U1507" s="8" t="n">
        <v>374.73</v>
      </c>
      <c r="V1507" s="13">
        <f>IF(U1507="","",ROUND(M1507-U1507,2))</f>
        <v/>
      </c>
      <c r="W1507" s="5" t="n"/>
      <c r="X1507" s="5" t="inlineStr">
        <is>
          <t>Labour + plant + material as published; reconciles to the published rate.</t>
        </is>
      </c>
    </row>
    <row r="1508" ht="13" customHeight="1">
      <c r="A1508" s="4" t="n">
        <v>2425</v>
      </c>
      <c r="B1508" s="5" t="inlineStr">
        <is>
          <t>IMG_0098</t>
        </is>
      </c>
      <c r="C1508" s="5" t="inlineStr">
        <is>
          <t>CLASS I: PIPEWORK - PIPES</t>
        </is>
      </c>
      <c r="D1508" s="5" t="inlineStr">
        <is>
          <t>03 IRON PIPES</t>
        </is>
      </c>
      <c r="E1508" s="5" t="inlineStr">
        <is>
          <t>600 mm pipes; in trenches, depth</t>
        </is>
      </c>
      <c r="F1508" s="5" t="inlineStr">
        <is>
          <t>1.50-2.00 m deep</t>
        </is>
      </c>
      <c r="G1508" s="6" t="inlineStr">
        <is>
          <t>m</t>
        </is>
      </c>
      <c r="H1508" s="7" t="n">
        <v>0.55</v>
      </c>
      <c r="I1508" s="8" t="n">
        <v>76</v>
      </c>
      <c r="J1508" s="8" t="n">
        <v>71.89</v>
      </c>
      <c r="K1508" s="8" t="n">
        <v>248.46</v>
      </c>
      <c r="L1508" s="8" t="n">
        <v>0</v>
      </c>
      <c r="M1508" s="9">
        <f>ROUND(SUM(I1508:L1508),2)</f>
        <v/>
      </c>
      <c r="N1508" s="10">
        <f>ROUND(I1508*'Irish Basis'!$C$6*'Irish Basis'!$C$5,2)</f>
        <v/>
      </c>
      <c r="O1508" s="10">
        <f>ROUND(J1508*'Irish Basis'!$C$7*'Irish Basis'!$C$5,2)</f>
        <v/>
      </c>
      <c r="P1508" s="10">
        <f>ROUND(K1508*'Irish Basis'!$C$8*'Irish Basis'!$C$5,2)</f>
        <v/>
      </c>
      <c r="Q1508" s="10">
        <f>ROUND(L1508*'Irish Basis'!$C$12*'Irish Basis'!$C$5,2)</f>
        <v/>
      </c>
      <c r="R1508" s="11">
        <f>ROUND(SUM(N1508:Q1508),2)</f>
        <v/>
      </c>
      <c r="S1508" s="5" t="inlineStr">
        <is>
          <t>Stated build-up</t>
        </is>
      </c>
      <c r="T1508" s="12" t="inlineStr">
        <is>
          <t>High</t>
        </is>
      </c>
      <c r="U1508" s="8" t="n">
        <v>396.35</v>
      </c>
      <c r="V1508" s="13">
        <f>IF(U1508="","",ROUND(M1508-U1508,2))</f>
        <v/>
      </c>
      <c r="W1508" s="5" t="n"/>
      <c r="X1508" s="5" t="inlineStr">
        <is>
          <t>Labour + plant + material as published; reconciles to the published rate.</t>
        </is>
      </c>
    </row>
    <row r="1509" ht="13" customHeight="1">
      <c r="A1509" s="4" t="n">
        <v>2426</v>
      </c>
      <c r="B1509" s="5" t="inlineStr">
        <is>
          <t>IMG_0098</t>
        </is>
      </c>
      <c r="C1509" s="5" t="inlineStr">
        <is>
          <t>CLASS I: PIPEWORK - PIPES</t>
        </is>
      </c>
      <c r="D1509" s="5" t="inlineStr">
        <is>
          <t>03 IRON PIPES</t>
        </is>
      </c>
      <c r="E1509" s="5" t="inlineStr">
        <is>
          <t>600 mm pipes; in trenches, depth</t>
        </is>
      </c>
      <c r="F1509" s="5" t="inlineStr">
        <is>
          <t>2.00-2.50 m deep</t>
        </is>
      </c>
      <c r="G1509" s="6" t="inlineStr">
        <is>
          <t>m</t>
        </is>
      </c>
      <c r="H1509" s="7" t="n">
        <v>0.66</v>
      </c>
      <c r="I1509" s="8" t="n">
        <v>91.2</v>
      </c>
      <c r="J1509" s="8" t="n">
        <v>86.31999999999999</v>
      </c>
      <c r="K1509" s="8" t="n">
        <v>248.46</v>
      </c>
      <c r="L1509" s="8" t="n">
        <v>0</v>
      </c>
      <c r="M1509" s="9">
        <f>ROUND(SUM(I1509:L1509),2)</f>
        <v/>
      </c>
      <c r="N1509" s="10">
        <f>ROUND(I1509*'Irish Basis'!$C$6*'Irish Basis'!$C$5,2)</f>
        <v/>
      </c>
      <c r="O1509" s="10">
        <f>ROUND(J1509*'Irish Basis'!$C$7*'Irish Basis'!$C$5,2)</f>
        <v/>
      </c>
      <c r="P1509" s="10">
        <f>ROUND(K1509*'Irish Basis'!$C$8*'Irish Basis'!$C$5,2)</f>
        <v/>
      </c>
      <c r="Q1509" s="10">
        <f>ROUND(L1509*'Irish Basis'!$C$12*'Irish Basis'!$C$5,2)</f>
        <v/>
      </c>
      <c r="R1509" s="11">
        <f>ROUND(SUM(N1509:Q1509),2)</f>
        <v/>
      </c>
      <c r="S1509" s="5" t="inlineStr">
        <is>
          <t>Stated build-up</t>
        </is>
      </c>
      <c r="T1509" s="12" t="inlineStr">
        <is>
          <t>High</t>
        </is>
      </c>
      <c r="U1509" s="8" t="n">
        <v>425.97</v>
      </c>
      <c r="V1509" s="13">
        <f>IF(U1509="","",ROUND(M1509-U1509,2))</f>
        <v/>
      </c>
      <c r="W1509" s="5" t="n"/>
      <c r="X1509" s="5" t="inlineStr">
        <is>
          <t>Labour + plant + material as published; reconciles to the published rate.</t>
        </is>
      </c>
    </row>
    <row r="1510" ht="13" customHeight="1">
      <c r="A1510" s="4" t="n">
        <v>2427</v>
      </c>
      <c r="B1510" s="5" t="inlineStr">
        <is>
          <t>IMG_0098</t>
        </is>
      </c>
      <c r="C1510" s="5" t="inlineStr">
        <is>
          <t>CLASS I: PIPEWORK - PIPES</t>
        </is>
      </c>
      <c r="D1510" s="5" t="inlineStr">
        <is>
          <t>03 IRON PIPES</t>
        </is>
      </c>
      <c r="E1510" s="5" t="inlineStr">
        <is>
          <t>600 mm pipes; in trenches, depth</t>
        </is>
      </c>
      <c r="F1510" s="5" t="inlineStr">
        <is>
          <t>2.50-3.00 m deep</t>
        </is>
      </c>
      <c r="G1510" s="6" t="inlineStr">
        <is>
          <t>m</t>
        </is>
      </c>
      <c r="H1510" s="7" t="n">
        <v>0.78</v>
      </c>
      <c r="I1510" s="8" t="n">
        <v>107.78</v>
      </c>
      <c r="J1510" s="8" t="n">
        <v>102.06</v>
      </c>
      <c r="K1510" s="8" t="n">
        <v>248.46</v>
      </c>
      <c r="L1510" s="8" t="n">
        <v>0</v>
      </c>
      <c r="M1510" s="9">
        <f>ROUND(SUM(I1510:L1510),2)</f>
        <v/>
      </c>
      <c r="N1510" s="10">
        <f>ROUND(I1510*'Irish Basis'!$C$6*'Irish Basis'!$C$5,2)</f>
        <v/>
      </c>
      <c r="O1510" s="10">
        <f>ROUND(J1510*'Irish Basis'!$C$7*'Irish Basis'!$C$5,2)</f>
        <v/>
      </c>
      <c r="P1510" s="10">
        <f>ROUND(K1510*'Irish Basis'!$C$8*'Irish Basis'!$C$5,2)</f>
        <v/>
      </c>
      <c r="Q1510" s="10">
        <f>ROUND(L1510*'Irish Basis'!$C$12*'Irish Basis'!$C$5,2)</f>
        <v/>
      </c>
      <c r="R1510" s="11">
        <f>ROUND(SUM(N1510:Q1510),2)</f>
        <v/>
      </c>
      <c r="S1510" s="5" t="inlineStr">
        <is>
          <t>Stated build-up</t>
        </is>
      </c>
      <c r="T1510" s="12" t="inlineStr">
        <is>
          <t>High</t>
        </is>
      </c>
      <c r="U1510" s="8" t="n">
        <v>458.3</v>
      </c>
      <c r="V1510" s="13">
        <f>IF(U1510="","",ROUND(M1510-U1510,2))</f>
        <v/>
      </c>
      <c r="W1510" s="5" t="n"/>
      <c r="X1510" s="5" t="inlineStr">
        <is>
          <t>Labour + plant + material as published; reconciles to the published rate.</t>
        </is>
      </c>
    </row>
    <row r="1511" ht="13" customHeight="1">
      <c r="A1511" s="4" t="n">
        <v>2428</v>
      </c>
      <c r="B1511" s="5" t="inlineStr">
        <is>
          <t>IMG_0098</t>
        </is>
      </c>
      <c r="C1511" s="5" t="inlineStr">
        <is>
          <t>CLASS I: PIPEWORK - PIPES</t>
        </is>
      </c>
      <c r="D1511" s="5" t="inlineStr">
        <is>
          <t>03 IRON PIPES</t>
        </is>
      </c>
      <c r="E1511" s="5" t="inlineStr">
        <is>
          <t>600 mm pipes; in trenches, depth</t>
        </is>
      </c>
      <c r="F1511" s="5" t="inlineStr">
        <is>
          <t>3.00-3.50 m deep</t>
        </is>
      </c>
      <c r="G1511" s="6" t="inlineStr">
        <is>
          <t>m</t>
        </is>
      </c>
      <c r="H1511" s="7" t="n">
        <v>0.89</v>
      </c>
      <c r="I1511" s="8" t="n">
        <v>122.98</v>
      </c>
      <c r="J1511" s="8" t="n">
        <v>116.49</v>
      </c>
      <c r="K1511" s="8" t="n">
        <v>248.46</v>
      </c>
      <c r="L1511" s="8" t="n">
        <v>0</v>
      </c>
      <c r="M1511" s="9">
        <f>ROUND(SUM(I1511:L1511),2)</f>
        <v/>
      </c>
      <c r="N1511" s="10">
        <f>ROUND(I1511*'Irish Basis'!$C$6*'Irish Basis'!$C$5,2)</f>
        <v/>
      </c>
      <c r="O1511" s="10">
        <f>ROUND(J1511*'Irish Basis'!$C$7*'Irish Basis'!$C$5,2)</f>
        <v/>
      </c>
      <c r="P1511" s="10">
        <f>ROUND(K1511*'Irish Basis'!$C$8*'Irish Basis'!$C$5,2)</f>
        <v/>
      </c>
      <c r="Q1511" s="10">
        <f>ROUND(L1511*'Irish Basis'!$C$12*'Irish Basis'!$C$5,2)</f>
        <v/>
      </c>
      <c r="R1511" s="11">
        <f>ROUND(SUM(N1511:Q1511),2)</f>
        <v/>
      </c>
      <c r="S1511" s="5" t="inlineStr">
        <is>
          <t>Stated build-up</t>
        </is>
      </c>
      <c r="T1511" s="12" t="inlineStr">
        <is>
          <t>High</t>
        </is>
      </c>
      <c r="U1511" s="8" t="n">
        <v>487.92</v>
      </c>
      <c r="V1511" s="13">
        <f>IF(U1511="","",ROUND(M1511-U1511,2))</f>
        <v/>
      </c>
      <c r="W1511" s="5" t="n"/>
      <c r="X1511" s="5" t="inlineStr">
        <is>
          <t>Labour + plant + material as published; reconciles to the published rate.</t>
        </is>
      </c>
    </row>
    <row r="1512" ht="13" customHeight="1">
      <c r="A1512" s="4" t="n">
        <v>2429</v>
      </c>
      <c r="B1512" s="5" t="inlineStr">
        <is>
          <t>IMG_0098</t>
        </is>
      </c>
      <c r="C1512" s="5" t="inlineStr">
        <is>
          <t>CLASS I: PIPEWORK - PIPES</t>
        </is>
      </c>
      <c r="D1512" s="5" t="inlineStr">
        <is>
          <t>03 IRON PIPES</t>
        </is>
      </c>
      <c r="E1512" s="5" t="inlineStr">
        <is>
          <t>600 mm pipes; in trenches, depth</t>
        </is>
      </c>
      <c r="F1512" s="5" t="inlineStr">
        <is>
          <t>3.50-4.00 m deep</t>
        </is>
      </c>
      <c r="G1512" s="6" t="inlineStr">
        <is>
          <t>m</t>
        </is>
      </c>
      <c r="H1512" s="7" t="n">
        <v>1.09</v>
      </c>
      <c r="I1512" s="8" t="n">
        <v>150.62</v>
      </c>
      <c r="J1512" s="8" t="n">
        <v>142.75</v>
      </c>
      <c r="K1512" s="8" t="n">
        <v>248.46</v>
      </c>
      <c r="L1512" s="8" t="n">
        <v>0</v>
      </c>
      <c r="M1512" s="9">
        <f>ROUND(SUM(I1512:L1512),2)</f>
        <v/>
      </c>
      <c r="N1512" s="10">
        <f>ROUND(I1512*'Irish Basis'!$C$6*'Irish Basis'!$C$5,2)</f>
        <v/>
      </c>
      <c r="O1512" s="10">
        <f>ROUND(J1512*'Irish Basis'!$C$7*'Irish Basis'!$C$5,2)</f>
        <v/>
      </c>
      <c r="P1512" s="10">
        <f>ROUND(K1512*'Irish Basis'!$C$8*'Irish Basis'!$C$5,2)</f>
        <v/>
      </c>
      <c r="Q1512" s="10">
        <f>ROUND(L1512*'Irish Basis'!$C$12*'Irish Basis'!$C$5,2)</f>
        <v/>
      </c>
      <c r="R1512" s="11">
        <f>ROUND(SUM(N1512:Q1512),2)</f>
        <v/>
      </c>
      <c r="S1512" s="5" t="inlineStr">
        <is>
          <t>Stated build-up</t>
        </is>
      </c>
      <c r="T1512" s="12" t="inlineStr">
        <is>
          <t>High</t>
        </is>
      </c>
      <c r="U1512" s="8" t="n">
        <v>541.8200000000001</v>
      </c>
      <c r="V1512" s="13">
        <f>IF(U1512="","",ROUND(M1512-U1512,2))</f>
        <v/>
      </c>
      <c r="W1512" s="5" t="n"/>
      <c r="X1512" s="5" t="inlineStr">
        <is>
          <t>Labour + plant + material as published; reconciles to the published rate.</t>
        </is>
      </c>
    </row>
    <row r="1513" ht="13" customHeight="1">
      <c r="A1513" s="4" t="n">
        <v>2430</v>
      </c>
      <c r="B1513" s="5" t="inlineStr">
        <is>
          <t>IMG_0098</t>
        </is>
      </c>
      <c r="C1513" s="5" t="inlineStr">
        <is>
          <t>CLASS I: PIPEWORK - PIPES</t>
        </is>
      </c>
      <c r="D1513" s="5" t="inlineStr">
        <is>
          <t>03 IRON PIPES</t>
        </is>
      </c>
      <c r="E1513" s="5" t="inlineStr">
        <is>
          <t>600 mm pipes; in trenches, depth</t>
        </is>
      </c>
      <c r="F1513" s="5" t="inlineStr">
        <is>
          <t>4.00-4.50 m deep</t>
        </is>
      </c>
      <c r="G1513" s="6" t="inlineStr">
        <is>
          <t>m</t>
        </is>
      </c>
      <c r="H1513" s="7" t="n">
        <v>1.37</v>
      </c>
      <c r="I1513" s="8" t="n">
        <v>189.31</v>
      </c>
      <c r="J1513" s="8" t="n">
        <v>179.46</v>
      </c>
      <c r="K1513" s="8" t="n">
        <v>248.46</v>
      </c>
      <c r="L1513" s="8" t="n">
        <v>0</v>
      </c>
      <c r="M1513" s="9">
        <f>ROUND(SUM(I1513:L1513),2)</f>
        <v/>
      </c>
      <c r="N1513" s="10">
        <f>ROUND(I1513*'Irish Basis'!$C$6*'Irish Basis'!$C$5,2)</f>
        <v/>
      </c>
      <c r="O1513" s="10">
        <f>ROUND(J1513*'Irish Basis'!$C$7*'Irish Basis'!$C$5,2)</f>
        <v/>
      </c>
      <c r="P1513" s="10">
        <f>ROUND(K1513*'Irish Basis'!$C$8*'Irish Basis'!$C$5,2)</f>
        <v/>
      </c>
      <c r="Q1513" s="10">
        <f>ROUND(L1513*'Irish Basis'!$C$12*'Irish Basis'!$C$5,2)</f>
        <v/>
      </c>
      <c r="R1513" s="11">
        <f>ROUND(SUM(N1513:Q1513),2)</f>
        <v/>
      </c>
      <c r="S1513" s="5" t="inlineStr">
        <is>
          <t>Stated build-up</t>
        </is>
      </c>
      <c r="T1513" s="12" t="inlineStr">
        <is>
          <t>High</t>
        </is>
      </c>
      <c r="U1513" s="8" t="n">
        <v>617.22</v>
      </c>
      <c r="V1513" s="13">
        <f>IF(U1513="","",ROUND(M1513-U1513,2))</f>
        <v/>
      </c>
      <c r="W1513" s="5" t="n"/>
      <c r="X1513" s="5" t="inlineStr">
        <is>
          <t>Labour + plant + material as published; reconciles to the published rate.</t>
        </is>
      </c>
    </row>
    <row r="1514" ht="13" customHeight="1">
      <c r="A1514" s="4" t="n">
        <v>2431</v>
      </c>
      <c r="B1514" s="5" t="inlineStr">
        <is>
          <t>IMG_0098</t>
        </is>
      </c>
      <c r="C1514" s="5" t="inlineStr">
        <is>
          <t>CLASS I: PIPEWORK - PIPES</t>
        </is>
      </c>
      <c r="D1514" s="5" t="inlineStr">
        <is>
          <t>03 IRON PIPES</t>
        </is>
      </c>
      <c r="E1514" s="5" t="inlineStr">
        <is>
          <t>600 mm pipes; in trenches, depth</t>
        </is>
      </c>
      <c r="F1514" s="5" t="inlineStr">
        <is>
          <t>4.50-5.00 m deep</t>
        </is>
      </c>
      <c r="G1514" s="6" t="inlineStr">
        <is>
          <t>m</t>
        </is>
      </c>
      <c r="H1514" s="7" t="n">
        <v>1.7</v>
      </c>
      <c r="I1514" s="8" t="n">
        <v>234.91</v>
      </c>
      <c r="J1514" s="8" t="n">
        <v>222.79</v>
      </c>
      <c r="K1514" s="8" t="n">
        <v>248.46</v>
      </c>
      <c r="L1514" s="8" t="n">
        <v>0</v>
      </c>
      <c r="M1514" s="9">
        <f>ROUND(SUM(I1514:L1514),2)</f>
        <v/>
      </c>
      <c r="N1514" s="10">
        <f>ROUND(I1514*'Irish Basis'!$C$6*'Irish Basis'!$C$5,2)</f>
        <v/>
      </c>
      <c r="O1514" s="10">
        <f>ROUND(J1514*'Irish Basis'!$C$7*'Irish Basis'!$C$5,2)</f>
        <v/>
      </c>
      <c r="P1514" s="10">
        <f>ROUND(K1514*'Irish Basis'!$C$8*'Irish Basis'!$C$5,2)</f>
        <v/>
      </c>
      <c r="Q1514" s="10">
        <f>ROUND(L1514*'Irish Basis'!$C$12*'Irish Basis'!$C$5,2)</f>
        <v/>
      </c>
      <c r="R1514" s="11">
        <f>ROUND(SUM(N1514:Q1514),2)</f>
        <v/>
      </c>
      <c r="S1514" s="5" t="inlineStr">
        <is>
          <t>Stated build-up</t>
        </is>
      </c>
      <c r="T1514" s="12" t="inlineStr">
        <is>
          <t>High</t>
        </is>
      </c>
      <c r="U1514" s="8" t="n">
        <v>706.16</v>
      </c>
      <c r="V1514" s="13">
        <f>IF(U1514="","",ROUND(M1514-U1514,2))</f>
        <v/>
      </c>
      <c r="W1514" s="5" t="n"/>
      <c r="X1514" s="5" t="inlineStr">
        <is>
          <t>Labour + plant + material as published; reconciles to the published rate.</t>
        </is>
      </c>
    </row>
    <row r="1515" ht="13" customHeight="1">
      <c r="A1515" s="4" t="n">
        <v>2432</v>
      </c>
      <c r="B1515" s="5" t="inlineStr">
        <is>
          <t>IMG_0098</t>
        </is>
      </c>
      <c r="C1515" s="5" t="inlineStr">
        <is>
          <t>CLASS I: PIPEWORK - PIPES</t>
        </is>
      </c>
      <c r="D1515" s="5" t="inlineStr">
        <is>
          <t>03 IRON PIPES</t>
        </is>
      </c>
      <c r="E1515" s="5" t="inlineStr">
        <is>
          <t>600 mm pipes; in trenches, depth</t>
        </is>
      </c>
      <c r="F1515" s="5" t="inlineStr">
        <is>
          <t>5.00-5.50 m deep</t>
        </is>
      </c>
      <c r="G1515" s="6" t="inlineStr">
        <is>
          <t>m</t>
        </is>
      </c>
      <c r="H1515" s="7" t="n">
        <v>2.03</v>
      </c>
      <c r="I1515" s="8" t="n">
        <v>280.51</v>
      </c>
      <c r="J1515" s="8" t="n">
        <v>266.09</v>
      </c>
      <c r="K1515" s="8" t="n">
        <v>248.46</v>
      </c>
      <c r="L1515" s="8" t="n">
        <v>0</v>
      </c>
      <c r="M1515" s="9">
        <f>ROUND(SUM(I1515:L1515),2)</f>
        <v/>
      </c>
      <c r="N1515" s="10">
        <f>ROUND(I1515*'Irish Basis'!$C$6*'Irish Basis'!$C$5,2)</f>
        <v/>
      </c>
      <c r="O1515" s="10">
        <f>ROUND(J1515*'Irish Basis'!$C$7*'Irish Basis'!$C$5,2)</f>
        <v/>
      </c>
      <c r="P1515" s="10">
        <f>ROUND(K1515*'Irish Basis'!$C$8*'Irish Basis'!$C$5,2)</f>
        <v/>
      </c>
      <c r="Q1515" s="10">
        <f>ROUND(L1515*'Irish Basis'!$C$12*'Irish Basis'!$C$5,2)</f>
        <v/>
      </c>
      <c r="R1515" s="11">
        <f>ROUND(SUM(N1515:Q1515),2)</f>
        <v/>
      </c>
      <c r="S1515" s="5" t="inlineStr">
        <is>
          <t>Stated build-up</t>
        </is>
      </c>
      <c r="T1515" s="12" t="inlineStr">
        <is>
          <t>High</t>
        </is>
      </c>
      <c r="U1515" s="8" t="n">
        <v>795.05</v>
      </c>
      <c r="V1515" s="13">
        <f>IF(U1515="","",ROUND(M1515-U1515,2))</f>
        <v/>
      </c>
      <c r="W1515" s="5" t="n"/>
      <c r="X1515" s="5" t="inlineStr">
        <is>
          <t>Labour + plant + material as published; reconciles to the published rate.</t>
        </is>
      </c>
    </row>
    <row r="1516" ht="13" customHeight="1">
      <c r="A1516" s="4" t="n">
        <v>2435</v>
      </c>
      <c r="B1516" s="5" t="inlineStr">
        <is>
          <t>IMG_0098</t>
        </is>
      </c>
      <c r="C1516" s="5" t="inlineStr">
        <is>
          <t>CLASS I: PIPEWORK - PIPES</t>
        </is>
      </c>
      <c r="D1516" s="5" t="inlineStr">
        <is>
          <t>04 STEEL PIPES</t>
        </is>
      </c>
      <c r="E1516" s="5" t="inlineStr">
        <is>
          <t>Carbon steel pipes to BS EN 10126; welded joints; (for protection and lining refer to manufacturer); excavation and supports, backfilling; 100 mm pipes; in trenches, depth</t>
        </is>
      </c>
      <c r="F1516" s="5" t="inlineStr">
        <is>
          <t>not in trenches</t>
        </is>
      </c>
      <c r="G1516" s="6" t="inlineStr">
        <is>
          <t>m</t>
        </is>
      </c>
      <c r="H1516" s="7" t="n">
        <v>0.07000000000000001</v>
      </c>
      <c r="I1516" s="8" t="n">
        <v>6.04</v>
      </c>
      <c r="J1516" s="8" t="n">
        <v>0.77</v>
      </c>
      <c r="K1516" s="8" t="n">
        <v>52.07</v>
      </c>
      <c r="L1516" s="8" t="n">
        <v>0</v>
      </c>
      <c r="M1516" s="9">
        <f>ROUND(SUM(I1516:L1516),2)</f>
        <v/>
      </c>
      <c r="N1516" s="10">
        <f>ROUND(I1516*'Irish Basis'!$C$6*'Irish Basis'!$C$5,2)</f>
        <v/>
      </c>
      <c r="O1516" s="10">
        <f>ROUND(J1516*'Irish Basis'!$C$7*'Irish Basis'!$C$5,2)</f>
        <v/>
      </c>
      <c r="P1516" s="10">
        <f>ROUND(K1516*'Irish Basis'!$C$8*'Irish Basis'!$C$5,2)</f>
        <v/>
      </c>
      <c r="Q1516" s="10">
        <f>ROUND(L1516*'Irish Basis'!$C$12*'Irish Basis'!$C$5,2)</f>
        <v/>
      </c>
      <c r="R1516" s="11">
        <f>ROUND(SUM(N1516:Q1516),2)</f>
        <v/>
      </c>
      <c r="S1516" s="5" t="inlineStr">
        <is>
          <t>Stated build-up</t>
        </is>
      </c>
      <c r="T1516" s="12" t="inlineStr">
        <is>
          <t>High</t>
        </is>
      </c>
      <c r="U1516" s="8" t="n">
        <v>58.88</v>
      </c>
      <c r="V1516" s="13">
        <f>IF(U1516="","",ROUND(M1516-U1516,2))</f>
        <v/>
      </c>
      <c r="W1516" s="5" t="n"/>
      <c r="X1516" s="5" t="inlineStr">
        <is>
          <t>Labour + plant + material as published; reconciles to the published rate.</t>
        </is>
      </c>
    </row>
    <row r="1517" ht="13" customHeight="1">
      <c r="A1517" s="4" t="n">
        <v>2436</v>
      </c>
      <c r="B1517" s="5" t="inlineStr">
        <is>
          <t>IMG_0098</t>
        </is>
      </c>
      <c r="C1517" s="5" t="inlineStr">
        <is>
          <t>CLASS I: PIPEWORK - PIPES</t>
        </is>
      </c>
      <c r="D1517" s="5" t="inlineStr">
        <is>
          <t>04 STEEL PIPES</t>
        </is>
      </c>
      <c r="E1517" s="5" t="inlineStr">
        <is>
          <t>Carbon steel pipes to BS EN 10126; welded joints; (for protection and lining refer to manufacturer); excavation and supports, backfilling; 100 mm pipes; in trenches, depth</t>
        </is>
      </c>
      <c r="F1517" s="5" t="inlineStr">
        <is>
          <t>ne 1.50 m deep</t>
        </is>
      </c>
      <c r="G1517" s="6" t="inlineStr">
        <is>
          <t>m</t>
        </is>
      </c>
      <c r="H1517" s="7" t="n">
        <v>0.15</v>
      </c>
      <c r="I1517" s="8" t="n">
        <v>20.73</v>
      </c>
      <c r="J1517" s="8" t="n">
        <v>19.56</v>
      </c>
      <c r="K1517" s="8" t="n">
        <v>52.07</v>
      </c>
      <c r="L1517" s="8" t="n">
        <v>0</v>
      </c>
      <c r="M1517" s="9">
        <f>ROUND(SUM(I1517:L1517),2)</f>
        <v/>
      </c>
      <c r="N1517" s="10">
        <f>ROUND(I1517*'Irish Basis'!$C$6*'Irish Basis'!$C$5,2)</f>
        <v/>
      </c>
      <c r="O1517" s="10">
        <f>ROUND(J1517*'Irish Basis'!$C$7*'Irish Basis'!$C$5,2)</f>
        <v/>
      </c>
      <c r="P1517" s="10">
        <f>ROUND(K1517*'Irish Basis'!$C$8*'Irish Basis'!$C$5,2)</f>
        <v/>
      </c>
      <c r="Q1517" s="10">
        <f>ROUND(L1517*'Irish Basis'!$C$12*'Irish Basis'!$C$5,2)</f>
        <v/>
      </c>
      <c r="R1517" s="11">
        <f>ROUND(SUM(N1517:Q1517),2)</f>
        <v/>
      </c>
      <c r="S1517" s="5" t="inlineStr">
        <is>
          <t>Stated build-up</t>
        </is>
      </c>
      <c r="T1517" s="12" t="inlineStr">
        <is>
          <t>High</t>
        </is>
      </c>
      <c r="U1517" s="8" t="n">
        <v>92.36</v>
      </c>
      <c r="V1517" s="13">
        <f>IF(U1517="","",ROUND(M1517-U1517,2))</f>
        <v/>
      </c>
      <c r="W1517" s="5" t="n"/>
      <c r="X1517" s="5" t="inlineStr">
        <is>
          <t>Labour + plant + material as published; reconciles to the published rate.</t>
        </is>
      </c>
    </row>
    <row r="1518" ht="13" customHeight="1">
      <c r="A1518" s="4" t="n">
        <v>2437</v>
      </c>
      <c r="B1518" s="5" t="inlineStr">
        <is>
          <t>IMG_0098</t>
        </is>
      </c>
      <c r="C1518" s="5" t="inlineStr">
        <is>
          <t>CLASS I: PIPEWORK - PIPES</t>
        </is>
      </c>
      <c r="D1518" s="5" t="inlineStr">
        <is>
          <t>04 STEEL PIPES</t>
        </is>
      </c>
      <c r="E1518" s="5" t="inlineStr">
        <is>
          <t>Carbon steel pipes to BS EN 10126; welded joints; (for protection and lining refer to manufacturer); excavation and supports, backfilling; 100 mm pipes; in trenches, depth</t>
        </is>
      </c>
      <c r="F1518" s="5" t="inlineStr">
        <is>
          <t>1.50-2.00 m deep</t>
        </is>
      </c>
      <c r="G1518" s="6" t="inlineStr">
        <is>
          <t>m</t>
        </is>
      </c>
      <c r="H1518" s="7" t="n">
        <v>0.17</v>
      </c>
      <c r="I1518" s="8" t="n">
        <v>23.49</v>
      </c>
      <c r="J1518" s="8" t="n">
        <v>22.24</v>
      </c>
      <c r="K1518" s="8" t="n">
        <v>52.07</v>
      </c>
      <c r="L1518" s="8" t="n">
        <v>0</v>
      </c>
      <c r="M1518" s="9">
        <f>ROUND(SUM(I1518:L1518),2)</f>
        <v/>
      </c>
      <c r="N1518" s="10">
        <f>ROUND(I1518*'Irish Basis'!$C$6*'Irish Basis'!$C$5,2)</f>
        <v/>
      </c>
      <c r="O1518" s="10">
        <f>ROUND(J1518*'Irish Basis'!$C$7*'Irish Basis'!$C$5,2)</f>
        <v/>
      </c>
      <c r="P1518" s="10">
        <f>ROUND(K1518*'Irish Basis'!$C$8*'Irish Basis'!$C$5,2)</f>
        <v/>
      </c>
      <c r="Q1518" s="10">
        <f>ROUND(L1518*'Irish Basis'!$C$12*'Irish Basis'!$C$5,2)</f>
        <v/>
      </c>
      <c r="R1518" s="11">
        <f>ROUND(SUM(N1518:Q1518),2)</f>
        <v/>
      </c>
      <c r="S1518" s="5" t="inlineStr">
        <is>
          <t>Stated build-up</t>
        </is>
      </c>
      <c r="T1518" s="12" t="inlineStr">
        <is>
          <t>High</t>
        </is>
      </c>
      <c r="U1518" s="8" t="n">
        <v>97.8</v>
      </c>
      <c r="V1518" s="13">
        <f>IF(U1518="","",ROUND(M1518-U1518,2))</f>
        <v/>
      </c>
      <c r="W1518" s="5" t="n"/>
      <c r="X1518" s="5" t="inlineStr">
        <is>
          <t>Labour + plant + material as published; reconciles to the published rate.</t>
        </is>
      </c>
    </row>
    <row r="1519" ht="13" customHeight="1">
      <c r="A1519" s="4" t="n">
        <v>2438</v>
      </c>
      <c r="B1519" s="5" t="inlineStr">
        <is>
          <t>IMG_0098</t>
        </is>
      </c>
      <c r="C1519" s="5" t="inlineStr">
        <is>
          <t>CLASS I: PIPEWORK - PIPES</t>
        </is>
      </c>
      <c r="D1519" s="5" t="inlineStr">
        <is>
          <t>04 STEEL PIPES</t>
        </is>
      </c>
      <c r="E1519" s="5" t="inlineStr">
        <is>
          <t>Carbon steel pipes to BS EN 10126; welded joints; (for protection and lining refer to manufacturer); excavation and supports, backfilling; 100 mm pipes; in trenches, depth</t>
        </is>
      </c>
      <c r="F1519" s="5" t="inlineStr">
        <is>
          <t>2.00-2.50 m deep</t>
        </is>
      </c>
      <c r="G1519" s="6" t="inlineStr">
        <is>
          <t>m</t>
        </is>
      </c>
      <c r="H1519" s="7" t="n">
        <v>0.22</v>
      </c>
      <c r="I1519" s="8" t="n">
        <v>30.4</v>
      </c>
      <c r="J1519" s="8" t="n">
        <v>28.79</v>
      </c>
      <c r="K1519" s="8" t="n">
        <v>52.07</v>
      </c>
      <c r="L1519" s="8" t="n">
        <v>0</v>
      </c>
      <c r="M1519" s="9">
        <f>ROUND(SUM(I1519:L1519),2)</f>
        <v/>
      </c>
      <c r="N1519" s="10">
        <f>ROUND(I1519*'Irish Basis'!$C$6*'Irish Basis'!$C$5,2)</f>
        <v/>
      </c>
      <c r="O1519" s="10">
        <f>ROUND(J1519*'Irish Basis'!$C$7*'Irish Basis'!$C$5,2)</f>
        <v/>
      </c>
      <c r="P1519" s="10">
        <f>ROUND(K1519*'Irish Basis'!$C$8*'Irish Basis'!$C$5,2)</f>
        <v/>
      </c>
      <c r="Q1519" s="10">
        <f>ROUND(L1519*'Irish Basis'!$C$12*'Irish Basis'!$C$5,2)</f>
        <v/>
      </c>
      <c r="R1519" s="11">
        <f>ROUND(SUM(N1519:Q1519),2)</f>
        <v/>
      </c>
      <c r="S1519" s="5" t="inlineStr">
        <is>
          <t>Stated build-up</t>
        </is>
      </c>
      <c r="T1519" s="12" t="inlineStr">
        <is>
          <t>High</t>
        </is>
      </c>
      <c r="U1519" s="8" t="n">
        <v>111.27</v>
      </c>
      <c r="V1519" s="13">
        <f>IF(U1519="","",ROUND(M1519-U1519,2))</f>
        <v/>
      </c>
      <c r="W1519" s="5" t="n"/>
      <c r="X1519" s="5" t="inlineStr">
        <is>
          <t>Labour + plant + material as published; reconciles to the published rate.</t>
        </is>
      </c>
    </row>
    <row r="1520" ht="13" customHeight="1">
      <c r="A1520" s="4" t="n">
        <v>2439</v>
      </c>
      <c r="B1520" s="5" t="inlineStr">
        <is>
          <t>IMG_0098</t>
        </is>
      </c>
      <c r="C1520" s="5" t="inlineStr">
        <is>
          <t>CLASS I: PIPEWORK - PIPES</t>
        </is>
      </c>
      <c r="D1520" s="5" t="inlineStr">
        <is>
          <t>04 STEEL PIPES</t>
        </is>
      </c>
      <c r="E1520" s="5" t="inlineStr">
        <is>
          <t>Carbon steel pipes to BS EN 10126; welded joints; (for protection and lining refer to manufacturer); excavation and supports, backfilling; 100 mm pipes; in trenches, depth</t>
        </is>
      </c>
      <c r="F1520" s="5" t="inlineStr">
        <is>
          <t>2.50-3.00 m deep</t>
        </is>
      </c>
      <c r="G1520" s="6" t="inlineStr">
        <is>
          <t>m</t>
        </is>
      </c>
      <c r="H1520" s="7" t="n">
        <v>0.27</v>
      </c>
      <c r="I1520" s="8" t="n">
        <v>37.31</v>
      </c>
      <c r="J1520" s="8" t="n">
        <v>35.3</v>
      </c>
      <c r="K1520" s="8" t="n">
        <v>52.07</v>
      </c>
      <c r="L1520" s="8" t="n">
        <v>0</v>
      </c>
      <c r="M1520" s="9">
        <f>ROUND(SUM(I1520:L1520),2)</f>
        <v/>
      </c>
      <c r="N1520" s="10">
        <f>ROUND(I1520*'Irish Basis'!$C$6*'Irish Basis'!$C$5,2)</f>
        <v/>
      </c>
      <c r="O1520" s="10">
        <f>ROUND(J1520*'Irish Basis'!$C$7*'Irish Basis'!$C$5,2)</f>
        <v/>
      </c>
      <c r="P1520" s="10">
        <f>ROUND(K1520*'Irish Basis'!$C$8*'Irish Basis'!$C$5,2)</f>
        <v/>
      </c>
      <c r="Q1520" s="10">
        <f>ROUND(L1520*'Irish Basis'!$C$12*'Irish Basis'!$C$5,2)</f>
        <v/>
      </c>
      <c r="R1520" s="11">
        <f>ROUND(SUM(N1520:Q1520),2)</f>
        <v/>
      </c>
      <c r="S1520" s="5" t="inlineStr">
        <is>
          <t>Stated build-up</t>
        </is>
      </c>
      <c r="T1520" s="12" t="inlineStr">
        <is>
          <t>High</t>
        </is>
      </c>
      <c r="U1520" s="8" t="n">
        <v>124.69</v>
      </c>
      <c r="V1520" s="13">
        <f>IF(U1520="","",ROUND(M1520-U1520,2))</f>
        <v/>
      </c>
      <c r="W1520" s="5" t="n"/>
      <c r="X1520" s="5" t="inlineStr">
        <is>
          <t>Labour + plant + material as published; reconciles to the published rate.</t>
        </is>
      </c>
    </row>
    <row r="1521" ht="13" customHeight="1">
      <c r="A1521" s="4" t="n">
        <v>2440</v>
      </c>
      <c r="B1521" s="5" t="inlineStr">
        <is>
          <t>IMG_0098</t>
        </is>
      </c>
      <c r="C1521" s="5" t="inlineStr">
        <is>
          <t>CLASS I: PIPEWORK - PIPES</t>
        </is>
      </c>
      <c r="D1521" s="5" t="inlineStr">
        <is>
          <t>04 STEEL PIPES</t>
        </is>
      </c>
      <c r="E1521" s="5" t="inlineStr">
        <is>
          <t>Carbon steel pipes to BS EN 10126; welded joints; (for protection and lining refer to manufacturer); excavation and supports, backfilling; 100 mm pipes; in trenches, depth</t>
        </is>
      </c>
      <c r="F1521" s="5" t="inlineStr">
        <is>
          <t>3.00-3.50 m deep</t>
        </is>
      </c>
      <c r="G1521" s="6" t="inlineStr">
        <is>
          <t>m</t>
        </is>
      </c>
      <c r="H1521" s="7" t="n">
        <v>0.35</v>
      </c>
      <c r="I1521" s="8" t="n">
        <v>48.36</v>
      </c>
      <c r="J1521" s="8" t="n">
        <v>45.79</v>
      </c>
      <c r="K1521" s="8" t="n">
        <v>52.07</v>
      </c>
      <c r="L1521" s="8" t="n">
        <v>0</v>
      </c>
      <c r="M1521" s="9">
        <f>ROUND(SUM(I1521:L1521),2)</f>
        <v/>
      </c>
      <c r="N1521" s="10">
        <f>ROUND(I1521*'Irish Basis'!$C$6*'Irish Basis'!$C$5,2)</f>
        <v/>
      </c>
      <c r="O1521" s="10">
        <f>ROUND(J1521*'Irish Basis'!$C$7*'Irish Basis'!$C$5,2)</f>
        <v/>
      </c>
      <c r="P1521" s="10">
        <f>ROUND(K1521*'Irish Basis'!$C$8*'Irish Basis'!$C$5,2)</f>
        <v/>
      </c>
      <c r="Q1521" s="10">
        <f>ROUND(L1521*'Irish Basis'!$C$12*'Irish Basis'!$C$5,2)</f>
        <v/>
      </c>
      <c r="R1521" s="11">
        <f>ROUND(SUM(N1521:Q1521),2)</f>
        <v/>
      </c>
      <c r="S1521" s="5" t="inlineStr">
        <is>
          <t>Stated build-up</t>
        </is>
      </c>
      <c r="T1521" s="12" t="inlineStr">
        <is>
          <t>High</t>
        </is>
      </c>
      <c r="U1521" s="8" t="n">
        <v>146.23</v>
      </c>
      <c r="V1521" s="13">
        <f>IF(U1521="","",ROUND(M1521-U1521,2))</f>
        <v/>
      </c>
      <c r="W1521" s="5" t="n"/>
      <c r="X1521" s="5" t="inlineStr">
        <is>
          <t>Labour + plant + material as published; reconciles to the published rate.</t>
        </is>
      </c>
    </row>
    <row r="1522" ht="13" customHeight="1">
      <c r="A1522" s="4" t="n">
        <v>2441</v>
      </c>
      <c r="B1522" s="5" t="inlineStr">
        <is>
          <t>IMG_0098</t>
        </is>
      </c>
      <c r="C1522" s="5" t="inlineStr">
        <is>
          <t>CLASS I: PIPEWORK - PIPES</t>
        </is>
      </c>
      <c r="D1522" s="5" t="inlineStr">
        <is>
          <t>04 STEEL PIPES</t>
        </is>
      </c>
      <c r="E1522" s="5" t="inlineStr">
        <is>
          <t>Carbon steel pipes to BS EN 10126; welded joints; (for protection and lining refer to manufacturer); excavation and supports, backfilling; 100 mm pipes; in trenches, depth</t>
        </is>
      </c>
      <c r="F1522" s="5" t="inlineStr">
        <is>
          <t>3.50-4.00 m deep</t>
        </is>
      </c>
      <c r="G1522" s="6" t="inlineStr">
        <is>
          <t>m</t>
        </is>
      </c>
      <c r="H1522" s="7" t="n">
        <v>0.44</v>
      </c>
      <c r="I1522" s="8" t="n">
        <v>60.8</v>
      </c>
      <c r="J1522" s="8" t="n">
        <v>57.62</v>
      </c>
      <c r="K1522" s="8" t="n">
        <v>52.07</v>
      </c>
      <c r="L1522" s="8" t="n">
        <v>0</v>
      </c>
      <c r="M1522" s="9">
        <f>ROUND(SUM(I1522:L1522),2)</f>
        <v/>
      </c>
      <c r="N1522" s="10">
        <f>ROUND(I1522*'Irish Basis'!$C$6*'Irish Basis'!$C$5,2)</f>
        <v/>
      </c>
      <c r="O1522" s="10">
        <f>ROUND(J1522*'Irish Basis'!$C$7*'Irish Basis'!$C$5,2)</f>
        <v/>
      </c>
      <c r="P1522" s="10">
        <f>ROUND(K1522*'Irish Basis'!$C$8*'Irish Basis'!$C$5,2)</f>
        <v/>
      </c>
      <c r="Q1522" s="10">
        <f>ROUND(L1522*'Irish Basis'!$C$12*'Irish Basis'!$C$5,2)</f>
        <v/>
      </c>
      <c r="R1522" s="11">
        <f>ROUND(SUM(N1522:Q1522),2)</f>
        <v/>
      </c>
      <c r="S1522" s="5" t="inlineStr">
        <is>
          <t>Stated build-up</t>
        </is>
      </c>
      <c r="T1522" s="12" t="inlineStr">
        <is>
          <t>High</t>
        </is>
      </c>
      <c r="U1522" s="8" t="n">
        <v>170.49</v>
      </c>
      <c r="V1522" s="13">
        <f>IF(U1522="","",ROUND(M1522-U1522,2))</f>
        <v/>
      </c>
      <c r="W1522" s="5" t="n"/>
      <c r="X1522" s="5" t="inlineStr">
        <is>
          <t>Labour + plant + material as published; reconciles to the published rate.</t>
        </is>
      </c>
    </row>
    <row r="1523" ht="13" customHeight="1">
      <c r="A1523" s="4" t="n">
        <v>2442</v>
      </c>
      <c r="B1523" s="5" t="inlineStr">
        <is>
          <t>IMG_0098</t>
        </is>
      </c>
      <c r="C1523" s="5" t="inlineStr">
        <is>
          <t>CLASS I: PIPEWORK - PIPES</t>
        </is>
      </c>
      <c r="D1523" s="5" t="inlineStr">
        <is>
          <t>04 STEEL PIPES</t>
        </is>
      </c>
      <c r="E1523" s="5" t="inlineStr">
        <is>
          <t>Carbon steel pipes to BS EN 10126; welded joints; (for protection and lining refer to manufacturer); excavation and supports, backfilling; 100 mm pipes; in trenches, depth</t>
        </is>
      </c>
      <c r="F1523" s="5" t="inlineStr">
        <is>
          <t>4.00-4.50 m deep</t>
        </is>
      </c>
      <c r="G1523" s="6" t="inlineStr">
        <is>
          <t>m</t>
        </is>
      </c>
      <c r="H1523" s="7" t="n">
        <v>0.55</v>
      </c>
      <c r="I1523" s="8" t="n">
        <v>76</v>
      </c>
      <c r="J1523" s="8" t="n">
        <v>72.03</v>
      </c>
      <c r="K1523" s="8" t="n">
        <v>52.07</v>
      </c>
      <c r="L1523" s="8" t="n">
        <v>0</v>
      </c>
      <c r="M1523" s="9">
        <f>ROUND(SUM(I1523:L1523),2)</f>
        <v/>
      </c>
      <c r="N1523" s="10">
        <f>ROUND(I1523*'Irish Basis'!$C$6*'Irish Basis'!$C$5,2)</f>
        <v/>
      </c>
      <c r="O1523" s="10">
        <f>ROUND(J1523*'Irish Basis'!$C$7*'Irish Basis'!$C$5,2)</f>
        <v/>
      </c>
      <c r="P1523" s="10">
        <f>ROUND(K1523*'Irish Basis'!$C$8*'Irish Basis'!$C$5,2)</f>
        <v/>
      </c>
      <c r="Q1523" s="10">
        <f>ROUND(L1523*'Irish Basis'!$C$12*'Irish Basis'!$C$5,2)</f>
        <v/>
      </c>
      <c r="R1523" s="11">
        <f>ROUND(SUM(N1523:Q1523),2)</f>
        <v/>
      </c>
      <c r="S1523" s="5" t="inlineStr">
        <is>
          <t>Stated build-up</t>
        </is>
      </c>
      <c r="T1523" s="12" t="inlineStr">
        <is>
          <t>High</t>
        </is>
      </c>
      <c r="U1523" s="8" t="n">
        <v>200.1</v>
      </c>
      <c r="V1523" s="13">
        <f>IF(U1523="","",ROUND(M1523-U1523,2))</f>
        <v/>
      </c>
      <c r="W1523" s="5" t="n"/>
      <c r="X1523" s="5" t="inlineStr">
        <is>
          <t>Labour + plant + material as published; reconciles to the published rate.</t>
        </is>
      </c>
    </row>
    <row r="1524" ht="13" customHeight="1">
      <c r="A1524" s="4" t="n">
        <v>2443</v>
      </c>
      <c r="B1524" s="5" t="inlineStr">
        <is>
          <t>IMG_0098</t>
        </is>
      </c>
      <c r="C1524" s="5" t="inlineStr">
        <is>
          <t>CLASS I: PIPEWORK - PIPES</t>
        </is>
      </c>
      <c r="D1524" s="5" t="inlineStr">
        <is>
          <t>04 STEEL PIPES</t>
        </is>
      </c>
      <c r="E1524" s="5" t="inlineStr">
        <is>
          <t>Carbon steel pipes to BS EN 10126; welded joints; (for protection and lining refer to manufacturer); excavation and supports, backfilling; 100 mm pipes; in trenches, depth</t>
        </is>
      </c>
      <c r="F1524" s="5" t="inlineStr">
        <is>
          <t>4.50-5.00 m deep</t>
        </is>
      </c>
      <c r="G1524" s="6" t="inlineStr">
        <is>
          <t>m</t>
        </is>
      </c>
      <c r="H1524" s="7" t="n">
        <v>0.7</v>
      </c>
      <c r="I1524" s="8" t="n">
        <v>96.73</v>
      </c>
      <c r="J1524" s="8" t="n">
        <v>114.23</v>
      </c>
      <c r="K1524" s="8" t="n">
        <v>52.07</v>
      </c>
      <c r="L1524" s="8" t="n">
        <v>0</v>
      </c>
      <c r="M1524" s="9">
        <f>ROUND(SUM(I1524:L1524),2)</f>
        <v/>
      </c>
      <c r="N1524" s="10">
        <f>ROUND(I1524*'Irish Basis'!$C$6*'Irish Basis'!$C$5,2)</f>
        <v/>
      </c>
      <c r="O1524" s="10">
        <f>ROUND(J1524*'Irish Basis'!$C$7*'Irish Basis'!$C$5,2)</f>
        <v/>
      </c>
      <c r="P1524" s="10">
        <f>ROUND(K1524*'Irish Basis'!$C$8*'Irish Basis'!$C$5,2)</f>
        <v/>
      </c>
      <c r="Q1524" s="10">
        <f>ROUND(L1524*'Irish Basis'!$C$12*'Irish Basis'!$C$5,2)</f>
        <v/>
      </c>
      <c r="R1524" s="11">
        <f>ROUND(SUM(N1524:Q1524),2)</f>
        <v/>
      </c>
      <c r="S1524" s="5" t="inlineStr">
        <is>
          <t>Stated build-up</t>
        </is>
      </c>
      <c r="T1524" s="12" t="inlineStr">
        <is>
          <t>High</t>
        </is>
      </c>
      <c r="U1524" s="8" t="n">
        <v>263.03</v>
      </c>
      <c r="V1524" s="13">
        <f>IF(U1524="","",ROUND(M1524-U1524,2))</f>
        <v/>
      </c>
      <c r="W1524" s="5" t="n"/>
      <c r="X1524" s="5" t="inlineStr">
        <is>
          <t>Labour + plant + material as published; reconciles to the published rate.</t>
        </is>
      </c>
    </row>
    <row r="1525" ht="13" customHeight="1">
      <c r="A1525" s="4" t="n">
        <v>2444</v>
      </c>
      <c r="B1525" s="5" t="inlineStr">
        <is>
          <t>IMG_0098</t>
        </is>
      </c>
      <c r="C1525" s="5" t="inlineStr">
        <is>
          <t>CLASS I: PIPEWORK - PIPES</t>
        </is>
      </c>
      <c r="D1525" s="5" t="inlineStr">
        <is>
          <t>04 STEEL PIPES</t>
        </is>
      </c>
      <c r="E1525" s="5" t="inlineStr">
        <is>
          <t>Carbon steel pipes to BS EN 10126; welded joints; (for protection and lining refer to manufacturer); excavation and supports, backfilling; 100 mm pipes; in trenches, depth</t>
        </is>
      </c>
      <c r="F1525" s="5" t="inlineStr">
        <is>
          <t>5.00-5.50 m deep</t>
        </is>
      </c>
      <c r="G1525" s="6" t="inlineStr">
        <is>
          <t>m</t>
        </is>
      </c>
      <c r="H1525" s="7" t="n">
        <v>0.87</v>
      </c>
      <c r="I1525" s="8" t="n">
        <v>120.22</v>
      </c>
      <c r="J1525" s="8" t="n">
        <v>114.03</v>
      </c>
      <c r="K1525" s="8" t="n">
        <v>52.07</v>
      </c>
      <c r="L1525" s="8" t="n">
        <v>0</v>
      </c>
      <c r="M1525" s="9">
        <f>ROUND(SUM(I1525:L1525),2)</f>
        <v/>
      </c>
      <c r="N1525" s="10">
        <f>ROUND(I1525*'Irish Basis'!$C$6*'Irish Basis'!$C$5,2)</f>
        <v/>
      </c>
      <c r="O1525" s="10">
        <f>ROUND(J1525*'Irish Basis'!$C$7*'Irish Basis'!$C$5,2)</f>
        <v/>
      </c>
      <c r="P1525" s="10">
        <f>ROUND(K1525*'Irish Basis'!$C$8*'Irish Basis'!$C$5,2)</f>
        <v/>
      </c>
      <c r="Q1525" s="10">
        <f>ROUND(L1525*'Irish Basis'!$C$12*'Irish Basis'!$C$5,2)</f>
        <v/>
      </c>
      <c r="R1525" s="11">
        <f>ROUND(SUM(N1525:Q1525),2)</f>
        <v/>
      </c>
      <c r="S1525" s="5" t="inlineStr">
        <is>
          <t>Stated build-up</t>
        </is>
      </c>
      <c r="T1525" s="12" t="inlineStr">
        <is>
          <t>High</t>
        </is>
      </c>
      <c r="U1525" s="8" t="n">
        <v>286.32</v>
      </c>
      <c r="V1525" s="13">
        <f>IF(U1525="","",ROUND(M1525-U1525,2))</f>
        <v/>
      </c>
      <c r="W1525" s="5" t="n"/>
      <c r="X1525" s="5" t="inlineStr">
        <is>
          <t>Labour + plant + material as published; reconciles to the published rate.</t>
        </is>
      </c>
    </row>
    <row r="1526" ht="13" customHeight="1">
      <c r="A1526" s="4" t="n">
        <v>2445</v>
      </c>
      <c r="B1526" s="5" t="inlineStr">
        <is>
          <t>IMG_0098</t>
        </is>
      </c>
      <c r="C1526" s="5" t="inlineStr">
        <is>
          <t>CLASS I: PIPEWORK - PIPES</t>
        </is>
      </c>
      <c r="D1526" s="5" t="inlineStr">
        <is>
          <t>04 STEEL PIPES</t>
        </is>
      </c>
      <c r="E1526" s="5" t="inlineStr">
        <is>
          <t>Carbon steel pipes to BS EN 10126; welded joints; (for protection and lining refer to manufacturer); excavation and supports, backfilling; 100 mm pipes; in trenches, depth</t>
        </is>
      </c>
      <c r="F1526" s="5" t="inlineStr">
        <is>
          <t>extra for bend; 45 deg</t>
        </is>
      </c>
      <c r="G1526" s="6" t="inlineStr">
        <is>
          <t>nr</t>
        </is>
      </c>
      <c r="H1526" s="7" t="n">
        <v>0.07000000000000001</v>
      </c>
      <c r="I1526" s="8" t="n">
        <v>9.67</v>
      </c>
      <c r="J1526" s="8" t="n">
        <v>5.06</v>
      </c>
      <c r="K1526" s="8" t="n">
        <v>67.04000000000001</v>
      </c>
      <c r="L1526" s="8" t="n">
        <v>0</v>
      </c>
      <c r="M1526" s="9">
        <f>ROUND(SUM(I1526:L1526),2)</f>
        <v/>
      </c>
      <c r="N1526" s="10">
        <f>ROUND(I1526*'Irish Basis'!$C$6*'Irish Basis'!$C$5,2)</f>
        <v/>
      </c>
      <c r="O1526" s="10">
        <f>ROUND(J1526*'Irish Basis'!$C$7*'Irish Basis'!$C$5,2)</f>
        <v/>
      </c>
      <c r="P1526" s="10">
        <f>ROUND(K1526*'Irish Basis'!$C$8*'Irish Basis'!$C$5,2)</f>
        <v/>
      </c>
      <c r="Q1526" s="10">
        <f>ROUND(L1526*'Irish Basis'!$C$12*'Irish Basis'!$C$5,2)</f>
        <v/>
      </c>
      <c r="R1526" s="11">
        <f>ROUND(SUM(N1526:Q1526),2)</f>
        <v/>
      </c>
      <c r="S1526" s="5" t="inlineStr">
        <is>
          <t>Stated build-up</t>
        </is>
      </c>
      <c r="T1526" s="12" t="inlineStr">
        <is>
          <t>High</t>
        </is>
      </c>
      <c r="U1526" s="8" t="n">
        <v>81.77</v>
      </c>
      <c r="V1526" s="13">
        <f>IF(U1526="","",ROUND(M1526-U1526,2))</f>
        <v/>
      </c>
      <c r="W1526" s="5" t="n"/>
      <c r="X1526" s="5" t="inlineStr">
        <is>
          <t>Labour + plant + material as published; reconciles to the published rate.</t>
        </is>
      </c>
    </row>
    <row r="1527" ht="13" customHeight="1">
      <c r="A1527" s="4" t="n">
        <v>2446</v>
      </c>
      <c r="B1527" s="5" t="inlineStr">
        <is>
          <t>IMG_0098</t>
        </is>
      </c>
      <c r="C1527" s="5" t="inlineStr">
        <is>
          <t>CLASS I: PIPEWORK - PIPES</t>
        </is>
      </c>
      <c r="D1527" s="5" t="inlineStr">
        <is>
          <t>04 STEEL PIPES</t>
        </is>
      </c>
      <c r="E1527" s="5" t="inlineStr">
        <is>
          <t>Carbon steel pipes to BS EN 10126; welded joints; (for protection and lining refer to manufacturer); excavation and supports, backfilling; 100 mm pipes; in trenches, depth</t>
        </is>
      </c>
      <c r="F1527" s="5" t="inlineStr">
        <is>
          <t>extra for bend; 90 deg</t>
        </is>
      </c>
      <c r="G1527" s="6" t="inlineStr">
        <is>
          <t>nr</t>
        </is>
      </c>
      <c r="H1527" s="7" t="n">
        <v>0.07000000000000001</v>
      </c>
      <c r="I1527" s="8" t="n">
        <v>9.67</v>
      </c>
      <c r="J1527" s="8" t="n">
        <v>5.06</v>
      </c>
      <c r="K1527" s="8" t="n">
        <v>69.88</v>
      </c>
      <c r="L1527" s="8" t="n">
        <v>0</v>
      </c>
      <c r="M1527" s="9">
        <f>ROUND(SUM(I1527:L1527),2)</f>
        <v/>
      </c>
      <c r="N1527" s="10">
        <f>ROUND(I1527*'Irish Basis'!$C$6*'Irish Basis'!$C$5,2)</f>
        <v/>
      </c>
      <c r="O1527" s="10">
        <f>ROUND(J1527*'Irish Basis'!$C$7*'Irish Basis'!$C$5,2)</f>
        <v/>
      </c>
      <c r="P1527" s="10">
        <f>ROUND(K1527*'Irish Basis'!$C$8*'Irish Basis'!$C$5,2)</f>
        <v/>
      </c>
      <c r="Q1527" s="10">
        <f>ROUND(L1527*'Irish Basis'!$C$12*'Irish Basis'!$C$5,2)</f>
        <v/>
      </c>
      <c r="R1527" s="11">
        <f>ROUND(SUM(N1527:Q1527),2)</f>
        <v/>
      </c>
      <c r="S1527" s="5" t="inlineStr">
        <is>
          <t>Stated build-up</t>
        </is>
      </c>
      <c r="T1527" s="12" t="inlineStr">
        <is>
          <t>High</t>
        </is>
      </c>
      <c r="U1527" s="8" t="n">
        <v>84.61</v>
      </c>
      <c r="V1527" s="13">
        <f>IF(U1527="","",ROUND(M1527-U1527,2))</f>
        <v/>
      </c>
      <c r="W1527" s="5" t="n"/>
      <c r="X1527" s="5" t="inlineStr">
        <is>
          <t>Labour + plant + material as published; reconciles to the published rate.</t>
        </is>
      </c>
    </row>
    <row r="1528" ht="13" customHeight="1">
      <c r="A1528" s="4" t="n">
        <v>2447</v>
      </c>
      <c r="B1528" s="5" t="inlineStr">
        <is>
          <t>IMG_0098</t>
        </is>
      </c>
      <c r="C1528" s="5" t="inlineStr">
        <is>
          <t>CLASS I: PIPEWORK - PIPES</t>
        </is>
      </c>
      <c r="D1528" s="5" t="inlineStr">
        <is>
          <t>04 STEEL PIPES</t>
        </is>
      </c>
      <c r="E1528" s="5" t="inlineStr">
        <is>
          <t>Carbon steel pipes to BS EN 10126; welded joints; (for protection and lining refer to manufacturer); excavation and supports, backfilling; 100 mm pipes; in trenches, depth</t>
        </is>
      </c>
      <c r="F1528" s="5" t="inlineStr">
        <is>
          <t>extra for single junction; equal</t>
        </is>
      </c>
      <c r="G1528" s="6" t="inlineStr">
        <is>
          <t>nr</t>
        </is>
      </c>
      <c r="H1528" s="7" t="n">
        <v>0.11</v>
      </c>
      <c r="I1528" s="8" t="n">
        <v>15.2</v>
      </c>
      <c r="J1528" s="8" t="n">
        <v>8.460000000000001</v>
      </c>
      <c r="K1528" s="8" t="n">
        <v>116.2</v>
      </c>
      <c r="L1528" s="8" t="n">
        <v>0</v>
      </c>
      <c r="M1528" s="9">
        <f>ROUND(SUM(I1528:L1528),2)</f>
        <v/>
      </c>
      <c r="N1528" s="10">
        <f>ROUND(I1528*'Irish Basis'!$C$6*'Irish Basis'!$C$5,2)</f>
        <v/>
      </c>
      <c r="O1528" s="10">
        <f>ROUND(J1528*'Irish Basis'!$C$7*'Irish Basis'!$C$5,2)</f>
        <v/>
      </c>
      <c r="P1528" s="10">
        <f>ROUND(K1528*'Irish Basis'!$C$8*'Irish Basis'!$C$5,2)</f>
        <v/>
      </c>
      <c r="Q1528" s="10">
        <f>ROUND(L1528*'Irish Basis'!$C$12*'Irish Basis'!$C$5,2)</f>
        <v/>
      </c>
      <c r="R1528" s="11">
        <f>ROUND(SUM(N1528:Q1528),2)</f>
        <v/>
      </c>
      <c r="S1528" s="5" t="inlineStr">
        <is>
          <t>Stated build-up</t>
        </is>
      </c>
      <c r="T1528" s="12" t="inlineStr">
        <is>
          <t>High</t>
        </is>
      </c>
      <c r="U1528" s="8" t="n">
        <v>139.86</v>
      </c>
      <c r="V1528" s="13">
        <f>IF(U1528="","",ROUND(M1528-U1528,2))</f>
        <v/>
      </c>
      <c r="W1528" s="5" t="n"/>
      <c r="X1528" s="5" t="inlineStr">
        <is>
          <t>Labour + plant + material as published; reconciles to the published rate.</t>
        </is>
      </c>
    </row>
    <row r="1529" ht="13" customHeight="1">
      <c r="A1529" s="4" t="n">
        <v>2449</v>
      </c>
      <c r="B1529" s="5" t="inlineStr">
        <is>
          <t>IMG_0098</t>
        </is>
      </c>
      <c r="C1529" s="5" t="inlineStr">
        <is>
          <t>CLASS I: PIPEWORK - PIPES</t>
        </is>
      </c>
      <c r="D1529" s="5" t="inlineStr">
        <is>
          <t>04 STEEL PIPES</t>
        </is>
      </c>
      <c r="E1529" s="5" t="inlineStr">
        <is>
          <t>150 mm pipes; in trenches, depth</t>
        </is>
      </c>
      <c r="F1529" s="5" t="inlineStr">
        <is>
          <t>not in trenches</t>
        </is>
      </c>
      <c r="G1529" s="6" t="inlineStr">
        <is>
          <t>m</t>
        </is>
      </c>
      <c r="H1529" s="7" t="n">
        <v>0.07000000000000001</v>
      </c>
      <c r="I1529" s="8" t="n">
        <v>6.04</v>
      </c>
      <c r="J1529" s="8" t="n">
        <v>0.77</v>
      </c>
      <c r="K1529" s="8" t="n">
        <v>67.59</v>
      </c>
      <c r="L1529" s="8" t="n">
        <v>0</v>
      </c>
      <c r="M1529" s="9">
        <f>ROUND(SUM(I1529:L1529),2)</f>
        <v/>
      </c>
      <c r="N1529" s="10">
        <f>ROUND(I1529*'Irish Basis'!$C$6*'Irish Basis'!$C$5,2)</f>
        <v/>
      </c>
      <c r="O1529" s="10">
        <f>ROUND(J1529*'Irish Basis'!$C$7*'Irish Basis'!$C$5,2)</f>
        <v/>
      </c>
      <c r="P1529" s="10">
        <f>ROUND(K1529*'Irish Basis'!$C$8*'Irish Basis'!$C$5,2)</f>
        <v/>
      </c>
      <c r="Q1529" s="10">
        <f>ROUND(L1529*'Irish Basis'!$C$12*'Irish Basis'!$C$5,2)</f>
        <v/>
      </c>
      <c r="R1529" s="11">
        <f>ROUND(SUM(N1529:Q1529),2)</f>
        <v/>
      </c>
      <c r="S1529" s="5" t="inlineStr">
        <is>
          <t>Stated build-up</t>
        </is>
      </c>
      <c r="T1529" s="12" t="inlineStr">
        <is>
          <t>High</t>
        </is>
      </c>
      <c r="U1529" s="8" t="n">
        <v>74.40000000000001</v>
      </c>
      <c r="V1529" s="13">
        <f>IF(U1529="","",ROUND(M1529-U1529,2))</f>
        <v/>
      </c>
      <c r="W1529" s="5" t="n"/>
      <c r="X1529" s="5" t="inlineStr">
        <is>
          <t>Labour + plant + material as published; reconciles to the published rate.</t>
        </is>
      </c>
    </row>
    <row r="1530" ht="13" customHeight="1">
      <c r="A1530" s="4" t="n">
        <v>2450</v>
      </c>
      <c r="B1530" s="5" t="inlineStr">
        <is>
          <t>IMG_0098</t>
        </is>
      </c>
      <c r="C1530" s="5" t="inlineStr">
        <is>
          <t>CLASS I: PIPEWORK - PIPES</t>
        </is>
      </c>
      <c r="D1530" s="5" t="inlineStr">
        <is>
          <t>04 STEEL PIPES</t>
        </is>
      </c>
      <c r="E1530" s="5" t="inlineStr">
        <is>
          <t>150 mm pipes; in trenches, depth</t>
        </is>
      </c>
      <c r="F1530" s="5" t="inlineStr">
        <is>
          <t>ne 1.50 m deep</t>
        </is>
      </c>
      <c r="G1530" s="6" t="inlineStr">
        <is>
          <t>m</t>
        </is>
      </c>
      <c r="H1530" s="7" t="n">
        <v>0.17</v>
      </c>
      <c r="I1530" s="8" t="n">
        <v>23.49</v>
      </c>
      <c r="J1530" s="8" t="n">
        <v>22.2</v>
      </c>
      <c r="K1530" s="8" t="n">
        <v>67.59</v>
      </c>
      <c r="L1530" s="8" t="n">
        <v>0</v>
      </c>
      <c r="M1530" s="9">
        <f>ROUND(SUM(I1530:L1530),2)</f>
        <v/>
      </c>
      <c r="N1530" s="10">
        <f>ROUND(I1530*'Irish Basis'!$C$6*'Irish Basis'!$C$5,2)</f>
        <v/>
      </c>
      <c r="O1530" s="10">
        <f>ROUND(J1530*'Irish Basis'!$C$7*'Irish Basis'!$C$5,2)</f>
        <v/>
      </c>
      <c r="P1530" s="10">
        <f>ROUND(K1530*'Irish Basis'!$C$8*'Irish Basis'!$C$5,2)</f>
        <v/>
      </c>
      <c r="Q1530" s="10">
        <f>ROUND(L1530*'Irish Basis'!$C$12*'Irish Basis'!$C$5,2)</f>
        <v/>
      </c>
      <c r="R1530" s="11">
        <f>ROUND(SUM(N1530:Q1530),2)</f>
        <v/>
      </c>
      <c r="S1530" s="5" t="inlineStr">
        <is>
          <t>Stated build-up</t>
        </is>
      </c>
      <c r="T1530" s="12" t="inlineStr">
        <is>
          <t>High</t>
        </is>
      </c>
      <c r="U1530" s="8" t="n">
        <v>113.28</v>
      </c>
      <c r="V1530" s="13">
        <f>IF(U1530="","",ROUND(M1530-U1530,2))</f>
        <v/>
      </c>
      <c r="W1530" s="5" t="n"/>
      <c r="X1530" s="5" t="inlineStr">
        <is>
          <t>Labour + plant + material as published; reconciles to the published rate.</t>
        </is>
      </c>
    </row>
    <row r="1531" ht="13" customHeight="1">
      <c r="A1531" s="4" t="n">
        <v>2451</v>
      </c>
      <c r="B1531" s="5" t="inlineStr">
        <is>
          <t>IMG_0098</t>
        </is>
      </c>
      <c r="C1531" s="5" t="inlineStr">
        <is>
          <t>CLASS I: PIPEWORK - PIPES</t>
        </is>
      </c>
      <c r="D1531" s="5" t="inlineStr">
        <is>
          <t>04 STEEL PIPES</t>
        </is>
      </c>
      <c r="E1531" s="5" t="inlineStr">
        <is>
          <t>150 mm pipes; in trenches, depth</t>
        </is>
      </c>
      <c r="F1531" s="5" t="inlineStr">
        <is>
          <t>1.50-2.00 m deep</t>
        </is>
      </c>
      <c r="G1531" s="6" t="inlineStr">
        <is>
          <t>m</t>
        </is>
      </c>
      <c r="H1531" s="7" t="n">
        <v>0.2</v>
      </c>
      <c r="I1531" s="8" t="n">
        <v>27.64</v>
      </c>
      <c r="J1531" s="8" t="n">
        <v>26.15</v>
      </c>
      <c r="K1531" s="8" t="n">
        <v>67.59</v>
      </c>
      <c r="L1531" s="8" t="n">
        <v>0</v>
      </c>
      <c r="M1531" s="9">
        <f>ROUND(SUM(I1531:L1531),2)</f>
        <v/>
      </c>
      <c r="N1531" s="10">
        <f>ROUND(I1531*'Irish Basis'!$C$6*'Irish Basis'!$C$5,2)</f>
        <v/>
      </c>
      <c r="O1531" s="10">
        <f>ROUND(J1531*'Irish Basis'!$C$7*'Irish Basis'!$C$5,2)</f>
        <v/>
      </c>
      <c r="P1531" s="10">
        <f>ROUND(K1531*'Irish Basis'!$C$8*'Irish Basis'!$C$5,2)</f>
        <v/>
      </c>
      <c r="Q1531" s="10">
        <f>ROUND(L1531*'Irish Basis'!$C$12*'Irish Basis'!$C$5,2)</f>
        <v/>
      </c>
      <c r="R1531" s="11">
        <f>ROUND(SUM(N1531:Q1531),2)</f>
        <v/>
      </c>
      <c r="S1531" s="5" t="inlineStr">
        <is>
          <t>Stated build-up</t>
        </is>
      </c>
      <c r="T1531" s="12" t="inlineStr">
        <is>
          <t>High</t>
        </is>
      </c>
      <c r="U1531" s="8" t="n">
        <v>121.37</v>
      </c>
      <c r="V1531" s="13">
        <f>IF(U1531="","",ROUND(M1531-U1531,2))</f>
        <v/>
      </c>
      <c r="W1531" s="5" t="n"/>
      <c r="X1531" s="5" t="inlineStr">
        <is>
          <t>Labour + plant + material as published; reconciles to the published rate.</t>
        </is>
      </c>
    </row>
    <row r="1532" ht="13" customHeight="1">
      <c r="A1532" s="4" t="n">
        <v>2452</v>
      </c>
      <c r="B1532" s="5" t="inlineStr">
        <is>
          <t>IMG_0098</t>
        </is>
      </c>
      <c r="C1532" s="5" t="inlineStr">
        <is>
          <t>CLASS I: PIPEWORK - PIPES</t>
        </is>
      </c>
      <c r="D1532" s="5" t="inlineStr">
        <is>
          <t>04 STEEL PIPES</t>
        </is>
      </c>
      <c r="E1532" s="5" t="inlineStr">
        <is>
          <t>150 mm pipes; in trenches, depth</t>
        </is>
      </c>
      <c r="F1532" s="5" t="inlineStr">
        <is>
          <t>2.00-2.50 m deep</t>
        </is>
      </c>
      <c r="G1532" s="6" t="inlineStr">
        <is>
          <t>m</t>
        </is>
      </c>
      <c r="H1532" s="7" t="n">
        <v>0.24</v>
      </c>
      <c r="I1532" s="8" t="n">
        <v>33.16</v>
      </c>
      <c r="J1532" s="8" t="n">
        <v>31.38</v>
      </c>
      <c r="K1532" s="8" t="n">
        <v>67.59</v>
      </c>
      <c r="L1532" s="8" t="n">
        <v>0</v>
      </c>
      <c r="M1532" s="9">
        <f>ROUND(SUM(I1532:L1532),2)</f>
        <v/>
      </c>
      <c r="N1532" s="10">
        <f>ROUND(I1532*'Irish Basis'!$C$6*'Irish Basis'!$C$5,2)</f>
        <v/>
      </c>
      <c r="O1532" s="10">
        <f>ROUND(J1532*'Irish Basis'!$C$7*'Irish Basis'!$C$5,2)</f>
        <v/>
      </c>
      <c r="P1532" s="10">
        <f>ROUND(K1532*'Irish Basis'!$C$8*'Irish Basis'!$C$5,2)</f>
        <v/>
      </c>
      <c r="Q1532" s="10">
        <f>ROUND(L1532*'Irish Basis'!$C$12*'Irish Basis'!$C$5,2)</f>
        <v/>
      </c>
      <c r="R1532" s="11">
        <f>ROUND(SUM(N1532:Q1532),2)</f>
        <v/>
      </c>
      <c r="S1532" s="5" t="inlineStr">
        <is>
          <t>Stated build-up</t>
        </is>
      </c>
      <c r="T1532" s="12" t="inlineStr">
        <is>
          <t>High</t>
        </is>
      </c>
      <c r="U1532" s="8" t="n">
        <v>132.13</v>
      </c>
      <c r="V1532" s="13">
        <f>IF(U1532="","",ROUND(M1532-U1532,2))</f>
        <v/>
      </c>
      <c r="W1532" s="5" t="n"/>
      <c r="X1532" s="5" t="inlineStr">
        <is>
          <t>Labour + plant + material as published; reconciles to the published rate.</t>
        </is>
      </c>
    </row>
    <row r="1533" ht="13" customHeight="1">
      <c r="A1533" s="4" t="n">
        <v>2453</v>
      </c>
      <c r="B1533" s="5" t="inlineStr">
        <is>
          <t>IMG_0098</t>
        </is>
      </c>
      <c r="C1533" s="5" t="inlineStr">
        <is>
          <t>CLASS I: PIPEWORK - PIPES</t>
        </is>
      </c>
      <c r="D1533" s="5" t="inlineStr">
        <is>
          <t>04 STEEL PIPES</t>
        </is>
      </c>
      <c r="E1533" s="5" t="inlineStr">
        <is>
          <t>150 mm pipes; in trenches, depth</t>
        </is>
      </c>
      <c r="F1533" s="5" t="inlineStr">
        <is>
          <t>2.50-3.00 m deep</t>
        </is>
      </c>
      <c r="G1533" s="6" t="inlineStr">
        <is>
          <t>m</t>
        </is>
      </c>
      <c r="H1533" s="7" t="n">
        <v>0.29</v>
      </c>
      <c r="I1533" s="8" t="n">
        <v>40.07</v>
      </c>
      <c r="J1533" s="8" t="n">
        <v>37.95</v>
      </c>
      <c r="K1533" s="8" t="n">
        <v>67.59</v>
      </c>
      <c r="L1533" s="8" t="n">
        <v>0</v>
      </c>
      <c r="M1533" s="9">
        <f>ROUND(SUM(I1533:L1533),2)</f>
        <v/>
      </c>
      <c r="N1533" s="10">
        <f>ROUND(I1533*'Irish Basis'!$C$6*'Irish Basis'!$C$5,2)</f>
        <v/>
      </c>
      <c r="O1533" s="10">
        <f>ROUND(J1533*'Irish Basis'!$C$7*'Irish Basis'!$C$5,2)</f>
        <v/>
      </c>
      <c r="P1533" s="10">
        <f>ROUND(K1533*'Irish Basis'!$C$8*'Irish Basis'!$C$5,2)</f>
        <v/>
      </c>
      <c r="Q1533" s="10">
        <f>ROUND(L1533*'Irish Basis'!$C$12*'Irish Basis'!$C$5,2)</f>
        <v/>
      </c>
      <c r="R1533" s="11">
        <f>ROUND(SUM(N1533:Q1533),2)</f>
        <v/>
      </c>
      <c r="S1533" s="5" t="inlineStr">
        <is>
          <t>Stated build-up</t>
        </is>
      </c>
      <c r="T1533" s="12" t="inlineStr">
        <is>
          <t>High</t>
        </is>
      </c>
      <c r="U1533" s="8" t="n">
        <v>145.61</v>
      </c>
      <c r="V1533" s="13">
        <f>IF(U1533="","",ROUND(M1533-U1533,2))</f>
        <v/>
      </c>
      <c r="W1533" s="5" t="n"/>
      <c r="X1533" s="5" t="inlineStr">
        <is>
          <t>Labour + plant + material as published; reconciles to the published rate.</t>
        </is>
      </c>
    </row>
    <row r="1534" ht="13" customHeight="1">
      <c r="A1534" s="4" t="n">
        <v>2454</v>
      </c>
      <c r="B1534" s="5" t="inlineStr">
        <is>
          <t>IMG_0098</t>
        </is>
      </c>
      <c r="C1534" s="5" t="inlineStr">
        <is>
          <t>CLASS I: PIPEWORK - PIPES</t>
        </is>
      </c>
      <c r="D1534" s="5" t="inlineStr">
        <is>
          <t>04 STEEL PIPES</t>
        </is>
      </c>
      <c r="E1534" s="5" t="inlineStr">
        <is>
          <t>150 mm pipes; in trenches, depth</t>
        </is>
      </c>
      <c r="F1534" s="5" t="inlineStr">
        <is>
          <t>3.00-3.50 m deep</t>
        </is>
      </c>
      <c r="G1534" s="6" t="inlineStr">
        <is>
          <t>m</t>
        </is>
      </c>
      <c r="H1534" s="7" t="n">
        <v>0.39</v>
      </c>
      <c r="I1534" s="8" t="n">
        <v>53.89</v>
      </c>
      <c r="J1534" s="8" t="n">
        <v>51.02</v>
      </c>
      <c r="K1534" s="8" t="n">
        <v>67.59</v>
      </c>
      <c r="L1534" s="8" t="n">
        <v>0</v>
      </c>
      <c r="M1534" s="9">
        <f>ROUND(SUM(I1534:L1534),2)</f>
        <v/>
      </c>
      <c r="N1534" s="10">
        <f>ROUND(I1534*'Irish Basis'!$C$6*'Irish Basis'!$C$5,2)</f>
        <v/>
      </c>
      <c r="O1534" s="10">
        <f>ROUND(J1534*'Irish Basis'!$C$7*'Irish Basis'!$C$5,2)</f>
        <v/>
      </c>
      <c r="P1534" s="10">
        <f>ROUND(K1534*'Irish Basis'!$C$8*'Irish Basis'!$C$5,2)</f>
        <v/>
      </c>
      <c r="Q1534" s="10">
        <f>ROUND(L1534*'Irish Basis'!$C$12*'Irish Basis'!$C$5,2)</f>
        <v/>
      </c>
      <c r="R1534" s="11">
        <f>ROUND(SUM(N1534:Q1534),2)</f>
        <v/>
      </c>
      <c r="S1534" s="5" t="inlineStr">
        <is>
          <t>Stated build-up</t>
        </is>
      </c>
      <c r="T1534" s="12" t="inlineStr">
        <is>
          <t>High</t>
        </is>
      </c>
      <c r="U1534" s="8" t="n">
        <v>172.5</v>
      </c>
      <c r="V1534" s="13">
        <f>IF(U1534="","",ROUND(M1534-U1534,2))</f>
        <v/>
      </c>
      <c r="W1534" s="5" t="n"/>
      <c r="X1534" s="5" t="inlineStr">
        <is>
          <t>Labour + plant + material as published; reconciles to the published rate.</t>
        </is>
      </c>
    </row>
    <row r="1535" ht="13" customHeight="1">
      <c r="A1535" s="4" t="n">
        <v>2455</v>
      </c>
      <c r="B1535" s="5" t="inlineStr">
        <is>
          <t>IMG_0098</t>
        </is>
      </c>
      <c r="C1535" s="5" t="inlineStr">
        <is>
          <t>CLASS I: PIPEWORK - PIPES</t>
        </is>
      </c>
      <c r="D1535" s="5" t="inlineStr">
        <is>
          <t>04 STEEL PIPES</t>
        </is>
      </c>
      <c r="E1535" s="5" t="inlineStr">
        <is>
          <t>150 mm pipes; in trenches, depth</t>
        </is>
      </c>
      <c r="F1535" s="5" t="inlineStr">
        <is>
          <t>3.50-4.00 m deep</t>
        </is>
      </c>
      <c r="G1535" s="6" t="inlineStr">
        <is>
          <t>m</t>
        </is>
      </c>
      <c r="H1535" s="7" t="n">
        <v>0.44</v>
      </c>
      <c r="I1535" s="8" t="n">
        <v>60.8</v>
      </c>
      <c r="J1535" s="8" t="n">
        <v>57.62</v>
      </c>
      <c r="K1535" s="8" t="n">
        <v>67.59</v>
      </c>
      <c r="L1535" s="8" t="n">
        <v>0</v>
      </c>
      <c r="M1535" s="9">
        <f>ROUND(SUM(I1535:L1535),2)</f>
        <v/>
      </c>
      <c r="N1535" s="10">
        <f>ROUND(I1535*'Irish Basis'!$C$6*'Irish Basis'!$C$5,2)</f>
        <v/>
      </c>
      <c r="O1535" s="10">
        <f>ROUND(J1535*'Irish Basis'!$C$7*'Irish Basis'!$C$5,2)</f>
        <v/>
      </c>
      <c r="P1535" s="10">
        <f>ROUND(K1535*'Irish Basis'!$C$8*'Irish Basis'!$C$5,2)</f>
        <v/>
      </c>
      <c r="Q1535" s="10">
        <f>ROUND(L1535*'Irish Basis'!$C$12*'Irish Basis'!$C$5,2)</f>
        <v/>
      </c>
      <c r="R1535" s="11">
        <f>ROUND(SUM(N1535:Q1535),2)</f>
        <v/>
      </c>
      <c r="S1535" s="5" t="inlineStr">
        <is>
          <t>Stated build-up</t>
        </is>
      </c>
      <c r="T1535" s="12" t="inlineStr">
        <is>
          <t>High</t>
        </is>
      </c>
      <c r="U1535" s="8" t="n">
        <v>186</v>
      </c>
      <c r="V1535" s="13">
        <f>IF(U1535="","",ROUND(M1535-U1535,2))</f>
        <v/>
      </c>
      <c r="W1535" s="5" t="n"/>
      <c r="X1535" s="5" t="inlineStr">
        <is>
          <t>Labour + plant + material as published; reconciles to the published rate.</t>
        </is>
      </c>
    </row>
    <row r="1536" ht="13" customHeight="1">
      <c r="A1536" s="4" t="n">
        <v>2456</v>
      </c>
      <c r="B1536" s="5" t="inlineStr">
        <is>
          <t>IMG_0098</t>
        </is>
      </c>
      <c r="C1536" s="5" t="inlineStr">
        <is>
          <t>CLASS I: PIPEWORK - PIPES</t>
        </is>
      </c>
      <c r="D1536" s="5" t="inlineStr">
        <is>
          <t>04 STEEL PIPES</t>
        </is>
      </c>
      <c r="E1536" s="5" t="inlineStr">
        <is>
          <t>150 mm pipes; in trenches, depth</t>
        </is>
      </c>
      <c r="F1536" s="5" t="inlineStr">
        <is>
          <t>4.00-4.50 m deep</t>
        </is>
      </c>
      <c r="G1536" s="6" t="inlineStr">
        <is>
          <t>m</t>
        </is>
      </c>
      <c r="H1536" s="7" t="n">
        <v>0.57</v>
      </c>
      <c r="I1536" s="8" t="n">
        <v>78.76000000000001</v>
      </c>
      <c r="J1536" s="8" t="n">
        <v>74.67</v>
      </c>
      <c r="K1536" s="8" t="n">
        <v>67.59</v>
      </c>
      <c r="L1536" s="8" t="n">
        <v>0</v>
      </c>
      <c r="M1536" s="9">
        <f>ROUND(SUM(I1536:L1536),2)</f>
        <v/>
      </c>
      <c r="N1536" s="10">
        <f>ROUND(I1536*'Irish Basis'!$C$6*'Irish Basis'!$C$5,2)</f>
        <v/>
      </c>
      <c r="O1536" s="10">
        <f>ROUND(J1536*'Irish Basis'!$C$7*'Irish Basis'!$C$5,2)</f>
        <v/>
      </c>
      <c r="P1536" s="10">
        <f>ROUND(K1536*'Irish Basis'!$C$8*'Irish Basis'!$C$5,2)</f>
        <v/>
      </c>
      <c r="Q1536" s="10">
        <f>ROUND(L1536*'Irish Basis'!$C$12*'Irish Basis'!$C$5,2)</f>
        <v/>
      </c>
      <c r="R1536" s="11">
        <f>ROUND(SUM(N1536:Q1536),2)</f>
        <v/>
      </c>
      <c r="S1536" s="5" t="inlineStr">
        <is>
          <t>Stated build-up</t>
        </is>
      </c>
      <c r="T1536" s="12" t="inlineStr">
        <is>
          <t>High</t>
        </is>
      </c>
      <c r="U1536" s="8" t="n">
        <v>221.02</v>
      </c>
      <c r="V1536" s="13">
        <f>IF(U1536="","",ROUND(M1536-U1536,2))</f>
        <v/>
      </c>
      <c r="W1536" s="5" t="n"/>
      <c r="X1536" s="5" t="inlineStr">
        <is>
          <t>Labour + plant + material as published; reconciles to the published rate.</t>
        </is>
      </c>
    </row>
    <row r="1537" ht="13" customHeight="1">
      <c r="A1537" s="4" t="n">
        <v>2457</v>
      </c>
      <c r="B1537" s="5" t="inlineStr">
        <is>
          <t>IMG_0098</t>
        </is>
      </c>
      <c r="C1537" s="5" t="inlineStr">
        <is>
          <t>CLASS I: PIPEWORK - PIPES</t>
        </is>
      </c>
      <c r="D1537" s="5" t="inlineStr">
        <is>
          <t>04 STEEL PIPES</t>
        </is>
      </c>
      <c r="E1537" s="5" t="inlineStr">
        <is>
          <t>150 mm pipes; in trenches, depth</t>
        </is>
      </c>
      <c r="F1537" s="5" t="inlineStr">
        <is>
          <t>4.50-5.00 m deep</t>
        </is>
      </c>
      <c r="G1537" s="6" t="inlineStr">
        <is>
          <t>m</t>
        </is>
      </c>
      <c r="H1537" s="7" t="n">
        <v>0.72</v>
      </c>
      <c r="I1537" s="8" t="n">
        <v>99.48999999999999</v>
      </c>
      <c r="J1537" s="8" t="n">
        <v>117.47</v>
      </c>
      <c r="K1537" s="8" t="n">
        <v>67.59</v>
      </c>
      <c r="L1537" s="8" t="n">
        <v>0</v>
      </c>
      <c r="M1537" s="9">
        <f>ROUND(SUM(I1537:L1537),2)</f>
        <v/>
      </c>
      <c r="N1537" s="10">
        <f>ROUND(I1537*'Irish Basis'!$C$6*'Irish Basis'!$C$5,2)</f>
        <v/>
      </c>
      <c r="O1537" s="10">
        <f>ROUND(J1537*'Irish Basis'!$C$7*'Irish Basis'!$C$5,2)</f>
        <v/>
      </c>
      <c r="P1537" s="10">
        <f>ROUND(K1537*'Irish Basis'!$C$8*'Irish Basis'!$C$5,2)</f>
        <v/>
      </c>
      <c r="Q1537" s="10">
        <f>ROUND(L1537*'Irish Basis'!$C$12*'Irish Basis'!$C$5,2)</f>
        <v/>
      </c>
      <c r="R1537" s="11">
        <f>ROUND(SUM(N1537:Q1537),2)</f>
        <v/>
      </c>
      <c r="S1537" s="5" t="inlineStr">
        <is>
          <t>Stated build-up</t>
        </is>
      </c>
      <c r="T1537" s="12" t="inlineStr">
        <is>
          <t>High</t>
        </is>
      </c>
      <c r="U1537" s="8" t="n">
        <v>284.54</v>
      </c>
      <c r="V1537" s="13">
        <f>IF(U1537="","",ROUND(M1537-U1537,2))</f>
        <v/>
      </c>
      <c r="W1537" s="5" t="n"/>
      <c r="X1537" s="5" t="inlineStr">
        <is>
          <t>Labour + plant + material as published; reconciles to the published rate.</t>
        </is>
      </c>
    </row>
    <row r="1538" ht="13" customHeight="1">
      <c r="A1538" s="4" t="n">
        <v>2458</v>
      </c>
      <c r="B1538" s="5" t="inlineStr">
        <is>
          <t>IMG_0098</t>
        </is>
      </c>
      <c r="C1538" s="5" t="inlineStr">
        <is>
          <t>CLASS I: PIPEWORK - PIPES</t>
        </is>
      </c>
      <c r="D1538" s="5" t="inlineStr">
        <is>
          <t>04 STEEL PIPES</t>
        </is>
      </c>
      <c r="E1538" s="5" t="inlineStr">
        <is>
          <t>150 mm pipes; in trenches, depth</t>
        </is>
      </c>
      <c r="F1538" s="5" t="inlineStr">
        <is>
          <t>5.00-5.50 m deep</t>
        </is>
      </c>
      <c r="G1538" s="6" t="inlineStr">
        <is>
          <t>m</t>
        </is>
      </c>
      <c r="H1538" s="7" t="n">
        <v>0.9</v>
      </c>
      <c r="I1538" s="8" t="n">
        <v>124.36</v>
      </c>
      <c r="J1538" s="8" t="n">
        <v>118</v>
      </c>
      <c r="K1538" s="8" t="n">
        <v>67.59</v>
      </c>
      <c r="L1538" s="8" t="n">
        <v>0</v>
      </c>
      <c r="M1538" s="9">
        <f>ROUND(SUM(I1538:L1538),2)</f>
        <v/>
      </c>
      <c r="N1538" s="10">
        <f>ROUND(I1538*'Irish Basis'!$C$6*'Irish Basis'!$C$5,2)</f>
        <v/>
      </c>
      <c r="O1538" s="10">
        <f>ROUND(J1538*'Irish Basis'!$C$7*'Irish Basis'!$C$5,2)</f>
        <v/>
      </c>
      <c r="P1538" s="10">
        <f>ROUND(K1538*'Irish Basis'!$C$8*'Irish Basis'!$C$5,2)</f>
        <v/>
      </c>
      <c r="Q1538" s="10">
        <f>ROUND(L1538*'Irish Basis'!$C$12*'Irish Basis'!$C$5,2)</f>
        <v/>
      </c>
      <c r="R1538" s="11">
        <f>ROUND(SUM(N1538:Q1538),2)</f>
        <v/>
      </c>
      <c r="S1538" s="5" t="inlineStr">
        <is>
          <t>Stated build-up</t>
        </is>
      </c>
      <c r="T1538" s="12" t="inlineStr">
        <is>
          <t>High</t>
        </is>
      </c>
      <c r="U1538" s="8" t="n">
        <v>309.95</v>
      </c>
      <c r="V1538" s="13">
        <f>IF(U1538="","",ROUND(M1538-U1538,2))</f>
        <v/>
      </c>
      <c r="W1538" s="5" t="n"/>
      <c r="X1538" s="5" t="inlineStr">
        <is>
          <t>Labour + plant + material as published; reconciles to the published rate.</t>
        </is>
      </c>
    </row>
    <row r="1539" ht="13" customHeight="1">
      <c r="A1539" s="4" t="n">
        <v>2459</v>
      </c>
      <c r="B1539" s="5" t="inlineStr">
        <is>
          <t>IMG_0098</t>
        </is>
      </c>
      <c r="C1539" s="5" t="inlineStr">
        <is>
          <t>CLASS I: PIPEWORK - PIPES</t>
        </is>
      </c>
      <c r="D1539" s="5" t="inlineStr">
        <is>
          <t>04 STEEL PIPES</t>
        </is>
      </c>
      <c r="E1539" s="5" t="inlineStr">
        <is>
          <t>150 mm pipes; in trenches, depth</t>
        </is>
      </c>
      <c r="F1539" s="5" t="inlineStr">
        <is>
          <t>extra for bend; 45 deg</t>
        </is>
      </c>
      <c r="G1539" s="6" t="inlineStr">
        <is>
          <t>nr</t>
        </is>
      </c>
      <c r="H1539" s="7" t="n">
        <v>0.18</v>
      </c>
      <c r="I1539" s="8" t="n">
        <v>24.87</v>
      </c>
      <c r="J1539" s="8" t="n">
        <v>6.76</v>
      </c>
      <c r="K1539" s="8" t="n">
        <v>110.28</v>
      </c>
      <c r="L1539" s="8" t="n">
        <v>0</v>
      </c>
      <c r="M1539" s="9">
        <f>ROUND(SUM(I1539:L1539),2)</f>
        <v/>
      </c>
      <c r="N1539" s="10">
        <f>ROUND(I1539*'Irish Basis'!$C$6*'Irish Basis'!$C$5,2)</f>
        <v/>
      </c>
      <c r="O1539" s="10">
        <f>ROUND(J1539*'Irish Basis'!$C$7*'Irish Basis'!$C$5,2)</f>
        <v/>
      </c>
      <c r="P1539" s="10">
        <f>ROUND(K1539*'Irish Basis'!$C$8*'Irish Basis'!$C$5,2)</f>
        <v/>
      </c>
      <c r="Q1539" s="10">
        <f>ROUND(L1539*'Irish Basis'!$C$12*'Irish Basis'!$C$5,2)</f>
        <v/>
      </c>
      <c r="R1539" s="11">
        <f>ROUND(SUM(N1539:Q1539),2)</f>
        <v/>
      </c>
      <c r="S1539" s="5" t="inlineStr">
        <is>
          <t>Stated build-up</t>
        </is>
      </c>
      <c r="T1539" s="12" t="inlineStr">
        <is>
          <t>High</t>
        </is>
      </c>
      <c r="U1539" s="8" t="n">
        <v>141.91</v>
      </c>
      <c r="V1539" s="13">
        <f>IF(U1539="","",ROUND(M1539-U1539,2))</f>
        <v/>
      </c>
      <c r="W1539" s="5" t="n"/>
      <c r="X1539" s="5" t="inlineStr">
        <is>
          <t>Labour + plant + material as published; reconciles to the published rate.</t>
        </is>
      </c>
    </row>
    <row r="1540" ht="13" customHeight="1">
      <c r="A1540" s="4" t="n">
        <v>2460</v>
      </c>
      <c r="B1540" s="5" t="inlineStr">
        <is>
          <t>IMG_0098</t>
        </is>
      </c>
      <c r="C1540" s="5" t="inlineStr">
        <is>
          <t>CLASS I: PIPEWORK - PIPES</t>
        </is>
      </c>
      <c r="D1540" s="5" t="inlineStr">
        <is>
          <t>04 STEEL PIPES</t>
        </is>
      </c>
      <c r="E1540" s="5" t="inlineStr">
        <is>
          <t>150 mm pipes; in trenches, depth</t>
        </is>
      </c>
      <c r="F1540" s="5" t="inlineStr">
        <is>
          <t>extra for bend; 90 deg</t>
        </is>
      </c>
      <c r="G1540" s="6" t="inlineStr">
        <is>
          <t>nr</t>
        </is>
      </c>
      <c r="H1540" s="7" t="n">
        <v>0.09</v>
      </c>
      <c r="I1540" s="8" t="n">
        <v>12.44</v>
      </c>
      <c r="J1540" s="8" t="n">
        <v>6.76</v>
      </c>
      <c r="K1540" s="8" t="n">
        <v>124.35</v>
      </c>
      <c r="L1540" s="8" t="n">
        <v>0</v>
      </c>
      <c r="M1540" s="9">
        <f>ROUND(SUM(I1540:L1540),2)</f>
        <v/>
      </c>
      <c r="N1540" s="10">
        <f>ROUND(I1540*'Irish Basis'!$C$6*'Irish Basis'!$C$5,2)</f>
        <v/>
      </c>
      <c r="O1540" s="10">
        <f>ROUND(J1540*'Irish Basis'!$C$7*'Irish Basis'!$C$5,2)</f>
        <v/>
      </c>
      <c r="P1540" s="10">
        <f>ROUND(K1540*'Irish Basis'!$C$8*'Irish Basis'!$C$5,2)</f>
        <v/>
      </c>
      <c r="Q1540" s="10">
        <f>ROUND(L1540*'Irish Basis'!$C$12*'Irish Basis'!$C$5,2)</f>
        <v/>
      </c>
      <c r="R1540" s="11">
        <f>ROUND(SUM(N1540:Q1540),2)</f>
        <v/>
      </c>
      <c r="S1540" s="5" t="inlineStr">
        <is>
          <t>Stated build-up</t>
        </is>
      </c>
      <c r="T1540" s="12" t="inlineStr">
        <is>
          <t>High</t>
        </is>
      </c>
      <c r="U1540" s="8" t="n">
        <v>143.55</v>
      </c>
      <c r="V1540" s="13">
        <f>IF(U1540="","",ROUND(M1540-U1540,2))</f>
        <v/>
      </c>
      <c r="W1540" s="5" t="n"/>
      <c r="X1540" s="5" t="inlineStr">
        <is>
          <t>Labour + plant + material as published; reconciles to the published rate.</t>
        </is>
      </c>
    </row>
    <row r="1541" ht="13" customHeight="1">
      <c r="A1541" s="4" t="n">
        <v>2461</v>
      </c>
      <c r="B1541" s="5" t="inlineStr">
        <is>
          <t>IMG_0098</t>
        </is>
      </c>
      <c r="C1541" s="5" t="inlineStr">
        <is>
          <t>CLASS I: PIPEWORK - PIPES</t>
        </is>
      </c>
      <c r="D1541" s="5" t="inlineStr">
        <is>
          <t>04 STEEL PIPES</t>
        </is>
      </c>
      <c r="E1541" s="5" t="inlineStr">
        <is>
          <t>150 mm pipes; in trenches, depth</t>
        </is>
      </c>
      <c r="F1541" s="5" t="inlineStr">
        <is>
          <t>extra for single junction; equal</t>
        </is>
      </c>
      <c r="G1541" s="6" t="inlineStr">
        <is>
          <t>nr</t>
        </is>
      </c>
      <c r="H1541" s="7" t="n">
        <v>0.16</v>
      </c>
      <c r="I1541" s="8" t="n">
        <v>22.11</v>
      </c>
      <c r="J1541" s="8" t="n">
        <v>13.52</v>
      </c>
      <c r="K1541" s="8" t="n">
        <v>199.9</v>
      </c>
      <c r="L1541" s="8" t="n">
        <v>0</v>
      </c>
      <c r="M1541" s="9">
        <f>ROUND(SUM(I1541:L1541),2)</f>
        <v/>
      </c>
      <c r="N1541" s="10">
        <f>ROUND(I1541*'Irish Basis'!$C$6*'Irish Basis'!$C$5,2)</f>
        <v/>
      </c>
      <c r="O1541" s="10">
        <f>ROUND(J1541*'Irish Basis'!$C$7*'Irish Basis'!$C$5,2)</f>
        <v/>
      </c>
      <c r="P1541" s="10">
        <f>ROUND(K1541*'Irish Basis'!$C$8*'Irish Basis'!$C$5,2)</f>
        <v/>
      </c>
      <c r="Q1541" s="10">
        <f>ROUND(L1541*'Irish Basis'!$C$12*'Irish Basis'!$C$5,2)</f>
        <v/>
      </c>
      <c r="R1541" s="11">
        <f>ROUND(SUM(N1541:Q1541),2)</f>
        <v/>
      </c>
      <c r="S1541" s="5" t="inlineStr">
        <is>
          <t>Stated build-up</t>
        </is>
      </c>
      <c r="T1541" s="12" t="inlineStr">
        <is>
          <t>High</t>
        </is>
      </c>
      <c r="U1541" s="8" t="n">
        <v>235.53</v>
      </c>
      <c r="V1541" s="13">
        <f>IF(U1541="","",ROUND(M1541-U1541,2))</f>
        <v/>
      </c>
      <c r="W1541" s="5" t="n"/>
      <c r="X1541" s="5" t="inlineStr">
        <is>
          <t>Labour + plant + material as published; reconciles to the published rate.</t>
        </is>
      </c>
    </row>
    <row r="1542" ht="13" customHeight="1">
      <c r="A1542" s="4" t="n">
        <v>2463</v>
      </c>
      <c r="B1542" s="5" t="inlineStr">
        <is>
          <t>IMG_0098</t>
        </is>
      </c>
      <c r="C1542" s="5" t="inlineStr">
        <is>
          <t>CLASS I: PIPEWORK - PIPES</t>
        </is>
      </c>
      <c r="D1542" s="5" t="inlineStr">
        <is>
          <t>04 STEEL PIPES</t>
        </is>
      </c>
      <c r="E1542" s="5" t="inlineStr">
        <is>
          <t>200 mm pipes; in trenches, depth</t>
        </is>
      </c>
      <c r="F1542" s="5" t="inlineStr">
        <is>
          <t>not in trenches</t>
        </is>
      </c>
      <c r="G1542" s="6" t="inlineStr">
        <is>
          <t>m</t>
        </is>
      </c>
      <c r="H1542" s="7" t="n">
        <v>0.09</v>
      </c>
      <c r="I1542" s="8" t="n">
        <v>7.77</v>
      </c>
      <c r="J1542" s="8" t="n">
        <v>15.32</v>
      </c>
      <c r="K1542" s="8" t="n">
        <v>105.25</v>
      </c>
      <c r="L1542" s="8" t="n">
        <v>0</v>
      </c>
      <c r="M1542" s="9">
        <f>ROUND(SUM(I1542:L1542),2)</f>
        <v/>
      </c>
      <c r="N1542" s="10">
        <f>ROUND(I1542*'Irish Basis'!$C$6*'Irish Basis'!$C$5,2)</f>
        <v/>
      </c>
      <c r="O1542" s="10">
        <f>ROUND(J1542*'Irish Basis'!$C$7*'Irish Basis'!$C$5,2)</f>
        <v/>
      </c>
      <c r="P1542" s="10">
        <f>ROUND(K1542*'Irish Basis'!$C$8*'Irish Basis'!$C$5,2)</f>
        <v/>
      </c>
      <c r="Q1542" s="10">
        <f>ROUND(L1542*'Irish Basis'!$C$12*'Irish Basis'!$C$5,2)</f>
        <v/>
      </c>
      <c r="R1542" s="11">
        <f>ROUND(SUM(N1542:Q1542),2)</f>
        <v/>
      </c>
      <c r="S1542" s="5" t="inlineStr">
        <is>
          <t>Stated build-up</t>
        </is>
      </c>
      <c r="T1542" s="12" t="inlineStr">
        <is>
          <t>High</t>
        </is>
      </c>
      <c r="U1542" s="8" t="n">
        <v>128.34</v>
      </c>
      <c r="V1542" s="13">
        <f>IF(U1542="","",ROUND(M1542-U1542,2))</f>
        <v/>
      </c>
      <c r="W1542" s="5" t="n"/>
      <c r="X1542" s="5" t="inlineStr">
        <is>
          <t>Labour + plant + material as published; reconciles to the published rate.</t>
        </is>
      </c>
    </row>
    <row r="1543" ht="13" customHeight="1">
      <c r="A1543" s="4" t="n">
        <v>2464</v>
      </c>
      <c r="B1543" s="5" t="inlineStr">
        <is>
          <t>IMG_0098</t>
        </is>
      </c>
      <c r="C1543" s="5" t="inlineStr">
        <is>
          <t>CLASS I: PIPEWORK - PIPES</t>
        </is>
      </c>
      <c r="D1543" s="5" t="inlineStr">
        <is>
          <t>04 STEEL PIPES</t>
        </is>
      </c>
      <c r="E1543" s="5" t="inlineStr">
        <is>
          <t>200 mm pipes; in trenches, depth</t>
        </is>
      </c>
      <c r="F1543" s="5" t="inlineStr">
        <is>
          <t>ne 1.50 m deep</t>
        </is>
      </c>
      <c r="G1543" s="6" t="inlineStr">
        <is>
          <t>m</t>
        </is>
      </c>
      <c r="H1543" s="7" t="n">
        <v>0.18</v>
      </c>
      <c r="I1543" s="8" t="n">
        <v>24.87</v>
      </c>
      <c r="J1543" s="8" t="n">
        <v>23.52</v>
      </c>
      <c r="K1543" s="8" t="n">
        <v>105.25</v>
      </c>
      <c r="L1543" s="8" t="n">
        <v>0</v>
      </c>
      <c r="M1543" s="9">
        <f>ROUND(SUM(I1543:L1543),2)</f>
        <v/>
      </c>
      <c r="N1543" s="10">
        <f>ROUND(I1543*'Irish Basis'!$C$6*'Irish Basis'!$C$5,2)</f>
        <v/>
      </c>
      <c r="O1543" s="10">
        <f>ROUND(J1543*'Irish Basis'!$C$7*'Irish Basis'!$C$5,2)</f>
        <v/>
      </c>
      <c r="P1543" s="10">
        <f>ROUND(K1543*'Irish Basis'!$C$8*'Irish Basis'!$C$5,2)</f>
        <v/>
      </c>
      <c r="Q1543" s="10">
        <f>ROUND(L1543*'Irish Basis'!$C$12*'Irish Basis'!$C$5,2)</f>
        <v/>
      </c>
      <c r="R1543" s="11">
        <f>ROUND(SUM(N1543:Q1543),2)</f>
        <v/>
      </c>
      <c r="S1543" s="5" t="inlineStr">
        <is>
          <t>Stated build-up</t>
        </is>
      </c>
      <c r="T1543" s="12" t="inlineStr">
        <is>
          <t>High</t>
        </is>
      </c>
      <c r="U1543" s="8" t="n">
        <v>153.65</v>
      </c>
      <c r="V1543" s="13">
        <f>IF(U1543="","",ROUND(M1543-U1543,2))</f>
        <v/>
      </c>
      <c r="W1543" s="5" t="n"/>
      <c r="X1543" s="5" t="inlineStr">
        <is>
          <t>Labour + plant + material as published; reconciles to the published rate.</t>
        </is>
      </c>
    </row>
    <row r="1544" ht="13" customHeight="1">
      <c r="A1544" s="4" t="n">
        <v>2466</v>
      </c>
      <c r="B1544" s="5" t="inlineStr">
        <is>
          <t>IMG_0099</t>
        </is>
      </c>
      <c r="C1544" s="5" t="inlineStr">
        <is>
          <t>CLASS I: PIPEWORK - PIPES</t>
        </is>
      </c>
      <c r="D1544" s="5" t="inlineStr">
        <is>
          <t>04 STEEL PIPES</t>
        </is>
      </c>
      <c r="E1544" s="5" t="inlineStr">
        <is>
          <t>Carbon steel pipes to BS EN 10126; 200 mm pipes; in trenches, depth (continued)</t>
        </is>
      </c>
      <c r="F1544" s="5" t="inlineStr">
        <is>
          <t>1.50-2.00 m deep</t>
        </is>
      </c>
      <c r="G1544" s="6" t="inlineStr">
        <is>
          <t>m</t>
        </is>
      </c>
      <c r="H1544" s="7" t="n">
        <v>0.21</v>
      </c>
      <c r="I1544" s="8" t="n">
        <v>29.02</v>
      </c>
      <c r="J1544" s="8" t="n">
        <v>27.47</v>
      </c>
      <c r="K1544" s="8" t="n">
        <v>105.25</v>
      </c>
      <c r="L1544" s="8" t="n">
        <v>0</v>
      </c>
      <c r="M1544" s="9">
        <f>ROUND(SUM(I1544:L1544),2)</f>
        <v/>
      </c>
      <c r="N1544" s="10">
        <f>ROUND(I1544*'Irish Basis'!$C$6*'Irish Basis'!$C$5,2)</f>
        <v/>
      </c>
      <c r="O1544" s="10">
        <f>ROUND(J1544*'Irish Basis'!$C$7*'Irish Basis'!$C$5,2)</f>
        <v/>
      </c>
      <c r="P1544" s="10">
        <f>ROUND(K1544*'Irish Basis'!$C$8*'Irish Basis'!$C$5,2)</f>
        <v/>
      </c>
      <c r="Q1544" s="10">
        <f>ROUND(L1544*'Irish Basis'!$C$12*'Irish Basis'!$C$5,2)</f>
        <v/>
      </c>
      <c r="R1544" s="11">
        <f>ROUND(SUM(N1544:Q1544),2)</f>
        <v/>
      </c>
      <c r="S1544" s="5" t="inlineStr">
        <is>
          <t>Stated build-up</t>
        </is>
      </c>
      <c r="T1544" s="12" t="inlineStr">
        <is>
          <t>High</t>
        </is>
      </c>
      <c r="U1544" s="8" t="n">
        <v>161.74</v>
      </c>
      <c r="V1544" s="13">
        <f>IF(U1544="","",ROUND(M1544-U1544,2))</f>
        <v/>
      </c>
      <c r="W1544" s="5" t="n"/>
      <c r="X1544" s="5" t="inlineStr">
        <is>
          <t>Labour + plant + material as published; reconciles to the published rate.</t>
        </is>
      </c>
    </row>
    <row r="1545" ht="13" customHeight="1">
      <c r="A1545" s="4" t="n">
        <v>2467</v>
      </c>
      <c r="B1545" s="5" t="inlineStr">
        <is>
          <t>IMG_0099</t>
        </is>
      </c>
      <c r="C1545" s="5" t="inlineStr">
        <is>
          <t>CLASS I: PIPEWORK - PIPES</t>
        </is>
      </c>
      <c r="D1545" s="5" t="inlineStr">
        <is>
          <t>04 STEEL PIPES</t>
        </is>
      </c>
      <c r="E1545" s="5" t="inlineStr">
        <is>
          <t>Carbon steel pipes to BS EN 10126; 200 mm pipes; in trenches, depth (continued)</t>
        </is>
      </c>
      <c r="F1545" s="5" t="inlineStr">
        <is>
          <t>2.00-2.50 m deep</t>
        </is>
      </c>
      <c r="G1545" s="6" t="inlineStr">
        <is>
          <t>m</t>
        </is>
      </c>
      <c r="H1545" s="7" t="n">
        <v>0.25</v>
      </c>
      <c r="I1545" s="8" t="n">
        <v>34.55</v>
      </c>
      <c r="J1545" s="8" t="n">
        <v>32.73</v>
      </c>
      <c r="K1545" s="8" t="n">
        <v>105.25</v>
      </c>
      <c r="L1545" s="8" t="n">
        <v>0</v>
      </c>
      <c r="M1545" s="9">
        <f>ROUND(SUM(I1545:L1545),2)</f>
        <v/>
      </c>
      <c r="N1545" s="10">
        <f>ROUND(I1545*'Irish Basis'!$C$6*'Irish Basis'!$C$5,2)</f>
        <v/>
      </c>
      <c r="O1545" s="10">
        <f>ROUND(J1545*'Irish Basis'!$C$7*'Irish Basis'!$C$5,2)</f>
        <v/>
      </c>
      <c r="P1545" s="10">
        <f>ROUND(K1545*'Irish Basis'!$C$8*'Irish Basis'!$C$5,2)</f>
        <v/>
      </c>
      <c r="Q1545" s="10">
        <f>ROUND(L1545*'Irish Basis'!$C$12*'Irish Basis'!$C$5,2)</f>
        <v/>
      </c>
      <c r="R1545" s="11">
        <f>ROUND(SUM(N1545:Q1545),2)</f>
        <v/>
      </c>
      <c r="S1545" s="5" t="inlineStr">
        <is>
          <t>Stated build-up</t>
        </is>
      </c>
      <c r="T1545" s="12" t="inlineStr">
        <is>
          <t>High</t>
        </is>
      </c>
      <c r="U1545" s="8" t="n">
        <v>172.53</v>
      </c>
      <c r="V1545" s="13">
        <f>IF(U1545="","",ROUND(M1545-U1545,2))</f>
        <v/>
      </c>
      <c r="W1545" s="5" t="n"/>
      <c r="X1545" s="5" t="inlineStr">
        <is>
          <t>Labour + plant + material as published; reconciles to the published rate.</t>
        </is>
      </c>
    </row>
    <row r="1546" ht="13" customHeight="1">
      <c r="A1546" s="4" t="n">
        <v>2468</v>
      </c>
      <c r="B1546" s="5" t="inlineStr">
        <is>
          <t>IMG_0099</t>
        </is>
      </c>
      <c r="C1546" s="5" t="inlineStr">
        <is>
          <t>CLASS I: PIPEWORK - PIPES</t>
        </is>
      </c>
      <c r="D1546" s="5" t="inlineStr">
        <is>
          <t>04 STEEL PIPES</t>
        </is>
      </c>
      <c r="E1546" s="5" t="inlineStr">
        <is>
          <t>Carbon steel pipes to BS EN 10126; 200 mm pipes; in trenches, depth (continued)</t>
        </is>
      </c>
      <c r="F1546" s="5" t="inlineStr">
        <is>
          <t>2.50-3.00 m deep</t>
        </is>
      </c>
      <c r="G1546" s="6" t="inlineStr">
        <is>
          <t>m</t>
        </is>
      </c>
      <c r="H1546" s="7" t="n">
        <v>0.3</v>
      </c>
      <c r="I1546" s="8" t="n">
        <v>41.45</v>
      </c>
      <c r="J1546" s="8" t="n">
        <v>39.21</v>
      </c>
      <c r="K1546" s="8" t="n">
        <v>105.25</v>
      </c>
      <c r="L1546" s="8" t="n">
        <v>0</v>
      </c>
      <c r="M1546" s="9">
        <f>ROUND(SUM(I1546:L1546),2)</f>
        <v/>
      </c>
      <c r="N1546" s="10">
        <f>ROUND(I1546*'Irish Basis'!$C$6*'Irish Basis'!$C$5,2)</f>
        <v/>
      </c>
      <c r="O1546" s="10">
        <f>ROUND(J1546*'Irish Basis'!$C$7*'Irish Basis'!$C$5,2)</f>
        <v/>
      </c>
      <c r="P1546" s="10">
        <f>ROUND(K1546*'Irish Basis'!$C$8*'Irish Basis'!$C$5,2)</f>
        <v/>
      </c>
      <c r="Q1546" s="10">
        <f>ROUND(L1546*'Irish Basis'!$C$12*'Irish Basis'!$C$5,2)</f>
        <v/>
      </c>
      <c r="R1546" s="11">
        <f>ROUND(SUM(N1546:Q1546),2)</f>
        <v/>
      </c>
      <c r="S1546" s="5" t="inlineStr">
        <is>
          <t>Stated build-up</t>
        </is>
      </c>
      <c r="T1546" s="12" t="inlineStr">
        <is>
          <t>High</t>
        </is>
      </c>
      <c r="U1546" s="8" t="n">
        <v>185.92</v>
      </c>
      <c r="V1546" s="13">
        <f>IF(U1546="","",ROUND(M1546-U1546,2))</f>
        <v/>
      </c>
      <c r="W1546" s="5" t="n"/>
      <c r="X1546" s="5" t="inlineStr">
        <is>
          <t>Labour + plant + material as published; reconciles to the published rate.</t>
        </is>
      </c>
    </row>
    <row r="1547" ht="13" customHeight="1">
      <c r="A1547" s="4" t="n">
        <v>2469</v>
      </c>
      <c r="B1547" s="5" t="inlineStr">
        <is>
          <t>IMG_0099</t>
        </is>
      </c>
      <c r="C1547" s="5" t="inlineStr">
        <is>
          <t>CLASS I: PIPEWORK - PIPES</t>
        </is>
      </c>
      <c r="D1547" s="5" t="inlineStr">
        <is>
          <t>04 STEEL PIPES</t>
        </is>
      </c>
      <c r="E1547" s="5" t="inlineStr">
        <is>
          <t>Carbon steel pipes to BS EN 10126; 200 mm pipes; in trenches, depth (continued)</t>
        </is>
      </c>
      <c r="F1547" s="5" t="inlineStr">
        <is>
          <t>3.00-3.50 m deep</t>
        </is>
      </c>
      <c r="G1547" s="6" t="inlineStr">
        <is>
          <t>m</t>
        </is>
      </c>
      <c r="H1547" s="7" t="n">
        <v>0.4</v>
      </c>
      <c r="I1547" s="8" t="n">
        <v>55.27</v>
      </c>
      <c r="J1547" s="8" t="n">
        <v>52.35</v>
      </c>
      <c r="K1547" s="8" t="n">
        <v>105.25</v>
      </c>
      <c r="L1547" s="8" t="n">
        <v>0</v>
      </c>
      <c r="M1547" s="9">
        <f>ROUND(SUM(I1547:L1547),2)</f>
        <v/>
      </c>
      <c r="N1547" s="10">
        <f>ROUND(I1547*'Irish Basis'!$C$6*'Irish Basis'!$C$5,2)</f>
        <v/>
      </c>
      <c r="O1547" s="10">
        <f>ROUND(J1547*'Irish Basis'!$C$7*'Irish Basis'!$C$5,2)</f>
        <v/>
      </c>
      <c r="P1547" s="10">
        <f>ROUND(K1547*'Irish Basis'!$C$8*'Irish Basis'!$C$5,2)</f>
        <v/>
      </c>
      <c r="Q1547" s="10">
        <f>ROUND(L1547*'Irish Basis'!$C$12*'Irish Basis'!$C$5,2)</f>
        <v/>
      </c>
      <c r="R1547" s="11">
        <f>ROUND(SUM(N1547:Q1547),2)</f>
        <v/>
      </c>
      <c r="S1547" s="5" t="inlineStr">
        <is>
          <t>Stated build-up</t>
        </is>
      </c>
      <c r="T1547" s="12" t="inlineStr">
        <is>
          <t>High</t>
        </is>
      </c>
      <c r="U1547" s="8" t="n">
        <v>212.87</v>
      </c>
      <c r="V1547" s="13">
        <f>IF(U1547="","",ROUND(M1547-U1547,2))</f>
        <v/>
      </c>
      <c r="W1547" s="5" t="n"/>
      <c r="X1547" s="5" t="inlineStr">
        <is>
          <t>Labour + plant + material as published; reconciles to the published rate.</t>
        </is>
      </c>
    </row>
    <row r="1548" ht="13" customHeight="1">
      <c r="A1548" s="4" t="n">
        <v>2470</v>
      </c>
      <c r="B1548" s="5" t="inlineStr">
        <is>
          <t>IMG_0099</t>
        </is>
      </c>
      <c r="C1548" s="5" t="inlineStr">
        <is>
          <t>CLASS I: PIPEWORK - PIPES</t>
        </is>
      </c>
      <c r="D1548" s="5" t="inlineStr">
        <is>
          <t>04 STEEL PIPES</t>
        </is>
      </c>
      <c r="E1548" s="5" t="inlineStr">
        <is>
          <t>Carbon steel pipes to BS EN 10126; 200 mm pipes; in trenches, depth (continued)</t>
        </is>
      </c>
      <c r="F1548" s="5" t="inlineStr">
        <is>
          <t>3.50-4.00 m deep</t>
        </is>
      </c>
      <c r="G1548" s="6" t="inlineStr">
        <is>
          <t>m</t>
        </is>
      </c>
      <c r="H1548" s="7" t="n">
        <v>0.46</v>
      </c>
      <c r="I1548" s="8" t="n">
        <v>63.56</v>
      </c>
      <c r="J1548" s="8" t="n">
        <v>60.26</v>
      </c>
      <c r="K1548" s="8" t="n">
        <v>105.25</v>
      </c>
      <c r="L1548" s="8" t="n">
        <v>0</v>
      </c>
      <c r="M1548" s="9">
        <f>ROUND(SUM(I1548:L1548),2)</f>
        <v/>
      </c>
      <c r="N1548" s="10">
        <f>ROUND(I1548*'Irish Basis'!$C$6*'Irish Basis'!$C$5,2)</f>
        <v/>
      </c>
      <c r="O1548" s="10">
        <f>ROUND(J1548*'Irish Basis'!$C$7*'Irish Basis'!$C$5,2)</f>
        <v/>
      </c>
      <c r="P1548" s="10">
        <f>ROUND(K1548*'Irish Basis'!$C$8*'Irish Basis'!$C$5,2)</f>
        <v/>
      </c>
      <c r="Q1548" s="10">
        <f>ROUND(L1548*'Irish Basis'!$C$12*'Irish Basis'!$C$5,2)</f>
        <v/>
      </c>
      <c r="R1548" s="11">
        <f>ROUND(SUM(N1548:Q1548),2)</f>
        <v/>
      </c>
      <c r="S1548" s="5" t="inlineStr">
        <is>
          <t>Stated build-up</t>
        </is>
      </c>
      <c r="T1548" s="12" t="inlineStr">
        <is>
          <t>High</t>
        </is>
      </c>
      <c r="U1548" s="8" t="n">
        <v>229.08</v>
      </c>
      <c r="V1548" s="13">
        <f>IF(U1548="","",ROUND(M1548-U1548,2))</f>
        <v/>
      </c>
      <c r="W1548" s="5" t="n"/>
      <c r="X1548" s="5" t="inlineStr">
        <is>
          <t>Labour + plant + material as published; reconciles to the published rate.</t>
        </is>
      </c>
    </row>
    <row r="1549" ht="13" customHeight="1">
      <c r="A1549" s="4" t="n">
        <v>2471</v>
      </c>
      <c r="B1549" s="5" t="inlineStr">
        <is>
          <t>IMG_0099</t>
        </is>
      </c>
      <c r="C1549" s="5" t="inlineStr">
        <is>
          <t>CLASS I: PIPEWORK - PIPES</t>
        </is>
      </c>
      <c r="D1549" s="5" t="inlineStr">
        <is>
          <t>04 STEEL PIPES</t>
        </is>
      </c>
      <c r="E1549" s="5" t="inlineStr">
        <is>
          <t>Carbon steel pipes to BS EN 10126; 200 mm pipes; in trenches, depth (continued)</t>
        </is>
      </c>
      <c r="F1549" s="5" t="inlineStr">
        <is>
          <t>4.00-4.50 m deep</t>
        </is>
      </c>
      <c r="G1549" s="6" t="inlineStr">
        <is>
          <t>m</t>
        </is>
      </c>
      <c r="H1549" s="7" t="n">
        <v>0.59</v>
      </c>
      <c r="I1549" s="8" t="n">
        <v>81.53</v>
      </c>
      <c r="J1549" s="8" t="n">
        <v>77.26000000000001</v>
      </c>
      <c r="K1549" s="8" t="n">
        <v>105.25</v>
      </c>
      <c r="L1549" s="8" t="n">
        <v>0</v>
      </c>
      <c r="M1549" s="9">
        <f>ROUND(SUM(I1549:L1549),2)</f>
        <v/>
      </c>
      <c r="N1549" s="10">
        <f>ROUND(I1549*'Irish Basis'!$C$6*'Irish Basis'!$C$5,2)</f>
        <v/>
      </c>
      <c r="O1549" s="10">
        <f>ROUND(J1549*'Irish Basis'!$C$7*'Irish Basis'!$C$5,2)</f>
        <v/>
      </c>
      <c r="P1549" s="10">
        <f>ROUND(K1549*'Irish Basis'!$C$8*'Irish Basis'!$C$5,2)</f>
        <v/>
      </c>
      <c r="Q1549" s="10">
        <f>ROUND(L1549*'Irish Basis'!$C$12*'Irish Basis'!$C$5,2)</f>
        <v/>
      </c>
      <c r="R1549" s="11">
        <f>ROUND(SUM(N1549:Q1549),2)</f>
        <v/>
      </c>
      <c r="S1549" s="5" t="inlineStr">
        <is>
          <t>Stated build-up</t>
        </is>
      </c>
      <c r="T1549" s="12" t="inlineStr">
        <is>
          <t>High</t>
        </is>
      </c>
      <c r="U1549" s="8" t="n">
        <v>264.04</v>
      </c>
      <c r="V1549" s="13">
        <f>IF(U1549="","",ROUND(M1549-U1549,2))</f>
        <v/>
      </c>
      <c r="W1549" s="5" t="n"/>
      <c r="X1549" s="5" t="inlineStr">
        <is>
          <t>Labour + plant + material as published; reconciles to the published rate.</t>
        </is>
      </c>
    </row>
    <row r="1550" ht="13" customHeight="1">
      <c r="A1550" s="4" t="n">
        <v>2472</v>
      </c>
      <c r="B1550" s="5" t="inlineStr">
        <is>
          <t>IMG_0099</t>
        </is>
      </c>
      <c r="C1550" s="5" t="inlineStr">
        <is>
          <t>CLASS I: PIPEWORK - PIPES</t>
        </is>
      </c>
      <c r="D1550" s="5" t="inlineStr">
        <is>
          <t>04 STEEL PIPES</t>
        </is>
      </c>
      <c r="E1550" s="5" t="inlineStr">
        <is>
          <t>Carbon steel pipes to BS EN 10126; 200 mm pipes; in trenches, depth (continued)</t>
        </is>
      </c>
      <c r="F1550" s="5" t="inlineStr">
        <is>
          <t>4.50-5.00 m deep</t>
        </is>
      </c>
      <c r="G1550" s="6" t="inlineStr">
        <is>
          <t>m</t>
        </is>
      </c>
      <c r="H1550" s="7" t="n">
        <v>0.74</v>
      </c>
      <c r="I1550" s="8" t="n">
        <v>102.25</v>
      </c>
      <c r="J1550" s="8" t="n">
        <v>97</v>
      </c>
      <c r="K1550" s="8" t="n">
        <v>105.25</v>
      </c>
      <c r="L1550" s="8" t="n">
        <v>0</v>
      </c>
      <c r="M1550" s="9">
        <f>ROUND(SUM(I1550:L1550),2)</f>
        <v/>
      </c>
      <c r="N1550" s="10">
        <f>ROUND(I1550*'Irish Basis'!$C$6*'Irish Basis'!$C$5,2)</f>
        <v/>
      </c>
      <c r="O1550" s="10">
        <f>ROUND(J1550*'Irish Basis'!$C$7*'Irish Basis'!$C$5,2)</f>
        <v/>
      </c>
      <c r="P1550" s="10">
        <f>ROUND(K1550*'Irish Basis'!$C$8*'Irish Basis'!$C$5,2)</f>
        <v/>
      </c>
      <c r="Q1550" s="10">
        <f>ROUND(L1550*'Irish Basis'!$C$12*'Irish Basis'!$C$5,2)</f>
        <v/>
      </c>
      <c r="R1550" s="11">
        <f>ROUND(SUM(N1550:Q1550),2)</f>
        <v/>
      </c>
      <c r="S1550" s="5" t="inlineStr">
        <is>
          <t>Stated build-up</t>
        </is>
      </c>
      <c r="T1550" s="12" t="inlineStr">
        <is>
          <t>High</t>
        </is>
      </c>
      <c r="U1550" s="8" t="n">
        <v>304.5</v>
      </c>
      <c r="V1550" s="13">
        <f>IF(U1550="","",ROUND(M1550-U1550,2))</f>
        <v/>
      </c>
      <c r="W1550" s="5" t="n"/>
      <c r="X1550" s="5" t="inlineStr">
        <is>
          <t>Labour + plant + material as published; reconciles to the published rate.</t>
        </is>
      </c>
    </row>
    <row r="1551" ht="13" customHeight="1">
      <c r="A1551" s="4" t="n">
        <v>2473</v>
      </c>
      <c r="B1551" s="5" t="inlineStr">
        <is>
          <t>IMG_0099</t>
        </is>
      </c>
      <c r="C1551" s="5" t="inlineStr">
        <is>
          <t>CLASS I: PIPEWORK - PIPES</t>
        </is>
      </c>
      <c r="D1551" s="5" t="inlineStr">
        <is>
          <t>04 STEEL PIPES</t>
        </is>
      </c>
      <c r="E1551" s="5" t="inlineStr">
        <is>
          <t>Carbon steel pipes to BS EN 10126; 200 mm pipes; in trenches, depth (continued)</t>
        </is>
      </c>
      <c r="F1551" s="5" t="inlineStr">
        <is>
          <t>5.00-5.50 m deep</t>
        </is>
      </c>
      <c r="G1551" s="6" t="inlineStr">
        <is>
          <t>m</t>
        </is>
      </c>
      <c r="H1551" s="7" t="n">
        <v>0.92</v>
      </c>
      <c r="I1551" s="8" t="n">
        <v>127.13</v>
      </c>
      <c r="J1551" s="8" t="n">
        <v>120.6</v>
      </c>
      <c r="K1551" s="8" t="n">
        <v>105.25</v>
      </c>
      <c r="L1551" s="8" t="n">
        <v>0</v>
      </c>
      <c r="M1551" s="9">
        <f>ROUND(SUM(I1551:L1551),2)</f>
        <v/>
      </c>
      <c r="N1551" s="10">
        <f>ROUND(I1551*'Irish Basis'!$C$6*'Irish Basis'!$C$5,2)</f>
        <v/>
      </c>
      <c r="O1551" s="10">
        <f>ROUND(J1551*'Irish Basis'!$C$7*'Irish Basis'!$C$5,2)</f>
        <v/>
      </c>
      <c r="P1551" s="10">
        <f>ROUND(K1551*'Irish Basis'!$C$8*'Irish Basis'!$C$5,2)</f>
        <v/>
      </c>
      <c r="Q1551" s="10">
        <f>ROUND(L1551*'Irish Basis'!$C$12*'Irish Basis'!$C$5,2)</f>
        <v/>
      </c>
      <c r="R1551" s="11">
        <f>ROUND(SUM(N1551:Q1551),2)</f>
        <v/>
      </c>
      <c r="S1551" s="5" t="inlineStr">
        <is>
          <t>Stated build-up</t>
        </is>
      </c>
      <c r="T1551" s="12" t="inlineStr">
        <is>
          <t>High</t>
        </is>
      </c>
      <c r="U1551" s="8" t="n">
        <v>352.97</v>
      </c>
      <c r="V1551" s="13">
        <f>IF(U1551="","",ROUND(M1551-U1551,2))</f>
        <v/>
      </c>
      <c r="W1551" s="5" t="n"/>
      <c r="X1551" s="5" t="inlineStr">
        <is>
          <t>Labour + plant + material as published; reconciles to the published rate.</t>
        </is>
      </c>
    </row>
    <row r="1552" ht="13" customHeight="1">
      <c r="A1552" s="4" t="n">
        <v>2474</v>
      </c>
      <c r="B1552" s="5" t="inlineStr">
        <is>
          <t>IMG_0099</t>
        </is>
      </c>
      <c r="C1552" s="5" t="inlineStr">
        <is>
          <t>CLASS I: PIPEWORK - PIPES</t>
        </is>
      </c>
      <c r="D1552" s="5" t="inlineStr">
        <is>
          <t>04 STEEL PIPES</t>
        </is>
      </c>
      <c r="E1552" s="5" t="inlineStr">
        <is>
          <t>Carbon steel pipes to BS EN 10126; 200 mm pipes; in trenches, depth (continued)</t>
        </is>
      </c>
      <c r="F1552" s="5" t="inlineStr">
        <is>
          <t>extra for bend; 45 deg</t>
        </is>
      </c>
      <c r="G1552" s="6" t="inlineStr">
        <is>
          <t>nr</t>
        </is>
      </c>
      <c r="H1552" s="7" t="n">
        <v>0.12</v>
      </c>
      <c r="I1552" s="8" t="n">
        <v>16.58</v>
      </c>
      <c r="J1552" s="8" t="n">
        <v>6.76</v>
      </c>
      <c r="K1552" s="8" t="n">
        <v>174.6</v>
      </c>
      <c r="L1552" s="8" t="n">
        <v>0</v>
      </c>
      <c r="M1552" s="9">
        <f>ROUND(SUM(I1552:L1552),2)</f>
        <v/>
      </c>
      <c r="N1552" s="10">
        <f>ROUND(I1552*'Irish Basis'!$C$6*'Irish Basis'!$C$5,2)</f>
        <v/>
      </c>
      <c r="O1552" s="10">
        <f>ROUND(J1552*'Irish Basis'!$C$7*'Irish Basis'!$C$5,2)</f>
        <v/>
      </c>
      <c r="P1552" s="10">
        <f>ROUND(K1552*'Irish Basis'!$C$8*'Irish Basis'!$C$5,2)</f>
        <v/>
      </c>
      <c r="Q1552" s="10">
        <f>ROUND(L1552*'Irish Basis'!$C$12*'Irish Basis'!$C$5,2)</f>
        <v/>
      </c>
      <c r="R1552" s="11">
        <f>ROUND(SUM(N1552:Q1552),2)</f>
        <v/>
      </c>
      <c r="S1552" s="5" t="inlineStr">
        <is>
          <t>Stated build-up</t>
        </is>
      </c>
      <c r="T1552" s="12" t="inlineStr">
        <is>
          <t>High</t>
        </is>
      </c>
      <c r="U1552" s="8" t="n">
        <v>197.94</v>
      </c>
      <c r="V1552" s="13">
        <f>IF(U1552="","",ROUND(M1552-U1552,2))</f>
        <v/>
      </c>
      <c r="W1552" s="5" t="n"/>
      <c r="X1552" s="5" t="inlineStr">
        <is>
          <t>Labour + plant + material as published; reconciles to the published rate.</t>
        </is>
      </c>
    </row>
    <row r="1553" ht="13" customHeight="1">
      <c r="A1553" s="4" t="n">
        <v>2475</v>
      </c>
      <c r="B1553" s="5" t="inlineStr">
        <is>
          <t>IMG_0099</t>
        </is>
      </c>
      <c r="C1553" s="5" t="inlineStr">
        <is>
          <t>CLASS I: PIPEWORK - PIPES</t>
        </is>
      </c>
      <c r="D1553" s="5" t="inlineStr">
        <is>
          <t>04 STEEL PIPES</t>
        </is>
      </c>
      <c r="E1553" s="5" t="inlineStr">
        <is>
          <t>Carbon steel pipes to BS EN 10126; 200 mm pipes; in trenches, depth (continued)</t>
        </is>
      </c>
      <c r="F1553" s="5" t="inlineStr">
        <is>
          <t>extra for bend; 90 deg</t>
        </is>
      </c>
      <c r="G1553" s="6" t="inlineStr">
        <is>
          <t>nr</t>
        </is>
      </c>
      <c r="H1553" s="7" t="n">
        <v>0.12</v>
      </c>
      <c r="I1553" s="8" t="n">
        <v>16.58</v>
      </c>
      <c r="J1553" s="8" t="n">
        <v>6.76</v>
      </c>
      <c r="K1553" s="8" t="n">
        <v>182.03</v>
      </c>
      <c r="L1553" s="8" t="n">
        <v>0</v>
      </c>
      <c r="M1553" s="9">
        <f>ROUND(SUM(I1553:L1553),2)</f>
        <v/>
      </c>
      <c r="N1553" s="10">
        <f>ROUND(I1553*'Irish Basis'!$C$6*'Irish Basis'!$C$5,2)</f>
        <v/>
      </c>
      <c r="O1553" s="10">
        <f>ROUND(J1553*'Irish Basis'!$C$7*'Irish Basis'!$C$5,2)</f>
        <v/>
      </c>
      <c r="P1553" s="10">
        <f>ROUND(K1553*'Irish Basis'!$C$8*'Irish Basis'!$C$5,2)</f>
        <v/>
      </c>
      <c r="Q1553" s="10">
        <f>ROUND(L1553*'Irish Basis'!$C$12*'Irish Basis'!$C$5,2)</f>
        <v/>
      </c>
      <c r="R1553" s="11">
        <f>ROUND(SUM(N1553:Q1553),2)</f>
        <v/>
      </c>
      <c r="S1553" s="5" t="inlineStr">
        <is>
          <t>Stated build-up</t>
        </is>
      </c>
      <c r="T1553" s="12" t="inlineStr">
        <is>
          <t>High</t>
        </is>
      </c>
      <c r="U1553" s="8" t="n">
        <v>205.38</v>
      </c>
      <c r="V1553" s="13">
        <f>IF(U1553="","",ROUND(M1553-U1553,2))</f>
        <v/>
      </c>
      <c r="W1553" s="5" t="n"/>
      <c r="X1553" s="5" t="inlineStr">
        <is>
          <t>Labour + plant + material as published; reconciles to the published rate.</t>
        </is>
      </c>
    </row>
    <row r="1554" ht="13" customHeight="1">
      <c r="A1554" s="4" t="n">
        <v>2476</v>
      </c>
      <c r="B1554" s="5" t="inlineStr">
        <is>
          <t>IMG_0099</t>
        </is>
      </c>
      <c r="C1554" s="5" t="inlineStr">
        <is>
          <t>CLASS I: PIPEWORK - PIPES</t>
        </is>
      </c>
      <c r="D1554" s="5" t="inlineStr">
        <is>
          <t>04 STEEL PIPES</t>
        </is>
      </c>
      <c r="E1554" s="5" t="inlineStr">
        <is>
          <t>Carbon steel pipes to BS EN 10126; 200 mm pipes; in trenches, depth (continued)</t>
        </is>
      </c>
      <c r="F1554" s="5" t="inlineStr">
        <is>
          <t>extra for single junction; equal</t>
        </is>
      </c>
      <c r="G1554" s="6" t="inlineStr">
        <is>
          <t>nr</t>
        </is>
      </c>
      <c r="H1554" s="7" t="n">
        <v>0.21</v>
      </c>
      <c r="I1554" s="8" t="n">
        <v>29.02</v>
      </c>
      <c r="J1554" s="8" t="n">
        <v>13.45</v>
      </c>
      <c r="K1554" s="8" t="n">
        <v>306.19</v>
      </c>
      <c r="L1554" s="8" t="n">
        <v>0</v>
      </c>
      <c r="M1554" s="9">
        <f>ROUND(SUM(I1554:L1554),2)</f>
        <v/>
      </c>
      <c r="N1554" s="10">
        <f>ROUND(I1554*'Irish Basis'!$C$6*'Irish Basis'!$C$5,2)</f>
        <v/>
      </c>
      <c r="O1554" s="10">
        <f>ROUND(J1554*'Irish Basis'!$C$7*'Irish Basis'!$C$5,2)</f>
        <v/>
      </c>
      <c r="P1554" s="10">
        <f>ROUND(K1554*'Irish Basis'!$C$8*'Irish Basis'!$C$5,2)</f>
        <v/>
      </c>
      <c r="Q1554" s="10">
        <f>ROUND(L1554*'Irish Basis'!$C$12*'Irish Basis'!$C$5,2)</f>
        <v/>
      </c>
      <c r="R1554" s="11">
        <f>ROUND(SUM(N1554:Q1554),2)</f>
        <v/>
      </c>
      <c r="S1554" s="5" t="inlineStr">
        <is>
          <t>Stated build-up</t>
        </is>
      </c>
      <c r="T1554" s="12" t="inlineStr">
        <is>
          <t>High</t>
        </is>
      </c>
      <c r="U1554" s="8" t="n">
        <v>348.66</v>
      </c>
      <c r="V1554" s="13">
        <f>IF(U1554="","",ROUND(M1554-U1554,2))</f>
        <v/>
      </c>
      <c r="W1554" s="5" t="n"/>
      <c r="X1554" s="5" t="inlineStr">
        <is>
          <t>Labour + plant + material as published; reconciles to the published rate.</t>
        </is>
      </c>
    </row>
    <row r="1555" ht="13" customHeight="1">
      <c r="A1555" s="4" t="n">
        <v>2478</v>
      </c>
      <c r="B1555" s="5" t="inlineStr">
        <is>
          <t>IMG_0099</t>
        </is>
      </c>
      <c r="C1555" s="5" t="inlineStr">
        <is>
          <t>CLASS I: PIPEWORK - PIPES</t>
        </is>
      </c>
      <c r="D1555" s="5" t="inlineStr">
        <is>
          <t>04 STEEL PIPES</t>
        </is>
      </c>
      <c r="E1555" s="5" t="inlineStr">
        <is>
          <t>250 mm pipes; in trenches, depth</t>
        </is>
      </c>
      <c r="F1555" s="5" t="inlineStr">
        <is>
          <t>not in trenches</t>
        </is>
      </c>
      <c r="G1555" s="6" t="inlineStr">
        <is>
          <t>m</t>
        </is>
      </c>
      <c r="H1555" s="7" t="n">
        <v>0.1</v>
      </c>
      <c r="I1555" s="8" t="n">
        <v>8.630000000000001</v>
      </c>
      <c r="J1555" s="8" t="n">
        <v>1.13</v>
      </c>
      <c r="K1555" s="8" t="n">
        <v>149.52</v>
      </c>
      <c r="L1555" s="8" t="n">
        <v>0</v>
      </c>
      <c r="M1555" s="9">
        <f>ROUND(SUM(I1555:L1555),2)</f>
        <v/>
      </c>
      <c r="N1555" s="10">
        <f>ROUND(I1555*'Irish Basis'!$C$6*'Irish Basis'!$C$5,2)</f>
        <v/>
      </c>
      <c r="O1555" s="10">
        <f>ROUND(J1555*'Irish Basis'!$C$7*'Irish Basis'!$C$5,2)</f>
        <v/>
      </c>
      <c r="P1555" s="10">
        <f>ROUND(K1555*'Irish Basis'!$C$8*'Irish Basis'!$C$5,2)</f>
        <v/>
      </c>
      <c r="Q1555" s="10">
        <f>ROUND(L1555*'Irish Basis'!$C$12*'Irish Basis'!$C$5,2)</f>
        <v/>
      </c>
      <c r="R1555" s="11">
        <f>ROUND(SUM(N1555:Q1555),2)</f>
        <v/>
      </c>
      <c r="S1555" s="5" t="inlineStr">
        <is>
          <t>Stated build-up</t>
        </is>
      </c>
      <c r="T1555" s="12" t="inlineStr">
        <is>
          <t>High</t>
        </is>
      </c>
      <c r="U1555" s="8" t="n">
        <v>159.28</v>
      </c>
      <c r="V1555" s="13">
        <f>IF(U1555="","",ROUND(M1555-U1555,2))</f>
        <v/>
      </c>
      <c r="W1555" s="5" t="n"/>
      <c r="X1555" s="5" t="inlineStr">
        <is>
          <t>Labour + plant + material as published; reconciles to the published rate.</t>
        </is>
      </c>
    </row>
    <row r="1556" ht="13" customHeight="1">
      <c r="A1556" s="4" t="n">
        <v>2479</v>
      </c>
      <c r="B1556" s="5" t="inlineStr">
        <is>
          <t>IMG_0099</t>
        </is>
      </c>
      <c r="C1556" s="5" t="inlineStr">
        <is>
          <t>CLASS I: PIPEWORK - PIPES</t>
        </is>
      </c>
      <c r="D1556" s="5" t="inlineStr">
        <is>
          <t>04 STEEL PIPES</t>
        </is>
      </c>
      <c r="E1556" s="5" t="inlineStr">
        <is>
          <t>250 mm pipes; in trenches, depth</t>
        </is>
      </c>
      <c r="F1556" s="5" t="inlineStr">
        <is>
          <t>ne 1.50 m deep</t>
        </is>
      </c>
      <c r="G1556" s="6" t="inlineStr">
        <is>
          <t>m</t>
        </is>
      </c>
      <c r="H1556" s="7" t="n">
        <v>0.18</v>
      </c>
      <c r="I1556" s="8" t="n">
        <v>24.87</v>
      </c>
      <c r="J1556" s="8" t="n">
        <v>30.45</v>
      </c>
      <c r="K1556" s="8" t="n">
        <v>149.52</v>
      </c>
      <c r="L1556" s="8" t="n">
        <v>0</v>
      </c>
      <c r="M1556" s="9">
        <f>ROUND(SUM(I1556:L1556),2)</f>
        <v/>
      </c>
      <c r="N1556" s="10">
        <f>ROUND(I1556*'Irish Basis'!$C$6*'Irish Basis'!$C$5,2)</f>
        <v/>
      </c>
      <c r="O1556" s="10">
        <f>ROUND(J1556*'Irish Basis'!$C$7*'Irish Basis'!$C$5,2)</f>
        <v/>
      </c>
      <c r="P1556" s="10">
        <f>ROUND(K1556*'Irish Basis'!$C$8*'Irish Basis'!$C$5,2)</f>
        <v/>
      </c>
      <c r="Q1556" s="10">
        <f>ROUND(L1556*'Irish Basis'!$C$12*'Irish Basis'!$C$5,2)</f>
        <v/>
      </c>
      <c r="R1556" s="11">
        <f>ROUND(SUM(N1556:Q1556),2)</f>
        <v/>
      </c>
      <c r="S1556" s="5" t="inlineStr">
        <is>
          <t>Stated build-up</t>
        </is>
      </c>
      <c r="T1556" s="12" t="inlineStr">
        <is>
          <t>High</t>
        </is>
      </c>
      <c r="U1556" s="8" t="n">
        <v>204.83</v>
      </c>
      <c r="V1556" s="13">
        <f>IF(U1556="","",ROUND(M1556-U1556,2))</f>
        <v/>
      </c>
      <c r="W1556" s="5" t="n"/>
      <c r="X1556" s="5" t="inlineStr">
        <is>
          <t>Labour + plant + material as published; reconciles to the published rate.</t>
        </is>
      </c>
    </row>
    <row r="1557" ht="13" customHeight="1">
      <c r="A1557" s="4" t="n">
        <v>2480</v>
      </c>
      <c r="B1557" s="5" t="inlineStr">
        <is>
          <t>IMG_0099</t>
        </is>
      </c>
      <c r="C1557" s="5" t="inlineStr">
        <is>
          <t>CLASS I: PIPEWORK - PIPES</t>
        </is>
      </c>
      <c r="D1557" s="5" t="inlineStr">
        <is>
          <t>04 STEEL PIPES</t>
        </is>
      </c>
      <c r="E1557" s="5" t="inlineStr">
        <is>
          <t>250 mm pipes; in trenches, depth</t>
        </is>
      </c>
      <c r="F1557" s="5" t="inlineStr">
        <is>
          <t>1.50-2.00 m deep</t>
        </is>
      </c>
      <c r="G1557" s="6" t="inlineStr">
        <is>
          <t>m</t>
        </is>
      </c>
      <c r="H1557" s="7" t="n">
        <v>0.22</v>
      </c>
      <c r="I1557" s="8" t="n">
        <v>30.4</v>
      </c>
      <c r="J1557" s="8" t="n">
        <v>36.43</v>
      </c>
      <c r="K1557" s="8" t="n">
        <v>149.52</v>
      </c>
      <c r="L1557" s="8" t="n">
        <v>0</v>
      </c>
      <c r="M1557" s="9">
        <f>ROUND(SUM(I1557:L1557),2)</f>
        <v/>
      </c>
      <c r="N1557" s="10">
        <f>ROUND(I1557*'Irish Basis'!$C$6*'Irish Basis'!$C$5,2)</f>
        <v/>
      </c>
      <c r="O1557" s="10">
        <f>ROUND(J1557*'Irish Basis'!$C$7*'Irish Basis'!$C$5,2)</f>
        <v/>
      </c>
      <c r="P1557" s="10">
        <f>ROUND(K1557*'Irish Basis'!$C$8*'Irish Basis'!$C$5,2)</f>
        <v/>
      </c>
      <c r="Q1557" s="10">
        <f>ROUND(L1557*'Irish Basis'!$C$12*'Irish Basis'!$C$5,2)</f>
        <v/>
      </c>
      <c r="R1557" s="11">
        <f>ROUND(SUM(N1557:Q1557),2)</f>
        <v/>
      </c>
      <c r="S1557" s="5" t="inlineStr">
        <is>
          <t>Stated build-up</t>
        </is>
      </c>
      <c r="T1557" s="12" t="inlineStr">
        <is>
          <t>High</t>
        </is>
      </c>
      <c r="U1557" s="8" t="n">
        <v>216.35</v>
      </c>
      <c r="V1557" s="13">
        <f>IF(U1557="","",ROUND(M1557-U1557,2))</f>
        <v/>
      </c>
      <c r="W1557" s="5" t="n"/>
      <c r="X1557" s="5" t="inlineStr">
        <is>
          <t>Labour + plant + material as published; reconciles to the published rate.</t>
        </is>
      </c>
    </row>
    <row r="1558" ht="13" customHeight="1">
      <c r="A1558" s="4" t="n">
        <v>2481</v>
      </c>
      <c r="B1558" s="5" t="inlineStr">
        <is>
          <t>IMG_0099</t>
        </is>
      </c>
      <c r="C1558" s="5" t="inlineStr">
        <is>
          <t>CLASS I: PIPEWORK - PIPES</t>
        </is>
      </c>
      <c r="D1558" s="5" t="inlineStr">
        <is>
          <t>04 STEEL PIPES</t>
        </is>
      </c>
      <c r="E1558" s="5" t="inlineStr">
        <is>
          <t>250 mm pipes; in trenches, depth</t>
        </is>
      </c>
      <c r="F1558" s="5" t="inlineStr">
        <is>
          <t>2.00-2.50 m deep</t>
        </is>
      </c>
      <c r="G1558" s="6" t="inlineStr">
        <is>
          <t>m</t>
        </is>
      </c>
      <c r="H1558" s="7" t="n">
        <v>0.26</v>
      </c>
      <c r="I1558" s="8" t="n">
        <v>35.93</v>
      </c>
      <c r="J1558" s="8" t="n">
        <v>41.54</v>
      </c>
      <c r="K1558" s="8" t="n">
        <v>149.52</v>
      </c>
      <c r="L1558" s="8" t="n">
        <v>0</v>
      </c>
      <c r="M1558" s="9">
        <f>ROUND(SUM(I1558:L1558),2)</f>
        <v/>
      </c>
      <c r="N1558" s="10">
        <f>ROUND(I1558*'Irish Basis'!$C$6*'Irish Basis'!$C$5,2)</f>
        <v/>
      </c>
      <c r="O1558" s="10">
        <f>ROUND(J1558*'Irish Basis'!$C$7*'Irish Basis'!$C$5,2)</f>
        <v/>
      </c>
      <c r="P1558" s="10">
        <f>ROUND(K1558*'Irish Basis'!$C$8*'Irish Basis'!$C$5,2)</f>
        <v/>
      </c>
      <c r="Q1558" s="10">
        <f>ROUND(L1558*'Irish Basis'!$C$12*'Irish Basis'!$C$5,2)</f>
        <v/>
      </c>
      <c r="R1558" s="11">
        <f>ROUND(SUM(N1558:Q1558),2)</f>
        <v/>
      </c>
      <c r="S1558" s="5" t="inlineStr">
        <is>
          <t>Stated build-up</t>
        </is>
      </c>
      <c r="T1558" s="12" t="inlineStr">
        <is>
          <t>High</t>
        </is>
      </c>
      <c r="U1558" s="8" t="n">
        <v>226.98</v>
      </c>
      <c r="V1558" s="13">
        <f>IF(U1558="","",ROUND(M1558-U1558,2))</f>
        <v/>
      </c>
      <c r="W1558" s="5" t="n"/>
      <c r="X1558" s="5" t="inlineStr">
        <is>
          <t>Labour + plant + material as published; reconciles to the published rate.</t>
        </is>
      </c>
    </row>
    <row r="1559" ht="13" customHeight="1">
      <c r="A1559" s="4" t="n">
        <v>2482</v>
      </c>
      <c r="B1559" s="5" t="inlineStr">
        <is>
          <t>IMG_0099</t>
        </is>
      </c>
      <c r="C1559" s="5" t="inlineStr">
        <is>
          <t>CLASS I: PIPEWORK - PIPES</t>
        </is>
      </c>
      <c r="D1559" s="5" t="inlineStr">
        <is>
          <t>04 STEEL PIPES</t>
        </is>
      </c>
      <c r="E1559" s="5" t="inlineStr">
        <is>
          <t>250 mm pipes; in trenches, depth</t>
        </is>
      </c>
      <c r="F1559" s="5" t="inlineStr">
        <is>
          <t>2.50-3.00 m deep</t>
        </is>
      </c>
      <c r="G1559" s="6" t="inlineStr">
        <is>
          <t>m</t>
        </is>
      </c>
      <c r="H1559" s="7" t="n">
        <v>0.31</v>
      </c>
      <c r="I1559" s="8" t="n">
        <v>42.84</v>
      </c>
      <c r="J1559" s="8" t="n">
        <v>51.27</v>
      </c>
      <c r="K1559" s="8" t="n">
        <v>149.52</v>
      </c>
      <c r="L1559" s="8" t="n">
        <v>0</v>
      </c>
      <c r="M1559" s="9">
        <f>ROUND(SUM(I1559:L1559),2)</f>
        <v/>
      </c>
      <c r="N1559" s="10">
        <f>ROUND(I1559*'Irish Basis'!$C$6*'Irish Basis'!$C$5,2)</f>
        <v/>
      </c>
      <c r="O1559" s="10">
        <f>ROUND(J1559*'Irish Basis'!$C$7*'Irish Basis'!$C$5,2)</f>
        <v/>
      </c>
      <c r="P1559" s="10">
        <f>ROUND(K1559*'Irish Basis'!$C$8*'Irish Basis'!$C$5,2)</f>
        <v/>
      </c>
      <c r="Q1559" s="10">
        <f>ROUND(L1559*'Irish Basis'!$C$12*'Irish Basis'!$C$5,2)</f>
        <v/>
      </c>
      <c r="R1559" s="11">
        <f>ROUND(SUM(N1559:Q1559),2)</f>
        <v/>
      </c>
      <c r="S1559" s="5" t="inlineStr">
        <is>
          <t>Stated build-up</t>
        </is>
      </c>
      <c r="T1559" s="12" t="inlineStr">
        <is>
          <t>High</t>
        </is>
      </c>
      <c r="U1559" s="8" t="n">
        <v>243.62</v>
      </c>
      <c r="V1559" s="13">
        <f>IF(U1559="","",ROUND(M1559-U1559,2))</f>
        <v/>
      </c>
      <c r="W1559" s="5" t="n"/>
      <c r="X1559" s="5" t="inlineStr">
        <is>
          <t>Labour + plant + material as published; reconciles to the published rate.</t>
        </is>
      </c>
    </row>
    <row r="1560" ht="13" customHeight="1">
      <c r="A1560" s="4" t="n">
        <v>2483</v>
      </c>
      <c r="B1560" s="5" t="inlineStr">
        <is>
          <t>IMG_0099</t>
        </is>
      </c>
      <c r="C1560" s="5" t="inlineStr">
        <is>
          <t>CLASS I: PIPEWORK - PIPES</t>
        </is>
      </c>
      <c r="D1560" s="5" t="inlineStr">
        <is>
          <t>04 STEEL PIPES</t>
        </is>
      </c>
      <c r="E1560" s="5" t="inlineStr">
        <is>
          <t>250 mm pipes; in trenches, depth</t>
        </is>
      </c>
      <c r="F1560" s="5" t="inlineStr">
        <is>
          <t>3.00-3.50 m deep</t>
        </is>
      </c>
      <c r="G1560" s="6" t="inlineStr">
        <is>
          <t>m</t>
        </is>
      </c>
      <c r="H1560" s="7" t="n">
        <v>0.41</v>
      </c>
      <c r="I1560" s="8" t="n">
        <v>56.65</v>
      </c>
      <c r="J1560" s="8" t="n">
        <v>67.84</v>
      </c>
      <c r="K1560" s="8" t="n">
        <v>149.52</v>
      </c>
      <c r="L1560" s="8" t="n">
        <v>0</v>
      </c>
      <c r="M1560" s="9">
        <f>ROUND(SUM(I1560:L1560),2)</f>
        <v/>
      </c>
      <c r="N1560" s="10">
        <f>ROUND(I1560*'Irish Basis'!$C$6*'Irish Basis'!$C$5,2)</f>
        <v/>
      </c>
      <c r="O1560" s="10">
        <f>ROUND(J1560*'Irish Basis'!$C$7*'Irish Basis'!$C$5,2)</f>
        <v/>
      </c>
      <c r="P1560" s="10">
        <f>ROUND(K1560*'Irish Basis'!$C$8*'Irish Basis'!$C$5,2)</f>
        <v/>
      </c>
      <c r="Q1560" s="10">
        <f>ROUND(L1560*'Irish Basis'!$C$12*'Irish Basis'!$C$5,2)</f>
        <v/>
      </c>
      <c r="R1560" s="11">
        <f>ROUND(SUM(N1560:Q1560),2)</f>
        <v/>
      </c>
      <c r="S1560" s="5" t="inlineStr">
        <is>
          <t>Stated build-up</t>
        </is>
      </c>
      <c r="T1560" s="12" t="inlineStr">
        <is>
          <t>High</t>
        </is>
      </c>
      <c r="U1560" s="8" t="n">
        <v>274.01</v>
      </c>
      <c r="V1560" s="13">
        <f>IF(U1560="","",ROUND(M1560-U1560,2))</f>
        <v/>
      </c>
      <c r="W1560" s="5" t="n"/>
      <c r="X1560" s="5" t="inlineStr">
        <is>
          <t>Labour + plant + material as published; reconciles to the published rate.</t>
        </is>
      </c>
    </row>
    <row r="1561" ht="13" customHeight="1">
      <c r="A1561" s="4" t="n">
        <v>2484</v>
      </c>
      <c r="B1561" s="5" t="inlineStr">
        <is>
          <t>IMG_0099</t>
        </is>
      </c>
      <c r="C1561" s="5" t="inlineStr">
        <is>
          <t>CLASS I: PIPEWORK - PIPES</t>
        </is>
      </c>
      <c r="D1561" s="5" t="inlineStr">
        <is>
          <t>04 STEEL PIPES</t>
        </is>
      </c>
      <c r="E1561" s="5" t="inlineStr">
        <is>
          <t>250 mm pipes; in trenches, depth</t>
        </is>
      </c>
      <c r="F1561" s="5" t="inlineStr">
        <is>
          <t>3.50-4.00 m deep</t>
        </is>
      </c>
      <c r="G1561" s="6" t="inlineStr">
        <is>
          <t>m</t>
        </is>
      </c>
      <c r="H1561" s="7" t="n">
        <v>0.47</v>
      </c>
      <c r="I1561" s="8" t="n">
        <v>64.94</v>
      </c>
      <c r="J1561" s="8" t="n">
        <v>76.09</v>
      </c>
      <c r="K1561" s="8" t="n">
        <v>149.52</v>
      </c>
      <c r="L1561" s="8" t="n">
        <v>0</v>
      </c>
      <c r="M1561" s="9">
        <f>ROUND(SUM(I1561:L1561),2)</f>
        <v/>
      </c>
      <c r="N1561" s="10">
        <f>ROUND(I1561*'Irish Basis'!$C$6*'Irish Basis'!$C$5,2)</f>
        <v/>
      </c>
      <c r="O1561" s="10">
        <f>ROUND(J1561*'Irish Basis'!$C$7*'Irish Basis'!$C$5,2)</f>
        <v/>
      </c>
      <c r="P1561" s="10">
        <f>ROUND(K1561*'Irish Basis'!$C$8*'Irish Basis'!$C$5,2)</f>
        <v/>
      </c>
      <c r="Q1561" s="10">
        <f>ROUND(L1561*'Irish Basis'!$C$12*'Irish Basis'!$C$5,2)</f>
        <v/>
      </c>
      <c r="R1561" s="11">
        <f>ROUND(SUM(N1561:Q1561),2)</f>
        <v/>
      </c>
      <c r="S1561" s="5" t="inlineStr">
        <is>
          <t>Stated build-up</t>
        </is>
      </c>
      <c r="T1561" s="12" t="inlineStr">
        <is>
          <t>High</t>
        </is>
      </c>
      <c r="U1561" s="8" t="n">
        <v>290.55</v>
      </c>
      <c r="V1561" s="13">
        <f>IF(U1561="","",ROUND(M1561-U1561,2))</f>
        <v/>
      </c>
      <c r="W1561" s="5" t="n"/>
      <c r="X1561" s="5" t="inlineStr">
        <is>
          <t>Labour + plant + material as published; reconciles to the published rate.</t>
        </is>
      </c>
    </row>
    <row r="1562" ht="13" customHeight="1">
      <c r="A1562" s="4" t="n">
        <v>2485</v>
      </c>
      <c r="B1562" s="5" t="inlineStr">
        <is>
          <t>IMG_0099</t>
        </is>
      </c>
      <c r="C1562" s="5" t="inlineStr">
        <is>
          <t>CLASS I: PIPEWORK - PIPES</t>
        </is>
      </c>
      <c r="D1562" s="5" t="inlineStr">
        <is>
          <t>04 STEEL PIPES</t>
        </is>
      </c>
      <c r="E1562" s="5" t="inlineStr">
        <is>
          <t>250 mm pipes; in trenches, depth</t>
        </is>
      </c>
      <c r="F1562" s="5" t="inlineStr">
        <is>
          <t>4.00-4.50 m deep</t>
        </is>
      </c>
      <c r="G1562" s="6" t="inlineStr">
        <is>
          <t>m</t>
        </is>
      </c>
      <c r="H1562" s="7" t="n">
        <v>0.6</v>
      </c>
      <c r="I1562" s="8" t="n">
        <v>82.91</v>
      </c>
      <c r="J1562" s="8" t="n">
        <v>95.06</v>
      </c>
      <c r="K1562" s="8" t="n">
        <v>149.52</v>
      </c>
      <c r="L1562" s="8" t="n">
        <v>0</v>
      </c>
      <c r="M1562" s="9">
        <f>ROUND(SUM(I1562:L1562),2)</f>
        <v/>
      </c>
      <c r="N1562" s="10">
        <f>ROUND(I1562*'Irish Basis'!$C$6*'Irish Basis'!$C$5,2)</f>
        <v/>
      </c>
      <c r="O1562" s="10">
        <f>ROUND(J1562*'Irish Basis'!$C$7*'Irish Basis'!$C$5,2)</f>
        <v/>
      </c>
      <c r="P1562" s="10">
        <f>ROUND(K1562*'Irish Basis'!$C$8*'Irish Basis'!$C$5,2)</f>
        <v/>
      </c>
      <c r="Q1562" s="10">
        <f>ROUND(L1562*'Irish Basis'!$C$12*'Irish Basis'!$C$5,2)</f>
        <v/>
      </c>
      <c r="R1562" s="11">
        <f>ROUND(SUM(N1562:Q1562),2)</f>
        <v/>
      </c>
      <c r="S1562" s="5" t="inlineStr">
        <is>
          <t>Stated build-up</t>
        </is>
      </c>
      <c r="T1562" s="12" t="inlineStr">
        <is>
          <t>High</t>
        </is>
      </c>
      <c r="U1562" s="8" t="n">
        <v>327.48</v>
      </c>
      <c r="V1562" s="13">
        <f>IF(U1562="","",ROUND(M1562-U1562,2))</f>
        <v/>
      </c>
      <c r="W1562" s="5" t="n"/>
      <c r="X1562" s="5" t="inlineStr">
        <is>
          <t>Labour + plant + material as published; reconciles to the published rate.</t>
        </is>
      </c>
    </row>
    <row r="1563" ht="13" customHeight="1">
      <c r="A1563" s="4" t="n">
        <v>2486</v>
      </c>
      <c r="B1563" s="5" t="inlineStr">
        <is>
          <t>IMG_0099</t>
        </is>
      </c>
      <c r="C1563" s="5" t="inlineStr">
        <is>
          <t>CLASS I: PIPEWORK - PIPES</t>
        </is>
      </c>
      <c r="D1563" s="5" t="inlineStr">
        <is>
          <t>04 STEEL PIPES</t>
        </is>
      </c>
      <c r="E1563" s="5" t="inlineStr">
        <is>
          <t>250 mm pipes; in trenches, depth</t>
        </is>
      </c>
      <c r="F1563" s="5" t="inlineStr">
        <is>
          <t>4.50-5.00 m deep</t>
        </is>
      </c>
      <c r="G1563" s="6" t="inlineStr">
        <is>
          <t>m</t>
        </is>
      </c>
      <c r="H1563" s="7" t="n">
        <v>0.75</v>
      </c>
      <c r="I1563" s="8" t="n">
        <v>103.64</v>
      </c>
      <c r="J1563" s="8" t="n">
        <v>122.35</v>
      </c>
      <c r="K1563" s="8" t="n">
        <v>149.52</v>
      </c>
      <c r="L1563" s="8" t="n">
        <v>0</v>
      </c>
      <c r="M1563" s="9">
        <f>ROUND(SUM(I1563:L1563),2)</f>
        <v/>
      </c>
      <c r="N1563" s="10">
        <f>ROUND(I1563*'Irish Basis'!$C$6*'Irish Basis'!$C$5,2)</f>
        <v/>
      </c>
      <c r="O1563" s="10">
        <f>ROUND(J1563*'Irish Basis'!$C$7*'Irish Basis'!$C$5,2)</f>
        <v/>
      </c>
      <c r="P1563" s="10">
        <f>ROUND(K1563*'Irish Basis'!$C$8*'Irish Basis'!$C$5,2)</f>
        <v/>
      </c>
      <c r="Q1563" s="10">
        <f>ROUND(L1563*'Irish Basis'!$C$12*'Irish Basis'!$C$5,2)</f>
        <v/>
      </c>
      <c r="R1563" s="11">
        <f>ROUND(SUM(N1563:Q1563),2)</f>
        <v/>
      </c>
      <c r="S1563" s="5" t="inlineStr">
        <is>
          <t>Stated build-up</t>
        </is>
      </c>
      <c r="T1563" s="12" t="inlineStr">
        <is>
          <t>High</t>
        </is>
      </c>
      <c r="U1563" s="8" t="n">
        <v>375.5</v>
      </c>
      <c r="V1563" s="13">
        <f>IF(U1563="","",ROUND(M1563-U1563,2))</f>
        <v/>
      </c>
      <c r="W1563" s="5" t="n"/>
      <c r="X1563" s="5" t="inlineStr">
        <is>
          <t>Labour + plant + material as published; reconciles to the published rate.</t>
        </is>
      </c>
    </row>
    <row r="1564" ht="13" customHeight="1">
      <c r="A1564" s="4" t="n">
        <v>2487</v>
      </c>
      <c r="B1564" s="5" t="inlineStr">
        <is>
          <t>IMG_0099</t>
        </is>
      </c>
      <c r="C1564" s="5" t="inlineStr">
        <is>
          <t>CLASS I: PIPEWORK - PIPES</t>
        </is>
      </c>
      <c r="D1564" s="5" t="inlineStr">
        <is>
          <t>04 STEEL PIPES</t>
        </is>
      </c>
      <c r="E1564" s="5" t="inlineStr">
        <is>
          <t>250 mm pipes; in trenches, depth</t>
        </is>
      </c>
      <c r="F1564" s="5" t="inlineStr">
        <is>
          <t>5.00-5.50 m deep</t>
        </is>
      </c>
      <c r="G1564" s="6" t="inlineStr">
        <is>
          <t>m</t>
        </is>
      </c>
      <c r="H1564" s="7" t="n">
        <v>0.9399999999999999</v>
      </c>
      <c r="I1564" s="8" t="n">
        <v>129.89</v>
      </c>
      <c r="J1564" s="8" t="n">
        <v>153.33</v>
      </c>
      <c r="K1564" s="8" t="n">
        <v>149.52</v>
      </c>
      <c r="L1564" s="8" t="n">
        <v>0</v>
      </c>
      <c r="M1564" s="9">
        <f>ROUND(SUM(I1564:L1564),2)</f>
        <v/>
      </c>
      <c r="N1564" s="10">
        <f>ROUND(I1564*'Irish Basis'!$C$6*'Irish Basis'!$C$5,2)</f>
        <v/>
      </c>
      <c r="O1564" s="10">
        <f>ROUND(J1564*'Irish Basis'!$C$7*'Irish Basis'!$C$5,2)</f>
        <v/>
      </c>
      <c r="P1564" s="10">
        <f>ROUND(K1564*'Irish Basis'!$C$8*'Irish Basis'!$C$5,2)</f>
        <v/>
      </c>
      <c r="Q1564" s="10">
        <f>ROUND(L1564*'Irish Basis'!$C$12*'Irish Basis'!$C$5,2)</f>
        <v/>
      </c>
      <c r="R1564" s="11">
        <f>ROUND(SUM(N1564:Q1564),2)</f>
        <v/>
      </c>
      <c r="S1564" s="5" t="inlineStr">
        <is>
          <t>Stated build-up</t>
        </is>
      </c>
      <c r="T1564" s="12" t="inlineStr">
        <is>
          <t>High</t>
        </is>
      </c>
      <c r="U1564" s="8" t="n">
        <v>432.74</v>
      </c>
      <c r="V1564" s="13">
        <f>IF(U1564="","",ROUND(M1564-U1564,2))</f>
        <v/>
      </c>
      <c r="W1564" s="5" t="n"/>
      <c r="X1564" s="5" t="inlineStr">
        <is>
          <t>Labour + plant + material as published; reconciles to the published rate.</t>
        </is>
      </c>
    </row>
    <row r="1565" ht="13" customHeight="1">
      <c r="A1565" s="4" t="n">
        <v>2488</v>
      </c>
      <c r="B1565" s="5" t="inlineStr">
        <is>
          <t>IMG_0099</t>
        </is>
      </c>
      <c r="C1565" s="5" t="inlineStr">
        <is>
          <t>CLASS I: PIPEWORK - PIPES</t>
        </is>
      </c>
      <c r="D1565" s="5" t="inlineStr">
        <is>
          <t>04 STEEL PIPES</t>
        </is>
      </c>
      <c r="E1565" s="5" t="inlineStr">
        <is>
          <t>250 mm pipes; in trenches, depth</t>
        </is>
      </c>
      <c r="F1565" s="5" t="inlineStr">
        <is>
          <t>extra for bend; 45 deg</t>
        </is>
      </c>
      <c r="G1565" s="6" t="inlineStr">
        <is>
          <t>nr</t>
        </is>
      </c>
      <c r="H1565" s="7" t="n">
        <v>0.13</v>
      </c>
      <c r="I1565" s="8" t="n">
        <v>17.96</v>
      </c>
      <c r="J1565" s="8" t="n">
        <v>6.76</v>
      </c>
      <c r="K1565" s="8" t="n">
        <v>316.27</v>
      </c>
      <c r="L1565" s="8" t="n">
        <v>0</v>
      </c>
      <c r="M1565" s="9">
        <f>ROUND(SUM(I1565:L1565),2)</f>
        <v/>
      </c>
      <c r="N1565" s="10">
        <f>ROUND(I1565*'Irish Basis'!$C$6*'Irish Basis'!$C$5,2)</f>
        <v/>
      </c>
      <c r="O1565" s="10">
        <f>ROUND(J1565*'Irish Basis'!$C$7*'Irish Basis'!$C$5,2)</f>
        <v/>
      </c>
      <c r="P1565" s="10">
        <f>ROUND(K1565*'Irish Basis'!$C$8*'Irish Basis'!$C$5,2)</f>
        <v/>
      </c>
      <c r="Q1565" s="10">
        <f>ROUND(L1565*'Irish Basis'!$C$12*'Irish Basis'!$C$5,2)</f>
        <v/>
      </c>
      <c r="R1565" s="11">
        <f>ROUND(SUM(N1565:Q1565),2)</f>
        <v/>
      </c>
      <c r="S1565" s="5" t="inlineStr">
        <is>
          <t>Stated build-up</t>
        </is>
      </c>
      <c r="T1565" s="12" t="inlineStr">
        <is>
          <t>High</t>
        </is>
      </c>
      <c r="U1565" s="8" t="n">
        <v>341</v>
      </c>
      <c r="V1565" s="13">
        <f>IF(U1565="","",ROUND(M1565-U1565,2))</f>
        <v/>
      </c>
      <c r="W1565" s="5" t="n"/>
      <c r="X1565" s="5" t="inlineStr">
        <is>
          <t>Labour + plant + material as published; reconciles to the published rate.</t>
        </is>
      </c>
    </row>
    <row r="1566" ht="13" customHeight="1">
      <c r="A1566" s="4" t="n">
        <v>2489</v>
      </c>
      <c r="B1566" s="5" t="inlineStr">
        <is>
          <t>IMG_0099</t>
        </is>
      </c>
      <c r="C1566" s="5" t="inlineStr">
        <is>
          <t>CLASS I: PIPEWORK - PIPES</t>
        </is>
      </c>
      <c r="D1566" s="5" t="inlineStr">
        <is>
          <t>04 STEEL PIPES</t>
        </is>
      </c>
      <c r="E1566" s="5" t="inlineStr">
        <is>
          <t>250 mm pipes; in trenches, depth</t>
        </is>
      </c>
      <c r="F1566" s="5" t="inlineStr">
        <is>
          <t>extra for bend; 90 deg</t>
        </is>
      </c>
      <c r="G1566" s="6" t="inlineStr">
        <is>
          <t>nr</t>
        </is>
      </c>
      <c r="H1566" s="7" t="n">
        <v>0.13</v>
      </c>
      <c r="I1566" s="8" t="n">
        <v>17.96</v>
      </c>
      <c r="J1566" s="8" t="n">
        <v>6.76</v>
      </c>
      <c r="K1566" s="8" t="n">
        <v>344.41</v>
      </c>
      <c r="L1566" s="8" t="n">
        <v>0</v>
      </c>
      <c r="M1566" s="9">
        <f>ROUND(SUM(I1566:L1566),2)</f>
        <v/>
      </c>
      <c r="N1566" s="10">
        <f>ROUND(I1566*'Irish Basis'!$C$6*'Irish Basis'!$C$5,2)</f>
        <v/>
      </c>
      <c r="O1566" s="10">
        <f>ROUND(J1566*'Irish Basis'!$C$7*'Irish Basis'!$C$5,2)</f>
        <v/>
      </c>
      <c r="P1566" s="10">
        <f>ROUND(K1566*'Irish Basis'!$C$8*'Irish Basis'!$C$5,2)</f>
        <v/>
      </c>
      <c r="Q1566" s="10">
        <f>ROUND(L1566*'Irish Basis'!$C$12*'Irish Basis'!$C$5,2)</f>
        <v/>
      </c>
      <c r="R1566" s="11">
        <f>ROUND(SUM(N1566:Q1566),2)</f>
        <v/>
      </c>
      <c r="S1566" s="5" t="inlineStr">
        <is>
          <t>Stated build-up</t>
        </is>
      </c>
      <c r="T1566" s="12" t="inlineStr">
        <is>
          <t>High</t>
        </is>
      </c>
      <c r="U1566" s="8" t="n">
        <v>369.14</v>
      </c>
      <c r="V1566" s="13">
        <f>IF(U1566="","",ROUND(M1566-U1566,2))</f>
        <v/>
      </c>
      <c r="W1566" s="5" t="n"/>
      <c r="X1566" s="5" t="inlineStr">
        <is>
          <t>Labour + plant + material as published; reconciles to the published rate.</t>
        </is>
      </c>
    </row>
    <row r="1567" ht="13" customHeight="1">
      <c r="A1567" s="4" t="n">
        <v>2490</v>
      </c>
      <c r="B1567" s="5" t="inlineStr">
        <is>
          <t>IMG_0099</t>
        </is>
      </c>
      <c r="C1567" s="5" t="inlineStr">
        <is>
          <t>CLASS I: PIPEWORK - PIPES</t>
        </is>
      </c>
      <c r="D1567" s="5" t="inlineStr">
        <is>
          <t>04 STEEL PIPES</t>
        </is>
      </c>
      <c r="E1567" s="5" t="inlineStr">
        <is>
          <t>250 mm pipes; in trenches, depth</t>
        </is>
      </c>
      <c r="F1567" s="5" t="inlineStr">
        <is>
          <t>extra for single junction; equal</t>
        </is>
      </c>
      <c r="G1567" s="6" t="inlineStr">
        <is>
          <t>nr</t>
        </is>
      </c>
      <c r="H1567" s="7" t="n">
        <v>0.23</v>
      </c>
      <c r="I1567" s="8" t="n">
        <v>31.78</v>
      </c>
      <c r="J1567" s="8" t="n">
        <v>13.52</v>
      </c>
      <c r="K1567" s="8" t="n">
        <v>459.05</v>
      </c>
      <c r="L1567" s="8" t="n">
        <v>0</v>
      </c>
      <c r="M1567" s="9">
        <f>ROUND(SUM(I1567:L1567),2)</f>
        <v/>
      </c>
      <c r="N1567" s="10">
        <f>ROUND(I1567*'Irish Basis'!$C$6*'Irish Basis'!$C$5,2)</f>
        <v/>
      </c>
      <c r="O1567" s="10">
        <f>ROUND(J1567*'Irish Basis'!$C$7*'Irish Basis'!$C$5,2)</f>
        <v/>
      </c>
      <c r="P1567" s="10">
        <f>ROUND(K1567*'Irish Basis'!$C$8*'Irish Basis'!$C$5,2)</f>
        <v/>
      </c>
      <c r="Q1567" s="10">
        <f>ROUND(L1567*'Irish Basis'!$C$12*'Irish Basis'!$C$5,2)</f>
        <v/>
      </c>
      <c r="R1567" s="11">
        <f>ROUND(SUM(N1567:Q1567),2)</f>
        <v/>
      </c>
      <c r="S1567" s="5" t="inlineStr">
        <is>
          <t>Stated build-up</t>
        </is>
      </c>
      <c r="T1567" s="12" t="inlineStr">
        <is>
          <t>High</t>
        </is>
      </c>
      <c r="U1567" s="8" t="n">
        <v>504.35</v>
      </c>
      <c r="V1567" s="13">
        <f>IF(U1567="","",ROUND(M1567-U1567,2))</f>
        <v/>
      </c>
      <c r="W1567" s="5" t="n"/>
      <c r="X1567" s="5" t="inlineStr">
        <is>
          <t>Labour + plant + material as published; reconciles to the published rate.</t>
        </is>
      </c>
    </row>
    <row r="1568" ht="13" customHeight="1">
      <c r="A1568" s="4" t="n">
        <v>2492</v>
      </c>
      <c r="B1568" s="5" t="inlineStr">
        <is>
          <t>IMG_0099</t>
        </is>
      </c>
      <c r="C1568" s="5" t="inlineStr">
        <is>
          <t>CLASS I: PIPEWORK - PIPES</t>
        </is>
      </c>
      <c r="D1568" s="5" t="inlineStr">
        <is>
          <t>04 STEEL PIPES</t>
        </is>
      </c>
      <c r="E1568" s="5" t="inlineStr">
        <is>
          <t>300 mm pipes; in trenches, depth</t>
        </is>
      </c>
      <c r="F1568" s="5" t="inlineStr">
        <is>
          <t>not in trenches</t>
        </is>
      </c>
      <c r="G1568" s="6" t="inlineStr">
        <is>
          <t>m</t>
        </is>
      </c>
      <c r="H1568" s="7" t="n">
        <v>0.11</v>
      </c>
      <c r="I1568" s="8" t="n">
        <v>9.49</v>
      </c>
      <c r="J1568" s="8" t="n">
        <v>1.21</v>
      </c>
      <c r="K1568" s="8" t="n">
        <v>184.2</v>
      </c>
      <c r="L1568" s="8" t="n">
        <v>0</v>
      </c>
      <c r="M1568" s="9">
        <f>ROUND(SUM(I1568:L1568),2)</f>
        <v/>
      </c>
      <c r="N1568" s="10">
        <f>ROUND(I1568*'Irish Basis'!$C$6*'Irish Basis'!$C$5,2)</f>
        <v/>
      </c>
      <c r="O1568" s="10">
        <f>ROUND(J1568*'Irish Basis'!$C$7*'Irish Basis'!$C$5,2)</f>
        <v/>
      </c>
      <c r="P1568" s="10">
        <f>ROUND(K1568*'Irish Basis'!$C$8*'Irish Basis'!$C$5,2)</f>
        <v/>
      </c>
      <c r="Q1568" s="10">
        <f>ROUND(L1568*'Irish Basis'!$C$12*'Irish Basis'!$C$5,2)</f>
        <v/>
      </c>
      <c r="R1568" s="11">
        <f>ROUND(SUM(N1568:Q1568),2)</f>
        <v/>
      </c>
      <c r="S1568" s="5" t="inlineStr">
        <is>
          <t>Stated build-up</t>
        </is>
      </c>
      <c r="T1568" s="12" t="inlineStr">
        <is>
          <t>High</t>
        </is>
      </c>
      <c r="U1568" s="8" t="n">
        <v>194.91</v>
      </c>
      <c r="V1568" s="13">
        <f>IF(U1568="","",ROUND(M1568-U1568,2))</f>
        <v/>
      </c>
      <c r="W1568" s="5" t="n"/>
      <c r="X1568" s="5" t="inlineStr">
        <is>
          <t>Labour + plant + material as published; reconciles to the published rate.</t>
        </is>
      </c>
    </row>
    <row r="1569" ht="13" customHeight="1">
      <c r="A1569" s="4" t="n">
        <v>2493</v>
      </c>
      <c r="B1569" s="5" t="inlineStr">
        <is>
          <t>IMG_0099</t>
        </is>
      </c>
      <c r="C1569" s="5" t="inlineStr">
        <is>
          <t>CLASS I: PIPEWORK - PIPES</t>
        </is>
      </c>
      <c r="D1569" s="5" t="inlineStr">
        <is>
          <t>04 STEEL PIPES</t>
        </is>
      </c>
      <c r="E1569" s="5" t="inlineStr">
        <is>
          <t>300 mm pipes; in trenches, depth</t>
        </is>
      </c>
      <c r="F1569" s="5" t="inlineStr">
        <is>
          <t>ne 1.50 m deep</t>
        </is>
      </c>
      <c r="G1569" s="6" t="inlineStr">
        <is>
          <t>m</t>
        </is>
      </c>
      <c r="H1569" s="7" t="n">
        <v>0.2</v>
      </c>
      <c r="I1569" s="8" t="n">
        <v>27.64</v>
      </c>
      <c r="J1569" s="8" t="n">
        <v>26.1</v>
      </c>
      <c r="K1569" s="8" t="n">
        <v>184.2</v>
      </c>
      <c r="L1569" s="8" t="n">
        <v>0</v>
      </c>
      <c r="M1569" s="9">
        <f>ROUND(SUM(I1569:L1569),2)</f>
        <v/>
      </c>
      <c r="N1569" s="10">
        <f>ROUND(I1569*'Irish Basis'!$C$6*'Irish Basis'!$C$5,2)</f>
        <v/>
      </c>
      <c r="O1569" s="10">
        <f>ROUND(J1569*'Irish Basis'!$C$7*'Irish Basis'!$C$5,2)</f>
        <v/>
      </c>
      <c r="P1569" s="10">
        <f>ROUND(K1569*'Irish Basis'!$C$8*'Irish Basis'!$C$5,2)</f>
        <v/>
      </c>
      <c r="Q1569" s="10">
        <f>ROUND(L1569*'Irish Basis'!$C$12*'Irish Basis'!$C$5,2)</f>
        <v/>
      </c>
      <c r="R1569" s="11">
        <f>ROUND(SUM(N1569:Q1569),2)</f>
        <v/>
      </c>
      <c r="S1569" s="5" t="inlineStr">
        <is>
          <t>Stated build-up</t>
        </is>
      </c>
      <c r="T1569" s="12" t="inlineStr">
        <is>
          <t>High</t>
        </is>
      </c>
      <c r="U1569" s="8" t="n">
        <v>237.94</v>
      </c>
      <c r="V1569" s="13">
        <f>IF(U1569="","",ROUND(M1569-U1569,2))</f>
        <v/>
      </c>
      <c r="W1569" s="5" t="n"/>
      <c r="X1569" s="5" t="inlineStr">
        <is>
          <t>Labour + plant + material as published; reconciles to the published rate.</t>
        </is>
      </c>
    </row>
    <row r="1570" ht="13" customHeight="1">
      <c r="A1570" s="4" t="n">
        <v>2494</v>
      </c>
      <c r="B1570" s="5" t="inlineStr">
        <is>
          <t>IMG_0099</t>
        </is>
      </c>
      <c r="C1570" s="5" t="inlineStr">
        <is>
          <t>CLASS I: PIPEWORK - PIPES</t>
        </is>
      </c>
      <c r="D1570" s="5" t="inlineStr">
        <is>
          <t>04 STEEL PIPES</t>
        </is>
      </c>
      <c r="E1570" s="5" t="inlineStr">
        <is>
          <t>300 mm pipes; in trenches, depth</t>
        </is>
      </c>
      <c r="F1570" s="5" t="inlineStr">
        <is>
          <t>1.50-2.00 m deep</t>
        </is>
      </c>
      <c r="G1570" s="6" t="inlineStr">
        <is>
          <t>m</t>
        </is>
      </c>
      <c r="H1570" s="7" t="n">
        <v>0.25</v>
      </c>
      <c r="I1570" s="8" t="n">
        <v>34.55</v>
      </c>
      <c r="J1570" s="8" t="n">
        <v>32.7</v>
      </c>
      <c r="K1570" s="8" t="n">
        <v>184.2</v>
      </c>
      <c r="L1570" s="8" t="n">
        <v>0</v>
      </c>
      <c r="M1570" s="9">
        <f>ROUND(SUM(I1570:L1570),2)</f>
        <v/>
      </c>
      <c r="N1570" s="10">
        <f>ROUND(I1570*'Irish Basis'!$C$6*'Irish Basis'!$C$5,2)</f>
        <v/>
      </c>
      <c r="O1570" s="10">
        <f>ROUND(J1570*'Irish Basis'!$C$7*'Irish Basis'!$C$5,2)</f>
        <v/>
      </c>
      <c r="P1570" s="10">
        <f>ROUND(K1570*'Irish Basis'!$C$8*'Irish Basis'!$C$5,2)</f>
        <v/>
      </c>
      <c r="Q1570" s="10">
        <f>ROUND(L1570*'Irish Basis'!$C$12*'Irish Basis'!$C$5,2)</f>
        <v/>
      </c>
      <c r="R1570" s="11">
        <f>ROUND(SUM(N1570:Q1570),2)</f>
        <v/>
      </c>
      <c r="S1570" s="5" t="inlineStr">
        <is>
          <t>Stated build-up</t>
        </is>
      </c>
      <c r="T1570" s="12" t="inlineStr">
        <is>
          <t>High</t>
        </is>
      </c>
      <c r="U1570" s="8" t="n">
        <v>251.45</v>
      </c>
      <c r="V1570" s="13">
        <f>IF(U1570="","",ROUND(M1570-U1570,2))</f>
        <v/>
      </c>
      <c r="W1570" s="5" t="n"/>
      <c r="X1570" s="5" t="inlineStr">
        <is>
          <t>Labour + plant + material as published; reconciles to the published rate.</t>
        </is>
      </c>
    </row>
    <row r="1571" ht="13" customHeight="1">
      <c r="A1571" s="4" t="n">
        <v>2495</v>
      </c>
      <c r="B1571" s="5" t="inlineStr">
        <is>
          <t>IMG_0099</t>
        </is>
      </c>
      <c r="C1571" s="5" t="inlineStr">
        <is>
          <t>CLASS I: PIPEWORK - PIPES</t>
        </is>
      </c>
      <c r="D1571" s="5" t="inlineStr">
        <is>
          <t>04 STEEL PIPES</t>
        </is>
      </c>
      <c r="E1571" s="5" t="inlineStr">
        <is>
          <t>300 mm pipes; in trenches, depth</t>
        </is>
      </c>
      <c r="F1571" s="5" t="inlineStr">
        <is>
          <t>2.00-2.50 m deep</t>
        </is>
      </c>
      <c r="G1571" s="6" t="inlineStr">
        <is>
          <t>m</t>
        </is>
      </c>
      <c r="H1571" s="7" t="n">
        <v>0.28</v>
      </c>
      <c r="I1571" s="8" t="n">
        <v>38.69</v>
      </c>
      <c r="J1571" s="8" t="n">
        <v>36.61</v>
      </c>
      <c r="K1571" s="8" t="n">
        <v>184.2</v>
      </c>
      <c r="L1571" s="8" t="n">
        <v>0</v>
      </c>
      <c r="M1571" s="9">
        <f>ROUND(SUM(I1571:L1571),2)</f>
        <v/>
      </c>
      <c r="N1571" s="10">
        <f>ROUND(I1571*'Irish Basis'!$C$6*'Irish Basis'!$C$5,2)</f>
        <v/>
      </c>
      <c r="O1571" s="10">
        <f>ROUND(J1571*'Irish Basis'!$C$7*'Irish Basis'!$C$5,2)</f>
        <v/>
      </c>
      <c r="P1571" s="10">
        <f>ROUND(K1571*'Irish Basis'!$C$8*'Irish Basis'!$C$5,2)</f>
        <v/>
      </c>
      <c r="Q1571" s="10">
        <f>ROUND(L1571*'Irish Basis'!$C$12*'Irish Basis'!$C$5,2)</f>
        <v/>
      </c>
      <c r="R1571" s="11">
        <f>ROUND(SUM(N1571:Q1571),2)</f>
        <v/>
      </c>
      <c r="S1571" s="5" t="inlineStr">
        <is>
          <t>Stated build-up</t>
        </is>
      </c>
      <c r="T1571" s="12" t="inlineStr">
        <is>
          <t>High</t>
        </is>
      </c>
      <c r="U1571" s="8" t="n">
        <v>259.5</v>
      </c>
      <c r="V1571" s="13">
        <f>IF(U1571="","",ROUND(M1571-U1571,2))</f>
        <v/>
      </c>
      <c r="W1571" s="5" t="n"/>
      <c r="X1571" s="5" t="inlineStr">
        <is>
          <t>Labour + plant + material as published; reconciles to the published rate.</t>
        </is>
      </c>
    </row>
    <row r="1572" ht="13" customHeight="1">
      <c r="A1572" s="4" t="n">
        <v>2496</v>
      </c>
      <c r="B1572" s="5" t="inlineStr">
        <is>
          <t>IMG_0099</t>
        </is>
      </c>
      <c r="C1572" s="5" t="inlineStr">
        <is>
          <t>CLASS I: PIPEWORK - PIPES</t>
        </is>
      </c>
      <c r="D1572" s="5" t="inlineStr">
        <is>
          <t>04 STEEL PIPES</t>
        </is>
      </c>
      <c r="E1572" s="5" t="inlineStr">
        <is>
          <t>300 mm pipes; in trenches, depth</t>
        </is>
      </c>
      <c r="F1572" s="5" t="inlineStr">
        <is>
          <t>2.50-3.00 m deep</t>
        </is>
      </c>
      <c r="G1572" s="6" t="inlineStr">
        <is>
          <t>m</t>
        </is>
      </c>
      <c r="H1572" s="7" t="n">
        <v>0.34</v>
      </c>
      <c r="I1572" s="8" t="n">
        <v>46.98</v>
      </c>
      <c r="J1572" s="8" t="n">
        <v>44.5</v>
      </c>
      <c r="K1572" s="8" t="n">
        <v>184.2</v>
      </c>
      <c r="L1572" s="8" t="n">
        <v>0</v>
      </c>
      <c r="M1572" s="9">
        <f>ROUND(SUM(I1572:L1572),2)</f>
        <v/>
      </c>
      <c r="N1572" s="10">
        <f>ROUND(I1572*'Irish Basis'!$C$6*'Irish Basis'!$C$5,2)</f>
        <v/>
      </c>
      <c r="O1572" s="10">
        <f>ROUND(J1572*'Irish Basis'!$C$7*'Irish Basis'!$C$5,2)</f>
        <v/>
      </c>
      <c r="P1572" s="10">
        <f>ROUND(K1572*'Irish Basis'!$C$8*'Irish Basis'!$C$5,2)</f>
        <v/>
      </c>
      <c r="Q1572" s="10">
        <f>ROUND(L1572*'Irish Basis'!$C$12*'Irish Basis'!$C$5,2)</f>
        <v/>
      </c>
      <c r="R1572" s="11">
        <f>ROUND(SUM(N1572:Q1572),2)</f>
        <v/>
      </c>
      <c r="S1572" s="5" t="inlineStr">
        <is>
          <t>Stated build-up</t>
        </is>
      </c>
      <c r="T1572" s="12" t="inlineStr">
        <is>
          <t>High</t>
        </is>
      </c>
      <c r="U1572" s="8" t="n">
        <v>275.69</v>
      </c>
      <c r="V1572" s="13">
        <f>IF(U1572="","",ROUND(M1572-U1572,2))</f>
        <v/>
      </c>
      <c r="W1572" s="5" t="n"/>
      <c r="X1572" s="5" t="inlineStr">
        <is>
          <t>Labour + plant + material as published; reconciles to the published rate.</t>
        </is>
      </c>
    </row>
    <row r="1573" ht="13" customHeight="1">
      <c r="A1573" s="4" t="n">
        <v>2497</v>
      </c>
      <c r="B1573" s="5" t="inlineStr">
        <is>
          <t>IMG_0099</t>
        </is>
      </c>
      <c r="C1573" s="5" t="inlineStr">
        <is>
          <t>CLASS I: PIPEWORK - PIPES</t>
        </is>
      </c>
      <c r="D1573" s="5" t="inlineStr">
        <is>
          <t>04 STEEL PIPES</t>
        </is>
      </c>
      <c r="E1573" s="5" t="inlineStr">
        <is>
          <t>300 mm pipes; in trenches, depth</t>
        </is>
      </c>
      <c r="F1573" s="5" t="inlineStr">
        <is>
          <t>3.00-3.50 m deep</t>
        </is>
      </c>
      <c r="G1573" s="6" t="inlineStr">
        <is>
          <t>m</t>
        </is>
      </c>
      <c r="H1573" s="7" t="n">
        <v>0.44</v>
      </c>
      <c r="I1573" s="8" t="n">
        <v>60.8</v>
      </c>
      <c r="J1573" s="8" t="n">
        <v>57.58</v>
      </c>
      <c r="K1573" s="8" t="n">
        <v>184.2</v>
      </c>
      <c r="L1573" s="8" t="n">
        <v>0</v>
      </c>
      <c r="M1573" s="9">
        <f>ROUND(SUM(I1573:L1573),2)</f>
        <v/>
      </c>
      <c r="N1573" s="10">
        <f>ROUND(I1573*'Irish Basis'!$C$6*'Irish Basis'!$C$5,2)</f>
        <v/>
      </c>
      <c r="O1573" s="10">
        <f>ROUND(J1573*'Irish Basis'!$C$7*'Irish Basis'!$C$5,2)</f>
        <v/>
      </c>
      <c r="P1573" s="10">
        <f>ROUND(K1573*'Irish Basis'!$C$8*'Irish Basis'!$C$5,2)</f>
        <v/>
      </c>
      <c r="Q1573" s="10">
        <f>ROUND(L1573*'Irish Basis'!$C$12*'Irish Basis'!$C$5,2)</f>
        <v/>
      </c>
      <c r="R1573" s="11">
        <f>ROUND(SUM(N1573:Q1573),2)</f>
        <v/>
      </c>
      <c r="S1573" s="5" t="inlineStr">
        <is>
          <t>Stated build-up</t>
        </is>
      </c>
      <c r="T1573" s="12" t="inlineStr">
        <is>
          <t>High</t>
        </is>
      </c>
      <c r="U1573" s="8" t="n">
        <v>302.58</v>
      </c>
      <c r="V1573" s="13">
        <f>IF(U1573="","",ROUND(M1573-U1573,2))</f>
        <v/>
      </c>
      <c r="W1573" s="5" t="n"/>
      <c r="X1573" s="5" t="inlineStr">
        <is>
          <t>Labour + plant + material as published; reconciles to the published rate.</t>
        </is>
      </c>
    </row>
    <row r="1574" ht="13" customHeight="1">
      <c r="A1574" s="4" t="n">
        <v>2498</v>
      </c>
      <c r="B1574" s="5" t="inlineStr">
        <is>
          <t>IMG_0099</t>
        </is>
      </c>
      <c r="C1574" s="5" t="inlineStr">
        <is>
          <t>CLASS I: PIPEWORK - PIPES</t>
        </is>
      </c>
      <c r="D1574" s="5" t="inlineStr">
        <is>
          <t>04 STEEL PIPES</t>
        </is>
      </c>
      <c r="E1574" s="5" t="inlineStr">
        <is>
          <t>300 mm pipes; in trenches, depth</t>
        </is>
      </c>
      <c r="F1574" s="5" t="inlineStr">
        <is>
          <t>3.50-4.00 m deep</t>
        </is>
      </c>
      <c r="G1574" s="6" t="inlineStr">
        <is>
          <t>m</t>
        </is>
      </c>
      <c r="H1574" s="7" t="n">
        <v>0.53</v>
      </c>
      <c r="I1574" s="8" t="n">
        <v>73.23999999999999</v>
      </c>
      <c r="J1574" s="8" t="n">
        <v>69.42</v>
      </c>
      <c r="K1574" s="8" t="n">
        <v>184.2</v>
      </c>
      <c r="L1574" s="8" t="n">
        <v>0</v>
      </c>
      <c r="M1574" s="9">
        <f>ROUND(SUM(I1574:L1574),2)</f>
        <v/>
      </c>
      <c r="N1574" s="10">
        <f>ROUND(I1574*'Irish Basis'!$C$6*'Irish Basis'!$C$5,2)</f>
        <v/>
      </c>
      <c r="O1574" s="10">
        <f>ROUND(J1574*'Irish Basis'!$C$7*'Irish Basis'!$C$5,2)</f>
        <v/>
      </c>
      <c r="P1574" s="10">
        <f>ROUND(K1574*'Irish Basis'!$C$8*'Irish Basis'!$C$5,2)</f>
        <v/>
      </c>
      <c r="Q1574" s="10">
        <f>ROUND(L1574*'Irish Basis'!$C$12*'Irish Basis'!$C$5,2)</f>
        <v/>
      </c>
      <c r="R1574" s="11">
        <f>ROUND(SUM(N1574:Q1574),2)</f>
        <v/>
      </c>
      <c r="S1574" s="5" t="inlineStr">
        <is>
          <t>Stated build-up</t>
        </is>
      </c>
      <c r="T1574" s="12" t="inlineStr">
        <is>
          <t>High</t>
        </is>
      </c>
      <c r="U1574" s="8" t="n">
        <v>326.86</v>
      </c>
      <c r="V1574" s="13">
        <f>IF(U1574="","",ROUND(M1574-U1574,2))</f>
        <v/>
      </c>
      <c r="W1574" s="5" t="n"/>
      <c r="X1574" s="5" t="inlineStr">
        <is>
          <t>Labour + plant + material as published; reconciles to the published rate.</t>
        </is>
      </c>
    </row>
    <row r="1575" ht="13" customHeight="1">
      <c r="A1575" s="4" t="n">
        <v>2499</v>
      </c>
      <c r="B1575" s="5" t="inlineStr">
        <is>
          <t>IMG_0099</t>
        </is>
      </c>
      <c r="C1575" s="5" t="inlineStr">
        <is>
          <t>CLASS I: PIPEWORK - PIPES</t>
        </is>
      </c>
      <c r="D1575" s="5" t="inlineStr">
        <is>
          <t>04 STEEL PIPES</t>
        </is>
      </c>
      <c r="E1575" s="5" t="inlineStr">
        <is>
          <t>300 mm pipes; in trenches, depth</t>
        </is>
      </c>
      <c r="F1575" s="5" t="inlineStr">
        <is>
          <t>4.00-4.50 m deep</t>
        </is>
      </c>
      <c r="G1575" s="6" t="inlineStr">
        <is>
          <t>m</t>
        </is>
      </c>
      <c r="H1575" s="7" t="n">
        <v>0.68</v>
      </c>
      <c r="I1575" s="8" t="n">
        <v>93.95999999999999</v>
      </c>
      <c r="J1575" s="8" t="n">
        <v>89.06999999999999</v>
      </c>
      <c r="K1575" s="8" t="n">
        <v>184.2</v>
      </c>
      <c r="L1575" s="8" t="n">
        <v>0</v>
      </c>
      <c r="M1575" s="9">
        <f>ROUND(SUM(I1575:L1575),2)</f>
        <v/>
      </c>
      <c r="N1575" s="10">
        <f>ROUND(I1575*'Irish Basis'!$C$6*'Irish Basis'!$C$5,2)</f>
        <v/>
      </c>
      <c r="O1575" s="10">
        <f>ROUND(J1575*'Irish Basis'!$C$7*'Irish Basis'!$C$5,2)</f>
        <v/>
      </c>
      <c r="P1575" s="10">
        <f>ROUND(K1575*'Irish Basis'!$C$8*'Irish Basis'!$C$5,2)</f>
        <v/>
      </c>
      <c r="Q1575" s="10">
        <f>ROUND(L1575*'Irish Basis'!$C$12*'Irish Basis'!$C$5,2)</f>
        <v/>
      </c>
      <c r="R1575" s="11">
        <f>ROUND(SUM(N1575:Q1575),2)</f>
        <v/>
      </c>
      <c r="S1575" s="5" t="inlineStr">
        <is>
          <t>Stated build-up</t>
        </is>
      </c>
      <c r="T1575" s="12" t="inlineStr">
        <is>
          <t>High</t>
        </is>
      </c>
      <c r="U1575" s="8" t="n">
        <v>367.23</v>
      </c>
      <c r="V1575" s="13">
        <f>IF(U1575="","",ROUND(M1575-U1575,2))</f>
        <v/>
      </c>
      <c r="W1575" s="5" t="n"/>
      <c r="X1575" s="5" t="inlineStr">
        <is>
          <t>Labour + plant + material as published; reconciles to the published rate.</t>
        </is>
      </c>
    </row>
    <row r="1576" ht="13" customHeight="1">
      <c r="A1576" s="4" t="n">
        <v>2500</v>
      </c>
      <c r="B1576" s="5" t="inlineStr">
        <is>
          <t>IMG_0099</t>
        </is>
      </c>
      <c r="C1576" s="5" t="inlineStr">
        <is>
          <t>CLASS I: PIPEWORK - PIPES</t>
        </is>
      </c>
      <c r="D1576" s="5" t="inlineStr">
        <is>
          <t>04 STEEL PIPES</t>
        </is>
      </c>
      <c r="E1576" s="5" t="inlineStr">
        <is>
          <t>300 mm pipes; in trenches, depth</t>
        </is>
      </c>
      <c r="F1576" s="5" t="inlineStr">
        <is>
          <t>4.50-5.00 m deep</t>
        </is>
      </c>
      <c r="G1576" s="6" t="inlineStr">
        <is>
          <t>m</t>
        </is>
      </c>
      <c r="H1576" s="7" t="n">
        <v>0.86</v>
      </c>
      <c r="I1576" s="8" t="n">
        <v>118.83</v>
      </c>
      <c r="J1576" s="8" t="n">
        <v>112.72</v>
      </c>
      <c r="K1576" s="8" t="n">
        <v>184.2</v>
      </c>
      <c r="L1576" s="8" t="n">
        <v>0</v>
      </c>
      <c r="M1576" s="9">
        <f>ROUND(SUM(I1576:L1576),2)</f>
        <v/>
      </c>
      <c r="N1576" s="10">
        <f>ROUND(I1576*'Irish Basis'!$C$6*'Irish Basis'!$C$5,2)</f>
        <v/>
      </c>
      <c r="O1576" s="10">
        <f>ROUND(J1576*'Irish Basis'!$C$7*'Irish Basis'!$C$5,2)</f>
        <v/>
      </c>
      <c r="P1576" s="10">
        <f>ROUND(K1576*'Irish Basis'!$C$8*'Irish Basis'!$C$5,2)</f>
        <v/>
      </c>
      <c r="Q1576" s="10">
        <f>ROUND(L1576*'Irish Basis'!$C$12*'Irish Basis'!$C$5,2)</f>
        <v/>
      </c>
      <c r="R1576" s="11">
        <f>ROUND(SUM(N1576:Q1576),2)</f>
        <v/>
      </c>
      <c r="S1576" s="5" t="inlineStr">
        <is>
          <t>Stated build-up</t>
        </is>
      </c>
      <c r="T1576" s="12" t="inlineStr">
        <is>
          <t>High</t>
        </is>
      </c>
      <c r="U1576" s="8" t="n">
        <v>415.76</v>
      </c>
      <c r="V1576" s="13">
        <f>IF(U1576="","",ROUND(M1576-U1576,2))</f>
        <v/>
      </c>
      <c r="W1576" s="5" t="n"/>
      <c r="X1576" s="5" t="inlineStr">
        <is>
          <t>Labour + plant + material as published; reconciles to the published rate.</t>
        </is>
      </c>
    </row>
    <row r="1577" ht="13" customHeight="1">
      <c r="A1577" s="4" t="n">
        <v>2501</v>
      </c>
      <c r="B1577" s="5" t="inlineStr">
        <is>
          <t>IMG_0099</t>
        </is>
      </c>
      <c r="C1577" s="5" t="inlineStr">
        <is>
          <t>CLASS I: PIPEWORK - PIPES</t>
        </is>
      </c>
      <c r="D1577" s="5" t="inlineStr">
        <is>
          <t>04 STEEL PIPES</t>
        </is>
      </c>
      <c r="E1577" s="5" t="inlineStr">
        <is>
          <t>300 mm pipes; in trenches, depth</t>
        </is>
      </c>
      <c r="F1577" s="5" t="inlineStr">
        <is>
          <t>5.00-5.50 m deep</t>
        </is>
      </c>
      <c r="G1577" s="6" t="inlineStr">
        <is>
          <t>m</t>
        </is>
      </c>
      <c r="H1577" s="7" t="n">
        <v>1.06</v>
      </c>
      <c r="I1577" s="8" t="n">
        <v>146.47</v>
      </c>
      <c r="J1577" s="8" t="n">
        <v>138.98</v>
      </c>
      <c r="K1577" s="8" t="n">
        <v>184.2</v>
      </c>
      <c r="L1577" s="8" t="n">
        <v>0</v>
      </c>
      <c r="M1577" s="9">
        <f>ROUND(SUM(I1577:L1577),2)</f>
        <v/>
      </c>
      <c r="N1577" s="10">
        <f>ROUND(I1577*'Irish Basis'!$C$6*'Irish Basis'!$C$5,2)</f>
        <v/>
      </c>
      <c r="O1577" s="10">
        <f>ROUND(J1577*'Irish Basis'!$C$7*'Irish Basis'!$C$5,2)</f>
        <v/>
      </c>
      <c r="P1577" s="10">
        <f>ROUND(K1577*'Irish Basis'!$C$8*'Irish Basis'!$C$5,2)</f>
        <v/>
      </c>
      <c r="Q1577" s="10">
        <f>ROUND(L1577*'Irish Basis'!$C$12*'Irish Basis'!$C$5,2)</f>
        <v/>
      </c>
      <c r="R1577" s="11">
        <f>ROUND(SUM(N1577:Q1577),2)</f>
        <v/>
      </c>
      <c r="S1577" s="5" t="inlineStr">
        <is>
          <t>Stated build-up</t>
        </is>
      </c>
      <c r="T1577" s="12" t="inlineStr">
        <is>
          <t>High</t>
        </is>
      </c>
      <c r="U1577" s="8" t="n">
        <v>469.65</v>
      </c>
      <c r="V1577" s="13">
        <f>IF(U1577="","",ROUND(M1577-U1577,2))</f>
        <v/>
      </c>
      <c r="W1577" s="5" t="n"/>
      <c r="X1577" s="5" t="inlineStr">
        <is>
          <t>Labour + plant + material as published; reconciles to the published rate.</t>
        </is>
      </c>
    </row>
    <row r="1578" ht="13" customHeight="1">
      <c r="A1578" s="4" t="n">
        <v>2502</v>
      </c>
      <c r="B1578" s="5" t="inlineStr">
        <is>
          <t>IMG_0099</t>
        </is>
      </c>
      <c r="C1578" s="5" t="inlineStr">
        <is>
          <t>CLASS I: PIPEWORK - PIPES</t>
        </is>
      </c>
      <c r="D1578" s="5" t="inlineStr">
        <is>
          <t>04 STEEL PIPES</t>
        </is>
      </c>
      <c r="E1578" s="5" t="inlineStr">
        <is>
          <t>300 mm pipes; in trenches, depth</t>
        </is>
      </c>
      <c r="F1578" s="5" t="inlineStr">
        <is>
          <t>extra for bend; 45 deg</t>
        </is>
      </c>
      <c r="G1578" s="6" t="inlineStr">
        <is>
          <t>nr</t>
        </is>
      </c>
      <c r="H1578" s="7" t="n">
        <v>0.14</v>
      </c>
      <c r="I1578" s="8" t="n">
        <v>19.35</v>
      </c>
      <c r="J1578" s="8" t="n">
        <v>10.11</v>
      </c>
      <c r="K1578" s="8" t="n">
        <v>369.12</v>
      </c>
      <c r="L1578" s="8" t="n">
        <v>0</v>
      </c>
      <c r="M1578" s="9">
        <f>ROUND(SUM(I1578:L1578),2)</f>
        <v/>
      </c>
      <c r="N1578" s="10">
        <f>ROUND(I1578*'Irish Basis'!$C$6*'Irish Basis'!$C$5,2)</f>
        <v/>
      </c>
      <c r="O1578" s="10">
        <f>ROUND(J1578*'Irish Basis'!$C$7*'Irish Basis'!$C$5,2)</f>
        <v/>
      </c>
      <c r="P1578" s="10">
        <f>ROUND(K1578*'Irish Basis'!$C$8*'Irish Basis'!$C$5,2)</f>
        <v/>
      </c>
      <c r="Q1578" s="10">
        <f>ROUND(L1578*'Irish Basis'!$C$12*'Irish Basis'!$C$5,2)</f>
        <v/>
      </c>
      <c r="R1578" s="11">
        <f>ROUND(SUM(N1578:Q1578),2)</f>
        <v/>
      </c>
      <c r="S1578" s="5" t="inlineStr">
        <is>
          <t>Stated build-up</t>
        </is>
      </c>
      <c r="T1578" s="12" t="inlineStr">
        <is>
          <t>High</t>
        </is>
      </c>
      <c r="U1578" s="8" t="n">
        <v>398.58</v>
      </c>
      <c r="V1578" s="13">
        <f>IF(U1578="","",ROUND(M1578-U1578,2))</f>
        <v/>
      </c>
      <c r="W1578" s="5" t="n"/>
      <c r="X1578" s="5" t="inlineStr">
        <is>
          <t>Labour + plant + material as published; reconciles to the published rate.</t>
        </is>
      </c>
    </row>
    <row r="1579" ht="13" customHeight="1">
      <c r="A1579" s="4" t="n">
        <v>2503</v>
      </c>
      <c r="B1579" s="5" t="inlineStr">
        <is>
          <t>IMG_0099</t>
        </is>
      </c>
      <c r="C1579" s="5" t="inlineStr">
        <is>
          <t>CLASS I: PIPEWORK - PIPES</t>
        </is>
      </c>
      <c r="D1579" s="5" t="inlineStr">
        <is>
          <t>04 STEEL PIPES</t>
        </is>
      </c>
      <c r="E1579" s="5" t="inlineStr">
        <is>
          <t>300 mm pipes; in trenches, depth</t>
        </is>
      </c>
      <c r="F1579" s="5" t="inlineStr">
        <is>
          <t>extra for bend; 90 deg</t>
        </is>
      </c>
      <c r="G1579" s="6" t="inlineStr">
        <is>
          <t>nr</t>
        </is>
      </c>
      <c r="H1579" s="7" t="n">
        <v>0.38</v>
      </c>
      <c r="I1579" s="8" t="n">
        <v>52.51</v>
      </c>
      <c r="J1579" s="8" t="n">
        <v>10.11</v>
      </c>
      <c r="K1579" s="8" t="n">
        <v>436.36</v>
      </c>
      <c r="L1579" s="8" t="n">
        <v>0</v>
      </c>
      <c r="M1579" s="9">
        <f>ROUND(SUM(I1579:L1579),2)</f>
        <v/>
      </c>
      <c r="N1579" s="10">
        <f>ROUND(I1579*'Irish Basis'!$C$6*'Irish Basis'!$C$5,2)</f>
        <v/>
      </c>
      <c r="O1579" s="10">
        <f>ROUND(J1579*'Irish Basis'!$C$7*'Irish Basis'!$C$5,2)</f>
        <v/>
      </c>
      <c r="P1579" s="10">
        <f>ROUND(K1579*'Irish Basis'!$C$8*'Irish Basis'!$C$5,2)</f>
        <v/>
      </c>
      <c r="Q1579" s="10">
        <f>ROUND(L1579*'Irish Basis'!$C$12*'Irish Basis'!$C$5,2)</f>
        <v/>
      </c>
      <c r="R1579" s="11">
        <f>ROUND(SUM(N1579:Q1579),2)</f>
        <v/>
      </c>
      <c r="S1579" s="5" t="inlineStr">
        <is>
          <t>Stated build-up</t>
        </is>
      </c>
      <c r="T1579" s="12" t="inlineStr">
        <is>
          <t>High</t>
        </is>
      </c>
      <c r="U1579" s="8" t="n">
        <v>498.98</v>
      </c>
      <c r="V1579" s="13">
        <f>IF(U1579="","",ROUND(M1579-U1579,2))</f>
        <v/>
      </c>
      <c r="W1579" s="5" t="n"/>
      <c r="X1579" s="5" t="inlineStr">
        <is>
          <t>Labour + plant + material as published; reconciles to the published rate.</t>
        </is>
      </c>
    </row>
    <row r="1580" ht="13" customHeight="1">
      <c r="A1580" s="4" t="n">
        <v>2504</v>
      </c>
      <c r="B1580" s="5" t="inlineStr">
        <is>
          <t>IMG_0099</t>
        </is>
      </c>
      <c r="C1580" s="5" t="inlineStr">
        <is>
          <t>CLASS I: PIPEWORK - PIPES</t>
        </is>
      </c>
      <c r="D1580" s="5" t="inlineStr">
        <is>
          <t>04 STEEL PIPES</t>
        </is>
      </c>
      <c r="E1580" s="5" t="inlineStr">
        <is>
          <t>300 mm pipes; in trenches, depth</t>
        </is>
      </c>
      <c r="F1580" s="5" t="inlineStr">
        <is>
          <t>extra for single junction; equal</t>
        </is>
      </c>
      <c r="G1580" s="6" t="inlineStr">
        <is>
          <t>nr</t>
        </is>
      </c>
      <c r="H1580" s="7" t="n">
        <v>0.25</v>
      </c>
      <c r="I1580" s="8" t="n">
        <v>34.55</v>
      </c>
      <c r="J1580" s="8" t="n">
        <v>21.98</v>
      </c>
      <c r="K1580" s="8" t="n">
        <v>618.48</v>
      </c>
      <c r="L1580" s="8" t="n">
        <v>0</v>
      </c>
      <c r="M1580" s="9">
        <f>ROUND(SUM(I1580:L1580),2)</f>
        <v/>
      </c>
      <c r="N1580" s="10">
        <f>ROUND(I1580*'Irish Basis'!$C$6*'Irish Basis'!$C$5,2)</f>
        <v/>
      </c>
      <c r="O1580" s="10">
        <f>ROUND(J1580*'Irish Basis'!$C$7*'Irish Basis'!$C$5,2)</f>
        <v/>
      </c>
      <c r="P1580" s="10">
        <f>ROUND(K1580*'Irish Basis'!$C$8*'Irish Basis'!$C$5,2)</f>
        <v/>
      </c>
      <c r="Q1580" s="10">
        <f>ROUND(L1580*'Irish Basis'!$C$12*'Irish Basis'!$C$5,2)</f>
        <v/>
      </c>
      <c r="R1580" s="11">
        <f>ROUND(SUM(N1580:Q1580),2)</f>
        <v/>
      </c>
      <c r="S1580" s="5" t="inlineStr">
        <is>
          <t>Stated build-up</t>
        </is>
      </c>
      <c r="T1580" s="12" t="inlineStr">
        <is>
          <t>High</t>
        </is>
      </c>
      <c r="U1580" s="8" t="n">
        <v>675.01</v>
      </c>
      <c r="V1580" s="13">
        <f>IF(U1580="","",ROUND(M1580-U1580,2))</f>
        <v/>
      </c>
      <c r="W1580" s="5" t="n"/>
      <c r="X1580" s="5" t="inlineStr">
        <is>
          <t>Labour + plant + material as published; reconciles to the published rate.</t>
        </is>
      </c>
    </row>
    <row r="1581" ht="13" customHeight="1">
      <c r="A1581" s="4" t="n">
        <v>2507</v>
      </c>
      <c r="B1581" s="5" t="inlineStr">
        <is>
          <t>IMG_0099</t>
        </is>
      </c>
      <c r="C1581" s="5" t="inlineStr">
        <is>
          <t>CLASS I: PIPEWORK - PIPES</t>
        </is>
      </c>
      <c r="D1581" s="5" t="inlineStr">
        <is>
          <t>05 POLYVINYL CHLORIDE PIPES</t>
        </is>
      </c>
      <c r="E1581" s="5" t="inlineStr">
        <is>
          <t>Unplasticized pvc perforated pipes; ring seal sockets; excavation and supports, backfilling; 6 m pipe lengths unless stated otherwise; 82 mm pipes; in trench, depth</t>
        </is>
      </c>
      <c r="F1581" s="5" t="inlineStr">
        <is>
          <t>not in trenches; 3.00 m pipe lengths</t>
        </is>
      </c>
      <c r="G1581" s="6" t="inlineStr">
        <is>
          <t>m</t>
        </is>
      </c>
      <c r="H1581" s="7" t="n">
        <v>0.06</v>
      </c>
      <c r="I1581" s="8" t="n">
        <v>5.18</v>
      </c>
      <c r="J1581" s="8" t="n">
        <v>0.26</v>
      </c>
      <c r="K1581" s="8" t="n">
        <v>19.77</v>
      </c>
      <c r="L1581" s="8" t="n">
        <v>0</v>
      </c>
      <c r="M1581" s="9">
        <f>ROUND(SUM(I1581:L1581),2)</f>
        <v/>
      </c>
      <c r="N1581" s="10">
        <f>ROUND(I1581*'Irish Basis'!$C$6*'Irish Basis'!$C$5,2)</f>
        <v/>
      </c>
      <c r="O1581" s="10">
        <f>ROUND(J1581*'Irish Basis'!$C$7*'Irish Basis'!$C$5,2)</f>
        <v/>
      </c>
      <c r="P1581" s="10">
        <f>ROUND(K1581*'Irish Basis'!$C$8*'Irish Basis'!$C$5,2)</f>
        <v/>
      </c>
      <c r="Q1581" s="10">
        <f>ROUND(L1581*'Irish Basis'!$C$12*'Irish Basis'!$C$5,2)</f>
        <v/>
      </c>
      <c r="R1581" s="11">
        <f>ROUND(SUM(N1581:Q1581),2)</f>
        <v/>
      </c>
      <c r="S1581" s="5" t="inlineStr">
        <is>
          <t>Stated build-up</t>
        </is>
      </c>
      <c r="T1581" s="12" t="inlineStr">
        <is>
          <t>High</t>
        </is>
      </c>
      <c r="U1581" s="8" t="n">
        <v>25.2</v>
      </c>
      <c r="V1581" s="13">
        <f>IF(U1581="","",ROUND(M1581-U1581,2))</f>
        <v/>
      </c>
      <c r="W1581" s="5" t="n"/>
      <c r="X1581" s="5" t="inlineStr">
        <is>
          <t>Labour + plant + material as published; reconciles to the published rate.</t>
        </is>
      </c>
    </row>
    <row r="1582" ht="13" customHeight="1">
      <c r="A1582" s="4" t="n">
        <v>2508</v>
      </c>
      <c r="B1582" s="5" t="inlineStr">
        <is>
          <t>IMG_0099</t>
        </is>
      </c>
      <c r="C1582" s="5" t="inlineStr">
        <is>
          <t>CLASS I: PIPEWORK - PIPES</t>
        </is>
      </c>
      <c r="D1582" s="5" t="inlineStr">
        <is>
          <t>05 POLYVINYL CHLORIDE PIPES</t>
        </is>
      </c>
      <c r="E1582" s="5" t="inlineStr">
        <is>
          <t>Unplasticized pvc perforated pipes; ring seal sockets; excavation and supports, backfilling; 6 m pipe lengths unless stated otherwise; 82 mm pipes; in trench, depth</t>
        </is>
      </c>
      <c r="F1582" s="5" t="inlineStr">
        <is>
          <t>ne 1.50 m deep; 3.00 m pipe lengths</t>
        </is>
      </c>
      <c r="G1582" s="6" t="inlineStr">
        <is>
          <t>m</t>
        </is>
      </c>
      <c r="H1582" s="7" t="n">
        <v>0.1</v>
      </c>
      <c r="I1582" s="8" t="n">
        <v>13.82</v>
      </c>
      <c r="J1582" s="8" t="n">
        <v>8.43</v>
      </c>
      <c r="K1582" s="8" t="n">
        <v>19.77</v>
      </c>
      <c r="L1582" s="8" t="n">
        <v>0</v>
      </c>
      <c r="M1582" s="9">
        <f>ROUND(SUM(I1582:L1582),2)</f>
        <v/>
      </c>
      <c r="N1582" s="10">
        <f>ROUND(I1582*'Irish Basis'!$C$6*'Irish Basis'!$C$5,2)</f>
        <v/>
      </c>
      <c r="O1582" s="10">
        <f>ROUND(J1582*'Irish Basis'!$C$7*'Irish Basis'!$C$5,2)</f>
        <v/>
      </c>
      <c r="P1582" s="10">
        <f>ROUND(K1582*'Irish Basis'!$C$8*'Irish Basis'!$C$5,2)</f>
        <v/>
      </c>
      <c r="Q1582" s="10">
        <f>ROUND(L1582*'Irish Basis'!$C$12*'Irish Basis'!$C$5,2)</f>
        <v/>
      </c>
      <c r="R1582" s="11">
        <f>ROUND(SUM(N1582:Q1582),2)</f>
        <v/>
      </c>
      <c r="S1582" s="5" t="inlineStr">
        <is>
          <t>Stated build-up</t>
        </is>
      </c>
      <c r="T1582" s="12" t="inlineStr">
        <is>
          <t>High</t>
        </is>
      </c>
      <c r="U1582" s="8" t="n">
        <v>42.02</v>
      </c>
      <c r="V1582" s="13">
        <f>IF(U1582="","",ROUND(M1582-U1582,2))</f>
        <v/>
      </c>
      <c r="W1582" s="5" t="n"/>
      <c r="X1582" s="5" t="inlineStr">
        <is>
          <t>Labour + plant + material as published; reconciles to the published rate.</t>
        </is>
      </c>
    </row>
    <row r="1583" ht="13" customHeight="1">
      <c r="A1583" s="4" t="n">
        <v>2509</v>
      </c>
      <c r="B1583" s="5" t="inlineStr">
        <is>
          <t>IMG_0099</t>
        </is>
      </c>
      <c r="C1583" s="5" t="inlineStr">
        <is>
          <t>CLASS I: PIPEWORK - PIPES</t>
        </is>
      </c>
      <c r="D1583" s="5" t="inlineStr">
        <is>
          <t>05 POLYVINYL CHLORIDE PIPES</t>
        </is>
      </c>
      <c r="E1583" s="5" t="inlineStr">
        <is>
          <t>Unplasticized pvc perforated pipes; ring seal sockets; excavation and supports, backfilling; 6 m pipe lengths unless stated otherwise; 82 mm pipes; in trench, depth</t>
        </is>
      </c>
      <c r="F1583" s="5" t="inlineStr">
        <is>
          <t>1.50-2.00 m deep</t>
        </is>
      </c>
      <c r="G1583" s="6" t="inlineStr">
        <is>
          <t>m</t>
        </is>
      </c>
      <c r="H1583" s="7" t="n">
        <v>0.13</v>
      </c>
      <c r="I1583" s="8" t="n">
        <v>17.96</v>
      </c>
      <c r="J1583" s="8" t="n">
        <v>10.98</v>
      </c>
      <c r="K1583" s="8" t="n">
        <v>19.77</v>
      </c>
      <c r="L1583" s="8" t="n">
        <v>0</v>
      </c>
      <c r="M1583" s="9">
        <f>ROUND(SUM(I1583:L1583),2)</f>
        <v/>
      </c>
      <c r="N1583" s="10">
        <f>ROUND(I1583*'Irish Basis'!$C$6*'Irish Basis'!$C$5,2)</f>
        <v/>
      </c>
      <c r="O1583" s="10">
        <f>ROUND(J1583*'Irish Basis'!$C$7*'Irish Basis'!$C$5,2)</f>
        <v/>
      </c>
      <c r="P1583" s="10">
        <f>ROUND(K1583*'Irish Basis'!$C$8*'Irish Basis'!$C$5,2)</f>
        <v/>
      </c>
      <c r="Q1583" s="10">
        <f>ROUND(L1583*'Irish Basis'!$C$12*'Irish Basis'!$C$5,2)</f>
        <v/>
      </c>
      <c r="R1583" s="11">
        <f>ROUND(SUM(N1583:Q1583),2)</f>
        <v/>
      </c>
      <c r="S1583" s="5" t="inlineStr">
        <is>
          <t>Stated build-up</t>
        </is>
      </c>
      <c r="T1583" s="12" t="inlineStr">
        <is>
          <t>High</t>
        </is>
      </c>
      <c r="U1583" s="8" t="n">
        <v>48.71</v>
      </c>
      <c r="V1583" s="13">
        <f>IF(U1583="","",ROUND(M1583-U1583,2))</f>
        <v/>
      </c>
      <c r="W1583" s="5" t="n"/>
      <c r="X1583" s="5" t="inlineStr">
        <is>
          <t>Labour + plant + material as published; reconciles to the published rate.</t>
        </is>
      </c>
    </row>
    <row r="1584" ht="13" customHeight="1">
      <c r="A1584" s="4" t="n">
        <v>2510</v>
      </c>
      <c r="B1584" s="5" t="inlineStr">
        <is>
          <t>IMG_0099</t>
        </is>
      </c>
      <c r="C1584" s="5" t="inlineStr">
        <is>
          <t>CLASS I: PIPEWORK - PIPES</t>
        </is>
      </c>
      <c r="D1584" s="5" t="inlineStr">
        <is>
          <t>05 POLYVINYL CHLORIDE PIPES</t>
        </is>
      </c>
      <c r="E1584" s="5" t="inlineStr">
        <is>
          <t>Unplasticized pvc perforated pipes; ring seal sockets; excavation and supports, backfilling; 6 m pipe lengths unless stated otherwise; 82 mm pipes; in trench, depth</t>
        </is>
      </c>
      <c r="F1584" s="5" t="inlineStr">
        <is>
          <t>2.00-2.50 m deep</t>
        </is>
      </c>
      <c r="G1584" s="6" t="inlineStr">
        <is>
          <t>m</t>
        </is>
      </c>
      <c r="H1584" s="7" t="n">
        <v>0.16</v>
      </c>
      <c r="I1584" s="8" t="n">
        <v>22.11</v>
      </c>
      <c r="J1584" s="8" t="n">
        <v>13.51</v>
      </c>
      <c r="K1584" s="8" t="n">
        <v>19.77</v>
      </c>
      <c r="L1584" s="8" t="n">
        <v>0</v>
      </c>
      <c r="M1584" s="9">
        <f>ROUND(SUM(I1584:L1584),2)</f>
        <v/>
      </c>
      <c r="N1584" s="10">
        <f>ROUND(I1584*'Irish Basis'!$C$6*'Irish Basis'!$C$5,2)</f>
        <v/>
      </c>
      <c r="O1584" s="10">
        <f>ROUND(J1584*'Irish Basis'!$C$7*'Irish Basis'!$C$5,2)</f>
        <v/>
      </c>
      <c r="P1584" s="10">
        <f>ROUND(K1584*'Irish Basis'!$C$8*'Irish Basis'!$C$5,2)</f>
        <v/>
      </c>
      <c r="Q1584" s="10">
        <f>ROUND(L1584*'Irish Basis'!$C$12*'Irish Basis'!$C$5,2)</f>
        <v/>
      </c>
      <c r="R1584" s="11">
        <f>ROUND(SUM(N1584:Q1584),2)</f>
        <v/>
      </c>
      <c r="S1584" s="5" t="inlineStr">
        <is>
          <t>Stated build-up</t>
        </is>
      </c>
      <c r="T1584" s="12" t="inlineStr">
        <is>
          <t>High</t>
        </is>
      </c>
      <c r="U1584" s="8" t="n">
        <v>55.39</v>
      </c>
      <c r="V1584" s="13">
        <f>IF(U1584="","",ROUND(M1584-U1584,2))</f>
        <v/>
      </c>
      <c r="W1584" s="5" t="n"/>
      <c r="X1584" s="5" t="inlineStr">
        <is>
          <t>Labour + plant + material as published; reconciles to the published rate.</t>
        </is>
      </c>
    </row>
    <row r="1585" ht="13" customHeight="1">
      <c r="A1585" s="4" t="n">
        <v>2511</v>
      </c>
      <c r="B1585" s="5" t="inlineStr">
        <is>
          <t>IMG_0099</t>
        </is>
      </c>
      <c r="C1585" s="5" t="inlineStr">
        <is>
          <t>CLASS I: PIPEWORK - PIPES</t>
        </is>
      </c>
      <c r="D1585" s="5" t="inlineStr">
        <is>
          <t>05 POLYVINYL CHLORIDE PIPES</t>
        </is>
      </c>
      <c r="E1585" s="5" t="inlineStr">
        <is>
          <t>Unplasticized pvc perforated pipes; ring seal sockets; excavation and supports, backfilling; 6 m pipe lengths unless stated otherwise; 82 mm pipes; in trench, depth</t>
        </is>
      </c>
      <c r="F1585" s="5" t="inlineStr">
        <is>
          <t>2.50-3.00 m deep</t>
        </is>
      </c>
      <c r="G1585" s="6" t="inlineStr">
        <is>
          <t>m</t>
        </is>
      </c>
      <c r="H1585" s="7" t="n">
        <v>0.19</v>
      </c>
      <c r="I1585" s="8" t="n">
        <v>26.25</v>
      </c>
      <c r="J1585" s="8" t="n">
        <v>16.05</v>
      </c>
      <c r="K1585" s="8" t="n">
        <v>19.77</v>
      </c>
      <c r="L1585" s="8" t="n">
        <v>0</v>
      </c>
      <c r="M1585" s="9">
        <f>ROUND(SUM(I1585:L1585),2)</f>
        <v/>
      </c>
      <c r="N1585" s="10">
        <f>ROUND(I1585*'Irish Basis'!$C$6*'Irish Basis'!$C$5,2)</f>
        <v/>
      </c>
      <c r="O1585" s="10">
        <f>ROUND(J1585*'Irish Basis'!$C$7*'Irish Basis'!$C$5,2)</f>
        <v/>
      </c>
      <c r="P1585" s="10">
        <f>ROUND(K1585*'Irish Basis'!$C$8*'Irish Basis'!$C$5,2)</f>
        <v/>
      </c>
      <c r="Q1585" s="10">
        <f>ROUND(L1585*'Irish Basis'!$C$12*'Irish Basis'!$C$5,2)</f>
        <v/>
      </c>
      <c r="R1585" s="11">
        <f>ROUND(SUM(N1585:Q1585),2)</f>
        <v/>
      </c>
      <c r="S1585" s="5" t="inlineStr">
        <is>
          <t>Stated build-up</t>
        </is>
      </c>
      <c r="T1585" s="12" t="inlineStr">
        <is>
          <t>High</t>
        </is>
      </c>
      <c r="U1585" s="8" t="n">
        <v>62.07</v>
      </c>
      <c r="V1585" s="13">
        <f>IF(U1585="","",ROUND(M1585-U1585,2))</f>
        <v/>
      </c>
      <c r="W1585" s="5" t="n"/>
      <c r="X1585" s="5" t="inlineStr">
        <is>
          <t>Labour + plant + material as published; reconciles to the published rate.</t>
        </is>
      </c>
    </row>
    <row r="1586" ht="13" customHeight="1">
      <c r="A1586" s="4" t="n">
        <v>2512</v>
      </c>
      <c r="B1586" s="5" t="inlineStr">
        <is>
          <t>IMG_0099</t>
        </is>
      </c>
      <c r="C1586" s="5" t="inlineStr">
        <is>
          <t>CLASS I: PIPEWORK - PIPES</t>
        </is>
      </c>
      <c r="D1586" s="5" t="inlineStr">
        <is>
          <t>05 POLYVINYL CHLORIDE PIPES</t>
        </is>
      </c>
      <c r="E1586" s="5" t="inlineStr">
        <is>
          <t>Unplasticized pvc perforated pipes; ring seal sockets; excavation and supports, backfilling; 6 m pipe lengths unless stated otherwise; 82 mm pipes; in trench, depth</t>
        </is>
      </c>
      <c r="F1586" s="5" t="inlineStr">
        <is>
          <t>3.00-3.50 m deep</t>
        </is>
      </c>
      <c r="G1586" s="6" t="inlineStr">
        <is>
          <t>m</t>
        </is>
      </c>
      <c r="H1586" s="7" t="n">
        <v>0.22</v>
      </c>
      <c r="I1586" s="8" t="n">
        <v>30.4</v>
      </c>
      <c r="J1586" s="8" t="n">
        <v>18.62</v>
      </c>
      <c r="K1586" s="8" t="n">
        <v>19.77</v>
      </c>
      <c r="L1586" s="8" t="n">
        <v>0</v>
      </c>
      <c r="M1586" s="9">
        <f>ROUND(SUM(I1586:L1586),2)</f>
        <v/>
      </c>
      <c r="N1586" s="10">
        <f>ROUND(I1586*'Irish Basis'!$C$6*'Irish Basis'!$C$5,2)</f>
        <v/>
      </c>
      <c r="O1586" s="10">
        <f>ROUND(J1586*'Irish Basis'!$C$7*'Irish Basis'!$C$5,2)</f>
        <v/>
      </c>
      <c r="P1586" s="10">
        <f>ROUND(K1586*'Irish Basis'!$C$8*'Irish Basis'!$C$5,2)</f>
        <v/>
      </c>
      <c r="Q1586" s="10">
        <f>ROUND(L1586*'Irish Basis'!$C$12*'Irish Basis'!$C$5,2)</f>
        <v/>
      </c>
      <c r="R1586" s="11">
        <f>ROUND(SUM(N1586:Q1586),2)</f>
        <v/>
      </c>
      <c r="S1586" s="5" t="inlineStr">
        <is>
          <t>Stated build-up</t>
        </is>
      </c>
      <c r="T1586" s="12" t="inlineStr">
        <is>
          <t>High</t>
        </is>
      </c>
      <c r="U1586" s="8" t="n">
        <v>68.78</v>
      </c>
      <c r="V1586" s="13">
        <f>IF(U1586="","",ROUND(M1586-U1586,2))</f>
        <v/>
      </c>
      <c r="W1586" s="5" t="n"/>
      <c r="X1586" s="5" t="inlineStr">
        <is>
          <t>Labour + plant + material as published; reconciles to the published rate.</t>
        </is>
      </c>
    </row>
    <row r="1587" ht="13" customHeight="1">
      <c r="A1587" s="4" t="n">
        <v>2513</v>
      </c>
      <c r="B1587" s="5" t="inlineStr">
        <is>
          <t>IMG_0099</t>
        </is>
      </c>
      <c r="C1587" s="5" t="inlineStr">
        <is>
          <t>CLASS I: PIPEWORK - PIPES</t>
        </is>
      </c>
      <c r="D1587" s="5" t="inlineStr">
        <is>
          <t>05 POLYVINYL CHLORIDE PIPES</t>
        </is>
      </c>
      <c r="E1587" s="5" t="inlineStr">
        <is>
          <t>Unplasticized pvc perforated pipes; ring seal sockets; excavation and supports, backfilling; 6 m pipe lengths unless stated otherwise; 82 mm pipes; in trench, depth</t>
        </is>
      </c>
      <c r="F1587" s="5" t="inlineStr">
        <is>
          <t>3.50-4.00 m deep</t>
        </is>
      </c>
      <c r="G1587" s="6" t="inlineStr">
        <is>
          <t>m</t>
        </is>
      </c>
      <c r="H1587" s="7" t="n">
        <v>0.25</v>
      </c>
      <c r="I1587" s="8" t="n">
        <v>34.55</v>
      </c>
      <c r="J1587" s="8" t="n">
        <v>21.17</v>
      </c>
      <c r="K1587" s="8" t="n">
        <v>19.77</v>
      </c>
      <c r="L1587" s="8" t="n">
        <v>0</v>
      </c>
      <c r="M1587" s="9">
        <f>ROUND(SUM(I1587:L1587),2)</f>
        <v/>
      </c>
      <c r="N1587" s="10">
        <f>ROUND(I1587*'Irish Basis'!$C$6*'Irish Basis'!$C$5,2)</f>
        <v/>
      </c>
      <c r="O1587" s="10">
        <f>ROUND(J1587*'Irish Basis'!$C$7*'Irish Basis'!$C$5,2)</f>
        <v/>
      </c>
      <c r="P1587" s="10">
        <f>ROUND(K1587*'Irish Basis'!$C$8*'Irish Basis'!$C$5,2)</f>
        <v/>
      </c>
      <c r="Q1587" s="10">
        <f>ROUND(L1587*'Irish Basis'!$C$12*'Irish Basis'!$C$5,2)</f>
        <v/>
      </c>
      <c r="R1587" s="11">
        <f>ROUND(SUM(N1587:Q1587),2)</f>
        <v/>
      </c>
      <c r="S1587" s="5" t="inlineStr">
        <is>
          <t>Stated build-up</t>
        </is>
      </c>
      <c r="T1587" s="12" t="inlineStr">
        <is>
          <t>High</t>
        </is>
      </c>
      <c r="U1587" s="8" t="n">
        <v>75.48</v>
      </c>
      <c r="V1587" s="13">
        <f>IF(U1587="","",ROUND(M1587-U1587,2))</f>
        <v/>
      </c>
      <c r="W1587" s="5" t="n"/>
      <c r="X1587" s="5" t="inlineStr">
        <is>
          <t>Labour + plant + material as published; reconciles to the published rate.</t>
        </is>
      </c>
    </row>
    <row r="1588" ht="13" customHeight="1">
      <c r="A1588" s="4" t="n">
        <v>2514</v>
      </c>
      <c r="B1588" s="5" t="inlineStr">
        <is>
          <t>IMG_0099</t>
        </is>
      </c>
      <c r="C1588" s="5" t="inlineStr">
        <is>
          <t>CLASS I: PIPEWORK - PIPES</t>
        </is>
      </c>
      <c r="D1588" s="5" t="inlineStr">
        <is>
          <t>05 POLYVINYL CHLORIDE PIPES</t>
        </is>
      </c>
      <c r="E1588" s="5" t="inlineStr">
        <is>
          <t>Unplasticized pvc perforated pipes; ring seal sockets; excavation and supports, backfilling; 6 m pipe lengths unless stated otherwise; 82 mm pipes; in trench, depth</t>
        </is>
      </c>
      <c r="F1588" s="5" t="inlineStr">
        <is>
          <t>4.00-4.50 m deep</t>
        </is>
      </c>
      <c r="G1588" s="6" t="inlineStr">
        <is>
          <t>m</t>
        </is>
      </c>
      <c r="H1588" s="7" t="n">
        <v>0.28</v>
      </c>
      <c r="I1588" s="8" t="n">
        <v>38.69</v>
      </c>
      <c r="J1588" s="8" t="n">
        <v>23.71</v>
      </c>
      <c r="K1588" s="8" t="n">
        <v>19.77</v>
      </c>
      <c r="L1588" s="8" t="n">
        <v>0</v>
      </c>
      <c r="M1588" s="9">
        <f>ROUND(SUM(I1588:L1588),2)</f>
        <v/>
      </c>
      <c r="N1588" s="10">
        <f>ROUND(I1588*'Irish Basis'!$C$6*'Irish Basis'!$C$5,2)</f>
        <v/>
      </c>
      <c r="O1588" s="10">
        <f>ROUND(J1588*'Irish Basis'!$C$7*'Irish Basis'!$C$5,2)</f>
        <v/>
      </c>
      <c r="P1588" s="10">
        <f>ROUND(K1588*'Irish Basis'!$C$8*'Irish Basis'!$C$5,2)</f>
        <v/>
      </c>
      <c r="Q1588" s="10">
        <f>ROUND(L1588*'Irish Basis'!$C$12*'Irish Basis'!$C$5,2)</f>
        <v/>
      </c>
      <c r="R1588" s="11">
        <f>ROUND(SUM(N1588:Q1588),2)</f>
        <v/>
      </c>
      <c r="S1588" s="5" t="inlineStr">
        <is>
          <t>Stated build-up</t>
        </is>
      </c>
      <c r="T1588" s="12" t="inlineStr">
        <is>
          <t>High</t>
        </is>
      </c>
      <c r="U1588" s="8" t="n">
        <v>82.17</v>
      </c>
      <c r="V1588" s="13">
        <f>IF(U1588="","",ROUND(M1588-U1588,2))</f>
        <v/>
      </c>
      <c r="W1588" s="5" t="n"/>
      <c r="X1588" s="5" t="inlineStr">
        <is>
          <t>Labour + plant + material as published; reconciles to the published rate.</t>
        </is>
      </c>
    </row>
    <row r="1589" ht="13" customHeight="1">
      <c r="A1589" s="4" t="n">
        <v>2515</v>
      </c>
      <c r="B1589" s="5" t="inlineStr">
        <is>
          <t>IMG_0099</t>
        </is>
      </c>
      <c r="C1589" s="5" t="inlineStr">
        <is>
          <t>CLASS I: PIPEWORK - PIPES</t>
        </is>
      </c>
      <c r="D1589" s="5" t="inlineStr">
        <is>
          <t>05 POLYVINYL CHLORIDE PIPES</t>
        </is>
      </c>
      <c r="E1589" s="5" t="inlineStr">
        <is>
          <t>Unplasticized pvc perforated pipes; ring seal sockets; excavation and supports, backfilling; 6 m pipe lengths unless stated otherwise; 82 mm pipes; in trench, depth</t>
        </is>
      </c>
      <c r="F1589" s="5" t="inlineStr">
        <is>
          <t>4.50-5.00 m deep</t>
        </is>
      </c>
      <c r="G1589" s="6" t="inlineStr">
        <is>
          <t>m</t>
        </is>
      </c>
      <c r="H1589" s="7" t="n">
        <v>0.32</v>
      </c>
      <c r="I1589" s="8" t="n">
        <v>44.22</v>
      </c>
      <c r="J1589" s="8" t="n">
        <v>27.11</v>
      </c>
      <c r="K1589" s="8" t="n">
        <v>19.77</v>
      </c>
      <c r="L1589" s="8" t="n">
        <v>0</v>
      </c>
      <c r="M1589" s="9">
        <f>ROUND(SUM(I1589:L1589),2)</f>
        <v/>
      </c>
      <c r="N1589" s="10">
        <f>ROUND(I1589*'Irish Basis'!$C$6*'Irish Basis'!$C$5,2)</f>
        <v/>
      </c>
      <c r="O1589" s="10">
        <f>ROUND(J1589*'Irish Basis'!$C$7*'Irish Basis'!$C$5,2)</f>
        <v/>
      </c>
      <c r="P1589" s="10">
        <f>ROUND(K1589*'Irish Basis'!$C$8*'Irish Basis'!$C$5,2)</f>
        <v/>
      </c>
      <c r="Q1589" s="10">
        <f>ROUND(L1589*'Irish Basis'!$C$12*'Irish Basis'!$C$5,2)</f>
        <v/>
      </c>
      <c r="R1589" s="11">
        <f>ROUND(SUM(N1589:Q1589),2)</f>
        <v/>
      </c>
      <c r="S1589" s="5" t="inlineStr">
        <is>
          <t>Stated build-up</t>
        </is>
      </c>
      <c r="T1589" s="12" t="inlineStr">
        <is>
          <t>High</t>
        </is>
      </c>
      <c r="U1589" s="8" t="n">
        <v>91.09999999999999</v>
      </c>
      <c r="V1589" s="13">
        <f>IF(U1589="","",ROUND(M1589-U1589,2))</f>
        <v/>
      </c>
      <c r="W1589" s="5" t="n"/>
      <c r="X1589" s="5" t="inlineStr">
        <is>
          <t>Labour + plant + material as published; reconciles to the published rate.</t>
        </is>
      </c>
    </row>
    <row r="1590" ht="13" customHeight="1">
      <c r="A1590" s="4" t="n">
        <v>2516</v>
      </c>
      <c r="B1590" s="5" t="inlineStr">
        <is>
          <t>IMG_0099</t>
        </is>
      </c>
      <c r="C1590" s="5" t="inlineStr">
        <is>
          <t>CLASS I: PIPEWORK - PIPES</t>
        </is>
      </c>
      <c r="D1590" s="5" t="inlineStr">
        <is>
          <t>05 POLYVINYL CHLORIDE PIPES</t>
        </is>
      </c>
      <c r="E1590" s="5" t="inlineStr">
        <is>
          <t>Unplasticized pvc perforated pipes; ring seal sockets; excavation and supports, backfilling; 6 m pipe lengths unless stated otherwise; 82 mm pipes; in trench, depth</t>
        </is>
      </c>
      <c r="F1590" s="5" t="inlineStr">
        <is>
          <t>5.00-5.50 m deep</t>
        </is>
      </c>
      <c r="G1590" s="6" t="inlineStr">
        <is>
          <t>m</t>
        </is>
      </c>
      <c r="H1590" s="7" t="n">
        <v>0.35</v>
      </c>
      <c r="I1590" s="8" t="n">
        <v>48.36</v>
      </c>
      <c r="J1590" s="8" t="n">
        <v>29.66</v>
      </c>
      <c r="K1590" s="8" t="n">
        <v>19.77</v>
      </c>
      <c r="L1590" s="8" t="n">
        <v>0</v>
      </c>
      <c r="M1590" s="9">
        <f>ROUND(SUM(I1590:L1590),2)</f>
        <v/>
      </c>
      <c r="N1590" s="10">
        <f>ROUND(I1590*'Irish Basis'!$C$6*'Irish Basis'!$C$5,2)</f>
        <v/>
      </c>
      <c r="O1590" s="10">
        <f>ROUND(J1590*'Irish Basis'!$C$7*'Irish Basis'!$C$5,2)</f>
        <v/>
      </c>
      <c r="P1590" s="10">
        <f>ROUND(K1590*'Irish Basis'!$C$8*'Irish Basis'!$C$5,2)</f>
        <v/>
      </c>
      <c r="Q1590" s="10">
        <f>ROUND(L1590*'Irish Basis'!$C$12*'Irish Basis'!$C$5,2)</f>
        <v/>
      </c>
      <c r="R1590" s="11">
        <f>ROUND(SUM(N1590:Q1590),2)</f>
        <v/>
      </c>
      <c r="S1590" s="5" t="inlineStr">
        <is>
          <t>Stated build-up</t>
        </is>
      </c>
      <c r="T1590" s="12" t="inlineStr">
        <is>
          <t>High</t>
        </is>
      </c>
      <c r="U1590" s="8" t="n">
        <v>97.8</v>
      </c>
      <c r="V1590" s="13">
        <f>IF(U1590="","",ROUND(M1590-U1590,2))</f>
        <v/>
      </c>
      <c r="W1590" s="5" t="n"/>
      <c r="X1590" s="5" t="inlineStr">
        <is>
          <t>Labour + plant + material as published; reconciles to the published rate.</t>
        </is>
      </c>
    </row>
    <row r="1591" ht="13" customHeight="1">
      <c r="A1591" s="4" t="n">
        <v>2518</v>
      </c>
      <c r="B1591" s="5" t="inlineStr">
        <is>
          <t>IMG_0099</t>
        </is>
      </c>
      <c r="C1591" s="5" t="inlineStr">
        <is>
          <t>CLASS I: PIPEWORK - PIPES</t>
        </is>
      </c>
      <c r="D1591" s="5" t="inlineStr">
        <is>
          <t>05 POLYVINYL CHLORIDE PIPES</t>
        </is>
      </c>
      <c r="E1591" s="5" t="inlineStr">
        <is>
          <t>110 mm pipes; in trench, depth</t>
        </is>
      </c>
      <c r="F1591" s="5" t="inlineStr">
        <is>
          <t>not in trenches</t>
        </is>
      </c>
      <c r="G1591" s="6" t="inlineStr">
        <is>
          <t>m</t>
        </is>
      </c>
      <c r="H1591" s="7" t="n">
        <v>0.06</v>
      </c>
      <c r="I1591" s="8" t="n">
        <v>5.18</v>
      </c>
      <c r="J1591" s="8" t="n">
        <v>0.13</v>
      </c>
      <c r="K1591" s="8" t="n">
        <v>28.08</v>
      </c>
      <c r="L1591" s="8" t="n">
        <v>0</v>
      </c>
      <c r="M1591" s="9">
        <f>ROUND(SUM(I1591:L1591),2)</f>
        <v/>
      </c>
      <c r="N1591" s="10">
        <f>ROUND(I1591*'Irish Basis'!$C$6*'Irish Basis'!$C$5,2)</f>
        <v/>
      </c>
      <c r="O1591" s="10">
        <f>ROUND(J1591*'Irish Basis'!$C$7*'Irish Basis'!$C$5,2)</f>
        <v/>
      </c>
      <c r="P1591" s="10">
        <f>ROUND(K1591*'Irish Basis'!$C$8*'Irish Basis'!$C$5,2)</f>
        <v/>
      </c>
      <c r="Q1591" s="10">
        <f>ROUND(L1591*'Irish Basis'!$C$12*'Irish Basis'!$C$5,2)</f>
        <v/>
      </c>
      <c r="R1591" s="11">
        <f>ROUND(SUM(N1591:Q1591),2)</f>
        <v/>
      </c>
      <c r="S1591" s="5" t="inlineStr">
        <is>
          <t>Stated build-up</t>
        </is>
      </c>
      <c r="T1591" s="12" t="inlineStr">
        <is>
          <t>High</t>
        </is>
      </c>
      <c r="U1591" s="8" t="n">
        <v>33.39</v>
      </c>
      <c r="V1591" s="13">
        <f>IF(U1591="","",ROUND(M1591-U1591,2))</f>
        <v/>
      </c>
      <c r="W1591" s="5" t="n"/>
      <c r="X1591" s="5" t="inlineStr">
        <is>
          <t>Labour + plant + material as published; reconciles to the published rate.</t>
        </is>
      </c>
    </row>
    <row r="1592" ht="13" customHeight="1">
      <c r="A1592" s="4" t="n">
        <v>2519</v>
      </c>
      <c r="B1592" s="5" t="inlineStr">
        <is>
          <t>IMG_0099</t>
        </is>
      </c>
      <c r="C1592" s="5" t="inlineStr">
        <is>
          <t>CLASS I: PIPEWORK - PIPES</t>
        </is>
      </c>
      <c r="D1592" s="5" t="inlineStr">
        <is>
          <t>05 POLYVINYL CHLORIDE PIPES</t>
        </is>
      </c>
      <c r="E1592" s="5" t="inlineStr">
        <is>
          <t>110 mm pipes; in trench, depth</t>
        </is>
      </c>
      <c r="F1592" s="5" t="inlineStr">
        <is>
          <t>ne 1.50 m deep</t>
        </is>
      </c>
      <c r="G1592" s="6" t="inlineStr">
        <is>
          <t>m</t>
        </is>
      </c>
      <c r="H1592" s="7" t="n">
        <v>0.1</v>
      </c>
      <c r="I1592" s="8" t="n">
        <v>13.82</v>
      </c>
      <c r="J1592" s="8" t="n">
        <v>8.43</v>
      </c>
      <c r="K1592" s="8" t="n">
        <v>28.08</v>
      </c>
      <c r="L1592" s="8" t="n">
        <v>0</v>
      </c>
      <c r="M1592" s="9">
        <f>ROUND(SUM(I1592:L1592),2)</f>
        <v/>
      </c>
      <c r="N1592" s="10">
        <f>ROUND(I1592*'Irish Basis'!$C$6*'Irish Basis'!$C$5,2)</f>
        <v/>
      </c>
      <c r="O1592" s="10">
        <f>ROUND(J1592*'Irish Basis'!$C$7*'Irish Basis'!$C$5,2)</f>
        <v/>
      </c>
      <c r="P1592" s="10">
        <f>ROUND(K1592*'Irish Basis'!$C$8*'Irish Basis'!$C$5,2)</f>
        <v/>
      </c>
      <c r="Q1592" s="10">
        <f>ROUND(L1592*'Irish Basis'!$C$12*'Irish Basis'!$C$5,2)</f>
        <v/>
      </c>
      <c r="R1592" s="11">
        <f>ROUND(SUM(N1592:Q1592),2)</f>
        <v/>
      </c>
      <c r="S1592" s="5" t="inlineStr">
        <is>
          <t>Stated build-up</t>
        </is>
      </c>
      <c r="T1592" s="12" t="inlineStr">
        <is>
          <t>High</t>
        </is>
      </c>
      <c r="U1592" s="8" t="n">
        <v>50.34</v>
      </c>
      <c r="V1592" s="13">
        <f>IF(U1592="","",ROUND(M1592-U1592,2))</f>
        <v/>
      </c>
      <c r="W1592" s="5" t="n"/>
      <c r="X1592" s="5" t="inlineStr">
        <is>
          <t>Labour + plant + material as published; reconciles to the published rate.</t>
        </is>
      </c>
    </row>
    <row r="1593" ht="13" customHeight="1">
      <c r="A1593" s="4" t="n">
        <v>2520</v>
      </c>
      <c r="B1593" s="5" t="inlineStr">
        <is>
          <t>IMG_0099</t>
        </is>
      </c>
      <c r="C1593" s="5" t="inlineStr">
        <is>
          <t>CLASS I: PIPEWORK - PIPES</t>
        </is>
      </c>
      <c r="D1593" s="5" t="inlineStr">
        <is>
          <t>05 POLYVINYL CHLORIDE PIPES</t>
        </is>
      </c>
      <c r="E1593" s="5" t="inlineStr">
        <is>
          <t>110 mm pipes; in trench, depth</t>
        </is>
      </c>
      <c r="F1593" s="5" t="inlineStr">
        <is>
          <t>1.50-2.00 m deep</t>
        </is>
      </c>
      <c r="G1593" s="6" t="inlineStr">
        <is>
          <t>m</t>
        </is>
      </c>
      <c r="H1593" s="7" t="n">
        <v>0.13</v>
      </c>
      <c r="I1593" s="8" t="n">
        <v>17.96</v>
      </c>
      <c r="J1593" s="8" t="n">
        <v>10.98</v>
      </c>
      <c r="K1593" s="8" t="n">
        <v>28.08</v>
      </c>
      <c r="L1593" s="8" t="n">
        <v>0</v>
      </c>
      <c r="M1593" s="9">
        <f>ROUND(SUM(I1593:L1593),2)</f>
        <v/>
      </c>
      <c r="N1593" s="10">
        <f>ROUND(I1593*'Irish Basis'!$C$6*'Irish Basis'!$C$5,2)</f>
        <v/>
      </c>
      <c r="O1593" s="10">
        <f>ROUND(J1593*'Irish Basis'!$C$7*'Irish Basis'!$C$5,2)</f>
        <v/>
      </c>
      <c r="P1593" s="10">
        <f>ROUND(K1593*'Irish Basis'!$C$8*'Irish Basis'!$C$5,2)</f>
        <v/>
      </c>
      <c r="Q1593" s="10">
        <f>ROUND(L1593*'Irish Basis'!$C$12*'Irish Basis'!$C$5,2)</f>
        <v/>
      </c>
      <c r="R1593" s="11">
        <f>ROUND(SUM(N1593:Q1593),2)</f>
        <v/>
      </c>
      <c r="S1593" s="5" t="inlineStr">
        <is>
          <t>Stated build-up</t>
        </is>
      </c>
      <c r="T1593" s="12" t="inlineStr">
        <is>
          <t>High</t>
        </is>
      </c>
      <c r="U1593" s="8" t="n">
        <v>57.03</v>
      </c>
      <c r="V1593" s="13">
        <f>IF(U1593="","",ROUND(M1593-U1593,2))</f>
        <v/>
      </c>
      <c r="W1593" s="5" t="n"/>
      <c r="X1593" s="5" t="inlineStr">
        <is>
          <t>Labour + plant + material as published; reconciles to the published rate.</t>
        </is>
      </c>
    </row>
    <row r="1594" ht="13" customHeight="1">
      <c r="A1594" s="4" t="n">
        <v>2521</v>
      </c>
      <c r="B1594" s="5" t="inlineStr">
        <is>
          <t>IMG_0099</t>
        </is>
      </c>
      <c r="C1594" s="5" t="inlineStr">
        <is>
          <t>CLASS I: PIPEWORK - PIPES</t>
        </is>
      </c>
      <c r="D1594" s="5" t="inlineStr">
        <is>
          <t>05 POLYVINYL CHLORIDE PIPES</t>
        </is>
      </c>
      <c r="E1594" s="5" t="inlineStr">
        <is>
          <t>110 mm pipes; in trench, depth</t>
        </is>
      </c>
      <c r="F1594" s="5" t="inlineStr">
        <is>
          <t>2.00-2.50 m deep</t>
        </is>
      </c>
      <c r="G1594" s="6" t="inlineStr">
        <is>
          <t>m</t>
        </is>
      </c>
      <c r="H1594" s="7" t="n">
        <v>0.16</v>
      </c>
      <c r="I1594" s="8" t="n">
        <v>22.11</v>
      </c>
      <c r="J1594" s="8" t="n">
        <v>13.51</v>
      </c>
      <c r="K1594" s="8" t="n">
        <v>28.08</v>
      </c>
      <c r="L1594" s="8" t="n">
        <v>0</v>
      </c>
      <c r="M1594" s="9">
        <f>ROUND(SUM(I1594:L1594),2)</f>
        <v/>
      </c>
      <c r="N1594" s="10">
        <f>ROUND(I1594*'Irish Basis'!$C$6*'Irish Basis'!$C$5,2)</f>
        <v/>
      </c>
      <c r="O1594" s="10">
        <f>ROUND(J1594*'Irish Basis'!$C$7*'Irish Basis'!$C$5,2)</f>
        <v/>
      </c>
      <c r="P1594" s="10">
        <f>ROUND(K1594*'Irish Basis'!$C$8*'Irish Basis'!$C$5,2)</f>
        <v/>
      </c>
      <c r="Q1594" s="10">
        <f>ROUND(L1594*'Irish Basis'!$C$12*'Irish Basis'!$C$5,2)</f>
        <v/>
      </c>
      <c r="R1594" s="11">
        <f>ROUND(SUM(N1594:Q1594),2)</f>
        <v/>
      </c>
      <c r="S1594" s="5" t="inlineStr">
        <is>
          <t>Stated build-up</t>
        </is>
      </c>
      <c r="T1594" s="12" t="inlineStr">
        <is>
          <t>High</t>
        </is>
      </c>
      <c r="U1594" s="8" t="n">
        <v>63.7</v>
      </c>
      <c r="V1594" s="13">
        <f>IF(U1594="","",ROUND(M1594-U1594,2))</f>
        <v/>
      </c>
      <c r="W1594" s="5" t="n"/>
      <c r="X1594" s="5" t="inlineStr">
        <is>
          <t>Labour + plant + material as published; reconciles to the published rate.</t>
        </is>
      </c>
    </row>
    <row r="1595" ht="13" customHeight="1">
      <c r="A1595" s="4" t="n">
        <v>2522</v>
      </c>
      <c r="B1595" s="5" t="inlineStr">
        <is>
          <t>IMG_0099</t>
        </is>
      </c>
      <c r="C1595" s="5" t="inlineStr">
        <is>
          <t>CLASS I: PIPEWORK - PIPES</t>
        </is>
      </c>
      <c r="D1595" s="5" t="inlineStr">
        <is>
          <t>05 POLYVINYL CHLORIDE PIPES</t>
        </is>
      </c>
      <c r="E1595" s="5" t="inlineStr">
        <is>
          <t>110 mm pipes; in trench, depth</t>
        </is>
      </c>
      <c r="F1595" s="5" t="inlineStr">
        <is>
          <t>2.50-3.00 m deep</t>
        </is>
      </c>
      <c r="G1595" s="6" t="inlineStr">
        <is>
          <t>m</t>
        </is>
      </c>
      <c r="H1595" s="7" t="n">
        <v>0.19</v>
      </c>
      <c r="I1595" s="8" t="n">
        <v>26.25</v>
      </c>
      <c r="J1595" s="8" t="n">
        <v>16.05</v>
      </c>
      <c r="K1595" s="8" t="n">
        <v>28.08</v>
      </c>
      <c r="L1595" s="8" t="n">
        <v>0</v>
      </c>
      <c r="M1595" s="9">
        <f>ROUND(SUM(I1595:L1595),2)</f>
        <v/>
      </c>
      <c r="N1595" s="10">
        <f>ROUND(I1595*'Irish Basis'!$C$6*'Irish Basis'!$C$5,2)</f>
        <v/>
      </c>
      <c r="O1595" s="10">
        <f>ROUND(J1595*'Irish Basis'!$C$7*'Irish Basis'!$C$5,2)</f>
        <v/>
      </c>
      <c r="P1595" s="10">
        <f>ROUND(K1595*'Irish Basis'!$C$8*'Irish Basis'!$C$5,2)</f>
        <v/>
      </c>
      <c r="Q1595" s="10">
        <f>ROUND(L1595*'Irish Basis'!$C$12*'Irish Basis'!$C$5,2)</f>
        <v/>
      </c>
      <c r="R1595" s="11">
        <f>ROUND(SUM(N1595:Q1595),2)</f>
        <v/>
      </c>
      <c r="S1595" s="5" t="inlineStr">
        <is>
          <t>Stated build-up</t>
        </is>
      </c>
      <c r="T1595" s="12" t="inlineStr">
        <is>
          <t>High</t>
        </is>
      </c>
      <c r="U1595" s="8" t="n">
        <v>70.39</v>
      </c>
      <c r="V1595" s="13">
        <f>IF(U1595="","",ROUND(M1595-U1595,2))</f>
        <v/>
      </c>
      <c r="W1595" s="5" t="n"/>
      <c r="X1595" s="5" t="inlineStr">
        <is>
          <t>Labour + plant + material as published; reconciles to the published rate.</t>
        </is>
      </c>
    </row>
    <row r="1596" ht="13" customHeight="1">
      <c r="A1596" s="4" t="n">
        <v>2523</v>
      </c>
      <c r="B1596" s="5" t="inlineStr">
        <is>
          <t>IMG_0099</t>
        </is>
      </c>
      <c r="C1596" s="5" t="inlineStr">
        <is>
          <t>CLASS I: PIPEWORK - PIPES</t>
        </is>
      </c>
      <c r="D1596" s="5" t="inlineStr">
        <is>
          <t>05 POLYVINYL CHLORIDE PIPES</t>
        </is>
      </c>
      <c r="E1596" s="5" t="inlineStr">
        <is>
          <t>110 mm pipes; in trench, depth</t>
        </is>
      </c>
      <c r="F1596" s="5" t="inlineStr">
        <is>
          <t>3.00-3.50 m deep</t>
        </is>
      </c>
      <c r="G1596" s="6" t="inlineStr">
        <is>
          <t>m</t>
        </is>
      </c>
      <c r="H1596" s="7" t="n">
        <v>0.22</v>
      </c>
      <c r="I1596" s="8" t="n">
        <v>30.4</v>
      </c>
      <c r="J1596" s="8" t="n">
        <v>18.62</v>
      </c>
      <c r="K1596" s="8" t="n">
        <v>28.08</v>
      </c>
      <c r="L1596" s="8" t="n">
        <v>0</v>
      </c>
      <c r="M1596" s="9">
        <f>ROUND(SUM(I1596:L1596),2)</f>
        <v/>
      </c>
      <c r="N1596" s="10">
        <f>ROUND(I1596*'Irish Basis'!$C$6*'Irish Basis'!$C$5,2)</f>
        <v/>
      </c>
      <c r="O1596" s="10">
        <f>ROUND(J1596*'Irish Basis'!$C$7*'Irish Basis'!$C$5,2)</f>
        <v/>
      </c>
      <c r="P1596" s="10">
        <f>ROUND(K1596*'Irish Basis'!$C$8*'Irish Basis'!$C$5,2)</f>
        <v/>
      </c>
      <c r="Q1596" s="10">
        <f>ROUND(L1596*'Irish Basis'!$C$12*'Irish Basis'!$C$5,2)</f>
        <v/>
      </c>
      <c r="R1596" s="11">
        <f>ROUND(SUM(N1596:Q1596),2)</f>
        <v/>
      </c>
      <c r="S1596" s="5" t="inlineStr">
        <is>
          <t>Stated build-up</t>
        </is>
      </c>
      <c r="T1596" s="12" t="inlineStr">
        <is>
          <t>High</t>
        </is>
      </c>
      <c r="U1596" s="8" t="n">
        <v>77.09999999999999</v>
      </c>
      <c r="V1596" s="13">
        <f>IF(U1596="","",ROUND(M1596-U1596,2))</f>
        <v/>
      </c>
      <c r="W1596" s="5" t="n"/>
      <c r="X1596" s="5" t="inlineStr">
        <is>
          <t>Labour + plant + material as published; reconciles to the published rate.</t>
        </is>
      </c>
    </row>
    <row r="1597" ht="13" customHeight="1">
      <c r="A1597" s="4" t="n">
        <v>2524</v>
      </c>
      <c r="B1597" s="5" t="inlineStr">
        <is>
          <t>IMG_0099</t>
        </is>
      </c>
      <c r="C1597" s="5" t="inlineStr">
        <is>
          <t>CLASS I: PIPEWORK - PIPES</t>
        </is>
      </c>
      <c r="D1597" s="5" t="inlineStr">
        <is>
          <t>05 POLYVINYL CHLORIDE PIPES</t>
        </is>
      </c>
      <c r="E1597" s="5" t="inlineStr">
        <is>
          <t>110 mm pipes; in trench, depth</t>
        </is>
      </c>
      <c r="F1597" s="5" t="inlineStr">
        <is>
          <t>3.50-4.00 m deep</t>
        </is>
      </c>
      <c r="G1597" s="6" t="inlineStr">
        <is>
          <t>m</t>
        </is>
      </c>
      <c r="H1597" s="7" t="n">
        <v>0.25</v>
      </c>
      <c r="I1597" s="8" t="n">
        <v>34.55</v>
      </c>
      <c r="J1597" s="8" t="n">
        <v>21.17</v>
      </c>
      <c r="K1597" s="8" t="n">
        <v>28.08</v>
      </c>
      <c r="L1597" s="8" t="n">
        <v>0</v>
      </c>
      <c r="M1597" s="9">
        <f>ROUND(SUM(I1597:L1597),2)</f>
        <v/>
      </c>
      <c r="N1597" s="10">
        <f>ROUND(I1597*'Irish Basis'!$C$6*'Irish Basis'!$C$5,2)</f>
        <v/>
      </c>
      <c r="O1597" s="10">
        <f>ROUND(J1597*'Irish Basis'!$C$7*'Irish Basis'!$C$5,2)</f>
        <v/>
      </c>
      <c r="P1597" s="10">
        <f>ROUND(K1597*'Irish Basis'!$C$8*'Irish Basis'!$C$5,2)</f>
        <v/>
      </c>
      <c r="Q1597" s="10">
        <f>ROUND(L1597*'Irish Basis'!$C$12*'Irish Basis'!$C$5,2)</f>
        <v/>
      </c>
      <c r="R1597" s="11">
        <f>ROUND(SUM(N1597:Q1597),2)</f>
        <v/>
      </c>
      <c r="S1597" s="5" t="inlineStr">
        <is>
          <t>Stated build-up</t>
        </is>
      </c>
      <c r="T1597" s="12" t="inlineStr">
        <is>
          <t>High</t>
        </is>
      </c>
      <c r="U1597" s="8" t="n">
        <v>83.79000000000001</v>
      </c>
      <c r="V1597" s="13">
        <f>IF(U1597="","",ROUND(M1597-U1597,2))</f>
        <v/>
      </c>
      <c r="W1597" s="5" t="n"/>
      <c r="X1597" s="5" t="inlineStr">
        <is>
          <t>Labour + plant + material as published; reconciles to the published rate.</t>
        </is>
      </c>
    </row>
    <row r="1598" ht="13" customHeight="1">
      <c r="A1598" s="4" t="n">
        <v>2525</v>
      </c>
      <c r="B1598" s="5" t="inlineStr">
        <is>
          <t>IMG_0099</t>
        </is>
      </c>
      <c r="C1598" s="5" t="inlineStr">
        <is>
          <t>CLASS I: PIPEWORK - PIPES</t>
        </is>
      </c>
      <c r="D1598" s="5" t="inlineStr">
        <is>
          <t>05 POLYVINYL CHLORIDE PIPES</t>
        </is>
      </c>
      <c r="E1598" s="5" t="inlineStr">
        <is>
          <t>110 mm pipes; in trench, depth</t>
        </is>
      </c>
      <c r="F1598" s="5" t="inlineStr">
        <is>
          <t>4.00-4.50 m deep</t>
        </is>
      </c>
      <c r="G1598" s="6" t="inlineStr">
        <is>
          <t>m</t>
        </is>
      </c>
      <c r="H1598" s="7" t="n">
        <v>0.28</v>
      </c>
      <c r="I1598" s="8" t="n">
        <v>38.69</v>
      </c>
      <c r="J1598" s="8" t="n">
        <v>23.71</v>
      </c>
      <c r="K1598" s="8" t="n">
        <v>28.08</v>
      </c>
      <c r="L1598" s="8" t="n">
        <v>0</v>
      </c>
      <c r="M1598" s="9">
        <f>ROUND(SUM(I1598:L1598),2)</f>
        <v/>
      </c>
      <c r="N1598" s="10">
        <f>ROUND(I1598*'Irish Basis'!$C$6*'Irish Basis'!$C$5,2)</f>
        <v/>
      </c>
      <c r="O1598" s="10">
        <f>ROUND(J1598*'Irish Basis'!$C$7*'Irish Basis'!$C$5,2)</f>
        <v/>
      </c>
      <c r="P1598" s="10">
        <f>ROUND(K1598*'Irish Basis'!$C$8*'Irish Basis'!$C$5,2)</f>
        <v/>
      </c>
      <c r="Q1598" s="10">
        <f>ROUND(L1598*'Irish Basis'!$C$12*'Irish Basis'!$C$5,2)</f>
        <v/>
      </c>
      <c r="R1598" s="11">
        <f>ROUND(SUM(N1598:Q1598),2)</f>
        <v/>
      </c>
      <c r="S1598" s="5" t="inlineStr">
        <is>
          <t>Stated build-up</t>
        </is>
      </c>
      <c r="T1598" s="12" t="inlineStr">
        <is>
          <t>High</t>
        </is>
      </c>
      <c r="U1598" s="8" t="n">
        <v>90.48</v>
      </c>
      <c r="V1598" s="13">
        <f>IF(U1598="","",ROUND(M1598-U1598,2))</f>
        <v/>
      </c>
      <c r="W1598" s="5" t="n"/>
      <c r="X1598" s="5" t="inlineStr">
        <is>
          <t>Labour + plant + material as published; reconciles to the published rate.</t>
        </is>
      </c>
    </row>
    <row r="1599" ht="13" customHeight="1">
      <c r="A1599" s="4" t="n">
        <v>2526</v>
      </c>
      <c r="B1599" s="5" t="inlineStr">
        <is>
          <t>IMG_0099</t>
        </is>
      </c>
      <c r="C1599" s="5" t="inlineStr">
        <is>
          <t>CLASS I: PIPEWORK - PIPES</t>
        </is>
      </c>
      <c r="D1599" s="5" t="inlineStr">
        <is>
          <t>05 POLYVINYL CHLORIDE PIPES</t>
        </is>
      </c>
      <c r="E1599" s="5" t="inlineStr">
        <is>
          <t>110 mm pipes; in trench, depth</t>
        </is>
      </c>
      <c r="F1599" s="5" t="inlineStr">
        <is>
          <t>4.50-5.00 m deep</t>
        </is>
      </c>
      <c r="G1599" s="6" t="inlineStr">
        <is>
          <t>m</t>
        </is>
      </c>
      <c r="H1599" s="7" t="n">
        <v>0.32</v>
      </c>
      <c r="I1599" s="8" t="n">
        <v>44.22</v>
      </c>
      <c r="J1599" s="8" t="n">
        <v>27.11</v>
      </c>
      <c r="K1599" s="8" t="n">
        <v>28.08</v>
      </c>
      <c r="L1599" s="8" t="n">
        <v>0</v>
      </c>
      <c r="M1599" s="9">
        <f>ROUND(SUM(I1599:L1599),2)</f>
        <v/>
      </c>
      <c r="N1599" s="10">
        <f>ROUND(I1599*'Irish Basis'!$C$6*'Irish Basis'!$C$5,2)</f>
        <v/>
      </c>
      <c r="O1599" s="10">
        <f>ROUND(J1599*'Irish Basis'!$C$7*'Irish Basis'!$C$5,2)</f>
        <v/>
      </c>
      <c r="P1599" s="10">
        <f>ROUND(K1599*'Irish Basis'!$C$8*'Irish Basis'!$C$5,2)</f>
        <v/>
      </c>
      <c r="Q1599" s="10">
        <f>ROUND(L1599*'Irish Basis'!$C$12*'Irish Basis'!$C$5,2)</f>
        <v/>
      </c>
      <c r="R1599" s="11">
        <f>ROUND(SUM(N1599:Q1599),2)</f>
        <v/>
      </c>
      <c r="S1599" s="5" t="inlineStr">
        <is>
          <t>Stated build-up</t>
        </is>
      </c>
      <c r="T1599" s="12" t="inlineStr">
        <is>
          <t>High</t>
        </is>
      </c>
      <c r="U1599" s="8" t="n">
        <v>99.41</v>
      </c>
      <c r="V1599" s="13">
        <f>IF(U1599="","",ROUND(M1599-U1599,2))</f>
        <v/>
      </c>
      <c r="W1599" s="5" t="n"/>
      <c r="X1599" s="5" t="inlineStr">
        <is>
          <t>Labour + plant + material as published; reconciles to the published rate.</t>
        </is>
      </c>
    </row>
    <row r="1600" ht="13" customHeight="1">
      <c r="A1600" s="4" t="n">
        <v>2527</v>
      </c>
      <c r="B1600" s="5" t="inlineStr">
        <is>
          <t>IMG_0099</t>
        </is>
      </c>
      <c r="C1600" s="5" t="inlineStr">
        <is>
          <t>CLASS I: PIPEWORK - PIPES</t>
        </is>
      </c>
      <c r="D1600" s="5" t="inlineStr">
        <is>
          <t>05 POLYVINYL CHLORIDE PIPES</t>
        </is>
      </c>
      <c r="E1600" s="5" t="inlineStr">
        <is>
          <t>110 mm pipes; in trench, depth</t>
        </is>
      </c>
      <c r="F1600" s="5" t="inlineStr">
        <is>
          <t>5.00-5.50 m deep</t>
        </is>
      </c>
      <c r="G1600" s="6" t="inlineStr">
        <is>
          <t>m</t>
        </is>
      </c>
      <c r="H1600" s="7" t="n">
        <v>0.36</v>
      </c>
      <c r="I1600" s="8" t="n">
        <v>49.74</v>
      </c>
      <c r="J1600" s="8" t="n">
        <v>30.52</v>
      </c>
      <c r="K1600" s="8" t="n">
        <v>28.08</v>
      </c>
      <c r="L1600" s="8" t="n">
        <v>0</v>
      </c>
      <c r="M1600" s="9">
        <f>ROUND(SUM(I1600:L1600),2)</f>
        <v/>
      </c>
      <c r="N1600" s="10">
        <f>ROUND(I1600*'Irish Basis'!$C$6*'Irish Basis'!$C$5,2)</f>
        <v/>
      </c>
      <c r="O1600" s="10">
        <f>ROUND(J1600*'Irish Basis'!$C$7*'Irish Basis'!$C$5,2)</f>
        <v/>
      </c>
      <c r="P1600" s="10">
        <f>ROUND(K1600*'Irish Basis'!$C$8*'Irish Basis'!$C$5,2)</f>
        <v/>
      </c>
      <c r="Q1600" s="10">
        <f>ROUND(L1600*'Irish Basis'!$C$12*'Irish Basis'!$C$5,2)</f>
        <v/>
      </c>
      <c r="R1600" s="11">
        <f>ROUND(SUM(N1600:Q1600),2)</f>
        <v/>
      </c>
      <c r="S1600" s="5" t="inlineStr">
        <is>
          <t>Stated build-up</t>
        </is>
      </c>
      <c r="T1600" s="12" t="inlineStr">
        <is>
          <t>High</t>
        </is>
      </c>
      <c r="U1600" s="8" t="n">
        <v>108.35</v>
      </c>
      <c r="V1600" s="13">
        <f>IF(U1600="","",ROUND(M1600-U1600,2))</f>
        <v/>
      </c>
      <c r="W1600" s="5" t="n"/>
      <c r="X1600" s="5" t="inlineStr">
        <is>
          <t>Labour + plant + material as published; reconciles to the published rate.</t>
        </is>
      </c>
    </row>
    <row r="1601" ht="13" customHeight="1">
      <c r="A1601" s="4" t="n">
        <v>2529</v>
      </c>
      <c r="B1601" s="5" t="inlineStr">
        <is>
          <t>IMG_0099</t>
        </is>
      </c>
      <c r="C1601" s="5" t="inlineStr">
        <is>
          <t>CLASS I: PIPEWORK - PIPES</t>
        </is>
      </c>
      <c r="D1601" s="5" t="inlineStr">
        <is>
          <t>05 POLYVINYL CHLORIDE PIPES</t>
        </is>
      </c>
      <c r="E1601" s="5" t="inlineStr">
        <is>
          <t>160 mm pipes; in trench, depth</t>
        </is>
      </c>
      <c r="F1601" s="5" t="inlineStr">
        <is>
          <t>not in trenches</t>
        </is>
      </c>
      <c r="G1601" s="6" t="inlineStr">
        <is>
          <t>m</t>
        </is>
      </c>
      <c r="H1601" s="7" t="n">
        <v>0.06</v>
      </c>
      <c r="I1601" s="8" t="n">
        <v>5.18</v>
      </c>
      <c r="J1601" s="8" t="n">
        <v>0.26</v>
      </c>
      <c r="K1601" s="8" t="n">
        <v>69.94</v>
      </c>
      <c r="L1601" s="8" t="n">
        <v>0</v>
      </c>
      <c r="M1601" s="9">
        <f>ROUND(SUM(I1601:L1601),2)</f>
        <v/>
      </c>
      <c r="N1601" s="10">
        <f>ROUND(I1601*'Irish Basis'!$C$6*'Irish Basis'!$C$5,2)</f>
        <v/>
      </c>
      <c r="O1601" s="10">
        <f>ROUND(J1601*'Irish Basis'!$C$7*'Irish Basis'!$C$5,2)</f>
        <v/>
      </c>
      <c r="P1601" s="10">
        <f>ROUND(K1601*'Irish Basis'!$C$8*'Irish Basis'!$C$5,2)</f>
        <v/>
      </c>
      <c r="Q1601" s="10">
        <f>ROUND(L1601*'Irish Basis'!$C$12*'Irish Basis'!$C$5,2)</f>
        <v/>
      </c>
      <c r="R1601" s="11">
        <f>ROUND(SUM(N1601:Q1601),2)</f>
        <v/>
      </c>
      <c r="S1601" s="5" t="inlineStr">
        <is>
          <t>Stated build-up</t>
        </is>
      </c>
      <c r="T1601" s="12" t="inlineStr">
        <is>
          <t>High</t>
        </is>
      </c>
      <c r="U1601" s="8" t="n">
        <v>75.37</v>
      </c>
      <c r="V1601" s="13">
        <f>IF(U1601="","",ROUND(M1601-U1601,2))</f>
        <v/>
      </c>
      <c r="W1601" s="5" t="n"/>
      <c r="X1601" s="5" t="inlineStr">
        <is>
          <t>Labour + plant + material as published; reconciles to the published rate.</t>
        </is>
      </c>
    </row>
    <row r="1602" ht="13" customHeight="1">
      <c r="A1602" s="4" t="n">
        <v>2530</v>
      </c>
      <c r="B1602" s="5" t="inlineStr">
        <is>
          <t>IMG_0099</t>
        </is>
      </c>
      <c r="C1602" s="5" t="inlineStr">
        <is>
          <t>CLASS I: PIPEWORK - PIPES</t>
        </is>
      </c>
      <c r="D1602" s="5" t="inlineStr">
        <is>
          <t>05 POLYVINYL CHLORIDE PIPES</t>
        </is>
      </c>
      <c r="E1602" s="5" t="inlineStr">
        <is>
          <t>160 mm pipes; in trench, depth</t>
        </is>
      </c>
      <c r="F1602" s="5" t="inlineStr">
        <is>
          <t>ne 1.50 m deep</t>
        </is>
      </c>
      <c r="G1602" s="6" t="inlineStr">
        <is>
          <t>m</t>
        </is>
      </c>
      <c r="H1602" s="7" t="n">
        <v>0.11</v>
      </c>
      <c r="I1602" s="8" t="n">
        <v>15.2</v>
      </c>
      <c r="J1602" s="8" t="n">
        <v>9.26</v>
      </c>
      <c r="K1602" s="8" t="n">
        <v>69.94</v>
      </c>
      <c r="L1602" s="8" t="n">
        <v>0</v>
      </c>
      <c r="M1602" s="9">
        <f>ROUND(SUM(I1602:L1602),2)</f>
        <v/>
      </c>
      <c r="N1602" s="10">
        <f>ROUND(I1602*'Irish Basis'!$C$6*'Irish Basis'!$C$5,2)</f>
        <v/>
      </c>
      <c r="O1602" s="10">
        <f>ROUND(J1602*'Irish Basis'!$C$7*'Irish Basis'!$C$5,2)</f>
        <v/>
      </c>
      <c r="P1602" s="10">
        <f>ROUND(K1602*'Irish Basis'!$C$8*'Irish Basis'!$C$5,2)</f>
        <v/>
      </c>
      <c r="Q1602" s="10">
        <f>ROUND(L1602*'Irish Basis'!$C$12*'Irish Basis'!$C$5,2)</f>
        <v/>
      </c>
      <c r="R1602" s="11">
        <f>ROUND(SUM(N1602:Q1602),2)</f>
        <v/>
      </c>
      <c r="S1602" s="5" t="inlineStr">
        <is>
          <t>Stated build-up</t>
        </is>
      </c>
      <c r="T1602" s="12" t="inlineStr">
        <is>
          <t>High</t>
        </is>
      </c>
      <c r="U1602" s="8" t="n">
        <v>94.40000000000001</v>
      </c>
      <c r="V1602" s="13">
        <f>IF(U1602="","",ROUND(M1602-U1602,2))</f>
        <v/>
      </c>
      <c r="W1602" s="5" t="n"/>
      <c r="X1602" s="5" t="inlineStr">
        <is>
          <t>Labour + plant + material as published; reconciles to the published rate.</t>
        </is>
      </c>
    </row>
    <row r="1603" ht="13" customHeight="1">
      <c r="A1603" s="4" t="n">
        <v>2531</v>
      </c>
      <c r="B1603" s="5" t="inlineStr">
        <is>
          <t>IMG_0099</t>
        </is>
      </c>
      <c r="C1603" s="5" t="inlineStr">
        <is>
          <t>CLASS I: PIPEWORK - PIPES</t>
        </is>
      </c>
      <c r="D1603" s="5" t="inlineStr">
        <is>
          <t>05 POLYVINYL CHLORIDE PIPES</t>
        </is>
      </c>
      <c r="E1603" s="5" t="inlineStr">
        <is>
          <t>160 mm pipes; in trench, depth</t>
        </is>
      </c>
      <c r="F1603" s="5" t="inlineStr">
        <is>
          <t>1.50-2.00 m deep</t>
        </is>
      </c>
      <c r="G1603" s="6" t="inlineStr">
        <is>
          <t>m</t>
        </is>
      </c>
      <c r="H1603" s="7" t="n">
        <v>0.14</v>
      </c>
      <c r="I1603" s="8" t="n">
        <v>19.35</v>
      </c>
      <c r="J1603" s="8" t="n">
        <v>11.83</v>
      </c>
      <c r="K1603" s="8" t="n">
        <v>69.94</v>
      </c>
      <c r="L1603" s="8" t="n">
        <v>0</v>
      </c>
      <c r="M1603" s="9">
        <f>ROUND(SUM(I1603:L1603),2)</f>
        <v/>
      </c>
      <c r="N1603" s="10">
        <f>ROUND(I1603*'Irish Basis'!$C$6*'Irish Basis'!$C$5,2)</f>
        <v/>
      </c>
      <c r="O1603" s="10">
        <f>ROUND(J1603*'Irish Basis'!$C$7*'Irish Basis'!$C$5,2)</f>
        <v/>
      </c>
      <c r="P1603" s="10">
        <f>ROUND(K1603*'Irish Basis'!$C$8*'Irish Basis'!$C$5,2)</f>
        <v/>
      </c>
      <c r="Q1603" s="10">
        <f>ROUND(L1603*'Irish Basis'!$C$12*'Irish Basis'!$C$5,2)</f>
        <v/>
      </c>
      <c r="R1603" s="11">
        <f>ROUND(SUM(N1603:Q1603),2)</f>
        <v/>
      </c>
      <c r="S1603" s="5" t="inlineStr">
        <is>
          <t>Stated build-up</t>
        </is>
      </c>
      <c r="T1603" s="12" t="inlineStr">
        <is>
          <t>High</t>
        </is>
      </c>
      <c r="U1603" s="8" t="n">
        <v>101.12</v>
      </c>
      <c r="V1603" s="13">
        <f>IF(U1603="","",ROUND(M1603-U1603,2))</f>
        <v/>
      </c>
      <c r="W1603" s="5" t="n"/>
      <c r="X1603" s="5" t="inlineStr">
        <is>
          <t>Labour + plant + material as published; reconciles to the published rate.</t>
        </is>
      </c>
    </row>
    <row r="1604" ht="13" customHeight="1">
      <c r="A1604" s="4" t="n">
        <v>2532</v>
      </c>
      <c r="B1604" s="5" t="inlineStr">
        <is>
          <t>IMG_0099</t>
        </is>
      </c>
      <c r="C1604" s="5" t="inlineStr">
        <is>
          <t>CLASS I: PIPEWORK - PIPES</t>
        </is>
      </c>
      <c r="D1604" s="5" t="inlineStr">
        <is>
          <t>05 POLYVINYL CHLORIDE PIPES</t>
        </is>
      </c>
      <c r="E1604" s="5" t="inlineStr">
        <is>
          <t>160 mm pipes; in trench, depth</t>
        </is>
      </c>
      <c r="F1604" s="5" t="inlineStr">
        <is>
          <t>2.00-2.50 m deep</t>
        </is>
      </c>
      <c r="G1604" s="6" t="inlineStr">
        <is>
          <t>m</t>
        </is>
      </c>
      <c r="H1604" s="7" t="n">
        <v>0.18</v>
      </c>
      <c r="I1604" s="8" t="n">
        <v>24.87</v>
      </c>
      <c r="J1604" s="8" t="n">
        <v>15.21</v>
      </c>
      <c r="K1604" s="8" t="n">
        <v>69.94</v>
      </c>
      <c r="L1604" s="8" t="n">
        <v>0</v>
      </c>
      <c r="M1604" s="9">
        <f>ROUND(SUM(I1604:L1604),2)</f>
        <v/>
      </c>
      <c r="N1604" s="10">
        <f>ROUND(I1604*'Irish Basis'!$C$6*'Irish Basis'!$C$5,2)</f>
        <v/>
      </c>
      <c r="O1604" s="10">
        <f>ROUND(J1604*'Irish Basis'!$C$7*'Irish Basis'!$C$5,2)</f>
        <v/>
      </c>
      <c r="P1604" s="10">
        <f>ROUND(K1604*'Irish Basis'!$C$8*'Irish Basis'!$C$5,2)</f>
        <v/>
      </c>
      <c r="Q1604" s="10">
        <f>ROUND(L1604*'Irish Basis'!$C$12*'Irish Basis'!$C$5,2)</f>
        <v/>
      </c>
      <c r="R1604" s="11">
        <f>ROUND(SUM(N1604:Q1604),2)</f>
        <v/>
      </c>
      <c r="S1604" s="5" t="inlineStr">
        <is>
          <t>Stated build-up</t>
        </is>
      </c>
      <c r="T1604" s="12" t="inlineStr">
        <is>
          <t>High</t>
        </is>
      </c>
      <c r="U1604" s="8" t="n">
        <v>110.02</v>
      </c>
      <c r="V1604" s="13">
        <f>IF(U1604="","",ROUND(M1604-U1604,2))</f>
        <v/>
      </c>
      <c r="W1604" s="5" t="n"/>
      <c r="X1604" s="5" t="inlineStr">
        <is>
          <t>Labour + plant + material as published; reconciles to the published rate.</t>
        </is>
      </c>
    </row>
    <row r="1605" ht="13" customHeight="1">
      <c r="A1605" s="4" t="n">
        <v>2533</v>
      </c>
      <c r="B1605" s="5" t="inlineStr">
        <is>
          <t>IMG_0099</t>
        </is>
      </c>
      <c r="C1605" s="5" t="inlineStr">
        <is>
          <t>CLASS I: PIPEWORK - PIPES</t>
        </is>
      </c>
      <c r="D1605" s="5" t="inlineStr">
        <is>
          <t>05 POLYVINYL CHLORIDE PIPES</t>
        </is>
      </c>
      <c r="E1605" s="5" t="inlineStr">
        <is>
          <t>160 mm pipes; in trench, depth</t>
        </is>
      </c>
      <c r="F1605" s="5" t="inlineStr">
        <is>
          <t>2.50-3.00 m deep</t>
        </is>
      </c>
      <c r="G1605" s="6" t="inlineStr">
        <is>
          <t>m</t>
        </is>
      </c>
      <c r="H1605" s="7" t="n">
        <v>0.22</v>
      </c>
      <c r="I1605" s="8" t="n">
        <v>30.4</v>
      </c>
      <c r="J1605" s="8" t="n">
        <v>18.6</v>
      </c>
      <c r="K1605" s="8" t="n">
        <v>69.94</v>
      </c>
      <c r="L1605" s="8" t="n">
        <v>0</v>
      </c>
      <c r="M1605" s="9">
        <f>ROUND(SUM(I1605:L1605),2)</f>
        <v/>
      </c>
      <c r="N1605" s="10">
        <f>ROUND(I1605*'Irish Basis'!$C$6*'Irish Basis'!$C$5,2)</f>
        <v/>
      </c>
      <c r="O1605" s="10">
        <f>ROUND(J1605*'Irish Basis'!$C$7*'Irish Basis'!$C$5,2)</f>
        <v/>
      </c>
      <c r="P1605" s="10">
        <f>ROUND(K1605*'Irish Basis'!$C$8*'Irish Basis'!$C$5,2)</f>
        <v/>
      </c>
      <c r="Q1605" s="10">
        <f>ROUND(L1605*'Irish Basis'!$C$12*'Irish Basis'!$C$5,2)</f>
        <v/>
      </c>
      <c r="R1605" s="11">
        <f>ROUND(SUM(N1605:Q1605),2)</f>
        <v/>
      </c>
      <c r="S1605" s="5" t="inlineStr">
        <is>
          <t>Stated build-up</t>
        </is>
      </c>
      <c r="T1605" s="12" t="inlineStr">
        <is>
          <t>High</t>
        </is>
      </c>
      <c r="U1605" s="8" t="n">
        <v>118.94</v>
      </c>
      <c r="V1605" s="13">
        <f>IF(U1605="","",ROUND(M1605-U1605,2))</f>
        <v/>
      </c>
      <c r="W1605" s="5" t="n"/>
      <c r="X1605" s="5" t="inlineStr">
        <is>
          <t>Labour + plant + material as published; reconciles to the published rate.</t>
        </is>
      </c>
    </row>
    <row r="1606" ht="13" customHeight="1">
      <c r="A1606" s="4" t="n">
        <v>2534</v>
      </c>
      <c r="B1606" s="5" t="inlineStr">
        <is>
          <t>IMG_0099</t>
        </is>
      </c>
      <c r="C1606" s="5" t="inlineStr">
        <is>
          <t>CLASS I: PIPEWORK - PIPES</t>
        </is>
      </c>
      <c r="D1606" s="5" t="inlineStr">
        <is>
          <t>05 POLYVINYL CHLORIDE PIPES</t>
        </is>
      </c>
      <c r="E1606" s="5" t="inlineStr">
        <is>
          <t>160 mm pipes; in trench, depth</t>
        </is>
      </c>
      <c r="F1606" s="5" t="inlineStr">
        <is>
          <t>3.00-3.50 m deep</t>
        </is>
      </c>
      <c r="G1606" s="6" t="inlineStr">
        <is>
          <t>m</t>
        </is>
      </c>
      <c r="H1606" s="7" t="n">
        <v>0.23</v>
      </c>
      <c r="I1606" s="8" t="n">
        <v>31.78</v>
      </c>
      <c r="J1606" s="8" t="n">
        <v>19.44</v>
      </c>
      <c r="K1606" s="8" t="n">
        <v>69.94</v>
      </c>
      <c r="L1606" s="8" t="n">
        <v>0</v>
      </c>
      <c r="M1606" s="9">
        <f>ROUND(SUM(I1606:L1606),2)</f>
        <v/>
      </c>
      <c r="N1606" s="10">
        <f>ROUND(I1606*'Irish Basis'!$C$6*'Irish Basis'!$C$5,2)</f>
        <v/>
      </c>
      <c r="O1606" s="10">
        <f>ROUND(J1606*'Irish Basis'!$C$7*'Irish Basis'!$C$5,2)</f>
        <v/>
      </c>
      <c r="P1606" s="10">
        <f>ROUND(K1606*'Irish Basis'!$C$8*'Irish Basis'!$C$5,2)</f>
        <v/>
      </c>
      <c r="Q1606" s="10">
        <f>ROUND(L1606*'Irish Basis'!$C$12*'Irish Basis'!$C$5,2)</f>
        <v/>
      </c>
      <c r="R1606" s="11">
        <f>ROUND(SUM(N1606:Q1606),2)</f>
        <v/>
      </c>
      <c r="S1606" s="5" t="inlineStr">
        <is>
          <t>Stated build-up</t>
        </is>
      </c>
      <c r="T1606" s="12" t="inlineStr">
        <is>
          <t>High</t>
        </is>
      </c>
      <c r="U1606" s="8" t="n">
        <v>121.16</v>
      </c>
      <c r="V1606" s="13">
        <f>IF(U1606="","",ROUND(M1606-U1606,2))</f>
        <v/>
      </c>
      <c r="W1606" s="5" t="n"/>
      <c r="X1606" s="5" t="inlineStr">
        <is>
          <t>Labour + plant + material as published; reconciles to the published rate.</t>
        </is>
      </c>
    </row>
    <row r="1607" ht="13" customHeight="1">
      <c r="A1607" s="4" t="n">
        <v>2535</v>
      </c>
      <c r="B1607" s="5" t="inlineStr">
        <is>
          <t>IMG_0099</t>
        </is>
      </c>
      <c r="C1607" s="5" t="inlineStr">
        <is>
          <t>CLASS I: PIPEWORK - PIPES</t>
        </is>
      </c>
      <c r="D1607" s="5" t="inlineStr">
        <is>
          <t>05 POLYVINYL CHLORIDE PIPES</t>
        </is>
      </c>
      <c r="E1607" s="5" t="inlineStr">
        <is>
          <t>160 mm pipes; in trench, depth</t>
        </is>
      </c>
      <c r="F1607" s="5" t="inlineStr">
        <is>
          <t>3.50-4.00 m deep</t>
        </is>
      </c>
      <c r="G1607" s="6" t="inlineStr">
        <is>
          <t>m</t>
        </is>
      </c>
      <c r="H1607" s="7" t="n">
        <v>0.26</v>
      </c>
      <c r="I1607" s="8" t="n">
        <v>35.93</v>
      </c>
      <c r="J1607" s="8" t="n">
        <v>22.02</v>
      </c>
      <c r="K1607" s="8" t="n">
        <v>69.94</v>
      </c>
      <c r="L1607" s="8" t="n">
        <v>0</v>
      </c>
      <c r="M1607" s="9">
        <f>ROUND(SUM(I1607:L1607),2)</f>
        <v/>
      </c>
      <c r="N1607" s="10">
        <f>ROUND(I1607*'Irish Basis'!$C$6*'Irish Basis'!$C$5,2)</f>
        <v/>
      </c>
      <c r="O1607" s="10">
        <f>ROUND(J1607*'Irish Basis'!$C$7*'Irish Basis'!$C$5,2)</f>
        <v/>
      </c>
      <c r="P1607" s="10">
        <f>ROUND(K1607*'Irish Basis'!$C$8*'Irish Basis'!$C$5,2)</f>
        <v/>
      </c>
      <c r="Q1607" s="10">
        <f>ROUND(L1607*'Irish Basis'!$C$12*'Irish Basis'!$C$5,2)</f>
        <v/>
      </c>
      <c r="R1607" s="11">
        <f>ROUND(SUM(N1607:Q1607),2)</f>
        <v/>
      </c>
      <c r="S1607" s="5" t="inlineStr">
        <is>
          <t>Stated build-up</t>
        </is>
      </c>
      <c r="T1607" s="12" t="inlineStr">
        <is>
          <t>High</t>
        </is>
      </c>
      <c r="U1607" s="8" t="n">
        <v>127.89</v>
      </c>
      <c r="V1607" s="13">
        <f>IF(U1607="","",ROUND(M1607-U1607,2))</f>
        <v/>
      </c>
      <c r="W1607" s="5" t="n"/>
      <c r="X1607" s="5" t="inlineStr">
        <is>
          <t>Labour + plant + material as published; reconciles to the published rate.</t>
        </is>
      </c>
    </row>
    <row r="1608" ht="13" customHeight="1">
      <c r="A1608" s="4" t="n">
        <v>2536</v>
      </c>
      <c r="B1608" s="5" t="inlineStr">
        <is>
          <t>IMG_0099</t>
        </is>
      </c>
      <c r="C1608" s="5" t="inlineStr">
        <is>
          <t>CLASS I: PIPEWORK - PIPES</t>
        </is>
      </c>
      <c r="D1608" s="5" t="inlineStr">
        <is>
          <t>05 POLYVINYL CHLORIDE PIPES</t>
        </is>
      </c>
      <c r="E1608" s="5" t="inlineStr">
        <is>
          <t>160 mm pipes; in trench, depth</t>
        </is>
      </c>
      <c r="F1608" s="5" t="inlineStr">
        <is>
          <t>4.00-4.50 m deep</t>
        </is>
      </c>
      <c r="G1608" s="6" t="inlineStr">
        <is>
          <t>m</t>
        </is>
      </c>
      <c r="H1608" s="7" t="n">
        <v>0.3</v>
      </c>
      <c r="I1608" s="8" t="n">
        <v>41.45</v>
      </c>
      <c r="J1608" s="8" t="n">
        <v>25.39</v>
      </c>
      <c r="K1608" s="8" t="n">
        <v>69.94</v>
      </c>
      <c r="L1608" s="8" t="n">
        <v>0</v>
      </c>
      <c r="M1608" s="9">
        <f>ROUND(SUM(I1608:L1608),2)</f>
        <v/>
      </c>
      <c r="N1608" s="10">
        <f>ROUND(I1608*'Irish Basis'!$C$6*'Irish Basis'!$C$5,2)</f>
        <v/>
      </c>
      <c r="O1608" s="10">
        <f>ROUND(J1608*'Irish Basis'!$C$7*'Irish Basis'!$C$5,2)</f>
        <v/>
      </c>
      <c r="P1608" s="10">
        <f>ROUND(K1608*'Irish Basis'!$C$8*'Irish Basis'!$C$5,2)</f>
        <v/>
      </c>
      <c r="Q1608" s="10">
        <f>ROUND(L1608*'Irish Basis'!$C$12*'Irish Basis'!$C$5,2)</f>
        <v/>
      </c>
      <c r="R1608" s="11">
        <f>ROUND(SUM(N1608:Q1608),2)</f>
        <v/>
      </c>
      <c r="S1608" s="5" t="inlineStr">
        <is>
          <t>Stated build-up</t>
        </is>
      </c>
      <c r="T1608" s="12" t="inlineStr">
        <is>
          <t>High</t>
        </is>
      </c>
      <c r="U1608" s="8" t="n">
        <v>136.78</v>
      </c>
      <c r="V1608" s="13">
        <f>IF(U1608="","",ROUND(M1608-U1608,2))</f>
        <v/>
      </c>
      <c r="W1608" s="5" t="n"/>
      <c r="X1608" s="5" t="inlineStr">
        <is>
          <t>Labour + plant + material as published; reconciles to the published rate.</t>
        </is>
      </c>
    </row>
    <row r="1609" ht="13" customHeight="1">
      <c r="A1609" s="4" t="n">
        <v>2537</v>
      </c>
      <c r="B1609" s="5" t="inlineStr">
        <is>
          <t>IMG_0099</t>
        </is>
      </c>
      <c r="C1609" s="5" t="inlineStr">
        <is>
          <t>CLASS I: PIPEWORK - PIPES</t>
        </is>
      </c>
      <c r="D1609" s="5" t="inlineStr">
        <is>
          <t>05 POLYVINYL CHLORIDE PIPES</t>
        </is>
      </c>
      <c r="E1609" s="5" t="inlineStr">
        <is>
          <t>160 mm pipes; in trench, depth</t>
        </is>
      </c>
      <c r="F1609" s="5" t="inlineStr">
        <is>
          <t>4.50-5.00 m deep</t>
        </is>
      </c>
      <c r="G1609" s="6" t="inlineStr">
        <is>
          <t>m</t>
        </is>
      </c>
      <c r="H1609" s="7" t="n">
        <v>0.35</v>
      </c>
      <c r="I1609" s="8" t="n">
        <v>48.36</v>
      </c>
      <c r="J1609" s="8" t="n">
        <v>29.65</v>
      </c>
      <c r="K1609" s="8" t="n">
        <v>69.94</v>
      </c>
      <c r="L1609" s="8" t="n">
        <v>0</v>
      </c>
      <c r="M1609" s="9">
        <f>ROUND(SUM(I1609:L1609),2)</f>
        <v/>
      </c>
      <c r="N1609" s="10">
        <f>ROUND(I1609*'Irish Basis'!$C$6*'Irish Basis'!$C$5,2)</f>
        <v/>
      </c>
      <c r="O1609" s="10">
        <f>ROUND(J1609*'Irish Basis'!$C$7*'Irish Basis'!$C$5,2)</f>
        <v/>
      </c>
      <c r="P1609" s="10">
        <f>ROUND(K1609*'Irish Basis'!$C$8*'Irish Basis'!$C$5,2)</f>
        <v/>
      </c>
      <c r="Q1609" s="10">
        <f>ROUND(L1609*'Irish Basis'!$C$12*'Irish Basis'!$C$5,2)</f>
        <v/>
      </c>
      <c r="R1609" s="11">
        <f>ROUND(SUM(N1609:Q1609),2)</f>
        <v/>
      </c>
      <c r="S1609" s="5" t="inlineStr">
        <is>
          <t>Stated build-up</t>
        </is>
      </c>
      <c r="T1609" s="12" t="inlineStr">
        <is>
          <t>High</t>
        </is>
      </c>
      <c r="U1609" s="8" t="n">
        <v>147.95</v>
      </c>
      <c r="V1609" s="13">
        <f>IF(U1609="","",ROUND(M1609-U1609,2))</f>
        <v/>
      </c>
      <c r="W1609" s="5" t="n"/>
      <c r="X1609" s="5" t="inlineStr">
        <is>
          <t>Labour + plant + material as published; reconciles to the published rate.</t>
        </is>
      </c>
    </row>
    <row r="1610" ht="13" customHeight="1">
      <c r="A1610" s="4" t="n">
        <v>2538</v>
      </c>
      <c r="B1610" s="5" t="inlineStr">
        <is>
          <t>IMG_0099</t>
        </is>
      </c>
      <c r="C1610" s="5" t="inlineStr">
        <is>
          <t>CLASS I: PIPEWORK - PIPES</t>
        </is>
      </c>
      <c r="D1610" s="5" t="inlineStr">
        <is>
          <t>05 POLYVINYL CHLORIDE PIPES</t>
        </is>
      </c>
      <c r="E1610" s="5" t="inlineStr">
        <is>
          <t>160 mm pipes; in trench, depth</t>
        </is>
      </c>
      <c r="F1610" s="5" t="inlineStr">
        <is>
          <t>5.00-5.50 m deep</t>
        </is>
      </c>
      <c r="G1610" s="6" t="inlineStr">
        <is>
          <t>m</t>
        </is>
      </c>
      <c r="H1610" s="7" t="n">
        <v>0.4</v>
      </c>
      <c r="I1610" s="8" t="n">
        <v>55.27</v>
      </c>
      <c r="J1610" s="8" t="n">
        <v>33.91</v>
      </c>
      <c r="K1610" s="8" t="n">
        <v>69.94</v>
      </c>
      <c r="L1610" s="8" t="n">
        <v>0</v>
      </c>
      <c r="M1610" s="9">
        <f>ROUND(SUM(I1610:L1610),2)</f>
        <v/>
      </c>
      <c r="N1610" s="10">
        <f>ROUND(I1610*'Irish Basis'!$C$6*'Irish Basis'!$C$5,2)</f>
        <v/>
      </c>
      <c r="O1610" s="10">
        <f>ROUND(J1610*'Irish Basis'!$C$7*'Irish Basis'!$C$5,2)</f>
        <v/>
      </c>
      <c r="P1610" s="10">
        <f>ROUND(K1610*'Irish Basis'!$C$8*'Irish Basis'!$C$5,2)</f>
        <v/>
      </c>
      <c r="Q1610" s="10">
        <f>ROUND(L1610*'Irish Basis'!$C$12*'Irish Basis'!$C$5,2)</f>
        <v/>
      </c>
      <c r="R1610" s="11">
        <f>ROUND(SUM(N1610:Q1610),2)</f>
        <v/>
      </c>
      <c r="S1610" s="5" t="inlineStr">
        <is>
          <t>Stated build-up</t>
        </is>
      </c>
      <c r="T1610" s="12" t="inlineStr">
        <is>
          <t>High</t>
        </is>
      </c>
      <c r="U1610" s="8" t="n">
        <v>159.12</v>
      </c>
      <c r="V1610" s="13">
        <f>IF(U1610="","",ROUND(M1610-U1610,2))</f>
        <v/>
      </c>
      <c r="W1610" s="5" t="n"/>
      <c r="X1610" s="5" t="inlineStr">
        <is>
          <t>Labour + plant + material as published; reconciles to the published rate.</t>
        </is>
      </c>
    </row>
    <row r="1611" ht="13" customHeight="1">
      <c r="A1611" s="4" t="n">
        <v>2540</v>
      </c>
      <c r="B1611" s="5" t="inlineStr">
        <is>
          <t>IMG_0099</t>
        </is>
      </c>
      <c r="C1611" s="5" t="inlineStr">
        <is>
          <t>CLASS I: PIPEWORK - PIPES</t>
        </is>
      </c>
      <c r="D1611" s="5" t="inlineStr">
        <is>
          <t>05 POLYVINYL CHLORIDE PIPES</t>
        </is>
      </c>
      <c r="E1611" s="5" t="inlineStr">
        <is>
          <t>Unplasticized pvc pipes; ring seal sockets; excavation and supports, backfilling; 6 m pipe lengths unless stated otherwise; 82 mm pipes; in trenches, depth</t>
        </is>
      </c>
      <c r="F1611" s="5" t="inlineStr">
        <is>
          <t>not in trenches; 3.00 m pipe lengths</t>
        </is>
      </c>
      <c r="G1611" s="6" t="inlineStr">
        <is>
          <t>m</t>
        </is>
      </c>
      <c r="H1611" s="7" t="n">
        <v>0.06</v>
      </c>
      <c r="I1611" s="8" t="n">
        <v>5.18</v>
      </c>
      <c r="J1611" s="8" t="n">
        <v>0.65</v>
      </c>
      <c r="K1611" s="8" t="n">
        <v>23.05</v>
      </c>
      <c r="L1611" s="8" t="n">
        <v>0</v>
      </c>
      <c r="M1611" s="9">
        <f>ROUND(SUM(I1611:L1611),2)</f>
        <v/>
      </c>
      <c r="N1611" s="10">
        <f>ROUND(I1611*'Irish Basis'!$C$6*'Irish Basis'!$C$5,2)</f>
        <v/>
      </c>
      <c r="O1611" s="10">
        <f>ROUND(J1611*'Irish Basis'!$C$7*'Irish Basis'!$C$5,2)</f>
        <v/>
      </c>
      <c r="P1611" s="10">
        <f>ROUND(K1611*'Irish Basis'!$C$8*'Irish Basis'!$C$5,2)</f>
        <v/>
      </c>
      <c r="Q1611" s="10">
        <f>ROUND(L1611*'Irish Basis'!$C$12*'Irish Basis'!$C$5,2)</f>
        <v/>
      </c>
      <c r="R1611" s="11">
        <f>ROUND(SUM(N1611:Q1611),2)</f>
        <v/>
      </c>
      <c r="S1611" s="5" t="inlineStr">
        <is>
          <t>Stated build-up</t>
        </is>
      </c>
      <c r="T1611" s="12" t="inlineStr">
        <is>
          <t>High</t>
        </is>
      </c>
      <c r="U1611" s="8" t="n">
        <v>28.88</v>
      </c>
      <c r="V1611" s="13">
        <f>IF(U1611="","",ROUND(M1611-U1611,2))</f>
        <v/>
      </c>
      <c r="W1611" s="5" t="n"/>
      <c r="X1611" s="5" t="inlineStr">
        <is>
          <t>Labour + plant + material as published; reconciles to the published rate.</t>
        </is>
      </c>
    </row>
    <row r="1612" ht="13" customHeight="1">
      <c r="A1612" s="4" t="n">
        <v>2541</v>
      </c>
      <c r="B1612" s="5" t="inlineStr">
        <is>
          <t>IMG_0099</t>
        </is>
      </c>
      <c r="C1612" s="5" t="inlineStr">
        <is>
          <t>CLASS I: PIPEWORK - PIPES</t>
        </is>
      </c>
      <c r="D1612" s="5" t="inlineStr">
        <is>
          <t>05 POLYVINYL CHLORIDE PIPES</t>
        </is>
      </c>
      <c r="E1612" s="5" t="inlineStr">
        <is>
          <t>Unplasticized pvc pipes; ring seal sockets; excavation and supports, backfilling; 6 m pipe lengths unless stated otherwise; 82 mm pipes; in trenches, depth</t>
        </is>
      </c>
      <c r="F1612" s="5" t="inlineStr">
        <is>
          <t>ne 1.50 m deep; 3.00 m pipe lengths</t>
        </is>
      </c>
      <c r="G1612" s="6" t="inlineStr">
        <is>
          <t>m</t>
        </is>
      </c>
      <c r="H1612" s="7" t="n">
        <v>0.1</v>
      </c>
      <c r="I1612" s="8" t="n">
        <v>13.82</v>
      </c>
      <c r="J1612" s="8" t="n">
        <v>12.87</v>
      </c>
      <c r="K1612" s="8" t="n">
        <v>23.05</v>
      </c>
      <c r="L1612" s="8" t="n">
        <v>0</v>
      </c>
      <c r="M1612" s="9">
        <f>ROUND(SUM(I1612:L1612),2)</f>
        <v/>
      </c>
      <c r="N1612" s="10">
        <f>ROUND(I1612*'Irish Basis'!$C$6*'Irish Basis'!$C$5,2)</f>
        <v/>
      </c>
      <c r="O1612" s="10">
        <f>ROUND(J1612*'Irish Basis'!$C$7*'Irish Basis'!$C$5,2)</f>
        <v/>
      </c>
      <c r="P1612" s="10">
        <f>ROUND(K1612*'Irish Basis'!$C$8*'Irish Basis'!$C$5,2)</f>
        <v/>
      </c>
      <c r="Q1612" s="10">
        <f>ROUND(L1612*'Irish Basis'!$C$12*'Irish Basis'!$C$5,2)</f>
        <v/>
      </c>
      <c r="R1612" s="11">
        <f>ROUND(SUM(N1612:Q1612),2)</f>
        <v/>
      </c>
      <c r="S1612" s="5" t="inlineStr">
        <is>
          <t>Stated build-up</t>
        </is>
      </c>
      <c r="T1612" s="12" t="inlineStr">
        <is>
          <t>High</t>
        </is>
      </c>
      <c r="U1612" s="8" t="n">
        <v>49.73</v>
      </c>
      <c r="V1612" s="13">
        <f>IF(U1612="","",ROUND(M1612-U1612,2))</f>
        <v/>
      </c>
      <c r="W1612" s="5" t="n"/>
      <c r="X1612" s="5" t="inlineStr">
        <is>
          <t>Labour + plant + material as published; reconciles to the published rate.</t>
        </is>
      </c>
    </row>
    <row r="1613" ht="13" customHeight="1">
      <c r="A1613" s="4" t="n">
        <v>2542</v>
      </c>
      <c r="B1613" s="5" t="inlineStr">
        <is>
          <t>IMG_0099</t>
        </is>
      </c>
      <c r="C1613" s="5" t="inlineStr">
        <is>
          <t>CLASS I: PIPEWORK - PIPES</t>
        </is>
      </c>
      <c r="D1613" s="5" t="inlineStr">
        <is>
          <t>05 POLYVINYL CHLORIDE PIPES</t>
        </is>
      </c>
      <c r="E1613" s="5" t="inlineStr">
        <is>
          <t>Unplasticized pvc pipes; ring seal sockets; excavation and supports, backfilling; 6 m pipe lengths unless stated otherwise; 82 mm pipes; in trenches, depth</t>
        </is>
      </c>
      <c r="F1613" s="5" t="inlineStr">
        <is>
          <t>1.50-2.00 m deep</t>
        </is>
      </c>
      <c r="G1613" s="6" t="inlineStr">
        <is>
          <t>m</t>
        </is>
      </c>
      <c r="H1613" s="7" t="n">
        <v>0.13</v>
      </c>
      <c r="I1613" s="8" t="n">
        <v>17.96</v>
      </c>
      <c r="J1613" s="8" t="n">
        <v>17.01</v>
      </c>
      <c r="K1613" s="8" t="n">
        <v>23.05</v>
      </c>
      <c r="L1613" s="8" t="n">
        <v>0</v>
      </c>
      <c r="M1613" s="9">
        <f>ROUND(SUM(I1613:L1613),2)</f>
        <v/>
      </c>
      <c r="N1613" s="10">
        <f>ROUND(I1613*'Irish Basis'!$C$6*'Irish Basis'!$C$5,2)</f>
        <v/>
      </c>
      <c r="O1613" s="10">
        <f>ROUND(J1613*'Irish Basis'!$C$7*'Irish Basis'!$C$5,2)</f>
        <v/>
      </c>
      <c r="P1613" s="10">
        <f>ROUND(K1613*'Irish Basis'!$C$8*'Irish Basis'!$C$5,2)</f>
        <v/>
      </c>
      <c r="Q1613" s="10">
        <f>ROUND(L1613*'Irish Basis'!$C$12*'Irish Basis'!$C$5,2)</f>
        <v/>
      </c>
      <c r="R1613" s="11">
        <f>ROUND(SUM(N1613:Q1613),2)</f>
        <v/>
      </c>
      <c r="S1613" s="5" t="inlineStr">
        <is>
          <t>Stated build-up</t>
        </is>
      </c>
      <c r="T1613" s="12" t="inlineStr">
        <is>
          <t>High</t>
        </is>
      </c>
      <c r="U1613" s="8" t="n">
        <v>58.02</v>
      </c>
      <c r="V1613" s="13">
        <f>IF(U1613="","",ROUND(M1613-U1613,2))</f>
        <v/>
      </c>
      <c r="W1613" s="5" t="n"/>
      <c r="X1613" s="5" t="inlineStr">
        <is>
          <t>Labour + plant + material as published; reconciles to the published rate.</t>
        </is>
      </c>
    </row>
    <row r="1614" ht="13" customHeight="1">
      <c r="A1614" s="4" t="n">
        <v>2543</v>
      </c>
      <c r="B1614" s="5" t="inlineStr">
        <is>
          <t>IMG_0099</t>
        </is>
      </c>
      <c r="C1614" s="5" t="inlineStr">
        <is>
          <t>CLASS I: PIPEWORK - PIPES</t>
        </is>
      </c>
      <c r="D1614" s="5" t="inlineStr">
        <is>
          <t>05 POLYVINYL CHLORIDE PIPES</t>
        </is>
      </c>
      <c r="E1614" s="5" t="inlineStr">
        <is>
          <t>Unplasticized pvc pipes; ring seal sockets; excavation and supports, backfilling; 6 m pipe lengths unless stated otherwise; 82 mm pipes; in trenches, depth</t>
        </is>
      </c>
      <c r="F1614" s="5" t="inlineStr">
        <is>
          <t>2.00-2.50 m deep</t>
        </is>
      </c>
      <c r="G1614" s="6" t="inlineStr">
        <is>
          <t>m</t>
        </is>
      </c>
      <c r="H1614" s="7" t="n">
        <v>0.16</v>
      </c>
      <c r="I1614" s="8" t="n">
        <v>22.11</v>
      </c>
      <c r="J1614" s="8" t="n">
        <v>20.92</v>
      </c>
      <c r="K1614" s="8" t="n">
        <v>23.05</v>
      </c>
      <c r="L1614" s="8" t="n">
        <v>0</v>
      </c>
      <c r="M1614" s="9">
        <f>ROUND(SUM(I1614:L1614),2)</f>
        <v/>
      </c>
      <c r="N1614" s="10">
        <f>ROUND(I1614*'Irish Basis'!$C$6*'Irish Basis'!$C$5,2)</f>
        <v/>
      </c>
      <c r="O1614" s="10">
        <f>ROUND(J1614*'Irish Basis'!$C$7*'Irish Basis'!$C$5,2)</f>
        <v/>
      </c>
      <c r="P1614" s="10">
        <f>ROUND(K1614*'Irish Basis'!$C$8*'Irish Basis'!$C$5,2)</f>
        <v/>
      </c>
      <c r="Q1614" s="10">
        <f>ROUND(L1614*'Irish Basis'!$C$12*'Irish Basis'!$C$5,2)</f>
        <v/>
      </c>
      <c r="R1614" s="11">
        <f>ROUND(SUM(N1614:Q1614),2)</f>
        <v/>
      </c>
      <c r="S1614" s="5" t="inlineStr">
        <is>
          <t>Stated build-up</t>
        </is>
      </c>
      <c r="T1614" s="12" t="inlineStr">
        <is>
          <t>High</t>
        </is>
      </c>
      <c r="U1614" s="8" t="n">
        <v>66.08</v>
      </c>
      <c r="V1614" s="13">
        <f>IF(U1614="","",ROUND(M1614-U1614,2))</f>
        <v/>
      </c>
      <c r="W1614" s="5" t="n"/>
      <c r="X1614" s="5" t="inlineStr">
        <is>
          <t>Labour + plant + material as published; reconciles to the published rate.</t>
        </is>
      </c>
    </row>
    <row r="1615" ht="13" customHeight="1">
      <c r="A1615" s="4" t="n">
        <v>2544</v>
      </c>
      <c r="B1615" s="5" t="inlineStr">
        <is>
          <t>IMG_0099</t>
        </is>
      </c>
      <c r="C1615" s="5" t="inlineStr">
        <is>
          <t>CLASS I: PIPEWORK - PIPES</t>
        </is>
      </c>
      <c r="D1615" s="5" t="inlineStr">
        <is>
          <t>05 POLYVINYL CHLORIDE PIPES</t>
        </is>
      </c>
      <c r="E1615" s="5" t="inlineStr">
        <is>
          <t>Unplasticized pvc pipes; ring seal sockets; excavation and supports, backfilling; 6 m pipe lengths unless stated otherwise; 82 mm pipes; in trenches, depth</t>
        </is>
      </c>
      <c r="F1615" s="5" t="inlineStr">
        <is>
          <t>2.50-3.00 m deep</t>
        </is>
      </c>
      <c r="G1615" s="6" t="inlineStr">
        <is>
          <t>m</t>
        </is>
      </c>
      <c r="H1615" s="7" t="n">
        <v>0.19</v>
      </c>
      <c r="I1615" s="8" t="n">
        <v>26.25</v>
      </c>
      <c r="J1615" s="8" t="n">
        <v>24.84</v>
      </c>
      <c r="K1615" s="8" t="n">
        <v>23.05</v>
      </c>
      <c r="L1615" s="8" t="n">
        <v>0</v>
      </c>
      <c r="M1615" s="9">
        <f>ROUND(SUM(I1615:L1615),2)</f>
        <v/>
      </c>
      <c r="N1615" s="10">
        <f>ROUND(I1615*'Irish Basis'!$C$6*'Irish Basis'!$C$5,2)</f>
        <v/>
      </c>
      <c r="O1615" s="10">
        <f>ROUND(J1615*'Irish Basis'!$C$7*'Irish Basis'!$C$5,2)</f>
        <v/>
      </c>
      <c r="P1615" s="10">
        <f>ROUND(K1615*'Irish Basis'!$C$8*'Irish Basis'!$C$5,2)</f>
        <v/>
      </c>
      <c r="Q1615" s="10">
        <f>ROUND(L1615*'Irish Basis'!$C$12*'Irish Basis'!$C$5,2)</f>
        <v/>
      </c>
      <c r="R1615" s="11">
        <f>ROUND(SUM(N1615:Q1615),2)</f>
        <v/>
      </c>
      <c r="S1615" s="5" t="inlineStr">
        <is>
          <t>Stated build-up</t>
        </is>
      </c>
      <c r="T1615" s="12" t="inlineStr">
        <is>
          <t>High</t>
        </is>
      </c>
      <c r="U1615" s="8" t="n">
        <v>74.14</v>
      </c>
      <c r="V1615" s="13">
        <f>IF(U1615="","",ROUND(M1615-U1615,2))</f>
        <v/>
      </c>
      <c r="W1615" s="5" t="n"/>
      <c r="X1615" s="5" t="inlineStr">
        <is>
          <t>Labour + plant + material as published; reconciles to the published rate.</t>
        </is>
      </c>
    </row>
    <row r="1616" ht="13" customHeight="1">
      <c r="A1616" s="4" t="n">
        <v>2545</v>
      </c>
      <c r="B1616" s="5" t="inlineStr">
        <is>
          <t>IMG_0099</t>
        </is>
      </c>
      <c r="C1616" s="5" t="inlineStr">
        <is>
          <t>CLASS I: PIPEWORK - PIPES</t>
        </is>
      </c>
      <c r="D1616" s="5" t="inlineStr">
        <is>
          <t>05 POLYVINYL CHLORIDE PIPES</t>
        </is>
      </c>
      <c r="E1616" s="5" t="inlineStr">
        <is>
          <t>Unplasticized pvc pipes; ring seal sockets; excavation and supports, backfilling; 6 m pipe lengths unless stated otherwise; 82 mm pipes; in trenches, depth</t>
        </is>
      </c>
      <c r="F1616" s="5" t="inlineStr">
        <is>
          <t>3.00-3.50 m deep</t>
        </is>
      </c>
      <c r="G1616" s="6" t="inlineStr">
        <is>
          <t>m</t>
        </is>
      </c>
      <c r="H1616" s="7" t="n">
        <v>0.22</v>
      </c>
      <c r="I1616" s="8" t="n">
        <v>30.4</v>
      </c>
      <c r="J1616" s="8" t="n">
        <v>28.82</v>
      </c>
      <c r="K1616" s="8" t="n">
        <v>23.05</v>
      </c>
      <c r="L1616" s="8" t="n">
        <v>0</v>
      </c>
      <c r="M1616" s="9">
        <f>ROUND(SUM(I1616:L1616),2)</f>
        <v/>
      </c>
      <c r="N1616" s="10">
        <f>ROUND(I1616*'Irish Basis'!$C$6*'Irish Basis'!$C$5,2)</f>
        <v/>
      </c>
      <c r="O1616" s="10">
        <f>ROUND(J1616*'Irish Basis'!$C$7*'Irish Basis'!$C$5,2)</f>
        <v/>
      </c>
      <c r="P1616" s="10">
        <f>ROUND(K1616*'Irish Basis'!$C$8*'Irish Basis'!$C$5,2)</f>
        <v/>
      </c>
      <c r="Q1616" s="10">
        <f>ROUND(L1616*'Irish Basis'!$C$12*'Irish Basis'!$C$5,2)</f>
        <v/>
      </c>
      <c r="R1616" s="11">
        <f>ROUND(SUM(N1616:Q1616),2)</f>
        <v/>
      </c>
      <c r="S1616" s="5" t="inlineStr">
        <is>
          <t>Stated build-up</t>
        </is>
      </c>
      <c r="T1616" s="12" t="inlineStr">
        <is>
          <t>High</t>
        </is>
      </c>
      <c r="U1616" s="8" t="n">
        <v>82.27</v>
      </c>
      <c r="V1616" s="13">
        <f>IF(U1616="","",ROUND(M1616-U1616,2))</f>
        <v/>
      </c>
      <c r="W1616" s="5" t="n"/>
      <c r="X1616" s="5" t="inlineStr">
        <is>
          <t>Labour + plant + material as published; reconciles to the published rate.</t>
        </is>
      </c>
    </row>
    <row r="1617" ht="13" customHeight="1">
      <c r="A1617" s="4" t="n">
        <v>2546</v>
      </c>
      <c r="B1617" s="5" t="inlineStr">
        <is>
          <t>IMG_0099</t>
        </is>
      </c>
      <c r="C1617" s="5" t="inlineStr">
        <is>
          <t>CLASS I: PIPEWORK - PIPES</t>
        </is>
      </c>
      <c r="D1617" s="5" t="inlineStr">
        <is>
          <t>05 POLYVINYL CHLORIDE PIPES</t>
        </is>
      </c>
      <c r="E1617" s="5" t="inlineStr">
        <is>
          <t>Unplasticized pvc pipes; ring seal sockets; excavation and supports, backfilling; 6 m pipe lengths unless stated otherwise; 82 mm pipes; in trenches, depth</t>
        </is>
      </c>
      <c r="F1617" s="5" t="inlineStr">
        <is>
          <t>3.50-4.00 m deep</t>
        </is>
      </c>
      <c r="G1617" s="6" t="inlineStr">
        <is>
          <t>m</t>
        </is>
      </c>
      <c r="H1617" s="7" t="n">
        <v>0.25</v>
      </c>
      <c r="I1617" s="8" t="n">
        <v>34.55</v>
      </c>
      <c r="J1617" s="8" t="n">
        <v>32.75</v>
      </c>
      <c r="K1617" s="8" t="n">
        <v>23.05</v>
      </c>
      <c r="L1617" s="8" t="n">
        <v>0</v>
      </c>
      <c r="M1617" s="9">
        <f>ROUND(SUM(I1617:L1617),2)</f>
        <v/>
      </c>
      <c r="N1617" s="10">
        <f>ROUND(I1617*'Irish Basis'!$C$6*'Irish Basis'!$C$5,2)</f>
        <v/>
      </c>
      <c r="O1617" s="10">
        <f>ROUND(J1617*'Irish Basis'!$C$7*'Irish Basis'!$C$5,2)</f>
        <v/>
      </c>
      <c r="P1617" s="10">
        <f>ROUND(K1617*'Irish Basis'!$C$8*'Irish Basis'!$C$5,2)</f>
        <v/>
      </c>
      <c r="Q1617" s="10">
        <f>ROUND(L1617*'Irish Basis'!$C$12*'Irish Basis'!$C$5,2)</f>
        <v/>
      </c>
      <c r="R1617" s="11">
        <f>ROUND(SUM(N1617:Q1617),2)</f>
        <v/>
      </c>
      <c r="S1617" s="5" t="inlineStr">
        <is>
          <t>Stated build-up</t>
        </is>
      </c>
      <c r="T1617" s="12" t="inlineStr">
        <is>
          <t>High</t>
        </is>
      </c>
      <c r="U1617" s="8" t="n">
        <v>90.34</v>
      </c>
      <c r="V1617" s="13">
        <f>IF(U1617="","",ROUND(M1617-U1617,2))</f>
        <v/>
      </c>
      <c r="W1617" s="5" t="n"/>
      <c r="X1617" s="5" t="inlineStr">
        <is>
          <t>Labour + plant + material as published; reconciles to the published rate.</t>
        </is>
      </c>
    </row>
    <row r="1618" ht="13" customHeight="1">
      <c r="A1618" s="4" t="n">
        <v>2547</v>
      </c>
      <c r="B1618" s="5" t="inlineStr">
        <is>
          <t>IMG_0099</t>
        </is>
      </c>
      <c r="C1618" s="5" t="inlineStr">
        <is>
          <t>CLASS I: PIPEWORK - PIPES</t>
        </is>
      </c>
      <c r="D1618" s="5" t="inlineStr">
        <is>
          <t>05 POLYVINYL CHLORIDE PIPES</t>
        </is>
      </c>
      <c r="E1618" s="5" t="inlineStr">
        <is>
          <t>Unplasticized pvc pipes; ring seal sockets; excavation and supports, backfilling; 6 m pipe lengths unless stated otherwise; 82 mm pipes; in trenches, depth</t>
        </is>
      </c>
      <c r="F1618" s="5" t="inlineStr">
        <is>
          <t>4.00-4.50 m deep</t>
        </is>
      </c>
      <c r="G1618" s="6" t="inlineStr">
        <is>
          <t>m</t>
        </is>
      </c>
      <c r="H1618" s="7" t="n">
        <v>0.28</v>
      </c>
      <c r="I1618" s="8" t="n">
        <v>38.69</v>
      </c>
      <c r="J1618" s="8" t="n">
        <v>36.67</v>
      </c>
      <c r="K1618" s="8" t="n">
        <v>23.05</v>
      </c>
      <c r="L1618" s="8" t="n">
        <v>0</v>
      </c>
      <c r="M1618" s="9">
        <f>ROUND(SUM(I1618:L1618),2)</f>
        <v/>
      </c>
      <c r="N1618" s="10">
        <f>ROUND(I1618*'Irish Basis'!$C$6*'Irish Basis'!$C$5,2)</f>
        <v/>
      </c>
      <c r="O1618" s="10">
        <f>ROUND(J1618*'Irish Basis'!$C$7*'Irish Basis'!$C$5,2)</f>
        <v/>
      </c>
      <c r="P1618" s="10">
        <f>ROUND(K1618*'Irish Basis'!$C$8*'Irish Basis'!$C$5,2)</f>
        <v/>
      </c>
      <c r="Q1618" s="10">
        <f>ROUND(L1618*'Irish Basis'!$C$12*'Irish Basis'!$C$5,2)</f>
        <v/>
      </c>
      <c r="R1618" s="11">
        <f>ROUND(SUM(N1618:Q1618),2)</f>
        <v/>
      </c>
      <c r="S1618" s="5" t="inlineStr">
        <is>
          <t>Stated build-up</t>
        </is>
      </c>
      <c r="T1618" s="12" t="inlineStr">
        <is>
          <t>High</t>
        </is>
      </c>
      <c r="U1618" s="8" t="n">
        <v>98.41</v>
      </c>
      <c r="V1618" s="13">
        <f>IF(U1618="","",ROUND(M1618-U1618,2))</f>
        <v/>
      </c>
      <c r="W1618" s="5" t="n"/>
      <c r="X1618" s="5" t="inlineStr">
        <is>
          <t>Labour + plant + material as published; reconciles to the published rate.</t>
        </is>
      </c>
    </row>
    <row r="1619" ht="13" customHeight="1">
      <c r="A1619" s="4" t="n">
        <v>2548</v>
      </c>
      <c r="B1619" s="5" t="inlineStr">
        <is>
          <t>IMG_0099</t>
        </is>
      </c>
      <c r="C1619" s="5" t="inlineStr">
        <is>
          <t>CLASS I: PIPEWORK - PIPES</t>
        </is>
      </c>
      <c r="D1619" s="5" t="inlineStr">
        <is>
          <t>05 POLYVINYL CHLORIDE PIPES</t>
        </is>
      </c>
      <c r="E1619" s="5" t="inlineStr">
        <is>
          <t>Unplasticized pvc pipes; ring seal sockets; excavation and supports, backfilling; 6 m pipe lengths unless stated otherwise; 82 mm pipes; in trenches, depth</t>
        </is>
      </c>
      <c r="F1619" s="5" t="inlineStr">
        <is>
          <t>4.50-5.00 m deep</t>
        </is>
      </c>
      <c r="G1619" s="6" t="inlineStr">
        <is>
          <t>m</t>
        </is>
      </c>
      <c r="H1619" s="7" t="n">
        <v>0.32</v>
      </c>
      <c r="I1619" s="8" t="n">
        <v>44.22</v>
      </c>
      <c r="J1619" s="8" t="n">
        <v>41.93</v>
      </c>
      <c r="K1619" s="8" t="n">
        <v>23.05</v>
      </c>
      <c r="L1619" s="8" t="n">
        <v>0</v>
      </c>
      <c r="M1619" s="9">
        <f>ROUND(SUM(I1619:L1619),2)</f>
        <v/>
      </c>
      <c r="N1619" s="10">
        <f>ROUND(I1619*'Irish Basis'!$C$6*'Irish Basis'!$C$5,2)</f>
        <v/>
      </c>
      <c r="O1619" s="10">
        <f>ROUND(J1619*'Irish Basis'!$C$7*'Irish Basis'!$C$5,2)</f>
        <v/>
      </c>
      <c r="P1619" s="10">
        <f>ROUND(K1619*'Irish Basis'!$C$8*'Irish Basis'!$C$5,2)</f>
        <v/>
      </c>
      <c r="Q1619" s="10">
        <f>ROUND(L1619*'Irish Basis'!$C$12*'Irish Basis'!$C$5,2)</f>
        <v/>
      </c>
      <c r="R1619" s="11">
        <f>ROUND(SUM(N1619:Q1619),2)</f>
        <v/>
      </c>
      <c r="S1619" s="5" t="inlineStr">
        <is>
          <t>Stated build-up</t>
        </is>
      </c>
      <c r="T1619" s="12" t="inlineStr">
        <is>
          <t>High</t>
        </is>
      </c>
      <c r="U1619" s="8" t="n">
        <v>109.2</v>
      </c>
      <c r="V1619" s="13">
        <f>IF(U1619="","",ROUND(M1619-U1619,2))</f>
        <v/>
      </c>
      <c r="W1619" s="5" t="n"/>
      <c r="X1619" s="5" t="inlineStr">
        <is>
          <t>Labour + plant + material as published; reconciles to the published rate.</t>
        </is>
      </c>
    </row>
    <row r="1620" ht="13" customHeight="1">
      <c r="A1620" s="4" t="n">
        <v>2549</v>
      </c>
      <c r="B1620" s="5" t="inlineStr">
        <is>
          <t>IMG_0099</t>
        </is>
      </c>
      <c r="C1620" s="5" t="inlineStr">
        <is>
          <t>CLASS I: PIPEWORK - PIPES</t>
        </is>
      </c>
      <c r="D1620" s="5" t="inlineStr">
        <is>
          <t>05 POLYVINYL CHLORIDE PIPES</t>
        </is>
      </c>
      <c r="E1620" s="5" t="inlineStr">
        <is>
          <t>Unplasticized pvc pipes; ring seal sockets; excavation and supports, backfilling; 6 m pipe lengths unless stated otherwise; 82 mm pipes; in trenches, depth</t>
        </is>
      </c>
      <c r="F1620" s="5" t="inlineStr">
        <is>
          <t>5.00-5.50 m deep</t>
        </is>
      </c>
      <c r="G1620" s="6" t="inlineStr">
        <is>
          <t>m</t>
        </is>
      </c>
      <c r="H1620" s="7" t="n">
        <v>0.35</v>
      </c>
      <c r="I1620" s="8" t="n">
        <v>48.36</v>
      </c>
      <c r="J1620" s="8" t="n">
        <v>45.87</v>
      </c>
      <c r="K1620" s="8" t="n">
        <v>23.05</v>
      </c>
      <c r="L1620" s="8" t="n">
        <v>0</v>
      </c>
      <c r="M1620" s="9">
        <f>ROUND(SUM(I1620:L1620),2)</f>
        <v/>
      </c>
      <c r="N1620" s="10">
        <f>ROUND(I1620*'Irish Basis'!$C$6*'Irish Basis'!$C$5,2)</f>
        <v/>
      </c>
      <c r="O1620" s="10">
        <f>ROUND(J1620*'Irish Basis'!$C$7*'Irish Basis'!$C$5,2)</f>
        <v/>
      </c>
      <c r="P1620" s="10">
        <f>ROUND(K1620*'Irish Basis'!$C$8*'Irish Basis'!$C$5,2)</f>
        <v/>
      </c>
      <c r="Q1620" s="10">
        <f>ROUND(L1620*'Irish Basis'!$C$12*'Irish Basis'!$C$5,2)</f>
        <v/>
      </c>
      <c r="R1620" s="11">
        <f>ROUND(SUM(N1620:Q1620),2)</f>
        <v/>
      </c>
      <c r="S1620" s="5" t="inlineStr">
        <is>
          <t>Stated build-up</t>
        </is>
      </c>
      <c r="T1620" s="12" t="inlineStr">
        <is>
          <t>High</t>
        </is>
      </c>
      <c r="U1620" s="8" t="n">
        <v>117.28</v>
      </c>
      <c r="V1620" s="13">
        <f>IF(U1620="","",ROUND(M1620-U1620,2))</f>
        <v/>
      </c>
      <c r="W1620" s="5" t="n"/>
      <c r="X1620" s="5" t="inlineStr">
        <is>
          <t>Labour + plant + material as published; reconciles to the published rate.</t>
        </is>
      </c>
    </row>
    <row r="1621" ht="13" customHeight="1">
      <c r="A1621" s="4" t="n">
        <v>2550</v>
      </c>
      <c r="B1621" s="5" t="inlineStr">
        <is>
          <t>IMG_0099</t>
        </is>
      </c>
      <c r="C1621" s="5" t="inlineStr">
        <is>
          <t>CLASS I: PIPEWORK - PIPES</t>
        </is>
      </c>
      <c r="D1621" s="5" t="inlineStr">
        <is>
          <t>05 POLYVINYL CHLORIDE PIPES</t>
        </is>
      </c>
      <c r="E1621" s="5" t="inlineStr">
        <is>
          <t>Unplasticized pvc pipes; ring seal sockets; excavation and supports, backfilling; 6 m pipe lengths unless stated otherwise; 82 mm pipes; in trenches, depth</t>
        </is>
      </c>
      <c r="F1621" s="5" t="inlineStr">
        <is>
          <t>extra for bend; short radius (socket/spigot)</t>
        </is>
      </c>
      <c r="G1621" s="6" t="inlineStr">
        <is>
          <t>nr</t>
        </is>
      </c>
      <c r="H1621" s="7" t="n">
        <v>0.05</v>
      </c>
      <c r="I1621" s="8" t="n">
        <v>6.91</v>
      </c>
      <c r="J1621" s="8" t="n">
        <v>0</v>
      </c>
      <c r="K1621" s="8" t="n">
        <v>55.87</v>
      </c>
      <c r="L1621" s="8" t="n">
        <v>0</v>
      </c>
      <c r="M1621" s="9">
        <f>ROUND(SUM(I1621:L1621),2)</f>
        <v/>
      </c>
      <c r="N1621" s="10">
        <f>ROUND(I1621*'Irish Basis'!$C$6*'Irish Basis'!$C$5,2)</f>
        <v/>
      </c>
      <c r="O1621" s="10">
        <f>ROUND(J1621*'Irish Basis'!$C$7*'Irish Basis'!$C$5,2)</f>
        <v/>
      </c>
      <c r="P1621" s="10">
        <f>ROUND(K1621*'Irish Basis'!$C$8*'Irish Basis'!$C$5,2)</f>
        <v/>
      </c>
      <c r="Q1621" s="10">
        <f>ROUND(L1621*'Irish Basis'!$C$12*'Irish Basis'!$C$5,2)</f>
        <v/>
      </c>
      <c r="R1621" s="11">
        <f>ROUND(SUM(N1621:Q1621),2)</f>
        <v/>
      </c>
      <c r="S1621" s="5" t="inlineStr">
        <is>
          <t>Stated build-up</t>
        </is>
      </c>
      <c r="T1621" s="12" t="inlineStr">
        <is>
          <t>High</t>
        </is>
      </c>
      <c r="U1621" s="8" t="n">
        <v>62.78</v>
      </c>
      <c r="V1621" s="13">
        <f>IF(U1621="","",ROUND(M1621-U1621,2))</f>
        <v/>
      </c>
      <c r="W1621" s="5" t="n"/>
      <c r="X1621" s="5" t="inlineStr">
        <is>
          <t>Labour + plant + material as published; reconciles to the published rate.</t>
        </is>
      </c>
    </row>
    <row r="1622" ht="13" customHeight="1">
      <c r="A1622" s="4" t="n">
        <v>2551</v>
      </c>
      <c r="B1622" s="5" t="inlineStr">
        <is>
          <t>IMG_0099</t>
        </is>
      </c>
      <c r="C1622" s="5" t="inlineStr">
        <is>
          <t>CLASS I: PIPEWORK - PIPES</t>
        </is>
      </c>
      <c r="D1622" s="5" t="inlineStr">
        <is>
          <t>05 POLYVINYL CHLORIDE PIPES</t>
        </is>
      </c>
      <c r="E1622" s="5" t="inlineStr">
        <is>
          <t>Unplasticized pvc pipes; ring seal sockets; excavation and supports, backfilling; 6 m pipe lengths unless stated otherwise; 82 mm pipes; in trenches, depth</t>
        </is>
      </c>
      <c r="F1622" s="5" t="inlineStr">
        <is>
          <t>extra for branches; equal (socket/spigot)</t>
        </is>
      </c>
      <c r="G1622" s="6" t="inlineStr">
        <is>
          <t>nr</t>
        </is>
      </c>
      <c r="H1622" s="7" t="n">
        <v>0.07000000000000001</v>
      </c>
      <c r="I1622" s="8" t="n">
        <v>9.67</v>
      </c>
      <c r="J1622" s="8" t="n">
        <v>0</v>
      </c>
      <c r="K1622" s="8" t="n">
        <v>74.48999999999999</v>
      </c>
      <c r="L1622" s="8" t="n">
        <v>0</v>
      </c>
      <c r="M1622" s="9">
        <f>ROUND(SUM(I1622:L1622),2)</f>
        <v/>
      </c>
      <c r="N1622" s="10">
        <f>ROUND(I1622*'Irish Basis'!$C$6*'Irish Basis'!$C$5,2)</f>
        <v/>
      </c>
      <c r="O1622" s="10">
        <f>ROUND(J1622*'Irish Basis'!$C$7*'Irish Basis'!$C$5,2)</f>
        <v/>
      </c>
      <c r="P1622" s="10">
        <f>ROUND(K1622*'Irish Basis'!$C$8*'Irish Basis'!$C$5,2)</f>
        <v/>
      </c>
      <c r="Q1622" s="10">
        <f>ROUND(L1622*'Irish Basis'!$C$12*'Irish Basis'!$C$5,2)</f>
        <v/>
      </c>
      <c r="R1622" s="11">
        <f>ROUND(SUM(N1622:Q1622),2)</f>
        <v/>
      </c>
      <c r="S1622" s="5" t="inlineStr">
        <is>
          <t>Stated build-up</t>
        </is>
      </c>
      <c r="T1622" s="12" t="inlineStr">
        <is>
          <t>High</t>
        </is>
      </c>
      <c r="U1622" s="8" t="n">
        <v>84.16</v>
      </c>
      <c r="V1622" s="13">
        <f>IF(U1622="","",ROUND(M1622-U1622,2))</f>
        <v/>
      </c>
      <c r="W1622" s="5" t="n"/>
      <c r="X1622" s="5" t="inlineStr">
        <is>
          <t>Labour + plant + material as published; reconciles to the published rate.</t>
        </is>
      </c>
    </row>
    <row r="1623" ht="13" customHeight="1">
      <c r="A1623" s="4" t="n">
        <v>2553</v>
      </c>
      <c r="B1623" s="5" t="inlineStr">
        <is>
          <t>IMG_0100</t>
        </is>
      </c>
      <c r="C1623" s="5" t="inlineStr">
        <is>
          <t>CLASS I: PIPEWORK - PIPES</t>
        </is>
      </c>
      <c r="D1623" s="5" t="inlineStr">
        <is>
          <t>05 POLYVINYL CHLORIDE PIPES</t>
        </is>
      </c>
      <c r="E1623" s="5" t="inlineStr">
        <is>
          <t>Unplasticized pvc pipes; ring seal sockets; 110 mm pipes; in trenches, depth</t>
        </is>
      </c>
      <c r="F1623" s="5" t="inlineStr">
        <is>
          <t>not in trenches</t>
        </is>
      </c>
      <c r="G1623" s="6" t="inlineStr">
        <is>
          <t>m</t>
        </is>
      </c>
      <c r="H1623" s="7" t="n">
        <v>0.06</v>
      </c>
      <c r="I1623" s="8" t="n">
        <v>5.18</v>
      </c>
      <c r="J1623" s="8" t="n">
        <v>0.65</v>
      </c>
      <c r="K1623" s="8" t="n">
        <v>10.14</v>
      </c>
      <c r="L1623" s="8" t="n">
        <v>0</v>
      </c>
      <c r="M1623" s="9">
        <f>ROUND(SUM(I1623:L1623),2)</f>
        <v/>
      </c>
      <c r="N1623" s="10">
        <f>ROUND(I1623*'Irish Basis'!$C$6*'Irish Basis'!$C$5,2)</f>
        <v/>
      </c>
      <c r="O1623" s="10">
        <f>ROUND(J1623*'Irish Basis'!$C$7*'Irish Basis'!$C$5,2)</f>
        <v/>
      </c>
      <c r="P1623" s="10">
        <f>ROUND(K1623*'Irish Basis'!$C$8*'Irish Basis'!$C$5,2)</f>
        <v/>
      </c>
      <c r="Q1623" s="10">
        <f>ROUND(L1623*'Irish Basis'!$C$12*'Irish Basis'!$C$5,2)</f>
        <v/>
      </c>
      <c r="R1623" s="11">
        <f>ROUND(SUM(N1623:Q1623),2)</f>
        <v/>
      </c>
      <c r="S1623" s="5" t="inlineStr">
        <is>
          <t>Stated build-up</t>
        </is>
      </c>
      <c r="T1623" s="12" t="inlineStr">
        <is>
          <t>High</t>
        </is>
      </c>
      <c r="U1623" s="8" t="n">
        <v>15.97</v>
      </c>
      <c r="V1623" s="13">
        <f>IF(U1623="","",ROUND(M1623-U1623,2))</f>
        <v/>
      </c>
      <c r="W1623" s="5" t="n"/>
      <c r="X1623" s="5" t="inlineStr">
        <is>
          <t>Labour + plant + material as published; reconciles to the published rate.</t>
        </is>
      </c>
    </row>
    <row r="1624" ht="13" customHeight="1">
      <c r="A1624" s="4" t="n">
        <v>2554</v>
      </c>
      <c r="B1624" s="5" t="inlineStr">
        <is>
          <t>IMG_0100</t>
        </is>
      </c>
      <c r="C1624" s="5" t="inlineStr">
        <is>
          <t>CLASS I: PIPEWORK - PIPES</t>
        </is>
      </c>
      <c r="D1624" s="5" t="inlineStr">
        <is>
          <t>05 POLYVINYL CHLORIDE PIPES</t>
        </is>
      </c>
      <c r="E1624" s="5" t="inlineStr">
        <is>
          <t>Unplasticized pvc pipes; ring seal sockets; 110 mm pipes; in trenches, depth</t>
        </is>
      </c>
      <c r="F1624" s="5" t="inlineStr">
        <is>
          <t>ne 1.50 m deep</t>
        </is>
      </c>
      <c r="G1624" s="6" t="inlineStr">
        <is>
          <t>m</t>
        </is>
      </c>
      <c r="H1624" s="7" t="n">
        <v>0.1</v>
      </c>
      <c r="I1624" s="8" t="n">
        <v>13.82</v>
      </c>
      <c r="J1624" s="8" t="n">
        <v>13.08</v>
      </c>
      <c r="K1624" s="8" t="n">
        <v>10.14</v>
      </c>
      <c r="L1624" s="8" t="n">
        <v>0</v>
      </c>
      <c r="M1624" s="9">
        <f>ROUND(SUM(I1624:L1624),2)</f>
        <v/>
      </c>
      <c r="N1624" s="10">
        <f>ROUND(I1624*'Irish Basis'!$C$6*'Irish Basis'!$C$5,2)</f>
        <v/>
      </c>
      <c r="O1624" s="10">
        <f>ROUND(J1624*'Irish Basis'!$C$7*'Irish Basis'!$C$5,2)</f>
        <v/>
      </c>
      <c r="P1624" s="10">
        <f>ROUND(K1624*'Irish Basis'!$C$8*'Irish Basis'!$C$5,2)</f>
        <v/>
      </c>
      <c r="Q1624" s="10">
        <f>ROUND(L1624*'Irish Basis'!$C$12*'Irish Basis'!$C$5,2)</f>
        <v/>
      </c>
      <c r="R1624" s="11">
        <f>ROUND(SUM(N1624:Q1624),2)</f>
        <v/>
      </c>
      <c r="S1624" s="5" t="inlineStr">
        <is>
          <t>Stated build-up</t>
        </is>
      </c>
      <c r="T1624" s="12" t="inlineStr">
        <is>
          <t>High</t>
        </is>
      </c>
      <c r="U1624" s="8" t="n">
        <v>37.04</v>
      </c>
      <c r="V1624" s="13">
        <f>IF(U1624="","",ROUND(M1624-U1624,2))</f>
        <v/>
      </c>
      <c r="W1624" s="5" t="n"/>
      <c r="X1624" s="5" t="inlineStr">
        <is>
          <t>Labour + plant + material as published; reconciles to the published rate.</t>
        </is>
      </c>
    </row>
    <row r="1625" ht="13" customHeight="1">
      <c r="A1625" s="4" t="n">
        <v>2555</v>
      </c>
      <c r="B1625" s="5" t="inlineStr">
        <is>
          <t>IMG_0100</t>
        </is>
      </c>
      <c r="C1625" s="5" t="inlineStr">
        <is>
          <t>CLASS I: PIPEWORK - PIPES</t>
        </is>
      </c>
      <c r="D1625" s="5" t="inlineStr">
        <is>
          <t>05 POLYVINYL CHLORIDE PIPES</t>
        </is>
      </c>
      <c r="E1625" s="5" t="inlineStr">
        <is>
          <t>Unplasticized pvc pipes; ring seal sockets; 110 mm pipes; in trenches, depth</t>
        </is>
      </c>
      <c r="F1625" s="5" t="inlineStr">
        <is>
          <t>1.50-2.00 m deep</t>
        </is>
      </c>
      <c r="G1625" s="6" t="inlineStr">
        <is>
          <t>m</t>
        </is>
      </c>
      <c r="H1625" s="7" t="n">
        <v>0.13</v>
      </c>
      <c r="I1625" s="8" t="n">
        <v>17.96</v>
      </c>
      <c r="J1625" s="8" t="n">
        <v>17.01</v>
      </c>
      <c r="K1625" s="8" t="n">
        <v>10.14</v>
      </c>
      <c r="L1625" s="8" t="n">
        <v>0</v>
      </c>
      <c r="M1625" s="9">
        <f>ROUND(SUM(I1625:L1625),2)</f>
        <v/>
      </c>
      <c r="N1625" s="10">
        <f>ROUND(I1625*'Irish Basis'!$C$6*'Irish Basis'!$C$5,2)</f>
        <v/>
      </c>
      <c r="O1625" s="10">
        <f>ROUND(J1625*'Irish Basis'!$C$7*'Irish Basis'!$C$5,2)</f>
        <v/>
      </c>
      <c r="P1625" s="10">
        <f>ROUND(K1625*'Irish Basis'!$C$8*'Irish Basis'!$C$5,2)</f>
        <v/>
      </c>
      <c r="Q1625" s="10">
        <f>ROUND(L1625*'Irish Basis'!$C$12*'Irish Basis'!$C$5,2)</f>
        <v/>
      </c>
      <c r="R1625" s="11">
        <f>ROUND(SUM(N1625:Q1625),2)</f>
        <v/>
      </c>
      <c r="S1625" s="5" t="inlineStr">
        <is>
          <t>Stated build-up</t>
        </is>
      </c>
      <c r="T1625" s="12" t="inlineStr">
        <is>
          <t>High</t>
        </is>
      </c>
      <c r="U1625" s="8" t="n">
        <v>45.12</v>
      </c>
      <c r="V1625" s="13">
        <f>IF(U1625="","",ROUND(M1625-U1625,2))</f>
        <v/>
      </c>
      <c r="W1625" s="5" t="n"/>
      <c r="X1625" s="5" t="inlineStr">
        <is>
          <t>Labour + plant + material as published; reconciles to the published rate.</t>
        </is>
      </c>
    </row>
    <row r="1626" ht="13" customHeight="1">
      <c r="A1626" s="4" t="n">
        <v>2556</v>
      </c>
      <c r="B1626" s="5" t="inlineStr">
        <is>
          <t>IMG_0100</t>
        </is>
      </c>
      <c r="C1626" s="5" t="inlineStr">
        <is>
          <t>CLASS I: PIPEWORK - PIPES</t>
        </is>
      </c>
      <c r="D1626" s="5" t="inlineStr">
        <is>
          <t>05 POLYVINYL CHLORIDE PIPES</t>
        </is>
      </c>
      <c r="E1626" s="5" t="inlineStr">
        <is>
          <t>Unplasticized pvc pipes; ring seal sockets; 110 mm pipes; in trenches, depth</t>
        </is>
      </c>
      <c r="F1626" s="5" t="inlineStr">
        <is>
          <t>2.00-2.50 m deep</t>
        </is>
      </c>
      <c r="G1626" s="6" t="inlineStr">
        <is>
          <t>m</t>
        </is>
      </c>
      <c r="H1626" s="7" t="n">
        <v>0.16</v>
      </c>
      <c r="I1626" s="8" t="n">
        <v>22.11</v>
      </c>
      <c r="J1626" s="8" t="n">
        <v>20.92</v>
      </c>
      <c r="K1626" s="8" t="n">
        <v>10.14</v>
      </c>
      <c r="L1626" s="8" t="n">
        <v>0</v>
      </c>
      <c r="M1626" s="9">
        <f>ROUND(SUM(I1626:L1626),2)</f>
        <v/>
      </c>
      <c r="N1626" s="10">
        <f>ROUND(I1626*'Irish Basis'!$C$6*'Irish Basis'!$C$5,2)</f>
        <v/>
      </c>
      <c r="O1626" s="10">
        <f>ROUND(J1626*'Irish Basis'!$C$7*'Irish Basis'!$C$5,2)</f>
        <v/>
      </c>
      <c r="P1626" s="10">
        <f>ROUND(K1626*'Irish Basis'!$C$8*'Irish Basis'!$C$5,2)</f>
        <v/>
      </c>
      <c r="Q1626" s="10">
        <f>ROUND(L1626*'Irish Basis'!$C$12*'Irish Basis'!$C$5,2)</f>
        <v/>
      </c>
      <c r="R1626" s="11">
        <f>ROUND(SUM(N1626:Q1626),2)</f>
        <v/>
      </c>
      <c r="S1626" s="5" t="inlineStr">
        <is>
          <t>Stated build-up</t>
        </is>
      </c>
      <c r="T1626" s="12" t="inlineStr">
        <is>
          <t>High</t>
        </is>
      </c>
      <c r="U1626" s="8" t="n">
        <v>53.17</v>
      </c>
      <c r="V1626" s="13">
        <f>IF(U1626="","",ROUND(M1626-U1626,2))</f>
        <v/>
      </c>
      <c r="W1626" s="5" t="n"/>
      <c r="X1626" s="5" t="inlineStr">
        <is>
          <t>Labour + plant + material as published; reconciles to the published rate.</t>
        </is>
      </c>
    </row>
    <row r="1627" ht="13" customHeight="1">
      <c r="A1627" s="4" t="n">
        <v>2557</v>
      </c>
      <c r="B1627" s="5" t="inlineStr">
        <is>
          <t>IMG_0100</t>
        </is>
      </c>
      <c r="C1627" s="5" t="inlineStr">
        <is>
          <t>CLASS I: PIPEWORK - PIPES</t>
        </is>
      </c>
      <c r="D1627" s="5" t="inlineStr">
        <is>
          <t>05 POLYVINYL CHLORIDE PIPES</t>
        </is>
      </c>
      <c r="E1627" s="5" t="inlineStr">
        <is>
          <t>Unplasticized pvc pipes; ring seal sockets; 110 mm pipes; in trenches, depth</t>
        </is>
      </c>
      <c r="F1627" s="5" t="inlineStr">
        <is>
          <t>2.50-3.00 m deep</t>
        </is>
      </c>
      <c r="G1627" s="6" t="inlineStr">
        <is>
          <t>m</t>
        </is>
      </c>
      <c r="H1627" s="7" t="n">
        <v>0.19</v>
      </c>
      <c r="I1627" s="8" t="n">
        <v>26.25</v>
      </c>
      <c r="J1627" s="8" t="n">
        <v>24.84</v>
      </c>
      <c r="K1627" s="8" t="n">
        <v>10.14</v>
      </c>
      <c r="L1627" s="8" t="n">
        <v>0</v>
      </c>
      <c r="M1627" s="9">
        <f>ROUND(SUM(I1627:L1627),2)</f>
        <v/>
      </c>
      <c r="N1627" s="10">
        <f>ROUND(I1627*'Irish Basis'!$C$6*'Irish Basis'!$C$5,2)</f>
        <v/>
      </c>
      <c r="O1627" s="10">
        <f>ROUND(J1627*'Irish Basis'!$C$7*'Irish Basis'!$C$5,2)</f>
        <v/>
      </c>
      <c r="P1627" s="10">
        <f>ROUND(K1627*'Irish Basis'!$C$8*'Irish Basis'!$C$5,2)</f>
        <v/>
      </c>
      <c r="Q1627" s="10">
        <f>ROUND(L1627*'Irish Basis'!$C$12*'Irish Basis'!$C$5,2)</f>
        <v/>
      </c>
      <c r="R1627" s="11">
        <f>ROUND(SUM(N1627:Q1627),2)</f>
        <v/>
      </c>
      <c r="S1627" s="5" t="inlineStr">
        <is>
          <t>Stated build-up</t>
        </is>
      </c>
      <c r="T1627" s="12" t="inlineStr">
        <is>
          <t>High</t>
        </is>
      </c>
      <c r="U1627" s="8" t="n">
        <v>61.23</v>
      </c>
      <c r="V1627" s="13">
        <f>IF(U1627="","",ROUND(M1627-U1627,2))</f>
        <v/>
      </c>
      <c r="W1627" s="5" t="n"/>
      <c r="X1627" s="5" t="inlineStr">
        <is>
          <t>Labour + plant + material as published; reconciles to the published rate.</t>
        </is>
      </c>
    </row>
    <row r="1628" ht="13" customHeight="1">
      <c r="A1628" s="4" t="n">
        <v>2558</v>
      </c>
      <c r="B1628" s="5" t="inlineStr">
        <is>
          <t>IMG_0100</t>
        </is>
      </c>
      <c r="C1628" s="5" t="inlineStr">
        <is>
          <t>CLASS I: PIPEWORK - PIPES</t>
        </is>
      </c>
      <c r="D1628" s="5" t="inlineStr">
        <is>
          <t>05 POLYVINYL CHLORIDE PIPES</t>
        </is>
      </c>
      <c r="E1628" s="5" t="inlineStr">
        <is>
          <t>Unplasticized pvc pipes; ring seal sockets; 110 mm pipes; in trenches, depth</t>
        </is>
      </c>
      <c r="F1628" s="5" t="inlineStr">
        <is>
          <t>3.00-3.50 m deep</t>
        </is>
      </c>
      <c r="G1628" s="6" t="inlineStr">
        <is>
          <t>m</t>
        </is>
      </c>
      <c r="H1628" s="7" t="n">
        <v>0.22</v>
      </c>
      <c r="I1628" s="8" t="n">
        <v>30.4</v>
      </c>
      <c r="J1628" s="8" t="n">
        <v>28.82</v>
      </c>
      <c r="K1628" s="8" t="n">
        <v>10.14</v>
      </c>
      <c r="L1628" s="8" t="n">
        <v>0</v>
      </c>
      <c r="M1628" s="9">
        <f>ROUND(SUM(I1628:L1628),2)</f>
        <v/>
      </c>
      <c r="N1628" s="10">
        <f>ROUND(I1628*'Irish Basis'!$C$6*'Irish Basis'!$C$5,2)</f>
        <v/>
      </c>
      <c r="O1628" s="10">
        <f>ROUND(J1628*'Irish Basis'!$C$7*'Irish Basis'!$C$5,2)</f>
        <v/>
      </c>
      <c r="P1628" s="10">
        <f>ROUND(K1628*'Irish Basis'!$C$8*'Irish Basis'!$C$5,2)</f>
        <v/>
      </c>
      <c r="Q1628" s="10">
        <f>ROUND(L1628*'Irish Basis'!$C$12*'Irish Basis'!$C$5,2)</f>
        <v/>
      </c>
      <c r="R1628" s="11">
        <f>ROUND(SUM(N1628:Q1628),2)</f>
        <v/>
      </c>
      <c r="S1628" s="5" t="inlineStr">
        <is>
          <t>Stated build-up</t>
        </is>
      </c>
      <c r="T1628" s="12" t="inlineStr">
        <is>
          <t>High</t>
        </is>
      </c>
      <c r="U1628" s="8" t="n">
        <v>69.36</v>
      </c>
      <c r="V1628" s="13">
        <f>IF(U1628="","",ROUND(M1628-U1628,2))</f>
        <v/>
      </c>
      <c r="W1628" s="5" t="n"/>
      <c r="X1628" s="5" t="inlineStr">
        <is>
          <t>Labour + plant + material as published; reconciles to the published rate.</t>
        </is>
      </c>
    </row>
    <row r="1629" ht="13" customHeight="1">
      <c r="A1629" s="4" t="n">
        <v>2559</v>
      </c>
      <c r="B1629" s="5" t="inlineStr">
        <is>
          <t>IMG_0100</t>
        </is>
      </c>
      <c r="C1629" s="5" t="inlineStr">
        <is>
          <t>CLASS I: PIPEWORK - PIPES</t>
        </is>
      </c>
      <c r="D1629" s="5" t="inlineStr">
        <is>
          <t>05 POLYVINYL CHLORIDE PIPES</t>
        </is>
      </c>
      <c r="E1629" s="5" t="inlineStr">
        <is>
          <t>Unplasticized pvc pipes; ring seal sockets; 110 mm pipes; in trenches, depth</t>
        </is>
      </c>
      <c r="F1629" s="5" t="inlineStr">
        <is>
          <t>3.50-4.00 m deep</t>
        </is>
      </c>
      <c r="G1629" s="6" t="inlineStr">
        <is>
          <t>m</t>
        </is>
      </c>
      <c r="H1629" s="7" t="n">
        <v>0.25</v>
      </c>
      <c r="I1629" s="8" t="n">
        <v>34.55</v>
      </c>
      <c r="J1629" s="8" t="n">
        <v>32.75</v>
      </c>
      <c r="K1629" s="8" t="n">
        <v>10.14</v>
      </c>
      <c r="L1629" s="8" t="n">
        <v>0</v>
      </c>
      <c r="M1629" s="9">
        <f>ROUND(SUM(I1629:L1629),2)</f>
        <v/>
      </c>
      <c r="N1629" s="10">
        <f>ROUND(I1629*'Irish Basis'!$C$6*'Irish Basis'!$C$5,2)</f>
        <v/>
      </c>
      <c r="O1629" s="10">
        <f>ROUND(J1629*'Irish Basis'!$C$7*'Irish Basis'!$C$5,2)</f>
        <v/>
      </c>
      <c r="P1629" s="10">
        <f>ROUND(K1629*'Irish Basis'!$C$8*'Irish Basis'!$C$5,2)</f>
        <v/>
      </c>
      <c r="Q1629" s="10">
        <f>ROUND(L1629*'Irish Basis'!$C$12*'Irish Basis'!$C$5,2)</f>
        <v/>
      </c>
      <c r="R1629" s="11">
        <f>ROUND(SUM(N1629:Q1629),2)</f>
        <v/>
      </c>
      <c r="S1629" s="5" t="inlineStr">
        <is>
          <t>Stated build-up</t>
        </is>
      </c>
      <c r="T1629" s="12" t="inlineStr">
        <is>
          <t>High</t>
        </is>
      </c>
      <c r="U1629" s="8" t="n">
        <v>77.44</v>
      </c>
      <c r="V1629" s="13">
        <f>IF(U1629="","",ROUND(M1629-U1629,2))</f>
        <v/>
      </c>
      <c r="W1629" s="5" t="n"/>
      <c r="X1629" s="5" t="inlineStr">
        <is>
          <t>Labour + plant + material as published; reconciles to the published rate.</t>
        </is>
      </c>
    </row>
    <row r="1630" ht="13" customHeight="1">
      <c r="A1630" s="4" t="n">
        <v>2560</v>
      </c>
      <c r="B1630" s="5" t="inlineStr">
        <is>
          <t>IMG_0100</t>
        </is>
      </c>
      <c r="C1630" s="5" t="inlineStr">
        <is>
          <t>CLASS I: PIPEWORK - PIPES</t>
        </is>
      </c>
      <c r="D1630" s="5" t="inlineStr">
        <is>
          <t>05 POLYVINYL CHLORIDE PIPES</t>
        </is>
      </c>
      <c r="E1630" s="5" t="inlineStr">
        <is>
          <t>Unplasticized pvc pipes; ring seal sockets; 110 mm pipes; in trenches, depth</t>
        </is>
      </c>
      <c r="F1630" s="5" t="inlineStr">
        <is>
          <t>4.00-4.50 m deep</t>
        </is>
      </c>
      <c r="G1630" s="6" t="inlineStr">
        <is>
          <t>m</t>
        </is>
      </c>
      <c r="H1630" s="7" t="n">
        <v>0.28</v>
      </c>
      <c r="I1630" s="8" t="n">
        <v>38.69</v>
      </c>
      <c r="J1630" s="8" t="n">
        <v>36.67</v>
      </c>
      <c r="K1630" s="8" t="n">
        <v>10.14</v>
      </c>
      <c r="L1630" s="8" t="n">
        <v>0</v>
      </c>
      <c r="M1630" s="9">
        <f>ROUND(SUM(I1630:L1630),2)</f>
        <v/>
      </c>
      <c r="N1630" s="10">
        <f>ROUND(I1630*'Irish Basis'!$C$6*'Irish Basis'!$C$5,2)</f>
        <v/>
      </c>
      <c r="O1630" s="10">
        <f>ROUND(J1630*'Irish Basis'!$C$7*'Irish Basis'!$C$5,2)</f>
        <v/>
      </c>
      <c r="P1630" s="10">
        <f>ROUND(K1630*'Irish Basis'!$C$8*'Irish Basis'!$C$5,2)</f>
        <v/>
      </c>
      <c r="Q1630" s="10">
        <f>ROUND(L1630*'Irish Basis'!$C$12*'Irish Basis'!$C$5,2)</f>
        <v/>
      </c>
      <c r="R1630" s="11">
        <f>ROUND(SUM(N1630:Q1630),2)</f>
        <v/>
      </c>
      <c r="S1630" s="5" t="inlineStr">
        <is>
          <t>Stated build-up</t>
        </is>
      </c>
      <c r="T1630" s="12" t="inlineStr">
        <is>
          <t>High</t>
        </is>
      </c>
      <c r="U1630" s="8" t="n">
        <v>85.51000000000001</v>
      </c>
      <c r="V1630" s="13">
        <f>IF(U1630="","",ROUND(M1630-U1630,2))</f>
        <v/>
      </c>
      <c r="W1630" s="5" t="n"/>
      <c r="X1630" s="5" t="inlineStr">
        <is>
          <t>Labour + plant + material as published; reconciles to the published rate.</t>
        </is>
      </c>
    </row>
    <row r="1631" ht="13" customHeight="1">
      <c r="A1631" s="4" t="n">
        <v>2561</v>
      </c>
      <c r="B1631" s="5" t="inlineStr">
        <is>
          <t>IMG_0100</t>
        </is>
      </c>
      <c r="C1631" s="5" t="inlineStr">
        <is>
          <t>CLASS I: PIPEWORK - PIPES</t>
        </is>
      </c>
      <c r="D1631" s="5" t="inlineStr">
        <is>
          <t>05 POLYVINYL CHLORIDE PIPES</t>
        </is>
      </c>
      <c r="E1631" s="5" t="inlineStr">
        <is>
          <t>Unplasticized pvc pipes; ring seal sockets; 110 mm pipes; in trenches, depth</t>
        </is>
      </c>
      <c r="F1631" s="5" t="inlineStr">
        <is>
          <t>4.50-5.00 m deep</t>
        </is>
      </c>
      <c r="G1631" s="6" t="inlineStr">
        <is>
          <t>m</t>
        </is>
      </c>
      <c r="H1631" s="7" t="n">
        <v>0.32</v>
      </c>
      <c r="I1631" s="8" t="n">
        <v>44.22</v>
      </c>
      <c r="J1631" s="8" t="n">
        <v>41.93</v>
      </c>
      <c r="K1631" s="8" t="n">
        <v>10.14</v>
      </c>
      <c r="L1631" s="8" t="n">
        <v>0</v>
      </c>
      <c r="M1631" s="9">
        <f>ROUND(SUM(I1631:L1631),2)</f>
        <v/>
      </c>
      <c r="N1631" s="10">
        <f>ROUND(I1631*'Irish Basis'!$C$6*'Irish Basis'!$C$5,2)</f>
        <v/>
      </c>
      <c r="O1631" s="10">
        <f>ROUND(J1631*'Irish Basis'!$C$7*'Irish Basis'!$C$5,2)</f>
        <v/>
      </c>
      <c r="P1631" s="10">
        <f>ROUND(K1631*'Irish Basis'!$C$8*'Irish Basis'!$C$5,2)</f>
        <v/>
      </c>
      <c r="Q1631" s="10">
        <f>ROUND(L1631*'Irish Basis'!$C$12*'Irish Basis'!$C$5,2)</f>
        <v/>
      </c>
      <c r="R1631" s="11">
        <f>ROUND(SUM(N1631:Q1631),2)</f>
        <v/>
      </c>
      <c r="S1631" s="5" t="inlineStr">
        <is>
          <t>Stated build-up</t>
        </is>
      </c>
      <c r="T1631" s="12" t="inlineStr">
        <is>
          <t>High</t>
        </is>
      </c>
      <c r="U1631" s="8" t="n">
        <v>96.29000000000001</v>
      </c>
      <c r="V1631" s="13">
        <f>IF(U1631="","",ROUND(M1631-U1631,2))</f>
        <v/>
      </c>
      <c r="W1631" s="5" t="n"/>
      <c r="X1631" s="5" t="inlineStr">
        <is>
          <t>Labour + plant + material as published; reconciles to the published rate.</t>
        </is>
      </c>
    </row>
    <row r="1632" ht="13" customHeight="1">
      <c r="A1632" s="4" t="n">
        <v>2562</v>
      </c>
      <c r="B1632" s="5" t="inlineStr">
        <is>
          <t>IMG_0100</t>
        </is>
      </c>
      <c r="C1632" s="5" t="inlineStr">
        <is>
          <t>CLASS I: PIPEWORK - PIPES</t>
        </is>
      </c>
      <c r="D1632" s="5" t="inlineStr">
        <is>
          <t>05 POLYVINYL CHLORIDE PIPES</t>
        </is>
      </c>
      <c r="E1632" s="5" t="inlineStr">
        <is>
          <t>Unplasticized pvc pipes; ring seal sockets; 110 mm pipes; in trenches, depth</t>
        </is>
      </c>
      <c r="F1632" s="5" t="inlineStr">
        <is>
          <t>5.00-5.50 m deep</t>
        </is>
      </c>
      <c r="G1632" s="6" t="inlineStr">
        <is>
          <t>m</t>
        </is>
      </c>
      <c r="H1632" s="7" t="n">
        <v>0.36</v>
      </c>
      <c r="I1632" s="8" t="n">
        <v>49.74</v>
      </c>
      <c r="J1632" s="8" t="n">
        <v>47.19</v>
      </c>
      <c r="K1632" s="8" t="n">
        <v>10.14</v>
      </c>
      <c r="L1632" s="8" t="n">
        <v>0</v>
      </c>
      <c r="M1632" s="9">
        <f>ROUND(SUM(I1632:L1632),2)</f>
        <v/>
      </c>
      <c r="N1632" s="10">
        <f>ROUND(I1632*'Irish Basis'!$C$6*'Irish Basis'!$C$5,2)</f>
        <v/>
      </c>
      <c r="O1632" s="10">
        <f>ROUND(J1632*'Irish Basis'!$C$7*'Irish Basis'!$C$5,2)</f>
        <v/>
      </c>
      <c r="P1632" s="10">
        <f>ROUND(K1632*'Irish Basis'!$C$8*'Irish Basis'!$C$5,2)</f>
        <v/>
      </c>
      <c r="Q1632" s="10">
        <f>ROUND(L1632*'Irish Basis'!$C$12*'Irish Basis'!$C$5,2)</f>
        <v/>
      </c>
      <c r="R1632" s="11">
        <f>ROUND(SUM(N1632:Q1632),2)</f>
        <v/>
      </c>
      <c r="S1632" s="5" t="inlineStr">
        <is>
          <t>Stated build-up</t>
        </is>
      </c>
      <c r="T1632" s="12" t="inlineStr">
        <is>
          <t>High</t>
        </is>
      </c>
      <c r="U1632" s="8" t="n">
        <v>107.08</v>
      </c>
      <c r="V1632" s="13">
        <f>IF(U1632="","",ROUND(M1632-U1632,2))</f>
        <v/>
      </c>
      <c r="W1632" s="5" t="n"/>
      <c r="X1632" s="5" t="inlineStr">
        <is>
          <t>Labour + plant + material as published; reconciles to the published rate.</t>
        </is>
      </c>
    </row>
    <row r="1633" ht="13" customHeight="1">
      <c r="A1633" s="4" t="n">
        <v>2563</v>
      </c>
      <c r="B1633" s="5" t="inlineStr">
        <is>
          <t>IMG_0100</t>
        </is>
      </c>
      <c r="C1633" s="5" t="inlineStr">
        <is>
          <t>CLASS I: PIPEWORK - PIPES</t>
        </is>
      </c>
      <c r="D1633" s="5" t="inlineStr">
        <is>
          <t>05 POLYVINYL CHLORIDE PIPES</t>
        </is>
      </c>
      <c r="E1633" s="5" t="inlineStr">
        <is>
          <t>Unplasticized pvc pipes; ring seal sockets; 110 mm pipes; in trenches, depth</t>
        </is>
      </c>
      <c r="F1633" s="5" t="inlineStr">
        <is>
          <t>extra for bend; short redius (socket/spigot)</t>
        </is>
      </c>
      <c r="G1633" s="6" t="inlineStr">
        <is>
          <t>nr</t>
        </is>
      </c>
      <c r="H1633" s="7" t="n">
        <v>0.05</v>
      </c>
      <c r="I1633" s="8" t="n">
        <v>6.91</v>
      </c>
      <c r="J1633" s="8" t="n">
        <v>0</v>
      </c>
      <c r="K1633" s="8" t="n">
        <v>88.09</v>
      </c>
      <c r="L1633" s="8" t="n">
        <v>0</v>
      </c>
      <c r="M1633" s="9">
        <f>ROUND(SUM(I1633:L1633),2)</f>
        <v/>
      </c>
      <c r="N1633" s="10">
        <f>ROUND(I1633*'Irish Basis'!$C$6*'Irish Basis'!$C$5,2)</f>
        <v/>
      </c>
      <c r="O1633" s="10">
        <f>ROUND(J1633*'Irish Basis'!$C$7*'Irish Basis'!$C$5,2)</f>
        <v/>
      </c>
      <c r="P1633" s="10">
        <f>ROUND(K1633*'Irish Basis'!$C$8*'Irish Basis'!$C$5,2)</f>
        <v/>
      </c>
      <c r="Q1633" s="10">
        <f>ROUND(L1633*'Irish Basis'!$C$12*'Irish Basis'!$C$5,2)</f>
        <v/>
      </c>
      <c r="R1633" s="11">
        <f>ROUND(SUM(N1633:Q1633),2)</f>
        <v/>
      </c>
      <c r="S1633" s="5" t="inlineStr">
        <is>
          <t>Stated build-up</t>
        </is>
      </c>
      <c r="T1633" s="12" t="inlineStr">
        <is>
          <t>High</t>
        </is>
      </c>
      <c r="U1633" s="8" t="n">
        <v>95</v>
      </c>
      <c r="V1633" s="13">
        <f>IF(U1633="","",ROUND(M1633-U1633,2))</f>
        <v/>
      </c>
      <c r="W1633" s="5" t="n"/>
      <c r="X1633" s="5" t="inlineStr">
        <is>
          <t>Labour + plant + material as published; reconciles to the published rate.</t>
        </is>
      </c>
    </row>
    <row r="1634" ht="13" customHeight="1">
      <c r="A1634" s="4" t="n">
        <v>2564</v>
      </c>
      <c r="B1634" s="5" t="inlineStr">
        <is>
          <t>IMG_0100</t>
        </is>
      </c>
      <c r="C1634" s="5" t="inlineStr">
        <is>
          <t>CLASS I: PIPEWORK - PIPES</t>
        </is>
      </c>
      <c r="D1634" s="5" t="inlineStr">
        <is>
          <t>05 POLYVINYL CHLORIDE PIPES</t>
        </is>
      </c>
      <c r="E1634" s="5" t="inlineStr">
        <is>
          <t>Unplasticized pvc pipes; ring seal sockets; 110 mm pipes; in trenches, depth</t>
        </is>
      </c>
      <c r="F1634" s="5" t="inlineStr">
        <is>
          <t>extra for bend; adjustable (socket/spigot)</t>
        </is>
      </c>
      <c r="G1634" s="6" t="inlineStr">
        <is>
          <t>nr</t>
        </is>
      </c>
      <c r="H1634" s="7" t="n">
        <v>0.05</v>
      </c>
      <c r="I1634" s="8" t="n">
        <v>6.91</v>
      </c>
      <c r="J1634" s="8" t="n">
        <v>0</v>
      </c>
      <c r="K1634" s="8" t="n">
        <v>87.12</v>
      </c>
      <c r="L1634" s="8" t="n">
        <v>0</v>
      </c>
      <c r="M1634" s="9">
        <f>ROUND(SUM(I1634:L1634),2)</f>
        <v/>
      </c>
      <c r="N1634" s="10">
        <f>ROUND(I1634*'Irish Basis'!$C$6*'Irish Basis'!$C$5,2)</f>
        <v/>
      </c>
      <c r="O1634" s="10">
        <f>ROUND(J1634*'Irish Basis'!$C$7*'Irish Basis'!$C$5,2)</f>
        <v/>
      </c>
      <c r="P1634" s="10">
        <f>ROUND(K1634*'Irish Basis'!$C$8*'Irish Basis'!$C$5,2)</f>
        <v/>
      </c>
      <c r="Q1634" s="10">
        <f>ROUND(L1634*'Irish Basis'!$C$12*'Irish Basis'!$C$5,2)</f>
        <v/>
      </c>
      <c r="R1634" s="11">
        <f>ROUND(SUM(N1634:Q1634),2)</f>
        <v/>
      </c>
      <c r="S1634" s="5" t="inlineStr">
        <is>
          <t>Stated build-up</t>
        </is>
      </c>
      <c r="T1634" s="12" t="inlineStr">
        <is>
          <t>High</t>
        </is>
      </c>
      <c r="U1634" s="8" t="n">
        <v>94.03</v>
      </c>
      <c r="V1634" s="13">
        <f>IF(U1634="","",ROUND(M1634-U1634,2))</f>
        <v/>
      </c>
      <c r="W1634" s="5" t="n"/>
      <c r="X1634" s="5" t="inlineStr">
        <is>
          <t>Labour + plant + material as published; reconciles to the published rate.</t>
        </is>
      </c>
    </row>
    <row r="1635" ht="13" customHeight="1">
      <c r="A1635" s="4" t="n">
        <v>2565</v>
      </c>
      <c r="B1635" s="5" t="inlineStr">
        <is>
          <t>IMG_0100</t>
        </is>
      </c>
      <c r="C1635" s="5" t="inlineStr">
        <is>
          <t>CLASS I: PIPEWORK - PIPES</t>
        </is>
      </c>
      <c r="D1635" s="5" t="inlineStr">
        <is>
          <t>05 POLYVINYL CHLORIDE PIPES</t>
        </is>
      </c>
      <c r="E1635" s="5" t="inlineStr">
        <is>
          <t>Unplasticized pvc pipes; ring seal sockets; 110 mm pipes; in trenches, depth</t>
        </is>
      </c>
      <c r="F1635" s="5" t="inlineStr">
        <is>
          <t>extra for reducer</t>
        </is>
      </c>
      <c r="G1635" s="6" t="inlineStr">
        <is>
          <t>nr</t>
        </is>
      </c>
      <c r="H1635" s="7" t="n">
        <v>0.05</v>
      </c>
      <c r="I1635" s="8" t="n">
        <v>6.91</v>
      </c>
      <c r="J1635" s="8" t="n">
        <v>0</v>
      </c>
      <c r="K1635" s="8" t="n">
        <v>32.88</v>
      </c>
      <c r="L1635" s="8" t="n">
        <v>0</v>
      </c>
      <c r="M1635" s="9">
        <f>ROUND(SUM(I1635:L1635),2)</f>
        <v/>
      </c>
      <c r="N1635" s="10">
        <f>ROUND(I1635*'Irish Basis'!$C$6*'Irish Basis'!$C$5,2)</f>
        <v/>
      </c>
      <c r="O1635" s="10">
        <f>ROUND(J1635*'Irish Basis'!$C$7*'Irish Basis'!$C$5,2)</f>
        <v/>
      </c>
      <c r="P1635" s="10">
        <f>ROUND(K1635*'Irish Basis'!$C$8*'Irish Basis'!$C$5,2)</f>
        <v/>
      </c>
      <c r="Q1635" s="10">
        <f>ROUND(L1635*'Irish Basis'!$C$12*'Irish Basis'!$C$5,2)</f>
        <v/>
      </c>
      <c r="R1635" s="11">
        <f>ROUND(SUM(N1635:Q1635),2)</f>
        <v/>
      </c>
      <c r="S1635" s="5" t="inlineStr">
        <is>
          <t>Stated build-up</t>
        </is>
      </c>
      <c r="T1635" s="12" t="inlineStr">
        <is>
          <t>High</t>
        </is>
      </c>
      <c r="U1635" s="8" t="n">
        <v>39.79</v>
      </c>
      <c r="V1635" s="13">
        <f>IF(U1635="","",ROUND(M1635-U1635,2))</f>
        <v/>
      </c>
      <c r="W1635" s="5" t="n"/>
      <c r="X1635" s="5" t="inlineStr">
        <is>
          <t>Labour + plant + material as published; reconciles to the published rate.</t>
        </is>
      </c>
    </row>
    <row r="1636" ht="13" customHeight="1">
      <c r="A1636" s="4" t="n">
        <v>2566</v>
      </c>
      <c r="B1636" s="5" t="inlineStr">
        <is>
          <t>IMG_0100</t>
        </is>
      </c>
      <c r="C1636" s="5" t="inlineStr">
        <is>
          <t>CLASS I: PIPEWORK - PIPES</t>
        </is>
      </c>
      <c r="D1636" s="5" t="inlineStr">
        <is>
          <t>05 POLYVINYL CHLORIDE PIPES</t>
        </is>
      </c>
      <c r="E1636" s="5" t="inlineStr">
        <is>
          <t>Unplasticized pvc pipes; ring seal sockets; 110 mm pipes; in trenches, depth</t>
        </is>
      </c>
      <c r="F1636" s="5" t="inlineStr">
        <is>
          <t>extra for branches; equal (socket/spigot)</t>
        </is>
      </c>
      <c r="G1636" s="6" t="inlineStr">
        <is>
          <t>nr</t>
        </is>
      </c>
      <c r="H1636" s="7" t="n">
        <v>0.07000000000000001</v>
      </c>
      <c r="I1636" s="8" t="n">
        <v>9.67</v>
      </c>
      <c r="J1636" s="8" t="n">
        <v>0</v>
      </c>
      <c r="K1636" s="8" t="n">
        <v>112.82</v>
      </c>
      <c r="L1636" s="8" t="n">
        <v>0</v>
      </c>
      <c r="M1636" s="9">
        <f>ROUND(SUM(I1636:L1636),2)</f>
        <v/>
      </c>
      <c r="N1636" s="10">
        <f>ROUND(I1636*'Irish Basis'!$C$6*'Irish Basis'!$C$5,2)</f>
        <v/>
      </c>
      <c r="O1636" s="10">
        <f>ROUND(J1636*'Irish Basis'!$C$7*'Irish Basis'!$C$5,2)</f>
        <v/>
      </c>
      <c r="P1636" s="10">
        <f>ROUND(K1636*'Irish Basis'!$C$8*'Irish Basis'!$C$5,2)</f>
        <v/>
      </c>
      <c r="Q1636" s="10">
        <f>ROUND(L1636*'Irish Basis'!$C$12*'Irish Basis'!$C$5,2)</f>
        <v/>
      </c>
      <c r="R1636" s="11">
        <f>ROUND(SUM(N1636:Q1636),2)</f>
        <v/>
      </c>
      <c r="S1636" s="5" t="inlineStr">
        <is>
          <t>Stated build-up</t>
        </is>
      </c>
      <c r="T1636" s="12" t="inlineStr">
        <is>
          <t>High</t>
        </is>
      </c>
      <c r="U1636" s="8" t="n">
        <v>122.49</v>
      </c>
      <c r="V1636" s="13">
        <f>IF(U1636="","",ROUND(M1636-U1636,2))</f>
        <v/>
      </c>
      <c r="W1636" s="5" t="n"/>
      <c r="X1636" s="5" t="inlineStr">
        <is>
          <t>Labour + plant + material as published; reconciles to the published rate.</t>
        </is>
      </c>
    </row>
    <row r="1637" ht="13" customHeight="1">
      <c r="A1637" s="4" t="n">
        <v>2568</v>
      </c>
      <c r="B1637" s="5" t="inlineStr">
        <is>
          <t>IMG_0100</t>
        </is>
      </c>
      <c r="C1637" s="5" t="inlineStr">
        <is>
          <t>CLASS I: PIPEWORK - PIPES</t>
        </is>
      </c>
      <c r="D1637" s="5" t="inlineStr">
        <is>
          <t>05 POLYVINYL CHLORIDE PIPES</t>
        </is>
      </c>
      <c r="E1637" s="5" t="inlineStr">
        <is>
          <t>160 mm pipes; in trenches, depth</t>
        </is>
      </c>
      <c r="F1637" s="5" t="inlineStr">
        <is>
          <t>not in trenches</t>
        </is>
      </c>
      <c r="G1637" s="6" t="inlineStr">
        <is>
          <t>m</t>
        </is>
      </c>
      <c r="H1637" s="7" t="n">
        <v>0.06</v>
      </c>
      <c r="I1637" s="8" t="n">
        <v>5.18</v>
      </c>
      <c r="J1637" s="8" t="n">
        <v>0.65</v>
      </c>
      <c r="K1637" s="8" t="n">
        <v>28.58</v>
      </c>
      <c r="L1637" s="8" t="n">
        <v>0</v>
      </c>
      <c r="M1637" s="9">
        <f>ROUND(SUM(I1637:L1637),2)</f>
        <v/>
      </c>
      <c r="N1637" s="10">
        <f>ROUND(I1637*'Irish Basis'!$C$6*'Irish Basis'!$C$5,2)</f>
        <v/>
      </c>
      <c r="O1637" s="10">
        <f>ROUND(J1637*'Irish Basis'!$C$7*'Irish Basis'!$C$5,2)</f>
        <v/>
      </c>
      <c r="P1637" s="10">
        <f>ROUND(K1637*'Irish Basis'!$C$8*'Irish Basis'!$C$5,2)</f>
        <v/>
      </c>
      <c r="Q1637" s="10">
        <f>ROUND(L1637*'Irish Basis'!$C$12*'Irish Basis'!$C$5,2)</f>
        <v/>
      </c>
      <c r="R1637" s="11">
        <f>ROUND(SUM(N1637:Q1637),2)</f>
        <v/>
      </c>
      <c r="S1637" s="5" t="inlineStr">
        <is>
          <t>Stated build-up</t>
        </is>
      </c>
      <c r="T1637" s="12" t="inlineStr">
        <is>
          <t>High</t>
        </is>
      </c>
      <c r="U1637" s="8" t="n">
        <v>34.41</v>
      </c>
      <c r="V1637" s="13">
        <f>IF(U1637="","",ROUND(M1637-U1637,2))</f>
        <v/>
      </c>
      <c r="W1637" s="5" t="n"/>
      <c r="X1637" s="5" t="inlineStr">
        <is>
          <t>Labour + plant + material as published; reconciles to the published rate.</t>
        </is>
      </c>
    </row>
    <row r="1638" ht="13" customHeight="1">
      <c r="A1638" s="4" t="n">
        <v>2569</v>
      </c>
      <c r="B1638" s="5" t="inlineStr">
        <is>
          <t>IMG_0100</t>
        </is>
      </c>
      <c r="C1638" s="5" t="inlineStr">
        <is>
          <t>CLASS I: PIPEWORK - PIPES</t>
        </is>
      </c>
      <c r="D1638" s="5" t="inlineStr">
        <is>
          <t>05 POLYVINYL CHLORIDE PIPES</t>
        </is>
      </c>
      <c r="E1638" s="5" t="inlineStr">
        <is>
          <t>160 mm pipes; in trenches, depth</t>
        </is>
      </c>
      <c r="F1638" s="5" t="inlineStr">
        <is>
          <t>ne 1.50 m deep</t>
        </is>
      </c>
      <c r="G1638" s="6" t="inlineStr">
        <is>
          <t>m</t>
        </is>
      </c>
      <c r="H1638" s="7" t="n">
        <v>0.11</v>
      </c>
      <c r="I1638" s="8" t="n">
        <v>15.2</v>
      </c>
      <c r="J1638" s="8" t="n">
        <v>14.34</v>
      </c>
      <c r="K1638" s="8" t="n">
        <v>28.58</v>
      </c>
      <c r="L1638" s="8" t="n">
        <v>0</v>
      </c>
      <c r="M1638" s="9">
        <f>ROUND(SUM(I1638:L1638),2)</f>
        <v/>
      </c>
      <c r="N1638" s="10">
        <f>ROUND(I1638*'Irish Basis'!$C$6*'Irish Basis'!$C$5,2)</f>
        <v/>
      </c>
      <c r="O1638" s="10">
        <f>ROUND(J1638*'Irish Basis'!$C$7*'Irish Basis'!$C$5,2)</f>
        <v/>
      </c>
      <c r="P1638" s="10">
        <f>ROUND(K1638*'Irish Basis'!$C$8*'Irish Basis'!$C$5,2)</f>
        <v/>
      </c>
      <c r="Q1638" s="10">
        <f>ROUND(L1638*'Irish Basis'!$C$12*'Irish Basis'!$C$5,2)</f>
        <v/>
      </c>
      <c r="R1638" s="11">
        <f>ROUND(SUM(N1638:Q1638),2)</f>
        <v/>
      </c>
      <c r="S1638" s="5" t="inlineStr">
        <is>
          <t>Stated build-up</t>
        </is>
      </c>
      <c r="T1638" s="12" t="inlineStr">
        <is>
          <t>High</t>
        </is>
      </c>
      <c r="U1638" s="8" t="n">
        <v>58.13</v>
      </c>
      <c r="V1638" s="13">
        <f>IF(U1638="","",ROUND(M1638-U1638,2))</f>
        <v/>
      </c>
      <c r="W1638" s="5" t="n"/>
      <c r="X1638" s="5" t="inlineStr">
        <is>
          <t>Labour + plant + material as published; reconciles to the published rate.</t>
        </is>
      </c>
    </row>
    <row r="1639" ht="13" customHeight="1">
      <c r="A1639" s="4" t="n">
        <v>2570</v>
      </c>
      <c r="B1639" s="5" t="inlineStr">
        <is>
          <t>IMG_0100</t>
        </is>
      </c>
      <c r="C1639" s="5" t="inlineStr">
        <is>
          <t>CLASS I: PIPEWORK - PIPES</t>
        </is>
      </c>
      <c r="D1639" s="5" t="inlineStr">
        <is>
          <t>05 POLYVINYL CHLORIDE PIPES</t>
        </is>
      </c>
      <c r="E1639" s="5" t="inlineStr">
        <is>
          <t>160 mm pipes; in trenches, depth</t>
        </is>
      </c>
      <c r="F1639" s="5" t="inlineStr">
        <is>
          <t>1.50-2.00 m deep</t>
        </is>
      </c>
      <c r="G1639" s="6" t="inlineStr">
        <is>
          <t>m</t>
        </is>
      </c>
      <c r="H1639" s="7" t="n">
        <v>0.14</v>
      </c>
      <c r="I1639" s="8" t="n">
        <v>19.35</v>
      </c>
      <c r="J1639" s="8" t="n">
        <v>18.33</v>
      </c>
      <c r="K1639" s="8" t="n">
        <v>28.58</v>
      </c>
      <c r="L1639" s="8" t="n">
        <v>0</v>
      </c>
      <c r="M1639" s="9">
        <f>ROUND(SUM(I1639:L1639),2)</f>
        <v/>
      </c>
      <c r="N1639" s="10">
        <f>ROUND(I1639*'Irish Basis'!$C$6*'Irish Basis'!$C$5,2)</f>
        <v/>
      </c>
      <c r="O1639" s="10">
        <f>ROUND(J1639*'Irish Basis'!$C$7*'Irish Basis'!$C$5,2)</f>
        <v/>
      </c>
      <c r="P1639" s="10">
        <f>ROUND(K1639*'Irish Basis'!$C$8*'Irish Basis'!$C$5,2)</f>
        <v/>
      </c>
      <c r="Q1639" s="10">
        <f>ROUND(L1639*'Irish Basis'!$C$12*'Irish Basis'!$C$5,2)</f>
        <v/>
      </c>
      <c r="R1639" s="11">
        <f>ROUND(SUM(N1639:Q1639),2)</f>
        <v/>
      </c>
      <c r="S1639" s="5" t="inlineStr">
        <is>
          <t>Stated build-up</t>
        </is>
      </c>
      <c r="T1639" s="12" t="inlineStr">
        <is>
          <t>High</t>
        </is>
      </c>
      <c r="U1639" s="8" t="n">
        <v>66.26000000000001</v>
      </c>
      <c r="V1639" s="13">
        <f>IF(U1639="","",ROUND(M1639-U1639,2))</f>
        <v/>
      </c>
      <c r="W1639" s="5" t="n"/>
      <c r="X1639" s="5" t="inlineStr">
        <is>
          <t>Labour + plant + material as published; reconciles to the published rate.</t>
        </is>
      </c>
    </row>
    <row r="1640" ht="13" customHeight="1">
      <c r="A1640" s="4" t="n">
        <v>2571</v>
      </c>
      <c r="B1640" s="5" t="inlineStr">
        <is>
          <t>IMG_0100</t>
        </is>
      </c>
      <c r="C1640" s="5" t="inlineStr">
        <is>
          <t>CLASS I: PIPEWORK - PIPES</t>
        </is>
      </c>
      <c r="D1640" s="5" t="inlineStr">
        <is>
          <t>05 POLYVINYL CHLORIDE PIPES</t>
        </is>
      </c>
      <c r="E1640" s="5" t="inlineStr">
        <is>
          <t>160 mm pipes; in trenches, depth</t>
        </is>
      </c>
      <c r="F1640" s="5" t="inlineStr">
        <is>
          <t>2.00-2.50 m deep</t>
        </is>
      </c>
      <c r="G1640" s="6" t="inlineStr">
        <is>
          <t>m</t>
        </is>
      </c>
      <c r="H1640" s="7" t="n">
        <v>0.18</v>
      </c>
      <c r="I1640" s="8" t="n">
        <v>24.87</v>
      </c>
      <c r="J1640" s="8" t="n">
        <v>23.59</v>
      </c>
      <c r="K1640" s="8" t="n">
        <v>28.58</v>
      </c>
      <c r="L1640" s="8" t="n">
        <v>0</v>
      </c>
      <c r="M1640" s="9">
        <f>ROUND(SUM(I1640:L1640),2)</f>
        <v/>
      </c>
      <c r="N1640" s="10">
        <f>ROUND(I1640*'Irish Basis'!$C$6*'Irish Basis'!$C$5,2)</f>
        <v/>
      </c>
      <c r="O1640" s="10">
        <f>ROUND(J1640*'Irish Basis'!$C$7*'Irish Basis'!$C$5,2)</f>
        <v/>
      </c>
      <c r="P1640" s="10">
        <f>ROUND(K1640*'Irish Basis'!$C$8*'Irish Basis'!$C$5,2)</f>
        <v/>
      </c>
      <c r="Q1640" s="10">
        <f>ROUND(L1640*'Irish Basis'!$C$12*'Irish Basis'!$C$5,2)</f>
        <v/>
      </c>
      <c r="R1640" s="11">
        <f>ROUND(SUM(N1640:Q1640),2)</f>
        <v/>
      </c>
      <c r="S1640" s="5" t="inlineStr">
        <is>
          <t>Stated build-up</t>
        </is>
      </c>
      <c r="T1640" s="12" t="inlineStr">
        <is>
          <t>High</t>
        </is>
      </c>
      <c r="U1640" s="8" t="n">
        <v>77.04000000000001</v>
      </c>
      <c r="V1640" s="13">
        <f>IF(U1640="","",ROUND(M1640-U1640,2))</f>
        <v/>
      </c>
      <c r="W1640" s="5" t="n"/>
      <c r="X1640" s="5" t="inlineStr">
        <is>
          <t>Labour + plant + material as published; reconciles to the published rate.</t>
        </is>
      </c>
    </row>
    <row r="1641" ht="13" customHeight="1">
      <c r="A1641" s="4" t="n">
        <v>2572</v>
      </c>
      <c r="B1641" s="5" t="inlineStr">
        <is>
          <t>IMG_0100</t>
        </is>
      </c>
      <c r="C1641" s="5" t="inlineStr">
        <is>
          <t>CLASS I: PIPEWORK - PIPES</t>
        </is>
      </c>
      <c r="D1641" s="5" t="inlineStr">
        <is>
          <t>05 POLYVINYL CHLORIDE PIPES</t>
        </is>
      </c>
      <c r="E1641" s="5" t="inlineStr">
        <is>
          <t>160 mm pipes; in trenches, depth</t>
        </is>
      </c>
      <c r="F1641" s="5" t="inlineStr">
        <is>
          <t>2.50-3.00 m deep</t>
        </is>
      </c>
      <c r="G1641" s="6" t="inlineStr">
        <is>
          <t>m</t>
        </is>
      </c>
      <c r="H1641" s="7" t="n">
        <v>0.22</v>
      </c>
      <c r="I1641" s="8" t="n">
        <v>30.4</v>
      </c>
      <c r="J1641" s="8" t="n">
        <v>28.81</v>
      </c>
      <c r="K1641" s="8" t="n">
        <v>28.58</v>
      </c>
      <c r="L1641" s="8" t="n">
        <v>0</v>
      </c>
      <c r="M1641" s="9">
        <f>ROUND(SUM(I1641:L1641),2)</f>
        <v/>
      </c>
      <c r="N1641" s="10">
        <f>ROUND(I1641*'Irish Basis'!$C$6*'Irish Basis'!$C$5,2)</f>
        <v/>
      </c>
      <c r="O1641" s="10">
        <f>ROUND(J1641*'Irish Basis'!$C$7*'Irish Basis'!$C$5,2)</f>
        <v/>
      </c>
      <c r="P1641" s="10">
        <f>ROUND(K1641*'Irish Basis'!$C$8*'Irish Basis'!$C$5,2)</f>
        <v/>
      </c>
      <c r="Q1641" s="10">
        <f>ROUND(L1641*'Irish Basis'!$C$12*'Irish Basis'!$C$5,2)</f>
        <v/>
      </c>
      <c r="R1641" s="11">
        <f>ROUND(SUM(N1641:Q1641),2)</f>
        <v/>
      </c>
      <c r="S1641" s="5" t="inlineStr">
        <is>
          <t>Stated build-up</t>
        </is>
      </c>
      <c r="T1641" s="12" t="inlineStr">
        <is>
          <t>High</t>
        </is>
      </c>
      <c r="U1641" s="8" t="n">
        <v>87.79000000000001</v>
      </c>
      <c r="V1641" s="13">
        <f>IF(U1641="","",ROUND(M1641-U1641,2))</f>
        <v/>
      </c>
      <c r="W1641" s="5" t="n"/>
      <c r="X1641" s="5" t="inlineStr">
        <is>
          <t>Labour + plant + material as published; reconciles to the published rate.</t>
        </is>
      </c>
    </row>
    <row r="1642" ht="13" customHeight="1">
      <c r="A1642" s="4" t="n">
        <v>2573</v>
      </c>
      <c r="B1642" s="5" t="inlineStr">
        <is>
          <t>IMG_0100</t>
        </is>
      </c>
      <c r="C1642" s="5" t="inlineStr">
        <is>
          <t>CLASS I: PIPEWORK - PIPES</t>
        </is>
      </c>
      <c r="D1642" s="5" t="inlineStr">
        <is>
          <t>05 POLYVINYL CHLORIDE PIPES</t>
        </is>
      </c>
      <c r="E1642" s="5" t="inlineStr">
        <is>
          <t>160 mm pipes; in trenches, depth</t>
        </is>
      </c>
      <c r="F1642" s="5" t="inlineStr">
        <is>
          <t>3.00-3.50 m deep</t>
        </is>
      </c>
      <c r="G1642" s="6" t="inlineStr">
        <is>
          <t>m</t>
        </is>
      </c>
      <c r="H1642" s="7" t="n">
        <v>0.23</v>
      </c>
      <c r="I1642" s="8" t="n">
        <v>31.78</v>
      </c>
      <c r="J1642" s="8" t="n">
        <v>30.09</v>
      </c>
      <c r="K1642" s="8" t="n">
        <v>28.58</v>
      </c>
      <c r="L1642" s="8" t="n">
        <v>0</v>
      </c>
      <c r="M1642" s="9">
        <f>ROUND(SUM(I1642:L1642),2)</f>
        <v/>
      </c>
      <c r="N1642" s="10">
        <f>ROUND(I1642*'Irish Basis'!$C$6*'Irish Basis'!$C$5,2)</f>
        <v/>
      </c>
      <c r="O1642" s="10">
        <f>ROUND(J1642*'Irish Basis'!$C$7*'Irish Basis'!$C$5,2)</f>
        <v/>
      </c>
      <c r="P1642" s="10">
        <f>ROUND(K1642*'Irish Basis'!$C$8*'Irish Basis'!$C$5,2)</f>
        <v/>
      </c>
      <c r="Q1642" s="10">
        <f>ROUND(L1642*'Irish Basis'!$C$12*'Irish Basis'!$C$5,2)</f>
        <v/>
      </c>
      <c r="R1642" s="11">
        <f>ROUND(SUM(N1642:Q1642),2)</f>
        <v/>
      </c>
      <c r="S1642" s="5" t="inlineStr">
        <is>
          <t>Stated build-up</t>
        </is>
      </c>
      <c r="T1642" s="12" t="inlineStr">
        <is>
          <t>High</t>
        </is>
      </c>
      <c r="U1642" s="8" t="n">
        <v>90.45</v>
      </c>
      <c r="V1642" s="13">
        <f>IF(U1642="","",ROUND(M1642-U1642,2))</f>
        <v/>
      </c>
      <c r="W1642" s="5" t="n"/>
      <c r="X1642" s="5" t="inlineStr">
        <is>
          <t>Labour + plant + material as published; reconciles to the published rate.</t>
        </is>
      </c>
    </row>
    <row r="1643" ht="13" customHeight="1">
      <c r="A1643" s="4" t="n">
        <v>2574</v>
      </c>
      <c r="B1643" s="5" t="inlineStr">
        <is>
          <t>IMG_0100</t>
        </is>
      </c>
      <c r="C1643" s="5" t="inlineStr">
        <is>
          <t>CLASS I: PIPEWORK - PIPES</t>
        </is>
      </c>
      <c r="D1643" s="5" t="inlineStr">
        <is>
          <t>05 POLYVINYL CHLORIDE PIPES</t>
        </is>
      </c>
      <c r="E1643" s="5" t="inlineStr">
        <is>
          <t>160 mm pipes; in trenches, depth</t>
        </is>
      </c>
      <c r="F1643" s="5" t="inlineStr">
        <is>
          <t>3.50-4.00 m deep</t>
        </is>
      </c>
      <c r="G1643" s="6" t="inlineStr">
        <is>
          <t>m</t>
        </is>
      </c>
      <c r="H1643" s="7" t="n">
        <v>0.26</v>
      </c>
      <c r="I1643" s="8" t="n">
        <v>35.93</v>
      </c>
      <c r="J1643" s="8" t="n">
        <v>34.07</v>
      </c>
      <c r="K1643" s="8" t="n">
        <v>28.58</v>
      </c>
      <c r="L1643" s="8" t="n">
        <v>0</v>
      </c>
      <c r="M1643" s="9">
        <f>ROUND(SUM(I1643:L1643),2)</f>
        <v/>
      </c>
      <c r="N1643" s="10">
        <f>ROUND(I1643*'Irish Basis'!$C$6*'Irish Basis'!$C$5,2)</f>
        <v/>
      </c>
      <c r="O1643" s="10">
        <f>ROUND(J1643*'Irish Basis'!$C$7*'Irish Basis'!$C$5,2)</f>
        <v/>
      </c>
      <c r="P1643" s="10">
        <f>ROUND(K1643*'Irish Basis'!$C$8*'Irish Basis'!$C$5,2)</f>
        <v/>
      </c>
      <c r="Q1643" s="10">
        <f>ROUND(L1643*'Irish Basis'!$C$12*'Irish Basis'!$C$5,2)</f>
        <v/>
      </c>
      <c r="R1643" s="11">
        <f>ROUND(SUM(N1643:Q1643),2)</f>
        <v/>
      </c>
      <c r="S1643" s="5" t="inlineStr">
        <is>
          <t>Stated build-up</t>
        </is>
      </c>
      <c r="T1643" s="12" t="inlineStr">
        <is>
          <t>High</t>
        </is>
      </c>
      <c r="U1643" s="8" t="n">
        <v>98.59</v>
      </c>
      <c r="V1643" s="13">
        <f>IF(U1643="","",ROUND(M1643-U1643,2))</f>
        <v/>
      </c>
      <c r="W1643" s="5" t="n"/>
      <c r="X1643" s="5" t="inlineStr">
        <is>
          <t>Labour + plant + material as published; reconciles to the published rate.</t>
        </is>
      </c>
    </row>
    <row r="1644" ht="13" customHeight="1">
      <c r="A1644" s="4" t="n">
        <v>2575</v>
      </c>
      <c r="B1644" s="5" t="inlineStr">
        <is>
          <t>IMG_0100</t>
        </is>
      </c>
      <c r="C1644" s="5" t="inlineStr">
        <is>
          <t>CLASS I: PIPEWORK - PIPES</t>
        </is>
      </c>
      <c r="D1644" s="5" t="inlineStr">
        <is>
          <t>05 POLYVINYL CHLORIDE PIPES</t>
        </is>
      </c>
      <c r="E1644" s="5" t="inlineStr">
        <is>
          <t>160 mm pipes; in trenches, depth</t>
        </is>
      </c>
      <c r="F1644" s="5" t="inlineStr">
        <is>
          <t>4.00-4.50 m deep</t>
        </is>
      </c>
      <c r="G1644" s="6" t="inlineStr">
        <is>
          <t>m</t>
        </is>
      </c>
      <c r="H1644" s="7" t="n">
        <v>0.3</v>
      </c>
      <c r="I1644" s="8" t="n">
        <v>41.45</v>
      </c>
      <c r="J1644" s="8" t="n">
        <v>39.27</v>
      </c>
      <c r="K1644" s="8" t="n">
        <v>28.58</v>
      </c>
      <c r="L1644" s="8" t="n">
        <v>0</v>
      </c>
      <c r="M1644" s="9">
        <f>ROUND(SUM(I1644:L1644),2)</f>
        <v/>
      </c>
      <c r="N1644" s="10">
        <f>ROUND(I1644*'Irish Basis'!$C$6*'Irish Basis'!$C$5,2)</f>
        <v/>
      </c>
      <c r="O1644" s="10">
        <f>ROUND(J1644*'Irish Basis'!$C$7*'Irish Basis'!$C$5,2)</f>
        <v/>
      </c>
      <c r="P1644" s="10">
        <f>ROUND(K1644*'Irish Basis'!$C$8*'Irish Basis'!$C$5,2)</f>
        <v/>
      </c>
      <c r="Q1644" s="10">
        <f>ROUND(L1644*'Irish Basis'!$C$12*'Irish Basis'!$C$5,2)</f>
        <v/>
      </c>
      <c r="R1644" s="11">
        <f>ROUND(SUM(N1644:Q1644),2)</f>
        <v/>
      </c>
      <c r="S1644" s="5" t="inlineStr">
        <is>
          <t>Stated build-up</t>
        </is>
      </c>
      <c r="T1644" s="12" t="inlineStr">
        <is>
          <t>High</t>
        </is>
      </c>
      <c r="U1644" s="8" t="n">
        <v>109.3</v>
      </c>
      <c r="V1644" s="13">
        <f>IF(U1644="","",ROUND(M1644-U1644,2))</f>
        <v/>
      </c>
      <c r="W1644" s="5" t="n"/>
      <c r="X1644" s="5" t="inlineStr">
        <is>
          <t>Labour + plant + material as published; reconciles to the published rate.</t>
        </is>
      </c>
    </row>
    <row r="1645" ht="13" customHeight="1">
      <c r="A1645" s="4" t="n">
        <v>2576</v>
      </c>
      <c r="B1645" s="5" t="inlineStr">
        <is>
          <t>IMG_0100</t>
        </is>
      </c>
      <c r="C1645" s="5" t="inlineStr">
        <is>
          <t>CLASS I: PIPEWORK - PIPES</t>
        </is>
      </c>
      <c r="D1645" s="5" t="inlineStr">
        <is>
          <t>05 POLYVINYL CHLORIDE PIPES</t>
        </is>
      </c>
      <c r="E1645" s="5" t="inlineStr">
        <is>
          <t>160 mm pipes; in trenches, depth</t>
        </is>
      </c>
      <c r="F1645" s="5" t="inlineStr">
        <is>
          <t>4.50-5.00 m deep</t>
        </is>
      </c>
      <c r="G1645" s="6" t="inlineStr">
        <is>
          <t>m</t>
        </is>
      </c>
      <c r="H1645" s="7" t="n">
        <v>0.35</v>
      </c>
      <c r="I1645" s="8" t="n">
        <v>48.36</v>
      </c>
      <c r="J1645" s="8" t="n">
        <v>45.85</v>
      </c>
      <c r="K1645" s="8" t="n">
        <v>28.58</v>
      </c>
      <c r="L1645" s="8" t="n">
        <v>0</v>
      </c>
      <c r="M1645" s="9">
        <f>ROUND(SUM(I1645:L1645),2)</f>
        <v/>
      </c>
      <c r="N1645" s="10">
        <f>ROUND(I1645*'Irish Basis'!$C$6*'Irish Basis'!$C$5,2)</f>
        <v/>
      </c>
      <c r="O1645" s="10">
        <f>ROUND(J1645*'Irish Basis'!$C$7*'Irish Basis'!$C$5,2)</f>
        <v/>
      </c>
      <c r="P1645" s="10">
        <f>ROUND(K1645*'Irish Basis'!$C$8*'Irish Basis'!$C$5,2)</f>
        <v/>
      </c>
      <c r="Q1645" s="10">
        <f>ROUND(L1645*'Irish Basis'!$C$12*'Irish Basis'!$C$5,2)</f>
        <v/>
      </c>
      <c r="R1645" s="11">
        <f>ROUND(SUM(N1645:Q1645),2)</f>
        <v/>
      </c>
      <c r="S1645" s="5" t="inlineStr">
        <is>
          <t>Stated build-up</t>
        </is>
      </c>
      <c r="T1645" s="12" t="inlineStr">
        <is>
          <t>High</t>
        </is>
      </c>
      <c r="U1645" s="8" t="n">
        <v>122.8</v>
      </c>
      <c r="V1645" s="13">
        <f>IF(U1645="","",ROUND(M1645-U1645,2))</f>
        <v/>
      </c>
      <c r="W1645" s="5" t="n"/>
      <c r="X1645" s="5" t="inlineStr">
        <is>
          <t>Labour + plant + material as published; reconciles to the published rate.</t>
        </is>
      </c>
    </row>
    <row r="1646" ht="13" customHeight="1">
      <c r="A1646" s="4" t="n">
        <v>2577</v>
      </c>
      <c r="B1646" s="5" t="inlineStr">
        <is>
          <t>IMG_0100</t>
        </is>
      </c>
      <c r="C1646" s="5" t="inlineStr">
        <is>
          <t>CLASS I: PIPEWORK - PIPES</t>
        </is>
      </c>
      <c r="D1646" s="5" t="inlineStr">
        <is>
          <t>05 POLYVINYL CHLORIDE PIPES</t>
        </is>
      </c>
      <c r="E1646" s="5" t="inlineStr">
        <is>
          <t>160 mm pipes; in trenches, depth</t>
        </is>
      </c>
      <c r="F1646" s="5" t="inlineStr">
        <is>
          <t>5.00-5.50 m deep</t>
        </is>
      </c>
      <c r="G1646" s="6" t="inlineStr">
        <is>
          <t>m</t>
        </is>
      </c>
      <c r="H1646" s="7" t="n">
        <v>0.4</v>
      </c>
      <c r="I1646" s="8" t="n">
        <v>55.27</v>
      </c>
      <c r="J1646" s="8" t="n">
        <v>52.43</v>
      </c>
      <c r="K1646" s="8" t="n">
        <v>28.58</v>
      </c>
      <c r="L1646" s="8" t="n">
        <v>0</v>
      </c>
      <c r="M1646" s="9">
        <f>ROUND(SUM(I1646:L1646),2)</f>
        <v/>
      </c>
      <c r="N1646" s="10">
        <f>ROUND(I1646*'Irish Basis'!$C$6*'Irish Basis'!$C$5,2)</f>
        <v/>
      </c>
      <c r="O1646" s="10">
        <f>ROUND(J1646*'Irish Basis'!$C$7*'Irish Basis'!$C$5,2)</f>
        <v/>
      </c>
      <c r="P1646" s="10">
        <f>ROUND(K1646*'Irish Basis'!$C$8*'Irish Basis'!$C$5,2)</f>
        <v/>
      </c>
      <c r="Q1646" s="10">
        <f>ROUND(L1646*'Irish Basis'!$C$12*'Irish Basis'!$C$5,2)</f>
        <v/>
      </c>
      <c r="R1646" s="11">
        <f>ROUND(SUM(N1646:Q1646),2)</f>
        <v/>
      </c>
      <c r="S1646" s="5" t="inlineStr">
        <is>
          <t>Stated build-up</t>
        </is>
      </c>
      <c r="T1646" s="12" t="inlineStr">
        <is>
          <t>High</t>
        </is>
      </c>
      <c r="U1646" s="8" t="n">
        <v>136.29</v>
      </c>
      <c r="V1646" s="13">
        <f>IF(U1646="","",ROUND(M1646-U1646,2))</f>
        <v/>
      </c>
      <c r="W1646" s="5" t="n"/>
      <c r="X1646" s="5" t="inlineStr">
        <is>
          <t>Labour + plant + material as published; reconciles to the published rate.</t>
        </is>
      </c>
    </row>
    <row r="1647" ht="13" customHeight="1">
      <c r="A1647" s="4" t="n">
        <v>2578</v>
      </c>
      <c r="B1647" s="5" t="inlineStr">
        <is>
          <t>IMG_0100</t>
        </is>
      </c>
      <c r="C1647" s="5" t="inlineStr">
        <is>
          <t>CLASS I: PIPEWORK - PIPES</t>
        </is>
      </c>
      <c r="D1647" s="5" t="inlineStr">
        <is>
          <t>05 POLYVINYL CHLORIDE PIPES</t>
        </is>
      </c>
      <c r="E1647" s="5" t="inlineStr">
        <is>
          <t>160 mm pipes; in trenches, depth</t>
        </is>
      </c>
      <c r="F1647" s="5" t="inlineStr">
        <is>
          <t>extra for bend; short radius (socket/spigot)</t>
        </is>
      </c>
      <c r="G1647" s="6" t="inlineStr">
        <is>
          <t>nr</t>
        </is>
      </c>
      <c r="H1647" s="7" t="n">
        <v>0.05</v>
      </c>
      <c r="I1647" s="8" t="n">
        <v>6.91</v>
      </c>
      <c r="J1647" s="8" t="n">
        <v>0</v>
      </c>
      <c r="K1647" s="8" t="n">
        <v>344.8</v>
      </c>
      <c r="L1647" s="8" t="n">
        <v>0</v>
      </c>
      <c r="M1647" s="9">
        <f>ROUND(SUM(I1647:L1647),2)</f>
        <v/>
      </c>
      <c r="N1647" s="10">
        <f>ROUND(I1647*'Irish Basis'!$C$6*'Irish Basis'!$C$5,2)</f>
        <v/>
      </c>
      <c r="O1647" s="10">
        <f>ROUND(J1647*'Irish Basis'!$C$7*'Irish Basis'!$C$5,2)</f>
        <v/>
      </c>
      <c r="P1647" s="10">
        <f>ROUND(K1647*'Irish Basis'!$C$8*'Irish Basis'!$C$5,2)</f>
        <v/>
      </c>
      <c r="Q1647" s="10">
        <f>ROUND(L1647*'Irish Basis'!$C$12*'Irish Basis'!$C$5,2)</f>
        <v/>
      </c>
      <c r="R1647" s="11">
        <f>ROUND(SUM(N1647:Q1647),2)</f>
        <v/>
      </c>
      <c r="S1647" s="5" t="inlineStr">
        <is>
          <t>Stated build-up</t>
        </is>
      </c>
      <c r="T1647" s="12" t="inlineStr">
        <is>
          <t>High</t>
        </is>
      </c>
      <c r="U1647" s="8" t="n">
        <v>351.71</v>
      </c>
      <c r="V1647" s="13">
        <f>IF(U1647="","",ROUND(M1647-U1647,2))</f>
        <v/>
      </c>
      <c r="W1647" s="5" t="n"/>
      <c r="X1647" s="5" t="inlineStr">
        <is>
          <t>Labour + plant + material as published; reconciles to the published rate.</t>
        </is>
      </c>
    </row>
    <row r="1648" ht="13" customHeight="1">
      <c r="A1648" s="4" t="n">
        <v>2579</v>
      </c>
      <c r="B1648" s="5" t="inlineStr">
        <is>
          <t>IMG_0100</t>
        </is>
      </c>
      <c r="C1648" s="5" t="inlineStr">
        <is>
          <t>CLASS I: PIPEWORK - PIPES</t>
        </is>
      </c>
      <c r="D1648" s="5" t="inlineStr">
        <is>
          <t>05 POLYVINYL CHLORIDE PIPES</t>
        </is>
      </c>
      <c r="E1648" s="5" t="inlineStr">
        <is>
          <t>160 mm pipes; in trenches, depth</t>
        </is>
      </c>
      <c r="F1648" s="5" t="inlineStr">
        <is>
          <t>extra for branches; equal (socket/spigot)</t>
        </is>
      </c>
      <c r="G1648" s="6" t="inlineStr">
        <is>
          <t>nr</t>
        </is>
      </c>
      <c r="H1648" s="7" t="n">
        <v>0.07000000000000001</v>
      </c>
      <c r="I1648" s="8" t="n">
        <v>9.67</v>
      </c>
      <c r="J1648" s="8" t="n">
        <v>0</v>
      </c>
      <c r="K1648" s="8" t="n">
        <v>387.13</v>
      </c>
      <c r="L1648" s="8" t="n">
        <v>0</v>
      </c>
      <c r="M1648" s="9">
        <f>ROUND(SUM(I1648:L1648),2)</f>
        <v/>
      </c>
      <c r="N1648" s="10">
        <f>ROUND(I1648*'Irish Basis'!$C$6*'Irish Basis'!$C$5,2)</f>
        <v/>
      </c>
      <c r="O1648" s="10">
        <f>ROUND(J1648*'Irish Basis'!$C$7*'Irish Basis'!$C$5,2)</f>
        <v/>
      </c>
      <c r="P1648" s="10">
        <f>ROUND(K1648*'Irish Basis'!$C$8*'Irish Basis'!$C$5,2)</f>
        <v/>
      </c>
      <c r="Q1648" s="10">
        <f>ROUND(L1648*'Irish Basis'!$C$12*'Irish Basis'!$C$5,2)</f>
        <v/>
      </c>
      <c r="R1648" s="11">
        <f>ROUND(SUM(N1648:Q1648),2)</f>
        <v/>
      </c>
      <c r="S1648" s="5" t="inlineStr">
        <is>
          <t>Stated build-up</t>
        </is>
      </c>
      <c r="T1648" s="12" t="inlineStr">
        <is>
          <t>High</t>
        </is>
      </c>
      <c r="U1648" s="8" t="n">
        <v>396.81</v>
      </c>
      <c r="V1648" s="13">
        <f>IF(U1648="","",ROUND(M1648-U1648,2))</f>
        <v/>
      </c>
      <c r="W1648" s="5" t="n"/>
      <c r="X1648" s="5" t="inlineStr">
        <is>
          <t>Labour + plant + material as published; reconciles to the published rate.</t>
        </is>
      </c>
    </row>
    <row r="1649" ht="13" customHeight="1">
      <c r="A1649" s="4" t="n">
        <v>2581</v>
      </c>
      <c r="B1649" s="5" t="inlineStr">
        <is>
          <t>IMG_0100</t>
        </is>
      </c>
      <c r="C1649" s="5" t="inlineStr">
        <is>
          <t>CLASS I: PIPEWORK - PIPES</t>
        </is>
      </c>
      <c r="D1649" s="5" t="inlineStr">
        <is>
          <t>05 POLYVINYL CHLORIDE PIPES</t>
        </is>
      </c>
      <c r="E1649" s="5" t="inlineStr">
        <is>
          <t>225 mm pipes; in trenches, depth</t>
        </is>
      </c>
      <c r="F1649" s="5" t="inlineStr">
        <is>
          <t>not in trenches</t>
        </is>
      </c>
      <c r="G1649" s="6" t="inlineStr">
        <is>
          <t>m</t>
        </is>
      </c>
      <c r="H1649" s="7" t="n">
        <v>0.07000000000000001</v>
      </c>
      <c r="I1649" s="8" t="n">
        <v>6.04</v>
      </c>
      <c r="J1649" s="8" t="n">
        <v>0.77</v>
      </c>
      <c r="K1649" s="8" t="n">
        <v>163.67</v>
      </c>
      <c r="L1649" s="8" t="n">
        <v>0</v>
      </c>
      <c r="M1649" s="9">
        <f>ROUND(SUM(I1649:L1649),2)</f>
        <v/>
      </c>
      <c r="N1649" s="10">
        <f>ROUND(I1649*'Irish Basis'!$C$6*'Irish Basis'!$C$5,2)</f>
        <v/>
      </c>
      <c r="O1649" s="10">
        <f>ROUND(J1649*'Irish Basis'!$C$7*'Irish Basis'!$C$5,2)</f>
        <v/>
      </c>
      <c r="P1649" s="10">
        <f>ROUND(K1649*'Irish Basis'!$C$8*'Irish Basis'!$C$5,2)</f>
        <v/>
      </c>
      <c r="Q1649" s="10">
        <f>ROUND(L1649*'Irish Basis'!$C$12*'Irish Basis'!$C$5,2)</f>
        <v/>
      </c>
      <c r="R1649" s="11">
        <f>ROUND(SUM(N1649:Q1649),2)</f>
        <v/>
      </c>
      <c r="S1649" s="5" t="inlineStr">
        <is>
          <t>Stated build-up</t>
        </is>
      </c>
      <c r="T1649" s="12" t="inlineStr">
        <is>
          <t>High</t>
        </is>
      </c>
      <c r="U1649" s="8" t="n">
        <v>170.48</v>
      </c>
      <c r="V1649" s="13">
        <f>IF(U1649="","",ROUND(M1649-U1649,2))</f>
        <v/>
      </c>
      <c r="W1649" s="5" t="n"/>
      <c r="X1649" s="5" t="inlineStr">
        <is>
          <t>Labour + plant + material as published; reconciles to the published rate.</t>
        </is>
      </c>
    </row>
    <row r="1650" ht="13" customHeight="1">
      <c r="A1650" s="4" t="n">
        <v>2582</v>
      </c>
      <c r="B1650" s="5" t="inlineStr">
        <is>
          <t>IMG_0100</t>
        </is>
      </c>
      <c r="C1650" s="5" t="inlineStr">
        <is>
          <t>CLASS I: PIPEWORK - PIPES</t>
        </is>
      </c>
      <c r="D1650" s="5" t="inlineStr">
        <is>
          <t>05 POLYVINYL CHLORIDE PIPES</t>
        </is>
      </c>
      <c r="E1650" s="5" t="inlineStr">
        <is>
          <t>225 mm pipes; in trenches, depth</t>
        </is>
      </c>
      <c r="F1650" s="5" t="inlineStr">
        <is>
          <t>ne 1.50 m deep</t>
        </is>
      </c>
      <c r="G1650" s="6" t="inlineStr">
        <is>
          <t>m</t>
        </is>
      </c>
      <c r="H1650" s="7" t="n">
        <v>0.12</v>
      </c>
      <c r="I1650" s="8" t="n">
        <v>16.58</v>
      </c>
      <c r="J1650" s="8" t="n">
        <v>15.66</v>
      </c>
      <c r="K1650" s="8" t="n">
        <v>163.67</v>
      </c>
      <c r="L1650" s="8" t="n">
        <v>0</v>
      </c>
      <c r="M1650" s="9">
        <f>ROUND(SUM(I1650:L1650),2)</f>
        <v/>
      </c>
      <c r="N1650" s="10">
        <f>ROUND(I1650*'Irish Basis'!$C$6*'Irish Basis'!$C$5,2)</f>
        <v/>
      </c>
      <c r="O1650" s="10">
        <f>ROUND(J1650*'Irish Basis'!$C$7*'Irish Basis'!$C$5,2)</f>
        <v/>
      </c>
      <c r="P1650" s="10">
        <f>ROUND(K1650*'Irish Basis'!$C$8*'Irish Basis'!$C$5,2)</f>
        <v/>
      </c>
      <c r="Q1650" s="10">
        <f>ROUND(L1650*'Irish Basis'!$C$12*'Irish Basis'!$C$5,2)</f>
        <v/>
      </c>
      <c r="R1650" s="11">
        <f>ROUND(SUM(N1650:Q1650),2)</f>
        <v/>
      </c>
      <c r="S1650" s="5" t="inlineStr">
        <is>
          <t>Stated build-up</t>
        </is>
      </c>
      <c r="T1650" s="12" t="inlineStr">
        <is>
          <t>High</t>
        </is>
      </c>
      <c r="U1650" s="8" t="n">
        <v>195.92</v>
      </c>
      <c r="V1650" s="13">
        <f>IF(U1650="","",ROUND(M1650-U1650,2))</f>
        <v/>
      </c>
      <c r="W1650" s="5" t="n"/>
      <c r="X1650" s="5" t="inlineStr">
        <is>
          <t>Labour + plant + material as published; reconciles to the published rate.</t>
        </is>
      </c>
    </row>
    <row r="1651" ht="13" customHeight="1">
      <c r="A1651" s="4" t="n">
        <v>2583</v>
      </c>
      <c r="B1651" s="5" t="inlineStr">
        <is>
          <t>IMG_0100</t>
        </is>
      </c>
      <c r="C1651" s="5" t="inlineStr">
        <is>
          <t>CLASS I: PIPEWORK - PIPES</t>
        </is>
      </c>
      <c r="D1651" s="5" t="inlineStr">
        <is>
          <t>05 POLYVINYL CHLORIDE PIPES</t>
        </is>
      </c>
      <c r="E1651" s="5" t="inlineStr">
        <is>
          <t>225 mm pipes; in trenches, depth</t>
        </is>
      </c>
      <c r="F1651" s="5" t="inlineStr">
        <is>
          <t>1.50-2.00 m deep</t>
        </is>
      </c>
      <c r="G1651" s="6" t="inlineStr">
        <is>
          <t>m</t>
        </is>
      </c>
      <c r="H1651" s="7" t="n">
        <v>0.15</v>
      </c>
      <c r="I1651" s="8" t="n">
        <v>20.73</v>
      </c>
      <c r="J1651" s="8" t="n">
        <v>19.6</v>
      </c>
      <c r="K1651" s="8" t="n">
        <v>163.67</v>
      </c>
      <c r="L1651" s="8" t="n">
        <v>0</v>
      </c>
      <c r="M1651" s="9">
        <f>ROUND(SUM(I1651:L1651),2)</f>
        <v/>
      </c>
      <c r="N1651" s="10">
        <f>ROUND(I1651*'Irish Basis'!$C$6*'Irish Basis'!$C$5,2)</f>
        <v/>
      </c>
      <c r="O1651" s="10">
        <f>ROUND(J1651*'Irish Basis'!$C$7*'Irish Basis'!$C$5,2)</f>
        <v/>
      </c>
      <c r="P1651" s="10">
        <f>ROUND(K1651*'Irish Basis'!$C$8*'Irish Basis'!$C$5,2)</f>
        <v/>
      </c>
      <c r="Q1651" s="10">
        <f>ROUND(L1651*'Irish Basis'!$C$12*'Irish Basis'!$C$5,2)</f>
        <v/>
      </c>
      <c r="R1651" s="11">
        <f>ROUND(SUM(N1651:Q1651),2)</f>
        <v/>
      </c>
      <c r="S1651" s="5" t="inlineStr">
        <is>
          <t>Stated build-up</t>
        </is>
      </c>
      <c r="T1651" s="12" t="inlineStr">
        <is>
          <t>High</t>
        </is>
      </c>
      <c r="U1651" s="8" t="n">
        <v>204</v>
      </c>
      <c r="V1651" s="13">
        <f>IF(U1651="","",ROUND(M1651-U1651,2))</f>
        <v/>
      </c>
      <c r="W1651" s="5" t="n"/>
      <c r="X1651" s="5" t="inlineStr">
        <is>
          <t>Labour + plant + material as published; reconciles to the published rate.</t>
        </is>
      </c>
    </row>
    <row r="1652" ht="13" customHeight="1">
      <c r="A1652" s="4" t="n">
        <v>2584</v>
      </c>
      <c r="B1652" s="5" t="inlineStr">
        <is>
          <t>IMG_0100</t>
        </is>
      </c>
      <c r="C1652" s="5" t="inlineStr">
        <is>
          <t>CLASS I: PIPEWORK - PIPES</t>
        </is>
      </c>
      <c r="D1652" s="5" t="inlineStr">
        <is>
          <t>05 POLYVINYL CHLORIDE PIPES</t>
        </is>
      </c>
      <c r="E1652" s="5" t="inlineStr">
        <is>
          <t>225 mm pipes; in trenches, depth</t>
        </is>
      </c>
      <c r="F1652" s="5" t="inlineStr">
        <is>
          <t>2.00-2.50 m deep</t>
        </is>
      </c>
      <c r="G1652" s="6" t="inlineStr">
        <is>
          <t>m</t>
        </is>
      </c>
      <c r="H1652" s="7" t="n">
        <v>0.2</v>
      </c>
      <c r="I1652" s="8" t="n">
        <v>27.64</v>
      </c>
      <c r="J1652" s="8" t="n">
        <v>26.15</v>
      </c>
      <c r="K1652" s="8" t="n">
        <v>163.67</v>
      </c>
      <c r="L1652" s="8" t="n">
        <v>0</v>
      </c>
      <c r="M1652" s="9">
        <f>ROUND(SUM(I1652:L1652),2)</f>
        <v/>
      </c>
      <c r="N1652" s="10">
        <f>ROUND(I1652*'Irish Basis'!$C$6*'Irish Basis'!$C$5,2)</f>
        <v/>
      </c>
      <c r="O1652" s="10">
        <f>ROUND(J1652*'Irish Basis'!$C$7*'Irish Basis'!$C$5,2)</f>
        <v/>
      </c>
      <c r="P1652" s="10">
        <f>ROUND(K1652*'Irish Basis'!$C$8*'Irish Basis'!$C$5,2)</f>
        <v/>
      </c>
      <c r="Q1652" s="10">
        <f>ROUND(L1652*'Irish Basis'!$C$12*'Irish Basis'!$C$5,2)</f>
        <v/>
      </c>
      <c r="R1652" s="11">
        <f>ROUND(SUM(N1652:Q1652),2)</f>
        <v/>
      </c>
      <c r="S1652" s="5" t="inlineStr">
        <is>
          <t>Stated build-up</t>
        </is>
      </c>
      <c r="T1652" s="12" t="inlineStr">
        <is>
          <t>High</t>
        </is>
      </c>
      <c r="U1652" s="8" t="n">
        <v>217.46</v>
      </c>
      <c r="V1652" s="13">
        <f>IF(U1652="","",ROUND(M1652-U1652,2))</f>
        <v/>
      </c>
      <c r="W1652" s="5" t="n"/>
      <c r="X1652" s="5" t="inlineStr">
        <is>
          <t>Labour + plant + material as published; reconciles to the published rate.</t>
        </is>
      </c>
    </row>
    <row r="1653" ht="13" customHeight="1">
      <c r="A1653" s="4" t="n">
        <v>2585</v>
      </c>
      <c r="B1653" s="5" t="inlineStr">
        <is>
          <t>IMG_0100</t>
        </is>
      </c>
      <c r="C1653" s="5" t="inlineStr">
        <is>
          <t>CLASS I: PIPEWORK - PIPES</t>
        </is>
      </c>
      <c r="D1653" s="5" t="inlineStr">
        <is>
          <t>05 POLYVINYL CHLORIDE PIPES</t>
        </is>
      </c>
      <c r="E1653" s="5" t="inlineStr">
        <is>
          <t>225 mm pipes; in trenches, depth</t>
        </is>
      </c>
      <c r="F1653" s="5" t="inlineStr">
        <is>
          <t>2.50-3.00 m deep</t>
        </is>
      </c>
      <c r="G1653" s="6" t="inlineStr">
        <is>
          <t>m</t>
        </is>
      </c>
      <c r="H1653" s="7" t="n">
        <v>0.23</v>
      </c>
      <c r="I1653" s="8" t="n">
        <v>31.78</v>
      </c>
      <c r="J1653" s="8" t="n">
        <v>30.07</v>
      </c>
      <c r="K1653" s="8" t="n">
        <v>163.67</v>
      </c>
      <c r="L1653" s="8" t="n">
        <v>0</v>
      </c>
      <c r="M1653" s="9">
        <f>ROUND(SUM(I1653:L1653),2)</f>
        <v/>
      </c>
      <c r="N1653" s="10">
        <f>ROUND(I1653*'Irish Basis'!$C$6*'Irish Basis'!$C$5,2)</f>
        <v/>
      </c>
      <c r="O1653" s="10">
        <f>ROUND(J1653*'Irish Basis'!$C$7*'Irish Basis'!$C$5,2)</f>
        <v/>
      </c>
      <c r="P1653" s="10">
        <f>ROUND(K1653*'Irish Basis'!$C$8*'Irish Basis'!$C$5,2)</f>
        <v/>
      </c>
      <c r="Q1653" s="10">
        <f>ROUND(L1653*'Irish Basis'!$C$12*'Irish Basis'!$C$5,2)</f>
        <v/>
      </c>
      <c r="R1653" s="11">
        <f>ROUND(SUM(N1653:Q1653),2)</f>
        <v/>
      </c>
      <c r="S1653" s="5" t="inlineStr">
        <is>
          <t>Stated build-up</t>
        </is>
      </c>
      <c r="T1653" s="12" t="inlineStr">
        <is>
          <t>High</t>
        </is>
      </c>
      <c r="U1653" s="8" t="n">
        <v>225.53</v>
      </c>
      <c r="V1653" s="13">
        <f>IF(U1653="","",ROUND(M1653-U1653,2))</f>
        <v/>
      </c>
      <c r="W1653" s="5" t="n"/>
      <c r="X1653" s="5" t="inlineStr">
        <is>
          <t>Labour + plant + material as published; reconciles to the published rate.</t>
        </is>
      </c>
    </row>
    <row r="1654" ht="13" customHeight="1">
      <c r="A1654" s="4" t="n">
        <v>2586</v>
      </c>
      <c r="B1654" s="5" t="inlineStr">
        <is>
          <t>IMG_0100</t>
        </is>
      </c>
      <c r="C1654" s="5" t="inlineStr">
        <is>
          <t>CLASS I: PIPEWORK - PIPES</t>
        </is>
      </c>
      <c r="D1654" s="5" t="inlineStr">
        <is>
          <t>05 POLYVINYL CHLORIDE PIPES</t>
        </is>
      </c>
      <c r="E1654" s="5" t="inlineStr">
        <is>
          <t>225 mm pipes; in trenches, depth</t>
        </is>
      </c>
      <c r="F1654" s="5" t="inlineStr">
        <is>
          <t>3.00-3.50 m deep</t>
        </is>
      </c>
      <c r="G1654" s="6" t="inlineStr">
        <is>
          <t>m</t>
        </is>
      </c>
      <c r="H1654" s="7" t="n">
        <v>0.24</v>
      </c>
      <c r="I1654" s="8" t="n">
        <v>33.16</v>
      </c>
      <c r="J1654" s="8" t="n">
        <v>31.41</v>
      </c>
      <c r="K1654" s="8" t="n">
        <v>163.67</v>
      </c>
      <c r="L1654" s="8" t="n">
        <v>0</v>
      </c>
      <c r="M1654" s="9">
        <f>ROUND(SUM(I1654:L1654),2)</f>
        <v/>
      </c>
      <c r="N1654" s="10">
        <f>ROUND(I1654*'Irish Basis'!$C$6*'Irish Basis'!$C$5,2)</f>
        <v/>
      </c>
      <c r="O1654" s="10">
        <f>ROUND(J1654*'Irish Basis'!$C$7*'Irish Basis'!$C$5,2)</f>
        <v/>
      </c>
      <c r="P1654" s="10">
        <f>ROUND(K1654*'Irish Basis'!$C$8*'Irish Basis'!$C$5,2)</f>
        <v/>
      </c>
      <c r="Q1654" s="10">
        <f>ROUND(L1654*'Irish Basis'!$C$12*'Irish Basis'!$C$5,2)</f>
        <v/>
      </c>
      <c r="R1654" s="11">
        <f>ROUND(SUM(N1654:Q1654),2)</f>
        <v/>
      </c>
      <c r="S1654" s="5" t="inlineStr">
        <is>
          <t>Stated build-up</t>
        </is>
      </c>
      <c r="T1654" s="12" t="inlineStr">
        <is>
          <t>High</t>
        </is>
      </c>
      <c r="U1654" s="8" t="n">
        <v>228.24</v>
      </c>
      <c r="V1654" s="13">
        <f>IF(U1654="","",ROUND(M1654-U1654,2))</f>
        <v/>
      </c>
      <c r="W1654" s="5" t="n"/>
      <c r="X1654" s="5" t="inlineStr">
        <is>
          <t>Labour + plant + material as published; reconciles to the published rate.</t>
        </is>
      </c>
    </row>
    <row r="1655" ht="13" customHeight="1">
      <c r="A1655" s="4" t="n">
        <v>2587</v>
      </c>
      <c r="B1655" s="5" t="inlineStr">
        <is>
          <t>IMG_0100</t>
        </is>
      </c>
      <c r="C1655" s="5" t="inlineStr">
        <is>
          <t>CLASS I: PIPEWORK - PIPES</t>
        </is>
      </c>
      <c r="D1655" s="5" t="inlineStr">
        <is>
          <t>05 POLYVINYL CHLORIDE PIPES</t>
        </is>
      </c>
      <c r="E1655" s="5" t="inlineStr">
        <is>
          <t>225 mm pipes; in trenches, depth</t>
        </is>
      </c>
      <c r="F1655" s="5" t="inlineStr">
        <is>
          <t>3.50-4.00 m deep</t>
        </is>
      </c>
      <c r="G1655" s="6" t="inlineStr">
        <is>
          <t>m</t>
        </is>
      </c>
      <c r="H1655" s="7" t="n">
        <v>0.27</v>
      </c>
      <c r="I1655" s="8" t="n">
        <v>37.31</v>
      </c>
      <c r="J1655" s="8" t="n">
        <v>35.34</v>
      </c>
      <c r="K1655" s="8" t="n">
        <v>163.67</v>
      </c>
      <c r="L1655" s="8" t="n">
        <v>0</v>
      </c>
      <c r="M1655" s="9">
        <f>ROUND(SUM(I1655:L1655),2)</f>
        <v/>
      </c>
      <c r="N1655" s="10">
        <f>ROUND(I1655*'Irish Basis'!$C$6*'Irish Basis'!$C$5,2)</f>
        <v/>
      </c>
      <c r="O1655" s="10">
        <f>ROUND(J1655*'Irish Basis'!$C$7*'Irish Basis'!$C$5,2)</f>
        <v/>
      </c>
      <c r="P1655" s="10">
        <f>ROUND(K1655*'Irish Basis'!$C$8*'Irish Basis'!$C$5,2)</f>
        <v/>
      </c>
      <c r="Q1655" s="10">
        <f>ROUND(L1655*'Irish Basis'!$C$12*'Irish Basis'!$C$5,2)</f>
        <v/>
      </c>
      <c r="R1655" s="11">
        <f>ROUND(SUM(N1655:Q1655),2)</f>
        <v/>
      </c>
      <c r="S1655" s="5" t="inlineStr">
        <is>
          <t>Stated build-up</t>
        </is>
      </c>
      <c r="T1655" s="12" t="inlineStr">
        <is>
          <t>High</t>
        </is>
      </c>
      <c r="U1655" s="8" t="n">
        <v>236.32</v>
      </c>
      <c r="V1655" s="13">
        <f>IF(U1655="","",ROUND(M1655-U1655,2))</f>
        <v/>
      </c>
      <c r="W1655" s="5" t="n"/>
      <c r="X1655" s="5" t="inlineStr">
        <is>
          <t>Labour + plant + material as published; reconciles to the published rate.</t>
        </is>
      </c>
    </row>
    <row r="1656" ht="13" customHeight="1">
      <c r="A1656" s="4" t="n">
        <v>2588</v>
      </c>
      <c r="B1656" s="5" t="inlineStr">
        <is>
          <t>IMG_0100</t>
        </is>
      </c>
      <c r="C1656" s="5" t="inlineStr">
        <is>
          <t>CLASS I: PIPEWORK - PIPES</t>
        </is>
      </c>
      <c r="D1656" s="5" t="inlineStr">
        <is>
          <t>05 POLYVINYL CHLORIDE PIPES</t>
        </is>
      </c>
      <c r="E1656" s="5" t="inlineStr">
        <is>
          <t>225 mm pipes; in trenches, depth</t>
        </is>
      </c>
      <c r="F1656" s="5" t="inlineStr">
        <is>
          <t>4.00-4.50 m deep</t>
        </is>
      </c>
      <c r="G1656" s="6" t="inlineStr">
        <is>
          <t>m</t>
        </is>
      </c>
      <c r="H1656" s="7" t="n">
        <v>0.32</v>
      </c>
      <c r="I1656" s="8" t="n">
        <v>44.22</v>
      </c>
      <c r="J1656" s="8" t="n">
        <v>41.91</v>
      </c>
      <c r="K1656" s="8" t="n">
        <v>163.67</v>
      </c>
      <c r="L1656" s="8" t="n">
        <v>0</v>
      </c>
      <c r="M1656" s="9">
        <f>ROUND(SUM(I1656:L1656),2)</f>
        <v/>
      </c>
      <c r="N1656" s="10">
        <f>ROUND(I1656*'Irish Basis'!$C$6*'Irish Basis'!$C$5,2)</f>
        <v/>
      </c>
      <c r="O1656" s="10">
        <f>ROUND(J1656*'Irish Basis'!$C$7*'Irish Basis'!$C$5,2)</f>
        <v/>
      </c>
      <c r="P1656" s="10">
        <f>ROUND(K1656*'Irish Basis'!$C$8*'Irish Basis'!$C$5,2)</f>
        <v/>
      </c>
      <c r="Q1656" s="10">
        <f>ROUND(L1656*'Irish Basis'!$C$12*'Irish Basis'!$C$5,2)</f>
        <v/>
      </c>
      <c r="R1656" s="11">
        <f>ROUND(SUM(N1656:Q1656),2)</f>
        <v/>
      </c>
      <c r="S1656" s="5" t="inlineStr">
        <is>
          <t>Stated build-up</t>
        </is>
      </c>
      <c r="T1656" s="12" t="inlineStr">
        <is>
          <t>High</t>
        </is>
      </c>
      <c r="U1656" s="8" t="n">
        <v>249.8</v>
      </c>
      <c r="V1656" s="13">
        <f>IF(U1656="","",ROUND(M1656-U1656,2))</f>
        <v/>
      </c>
      <c r="W1656" s="5" t="n"/>
      <c r="X1656" s="5" t="inlineStr">
        <is>
          <t>Labour + plant + material as published; reconciles to the published rate.</t>
        </is>
      </c>
    </row>
    <row r="1657" ht="13" customHeight="1">
      <c r="A1657" s="4" t="n">
        <v>2589</v>
      </c>
      <c r="B1657" s="5" t="inlineStr">
        <is>
          <t>IMG_0100</t>
        </is>
      </c>
      <c r="C1657" s="5" t="inlineStr">
        <is>
          <t>CLASS I: PIPEWORK - PIPES</t>
        </is>
      </c>
      <c r="D1657" s="5" t="inlineStr">
        <is>
          <t>05 POLYVINYL CHLORIDE PIPES</t>
        </is>
      </c>
      <c r="E1657" s="5" t="inlineStr">
        <is>
          <t>225 mm pipes; in trenches, depth</t>
        </is>
      </c>
      <c r="F1657" s="5" t="inlineStr">
        <is>
          <t>4.50-5.00 m deep</t>
        </is>
      </c>
      <c r="G1657" s="6" t="inlineStr">
        <is>
          <t>m</t>
        </is>
      </c>
      <c r="H1657" s="7" t="n">
        <v>0.36</v>
      </c>
      <c r="I1657" s="8" t="n">
        <v>49.74</v>
      </c>
      <c r="J1657" s="8" t="n">
        <v>47.17</v>
      </c>
      <c r="K1657" s="8" t="n">
        <v>163.67</v>
      </c>
      <c r="L1657" s="8" t="n">
        <v>0</v>
      </c>
      <c r="M1657" s="9">
        <f>ROUND(SUM(I1657:L1657),2)</f>
        <v/>
      </c>
      <c r="N1657" s="10">
        <f>ROUND(I1657*'Irish Basis'!$C$6*'Irish Basis'!$C$5,2)</f>
        <v/>
      </c>
      <c r="O1657" s="10">
        <f>ROUND(J1657*'Irish Basis'!$C$7*'Irish Basis'!$C$5,2)</f>
        <v/>
      </c>
      <c r="P1657" s="10">
        <f>ROUND(K1657*'Irish Basis'!$C$8*'Irish Basis'!$C$5,2)</f>
        <v/>
      </c>
      <c r="Q1657" s="10">
        <f>ROUND(L1657*'Irish Basis'!$C$12*'Irish Basis'!$C$5,2)</f>
        <v/>
      </c>
      <c r="R1657" s="11">
        <f>ROUND(SUM(N1657:Q1657),2)</f>
        <v/>
      </c>
      <c r="S1657" s="5" t="inlineStr">
        <is>
          <t>Stated build-up</t>
        </is>
      </c>
      <c r="T1657" s="12" t="inlineStr">
        <is>
          <t>High</t>
        </is>
      </c>
      <c r="U1657" s="8" t="n">
        <v>260.59</v>
      </c>
      <c r="V1657" s="13">
        <f>IF(U1657="","",ROUND(M1657-U1657,2))</f>
        <v/>
      </c>
      <c r="W1657" s="5" t="n"/>
      <c r="X1657" s="5" t="inlineStr">
        <is>
          <t>Labour + plant + material as published; reconciles to the published rate.</t>
        </is>
      </c>
    </row>
    <row r="1658" ht="13" customHeight="1">
      <c r="A1658" s="4" t="n">
        <v>2590</v>
      </c>
      <c r="B1658" s="5" t="inlineStr">
        <is>
          <t>IMG_0100</t>
        </is>
      </c>
      <c r="C1658" s="5" t="inlineStr">
        <is>
          <t>CLASS I: PIPEWORK - PIPES</t>
        </is>
      </c>
      <c r="D1658" s="5" t="inlineStr">
        <is>
          <t>05 POLYVINYL CHLORIDE PIPES</t>
        </is>
      </c>
      <c r="E1658" s="5" t="inlineStr">
        <is>
          <t>225 mm pipes; in trenches, depth</t>
        </is>
      </c>
      <c r="F1658" s="5" t="inlineStr">
        <is>
          <t>5.00-5.50 m deep</t>
        </is>
      </c>
      <c r="G1658" s="6" t="inlineStr">
        <is>
          <t>m</t>
        </is>
      </c>
      <c r="H1658" s="7" t="n">
        <v>0.45</v>
      </c>
      <c r="I1658" s="8" t="n">
        <v>62.18</v>
      </c>
      <c r="J1658" s="8" t="n">
        <v>59</v>
      </c>
      <c r="K1658" s="8" t="n">
        <v>163.67</v>
      </c>
      <c r="L1658" s="8" t="n">
        <v>0</v>
      </c>
      <c r="M1658" s="9">
        <f>ROUND(SUM(I1658:L1658),2)</f>
        <v/>
      </c>
      <c r="N1658" s="10">
        <f>ROUND(I1658*'Irish Basis'!$C$6*'Irish Basis'!$C$5,2)</f>
        <v/>
      </c>
      <c r="O1658" s="10">
        <f>ROUND(J1658*'Irish Basis'!$C$7*'Irish Basis'!$C$5,2)</f>
        <v/>
      </c>
      <c r="P1658" s="10">
        <f>ROUND(K1658*'Irish Basis'!$C$8*'Irish Basis'!$C$5,2)</f>
        <v/>
      </c>
      <c r="Q1658" s="10">
        <f>ROUND(L1658*'Irish Basis'!$C$12*'Irish Basis'!$C$5,2)</f>
        <v/>
      </c>
      <c r="R1658" s="11">
        <f>ROUND(SUM(N1658:Q1658),2)</f>
        <v/>
      </c>
      <c r="S1658" s="5" t="inlineStr">
        <is>
          <t>Stated build-up</t>
        </is>
      </c>
      <c r="T1658" s="12" t="inlineStr">
        <is>
          <t>High</t>
        </is>
      </c>
      <c r="U1658" s="8" t="n">
        <v>284.86</v>
      </c>
      <c r="V1658" s="13">
        <f>IF(U1658="","",ROUND(M1658-U1658,2))</f>
        <v/>
      </c>
      <c r="W1658" s="5" t="n"/>
      <c r="X1658" s="5" t="inlineStr">
        <is>
          <t>Labour + plant + material as published; reconciles to the published rate.</t>
        </is>
      </c>
    </row>
    <row r="1659" ht="13" customHeight="1">
      <c r="A1659" s="4" t="n">
        <v>2591</v>
      </c>
      <c r="B1659" s="5" t="inlineStr">
        <is>
          <t>IMG_0100</t>
        </is>
      </c>
      <c r="C1659" s="5" t="inlineStr">
        <is>
          <t>CLASS I: PIPEWORK - PIPES</t>
        </is>
      </c>
      <c r="D1659" s="5" t="inlineStr">
        <is>
          <t>05 POLYVINYL CHLORIDE PIPES</t>
        </is>
      </c>
      <c r="E1659" s="5" t="inlineStr">
        <is>
          <t>225 mm pipes; in trenches, depth</t>
        </is>
      </c>
      <c r="F1659" s="5" t="inlineStr">
        <is>
          <t>extra for bend; short radius 45 deg (double socket)</t>
        </is>
      </c>
      <c r="G1659" s="6" t="inlineStr">
        <is>
          <t>nr</t>
        </is>
      </c>
      <c r="H1659" s="7" t="n">
        <v>2.77</v>
      </c>
      <c r="I1659" s="8" t="n">
        <v>382.76</v>
      </c>
      <c r="J1659" s="8" t="n">
        <v>0</v>
      </c>
      <c r="K1659" s="8" t="n">
        <v>243.99</v>
      </c>
      <c r="L1659" s="8" t="n">
        <v>0</v>
      </c>
      <c r="M1659" s="9">
        <f>ROUND(SUM(I1659:L1659),2)</f>
        <v/>
      </c>
      <c r="N1659" s="10">
        <f>ROUND(I1659*'Irish Basis'!$C$6*'Irish Basis'!$C$5,2)</f>
        <v/>
      </c>
      <c r="O1659" s="10">
        <f>ROUND(J1659*'Irish Basis'!$C$7*'Irish Basis'!$C$5,2)</f>
        <v/>
      </c>
      <c r="P1659" s="10">
        <f>ROUND(K1659*'Irish Basis'!$C$8*'Irish Basis'!$C$5,2)</f>
        <v/>
      </c>
      <c r="Q1659" s="10">
        <f>ROUND(L1659*'Irish Basis'!$C$12*'Irish Basis'!$C$5,2)</f>
        <v/>
      </c>
      <c r="R1659" s="11">
        <f>ROUND(SUM(N1659:Q1659),2)</f>
        <v/>
      </c>
      <c r="S1659" s="5" t="inlineStr">
        <is>
          <t>Stated build-up</t>
        </is>
      </c>
      <c r="T1659" s="12" t="inlineStr">
        <is>
          <t>High</t>
        </is>
      </c>
      <c r="U1659" s="8" t="n">
        <v>626.75</v>
      </c>
      <c r="V1659" s="13">
        <f>IF(U1659="","",ROUND(M1659-U1659,2))</f>
        <v/>
      </c>
      <c r="W1659" s="5" t="n"/>
      <c r="X1659" s="5" t="inlineStr">
        <is>
          <t>Labour + plant + material as published; reconciles to the published rate.</t>
        </is>
      </c>
    </row>
    <row r="1660" ht="13" customHeight="1">
      <c r="A1660" s="4" t="n">
        <v>2592</v>
      </c>
      <c r="B1660" s="5" t="inlineStr">
        <is>
          <t>IMG_0100</t>
        </is>
      </c>
      <c r="C1660" s="5" t="inlineStr">
        <is>
          <t>CLASS I: PIPEWORK - PIPES</t>
        </is>
      </c>
      <c r="D1660" s="5" t="inlineStr">
        <is>
          <t>05 POLYVINYL CHLORIDE PIPES</t>
        </is>
      </c>
      <c r="E1660" s="5" t="inlineStr">
        <is>
          <t>225 mm pipes; in trenches, depth</t>
        </is>
      </c>
      <c r="F1660" s="5" t="inlineStr">
        <is>
          <t>extra for branches; equal (all socket)</t>
        </is>
      </c>
      <c r="G1660" s="6" t="inlineStr">
        <is>
          <t>nr</t>
        </is>
      </c>
      <c r="H1660" s="7" t="n">
        <v>0.09</v>
      </c>
      <c r="I1660" s="8" t="n">
        <v>12.44</v>
      </c>
      <c r="J1660" s="8" t="n">
        <v>0</v>
      </c>
      <c r="K1660" s="8" t="n">
        <v>801.39</v>
      </c>
      <c r="L1660" s="8" t="n">
        <v>0</v>
      </c>
      <c r="M1660" s="9">
        <f>ROUND(SUM(I1660:L1660),2)</f>
        <v/>
      </c>
      <c r="N1660" s="10">
        <f>ROUND(I1660*'Irish Basis'!$C$6*'Irish Basis'!$C$5,2)</f>
        <v/>
      </c>
      <c r="O1660" s="10">
        <f>ROUND(J1660*'Irish Basis'!$C$7*'Irish Basis'!$C$5,2)</f>
        <v/>
      </c>
      <c r="P1660" s="10">
        <f>ROUND(K1660*'Irish Basis'!$C$8*'Irish Basis'!$C$5,2)</f>
        <v/>
      </c>
      <c r="Q1660" s="10">
        <f>ROUND(L1660*'Irish Basis'!$C$12*'Irish Basis'!$C$5,2)</f>
        <v/>
      </c>
      <c r="R1660" s="11">
        <f>ROUND(SUM(N1660:Q1660),2)</f>
        <v/>
      </c>
      <c r="S1660" s="5" t="inlineStr">
        <is>
          <t>Stated build-up</t>
        </is>
      </c>
      <c r="T1660" s="12" t="inlineStr">
        <is>
          <t>High</t>
        </is>
      </c>
      <c r="U1660" s="8" t="n">
        <v>813.83</v>
      </c>
      <c r="V1660" s="13">
        <f>IF(U1660="","",ROUND(M1660-U1660,2))</f>
        <v/>
      </c>
      <c r="W1660" s="5" t="n"/>
      <c r="X1660" s="5" t="inlineStr">
        <is>
          <t>Labour + plant + material as published; reconciles to the published rate.</t>
        </is>
      </c>
    </row>
    <row r="1661" ht="13" customHeight="1">
      <c r="A1661" s="4" t="n">
        <v>2594</v>
      </c>
      <c r="B1661" s="5" t="inlineStr">
        <is>
          <t>IMG_0100</t>
        </is>
      </c>
      <c r="C1661" s="5" t="inlineStr">
        <is>
          <t>CLASS I: PIPEWORK - PIPES</t>
        </is>
      </c>
      <c r="D1661" s="5" t="inlineStr">
        <is>
          <t>05 POLYVINYL CHLORIDE PIPES</t>
        </is>
      </c>
      <c r="E1661" s="5" t="inlineStr">
        <is>
          <t>300 mm pipes; in trenches, depth</t>
        </is>
      </c>
      <c r="F1661" s="5" t="inlineStr">
        <is>
          <t>not in trenches</t>
        </is>
      </c>
      <c r="G1661" s="6" t="inlineStr">
        <is>
          <t>m</t>
        </is>
      </c>
      <c r="H1661" s="7" t="n">
        <v>0.08</v>
      </c>
      <c r="I1661" s="8" t="n">
        <v>6.91</v>
      </c>
      <c r="J1661" s="8" t="n">
        <v>0.89</v>
      </c>
      <c r="K1661" s="8" t="n">
        <v>254.27</v>
      </c>
      <c r="L1661" s="8" t="n">
        <v>0</v>
      </c>
      <c r="M1661" s="9">
        <f>ROUND(SUM(I1661:L1661),2)</f>
        <v/>
      </c>
      <c r="N1661" s="10">
        <f>ROUND(I1661*'Irish Basis'!$C$6*'Irish Basis'!$C$5,2)</f>
        <v/>
      </c>
      <c r="O1661" s="10">
        <f>ROUND(J1661*'Irish Basis'!$C$7*'Irish Basis'!$C$5,2)</f>
        <v/>
      </c>
      <c r="P1661" s="10">
        <f>ROUND(K1661*'Irish Basis'!$C$8*'Irish Basis'!$C$5,2)</f>
        <v/>
      </c>
      <c r="Q1661" s="10">
        <f>ROUND(L1661*'Irish Basis'!$C$12*'Irish Basis'!$C$5,2)</f>
        <v/>
      </c>
      <c r="R1661" s="11">
        <f>ROUND(SUM(N1661:Q1661),2)</f>
        <v/>
      </c>
      <c r="S1661" s="5" t="inlineStr">
        <is>
          <t>Stated build-up</t>
        </is>
      </c>
      <c r="T1661" s="12" t="inlineStr">
        <is>
          <t>High</t>
        </is>
      </c>
      <c r="U1661" s="8" t="n">
        <v>262.06</v>
      </c>
      <c r="V1661" s="13">
        <f>IF(U1661="","",ROUND(M1661-U1661,2))</f>
        <v/>
      </c>
      <c r="W1661" s="5" t="n"/>
      <c r="X1661" s="5" t="inlineStr">
        <is>
          <t>Labour + plant + material as published; reconciles to the published rate.</t>
        </is>
      </c>
    </row>
    <row r="1662" ht="13" customHeight="1">
      <c r="A1662" s="4" t="n">
        <v>2595</v>
      </c>
      <c r="B1662" s="5" t="inlineStr">
        <is>
          <t>IMG_0100</t>
        </is>
      </c>
      <c r="C1662" s="5" t="inlineStr">
        <is>
          <t>CLASS I: PIPEWORK - PIPES</t>
        </is>
      </c>
      <c r="D1662" s="5" t="inlineStr">
        <is>
          <t>05 POLYVINYL CHLORIDE PIPES</t>
        </is>
      </c>
      <c r="E1662" s="5" t="inlineStr">
        <is>
          <t>300 mm pipes; in trenches, depth</t>
        </is>
      </c>
      <c r="F1662" s="5" t="inlineStr">
        <is>
          <t>ne 1.50 m deep</t>
        </is>
      </c>
      <c r="G1662" s="6" t="inlineStr">
        <is>
          <t>m</t>
        </is>
      </c>
      <c r="H1662" s="7" t="n">
        <v>0.13</v>
      </c>
      <c r="I1662" s="8" t="n">
        <v>17.96</v>
      </c>
      <c r="J1662" s="8" t="n">
        <v>16.98</v>
      </c>
      <c r="K1662" s="8" t="n">
        <v>254.27</v>
      </c>
      <c r="L1662" s="8" t="n">
        <v>0</v>
      </c>
      <c r="M1662" s="9">
        <f>ROUND(SUM(I1662:L1662),2)</f>
        <v/>
      </c>
      <c r="N1662" s="10">
        <f>ROUND(I1662*'Irish Basis'!$C$6*'Irish Basis'!$C$5,2)</f>
        <v/>
      </c>
      <c r="O1662" s="10">
        <f>ROUND(J1662*'Irish Basis'!$C$7*'Irish Basis'!$C$5,2)</f>
        <v/>
      </c>
      <c r="P1662" s="10">
        <f>ROUND(K1662*'Irish Basis'!$C$8*'Irish Basis'!$C$5,2)</f>
        <v/>
      </c>
      <c r="Q1662" s="10">
        <f>ROUND(L1662*'Irish Basis'!$C$12*'Irish Basis'!$C$5,2)</f>
        <v/>
      </c>
      <c r="R1662" s="11">
        <f>ROUND(SUM(N1662:Q1662),2)</f>
        <v/>
      </c>
      <c r="S1662" s="5" t="inlineStr">
        <is>
          <t>Stated build-up</t>
        </is>
      </c>
      <c r="T1662" s="12" t="inlineStr">
        <is>
          <t>High</t>
        </is>
      </c>
      <c r="U1662" s="8" t="n">
        <v>289.21</v>
      </c>
      <c r="V1662" s="13">
        <f>IF(U1662="","",ROUND(M1662-U1662,2))</f>
        <v/>
      </c>
      <c r="W1662" s="5" t="n"/>
      <c r="X1662" s="5" t="inlineStr">
        <is>
          <t>Labour + plant + material as published; reconciles to the published rate.</t>
        </is>
      </c>
    </row>
    <row r="1663" ht="13" customHeight="1">
      <c r="A1663" s="4" t="n">
        <v>2596</v>
      </c>
      <c r="B1663" s="5" t="inlineStr">
        <is>
          <t>IMG_0100</t>
        </is>
      </c>
      <c r="C1663" s="5" t="inlineStr">
        <is>
          <t>CLASS I: PIPEWORK - PIPES</t>
        </is>
      </c>
      <c r="D1663" s="5" t="inlineStr">
        <is>
          <t>05 POLYVINYL CHLORIDE PIPES</t>
        </is>
      </c>
      <c r="E1663" s="5" t="inlineStr">
        <is>
          <t>300 mm pipes; in trenches, depth</t>
        </is>
      </c>
      <c r="F1663" s="5" t="inlineStr">
        <is>
          <t>1.50-2.00 m deep</t>
        </is>
      </c>
      <c r="G1663" s="6" t="inlineStr">
        <is>
          <t>m</t>
        </is>
      </c>
      <c r="H1663" s="7" t="n">
        <v>0.16</v>
      </c>
      <c r="I1663" s="8" t="n">
        <v>22.11</v>
      </c>
      <c r="J1663" s="8" t="n">
        <v>20.92</v>
      </c>
      <c r="K1663" s="8" t="n">
        <v>254.27</v>
      </c>
      <c r="L1663" s="8" t="n">
        <v>0</v>
      </c>
      <c r="M1663" s="9">
        <f>ROUND(SUM(I1663:L1663),2)</f>
        <v/>
      </c>
      <c r="N1663" s="10">
        <f>ROUND(I1663*'Irish Basis'!$C$6*'Irish Basis'!$C$5,2)</f>
        <v/>
      </c>
      <c r="O1663" s="10">
        <f>ROUND(J1663*'Irish Basis'!$C$7*'Irish Basis'!$C$5,2)</f>
        <v/>
      </c>
      <c r="P1663" s="10">
        <f>ROUND(K1663*'Irish Basis'!$C$8*'Irish Basis'!$C$5,2)</f>
        <v/>
      </c>
      <c r="Q1663" s="10">
        <f>ROUND(L1663*'Irish Basis'!$C$12*'Irish Basis'!$C$5,2)</f>
        <v/>
      </c>
      <c r="R1663" s="11">
        <f>ROUND(SUM(N1663:Q1663),2)</f>
        <v/>
      </c>
      <c r="S1663" s="5" t="inlineStr">
        <is>
          <t>Stated build-up</t>
        </is>
      </c>
      <c r="T1663" s="12" t="inlineStr">
        <is>
          <t>High</t>
        </is>
      </c>
      <c r="U1663" s="8" t="n">
        <v>297.3</v>
      </c>
      <c r="V1663" s="13">
        <f>IF(U1663="","",ROUND(M1663-U1663,2))</f>
        <v/>
      </c>
      <c r="W1663" s="5" t="n"/>
      <c r="X1663" s="5" t="inlineStr">
        <is>
          <t>Labour + plant + material as published; reconciles to the published rate.</t>
        </is>
      </c>
    </row>
    <row r="1664" ht="13" customHeight="1">
      <c r="A1664" s="4" t="n">
        <v>2597</v>
      </c>
      <c r="B1664" s="5" t="inlineStr">
        <is>
          <t>IMG_0100</t>
        </is>
      </c>
      <c r="C1664" s="5" t="inlineStr">
        <is>
          <t>CLASS I: PIPEWORK - PIPES</t>
        </is>
      </c>
      <c r="D1664" s="5" t="inlineStr">
        <is>
          <t>05 POLYVINYL CHLORIDE PIPES</t>
        </is>
      </c>
      <c r="E1664" s="5" t="inlineStr">
        <is>
          <t>300 mm pipes; in trenches, depth</t>
        </is>
      </c>
      <c r="F1664" s="5" t="inlineStr">
        <is>
          <t>2.00-2.50 m deep</t>
        </is>
      </c>
      <c r="G1664" s="6" t="inlineStr">
        <is>
          <t>m</t>
        </is>
      </c>
      <c r="H1664" s="7" t="n">
        <v>0.21</v>
      </c>
      <c r="I1664" s="8" t="n">
        <v>29.02</v>
      </c>
      <c r="J1664" s="8" t="n">
        <v>27.47</v>
      </c>
      <c r="K1664" s="8" t="n">
        <v>254.27</v>
      </c>
      <c r="L1664" s="8" t="n">
        <v>0</v>
      </c>
      <c r="M1664" s="9">
        <f>ROUND(SUM(I1664:L1664),2)</f>
        <v/>
      </c>
      <c r="N1664" s="10">
        <f>ROUND(I1664*'Irish Basis'!$C$6*'Irish Basis'!$C$5,2)</f>
        <v/>
      </c>
      <c r="O1664" s="10">
        <f>ROUND(J1664*'Irish Basis'!$C$7*'Irish Basis'!$C$5,2)</f>
        <v/>
      </c>
      <c r="P1664" s="10">
        <f>ROUND(K1664*'Irish Basis'!$C$8*'Irish Basis'!$C$5,2)</f>
        <v/>
      </c>
      <c r="Q1664" s="10">
        <f>ROUND(L1664*'Irish Basis'!$C$12*'Irish Basis'!$C$5,2)</f>
        <v/>
      </c>
      <c r="R1664" s="11">
        <f>ROUND(SUM(N1664:Q1664),2)</f>
        <v/>
      </c>
      <c r="S1664" s="5" t="inlineStr">
        <is>
          <t>Stated build-up</t>
        </is>
      </c>
      <c r="T1664" s="12" t="inlineStr">
        <is>
          <t>High</t>
        </is>
      </c>
      <c r="U1664" s="8" t="n">
        <v>310.76</v>
      </c>
      <c r="V1664" s="13">
        <f>IF(U1664="","",ROUND(M1664-U1664,2))</f>
        <v/>
      </c>
      <c r="W1664" s="5" t="n"/>
      <c r="X1664" s="5" t="inlineStr">
        <is>
          <t>Labour + plant + material as published; reconciles to the published rate.</t>
        </is>
      </c>
    </row>
    <row r="1665" ht="13" customHeight="1">
      <c r="A1665" s="4" t="n">
        <v>2598</v>
      </c>
      <c r="B1665" s="5" t="inlineStr">
        <is>
          <t>IMG_0100</t>
        </is>
      </c>
      <c r="C1665" s="5" t="inlineStr">
        <is>
          <t>CLASS I: PIPEWORK - PIPES</t>
        </is>
      </c>
      <c r="D1665" s="5" t="inlineStr">
        <is>
          <t>05 POLYVINYL CHLORIDE PIPES</t>
        </is>
      </c>
      <c r="E1665" s="5" t="inlineStr">
        <is>
          <t>300 mm pipes; in trenches, depth</t>
        </is>
      </c>
      <c r="F1665" s="5" t="inlineStr">
        <is>
          <t>2.50-3.00 m deep</t>
        </is>
      </c>
      <c r="G1665" s="6" t="inlineStr">
        <is>
          <t>m</t>
        </is>
      </c>
      <c r="H1665" s="7" t="n">
        <v>0.23</v>
      </c>
      <c r="I1665" s="8" t="n">
        <v>31.78</v>
      </c>
      <c r="J1665" s="8" t="n">
        <v>30.07</v>
      </c>
      <c r="K1665" s="8" t="n">
        <v>254.27</v>
      </c>
      <c r="L1665" s="8" t="n">
        <v>0</v>
      </c>
      <c r="M1665" s="9">
        <f>ROUND(SUM(I1665:L1665),2)</f>
        <v/>
      </c>
      <c r="N1665" s="10">
        <f>ROUND(I1665*'Irish Basis'!$C$6*'Irish Basis'!$C$5,2)</f>
        <v/>
      </c>
      <c r="O1665" s="10">
        <f>ROUND(J1665*'Irish Basis'!$C$7*'Irish Basis'!$C$5,2)</f>
        <v/>
      </c>
      <c r="P1665" s="10">
        <f>ROUND(K1665*'Irish Basis'!$C$8*'Irish Basis'!$C$5,2)</f>
        <v/>
      </c>
      <c r="Q1665" s="10">
        <f>ROUND(L1665*'Irish Basis'!$C$12*'Irish Basis'!$C$5,2)</f>
        <v/>
      </c>
      <c r="R1665" s="11">
        <f>ROUND(SUM(N1665:Q1665),2)</f>
        <v/>
      </c>
      <c r="S1665" s="5" t="inlineStr">
        <is>
          <t>Stated build-up</t>
        </is>
      </c>
      <c r="T1665" s="12" t="inlineStr">
        <is>
          <t>High</t>
        </is>
      </c>
      <c r="U1665" s="8" t="n">
        <v>316.12</v>
      </c>
      <c r="V1665" s="13">
        <f>IF(U1665="","",ROUND(M1665-U1665,2))</f>
        <v/>
      </c>
      <c r="W1665" s="5" t="n"/>
      <c r="X1665" s="5" t="inlineStr">
        <is>
          <t>Labour + plant + material as published; reconciles to the published rate.</t>
        </is>
      </c>
    </row>
    <row r="1666" ht="13" customHeight="1">
      <c r="A1666" s="4" t="n">
        <v>2599</v>
      </c>
      <c r="B1666" s="5" t="inlineStr">
        <is>
          <t>IMG_0100</t>
        </is>
      </c>
      <c r="C1666" s="5" t="inlineStr">
        <is>
          <t>CLASS I: PIPEWORK - PIPES</t>
        </is>
      </c>
      <c r="D1666" s="5" t="inlineStr">
        <is>
          <t>05 POLYVINYL CHLORIDE PIPES</t>
        </is>
      </c>
      <c r="E1666" s="5" t="inlineStr">
        <is>
          <t>300 mm pipes; in trenches, depth</t>
        </is>
      </c>
      <c r="F1666" s="5" t="inlineStr">
        <is>
          <t>3.00-3.50 m deep</t>
        </is>
      </c>
      <c r="G1666" s="6" t="inlineStr">
        <is>
          <t>m</t>
        </is>
      </c>
      <c r="H1666" s="7" t="n">
        <v>0.25</v>
      </c>
      <c r="I1666" s="8" t="n">
        <v>34.55</v>
      </c>
      <c r="J1666" s="8" t="n">
        <v>32.73</v>
      </c>
      <c r="K1666" s="8" t="n">
        <v>254.27</v>
      </c>
      <c r="L1666" s="8" t="n">
        <v>0</v>
      </c>
      <c r="M1666" s="9">
        <f>ROUND(SUM(I1666:L1666),2)</f>
        <v/>
      </c>
      <c r="N1666" s="10">
        <f>ROUND(I1666*'Irish Basis'!$C$6*'Irish Basis'!$C$5,2)</f>
        <v/>
      </c>
      <c r="O1666" s="10">
        <f>ROUND(J1666*'Irish Basis'!$C$7*'Irish Basis'!$C$5,2)</f>
        <v/>
      </c>
      <c r="P1666" s="10">
        <f>ROUND(K1666*'Irish Basis'!$C$8*'Irish Basis'!$C$5,2)</f>
        <v/>
      </c>
      <c r="Q1666" s="10">
        <f>ROUND(L1666*'Irish Basis'!$C$12*'Irish Basis'!$C$5,2)</f>
        <v/>
      </c>
      <c r="R1666" s="11">
        <f>ROUND(SUM(N1666:Q1666),2)</f>
        <v/>
      </c>
      <c r="S1666" s="5" t="inlineStr">
        <is>
          <t>Stated build-up</t>
        </is>
      </c>
      <c r="T1666" s="12" t="inlineStr">
        <is>
          <t>High</t>
        </is>
      </c>
      <c r="U1666" s="8" t="n">
        <v>321.54</v>
      </c>
      <c r="V1666" s="13">
        <f>IF(U1666="","",ROUND(M1666-U1666,2))</f>
        <v/>
      </c>
      <c r="W1666" s="5" t="n"/>
      <c r="X1666" s="5" t="inlineStr">
        <is>
          <t>Labour + plant + material as published; reconciles to the published rate.</t>
        </is>
      </c>
    </row>
    <row r="1667" ht="13" customHeight="1">
      <c r="A1667" s="4" t="n">
        <v>2600</v>
      </c>
      <c r="B1667" s="5" t="inlineStr">
        <is>
          <t>IMG_0100</t>
        </is>
      </c>
      <c r="C1667" s="5" t="inlineStr">
        <is>
          <t>CLASS I: PIPEWORK - PIPES</t>
        </is>
      </c>
      <c r="D1667" s="5" t="inlineStr">
        <is>
          <t>05 POLYVINYL CHLORIDE PIPES</t>
        </is>
      </c>
      <c r="E1667" s="5" t="inlineStr">
        <is>
          <t>300 mm pipes; in trenches, depth</t>
        </is>
      </c>
      <c r="F1667" s="5" t="inlineStr">
        <is>
          <t>3.50-4.00 m deep</t>
        </is>
      </c>
      <c r="G1667" s="6" t="inlineStr">
        <is>
          <t>m</t>
        </is>
      </c>
      <c r="H1667" s="7" t="n">
        <v>0.28</v>
      </c>
      <c r="I1667" s="8" t="n">
        <v>38.69</v>
      </c>
      <c r="J1667" s="8" t="n">
        <v>36.67</v>
      </c>
      <c r="K1667" s="8" t="n">
        <v>254.27</v>
      </c>
      <c r="L1667" s="8" t="n">
        <v>0</v>
      </c>
      <c r="M1667" s="9">
        <f>ROUND(SUM(I1667:L1667),2)</f>
        <v/>
      </c>
      <c r="N1667" s="10">
        <f>ROUND(I1667*'Irish Basis'!$C$6*'Irish Basis'!$C$5,2)</f>
        <v/>
      </c>
      <c r="O1667" s="10">
        <f>ROUND(J1667*'Irish Basis'!$C$7*'Irish Basis'!$C$5,2)</f>
        <v/>
      </c>
      <c r="P1667" s="10">
        <f>ROUND(K1667*'Irish Basis'!$C$8*'Irish Basis'!$C$5,2)</f>
        <v/>
      </c>
      <c r="Q1667" s="10">
        <f>ROUND(L1667*'Irish Basis'!$C$12*'Irish Basis'!$C$5,2)</f>
        <v/>
      </c>
      <c r="R1667" s="11">
        <f>ROUND(SUM(N1667:Q1667),2)</f>
        <v/>
      </c>
      <c r="S1667" s="5" t="inlineStr">
        <is>
          <t>Stated build-up</t>
        </is>
      </c>
      <c r="T1667" s="12" t="inlineStr">
        <is>
          <t>High</t>
        </is>
      </c>
      <c r="U1667" s="8" t="n">
        <v>329.62</v>
      </c>
      <c r="V1667" s="13">
        <f>IF(U1667="","",ROUND(M1667-U1667,2))</f>
        <v/>
      </c>
      <c r="W1667" s="5" t="n"/>
      <c r="X1667" s="5" t="inlineStr">
        <is>
          <t>Labour + plant + material as published; reconciles to the published rate.</t>
        </is>
      </c>
    </row>
    <row r="1668" ht="13" customHeight="1">
      <c r="A1668" s="4" t="n">
        <v>2601</v>
      </c>
      <c r="B1668" s="5" t="inlineStr">
        <is>
          <t>IMG_0100</t>
        </is>
      </c>
      <c r="C1668" s="5" t="inlineStr">
        <is>
          <t>CLASS I: PIPEWORK - PIPES</t>
        </is>
      </c>
      <c r="D1668" s="5" t="inlineStr">
        <is>
          <t>05 POLYVINYL CHLORIDE PIPES</t>
        </is>
      </c>
      <c r="E1668" s="5" t="inlineStr">
        <is>
          <t>300 mm pipes; in trenches, depth</t>
        </is>
      </c>
      <c r="F1668" s="5" t="inlineStr">
        <is>
          <t>4.00-4.50 m deep</t>
        </is>
      </c>
      <c r="G1668" s="6" t="inlineStr">
        <is>
          <t>m</t>
        </is>
      </c>
      <c r="H1668" s="7" t="n">
        <v>0.34</v>
      </c>
      <c r="I1668" s="8" t="n">
        <v>46.98</v>
      </c>
      <c r="J1668" s="8" t="n">
        <v>44.56</v>
      </c>
      <c r="K1668" s="8" t="n">
        <v>254.27</v>
      </c>
      <c r="L1668" s="8" t="n">
        <v>0</v>
      </c>
      <c r="M1668" s="9">
        <f>ROUND(SUM(I1668:L1668),2)</f>
        <v/>
      </c>
      <c r="N1668" s="10">
        <f>ROUND(I1668*'Irish Basis'!$C$6*'Irish Basis'!$C$5,2)</f>
        <v/>
      </c>
      <c r="O1668" s="10">
        <f>ROUND(J1668*'Irish Basis'!$C$7*'Irish Basis'!$C$5,2)</f>
        <v/>
      </c>
      <c r="P1668" s="10">
        <f>ROUND(K1668*'Irish Basis'!$C$8*'Irish Basis'!$C$5,2)</f>
        <v/>
      </c>
      <c r="Q1668" s="10">
        <f>ROUND(L1668*'Irish Basis'!$C$12*'Irish Basis'!$C$5,2)</f>
        <v/>
      </c>
      <c r="R1668" s="11">
        <f>ROUND(SUM(N1668:Q1668),2)</f>
        <v/>
      </c>
      <c r="S1668" s="5" t="inlineStr">
        <is>
          <t>Stated build-up</t>
        </is>
      </c>
      <c r="T1668" s="12" t="inlineStr">
        <is>
          <t>High</t>
        </is>
      </c>
      <c r="U1668" s="8" t="n">
        <v>345.81</v>
      </c>
      <c r="V1668" s="13">
        <f>IF(U1668="","",ROUND(M1668-U1668,2))</f>
        <v/>
      </c>
      <c r="W1668" s="5" t="n"/>
      <c r="X1668" s="5" t="inlineStr">
        <is>
          <t>Labour + plant + material as published; reconciles to the published rate.</t>
        </is>
      </c>
    </row>
    <row r="1669" ht="13" customHeight="1">
      <c r="A1669" s="4" t="n">
        <v>2602</v>
      </c>
      <c r="B1669" s="5" t="inlineStr">
        <is>
          <t>IMG_0100</t>
        </is>
      </c>
      <c r="C1669" s="5" t="inlineStr">
        <is>
          <t>CLASS I: PIPEWORK - PIPES</t>
        </is>
      </c>
      <c r="D1669" s="5" t="inlineStr">
        <is>
          <t>05 POLYVINYL CHLORIDE PIPES</t>
        </is>
      </c>
      <c r="E1669" s="5" t="inlineStr">
        <is>
          <t>300 mm pipes; in trenches, depth</t>
        </is>
      </c>
      <c r="F1669" s="5" t="inlineStr">
        <is>
          <t>4.50-5.00 m deep</t>
        </is>
      </c>
      <c r="G1669" s="6" t="inlineStr">
        <is>
          <t>m</t>
        </is>
      </c>
      <c r="H1669" s="7" t="n">
        <v>0.38</v>
      </c>
      <c r="I1669" s="8" t="n">
        <v>52.51</v>
      </c>
      <c r="J1669" s="8" t="n">
        <v>49.82</v>
      </c>
      <c r="K1669" s="8" t="n">
        <v>254.27</v>
      </c>
      <c r="L1669" s="8" t="n">
        <v>0</v>
      </c>
      <c r="M1669" s="9">
        <f>ROUND(SUM(I1669:L1669),2)</f>
        <v/>
      </c>
      <c r="N1669" s="10">
        <f>ROUND(I1669*'Irish Basis'!$C$6*'Irish Basis'!$C$5,2)</f>
        <v/>
      </c>
      <c r="O1669" s="10">
        <f>ROUND(J1669*'Irish Basis'!$C$7*'Irish Basis'!$C$5,2)</f>
        <v/>
      </c>
      <c r="P1669" s="10">
        <f>ROUND(K1669*'Irish Basis'!$C$8*'Irish Basis'!$C$5,2)</f>
        <v/>
      </c>
      <c r="Q1669" s="10">
        <f>ROUND(L1669*'Irish Basis'!$C$12*'Irish Basis'!$C$5,2)</f>
        <v/>
      </c>
      <c r="R1669" s="11">
        <f>ROUND(SUM(N1669:Q1669),2)</f>
        <v/>
      </c>
      <c r="S1669" s="5" t="inlineStr">
        <is>
          <t>Stated build-up</t>
        </is>
      </c>
      <c r="T1669" s="12" t="inlineStr">
        <is>
          <t>High</t>
        </is>
      </c>
      <c r="U1669" s="8" t="n">
        <v>356.6</v>
      </c>
      <c r="V1669" s="13">
        <f>IF(U1669="","",ROUND(M1669-U1669,2))</f>
        <v/>
      </c>
      <c r="W1669" s="5" t="n"/>
      <c r="X1669" s="5" t="inlineStr">
        <is>
          <t>Labour + plant + material as published; reconciles to the published rate.</t>
        </is>
      </c>
    </row>
    <row r="1670" ht="13" customHeight="1">
      <c r="A1670" s="4" t="n">
        <v>2603</v>
      </c>
      <c r="B1670" s="5" t="inlineStr">
        <is>
          <t>IMG_0100</t>
        </is>
      </c>
      <c r="C1670" s="5" t="inlineStr">
        <is>
          <t>CLASS I: PIPEWORK - PIPES</t>
        </is>
      </c>
      <c r="D1670" s="5" t="inlineStr">
        <is>
          <t>05 POLYVINYL CHLORIDE PIPES</t>
        </is>
      </c>
      <c r="E1670" s="5" t="inlineStr">
        <is>
          <t>300 mm pipes; in trenches, depth</t>
        </is>
      </c>
      <c r="F1670" s="5" t="inlineStr">
        <is>
          <t>5.00-5.50 m deep</t>
        </is>
      </c>
      <c r="G1670" s="6" t="inlineStr">
        <is>
          <t>m</t>
        </is>
      </c>
      <c r="H1670" s="7" t="n">
        <v>0.47</v>
      </c>
      <c r="I1670" s="8" t="n">
        <v>64.94</v>
      </c>
      <c r="J1670" s="8" t="n">
        <v>61.6</v>
      </c>
      <c r="K1670" s="8" t="n">
        <v>254.27</v>
      </c>
      <c r="L1670" s="8" t="n">
        <v>0</v>
      </c>
      <c r="M1670" s="9">
        <f>ROUND(SUM(I1670:L1670),2)</f>
        <v/>
      </c>
      <c r="N1670" s="10">
        <f>ROUND(I1670*'Irish Basis'!$C$6*'Irish Basis'!$C$5,2)</f>
        <v/>
      </c>
      <c r="O1670" s="10">
        <f>ROUND(J1670*'Irish Basis'!$C$7*'Irish Basis'!$C$5,2)</f>
        <v/>
      </c>
      <c r="P1670" s="10">
        <f>ROUND(K1670*'Irish Basis'!$C$8*'Irish Basis'!$C$5,2)</f>
        <v/>
      </c>
      <c r="Q1670" s="10">
        <f>ROUND(L1670*'Irish Basis'!$C$12*'Irish Basis'!$C$5,2)</f>
        <v/>
      </c>
      <c r="R1670" s="11">
        <f>ROUND(SUM(N1670:Q1670),2)</f>
        <v/>
      </c>
      <c r="S1670" s="5" t="inlineStr">
        <is>
          <t>Stated build-up</t>
        </is>
      </c>
      <c r="T1670" s="12" t="inlineStr">
        <is>
          <t>High</t>
        </is>
      </c>
      <c r="U1670" s="8" t="n">
        <v>380.81</v>
      </c>
      <c r="V1670" s="13">
        <f>IF(U1670="","",ROUND(M1670-U1670,2))</f>
        <v/>
      </c>
      <c r="W1670" s="5" t="n"/>
      <c r="X1670" s="5" t="inlineStr">
        <is>
          <t>Labour + plant + material as published; reconciles to the published rate.</t>
        </is>
      </c>
    </row>
    <row r="1671" ht="13" customHeight="1">
      <c r="A1671" s="4" t="n">
        <v>2604</v>
      </c>
      <c r="B1671" s="5" t="inlineStr">
        <is>
          <t>IMG_0100</t>
        </is>
      </c>
      <c r="C1671" s="5" t="inlineStr">
        <is>
          <t>CLASS I: PIPEWORK - PIPES</t>
        </is>
      </c>
      <c r="D1671" s="5" t="inlineStr">
        <is>
          <t>05 POLYVINYL CHLORIDE PIPES</t>
        </is>
      </c>
      <c r="E1671" s="5" t="inlineStr">
        <is>
          <t>300 mm pipes; in trenches, depth</t>
        </is>
      </c>
      <c r="F1671" s="5" t="inlineStr">
        <is>
          <t>extra for bend; short radius 45 deg (double socket)</t>
        </is>
      </c>
      <c r="G1671" s="6" t="inlineStr">
        <is>
          <t>nr</t>
        </is>
      </c>
      <c r="H1671" s="7" t="n">
        <v>1</v>
      </c>
      <c r="I1671" s="8" t="n">
        <v>138.18</v>
      </c>
      <c r="J1671" s="8" t="n">
        <v>0</v>
      </c>
      <c r="K1671" s="8" t="n">
        <v>2079.04</v>
      </c>
      <c r="L1671" s="8" t="n">
        <v>0</v>
      </c>
      <c r="M1671" s="9">
        <f>ROUND(SUM(I1671:L1671),2)</f>
        <v/>
      </c>
      <c r="N1671" s="10">
        <f>ROUND(I1671*'Irish Basis'!$C$6*'Irish Basis'!$C$5,2)</f>
        <v/>
      </c>
      <c r="O1671" s="10">
        <f>ROUND(J1671*'Irish Basis'!$C$7*'Irish Basis'!$C$5,2)</f>
        <v/>
      </c>
      <c r="P1671" s="10">
        <f>ROUND(K1671*'Irish Basis'!$C$8*'Irish Basis'!$C$5,2)</f>
        <v/>
      </c>
      <c r="Q1671" s="10">
        <f>ROUND(L1671*'Irish Basis'!$C$12*'Irish Basis'!$C$5,2)</f>
        <v/>
      </c>
      <c r="R1671" s="11">
        <f>ROUND(SUM(N1671:Q1671),2)</f>
        <v/>
      </c>
      <c r="S1671" s="5" t="inlineStr">
        <is>
          <t>Stated build-up</t>
        </is>
      </c>
      <c r="T1671" s="12" t="inlineStr">
        <is>
          <t>High</t>
        </is>
      </c>
      <c r="U1671" s="8" t="n">
        <v>2217.22</v>
      </c>
      <c r="V1671" s="13">
        <f>IF(U1671="","",ROUND(M1671-U1671,2))</f>
        <v/>
      </c>
      <c r="W1671" s="5" t="n"/>
      <c r="X1671" s="5" t="inlineStr">
        <is>
          <t>Labour + plant + material as published; reconciles to the published rate.</t>
        </is>
      </c>
    </row>
    <row r="1672" ht="13" customHeight="1">
      <c r="A1672" s="4" t="n">
        <v>2605</v>
      </c>
      <c r="B1672" s="5" t="inlineStr">
        <is>
          <t>IMG_0100</t>
        </is>
      </c>
      <c r="C1672" s="5" t="inlineStr">
        <is>
          <t>CLASS I: PIPEWORK - PIPES</t>
        </is>
      </c>
      <c r="D1672" s="5" t="inlineStr">
        <is>
          <t>05 POLYVINYL CHLORIDE PIPES</t>
        </is>
      </c>
      <c r="E1672" s="5" t="inlineStr">
        <is>
          <t>300 mm pipes; in trenches, depth</t>
        </is>
      </c>
      <c r="F1672" s="5" t="inlineStr">
        <is>
          <t>extra for branches; unequal (all socket)</t>
        </is>
      </c>
      <c r="G1672" s="6" t="inlineStr">
        <is>
          <t>nr</t>
        </is>
      </c>
      <c r="H1672" s="7" t="n">
        <v>0.09</v>
      </c>
      <c r="I1672" s="8" t="n">
        <v>12.44</v>
      </c>
      <c r="J1672" s="8" t="n">
        <v>0</v>
      </c>
      <c r="K1672" s="8" t="n">
        <v>1328.65</v>
      </c>
      <c r="L1672" s="8" t="n">
        <v>0</v>
      </c>
      <c r="M1672" s="9">
        <f>ROUND(SUM(I1672:L1672),2)</f>
        <v/>
      </c>
      <c r="N1672" s="10">
        <f>ROUND(I1672*'Irish Basis'!$C$6*'Irish Basis'!$C$5,2)</f>
        <v/>
      </c>
      <c r="O1672" s="10">
        <f>ROUND(J1672*'Irish Basis'!$C$7*'Irish Basis'!$C$5,2)</f>
        <v/>
      </c>
      <c r="P1672" s="10">
        <f>ROUND(K1672*'Irish Basis'!$C$8*'Irish Basis'!$C$5,2)</f>
        <v/>
      </c>
      <c r="Q1672" s="10">
        <f>ROUND(L1672*'Irish Basis'!$C$12*'Irish Basis'!$C$5,2)</f>
        <v/>
      </c>
      <c r="R1672" s="11">
        <f>ROUND(SUM(N1672:Q1672),2)</f>
        <v/>
      </c>
      <c r="S1672" s="5" t="inlineStr">
        <is>
          <t>Stated build-up</t>
        </is>
      </c>
      <c r="T1672" s="12" t="inlineStr">
        <is>
          <t>High</t>
        </is>
      </c>
      <c r="U1672" s="8" t="n">
        <v>1341.09</v>
      </c>
      <c r="V1672" s="13">
        <f>IF(U1672="","",ROUND(M1672-U1672,2))</f>
        <v/>
      </c>
      <c r="W1672" s="5" t="n"/>
      <c r="X1672" s="5" t="inlineStr">
        <is>
          <t>Labour + plant + material as published; reconciles to the published rate.</t>
        </is>
      </c>
    </row>
    <row r="1673" ht="13" customHeight="1">
      <c r="A1673" s="4" t="n">
        <v>2607</v>
      </c>
      <c r="B1673" s="5" t="inlineStr">
        <is>
          <t>IMG_0100</t>
        </is>
      </c>
      <c r="C1673" s="5" t="inlineStr">
        <is>
          <t>CLASS I: PIPEWORK - PIPES</t>
        </is>
      </c>
      <c r="D1673" s="5" t="inlineStr">
        <is>
          <t>05 POLYVINYL CHLORIDE PIPES</t>
        </is>
      </c>
      <c r="E1673" s="5" t="inlineStr">
        <is>
          <t>Unplasticized pvc pipes; polypropylene couplings; excavation and supports, backfilling; 6 m pipe lengths unless stated otherwise; 110 mm pipes; in trenches, depth</t>
        </is>
      </c>
      <c r="F1673" s="5" t="inlineStr">
        <is>
          <t>not in trenches</t>
        </is>
      </c>
      <c r="G1673" s="6" t="inlineStr">
        <is>
          <t>m</t>
        </is>
      </c>
      <c r="H1673" s="7" t="n">
        <v>0.06</v>
      </c>
      <c r="I1673" s="8" t="n">
        <v>5.18</v>
      </c>
      <c r="J1673" s="8" t="n">
        <v>0.65</v>
      </c>
      <c r="K1673" s="8" t="n">
        <v>20.42</v>
      </c>
      <c r="L1673" s="8" t="n">
        <v>0</v>
      </c>
      <c r="M1673" s="9">
        <f>ROUND(SUM(I1673:L1673),2)</f>
        <v/>
      </c>
      <c r="N1673" s="10">
        <f>ROUND(I1673*'Irish Basis'!$C$6*'Irish Basis'!$C$5,2)</f>
        <v/>
      </c>
      <c r="O1673" s="10">
        <f>ROUND(J1673*'Irish Basis'!$C$7*'Irish Basis'!$C$5,2)</f>
        <v/>
      </c>
      <c r="P1673" s="10">
        <f>ROUND(K1673*'Irish Basis'!$C$8*'Irish Basis'!$C$5,2)</f>
        <v/>
      </c>
      <c r="Q1673" s="10">
        <f>ROUND(L1673*'Irish Basis'!$C$12*'Irish Basis'!$C$5,2)</f>
        <v/>
      </c>
      <c r="R1673" s="11">
        <f>ROUND(SUM(N1673:Q1673),2)</f>
        <v/>
      </c>
      <c r="S1673" s="5" t="inlineStr">
        <is>
          <t>Stated build-up</t>
        </is>
      </c>
      <c r="T1673" s="12" t="inlineStr">
        <is>
          <t>High</t>
        </is>
      </c>
      <c r="U1673" s="8" t="n">
        <v>26.25</v>
      </c>
      <c r="V1673" s="13">
        <f>IF(U1673="","",ROUND(M1673-U1673,2))</f>
        <v/>
      </c>
      <c r="W1673" s="5" t="n"/>
      <c r="X1673" s="5" t="inlineStr">
        <is>
          <t>Labour + plant + material as published; reconciles to the published rate.</t>
        </is>
      </c>
    </row>
    <row r="1674" ht="13" customHeight="1">
      <c r="A1674" s="4" t="n">
        <v>2608</v>
      </c>
      <c r="B1674" s="5" t="inlineStr">
        <is>
          <t>IMG_0100</t>
        </is>
      </c>
      <c r="C1674" s="5" t="inlineStr">
        <is>
          <t>CLASS I: PIPEWORK - PIPES</t>
        </is>
      </c>
      <c r="D1674" s="5" t="inlineStr">
        <is>
          <t>05 POLYVINYL CHLORIDE PIPES</t>
        </is>
      </c>
      <c r="E1674" s="5" t="inlineStr">
        <is>
          <t>Unplasticized pvc pipes; polypropylene couplings; excavation and supports, backfilling; 6 m pipe lengths unless stated otherwise; 110 mm pipes; in trenches, depth</t>
        </is>
      </c>
      <c r="F1674" s="5" t="inlineStr">
        <is>
          <t>ne 1.50 m deep</t>
        </is>
      </c>
      <c r="G1674" s="6" t="inlineStr">
        <is>
          <t>m</t>
        </is>
      </c>
      <c r="H1674" s="7" t="n">
        <v>0.1</v>
      </c>
      <c r="I1674" s="8" t="n">
        <v>13.82</v>
      </c>
      <c r="J1674" s="8" t="n">
        <v>13.08</v>
      </c>
      <c r="K1674" s="8" t="n">
        <v>20.42</v>
      </c>
      <c r="L1674" s="8" t="n">
        <v>0</v>
      </c>
      <c r="M1674" s="9">
        <f>ROUND(SUM(I1674:L1674),2)</f>
        <v/>
      </c>
      <c r="N1674" s="10">
        <f>ROUND(I1674*'Irish Basis'!$C$6*'Irish Basis'!$C$5,2)</f>
        <v/>
      </c>
      <c r="O1674" s="10">
        <f>ROUND(J1674*'Irish Basis'!$C$7*'Irish Basis'!$C$5,2)</f>
        <v/>
      </c>
      <c r="P1674" s="10">
        <f>ROUND(K1674*'Irish Basis'!$C$8*'Irish Basis'!$C$5,2)</f>
        <v/>
      </c>
      <c r="Q1674" s="10">
        <f>ROUND(L1674*'Irish Basis'!$C$12*'Irish Basis'!$C$5,2)</f>
        <v/>
      </c>
      <c r="R1674" s="11">
        <f>ROUND(SUM(N1674:Q1674),2)</f>
        <v/>
      </c>
      <c r="S1674" s="5" t="inlineStr">
        <is>
          <t>Stated build-up</t>
        </is>
      </c>
      <c r="T1674" s="12" t="inlineStr">
        <is>
          <t>High</t>
        </is>
      </c>
      <c r="U1674" s="8" t="n">
        <v>47.33</v>
      </c>
      <c r="V1674" s="13">
        <f>IF(U1674="","",ROUND(M1674-U1674,2))</f>
        <v/>
      </c>
      <c r="W1674" s="5" t="n"/>
      <c r="X1674" s="5" t="inlineStr">
        <is>
          <t>Labour + plant + material as published; reconciles to the published rate.</t>
        </is>
      </c>
    </row>
    <row r="1675" ht="13" customHeight="1">
      <c r="A1675" s="4" t="n">
        <v>2609</v>
      </c>
      <c r="B1675" s="5" t="inlineStr">
        <is>
          <t>IMG_0100</t>
        </is>
      </c>
      <c r="C1675" s="5" t="inlineStr">
        <is>
          <t>CLASS I: PIPEWORK - PIPES</t>
        </is>
      </c>
      <c r="D1675" s="5" t="inlineStr">
        <is>
          <t>05 POLYVINYL CHLORIDE PIPES</t>
        </is>
      </c>
      <c r="E1675" s="5" t="inlineStr">
        <is>
          <t>Unplasticized pvc pipes; polypropylene couplings; excavation and supports, backfilling; 6 m pipe lengths unless stated otherwise; 110 mm pipes; in trenches, depth</t>
        </is>
      </c>
      <c r="F1675" s="5" t="inlineStr">
        <is>
          <t>1.50-2.00 m deep</t>
        </is>
      </c>
      <c r="G1675" s="6" t="inlineStr">
        <is>
          <t>m</t>
        </is>
      </c>
      <c r="H1675" s="7" t="n">
        <v>0.13</v>
      </c>
      <c r="I1675" s="8" t="n">
        <v>17.96</v>
      </c>
      <c r="J1675" s="8" t="n">
        <v>17.01</v>
      </c>
      <c r="K1675" s="8" t="n">
        <v>20.42</v>
      </c>
      <c r="L1675" s="8" t="n">
        <v>0</v>
      </c>
      <c r="M1675" s="9">
        <f>ROUND(SUM(I1675:L1675),2)</f>
        <v/>
      </c>
      <c r="N1675" s="10">
        <f>ROUND(I1675*'Irish Basis'!$C$6*'Irish Basis'!$C$5,2)</f>
        <v/>
      </c>
      <c r="O1675" s="10">
        <f>ROUND(J1675*'Irish Basis'!$C$7*'Irish Basis'!$C$5,2)</f>
        <v/>
      </c>
      <c r="P1675" s="10">
        <f>ROUND(K1675*'Irish Basis'!$C$8*'Irish Basis'!$C$5,2)</f>
        <v/>
      </c>
      <c r="Q1675" s="10">
        <f>ROUND(L1675*'Irish Basis'!$C$12*'Irish Basis'!$C$5,2)</f>
        <v/>
      </c>
      <c r="R1675" s="11">
        <f>ROUND(SUM(N1675:Q1675),2)</f>
        <v/>
      </c>
      <c r="S1675" s="5" t="inlineStr">
        <is>
          <t>Stated build-up</t>
        </is>
      </c>
      <c r="T1675" s="12" t="inlineStr">
        <is>
          <t>High</t>
        </is>
      </c>
      <c r="U1675" s="8" t="n">
        <v>55.4</v>
      </c>
      <c r="V1675" s="13">
        <f>IF(U1675="","",ROUND(M1675-U1675,2))</f>
        <v/>
      </c>
      <c r="W1675" s="5" t="n"/>
      <c r="X1675" s="5" t="inlineStr">
        <is>
          <t>Labour + plant + material as published; reconciles to the published rate.</t>
        </is>
      </c>
    </row>
    <row r="1676" ht="13" customHeight="1">
      <c r="A1676" s="4" t="n">
        <v>2610</v>
      </c>
      <c r="B1676" s="5" t="inlineStr">
        <is>
          <t>IMG_0100</t>
        </is>
      </c>
      <c r="C1676" s="5" t="inlineStr">
        <is>
          <t>CLASS I: PIPEWORK - PIPES</t>
        </is>
      </c>
      <c r="D1676" s="5" t="inlineStr">
        <is>
          <t>05 POLYVINYL CHLORIDE PIPES</t>
        </is>
      </c>
      <c r="E1676" s="5" t="inlineStr">
        <is>
          <t>Unplasticized pvc pipes; polypropylene couplings; excavation and supports, backfilling; 6 m pipe lengths unless stated otherwise; 110 mm pipes; in trenches, depth</t>
        </is>
      </c>
      <c r="F1676" s="5" t="inlineStr">
        <is>
          <t>2.00-2.50 m deep</t>
        </is>
      </c>
      <c r="G1676" s="6" t="inlineStr">
        <is>
          <t>m</t>
        </is>
      </c>
      <c r="H1676" s="7" t="n">
        <v>0.16</v>
      </c>
      <c r="I1676" s="8" t="n">
        <v>22.11</v>
      </c>
      <c r="J1676" s="8" t="n">
        <v>20.92</v>
      </c>
      <c r="K1676" s="8" t="n">
        <v>20.42</v>
      </c>
      <c r="L1676" s="8" t="n">
        <v>0</v>
      </c>
      <c r="M1676" s="9">
        <f>ROUND(SUM(I1676:L1676),2)</f>
        <v/>
      </c>
      <c r="N1676" s="10">
        <f>ROUND(I1676*'Irish Basis'!$C$6*'Irish Basis'!$C$5,2)</f>
        <v/>
      </c>
      <c r="O1676" s="10">
        <f>ROUND(J1676*'Irish Basis'!$C$7*'Irish Basis'!$C$5,2)</f>
        <v/>
      </c>
      <c r="P1676" s="10">
        <f>ROUND(K1676*'Irish Basis'!$C$8*'Irish Basis'!$C$5,2)</f>
        <v/>
      </c>
      <c r="Q1676" s="10">
        <f>ROUND(L1676*'Irish Basis'!$C$12*'Irish Basis'!$C$5,2)</f>
        <v/>
      </c>
      <c r="R1676" s="11">
        <f>ROUND(SUM(N1676:Q1676),2)</f>
        <v/>
      </c>
      <c r="S1676" s="5" t="inlineStr">
        <is>
          <t>Stated build-up</t>
        </is>
      </c>
      <c r="T1676" s="12" t="inlineStr">
        <is>
          <t>High</t>
        </is>
      </c>
      <c r="U1676" s="8" t="n">
        <v>63.45</v>
      </c>
      <c r="V1676" s="13">
        <f>IF(U1676="","",ROUND(M1676-U1676,2))</f>
        <v/>
      </c>
      <c r="W1676" s="5" t="n"/>
      <c r="X1676" s="5" t="inlineStr">
        <is>
          <t>Labour + plant + material as published; reconciles to the published rate.</t>
        </is>
      </c>
    </row>
    <row r="1677" ht="13" customHeight="1">
      <c r="A1677" s="4" t="n">
        <v>2611</v>
      </c>
      <c r="B1677" s="5" t="inlineStr">
        <is>
          <t>IMG_0100</t>
        </is>
      </c>
      <c r="C1677" s="5" t="inlineStr">
        <is>
          <t>CLASS I: PIPEWORK - PIPES</t>
        </is>
      </c>
      <c r="D1677" s="5" t="inlineStr">
        <is>
          <t>05 POLYVINYL CHLORIDE PIPES</t>
        </is>
      </c>
      <c r="E1677" s="5" t="inlineStr">
        <is>
          <t>Unplasticized pvc pipes; polypropylene couplings; excavation and supports, backfilling; 6 m pipe lengths unless stated otherwise; 110 mm pipes; in trenches, depth</t>
        </is>
      </c>
      <c r="F1677" s="5" t="inlineStr">
        <is>
          <t>2.50-3.00 m deep</t>
        </is>
      </c>
      <c r="G1677" s="6" t="inlineStr">
        <is>
          <t>m</t>
        </is>
      </c>
      <c r="H1677" s="7" t="n">
        <v>0.19</v>
      </c>
      <c r="I1677" s="8" t="n">
        <v>26.25</v>
      </c>
      <c r="J1677" s="8" t="n">
        <v>24.84</v>
      </c>
      <c r="K1677" s="8" t="n">
        <v>20.42</v>
      </c>
      <c r="L1677" s="8" t="n">
        <v>0</v>
      </c>
      <c r="M1677" s="9">
        <f>ROUND(SUM(I1677:L1677),2)</f>
        <v/>
      </c>
      <c r="N1677" s="10">
        <f>ROUND(I1677*'Irish Basis'!$C$6*'Irish Basis'!$C$5,2)</f>
        <v/>
      </c>
      <c r="O1677" s="10">
        <f>ROUND(J1677*'Irish Basis'!$C$7*'Irish Basis'!$C$5,2)</f>
        <v/>
      </c>
      <c r="P1677" s="10">
        <f>ROUND(K1677*'Irish Basis'!$C$8*'Irish Basis'!$C$5,2)</f>
        <v/>
      </c>
      <c r="Q1677" s="10">
        <f>ROUND(L1677*'Irish Basis'!$C$12*'Irish Basis'!$C$5,2)</f>
        <v/>
      </c>
      <c r="R1677" s="11">
        <f>ROUND(SUM(N1677:Q1677),2)</f>
        <v/>
      </c>
      <c r="S1677" s="5" t="inlineStr">
        <is>
          <t>Stated build-up</t>
        </is>
      </c>
      <c r="T1677" s="12" t="inlineStr">
        <is>
          <t>High</t>
        </is>
      </c>
      <c r="U1677" s="8" t="n">
        <v>71.52</v>
      </c>
      <c r="V1677" s="13">
        <f>IF(U1677="","",ROUND(M1677-U1677,2))</f>
        <v/>
      </c>
      <c r="W1677" s="5" t="n"/>
      <c r="X1677" s="5" t="inlineStr">
        <is>
          <t>Labour + plant + material as published; reconciles to the published rate.</t>
        </is>
      </c>
    </row>
    <row r="1678" ht="13" customHeight="1">
      <c r="A1678" s="4" t="n">
        <v>2612</v>
      </c>
      <c r="B1678" s="5" t="inlineStr">
        <is>
          <t>IMG_0100</t>
        </is>
      </c>
      <c r="C1678" s="5" t="inlineStr">
        <is>
          <t>CLASS I: PIPEWORK - PIPES</t>
        </is>
      </c>
      <c r="D1678" s="5" t="inlineStr">
        <is>
          <t>05 POLYVINYL CHLORIDE PIPES</t>
        </is>
      </c>
      <c r="E1678" s="5" t="inlineStr">
        <is>
          <t>Unplasticized pvc pipes; polypropylene couplings; excavation and supports, backfilling; 6 m pipe lengths unless stated otherwise; 110 mm pipes; in trenches, depth</t>
        </is>
      </c>
      <c r="F1678" s="5" t="inlineStr">
        <is>
          <t>3.00-3.50 m deep</t>
        </is>
      </c>
      <c r="G1678" s="6" t="inlineStr">
        <is>
          <t>m</t>
        </is>
      </c>
      <c r="H1678" s="7" t="n">
        <v>0.22</v>
      </c>
      <c r="I1678" s="8" t="n">
        <v>30.4</v>
      </c>
      <c r="J1678" s="8" t="n">
        <v>28.82</v>
      </c>
      <c r="K1678" s="8" t="n">
        <v>20.42</v>
      </c>
      <c r="L1678" s="8" t="n">
        <v>0</v>
      </c>
      <c r="M1678" s="9">
        <f>ROUND(SUM(I1678:L1678),2)</f>
        <v/>
      </c>
      <c r="N1678" s="10">
        <f>ROUND(I1678*'Irish Basis'!$C$6*'Irish Basis'!$C$5,2)</f>
        <v/>
      </c>
      <c r="O1678" s="10">
        <f>ROUND(J1678*'Irish Basis'!$C$7*'Irish Basis'!$C$5,2)</f>
        <v/>
      </c>
      <c r="P1678" s="10">
        <f>ROUND(K1678*'Irish Basis'!$C$8*'Irish Basis'!$C$5,2)</f>
        <v/>
      </c>
      <c r="Q1678" s="10">
        <f>ROUND(L1678*'Irish Basis'!$C$12*'Irish Basis'!$C$5,2)</f>
        <v/>
      </c>
      <c r="R1678" s="11">
        <f>ROUND(SUM(N1678:Q1678),2)</f>
        <v/>
      </c>
      <c r="S1678" s="5" t="inlineStr">
        <is>
          <t>Stated build-up</t>
        </is>
      </c>
      <c r="T1678" s="12" t="inlineStr">
        <is>
          <t>High</t>
        </is>
      </c>
      <c r="U1678" s="8" t="n">
        <v>79.64</v>
      </c>
      <c r="V1678" s="13">
        <f>IF(U1678="","",ROUND(M1678-U1678,2))</f>
        <v/>
      </c>
      <c r="W1678" s="5" t="n"/>
      <c r="X1678" s="5" t="inlineStr">
        <is>
          <t>Labour + plant + material as published; reconciles to the published rate.</t>
        </is>
      </c>
    </row>
    <row r="1679" ht="13" customHeight="1">
      <c r="A1679" s="4" t="n">
        <v>2613</v>
      </c>
      <c r="B1679" s="5" t="inlineStr">
        <is>
          <t>IMG_0100</t>
        </is>
      </c>
      <c r="C1679" s="5" t="inlineStr">
        <is>
          <t>CLASS I: PIPEWORK - PIPES</t>
        </is>
      </c>
      <c r="D1679" s="5" t="inlineStr">
        <is>
          <t>05 POLYVINYL CHLORIDE PIPES</t>
        </is>
      </c>
      <c r="E1679" s="5" t="inlineStr">
        <is>
          <t>Unplasticized pvc pipes; polypropylene couplings; excavation and supports, backfilling; 6 m pipe lengths unless stated otherwise; 110 mm pipes; in trenches, depth</t>
        </is>
      </c>
      <c r="F1679" s="5" t="inlineStr">
        <is>
          <t>3.50-4.00 m deep</t>
        </is>
      </c>
      <c r="G1679" s="6" t="inlineStr">
        <is>
          <t>m</t>
        </is>
      </c>
      <c r="H1679" s="7" t="n">
        <v>0.25</v>
      </c>
      <c r="I1679" s="8" t="n">
        <v>34.55</v>
      </c>
      <c r="J1679" s="8" t="n">
        <v>32.75</v>
      </c>
      <c r="K1679" s="8" t="n">
        <v>20.42</v>
      </c>
      <c r="L1679" s="8" t="n">
        <v>0</v>
      </c>
      <c r="M1679" s="9">
        <f>ROUND(SUM(I1679:L1679),2)</f>
        <v/>
      </c>
      <c r="N1679" s="10">
        <f>ROUND(I1679*'Irish Basis'!$C$6*'Irish Basis'!$C$5,2)</f>
        <v/>
      </c>
      <c r="O1679" s="10">
        <f>ROUND(J1679*'Irish Basis'!$C$7*'Irish Basis'!$C$5,2)</f>
        <v/>
      </c>
      <c r="P1679" s="10">
        <f>ROUND(K1679*'Irish Basis'!$C$8*'Irish Basis'!$C$5,2)</f>
        <v/>
      </c>
      <c r="Q1679" s="10">
        <f>ROUND(L1679*'Irish Basis'!$C$12*'Irish Basis'!$C$5,2)</f>
        <v/>
      </c>
      <c r="R1679" s="11">
        <f>ROUND(SUM(N1679:Q1679),2)</f>
        <v/>
      </c>
      <c r="S1679" s="5" t="inlineStr">
        <is>
          <t>Stated build-up</t>
        </is>
      </c>
      <c r="T1679" s="12" t="inlineStr">
        <is>
          <t>High</t>
        </is>
      </c>
      <c r="U1679" s="8" t="n">
        <v>87.72</v>
      </c>
      <c r="V1679" s="13">
        <f>IF(U1679="","",ROUND(M1679-U1679,2))</f>
        <v/>
      </c>
      <c r="W1679" s="5" t="n"/>
      <c r="X1679" s="5" t="inlineStr">
        <is>
          <t>Labour + plant + material as published; reconciles to the published rate.</t>
        </is>
      </c>
    </row>
    <row r="1680" ht="13" customHeight="1">
      <c r="A1680" s="4" t="n">
        <v>2614</v>
      </c>
      <c r="B1680" s="5" t="inlineStr">
        <is>
          <t>IMG_0100</t>
        </is>
      </c>
      <c r="C1680" s="5" t="inlineStr">
        <is>
          <t>CLASS I: PIPEWORK - PIPES</t>
        </is>
      </c>
      <c r="D1680" s="5" t="inlineStr">
        <is>
          <t>05 POLYVINYL CHLORIDE PIPES</t>
        </is>
      </c>
      <c r="E1680" s="5" t="inlineStr">
        <is>
          <t>Unplasticized pvc pipes; polypropylene couplings; excavation and supports, backfilling; 6 m pipe lengths unless stated otherwise; 110 mm pipes; in trenches, depth</t>
        </is>
      </c>
      <c r="F1680" s="5" t="inlineStr">
        <is>
          <t>4.00-4.50 m deep</t>
        </is>
      </c>
      <c r="G1680" s="6" t="inlineStr">
        <is>
          <t>m</t>
        </is>
      </c>
      <c r="H1680" s="7" t="n">
        <v>0.28</v>
      </c>
      <c r="I1680" s="8" t="n">
        <v>38.69</v>
      </c>
      <c r="J1680" s="8" t="n">
        <v>36.67</v>
      </c>
      <c r="K1680" s="8" t="n">
        <v>20.42</v>
      </c>
      <c r="L1680" s="8" t="n">
        <v>0</v>
      </c>
      <c r="M1680" s="9">
        <f>ROUND(SUM(I1680:L1680),2)</f>
        <v/>
      </c>
      <c r="N1680" s="10">
        <f>ROUND(I1680*'Irish Basis'!$C$6*'Irish Basis'!$C$5,2)</f>
        <v/>
      </c>
      <c r="O1680" s="10">
        <f>ROUND(J1680*'Irish Basis'!$C$7*'Irish Basis'!$C$5,2)</f>
        <v/>
      </c>
      <c r="P1680" s="10">
        <f>ROUND(K1680*'Irish Basis'!$C$8*'Irish Basis'!$C$5,2)</f>
        <v/>
      </c>
      <c r="Q1680" s="10">
        <f>ROUND(L1680*'Irish Basis'!$C$12*'Irish Basis'!$C$5,2)</f>
        <v/>
      </c>
      <c r="R1680" s="11">
        <f>ROUND(SUM(N1680:Q1680),2)</f>
        <v/>
      </c>
      <c r="S1680" s="5" t="inlineStr">
        <is>
          <t>Stated build-up</t>
        </is>
      </c>
      <c r="T1680" s="12" t="inlineStr">
        <is>
          <t>High</t>
        </is>
      </c>
      <c r="U1680" s="8" t="n">
        <v>95.79000000000001</v>
      </c>
      <c r="V1680" s="13">
        <f>IF(U1680="","",ROUND(M1680-U1680,2))</f>
        <v/>
      </c>
      <c r="W1680" s="5" t="n"/>
      <c r="X1680" s="5" t="inlineStr">
        <is>
          <t>Labour + plant + material as published; reconciles to the published rate.</t>
        </is>
      </c>
    </row>
    <row r="1681" ht="13" customHeight="1">
      <c r="A1681" s="4" t="n">
        <v>2615</v>
      </c>
      <c r="B1681" s="5" t="inlineStr">
        <is>
          <t>IMG_0100</t>
        </is>
      </c>
      <c r="C1681" s="5" t="inlineStr">
        <is>
          <t>CLASS I: PIPEWORK - PIPES</t>
        </is>
      </c>
      <c r="D1681" s="5" t="inlineStr">
        <is>
          <t>05 POLYVINYL CHLORIDE PIPES</t>
        </is>
      </c>
      <c r="E1681" s="5" t="inlineStr">
        <is>
          <t>Unplasticized pvc pipes; polypropylene couplings; excavation and supports, backfilling; 6 m pipe lengths unless stated otherwise; 110 mm pipes; in trenches, depth</t>
        </is>
      </c>
      <c r="F1681" s="5" t="inlineStr">
        <is>
          <t>4.50-5.00 m deep</t>
        </is>
      </c>
      <c r="G1681" s="6" t="inlineStr">
        <is>
          <t>m</t>
        </is>
      </c>
      <c r="H1681" s="7" t="n">
        <v>0.32</v>
      </c>
      <c r="I1681" s="8" t="n">
        <v>44.22</v>
      </c>
      <c r="J1681" s="8" t="n">
        <v>41.93</v>
      </c>
      <c r="K1681" s="8" t="n">
        <v>20.42</v>
      </c>
      <c r="L1681" s="8" t="n">
        <v>0</v>
      </c>
      <c r="M1681" s="9">
        <f>ROUND(SUM(I1681:L1681),2)</f>
        <v/>
      </c>
      <c r="N1681" s="10">
        <f>ROUND(I1681*'Irish Basis'!$C$6*'Irish Basis'!$C$5,2)</f>
        <v/>
      </c>
      <c r="O1681" s="10">
        <f>ROUND(J1681*'Irish Basis'!$C$7*'Irish Basis'!$C$5,2)</f>
        <v/>
      </c>
      <c r="P1681" s="10">
        <f>ROUND(K1681*'Irish Basis'!$C$8*'Irish Basis'!$C$5,2)</f>
        <v/>
      </c>
      <c r="Q1681" s="10">
        <f>ROUND(L1681*'Irish Basis'!$C$12*'Irish Basis'!$C$5,2)</f>
        <v/>
      </c>
      <c r="R1681" s="11">
        <f>ROUND(SUM(N1681:Q1681),2)</f>
        <v/>
      </c>
      <c r="S1681" s="5" t="inlineStr">
        <is>
          <t>Stated build-up</t>
        </is>
      </c>
      <c r="T1681" s="12" t="inlineStr">
        <is>
          <t>High</t>
        </is>
      </c>
      <c r="U1681" s="8" t="n">
        <v>106.57</v>
      </c>
      <c r="V1681" s="13">
        <f>IF(U1681="","",ROUND(M1681-U1681,2))</f>
        <v/>
      </c>
      <c r="W1681" s="5" t="n"/>
      <c r="X1681" s="5" t="inlineStr">
        <is>
          <t>Labour + plant + material as published; reconciles to the published rate.</t>
        </is>
      </c>
    </row>
    <row r="1682" ht="13" customHeight="1">
      <c r="A1682" s="4" t="n">
        <v>2616</v>
      </c>
      <c r="B1682" s="5" t="inlineStr">
        <is>
          <t>IMG_0100</t>
        </is>
      </c>
      <c r="C1682" s="5" t="inlineStr">
        <is>
          <t>CLASS I: PIPEWORK - PIPES</t>
        </is>
      </c>
      <c r="D1682" s="5" t="inlineStr">
        <is>
          <t>05 POLYVINYL CHLORIDE PIPES</t>
        </is>
      </c>
      <c r="E1682" s="5" t="inlineStr">
        <is>
          <t>Unplasticized pvc pipes; polypropylene couplings; excavation and supports, backfilling; 6 m pipe lengths unless stated otherwise; 110 mm pipes; in trenches, depth</t>
        </is>
      </c>
      <c r="F1682" s="5" t="inlineStr">
        <is>
          <t>5.00-5.50 m deep</t>
        </is>
      </c>
      <c r="G1682" s="6" t="inlineStr">
        <is>
          <t>m</t>
        </is>
      </c>
      <c r="H1682" s="7" t="n">
        <v>0.36</v>
      </c>
      <c r="I1682" s="8" t="n">
        <v>49.74</v>
      </c>
      <c r="J1682" s="8" t="n">
        <v>47.19</v>
      </c>
      <c r="K1682" s="8" t="n">
        <v>20.42</v>
      </c>
      <c r="L1682" s="8" t="n">
        <v>0</v>
      </c>
      <c r="M1682" s="9">
        <f>ROUND(SUM(I1682:L1682),2)</f>
        <v/>
      </c>
      <c r="N1682" s="10">
        <f>ROUND(I1682*'Irish Basis'!$C$6*'Irish Basis'!$C$5,2)</f>
        <v/>
      </c>
      <c r="O1682" s="10">
        <f>ROUND(J1682*'Irish Basis'!$C$7*'Irish Basis'!$C$5,2)</f>
        <v/>
      </c>
      <c r="P1682" s="10">
        <f>ROUND(K1682*'Irish Basis'!$C$8*'Irish Basis'!$C$5,2)</f>
        <v/>
      </c>
      <c r="Q1682" s="10">
        <f>ROUND(L1682*'Irish Basis'!$C$12*'Irish Basis'!$C$5,2)</f>
        <v/>
      </c>
      <c r="R1682" s="11">
        <f>ROUND(SUM(N1682:Q1682),2)</f>
        <v/>
      </c>
      <c r="S1682" s="5" t="inlineStr">
        <is>
          <t>Stated build-up</t>
        </is>
      </c>
      <c r="T1682" s="12" t="inlineStr">
        <is>
          <t>High</t>
        </is>
      </c>
      <c r="U1682" s="8" t="n">
        <v>117.36</v>
      </c>
      <c r="V1682" s="13">
        <f>IF(U1682="","",ROUND(M1682-U1682,2))</f>
        <v/>
      </c>
      <c r="W1682" s="5" t="n"/>
      <c r="X1682" s="5" t="inlineStr">
        <is>
          <t>Labour + plant + material as published; reconciles to the published rate.</t>
        </is>
      </c>
    </row>
    <row r="1683" ht="13" customHeight="1">
      <c r="A1683" s="4" t="n">
        <v>2618</v>
      </c>
      <c r="B1683" s="5" t="inlineStr">
        <is>
          <t>IMG_0100</t>
        </is>
      </c>
      <c r="C1683" s="5" t="inlineStr">
        <is>
          <t>CLASS I: PIPEWORK - PIPES</t>
        </is>
      </c>
      <c r="D1683" s="5" t="inlineStr">
        <is>
          <t>05 POLYVINYL CHLORIDE PIPES</t>
        </is>
      </c>
      <c r="E1683" s="5" t="inlineStr">
        <is>
          <t>160 mm pipes; in trenches, depth</t>
        </is>
      </c>
      <c r="F1683" s="5" t="inlineStr">
        <is>
          <t>not in trenches</t>
        </is>
      </c>
      <c r="G1683" s="6" t="inlineStr">
        <is>
          <t>m</t>
        </is>
      </c>
      <c r="H1683" s="7" t="n">
        <v>0.06</v>
      </c>
      <c r="I1683" s="8" t="n">
        <v>5.18</v>
      </c>
      <c r="J1683" s="8" t="n">
        <v>0.6899999999999999</v>
      </c>
      <c r="K1683" s="8" t="n">
        <v>67.65000000000001</v>
      </c>
      <c r="L1683" s="8" t="n">
        <v>0</v>
      </c>
      <c r="M1683" s="9">
        <f>ROUND(SUM(I1683:L1683),2)</f>
        <v/>
      </c>
      <c r="N1683" s="10">
        <f>ROUND(I1683*'Irish Basis'!$C$6*'Irish Basis'!$C$5,2)</f>
        <v/>
      </c>
      <c r="O1683" s="10">
        <f>ROUND(J1683*'Irish Basis'!$C$7*'Irish Basis'!$C$5,2)</f>
        <v/>
      </c>
      <c r="P1683" s="10">
        <f>ROUND(K1683*'Irish Basis'!$C$8*'Irish Basis'!$C$5,2)</f>
        <v/>
      </c>
      <c r="Q1683" s="10">
        <f>ROUND(L1683*'Irish Basis'!$C$12*'Irish Basis'!$C$5,2)</f>
        <v/>
      </c>
      <c r="R1683" s="11">
        <f>ROUND(SUM(N1683:Q1683),2)</f>
        <v/>
      </c>
      <c r="S1683" s="5" t="inlineStr">
        <is>
          <t>Stated build-up</t>
        </is>
      </c>
      <c r="T1683" s="12" t="inlineStr">
        <is>
          <t>High</t>
        </is>
      </c>
      <c r="U1683" s="8" t="n">
        <v>73.52</v>
      </c>
      <c r="V1683" s="13">
        <f>IF(U1683="","",ROUND(M1683-U1683,2))</f>
        <v/>
      </c>
      <c r="W1683" s="5" t="n"/>
      <c r="X1683" s="5" t="inlineStr">
        <is>
          <t>Labour + plant + material as published; reconciles to the published rate.</t>
        </is>
      </c>
    </row>
    <row r="1684" ht="13" customHeight="1">
      <c r="A1684" s="4" t="n">
        <v>2619</v>
      </c>
      <c r="B1684" s="5" t="inlineStr">
        <is>
          <t>IMG_0100</t>
        </is>
      </c>
      <c r="C1684" s="5" t="inlineStr">
        <is>
          <t>CLASS I: PIPEWORK - PIPES</t>
        </is>
      </c>
      <c r="D1684" s="5" t="inlineStr">
        <is>
          <t>05 POLYVINYL CHLORIDE PIPES</t>
        </is>
      </c>
      <c r="E1684" s="5" t="inlineStr">
        <is>
          <t>160 mm pipes; in trenches, depth</t>
        </is>
      </c>
      <c r="F1684" s="5" t="inlineStr">
        <is>
          <t>ne 1.50 m deep</t>
        </is>
      </c>
      <c r="G1684" s="6" t="inlineStr">
        <is>
          <t>m</t>
        </is>
      </c>
      <c r="H1684" s="7" t="n">
        <v>0.11</v>
      </c>
      <c r="I1684" s="8" t="n">
        <v>15.2</v>
      </c>
      <c r="J1684" s="8" t="n">
        <v>14.34</v>
      </c>
      <c r="K1684" s="8" t="n">
        <v>67.65000000000001</v>
      </c>
      <c r="L1684" s="8" t="n">
        <v>0</v>
      </c>
      <c r="M1684" s="9">
        <f>ROUND(SUM(I1684:L1684),2)</f>
        <v/>
      </c>
      <c r="N1684" s="10">
        <f>ROUND(I1684*'Irish Basis'!$C$6*'Irish Basis'!$C$5,2)</f>
        <v/>
      </c>
      <c r="O1684" s="10">
        <f>ROUND(J1684*'Irish Basis'!$C$7*'Irish Basis'!$C$5,2)</f>
        <v/>
      </c>
      <c r="P1684" s="10">
        <f>ROUND(K1684*'Irish Basis'!$C$8*'Irish Basis'!$C$5,2)</f>
        <v/>
      </c>
      <c r="Q1684" s="10">
        <f>ROUND(L1684*'Irish Basis'!$C$12*'Irish Basis'!$C$5,2)</f>
        <v/>
      </c>
      <c r="R1684" s="11">
        <f>ROUND(SUM(N1684:Q1684),2)</f>
        <v/>
      </c>
      <c r="S1684" s="5" t="inlineStr">
        <is>
          <t>Stated build-up</t>
        </is>
      </c>
      <c r="T1684" s="12" t="inlineStr">
        <is>
          <t>High</t>
        </is>
      </c>
      <c r="U1684" s="8" t="n">
        <v>97.19</v>
      </c>
      <c r="V1684" s="13">
        <f>IF(U1684="","",ROUND(M1684-U1684,2))</f>
        <v/>
      </c>
      <c r="W1684" s="5" t="n"/>
      <c r="X1684" s="5" t="inlineStr">
        <is>
          <t>Labour + plant + material as published; reconciles to the published rate.</t>
        </is>
      </c>
    </row>
    <row r="1685" ht="13" customHeight="1">
      <c r="A1685" s="4" t="n">
        <v>2620</v>
      </c>
      <c r="B1685" s="5" t="inlineStr">
        <is>
          <t>IMG_0100</t>
        </is>
      </c>
      <c r="C1685" s="5" t="inlineStr">
        <is>
          <t>CLASS I: PIPEWORK - PIPES</t>
        </is>
      </c>
      <c r="D1685" s="5" t="inlineStr">
        <is>
          <t>05 POLYVINYL CHLORIDE PIPES</t>
        </is>
      </c>
      <c r="E1685" s="5" t="inlineStr">
        <is>
          <t>160 mm pipes; in trenches, depth</t>
        </is>
      </c>
      <c r="F1685" s="5" t="inlineStr">
        <is>
          <t>1.50-2.00 m deep</t>
        </is>
      </c>
      <c r="G1685" s="6" t="inlineStr">
        <is>
          <t>m</t>
        </is>
      </c>
      <c r="H1685" s="7" t="n">
        <v>0.14</v>
      </c>
      <c r="I1685" s="8" t="n">
        <v>19.35</v>
      </c>
      <c r="J1685" s="8" t="n">
        <v>18.33</v>
      </c>
      <c r="K1685" s="8" t="n">
        <v>67.65000000000001</v>
      </c>
      <c r="L1685" s="8" t="n">
        <v>0</v>
      </c>
      <c r="M1685" s="9">
        <f>ROUND(SUM(I1685:L1685),2)</f>
        <v/>
      </c>
      <c r="N1685" s="10">
        <f>ROUND(I1685*'Irish Basis'!$C$6*'Irish Basis'!$C$5,2)</f>
        <v/>
      </c>
      <c r="O1685" s="10">
        <f>ROUND(J1685*'Irish Basis'!$C$7*'Irish Basis'!$C$5,2)</f>
        <v/>
      </c>
      <c r="P1685" s="10">
        <f>ROUND(K1685*'Irish Basis'!$C$8*'Irish Basis'!$C$5,2)</f>
        <v/>
      </c>
      <c r="Q1685" s="10">
        <f>ROUND(L1685*'Irish Basis'!$C$12*'Irish Basis'!$C$5,2)</f>
        <v/>
      </c>
      <c r="R1685" s="11">
        <f>ROUND(SUM(N1685:Q1685),2)</f>
        <v/>
      </c>
      <c r="S1685" s="5" t="inlineStr">
        <is>
          <t>Stated build-up</t>
        </is>
      </c>
      <c r="T1685" s="12" t="inlineStr">
        <is>
          <t>High</t>
        </is>
      </c>
      <c r="U1685" s="8" t="n">
        <v>105.33</v>
      </c>
      <c r="V1685" s="13">
        <f>IF(U1685="","",ROUND(M1685-U1685,2))</f>
        <v/>
      </c>
      <c r="W1685" s="5" t="n"/>
      <c r="X1685" s="5" t="inlineStr">
        <is>
          <t>Labour + plant + material as published; reconciles to the published rate.</t>
        </is>
      </c>
    </row>
    <row r="1686" ht="13" customHeight="1">
      <c r="A1686" s="4" t="n">
        <v>2621</v>
      </c>
      <c r="B1686" s="5" t="inlineStr">
        <is>
          <t>IMG_0100</t>
        </is>
      </c>
      <c r="C1686" s="5" t="inlineStr">
        <is>
          <t>CLASS I: PIPEWORK - PIPES</t>
        </is>
      </c>
      <c r="D1686" s="5" t="inlineStr">
        <is>
          <t>05 POLYVINYL CHLORIDE PIPES</t>
        </is>
      </c>
      <c r="E1686" s="5" t="inlineStr">
        <is>
          <t>160 mm pipes; in trenches, depth</t>
        </is>
      </c>
      <c r="F1686" s="5" t="inlineStr">
        <is>
          <t>2.00-2.50 m deep</t>
        </is>
      </c>
      <c r="G1686" s="6" t="inlineStr">
        <is>
          <t>m</t>
        </is>
      </c>
      <c r="H1686" s="7" t="n">
        <v>0.18</v>
      </c>
      <c r="I1686" s="8" t="n">
        <v>24.87</v>
      </c>
      <c r="J1686" s="8" t="n">
        <v>23.59</v>
      </c>
      <c r="K1686" s="8" t="n">
        <v>67.65000000000001</v>
      </c>
      <c r="L1686" s="8" t="n">
        <v>0</v>
      </c>
      <c r="M1686" s="9">
        <f>ROUND(SUM(I1686:L1686),2)</f>
        <v/>
      </c>
      <c r="N1686" s="10">
        <f>ROUND(I1686*'Irish Basis'!$C$6*'Irish Basis'!$C$5,2)</f>
        <v/>
      </c>
      <c r="O1686" s="10">
        <f>ROUND(J1686*'Irish Basis'!$C$7*'Irish Basis'!$C$5,2)</f>
        <v/>
      </c>
      <c r="P1686" s="10">
        <f>ROUND(K1686*'Irish Basis'!$C$8*'Irish Basis'!$C$5,2)</f>
        <v/>
      </c>
      <c r="Q1686" s="10">
        <f>ROUND(L1686*'Irish Basis'!$C$12*'Irish Basis'!$C$5,2)</f>
        <v/>
      </c>
      <c r="R1686" s="11">
        <f>ROUND(SUM(N1686:Q1686),2)</f>
        <v/>
      </c>
      <c r="S1686" s="5" t="inlineStr">
        <is>
          <t>Stated build-up</t>
        </is>
      </c>
      <c r="T1686" s="12" t="inlineStr">
        <is>
          <t>High</t>
        </is>
      </c>
      <c r="U1686" s="8" t="n">
        <v>116.11</v>
      </c>
      <c r="V1686" s="13">
        <f>IF(U1686="","",ROUND(M1686-U1686,2))</f>
        <v/>
      </c>
      <c r="W1686" s="5" t="n"/>
      <c r="X1686" s="5" t="inlineStr">
        <is>
          <t>Labour + plant + material as published; reconciles to the published rate.</t>
        </is>
      </c>
    </row>
    <row r="1687" ht="13" customHeight="1">
      <c r="A1687" s="4" t="n">
        <v>2622</v>
      </c>
      <c r="B1687" s="5" t="inlineStr">
        <is>
          <t>IMG_0100</t>
        </is>
      </c>
      <c r="C1687" s="5" t="inlineStr">
        <is>
          <t>CLASS I: PIPEWORK - PIPES</t>
        </is>
      </c>
      <c r="D1687" s="5" t="inlineStr">
        <is>
          <t>05 POLYVINYL CHLORIDE PIPES</t>
        </is>
      </c>
      <c r="E1687" s="5" t="inlineStr">
        <is>
          <t>160 mm pipes; in trenches, depth</t>
        </is>
      </c>
      <c r="F1687" s="5" t="inlineStr">
        <is>
          <t>2.50-3.00 m deep</t>
        </is>
      </c>
      <c r="G1687" s="6" t="inlineStr">
        <is>
          <t>m</t>
        </is>
      </c>
      <c r="H1687" s="7" t="n">
        <v>0.22</v>
      </c>
      <c r="I1687" s="8" t="n">
        <v>30.4</v>
      </c>
      <c r="J1687" s="8" t="n">
        <v>28.81</v>
      </c>
      <c r="K1687" s="8" t="n">
        <v>67.65000000000001</v>
      </c>
      <c r="L1687" s="8" t="n">
        <v>0</v>
      </c>
      <c r="M1687" s="9">
        <f>ROUND(SUM(I1687:L1687),2)</f>
        <v/>
      </c>
      <c r="N1687" s="10">
        <f>ROUND(I1687*'Irish Basis'!$C$6*'Irish Basis'!$C$5,2)</f>
        <v/>
      </c>
      <c r="O1687" s="10">
        <f>ROUND(J1687*'Irish Basis'!$C$7*'Irish Basis'!$C$5,2)</f>
        <v/>
      </c>
      <c r="P1687" s="10">
        <f>ROUND(K1687*'Irish Basis'!$C$8*'Irish Basis'!$C$5,2)</f>
        <v/>
      </c>
      <c r="Q1687" s="10">
        <f>ROUND(L1687*'Irish Basis'!$C$12*'Irish Basis'!$C$5,2)</f>
        <v/>
      </c>
      <c r="R1687" s="11">
        <f>ROUND(SUM(N1687:Q1687),2)</f>
        <v/>
      </c>
      <c r="S1687" s="5" t="inlineStr">
        <is>
          <t>Stated build-up</t>
        </is>
      </c>
      <c r="T1687" s="12" t="inlineStr">
        <is>
          <t>High</t>
        </is>
      </c>
      <c r="U1687" s="8" t="n">
        <v>126.85</v>
      </c>
      <c r="V1687" s="13">
        <f>IF(U1687="","",ROUND(M1687-U1687,2))</f>
        <v/>
      </c>
      <c r="W1687" s="5" t="n"/>
      <c r="X1687" s="5" t="inlineStr">
        <is>
          <t>Labour + plant + material as published; reconciles to the published rate.</t>
        </is>
      </c>
    </row>
    <row r="1688" ht="13" customHeight="1">
      <c r="A1688" s="4" t="n">
        <v>2623</v>
      </c>
      <c r="B1688" s="5" t="inlineStr">
        <is>
          <t>IMG_0100</t>
        </is>
      </c>
      <c r="C1688" s="5" t="inlineStr">
        <is>
          <t>CLASS I: PIPEWORK - PIPES</t>
        </is>
      </c>
      <c r="D1688" s="5" t="inlineStr">
        <is>
          <t>05 POLYVINYL CHLORIDE PIPES</t>
        </is>
      </c>
      <c r="E1688" s="5" t="inlineStr">
        <is>
          <t>160 mm pipes; in trenches, depth</t>
        </is>
      </c>
      <c r="F1688" s="5" t="inlineStr">
        <is>
          <t>3.00-3.50 m deep</t>
        </is>
      </c>
      <c r="G1688" s="6" t="inlineStr">
        <is>
          <t>m</t>
        </is>
      </c>
      <c r="H1688" s="7" t="n">
        <v>0.23</v>
      </c>
      <c r="I1688" s="8" t="n">
        <v>31.78</v>
      </c>
      <c r="J1688" s="8" t="n">
        <v>30.09</v>
      </c>
      <c r="K1688" s="8" t="n">
        <v>67.65000000000001</v>
      </c>
      <c r="L1688" s="8" t="n">
        <v>0</v>
      </c>
      <c r="M1688" s="9">
        <f>ROUND(SUM(I1688:L1688),2)</f>
        <v/>
      </c>
      <c r="N1688" s="10">
        <f>ROUND(I1688*'Irish Basis'!$C$6*'Irish Basis'!$C$5,2)</f>
        <v/>
      </c>
      <c r="O1688" s="10">
        <f>ROUND(J1688*'Irish Basis'!$C$7*'Irish Basis'!$C$5,2)</f>
        <v/>
      </c>
      <c r="P1688" s="10">
        <f>ROUND(K1688*'Irish Basis'!$C$8*'Irish Basis'!$C$5,2)</f>
        <v/>
      </c>
      <c r="Q1688" s="10">
        <f>ROUND(L1688*'Irish Basis'!$C$12*'Irish Basis'!$C$5,2)</f>
        <v/>
      </c>
      <c r="R1688" s="11">
        <f>ROUND(SUM(N1688:Q1688),2)</f>
        <v/>
      </c>
      <c r="S1688" s="5" t="inlineStr">
        <is>
          <t>Stated build-up</t>
        </is>
      </c>
      <c r="T1688" s="12" t="inlineStr">
        <is>
          <t>High</t>
        </is>
      </c>
      <c r="U1688" s="8" t="n">
        <v>129.51</v>
      </c>
      <c r="V1688" s="13">
        <f>IF(U1688="","",ROUND(M1688-U1688,2))</f>
        <v/>
      </c>
      <c r="W1688" s="5" t="n"/>
      <c r="X1688" s="5" t="inlineStr">
        <is>
          <t>Labour + plant + material as published; reconciles to the published rate.</t>
        </is>
      </c>
    </row>
    <row r="1689" ht="13" customHeight="1">
      <c r="A1689" s="4" t="n">
        <v>2624</v>
      </c>
      <c r="B1689" s="5" t="inlineStr">
        <is>
          <t>IMG_0100</t>
        </is>
      </c>
      <c r="C1689" s="5" t="inlineStr">
        <is>
          <t>CLASS I: PIPEWORK - PIPES</t>
        </is>
      </c>
      <c r="D1689" s="5" t="inlineStr">
        <is>
          <t>05 POLYVINYL CHLORIDE PIPES</t>
        </is>
      </c>
      <c r="E1689" s="5" t="inlineStr">
        <is>
          <t>160 mm pipes; in trenches, depth</t>
        </is>
      </c>
      <c r="F1689" s="5" t="inlineStr">
        <is>
          <t>3.50-4.00 m deep</t>
        </is>
      </c>
      <c r="G1689" s="6" t="inlineStr">
        <is>
          <t>m</t>
        </is>
      </c>
      <c r="H1689" s="7" t="n">
        <v>0.26</v>
      </c>
      <c r="I1689" s="8" t="n">
        <v>35.93</v>
      </c>
      <c r="J1689" s="8" t="n">
        <v>34.07</v>
      </c>
      <c r="K1689" s="8" t="n">
        <v>67.65000000000001</v>
      </c>
      <c r="L1689" s="8" t="n">
        <v>0</v>
      </c>
      <c r="M1689" s="9">
        <f>ROUND(SUM(I1689:L1689),2)</f>
        <v/>
      </c>
      <c r="N1689" s="10">
        <f>ROUND(I1689*'Irish Basis'!$C$6*'Irish Basis'!$C$5,2)</f>
        <v/>
      </c>
      <c r="O1689" s="10">
        <f>ROUND(J1689*'Irish Basis'!$C$7*'Irish Basis'!$C$5,2)</f>
        <v/>
      </c>
      <c r="P1689" s="10">
        <f>ROUND(K1689*'Irish Basis'!$C$8*'Irish Basis'!$C$5,2)</f>
        <v/>
      </c>
      <c r="Q1689" s="10">
        <f>ROUND(L1689*'Irish Basis'!$C$12*'Irish Basis'!$C$5,2)</f>
        <v/>
      </c>
      <c r="R1689" s="11">
        <f>ROUND(SUM(N1689:Q1689),2)</f>
        <v/>
      </c>
      <c r="S1689" s="5" t="inlineStr">
        <is>
          <t>Stated build-up</t>
        </is>
      </c>
      <c r="T1689" s="12" t="inlineStr">
        <is>
          <t>High</t>
        </is>
      </c>
      <c r="U1689" s="8" t="n">
        <v>137.65</v>
      </c>
      <c r="V1689" s="13">
        <f>IF(U1689="","",ROUND(M1689-U1689,2))</f>
        <v/>
      </c>
      <c r="W1689" s="5" t="n"/>
      <c r="X1689" s="5" t="inlineStr">
        <is>
          <t>Labour + plant + material as published; reconciles to the published rate.</t>
        </is>
      </c>
    </row>
    <row r="1690" ht="13" customHeight="1">
      <c r="A1690" s="4" t="n">
        <v>2625</v>
      </c>
      <c r="B1690" s="5" t="inlineStr">
        <is>
          <t>IMG_0100</t>
        </is>
      </c>
      <c r="C1690" s="5" t="inlineStr">
        <is>
          <t>CLASS I: PIPEWORK - PIPES</t>
        </is>
      </c>
      <c r="D1690" s="5" t="inlineStr">
        <is>
          <t>05 POLYVINYL CHLORIDE PIPES</t>
        </is>
      </c>
      <c r="E1690" s="5" t="inlineStr">
        <is>
          <t>160 mm pipes; in trenches, depth</t>
        </is>
      </c>
      <c r="F1690" s="5" t="inlineStr">
        <is>
          <t>4.00-4.50 m deep</t>
        </is>
      </c>
      <c r="G1690" s="6" t="inlineStr">
        <is>
          <t>m</t>
        </is>
      </c>
      <c r="H1690" s="7" t="n">
        <v>0.3</v>
      </c>
      <c r="I1690" s="8" t="n">
        <v>41.45</v>
      </c>
      <c r="J1690" s="8" t="n">
        <v>39.27</v>
      </c>
      <c r="K1690" s="8" t="n">
        <v>67.65000000000001</v>
      </c>
      <c r="L1690" s="8" t="n">
        <v>0</v>
      </c>
      <c r="M1690" s="9">
        <f>ROUND(SUM(I1690:L1690),2)</f>
        <v/>
      </c>
      <c r="N1690" s="10">
        <f>ROUND(I1690*'Irish Basis'!$C$6*'Irish Basis'!$C$5,2)</f>
        <v/>
      </c>
      <c r="O1690" s="10">
        <f>ROUND(J1690*'Irish Basis'!$C$7*'Irish Basis'!$C$5,2)</f>
        <v/>
      </c>
      <c r="P1690" s="10">
        <f>ROUND(K1690*'Irish Basis'!$C$8*'Irish Basis'!$C$5,2)</f>
        <v/>
      </c>
      <c r="Q1690" s="10">
        <f>ROUND(L1690*'Irish Basis'!$C$12*'Irish Basis'!$C$5,2)</f>
        <v/>
      </c>
      <c r="R1690" s="11">
        <f>ROUND(SUM(N1690:Q1690),2)</f>
        <v/>
      </c>
      <c r="S1690" s="5" t="inlineStr">
        <is>
          <t>Stated build-up</t>
        </is>
      </c>
      <c r="T1690" s="12" t="inlineStr">
        <is>
          <t>High</t>
        </is>
      </c>
      <c r="U1690" s="8" t="n">
        <v>148.37</v>
      </c>
      <c r="V1690" s="13">
        <f>IF(U1690="","",ROUND(M1690-U1690,2))</f>
        <v/>
      </c>
      <c r="W1690" s="5" t="n"/>
      <c r="X1690" s="5" t="inlineStr">
        <is>
          <t>Labour + plant + material as published; reconciles to the published rate.</t>
        </is>
      </c>
    </row>
    <row r="1691" ht="13" customHeight="1">
      <c r="A1691" s="4" t="n">
        <v>2626</v>
      </c>
      <c r="B1691" s="5" t="inlineStr">
        <is>
          <t>IMG_0100</t>
        </is>
      </c>
      <c r="C1691" s="5" t="inlineStr">
        <is>
          <t>CLASS I: PIPEWORK - PIPES</t>
        </is>
      </c>
      <c r="D1691" s="5" t="inlineStr">
        <is>
          <t>05 POLYVINYL CHLORIDE PIPES</t>
        </is>
      </c>
      <c r="E1691" s="5" t="inlineStr">
        <is>
          <t>160 mm pipes; in trenches, depth</t>
        </is>
      </c>
      <c r="F1691" s="5" t="inlineStr">
        <is>
          <t>4.50-5.00 m deep</t>
        </is>
      </c>
      <c r="G1691" s="6" t="inlineStr">
        <is>
          <t>m</t>
        </is>
      </c>
      <c r="H1691" s="7" t="n">
        <v>0.35</v>
      </c>
      <c r="I1691" s="8" t="n">
        <v>48.36</v>
      </c>
      <c r="J1691" s="8" t="n">
        <v>45.85</v>
      </c>
      <c r="K1691" s="8" t="n">
        <v>67.65000000000001</v>
      </c>
      <c r="L1691" s="8" t="n">
        <v>0</v>
      </c>
      <c r="M1691" s="9">
        <f>ROUND(SUM(I1691:L1691),2)</f>
        <v/>
      </c>
      <c r="N1691" s="10">
        <f>ROUND(I1691*'Irish Basis'!$C$6*'Irish Basis'!$C$5,2)</f>
        <v/>
      </c>
      <c r="O1691" s="10">
        <f>ROUND(J1691*'Irish Basis'!$C$7*'Irish Basis'!$C$5,2)</f>
        <v/>
      </c>
      <c r="P1691" s="10">
        <f>ROUND(K1691*'Irish Basis'!$C$8*'Irish Basis'!$C$5,2)</f>
        <v/>
      </c>
      <c r="Q1691" s="10">
        <f>ROUND(L1691*'Irish Basis'!$C$12*'Irish Basis'!$C$5,2)</f>
        <v/>
      </c>
      <c r="R1691" s="11">
        <f>ROUND(SUM(N1691:Q1691),2)</f>
        <v/>
      </c>
      <c r="S1691" s="5" t="inlineStr">
        <is>
          <t>Stated build-up</t>
        </is>
      </c>
      <c r="T1691" s="12" t="inlineStr">
        <is>
          <t>High</t>
        </is>
      </c>
      <c r="U1691" s="8" t="n">
        <v>161.86</v>
      </c>
      <c r="V1691" s="13">
        <f>IF(U1691="","",ROUND(M1691-U1691,2))</f>
        <v/>
      </c>
      <c r="W1691" s="5" t="n"/>
      <c r="X1691" s="5" t="inlineStr">
        <is>
          <t>Labour + plant + material as published; reconciles to the published rate.</t>
        </is>
      </c>
    </row>
    <row r="1692" ht="13" customHeight="1">
      <c r="A1692" s="4" t="n">
        <v>2627</v>
      </c>
      <c r="B1692" s="5" t="inlineStr">
        <is>
          <t>IMG_0100</t>
        </is>
      </c>
      <c r="C1692" s="5" t="inlineStr">
        <is>
          <t>CLASS I: PIPEWORK - PIPES</t>
        </is>
      </c>
      <c r="D1692" s="5" t="inlineStr">
        <is>
          <t>05 POLYVINYL CHLORIDE PIPES</t>
        </is>
      </c>
      <c r="E1692" s="5" t="inlineStr">
        <is>
          <t>160 mm pipes; in trenches, depth</t>
        </is>
      </c>
      <c r="F1692" s="5" t="inlineStr">
        <is>
          <t>5.00-5.50 m deep</t>
        </is>
      </c>
      <c r="G1692" s="6" t="inlineStr">
        <is>
          <t>m</t>
        </is>
      </c>
      <c r="H1692" s="7" t="n">
        <v>0.4</v>
      </c>
      <c r="I1692" s="8" t="n">
        <v>55.27</v>
      </c>
      <c r="J1692" s="8" t="n">
        <v>52.43</v>
      </c>
      <c r="K1692" s="8" t="n">
        <v>67.65000000000001</v>
      </c>
      <c r="L1692" s="8" t="n">
        <v>0</v>
      </c>
      <c r="M1692" s="9">
        <f>ROUND(SUM(I1692:L1692),2)</f>
        <v/>
      </c>
      <c r="N1692" s="10">
        <f>ROUND(I1692*'Irish Basis'!$C$6*'Irish Basis'!$C$5,2)</f>
        <v/>
      </c>
      <c r="O1692" s="10">
        <f>ROUND(J1692*'Irish Basis'!$C$7*'Irish Basis'!$C$5,2)</f>
        <v/>
      </c>
      <c r="P1692" s="10">
        <f>ROUND(K1692*'Irish Basis'!$C$8*'Irish Basis'!$C$5,2)</f>
        <v/>
      </c>
      <c r="Q1692" s="10">
        <f>ROUND(L1692*'Irish Basis'!$C$12*'Irish Basis'!$C$5,2)</f>
        <v/>
      </c>
      <c r="R1692" s="11">
        <f>ROUND(SUM(N1692:Q1692),2)</f>
        <v/>
      </c>
      <c r="S1692" s="5" t="inlineStr">
        <is>
          <t>Stated build-up</t>
        </is>
      </c>
      <c r="T1692" s="12" t="inlineStr">
        <is>
          <t>High</t>
        </is>
      </c>
      <c r="U1692" s="8" t="n">
        <v>175.35</v>
      </c>
      <c r="V1692" s="13">
        <f>IF(U1692="","",ROUND(M1692-U1692,2))</f>
        <v/>
      </c>
      <c r="W1692" s="5" t="n"/>
      <c r="X1692" s="5" t="inlineStr">
        <is>
          <t>Labour + plant + material as published; reconciles to the published rate.</t>
        </is>
      </c>
    </row>
    <row r="1693" ht="13" customHeight="1">
      <c r="A1693" s="4" t="n">
        <v>2629</v>
      </c>
      <c r="B1693" s="5" t="inlineStr">
        <is>
          <t>IMG_0100</t>
        </is>
      </c>
      <c r="C1693" s="5" t="inlineStr">
        <is>
          <t>CLASS I: PIPEWORK - PIPES</t>
        </is>
      </c>
      <c r="D1693" s="5" t="inlineStr">
        <is>
          <t>05 POLYVINYL CHLORIDE PIPES</t>
        </is>
      </c>
      <c r="E1693" s="5" t="inlineStr">
        <is>
          <t>225 mm pipes; in trenches, depth</t>
        </is>
      </c>
      <c r="F1693" s="5" t="inlineStr">
        <is>
          <t>not in trenches</t>
        </is>
      </c>
      <c r="G1693" s="6" t="inlineStr">
        <is>
          <t>m</t>
        </is>
      </c>
      <c r="H1693" s="7" t="n">
        <v>0.07000000000000001</v>
      </c>
      <c r="I1693" s="8" t="n">
        <v>6.04</v>
      </c>
      <c r="J1693" s="8" t="n">
        <v>0.77</v>
      </c>
      <c r="K1693" s="8" t="n">
        <v>128.96</v>
      </c>
      <c r="L1693" s="8" t="n">
        <v>0</v>
      </c>
      <c r="M1693" s="9">
        <f>ROUND(SUM(I1693:L1693),2)</f>
        <v/>
      </c>
      <c r="N1693" s="10">
        <f>ROUND(I1693*'Irish Basis'!$C$6*'Irish Basis'!$C$5,2)</f>
        <v/>
      </c>
      <c r="O1693" s="10">
        <f>ROUND(J1693*'Irish Basis'!$C$7*'Irish Basis'!$C$5,2)</f>
        <v/>
      </c>
      <c r="P1693" s="10">
        <f>ROUND(K1693*'Irish Basis'!$C$8*'Irish Basis'!$C$5,2)</f>
        <v/>
      </c>
      <c r="Q1693" s="10">
        <f>ROUND(L1693*'Irish Basis'!$C$12*'Irish Basis'!$C$5,2)</f>
        <v/>
      </c>
      <c r="R1693" s="11">
        <f>ROUND(SUM(N1693:Q1693),2)</f>
        <v/>
      </c>
      <c r="S1693" s="5" t="inlineStr">
        <is>
          <t>Stated build-up</t>
        </is>
      </c>
      <c r="T1693" s="12" t="inlineStr">
        <is>
          <t>High</t>
        </is>
      </c>
      <c r="U1693" s="8" t="n">
        <v>135.77</v>
      </c>
      <c r="V1693" s="13">
        <f>IF(U1693="","",ROUND(M1693-U1693,2))</f>
        <v/>
      </c>
      <c r="W1693" s="5" t="n"/>
      <c r="X1693" s="5" t="inlineStr">
        <is>
          <t>Labour + plant + material as published; reconciles to the published rate.</t>
        </is>
      </c>
    </row>
    <row r="1694" ht="13" customHeight="1">
      <c r="A1694" s="4" t="n">
        <v>2630</v>
      </c>
      <c r="B1694" s="5" t="inlineStr">
        <is>
          <t>IMG_0100</t>
        </is>
      </c>
      <c r="C1694" s="5" t="inlineStr">
        <is>
          <t>CLASS I: PIPEWORK - PIPES</t>
        </is>
      </c>
      <c r="D1694" s="5" t="inlineStr">
        <is>
          <t>05 POLYVINYL CHLORIDE PIPES</t>
        </is>
      </c>
      <c r="E1694" s="5" t="inlineStr">
        <is>
          <t>225 mm pipes; in trenches, depth</t>
        </is>
      </c>
      <c r="F1694" s="5" t="inlineStr">
        <is>
          <t>ne 1.50 m deep</t>
        </is>
      </c>
      <c r="G1694" s="6" t="inlineStr">
        <is>
          <t>m</t>
        </is>
      </c>
      <c r="H1694" s="7" t="n">
        <v>0.12</v>
      </c>
      <c r="I1694" s="8" t="n">
        <v>16.58</v>
      </c>
      <c r="J1694" s="8" t="n">
        <v>15.66</v>
      </c>
      <c r="K1694" s="8" t="n">
        <v>128.96</v>
      </c>
      <c r="L1694" s="8" t="n">
        <v>0</v>
      </c>
      <c r="M1694" s="9">
        <f>ROUND(SUM(I1694:L1694),2)</f>
        <v/>
      </c>
      <c r="N1694" s="10">
        <f>ROUND(I1694*'Irish Basis'!$C$6*'Irish Basis'!$C$5,2)</f>
        <v/>
      </c>
      <c r="O1694" s="10">
        <f>ROUND(J1694*'Irish Basis'!$C$7*'Irish Basis'!$C$5,2)</f>
        <v/>
      </c>
      <c r="P1694" s="10">
        <f>ROUND(K1694*'Irish Basis'!$C$8*'Irish Basis'!$C$5,2)</f>
        <v/>
      </c>
      <c r="Q1694" s="10">
        <f>ROUND(L1694*'Irish Basis'!$C$12*'Irish Basis'!$C$5,2)</f>
        <v/>
      </c>
      <c r="R1694" s="11">
        <f>ROUND(SUM(N1694:Q1694),2)</f>
        <v/>
      </c>
      <c r="S1694" s="5" t="inlineStr">
        <is>
          <t>Stated build-up</t>
        </is>
      </c>
      <c r="T1694" s="12" t="inlineStr">
        <is>
          <t>High</t>
        </is>
      </c>
      <c r="U1694" s="8" t="n">
        <v>161.2</v>
      </c>
      <c r="V1694" s="13">
        <f>IF(U1694="","",ROUND(M1694-U1694,2))</f>
        <v/>
      </c>
      <c r="W1694" s="5" t="n"/>
      <c r="X1694" s="5" t="inlineStr">
        <is>
          <t>Labour + plant + material as published; reconciles to the published rate.</t>
        </is>
      </c>
    </row>
    <row r="1695" ht="13" customHeight="1">
      <c r="A1695" s="4" t="n">
        <v>2631</v>
      </c>
      <c r="B1695" s="5" t="inlineStr">
        <is>
          <t>IMG_0100</t>
        </is>
      </c>
      <c r="C1695" s="5" t="inlineStr">
        <is>
          <t>CLASS I: PIPEWORK - PIPES</t>
        </is>
      </c>
      <c r="D1695" s="5" t="inlineStr">
        <is>
          <t>05 POLYVINYL CHLORIDE PIPES</t>
        </is>
      </c>
      <c r="E1695" s="5" t="inlineStr">
        <is>
          <t>225 mm pipes; in trenches, depth</t>
        </is>
      </c>
      <c r="F1695" s="5" t="inlineStr">
        <is>
          <t>1.50-2.00 m deep</t>
        </is>
      </c>
      <c r="G1695" s="6" t="inlineStr">
        <is>
          <t>m</t>
        </is>
      </c>
      <c r="H1695" s="7" t="n">
        <v>0.15</v>
      </c>
      <c r="I1695" s="8" t="n">
        <v>20.73</v>
      </c>
      <c r="J1695" s="8" t="n">
        <v>19.6</v>
      </c>
      <c r="K1695" s="8" t="n">
        <v>128.96</v>
      </c>
      <c r="L1695" s="8" t="n">
        <v>0</v>
      </c>
      <c r="M1695" s="9">
        <f>ROUND(SUM(I1695:L1695),2)</f>
        <v/>
      </c>
      <c r="N1695" s="10">
        <f>ROUND(I1695*'Irish Basis'!$C$6*'Irish Basis'!$C$5,2)</f>
        <v/>
      </c>
      <c r="O1695" s="10">
        <f>ROUND(J1695*'Irish Basis'!$C$7*'Irish Basis'!$C$5,2)</f>
        <v/>
      </c>
      <c r="P1695" s="10">
        <f>ROUND(K1695*'Irish Basis'!$C$8*'Irish Basis'!$C$5,2)</f>
        <v/>
      </c>
      <c r="Q1695" s="10">
        <f>ROUND(L1695*'Irish Basis'!$C$12*'Irish Basis'!$C$5,2)</f>
        <v/>
      </c>
      <c r="R1695" s="11">
        <f>ROUND(SUM(N1695:Q1695),2)</f>
        <v/>
      </c>
      <c r="S1695" s="5" t="inlineStr">
        <is>
          <t>Stated build-up</t>
        </is>
      </c>
      <c r="T1695" s="12" t="inlineStr">
        <is>
          <t>High</t>
        </is>
      </c>
      <c r="U1695" s="8" t="n">
        <v>169.28</v>
      </c>
      <c r="V1695" s="13">
        <f>IF(U1695="","",ROUND(M1695-U1695,2))</f>
        <v/>
      </c>
      <c r="W1695" s="5" t="n"/>
      <c r="X1695" s="5" t="inlineStr">
        <is>
          <t>Labour + plant + material as published; reconciles to the published rate.</t>
        </is>
      </c>
    </row>
    <row r="1696" ht="13" customHeight="1">
      <c r="A1696" s="4" t="n">
        <v>2632</v>
      </c>
      <c r="B1696" s="5" t="inlineStr">
        <is>
          <t>IMG_0100</t>
        </is>
      </c>
      <c r="C1696" s="5" t="inlineStr">
        <is>
          <t>CLASS I: PIPEWORK - PIPES</t>
        </is>
      </c>
      <c r="D1696" s="5" t="inlineStr">
        <is>
          <t>05 POLYVINYL CHLORIDE PIPES</t>
        </is>
      </c>
      <c r="E1696" s="5" t="inlineStr">
        <is>
          <t>225 mm pipes; in trenches, depth</t>
        </is>
      </c>
      <c r="F1696" s="5" t="inlineStr">
        <is>
          <t>2.00-2.50 m deep</t>
        </is>
      </c>
      <c r="G1696" s="6" t="inlineStr">
        <is>
          <t>m</t>
        </is>
      </c>
      <c r="H1696" s="7" t="n">
        <v>0.2</v>
      </c>
      <c r="I1696" s="8" t="n">
        <v>27.64</v>
      </c>
      <c r="J1696" s="8" t="n">
        <v>26.15</v>
      </c>
      <c r="K1696" s="8" t="n">
        <v>128.96</v>
      </c>
      <c r="L1696" s="8" t="n">
        <v>0</v>
      </c>
      <c r="M1696" s="9">
        <f>ROUND(SUM(I1696:L1696),2)</f>
        <v/>
      </c>
      <c r="N1696" s="10">
        <f>ROUND(I1696*'Irish Basis'!$C$6*'Irish Basis'!$C$5,2)</f>
        <v/>
      </c>
      <c r="O1696" s="10">
        <f>ROUND(J1696*'Irish Basis'!$C$7*'Irish Basis'!$C$5,2)</f>
        <v/>
      </c>
      <c r="P1696" s="10">
        <f>ROUND(K1696*'Irish Basis'!$C$8*'Irish Basis'!$C$5,2)</f>
        <v/>
      </c>
      <c r="Q1696" s="10">
        <f>ROUND(L1696*'Irish Basis'!$C$12*'Irish Basis'!$C$5,2)</f>
        <v/>
      </c>
      <c r="R1696" s="11">
        <f>ROUND(SUM(N1696:Q1696),2)</f>
        <v/>
      </c>
      <c r="S1696" s="5" t="inlineStr">
        <is>
          <t>Stated build-up</t>
        </is>
      </c>
      <c r="T1696" s="12" t="inlineStr">
        <is>
          <t>High</t>
        </is>
      </c>
      <c r="U1696" s="8" t="n">
        <v>182.74</v>
      </c>
      <c r="V1696" s="13">
        <f>IF(U1696="","",ROUND(M1696-U1696,2))</f>
        <v/>
      </c>
      <c r="W1696" s="5" t="n"/>
      <c r="X1696" s="5" t="inlineStr">
        <is>
          <t>Labour + plant + material as published; reconciles to the published rate.</t>
        </is>
      </c>
    </row>
    <row r="1697" ht="13" customHeight="1">
      <c r="A1697" s="4" t="n">
        <v>2633</v>
      </c>
      <c r="B1697" s="5" t="inlineStr">
        <is>
          <t>IMG_0100</t>
        </is>
      </c>
      <c r="C1697" s="5" t="inlineStr">
        <is>
          <t>CLASS I: PIPEWORK - PIPES</t>
        </is>
      </c>
      <c r="D1697" s="5" t="inlineStr">
        <is>
          <t>05 POLYVINYL CHLORIDE PIPES</t>
        </is>
      </c>
      <c r="E1697" s="5" t="inlineStr">
        <is>
          <t>225 mm pipes; in trenches, depth</t>
        </is>
      </c>
      <c r="F1697" s="5" t="inlineStr">
        <is>
          <t>2.50-3.00 m deep</t>
        </is>
      </c>
      <c r="G1697" s="6" t="inlineStr">
        <is>
          <t>m</t>
        </is>
      </c>
      <c r="H1697" s="7" t="n">
        <v>0.23</v>
      </c>
      <c r="I1697" s="8" t="n">
        <v>31.78</v>
      </c>
      <c r="J1697" s="8" t="n">
        <v>30.07</v>
      </c>
      <c r="K1697" s="8" t="n">
        <v>128.96</v>
      </c>
      <c r="L1697" s="8" t="n">
        <v>0</v>
      </c>
      <c r="M1697" s="9">
        <f>ROUND(SUM(I1697:L1697),2)</f>
        <v/>
      </c>
      <c r="N1697" s="10">
        <f>ROUND(I1697*'Irish Basis'!$C$6*'Irish Basis'!$C$5,2)</f>
        <v/>
      </c>
      <c r="O1697" s="10">
        <f>ROUND(J1697*'Irish Basis'!$C$7*'Irish Basis'!$C$5,2)</f>
        <v/>
      </c>
      <c r="P1697" s="10">
        <f>ROUND(K1697*'Irish Basis'!$C$8*'Irish Basis'!$C$5,2)</f>
        <v/>
      </c>
      <c r="Q1697" s="10">
        <f>ROUND(L1697*'Irish Basis'!$C$12*'Irish Basis'!$C$5,2)</f>
        <v/>
      </c>
      <c r="R1697" s="11">
        <f>ROUND(SUM(N1697:Q1697),2)</f>
        <v/>
      </c>
      <c r="S1697" s="5" t="inlineStr">
        <is>
          <t>Stated build-up</t>
        </is>
      </c>
      <c r="T1697" s="12" t="inlineStr">
        <is>
          <t>High</t>
        </is>
      </c>
      <c r="U1697" s="8" t="n">
        <v>190.81</v>
      </c>
      <c r="V1697" s="13">
        <f>IF(U1697="","",ROUND(M1697-U1697,2))</f>
        <v/>
      </c>
      <c r="W1697" s="5" t="n"/>
      <c r="X1697" s="5" t="inlineStr">
        <is>
          <t>Labour + plant + material as published; reconciles to the published rate.</t>
        </is>
      </c>
    </row>
    <row r="1698" ht="13" customHeight="1">
      <c r="A1698" s="4" t="n">
        <v>2634</v>
      </c>
      <c r="B1698" s="5" t="inlineStr">
        <is>
          <t>IMG_0100</t>
        </is>
      </c>
      <c r="C1698" s="5" t="inlineStr">
        <is>
          <t>CLASS I: PIPEWORK - PIPES</t>
        </is>
      </c>
      <c r="D1698" s="5" t="inlineStr">
        <is>
          <t>05 POLYVINYL CHLORIDE PIPES</t>
        </is>
      </c>
      <c r="E1698" s="5" t="inlineStr">
        <is>
          <t>225 mm pipes; in trenches, depth</t>
        </is>
      </c>
      <c r="F1698" s="5" t="inlineStr">
        <is>
          <t>3.00-3.50 m deep</t>
        </is>
      </c>
      <c r="G1698" s="6" t="inlineStr">
        <is>
          <t>m</t>
        </is>
      </c>
      <c r="H1698" s="7" t="n">
        <v>0.24</v>
      </c>
      <c r="I1698" s="8" t="n">
        <v>33.16</v>
      </c>
      <c r="J1698" s="8" t="n">
        <v>31.41</v>
      </c>
      <c r="K1698" s="8" t="n">
        <v>128.96</v>
      </c>
      <c r="L1698" s="8" t="n">
        <v>0</v>
      </c>
      <c r="M1698" s="9">
        <f>ROUND(SUM(I1698:L1698),2)</f>
        <v/>
      </c>
      <c r="N1698" s="10">
        <f>ROUND(I1698*'Irish Basis'!$C$6*'Irish Basis'!$C$5,2)</f>
        <v/>
      </c>
      <c r="O1698" s="10">
        <f>ROUND(J1698*'Irish Basis'!$C$7*'Irish Basis'!$C$5,2)</f>
        <v/>
      </c>
      <c r="P1698" s="10">
        <f>ROUND(K1698*'Irish Basis'!$C$8*'Irish Basis'!$C$5,2)</f>
        <v/>
      </c>
      <c r="Q1698" s="10">
        <f>ROUND(L1698*'Irish Basis'!$C$12*'Irish Basis'!$C$5,2)</f>
        <v/>
      </c>
      <c r="R1698" s="11">
        <f>ROUND(SUM(N1698:Q1698),2)</f>
        <v/>
      </c>
      <c r="S1698" s="5" t="inlineStr">
        <is>
          <t>Stated build-up</t>
        </is>
      </c>
      <c r="T1698" s="12" t="inlineStr">
        <is>
          <t>High</t>
        </is>
      </c>
      <c r="U1698" s="8" t="n">
        <v>193.53</v>
      </c>
      <c r="V1698" s="13">
        <f>IF(U1698="","",ROUND(M1698-U1698,2))</f>
        <v/>
      </c>
      <c r="W1698" s="5" t="n"/>
      <c r="X1698" s="5" t="inlineStr">
        <is>
          <t>Labour + plant + material as published; reconciles to the published rate.</t>
        </is>
      </c>
    </row>
    <row r="1699" ht="13" customHeight="1">
      <c r="A1699" s="4" t="n">
        <v>2635</v>
      </c>
      <c r="B1699" s="5" t="inlineStr">
        <is>
          <t>IMG_0100</t>
        </is>
      </c>
      <c r="C1699" s="5" t="inlineStr">
        <is>
          <t>CLASS I: PIPEWORK - PIPES</t>
        </is>
      </c>
      <c r="D1699" s="5" t="inlineStr">
        <is>
          <t>05 POLYVINYL CHLORIDE PIPES</t>
        </is>
      </c>
      <c r="E1699" s="5" t="inlineStr">
        <is>
          <t>225 mm pipes; in trenches, depth</t>
        </is>
      </c>
      <c r="F1699" s="5" t="inlineStr">
        <is>
          <t>3.50-4.00 m deep</t>
        </is>
      </c>
      <c r="G1699" s="6" t="inlineStr">
        <is>
          <t>m</t>
        </is>
      </c>
      <c r="H1699" s="7" t="n">
        <v>0.27</v>
      </c>
      <c r="I1699" s="8" t="n">
        <v>37.31</v>
      </c>
      <c r="J1699" s="8" t="n">
        <v>35.34</v>
      </c>
      <c r="K1699" s="8" t="n">
        <v>128.96</v>
      </c>
      <c r="L1699" s="8" t="n">
        <v>0</v>
      </c>
      <c r="M1699" s="9">
        <f>ROUND(SUM(I1699:L1699),2)</f>
        <v/>
      </c>
      <c r="N1699" s="10">
        <f>ROUND(I1699*'Irish Basis'!$C$6*'Irish Basis'!$C$5,2)</f>
        <v/>
      </c>
      <c r="O1699" s="10">
        <f>ROUND(J1699*'Irish Basis'!$C$7*'Irish Basis'!$C$5,2)</f>
        <v/>
      </c>
      <c r="P1699" s="10">
        <f>ROUND(K1699*'Irish Basis'!$C$8*'Irish Basis'!$C$5,2)</f>
        <v/>
      </c>
      <c r="Q1699" s="10">
        <f>ROUND(L1699*'Irish Basis'!$C$12*'Irish Basis'!$C$5,2)</f>
        <v/>
      </c>
      <c r="R1699" s="11">
        <f>ROUND(SUM(N1699:Q1699),2)</f>
        <v/>
      </c>
      <c r="S1699" s="5" t="inlineStr">
        <is>
          <t>Stated build-up</t>
        </is>
      </c>
      <c r="T1699" s="12" t="inlineStr">
        <is>
          <t>High</t>
        </is>
      </c>
      <c r="U1699" s="8" t="n">
        <v>201.61</v>
      </c>
      <c r="V1699" s="13">
        <f>IF(U1699="","",ROUND(M1699-U1699,2))</f>
        <v/>
      </c>
      <c r="W1699" s="5" t="n"/>
      <c r="X1699" s="5" t="inlineStr">
        <is>
          <t>Labour + plant + material as published; reconciles to the published rate.</t>
        </is>
      </c>
    </row>
    <row r="1700" ht="13" customHeight="1">
      <c r="A1700" s="4" t="n">
        <v>2636</v>
      </c>
      <c r="B1700" s="5" t="inlineStr">
        <is>
          <t>IMG_0100</t>
        </is>
      </c>
      <c r="C1700" s="5" t="inlineStr">
        <is>
          <t>CLASS I: PIPEWORK - PIPES</t>
        </is>
      </c>
      <c r="D1700" s="5" t="inlineStr">
        <is>
          <t>05 POLYVINYL CHLORIDE PIPES</t>
        </is>
      </c>
      <c r="E1700" s="5" t="inlineStr">
        <is>
          <t>225 mm pipes; in trenches, depth</t>
        </is>
      </c>
      <c r="F1700" s="5" t="inlineStr">
        <is>
          <t>4.00-4.50 m deep</t>
        </is>
      </c>
      <c r="G1700" s="6" t="inlineStr">
        <is>
          <t>m</t>
        </is>
      </c>
      <c r="H1700" s="7" t="n">
        <v>0.32</v>
      </c>
      <c r="I1700" s="8" t="n">
        <v>44.22</v>
      </c>
      <c r="J1700" s="8" t="n">
        <v>41.91</v>
      </c>
      <c r="K1700" s="8" t="n">
        <v>128.96</v>
      </c>
      <c r="L1700" s="8" t="n">
        <v>0</v>
      </c>
      <c r="M1700" s="9">
        <f>ROUND(SUM(I1700:L1700),2)</f>
        <v/>
      </c>
      <c r="N1700" s="10">
        <f>ROUND(I1700*'Irish Basis'!$C$6*'Irish Basis'!$C$5,2)</f>
        <v/>
      </c>
      <c r="O1700" s="10">
        <f>ROUND(J1700*'Irish Basis'!$C$7*'Irish Basis'!$C$5,2)</f>
        <v/>
      </c>
      <c r="P1700" s="10">
        <f>ROUND(K1700*'Irish Basis'!$C$8*'Irish Basis'!$C$5,2)</f>
        <v/>
      </c>
      <c r="Q1700" s="10">
        <f>ROUND(L1700*'Irish Basis'!$C$12*'Irish Basis'!$C$5,2)</f>
        <v/>
      </c>
      <c r="R1700" s="11">
        <f>ROUND(SUM(N1700:Q1700),2)</f>
        <v/>
      </c>
      <c r="S1700" s="5" t="inlineStr">
        <is>
          <t>Stated build-up</t>
        </is>
      </c>
      <c r="T1700" s="12" t="inlineStr">
        <is>
          <t>High</t>
        </is>
      </c>
      <c r="U1700" s="8" t="n">
        <v>215.09</v>
      </c>
      <c r="V1700" s="13">
        <f>IF(U1700="","",ROUND(M1700-U1700,2))</f>
        <v/>
      </c>
      <c r="W1700" s="5" t="n"/>
      <c r="X1700" s="5" t="inlineStr">
        <is>
          <t>Labour + plant + material as published; reconciles to the published rate.</t>
        </is>
      </c>
    </row>
    <row r="1701" ht="13" customHeight="1">
      <c r="A1701" s="4" t="n">
        <v>2637</v>
      </c>
      <c r="B1701" s="5" t="inlineStr">
        <is>
          <t>IMG_0100</t>
        </is>
      </c>
      <c r="C1701" s="5" t="inlineStr">
        <is>
          <t>CLASS I: PIPEWORK - PIPES</t>
        </is>
      </c>
      <c r="D1701" s="5" t="inlineStr">
        <is>
          <t>05 POLYVINYL CHLORIDE PIPES</t>
        </is>
      </c>
      <c r="E1701" s="5" t="inlineStr">
        <is>
          <t>225 mm pipes; in trenches, depth</t>
        </is>
      </c>
      <c r="F1701" s="5" t="inlineStr">
        <is>
          <t>4.50-5.00 m deep</t>
        </is>
      </c>
      <c r="G1701" s="6" t="inlineStr">
        <is>
          <t>m</t>
        </is>
      </c>
      <c r="H1701" s="7" t="n">
        <v>0.36</v>
      </c>
      <c r="I1701" s="8" t="n">
        <v>49.74</v>
      </c>
      <c r="J1701" s="8" t="n">
        <v>47.17</v>
      </c>
      <c r="K1701" s="8" t="n">
        <v>128.96</v>
      </c>
      <c r="L1701" s="8" t="n">
        <v>0</v>
      </c>
      <c r="M1701" s="9">
        <f>ROUND(SUM(I1701:L1701),2)</f>
        <v/>
      </c>
      <c r="N1701" s="10">
        <f>ROUND(I1701*'Irish Basis'!$C$6*'Irish Basis'!$C$5,2)</f>
        <v/>
      </c>
      <c r="O1701" s="10">
        <f>ROUND(J1701*'Irish Basis'!$C$7*'Irish Basis'!$C$5,2)</f>
        <v/>
      </c>
      <c r="P1701" s="10">
        <f>ROUND(K1701*'Irish Basis'!$C$8*'Irish Basis'!$C$5,2)</f>
        <v/>
      </c>
      <c r="Q1701" s="10">
        <f>ROUND(L1701*'Irish Basis'!$C$12*'Irish Basis'!$C$5,2)</f>
        <v/>
      </c>
      <c r="R1701" s="11">
        <f>ROUND(SUM(N1701:Q1701),2)</f>
        <v/>
      </c>
      <c r="S1701" s="5" t="inlineStr">
        <is>
          <t>Stated build-up</t>
        </is>
      </c>
      <c r="T1701" s="12" t="inlineStr">
        <is>
          <t>High</t>
        </is>
      </c>
      <c r="U1701" s="8" t="n">
        <v>225.88</v>
      </c>
      <c r="V1701" s="13">
        <f>IF(U1701="","",ROUND(M1701-U1701,2))</f>
        <v/>
      </c>
      <c r="W1701" s="5" t="n"/>
      <c r="X1701" s="5" t="inlineStr">
        <is>
          <t>Labour + plant + material as published; reconciles to the published rate.</t>
        </is>
      </c>
    </row>
    <row r="1702" ht="13" customHeight="1">
      <c r="A1702" s="4" t="n">
        <v>2638</v>
      </c>
      <c r="B1702" s="5" t="inlineStr">
        <is>
          <t>IMG_0100</t>
        </is>
      </c>
      <c r="C1702" s="5" t="inlineStr">
        <is>
          <t>CLASS I: PIPEWORK - PIPES</t>
        </is>
      </c>
      <c r="D1702" s="5" t="inlineStr">
        <is>
          <t>05 POLYVINYL CHLORIDE PIPES</t>
        </is>
      </c>
      <c r="E1702" s="5" t="inlineStr">
        <is>
          <t>225 mm pipes; in trenches, depth</t>
        </is>
      </c>
      <c r="F1702" s="5" t="inlineStr">
        <is>
          <t>5.00-5.50 m deep</t>
        </is>
      </c>
      <c r="G1702" s="6" t="inlineStr">
        <is>
          <t>m</t>
        </is>
      </c>
      <c r="H1702" s="7" t="n">
        <v>0.45</v>
      </c>
      <c r="I1702" s="8" t="n">
        <v>62.18</v>
      </c>
      <c r="J1702" s="8" t="n">
        <v>59</v>
      </c>
      <c r="K1702" s="8" t="n">
        <v>128.96</v>
      </c>
      <c r="L1702" s="8" t="n">
        <v>0</v>
      </c>
      <c r="M1702" s="9">
        <f>ROUND(SUM(I1702:L1702),2)</f>
        <v/>
      </c>
      <c r="N1702" s="10">
        <f>ROUND(I1702*'Irish Basis'!$C$6*'Irish Basis'!$C$5,2)</f>
        <v/>
      </c>
      <c r="O1702" s="10">
        <f>ROUND(J1702*'Irish Basis'!$C$7*'Irish Basis'!$C$5,2)</f>
        <v/>
      </c>
      <c r="P1702" s="10">
        <f>ROUND(K1702*'Irish Basis'!$C$8*'Irish Basis'!$C$5,2)</f>
        <v/>
      </c>
      <c r="Q1702" s="10">
        <f>ROUND(L1702*'Irish Basis'!$C$12*'Irish Basis'!$C$5,2)</f>
        <v/>
      </c>
      <c r="R1702" s="11">
        <f>ROUND(SUM(N1702:Q1702),2)</f>
        <v/>
      </c>
      <c r="S1702" s="5" t="inlineStr">
        <is>
          <t>Stated build-up</t>
        </is>
      </c>
      <c r="T1702" s="12" t="inlineStr">
        <is>
          <t>High</t>
        </is>
      </c>
      <c r="U1702" s="8" t="n">
        <v>250.14</v>
      </c>
      <c r="V1702" s="13">
        <f>IF(U1702="","",ROUND(M1702-U1702,2))</f>
        <v/>
      </c>
      <c r="W1702" s="5" t="n"/>
      <c r="X1702" s="5" t="inlineStr">
        <is>
          <t>Labour + plant + material as published; reconciles to the published rate.</t>
        </is>
      </c>
    </row>
    <row r="1703" ht="13" customHeight="1">
      <c r="A1703" s="4" t="n">
        <v>2640</v>
      </c>
      <c r="B1703" s="5" t="inlineStr">
        <is>
          <t>IMG_0100</t>
        </is>
      </c>
      <c r="C1703" s="5" t="inlineStr">
        <is>
          <t>CLASS I: PIPEWORK - PIPES</t>
        </is>
      </c>
      <c r="D1703" s="5" t="inlineStr">
        <is>
          <t>05 POLYVINYL CHLORIDE PIPES</t>
        </is>
      </c>
      <c r="E1703" s="5" t="inlineStr">
        <is>
          <t>300 mm pipes; in trenches, depth</t>
        </is>
      </c>
      <c r="F1703" s="5" t="inlineStr">
        <is>
          <t>not in trenches</t>
        </is>
      </c>
      <c r="G1703" s="6" t="inlineStr">
        <is>
          <t>m</t>
        </is>
      </c>
      <c r="H1703" s="7" t="n">
        <v>0.08</v>
      </c>
      <c r="I1703" s="8" t="n">
        <v>6.91</v>
      </c>
      <c r="J1703" s="8" t="n">
        <v>0.89</v>
      </c>
      <c r="K1703" s="8" t="n">
        <v>255.2</v>
      </c>
      <c r="L1703" s="8" t="n">
        <v>0</v>
      </c>
      <c r="M1703" s="9">
        <f>ROUND(SUM(I1703:L1703),2)</f>
        <v/>
      </c>
      <c r="N1703" s="10">
        <f>ROUND(I1703*'Irish Basis'!$C$6*'Irish Basis'!$C$5,2)</f>
        <v/>
      </c>
      <c r="O1703" s="10">
        <f>ROUND(J1703*'Irish Basis'!$C$7*'Irish Basis'!$C$5,2)</f>
        <v/>
      </c>
      <c r="P1703" s="10">
        <f>ROUND(K1703*'Irish Basis'!$C$8*'Irish Basis'!$C$5,2)</f>
        <v/>
      </c>
      <c r="Q1703" s="10">
        <f>ROUND(L1703*'Irish Basis'!$C$12*'Irish Basis'!$C$5,2)</f>
        <v/>
      </c>
      <c r="R1703" s="11">
        <f>ROUND(SUM(N1703:Q1703),2)</f>
        <v/>
      </c>
      <c r="S1703" s="5" t="inlineStr">
        <is>
          <t>Stated build-up</t>
        </is>
      </c>
      <c r="T1703" s="12" t="inlineStr">
        <is>
          <t>High</t>
        </is>
      </c>
      <c r="U1703" s="8" t="n">
        <v>262.99</v>
      </c>
      <c r="V1703" s="13">
        <f>IF(U1703="","",ROUND(M1703-U1703,2))</f>
        <v/>
      </c>
      <c r="W1703" s="5" t="n"/>
      <c r="X1703" s="5" t="inlineStr">
        <is>
          <t>Labour + plant + material as published; reconciles to the published rate.</t>
        </is>
      </c>
    </row>
    <row r="1704" ht="13" customHeight="1">
      <c r="A1704" s="4" t="n">
        <v>2642</v>
      </c>
      <c r="B1704" s="5" t="inlineStr">
        <is>
          <t>IMG_0101</t>
        </is>
      </c>
      <c r="C1704" s="5" t="inlineStr">
        <is>
          <t>CLASS I: PIPEWORK - PIPES</t>
        </is>
      </c>
      <c r="D1704" s="5" t="inlineStr">
        <is>
          <t>05 POLYVINYL CHLORIDE PIPES</t>
        </is>
      </c>
      <c r="E1704" s="5" t="inlineStr">
        <is>
          <t>Unplasticized pvc pipes; polypropylene couplings; 300 mm pipes; in trenches, depth (continued)</t>
        </is>
      </c>
      <c r="F1704" s="5" t="inlineStr">
        <is>
          <t>ne 1.50 m deep</t>
        </is>
      </c>
      <c r="G1704" s="6" t="inlineStr">
        <is>
          <t>m</t>
        </is>
      </c>
      <c r="H1704" s="7" t="n">
        <v>0.13</v>
      </c>
      <c r="I1704" s="8" t="n">
        <v>17.96</v>
      </c>
      <c r="J1704" s="8" t="n">
        <v>16.98</v>
      </c>
      <c r="K1704" s="8" t="n">
        <v>255.2</v>
      </c>
      <c r="L1704" s="8" t="n">
        <v>0</v>
      </c>
      <c r="M1704" s="9">
        <f>ROUND(SUM(I1704:L1704),2)</f>
        <v/>
      </c>
      <c r="N1704" s="10">
        <f>ROUND(I1704*'Irish Basis'!$C$6*'Irish Basis'!$C$5,2)</f>
        <v/>
      </c>
      <c r="O1704" s="10">
        <f>ROUND(J1704*'Irish Basis'!$C$7*'Irish Basis'!$C$5,2)</f>
        <v/>
      </c>
      <c r="P1704" s="10">
        <f>ROUND(K1704*'Irish Basis'!$C$8*'Irish Basis'!$C$5,2)</f>
        <v/>
      </c>
      <c r="Q1704" s="10">
        <f>ROUND(L1704*'Irish Basis'!$C$12*'Irish Basis'!$C$5,2)</f>
        <v/>
      </c>
      <c r="R1704" s="11">
        <f>ROUND(SUM(N1704:Q1704),2)</f>
        <v/>
      </c>
      <c r="S1704" s="5" t="inlineStr">
        <is>
          <t>Stated build-up</t>
        </is>
      </c>
      <c r="T1704" s="12" t="inlineStr">
        <is>
          <t>High</t>
        </is>
      </c>
      <c r="U1704" s="8" t="n">
        <v>290.15</v>
      </c>
      <c r="V1704" s="13">
        <f>IF(U1704="","",ROUND(M1704-U1704,2))</f>
        <v/>
      </c>
      <c r="W1704" s="5" t="n"/>
      <c r="X1704" s="5" t="inlineStr">
        <is>
          <t>Labour + plant + material as published; reconciles to the published rate.</t>
        </is>
      </c>
    </row>
    <row r="1705" ht="13" customHeight="1">
      <c r="A1705" s="4" t="n">
        <v>2643</v>
      </c>
      <c r="B1705" s="5" t="inlineStr">
        <is>
          <t>IMG_0101</t>
        </is>
      </c>
      <c r="C1705" s="5" t="inlineStr">
        <is>
          <t>CLASS I: PIPEWORK - PIPES</t>
        </is>
      </c>
      <c r="D1705" s="5" t="inlineStr">
        <is>
          <t>05 POLYVINYL CHLORIDE PIPES</t>
        </is>
      </c>
      <c r="E1705" s="5" t="inlineStr">
        <is>
          <t>Unplasticized pvc pipes; polypropylene couplings; 300 mm pipes; in trenches, depth (continued)</t>
        </is>
      </c>
      <c r="F1705" s="5" t="inlineStr">
        <is>
          <t>1.50-2.00 m deep</t>
        </is>
      </c>
      <c r="G1705" s="6" t="inlineStr">
        <is>
          <t>m</t>
        </is>
      </c>
      <c r="H1705" s="7" t="n">
        <v>0.16</v>
      </c>
      <c r="I1705" s="8" t="n">
        <v>22.11</v>
      </c>
      <c r="J1705" s="8" t="n">
        <v>20.92</v>
      </c>
      <c r="K1705" s="8" t="n">
        <v>255.2</v>
      </c>
      <c r="L1705" s="8" t="n">
        <v>0</v>
      </c>
      <c r="M1705" s="9">
        <f>ROUND(SUM(I1705:L1705),2)</f>
        <v/>
      </c>
      <c r="N1705" s="10">
        <f>ROUND(I1705*'Irish Basis'!$C$6*'Irish Basis'!$C$5,2)</f>
        <v/>
      </c>
      <c r="O1705" s="10">
        <f>ROUND(J1705*'Irish Basis'!$C$7*'Irish Basis'!$C$5,2)</f>
        <v/>
      </c>
      <c r="P1705" s="10">
        <f>ROUND(K1705*'Irish Basis'!$C$8*'Irish Basis'!$C$5,2)</f>
        <v/>
      </c>
      <c r="Q1705" s="10">
        <f>ROUND(L1705*'Irish Basis'!$C$12*'Irish Basis'!$C$5,2)</f>
        <v/>
      </c>
      <c r="R1705" s="11">
        <f>ROUND(SUM(N1705:Q1705),2)</f>
        <v/>
      </c>
      <c r="S1705" s="5" t="inlineStr">
        <is>
          <t>Stated build-up</t>
        </is>
      </c>
      <c r="T1705" s="12" t="inlineStr">
        <is>
          <t>High</t>
        </is>
      </c>
      <c r="U1705" s="8" t="n">
        <v>298.23</v>
      </c>
      <c r="V1705" s="13">
        <f>IF(U1705="","",ROUND(M1705-U1705,2))</f>
        <v/>
      </c>
      <c r="W1705" s="5" t="n"/>
      <c r="X1705" s="5" t="inlineStr">
        <is>
          <t>Labour + plant + material as published; reconciles to the published rate.</t>
        </is>
      </c>
    </row>
    <row r="1706" ht="13" customHeight="1">
      <c r="A1706" s="4" t="n">
        <v>2644</v>
      </c>
      <c r="B1706" s="5" t="inlineStr">
        <is>
          <t>IMG_0101</t>
        </is>
      </c>
      <c r="C1706" s="5" t="inlineStr">
        <is>
          <t>CLASS I: PIPEWORK - PIPES</t>
        </is>
      </c>
      <c r="D1706" s="5" t="inlineStr">
        <is>
          <t>05 POLYVINYL CHLORIDE PIPES</t>
        </is>
      </c>
      <c r="E1706" s="5" t="inlineStr">
        <is>
          <t>Unplasticized pvc pipes; polypropylene couplings; 300 mm pipes; in trenches, depth (continued)</t>
        </is>
      </c>
      <c r="F1706" s="5" t="inlineStr">
        <is>
          <t>2.00-2.50 m deep</t>
        </is>
      </c>
      <c r="G1706" s="6" t="inlineStr">
        <is>
          <t>m</t>
        </is>
      </c>
      <c r="H1706" s="7" t="n">
        <v>0.21</v>
      </c>
      <c r="I1706" s="8" t="n">
        <v>29.02</v>
      </c>
      <c r="J1706" s="8" t="n">
        <v>27.47</v>
      </c>
      <c r="K1706" s="8" t="n">
        <v>255.2</v>
      </c>
      <c r="L1706" s="8" t="n">
        <v>0</v>
      </c>
      <c r="M1706" s="9">
        <f>ROUND(SUM(I1706:L1706),2)</f>
        <v/>
      </c>
      <c r="N1706" s="10">
        <f>ROUND(I1706*'Irish Basis'!$C$6*'Irish Basis'!$C$5,2)</f>
        <v/>
      </c>
      <c r="O1706" s="10">
        <f>ROUND(J1706*'Irish Basis'!$C$7*'Irish Basis'!$C$5,2)</f>
        <v/>
      </c>
      <c r="P1706" s="10">
        <f>ROUND(K1706*'Irish Basis'!$C$8*'Irish Basis'!$C$5,2)</f>
        <v/>
      </c>
      <c r="Q1706" s="10">
        <f>ROUND(L1706*'Irish Basis'!$C$12*'Irish Basis'!$C$5,2)</f>
        <v/>
      </c>
      <c r="R1706" s="11">
        <f>ROUND(SUM(N1706:Q1706),2)</f>
        <v/>
      </c>
      <c r="S1706" s="5" t="inlineStr">
        <is>
          <t>Stated build-up</t>
        </is>
      </c>
      <c r="T1706" s="12" t="inlineStr">
        <is>
          <t>High</t>
        </is>
      </c>
      <c r="U1706" s="8" t="n">
        <v>311.69</v>
      </c>
      <c r="V1706" s="13">
        <f>IF(U1706="","",ROUND(M1706-U1706,2))</f>
        <v/>
      </c>
      <c r="W1706" s="5" t="n"/>
      <c r="X1706" s="5" t="inlineStr">
        <is>
          <t>Labour + plant + material as published; reconciles to the published rate.</t>
        </is>
      </c>
    </row>
    <row r="1707" ht="13" customHeight="1">
      <c r="A1707" s="4" t="n">
        <v>2645</v>
      </c>
      <c r="B1707" s="5" t="inlineStr">
        <is>
          <t>IMG_0101</t>
        </is>
      </c>
      <c r="C1707" s="5" t="inlineStr">
        <is>
          <t>CLASS I: PIPEWORK - PIPES</t>
        </is>
      </c>
      <c r="D1707" s="5" t="inlineStr">
        <is>
          <t>05 POLYVINYL CHLORIDE PIPES</t>
        </is>
      </c>
      <c r="E1707" s="5" t="inlineStr">
        <is>
          <t>Unplasticized pvc pipes; polypropylene couplings; 300 mm pipes; in trenches, depth (continued)</t>
        </is>
      </c>
      <c r="F1707" s="5" t="inlineStr">
        <is>
          <t>2.50-3.00 m deep</t>
        </is>
      </c>
      <c r="G1707" s="6" t="inlineStr">
        <is>
          <t>m</t>
        </is>
      </c>
      <c r="H1707" s="7" t="n">
        <v>0.23</v>
      </c>
      <c r="I1707" s="8" t="n">
        <v>31.78</v>
      </c>
      <c r="J1707" s="8" t="n">
        <v>30.07</v>
      </c>
      <c r="K1707" s="8" t="n">
        <v>255.2</v>
      </c>
      <c r="L1707" s="8" t="n">
        <v>0</v>
      </c>
      <c r="M1707" s="9">
        <f>ROUND(SUM(I1707:L1707),2)</f>
        <v/>
      </c>
      <c r="N1707" s="10">
        <f>ROUND(I1707*'Irish Basis'!$C$6*'Irish Basis'!$C$5,2)</f>
        <v/>
      </c>
      <c r="O1707" s="10">
        <f>ROUND(J1707*'Irish Basis'!$C$7*'Irish Basis'!$C$5,2)</f>
        <v/>
      </c>
      <c r="P1707" s="10">
        <f>ROUND(K1707*'Irish Basis'!$C$8*'Irish Basis'!$C$5,2)</f>
        <v/>
      </c>
      <c r="Q1707" s="10">
        <f>ROUND(L1707*'Irish Basis'!$C$12*'Irish Basis'!$C$5,2)</f>
        <v/>
      </c>
      <c r="R1707" s="11">
        <f>ROUND(SUM(N1707:Q1707),2)</f>
        <v/>
      </c>
      <c r="S1707" s="5" t="inlineStr">
        <is>
          <t>Stated build-up</t>
        </is>
      </c>
      <c r="T1707" s="12" t="inlineStr">
        <is>
          <t>High</t>
        </is>
      </c>
      <c r="U1707" s="8" t="n">
        <v>317.05</v>
      </c>
      <c r="V1707" s="13">
        <f>IF(U1707="","",ROUND(M1707-U1707,2))</f>
        <v/>
      </c>
      <c r="W1707" s="5" t="n"/>
      <c r="X1707" s="5" t="inlineStr">
        <is>
          <t>Labour + plant + material as published; reconciles to the published rate.</t>
        </is>
      </c>
    </row>
    <row r="1708" ht="13" customHeight="1">
      <c r="A1708" s="4" t="n">
        <v>2646</v>
      </c>
      <c r="B1708" s="5" t="inlineStr">
        <is>
          <t>IMG_0101</t>
        </is>
      </c>
      <c r="C1708" s="5" t="inlineStr">
        <is>
          <t>CLASS I: PIPEWORK - PIPES</t>
        </is>
      </c>
      <c r="D1708" s="5" t="inlineStr">
        <is>
          <t>05 POLYVINYL CHLORIDE PIPES</t>
        </is>
      </c>
      <c r="E1708" s="5" t="inlineStr">
        <is>
          <t>Unplasticized pvc pipes; polypropylene couplings; 300 mm pipes; in trenches, depth (continued)</t>
        </is>
      </c>
      <c r="F1708" s="5" t="inlineStr">
        <is>
          <t>3.00-3.50 m deep</t>
        </is>
      </c>
      <c r="G1708" s="6" t="inlineStr">
        <is>
          <t>m</t>
        </is>
      </c>
      <c r="H1708" s="7" t="n">
        <v>0.25</v>
      </c>
      <c r="I1708" s="8" t="n">
        <v>34.55</v>
      </c>
      <c r="J1708" s="8" t="n">
        <v>32.73</v>
      </c>
      <c r="K1708" s="8" t="n">
        <v>255.2</v>
      </c>
      <c r="L1708" s="8" t="n">
        <v>0</v>
      </c>
      <c r="M1708" s="9">
        <f>ROUND(SUM(I1708:L1708),2)</f>
        <v/>
      </c>
      <c r="N1708" s="10">
        <f>ROUND(I1708*'Irish Basis'!$C$6*'Irish Basis'!$C$5,2)</f>
        <v/>
      </c>
      <c r="O1708" s="10">
        <f>ROUND(J1708*'Irish Basis'!$C$7*'Irish Basis'!$C$5,2)</f>
        <v/>
      </c>
      <c r="P1708" s="10">
        <f>ROUND(K1708*'Irish Basis'!$C$8*'Irish Basis'!$C$5,2)</f>
        <v/>
      </c>
      <c r="Q1708" s="10">
        <f>ROUND(L1708*'Irish Basis'!$C$12*'Irish Basis'!$C$5,2)</f>
        <v/>
      </c>
      <c r="R1708" s="11">
        <f>ROUND(SUM(N1708:Q1708),2)</f>
        <v/>
      </c>
      <c r="S1708" s="5" t="inlineStr">
        <is>
          <t>Stated build-up</t>
        </is>
      </c>
      <c r="T1708" s="12" t="inlineStr">
        <is>
          <t>High</t>
        </is>
      </c>
      <c r="U1708" s="8" t="n">
        <v>322.48</v>
      </c>
      <c r="V1708" s="13">
        <f>IF(U1708="","",ROUND(M1708-U1708,2))</f>
        <v/>
      </c>
      <c r="W1708" s="5" t="n"/>
      <c r="X1708" s="5" t="inlineStr">
        <is>
          <t>Labour + plant + material as published; reconciles to the published rate.</t>
        </is>
      </c>
    </row>
    <row r="1709" ht="13" customHeight="1">
      <c r="A1709" s="4" t="n">
        <v>2647</v>
      </c>
      <c r="B1709" s="5" t="inlineStr">
        <is>
          <t>IMG_0101</t>
        </is>
      </c>
      <c r="C1709" s="5" t="inlineStr">
        <is>
          <t>CLASS I: PIPEWORK - PIPES</t>
        </is>
      </c>
      <c r="D1709" s="5" t="inlineStr">
        <is>
          <t>05 POLYVINYL CHLORIDE PIPES</t>
        </is>
      </c>
      <c r="E1709" s="5" t="inlineStr">
        <is>
          <t>Unplasticized pvc pipes; polypropylene couplings; 300 mm pipes; in trenches, depth (continued)</t>
        </is>
      </c>
      <c r="F1709" s="5" t="inlineStr">
        <is>
          <t>3.50-4.00 m deep</t>
        </is>
      </c>
      <c r="G1709" s="6" t="inlineStr">
        <is>
          <t>m</t>
        </is>
      </c>
      <c r="H1709" s="7" t="n">
        <v>0.28</v>
      </c>
      <c r="I1709" s="8" t="n">
        <v>38.69</v>
      </c>
      <c r="J1709" s="8" t="n">
        <v>36.67</v>
      </c>
      <c r="K1709" s="8" t="n">
        <v>255.2</v>
      </c>
      <c r="L1709" s="8" t="n">
        <v>0</v>
      </c>
      <c r="M1709" s="9">
        <f>ROUND(SUM(I1709:L1709),2)</f>
        <v/>
      </c>
      <c r="N1709" s="10">
        <f>ROUND(I1709*'Irish Basis'!$C$6*'Irish Basis'!$C$5,2)</f>
        <v/>
      </c>
      <c r="O1709" s="10">
        <f>ROUND(J1709*'Irish Basis'!$C$7*'Irish Basis'!$C$5,2)</f>
        <v/>
      </c>
      <c r="P1709" s="10">
        <f>ROUND(K1709*'Irish Basis'!$C$8*'Irish Basis'!$C$5,2)</f>
        <v/>
      </c>
      <c r="Q1709" s="10">
        <f>ROUND(L1709*'Irish Basis'!$C$12*'Irish Basis'!$C$5,2)</f>
        <v/>
      </c>
      <c r="R1709" s="11">
        <f>ROUND(SUM(N1709:Q1709),2)</f>
        <v/>
      </c>
      <c r="S1709" s="5" t="inlineStr">
        <is>
          <t>Stated build-up</t>
        </is>
      </c>
      <c r="T1709" s="12" t="inlineStr">
        <is>
          <t>High</t>
        </is>
      </c>
      <c r="U1709" s="8" t="n">
        <v>330.56</v>
      </c>
      <c r="V1709" s="13">
        <f>IF(U1709="","",ROUND(M1709-U1709,2))</f>
        <v/>
      </c>
      <c r="W1709" s="5" t="n"/>
      <c r="X1709" s="5" t="inlineStr">
        <is>
          <t>Labour + plant + material as published; reconciles to the published rate.</t>
        </is>
      </c>
    </row>
    <row r="1710" ht="13" customHeight="1">
      <c r="A1710" s="4" t="n">
        <v>2648</v>
      </c>
      <c r="B1710" s="5" t="inlineStr">
        <is>
          <t>IMG_0101</t>
        </is>
      </c>
      <c r="C1710" s="5" t="inlineStr">
        <is>
          <t>CLASS I: PIPEWORK - PIPES</t>
        </is>
      </c>
      <c r="D1710" s="5" t="inlineStr">
        <is>
          <t>05 POLYVINYL CHLORIDE PIPES</t>
        </is>
      </c>
      <c r="E1710" s="5" t="inlineStr">
        <is>
          <t>Unplasticized pvc pipes; polypropylene couplings; 300 mm pipes; in trenches, depth (continued)</t>
        </is>
      </c>
      <c r="F1710" s="5" t="inlineStr">
        <is>
          <t>4.00-4.50 m deep</t>
        </is>
      </c>
      <c r="G1710" s="6" t="inlineStr">
        <is>
          <t>m</t>
        </is>
      </c>
      <c r="H1710" s="7" t="n">
        <v>0.34</v>
      </c>
      <c r="I1710" s="8" t="n">
        <v>46.98</v>
      </c>
      <c r="J1710" s="8" t="n">
        <v>44.56</v>
      </c>
      <c r="K1710" s="8" t="n">
        <v>255.2</v>
      </c>
      <c r="L1710" s="8" t="n">
        <v>0</v>
      </c>
      <c r="M1710" s="9">
        <f>ROUND(SUM(I1710:L1710),2)</f>
        <v/>
      </c>
      <c r="N1710" s="10">
        <f>ROUND(I1710*'Irish Basis'!$C$6*'Irish Basis'!$C$5,2)</f>
        <v/>
      </c>
      <c r="O1710" s="10">
        <f>ROUND(J1710*'Irish Basis'!$C$7*'Irish Basis'!$C$5,2)</f>
        <v/>
      </c>
      <c r="P1710" s="10">
        <f>ROUND(K1710*'Irish Basis'!$C$8*'Irish Basis'!$C$5,2)</f>
        <v/>
      </c>
      <c r="Q1710" s="10">
        <f>ROUND(L1710*'Irish Basis'!$C$12*'Irish Basis'!$C$5,2)</f>
        <v/>
      </c>
      <c r="R1710" s="11">
        <f>ROUND(SUM(N1710:Q1710),2)</f>
        <v/>
      </c>
      <c r="S1710" s="5" t="inlineStr">
        <is>
          <t>Stated build-up</t>
        </is>
      </c>
      <c r="T1710" s="12" t="inlineStr">
        <is>
          <t>High</t>
        </is>
      </c>
      <c r="U1710" s="8" t="n">
        <v>346.74</v>
      </c>
      <c r="V1710" s="13">
        <f>IF(U1710="","",ROUND(M1710-U1710,2))</f>
        <v/>
      </c>
      <c r="W1710" s="5" t="n"/>
      <c r="X1710" s="5" t="inlineStr">
        <is>
          <t>Labour + plant + material as published; reconciles to the published rate.</t>
        </is>
      </c>
    </row>
    <row r="1711" ht="13" customHeight="1">
      <c r="A1711" s="4" t="n">
        <v>2649</v>
      </c>
      <c r="B1711" s="5" t="inlineStr">
        <is>
          <t>IMG_0101</t>
        </is>
      </c>
      <c r="C1711" s="5" t="inlineStr">
        <is>
          <t>CLASS I: PIPEWORK - PIPES</t>
        </is>
      </c>
      <c r="D1711" s="5" t="inlineStr">
        <is>
          <t>05 POLYVINYL CHLORIDE PIPES</t>
        </is>
      </c>
      <c r="E1711" s="5" t="inlineStr">
        <is>
          <t>Unplasticized pvc pipes; polypropylene couplings; 300 mm pipes; in trenches, depth (continued)</t>
        </is>
      </c>
      <c r="F1711" s="5" t="inlineStr">
        <is>
          <t>4.50-5.00 m deep</t>
        </is>
      </c>
      <c r="G1711" s="6" t="inlineStr">
        <is>
          <t>m</t>
        </is>
      </c>
      <c r="H1711" s="7" t="n">
        <v>0.38</v>
      </c>
      <c r="I1711" s="8" t="n">
        <v>52.51</v>
      </c>
      <c r="J1711" s="8" t="n">
        <v>49.82</v>
      </c>
      <c r="K1711" s="8" t="n">
        <v>255.2</v>
      </c>
      <c r="L1711" s="8" t="n">
        <v>0</v>
      </c>
      <c r="M1711" s="9">
        <f>ROUND(SUM(I1711:L1711),2)</f>
        <v/>
      </c>
      <c r="N1711" s="10">
        <f>ROUND(I1711*'Irish Basis'!$C$6*'Irish Basis'!$C$5,2)</f>
        <v/>
      </c>
      <c r="O1711" s="10">
        <f>ROUND(J1711*'Irish Basis'!$C$7*'Irish Basis'!$C$5,2)</f>
        <v/>
      </c>
      <c r="P1711" s="10">
        <f>ROUND(K1711*'Irish Basis'!$C$8*'Irish Basis'!$C$5,2)</f>
        <v/>
      </c>
      <c r="Q1711" s="10">
        <f>ROUND(L1711*'Irish Basis'!$C$12*'Irish Basis'!$C$5,2)</f>
        <v/>
      </c>
      <c r="R1711" s="11">
        <f>ROUND(SUM(N1711:Q1711),2)</f>
        <v/>
      </c>
      <c r="S1711" s="5" t="inlineStr">
        <is>
          <t>Stated build-up</t>
        </is>
      </c>
      <c r="T1711" s="12" t="inlineStr">
        <is>
          <t>High</t>
        </is>
      </c>
      <c r="U1711" s="8" t="n">
        <v>357.53</v>
      </c>
      <c r="V1711" s="13">
        <f>IF(U1711="","",ROUND(M1711-U1711,2))</f>
        <v/>
      </c>
      <c r="W1711" s="5" t="n"/>
      <c r="X1711" s="5" t="inlineStr">
        <is>
          <t>Labour + plant + material as published; reconciles to the published rate.</t>
        </is>
      </c>
    </row>
    <row r="1712" ht="13" customHeight="1">
      <c r="A1712" s="4" t="n">
        <v>2650</v>
      </c>
      <c r="B1712" s="5" t="inlineStr">
        <is>
          <t>IMG_0101</t>
        </is>
      </c>
      <c r="C1712" s="5" t="inlineStr">
        <is>
          <t>CLASS I: PIPEWORK - PIPES</t>
        </is>
      </c>
      <c r="D1712" s="5" t="inlineStr">
        <is>
          <t>05 POLYVINYL CHLORIDE PIPES</t>
        </is>
      </c>
      <c r="E1712" s="5" t="inlineStr">
        <is>
          <t>Unplasticized pvc pipes; polypropylene couplings; 300 mm pipes; in trenches, depth (continued)</t>
        </is>
      </c>
      <c r="F1712" s="5" t="inlineStr">
        <is>
          <t>5.00-5.50 m deep</t>
        </is>
      </c>
      <c r="G1712" s="6" t="inlineStr">
        <is>
          <t>m</t>
        </is>
      </c>
      <c r="H1712" s="7" t="n">
        <v>0.47</v>
      </c>
      <c r="I1712" s="8" t="n">
        <v>64.94</v>
      </c>
      <c r="J1712" s="8" t="n">
        <v>61.6</v>
      </c>
      <c r="K1712" s="8" t="n">
        <v>255.2</v>
      </c>
      <c r="L1712" s="8" t="n">
        <v>0</v>
      </c>
      <c r="M1712" s="9">
        <f>ROUND(SUM(I1712:L1712),2)</f>
        <v/>
      </c>
      <c r="N1712" s="10">
        <f>ROUND(I1712*'Irish Basis'!$C$6*'Irish Basis'!$C$5,2)</f>
        <v/>
      </c>
      <c r="O1712" s="10">
        <f>ROUND(J1712*'Irish Basis'!$C$7*'Irish Basis'!$C$5,2)</f>
        <v/>
      </c>
      <c r="P1712" s="10">
        <f>ROUND(K1712*'Irish Basis'!$C$8*'Irish Basis'!$C$5,2)</f>
        <v/>
      </c>
      <c r="Q1712" s="10">
        <f>ROUND(L1712*'Irish Basis'!$C$12*'Irish Basis'!$C$5,2)</f>
        <v/>
      </c>
      <c r="R1712" s="11">
        <f>ROUND(SUM(N1712:Q1712),2)</f>
        <v/>
      </c>
      <c r="S1712" s="5" t="inlineStr">
        <is>
          <t>Stated build-up</t>
        </is>
      </c>
      <c r="T1712" s="12" t="inlineStr">
        <is>
          <t>High</t>
        </is>
      </c>
      <c r="U1712" s="8" t="n">
        <v>381.74</v>
      </c>
      <c r="V1712" s="13">
        <f>IF(U1712="","",ROUND(M1712-U1712,2))</f>
        <v/>
      </c>
      <c r="W1712" s="5" t="n"/>
      <c r="X1712" s="5" t="inlineStr">
        <is>
          <t>Labour + plant + material as published; reconciles to the published rate.</t>
        </is>
      </c>
    </row>
    <row r="1713" ht="13" customHeight="1">
      <c r="A1713" s="4" t="n">
        <v>2652</v>
      </c>
      <c r="B1713" s="5" t="inlineStr">
        <is>
          <t>IMG_0101</t>
        </is>
      </c>
      <c r="C1713" s="5" t="inlineStr">
        <is>
          <t>CLASS I: PIPEWORK - PIPES</t>
        </is>
      </c>
      <c r="D1713" s="5" t="inlineStr">
        <is>
          <t>05 POLYVINYL CHLORIDE PIPES</t>
        </is>
      </c>
      <c r="E1713" s="5" t="inlineStr">
        <is>
          <t>Ultrarib unplasticized pvc pipes; ring seal joints; excavation and supports, backfilling; 150 mm pipes; in trenches, depth</t>
        </is>
      </c>
      <c r="F1713" s="5" t="inlineStr">
        <is>
          <t>not in trenches</t>
        </is>
      </c>
      <c r="G1713" s="6" t="inlineStr">
        <is>
          <t>m</t>
        </is>
      </c>
      <c r="H1713" s="7" t="n">
        <v>0.13</v>
      </c>
      <c r="I1713" s="8" t="n">
        <v>11.22</v>
      </c>
      <c r="J1713" s="8" t="n">
        <v>1.45</v>
      </c>
      <c r="K1713" s="8" t="n">
        <v>33.04</v>
      </c>
      <c r="L1713" s="8" t="n">
        <v>0</v>
      </c>
      <c r="M1713" s="9">
        <f>ROUND(SUM(I1713:L1713),2)</f>
        <v/>
      </c>
      <c r="N1713" s="10">
        <f>ROUND(I1713*'Irish Basis'!$C$6*'Irish Basis'!$C$5,2)</f>
        <v/>
      </c>
      <c r="O1713" s="10">
        <f>ROUND(J1713*'Irish Basis'!$C$7*'Irish Basis'!$C$5,2)</f>
        <v/>
      </c>
      <c r="P1713" s="10">
        <f>ROUND(K1713*'Irish Basis'!$C$8*'Irish Basis'!$C$5,2)</f>
        <v/>
      </c>
      <c r="Q1713" s="10">
        <f>ROUND(L1713*'Irish Basis'!$C$12*'Irish Basis'!$C$5,2)</f>
        <v/>
      </c>
      <c r="R1713" s="11">
        <f>ROUND(SUM(N1713:Q1713),2)</f>
        <v/>
      </c>
      <c r="S1713" s="5" t="inlineStr">
        <is>
          <t>Stated build-up</t>
        </is>
      </c>
      <c r="T1713" s="12" t="inlineStr">
        <is>
          <t>High</t>
        </is>
      </c>
      <c r="U1713" s="8" t="n">
        <v>45.71</v>
      </c>
      <c r="V1713" s="13">
        <f>IF(U1713="","",ROUND(M1713-U1713,2))</f>
        <v/>
      </c>
      <c r="W1713" s="5" t="n"/>
      <c r="X1713" s="5" t="inlineStr">
        <is>
          <t>Labour + plant + material as published; reconciles to the published rate.</t>
        </is>
      </c>
    </row>
    <row r="1714" ht="13" customHeight="1">
      <c r="A1714" s="4" t="n">
        <v>2653</v>
      </c>
      <c r="B1714" s="5" t="inlineStr">
        <is>
          <t>IMG_0101</t>
        </is>
      </c>
      <c r="C1714" s="5" t="inlineStr">
        <is>
          <t>CLASS I: PIPEWORK - PIPES</t>
        </is>
      </c>
      <c r="D1714" s="5" t="inlineStr">
        <is>
          <t>05 POLYVINYL CHLORIDE PIPES</t>
        </is>
      </c>
      <c r="E1714" s="5" t="inlineStr">
        <is>
          <t>Ultrarib unplasticized pvc pipes; ring seal joints; excavation and supports, backfilling; 150 mm pipes; in trenches, depth</t>
        </is>
      </c>
      <c r="F1714" s="5" t="inlineStr">
        <is>
          <t>ne 1.50 m deep</t>
        </is>
      </c>
      <c r="G1714" s="6" t="inlineStr">
        <is>
          <t>m</t>
        </is>
      </c>
      <c r="H1714" s="7" t="n">
        <v>0.16</v>
      </c>
      <c r="I1714" s="8" t="n">
        <v>22.11</v>
      </c>
      <c r="J1714" s="8" t="n">
        <v>20.88</v>
      </c>
      <c r="K1714" s="8" t="n">
        <v>34.42</v>
      </c>
      <c r="L1714" s="8" t="n">
        <v>0</v>
      </c>
      <c r="M1714" s="9">
        <f>ROUND(SUM(I1714:L1714),2)</f>
        <v/>
      </c>
      <c r="N1714" s="10">
        <f>ROUND(I1714*'Irish Basis'!$C$6*'Irish Basis'!$C$5,2)</f>
        <v/>
      </c>
      <c r="O1714" s="10">
        <f>ROUND(J1714*'Irish Basis'!$C$7*'Irish Basis'!$C$5,2)</f>
        <v/>
      </c>
      <c r="P1714" s="10">
        <f>ROUND(K1714*'Irish Basis'!$C$8*'Irish Basis'!$C$5,2)</f>
        <v/>
      </c>
      <c r="Q1714" s="10">
        <f>ROUND(L1714*'Irish Basis'!$C$12*'Irish Basis'!$C$5,2)</f>
        <v/>
      </c>
      <c r="R1714" s="11">
        <f>ROUND(SUM(N1714:Q1714),2)</f>
        <v/>
      </c>
      <c r="S1714" s="5" t="inlineStr">
        <is>
          <t>Stated build-up</t>
        </is>
      </c>
      <c r="T1714" s="12" t="inlineStr">
        <is>
          <t>High</t>
        </is>
      </c>
      <c r="U1714" s="8" t="n">
        <v>77.42</v>
      </c>
      <c r="V1714" s="13">
        <f>IF(U1714="","",ROUND(M1714-U1714,2))</f>
        <v/>
      </c>
      <c r="W1714" s="5" t="n"/>
      <c r="X1714" s="5" t="inlineStr">
        <is>
          <t>Labour + plant + material as published; reconciles to the published rate.</t>
        </is>
      </c>
    </row>
    <row r="1715" ht="13" customHeight="1">
      <c r="A1715" s="4" t="n">
        <v>2654</v>
      </c>
      <c r="B1715" s="5" t="inlineStr">
        <is>
          <t>IMG_0101</t>
        </is>
      </c>
      <c r="C1715" s="5" t="inlineStr">
        <is>
          <t>CLASS I: PIPEWORK - PIPES</t>
        </is>
      </c>
      <c r="D1715" s="5" t="inlineStr">
        <is>
          <t>05 POLYVINYL CHLORIDE PIPES</t>
        </is>
      </c>
      <c r="E1715" s="5" t="inlineStr">
        <is>
          <t>Ultrarib unplasticized pvc pipes; ring seal joints; excavation and supports, backfilling; 150 mm pipes; in trenches, depth</t>
        </is>
      </c>
      <c r="F1715" s="5" t="inlineStr">
        <is>
          <t>1.50-2.00 m deep</t>
        </is>
      </c>
      <c r="G1715" s="6" t="inlineStr">
        <is>
          <t>m</t>
        </is>
      </c>
      <c r="H1715" s="7" t="n">
        <v>0.19</v>
      </c>
      <c r="I1715" s="8" t="n">
        <v>26.25</v>
      </c>
      <c r="J1715" s="8" t="n">
        <v>24.83</v>
      </c>
      <c r="K1715" s="8" t="n">
        <v>33.96</v>
      </c>
      <c r="L1715" s="8" t="n">
        <v>0</v>
      </c>
      <c r="M1715" s="9">
        <f>ROUND(SUM(I1715:L1715),2)</f>
        <v/>
      </c>
      <c r="N1715" s="10">
        <f>ROUND(I1715*'Irish Basis'!$C$6*'Irish Basis'!$C$5,2)</f>
        <v/>
      </c>
      <c r="O1715" s="10">
        <f>ROUND(J1715*'Irish Basis'!$C$7*'Irish Basis'!$C$5,2)</f>
        <v/>
      </c>
      <c r="P1715" s="10">
        <f>ROUND(K1715*'Irish Basis'!$C$8*'Irish Basis'!$C$5,2)</f>
        <v/>
      </c>
      <c r="Q1715" s="10">
        <f>ROUND(L1715*'Irish Basis'!$C$12*'Irish Basis'!$C$5,2)</f>
        <v/>
      </c>
      <c r="R1715" s="11">
        <f>ROUND(SUM(N1715:Q1715),2)</f>
        <v/>
      </c>
      <c r="S1715" s="5" t="inlineStr">
        <is>
          <t>Stated build-up</t>
        </is>
      </c>
      <c r="T1715" s="12" t="inlineStr">
        <is>
          <t>High</t>
        </is>
      </c>
      <c r="U1715" s="8" t="n">
        <v>85.04000000000001</v>
      </c>
      <c r="V1715" s="13">
        <f>IF(U1715="","",ROUND(M1715-U1715,2))</f>
        <v/>
      </c>
      <c r="W1715" s="5" t="n"/>
      <c r="X1715" s="5" t="inlineStr">
        <is>
          <t>Labour + plant + material as published; reconciles to the published rate.</t>
        </is>
      </c>
    </row>
    <row r="1716" ht="13" customHeight="1">
      <c r="A1716" s="4" t="n">
        <v>2655</v>
      </c>
      <c r="B1716" s="5" t="inlineStr">
        <is>
          <t>IMG_0101</t>
        </is>
      </c>
      <c r="C1716" s="5" t="inlineStr">
        <is>
          <t>CLASS I: PIPEWORK - PIPES</t>
        </is>
      </c>
      <c r="D1716" s="5" t="inlineStr">
        <is>
          <t>05 POLYVINYL CHLORIDE PIPES</t>
        </is>
      </c>
      <c r="E1716" s="5" t="inlineStr">
        <is>
          <t>Ultrarib unplasticized pvc pipes; ring seal joints; excavation and supports, backfilling; 150 mm pipes; in trenches, depth</t>
        </is>
      </c>
      <c r="F1716" s="5" t="inlineStr">
        <is>
          <t>2.00-2.50 m deep</t>
        </is>
      </c>
      <c r="G1716" s="6" t="inlineStr">
        <is>
          <t>m</t>
        </is>
      </c>
      <c r="H1716" s="7" t="n">
        <v>0.22</v>
      </c>
      <c r="I1716" s="8" t="n">
        <v>30.4</v>
      </c>
      <c r="J1716" s="8" t="n">
        <v>28.82</v>
      </c>
      <c r="K1716" s="8" t="n">
        <v>33.5</v>
      </c>
      <c r="L1716" s="8" t="n">
        <v>0</v>
      </c>
      <c r="M1716" s="9">
        <f>ROUND(SUM(I1716:L1716),2)</f>
        <v/>
      </c>
      <c r="N1716" s="10">
        <f>ROUND(I1716*'Irish Basis'!$C$6*'Irish Basis'!$C$5,2)</f>
        <v/>
      </c>
      <c r="O1716" s="10">
        <f>ROUND(J1716*'Irish Basis'!$C$7*'Irish Basis'!$C$5,2)</f>
        <v/>
      </c>
      <c r="P1716" s="10">
        <f>ROUND(K1716*'Irish Basis'!$C$8*'Irish Basis'!$C$5,2)</f>
        <v/>
      </c>
      <c r="Q1716" s="10">
        <f>ROUND(L1716*'Irish Basis'!$C$12*'Irish Basis'!$C$5,2)</f>
        <v/>
      </c>
      <c r="R1716" s="11">
        <f>ROUND(SUM(N1716:Q1716),2)</f>
        <v/>
      </c>
      <c r="S1716" s="5" t="inlineStr">
        <is>
          <t>Stated build-up</t>
        </is>
      </c>
      <c r="T1716" s="12" t="inlineStr">
        <is>
          <t>High</t>
        </is>
      </c>
      <c r="U1716" s="8" t="n">
        <v>92.72</v>
      </c>
      <c r="V1716" s="13">
        <f>IF(U1716="","",ROUND(M1716-U1716,2))</f>
        <v/>
      </c>
      <c r="W1716" s="5" t="n"/>
      <c r="X1716" s="5" t="inlineStr">
        <is>
          <t>Labour + plant + material as published; reconciles to the published rate.</t>
        </is>
      </c>
    </row>
    <row r="1717" ht="13" customHeight="1">
      <c r="A1717" s="4" t="n">
        <v>2656</v>
      </c>
      <c r="B1717" s="5" t="inlineStr">
        <is>
          <t>IMG_0101</t>
        </is>
      </c>
      <c r="C1717" s="5" t="inlineStr">
        <is>
          <t>CLASS I: PIPEWORK - PIPES</t>
        </is>
      </c>
      <c r="D1717" s="5" t="inlineStr">
        <is>
          <t>05 POLYVINYL CHLORIDE PIPES</t>
        </is>
      </c>
      <c r="E1717" s="5" t="inlineStr">
        <is>
          <t>Ultrarib unplasticized pvc pipes; ring seal joints; excavation and supports, backfilling; 150 mm pipes; in trenches, depth</t>
        </is>
      </c>
      <c r="F1717" s="5" t="inlineStr">
        <is>
          <t>2.50-3.00 m deep</t>
        </is>
      </c>
      <c r="G1717" s="6" t="inlineStr">
        <is>
          <t>m</t>
        </is>
      </c>
      <c r="H1717" s="7" t="n">
        <v>0.24</v>
      </c>
      <c r="I1717" s="8" t="n">
        <v>33.16</v>
      </c>
      <c r="J1717" s="8" t="n">
        <v>31.39</v>
      </c>
      <c r="K1717" s="8" t="n">
        <v>33.04</v>
      </c>
      <c r="L1717" s="8" t="n">
        <v>0</v>
      </c>
      <c r="M1717" s="9">
        <f>ROUND(SUM(I1717:L1717),2)</f>
        <v/>
      </c>
      <c r="N1717" s="10">
        <f>ROUND(I1717*'Irish Basis'!$C$6*'Irish Basis'!$C$5,2)</f>
        <v/>
      </c>
      <c r="O1717" s="10">
        <f>ROUND(J1717*'Irish Basis'!$C$7*'Irish Basis'!$C$5,2)</f>
        <v/>
      </c>
      <c r="P1717" s="10">
        <f>ROUND(K1717*'Irish Basis'!$C$8*'Irish Basis'!$C$5,2)</f>
        <v/>
      </c>
      <c r="Q1717" s="10">
        <f>ROUND(L1717*'Irish Basis'!$C$12*'Irish Basis'!$C$5,2)</f>
        <v/>
      </c>
      <c r="R1717" s="11">
        <f>ROUND(SUM(N1717:Q1717),2)</f>
        <v/>
      </c>
      <c r="S1717" s="5" t="inlineStr">
        <is>
          <t>Stated build-up</t>
        </is>
      </c>
      <c r="T1717" s="12" t="inlineStr">
        <is>
          <t>High</t>
        </is>
      </c>
      <c r="U1717" s="8" t="n">
        <v>97.59999999999999</v>
      </c>
      <c r="V1717" s="13">
        <f>IF(U1717="","",ROUND(M1717-U1717,2))</f>
        <v/>
      </c>
      <c r="W1717" s="5" t="n"/>
      <c r="X1717" s="5" t="inlineStr">
        <is>
          <t>Labour + plant + material as published; reconciles to the published rate.</t>
        </is>
      </c>
    </row>
    <row r="1718" ht="13" customHeight="1">
      <c r="A1718" s="4" t="n">
        <v>2657</v>
      </c>
      <c r="B1718" s="5" t="inlineStr">
        <is>
          <t>IMG_0101</t>
        </is>
      </c>
      <c r="C1718" s="5" t="inlineStr">
        <is>
          <t>CLASS I: PIPEWORK - PIPES</t>
        </is>
      </c>
      <c r="D1718" s="5" t="inlineStr">
        <is>
          <t>05 POLYVINYL CHLORIDE PIPES</t>
        </is>
      </c>
      <c r="E1718" s="5" t="inlineStr">
        <is>
          <t>Ultrarib unplasticized pvc pipes; ring seal joints; excavation and supports, backfilling; 150 mm pipes; in trenches, depth</t>
        </is>
      </c>
      <c r="F1718" s="5" t="inlineStr">
        <is>
          <t>3.00-3.50 m deep</t>
        </is>
      </c>
      <c r="G1718" s="6" t="inlineStr">
        <is>
          <t>m</t>
        </is>
      </c>
      <c r="H1718" s="7" t="n">
        <v>0.24</v>
      </c>
      <c r="I1718" s="8" t="n">
        <v>33.16</v>
      </c>
      <c r="J1718" s="8" t="n">
        <v>31.41</v>
      </c>
      <c r="K1718" s="8" t="n">
        <v>33.68</v>
      </c>
      <c r="L1718" s="8" t="n">
        <v>0</v>
      </c>
      <c r="M1718" s="9">
        <f>ROUND(SUM(I1718:L1718),2)</f>
        <v/>
      </c>
      <c r="N1718" s="10">
        <f>ROUND(I1718*'Irish Basis'!$C$6*'Irish Basis'!$C$5,2)</f>
        <v/>
      </c>
      <c r="O1718" s="10">
        <f>ROUND(J1718*'Irish Basis'!$C$7*'Irish Basis'!$C$5,2)</f>
        <v/>
      </c>
      <c r="P1718" s="10">
        <f>ROUND(K1718*'Irish Basis'!$C$8*'Irish Basis'!$C$5,2)</f>
        <v/>
      </c>
      <c r="Q1718" s="10">
        <f>ROUND(L1718*'Irish Basis'!$C$12*'Irish Basis'!$C$5,2)</f>
        <v/>
      </c>
      <c r="R1718" s="11">
        <f>ROUND(SUM(N1718:Q1718),2)</f>
        <v/>
      </c>
      <c r="S1718" s="5" t="inlineStr">
        <is>
          <t>Stated build-up</t>
        </is>
      </c>
      <c r="T1718" s="12" t="inlineStr">
        <is>
          <t>High</t>
        </is>
      </c>
      <c r="U1718" s="8" t="n">
        <v>98.26000000000001</v>
      </c>
      <c r="V1718" s="13">
        <f>IF(U1718="","",ROUND(M1718-U1718,2))</f>
        <v/>
      </c>
      <c r="W1718" s="5" t="n"/>
      <c r="X1718" s="5" t="inlineStr">
        <is>
          <t>Labour + plant + material as published; reconciles to the published rate.</t>
        </is>
      </c>
    </row>
    <row r="1719" ht="13" customHeight="1">
      <c r="A1719" s="4" t="n">
        <v>2658</v>
      </c>
      <c r="B1719" s="5" t="inlineStr">
        <is>
          <t>IMG_0101</t>
        </is>
      </c>
      <c r="C1719" s="5" t="inlineStr">
        <is>
          <t>CLASS I: PIPEWORK - PIPES</t>
        </is>
      </c>
      <c r="D1719" s="5" t="inlineStr">
        <is>
          <t>05 POLYVINYL CHLORIDE PIPES</t>
        </is>
      </c>
      <c r="E1719" s="5" t="inlineStr">
        <is>
          <t>Ultrarib unplasticized pvc pipes; ring seal joints; excavation and supports, backfilling; 150 mm pipes; in trenches, depth</t>
        </is>
      </c>
      <c r="F1719" s="5" t="inlineStr">
        <is>
          <t>3.50-4.00 m deep</t>
        </is>
      </c>
      <c r="G1719" s="6" t="inlineStr">
        <is>
          <t>m</t>
        </is>
      </c>
      <c r="H1719" s="7" t="n">
        <v>0.27</v>
      </c>
      <c r="I1719" s="8" t="n">
        <v>37.31</v>
      </c>
      <c r="J1719" s="8" t="n">
        <v>35.34</v>
      </c>
      <c r="K1719" s="8" t="n">
        <v>33.04</v>
      </c>
      <c r="L1719" s="8" t="n">
        <v>0</v>
      </c>
      <c r="M1719" s="9">
        <f>ROUND(SUM(I1719:L1719),2)</f>
        <v/>
      </c>
      <c r="N1719" s="10">
        <f>ROUND(I1719*'Irish Basis'!$C$6*'Irish Basis'!$C$5,2)</f>
        <v/>
      </c>
      <c r="O1719" s="10">
        <f>ROUND(J1719*'Irish Basis'!$C$7*'Irish Basis'!$C$5,2)</f>
        <v/>
      </c>
      <c r="P1719" s="10">
        <f>ROUND(K1719*'Irish Basis'!$C$8*'Irish Basis'!$C$5,2)</f>
        <v/>
      </c>
      <c r="Q1719" s="10">
        <f>ROUND(L1719*'Irish Basis'!$C$12*'Irish Basis'!$C$5,2)</f>
        <v/>
      </c>
      <c r="R1719" s="11">
        <f>ROUND(SUM(N1719:Q1719),2)</f>
        <v/>
      </c>
      <c r="S1719" s="5" t="inlineStr">
        <is>
          <t>Stated build-up</t>
        </is>
      </c>
      <c r="T1719" s="12" t="inlineStr">
        <is>
          <t>High</t>
        </is>
      </c>
      <c r="U1719" s="8" t="n">
        <v>105.69</v>
      </c>
      <c r="V1719" s="13">
        <f>IF(U1719="","",ROUND(M1719-U1719,2))</f>
        <v/>
      </c>
      <c r="W1719" s="5" t="n"/>
      <c r="X1719" s="5" t="inlineStr">
        <is>
          <t>Labour + plant + material as published; reconciles to the published rate.</t>
        </is>
      </c>
    </row>
    <row r="1720" ht="13" customHeight="1">
      <c r="A1720" s="4" t="n">
        <v>2659</v>
      </c>
      <c r="B1720" s="5" t="inlineStr">
        <is>
          <t>IMG_0101</t>
        </is>
      </c>
      <c r="C1720" s="5" t="inlineStr">
        <is>
          <t>CLASS I: PIPEWORK - PIPES</t>
        </is>
      </c>
      <c r="D1720" s="5" t="inlineStr">
        <is>
          <t>05 POLYVINYL CHLORIDE PIPES</t>
        </is>
      </c>
      <c r="E1720" s="5" t="inlineStr">
        <is>
          <t>Ultrarib unplasticized pvc pipes; ring seal joints; excavation and supports, backfilling; 150 mm pipes; in trenches, depth</t>
        </is>
      </c>
      <c r="F1720" s="5" t="inlineStr">
        <is>
          <t>4.00-4.50 m deep</t>
        </is>
      </c>
      <c r="G1720" s="6" t="inlineStr">
        <is>
          <t>m</t>
        </is>
      </c>
      <c r="H1720" s="7" t="n">
        <v>0.32</v>
      </c>
      <c r="I1720" s="8" t="n">
        <v>44.22</v>
      </c>
      <c r="J1720" s="8" t="n">
        <v>41.91</v>
      </c>
      <c r="K1720" s="8" t="n">
        <v>33.04</v>
      </c>
      <c r="L1720" s="8" t="n">
        <v>0</v>
      </c>
      <c r="M1720" s="9">
        <f>ROUND(SUM(I1720:L1720),2)</f>
        <v/>
      </c>
      <c r="N1720" s="10">
        <f>ROUND(I1720*'Irish Basis'!$C$6*'Irish Basis'!$C$5,2)</f>
        <v/>
      </c>
      <c r="O1720" s="10">
        <f>ROUND(J1720*'Irish Basis'!$C$7*'Irish Basis'!$C$5,2)</f>
        <v/>
      </c>
      <c r="P1720" s="10">
        <f>ROUND(K1720*'Irish Basis'!$C$8*'Irish Basis'!$C$5,2)</f>
        <v/>
      </c>
      <c r="Q1720" s="10">
        <f>ROUND(L1720*'Irish Basis'!$C$12*'Irish Basis'!$C$5,2)</f>
        <v/>
      </c>
      <c r="R1720" s="11">
        <f>ROUND(SUM(N1720:Q1720),2)</f>
        <v/>
      </c>
      <c r="S1720" s="5" t="inlineStr">
        <is>
          <t>Stated build-up</t>
        </is>
      </c>
      <c r="T1720" s="12" t="inlineStr">
        <is>
          <t>High</t>
        </is>
      </c>
      <c r="U1720" s="8" t="n">
        <v>119.17</v>
      </c>
      <c r="V1720" s="13">
        <f>IF(U1720="","",ROUND(M1720-U1720,2))</f>
        <v/>
      </c>
      <c r="W1720" s="5" t="n"/>
      <c r="X1720" s="5" t="inlineStr">
        <is>
          <t>Labour + plant + material as published; reconciles to the published rate.</t>
        </is>
      </c>
    </row>
    <row r="1721" ht="13" customHeight="1">
      <c r="A1721" s="4" t="n">
        <v>2660</v>
      </c>
      <c r="B1721" s="5" t="inlineStr">
        <is>
          <t>IMG_0101</t>
        </is>
      </c>
      <c r="C1721" s="5" t="inlineStr">
        <is>
          <t>CLASS I: PIPEWORK - PIPES</t>
        </is>
      </c>
      <c r="D1721" s="5" t="inlineStr">
        <is>
          <t>05 POLYVINYL CHLORIDE PIPES</t>
        </is>
      </c>
      <c r="E1721" s="5" t="inlineStr">
        <is>
          <t>Ultrarib unplasticized pvc pipes; ring seal joints; excavation and supports, backfilling; 150 mm pipes; in trenches, depth</t>
        </is>
      </c>
      <c r="F1721" s="5" t="inlineStr">
        <is>
          <t>4.50-5.00 m deep</t>
        </is>
      </c>
      <c r="G1721" s="6" t="inlineStr">
        <is>
          <t>m</t>
        </is>
      </c>
      <c r="H1721" s="7" t="n">
        <v>0.36</v>
      </c>
      <c r="I1721" s="8" t="n">
        <v>49.74</v>
      </c>
      <c r="J1721" s="8" t="n">
        <v>47.17</v>
      </c>
      <c r="K1721" s="8" t="n">
        <v>33.68</v>
      </c>
      <c r="L1721" s="8" t="n">
        <v>0</v>
      </c>
      <c r="M1721" s="9">
        <f>ROUND(SUM(I1721:L1721),2)</f>
        <v/>
      </c>
      <c r="N1721" s="10">
        <f>ROUND(I1721*'Irish Basis'!$C$6*'Irish Basis'!$C$5,2)</f>
        <v/>
      </c>
      <c r="O1721" s="10">
        <f>ROUND(J1721*'Irish Basis'!$C$7*'Irish Basis'!$C$5,2)</f>
        <v/>
      </c>
      <c r="P1721" s="10">
        <f>ROUND(K1721*'Irish Basis'!$C$8*'Irish Basis'!$C$5,2)</f>
        <v/>
      </c>
      <c r="Q1721" s="10">
        <f>ROUND(L1721*'Irish Basis'!$C$12*'Irish Basis'!$C$5,2)</f>
        <v/>
      </c>
      <c r="R1721" s="11">
        <f>ROUND(SUM(N1721:Q1721),2)</f>
        <v/>
      </c>
      <c r="S1721" s="5" t="inlineStr">
        <is>
          <t>Stated build-up</t>
        </is>
      </c>
      <c r="T1721" s="12" t="inlineStr">
        <is>
          <t>High</t>
        </is>
      </c>
      <c r="U1721" s="8" t="n">
        <v>130.6</v>
      </c>
      <c r="V1721" s="13">
        <f>IF(U1721="","",ROUND(M1721-U1721,2))</f>
        <v/>
      </c>
      <c r="W1721" s="5" t="n"/>
      <c r="X1721" s="5" t="inlineStr">
        <is>
          <t>Labour + plant + material as published; reconciles to the published rate.</t>
        </is>
      </c>
    </row>
    <row r="1722" ht="13" customHeight="1">
      <c r="A1722" s="4" t="n">
        <v>2661</v>
      </c>
      <c r="B1722" s="5" t="inlineStr">
        <is>
          <t>IMG_0101</t>
        </is>
      </c>
      <c r="C1722" s="5" t="inlineStr">
        <is>
          <t>CLASS I: PIPEWORK - PIPES</t>
        </is>
      </c>
      <c r="D1722" s="5" t="inlineStr">
        <is>
          <t>05 POLYVINYL CHLORIDE PIPES</t>
        </is>
      </c>
      <c r="E1722" s="5" t="inlineStr">
        <is>
          <t>Ultrarib unplasticized pvc pipes; ring seal joints; excavation and supports, backfilling; 150 mm pipes; in trenches, depth</t>
        </is>
      </c>
      <c r="F1722" s="5" t="inlineStr">
        <is>
          <t>5.00-5.50 m deep</t>
        </is>
      </c>
      <c r="G1722" s="6" t="inlineStr">
        <is>
          <t>m</t>
        </is>
      </c>
      <c r="H1722" s="7" t="n">
        <v>0.45</v>
      </c>
      <c r="I1722" s="8" t="n">
        <v>62.18</v>
      </c>
      <c r="J1722" s="8" t="n">
        <v>59</v>
      </c>
      <c r="K1722" s="8" t="n">
        <v>33.68</v>
      </c>
      <c r="L1722" s="8" t="n">
        <v>0</v>
      </c>
      <c r="M1722" s="9">
        <f>ROUND(SUM(I1722:L1722),2)</f>
        <v/>
      </c>
      <c r="N1722" s="10">
        <f>ROUND(I1722*'Irish Basis'!$C$6*'Irish Basis'!$C$5,2)</f>
        <v/>
      </c>
      <c r="O1722" s="10">
        <f>ROUND(J1722*'Irish Basis'!$C$7*'Irish Basis'!$C$5,2)</f>
        <v/>
      </c>
      <c r="P1722" s="10">
        <f>ROUND(K1722*'Irish Basis'!$C$8*'Irish Basis'!$C$5,2)</f>
        <v/>
      </c>
      <c r="Q1722" s="10">
        <f>ROUND(L1722*'Irish Basis'!$C$12*'Irish Basis'!$C$5,2)</f>
        <v/>
      </c>
      <c r="R1722" s="11">
        <f>ROUND(SUM(N1722:Q1722),2)</f>
        <v/>
      </c>
      <c r="S1722" s="5" t="inlineStr">
        <is>
          <t>Stated build-up</t>
        </is>
      </c>
      <c r="T1722" s="12" t="inlineStr">
        <is>
          <t>High</t>
        </is>
      </c>
      <c r="U1722" s="8" t="n">
        <v>154.87</v>
      </c>
      <c r="V1722" s="13">
        <f>IF(U1722="","",ROUND(M1722-U1722,2))</f>
        <v/>
      </c>
      <c r="W1722" s="5" t="n"/>
      <c r="X1722" s="5" t="inlineStr">
        <is>
          <t>Labour + plant + material as published; reconciles to the published rate.</t>
        </is>
      </c>
    </row>
    <row r="1723" ht="13" customHeight="1">
      <c r="A1723" s="4" t="n">
        <v>2662</v>
      </c>
      <c r="B1723" s="5" t="inlineStr">
        <is>
          <t>IMG_0101</t>
        </is>
      </c>
      <c r="C1723" s="5" t="inlineStr">
        <is>
          <t>CLASS I: PIPEWORK - PIPES</t>
        </is>
      </c>
      <c r="D1723" s="5" t="inlineStr">
        <is>
          <t>05 POLYVINYL CHLORIDE PIPES</t>
        </is>
      </c>
      <c r="E1723" s="5" t="inlineStr">
        <is>
          <t>Ultrarib unplasticized pvc pipes; ring seal joints; excavation and supports, backfilling; 150 mm pipes; in trenches, depth</t>
        </is>
      </c>
      <c r="F1723" s="5" t="inlineStr">
        <is>
          <t>extra for 45 deg bends; short radius (socket/spigot)</t>
        </is>
      </c>
      <c r="G1723" s="6" t="inlineStr">
        <is>
          <t>nr</t>
        </is>
      </c>
      <c r="H1723" s="7" t="n">
        <v>0.05</v>
      </c>
      <c r="I1723" s="8" t="n">
        <v>6.91</v>
      </c>
      <c r="J1723" s="8" t="n">
        <v>0</v>
      </c>
      <c r="K1723" s="8" t="n">
        <v>72.79000000000001</v>
      </c>
      <c r="L1723" s="8" t="n">
        <v>0</v>
      </c>
      <c r="M1723" s="9">
        <f>ROUND(SUM(I1723:L1723),2)</f>
        <v/>
      </c>
      <c r="N1723" s="10">
        <f>ROUND(I1723*'Irish Basis'!$C$6*'Irish Basis'!$C$5,2)</f>
        <v/>
      </c>
      <c r="O1723" s="10">
        <f>ROUND(J1723*'Irish Basis'!$C$7*'Irish Basis'!$C$5,2)</f>
        <v/>
      </c>
      <c r="P1723" s="10">
        <f>ROUND(K1723*'Irish Basis'!$C$8*'Irish Basis'!$C$5,2)</f>
        <v/>
      </c>
      <c r="Q1723" s="10">
        <f>ROUND(L1723*'Irish Basis'!$C$12*'Irish Basis'!$C$5,2)</f>
        <v/>
      </c>
      <c r="R1723" s="11">
        <f>ROUND(SUM(N1723:Q1723),2)</f>
        <v/>
      </c>
      <c r="S1723" s="5" t="inlineStr">
        <is>
          <t>Stated build-up</t>
        </is>
      </c>
      <c r="T1723" s="12" t="inlineStr">
        <is>
          <t>High</t>
        </is>
      </c>
      <c r="U1723" s="8" t="n">
        <v>79.7</v>
      </c>
      <c r="V1723" s="13">
        <f>IF(U1723="","",ROUND(M1723-U1723,2))</f>
        <v/>
      </c>
      <c r="W1723" s="5" t="n"/>
      <c r="X1723" s="5" t="inlineStr">
        <is>
          <t>Labour + plant + material as published; reconciles to the published rate.</t>
        </is>
      </c>
    </row>
    <row r="1724" ht="13" customHeight="1">
      <c r="A1724" s="4" t="n">
        <v>2663</v>
      </c>
      <c r="B1724" s="5" t="inlineStr">
        <is>
          <t>IMG_0101</t>
        </is>
      </c>
      <c r="C1724" s="5" t="inlineStr">
        <is>
          <t>CLASS I: PIPEWORK - PIPES</t>
        </is>
      </c>
      <c r="D1724" s="5" t="inlineStr">
        <is>
          <t>05 POLYVINYL CHLORIDE PIPES</t>
        </is>
      </c>
      <c r="E1724" s="5" t="inlineStr">
        <is>
          <t>Ultrarib unplasticized pvc pipes; ring seal joints; excavation and supports, backfilling; 150 mm pipes; in trenches, depth</t>
        </is>
      </c>
      <c r="F1724" s="5" t="inlineStr">
        <is>
          <t>extra for branches; equal (socket/spigot)</t>
        </is>
      </c>
      <c r="G1724" s="6" t="inlineStr">
        <is>
          <t>nr</t>
        </is>
      </c>
      <c r="H1724" s="7" t="n">
        <v>0.09</v>
      </c>
      <c r="I1724" s="8" t="n">
        <v>12.44</v>
      </c>
      <c r="J1724" s="8" t="n">
        <v>0</v>
      </c>
      <c r="K1724" s="8" t="n">
        <v>201.37</v>
      </c>
      <c r="L1724" s="8" t="n">
        <v>0</v>
      </c>
      <c r="M1724" s="9">
        <f>ROUND(SUM(I1724:L1724),2)</f>
        <v/>
      </c>
      <c r="N1724" s="10">
        <f>ROUND(I1724*'Irish Basis'!$C$6*'Irish Basis'!$C$5,2)</f>
        <v/>
      </c>
      <c r="O1724" s="10">
        <f>ROUND(J1724*'Irish Basis'!$C$7*'Irish Basis'!$C$5,2)</f>
        <v/>
      </c>
      <c r="P1724" s="10">
        <f>ROUND(K1724*'Irish Basis'!$C$8*'Irish Basis'!$C$5,2)</f>
        <v/>
      </c>
      <c r="Q1724" s="10">
        <f>ROUND(L1724*'Irish Basis'!$C$12*'Irish Basis'!$C$5,2)</f>
        <v/>
      </c>
      <c r="R1724" s="11">
        <f>ROUND(SUM(N1724:Q1724),2)</f>
        <v/>
      </c>
      <c r="S1724" s="5" t="inlineStr">
        <is>
          <t>Stated build-up</t>
        </is>
      </c>
      <c r="T1724" s="12" t="inlineStr">
        <is>
          <t>High</t>
        </is>
      </c>
      <c r="U1724" s="8" t="n">
        <v>213.81</v>
      </c>
      <c r="V1724" s="13">
        <f>IF(U1724="","",ROUND(M1724-U1724,2))</f>
        <v/>
      </c>
      <c r="W1724" s="5" t="n"/>
      <c r="X1724" s="5" t="inlineStr">
        <is>
          <t>Labour + plant + material as published; reconciles to the published rate.</t>
        </is>
      </c>
    </row>
    <row r="1725" ht="13" customHeight="1">
      <c r="A1725" s="4" t="n">
        <v>2665</v>
      </c>
      <c r="B1725" s="5" t="inlineStr">
        <is>
          <t>IMG_0101</t>
        </is>
      </c>
      <c r="C1725" s="5" t="inlineStr">
        <is>
          <t>CLASS I: PIPEWORK - PIPES</t>
        </is>
      </c>
      <c r="D1725" s="5" t="inlineStr">
        <is>
          <t>05 POLYVINYL CHLORIDE PIPES</t>
        </is>
      </c>
      <c r="E1725" s="5" t="inlineStr">
        <is>
          <t>225 mm pipes; in trenches, depth</t>
        </is>
      </c>
      <c r="F1725" s="5" t="inlineStr">
        <is>
          <t>not in trenches</t>
        </is>
      </c>
      <c r="G1725" s="6" t="inlineStr">
        <is>
          <t>m</t>
        </is>
      </c>
      <c r="H1725" s="7" t="n">
        <v>0.08</v>
      </c>
      <c r="I1725" s="8" t="n">
        <v>6.91</v>
      </c>
      <c r="J1725" s="8" t="n">
        <v>0.89</v>
      </c>
      <c r="K1725" s="8" t="n">
        <v>107.12</v>
      </c>
      <c r="L1725" s="8" t="n">
        <v>0</v>
      </c>
      <c r="M1725" s="9">
        <f>ROUND(SUM(I1725:L1725),2)</f>
        <v/>
      </c>
      <c r="N1725" s="10">
        <f>ROUND(I1725*'Irish Basis'!$C$6*'Irish Basis'!$C$5,2)</f>
        <v/>
      </c>
      <c r="O1725" s="10">
        <f>ROUND(J1725*'Irish Basis'!$C$7*'Irish Basis'!$C$5,2)</f>
        <v/>
      </c>
      <c r="P1725" s="10">
        <f>ROUND(K1725*'Irish Basis'!$C$8*'Irish Basis'!$C$5,2)</f>
        <v/>
      </c>
      <c r="Q1725" s="10">
        <f>ROUND(L1725*'Irish Basis'!$C$12*'Irish Basis'!$C$5,2)</f>
        <v/>
      </c>
      <c r="R1725" s="11">
        <f>ROUND(SUM(N1725:Q1725),2)</f>
        <v/>
      </c>
      <c r="S1725" s="5" t="inlineStr">
        <is>
          <t>Stated build-up</t>
        </is>
      </c>
      <c r="T1725" s="12" t="inlineStr">
        <is>
          <t>High</t>
        </is>
      </c>
      <c r="U1725" s="8" t="n">
        <v>114.92</v>
      </c>
      <c r="V1725" s="13">
        <f>IF(U1725="","",ROUND(M1725-U1725,2))</f>
        <v/>
      </c>
      <c r="W1725" s="5" t="n"/>
      <c r="X1725" s="5" t="inlineStr">
        <is>
          <t>Labour + plant + material as published; reconciles to the published rate.</t>
        </is>
      </c>
    </row>
    <row r="1726" ht="13" customHeight="1">
      <c r="A1726" s="4" t="n">
        <v>2666</v>
      </c>
      <c r="B1726" s="5" t="inlineStr">
        <is>
          <t>IMG_0101</t>
        </is>
      </c>
      <c r="C1726" s="5" t="inlineStr">
        <is>
          <t>CLASS I: PIPEWORK - PIPES</t>
        </is>
      </c>
      <c r="D1726" s="5" t="inlineStr">
        <is>
          <t>05 POLYVINYL CHLORIDE PIPES</t>
        </is>
      </c>
      <c r="E1726" s="5" t="inlineStr">
        <is>
          <t>225 mm pipes; in trenches, depth</t>
        </is>
      </c>
      <c r="F1726" s="5" t="inlineStr">
        <is>
          <t>ne 1.50 m deep</t>
        </is>
      </c>
      <c r="G1726" s="6" t="inlineStr">
        <is>
          <t>m</t>
        </is>
      </c>
      <c r="H1726" s="7" t="n">
        <v>0.36</v>
      </c>
      <c r="I1726" s="8" t="n">
        <v>49.74</v>
      </c>
      <c r="J1726" s="8" t="n">
        <v>16.98</v>
      </c>
      <c r="K1726" s="8" t="n">
        <v>72.3</v>
      </c>
      <c r="L1726" s="8" t="n">
        <v>0</v>
      </c>
      <c r="M1726" s="9">
        <f>ROUND(SUM(I1726:L1726),2)</f>
        <v/>
      </c>
      <c r="N1726" s="10">
        <f>ROUND(I1726*'Irish Basis'!$C$6*'Irish Basis'!$C$5,2)</f>
        <v/>
      </c>
      <c r="O1726" s="10">
        <f>ROUND(J1726*'Irish Basis'!$C$7*'Irish Basis'!$C$5,2)</f>
        <v/>
      </c>
      <c r="P1726" s="10">
        <f>ROUND(K1726*'Irish Basis'!$C$8*'Irish Basis'!$C$5,2)</f>
        <v/>
      </c>
      <c r="Q1726" s="10">
        <f>ROUND(L1726*'Irish Basis'!$C$12*'Irish Basis'!$C$5,2)</f>
        <v/>
      </c>
      <c r="R1726" s="11">
        <f>ROUND(SUM(N1726:Q1726),2)</f>
        <v/>
      </c>
      <c r="S1726" s="5" t="inlineStr">
        <is>
          <t>Stated build-up</t>
        </is>
      </c>
      <c r="T1726" s="12" t="inlineStr">
        <is>
          <t>High</t>
        </is>
      </c>
      <c r="U1726" s="8" t="n">
        <v>139.03</v>
      </c>
      <c r="V1726" s="13">
        <f>IF(U1726="","",ROUND(M1726-U1726,2))</f>
        <v/>
      </c>
      <c r="W1726" s="5" t="n"/>
      <c r="X1726" s="5" t="inlineStr">
        <is>
          <t>Labour + plant + material as published; reconciles to the published rate.</t>
        </is>
      </c>
    </row>
    <row r="1727" ht="13" customHeight="1">
      <c r="A1727" s="4" t="n">
        <v>2667</v>
      </c>
      <c r="B1727" s="5" t="inlineStr">
        <is>
          <t>IMG_0101</t>
        </is>
      </c>
      <c r="C1727" s="5" t="inlineStr">
        <is>
          <t>CLASS I: PIPEWORK - PIPES</t>
        </is>
      </c>
      <c r="D1727" s="5" t="inlineStr">
        <is>
          <t>05 POLYVINYL CHLORIDE PIPES</t>
        </is>
      </c>
      <c r="E1727" s="5" t="inlineStr">
        <is>
          <t>225 mm pipes; in trenches, depth</t>
        </is>
      </c>
      <c r="F1727" s="5" t="inlineStr">
        <is>
          <t>1.50-2.00 m deep</t>
        </is>
      </c>
      <c r="G1727" s="6" t="inlineStr">
        <is>
          <t>m</t>
        </is>
      </c>
      <c r="H1727" s="7" t="n">
        <v>0.38</v>
      </c>
      <c r="I1727" s="8" t="n">
        <v>52.51</v>
      </c>
      <c r="J1727" s="8" t="n">
        <v>20.92</v>
      </c>
      <c r="K1727" s="8" t="n">
        <v>72.3</v>
      </c>
      <c r="L1727" s="8" t="n">
        <v>0</v>
      </c>
      <c r="M1727" s="9">
        <f>ROUND(SUM(I1727:L1727),2)</f>
        <v/>
      </c>
      <c r="N1727" s="10">
        <f>ROUND(I1727*'Irish Basis'!$C$6*'Irish Basis'!$C$5,2)</f>
        <v/>
      </c>
      <c r="O1727" s="10">
        <f>ROUND(J1727*'Irish Basis'!$C$7*'Irish Basis'!$C$5,2)</f>
        <v/>
      </c>
      <c r="P1727" s="10">
        <f>ROUND(K1727*'Irish Basis'!$C$8*'Irish Basis'!$C$5,2)</f>
        <v/>
      </c>
      <c r="Q1727" s="10">
        <f>ROUND(L1727*'Irish Basis'!$C$12*'Irish Basis'!$C$5,2)</f>
        <v/>
      </c>
      <c r="R1727" s="11">
        <f>ROUND(SUM(N1727:Q1727),2)</f>
        <v/>
      </c>
      <c r="S1727" s="5" t="inlineStr">
        <is>
          <t>Stated build-up</t>
        </is>
      </c>
      <c r="T1727" s="12" t="inlineStr">
        <is>
          <t>High</t>
        </is>
      </c>
      <c r="U1727" s="8" t="n">
        <v>145.73</v>
      </c>
      <c r="V1727" s="13">
        <f>IF(U1727="","",ROUND(M1727-U1727,2))</f>
        <v/>
      </c>
      <c r="W1727" s="5" t="n"/>
      <c r="X1727" s="5" t="inlineStr">
        <is>
          <t>Labour + plant + material as published; reconciles to the published rate.</t>
        </is>
      </c>
    </row>
    <row r="1728" ht="13" customHeight="1">
      <c r="A1728" s="4" t="n">
        <v>2668</v>
      </c>
      <c r="B1728" s="5" t="inlineStr">
        <is>
          <t>IMG_0101</t>
        </is>
      </c>
      <c r="C1728" s="5" t="inlineStr">
        <is>
          <t>CLASS I: PIPEWORK - PIPES</t>
        </is>
      </c>
      <c r="D1728" s="5" t="inlineStr">
        <is>
          <t>05 POLYVINYL CHLORIDE PIPES</t>
        </is>
      </c>
      <c r="E1728" s="5" t="inlineStr">
        <is>
          <t>225 mm pipes; in trenches, depth</t>
        </is>
      </c>
      <c r="F1728" s="5" t="inlineStr">
        <is>
          <t>2.00-2.50 m deep</t>
        </is>
      </c>
      <c r="G1728" s="6" t="inlineStr">
        <is>
          <t>m</t>
        </is>
      </c>
      <c r="H1728" s="7" t="n">
        <v>0.44</v>
      </c>
      <c r="I1728" s="8" t="n">
        <v>60.8</v>
      </c>
      <c r="J1728" s="8" t="n">
        <v>27.47</v>
      </c>
      <c r="K1728" s="8" t="n">
        <v>72.3</v>
      </c>
      <c r="L1728" s="8" t="n">
        <v>0</v>
      </c>
      <c r="M1728" s="9">
        <f>ROUND(SUM(I1728:L1728),2)</f>
        <v/>
      </c>
      <c r="N1728" s="10">
        <f>ROUND(I1728*'Irish Basis'!$C$6*'Irish Basis'!$C$5,2)</f>
        <v/>
      </c>
      <c r="O1728" s="10">
        <f>ROUND(J1728*'Irish Basis'!$C$7*'Irish Basis'!$C$5,2)</f>
        <v/>
      </c>
      <c r="P1728" s="10">
        <f>ROUND(K1728*'Irish Basis'!$C$8*'Irish Basis'!$C$5,2)</f>
        <v/>
      </c>
      <c r="Q1728" s="10">
        <f>ROUND(L1728*'Irish Basis'!$C$12*'Irish Basis'!$C$5,2)</f>
        <v/>
      </c>
      <c r="R1728" s="11">
        <f>ROUND(SUM(N1728:Q1728),2)</f>
        <v/>
      </c>
      <c r="S1728" s="5" t="inlineStr">
        <is>
          <t>Stated build-up</t>
        </is>
      </c>
      <c r="T1728" s="12" t="inlineStr">
        <is>
          <t>High</t>
        </is>
      </c>
      <c r="U1728" s="8" t="n">
        <v>160.57</v>
      </c>
      <c r="V1728" s="13">
        <f>IF(U1728="","",ROUND(M1728-U1728,2))</f>
        <v/>
      </c>
      <c r="W1728" s="5" t="n"/>
      <c r="X1728" s="5" t="inlineStr">
        <is>
          <t>Labour + plant + material as published; reconciles to the published rate.</t>
        </is>
      </c>
    </row>
    <row r="1729" ht="13" customHeight="1">
      <c r="A1729" s="4" t="n">
        <v>2669</v>
      </c>
      <c r="B1729" s="5" t="inlineStr">
        <is>
          <t>IMG_0101</t>
        </is>
      </c>
      <c r="C1729" s="5" t="inlineStr">
        <is>
          <t>CLASS I: PIPEWORK - PIPES</t>
        </is>
      </c>
      <c r="D1729" s="5" t="inlineStr">
        <is>
          <t>05 POLYVINYL CHLORIDE PIPES</t>
        </is>
      </c>
      <c r="E1729" s="5" t="inlineStr">
        <is>
          <t>225 mm pipes; in trenches, depth</t>
        </is>
      </c>
      <c r="F1729" s="5" t="inlineStr">
        <is>
          <t>2.50-3.00 m deep</t>
        </is>
      </c>
      <c r="G1729" s="6" t="inlineStr">
        <is>
          <t>m</t>
        </is>
      </c>
      <c r="H1729" s="7" t="n">
        <v>0.46</v>
      </c>
      <c r="I1729" s="8" t="n">
        <v>63.56</v>
      </c>
      <c r="J1729" s="8" t="n">
        <v>30.07</v>
      </c>
      <c r="K1729" s="8" t="n">
        <v>72.3</v>
      </c>
      <c r="L1729" s="8" t="n">
        <v>0</v>
      </c>
      <c r="M1729" s="9">
        <f>ROUND(SUM(I1729:L1729),2)</f>
        <v/>
      </c>
      <c r="N1729" s="10">
        <f>ROUND(I1729*'Irish Basis'!$C$6*'Irish Basis'!$C$5,2)</f>
        <v/>
      </c>
      <c r="O1729" s="10">
        <f>ROUND(J1729*'Irish Basis'!$C$7*'Irish Basis'!$C$5,2)</f>
        <v/>
      </c>
      <c r="P1729" s="10">
        <f>ROUND(K1729*'Irish Basis'!$C$8*'Irish Basis'!$C$5,2)</f>
        <v/>
      </c>
      <c r="Q1729" s="10">
        <f>ROUND(L1729*'Irish Basis'!$C$12*'Irish Basis'!$C$5,2)</f>
        <v/>
      </c>
      <c r="R1729" s="11">
        <f>ROUND(SUM(N1729:Q1729),2)</f>
        <v/>
      </c>
      <c r="S1729" s="5" t="inlineStr">
        <is>
          <t>Stated build-up</t>
        </is>
      </c>
      <c r="T1729" s="12" t="inlineStr">
        <is>
          <t>High</t>
        </is>
      </c>
      <c r="U1729" s="8" t="n">
        <v>165.94</v>
      </c>
      <c r="V1729" s="13">
        <f>IF(U1729="","",ROUND(M1729-U1729,2))</f>
        <v/>
      </c>
      <c r="W1729" s="5" t="n"/>
      <c r="X1729" s="5" t="inlineStr">
        <is>
          <t>Labour + plant + material as published; reconciles to the published rate.</t>
        </is>
      </c>
    </row>
    <row r="1730" ht="13" customHeight="1">
      <c r="A1730" s="4" t="n">
        <v>2670</v>
      </c>
      <c r="B1730" s="5" t="inlineStr">
        <is>
          <t>IMG_0101</t>
        </is>
      </c>
      <c r="C1730" s="5" t="inlineStr">
        <is>
          <t>CLASS I: PIPEWORK - PIPES</t>
        </is>
      </c>
      <c r="D1730" s="5" t="inlineStr">
        <is>
          <t>05 POLYVINYL CHLORIDE PIPES</t>
        </is>
      </c>
      <c r="E1730" s="5" t="inlineStr">
        <is>
          <t>225 mm pipes; in trenches, depth</t>
        </is>
      </c>
      <c r="F1730" s="5" t="inlineStr">
        <is>
          <t>3.00-3.50 m deep</t>
        </is>
      </c>
      <c r="G1730" s="6" t="inlineStr">
        <is>
          <t>m</t>
        </is>
      </c>
      <c r="H1730" s="7" t="n">
        <v>0.47</v>
      </c>
      <c r="I1730" s="8" t="n">
        <v>64.94</v>
      </c>
      <c r="J1730" s="8" t="n">
        <v>32.73</v>
      </c>
      <c r="K1730" s="8" t="n">
        <v>72.3</v>
      </c>
      <c r="L1730" s="8" t="n">
        <v>0</v>
      </c>
      <c r="M1730" s="9">
        <f>ROUND(SUM(I1730:L1730),2)</f>
        <v/>
      </c>
      <c r="N1730" s="10">
        <f>ROUND(I1730*'Irish Basis'!$C$6*'Irish Basis'!$C$5,2)</f>
        <v/>
      </c>
      <c r="O1730" s="10">
        <f>ROUND(J1730*'Irish Basis'!$C$7*'Irish Basis'!$C$5,2)</f>
        <v/>
      </c>
      <c r="P1730" s="10">
        <f>ROUND(K1730*'Irish Basis'!$C$8*'Irish Basis'!$C$5,2)</f>
        <v/>
      </c>
      <c r="Q1730" s="10">
        <f>ROUND(L1730*'Irish Basis'!$C$12*'Irish Basis'!$C$5,2)</f>
        <v/>
      </c>
      <c r="R1730" s="11">
        <f>ROUND(SUM(N1730:Q1730),2)</f>
        <v/>
      </c>
      <c r="S1730" s="5" t="inlineStr">
        <is>
          <t>Stated build-up</t>
        </is>
      </c>
      <c r="T1730" s="12" t="inlineStr">
        <is>
          <t>High</t>
        </is>
      </c>
      <c r="U1730" s="8" t="n">
        <v>169.98</v>
      </c>
      <c r="V1730" s="13">
        <f>IF(U1730="","",ROUND(M1730-U1730,2))</f>
        <v/>
      </c>
      <c r="W1730" s="5" t="n"/>
      <c r="X1730" s="5" t="inlineStr">
        <is>
          <t>Labour + plant + material as published; reconciles to the published rate.</t>
        </is>
      </c>
    </row>
    <row r="1731" ht="13" customHeight="1">
      <c r="A1731" s="4" t="n">
        <v>2671</v>
      </c>
      <c r="B1731" s="5" t="inlineStr">
        <is>
          <t>IMG_0101</t>
        </is>
      </c>
      <c r="C1731" s="5" t="inlineStr">
        <is>
          <t>CLASS I: PIPEWORK - PIPES</t>
        </is>
      </c>
      <c r="D1731" s="5" t="inlineStr">
        <is>
          <t>05 POLYVINYL CHLORIDE PIPES</t>
        </is>
      </c>
      <c r="E1731" s="5" t="inlineStr">
        <is>
          <t>225 mm pipes; in trenches, depth</t>
        </is>
      </c>
      <c r="F1731" s="5" t="inlineStr">
        <is>
          <t>3.50-4.00 m deep</t>
        </is>
      </c>
      <c r="G1731" s="6" t="inlineStr">
        <is>
          <t>m</t>
        </is>
      </c>
      <c r="H1731" s="7" t="n">
        <v>0.51</v>
      </c>
      <c r="I1731" s="8" t="n">
        <v>70.47</v>
      </c>
      <c r="J1731" s="8" t="n">
        <v>36.67</v>
      </c>
      <c r="K1731" s="8" t="n">
        <v>72.3</v>
      </c>
      <c r="L1731" s="8" t="n">
        <v>0</v>
      </c>
      <c r="M1731" s="9">
        <f>ROUND(SUM(I1731:L1731),2)</f>
        <v/>
      </c>
      <c r="N1731" s="10">
        <f>ROUND(I1731*'Irish Basis'!$C$6*'Irish Basis'!$C$5,2)</f>
        <v/>
      </c>
      <c r="O1731" s="10">
        <f>ROUND(J1731*'Irish Basis'!$C$7*'Irish Basis'!$C$5,2)</f>
        <v/>
      </c>
      <c r="P1731" s="10">
        <f>ROUND(K1731*'Irish Basis'!$C$8*'Irish Basis'!$C$5,2)</f>
        <v/>
      </c>
      <c r="Q1731" s="10">
        <f>ROUND(L1731*'Irish Basis'!$C$12*'Irish Basis'!$C$5,2)</f>
        <v/>
      </c>
      <c r="R1731" s="11">
        <f>ROUND(SUM(N1731:Q1731),2)</f>
        <v/>
      </c>
      <c r="S1731" s="5" t="inlineStr">
        <is>
          <t>Stated build-up</t>
        </is>
      </c>
      <c r="T1731" s="12" t="inlineStr">
        <is>
          <t>High</t>
        </is>
      </c>
      <c r="U1731" s="8" t="n">
        <v>179.44</v>
      </c>
      <c r="V1731" s="13">
        <f>IF(U1731="","",ROUND(M1731-U1731,2))</f>
        <v/>
      </c>
      <c r="W1731" s="5" t="n"/>
      <c r="X1731" s="5" t="inlineStr">
        <is>
          <t>Labour + plant + material as published; reconciles to the published rate.</t>
        </is>
      </c>
    </row>
    <row r="1732" ht="13" customHeight="1">
      <c r="A1732" s="4" t="n">
        <v>2672</v>
      </c>
      <c r="B1732" s="5" t="inlineStr">
        <is>
          <t>IMG_0101</t>
        </is>
      </c>
      <c r="C1732" s="5" t="inlineStr">
        <is>
          <t>CLASS I: PIPEWORK - PIPES</t>
        </is>
      </c>
      <c r="D1732" s="5" t="inlineStr">
        <is>
          <t>05 POLYVINYL CHLORIDE PIPES</t>
        </is>
      </c>
      <c r="E1732" s="5" t="inlineStr">
        <is>
          <t>225 mm pipes; in trenches, depth</t>
        </is>
      </c>
      <c r="F1732" s="5" t="inlineStr">
        <is>
          <t>4.00-4.50 m deep</t>
        </is>
      </c>
      <c r="G1732" s="6" t="inlineStr">
        <is>
          <t>m</t>
        </is>
      </c>
      <c r="H1732" s="7" t="n">
        <v>0.57</v>
      </c>
      <c r="I1732" s="8" t="n">
        <v>78.76000000000001</v>
      </c>
      <c r="J1732" s="8" t="n">
        <v>44.56</v>
      </c>
      <c r="K1732" s="8" t="n">
        <v>72.3</v>
      </c>
      <c r="L1732" s="8" t="n">
        <v>0</v>
      </c>
      <c r="M1732" s="9">
        <f>ROUND(SUM(I1732:L1732),2)</f>
        <v/>
      </c>
      <c r="N1732" s="10">
        <f>ROUND(I1732*'Irish Basis'!$C$6*'Irish Basis'!$C$5,2)</f>
        <v/>
      </c>
      <c r="O1732" s="10">
        <f>ROUND(J1732*'Irish Basis'!$C$7*'Irish Basis'!$C$5,2)</f>
        <v/>
      </c>
      <c r="P1732" s="10">
        <f>ROUND(K1732*'Irish Basis'!$C$8*'Irish Basis'!$C$5,2)</f>
        <v/>
      </c>
      <c r="Q1732" s="10">
        <f>ROUND(L1732*'Irish Basis'!$C$12*'Irish Basis'!$C$5,2)</f>
        <v/>
      </c>
      <c r="R1732" s="11">
        <f>ROUND(SUM(N1732:Q1732),2)</f>
        <v/>
      </c>
      <c r="S1732" s="5" t="inlineStr">
        <is>
          <t>Stated build-up</t>
        </is>
      </c>
      <c r="T1732" s="12" t="inlineStr">
        <is>
          <t>High</t>
        </is>
      </c>
      <c r="U1732" s="8" t="n">
        <v>195.63</v>
      </c>
      <c r="V1732" s="13">
        <f>IF(U1732="","",ROUND(M1732-U1732,2))</f>
        <v/>
      </c>
      <c r="W1732" s="5" t="n"/>
      <c r="X1732" s="5" t="inlineStr">
        <is>
          <t>Labour + plant + material as published; reconciles to the published rate.</t>
        </is>
      </c>
    </row>
    <row r="1733" ht="13" customHeight="1">
      <c r="A1733" s="4" t="n">
        <v>2673</v>
      </c>
      <c r="B1733" s="5" t="inlineStr">
        <is>
          <t>IMG_0101</t>
        </is>
      </c>
      <c r="C1733" s="5" t="inlineStr">
        <is>
          <t>CLASS I: PIPEWORK - PIPES</t>
        </is>
      </c>
      <c r="D1733" s="5" t="inlineStr">
        <is>
          <t>05 POLYVINYL CHLORIDE PIPES</t>
        </is>
      </c>
      <c r="E1733" s="5" t="inlineStr">
        <is>
          <t>225 mm pipes; in trenches, depth</t>
        </is>
      </c>
      <c r="F1733" s="5" t="inlineStr">
        <is>
          <t>4.50-5.00 m deep</t>
        </is>
      </c>
      <c r="G1733" s="6" t="inlineStr">
        <is>
          <t>m</t>
        </is>
      </c>
      <c r="H1733" s="7" t="n">
        <v>0.61</v>
      </c>
      <c r="I1733" s="8" t="n">
        <v>84.29000000000001</v>
      </c>
      <c r="J1733" s="8" t="n">
        <v>49.82</v>
      </c>
      <c r="K1733" s="8" t="n">
        <v>72.3</v>
      </c>
      <c r="L1733" s="8" t="n">
        <v>0</v>
      </c>
      <c r="M1733" s="9">
        <f>ROUND(SUM(I1733:L1733),2)</f>
        <v/>
      </c>
      <c r="N1733" s="10">
        <f>ROUND(I1733*'Irish Basis'!$C$6*'Irish Basis'!$C$5,2)</f>
        <v/>
      </c>
      <c r="O1733" s="10">
        <f>ROUND(J1733*'Irish Basis'!$C$7*'Irish Basis'!$C$5,2)</f>
        <v/>
      </c>
      <c r="P1733" s="10">
        <f>ROUND(K1733*'Irish Basis'!$C$8*'Irish Basis'!$C$5,2)</f>
        <v/>
      </c>
      <c r="Q1733" s="10">
        <f>ROUND(L1733*'Irish Basis'!$C$12*'Irish Basis'!$C$5,2)</f>
        <v/>
      </c>
      <c r="R1733" s="11">
        <f>ROUND(SUM(N1733:Q1733),2)</f>
        <v/>
      </c>
      <c r="S1733" s="5" t="inlineStr">
        <is>
          <t>Stated build-up</t>
        </is>
      </c>
      <c r="T1733" s="12" t="inlineStr">
        <is>
          <t>High</t>
        </is>
      </c>
      <c r="U1733" s="8" t="n">
        <v>206.42</v>
      </c>
      <c r="V1733" s="13">
        <f>IF(U1733="","",ROUND(M1733-U1733,2))</f>
        <v/>
      </c>
      <c r="W1733" s="5" t="n"/>
      <c r="X1733" s="5" t="inlineStr">
        <is>
          <t>Labour + plant + material as published; reconciles to the published rate.</t>
        </is>
      </c>
    </row>
    <row r="1734" ht="13" customHeight="1">
      <c r="A1734" s="4" t="n">
        <v>2674</v>
      </c>
      <c r="B1734" s="5" t="inlineStr">
        <is>
          <t>IMG_0101</t>
        </is>
      </c>
      <c r="C1734" s="5" t="inlineStr">
        <is>
          <t>CLASS I: PIPEWORK - PIPES</t>
        </is>
      </c>
      <c r="D1734" s="5" t="inlineStr">
        <is>
          <t>05 POLYVINYL CHLORIDE PIPES</t>
        </is>
      </c>
      <c r="E1734" s="5" t="inlineStr">
        <is>
          <t>225 mm pipes; in trenches, depth</t>
        </is>
      </c>
      <c r="F1734" s="5" t="inlineStr">
        <is>
          <t>5.00-5.50 m deep</t>
        </is>
      </c>
      <c r="G1734" s="6" t="inlineStr">
        <is>
          <t>m</t>
        </is>
      </c>
      <c r="H1734" s="7" t="n">
        <v>0.7</v>
      </c>
      <c r="I1734" s="8" t="n">
        <v>96.73</v>
      </c>
      <c r="J1734" s="8" t="n">
        <v>61.6</v>
      </c>
      <c r="K1734" s="8" t="n">
        <v>72.3</v>
      </c>
      <c r="L1734" s="8" t="n">
        <v>0</v>
      </c>
      <c r="M1734" s="9">
        <f>ROUND(SUM(I1734:L1734),2)</f>
        <v/>
      </c>
      <c r="N1734" s="10">
        <f>ROUND(I1734*'Irish Basis'!$C$6*'Irish Basis'!$C$5,2)</f>
        <v/>
      </c>
      <c r="O1734" s="10">
        <f>ROUND(J1734*'Irish Basis'!$C$7*'Irish Basis'!$C$5,2)</f>
        <v/>
      </c>
      <c r="P1734" s="10">
        <f>ROUND(K1734*'Irish Basis'!$C$8*'Irish Basis'!$C$5,2)</f>
        <v/>
      </c>
      <c r="Q1734" s="10">
        <f>ROUND(L1734*'Irish Basis'!$C$12*'Irish Basis'!$C$5,2)</f>
        <v/>
      </c>
      <c r="R1734" s="11">
        <f>ROUND(SUM(N1734:Q1734),2)</f>
        <v/>
      </c>
      <c r="S1734" s="5" t="inlineStr">
        <is>
          <t>Stated build-up</t>
        </is>
      </c>
      <c r="T1734" s="12" t="inlineStr">
        <is>
          <t>High</t>
        </is>
      </c>
      <c r="U1734" s="8" t="n">
        <v>230.63</v>
      </c>
      <c r="V1734" s="13">
        <f>IF(U1734="","",ROUND(M1734-U1734,2))</f>
        <v/>
      </c>
      <c r="W1734" s="5" t="n"/>
      <c r="X1734" s="5" t="inlineStr">
        <is>
          <t>Labour + plant + material as published; reconciles to the published rate.</t>
        </is>
      </c>
    </row>
    <row r="1735" ht="13" customHeight="1">
      <c r="A1735" s="4" t="n">
        <v>2675</v>
      </c>
      <c r="B1735" s="5" t="inlineStr">
        <is>
          <t>IMG_0101</t>
        </is>
      </c>
      <c r="C1735" s="5" t="inlineStr">
        <is>
          <t>CLASS I: PIPEWORK - PIPES</t>
        </is>
      </c>
      <c r="D1735" s="5" t="inlineStr">
        <is>
          <t>05 POLYVINYL CHLORIDE PIPES</t>
        </is>
      </c>
      <c r="E1735" s="5" t="inlineStr">
        <is>
          <t>225 mm pipes; in trenches, depth</t>
        </is>
      </c>
      <c r="F1735" s="5" t="inlineStr">
        <is>
          <t>extra for 45 deg bends; short radius (socket/spigot)</t>
        </is>
      </c>
      <c r="G1735" s="6" t="inlineStr">
        <is>
          <t>nr</t>
        </is>
      </c>
      <c r="H1735" s="7" t="n">
        <v>0.05</v>
      </c>
      <c r="I1735" s="8" t="n">
        <v>6.91</v>
      </c>
      <c r="J1735" s="8" t="n">
        <v>0</v>
      </c>
      <c r="K1735" s="8" t="n">
        <v>350.29</v>
      </c>
      <c r="L1735" s="8" t="n">
        <v>0</v>
      </c>
      <c r="M1735" s="9">
        <f>ROUND(SUM(I1735:L1735),2)</f>
        <v/>
      </c>
      <c r="N1735" s="10">
        <f>ROUND(I1735*'Irish Basis'!$C$6*'Irish Basis'!$C$5,2)</f>
        <v/>
      </c>
      <c r="O1735" s="10">
        <f>ROUND(J1735*'Irish Basis'!$C$7*'Irish Basis'!$C$5,2)</f>
        <v/>
      </c>
      <c r="P1735" s="10">
        <f>ROUND(K1735*'Irish Basis'!$C$8*'Irish Basis'!$C$5,2)</f>
        <v/>
      </c>
      <c r="Q1735" s="10">
        <f>ROUND(L1735*'Irish Basis'!$C$12*'Irish Basis'!$C$5,2)</f>
        <v/>
      </c>
      <c r="R1735" s="11">
        <f>ROUND(SUM(N1735:Q1735),2)</f>
        <v/>
      </c>
      <c r="S1735" s="5" t="inlineStr">
        <is>
          <t>Stated build-up</t>
        </is>
      </c>
      <c r="T1735" s="12" t="inlineStr">
        <is>
          <t>High</t>
        </is>
      </c>
      <c r="U1735" s="8" t="n">
        <v>357.2</v>
      </c>
      <c r="V1735" s="13">
        <f>IF(U1735="","",ROUND(M1735-U1735,2))</f>
        <v/>
      </c>
      <c r="W1735" s="5" t="n"/>
      <c r="X1735" s="5" t="inlineStr">
        <is>
          <t>Labour + plant + material as published; reconciles to the published rate.</t>
        </is>
      </c>
    </row>
    <row r="1736" ht="13" customHeight="1">
      <c r="A1736" s="4" t="n">
        <v>2676</v>
      </c>
      <c r="B1736" s="5" t="inlineStr">
        <is>
          <t>IMG_0101</t>
        </is>
      </c>
      <c r="C1736" s="5" t="inlineStr">
        <is>
          <t>CLASS I: PIPEWORK - PIPES</t>
        </is>
      </c>
      <c r="D1736" s="5" t="inlineStr">
        <is>
          <t>05 POLYVINYL CHLORIDE PIPES</t>
        </is>
      </c>
      <c r="E1736" s="5" t="inlineStr">
        <is>
          <t>225 mm pipes; in trenches, depth</t>
        </is>
      </c>
      <c r="F1736" s="5" t="inlineStr">
        <is>
          <t>extra for branches; equal (socket/spigot)</t>
        </is>
      </c>
      <c r="G1736" s="6" t="inlineStr">
        <is>
          <t>nr</t>
        </is>
      </c>
      <c r="H1736" s="7" t="n">
        <v>0.09</v>
      </c>
      <c r="I1736" s="8" t="n">
        <v>12.44</v>
      </c>
      <c r="J1736" s="8" t="n">
        <v>0</v>
      </c>
      <c r="K1736" s="8" t="n">
        <v>698.53</v>
      </c>
      <c r="L1736" s="8" t="n">
        <v>0</v>
      </c>
      <c r="M1736" s="9">
        <f>ROUND(SUM(I1736:L1736),2)</f>
        <v/>
      </c>
      <c r="N1736" s="10">
        <f>ROUND(I1736*'Irish Basis'!$C$6*'Irish Basis'!$C$5,2)</f>
        <v/>
      </c>
      <c r="O1736" s="10">
        <f>ROUND(J1736*'Irish Basis'!$C$7*'Irish Basis'!$C$5,2)</f>
        <v/>
      </c>
      <c r="P1736" s="10">
        <f>ROUND(K1736*'Irish Basis'!$C$8*'Irish Basis'!$C$5,2)</f>
        <v/>
      </c>
      <c r="Q1736" s="10">
        <f>ROUND(L1736*'Irish Basis'!$C$12*'Irish Basis'!$C$5,2)</f>
        <v/>
      </c>
      <c r="R1736" s="11">
        <f>ROUND(SUM(N1736:Q1736),2)</f>
        <v/>
      </c>
      <c r="S1736" s="5" t="inlineStr">
        <is>
          <t>Stated build-up</t>
        </is>
      </c>
      <c r="T1736" s="12" t="inlineStr">
        <is>
          <t>High</t>
        </is>
      </c>
      <c r="U1736" s="8" t="n">
        <v>710.96</v>
      </c>
      <c r="V1736" s="13">
        <f>IF(U1736="","",ROUND(M1736-U1736,2))</f>
        <v/>
      </c>
      <c r="W1736" s="5" t="n"/>
      <c r="X1736" s="5" t="inlineStr">
        <is>
          <t>Labour + plant + material as published; reconciles to the published rate.</t>
        </is>
      </c>
    </row>
    <row r="1737" ht="13" customHeight="1">
      <c r="A1737" s="4" t="n">
        <v>2678</v>
      </c>
      <c r="B1737" s="5" t="inlineStr">
        <is>
          <t>IMG_0101</t>
        </is>
      </c>
      <c r="C1737" s="5" t="inlineStr">
        <is>
          <t>CLASS I: PIPEWORK - PIPES</t>
        </is>
      </c>
      <c r="D1737" s="5" t="inlineStr">
        <is>
          <t>05 POLYVINYL CHLORIDE PIPES</t>
        </is>
      </c>
      <c r="E1737" s="5" t="inlineStr">
        <is>
          <t>300 mm pipes; in trenches, depth</t>
        </is>
      </c>
      <c r="F1737" s="5" t="inlineStr">
        <is>
          <t>not in trenches</t>
        </is>
      </c>
      <c r="G1737" s="6" t="inlineStr">
        <is>
          <t>m</t>
        </is>
      </c>
      <c r="H1737" s="7" t="n">
        <v>0.75</v>
      </c>
      <c r="I1737" s="8" t="n">
        <v>64.73999999999999</v>
      </c>
      <c r="J1737" s="8" t="n">
        <v>0.89</v>
      </c>
      <c r="K1737" s="8" t="n">
        <v>86.94</v>
      </c>
      <c r="L1737" s="8" t="n">
        <v>0</v>
      </c>
      <c r="M1737" s="9">
        <f>ROUND(SUM(I1737:L1737),2)</f>
        <v/>
      </c>
      <c r="N1737" s="10">
        <f>ROUND(I1737*'Irish Basis'!$C$6*'Irish Basis'!$C$5,2)</f>
        <v/>
      </c>
      <c r="O1737" s="10">
        <f>ROUND(J1737*'Irish Basis'!$C$7*'Irish Basis'!$C$5,2)</f>
        <v/>
      </c>
      <c r="P1737" s="10">
        <f>ROUND(K1737*'Irish Basis'!$C$8*'Irish Basis'!$C$5,2)</f>
        <v/>
      </c>
      <c r="Q1737" s="10">
        <f>ROUND(L1737*'Irish Basis'!$C$12*'Irish Basis'!$C$5,2)</f>
        <v/>
      </c>
      <c r="R1737" s="11">
        <f>ROUND(SUM(N1737:Q1737),2)</f>
        <v/>
      </c>
      <c r="S1737" s="5" t="inlineStr">
        <is>
          <t>Stated build-up</t>
        </is>
      </c>
      <c r="T1737" s="12" t="inlineStr">
        <is>
          <t>High</t>
        </is>
      </c>
      <c r="U1737" s="8" t="n">
        <v>152.56</v>
      </c>
      <c r="V1737" s="13">
        <f>IF(U1737="","",ROUND(M1737-U1737,2))</f>
        <v/>
      </c>
      <c r="W1737" s="5" t="n"/>
      <c r="X1737" s="5" t="inlineStr">
        <is>
          <t>Labour + plant + material as published; reconciles to the published rate.</t>
        </is>
      </c>
    </row>
    <row r="1738" ht="13" customHeight="1">
      <c r="A1738" s="4" t="n">
        <v>2679</v>
      </c>
      <c r="B1738" s="5" t="inlineStr">
        <is>
          <t>IMG_0101</t>
        </is>
      </c>
      <c r="C1738" s="5" t="inlineStr">
        <is>
          <t>CLASS I: PIPEWORK - PIPES</t>
        </is>
      </c>
      <c r="D1738" s="5" t="inlineStr">
        <is>
          <t>05 POLYVINYL CHLORIDE PIPES</t>
        </is>
      </c>
      <c r="E1738" s="5" t="inlineStr">
        <is>
          <t>300 mm pipes; in trenches, depth</t>
        </is>
      </c>
      <c r="F1738" s="5" t="inlineStr">
        <is>
          <t>ne 1.50 m deep</t>
        </is>
      </c>
      <c r="G1738" s="6" t="inlineStr">
        <is>
          <t>m</t>
        </is>
      </c>
      <c r="H1738" s="7" t="n">
        <v>0.57</v>
      </c>
      <c r="I1738" s="8" t="n">
        <v>78.76000000000001</v>
      </c>
      <c r="J1738" s="8" t="n">
        <v>16.98</v>
      </c>
      <c r="K1738" s="8" t="n">
        <v>86.94</v>
      </c>
      <c r="L1738" s="8" t="n">
        <v>0</v>
      </c>
      <c r="M1738" s="9">
        <f>ROUND(SUM(I1738:L1738),2)</f>
        <v/>
      </c>
      <c r="N1738" s="10">
        <f>ROUND(I1738*'Irish Basis'!$C$6*'Irish Basis'!$C$5,2)</f>
        <v/>
      </c>
      <c r="O1738" s="10">
        <f>ROUND(J1738*'Irish Basis'!$C$7*'Irish Basis'!$C$5,2)</f>
        <v/>
      </c>
      <c r="P1738" s="10">
        <f>ROUND(K1738*'Irish Basis'!$C$8*'Irish Basis'!$C$5,2)</f>
        <v/>
      </c>
      <c r="Q1738" s="10">
        <f>ROUND(L1738*'Irish Basis'!$C$12*'Irish Basis'!$C$5,2)</f>
        <v/>
      </c>
      <c r="R1738" s="11">
        <f>ROUND(SUM(N1738:Q1738),2)</f>
        <v/>
      </c>
      <c r="S1738" s="5" t="inlineStr">
        <is>
          <t>Stated build-up</t>
        </is>
      </c>
      <c r="T1738" s="12" t="inlineStr">
        <is>
          <t>High</t>
        </is>
      </c>
      <c r="U1738" s="8" t="n">
        <v>182.68</v>
      </c>
      <c r="V1738" s="13">
        <f>IF(U1738="","",ROUND(M1738-U1738,2))</f>
        <v/>
      </c>
      <c r="W1738" s="5" t="n"/>
      <c r="X1738" s="5" t="inlineStr">
        <is>
          <t>Labour + plant + material as published; reconciles to the published rate.</t>
        </is>
      </c>
    </row>
    <row r="1739" ht="13" customHeight="1">
      <c r="A1739" s="4" t="n">
        <v>2680</v>
      </c>
      <c r="B1739" s="5" t="inlineStr">
        <is>
          <t>IMG_0101</t>
        </is>
      </c>
      <c r="C1739" s="5" t="inlineStr">
        <is>
          <t>CLASS I: PIPEWORK - PIPES</t>
        </is>
      </c>
      <c r="D1739" s="5" t="inlineStr">
        <is>
          <t>05 POLYVINYL CHLORIDE PIPES</t>
        </is>
      </c>
      <c r="E1739" s="5" t="inlineStr">
        <is>
          <t>300 mm pipes; in trenches, depth</t>
        </is>
      </c>
      <c r="F1739" s="5" t="inlineStr">
        <is>
          <t>1.50-2.00 m deep</t>
        </is>
      </c>
      <c r="G1739" s="6" t="inlineStr">
        <is>
          <t>m</t>
        </is>
      </c>
      <c r="H1739" s="7" t="n">
        <v>0.6</v>
      </c>
      <c r="I1739" s="8" t="n">
        <v>82.91</v>
      </c>
      <c r="J1739" s="8" t="n">
        <v>20.92</v>
      </c>
      <c r="K1739" s="8" t="n">
        <v>86.94</v>
      </c>
      <c r="L1739" s="8" t="n">
        <v>0</v>
      </c>
      <c r="M1739" s="9">
        <f>ROUND(SUM(I1739:L1739),2)</f>
        <v/>
      </c>
      <c r="N1739" s="10">
        <f>ROUND(I1739*'Irish Basis'!$C$6*'Irish Basis'!$C$5,2)</f>
        <v/>
      </c>
      <c r="O1739" s="10">
        <f>ROUND(J1739*'Irish Basis'!$C$7*'Irish Basis'!$C$5,2)</f>
        <v/>
      </c>
      <c r="P1739" s="10">
        <f>ROUND(K1739*'Irish Basis'!$C$8*'Irish Basis'!$C$5,2)</f>
        <v/>
      </c>
      <c r="Q1739" s="10">
        <f>ROUND(L1739*'Irish Basis'!$C$12*'Irish Basis'!$C$5,2)</f>
        <v/>
      </c>
      <c r="R1739" s="11">
        <f>ROUND(SUM(N1739:Q1739),2)</f>
        <v/>
      </c>
      <c r="S1739" s="5" t="inlineStr">
        <is>
          <t>Stated build-up</t>
        </is>
      </c>
      <c r="T1739" s="12" t="inlineStr">
        <is>
          <t>High</t>
        </is>
      </c>
      <c r="U1739" s="8" t="n">
        <v>190.76</v>
      </c>
      <c r="V1739" s="13">
        <f>IF(U1739="","",ROUND(M1739-U1739,2))</f>
        <v/>
      </c>
      <c r="W1739" s="5" t="n"/>
      <c r="X1739" s="5" t="inlineStr">
        <is>
          <t>Labour + plant + material as published; reconciles to the published rate.</t>
        </is>
      </c>
    </row>
    <row r="1740" ht="13" customHeight="1">
      <c r="A1740" s="4" t="n">
        <v>2681</v>
      </c>
      <c r="B1740" s="5" t="inlineStr">
        <is>
          <t>IMG_0101</t>
        </is>
      </c>
      <c r="C1740" s="5" t="inlineStr">
        <is>
          <t>CLASS I: PIPEWORK - PIPES</t>
        </is>
      </c>
      <c r="D1740" s="5" t="inlineStr">
        <is>
          <t>05 POLYVINYL CHLORIDE PIPES</t>
        </is>
      </c>
      <c r="E1740" s="5" t="inlineStr">
        <is>
          <t>300 mm pipes; in trenches, depth</t>
        </is>
      </c>
      <c r="F1740" s="5" t="inlineStr">
        <is>
          <t>2.00-2.50 m deep</t>
        </is>
      </c>
      <c r="G1740" s="6" t="inlineStr">
        <is>
          <t>m</t>
        </is>
      </c>
      <c r="H1740" s="7" t="n">
        <v>0.65</v>
      </c>
      <c r="I1740" s="8" t="n">
        <v>89.81999999999999</v>
      </c>
      <c r="J1740" s="8" t="n">
        <v>27.47</v>
      </c>
      <c r="K1740" s="8" t="n">
        <v>86.94</v>
      </c>
      <c r="L1740" s="8" t="n">
        <v>0</v>
      </c>
      <c r="M1740" s="9">
        <f>ROUND(SUM(I1740:L1740),2)</f>
        <v/>
      </c>
      <c r="N1740" s="10">
        <f>ROUND(I1740*'Irish Basis'!$C$6*'Irish Basis'!$C$5,2)</f>
        <v/>
      </c>
      <c r="O1740" s="10">
        <f>ROUND(J1740*'Irish Basis'!$C$7*'Irish Basis'!$C$5,2)</f>
        <v/>
      </c>
      <c r="P1740" s="10">
        <f>ROUND(K1740*'Irish Basis'!$C$8*'Irish Basis'!$C$5,2)</f>
        <v/>
      </c>
      <c r="Q1740" s="10">
        <f>ROUND(L1740*'Irish Basis'!$C$12*'Irish Basis'!$C$5,2)</f>
        <v/>
      </c>
      <c r="R1740" s="11">
        <f>ROUND(SUM(N1740:Q1740),2)</f>
        <v/>
      </c>
      <c r="S1740" s="5" t="inlineStr">
        <is>
          <t>Stated build-up</t>
        </is>
      </c>
      <c r="T1740" s="12" t="inlineStr">
        <is>
          <t>High</t>
        </is>
      </c>
      <c r="U1740" s="8" t="n">
        <v>204.22</v>
      </c>
      <c r="V1740" s="13">
        <f>IF(U1740="","",ROUND(M1740-U1740,2))</f>
        <v/>
      </c>
      <c r="W1740" s="5" t="n"/>
      <c r="X1740" s="5" t="inlineStr">
        <is>
          <t>Labour + plant + material as published; reconciles to the published rate.</t>
        </is>
      </c>
    </row>
    <row r="1741" ht="13" customHeight="1">
      <c r="A1741" s="4" t="n">
        <v>2682</v>
      </c>
      <c r="B1741" s="5" t="inlineStr">
        <is>
          <t>IMG_0101</t>
        </is>
      </c>
      <c r="C1741" s="5" t="inlineStr">
        <is>
          <t>CLASS I: PIPEWORK - PIPES</t>
        </is>
      </c>
      <c r="D1741" s="5" t="inlineStr">
        <is>
          <t>05 POLYVINYL CHLORIDE PIPES</t>
        </is>
      </c>
      <c r="E1741" s="5" t="inlineStr">
        <is>
          <t>300 mm pipes; in trenches, depth</t>
        </is>
      </c>
      <c r="F1741" s="5" t="inlineStr">
        <is>
          <t>2.50-3.00 m deep</t>
        </is>
      </c>
      <c r="G1741" s="6" t="inlineStr">
        <is>
          <t>m</t>
        </is>
      </c>
      <c r="H1741" s="7" t="n">
        <v>0.67</v>
      </c>
      <c r="I1741" s="8" t="n">
        <v>92.58</v>
      </c>
      <c r="J1741" s="8" t="n">
        <v>30.07</v>
      </c>
      <c r="K1741" s="8" t="n">
        <v>86.94</v>
      </c>
      <c r="L1741" s="8" t="n">
        <v>0</v>
      </c>
      <c r="M1741" s="9">
        <f>ROUND(SUM(I1741:L1741),2)</f>
        <v/>
      </c>
      <c r="N1741" s="10">
        <f>ROUND(I1741*'Irish Basis'!$C$6*'Irish Basis'!$C$5,2)</f>
        <v/>
      </c>
      <c r="O1741" s="10">
        <f>ROUND(J1741*'Irish Basis'!$C$7*'Irish Basis'!$C$5,2)</f>
        <v/>
      </c>
      <c r="P1741" s="10">
        <f>ROUND(K1741*'Irish Basis'!$C$8*'Irish Basis'!$C$5,2)</f>
        <v/>
      </c>
      <c r="Q1741" s="10">
        <f>ROUND(L1741*'Irish Basis'!$C$12*'Irish Basis'!$C$5,2)</f>
        <v/>
      </c>
      <c r="R1741" s="11">
        <f>ROUND(SUM(N1741:Q1741),2)</f>
        <v/>
      </c>
      <c r="S1741" s="5" t="inlineStr">
        <is>
          <t>Stated build-up</t>
        </is>
      </c>
      <c r="T1741" s="12" t="inlineStr">
        <is>
          <t>High</t>
        </is>
      </c>
      <c r="U1741" s="8" t="n">
        <v>209.59</v>
      </c>
      <c r="V1741" s="13">
        <f>IF(U1741="","",ROUND(M1741-U1741,2))</f>
        <v/>
      </c>
      <c r="W1741" s="5" t="n"/>
      <c r="X1741" s="5" t="inlineStr">
        <is>
          <t>Labour + plant + material as published; reconciles to the published rate.</t>
        </is>
      </c>
    </row>
    <row r="1742" ht="13" customHeight="1">
      <c r="A1742" s="4" t="n">
        <v>2683</v>
      </c>
      <c r="B1742" s="5" t="inlineStr">
        <is>
          <t>IMG_0101</t>
        </is>
      </c>
      <c r="C1742" s="5" t="inlineStr">
        <is>
          <t>CLASS I: PIPEWORK - PIPES</t>
        </is>
      </c>
      <c r="D1742" s="5" t="inlineStr">
        <is>
          <t>05 POLYVINYL CHLORIDE PIPES</t>
        </is>
      </c>
      <c r="E1742" s="5" t="inlineStr">
        <is>
          <t>300 mm pipes; in trenches, depth</t>
        </is>
      </c>
      <c r="F1742" s="5" t="inlineStr">
        <is>
          <t>3.00-3.50 m deep</t>
        </is>
      </c>
      <c r="G1742" s="6" t="inlineStr">
        <is>
          <t>m</t>
        </is>
      </c>
      <c r="H1742" s="7" t="n">
        <v>0.6</v>
      </c>
      <c r="I1742" s="8" t="n">
        <v>82.91</v>
      </c>
      <c r="J1742" s="8" t="n">
        <v>32.73</v>
      </c>
      <c r="K1742" s="8" t="n">
        <v>86.94</v>
      </c>
      <c r="L1742" s="8" t="n">
        <v>0</v>
      </c>
      <c r="M1742" s="9">
        <f>ROUND(SUM(I1742:L1742),2)</f>
        <v/>
      </c>
      <c r="N1742" s="10">
        <f>ROUND(I1742*'Irish Basis'!$C$6*'Irish Basis'!$C$5,2)</f>
        <v/>
      </c>
      <c r="O1742" s="10">
        <f>ROUND(J1742*'Irish Basis'!$C$7*'Irish Basis'!$C$5,2)</f>
        <v/>
      </c>
      <c r="P1742" s="10">
        <f>ROUND(K1742*'Irish Basis'!$C$8*'Irish Basis'!$C$5,2)</f>
        <v/>
      </c>
      <c r="Q1742" s="10">
        <f>ROUND(L1742*'Irish Basis'!$C$12*'Irish Basis'!$C$5,2)</f>
        <v/>
      </c>
      <c r="R1742" s="11">
        <f>ROUND(SUM(N1742:Q1742),2)</f>
        <v/>
      </c>
      <c r="S1742" s="5" t="inlineStr">
        <is>
          <t>Stated build-up</t>
        </is>
      </c>
      <c r="T1742" s="12" t="inlineStr">
        <is>
          <t>High</t>
        </is>
      </c>
      <c r="U1742" s="8" t="n">
        <v>202.58</v>
      </c>
      <c r="V1742" s="13">
        <f>IF(U1742="","",ROUND(M1742-U1742,2))</f>
        <v/>
      </c>
      <c r="W1742" s="5" t="n"/>
      <c r="X1742" s="5" t="inlineStr">
        <is>
          <t>Labour + plant + material as published; reconciles to the published rate.</t>
        </is>
      </c>
    </row>
    <row r="1743" ht="13" customHeight="1">
      <c r="A1743" s="4" t="n">
        <v>2684</v>
      </c>
      <c r="B1743" s="5" t="inlineStr">
        <is>
          <t>IMG_0101</t>
        </is>
      </c>
      <c r="C1743" s="5" t="inlineStr">
        <is>
          <t>CLASS I: PIPEWORK - PIPES</t>
        </is>
      </c>
      <c r="D1743" s="5" t="inlineStr">
        <is>
          <t>05 POLYVINYL CHLORIDE PIPES</t>
        </is>
      </c>
      <c r="E1743" s="5" t="inlineStr">
        <is>
          <t>300 mm pipes; in trenches, depth</t>
        </is>
      </c>
      <c r="F1743" s="5" t="inlineStr">
        <is>
          <t>3.50-4.00 m deep</t>
        </is>
      </c>
      <c r="G1743" s="6" t="inlineStr">
        <is>
          <t>m</t>
        </is>
      </c>
      <c r="H1743" s="7" t="n">
        <v>0.72</v>
      </c>
      <c r="I1743" s="8" t="n">
        <v>99.48999999999999</v>
      </c>
      <c r="J1743" s="8" t="n">
        <v>36.67</v>
      </c>
      <c r="K1743" s="8" t="n">
        <v>86.94</v>
      </c>
      <c r="L1743" s="8" t="n">
        <v>0</v>
      </c>
      <c r="M1743" s="9">
        <f>ROUND(SUM(I1743:L1743),2)</f>
        <v/>
      </c>
      <c r="N1743" s="10">
        <f>ROUND(I1743*'Irish Basis'!$C$6*'Irish Basis'!$C$5,2)</f>
        <v/>
      </c>
      <c r="O1743" s="10">
        <f>ROUND(J1743*'Irish Basis'!$C$7*'Irish Basis'!$C$5,2)</f>
        <v/>
      </c>
      <c r="P1743" s="10">
        <f>ROUND(K1743*'Irish Basis'!$C$8*'Irish Basis'!$C$5,2)</f>
        <v/>
      </c>
      <c r="Q1743" s="10">
        <f>ROUND(L1743*'Irish Basis'!$C$12*'Irish Basis'!$C$5,2)</f>
        <v/>
      </c>
      <c r="R1743" s="11">
        <f>ROUND(SUM(N1743:Q1743),2)</f>
        <v/>
      </c>
      <c r="S1743" s="5" t="inlineStr">
        <is>
          <t>Stated build-up</t>
        </is>
      </c>
      <c r="T1743" s="12" t="inlineStr">
        <is>
          <t>High</t>
        </is>
      </c>
      <c r="U1743" s="8" t="n">
        <v>223.09</v>
      </c>
      <c r="V1743" s="13">
        <f>IF(U1743="","",ROUND(M1743-U1743,2))</f>
        <v/>
      </c>
      <c r="W1743" s="5" t="n"/>
      <c r="X1743" s="5" t="inlineStr">
        <is>
          <t>Labour + plant + material as published; reconciles to the published rate.</t>
        </is>
      </c>
    </row>
    <row r="1744" ht="13" customHeight="1">
      <c r="A1744" s="4" t="n">
        <v>2685</v>
      </c>
      <c r="B1744" s="5" t="inlineStr">
        <is>
          <t>IMG_0101</t>
        </is>
      </c>
      <c r="C1744" s="5" t="inlineStr">
        <is>
          <t>CLASS I: PIPEWORK - PIPES</t>
        </is>
      </c>
      <c r="D1744" s="5" t="inlineStr">
        <is>
          <t>05 POLYVINYL CHLORIDE PIPES</t>
        </is>
      </c>
      <c r="E1744" s="5" t="inlineStr">
        <is>
          <t>300 mm pipes; in trenches, depth</t>
        </is>
      </c>
      <c r="F1744" s="5" t="inlineStr">
        <is>
          <t>4.00-4.50 m deep</t>
        </is>
      </c>
      <c r="G1744" s="6" t="inlineStr">
        <is>
          <t>m</t>
        </is>
      </c>
      <c r="H1744" s="7" t="n">
        <v>0.78</v>
      </c>
      <c r="I1744" s="8" t="n">
        <v>107.78</v>
      </c>
      <c r="J1744" s="8" t="n">
        <v>44.56</v>
      </c>
      <c r="K1744" s="8" t="n">
        <v>86.94</v>
      </c>
      <c r="L1744" s="8" t="n">
        <v>0</v>
      </c>
      <c r="M1744" s="9">
        <f>ROUND(SUM(I1744:L1744),2)</f>
        <v/>
      </c>
      <c r="N1744" s="10">
        <f>ROUND(I1744*'Irish Basis'!$C$6*'Irish Basis'!$C$5,2)</f>
        <v/>
      </c>
      <c r="O1744" s="10">
        <f>ROUND(J1744*'Irish Basis'!$C$7*'Irish Basis'!$C$5,2)</f>
        <v/>
      </c>
      <c r="P1744" s="10">
        <f>ROUND(K1744*'Irish Basis'!$C$8*'Irish Basis'!$C$5,2)</f>
        <v/>
      </c>
      <c r="Q1744" s="10">
        <f>ROUND(L1744*'Irish Basis'!$C$12*'Irish Basis'!$C$5,2)</f>
        <v/>
      </c>
      <c r="R1744" s="11">
        <f>ROUND(SUM(N1744:Q1744),2)</f>
        <v/>
      </c>
      <c r="S1744" s="5" t="inlineStr">
        <is>
          <t>Stated build-up</t>
        </is>
      </c>
      <c r="T1744" s="12" t="inlineStr">
        <is>
          <t>High</t>
        </is>
      </c>
      <c r="U1744" s="8" t="n">
        <v>239.28</v>
      </c>
      <c r="V1744" s="13">
        <f>IF(U1744="","",ROUND(M1744-U1744,2))</f>
        <v/>
      </c>
      <c r="W1744" s="5" t="n"/>
      <c r="X1744" s="5" t="inlineStr">
        <is>
          <t>Labour + plant + material as published; reconciles to the published rate.</t>
        </is>
      </c>
    </row>
    <row r="1745" ht="13" customHeight="1">
      <c r="A1745" s="4" t="n">
        <v>2686</v>
      </c>
      <c r="B1745" s="5" t="inlineStr">
        <is>
          <t>IMG_0101</t>
        </is>
      </c>
      <c r="C1745" s="5" t="inlineStr">
        <is>
          <t>CLASS I: PIPEWORK - PIPES</t>
        </is>
      </c>
      <c r="D1745" s="5" t="inlineStr">
        <is>
          <t>05 POLYVINYL CHLORIDE PIPES</t>
        </is>
      </c>
      <c r="E1745" s="5" t="inlineStr">
        <is>
          <t>300 mm pipes; in trenches, depth</t>
        </is>
      </c>
      <c r="F1745" s="5" t="inlineStr">
        <is>
          <t>4.50-5.00 m deep</t>
        </is>
      </c>
      <c r="G1745" s="6" t="inlineStr">
        <is>
          <t>m</t>
        </is>
      </c>
      <c r="H1745" s="7" t="n">
        <v>0.82</v>
      </c>
      <c r="I1745" s="8" t="n">
        <v>113.31</v>
      </c>
      <c r="J1745" s="8" t="n">
        <v>49.82</v>
      </c>
      <c r="K1745" s="8" t="n">
        <v>86.94</v>
      </c>
      <c r="L1745" s="8" t="n">
        <v>0</v>
      </c>
      <c r="M1745" s="9">
        <f>ROUND(SUM(I1745:L1745),2)</f>
        <v/>
      </c>
      <c r="N1745" s="10">
        <f>ROUND(I1745*'Irish Basis'!$C$6*'Irish Basis'!$C$5,2)</f>
        <v/>
      </c>
      <c r="O1745" s="10">
        <f>ROUND(J1745*'Irish Basis'!$C$7*'Irish Basis'!$C$5,2)</f>
        <v/>
      </c>
      <c r="P1745" s="10">
        <f>ROUND(K1745*'Irish Basis'!$C$8*'Irish Basis'!$C$5,2)</f>
        <v/>
      </c>
      <c r="Q1745" s="10">
        <f>ROUND(L1745*'Irish Basis'!$C$12*'Irish Basis'!$C$5,2)</f>
        <v/>
      </c>
      <c r="R1745" s="11">
        <f>ROUND(SUM(N1745:Q1745),2)</f>
        <v/>
      </c>
      <c r="S1745" s="5" t="inlineStr">
        <is>
          <t>Stated build-up</t>
        </is>
      </c>
      <c r="T1745" s="12" t="inlineStr">
        <is>
          <t>High</t>
        </is>
      </c>
      <c r="U1745" s="8" t="n">
        <v>250.07</v>
      </c>
      <c r="V1745" s="13">
        <f>IF(U1745="","",ROUND(M1745-U1745,2))</f>
        <v/>
      </c>
      <c r="W1745" s="5" t="n"/>
      <c r="X1745" s="5" t="inlineStr">
        <is>
          <t>Labour + plant + material as published; reconciles to the published rate.</t>
        </is>
      </c>
    </row>
    <row r="1746" ht="13" customHeight="1">
      <c r="A1746" s="4" t="n">
        <v>2687</v>
      </c>
      <c r="B1746" s="5" t="inlineStr">
        <is>
          <t>IMG_0101</t>
        </is>
      </c>
      <c r="C1746" s="5" t="inlineStr">
        <is>
          <t>CLASS I: PIPEWORK - PIPES</t>
        </is>
      </c>
      <c r="D1746" s="5" t="inlineStr">
        <is>
          <t>05 POLYVINYL CHLORIDE PIPES</t>
        </is>
      </c>
      <c r="E1746" s="5" t="inlineStr">
        <is>
          <t>300 mm pipes; in trenches, depth</t>
        </is>
      </c>
      <c r="F1746" s="5" t="inlineStr">
        <is>
          <t>5.00-5.50 m deep</t>
        </is>
      </c>
      <c r="G1746" s="6" t="inlineStr">
        <is>
          <t>m</t>
        </is>
      </c>
      <c r="H1746" s="7" t="n">
        <v>0.91</v>
      </c>
      <c r="I1746" s="8" t="n">
        <v>125.74</v>
      </c>
      <c r="J1746" s="8" t="n">
        <v>61.6</v>
      </c>
      <c r="K1746" s="8" t="n">
        <v>86.94</v>
      </c>
      <c r="L1746" s="8" t="n">
        <v>0</v>
      </c>
      <c r="M1746" s="9">
        <f>ROUND(SUM(I1746:L1746),2)</f>
        <v/>
      </c>
      <c r="N1746" s="10">
        <f>ROUND(I1746*'Irish Basis'!$C$6*'Irish Basis'!$C$5,2)</f>
        <v/>
      </c>
      <c r="O1746" s="10">
        <f>ROUND(J1746*'Irish Basis'!$C$7*'Irish Basis'!$C$5,2)</f>
        <v/>
      </c>
      <c r="P1746" s="10">
        <f>ROUND(K1746*'Irish Basis'!$C$8*'Irish Basis'!$C$5,2)</f>
        <v/>
      </c>
      <c r="Q1746" s="10">
        <f>ROUND(L1746*'Irish Basis'!$C$12*'Irish Basis'!$C$5,2)</f>
        <v/>
      </c>
      <c r="R1746" s="11">
        <f>ROUND(SUM(N1746:Q1746),2)</f>
        <v/>
      </c>
      <c r="S1746" s="5" t="inlineStr">
        <is>
          <t>Stated build-up</t>
        </is>
      </c>
      <c r="T1746" s="12" t="inlineStr">
        <is>
          <t>High</t>
        </is>
      </c>
      <c r="U1746" s="8" t="n">
        <v>274.28</v>
      </c>
      <c r="V1746" s="13">
        <f>IF(U1746="","",ROUND(M1746-U1746,2))</f>
        <v/>
      </c>
      <c r="W1746" s="5" t="n"/>
      <c r="X1746" s="5" t="inlineStr">
        <is>
          <t>Labour + plant + material as published; reconciles to the published rate.</t>
        </is>
      </c>
    </row>
    <row r="1747" ht="13" customHeight="1">
      <c r="A1747" s="4" t="n">
        <v>2688</v>
      </c>
      <c r="B1747" s="5" t="inlineStr">
        <is>
          <t>IMG_0101</t>
        </is>
      </c>
      <c r="C1747" s="5" t="inlineStr">
        <is>
          <t>CLASS I: PIPEWORK - PIPES</t>
        </is>
      </c>
      <c r="D1747" s="5" t="inlineStr">
        <is>
          <t>05 POLYVINYL CHLORIDE PIPES</t>
        </is>
      </c>
      <c r="E1747" s="5" t="inlineStr">
        <is>
          <t>300 mm pipes; in trenches, depth</t>
        </is>
      </c>
      <c r="F1747" s="5" t="inlineStr">
        <is>
          <t>extra for 45 deg bends; short radius (socket/spigot)</t>
        </is>
      </c>
      <c r="G1747" s="6" t="inlineStr">
        <is>
          <t>nr</t>
        </is>
      </c>
      <c r="H1747" s="7" t="n">
        <v>0.35</v>
      </c>
      <c r="I1747" s="8" t="n">
        <v>48.36</v>
      </c>
      <c r="J1747" s="8" t="n">
        <v>0</v>
      </c>
      <c r="K1747" s="8" t="n">
        <v>636.15</v>
      </c>
      <c r="L1747" s="8" t="n">
        <v>0</v>
      </c>
      <c r="M1747" s="9">
        <f>ROUND(SUM(I1747:L1747),2)</f>
        <v/>
      </c>
      <c r="N1747" s="10">
        <f>ROUND(I1747*'Irish Basis'!$C$6*'Irish Basis'!$C$5,2)</f>
        <v/>
      </c>
      <c r="O1747" s="10">
        <f>ROUND(J1747*'Irish Basis'!$C$7*'Irish Basis'!$C$5,2)</f>
        <v/>
      </c>
      <c r="P1747" s="10">
        <f>ROUND(K1747*'Irish Basis'!$C$8*'Irish Basis'!$C$5,2)</f>
        <v/>
      </c>
      <c r="Q1747" s="10">
        <f>ROUND(L1747*'Irish Basis'!$C$12*'Irish Basis'!$C$5,2)</f>
        <v/>
      </c>
      <c r="R1747" s="11">
        <f>ROUND(SUM(N1747:Q1747),2)</f>
        <v/>
      </c>
      <c r="S1747" s="5" t="inlineStr">
        <is>
          <t>Stated build-up</t>
        </is>
      </c>
      <c r="T1747" s="12" t="inlineStr">
        <is>
          <t>High</t>
        </is>
      </c>
      <c r="U1747" s="8" t="n">
        <v>684.51</v>
      </c>
      <c r="V1747" s="13">
        <f>IF(U1747="","",ROUND(M1747-U1747,2))</f>
        <v/>
      </c>
      <c r="W1747" s="5" t="n"/>
      <c r="X1747" s="5" t="inlineStr">
        <is>
          <t>Labour + plant + material as published; reconciles to the published rate.</t>
        </is>
      </c>
    </row>
    <row r="1748" ht="13" customHeight="1">
      <c r="A1748" s="4" t="n">
        <v>2689</v>
      </c>
      <c r="B1748" s="5" t="inlineStr">
        <is>
          <t>IMG_0101</t>
        </is>
      </c>
      <c r="C1748" s="5" t="inlineStr">
        <is>
          <t>CLASS I: PIPEWORK - PIPES</t>
        </is>
      </c>
      <c r="D1748" s="5" t="inlineStr">
        <is>
          <t>05 POLYVINYL CHLORIDE PIPES</t>
        </is>
      </c>
      <c r="E1748" s="5" t="inlineStr">
        <is>
          <t>300 mm pipes; in trenches, depth</t>
        </is>
      </c>
      <c r="F1748" s="5" t="inlineStr">
        <is>
          <t>extra for branches; equal (socket/spigot)</t>
        </is>
      </c>
      <c r="G1748" s="6" t="inlineStr">
        <is>
          <t>nr</t>
        </is>
      </c>
      <c r="H1748" s="7" t="n">
        <v>0.09</v>
      </c>
      <c r="I1748" s="8" t="n">
        <v>12.44</v>
      </c>
      <c r="J1748" s="8" t="n">
        <v>0</v>
      </c>
      <c r="K1748" s="8" t="n">
        <v>1614.01</v>
      </c>
      <c r="L1748" s="8" t="n">
        <v>0</v>
      </c>
      <c r="M1748" s="9">
        <f>ROUND(SUM(I1748:L1748),2)</f>
        <v/>
      </c>
      <c r="N1748" s="10">
        <f>ROUND(I1748*'Irish Basis'!$C$6*'Irish Basis'!$C$5,2)</f>
        <v/>
      </c>
      <c r="O1748" s="10">
        <f>ROUND(J1748*'Irish Basis'!$C$7*'Irish Basis'!$C$5,2)</f>
        <v/>
      </c>
      <c r="P1748" s="10">
        <f>ROUND(K1748*'Irish Basis'!$C$8*'Irish Basis'!$C$5,2)</f>
        <v/>
      </c>
      <c r="Q1748" s="10">
        <f>ROUND(L1748*'Irish Basis'!$C$12*'Irish Basis'!$C$5,2)</f>
        <v/>
      </c>
      <c r="R1748" s="11">
        <f>ROUND(SUM(N1748:Q1748),2)</f>
        <v/>
      </c>
      <c r="S1748" s="5" t="inlineStr">
        <is>
          <t>Stated build-up</t>
        </is>
      </c>
      <c r="T1748" s="12" t="inlineStr">
        <is>
          <t>High</t>
        </is>
      </c>
      <c r="U1748" s="8" t="n">
        <v>1626.45</v>
      </c>
      <c r="V1748" s="13">
        <f>IF(U1748="","",ROUND(M1748-U1748,2))</f>
        <v/>
      </c>
      <c r="W1748" s="5" t="n"/>
      <c r="X1748" s="5" t="inlineStr">
        <is>
          <t>Labour + plant + material as published; reconciles to the published rate.</t>
        </is>
      </c>
    </row>
    <row r="1749" ht="13" customHeight="1">
      <c r="A1749" s="4" t="n">
        <v>2711</v>
      </c>
      <c r="B1749" s="5" t="inlineStr">
        <is>
          <t>IMG_0102</t>
        </is>
      </c>
      <c r="C1749" s="5" t="inlineStr">
        <is>
          <t>CLASS J: PIPEWORK - FITTINGS AND VALVES</t>
        </is>
      </c>
      <c r="D1749" s="5" t="inlineStr">
        <is>
          <t>08 VALVES AND PENSTOCKS</t>
        </is>
      </c>
      <c r="E1749" s="5" t="inlineStr">
        <is>
          <t>Valves; Non-return valves; cast iron; single door; tidal flap</t>
        </is>
      </c>
      <c r="F1749" s="5" t="inlineStr">
        <is>
          <t>250 mm</t>
        </is>
      </c>
      <c r="G1749" s="6" t="inlineStr">
        <is>
          <t>nr</t>
        </is>
      </c>
      <c r="H1749" s="7" t="n">
        <v>1.2</v>
      </c>
      <c r="I1749" s="8" t="n">
        <v>146.68</v>
      </c>
      <c r="J1749" s="8" t="n">
        <v>26.09</v>
      </c>
      <c r="K1749" s="8" t="n">
        <v>406.17</v>
      </c>
      <c r="L1749" s="8" t="n">
        <v>0</v>
      </c>
      <c r="M1749" s="9">
        <f>ROUND(SUM(I1749:L1749),2)</f>
        <v/>
      </c>
      <c r="N1749" s="10">
        <f>ROUND(I1749*'Irish Basis'!$C$6*'Irish Basis'!$C$5,2)</f>
        <v/>
      </c>
      <c r="O1749" s="10">
        <f>ROUND(J1749*'Irish Basis'!$C$7*'Irish Basis'!$C$5,2)</f>
        <v/>
      </c>
      <c r="P1749" s="10">
        <f>ROUND(K1749*'Irish Basis'!$C$8*'Irish Basis'!$C$5,2)</f>
        <v/>
      </c>
      <c r="Q1749" s="10">
        <f>ROUND(L1749*'Irish Basis'!$C$12*'Irish Basis'!$C$5,2)</f>
        <v/>
      </c>
      <c r="R1749" s="11">
        <f>ROUND(SUM(N1749:Q1749),2)</f>
        <v/>
      </c>
      <c r="S1749" s="5" t="inlineStr">
        <is>
          <t>Stated build-up</t>
        </is>
      </c>
      <c r="T1749" s="12" t="inlineStr">
        <is>
          <t>High</t>
        </is>
      </c>
      <c r="U1749" s="8" t="n">
        <v>578.9400000000001</v>
      </c>
      <c r="V1749" s="13">
        <f>IF(U1749="","",ROUND(M1749-U1749,2))</f>
        <v/>
      </c>
      <c r="W1749" s="5" t="n"/>
      <c r="X1749" s="5" t="inlineStr">
        <is>
          <t>Labour + plant + material as published; reconciles to the published rate.</t>
        </is>
      </c>
    </row>
    <row r="1750" ht="13" customHeight="1">
      <c r="A1750" s="4" t="n">
        <v>2712</v>
      </c>
      <c r="B1750" s="5" t="inlineStr">
        <is>
          <t>IMG_0102</t>
        </is>
      </c>
      <c r="C1750" s="5" t="inlineStr">
        <is>
          <t>CLASS J: PIPEWORK - FITTINGS AND VALVES</t>
        </is>
      </c>
      <c r="D1750" s="5" t="inlineStr">
        <is>
          <t>08 VALVES AND PENSTOCKS</t>
        </is>
      </c>
      <c r="E1750" s="5" t="inlineStr">
        <is>
          <t>Valves; Non-return valves; cast iron; single door; tidal flap</t>
        </is>
      </c>
      <c r="F1750" s="5" t="inlineStr">
        <is>
          <t>350 mm</t>
        </is>
      </c>
      <c r="G1750" s="6" t="inlineStr">
        <is>
          <t>nr</t>
        </is>
      </c>
      <c r="H1750" s="7" t="n">
        <v>1.2</v>
      </c>
      <c r="I1750" s="8" t="n">
        <v>146.68</v>
      </c>
      <c r="J1750" s="8" t="n">
        <v>26.09</v>
      </c>
      <c r="K1750" s="8" t="n">
        <v>774.8</v>
      </c>
      <c r="L1750" s="8" t="n">
        <v>0</v>
      </c>
      <c r="M1750" s="9">
        <f>ROUND(SUM(I1750:L1750),2)</f>
        <v/>
      </c>
      <c r="N1750" s="10">
        <f>ROUND(I1750*'Irish Basis'!$C$6*'Irish Basis'!$C$5,2)</f>
        <v/>
      </c>
      <c r="O1750" s="10">
        <f>ROUND(J1750*'Irish Basis'!$C$7*'Irish Basis'!$C$5,2)</f>
        <v/>
      </c>
      <c r="P1750" s="10">
        <f>ROUND(K1750*'Irish Basis'!$C$8*'Irish Basis'!$C$5,2)</f>
        <v/>
      </c>
      <c r="Q1750" s="10">
        <f>ROUND(L1750*'Irish Basis'!$C$12*'Irish Basis'!$C$5,2)</f>
        <v/>
      </c>
      <c r="R1750" s="11">
        <f>ROUND(SUM(N1750:Q1750),2)</f>
        <v/>
      </c>
      <c r="S1750" s="5" t="inlineStr">
        <is>
          <t>Stated build-up</t>
        </is>
      </c>
      <c r="T1750" s="12" t="inlineStr">
        <is>
          <t>High</t>
        </is>
      </c>
      <c r="U1750" s="8" t="n">
        <v>947.5700000000001</v>
      </c>
      <c r="V1750" s="13">
        <f>IF(U1750="","",ROUND(M1750-U1750,2))</f>
        <v/>
      </c>
      <c r="W1750" s="5" t="n"/>
      <c r="X1750" s="5" t="inlineStr">
        <is>
          <t>Labour + plant + material as published; reconciles to the published rate.</t>
        </is>
      </c>
    </row>
    <row r="1751" ht="13" customHeight="1">
      <c r="A1751" s="4" t="n">
        <v>2713</v>
      </c>
      <c r="B1751" s="5" t="inlineStr">
        <is>
          <t>IMG_0102</t>
        </is>
      </c>
      <c r="C1751" s="5" t="inlineStr">
        <is>
          <t>CLASS J: PIPEWORK - FITTINGS AND VALVES</t>
        </is>
      </c>
      <c r="D1751" s="5" t="inlineStr">
        <is>
          <t>08 VALVES AND PENSTOCKS</t>
        </is>
      </c>
      <c r="E1751" s="5" t="inlineStr">
        <is>
          <t>Valves; Non-return valves; cast iron; single door; tidal flap</t>
        </is>
      </c>
      <c r="F1751" s="5" t="inlineStr">
        <is>
          <t>450 mm</t>
        </is>
      </c>
      <c r="G1751" s="6" t="inlineStr">
        <is>
          <t>nr</t>
        </is>
      </c>
      <c r="H1751" s="7" t="n">
        <v>1.2</v>
      </c>
      <c r="I1751" s="8" t="n">
        <v>146.68</v>
      </c>
      <c r="J1751" s="8" t="n">
        <v>26.09</v>
      </c>
      <c r="K1751" s="8" t="n">
        <v>1128.63</v>
      </c>
      <c r="L1751" s="8" t="n">
        <v>0</v>
      </c>
      <c r="M1751" s="9">
        <f>ROUND(SUM(I1751:L1751),2)</f>
        <v/>
      </c>
      <c r="N1751" s="10">
        <f>ROUND(I1751*'Irish Basis'!$C$6*'Irish Basis'!$C$5,2)</f>
        <v/>
      </c>
      <c r="O1751" s="10">
        <f>ROUND(J1751*'Irish Basis'!$C$7*'Irish Basis'!$C$5,2)</f>
        <v/>
      </c>
      <c r="P1751" s="10">
        <f>ROUND(K1751*'Irish Basis'!$C$8*'Irish Basis'!$C$5,2)</f>
        <v/>
      </c>
      <c r="Q1751" s="10">
        <f>ROUND(L1751*'Irish Basis'!$C$12*'Irish Basis'!$C$5,2)</f>
        <v/>
      </c>
      <c r="R1751" s="11">
        <f>ROUND(SUM(N1751:Q1751),2)</f>
        <v/>
      </c>
      <c r="S1751" s="5" t="inlineStr">
        <is>
          <t>Stated build-up</t>
        </is>
      </c>
      <c r="T1751" s="12" t="inlineStr">
        <is>
          <t>High</t>
        </is>
      </c>
      <c r="U1751" s="8" t="n">
        <v>1301.4</v>
      </c>
      <c r="V1751" s="13">
        <f>IF(U1751="","",ROUND(M1751-U1751,2))</f>
        <v/>
      </c>
      <c r="W1751" s="5" t="n"/>
      <c r="X1751" s="5" t="inlineStr">
        <is>
          <t>Labour + plant + material as published; reconciles to the published rate.</t>
        </is>
      </c>
    </row>
    <row r="1752" ht="13" customHeight="1">
      <c r="A1752" s="4" t="n">
        <v>2714</v>
      </c>
      <c r="B1752" s="5" t="inlineStr">
        <is>
          <t>IMG_0102</t>
        </is>
      </c>
      <c r="C1752" s="5" t="inlineStr">
        <is>
          <t>CLASS J: PIPEWORK - FITTINGS AND VALVES</t>
        </is>
      </c>
      <c r="D1752" s="5" t="inlineStr">
        <is>
          <t>08 VALVES AND PENSTOCKS</t>
        </is>
      </c>
      <c r="E1752" s="5" t="inlineStr">
        <is>
          <t>Valves; Non-return valves; cast iron; single door; tidal flap</t>
        </is>
      </c>
      <c r="F1752" s="5" t="inlineStr">
        <is>
          <t>600 mm</t>
        </is>
      </c>
      <c r="G1752" s="6" t="inlineStr">
        <is>
          <t>nr</t>
        </is>
      </c>
      <c r="H1752" s="7" t="n">
        <v>1.6</v>
      </c>
      <c r="I1752" s="8" t="n">
        <v>195.57</v>
      </c>
      <c r="J1752" s="8" t="n">
        <v>39.11</v>
      </c>
      <c r="K1752" s="8" t="n">
        <v>1748.7</v>
      </c>
      <c r="L1752" s="8" t="n">
        <v>0</v>
      </c>
      <c r="M1752" s="9">
        <f>ROUND(SUM(I1752:L1752),2)</f>
        <v/>
      </c>
      <c r="N1752" s="10">
        <f>ROUND(I1752*'Irish Basis'!$C$6*'Irish Basis'!$C$5,2)</f>
        <v/>
      </c>
      <c r="O1752" s="10">
        <f>ROUND(J1752*'Irish Basis'!$C$7*'Irish Basis'!$C$5,2)</f>
        <v/>
      </c>
      <c r="P1752" s="10">
        <f>ROUND(K1752*'Irish Basis'!$C$8*'Irish Basis'!$C$5,2)</f>
        <v/>
      </c>
      <c r="Q1752" s="10">
        <f>ROUND(L1752*'Irish Basis'!$C$12*'Irish Basis'!$C$5,2)</f>
        <v/>
      </c>
      <c r="R1752" s="11">
        <f>ROUND(SUM(N1752:Q1752),2)</f>
        <v/>
      </c>
      <c r="S1752" s="5" t="inlineStr">
        <is>
          <t>Stated build-up</t>
        </is>
      </c>
      <c r="T1752" s="12" t="inlineStr">
        <is>
          <t>High</t>
        </is>
      </c>
      <c r="U1752" s="8" t="n">
        <v>1983.38</v>
      </c>
      <c r="V1752" s="13">
        <f>IF(U1752="","",ROUND(M1752-U1752,2))</f>
        <v/>
      </c>
      <c r="W1752" s="5" t="n"/>
      <c r="X1752" s="5" t="inlineStr">
        <is>
          <t>Labour + plant + material as published; reconciles to the published rate.</t>
        </is>
      </c>
    </row>
    <row r="1753" ht="13" customHeight="1">
      <c r="A1753" s="4" t="n">
        <v>2715</v>
      </c>
      <c r="B1753" s="5" t="inlineStr">
        <is>
          <t>IMG_0102</t>
        </is>
      </c>
      <c r="C1753" s="5" t="inlineStr">
        <is>
          <t>CLASS J: PIPEWORK - FITTINGS AND VALVES</t>
        </is>
      </c>
      <c r="D1753" s="5" t="inlineStr">
        <is>
          <t>08 VALVES AND PENSTOCKS</t>
        </is>
      </c>
      <c r="E1753" s="5" t="inlineStr">
        <is>
          <t>Valves; Non-return valves; cast iron; single door; tidal flap</t>
        </is>
      </c>
      <c r="F1753" s="5" t="inlineStr">
        <is>
          <t>800 mm</t>
        </is>
      </c>
      <c r="G1753" s="6" t="inlineStr">
        <is>
          <t>nr</t>
        </is>
      </c>
      <c r="H1753" s="7" t="n">
        <v>1.8</v>
      </c>
      <c r="I1753" s="8" t="n">
        <v>220.01</v>
      </c>
      <c r="J1753" s="8" t="n">
        <v>45.65</v>
      </c>
      <c r="K1753" s="8" t="n">
        <v>2414.45</v>
      </c>
      <c r="L1753" s="8" t="n">
        <v>0</v>
      </c>
      <c r="M1753" s="9">
        <f>ROUND(SUM(I1753:L1753),2)</f>
        <v/>
      </c>
      <c r="N1753" s="10">
        <f>ROUND(I1753*'Irish Basis'!$C$6*'Irish Basis'!$C$5,2)</f>
        <v/>
      </c>
      <c r="O1753" s="10">
        <f>ROUND(J1753*'Irish Basis'!$C$7*'Irish Basis'!$C$5,2)</f>
        <v/>
      </c>
      <c r="P1753" s="10">
        <f>ROUND(K1753*'Irish Basis'!$C$8*'Irish Basis'!$C$5,2)</f>
        <v/>
      </c>
      <c r="Q1753" s="10">
        <f>ROUND(L1753*'Irish Basis'!$C$12*'Irish Basis'!$C$5,2)</f>
        <v/>
      </c>
      <c r="R1753" s="11">
        <f>ROUND(SUM(N1753:Q1753),2)</f>
        <v/>
      </c>
      <c r="S1753" s="5" t="inlineStr">
        <is>
          <t>Stated build-up</t>
        </is>
      </c>
      <c r="T1753" s="12" t="inlineStr">
        <is>
          <t>High</t>
        </is>
      </c>
      <c r="U1753" s="8" t="n">
        <v>2680.11</v>
      </c>
      <c r="V1753" s="13">
        <f>IF(U1753="","",ROUND(M1753-U1753,2))</f>
        <v/>
      </c>
      <c r="W1753" s="5" t="n"/>
      <c r="X1753" s="5" t="inlineStr">
        <is>
          <t>Labour + plant + material as published; reconciles to the published rate.</t>
        </is>
      </c>
    </row>
    <row r="1754" ht="13" customHeight="1">
      <c r="A1754" s="4" t="n">
        <v>2717</v>
      </c>
      <c r="B1754" s="5" t="inlineStr">
        <is>
          <t>IMG_0102</t>
        </is>
      </c>
      <c r="C1754" s="5" t="inlineStr">
        <is>
          <t>CLASS J: PIPEWORK - FITTINGS AND VALVES</t>
        </is>
      </c>
      <c r="D1754" s="5" t="inlineStr">
        <is>
          <t>08 VALVES AND PENSTOCKS</t>
        </is>
      </c>
      <c r="E1754" s="5" t="inlineStr">
        <is>
          <t>Penstocks; cast iron; wall mounted; hand operated</t>
        </is>
      </c>
      <c r="F1754" s="5" t="inlineStr">
        <is>
          <t>250 mm</t>
        </is>
      </c>
      <c r="G1754" s="6" t="inlineStr">
        <is>
          <t>nr</t>
        </is>
      </c>
      <c r="H1754" s="7" t="n">
        <v>1.66</v>
      </c>
      <c r="I1754" s="8" t="n">
        <v>202.9</v>
      </c>
      <c r="J1754" s="8" t="n">
        <v>45.65</v>
      </c>
      <c r="K1754" s="8" t="n">
        <v>825</v>
      </c>
      <c r="L1754" s="8" t="n">
        <v>0</v>
      </c>
      <c r="M1754" s="9">
        <f>ROUND(SUM(I1754:L1754),2)</f>
        <v/>
      </c>
      <c r="N1754" s="10">
        <f>ROUND(I1754*'Irish Basis'!$C$6*'Irish Basis'!$C$5,2)</f>
        <v/>
      </c>
      <c r="O1754" s="10">
        <f>ROUND(J1754*'Irish Basis'!$C$7*'Irish Basis'!$C$5,2)</f>
        <v/>
      </c>
      <c r="P1754" s="10">
        <f>ROUND(K1754*'Irish Basis'!$C$8*'Irish Basis'!$C$5,2)</f>
        <v/>
      </c>
      <c r="Q1754" s="10">
        <f>ROUND(L1754*'Irish Basis'!$C$12*'Irish Basis'!$C$5,2)</f>
        <v/>
      </c>
      <c r="R1754" s="11">
        <f>ROUND(SUM(N1754:Q1754),2)</f>
        <v/>
      </c>
      <c r="S1754" s="5" t="inlineStr">
        <is>
          <t>Stated build-up</t>
        </is>
      </c>
      <c r="T1754" s="12" t="inlineStr">
        <is>
          <t>High</t>
        </is>
      </c>
      <c r="U1754" s="8" t="n">
        <v>1073.55</v>
      </c>
      <c r="V1754" s="13">
        <f>IF(U1754="","",ROUND(M1754-U1754,2))</f>
        <v/>
      </c>
      <c r="W1754" s="5" t="n"/>
      <c r="X1754" s="5" t="inlineStr">
        <is>
          <t>Labour + plant + material as published; reconciles to the published rate.</t>
        </is>
      </c>
    </row>
    <row r="1755" ht="13" customHeight="1">
      <c r="A1755" s="4" t="n">
        <v>2718</v>
      </c>
      <c r="B1755" s="5" t="inlineStr">
        <is>
          <t>IMG_0102</t>
        </is>
      </c>
      <c r="C1755" s="5" t="inlineStr">
        <is>
          <t>CLASS J: PIPEWORK - FITTINGS AND VALVES</t>
        </is>
      </c>
      <c r="D1755" s="5" t="inlineStr">
        <is>
          <t>08 VALVES AND PENSTOCKS</t>
        </is>
      </c>
      <c r="E1755" s="5" t="inlineStr">
        <is>
          <t>Penstocks; cast iron; wall mounted; hand operated</t>
        </is>
      </c>
      <c r="F1755" s="5" t="inlineStr">
        <is>
          <t>350 mm</t>
        </is>
      </c>
      <c r="G1755" s="6" t="inlineStr">
        <is>
          <t>nr</t>
        </is>
      </c>
      <c r="H1755" s="7" t="n">
        <v>2.3</v>
      </c>
      <c r="I1755" s="8" t="n">
        <v>281.13</v>
      </c>
      <c r="J1755" s="8" t="n">
        <v>52.19</v>
      </c>
      <c r="K1755" s="8" t="n">
        <v>1154.83</v>
      </c>
      <c r="L1755" s="8" t="n">
        <v>0</v>
      </c>
      <c r="M1755" s="9">
        <f>ROUND(SUM(I1755:L1755),2)</f>
        <v/>
      </c>
      <c r="N1755" s="10">
        <f>ROUND(I1755*'Irish Basis'!$C$6*'Irish Basis'!$C$5,2)</f>
        <v/>
      </c>
      <c r="O1755" s="10">
        <f>ROUND(J1755*'Irish Basis'!$C$7*'Irish Basis'!$C$5,2)</f>
        <v/>
      </c>
      <c r="P1755" s="10">
        <f>ROUND(K1755*'Irish Basis'!$C$8*'Irish Basis'!$C$5,2)</f>
        <v/>
      </c>
      <c r="Q1755" s="10">
        <f>ROUND(L1755*'Irish Basis'!$C$12*'Irish Basis'!$C$5,2)</f>
        <v/>
      </c>
      <c r="R1755" s="11">
        <f>ROUND(SUM(N1755:Q1755),2)</f>
        <v/>
      </c>
      <c r="S1755" s="5" t="inlineStr">
        <is>
          <t>Stated build-up</t>
        </is>
      </c>
      <c r="T1755" s="12" t="inlineStr">
        <is>
          <t>High</t>
        </is>
      </c>
      <c r="U1755" s="8" t="n">
        <v>1488.15</v>
      </c>
      <c r="V1755" s="13">
        <f>IF(U1755="","",ROUND(M1755-U1755,2))</f>
        <v/>
      </c>
      <c r="W1755" s="5" t="n"/>
      <c r="X1755" s="5" t="inlineStr">
        <is>
          <t>Labour + plant + material as published; reconciles to the published rate.</t>
        </is>
      </c>
    </row>
    <row r="1756" ht="13" customHeight="1">
      <c r="A1756" s="4" t="n">
        <v>2719</v>
      </c>
      <c r="B1756" s="5" t="inlineStr">
        <is>
          <t>IMG_0102</t>
        </is>
      </c>
      <c r="C1756" s="5" t="inlineStr">
        <is>
          <t>CLASS J: PIPEWORK - FITTINGS AND VALVES</t>
        </is>
      </c>
      <c r="D1756" s="5" t="inlineStr">
        <is>
          <t>08 VALVES AND PENSTOCKS</t>
        </is>
      </c>
      <c r="E1756" s="5" t="inlineStr">
        <is>
          <t>Penstocks; cast iron; wall mounted; hand operated</t>
        </is>
      </c>
      <c r="F1756" s="5" t="inlineStr">
        <is>
          <t>450 mm</t>
        </is>
      </c>
      <c r="G1756" s="6" t="inlineStr">
        <is>
          <t>nr</t>
        </is>
      </c>
      <c r="H1756" s="7" t="n">
        <v>2.9</v>
      </c>
      <c r="I1756" s="8" t="n">
        <v>354.47</v>
      </c>
      <c r="J1756" s="8" t="n">
        <v>58.72</v>
      </c>
      <c r="K1756" s="8" t="n">
        <v>1377.67</v>
      </c>
      <c r="L1756" s="8" t="n">
        <v>0</v>
      </c>
      <c r="M1756" s="9">
        <f>ROUND(SUM(I1756:L1756),2)</f>
        <v/>
      </c>
      <c r="N1756" s="10">
        <f>ROUND(I1756*'Irish Basis'!$C$6*'Irish Basis'!$C$5,2)</f>
        <v/>
      </c>
      <c r="O1756" s="10">
        <f>ROUND(J1756*'Irish Basis'!$C$7*'Irish Basis'!$C$5,2)</f>
        <v/>
      </c>
      <c r="P1756" s="10">
        <f>ROUND(K1756*'Irish Basis'!$C$8*'Irish Basis'!$C$5,2)</f>
        <v/>
      </c>
      <c r="Q1756" s="10">
        <f>ROUND(L1756*'Irish Basis'!$C$12*'Irish Basis'!$C$5,2)</f>
        <v/>
      </c>
      <c r="R1756" s="11">
        <f>ROUND(SUM(N1756:Q1756),2)</f>
        <v/>
      </c>
      <c r="S1756" s="5" t="inlineStr">
        <is>
          <t>Stated build-up</t>
        </is>
      </c>
      <c r="T1756" s="12" t="inlineStr">
        <is>
          <t>High</t>
        </is>
      </c>
      <c r="U1756" s="8" t="n">
        <v>1790.86</v>
      </c>
      <c r="V1756" s="13">
        <f>IF(U1756="","",ROUND(M1756-U1756,2))</f>
        <v/>
      </c>
      <c r="W1756" s="5" t="n"/>
      <c r="X1756" s="5" t="inlineStr">
        <is>
          <t>Labour + plant + material as published; reconciles to the published rate.</t>
        </is>
      </c>
    </row>
    <row r="1757" ht="13" customHeight="1">
      <c r="A1757" s="4" t="n">
        <v>2720</v>
      </c>
      <c r="B1757" s="5" t="inlineStr">
        <is>
          <t>IMG_0102</t>
        </is>
      </c>
      <c r="C1757" s="5" t="inlineStr">
        <is>
          <t>CLASS J: PIPEWORK - FITTINGS AND VALVES</t>
        </is>
      </c>
      <c r="D1757" s="5" t="inlineStr">
        <is>
          <t>08 VALVES AND PENSTOCKS</t>
        </is>
      </c>
      <c r="E1757" s="5" t="inlineStr">
        <is>
          <t>Penstocks; cast iron; wall mounted; hand operated</t>
        </is>
      </c>
      <c r="F1757" s="5" t="inlineStr">
        <is>
          <t>600 x 600 mm</t>
        </is>
      </c>
      <c r="G1757" s="6" t="inlineStr">
        <is>
          <t>nr</t>
        </is>
      </c>
      <c r="H1757" s="7" t="n">
        <v>5.4</v>
      </c>
      <c r="I1757" s="8" t="n">
        <v>660.04</v>
      </c>
      <c r="J1757" s="8" t="n">
        <v>104.37</v>
      </c>
      <c r="K1757" s="8" t="n">
        <v>2228.61</v>
      </c>
      <c r="L1757" s="8" t="n">
        <v>0</v>
      </c>
      <c r="M1757" s="9">
        <f>ROUND(SUM(I1757:L1757),2)</f>
        <v/>
      </c>
      <c r="N1757" s="10">
        <f>ROUND(I1757*'Irish Basis'!$C$6*'Irish Basis'!$C$5,2)</f>
        <v/>
      </c>
      <c r="O1757" s="10">
        <f>ROUND(J1757*'Irish Basis'!$C$7*'Irish Basis'!$C$5,2)</f>
        <v/>
      </c>
      <c r="P1757" s="10">
        <f>ROUND(K1757*'Irish Basis'!$C$8*'Irish Basis'!$C$5,2)</f>
        <v/>
      </c>
      <c r="Q1757" s="10">
        <f>ROUND(L1757*'Irish Basis'!$C$12*'Irish Basis'!$C$5,2)</f>
        <v/>
      </c>
      <c r="R1757" s="11">
        <f>ROUND(SUM(N1757:Q1757),2)</f>
        <v/>
      </c>
      <c r="S1757" s="5" t="inlineStr">
        <is>
          <t>Stated build-up</t>
        </is>
      </c>
      <c r="T1757" s="12" t="inlineStr">
        <is>
          <t>High</t>
        </is>
      </c>
      <c r="U1757" s="8" t="n">
        <v>2993.02</v>
      </c>
      <c r="V1757" s="13">
        <f>IF(U1757="","",ROUND(M1757-U1757,2))</f>
        <v/>
      </c>
      <c r="W1757" s="5" t="n"/>
      <c r="X1757" s="5" t="inlineStr">
        <is>
          <t>Labour + plant + material as published; reconciles to the published rate.</t>
        </is>
      </c>
    </row>
    <row r="1758" ht="13" customHeight="1">
      <c r="A1758" s="4" t="n">
        <v>2721</v>
      </c>
      <c r="B1758" s="5" t="inlineStr">
        <is>
          <t>IMG_0102</t>
        </is>
      </c>
      <c r="C1758" s="5" t="inlineStr">
        <is>
          <t>CLASS J: PIPEWORK - FITTINGS AND VALVES</t>
        </is>
      </c>
      <c r="D1758" s="5" t="inlineStr">
        <is>
          <t>08 VALVES AND PENSTOCKS</t>
        </is>
      </c>
      <c r="E1758" s="5" t="inlineStr">
        <is>
          <t>Penstocks; cast iron; wall mounted; hand operated</t>
        </is>
      </c>
      <c r="F1758" s="5" t="inlineStr">
        <is>
          <t>1000 x 1000 mm</t>
        </is>
      </c>
      <c r="G1758" s="6" t="inlineStr">
        <is>
          <t>nr</t>
        </is>
      </c>
      <c r="H1758" s="7" t="n">
        <v>9</v>
      </c>
      <c r="I1758" s="8" t="n">
        <v>1100.07</v>
      </c>
      <c r="J1758" s="8" t="n">
        <v>195.73</v>
      </c>
      <c r="K1758" s="8" t="n">
        <v>3849.41</v>
      </c>
      <c r="L1758" s="8" t="n">
        <v>0</v>
      </c>
      <c r="M1758" s="9">
        <f>ROUND(SUM(I1758:L1758),2)</f>
        <v/>
      </c>
      <c r="N1758" s="10">
        <f>ROUND(I1758*'Irish Basis'!$C$6*'Irish Basis'!$C$5,2)</f>
        <v/>
      </c>
      <c r="O1758" s="10">
        <f>ROUND(J1758*'Irish Basis'!$C$7*'Irish Basis'!$C$5,2)</f>
        <v/>
      </c>
      <c r="P1758" s="10">
        <f>ROUND(K1758*'Irish Basis'!$C$8*'Irish Basis'!$C$5,2)</f>
        <v/>
      </c>
      <c r="Q1758" s="10">
        <f>ROUND(L1758*'Irish Basis'!$C$12*'Irish Basis'!$C$5,2)</f>
        <v/>
      </c>
      <c r="R1758" s="11">
        <f>ROUND(SUM(N1758:Q1758),2)</f>
        <v/>
      </c>
      <c r="S1758" s="5" t="inlineStr">
        <is>
          <t>Stated build-up</t>
        </is>
      </c>
      <c r="T1758" s="12" t="inlineStr">
        <is>
          <t>High</t>
        </is>
      </c>
      <c r="U1758" s="8" t="n">
        <v>5145.21</v>
      </c>
      <c r="V1758" s="13">
        <f>IF(U1758="","",ROUND(M1758-U1758,2))</f>
        <v/>
      </c>
      <c r="W1758" s="5" t="n"/>
      <c r="X1758" s="5" t="inlineStr">
        <is>
          <t>Labour + plant + material as published; reconciles to the published rate.</t>
        </is>
      </c>
    </row>
    <row r="1759" ht="13" customHeight="1">
      <c r="A1759" s="4" t="n">
        <v>2777</v>
      </c>
      <c r="B1759" s="5" t="inlineStr">
        <is>
          <t>IMG_0103</t>
        </is>
      </c>
      <c r="C1759" s="5" t="inlineStr">
        <is>
          <t>CLASS K: PIPEWORK - MANHOLES AND PIPEWORK ANCILLARIES</t>
        </is>
      </c>
      <c r="D1759" s="5" t="inlineStr">
        <is>
          <t>01 MANHOLES</t>
        </is>
      </c>
      <c r="E1759" s="5" t="inlineStr">
        <is>
          <t>750 x 700 chamber 500 depth to invert</t>
        </is>
      </c>
      <c r="F1759" s="5" t="inlineStr">
        <is>
          <t>excavation, support, backfilling and disposal</t>
        </is>
      </c>
      <c r="G1759" s="6" t="inlineStr">
        <is>
          <t>nr</t>
        </is>
      </c>
      <c r="H1759" s="7" t="n">
        <v>0.28</v>
      </c>
      <c r="I1759" s="8" t="n">
        <v>26.47</v>
      </c>
      <c r="J1759" s="8" t="n">
        <v>18.55</v>
      </c>
      <c r="K1759" s="8" t="n">
        <v>0</v>
      </c>
      <c r="L1759" s="8" t="n">
        <v>0</v>
      </c>
      <c r="M1759" s="9">
        <f>ROUND(SUM(I1759:L1759),2)</f>
        <v/>
      </c>
      <c r="N1759" s="10">
        <f>ROUND(I1759*'Irish Basis'!$C$6*'Irish Basis'!$C$5,2)</f>
        <v/>
      </c>
      <c r="O1759" s="10">
        <f>ROUND(J1759*'Irish Basis'!$C$7*'Irish Basis'!$C$5,2)</f>
        <v/>
      </c>
      <c r="P1759" s="10">
        <f>ROUND(K1759*'Irish Basis'!$C$8*'Irish Basis'!$C$5,2)</f>
        <v/>
      </c>
      <c r="Q1759" s="10">
        <f>ROUND(L1759*'Irish Basis'!$C$12*'Irish Basis'!$C$5,2)</f>
        <v/>
      </c>
      <c r="R1759" s="11">
        <f>ROUND(SUM(N1759:Q1759),2)</f>
        <v/>
      </c>
      <c r="S1759" s="5" t="inlineStr">
        <is>
          <t>Stated build-up</t>
        </is>
      </c>
      <c r="T1759" s="12" t="inlineStr">
        <is>
          <t>High</t>
        </is>
      </c>
      <c r="U1759" s="8" t="n">
        <v>45.03</v>
      </c>
      <c r="V1759" s="13">
        <f>IF(U1759="","",ROUND(M1759-U1759,2))</f>
        <v/>
      </c>
      <c r="W1759" s="5" t="n"/>
      <c r="X1759" s="5" t="inlineStr">
        <is>
          <t>Labour + plant + material as published; reconciles to the published rate.</t>
        </is>
      </c>
    </row>
    <row r="1760" ht="13" customHeight="1">
      <c r="A1760" s="4" t="n">
        <v>2778</v>
      </c>
      <c r="B1760" s="5" t="inlineStr">
        <is>
          <t>IMG_0103</t>
        </is>
      </c>
      <c r="C1760" s="5" t="inlineStr">
        <is>
          <t>CLASS K: PIPEWORK - MANHOLES AND PIPEWORK ANCILLARIES</t>
        </is>
      </c>
      <c r="D1760" s="5" t="inlineStr">
        <is>
          <t>01 MANHOLES</t>
        </is>
      </c>
      <c r="E1760" s="5" t="inlineStr">
        <is>
          <t>750 x 700 chamber 500 depth to invert</t>
        </is>
      </c>
      <c r="F1760" s="5" t="inlineStr">
        <is>
          <t>concrete base</t>
        </is>
      </c>
      <c r="G1760" s="6" t="inlineStr">
        <is>
          <t>nr</t>
        </is>
      </c>
      <c r="H1760" s="7" t="n">
        <v>0.4</v>
      </c>
      <c r="I1760" s="8" t="n">
        <v>10.69</v>
      </c>
      <c r="J1760" s="8" t="n">
        <v>3.7</v>
      </c>
      <c r="K1760" s="8" t="n">
        <v>35.12</v>
      </c>
      <c r="L1760" s="8" t="n">
        <v>0</v>
      </c>
      <c r="M1760" s="9">
        <f>ROUND(SUM(I1760:L1760),2)</f>
        <v/>
      </c>
      <c r="N1760" s="10">
        <f>ROUND(I1760*'Irish Basis'!$C$6*'Irish Basis'!$C$5,2)</f>
        <v/>
      </c>
      <c r="O1760" s="10">
        <f>ROUND(J1760*'Irish Basis'!$C$7*'Irish Basis'!$C$5,2)</f>
        <v/>
      </c>
      <c r="P1760" s="10">
        <f>ROUND(K1760*'Irish Basis'!$C$8*'Irish Basis'!$C$5,2)</f>
        <v/>
      </c>
      <c r="Q1760" s="10">
        <f>ROUND(L1760*'Irish Basis'!$C$12*'Irish Basis'!$C$5,2)</f>
        <v/>
      </c>
      <c r="R1760" s="11">
        <f>ROUND(SUM(N1760:Q1760),2)</f>
        <v/>
      </c>
      <c r="S1760" s="5" t="inlineStr">
        <is>
          <t>Stated build-up</t>
        </is>
      </c>
      <c r="T1760" s="12" t="inlineStr">
        <is>
          <t>High</t>
        </is>
      </c>
      <c r="U1760" s="8" t="n">
        <v>49.52</v>
      </c>
      <c r="V1760" s="13">
        <f>IF(U1760="","",ROUND(M1760-U1760,2))</f>
        <v/>
      </c>
      <c r="W1760" s="5" t="n"/>
      <c r="X1760" s="5" t="inlineStr">
        <is>
          <t>Labour + plant + material as published; reconciles to the published rate.</t>
        </is>
      </c>
    </row>
    <row r="1761" ht="13" customHeight="1">
      <c r="A1761" s="4" t="n">
        <v>2779</v>
      </c>
      <c r="B1761" s="5" t="inlineStr">
        <is>
          <t>IMG_0103</t>
        </is>
      </c>
      <c r="C1761" s="5" t="inlineStr">
        <is>
          <t>CLASS K: PIPEWORK - MANHOLES AND PIPEWORK ANCILLARIES</t>
        </is>
      </c>
      <c r="D1761" s="5" t="inlineStr">
        <is>
          <t>01 MANHOLES</t>
        </is>
      </c>
      <c r="E1761" s="5" t="inlineStr">
        <is>
          <t>750 x 700 chamber 500 depth to invert</t>
        </is>
      </c>
      <c r="F1761" s="5" t="inlineStr">
        <is>
          <t>brickwork chamber</t>
        </is>
      </c>
      <c r="G1761" s="6" t="inlineStr">
        <is>
          <t>nr</t>
        </is>
      </c>
      <c r="H1761" s="7" t="n">
        <v>3.81</v>
      </c>
      <c r="I1761" s="8" t="n">
        <v>93.38</v>
      </c>
      <c r="J1761" s="8" t="n">
        <v>12.21</v>
      </c>
      <c r="K1761" s="8" t="n">
        <v>102.95</v>
      </c>
      <c r="L1761" s="8" t="n">
        <v>0</v>
      </c>
      <c r="M1761" s="9">
        <f>ROUND(SUM(I1761:L1761),2)</f>
        <v/>
      </c>
      <c r="N1761" s="10">
        <f>ROUND(I1761*'Irish Basis'!$C$6*'Irish Basis'!$C$5,2)</f>
        <v/>
      </c>
      <c r="O1761" s="10">
        <f>ROUND(J1761*'Irish Basis'!$C$7*'Irish Basis'!$C$5,2)</f>
        <v/>
      </c>
      <c r="P1761" s="10">
        <f>ROUND(K1761*'Irish Basis'!$C$8*'Irish Basis'!$C$5,2)</f>
        <v/>
      </c>
      <c r="Q1761" s="10">
        <f>ROUND(L1761*'Irish Basis'!$C$12*'Irish Basis'!$C$5,2)</f>
        <v/>
      </c>
      <c r="R1761" s="11">
        <f>ROUND(SUM(N1761:Q1761),2)</f>
        <v/>
      </c>
      <c r="S1761" s="5" t="inlineStr">
        <is>
          <t>Stated build-up</t>
        </is>
      </c>
      <c r="T1761" s="12" t="inlineStr">
        <is>
          <t>High</t>
        </is>
      </c>
      <c r="U1761" s="8" t="n">
        <v>208.54</v>
      </c>
      <c r="V1761" s="13">
        <f>IF(U1761="","",ROUND(M1761-U1761,2))</f>
        <v/>
      </c>
      <c r="W1761" s="5" t="n"/>
      <c r="X1761" s="5" t="inlineStr">
        <is>
          <t>Labour + plant + material as published; reconciles to the published rate.</t>
        </is>
      </c>
    </row>
    <row r="1762" ht="13" customHeight="1">
      <c r="A1762" s="4" t="n">
        <v>2780</v>
      </c>
      <c r="B1762" s="5" t="inlineStr">
        <is>
          <t>IMG_0103</t>
        </is>
      </c>
      <c r="C1762" s="5" t="inlineStr">
        <is>
          <t>CLASS K: PIPEWORK - MANHOLES AND PIPEWORK ANCILLARIES</t>
        </is>
      </c>
      <c r="D1762" s="5" t="inlineStr">
        <is>
          <t>01 MANHOLES</t>
        </is>
      </c>
      <c r="E1762" s="5" t="inlineStr">
        <is>
          <t>750 x 700 chamber 500 depth to invert</t>
        </is>
      </c>
      <c r="F1762" s="5" t="inlineStr">
        <is>
          <t>concrete cover slab</t>
        </is>
      </c>
      <c r="G1762" s="6" t="inlineStr">
        <is>
          <t>nr</t>
        </is>
      </c>
      <c r="H1762" s="7" t="n">
        <v>2.16</v>
      </c>
      <c r="I1762" s="8" t="n">
        <v>66.20999999999999</v>
      </c>
      <c r="J1762" s="8" t="n">
        <v>49.12</v>
      </c>
      <c r="K1762" s="8" t="n">
        <v>169.95</v>
      </c>
      <c r="L1762" s="8" t="n">
        <v>0</v>
      </c>
      <c r="M1762" s="9">
        <f>ROUND(SUM(I1762:L1762),2)</f>
        <v/>
      </c>
      <c r="N1762" s="10">
        <f>ROUND(I1762*'Irish Basis'!$C$6*'Irish Basis'!$C$5,2)</f>
        <v/>
      </c>
      <c r="O1762" s="10">
        <f>ROUND(J1762*'Irish Basis'!$C$7*'Irish Basis'!$C$5,2)</f>
        <v/>
      </c>
      <c r="P1762" s="10">
        <f>ROUND(K1762*'Irish Basis'!$C$8*'Irish Basis'!$C$5,2)</f>
        <v/>
      </c>
      <c r="Q1762" s="10">
        <f>ROUND(L1762*'Irish Basis'!$C$12*'Irish Basis'!$C$5,2)</f>
        <v/>
      </c>
      <c r="R1762" s="11">
        <f>ROUND(SUM(N1762:Q1762),2)</f>
        <v/>
      </c>
      <c r="S1762" s="5" t="inlineStr">
        <is>
          <t>Stated build-up</t>
        </is>
      </c>
      <c r="T1762" s="12" t="inlineStr">
        <is>
          <t>High</t>
        </is>
      </c>
      <c r="U1762" s="8" t="n">
        <v>285.28</v>
      </c>
      <c r="V1762" s="13">
        <f>IF(U1762="","",ROUND(M1762-U1762,2))</f>
        <v/>
      </c>
      <c r="W1762" s="5" t="n"/>
      <c r="X1762" s="5" t="inlineStr">
        <is>
          <t>Labour + plant + material as published; reconciles to the published rate.</t>
        </is>
      </c>
    </row>
    <row r="1763" ht="13" customHeight="1">
      <c r="A1763" s="4" t="n">
        <v>2781</v>
      </c>
      <c r="B1763" s="5" t="inlineStr">
        <is>
          <t>IMG_0103</t>
        </is>
      </c>
      <c r="C1763" s="5" t="inlineStr">
        <is>
          <t>CLASS K: PIPEWORK - MANHOLES AND PIPEWORK ANCILLARIES</t>
        </is>
      </c>
      <c r="D1763" s="5" t="inlineStr">
        <is>
          <t>01 MANHOLES</t>
        </is>
      </c>
      <c r="E1763" s="5" t="inlineStr">
        <is>
          <t>750 x 700 chamber 500 depth to invert</t>
        </is>
      </c>
      <c r="F1763" s="5" t="inlineStr">
        <is>
          <t>concrete benching, main and branch channels</t>
        </is>
      </c>
      <c r="G1763" s="6" t="inlineStr">
        <is>
          <t>nr</t>
        </is>
      </c>
      <c r="H1763" s="7" t="n">
        <v>7.01</v>
      </c>
      <c r="I1763" s="8" t="n">
        <v>194.47</v>
      </c>
      <c r="J1763" s="8" t="n">
        <v>34.6</v>
      </c>
      <c r="K1763" s="8" t="n">
        <v>276.96</v>
      </c>
      <c r="L1763" s="8" t="n">
        <v>0</v>
      </c>
      <c r="M1763" s="9">
        <f>ROUND(SUM(I1763:L1763),2)</f>
        <v/>
      </c>
      <c r="N1763" s="10">
        <f>ROUND(I1763*'Irish Basis'!$C$6*'Irish Basis'!$C$5,2)</f>
        <v/>
      </c>
      <c r="O1763" s="10">
        <f>ROUND(J1763*'Irish Basis'!$C$7*'Irish Basis'!$C$5,2)</f>
        <v/>
      </c>
      <c r="P1763" s="10">
        <f>ROUND(K1763*'Irish Basis'!$C$8*'Irish Basis'!$C$5,2)</f>
        <v/>
      </c>
      <c r="Q1763" s="10">
        <f>ROUND(L1763*'Irish Basis'!$C$12*'Irish Basis'!$C$5,2)</f>
        <v/>
      </c>
      <c r="R1763" s="11">
        <f>ROUND(SUM(N1763:Q1763),2)</f>
        <v/>
      </c>
      <c r="S1763" s="5" t="inlineStr">
        <is>
          <t>Stated build-up</t>
        </is>
      </c>
      <c r="T1763" s="12" t="inlineStr">
        <is>
          <t>High</t>
        </is>
      </c>
      <c r="U1763" s="8" t="n">
        <v>506.03</v>
      </c>
      <c r="V1763" s="13">
        <f>IF(U1763="","",ROUND(M1763-U1763,2))</f>
        <v/>
      </c>
      <c r="W1763" s="5" t="n"/>
      <c r="X1763" s="5" t="inlineStr">
        <is>
          <t>Labour + plant + material as published; reconciles to the published rate.</t>
        </is>
      </c>
    </row>
    <row r="1764" ht="13" customHeight="1">
      <c r="A1764" s="4" t="n">
        <v>2782</v>
      </c>
      <c r="B1764" s="5" t="inlineStr">
        <is>
          <t>IMG_0103</t>
        </is>
      </c>
      <c r="C1764" s="5" t="inlineStr">
        <is>
          <t>CLASS K: PIPEWORK - MANHOLES AND PIPEWORK ANCILLARIES</t>
        </is>
      </c>
      <c r="D1764" s="5" t="inlineStr">
        <is>
          <t>01 MANHOLES</t>
        </is>
      </c>
      <c r="E1764" s="5" t="inlineStr">
        <is>
          <t>750 x 700 chamber 500 depth to invert</t>
        </is>
      </c>
      <c r="F1764" s="5" t="inlineStr">
        <is>
          <t>step irons</t>
        </is>
      </c>
      <c r="G1764" s="6" t="inlineStr">
        <is>
          <t>nr</t>
        </is>
      </c>
      <c r="H1764" s="7" t="n">
        <v>0.21</v>
      </c>
      <c r="I1764" s="8" t="n">
        <v>5.15</v>
      </c>
      <c r="J1764" s="8" t="n">
        <v>0.68</v>
      </c>
      <c r="K1764" s="8" t="n">
        <v>45.84</v>
      </c>
      <c r="L1764" s="8" t="n">
        <v>0</v>
      </c>
      <c r="M1764" s="9">
        <f>ROUND(SUM(I1764:L1764),2)</f>
        <v/>
      </c>
      <c r="N1764" s="10">
        <f>ROUND(I1764*'Irish Basis'!$C$6*'Irish Basis'!$C$5,2)</f>
        <v/>
      </c>
      <c r="O1764" s="10">
        <f>ROUND(J1764*'Irish Basis'!$C$7*'Irish Basis'!$C$5,2)</f>
        <v/>
      </c>
      <c r="P1764" s="10">
        <f>ROUND(K1764*'Irish Basis'!$C$8*'Irish Basis'!$C$5,2)</f>
        <v/>
      </c>
      <c r="Q1764" s="10">
        <f>ROUND(L1764*'Irish Basis'!$C$12*'Irish Basis'!$C$5,2)</f>
        <v/>
      </c>
      <c r="R1764" s="11">
        <f>ROUND(SUM(N1764:Q1764),2)</f>
        <v/>
      </c>
      <c r="S1764" s="5" t="inlineStr">
        <is>
          <t>Stated build-up</t>
        </is>
      </c>
      <c r="T1764" s="12" t="inlineStr">
        <is>
          <t>High</t>
        </is>
      </c>
      <c r="U1764" s="8" t="n">
        <v>51.68</v>
      </c>
      <c r="V1764" s="13">
        <f>IF(U1764="","",ROUND(M1764-U1764,2))</f>
        <v/>
      </c>
      <c r="W1764" s="5" t="n"/>
      <c r="X1764" s="5" t="inlineStr">
        <is>
          <t>Labour + plant + material as published; reconciles to the published rate.</t>
        </is>
      </c>
    </row>
    <row r="1765" ht="13" customHeight="1">
      <c r="A1765" s="4" t="n">
        <v>2783</v>
      </c>
      <c r="B1765" s="5" t="inlineStr">
        <is>
          <t>IMG_0103</t>
        </is>
      </c>
      <c r="C1765" s="5" t="inlineStr">
        <is>
          <t>CLASS K: PIPEWORK - MANHOLES AND PIPEWORK ANCILLARIES</t>
        </is>
      </c>
      <c r="D1765" s="5" t="inlineStr">
        <is>
          <t>01 MANHOLES</t>
        </is>
      </c>
      <c r="E1765" s="5" t="inlineStr">
        <is>
          <t>750 x 700 chamber 500 depth to invert</t>
        </is>
      </c>
      <c r="F1765" s="5" t="inlineStr">
        <is>
          <t>access cover and frame</t>
        </is>
      </c>
      <c r="G1765" s="6" t="inlineStr">
        <is>
          <t>nr</t>
        </is>
      </c>
      <c r="H1765" s="7" t="n">
        <v>1.44</v>
      </c>
      <c r="I1765" s="8" t="n">
        <v>40.16</v>
      </c>
      <c r="J1765" s="8" t="n">
        <v>4.42</v>
      </c>
      <c r="K1765" s="8" t="n">
        <v>341.51</v>
      </c>
      <c r="L1765" s="8" t="n">
        <v>0</v>
      </c>
      <c r="M1765" s="9">
        <f>ROUND(SUM(I1765:L1765),2)</f>
        <v/>
      </c>
      <c r="N1765" s="10">
        <f>ROUND(I1765*'Irish Basis'!$C$6*'Irish Basis'!$C$5,2)</f>
        <v/>
      </c>
      <c r="O1765" s="10">
        <f>ROUND(J1765*'Irish Basis'!$C$7*'Irish Basis'!$C$5,2)</f>
        <v/>
      </c>
      <c r="P1765" s="10">
        <f>ROUND(K1765*'Irish Basis'!$C$8*'Irish Basis'!$C$5,2)</f>
        <v/>
      </c>
      <c r="Q1765" s="10">
        <f>ROUND(L1765*'Irish Basis'!$C$12*'Irish Basis'!$C$5,2)</f>
        <v/>
      </c>
      <c r="R1765" s="11">
        <f>ROUND(SUM(N1765:Q1765),2)</f>
        <v/>
      </c>
      <c r="S1765" s="5" t="inlineStr">
        <is>
          <t>Stated build-up</t>
        </is>
      </c>
      <c r="T1765" s="12" t="inlineStr">
        <is>
          <t>High</t>
        </is>
      </c>
      <c r="U1765" s="8" t="n">
        <v>386.09</v>
      </c>
      <c r="V1765" s="13">
        <f>IF(U1765="","",ROUND(M1765-U1765,2))</f>
        <v/>
      </c>
      <c r="W1765" s="5" t="n"/>
      <c r="X1765" s="5" t="inlineStr">
        <is>
          <t>Labour + plant + material as published; reconciles to the published rate.</t>
        </is>
      </c>
    </row>
    <row r="1766" ht="13" customHeight="1">
      <c r="A1766" s="4" t="n">
        <v>2784</v>
      </c>
      <c r="B1766" s="5" t="inlineStr">
        <is>
          <t>IMG_0103</t>
        </is>
      </c>
      <c r="C1766" s="5" t="inlineStr">
        <is>
          <t>CLASS K: PIPEWORK - MANHOLES AND PIPEWORK ANCILLARIES</t>
        </is>
      </c>
      <c r="D1766" s="5" t="inlineStr">
        <is>
          <t>01 MANHOLES</t>
        </is>
      </c>
      <c r="E1766" s="5" t="inlineStr">
        <is>
          <t>750 x 700 chamber 500 depth to invert</t>
        </is>
      </c>
      <c r="F1766" s="5" t="inlineStr">
        <is>
          <t>TOTAL</t>
        </is>
      </c>
      <c r="G1766" s="6" t="inlineStr">
        <is>
          <t>nr</t>
        </is>
      </c>
      <c r="H1766" s="7" t="n">
        <v>15.31</v>
      </c>
      <c r="I1766" s="8" t="n">
        <v>436.54</v>
      </c>
      <c r="J1766" s="8" t="n">
        <v>123.29</v>
      </c>
      <c r="K1766" s="8" t="n">
        <v>972.34</v>
      </c>
      <c r="L1766" s="8" t="n">
        <v>0</v>
      </c>
      <c r="M1766" s="9">
        <f>ROUND(SUM(I1766:L1766),2)</f>
        <v/>
      </c>
      <c r="N1766" s="10">
        <f>ROUND(I1766*'Irish Basis'!$C$6*'Irish Basis'!$C$5,2)</f>
        <v/>
      </c>
      <c r="O1766" s="10">
        <f>ROUND(J1766*'Irish Basis'!$C$7*'Irish Basis'!$C$5,2)</f>
        <v/>
      </c>
      <c r="P1766" s="10">
        <f>ROUND(K1766*'Irish Basis'!$C$8*'Irish Basis'!$C$5,2)</f>
        <v/>
      </c>
      <c r="Q1766" s="10">
        <f>ROUND(L1766*'Irish Basis'!$C$12*'Irish Basis'!$C$5,2)</f>
        <v/>
      </c>
      <c r="R1766" s="11">
        <f>ROUND(SUM(N1766:Q1766),2)</f>
        <v/>
      </c>
      <c r="S1766" s="5" t="inlineStr">
        <is>
          <t>Stated build-up</t>
        </is>
      </c>
      <c r="T1766" s="12" t="inlineStr">
        <is>
          <t>High</t>
        </is>
      </c>
      <c r="U1766" s="8" t="n">
        <v>1532.17</v>
      </c>
      <c r="V1766" s="13">
        <f>IF(U1766="","",ROUND(M1766-U1766,2))</f>
        <v/>
      </c>
      <c r="W1766" s="5" t="n"/>
      <c r="X1766" s="5" t="inlineStr">
        <is>
          <t>Labour + plant + material as published; reconciles to the published rate.</t>
        </is>
      </c>
    </row>
    <row r="1767" ht="13" customHeight="1">
      <c r="A1767" s="4" t="n">
        <v>2786</v>
      </c>
      <c r="B1767" s="5" t="inlineStr">
        <is>
          <t>IMG_0103</t>
        </is>
      </c>
      <c r="C1767" s="5" t="inlineStr">
        <is>
          <t>CLASS K: PIPEWORK - MANHOLES AND PIPEWORK ANCILLARIES</t>
        </is>
      </c>
      <c r="D1767" s="5" t="inlineStr">
        <is>
          <t>01 MANHOLES</t>
        </is>
      </c>
      <c r="E1767" s="5" t="inlineStr">
        <is>
          <t>750 x 700 chamber 1000 depth to invert</t>
        </is>
      </c>
      <c r="F1767" s="5" t="inlineStr">
        <is>
          <t>excavation, support, backfilling and disposal</t>
        </is>
      </c>
      <c r="G1767" s="6" t="inlineStr">
        <is>
          <t>nr</t>
        </is>
      </c>
      <c r="H1767" s="7" t="n">
        <v>0.55</v>
      </c>
      <c r="I1767" s="8" t="n">
        <v>52.25</v>
      </c>
      <c r="J1767" s="8" t="n">
        <v>36.82</v>
      </c>
      <c r="K1767" s="8" t="n">
        <v>0</v>
      </c>
      <c r="L1767" s="8" t="n">
        <v>0</v>
      </c>
      <c r="M1767" s="9">
        <f>ROUND(SUM(I1767:L1767),2)</f>
        <v/>
      </c>
      <c r="N1767" s="10">
        <f>ROUND(I1767*'Irish Basis'!$C$6*'Irish Basis'!$C$5,2)</f>
        <v/>
      </c>
      <c r="O1767" s="10">
        <f>ROUND(J1767*'Irish Basis'!$C$7*'Irish Basis'!$C$5,2)</f>
        <v/>
      </c>
      <c r="P1767" s="10">
        <f>ROUND(K1767*'Irish Basis'!$C$8*'Irish Basis'!$C$5,2)</f>
        <v/>
      </c>
      <c r="Q1767" s="10">
        <f>ROUND(L1767*'Irish Basis'!$C$12*'Irish Basis'!$C$5,2)</f>
        <v/>
      </c>
      <c r="R1767" s="11">
        <f>ROUND(SUM(N1767:Q1767),2)</f>
        <v/>
      </c>
      <c r="S1767" s="5" t="inlineStr">
        <is>
          <t>Stated build-up</t>
        </is>
      </c>
      <c r="T1767" s="12" t="inlineStr">
        <is>
          <t>High</t>
        </is>
      </c>
      <c r="U1767" s="8" t="n">
        <v>89.06999999999999</v>
      </c>
      <c r="V1767" s="13">
        <f>IF(U1767="","",ROUND(M1767-U1767,2))</f>
        <v/>
      </c>
      <c r="W1767" s="5" t="n"/>
      <c r="X1767" s="5" t="inlineStr">
        <is>
          <t>Labour + plant + material as published; reconciles to the published rate.</t>
        </is>
      </c>
    </row>
    <row r="1768" ht="13" customHeight="1">
      <c r="A1768" s="4" t="n">
        <v>2787</v>
      </c>
      <c r="B1768" s="5" t="inlineStr">
        <is>
          <t>IMG_0103</t>
        </is>
      </c>
      <c r="C1768" s="5" t="inlineStr">
        <is>
          <t>CLASS K: PIPEWORK - MANHOLES AND PIPEWORK ANCILLARIES</t>
        </is>
      </c>
      <c r="D1768" s="5" t="inlineStr">
        <is>
          <t>01 MANHOLES</t>
        </is>
      </c>
      <c r="E1768" s="5" t="inlineStr">
        <is>
          <t>750 x 700 chamber 1000 depth to invert</t>
        </is>
      </c>
      <c r="F1768" s="5" t="inlineStr">
        <is>
          <t>concrete base</t>
        </is>
      </c>
      <c r="G1768" s="6" t="inlineStr">
        <is>
          <t>nr</t>
        </is>
      </c>
      <c r="H1768" s="7" t="n">
        <v>0.4</v>
      </c>
      <c r="I1768" s="8" t="n">
        <v>10.69</v>
      </c>
      <c r="J1768" s="8" t="n">
        <v>3.7</v>
      </c>
      <c r="K1768" s="8" t="n">
        <v>35.12</v>
      </c>
      <c r="L1768" s="8" t="n">
        <v>0</v>
      </c>
      <c r="M1768" s="9">
        <f>ROUND(SUM(I1768:L1768),2)</f>
        <v/>
      </c>
      <c r="N1768" s="10">
        <f>ROUND(I1768*'Irish Basis'!$C$6*'Irish Basis'!$C$5,2)</f>
        <v/>
      </c>
      <c r="O1768" s="10">
        <f>ROUND(J1768*'Irish Basis'!$C$7*'Irish Basis'!$C$5,2)</f>
        <v/>
      </c>
      <c r="P1768" s="10">
        <f>ROUND(K1768*'Irish Basis'!$C$8*'Irish Basis'!$C$5,2)</f>
        <v/>
      </c>
      <c r="Q1768" s="10">
        <f>ROUND(L1768*'Irish Basis'!$C$12*'Irish Basis'!$C$5,2)</f>
        <v/>
      </c>
      <c r="R1768" s="11">
        <f>ROUND(SUM(N1768:Q1768),2)</f>
        <v/>
      </c>
      <c r="S1768" s="5" t="inlineStr">
        <is>
          <t>Stated build-up</t>
        </is>
      </c>
      <c r="T1768" s="12" t="inlineStr">
        <is>
          <t>High</t>
        </is>
      </c>
      <c r="U1768" s="8" t="n">
        <v>49.52</v>
      </c>
      <c r="V1768" s="13">
        <f>IF(U1768="","",ROUND(M1768-U1768,2))</f>
        <v/>
      </c>
      <c r="W1768" s="5" t="n"/>
      <c r="X1768" s="5" t="inlineStr">
        <is>
          <t>Labour + plant + material as published; reconciles to the published rate.</t>
        </is>
      </c>
    </row>
    <row r="1769" ht="13" customHeight="1">
      <c r="A1769" s="4" t="n">
        <v>2788</v>
      </c>
      <c r="B1769" s="5" t="inlineStr">
        <is>
          <t>IMG_0103</t>
        </is>
      </c>
      <c r="C1769" s="5" t="inlineStr">
        <is>
          <t>CLASS K: PIPEWORK - MANHOLES AND PIPEWORK ANCILLARIES</t>
        </is>
      </c>
      <c r="D1769" s="5" t="inlineStr">
        <is>
          <t>01 MANHOLES</t>
        </is>
      </c>
      <c r="E1769" s="5" t="inlineStr">
        <is>
          <t>750 x 700 chamber 1000 depth to invert</t>
        </is>
      </c>
      <c r="F1769" s="5" t="inlineStr">
        <is>
          <t>brickwork chamber</t>
        </is>
      </c>
      <c r="G1769" s="6" t="inlineStr">
        <is>
          <t>nr</t>
        </is>
      </c>
      <c r="H1769" s="7" t="n">
        <v>7.61</v>
      </c>
      <c r="I1769" s="8" t="n">
        <v>186.77</v>
      </c>
      <c r="J1769" s="8" t="n">
        <v>24.42</v>
      </c>
      <c r="K1769" s="8" t="n">
        <v>205.89</v>
      </c>
      <c r="L1769" s="8" t="n">
        <v>0</v>
      </c>
      <c r="M1769" s="9">
        <f>ROUND(SUM(I1769:L1769),2)</f>
        <v/>
      </c>
      <c r="N1769" s="10">
        <f>ROUND(I1769*'Irish Basis'!$C$6*'Irish Basis'!$C$5,2)</f>
        <v/>
      </c>
      <c r="O1769" s="10">
        <f>ROUND(J1769*'Irish Basis'!$C$7*'Irish Basis'!$C$5,2)</f>
        <v/>
      </c>
      <c r="P1769" s="10">
        <f>ROUND(K1769*'Irish Basis'!$C$8*'Irish Basis'!$C$5,2)</f>
        <v/>
      </c>
      <c r="Q1769" s="10">
        <f>ROUND(L1769*'Irish Basis'!$C$12*'Irish Basis'!$C$5,2)</f>
        <v/>
      </c>
      <c r="R1769" s="11">
        <f>ROUND(SUM(N1769:Q1769),2)</f>
        <v/>
      </c>
      <c r="S1769" s="5" t="inlineStr">
        <is>
          <t>Stated build-up</t>
        </is>
      </c>
      <c r="T1769" s="12" t="inlineStr">
        <is>
          <t>High</t>
        </is>
      </c>
      <c r="U1769" s="8" t="n">
        <v>417.08</v>
      </c>
      <c r="V1769" s="13">
        <f>IF(U1769="","",ROUND(M1769-U1769,2))</f>
        <v/>
      </c>
      <c r="W1769" s="5" t="n"/>
      <c r="X1769" s="5" t="inlineStr">
        <is>
          <t>Labour + plant + material as published; reconciles to the published rate.</t>
        </is>
      </c>
    </row>
    <row r="1770" ht="13" customHeight="1">
      <c r="A1770" s="4" t="n">
        <v>2789</v>
      </c>
      <c r="B1770" s="5" t="inlineStr">
        <is>
          <t>IMG_0103</t>
        </is>
      </c>
      <c r="C1770" s="5" t="inlineStr">
        <is>
          <t>CLASS K: PIPEWORK - MANHOLES AND PIPEWORK ANCILLARIES</t>
        </is>
      </c>
      <c r="D1770" s="5" t="inlineStr">
        <is>
          <t>01 MANHOLES</t>
        </is>
      </c>
      <c r="E1770" s="5" t="inlineStr">
        <is>
          <t>750 x 700 chamber 1000 depth to invert</t>
        </is>
      </c>
      <c r="F1770" s="5" t="inlineStr">
        <is>
          <t>concrete cover slab</t>
        </is>
      </c>
      <c r="G1770" s="6" t="inlineStr">
        <is>
          <t>nr</t>
        </is>
      </c>
      <c r="H1770" s="7" t="n">
        <v>2.16</v>
      </c>
      <c r="I1770" s="8" t="n">
        <v>66.20999999999999</v>
      </c>
      <c r="J1770" s="8" t="n">
        <v>49.12</v>
      </c>
      <c r="K1770" s="8" t="n">
        <v>169.95</v>
      </c>
      <c r="L1770" s="8" t="n">
        <v>0</v>
      </c>
      <c r="M1770" s="9">
        <f>ROUND(SUM(I1770:L1770),2)</f>
        <v/>
      </c>
      <c r="N1770" s="10">
        <f>ROUND(I1770*'Irish Basis'!$C$6*'Irish Basis'!$C$5,2)</f>
        <v/>
      </c>
      <c r="O1770" s="10">
        <f>ROUND(J1770*'Irish Basis'!$C$7*'Irish Basis'!$C$5,2)</f>
        <v/>
      </c>
      <c r="P1770" s="10">
        <f>ROUND(K1770*'Irish Basis'!$C$8*'Irish Basis'!$C$5,2)</f>
        <v/>
      </c>
      <c r="Q1770" s="10">
        <f>ROUND(L1770*'Irish Basis'!$C$12*'Irish Basis'!$C$5,2)</f>
        <v/>
      </c>
      <c r="R1770" s="11">
        <f>ROUND(SUM(N1770:Q1770),2)</f>
        <v/>
      </c>
      <c r="S1770" s="5" t="inlineStr">
        <is>
          <t>Stated build-up</t>
        </is>
      </c>
      <c r="T1770" s="12" t="inlineStr">
        <is>
          <t>High</t>
        </is>
      </c>
      <c r="U1770" s="8" t="n">
        <v>285.28</v>
      </c>
      <c r="V1770" s="13">
        <f>IF(U1770="","",ROUND(M1770-U1770,2))</f>
        <v/>
      </c>
      <c r="W1770" s="5" t="n"/>
      <c r="X1770" s="5" t="inlineStr">
        <is>
          <t>Labour + plant + material as published; reconciles to the published rate.</t>
        </is>
      </c>
    </row>
    <row r="1771" ht="13" customHeight="1">
      <c r="A1771" s="4" t="n">
        <v>2790</v>
      </c>
      <c r="B1771" s="5" t="inlineStr">
        <is>
          <t>IMG_0103</t>
        </is>
      </c>
      <c r="C1771" s="5" t="inlineStr">
        <is>
          <t>CLASS K: PIPEWORK - MANHOLES AND PIPEWORK ANCILLARIES</t>
        </is>
      </c>
      <c r="D1771" s="5" t="inlineStr">
        <is>
          <t>01 MANHOLES</t>
        </is>
      </c>
      <c r="E1771" s="5" t="inlineStr">
        <is>
          <t>750 x 700 chamber 1000 depth to invert</t>
        </is>
      </c>
      <c r="F1771" s="5" t="inlineStr">
        <is>
          <t>concrete benching, main and branch channels</t>
        </is>
      </c>
      <c r="G1771" s="6" t="inlineStr">
        <is>
          <t>nr</t>
        </is>
      </c>
      <c r="H1771" s="7" t="n">
        <v>7.01</v>
      </c>
      <c r="I1771" s="8" t="n">
        <v>194.47</v>
      </c>
      <c r="J1771" s="8" t="n">
        <v>34.6</v>
      </c>
      <c r="K1771" s="8" t="n">
        <v>276.96</v>
      </c>
      <c r="L1771" s="8" t="n">
        <v>0</v>
      </c>
      <c r="M1771" s="9">
        <f>ROUND(SUM(I1771:L1771),2)</f>
        <v/>
      </c>
      <c r="N1771" s="10">
        <f>ROUND(I1771*'Irish Basis'!$C$6*'Irish Basis'!$C$5,2)</f>
        <v/>
      </c>
      <c r="O1771" s="10">
        <f>ROUND(J1771*'Irish Basis'!$C$7*'Irish Basis'!$C$5,2)</f>
        <v/>
      </c>
      <c r="P1771" s="10">
        <f>ROUND(K1771*'Irish Basis'!$C$8*'Irish Basis'!$C$5,2)</f>
        <v/>
      </c>
      <c r="Q1771" s="10">
        <f>ROUND(L1771*'Irish Basis'!$C$12*'Irish Basis'!$C$5,2)</f>
        <v/>
      </c>
      <c r="R1771" s="11">
        <f>ROUND(SUM(N1771:Q1771),2)</f>
        <v/>
      </c>
      <c r="S1771" s="5" t="inlineStr">
        <is>
          <t>Stated build-up</t>
        </is>
      </c>
      <c r="T1771" s="12" t="inlineStr">
        <is>
          <t>High</t>
        </is>
      </c>
      <c r="U1771" s="8" t="n">
        <v>506.03</v>
      </c>
      <c r="V1771" s="13">
        <f>IF(U1771="","",ROUND(M1771-U1771,2))</f>
        <v/>
      </c>
      <c r="W1771" s="5" t="n"/>
      <c r="X1771" s="5" t="inlineStr">
        <is>
          <t>Labour + plant + material as published; reconciles to the published rate.</t>
        </is>
      </c>
    </row>
    <row r="1772" ht="13" customHeight="1">
      <c r="A1772" s="4" t="n">
        <v>2791</v>
      </c>
      <c r="B1772" s="5" t="inlineStr">
        <is>
          <t>IMG_0103</t>
        </is>
      </c>
      <c r="C1772" s="5" t="inlineStr">
        <is>
          <t>CLASS K: PIPEWORK - MANHOLES AND PIPEWORK ANCILLARIES</t>
        </is>
      </c>
      <c r="D1772" s="5" t="inlineStr">
        <is>
          <t>01 MANHOLES</t>
        </is>
      </c>
      <c r="E1772" s="5" t="inlineStr">
        <is>
          <t>750 x 700 chamber 1000 depth to invert</t>
        </is>
      </c>
      <c r="F1772" s="5" t="inlineStr">
        <is>
          <t>step irons</t>
        </is>
      </c>
      <c r="G1772" s="6" t="inlineStr">
        <is>
          <t>nr</t>
        </is>
      </c>
      <c r="H1772" s="7" t="n">
        <v>0.32</v>
      </c>
      <c r="I1772" s="8" t="n">
        <v>7.73</v>
      </c>
      <c r="J1772" s="8" t="n">
        <v>1.03</v>
      </c>
      <c r="K1772" s="8" t="n">
        <v>68.76000000000001</v>
      </c>
      <c r="L1772" s="8" t="n">
        <v>0</v>
      </c>
      <c r="M1772" s="9">
        <f>ROUND(SUM(I1772:L1772),2)</f>
        <v/>
      </c>
      <c r="N1772" s="10">
        <f>ROUND(I1772*'Irish Basis'!$C$6*'Irish Basis'!$C$5,2)</f>
        <v/>
      </c>
      <c r="O1772" s="10">
        <f>ROUND(J1772*'Irish Basis'!$C$7*'Irish Basis'!$C$5,2)</f>
        <v/>
      </c>
      <c r="P1772" s="10">
        <f>ROUND(K1772*'Irish Basis'!$C$8*'Irish Basis'!$C$5,2)</f>
        <v/>
      </c>
      <c r="Q1772" s="10">
        <f>ROUND(L1772*'Irish Basis'!$C$12*'Irish Basis'!$C$5,2)</f>
        <v/>
      </c>
      <c r="R1772" s="11">
        <f>ROUND(SUM(N1772:Q1772),2)</f>
        <v/>
      </c>
      <c r="S1772" s="5" t="inlineStr">
        <is>
          <t>Stated build-up</t>
        </is>
      </c>
      <c r="T1772" s="12" t="inlineStr">
        <is>
          <t>High</t>
        </is>
      </c>
      <c r="U1772" s="8" t="n">
        <v>77.52</v>
      </c>
      <c r="V1772" s="13">
        <f>IF(U1772="","",ROUND(M1772-U1772,2))</f>
        <v/>
      </c>
      <c r="W1772" s="5" t="n"/>
      <c r="X1772" s="5" t="inlineStr">
        <is>
          <t>Labour + plant + material as published; reconciles to the published rate.</t>
        </is>
      </c>
    </row>
    <row r="1773" ht="13" customHeight="1">
      <c r="A1773" s="4" t="n">
        <v>2792</v>
      </c>
      <c r="B1773" s="5" t="inlineStr">
        <is>
          <t>IMG_0103</t>
        </is>
      </c>
      <c r="C1773" s="5" t="inlineStr">
        <is>
          <t>CLASS K: PIPEWORK - MANHOLES AND PIPEWORK ANCILLARIES</t>
        </is>
      </c>
      <c r="D1773" s="5" t="inlineStr">
        <is>
          <t>01 MANHOLES</t>
        </is>
      </c>
      <c r="E1773" s="5" t="inlineStr">
        <is>
          <t>750 x 700 chamber 1000 depth to invert</t>
        </is>
      </c>
      <c r="F1773" s="5" t="inlineStr">
        <is>
          <t>access cover and frame</t>
        </is>
      </c>
      <c r="G1773" s="6" t="inlineStr">
        <is>
          <t>nr</t>
        </is>
      </c>
      <c r="H1773" s="7" t="n">
        <v>1.44</v>
      </c>
      <c r="I1773" s="8" t="n">
        <v>40.16</v>
      </c>
      <c r="J1773" s="8" t="n">
        <v>4.42</v>
      </c>
      <c r="K1773" s="8" t="n">
        <v>341.51</v>
      </c>
      <c r="L1773" s="8" t="n">
        <v>0</v>
      </c>
      <c r="M1773" s="9">
        <f>ROUND(SUM(I1773:L1773),2)</f>
        <v/>
      </c>
      <c r="N1773" s="10">
        <f>ROUND(I1773*'Irish Basis'!$C$6*'Irish Basis'!$C$5,2)</f>
        <v/>
      </c>
      <c r="O1773" s="10">
        <f>ROUND(J1773*'Irish Basis'!$C$7*'Irish Basis'!$C$5,2)</f>
        <v/>
      </c>
      <c r="P1773" s="10">
        <f>ROUND(K1773*'Irish Basis'!$C$8*'Irish Basis'!$C$5,2)</f>
        <v/>
      </c>
      <c r="Q1773" s="10">
        <f>ROUND(L1773*'Irish Basis'!$C$12*'Irish Basis'!$C$5,2)</f>
        <v/>
      </c>
      <c r="R1773" s="11">
        <f>ROUND(SUM(N1773:Q1773),2)</f>
        <v/>
      </c>
      <c r="S1773" s="5" t="inlineStr">
        <is>
          <t>Stated build-up</t>
        </is>
      </c>
      <c r="T1773" s="12" t="inlineStr">
        <is>
          <t>High</t>
        </is>
      </c>
      <c r="U1773" s="8" t="n">
        <v>386.09</v>
      </c>
      <c r="V1773" s="13">
        <f>IF(U1773="","",ROUND(M1773-U1773,2))</f>
        <v/>
      </c>
      <c r="W1773" s="5" t="n"/>
      <c r="X1773" s="5" t="inlineStr">
        <is>
          <t>Labour + plant + material as published; reconciles to the published rate.</t>
        </is>
      </c>
    </row>
    <row r="1774" ht="13" customHeight="1">
      <c r="A1774" s="4" t="n">
        <v>2793</v>
      </c>
      <c r="B1774" s="5" t="inlineStr">
        <is>
          <t>IMG_0103</t>
        </is>
      </c>
      <c r="C1774" s="5" t="inlineStr">
        <is>
          <t>CLASS K: PIPEWORK - MANHOLES AND PIPEWORK ANCILLARIES</t>
        </is>
      </c>
      <c r="D1774" s="5" t="inlineStr">
        <is>
          <t>01 MANHOLES</t>
        </is>
      </c>
      <c r="E1774" s="5" t="inlineStr">
        <is>
          <t>750 x 700 chamber 1000 depth to invert</t>
        </is>
      </c>
      <c r="F1774" s="5" t="inlineStr">
        <is>
          <t>TOTAL</t>
        </is>
      </c>
      <c r="G1774" s="6" t="inlineStr">
        <is>
          <t>nr</t>
        </is>
      </c>
      <c r="H1774" s="7" t="n">
        <v>19.49</v>
      </c>
      <c r="I1774" s="8" t="n">
        <v>558.28</v>
      </c>
      <c r="J1774" s="8" t="n">
        <v>154.11</v>
      </c>
      <c r="K1774" s="8" t="n">
        <v>1098.2</v>
      </c>
      <c r="L1774" s="8" t="n">
        <v>0</v>
      </c>
      <c r="M1774" s="9">
        <f>ROUND(SUM(I1774:L1774),2)</f>
        <v/>
      </c>
      <c r="N1774" s="10">
        <f>ROUND(I1774*'Irish Basis'!$C$6*'Irish Basis'!$C$5,2)</f>
        <v/>
      </c>
      <c r="O1774" s="10">
        <f>ROUND(J1774*'Irish Basis'!$C$7*'Irish Basis'!$C$5,2)</f>
        <v/>
      </c>
      <c r="P1774" s="10">
        <f>ROUND(K1774*'Irish Basis'!$C$8*'Irish Basis'!$C$5,2)</f>
        <v/>
      </c>
      <c r="Q1774" s="10">
        <f>ROUND(L1774*'Irish Basis'!$C$12*'Irish Basis'!$C$5,2)</f>
        <v/>
      </c>
      <c r="R1774" s="11">
        <f>ROUND(SUM(N1774:Q1774),2)</f>
        <v/>
      </c>
      <c r="S1774" s="5" t="inlineStr">
        <is>
          <t>Stated build-up</t>
        </is>
      </c>
      <c r="T1774" s="12" t="inlineStr">
        <is>
          <t>High</t>
        </is>
      </c>
      <c r="U1774" s="8" t="n">
        <v>1810.59</v>
      </c>
      <c r="V1774" s="13">
        <f>IF(U1774="","",ROUND(M1774-U1774,2))</f>
        <v/>
      </c>
      <c r="W1774" s="5" t="n"/>
      <c r="X1774" s="5" t="inlineStr">
        <is>
          <t>Labour + plant + material as published; reconciles to the published rate.</t>
        </is>
      </c>
    </row>
    <row r="1775" ht="13" customHeight="1">
      <c r="A1775" s="4" t="n">
        <v>2795</v>
      </c>
      <c r="B1775" s="5" t="inlineStr">
        <is>
          <t>IMG_0103</t>
        </is>
      </c>
      <c r="C1775" s="5" t="inlineStr">
        <is>
          <t>CLASS K: PIPEWORK - MANHOLES AND PIPEWORK ANCILLARIES</t>
        </is>
      </c>
      <c r="D1775" s="5" t="inlineStr">
        <is>
          <t>01 MANHOLES</t>
        </is>
      </c>
      <c r="E1775" s="5" t="inlineStr">
        <is>
          <t>750 x 700 chamber 1500 depth to invert</t>
        </is>
      </c>
      <c r="F1775" s="5" t="inlineStr">
        <is>
          <t>excavation, support, backfilling and disposal</t>
        </is>
      </c>
      <c r="G1775" s="6" t="inlineStr">
        <is>
          <t>nr</t>
        </is>
      </c>
      <c r="H1775" s="7" t="n">
        <v>0.83</v>
      </c>
      <c r="I1775" s="8" t="n">
        <v>77.90000000000001</v>
      </c>
      <c r="J1775" s="8" t="n">
        <v>54.99</v>
      </c>
      <c r="K1775" s="8" t="n">
        <v>0</v>
      </c>
      <c r="L1775" s="8" t="n">
        <v>0</v>
      </c>
      <c r="M1775" s="9">
        <f>ROUND(SUM(I1775:L1775),2)</f>
        <v/>
      </c>
      <c r="N1775" s="10">
        <f>ROUND(I1775*'Irish Basis'!$C$6*'Irish Basis'!$C$5,2)</f>
        <v/>
      </c>
      <c r="O1775" s="10">
        <f>ROUND(J1775*'Irish Basis'!$C$7*'Irish Basis'!$C$5,2)</f>
        <v/>
      </c>
      <c r="P1775" s="10">
        <f>ROUND(K1775*'Irish Basis'!$C$8*'Irish Basis'!$C$5,2)</f>
        <v/>
      </c>
      <c r="Q1775" s="10">
        <f>ROUND(L1775*'Irish Basis'!$C$12*'Irish Basis'!$C$5,2)</f>
        <v/>
      </c>
      <c r="R1775" s="11">
        <f>ROUND(SUM(N1775:Q1775),2)</f>
        <v/>
      </c>
      <c r="S1775" s="5" t="inlineStr">
        <is>
          <t>Stated build-up</t>
        </is>
      </c>
      <c r="T1775" s="12" t="inlineStr">
        <is>
          <t>High</t>
        </is>
      </c>
      <c r="U1775" s="8" t="n">
        <v>132.88</v>
      </c>
      <c r="V1775" s="13">
        <f>IF(U1775="","",ROUND(M1775-U1775,2))</f>
        <v/>
      </c>
      <c r="W1775" s="5" t="n"/>
      <c r="X1775" s="5" t="inlineStr">
        <is>
          <t>Labour + plant + material as published; reconciles to the published rate.</t>
        </is>
      </c>
    </row>
    <row r="1776" ht="13" customHeight="1">
      <c r="A1776" s="4" t="n">
        <v>2796</v>
      </c>
      <c r="B1776" s="5" t="inlineStr">
        <is>
          <t>IMG_0103</t>
        </is>
      </c>
      <c r="C1776" s="5" t="inlineStr">
        <is>
          <t>CLASS K: PIPEWORK - MANHOLES AND PIPEWORK ANCILLARIES</t>
        </is>
      </c>
      <c r="D1776" s="5" t="inlineStr">
        <is>
          <t>01 MANHOLES</t>
        </is>
      </c>
      <c r="E1776" s="5" t="inlineStr">
        <is>
          <t>750 x 700 chamber 1500 depth to invert</t>
        </is>
      </c>
      <c r="F1776" s="5" t="inlineStr">
        <is>
          <t>concrete base</t>
        </is>
      </c>
      <c r="G1776" s="6" t="inlineStr">
        <is>
          <t>nr</t>
        </is>
      </c>
      <c r="H1776" s="7" t="n">
        <v>0.4</v>
      </c>
      <c r="I1776" s="8" t="n">
        <v>10.69</v>
      </c>
      <c r="J1776" s="8" t="n">
        <v>3.7</v>
      </c>
      <c r="K1776" s="8" t="n">
        <v>35.12</v>
      </c>
      <c r="L1776" s="8" t="n">
        <v>0</v>
      </c>
      <c r="M1776" s="9">
        <f>ROUND(SUM(I1776:L1776),2)</f>
        <v/>
      </c>
      <c r="N1776" s="10">
        <f>ROUND(I1776*'Irish Basis'!$C$6*'Irish Basis'!$C$5,2)</f>
        <v/>
      </c>
      <c r="O1776" s="10">
        <f>ROUND(J1776*'Irish Basis'!$C$7*'Irish Basis'!$C$5,2)</f>
        <v/>
      </c>
      <c r="P1776" s="10">
        <f>ROUND(K1776*'Irish Basis'!$C$8*'Irish Basis'!$C$5,2)</f>
        <v/>
      </c>
      <c r="Q1776" s="10">
        <f>ROUND(L1776*'Irish Basis'!$C$12*'Irish Basis'!$C$5,2)</f>
        <v/>
      </c>
      <c r="R1776" s="11">
        <f>ROUND(SUM(N1776:Q1776),2)</f>
        <v/>
      </c>
      <c r="S1776" s="5" t="inlineStr">
        <is>
          <t>Stated build-up</t>
        </is>
      </c>
      <c r="T1776" s="12" t="inlineStr">
        <is>
          <t>High</t>
        </is>
      </c>
      <c r="U1776" s="8" t="n">
        <v>49.52</v>
      </c>
      <c r="V1776" s="13">
        <f>IF(U1776="","",ROUND(M1776-U1776,2))</f>
        <v/>
      </c>
      <c r="W1776" s="5" t="n"/>
      <c r="X1776" s="5" t="inlineStr">
        <is>
          <t>Labour + plant + material as published; reconciles to the published rate.</t>
        </is>
      </c>
    </row>
    <row r="1777" ht="13" customHeight="1">
      <c r="A1777" s="4" t="n">
        <v>2797</v>
      </c>
      <c r="B1777" s="5" t="inlineStr">
        <is>
          <t>IMG_0103</t>
        </is>
      </c>
      <c r="C1777" s="5" t="inlineStr">
        <is>
          <t>CLASS K: PIPEWORK - MANHOLES AND PIPEWORK ANCILLARIES</t>
        </is>
      </c>
      <c r="D1777" s="5" t="inlineStr">
        <is>
          <t>01 MANHOLES</t>
        </is>
      </c>
      <c r="E1777" s="5" t="inlineStr">
        <is>
          <t>750 x 700 chamber 1500 depth to invert</t>
        </is>
      </c>
      <c r="F1777" s="5" t="inlineStr">
        <is>
          <t>brickwork chamber</t>
        </is>
      </c>
      <c r="G1777" s="6" t="inlineStr">
        <is>
          <t>nr</t>
        </is>
      </c>
      <c r="H1777" s="7" t="n">
        <v>12.18</v>
      </c>
      <c r="I1777" s="8" t="n">
        <v>298.82</v>
      </c>
      <c r="J1777" s="8" t="n">
        <v>39.05</v>
      </c>
      <c r="K1777" s="8" t="n">
        <v>308.84</v>
      </c>
      <c r="L1777" s="8" t="n">
        <v>0</v>
      </c>
      <c r="M1777" s="9">
        <f>ROUND(SUM(I1777:L1777),2)</f>
        <v/>
      </c>
      <c r="N1777" s="10">
        <f>ROUND(I1777*'Irish Basis'!$C$6*'Irish Basis'!$C$5,2)</f>
        <v/>
      </c>
      <c r="O1777" s="10">
        <f>ROUND(J1777*'Irish Basis'!$C$7*'Irish Basis'!$C$5,2)</f>
        <v/>
      </c>
      <c r="P1777" s="10">
        <f>ROUND(K1777*'Irish Basis'!$C$8*'Irish Basis'!$C$5,2)</f>
        <v/>
      </c>
      <c r="Q1777" s="10">
        <f>ROUND(L1777*'Irish Basis'!$C$12*'Irish Basis'!$C$5,2)</f>
        <v/>
      </c>
      <c r="R1777" s="11">
        <f>ROUND(SUM(N1777:Q1777),2)</f>
        <v/>
      </c>
      <c r="S1777" s="5" t="inlineStr">
        <is>
          <t>Stated build-up</t>
        </is>
      </c>
      <c r="T1777" s="12" t="inlineStr">
        <is>
          <t>High</t>
        </is>
      </c>
      <c r="U1777" s="8" t="n">
        <v>646.72</v>
      </c>
      <c r="V1777" s="13">
        <f>IF(U1777="","",ROUND(M1777-U1777,2))</f>
        <v/>
      </c>
      <c r="W1777" s="5" t="n"/>
      <c r="X1777" s="5" t="inlineStr">
        <is>
          <t>Labour + plant + material as published; reconciles to the published rate.</t>
        </is>
      </c>
    </row>
    <row r="1778" ht="13" customHeight="1">
      <c r="A1778" s="4" t="n">
        <v>2798</v>
      </c>
      <c r="B1778" s="5" t="inlineStr">
        <is>
          <t>IMG_0103</t>
        </is>
      </c>
      <c r="C1778" s="5" t="inlineStr">
        <is>
          <t>CLASS K: PIPEWORK - MANHOLES AND PIPEWORK ANCILLARIES</t>
        </is>
      </c>
      <c r="D1778" s="5" t="inlineStr">
        <is>
          <t>01 MANHOLES</t>
        </is>
      </c>
      <c r="E1778" s="5" t="inlineStr">
        <is>
          <t>750 x 700 chamber 1500 depth to invert</t>
        </is>
      </c>
      <c r="F1778" s="5" t="inlineStr">
        <is>
          <t>concrete cover slab</t>
        </is>
      </c>
      <c r="G1778" s="6" t="inlineStr">
        <is>
          <t>nr</t>
        </is>
      </c>
      <c r="H1778" s="7" t="n">
        <v>2.16</v>
      </c>
      <c r="I1778" s="8" t="n">
        <v>66.20999999999999</v>
      </c>
      <c r="J1778" s="8" t="n">
        <v>49.12</v>
      </c>
      <c r="K1778" s="8" t="n">
        <v>169.95</v>
      </c>
      <c r="L1778" s="8" t="n">
        <v>0</v>
      </c>
      <c r="M1778" s="9">
        <f>ROUND(SUM(I1778:L1778),2)</f>
        <v/>
      </c>
      <c r="N1778" s="10">
        <f>ROUND(I1778*'Irish Basis'!$C$6*'Irish Basis'!$C$5,2)</f>
        <v/>
      </c>
      <c r="O1778" s="10">
        <f>ROUND(J1778*'Irish Basis'!$C$7*'Irish Basis'!$C$5,2)</f>
        <v/>
      </c>
      <c r="P1778" s="10">
        <f>ROUND(K1778*'Irish Basis'!$C$8*'Irish Basis'!$C$5,2)</f>
        <v/>
      </c>
      <c r="Q1778" s="10">
        <f>ROUND(L1778*'Irish Basis'!$C$12*'Irish Basis'!$C$5,2)</f>
        <v/>
      </c>
      <c r="R1778" s="11">
        <f>ROUND(SUM(N1778:Q1778),2)</f>
        <v/>
      </c>
      <c r="S1778" s="5" t="inlineStr">
        <is>
          <t>Stated build-up</t>
        </is>
      </c>
      <c r="T1778" s="12" t="inlineStr">
        <is>
          <t>High</t>
        </is>
      </c>
      <c r="U1778" s="8" t="n">
        <v>285.28</v>
      </c>
      <c r="V1778" s="13">
        <f>IF(U1778="","",ROUND(M1778-U1778,2))</f>
        <v/>
      </c>
      <c r="W1778" s="5" t="n"/>
      <c r="X1778" s="5" t="inlineStr">
        <is>
          <t>Labour + plant + material as published; reconciles to the published rate.</t>
        </is>
      </c>
    </row>
    <row r="1779" ht="13" customHeight="1">
      <c r="A1779" s="4" t="n">
        <v>2799</v>
      </c>
      <c r="B1779" s="5" t="inlineStr">
        <is>
          <t>IMG_0103</t>
        </is>
      </c>
      <c r="C1779" s="5" t="inlineStr">
        <is>
          <t>CLASS K: PIPEWORK - MANHOLES AND PIPEWORK ANCILLARIES</t>
        </is>
      </c>
      <c r="D1779" s="5" t="inlineStr">
        <is>
          <t>01 MANHOLES</t>
        </is>
      </c>
      <c r="E1779" s="5" t="inlineStr">
        <is>
          <t>750 x 700 chamber 1500 depth to invert</t>
        </is>
      </c>
      <c r="F1779" s="5" t="inlineStr">
        <is>
          <t>concrete benching, main and branch channels</t>
        </is>
      </c>
      <c r="G1779" s="6" t="inlineStr">
        <is>
          <t>nr</t>
        </is>
      </c>
      <c r="H1779" s="7" t="n">
        <v>7.01</v>
      </c>
      <c r="I1779" s="8" t="n">
        <v>194.47</v>
      </c>
      <c r="J1779" s="8" t="n">
        <v>34.6</v>
      </c>
      <c r="K1779" s="8" t="n">
        <v>276.96</v>
      </c>
      <c r="L1779" s="8" t="n">
        <v>0</v>
      </c>
      <c r="M1779" s="9">
        <f>ROUND(SUM(I1779:L1779),2)</f>
        <v/>
      </c>
      <c r="N1779" s="10">
        <f>ROUND(I1779*'Irish Basis'!$C$6*'Irish Basis'!$C$5,2)</f>
        <v/>
      </c>
      <c r="O1779" s="10">
        <f>ROUND(J1779*'Irish Basis'!$C$7*'Irish Basis'!$C$5,2)</f>
        <v/>
      </c>
      <c r="P1779" s="10">
        <f>ROUND(K1779*'Irish Basis'!$C$8*'Irish Basis'!$C$5,2)</f>
        <v/>
      </c>
      <c r="Q1779" s="10">
        <f>ROUND(L1779*'Irish Basis'!$C$12*'Irish Basis'!$C$5,2)</f>
        <v/>
      </c>
      <c r="R1779" s="11">
        <f>ROUND(SUM(N1779:Q1779),2)</f>
        <v/>
      </c>
      <c r="S1779" s="5" t="inlineStr">
        <is>
          <t>Stated build-up</t>
        </is>
      </c>
      <c r="T1779" s="12" t="inlineStr">
        <is>
          <t>High</t>
        </is>
      </c>
      <c r="U1779" s="8" t="n">
        <v>506.03</v>
      </c>
      <c r="V1779" s="13">
        <f>IF(U1779="","",ROUND(M1779-U1779,2))</f>
        <v/>
      </c>
      <c r="W1779" s="5" t="n"/>
      <c r="X1779" s="5" t="inlineStr">
        <is>
          <t>Labour + plant + material as published; reconciles to the published rate.</t>
        </is>
      </c>
    </row>
    <row r="1780" ht="13" customHeight="1">
      <c r="A1780" s="4" t="n">
        <v>2800</v>
      </c>
      <c r="B1780" s="5" t="inlineStr">
        <is>
          <t>IMG_0103</t>
        </is>
      </c>
      <c r="C1780" s="5" t="inlineStr">
        <is>
          <t>CLASS K: PIPEWORK - MANHOLES AND PIPEWORK ANCILLARIES</t>
        </is>
      </c>
      <c r="D1780" s="5" t="inlineStr">
        <is>
          <t>01 MANHOLES</t>
        </is>
      </c>
      <c r="E1780" s="5" t="inlineStr">
        <is>
          <t>750 x 700 chamber 1500 depth to invert</t>
        </is>
      </c>
      <c r="F1780" s="5" t="inlineStr">
        <is>
          <t>step irons</t>
        </is>
      </c>
      <c r="G1780" s="6" t="inlineStr">
        <is>
          <t>nr</t>
        </is>
      </c>
      <c r="H1780" s="7" t="n">
        <v>0.42</v>
      </c>
      <c r="I1780" s="8" t="n">
        <v>10.3</v>
      </c>
      <c r="J1780" s="8" t="n">
        <v>1.37</v>
      </c>
      <c r="K1780" s="8" t="n">
        <v>91.68000000000001</v>
      </c>
      <c r="L1780" s="8" t="n">
        <v>0</v>
      </c>
      <c r="M1780" s="9">
        <f>ROUND(SUM(I1780:L1780),2)</f>
        <v/>
      </c>
      <c r="N1780" s="10">
        <f>ROUND(I1780*'Irish Basis'!$C$6*'Irish Basis'!$C$5,2)</f>
        <v/>
      </c>
      <c r="O1780" s="10">
        <f>ROUND(J1780*'Irish Basis'!$C$7*'Irish Basis'!$C$5,2)</f>
        <v/>
      </c>
      <c r="P1780" s="10">
        <f>ROUND(K1780*'Irish Basis'!$C$8*'Irish Basis'!$C$5,2)</f>
        <v/>
      </c>
      <c r="Q1780" s="10">
        <f>ROUND(L1780*'Irish Basis'!$C$12*'Irish Basis'!$C$5,2)</f>
        <v/>
      </c>
      <c r="R1780" s="11">
        <f>ROUND(SUM(N1780:Q1780),2)</f>
        <v/>
      </c>
      <c r="S1780" s="5" t="inlineStr">
        <is>
          <t>Stated build-up</t>
        </is>
      </c>
      <c r="T1780" s="12" t="inlineStr">
        <is>
          <t>High</t>
        </is>
      </c>
      <c r="U1780" s="8" t="n">
        <v>103.36</v>
      </c>
      <c r="V1780" s="13">
        <f>IF(U1780="","",ROUND(M1780-U1780,2))</f>
        <v/>
      </c>
      <c r="W1780" s="5" t="n"/>
      <c r="X1780" s="5" t="inlineStr">
        <is>
          <t>Labour + plant + material as published; reconciles to the published rate.</t>
        </is>
      </c>
    </row>
    <row r="1781" ht="13" customHeight="1">
      <c r="A1781" s="4" t="n">
        <v>2801</v>
      </c>
      <c r="B1781" s="5" t="inlineStr">
        <is>
          <t>IMG_0103</t>
        </is>
      </c>
      <c r="C1781" s="5" t="inlineStr">
        <is>
          <t>CLASS K: PIPEWORK - MANHOLES AND PIPEWORK ANCILLARIES</t>
        </is>
      </c>
      <c r="D1781" s="5" t="inlineStr">
        <is>
          <t>01 MANHOLES</t>
        </is>
      </c>
      <c r="E1781" s="5" t="inlineStr">
        <is>
          <t>750 x 700 chamber 1500 depth to invert</t>
        </is>
      </c>
      <c r="F1781" s="5" t="inlineStr">
        <is>
          <t>access cover and frame</t>
        </is>
      </c>
      <c r="G1781" s="6" t="inlineStr">
        <is>
          <t>nr</t>
        </is>
      </c>
      <c r="H1781" s="7" t="n">
        <v>1.44</v>
      </c>
      <c r="I1781" s="8" t="n">
        <v>40.16</v>
      </c>
      <c r="J1781" s="8" t="n">
        <v>4.42</v>
      </c>
      <c r="K1781" s="8" t="n">
        <v>341.51</v>
      </c>
      <c r="L1781" s="8" t="n">
        <v>0</v>
      </c>
      <c r="M1781" s="9">
        <f>ROUND(SUM(I1781:L1781),2)</f>
        <v/>
      </c>
      <c r="N1781" s="10">
        <f>ROUND(I1781*'Irish Basis'!$C$6*'Irish Basis'!$C$5,2)</f>
        <v/>
      </c>
      <c r="O1781" s="10">
        <f>ROUND(J1781*'Irish Basis'!$C$7*'Irish Basis'!$C$5,2)</f>
        <v/>
      </c>
      <c r="P1781" s="10">
        <f>ROUND(K1781*'Irish Basis'!$C$8*'Irish Basis'!$C$5,2)</f>
        <v/>
      </c>
      <c r="Q1781" s="10">
        <f>ROUND(L1781*'Irish Basis'!$C$12*'Irish Basis'!$C$5,2)</f>
        <v/>
      </c>
      <c r="R1781" s="11">
        <f>ROUND(SUM(N1781:Q1781),2)</f>
        <v/>
      </c>
      <c r="S1781" s="5" t="inlineStr">
        <is>
          <t>Stated build-up</t>
        </is>
      </c>
      <c r="T1781" s="12" t="inlineStr">
        <is>
          <t>High</t>
        </is>
      </c>
      <c r="U1781" s="8" t="n">
        <v>386.09</v>
      </c>
      <c r="V1781" s="13">
        <f>IF(U1781="","",ROUND(M1781-U1781,2))</f>
        <v/>
      </c>
      <c r="W1781" s="5" t="n"/>
      <c r="X1781" s="5" t="inlineStr">
        <is>
          <t>Labour + plant + material as published; reconciles to the published rate.</t>
        </is>
      </c>
    </row>
    <row r="1782" ht="13" customHeight="1">
      <c r="A1782" s="4" t="n">
        <v>2802</v>
      </c>
      <c r="B1782" s="5" t="inlineStr">
        <is>
          <t>IMG_0103</t>
        </is>
      </c>
      <c r="C1782" s="5" t="inlineStr">
        <is>
          <t>CLASS K: PIPEWORK - MANHOLES AND PIPEWORK ANCILLARIES</t>
        </is>
      </c>
      <c r="D1782" s="5" t="inlineStr">
        <is>
          <t>01 MANHOLES</t>
        </is>
      </c>
      <c r="E1782" s="5" t="inlineStr">
        <is>
          <t>750 x 700 chamber 1500 depth to invert</t>
        </is>
      </c>
      <c r="F1782" s="5" t="inlineStr">
        <is>
          <t>TOTAL</t>
        </is>
      </c>
      <c r="G1782" s="6" t="inlineStr">
        <is>
          <t>nr</t>
        </is>
      </c>
      <c r="H1782" s="7" t="n">
        <v>24.44</v>
      </c>
      <c r="I1782" s="8" t="n">
        <v>698.5599999999999</v>
      </c>
      <c r="J1782" s="8" t="n">
        <v>187.25</v>
      </c>
      <c r="K1782" s="8" t="n">
        <v>1224.07</v>
      </c>
      <c r="L1782" s="8" t="n">
        <v>0</v>
      </c>
      <c r="M1782" s="9">
        <f>ROUND(SUM(I1782:L1782),2)</f>
        <v/>
      </c>
      <c r="N1782" s="10">
        <f>ROUND(I1782*'Irish Basis'!$C$6*'Irish Basis'!$C$5,2)</f>
        <v/>
      </c>
      <c r="O1782" s="10">
        <f>ROUND(J1782*'Irish Basis'!$C$7*'Irish Basis'!$C$5,2)</f>
        <v/>
      </c>
      <c r="P1782" s="10">
        <f>ROUND(K1782*'Irish Basis'!$C$8*'Irish Basis'!$C$5,2)</f>
        <v/>
      </c>
      <c r="Q1782" s="10">
        <f>ROUND(L1782*'Irish Basis'!$C$12*'Irish Basis'!$C$5,2)</f>
        <v/>
      </c>
      <c r="R1782" s="11">
        <f>ROUND(SUM(N1782:Q1782),2)</f>
        <v/>
      </c>
      <c r="S1782" s="5" t="inlineStr">
        <is>
          <t>Stated build-up</t>
        </is>
      </c>
      <c r="T1782" s="12" t="inlineStr">
        <is>
          <t>High</t>
        </is>
      </c>
      <c r="U1782" s="8" t="n">
        <v>2109.88</v>
      </c>
      <c r="V1782" s="13">
        <f>IF(U1782="","",ROUND(M1782-U1782,2))</f>
        <v/>
      </c>
      <c r="W1782" s="5" t="n"/>
      <c r="X1782" s="5" t="inlineStr">
        <is>
          <t>Labour + plant + material as published; reconciles to the published rate.</t>
        </is>
      </c>
    </row>
    <row r="1783" ht="13" customHeight="1">
      <c r="A1783" s="4" t="n">
        <v>2804</v>
      </c>
      <c r="B1783" s="5" t="inlineStr">
        <is>
          <t>IMG_0103</t>
        </is>
      </c>
      <c r="C1783" s="5" t="inlineStr">
        <is>
          <t>CLASS K: PIPEWORK - MANHOLES AND PIPEWORK ANCILLARIES</t>
        </is>
      </c>
      <c r="D1783" s="5" t="inlineStr">
        <is>
          <t>01 MANHOLES</t>
        </is>
      </c>
      <c r="E1783" s="5" t="inlineStr">
        <is>
          <t>900 x 700 chamber 500 depth to invert</t>
        </is>
      </c>
      <c r="F1783" s="5" t="inlineStr">
        <is>
          <t>excavation, support, backfilling and disposal</t>
        </is>
      </c>
      <c r="G1783" s="6" t="inlineStr">
        <is>
          <t>nr</t>
        </is>
      </c>
      <c r="H1783" s="7" t="n">
        <v>0.33</v>
      </c>
      <c r="I1783" s="8" t="n">
        <v>31.05</v>
      </c>
      <c r="J1783" s="8" t="n">
        <v>21.23</v>
      </c>
      <c r="K1783" s="8" t="n">
        <v>0</v>
      </c>
      <c r="L1783" s="8" t="n">
        <v>0</v>
      </c>
      <c r="M1783" s="9">
        <f>ROUND(SUM(I1783:L1783),2)</f>
        <v/>
      </c>
      <c r="N1783" s="10">
        <f>ROUND(I1783*'Irish Basis'!$C$6*'Irish Basis'!$C$5,2)</f>
        <v/>
      </c>
      <c r="O1783" s="10">
        <f>ROUND(J1783*'Irish Basis'!$C$7*'Irish Basis'!$C$5,2)</f>
        <v/>
      </c>
      <c r="P1783" s="10">
        <f>ROUND(K1783*'Irish Basis'!$C$8*'Irish Basis'!$C$5,2)</f>
        <v/>
      </c>
      <c r="Q1783" s="10">
        <f>ROUND(L1783*'Irish Basis'!$C$12*'Irish Basis'!$C$5,2)</f>
        <v/>
      </c>
      <c r="R1783" s="11">
        <f>ROUND(SUM(N1783:Q1783),2)</f>
        <v/>
      </c>
      <c r="S1783" s="5" t="inlineStr">
        <is>
          <t>Stated build-up</t>
        </is>
      </c>
      <c r="T1783" s="12" t="inlineStr">
        <is>
          <t>High</t>
        </is>
      </c>
      <c r="U1783" s="8" t="n">
        <v>52.27</v>
      </c>
      <c r="V1783" s="13">
        <f>IF(U1783="","",ROUND(M1783-U1783,2))</f>
        <v/>
      </c>
      <c r="W1783" s="5" t="n"/>
      <c r="X1783" s="5" t="inlineStr">
        <is>
          <t>Labour + plant + material as published; reconciles to the published rate.</t>
        </is>
      </c>
    </row>
    <row r="1784" ht="13" customHeight="1">
      <c r="A1784" s="4" t="n">
        <v>2805</v>
      </c>
      <c r="B1784" s="5" t="inlineStr">
        <is>
          <t>IMG_0103</t>
        </is>
      </c>
      <c r="C1784" s="5" t="inlineStr">
        <is>
          <t>CLASS K: PIPEWORK - MANHOLES AND PIPEWORK ANCILLARIES</t>
        </is>
      </c>
      <c r="D1784" s="5" t="inlineStr">
        <is>
          <t>01 MANHOLES</t>
        </is>
      </c>
      <c r="E1784" s="5" t="inlineStr">
        <is>
          <t>900 x 700 chamber 500 depth to invert</t>
        </is>
      </c>
      <c r="F1784" s="5" t="inlineStr">
        <is>
          <t>concrete base</t>
        </is>
      </c>
      <c r="G1784" s="6" t="inlineStr">
        <is>
          <t>nr</t>
        </is>
      </c>
      <c r="H1784" s="7" t="n">
        <v>0.47</v>
      </c>
      <c r="I1784" s="8" t="n">
        <v>12.48</v>
      </c>
      <c r="J1784" s="8" t="n">
        <v>4.32</v>
      </c>
      <c r="K1784" s="8" t="n">
        <v>40.97</v>
      </c>
      <c r="L1784" s="8" t="n">
        <v>0</v>
      </c>
      <c r="M1784" s="9">
        <f>ROUND(SUM(I1784:L1784),2)</f>
        <v/>
      </c>
      <c r="N1784" s="10">
        <f>ROUND(I1784*'Irish Basis'!$C$6*'Irish Basis'!$C$5,2)</f>
        <v/>
      </c>
      <c r="O1784" s="10">
        <f>ROUND(J1784*'Irish Basis'!$C$7*'Irish Basis'!$C$5,2)</f>
        <v/>
      </c>
      <c r="P1784" s="10">
        <f>ROUND(K1784*'Irish Basis'!$C$8*'Irish Basis'!$C$5,2)</f>
        <v/>
      </c>
      <c r="Q1784" s="10">
        <f>ROUND(L1784*'Irish Basis'!$C$12*'Irish Basis'!$C$5,2)</f>
        <v/>
      </c>
      <c r="R1784" s="11">
        <f>ROUND(SUM(N1784:Q1784),2)</f>
        <v/>
      </c>
      <c r="S1784" s="5" t="inlineStr">
        <is>
          <t>Stated build-up</t>
        </is>
      </c>
      <c r="T1784" s="12" t="inlineStr">
        <is>
          <t>High</t>
        </is>
      </c>
      <c r="U1784" s="8" t="n">
        <v>57.77</v>
      </c>
      <c r="V1784" s="13">
        <f>IF(U1784="","",ROUND(M1784-U1784,2))</f>
        <v/>
      </c>
      <c r="W1784" s="5" t="n"/>
      <c r="X1784" s="5" t="inlineStr">
        <is>
          <t>Labour + plant + material as published; reconciles to the published rate.</t>
        </is>
      </c>
    </row>
    <row r="1785" ht="13" customHeight="1">
      <c r="A1785" s="4" t="n">
        <v>2806</v>
      </c>
      <c r="B1785" s="5" t="inlineStr">
        <is>
          <t>IMG_0103</t>
        </is>
      </c>
      <c r="C1785" s="5" t="inlineStr">
        <is>
          <t>CLASS K: PIPEWORK - MANHOLES AND PIPEWORK ANCILLARIES</t>
        </is>
      </c>
      <c r="D1785" s="5" t="inlineStr">
        <is>
          <t>01 MANHOLES</t>
        </is>
      </c>
      <c r="E1785" s="5" t="inlineStr">
        <is>
          <t>900 x 700 chamber 500 depth to invert</t>
        </is>
      </c>
      <c r="F1785" s="5" t="inlineStr">
        <is>
          <t>brickwork chamber</t>
        </is>
      </c>
      <c r="G1785" s="6" t="inlineStr">
        <is>
          <t>nr</t>
        </is>
      </c>
      <c r="H1785" s="7" t="n">
        <v>4.2</v>
      </c>
      <c r="I1785" s="8" t="n">
        <v>103.04</v>
      </c>
      <c r="J1785" s="8" t="n">
        <v>13.48</v>
      </c>
      <c r="K1785" s="8" t="n">
        <v>113.6</v>
      </c>
      <c r="L1785" s="8" t="n">
        <v>0</v>
      </c>
      <c r="M1785" s="9">
        <f>ROUND(SUM(I1785:L1785),2)</f>
        <v/>
      </c>
      <c r="N1785" s="10">
        <f>ROUND(I1785*'Irish Basis'!$C$6*'Irish Basis'!$C$5,2)</f>
        <v/>
      </c>
      <c r="O1785" s="10">
        <f>ROUND(J1785*'Irish Basis'!$C$7*'Irish Basis'!$C$5,2)</f>
        <v/>
      </c>
      <c r="P1785" s="10">
        <f>ROUND(K1785*'Irish Basis'!$C$8*'Irish Basis'!$C$5,2)</f>
        <v/>
      </c>
      <c r="Q1785" s="10">
        <f>ROUND(L1785*'Irish Basis'!$C$12*'Irish Basis'!$C$5,2)</f>
        <v/>
      </c>
      <c r="R1785" s="11">
        <f>ROUND(SUM(N1785:Q1785),2)</f>
        <v/>
      </c>
      <c r="S1785" s="5" t="inlineStr">
        <is>
          <t>Stated build-up</t>
        </is>
      </c>
      <c r="T1785" s="12" t="inlineStr">
        <is>
          <t>High</t>
        </is>
      </c>
      <c r="U1785" s="8" t="n">
        <v>230.12</v>
      </c>
      <c r="V1785" s="13">
        <f>IF(U1785="","",ROUND(M1785-U1785,2))</f>
        <v/>
      </c>
      <c r="W1785" s="5" t="n"/>
      <c r="X1785" s="5" t="inlineStr">
        <is>
          <t>Labour + plant + material as published; reconciles to the published rate.</t>
        </is>
      </c>
    </row>
    <row r="1786" ht="13" customHeight="1">
      <c r="A1786" s="4" t="n">
        <v>2807</v>
      </c>
      <c r="B1786" s="5" t="inlineStr">
        <is>
          <t>IMG_0103</t>
        </is>
      </c>
      <c r="C1786" s="5" t="inlineStr">
        <is>
          <t>CLASS K: PIPEWORK - MANHOLES AND PIPEWORK ANCILLARIES</t>
        </is>
      </c>
      <c r="D1786" s="5" t="inlineStr">
        <is>
          <t>01 MANHOLES</t>
        </is>
      </c>
      <c r="E1786" s="5" t="inlineStr">
        <is>
          <t>900 x 700 chamber 500 depth to invert</t>
        </is>
      </c>
      <c r="F1786" s="5" t="inlineStr">
        <is>
          <t>concrete cover slab</t>
        </is>
      </c>
      <c r="G1786" s="6" t="inlineStr">
        <is>
          <t>nr</t>
        </is>
      </c>
      <c r="H1786" s="7" t="n">
        <v>2.16</v>
      </c>
      <c r="I1786" s="8" t="n">
        <v>66.20999999999999</v>
      </c>
      <c r="J1786" s="8" t="n">
        <v>49.12</v>
      </c>
      <c r="K1786" s="8" t="n">
        <v>169.95</v>
      </c>
      <c r="L1786" s="8" t="n">
        <v>0</v>
      </c>
      <c r="M1786" s="9">
        <f>ROUND(SUM(I1786:L1786),2)</f>
        <v/>
      </c>
      <c r="N1786" s="10">
        <f>ROUND(I1786*'Irish Basis'!$C$6*'Irish Basis'!$C$5,2)</f>
        <v/>
      </c>
      <c r="O1786" s="10">
        <f>ROUND(J1786*'Irish Basis'!$C$7*'Irish Basis'!$C$5,2)</f>
        <v/>
      </c>
      <c r="P1786" s="10">
        <f>ROUND(K1786*'Irish Basis'!$C$8*'Irish Basis'!$C$5,2)</f>
        <v/>
      </c>
      <c r="Q1786" s="10">
        <f>ROUND(L1786*'Irish Basis'!$C$12*'Irish Basis'!$C$5,2)</f>
        <v/>
      </c>
      <c r="R1786" s="11">
        <f>ROUND(SUM(N1786:Q1786),2)</f>
        <v/>
      </c>
      <c r="S1786" s="5" t="inlineStr">
        <is>
          <t>Stated build-up</t>
        </is>
      </c>
      <c r="T1786" s="12" t="inlineStr">
        <is>
          <t>High</t>
        </is>
      </c>
      <c r="U1786" s="8" t="n">
        <v>285.28</v>
      </c>
      <c r="V1786" s="13">
        <f>IF(U1786="","",ROUND(M1786-U1786,2))</f>
        <v/>
      </c>
      <c r="W1786" s="5" t="n"/>
      <c r="X1786" s="5" t="inlineStr">
        <is>
          <t>Labour + plant + material as published; reconciles to the published rate.</t>
        </is>
      </c>
    </row>
    <row r="1787" ht="13" customHeight="1">
      <c r="A1787" s="4" t="n">
        <v>2808</v>
      </c>
      <c r="B1787" s="5" t="inlineStr">
        <is>
          <t>IMG_0103</t>
        </is>
      </c>
      <c r="C1787" s="5" t="inlineStr">
        <is>
          <t>CLASS K: PIPEWORK - MANHOLES AND PIPEWORK ANCILLARIES</t>
        </is>
      </c>
      <c r="D1787" s="5" t="inlineStr">
        <is>
          <t>01 MANHOLES</t>
        </is>
      </c>
      <c r="E1787" s="5" t="inlineStr">
        <is>
          <t>900 x 700 chamber 500 depth to invert</t>
        </is>
      </c>
      <c r="F1787" s="5" t="inlineStr">
        <is>
          <t>concrete benching, main and branch channels</t>
        </is>
      </c>
      <c r="G1787" s="6" t="inlineStr">
        <is>
          <t>nr</t>
        </is>
      </c>
      <c r="H1787" s="7" t="n">
        <v>7.01</v>
      </c>
      <c r="I1787" s="8" t="n">
        <v>194.47</v>
      </c>
      <c r="J1787" s="8" t="n">
        <v>34.6</v>
      </c>
      <c r="K1787" s="8" t="n">
        <v>276.96</v>
      </c>
      <c r="L1787" s="8" t="n">
        <v>0</v>
      </c>
      <c r="M1787" s="9">
        <f>ROUND(SUM(I1787:L1787),2)</f>
        <v/>
      </c>
      <c r="N1787" s="10">
        <f>ROUND(I1787*'Irish Basis'!$C$6*'Irish Basis'!$C$5,2)</f>
        <v/>
      </c>
      <c r="O1787" s="10">
        <f>ROUND(J1787*'Irish Basis'!$C$7*'Irish Basis'!$C$5,2)</f>
        <v/>
      </c>
      <c r="P1787" s="10">
        <f>ROUND(K1787*'Irish Basis'!$C$8*'Irish Basis'!$C$5,2)</f>
        <v/>
      </c>
      <c r="Q1787" s="10">
        <f>ROUND(L1787*'Irish Basis'!$C$12*'Irish Basis'!$C$5,2)</f>
        <v/>
      </c>
      <c r="R1787" s="11">
        <f>ROUND(SUM(N1787:Q1787),2)</f>
        <v/>
      </c>
      <c r="S1787" s="5" t="inlineStr">
        <is>
          <t>Stated build-up</t>
        </is>
      </c>
      <c r="T1787" s="12" t="inlineStr">
        <is>
          <t>High</t>
        </is>
      </c>
      <c r="U1787" s="8" t="n">
        <v>506.03</v>
      </c>
      <c r="V1787" s="13">
        <f>IF(U1787="","",ROUND(M1787-U1787,2))</f>
        <v/>
      </c>
      <c r="W1787" s="5" t="n"/>
      <c r="X1787" s="5" t="inlineStr">
        <is>
          <t>Labour + plant + material as published; reconciles to the published rate.</t>
        </is>
      </c>
    </row>
    <row r="1788" ht="13" customHeight="1">
      <c r="A1788" s="4" t="n">
        <v>2809</v>
      </c>
      <c r="B1788" s="5" t="inlineStr">
        <is>
          <t>IMG_0103</t>
        </is>
      </c>
      <c r="C1788" s="5" t="inlineStr">
        <is>
          <t>CLASS K: PIPEWORK - MANHOLES AND PIPEWORK ANCILLARIES</t>
        </is>
      </c>
      <c r="D1788" s="5" t="inlineStr">
        <is>
          <t>01 MANHOLES</t>
        </is>
      </c>
      <c r="E1788" s="5" t="inlineStr">
        <is>
          <t>900 x 700 chamber 500 depth to invert</t>
        </is>
      </c>
      <c r="F1788" s="5" t="inlineStr">
        <is>
          <t>step irons</t>
        </is>
      </c>
      <c r="G1788" s="6" t="inlineStr">
        <is>
          <t>nr</t>
        </is>
      </c>
      <c r="H1788" s="7" t="n">
        <v>0.11</v>
      </c>
      <c r="I1788" s="8" t="n">
        <v>2.58</v>
      </c>
      <c r="J1788" s="8" t="n">
        <v>0.34</v>
      </c>
      <c r="K1788" s="8" t="n">
        <v>22.92</v>
      </c>
      <c r="L1788" s="8" t="n">
        <v>0</v>
      </c>
      <c r="M1788" s="9">
        <f>ROUND(SUM(I1788:L1788),2)</f>
        <v/>
      </c>
      <c r="N1788" s="10">
        <f>ROUND(I1788*'Irish Basis'!$C$6*'Irish Basis'!$C$5,2)</f>
        <v/>
      </c>
      <c r="O1788" s="10">
        <f>ROUND(J1788*'Irish Basis'!$C$7*'Irish Basis'!$C$5,2)</f>
        <v/>
      </c>
      <c r="P1788" s="10">
        <f>ROUND(K1788*'Irish Basis'!$C$8*'Irish Basis'!$C$5,2)</f>
        <v/>
      </c>
      <c r="Q1788" s="10">
        <f>ROUND(L1788*'Irish Basis'!$C$12*'Irish Basis'!$C$5,2)</f>
        <v/>
      </c>
      <c r="R1788" s="11">
        <f>ROUND(SUM(N1788:Q1788),2)</f>
        <v/>
      </c>
      <c r="S1788" s="5" t="inlineStr">
        <is>
          <t>Stated build-up</t>
        </is>
      </c>
      <c r="T1788" s="12" t="inlineStr">
        <is>
          <t>High</t>
        </is>
      </c>
      <c r="U1788" s="8" t="n">
        <v>25.84</v>
      </c>
      <c r="V1788" s="13">
        <f>IF(U1788="","",ROUND(M1788-U1788,2))</f>
        <v/>
      </c>
      <c r="W1788" s="5" t="n"/>
      <c r="X1788" s="5" t="inlineStr">
        <is>
          <t>Labour + plant + material as published; reconciles to the published rate.</t>
        </is>
      </c>
    </row>
    <row r="1789" ht="13" customHeight="1">
      <c r="A1789" s="4" t="n">
        <v>2810</v>
      </c>
      <c r="B1789" s="5" t="inlineStr">
        <is>
          <t>IMG_0103</t>
        </is>
      </c>
      <c r="C1789" s="5" t="inlineStr">
        <is>
          <t>CLASS K: PIPEWORK - MANHOLES AND PIPEWORK ANCILLARIES</t>
        </is>
      </c>
      <c r="D1789" s="5" t="inlineStr">
        <is>
          <t>01 MANHOLES</t>
        </is>
      </c>
      <c r="E1789" s="5" t="inlineStr">
        <is>
          <t>900 x 700 chamber 500 depth to invert</t>
        </is>
      </c>
      <c r="F1789" s="5" t="inlineStr">
        <is>
          <t>access cover and frame</t>
        </is>
      </c>
      <c r="G1789" s="6" t="inlineStr">
        <is>
          <t>nr</t>
        </is>
      </c>
      <c r="H1789" s="7" t="n">
        <v>1.44</v>
      </c>
      <c r="I1789" s="8" t="n">
        <v>40.16</v>
      </c>
      <c r="J1789" s="8" t="n">
        <v>4.42</v>
      </c>
      <c r="K1789" s="8" t="n">
        <v>341.51</v>
      </c>
      <c r="L1789" s="8" t="n">
        <v>0</v>
      </c>
      <c r="M1789" s="9">
        <f>ROUND(SUM(I1789:L1789),2)</f>
        <v/>
      </c>
      <c r="N1789" s="10">
        <f>ROUND(I1789*'Irish Basis'!$C$6*'Irish Basis'!$C$5,2)</f>
        <v/>
      </c>
      <c r="O1789" s="10">
        <f>ROUND(J1789*'Irish Basis'!$C$7*'Irish Basis'!$C$5,2)</f>
        <v/>
      </c>
      <c r="P1789" s="10">
        <f>ROUND(K1789*'Irish Basis'!$C$8*'Irish Basis'!$C$5,2)</f>
        <v/>
      </c>
      <c r="Q1789" s="10">
        <f>ROUND(L1789*'Irish Basis'!$C$12*'Irish Basis'!$C$5,2)</f>
        <v/>
      </c>
      <c r="R1789" s="11">
        <f>ROUND(SUM(N1789:Q1789),2)</f>
        <v/>
      </c>
      <c r="S1789" s="5" t="inlineStr">
        <is>
          <t>Stated build-up</t>
        </is>
      </c>
      <c r="T1789" s="12" t="inlineStr">
        <is>
          <t>High</t>
        </is>
      </c>
      <c r="U1789" s="8" t="n">
        <v>386.09</v>
      </c>
      <c r="V1789" s="13">
        <f>IF(U1789="","",ROUND(M1789-U1789,2))</f>
        <v/>
      </c>
      <c r="W1789" s="5" t="n"/>
      <c r="X1789" s="5" t="inlineStr">
        <is>
          <t>Labour + plant + material as published; reconciles to the published rate.</t>
        </is>
      </c>
    </row>
    <row r="1790" ht="13" customHeight="1">
      <c r="A1790" s="4" t="n">
        <v>2811</v>
      </c>
      <c r="B1790" s="5" t="inlineStr">
        <is>
          <t>IMG_0103</t>
        </is>
      </c>
      <c r="C1790" s="5" t="inlineStr">
        <is>
          <t>CLASS K: PIPEWORK - MANHOLES AND PIPEWORK ANCILLARIES</t>
        </is>
      </c>
      <c r="D1790" s="5" t="inlineStr">
        <is>
          <t>01 MANHOLES</t>
        </is>
      </c>
      <c r="E1790" s="5" t="inlineStr">
        <is>
          <t>900 x 700 chamber 500 depth to invert</t>
        </is>
      </c>
      <c r="F1790" s="5" t="inlineStr">
        <is>
          <t>TOTAL</t>
        </is>
      </c>
      <c r="G1790" s="6" t="inlineStr">
        <is>
          <t>nr</t>
        </is>
      </c>
      <c r="H1790" s="7" t="n">
        <v>15.71</v>
      </c>
      <c r="I1790" s="8" t="n">
        <v>449.98</v>
      </c>
      <c r="J1790" s="8" t="n">
        <v>127.5</v>
      </c>
      <c r="K1790" s="8" t="n">
        <v>965.92</v>
      </c>
      <c r="L1790" s="8" t="n">
        <v>0</v>
      </c>
      <c r="M1790" s="9">
        <f>ROUND(SUM(I1790:L1790),2)</f>
        <v/>
      </c>
      <c r="N1790" s="10">
        <f>ROUND(I1790*'Irish Basis'!$C$6*'Irish Basis'!$C$5,2)</f>
        <v/>
      </c>
      <c r="O1790" s="10">
        <f>ROUND(J1790*'Irish Basis'!$C$7*'Irish Basis'!$C$5,2)</f>
        <v/>
      </c>
      <c r="P1790" s="10">
        <f>ROUND(K1790*'Irish Basis'!$C$8*'Irish Basis'!$C$5,2)</f>
        <v/>
      </c>
      <c r="Q1790" s="10">
        <f>ROUND(L1790*'Irish Basis'!$C$12*'Irish Basis'!$C$5,2)</f>
        <v/>
      </c>
      <c r="R1790" s="11">
        <f>ROUND(SUM(N1790:Q1790),2)</f>
        <v/>
      </c>
      <c r="S1790" s="5" t="inlineStr">
        <is>
          <t>Stated build-up</t>
        </is>
      </c>
      <c r="T1790" s="12" t="inlineStr">
        <is>
          <t>High</t>
        </is>
      </c>
      <c r="U1790" s="8" t="n">
        <v>1543.4</v>
      </c>
      <c r="V1790" s="13">
        <f>IF(U1790="","",ROUND(M1790-U1790,2))</f>
        <v/>
      </c>
      <c r="W1790" s="5" t="n"/>
      <c r="X1790" s="5" t="inlineStr">
        <is>
          <t>Labour + plant + material as published; reconciles to the published rate.</t>
        </is>
      </c>
    </row>
    <row r="1791" ht="13" customHeight="1">
      <c r="A1791" s="4" t="n">
        <v>2813</v>
      </c>
      <c r="B1791" s="5" t="inlineStr">
        <is>
          <t>IMG_0103</t>
        </is>
      </c>
      <c r="C1791" s="5" t="inlineStr">
        <is>
          <t>CLASS K: PIPEWORK - MANHOLES AND PIPEWORK ANCILLARIES</t>
        </is>
      </c>
      <c r="D1791" s="5" t="inlineStr">
        <is>
          <t>01 MANHOLES</t>
        </is>
      </c>
      <c r="E1791" s="5" t="inlineStr">
        <is>
          <t>900 x 700 chamber 1000 depth to invert</t>
        </is>
      </c>
      <c r="F1791" s="5" t="inlineStr">
        <is>
          <t>excavation, support, backfilling and disposal</t>
        </is>
      </c>
      <c r="G1791" s="6" t="inlineStr">
        <is>
          <t>nr</t>
        </is>
      </c>
      <c r="H1791" s="7" t="n">
        <v>0.66</v>
      </c>
      <c r="I1791" s="8" t="n">
        <v>62.1</v>
      </c>
      <c r="J1791" s="8" t="n">
        <v>42.45</v>
      </c>
      <c r="K1791" s="8" t="n">
        <v>0</v>
      </c>
      <c r="L1791" s="8" t="n">
        <v>0</v>
      </c>
      <c r="M1791" s="9">
        <f>ROUND(SUM(I1791:L1791),2)</f>
        <v/>
      </c>
      <c r="N1791" s="10">
        <f>ROUND(I1791*'Irish Basis'!$C$6*'Irish Basis'!$C$5,2)</f>
        <v/>
      </c>
      <c r="O1791" s="10">
        <f>ROUND(J1791*'Irish Basis'!$C$7*'Irish Basis'!$C$5,2)</f>
        <v/>
      </c>
      <c r="P1791" s="10">
        <f>ROUND(K1791*'Irish Basis'!$C$8*'Irish Basis'!$C$5,2)</f>
        <v/>
      </c>
      <c r="Q1791" s="10">
        <f>ROUND(L1791*'Irish Basis'!$C$12*'Irish Basis'!$C$5,2)</f>
        <v/>
      </c>
      <c r="R1791" s="11">
        <f>ROUND(SUM(N1791:Q1791),2)</f>
        <v/>
      </c>
      <c r="S1791" s="5" t="inlineStr">
        <is>
          <t>Stated build-up</t>
        </is>
      </c>
      <c r="T1791" s="12" t="inlineStr">
        <is>
          <t>High</t>
        </is>
      </c>
      <c r="U1791" s="8" t="n">
        <v>104.55</v>
      </c>
      <c r="V1791" s="13">
        <f>IF(U1791="","",ROUND(M1791-U1791,2))</f>
        <v/>
      </c>
      <c r="W1791" s="5" t="n"/>
      <c r="X1791" s="5" t="inlineStr">
        <is>
          <t>Labour + plant + material as published; reconciles to the published rate.</t>
        </is>
      </c>
    </row>
    <row r="1792" ht="13" customHeight="1">
      <c r="A1792" s="4" t="n">
        <v>2814</v>
      </c>
      <c r="B1792" s="5" t="inlineStr">
        <is>
          <t>IMG_0103</t>
        </is>
      </c>
      <c r="C1792" s="5" t="inlineStr">
        <is>
          <t>CLASS K: PIPEWORK - MANHOLES AND PIPEWORK ANCILLARIES</t>
        </is>
      </c>
      <c r="D1792" s="5" t="inlineStr">
        <is>
          <t>01 MANHOLES</t>
        </is>
      </c>
      <c r="E1792" s="5" t="inlineStr">
        <is>
          <t>900 x 700 chamber 1000 depth to invert</t>
        </is>
      </c>
      <c r="F1792" s="5" t="inlineStr">
        <is>
          <t>concrete base</t>
        </is>
      </c>
      <c r="G1792" s="6" t="inlineStr">
        <is>
          <t>nr</t>
        </is>
      </c>
      <c r="H1792" s="7" t="n">
        <v>0.47</v>
      </c>
      <c r="I1792" s="8" t="n">
        <v>12.48</v>
      </c>
      <c r="J1792" s="8" t="n">
        <v>4.32</v>
      </c>
      <c r="K1792" s="8" t="n">
        <v>40.97</v>
      </c>
      <c r="L1792" s="8" t="n">
        <v>0</v>
      </c>
      <c r="M1792" s="9">
        <f>ROUND(SUM(I1792:L1792),2)</f>
        <v/>
      </c>
      <c r="N1792" s="10">
        <f>ROUND(I1792*'Irish Basis'!$C$6*'Irish Basis'!$C$5,2)</f>
        <v/>
      </c>
      <c r="O1792" s="10">
        <f>ROUND(J1792*'Irish Basis'!$C$7*'Irish Basis'!$C$5,2)</f>
        <v/>
      </c>
      <c r="P1792" s="10">
        <f>ROUND(K1792*'Irish Basis'!$C$8*'Irish Basis'!$C$5,2)</f>
        <v/>
      </c>
      <c r="Q1792" s="10">
        <f>ROUND(L1792*'Irish Basis'!$C$12*'Irish Basis'!$C$5,2)</f>
        <v/>
      </c>
      <c r="R1792" s="11">
        <f>ROUND(SUM(N1792:Q1792),2)</f>
        <v/>
      </c>
      <c r="S1792" s="5" t="inlineStr">
        <is>
          <t>Stated build-up</t>
        </is>
      </c>
      <c r="T1792" s="12" t="inlineStr">
        <is>
          <t>High</t>
        </is>
      </c>
      <c r="U1792" s="8" t="n">
        <v>57.77</v>
      </c>
      <c r="V1792" s="13">
        <f>IF(U1792="","",ROUND(M1792-U1792,2))</f>
        <v/>
      </c>
      <c r="W1792" s="5" t="n"/>
      <c r="X1792" s="5" t="inlineStr">
        <is>
          <t>Labour + plant + material as published; reconciles to the published rate.</t>
        </is>
      </c>
    </row>
    <row r="1793" ht="13" customHeight="1">
      <c r="A1793" s="4" t="n">
        <v>2815</v>
      </c>
      <c r="B1793" s="5" t="inlineStr">
        <is>
          <t>IMG_0103</t>
        </is>
      </c>
      <c r="C1793" s="5" t="inlineStr">
        <is>
          <t>CLASS K: PIPEWORK - MANHOLES AND PIPEWORK ANCILLARIES</t>
        </is>
      </c>
      <c r="D1793" s="5" t="inlineStr">
        <is>
          <t>01 MANHOLES</t>
        </is>
      </c>
      <c r="E1793" s="5" t="inlineStr">
        <is>
          <t>900 x 700 chamber 1000 depth to invert</t>
        </is>
      </c>
      <c r="F1793" s="5" t="inlineStr">
        <is>
          <t>brickwork chamber</t>
        </is>
      </c>
      <c r="G1793" s="6" t="inlineStr">
        <is>
          <t>nr</t>
        </is>
      </c>
      <c r="H1793" s="7" t="n">
        <v>8.4</v>
      </c>
      <c r="I1793" s="8" t="n">
        <v>206.09</v>
      </c>
      <c r="J1793" s="8" t="n">
        <v>26.95</v>
      </c>
      <c r="K1793" s="8" t="n">
        <v>227.19</v>
      </c>
      <c r="L1793" s="8" t="n">
        <v>0</v>
      </c>
      <c r="M1793" s="9">
        <f>ROUND(SUM(I1793:L1793),2)</f>
        <v/>
      </c>
      <c r="N1793" s="10">
        <f>ROUND(I1793*'Irish Basis'!$C$6*'Irish Basis'!$C$5,2)</f>
        <v/>
      </c>
      <c r="O1793" s="10">
        <f>ROUND(J1793*'Irish Basis'!$C$7*'Irish Basis'!$C$5,2)</f>
        <v/>
      </c>
      <c r="P1793" s="10">
        <f>ROUND(K1793*'Irish Basis'!$C$8*'Irish Basis'!$C$5,2)</f>
        <v/>
      </c>
      <c r="Q1793" s="10">
        <f>ROUND(L1793*'Irish Basis'!$C$12*'Irish Basis'!$C$5,2)</f>
        <v/>
      </c>
      <c r="R1793" s="11">
        <f>ROUND(SUM(N1793:Q1793),2)</f>
        <v/>
      </c>
      <c r="S1793" s="5" t="inlineStr">
        <is>
          <t>Stated build-up</t>
        </is>
      </c>
      <c r="T1793" s="12" t="inlineStr">
        <is>
          <t>High</t>
        </is>
      </c>
      <c r="U1793" s="8" t="n">
        <v>460.23</v>
      </c>
      <c r="V1793" s="13">
        <f>IF(U1793="","",ROUND(M1793-U1793,2))</f>
        <v/>
      </c>
      <c r="W1793" s="5" t="n"/>
      <c r="X1793" s="5" t="inlineStr">
        <is>
          <t>Labour + plant + material as published; reconciles to the published rate.</t>
        </is>
      </c>
    </row>
    <row r="1794" ht="13" customHeight="1">
      <c r="A1794" s="4" t="n">
        <v>2816</v>
      </c>
      <c r="B1794" s="5" t="inlineStr">
        <is>
          <t>IMG_0103</t>
        </is>
      </c>
      <c r="C1794" s="5" t="inlineStr">
        <is>
          <t>CLASS K: PIPEWORK - MANHOLES AND PIPEWORK ANCILLARIES</t>
        </is>
      </c>
      <c r="D1794" s="5" t="inlineStr">
        <is>
          <t>01 MANHOLES</t>
        </is>
      </c>
      <c r="E1794" s="5" t="inlineStr">
        <is>
          <t>900 x 700 chamber 1000 depth to invert</t>
        </is>
      </c>
      <c r="F1794" s="5" t="inlineStr">
        <is>
          <t>concrete cover slab</t>
        </is>
      </c>
      <c r="G1794" s="6" t="inlineStr">
        <is>
          <t>nr</t>
        </is>
      </c>
      <c r="H1794" s="7" t="n">
        <v>2.16</v>
      </c>
      <c r="I1794" s="8" t="n">
        <v>66.20999999999999</v>
      </c>
      <c r="J1794" s="8" t="n">
        <v>49.12</v>
      </c>
      <c r="K1794" s="8" t="n">
        <v>169.95</v>
      </c>
      <c r="L1794" s="8" t="n">
        <v>0</v>
      </c>
      <c r="M1794" s="9">
        <f>ROUND(SUM(I1794:L1794),2)</f>
        <v/>
      </c>
      <c r="N1794" s="10">
        <f>ROUND(I1794*'Irish Basis'!$C$6*'Irish Basis'!$C$5,2)</f>
        <v/>
      </c>
      <c r="O1794" s="10">
        <f>ROUND(J1794*'Irish Basis'!$C$7*'Irish Basis'!$C$5,2)</f>
        <v/>
      </c>
      <c r="P1794" s="10">
        <f>ROUND(K1794*'Irish Basis'!$C$8*'Irish Basis'!$C$5,2)</f>
        <v/>
      </c>
      <c r="Q1794" s="10">
        <f>ROUND(L1794*'Irish Basis'!$C$12*'Irish Basis'!$C$5,2)</f>
        <v/>
      </c>
      <c r="R1794" s="11">
        <f>ROUND(SUM(N1794:Q1794),2)</f>
        <v/>
      </c>
      <c r="S1794" s="5" t="inlineStr">
        <is>
          <t>Stated build-up</t>
        </is>
      </c>
      <c r="T1794" s="12" t="inlineStr">
        <is>
          <t>High</t>
        </is>
      </c>
      <c r="U1794" s="8" t="n">
        <v>285.28</v>
      </c>
      <c r="V1794" s="13">
        <f>IF(U1794="","",ROUND(M1794-U1794,2))</f>
        <v/>
      </c>
      <c r="W1794" s="5" t="n"/>
      <c r="X1794" s="5" t="inlineStr">
        <is>
          <t>Labour + plant + material as published; reconciles to the published rate.</t>
        </is>
      </c>
    </row>
    <row r="1795" ht="13" customHeight="1">
      <c r="A1795" s="4" t="n">
        <v>2817</v>
      </c>
      <c r="B1795" s="5" t="inlineStr">
        <is>
          <t>IMG_0103</t>
        </is>
      </c>
      <c r="C1795" s="5" t="inlineStr">
        <is>
          <t>CLASS K: PIPEWORK - MANHOLES AND PIPEWORK ANCILLARIES</t>
        </is>
      </c>
      <c r="D1795" s="5" t="inlineStr">
        <is>
          <t>01 MANHOLES</t>
        </is>
      </c>
      <c r="E1795" s="5" t="inlineStr">
        <is>
          <t>900 x 700 chamber 1000 depth to invert</t>
        </is>
      </c>
      <c r="F1795" s="5" t="inlineStr">
        <is>
          <t>concrete benching, main and branch channels</t>
        </is>
      </c>
      <c r="G1795" s="6" t="inlineStr">
        <is>
          <t>nr</t>
        </is>
      </c>
      <c r="H1795" s="7" t="n">
        <v>7.01</v>
      </c>
      <c r="I1795" s="8" t="n">
        <v>194.47</v>
      </c>
      <c r="J1795" s="8" t="n">
        <v>34.6</v>
      </c>
      <c r="K1795" s="8" t="n">
        <v>276.96</v>
      </c>
      <c r="L1795" s="8" t="n">
        <v>0</v>
      </c>
      <c r="M1795" s="9">
        <f>ROUND(SUM(I1795:L1795),2)</f>
        <v/>
      </c>
      <c r="N1795" s="10">
        <f>ROUND(I1795*'Irish Basis'!$C$6*'Irish Basis'!$C$5,2)</f>
        <v/>
      </c>
      <c r="O1795" s="10">
        <f>ROUND(J1795*'Irish Basis'!$C$7*'Irish Basis'!$C$5,2)</f>
        <v/>
      </c>
      <c r="P1795" s="10">
        <f>ROUND(K1795*'Irish Basis'!$C$8*'Irish Basis'!$C$5,2)</f>
        <v/>
      </c>
      <c r="Q1795" s="10">
        <f>ROUND(L1795*'Irish Basis'!$C$12*'Irish Basis'!$C$5,2)</f>
        <v/>
      </c>
      <c r="R1795" s="11">
        <f>ROUND(SUM(N1795:Q1795),2)</f>
        <v/>
      </c>
      <c r="S1795" s="5" t="inlineStr">
        <is>
          <t>Stated build-up</t>
        </is>
      </c>
      <c r="T1795" s="12" t="inlineStr">
        <is>
          <t>High</t>
        </is>
      </c>
      <c r="U1795" s="8" t="n">
        <v>506.03</v>
      </c>
      <c r="V1795" s="13">
        <f>IF(U1795="","",ROUND(M1795-U1795,2))</f>
        <v/>
      </c>
      <c r="W1795" s="5" t="n"/>
      <c r="X1795" s="5" t="inlineStr">
        <is>
          <t>Labour + plant + material as published; reconciles to the published rate.</t>
        </is>
      </c>
    </row>
    <row r="1796" ht="13" customHeight="1">
      <c r="A1796" s="4" t="n">
        <v>2818</v>
      </c>
      <c r="B1796" s="5" t="inlineStr">
        <is>
          <t>IMG_0103</t>
        </is>
      </c>
      <c r="C1796" s="5" t="inlineStr">
        <is>
          <t>CLASS K: PIPEWORK - MANHOLES AND PIPEWORK ANCILLARIES</t>
        </is>
      </c>
      <c r="D1796" s="5" t="inlineStr">
        <is>
          <t>01 MANHOLES</t>
        </is>
      </c>
      <c r="E1796" s="5" t="inlineStr">
        <is>
          <t>900 x 700 chamber 1000 depth to invert</t>
        </is>
      </c>
      <c r="F1796" s="5" t="inlineStr">
        <is>
          <t>step irons</t>
        </is>
      </c>
      <c r="G1796" s="6" t="inlineStr">
        <is>
          <t>nr</t>
        </is>
      </c>
      <c r="H1796" s="7" t="n">
        <v>0.32</v>
      </c>
      <c r="I1796" s="8" t="n">
        <v>7.73</v>
      </c>
      <c r="J1796" s="8" t="n">
        <v>1.03</v>
      </c>
      <c r="K1796" s="8" t="n">
        <v>68.76000000000001</v>
      </c>
      <c r="L1796" s="8" t="n">
        <v>0</v>
      </c>
      <c r="M1796" s="9">
        <f>ROUND(SUM(I1796:L1796),2)</f>
        <v/>
      </c>
      <c r="N1796" s="10">
        <f>ROUND(I1796*'Irish Basis'!$C$6*'Irish Basis'!$C$5,2)</f>
        <v/>
      </c>
      <c r="O1796" s="10">
        <f>ROUND(J1796*'Irish Basis'!$C$7*'Irish Basis'!$C$5,2)</f>
        <v/>
      </c>
      <c r="P1796" s="10">
        <f>ROUND(K1796*'Irish Basis'!$C$8*'Irish Basis'!$C$5,2)</f>
        <v/>
      </c>
      <c r="Q1796" s="10">
        <f>ROUND(L1796*'Irish Basis'!$C$12*'Irish Basis'!$C$5,2)</f>
        <v/>
      </c>
      <c r="R1796" s="11">
        <f>ROUND(SUM(N1796:Q1796),2)</f>
        <v/>
      </c>
      <c r="S1796" s="5" t="inlineStr">
        <is>
          <t>Stated build-up</t>
        </is>
      </c>
      <c r="T1796" s="12" t="inlineStr">
        <is>
          <t>High</t>
        </is>
      </c>
      <c r="U1796" s="8" t="n">
        <v>77.52</v>
      </c>
      <c r="V1796" s="13">
        <f>IF(U1796="","",ROUND(M1796-U1796,2))</f>
        <v/>
      </c>
      <c r="W1796" s="5" t="n"/>
      <c r="X1796" s="5" t="inlineStr">
        <is>
          <t>Labour + plant + material as published; reconciles to the published rate.</t>
        </is>
      </c>
    </row>
    <row r="1797" ht="13" customHeight="1">
      <c r="A1797" s="4" t="n">
        <v>2819</v>
      </c>
      <c r="B1797" s="5" t="inlineStr">
        <is>
          <t>IMG_0103</t>
        </is>
      </c>
      <c r="C1797" s="5" t="inlineStr">
        <is>
          <t>CLASS K: PIPEWORK - MANHOLES AND PIPEWORK ANCILLARIES</t>
        </is>
      </c>
      <c r="D1797" s="5" t="inlineStr">
        <is>
          <t>01 MANHOLES</t>
        </is>
      </c>
      <c r="E1797" s="5" t="inlineStr">
        <is>
          <t>900 x 700 chamber 1000 depth to invert</t>
        </is>
      </c>
      <c r="F1797" s="5" t="inlineStr">
        <is>
          <t>access cover and frame</t>
        </is>
      </c>
      <c r="G1797" s="6" t="inlineStr">
        <is>
          <t>nr</t>
        </is>
      </c>
      <c r="H1797" s="7" t="n">
        <v>1.44</v>
      </c>
      <c r="I1797" s="8" t="n">
        <v>40.16</v>
      </c>
      <c r="J1797" s="8" t="n">
        <v>4.42</v>
      </c>
      <c r="K1797" s="8" t="n">
        <v>341.51</v>
      </c>
      <c r="L1797" s="8" t="n">
        <v>0</v>
      </c>
      <c r="M1797" s="9">
        <f>ROUND(SUM(I1797:L1797),2)</f>
        <v/>
      </c>
      <c r="N1797" s="10">
        <f>ROUND(I1797*'Irish Basis'!$C$6*'Irish Basis'!$C$5,2)</f>
        <v/>
      </c>
      <c r="O1797" s="10">
        <f>ROUND(J1797*'Irish Basis'!$C$7*'Irish Basis'!$C$5,2)</f>
        <v/>
      </c>
      <c r="P1797" s="10">
        <f>ROUND(K1797*'Irish Basis'!$C$8*'Irish Basis'!$C$5,2)</f>
        <v/>
      </c>
      <c r="Q1797" s="10">
        <f>ROUND(L1797*'Irish Basis'!$C$12*'Irish Basis'!$C$5,2)</f>
        <v/>
      </c>
      <c r="R1797" s="11">
        <f>ROUND(SUM(N1797:Q1797),2)</f>
        <v/>
      </c>
      <c r="S1797" s="5" t="inlineStr">
        <is>
          <t>Stated build-up</t>
        </is>
      </c>
      <c r="T1797" s="12" t="inlineStr">
        <is>
          <t>High</t>
        </is>
      </c>
      <c r="U1797" s="8" t="n">
        <v>386.09</v>
      </c>
      <c r="V1797" s="13">
        <f>IF(U1797="","",ROUND(M1797-U1797,2))</f>
        <v/>
      </c>
      <c r="W1797" s="5" t="n"/>
      <c r="X1797" s="5" t="inlineStr">
        <is>
          <t>Labour + plant + material as published; reconciles to the published rate.</t>
        </is>
      </c>
    </row>
    <row r="1798" ht="13" customHeight="1">
      <c r="A1798" s="4" t="n">
        <v>2820</v>
      </c>
      <c r="B1798" s="5" t="inlineStr">
        <is>
          <t>IMG_0103</t>
        </is>
      </c>
      <c r="C1798" s="5" t="inlineStr">
        <is>
          <t>CLASS K: PIPEWORK - MANHOLES AND PIPEWORK ANCILLARIES</t>
        </is>
      </c>
      <c r="D1798" s="5" t="inlineStr">
        <is>
          <t>01 MANHOLES</t>
        </is>
      </c>
      <c r="E1798" s="5" t="inlineStr">
        <is>
          <t>900 x 700 chamber 1000 depth to invert</t>
        </is>
      </c>
      <c r="F1798" s="5" t="inlineStr">
        <is>
          <t>TOTAL</t>
        </is>
      </c>
      <c r="G1798" s="6" t="inlineStr">
        <is>
          <t>nr</t>
        </is>
      </c>
      <c r="H1798" s="7" t="n">
        <v>20.45</v>
      </c>
      <c r="I1798" s="8" t="n">
        <v>589.23</v>
      </c>
      <c r="J1798" s="8" t="n">
        <v>162.88</v>
      </c>
      <c r="K1798" s="8" t="n">
        <v>1125.36</v>
      </c>
      <c r="L1798" s="8" t="n">
        <v>0</v>
      </c>
      <c r="M1798" s="9">
        <f>ROUND(SUM(I1798:L1798),2)</f>
        <v/>
      </c>
      <c r="N1798" s="10">
        <f>ROUND(I1798*'Irish Basis'!$C$6*'Irish Basis'!$C$5,2)</f>
        <v/>
      </c>
      <c r="O1798" s="10">
        <f>ROUND(J1798*'Irish Basis'!$C$7*'Irish Basis'!$C$5,2)</f>
        <v/>
      </c>
      <c r="P1798" s="10">
        <f>ROUND(K1798*'Irish Basis'!$C$8*'Irish Basis'!$C$5,2)</f>
        <v/>
      </c>
      <c r="Q1798" s="10">
        <f>ROUND(L1798*'Irish Basis'!$C$12*'Irish Basis'!$C$5,2)</f>
        <v/>
      </c>
      <c r="R1798" s="11">
        <f>ROUND(SUM(N1798:Q1798),2)</f>
        <v/>
      </c>
      <c r="S1798" s="5" t="inlineStr">
        <is>
          <t>Stated build-up</t>
        </is>
      </c>
      <c r="T1798" s="12" t="inlineStr">
        <is>
          <t>High</t>
        </is>
      </c>
      <c r="U1798" s="8" t="n">
        <v>1877.47</v>
      </c>
      <c r="V1798" s="13">
        <f>IF(U1798="","",ROUND(M1798-U1798,2))</f>
        <v/>
      </c>
      <c r="W1798" s="5" t="n"/>
      <c r="X1798" s="5" t="inlineStr">
        <is>
          <t>Labour + plant + material as published; reconciles to the published rate.</t>
        </is>
      </c>
    </row>
    <row r="1799" ht="13" customHeight="1">
      <c r="A1799" s="4" t="n">
        <v>2822</v>
      </c>
      <c r="B1799" s="5" t="inlineStr">
        <is>
          <t>IMG_0103</t>
        </is>
      </c>
      <c r="C1799" s="5" t="inlineStr">
        <is>
          <t>CLASS K: PIPEWORK - MANHOLES AND PIPEWORK ANCILLARIES</t>
        </is>
      </c>
      <c r="D1799" s="5" t="inlineStr">
        <is>
          <t>01 MANHOLES</t>
        </is>
      </c>
      <c r="E1799" s="5" t="inlineStr">
        <is>
          <t>900 x 700 chamber 1500 depth to invert</t>
        </is>
      </c>
      <c r="F1799" s="5" t="inlineStr">
        <is>
          <t>excavation, support, backfilling and disposal</t>
        </is>
      </c>
      <c r="G1799" s="6" t="inlineStr">
        <is>
          <t>nr</t>
        </is>
      </c>
      <c r="H1799" s="7" t="n">
        <v>0.98</v>
      </c>
      <c r="I1799" s="8" t="n">
        <v>92.45</v>
      </c>
      <c r="J1799" s="8" t="n">
        <v>63.39</v>
      </c>
      <c r="K1799" s="8" t="n">
        <v>0</v>
      </c>
      <c r="L1799" s="8" t="n">
        <v>0</v>
      </c>
      <c r="M1799" s="9">
        <f>ROUND(SUM(I1799:L1799),2)</f>
        <v/>
      </c>
      <c r="N1799" s="10">
        <f>ROUND(I1799*'Irish Basis'!$C$6*'Irish Basis'!$C$5,2)</f>
        <v/>
      </c>
      <c r="O1799" s="10">
        <f>ROUND(J1799*'Irish Basis'!$C$7*'Irish Basis'!$C$5,2)</f>
        <v/>
      </c>
      <c r="P1799" s="10">
        <f>ROUND(K1799*'Irish Basis'!$C$8*'Irish Basis'!$C$5,2)</f>
        <v/>
      </c>
      <c r="Q1799" s="10">
        <f>ROUND(L1799*'Irish Basis'!$C$12*'Irish Basis'!$C$5,2)</f>
        <v/>
      </c>
      <c r="R1799" s="11">
        <f>ROUND(SUM(N1799:Q1799),2)</f>
        <v/>
      </c>
      <c r="S1799" s="5" t="inlineStr">
        <is>
          <t>Stated build-up</t>
        </is>
      </c>
      <c r="T1799" s="12" t="inlineStr">
        <is>
          <t>High</t>
        </is>
      </c>
      <c r="U1799" s="8" t="n">
        <v>155.84</v>
      </c>
      <c r="V1799" s="13">
        <f>IF(U1799="","",ROUND(M1799-U1799,2))</f>
        <v/>
      </c>
      <c r="W1799" s="5" t="n"/>
      <c r="X1799" s="5" t="inlineStr">
        <is>
          <t>Labour + plant + material as published; reconciles to the published rate.</t>
        </is>
      </c>
    </row>
    <row r="1800" ht="13" customHeight="1">
      <c r="A1800" s="4" t="n">
        <v>2823</v>
      </c>
      <c r="B1800" s="5" t="inlineStr">
        <is>
          <t>IMG_0103</t>
        </is>
      </c>
      <c r="C1800" s="5" t="inlineStr">
        <is>
          <t>CLASS K: PIPEWORK - MANHOLES AND PIPEWORK ANCILLARIES</t>
        </is>
      </c>
      <c r="D1800" s="5" t="inlineStr">
        <is>
          <t>01 MANHOLES</t>
        </is>
      </c>
      <c r="E1800" s="5" t="inlineStr">
        <is>
          <t>900 x 700 chamber 1500 depth to invert</t>
        </is>
      </c>
      <c r="F1800" s="5" t="inlineStr">
        <is>
          <t>concrete base</t>
        </is>
      </c>
      <c r="G1800" s="6" t="inlineStr">
        <is>
          <t>nr</t>
        </is>
      </c>
      <c r="H1800" s="7" t="n">
        <v>0.47</v>
      </c>
      <c r="I1800" s="8" t="n">
        <v>12.48</v>
      </c>
      <c r="J1800" s="8" t="n">
        <v>4.32</v>
      </c>
      <c r="K1800" s="8" t="n">
        <v>40.97</v>
      </c>
      <c r="L1800" s="8" t="n">
        <v>0</v>
      </c>
      <c r="M1800" s="9">
        <f>ROUND(SUM(I1800:L1800),2)</f>
        <v/>
      </c>
      <c r="N1800" s="10">
        <f>ROUND(I1800*'Irish Basis'!$C$6*'Irish Basis'!$C$5,2)</f>
        <v/>
      </c>
      <c r="O1800" s="10">
        <f>ROUND(J1800*'Irish Basis'!$C$7*'Irish Basis'!$C$5,2)</f>
        <v/>
      </c>
      <c r="P1800" s="10">
        <f>ROUND(K1800*'Irish Basis'!$C$8*'Irish Basis'!$C$5,2)</f>
        <v/>
      </c>
      <c r="Q1800" s="10">
        <f>ROUND(L1800*'Irish Basis'!$C$12*'Irish Basis'!$C$5,2)</f>
        <v/>
      </c>
      <c r="R1800" s="11">
        <f>ROUND(SUM(N1800:Q1800),2)</f>
        <v/>
      </c>
      <c r="S1800" s="5" t="inlineStr">
        <is>
          <t>Stated build-up</t>
        </is>
      </c>
      <c r="T1800" s="12" t="inlineStr">
        <is>
          <t>High</t>
        </is>
      </c>
      <c r="U1800" s="8" t="n">
        <v>57.77</v>
      </c>
      <c r="V1800" s="13">
        <f>IF(U1800="","",ROUND(M1800-U1800,2))</f>
        <v/>
      </c>
      <c r="W1800" s="5" t="n"/>
      <c r="X1800" s="5" t="inlineStr">
        <is>
          <t>Labour + plant + material as published; reconciles to the published rate.</t>
        </is>
      </c>
    </row>
    <row r="1801" ht="13" customHeight="1">
      <c r="A1801" s="4" t="n">
        <v>2824</v>
      </c>
      <c r="B1801" s="5" t="inlineStr">
        <is>
          <t>IMG_0103</t>
        </is>
      </c>
      <c r="C1801" s="5" t="inlineStr">
        <is>
          <t>CLASS K: PIPEWORK - MANHOLES AND PIPEWORK ANCILLARIES</t>
        </is>
      </c>
      <c r="D1801" s="5" t="inlineStr">
        <is>
          <t>01 MANHOLES</t>
        </is>
      </c>
      <c r="E1801" s="5" t="inlineStr">
        <is>
          <t>900 x 700 chamber 1500 depth to invert</t>
        </is>
      </c>
      <c r="F1801" s="5" t="inlineStr">
        <is>
          <t>brickwork chamber</t>
        </is>
      </c>
      <c r="G1801" s="6" t="inlineStr">
        <is>
          <t>nr</t>
        </is>
      </c>
      <c r="H1801" s="7" t="n">
        <v>13.44</v>
      </c>
      <c r="I1801" s="8" t="n">
        <v>329.74</v>
      </c>
      <c r="J1801" s="8" t="n">
        <v>43.09</v>
      </c>
      <c r="K1801" s="8" t="n">
        <v>340.79</v>
      </c>
      <c r="L1801" s="8" t="n">
        <v>0</v>
      </c>
      <c r="M1801" s="9">
        <f>ROUND(SUM(I1801:L1801),2)</f>
        <v/>
      </c>
      <c r="N1801" s="10">
        <f>ROUND(I1801*'Irish Basis'!$C$6*'Irish Basis'!$C$5,2)</f>
        <v/>
      </c>
      <c r="O1801" s="10">
        <f>ROUND(J1801*'Irish Basis'!$C$7*'Irish Basis'!$C$5,2)</f>
        <v/>
      </c>
      <c r="P1801" s="10">
        <f>ROUND(K1801*'Irish Basis'!$C$8*'Irish Basis'!$C$5,2)</f>
        <v/>
      </c>
      <c r="Q1801" s="10">
        <f>ROUND(L1801*'Irish Basis'!$C$12*'Irish Basis'!$C$5,2)</f>
        <v/>
      </c>
      <c r="R1801" s="11">
        <f>ROUND(SUM(N1801:Q1801),2)</f>
        <v/>
      </c>
      <c r="S1801" s="5" t="inlineStr">
        <is>
          <t>Stated build-up</t>
        </is>
      </c>
      <c r="T1801" s="12" t="inlineStr">
        <is>
          <t>High</t>
        </is>
      </c>
      <c r="U1801" s="8" t="n">
        <v>713.62</v>
      </c>
      <c r="V1801" s="13">
        <f>IF(U1801="","",ROUND(M1801-U1801,2))</f>
        <v/>
      </c>
      <c r="W1801" s="5" t="n"/>
      <c r="X1801" s="5" t="inlineStr">
        <is>
          <t>Labour + plant + material as published; reconciles to the published rate.</t>
        </is>
      </c>
    </row>
    <row r="1802" ht="13" customHeight="1">
      <c r="A1802" s="4" t="n">
        <v>2825</v>
      </c>
      <c r="B1802" s="5" t="inlineStr">
        <is>
          <t>IMG_0103</t>
        </is>
      </c>
      <c r="C1802" s="5" t="inlineStr">
        <is>
          <t>CLASS K: PIPEWORK - MANHOLES AND PIPEWORK ANCILLARIES</t>
        </is>
      </c>
      <c r="D1802" s="5" t="inlineStr">
        <is>
          <t>01 MANHOLES</t>
        </is>
      </c>
      <c r="E1802" s="5" t="inlineStr">
        <is>
          <t>900 x 700 chamber 1500 depth to invert</t>
        </is>
      </c>
      <c r="F1802" s="5" t="inlineStr">
        <is>
          <t>concrete cover slab</t>
        </is>
      </c>
      <c r="G1802" s="6" t="inlineStr">
        <is>
          <t>nr</t>
        </is>
      </c>
      <c r="H1802" s="7" t="n">
        <v>2.16</v>
      </c>
      <c r="I1802" s="8" t="n">
        <v>66.20999999999999</v>
      </c>
      <c r="J1802" s="8" t="n">
        <v>49.12</v>
      </c>
      <c r="K1802" s="8" t="n">
        <v>169.95</v>
      </c>
      <c r="L1802" s="8" t="n">
        <v>0</v>
      </c>
      <c r="M1802" s="9">
        <f>ROUND(SUM(I1802:L1802),2)</f>
        <v/>
      </c>
      <c r="N1802" s="10">
        <f>ROUND(I1802*'Irish Basis'!$C$6*'Irish Basis'!$C$5,2)</f>
        <v/>
      </c>
      <c r="O1802" s="10">
        <f>ROUND(J1802*'Irish Basis'!$C$7*'Irish Basis'!$C$5,2)</f>
        <v/>
      </c>
      <c r="P1802" s="10">
        <f>ROUND(K1802*'Irish Basis'!$C$8*'Irish Basis'!$C$5,2)</f>
        <v/>
      </c>
      <c r="Q1802" s="10">
        <f>ROUND(L1802*'Irish Basis'!$C$12*'Irish Basis'!$C$5,2)</f>
        <v/>
      </c>
      <c r="R1802" s="11">
        <f>ROUND(SUM(N1802:Q1802),2)</f>
        <v/>
      </c>
      <c r="S1802" s="5" t="inlineStr">
        <is>
          <t>Stated build-up</t>
        </is>
      </c>
      <c r="T1802" s="12" t="inlineStr">
        <is>
          <t>High</t>
        </is>
      </c>
      <c r="U1802" s="8" t="n">
        <v>285.28</v>
      </c>
      <c r="V1802" s="13">
        <f>IF(U1802="","",ROUND(M1802-U1802,2))</f>
        <v/>
      </c>
      <c r="W1802" s="5" t="n"/>
      <c r="X1802" s="5" t="inlineStr">
        <is>
          <t>Labour + plant + material as published; reconciles to the published rate.</t>
        </is>
      </c>
    </row>
    <row r="1803" ht="13" customHeight="1">
      <c r="A1803" s="4" t="n">
        <v>2827</v>
      </c>
      <c r="B1803" s="5" t="inlineStr">
        <is>
          <t>IMG_0104</t>
        </is>
      </c>
      <c r="C1803" s="5" t="inlineStr">
        <is>
          <t>CLASS K: PIPEWORK - MANHOLES AND PIPEWORK ANCILLARIES</t>
        </is>
      </c>
      <c r="D1803" s="5" t="inlineStr">
        <is>
          <t>01 MANHOLES</t>
        </is>
      </c>
      <c r="E1803" s="5" t="inlineStr">
        <is>
          <t>Brick construction; 900 x 700 chamber 1500 depth to invert (continued)</t>
        </is>
      </c>
      <c r="F1803" s="5" t="inlineStr">
        <is>
          <t>concrete benching, main and branch channels</t>
        </is>
      </c>
      <c r="G1803" s="6" t="inlineStr">
        <is>
          <t>nr</t>
        </is>
      </c>
      <c r="H1803" s="7" t="n">
        <v>7.01</v>
      </c>
      <c r="I1803" s="8" t="n">
        <v>194.47</v>
      </c>
      <c r="J1803" s="8" t="n">
        <v>34.6</v>
      </c>
      <c r="K1803" s="8" t="n">
        <v>276.96</v>
      </c>
      <c r="L1803" s="8" t="n">
        <v>0</v>
      </c>
      <c r="M1803" s="9">
        <f>ROUND(SUM(I1803:L1803),2)</f>
        <v/>
      </c>
      <c r="N1803" s="10">
        <f>ROUND(I1803*'Irish Basis'!$C$6*'Irish Basis'!$C$5,2)</f>
        <v/>
      </c>
      <c r="O1803" s="10">
        <f>ROUND(J1803*'Irish Basis'!$C$7*'Irish Basis'!$C$5,2)</f>
        <v/>
      </c>
      <c r="P1803" s="10">
        <f>ROUND(K1803*'Irish Basis'!$C$8*'Irish Basis'!$C$5,2)</f>
        <v/>
      </c>
      <c r="Q1803" s="10">
        <f>ROUND(L1803*'Irish Basis'!$C$12*'Irish Basis'!$C$5,2)</f>
        <v/>
      </c>
      <c r="R1803" s="11">
        <f>ROUND(SUM(N1803:Q1803),2)</f>
        <v/>
      </c>
      <c r="S1803" s="5" t="inlineStr">
        <is>
          <t>Stated build-up</t>
        </is>
      </c>
      <c r="T1803" s="12" t="inlineStr">
        <is>
          <t>High</t>
        </is>
      </c>
      <c r="U1803" s="8" t="n">
        <v>506.03</v>
      </c>
      <c r="V1803" s="13">
        <f>IF(U1803="","",ROUND(M1803-U1803,2))</f>
        <v/>
      </c>
      <c r="W1803" s="5" t="n"/>
      <c r="X1803" s="5" t="inlineStr">
        <is>
          <t>Labour + plant + material as published; reconciles to the published rate.</t>
        </is>
      </c>
    </row>
    <row r="1804" ht="13" customHeight="1">
      <c r="A1804" s="4" t="n">
        <v>2828</v>
      </c>
      <c r="B1804" s="5" t="inlineStr">
        <is>
          <t>IMG_0104</t>
        </is>
      </c>
      <c r="C1804" s="5" t="inlineStr">
        <is>
          <t>CLASS K: PIPEWORK - MANHOLES AND PIPEWORK ANCILLARIES</t>
        </is>
      </c>
      <c r="D1804" s="5" t="inlineStr">
        <is>
          <t>01 MANHOLES</t>
        </is>
      </c>
      <c r="E1804" s="5" t="inlineStr">
        <is>
          <t>Brick construction; 900 x 700 chamber 1500 depth to invert (continued)</t>
        </is>
      </c>
      <c r="F1804" s="5" t="inlineStr">
        <is>
          <t>step irons</t>
        </is>
      </c>
      <c r="G1804" s="6" t="inlineStr">
        <is>
          <t>nr</t>
        </is>
      </c>
      <c r="H1804" s="7" t="n">
        <v>0.42</v>
      </c>
      <c r="I1804" s="8" t="n">
        <v>10.3</v>
      </c>
      <c r="J1804" s="8" t="n">
        <v>1.37</v>
      </c>
      <c r="K1804" s="8" t="n">
        <v>91.68000000000001</v>
      </c>
      <c r="L1804" s="8" t="n">
        <v>0</v>
      </c>
      <c r="M1804" s="9">
        <f>ROUND(SUM(I1804:L1804),2)</f>
        <v/>
      </c>
      <c r="N1804" s="10">
        <f>ROUND(I1804*'Irish Basis'!$C$6*'Irish Basis'!$C$5,2)</f>
        <v/>
      </c>
      <c r="O1804" s="10">
        <f>ROUND(J1804*'Irish Basis'!$C$7*'Irish Basis'!$C$5,2)</f>
        <v/>
      </c>
      <c r="P1804" s="10">
        <f>ROUND(K1804*'Irish Basis'!$C$8*'Irish Basis'!$C$5,2)</f>
        <v/>
      </c>
      <c r="Q1804" s="10">
        <f>ROUND(L1804*'Irish Basis'!$C$12*'Irish Basis'!$C$5,2)</f>
        <v/>
      </c>
      <c r="R1804" s="11">
        <f>ROUND(SUM(N1804:Q1804),2)</f>
        <v/>
      </c>
      <c r="S1804" s="5" t="inlineStr">
        <is>
          <t>Stated build-up</t>
        </is>
      </c>
      <c r="T1804" s="12" t="inlineStr">
        <is>
          <t>High</t>
        </is>
      </c>
      <c r="U1804" s="8" t="n">
        <v>103.36</v>
      </c>
      <c r="V1804" s="13">
        <f>IF(U1804="","",ROUND(M1804-U1804,2))</f>
        <v/>
      </c>
      <c r="W1804" s="5" t="n"/>
      <c r="X1804" s="5" t="inlineStr">
        <is>
          <t>Labour + plant + material as published; reconciles to the published rate.</t>
        </is>
      </c>
    </row>
    <row r="1805" ht="13" customHeight="1">
      <c r="A1805" s="4" t="n">
        <v>2829</v>
      </c>
      <c r="B1805" s="5" t="inlineStr">
        <is>
          <t>IMG_0104</t>
        </is>
      </c>
      <c r="C1805" s="5" t="inlineStr">
        <is>
          <t>CLASS K: PIPEWORK - MANHOLES AND PIPEWORK ANCILLARIES</t>
        </is>
      </c>
      <c r="D1805" s="5" t="inlineStr">
        <is>
          <t>01 MANHOLES</t>
        </is>
      </c>
      <c r="E1805" s="5" t="inlineStr">
        <is>
          <t>Brick construction; 900 x 700 chamber 1500 depth to invert (continued)</t>
        </is>
      </c>
      <c r="F1805" s="5" t="inlineStr">
        <is>
          <t>access cover and frame</t>
        </is>
      </c>
      <c r="G1805" s="6" t="inlineStr">
        <is>
          <t>nr</t>
        </is>
      </c>
      <c r="H1805" s="7" t="n">
        <v>1.44</v>
      </c>
      <c r="I1805" s="8" t="n">
        <v>40.16</v>
      </c>
      <c r="J1805" s="8" t="n">
        <v>4.42</v>
      </c>
      <c r="K1805" s="8" t="n">
        <v>341.51</v>
      </c>
      <c r="L1805" s="8" t="n">
        <v>0</v>
      </c>
      <c r="M1805" s="9">
        <f>ROUND(SUM(I1805:L1805),2)</f>
        <v/>
      </c>
      <c r="N1805" s="10">
        <f>ROUND(I1805*'Irish Basis'!$C$6*'Irish Basis'!$C$5,2)</f>
        <v/>
      </c>
      <c r="O1805" s="10">
        <f>ROUND(J1805*'Irish Basis'!$C$7*'Irish Basis'!$C$5,2)</f>
        <v/>
      </c>
      <c r="P1805" s="10">
        <f>ROUND(K1805*'Irish Basis'!$C$8*'Irish Basis'!$C$5,2)</f>
        <v/>
      </c>
      <c r="Q1805" s="10">
        <f>ROUND(L1805*'Irish Basis'!$C$12*'Irish Basis'!$C$5,2)</f>
        <v/>
      </c>
      <c r="R1805" s="11">
        <f>ROUND(SUM(N1805:Q1805),2)</f>
        <v/>
      </c>
      <c r="S1805" s="5" t="inlineStr">
        <is>
          <t>Stated build-up</t>
        </is>
      </c>
      <c r="T1805" s="12" t="inlineStr">
        <is>
          <t>High</t>
        </is>
      </c>
      <c r="U1805" s="8" t="n">
        <v>386.09</v>
      </c>
      <c r="V1805" s="13">
        <f>IF(U1805="","",ROUND(M1805-U1805,2))</f>
        <v/>
      </c>
      <c r="W1805" s="5" t="n"/>
      <c r="X1805" s="5" t="inlineStr">
        <is>
          <t>Labour + plant + material as published; reconciles to the published rate.</t>
        </is>
      </c>
    </row>
    <row r="1806" ht="13" customHeight="1">
      <c r="A1806" s="4" t="n">
        <v>2830</v>
      </c>
      <c r="B1806" s="5" t="inlineStr">
        <is>
          <t>IMG_0104</t>
        </is>
      </c>
      <c r="C1806" s="5" t="inlineStr">
        <is>
          <t>CLASS K: PIPEWORK - MANHOLES AND PIPEWORK ANCILLARIES</t>
        </is>
      </c>
      <c r="D1806" s="5" t="inlineStr">
        <is>
          <t>01 MANHOLES</t>
        </is>
      </c>
      <c r="E1806" s="5" t="inlineStr">
        <is>
          <t>Brick construction; 900 x 700 chamber 1500 depth to invert (continued)</t>
        </is>
      </c>
      <c r="F1806" s="5" t="inlineStr">
        <is>
          <t>TOTAL</t>
        </is>
      </c>
      <c r="G1806" s="6" t="inlineStr">
        <is>
          <t>nr</t>
        </is>
      </c>
      <c r="H1806" s="7" t="n">
        <v>25.92</v>
      </c>
      <c r="I1806" s="8" t="n">
        <v>745.8099999999999</v>
      </c>
      <c r="J1806" s="8" t="n">
        <v>200.31</v>
      </c>
      <c r="K1806" s="8" t="n">
        <v>1261.87</v>
      </c>
      <c r="L1806" s="8" t="n">
        <v>0</v>
      </c>
      <c r="M1806" s="9">
        <f>ROUND(SUM(I1806:L1806),2)</f>
        <v/>
      </c>
      <c r="N1806" s="10">
        <f>ROUND(I1806*'Irish Basis'!$C$6*'Irish Basis'!$C$5,2)</f>
        <v/>
      </c>
      <c r="O1806" s="10">
        <f>ROUND(J1806*'Irish Basis'!$C$7*'Irish Basis'!$C$5,2)</f>
        <v/>
      </c>
      <c r="P1806" s="10">
        <f>ROUND(K1806*'Irish Basis'!$C$8*'Irish Basis'!$C$5,2)</f>
        <v/>
      </c>
      <c r="Q1806" s="10">
        <f>ROUND(L1806*'Irish Basis'!$C$12*'Irish Basis'!$C$5,2)</f>
        <v/>
      </c>
      <c r="R1806" s="11">
        <f>ROUND(SUM(N1806:Q1806),2)</f>
        <v/>
      </c>
      <c r="S1806" s="5" t="inlineStr">
        <is>
          <t>Stated build-up</t>
        </is>
      </c>
      <c r="T1806" s="12" t="inlineStr">
        <is>
          <t>High</t>
        </is>
      </c>
      <c r="U1806" s="8" t="n">
        <v>2207.99</v>
      </c>
      <c r="V1806" s="13">
        <f>IF(U1806="","",ROUND(M1806-U1806,2))</f>
        <v/>
      </c>
      <c r="W1806" s="5" t="n"/>
      <c r="X1806" s="5" t="inlineStr">
        <is>
          <t>Labour + plant + material as published; reconciles to the published rate.</t>
        </is>
      </c>
    </row>
    <row r="1807" ht="13" customHeight="1">
      <c r="A1807" s="4" t="n">
        <v>2832</v>
      </c>
      <c r="B1807" s="5" t="inlineStr">
        <is>
          <t>IMG_0104</t>
        </is>
      </c>
      <c r="C1807" s="5" t="inlineStr">
        <is>
          <t>CLASS K: PIPEWORK - MANHOLES AND PIPEWORK ANCILLARIES</t>
        </is>
      </c>
      <c r="D1807" s="5" t="inlineStr">
        <is>
          <t>01 MANHOLES</t>
        </is>
      </c>
      <c r="E1807" s="5" t="inlineStr">
        <is>
          <t>1050 x 700 chamber 1500 depth to invert</t>
        </is>
      </c>
      <c r="F1807" s="5" t="inlineStr">
        <is>
          <t>excavation, support, backfilling and disposal</t>
        </is>
      </c>
      <c r="G1807" s="6" t="inlineStr">
        <is>
          <t>nr</t>
        </is>
      </c>
      <c r="H1807" s="7" t="n">
        <v>1.91</v>
      </c>
      <c r="I1807" s="8" t="n">
        <v>178.94</v>
      </c>
      <c r="J1807" s="8" t="n">
        <v>119.88</v>
      </c>
      <c r="K1807" s="8" t="n">
        <v>0</v>
      </c>
      <c r="L1807" s="8" t="n">
        <v>0</v>
      </c>
      <c r="M1807" s="9">
        <f>ROUND(SUM(I1807:L1807),2)</f>
        <v/>
      </c>
      <c r="N1807" s="10">
        <f>ROUND(I1807*'Irish Basis'!$C$6*'Irish Basis'!$C$5,2)</f>
        <v/>
      </c>
      <c r="O1807" s="10">
        <f>ROUND(J1807*'Irish Basis'!$C$7*'Irish Basis'!$C$5,2)</f>
        <v/>
      </c>
      <c r="P1807" s="10">
        <f>ROUND(K1807*'Irish Basis'!$C$8*'Irish Basis'!$C$5,2)</f>
        <v/>
      </c>
      <c r="Q1807" s="10">
        <f>ROUND(L1807*'Irish Basis'!$C$12*'Irish Basis'!$C$5,2)</f>
        <v/>
      </c>
      <c r="R1807" s="11">
        <f>ROUND(SUM(N1807:Q1807),2)</f>
        <v/>
      </c>
      <c r="S1807" s="5" t="inlineStr">
        <is>
          <t>Stated build-up</t>
        </is>
      </c>
      <c r="T1807" s="12" t="inlineStr">
        <is>
          <t>High</t>
        </is>
      </c>
      <c r="U1807" s="8" t="n">
        <v>298.82</v>
      </c>
      <c r="V1807" s="13">
        <f>IF(U1807="","",ROUND(M1807-U1807,2))</f>
        <v/>
      </c>
      <c r="W1807" s="5" t="n"/>
      <c r="X1807" s="5" t="inlineStr">
        <is>
          <t>Labour + plant + material as published; reconciles to the published rate.</t>
        </is>
      </c>
    </row>
    <row r="1808" ht="13" customHeight="1">
      <c r="A1808" s="4" t="n">
        <v>2833</v>
      </c>
      <c r="B1808" s="5" t="inlineStr">
        <is>
          <t>IMG_0104</t>
        </is>
      </c>
      <c r="C1808" s="5" t="inlineStr">
        <is>
          <t>CLASS K: PIPEWORK - MANHOLES AND PIPEWORK ANCILLARIES</t>
        </is>
      </c>
      <c r="D1808" s="5" t="inlineStr">
        <is>
          <t>01 MANHOLES</t>
        </is>
      </c>
      <c r="E1808" s="5" t="inlineStr">
        <is>
          <t>1050 x 700 chamber 1500 depth to invert</t>
        </is>
      </c>
      <c r="F1808" s="5" t="inlineStr">
        <is>
          <t>concrete base</t>
        </is>
      </c>
      <c r="G1808" s="6" t="inlineStr">
        <is>
          <t>nr</t>
        </is>
      </c>
      <c r="H1808" s="7" t="n">
        <v>0.57</v>
      </c>
      <c r="I1808" s="8" t="n">
        <v>15.15</v>
      </c>
      <c r="J1808" s="8" t="n">
        <v>5.25</v>
      </c>
      <c r="K1808" s="8" t="n">
        <v>49.75</v>
      </c>
      <c r="L1808" s="8" t="n">
        <v>0</v>
      </c>
      <c r="M1808" s="9">
        <f>ROUND(SUM(I1808:L1808),2)</f>
        <v/>
      </c>
      <c r="N1808" s="10">
        <f>ROUND(I1808*'Irish Basis'!$C$6*'Irish Basis'!$C$5,2)</f>
        <v/>
      </c>
      <c r="O1808" s="10">
        <f>ROUND(J1808*'Irish Basis'!$C$7*'Irish Basis'!$C$5,2)</f>
        <v/>
      </c>
      <c r="P1808" s="10">
        <f>ROUND(K1808*'Irish Basis'!$C$8*'Irish Basis'!$C$5,2)</f>
        <v/>
      </c>
      <c r="Q1808" s="10">
        <f>ROUND(L1808*'Irish Basis'!$C$12*'Irish Basis'!$C$5,2)</f>
        <v/>
      </c>
      <c r="R1808" s="11">
        <f>ROUND(SUM(N1808:Q1808),2)</f>
        <v/>
      </c>
      <c r="S1808" s="5" t="inlineStr">
        <is>
          <t>Stated build-up</t>
        </is>
      </c>
      <c r="T1808" s="12" t="inlineStr">
        <is>
          <t>High</t>
        </is>
      </c>
      <c r="U1808" s="8" t="n">
        <v>70.15000000000001</v>
      </c>
      <c r="V1808" s="13">
        <f>IF(U1808="","",ROUND(M1808-U1808,2))</f>
        <v/>
      </c>
      <c r="W1808" s="5" t="n"/>
      <c r="X1808" s="5" t="inlineStr">
        <is>
          <t>Labour + plant + material as published; reconciles to the published rate.</t>
        </is>
      </c>
    </row>
    <row r="1809" ht="13" customHeight="1">
      <c r="A1809" s="4" t="n">
        <v>2834</v>
      </c>
      <c r="B1809" s="5" t="inlineStr">
        <is>
          <t>IMG_0104</t>
        </is>
      </c>
      <c r="C1809" s="5" t="inlineStr">
        <is>
          <t>CLASS K: PIPEWORK - MANHOLES AND PIPEWORK ANCILLARIES</t>
        </is>
      </c>
      <c r="D1809" s="5" t="inlineStr">
        <is>
          <t>01 MANHOLES</t>
        </is>
      </c>
      <c r="E1809" s="5" t="inlineStr">
        <is>
          <t>1050 x 700 chamber 1500 depth to invert</t>
        </is>
      </c>
      <c r="F1809" s="5" t="inlineStr">
        <is>
          <t>brickwork chamber</t>
        </is>
      </c>
      <c r="G1809" s="6" t="inlineStr">
        <is>
          <t>nr</t>
        </is>
      </c>
      <c r="H1809" s="7" t="n">
        <v>14.7</v>
      </c>
      <c r="I1809" s="8" t="n">
        <v>360.65</v>
      </c>
      <c r="J1809" s="8" t="n">
        <v>47.13</v>
      </c>
      <c r="K1809" s="8" t="n">
        <v>372.74</v>
      </c>
      <c r="L1809" s="8" t="n">
        <v>0</v>
      </c>
      <c r="M1809" s="9">
        <f>ROUND(SUM(I1809:L1809),2)</f>
        <v/>
      </c>
      <c r="N1809" s="10">
        <f>ROUND(I1809*'Irish Basis'!$C$6*'Irish Basis'!$C$5,2)</f>
        <v/>
      </c>
      <c r="O1809" s="10">
        <f>ROUND(J1809*'Irish Basis'!$C$7*'Irish Basis'!$C$5,2)</f>
        <v/>
      </c>
      <c r="P1809" s="10">
        <f>ROUND(K1809*'Irish Basis'!$C$8*'Irish Basis'!$C$5,2)</f>
        <v/>
      </c>
      <c r="Q1809" s="10">
        <f>ROUND(L1809*'Irish Basis'!$C$12*'Irish Basis'!$C$5,2)</f>
        <v/>
      </c>
      <c r="R1809" s="11">
        <f>ROUND(SUM(N1809:Q1809),2)</f>
        <v/>
      </c>
      <c r="S1809" s="5" t="inlineStr">
        <is>
          <t>Stated build-up</t>
        </is>
      </c>
      <c r="T1809" s="12" t="inlineStr">
        <is>
          <t>High</t>
        </is>
      </c>
      <c r="U1809" s="8" t="n">
        <v>780.52</v>
      </c>
      <c r="V1809" s="13">
        <f>IF(U1809="","",ROUND(M1809-U1809,2))</f>
        <v/>
      </c>
      <c r="W1809" s="5" t="n"/>
      <c r="X1809" s="5" t="inlineStr">
        <is>
          <t>Labour + plant + material as published; reconciles to the published rate.</t>
        </is>
      </c>
    </row>
    <row r="1810" ht="13" customHeight="1">
      <c r="A1810" s="4" t="n">
        <v>2835</v>
      </c>
      <c r="B1810" s="5" t="inlineStr">
        <is>
          <t>IMG_0104</t>
        </is>
      </c>
      <c r="C1810" s="5" t="inlineStr">
        <is>
          <t>CLASS K: PIPEWORK - MANHOLES AND PIPEWORK ANCILLARIES</t>
        </is>
      </c>
      <c r="D1810" s="5" t="inlineStr">
        <is>
          <t>01 MANHOLES</t>
        </is>
      </c>
      <c r="E1810" s="5" t="inlineStr">
        <is>
          <t>1050 x 700 chamber 1500 depth to invert</t>
        </is>
      </c>
      <c r="F1810" s="5" t="inlineStr">
        <is>
          <t>concrete cover slab</t>
        </is>
      </c>
      <c r="G1810" s="6" t="inlineStr">
        <is>
          <t>nr</t>
        </is>
      </c>
      <c r="H1810" s="7" t="n">
        <v>2.52</v>
      </c>
      <c r="I1810" s="8" t="n">
        <v>77.25</v>
      </c>
      <c r="J1810" s="8" t="n">
        <v>57.25</v>
      </c>
      <c r="K1810" s="8" t="n">
        <v>181.49</v>
      </c>
      <c r="L1810" s="8" t="n">
        <v>0</v>
      </c>
      <c r="M1810" s="9">
        <f>ROUND(SUM(I1810:L1810),2)</f>
        <v/>
      </c>
      <c r="N1810" s="10">
        <f>ROUND(I1810*'Irish Basis'!$C$6*'Irish Basis'!$C$5,2)</f>
        <v/>
      </c>
      <c r="O1810" s="10">
        <f>ROUND(J1810*'Irish Basis'!$C$7*'Irish Basis'!$C$5,2)</f>
        <v/>
      </c>
      <c r="P1810" s="10">
        <f>ROUND(K1810*'Irish Basis'!$C$8*'Irish Basis'!$C$5,2)</f>
        <v/>
      </c>
      <c r="Q1810" s="10">
        <f>ROUND(L1810*'Irish Basis'!$C$12*'Irish Basis'!$C$5,2)</f>
        <v/>
      </c>
      <c r="R1810" s="11">
        <f>ROUND(SUM(N1810:Q1810),2)</f>
        <v/>
      </c>
      <c r="S1810" s="5" t="inlineStr">
        <is>
          <t>Stated build-up</t>
        </is>
      </c>
      <c r="T1810" s="12" t="inlineStr">
        <is>
          <t>High</t>
        </is>
      </c>
      <c r="U1810" s="8" t="n">
        <v>315.99</v>
      </c>
      <c r="V1810" s="13">
        <f>IF(U1810="","",ROUND(M1810-U1810,2))</f>
        <v/>
      </c>
      <c r="W1810" s="5" t="n"/>
      <c r="X1810" s="5" t="inlineStr">
        <is>
          <t>Labour + plant + material as published; reconciles to the published rate.</t>
        </is>
      </c>
    </row>
    <row r="1811" ht="13" customHeight="1">
      <c r="A1811" s="4" t="n">
        <v>2836</v>
      </c>
      <c r="B1811" s="5" t="inlineStr">
        <is>
          <t>IMG_0104</t>
        </is>
      </c>
      <c r="C1811" s="5" t="inlineStr">
        <is>
          <t>CLASS K: PIPEWORK - MANHOLES AND PIPEWORK ANCILLARIES</t>
        </is>
      </c>
      <c r="D1811" s="5" t="inlineStr">
        <is>
          <t>01 MANHOLES</t>
        </is>
      </c>
      <c r="E1811" s="5" t="inlineStr">
        <is>
          <t>1050 x 700 chamber 1500 depth to invert</t>
        </is>
      </c>
      <c r="F1811" s="5" t="inlineStr">
        <is>
          <t>concrete benching, main and branch channels</t>
        </is>
      </c>
      <c r="G1811" s="6" t="inlineStr">
        <is>
          <t>nr</t>
        </is>
      </c>
      <c r="H1811" s="7" t="n">
        <v>7.61</v>
      </c>
      <c r="I1811" s="8" t="n">
        <v>210.43</v>
      </c>
      <c r="J1811" s="8" t="n">
        <v>38.8</v>
      </c>
      <c r="K1811" s="8" t="n">
        <v>273.73</v>
      </c>
      <c r="L1811" s="8" t="n">
        <v>0</v>
      </c>
      <c r="M1811" s="9">
        <f>ROUND(SUM(I1811:L1811),2)</f>
        <v/>
      </c>
      <c r="N1811" s="10">
        <f>ROUND(I1811*'Irish Basis'!$C$6*'Irish Basis'!$C$5,2)</f>
        <v/>
      </c>
      <c r="O1811" s="10">
        <f>ROUND(J1811*'Irish Basis'!$C$7*'Irish Basis'!$C$5,2)</f>
        <v/>
      </c>
      <c r="P1811" s="10">
        <f>ROUND(K1811*'Irish Basis'!$C$8*'Irish Basis'!$C$5,2)</f>
        <v/>
      </c>
      <c r="Q1811" s="10">
        <f>ROUND(L1811*'Irish Basis'!$C$12*'Irish Basis'!$C$5,2)</f>
        <v/>
      </c>
      <c r="R1811" s="11">
        <f>ROUND(SUM(N1811:Q1811),2)</f>
        <v/>
      </c>
      <c r="S1811" s="5" t="inlineStr">
        <is>
          <t>Stated build-up</t>
        </is>
      </c>
      <c r="T1811" s="12" t="inlineStr">
        <is>
          <t>High</t>
        </is>
      </c>
      <c r="U1811" s="8" t="n">
        <v>522.96</v>
      </c>
      <c r="V1811" s="13">
        <f>IF(U1811="","",ROUND(M1811-U1811,2))</f>
        <v/>
      </c>
      <c r="W1811" s="5" t="n"/>
      <c r="X1811" s="5" t="inlineStr">
        <is>
          <t>Labour + plant + material as published; reconciles to the published rate.</t>
        </is>
      </c>
    </row>
    <row r="1812" ht="13" customHeight="1">
      <c r="A1812" s="4" t="n">
        <v>2837</v>
      </c>
      <c r="B1812" s="5" t="inlineStr">
        <is>
          <t>IMG_0104</t>
        </is>
      </c>
      <c r="C1812" s="5" t="inlineStr">
        <is>
          <t>CLASS K: PIPEWORK - MANHOLES AND PIPEWORK ANCILLARIES</t>
        </is>
      </c>
      <c r="D1812" s="5" t="inlineStr">
        <is>
          <t>01 MANHOLES</t>
        </is>
      </c>
      <c r="E1812" s="5" t="inlineStr">
        <is>
          <t>1050 x 700 chamber 1500 depth to invert</t>
        </is>
      </c>
      <c r="F1812" s="5" t="inlineStr">
        <is>
          <t>step irons</t>
        </is>
      </c>
      <c r="G1812" s="6" t="inlineStr">
        <is>
          <t>nr</t>
        </is>
      </c>
      <c r="H1812" s="7" t="n">
        <v>0.84</v>
      </c>
      <c r="I1812" s="8" t="n">
        <v>20.61</v>
      </c>
      <c r="J1812" s="8" t="n">
        <v>2.74</v>
      </c>
      <c r="K1812" s="8" t="n">
        <v>183.37</v>
      </c>
      <c r="L1812" s="8" t="n">
        <v>0</v>
      </c>
      <c r="M1812" s="9">
        <f>ROUND(SUM(I1812:L1812),2)</f>
        <v/>
      </c>
      <c r="N1812" s="10">
        <f>ROUND(I1812*'Irish Basis'!$C$6*'Irish Basis'!$C$5,2)</f>
        <v/>
      </c>
      <c r="O1812" s="10">
        <f>ROUND(J1812*'Irish Basis'!$C$7*'Irish Basis'!$C$5,2)</f>
        <v/>
      </c>
      <c r="P1812" s="10">
        <f>ROUND(K1812*'Irish Basis'!$C$8*'Irish Basis'!$C$5,2)</f>
        <v/>
      </c>
      <c r="Q1812" s="10">
        <f>ROUND(L1812*'Irish Basis'!$C$12*'Irish Basis'!$C$5,2)</f>
        <v/>
      </c>
      <c r="R1812" s="11">
        <f>ROUND(SUM(N1812:Q1812),2)</f>
        <v/>
      </c>
      <c r="S1812" s="5" t="inlineStr">
        <is>
          <t>Stated build-up</t>
        </is>
      </c>
      <c r="T1812" s="12" t="inlineStr">
        <is>
          <t>High</t>
        </is>
      </c>
      <c r="U1812" s="8" t="n">
        <v>206.72</v>
      </c>
      <c r="V1812" s="13">
        <f>IF(U1812="","",ROUND(M1812-U1812,2))</f>
        <v/>
      </c>
      <c r="W1812" s="5" t="n"/>
      <c r="X1812" s="5" t="inlineStr">
        <is>
          <t>Labour + plant + material as published; reconciles to the published rate.</t>
        </is>
      </c>
    </row>
    <row r="1813" ht="13" customHeight="1">
      <c r="A1813" s="4" t="n">
        <v>2838</v>
      </c>
      <c r="B1813" s="5" t="inlineStr">
        <is>
          <t>IMG_0104</t>
        </is>
      </c>
      <c r="C1813" s="5" t="inlineStr">
        <is>
          <t>CLASS K: PIPEWORK - MANHOLES AND PIPEWORK ANCILLARIES</t>
        </is>
      </c>
      <c r="D1813" s="5" t="inlineStr">
        <is>
          <t>01 MANHOLES</t>
        </is>
      </c>
      <c r="E1813" s="5" t="inlineStr">
        <is>
          <t>1050 x 700 chamber 1500 depth to invert</t>
        </is>
      </c>
      <c r="F1813" s="5" t="inlineStr">
        <is>
          <t>access cover and frame</t>
        </is>
      </c>
      <c r="G1813" s="6" t="inlineStr">
        <is>
          <t>nr</t>
        </is>
      </c>
      <c r="H1813" s="7" t="n">
        <v>1.44</v>
      </c>
      <c r="I1813" s="8" t="n">
        <v>40.16</v>
      </c>
      <c r="J1813" s="8" t="n">
        <v>4.42</v>
      </c>
      <c r="K1813" s="8" t="n">
        <v>341.51</v>
      </c>
      <c r="L1813" s="8" t="n">
        <v>0</v>
      </c>
      <c r="M1813" s="9">
        <f>ROUND(SUM(I1813:L1813),2)</f>
        <v/>
      </c>
      <c r="N1813" s="10">
        <f>ROUND(I1813*'Irish Basis'!$C$6*'Irish Basis'!$C$5,2)</f>
        <v/>
      </c>
      <c r="O1813" s="10">
        <f>ROUND(J1813*'Irish Basis'!$C$7*'Irish Basis'!$C$5,2)</f>
        <v/>
      </c>
      <c r="P1813" s="10">
        <f>ROUND(K1813*'Irish Basis'!$C$8*'Irish Basis'!$C$5,2)</f>
        <v/>
      </c>
      <c r="Q1813" s="10">
        <f>ROUND(L1813*'Irish Basis'!$C$12*'Irish Basis'!$C$5,2)</f>
        <v/>
      </c>
      <c r="R1813" s="11">
        <f>ROUND(SUM(N1813:Q1813),2)</f>
        <v/>
      </c>
      <c r="S1813" s="5" t="inlineStr">
        <is>
          <t>Stated build-up</t>
        </is>
      </c>
      <c r="T1813" s="12" t="inlineStr">
        <is>
          <t>High</t>
        </is>
      </c>
      <c r="U1813" s="8" t="n">
        <v>386.09</v>
      </c>
      <c r="V1813" s="13">
        <f>IF(U1813="","",ROUND(M1813-U1813,2))</f>
        <v/>
      </c>
      <c r="W1813" s="5" t="n"/>
      <c r="X1813" s="5" t="inlineStr">
        <is>
          <t>Labour + plant + material as published; reconciles to the published rate.</t>
        </is>
      </c>
    </row>
    <row r="1814" ht="13" customHeight="1">
      <c r="A1814" s="4" t="n">
        <v>2839</v>
      </c>
      <c r="B1814" s="5" t="inlineStr">
        <is>
          <t>IMG_0104</t>
        </is>
      </c>
      <c r="C1814" s="5" t="inlineStr">
        <is>
          <t>CLASS K: PIPEWORK - MANHOLES AND PIPEWORK ANCILLARIES</t>
        </is>
      </c>
      <c r="D1814" s="5" t="inlineStr">
        <is>
          <t>01 MANHOLES</t>
        </is>
      </c>
      <c r="E1814" s="5" t="inlineStr">
        <is>
          <t>1050 x 700 chamber 1500 depth to invert</t>
        </is>
      </c>
      <c r="F1814" s="5" t="inlineStr">
        <is>
          <t>TOTAL</t>
        </is>
      </c>
      <c r="G1814" s="6" t="inlineStr">
        <is>
          <t>nr</t>
        </is>
      </c>
      <c r="H1814" s="7" t="n">
        <v>29.59</v>
      </c>
      <c r="I1814" s="8" t="n">
        <v>903.1900000000001</v>
      </c>
      <c r="J1814" s="8" t="n">
        <v>275.47</v>
      </c>
      <c r="K1814" s="8" t="n">
        <v>1402.59</v>
      </c>
      <c r="L1814" s="8" t="n">
        <v>0</v>
      </c>
      <c r="M1814" s="9">
        <f>ROUND(SUM(I1814:L1814),2)</f>
        <v/>
      </c>
      <c r="N1814" s="10">
        <f>ROUND(I1814*'Irish Basis'!$C$6*'Irish Basis'!$C$5,2)</f>
        <v/>
      </c>
      <c r="O1814" s="10">
        <f>ROUND(J1814*'Irish Basis'!$C$7*'Irish Basis'!$C$5,2)</f>
        <v/>
      </c>
      <c r="P1814" s="10">
        <f>ROUND(K1814*'Irish Basis'!$C$8*'Irish Basis'!$C$5,2)</f>
        <v/>
      </c>
      <c r="Q1814" s="10">
        <f>ROUND(L1814*'Irish Basis'!$C$12*'Irish Basis'!$C$5,2)</f>
        <v/>
      </c>
      <c r="R1814" s="11">
        <f>ROUND(SUM(N1814:Q1814),2)</f>
        <v/>
      </c>
      <c r="S1814" s="5" t="inlineStr">
        <is>
          <t>Stated build-up</t>
        </is>
      </c>
      <c r="T1814" s="12" t="inlineStr">
        <is>
          <t>High</t>
        </is>
      </c>
      <c r="U1814" s="8" t="n">
        <v>2581.25</v>
      </c>
      <c r="V1814" s="13">
        <f>IF(U1814="","",ROUND(M1814-U1814,2))</f>
        <v/>
      </c>
      <c r="W1814" s="5" t="n"/>
      <c r="X1814" s="5" t="inlineStr">
        <is>
          <t>Labour + plant + material as published; reconciles to the published rate.</t>
        </is>
      </c>
    </row>
    <row r="1815" ht="13" customHeight="1">
      <c r="A1815" s="4" t="n">
        <v>2841</v>
      </c>
      <c r="B1815" s="5" t="inlineStr">
        <is>
          <t>IMG_0104</t>
        </is>
      </c>
      <c r="C1815" s="5" t="inlineStr">
        <is>
          <t>CLASS K: PIPEWORK - MANHOLES AND PIPEWORK ANCILLARIES</t>
        </is>
      </c>
      <c r="D1815" s="5" t="inlineStr">
        <is>
          <t>01 MANHOLES</t>
        </is>
      </c>
      <c r="E1815" s="5" t="inlineStr">
        <is>
          <t>1050 x 700 chamber 2500 depth to invert</t>
        </is>
      </c>
      <c r="F1815" s="5" t="inlineStr">
        <is>
          <t>excavation, support, backfilling and disposal</t>
        </is>
      </c>
      <c r="G1815" s="6" t="inlineStr">
        <is>
          <t>nr</t>
        </is>
      </c>
      <c r="H1815" s="7" t="n">
        <v>1.99</v>
      </c>
      <c r="I1815" s="8" t="n">
        <v>188.62</v>
      </c>
      <c r="J1815" s="8" t="n">
        <v>145.14</v>
      </c>
      <c r="K1815" s="8" t="n">
        <v>0</v>
      </c>
      <c r="L1815" s="8" t="n">
        <v>0</v>
      </c>
      <c r="M1815" s="9">
        <f>ROUND(SUM(I1815:L1815),2)</f>
        <v/>
      </c>
      <c r="N1815" s="10">
        <f>ROUND(I1815*'Irish Basis'!$C$6*'Irish Basis'!$C$5,2)</f>
        <v/>
      </c>
      <c r="O1815" s="10">
        <f>ROUND(J1815*'Irish Basis'!$C$7*'Irish Basis'!$C$5,2)</f>
        <v/>
      </c>
      <c r="P1815" s="10">
        <f>ROUND(K1815*'Irish Basis'!$C$8*'Irish Basis'!$C$5,2)</f>
        <v/>
      </c>
      <c r="Q1815" s="10">
        <f>ROUND(L1815*'Irish Basis'!$C$12*'Irish Basis'!$C$5,2)</f>
        <v/>
      </c>
      <c r="R1815" s="11">
        <f>ROUND(SUM(N1815:Q1815),2)</f>
        <v/>
      </c>
      <c r="S1815" s="5" t="inlineStr">
        <is>
          <t>Stated build-up</t>
        </is>
      </c>
      <c r="T1815" s="12" t="inlineStr">
        <is>
          <t>High</t>
        </is>
      </c>
      <c r="U1815" s="8" t="n">
        <v>333.76</v>
      </c>
      <c r="V1815" s="13">
        <f>IF(U1815="","",ROUND(M1815-U1815,2))</f>
        <v/>
      </c>
      <c r="W1815" s="5" t="n"/>
      <c r="X1815" s="5" t="inlineStr">
        <is>
          <t>Labour + plant + material as published; reconciles to the published rate.</t>
        </is>
      </c>
    </row>
    <row r="1816" ht="13" customHeight="1">
      <c r="A1816" s="4" t="n">
        <v>2842</v>
      </c>
      <c r="B1816" s="5" t="inlineStr">
        <is>
          <t>IMG_0104</t>
        </is>
      </c>
      <c r="C1816" s="5" t="inlineStr">
        <is>
          <t>CLASS K: PIPEWORK - MANHOLES AND PIPEWORK ANCILLARIES</t>
        </is>
      </c>
      <c r="D1816" s="5" t="inlineStr">
        <is>
          <t>01 MANHOLES</t>
        </is>
      </c>
      <c r="E1816" s="5" t="inlineStr">
        <is>
          <t>1050 x 700 chamber 2500 depth to invert</t>
        </is>
      </c>
      <c r="F1816" s="5" t="inlineStr">
        <is>
          <t>concrete base</t>
        </is>
      </c>
      <c r="G1816" s="6" t="inlineStr">
        <is>
          <t>nr</t>
        </is>
      </c>
      <c r="H1816" s="7" t="n">
        <v>0.57</v>
      </c>
      <c r="I1816" s="8" t="n">
        <v>15.15</v>
      </c>
      <c r="J1816" s="8" t="n">
        <v>5.25</v>
      </c>
      <c r="K1816" s="8" t="n">
        <v>49.75</v>
      </c>
      <c r="L1816" s="8" t="n">
        <v>0</v>
      </c>
      <c r="M1816" s="9">
        <f>ROUND(SUM(I1816:L1816),2)</f>
        <v/>
      </c>
      <c r="N1816" s="10">
        <f>ROUND(I1816*'Irish Basis'!$C$6*'Irish Basis'!$C$5,2)</f>
        <v/>
      </c>
      <c r="O1816" s="10">
        <f>ROUND(J1816*'Irish Basis'!$C$7*'Irish Basis'!$C$5,2)</f>
        <v/>
      </c>
      <c r="P1816" s="10">
        <f>ROUND(K1816*'Irish Basis'!$C$8*'Irish Basis'!$C$5,2)</f>
        <v/>
      </c>
      <c r="Q1816" s="10">
        <f>ROUND(L1816*'Irish Basis'!$C$12*'Irish Basis'!$C$5,2)</f>
        <v/>
      </c>
      <c r="R1816" s="11">
        <f>ROUND(SUM(N1816:Q1816),2)</f>
        <v/>
      </c>
      <c r="S1816" s="5" t="inlineStr">
        <is>
          <t>Stated build-up</t>
        </is>
      </c>
      <c r="T1816" s="12" t="inlineStr">
        <is>
          <t>High</t>
        </is>
      </c>
      <c r="U1816" s="8" t="n">
        <v>70.15000000000001</v>
      </c>
      <c r="V1816" s="13">
        <f>IF(U1816="","",ROUND(M1816-U1816,2))</f>
        <v/>
      </c>
      <c r="W1816" s="5" t="n"/>
      <c r="X1816" s="5" t="inlineStr">
        <is>
          <t>Labour + plant + material as published; reconciles to the published rate.</t>
        </is>
      </c>
    </row>
    <row r="1817" ht="13" customHeight="1">
      <c r="A1817" s="4" t="n">
        <v>2843</v>
      </c>
      <c r="B1817" s="5" t="inlineStr">
        <is>
          <t>IMG_0104</t>
        </is>
      </c>
      <c r="C1817" s="5" t="inlineStr">
        <is>
          <t>CLASS K: PIPEWORK - MANHOLES AND PIPEWORK ANCILLARIES</t>
        </is>
      </c>
      <c r="D1817" s="5" t="inlineStr">
        <is>
          <t>01 MANHOLES</t>
        </is>
      </c>
      <c r="E1817" s="5" t="inlineStr">
        <is>
          <t>1050 x 700 chamber 2500 depth to invert</t>
        </is>
      </c>
      <c r="F1817" s="5" t="inlineStr">
        <is>
          <t>brickwork chamber and access shaft (700 x 700)</t>
        </is>
      </c>
      <c r="G1817" s="6" t="inlineStr">
        <is>
          <t>nr</t>
        </is>
      </c>
      <c r="H1817" s="7" t="n">
        <v>35.46</v>
      </c>
      <c r="I1817" s="8" t="n">
        <v>870.0700000000001</v>
      </c>
      <c r="J1817" s="8" t="n">
        <v>113.74</v>
      </c>
      <c r="K1817" s="8" t="n">
        <v>862.3</v>
      </c>
      <c r="L1817" s="8" t="n">
        <v>0</v>
      </c>
      <c r="M1817" s="9">
        <f>ROUND(SUM(I1817:L1817),2)</f>
        <v/>
      </c>
      <c r="N1817" s="10">
        <f>ROUND(I1817*'Irish Basis'!$C$6*'Irish Basis'!$C$5,2)</f>
        <v/>
      </c>
      <c r="O1817" s="10">
        <f>ROUND(J1817*'Irish Basis'!$C$7*'Irish Basis'!$C$5,2)</f>
        <v/>
      </c>
      <c r="P1817" s="10">
        <f>ROUND(K1817*'Irish Basis'!$C$8*'Irish Basis'!$C$5,2)</f>
        <v/>
      </c>
      <c r="Q1817" s="10">
        <f>ROUND(L1817*'Irish Basis'!$C$12*'Irish Basis'!$C$5,2)</f>
        <v/>
      </c>
      <c r="R1817" s="11">
        <f>ROUND(SUM(N1817:Q1817),2)</f>
        <v/>
      </c>
      <c r="S1817" s="5" t="inlineStr">
        <is>
          <t>Stated build-up</t>
        </is>
      </c>
      <c r="T1817" s="12" t="inlineStr">
        <is>
          <t>High</t>
        </is>
      </c>
      <c r="U1817" s="8" t="n">
        <v>1846.11</v>
      </c>
      <c r="V1817" s="13">
        <f>IF(U1817="","",ROUND(M1817-U1817,2))</f>
        <v/>
      </c>
      <c r="W1817" s="5" t="n"/>
      <c r="X1817" s="5" t="inlineStr">
        <is>
          <t>Labour + plant + material as published; reconciles to the published rate.</t>
        </is>
      </c>
    </row>
    <row r="1818" ht="13" customHeight="1">
      <c r="A1818" s="4" t="n">
        <v>2844</v>
      </c>
      <c r="B1818" s="5" t="inlineStr">
        <is>
          <t>IMG_0104</t>
        </is>
      </c>
      <c r="C1818" s="5" t="inlineStr">
        <is>
          <t>CLASS K: PIPEWORK - MANHOLES AND PIPEWORK ANCILLARIES</t>
        </is>
      </c>
      <c r="D1818" s="5" t="inlineStr">
        <is>
          <t>01 MANHOLES</t>
        </is>
      </c>
      <c r="E1818" s="5" t="inlineStr">
        <is>
          <t>1050 x 700 chamber 2500 depth to invert</t>
        </is>
      </c>
      <c r="F1818" s="5" t="inlineStr">
        <is>
          <t>concrete cover slab</t>
        </is>
      </c>
      <c r="G1818" s="6" t="inlineStr">
        <is>
          <t>nr</t>
        </is>
      </c>
      <c r="H1818" s="7" t="n">
        <v>2.52</v>
      </c>
      <c r="I1818" s="8" t="n">
        <v>77.25</v>
      </c>
      <c r="J1818" s="8" t="n">
        <v>57.25</v>
      </c>
      <c r="K1818" s="8" t="n">
        <v>181.49</v>
      </c>
      <c r="L1818" s="8" t="n">
        <v>0</v>
      </c>
      <c r="M1818" s="9">
        <f>ROUND(SUM(I1818:L1818),2)</f>
        <v/>
      </c>
      <c r="N1818" s="10">
        <f>ROUND(I1818*'Irish Basis'!$C$6*'Irish Basis'!$C$5,2)</f>
        <v/>
      </c>
      <c r="O1818" s="10">
        <f>ROUND(J1818*'Irish Basis'!$C$7*'Irish Basis'!$C$5,2)</f>
        <v/>
      </c>
      <c r="P1818" s="10">
        <f>ROUND(K1818*'Irish Basis'!$C$8*'Irish Basis'!$C$5,2)</f>
        <v/>
      </c>
      <c r="Q1818" s="10">
        <f>ROUND(L1818*'Irish Basis'!$C$12*'Irish Basis'!$C$5,2)</f>
        <v/>
      </c>
      <c r="R1818" s="11">
        <f>ROUND(SUM(N1818:Q1818),2)</f>
        <v/>
      </c>
      <c r="S1818" s="5" t="inlineStr">
        <is>
          <t>Stated build-up</t>
        </is>
      </c>
      <c r="T1818" s="12" t="inlineStr">
        <is>
          <t>High</t>
        </is>
      </c>
      <c r="U1818" s="8" t="n">
        <v>315.99</v>
      </c>
      <c r="V1818" s="13">
        <f>IF(U1818="","",ROUND(M1818-U1818,2))</f>
        <v/>
      </c>
      <c r="W1818" s="5" t="n"/>
      <c r="X1818" s="5" t="inlineStr">
        <is>
          <t>Labour + plant + material as published; reconciles to the published rate.</t>
        </is>
      </c>
    </row>
    <row r="1819" ht="13" customHeight="1">
      <c r="A1819" s="4" t="n">
        <v>2845</v>
      </c>
      <c r="B1819" s="5" t="inlineStr">
        <is>
          <t>IMG_0104</t>
        </is>
      </c>
      <c r="C1819" s="5" t="inlineStr">
        <is>
          <t>CLASS K: PIPEWORK - MANHOLES AND PIPEWORK ANCILLARIES</t>
        </is>
      </c>
      <c r="D1819" s="5" t="inlineStr">
        <is>
          <t>01 MANHOLES</t>
        </is>
      </c>
      <c r="E1819" s="5" t="inlineStr">
        <is>
          <t>1050 x 700 chamber 2500 depth to invert</t>
        </is>
      </c>
      <c r="F1819" s="5" t="inlineStr">
        <is>
          <t>concrete reducing slab</t>
        </is>
      </c>
      <c r="G1819" s="6" t="inlineStr">
        <is>
          <t>nr</t>
        </is>
      </c>
      <c r="H1819" s="7" t="n">
        <v>3.3</v>
      </c>
      <c r="I1819" s="8" t="n">
        <v>100.58</v>
      </c>
      <c r="J1819" s="8" t="n">
        <v>63.66</v>
      </c>
      <c r="K1819" s="8" t="n">
        <v>219.52</v>
      </c>
      <c r="L1819" s="8" t="n">
        <v>0</v>
      </c>
      <c r="M1819" s="9">
        <f>ROUND(SUM(I1819:L1819),2)</f>
        <v/>
      </c>
      <c r="N1819" s="10">
        <f>ROUND(I1819*'Irish Basis'!$C$6*'Irish Basis'!$C$5,2)</f>
        <v/>
      </c>
      <c r="O1819" s="10">
        <f>ROUND(J1819*'Irish Basis'!$C$7*'Irish Basis'!$C$5,2)</f>
        <v/>
      </c>
      <c r="P1819" s="10">
        <f>ROUND(K1819*'Irish Basis'!$C$8*'Irish Basis'!$C$5,2)</f>
        <v/>
      </c>
      <c r="Q1819" s="10">
        <f>ROUND(L1819*'Irish Basis'!$C$12*'Irish Basis'!$C$5,2)</f>
        <v/>
      </c>
      <c r="R1819" s="11">
        <f>ROUND(SUM(N1819:Q1819),2)</f>
        <v/>
      </c>
      <c r="S1819" s="5" t="inlineStr">
        <is>
          <t>Stated build-up</t>
        </is>
      </c>
      <c r="T1819" s="12" t="inlineStr">
        <is>
          <t>High</t>
        </is>
      </c>
      <c r="U1819" s="8" t="n">
        <v>383.76</v>
      </c>
      <c r="V1819" s="13">
        <f>IF(U1819="","",ROUND(M1819-U1819,2))</f>
        <v/>
      </c>
      <c r="W1819" s="5" t="n"/>
      <c r="X1819" s="5" t="inlineStr">
        <is>
          <t>Labour + plant + material as published; reconciles to the published rate.</t>
        </is>
      </c>
    </row>
    <row r="1820" ht="13" customHeight="1">
      <c r="A1820" s="4" t="n">
        <v>2846</v>
      </c>
      <c r="B1820" s="5" t="inlineStr">
        <is>
          <t>IMG_0104</t>
        </is>
      </c>
      <c r="C1820" s="5" t="inlineStr">
        <is>
          <t>CLASS K: PIPEWORK - MANHOLES AND PIPEWORK ANCILLARIES</t>
        </is>
      </c>
      <c r="D1820" s="5" t="inlineStr">
        <is>
          <t>01 MANHOLES</t>
        </is>
      </c>
      <c r="E1820" s="5" t="inlineStr">
        <is>
          <t>1050 x 700 chamber 2500 depth to invert</t>
        </is>
      </c>
      <c r="F1820" s="5" t="inlineStr">
        <is>
          <t>concrete benching, main and branch channels</t>
        </is>
      </c>
      <c r="G1820" s="6" t="inlineStr">
        <is>
          <t>nr</t>
        </is>
      </c>
      <c r="H1820" s="7" t="n">
        <v>7.61</v>
      </c>
      <c r="I1820" s="8" t="n">
        <v>210.43</v>
      </c>
      <c r="J1820" s="8" t="n">
        <v>38.8</v>
      </c>
      <c r="K1820" s="8" t="n">
        <v>273.73</v>
      </c>
      <c r="L1820" s="8" t="n">
        <v>0</v>
      </c>
      <c r="M1820" s="9">
        <f>ROUND(SUM(I1820:L1820),2)</f>
        <v/>
      </c>
      <c r="N1820" s="10">
        <f>ROUND(I1820*'Irish Basis'!$C$6*'Irish Basis'!$C$5,2)</f>
        <v/>
      </c>
      <c r="O1820" s="10">
        <f>ROUND(J1820*'Irish Basis'!$C$7*'Irish Basis'!$C$5,2)</f>
        <v/>
      </c>
      <c r="P1820" s="10">
        <f>ROUND(K1820*'Irish Basis'!$C$8*'Irish Basis'!$C$5,2)</f>
        <v/>
      </c>
      <c r="Q1820" s="10">
        <f>ROUND(L1820*'Irish Basis'!$C$12*'Irish Basis'!$C$5,2)</f>
        <v/>
      </c>
      <c r="R1820" s="11">
        <f>ROUND(SUM(N1820:Q1820),2)</f>
        <v/>
      </c>
      <c r="S1820" s="5" t="inlineStr">
        <is>
          <t>Stated build-up</t>
        </is>
      </c>
      <c r="T1820" s="12" t="inlineStr">
        <is>
          <t>High</t>
        </is>
      </c>
      <c r="U1820" s="8" t="n">
        <v>522.96</v>
      </c>
      <c r="V1820" s="13">
        <f>IF(U1820="","",ROUND(M1820-U1820,2))</f>
        <v/>
      </c>
      <c r="W1820" s="5" t="n"/>
      <c r="X1820" s="5" t="inlineStr">
        <is>
          <t>Labour + plant + material as published; reconciles to the published rate.</t>
        </is>
      </c>
    </row>
    <row r="1821" ht="13" customHeight="1">
      <c r="A1821" s="4" t="n">
        <v>2847</v>
      </c>
      <c r="B1821" s="5" t="inlineStr">
        <is>
          <t>IMG_0104</t>
        </is>
      </c>
      <c r="C1821" s="5" t="inlineStr">
        <is>
          <t>CLASS K: PIPEWORK - MANHOLES AND PIPEWORK ANCILLARIES</t>
        </is>
      </c>
      <c r="D1821" s="5" t="inlineStr">
        <is>
          <t>01 MANHOLES</t>
        </is>
      </c>
      <c r="E1821" s="5" t="inlineStr">
        <is>
          <t>1050 x 700 chamber 2500 depth to invert</t>
        </is>
      </c>
      <c r="F1821" s="5" t="inlineStr">
        <is>
          <t>step irons</t>
        </is>
      </c>
      <c r="G1821" s="6" t="inlineStr">
        <is>
          <t>nr</t>
        </is>
      </c>
      <c r="H1821" s="7" t="n">
        <v>0.84</v>
      </c>
      <c r="I1821" s="8" t="n">
        <v>20.61</v>
      </c>
      <c r="J1821" s="8" t="n">
        <v>2.74</v>
      </c>
      <c r="K1821" s="8" t="n">
        <v>183.37</v>
      </c>
      <c r="L1821" s="8" t="n">
        <v>0</v>
      </c>
      <c r="M1821" s="9">
        <f>ROUND(SUM(I1821:L1821),2)</f>
        <v/>
      </c>
      <c r="N1821" s="10">
        <f>ROUND(I1821*'Irish Basis'!$C$6*'Irish Basis'!$C$5,2)</f>
        <v/>
      </c>
      <c r="O1821" s="10">
        <f>ROUND(J1821*'Irish Basis'!$C$7*'Irish Basis'!$C$5,2)</f>
        <v/>
      </c>
      <c r="P1821" s="10">
        <f>ROUND(K1821*'Irish Basis'!$C$8*'Irish Basis'!$C$5,2)</f>
        <v/>
      </c>
      <c r="Q1821" s="10">
        <f>ROUND(L1821*'Irish Basis'!$C$12*'Irish Basis'!$C$5,2)</f>
        <v/>
      </c>
      <c r="R1821" s="11">
        <f>ROUND(SUM(N1821:Q1821),2)</f>
        <v/>
      </c>
      <c r="S1821" s="5" t="inlineStr">
        <is>
          <t>Stated build-up</t>
        </is>
      </c>
      <c r="T1821" s="12" t="inlineStr">
        <is>
          <t>High</t>
        </is>
      </c>
      <c r="U1821" s="8" t="n">
        <v>206.72</v>
      </c>
      <c r="V1821" s="13">
        <f>IF(U1821="","",ROUND(M1821-U1821,2))</f>
        <v/>
      </c>
      <c r="W1821" s="5" t="n"/>
      <c r="X1821" s="5" t="inlineStr">
        <is>
          <t>Labour + plant + material as published; reconciles to the published rate.</t>
        </is>
      </c>
    </row>
    <row r="1822" ht="13" customHeight="1">
      <c r="A1822" s="4" t="n">
        <v>2848</v>
      </c>
      <c r="B1822" s="5" t="inlineStr">
        <is>
          <t>IMG_0104</t>
        </is>
      </c>
      <c r="C1822" s="5" t="inlineStr">
        <is>
          <t>CLASS K: PIPEWORK - MANHOLES AND PIPEWORK ANCILLARIES</t>
        </is>
      </c>
      <c r="D1822" s="5" t="inlineStr">
        <is>
          <t>01 MANHOLES</t>
        </is>
      </c>
      <c r="E1822" s="5" t="inlineStr">
        <is>
          <t>1050 x 700 chamber 2500 depth to invert</t>
        </is>
      </c>
      <c r="F1822" s="5" t="inlineStr">
        <is>
          <t>access cover and frame</t>
        </is>
      </c>
      <c r="G1822" s="6" t="inlineStr">
        <is>
          <t>nr</t>
        </is>
      </c>
      <c r="H1822" s="7" t="n">
        <v>1.44</v>
      </c>
      <c r="I1822" s="8" t="n">
        <v>40.16</v>
      </c>
      <c r="J1822" s="8" t="n">
        <v>4.42</v>
      </c>
      <c r="K1822" s="8" t="n">
        <v>341.51</v>
      </c>
      <c r="L1822" s="8" t="n">
        <v>0</v>
      </c>
      <c r="M1822" s="9">
        <f>ROUND(SUM(I1822:L1822),2)</f>
        <v/>
      </c>
      <c r="N1822" s="10">
        <f>ROUND(I1822*'Irish Basis'!$C$6*'Irish Basis'!$C$5,2)</f>
        <v/>
      </c>
      <c r="O1822" s="10">
        <f>ROUND(J1822*'Irish Basis'!$C$7*'Irish Basis'!$C$5,2)</f>
        <v/>
      </c>
      <c r="P1822" s="10">
        <f>ROUND(K1822*'Irish Basis'!$C$8*'Irish Basis'!$C$5,2)</f>
        <v/>
      </c>
      <c r="Q1822" s="10">
        <f>ROUND(L1822*'Irish Basis'!$C$12*'Irish Basis'!$C$5,2)</f>
        <v/>
      </c>
      <c r="R1822" s="11">
        <f>ROUND(SUM(N1822:Q1822),2)</f>
        <v/>
      </c>
      <c r="S1822" s="5" t="inlineStr">
        <is>
          <t>Stated build-up</t>
        </is>
      </c>
      <c r="T1822" s="12" t="inlineStr">
        <is>
          <t>High</t>
        </is>
      </c>
      <c r="U1822" s="8" t="n">
        <v>386.09</v>
      </c>
      <c r="V1822" s="13">
        <f>IF(U1822="","",ROUND(M1822-U1822,2))</f>
        <v/>
      </c>
      <c r="W1822" s="5" t="n"/>
      <c r="X1822" s="5" t="inlineStr">
        <is>
          <t>Labour + plant + material as published; reconciles to the published rate.</t>
        </is>
      </c>
    </row>
    <row r="1823" ht="13" customHeight="1">
      <c r="A1823" s="4" t="n">
        <v>2849</v>
      </c>
      <c r="B1823" s="5" t="inlineStr">
        <is>
          <t>IMG_0104</t>
        </is>
      </c>
      <c r="C1823" s="5" t="inlineStr">
        <is>
          <t>CLASS K: PIPEWORK - MANHOLES AND PIPEWORK ANCILLARIES</t>
        </is>
      </c>
      <c r="D1823" s="5" t="inlineStr">
        <is>
          <t>01 MANHOLES</t>
        </is>
      </c>
      <c r="E1823" s="5" t="inlineStr">
        <is>
          <t>1050 x 700 chamber 2500 depth to invert</t>
        </is>
      </c>
      <c r="F1823" s="5" t="inlineStr">
        <is>
          <t>TOTAL</t>
        </is>
      </c>
      <c r="G1823" s="6" t="inlineStr">
        <is>
          <t>nr</t>
        </is>
      </c>
      <c r="H1823" s="7" t="n">
        <v>53.73</v>
      </c>
      <c r="I1823" s="8" t="n">
        <v>1522.87</v>
      </c>
      <c r="J1823" s="8" t="n">
        <v>430.99</v>
      </c>
      <c r="K1823" s="8" t="n">
        <v>2111.67</v>
      </c>
      <c r="L1823" s="8" t="n">
        <v>0</v>
      </c>
      <c r="M1823" s="9">
        <f>ROUND(SUM(I1823:L1823),2)</f>
        <v/>
      </c>
      <c r="N1823" s="10">
        <f>ROUND(I1823*'Irish Basis'!$C$6*'Irish Basis'!$C$5,2)</f>
        <v/>
      </c>
      <c r="O1823" s="10">
        <f>ROUND(J1823*'Irish Basis'!$C$7*'Irish Basis'!$C$5,2)</f>
        <v/>
      </c>
      <c r="P1823" s="10">
        <f>ROUND(K1823*'Irish Basis'!$C$8*'Irish Basis'!$C$5,2)</f>
        <v/>
      </c>
      <c r="Q1823" s="10">
        <f>ROUND(L1823*'Irish Basis'!$C$12*'Irish Basis'!$C$5,2)</f>
        <v/>
      </c>
      <c r="R1823" s="11">
        <f>ROUND(SUM(N1823:Q1823),2)</f>
        <v/>
      </c>
      <c r="S1823" s="5" t="inlineStr">
        <is>
          <t>Stated build-up</t>
        </is>
      </c>
      <c r="T1823" s="12" t="inlineStr">
        <is>
          <t>High</t>
        </is>
      </c>
      <c r="U1823" s="8" t="n">
        <v>4065.53</v>
      </c>
      <c r="V1823" s="13">
        <f>IF(U1823="","",ROUND(M1823-U1823,2))</f>
        <v/>
      </c>
      <c r="W1823" s="5" t="n"/>
      <c r="X1823" s="5" t="inlineStr">
        <is>
          <t>Labour + plant + material as published; reconciles to the published rate.</t>
        </is>
      </c>
    </row>
    <row r="1824" ht="13" customHeight="1">
      <c r="A1824" s="4" t="n">
        <v>2851</v>
      </c>
      <c r="B1824" s="5" t="inlineStr">
        <is>
          <t>IMG_0104</t>
        </is>
      </c>
      <c r="C1824" s="5" t="inlineStr">
        <is>
          <t>CLASS K: PIPEWORK - MANHOLES AND PIPEWORK ANCILLARIES</t>
        </is>
      </c>
      <c r="D1824" s="5" t="inlineStr">
        <is>
          <t>01 MANHOLES</t>
        </is>
      </c>
      <c r="E1824" s="5" t="inlineStr">
        <is>
          <t>1050 x 700 chamber 3500 depth to invert</t>
        </is>
      </c>
      <c r="F1824" s="5" t="inlineStr">
        <is>
          <t>excavation, support, backfilling and disposal</t>
        </is>
      </c>
      <c r="G1824" s="6" t="inlineStr">
        <is>
          <t>nr</t>
        </is>
      </c>
      <c r="H1824" s="7" t="n">
        <v>2.88</v>
      </c>
      <c r="I1824" s="8" t="n">
        <v>275.91</v>
      </c>
      <c r="J1824" s="8" t="n">
        <v>278.79</v>
      </c>
      <c r="K1824" s="8" t="n">
        <v>0</v>
      </c>
      <c r="L1824" s="8" t="n">
        <v>0</v>
      </c>
      <c r="M1824" s="9">
        <f>ROUND(SUM(I1824:L1824),2)</f>
        <v/>
      </c>
      <c r="N1824" s="10">
        <f>ROUND(I1824*'Irish Basis'!$C$6*'Irish Basis'!$C$5,2)</f>
        <v/>
      </c>
      <c r="O1824" s="10">
        <f>ROUND(J1824*'Irish Basis'!$C$7*'Irish Basis'!$C$5,2)</f>
        <v/>
      </c>
      <c r="P1824" s="10">
        <f>ROUND(K1824*'Irish Basis'!$C$8*'Irish Basis'!$C$5,2)</f>
        <v/>
      </c>
      <c r="Q1824" s="10">
        <f>ROUND(L1824*'Irish Basis'!$C$12*'Irish Basis'!$C$5,2)</f>
        <v/>
      </c>
      <c r="R1824" s="11">
        <f>ROUND(SUM(N1824:Q1824),2)</f>
        <v/>
      </c>
      <c r="S1824" s="5" t="inlineStr">
        <is>
          <t>Stated build-up</t>
        </is>
      </c>
      <c r="T1824" s="12" t="inlineStr">
        <is>
          <t>High</t>
        </is>
      </c>
      <c r="U1824" s="8" t="n">
        <v>554.7</v>
      </c>
      <c r="V1824" s="13">
        <f>IF(U1824="","",ROUND(M1824-U1824,2))</f>
        <v/>
      </c>
      <c r="W1824" s="5" t="n"/>
      <c r="X1824" s="5" t="inlineStr">
        <is>
          <t>Labour + plant + material as published; reconciles to the published rate.</t>
        </is>
      </c>
    </row>
    <row r="1825" ht="13" customHeight="1">
      <c r="A1825" s="4" t="n">
        <v>2852</v>
      </c>
      <c r="B1825" s="5" t="inlineStr">
        <is>
          <t>IMG_0104</t>
        </is>
      </c>
      <c r="C1825" s="5" t="inlineStr">
        <is>
          <t>CLASS K: PIPEWORK - MANHOLES AND PIPEWORK ANCILLARIES</t>
        </is>
      </c>
      <c r="D1825" s="5" t="inlineStr">
        <is>
          <t>01 MANHOLES</t>
        </is>
      </c>
      <c r="E1825" s="5" t="inlineStr">
        <is>
          <t>1050 x 700 chamber 3500 depth to invert</t>
        </is>
      </c>
      <c r="F1825" s="5" t="inlineStr">
        <is>
          <t>concrete base</t>
        </is>
      </c>
      <c r="G1825" s="6" t="inlineStr">
        <is>
          <t>nr</t>
        </is>
      </c>
      <c r="H1825" s="7" t="n">
        <v>0.57</v>
      </c>
      <c r="I1825" s="8" t="n">
        <v>15.15</v>
      </c>
      <c r="J1825" s="8" t="n">
        <v>5.25</v>
      </c>
      <c r="K1825" s="8" t="n">
        <v>49.75</v>
      </c>
      <c r="L1825" s="8" t="n">
        <v>0</v>
      </c>
      <c r="M1825" s="9">
        <f>ROUND(SUM(I1825:L1825),2)</f>
        <v/>
      </c>
      <c r="N1825" s="10">
        <f>ROUND(I1825*'Irish Basis'!$C$6*'Irish Basis'!$C$5,2)</f>
        <v/>
      </c>
      <c r="O1825" s="10">
        <f>ROUND(J1825*'Irish Basis'!$C$7*'Irish Basis'!$C$5,2)</f>
        <v/>
      </c>
      <c r="P1825" s="10">
        <f>ROUND(K1825*'Irish Basis'!$C$8*'Irish Basis'!$C$5,2)</f>
        <v/>
      </c>
      <c r="Q1825" s="10">
        <f>ROUND(L1825*'Irish Basis'!$C$12*'Irish Basis'!$C$5,2)</f>
        <v/>
      </c>
      <c r="R1825" s="11">
        <f>ROUND(SUM(N1825:Q1825),2)</f>
        <v/>
      </c>
      <c r="S1825" s="5" t="inlineStr">
        <is>
          <t>Stated build-up</t>
        </is>
      </c>
      <c r="T1825" s="12" t="inlineStr">
        <is>
          <t>High</t>
        </is>
      </c>
      <c r="U1825" s="8" t="n">
        <v>70.15000000000001</v>
      </c>
      <c r="V1825" s="13">
        <f>IF(U1825="","",ROUND(M1825-U1825,2))</f>
        <v/>
      </c>
      <c r="W1825" s="5" t="n"/>
      <c r="X1825" s="5" t="inlineStr">
        <is>
          <t>Labour + plant + material as published; reconciles to the published rate.</t>
        </is>
      </c>
    </row>
    <row r="1826" ht="13" customHeight="1">
      <c r="A1826" s="4" t="n">
        <v>2853</v>
      </c>
      <c r="B1826" s="5" t="inlineStr">
        <is>
          <t>IMG_0104</t>
        </is>
      </c>
      <c r="C1826" s="5" t="inlineStr">
        <is>
          <t>CLASS K: PIPEWORK - MANHOLES AND PIPEWORK ANCILLARIES</t>
        </is>
      </c>
      <c r="D1826" s="5" t="inlineStr">
        <is>
          <t>01 MANHOLES</t>
        </is>
      </c>
      <c r="E1826" s="5" t="inlineStr">
        <is>
          <t>1050 x 700 chamber 3500 depth to invert</t>
        </is>
      </c>
      <c r="F1826" s="5" t="inlineStr">
        <is>
          <t>brickwork chamber and access shaft (700 x 700)</t>
        </is>
      </c>
      <c r="G1826" s="6" t="inlineStr">
        <is>
          <t>nr</t>
        </is>
      </c>
      <c r="H1826" s="7" t="n">
        <v>45.57</v>
      </c>
      <c r="I1826" s="8" t="n">
        <v>1118.01</v>
      </c>
      <c r="J1826" s="8" t="n">
        <v>146.13</v>
      </c>
      <c r="K1826" s="8" t="n">
        <v>1110.8</v>
      </c>
      <c r="L1826" s="8" t="n">
        <v>0</v>
      </c>
      <c r="M1826" s="9">
        <f>ROUND(SUM(I1826:L1826),2)</f>
        <v/>
      </c>
      <c r="N1826" s="10">
        <f>ROUND(I1826*'Irish Basis'!$C$6*'Irish Basis'!$C$5,2)</f>
        <v/>
      </c>
      <c r="O1826" s="10">
        <f>ROUND(J1826*'Irish Basis'!$C$7*'Irish Basis'!$C$5,2)</f>
        <v/>
      </c>
      <c r="P1826" s="10">
        <f>ROUND(K1826*'Irish Basis'!$C$8*'Irish Basis'!$C$5,2)</f>
        <v/>
      </c>
      <c r="Q1826" s="10">
        <f>ROUND(L1826*'Irish Basis'!$C$12*'Irish Basis'!$C$5,2)</f>
        <v/>
      </c>
      <c r="R1826" s="11">
        <f>ROUND(SUM(N1826:Q1826),2)</f>
        <v/>
      </c>
      <c r="S1826" s="5" t="inlineStr">
        <is>
          <t>Stated build-up</t>
        </is>
      </c>
      <c r="T1826" s="12" t="inlineStr">
        <is>
          <t>High</t>
        </is>
      </c>
      <c r="U1826" s="8" t="n">
        <v>2374.94</v>
      </c>
      <c r="V1826" s="13">
        <f>IF(U1826="","",ROUND(M1826-U1826,2))</f>
        <v/>
      </c>
      <c r="W1826" s="5" t="n"/>
      <c r="X1826" s="5" t="inlineStr">
        <is>
          <t>Labour + plant + material as published; reconciles to the published rate.</t>
        </is>
      </c>
    </row>
    <row r="1827" ht="13" customHeight="1">
      <c r="A1827" s="4" t="n">
        <v>2854</v>
      </c>
      <c r="B1827" s="5" t="inlineStr">
        <is>
          <t>IMG_0104</t>
        </is>
      </c>
      <c r="C1827" s="5" t="inlineStr">
        <is>
          <t>CLASS K: PIPEWORK - MANHOLES AND PIPEWORK ANCILLARIES</t>
        </is>
      </c>
      <c r="D1827" s="5" t="inlineStr">
        <is>
          <t>01 MANHOLES</t>
        </is>
      </c>
      <c r="E1827" s="5" t="inlineStr">
        <is>
          <t>1050 x 700 chamber 3500 depth to invert</t>
        </is>
      </c>
      <c r="F1827" s="5" t="inlineStr">
        <is>
          <t>concrete reducing slab</t>
        </is>
      </c>
      <c r="G1827" s="6" t="inlineStr">
        <is>
          <t>nr</t>
        </is>
      </c>
      <c r="H1827" s="7" t="n">
        <v>3.3</v>
      </c>
      <c r="I1827" s="8" t="n">
        <v>100.58</v>
      </c>
      <c r="J1827" s="8" t="n">
        <v>63.66</v>
      </c>
      <c r="K1827" s="8" t="n">
        <v>219.52</v>
      </c>
      <c r="L1827" s="8" t="n">
        <v>0</v>
      </c>
      <c r="M1827" s="9">
        <f>ROUND(SUM(I1827:L1827),2)</f>
        <v/>
      </c>
      <c r="N1827" s="10">
        <f>ROUND(I1827*'Irish Basis'!$C$6*'Irish Basis'!$C$5,2)</f>
        <v/>
      </c>
      <c r="O1827" s="10">
        <f>ROUND(J1827*'Irish Basis'!$C$7*'Irish Basis'!$C$5,2)</f>
        <v/>
      </c>
      <c r="P1827" s="10">
        <f>ROUND(K1827*'Irish Basis'!$C$8*'Irish Basis'!$C$5,2)</f>
        <v/>
      </c>
      <c r="Q1827" s="10">
        <f>ROUND(L1827*'Irish Basis'!$C$12*'Irish Basis'!$C$5,2)</f>
        <v/>
      </c>
      <c r="R1827" s="11">
        <f>ROUND(SUM(N1827:Q1827),2)</f>
        <v/>
      </c>
      <c r="S1827" s="5" t="inlineStr">
        <is>
          <t>Stated build-up</t>
        </is>
      </c>
      <c r="T1827" s="12" t="inlineStr">
        <is>
          <t>High</t>
        </is>
      </c>
      <c r="U1827" s="8" t="n">
        <v>383.76</v>
      </c>
      <c r="V1827" s="13">
        <f>IF(U1827="","",ROUND(M1827-U1827,2))</f>
        <v/>
      </c>
      <c r="W1827" s="5" t="n"/>
      <c r="X1827" s="5" t="inlineStr">
        <is>
          <t>Labour + plant + material as published; reconciles to the published rate.</t>
        </is>
      </c>
    </row>
    <row r="1828" ht="13" customHeight="1">
      <c r="A1828" s="4" t="n">
        <v>2855</v>
      </c>
      <c r="B1828" s="5" t="inlineStr">
        <is>
          <t>IMG_0104</t>
        </is>
      </c>
      <c r="C1828" s="5" t="inlineStr">
        <is>
          <t>CLASS K: PIPEWORK - MANHOLES AND PIPEWORK ANCILLARIES</t>
        </is>
      </c>
      <c r="D1828" s="5" t="inlineStr">
        <is>
          <t>01 MANHOLES</t>
        </is>
      </c>
      <c r="E1828" s="5" t="inlineStr">
        <is>
          <t>1050 x 700 chamber 3500 depth to invert</t>
        </is>
      </c>
      <c r="F1828" s="5" t="inlineStr">
        <is>
          <t>concrete cover slab</t>
        </is>
      </c>
      <c r="G1828" s="6" t="inlineStr">
        <is>
          <t>nr</t>
        </is>
      </c>
      <c r="H1828" s="7" t="n">
        <v>2.52</v>
      </c>
      <c r="I1828" s="8" t="n">
        <v>77.25</v>
      </c>
      <c r="J1828" s="8" t="n">
        <v>57.25</v>
      </c>
      <c r="K1828" s="8" t="n">
        <v>181.49</v>
      </c>
      <c r="L1828" s="8" t="n">
        <v>0</v>
      </c>
      <c r="M1828" s="9">
        <f>ROUND(SUM(I1828:L1828),2)</f>
        <v/>
      </c>
      <c r="N1828" s="10">
        <f>ROUND(I1828*'Irish Basis'!$C$6*'Irish Basis'!$C$5,2)</f>
        <v/>
      </c>
      <c r="O1828" s="10">
        <f>ROUND(J1828*'Irish Basis'!$C$7*'Irish Basis'!$C$5,2)</f>
        <v/>
      </c>
      <c r="P1828" s="10">
        <f>ROUND(K1828*'Irish Basis'!$C$8*'Irish Basis'!$C$5,2)</f>
        <v/>
      </c>
      <c r="Q1828" s="10">
        <f>ROUND(L1828*'Irish Basis'!$C$12*'Irish Basis'!$C$5,2)</f>
        <v/>
      </c>
      <c r="R1828" s="11">
        <f>ROUND(SUM(N1828:Q1828),2)</f>
        <v/>
      </c>
      <c r="S1828" s="5" t="inlineStr">
        <is>
          <t>Stated build-up</t>
        </is>
      </c>
      <c r="T1828" s="12" t="inlineStr">
        <is>
          <t>High</t>
        </is>
      </c>
      <c r="U1828" s="8" t="n">
        <v>315.99</v>
      </c>
      <c r="V1828" s="13">
        <f>IF(U1828="","",ROUND(M1828-U1828,2))</f>
        <v/>
      </c>
      <c r="W1828" s="5" t="n"/>
      <c r="X1828" s="5" t="inlineStr">
        <is>
          <t>Labour + plant + material as published; reconciles to the published rate.</t>
        </is>
      </c>
    </row>
    <row r="1829" ht="13" customHeight="1">
      <c r="A1829" s="4" t="n">
        <v>2856</v>
      </c>
      <c r="B1829" s="5" t="inlineStr">
        <is>
          <t>IMG_0104</t>
        </is>
      </c>
      <c r="C1829" s="5" t="inlineStr">
        <is>
          <t>CLASS K: PIPEWORK - MANHOLES AND PIPEWORK ANCILLARIES</t>
        </is>
      </c>
      <c r="D1829" s="5" t="inlineStr">
        <is>
          <t>01 MANHOLES</t>
        </is>
      </c>
      <c r="E1829" s="5" t="inlineStr">
        <is>
          <t>1050 x 700 chamber 3500 depth to invert</t>
        </is>
      </c>
      <c r="F1829" s="5" t="inlineStr">
        <is>
          <t>concrete benching, main and branch channels</t>
        </is>
      </c>
      <c r="G1829" s="6" t="inlineStr">
        <is>
          <t>nr</t>
        </is>
      </c>
      <c r="H1829" s="7" t="n">
        <v>9.41</v>
      </c>
      <c r="I1829" s="8" t="n">
        <v>258.31</v>
      </c>
      <c r="J1829" s="8" t="n">
        <v>54.43</v>
      </c>
      <c r="K1829" s="8" t="n">
        <v>289.54</v>
      </c>
      <c r="L1829" s="8" t="n">
        <v>0</v>
      </c>
      <c r="M1829" s="9">
        <f>ROUND(SUM(I1829:L1829),2)</f>
        <v/>
      </c>
      <c r="N1829" s="10">
        <f>ROUND(I1829*'Irish Basis'!$C$6*'Irish Basis'!$C$5,2)</f>
        <v/>
      </c>
      <c r="O1829" s="10">
        <f>ROUND(J1829*'Irish Basis'!$C$7*'Irish Basis'!$C$5,2)</f>
        <v/>
      </c>
      <c r="P1829" s="10">
        <f>ROUND(K1829*'Irish Basis'!$C$8*'Irish Basis'!$C$5,2)</f>
        <v/>
      </c>
      <c r="Q1829" s="10">
        <f>ROUND(L1829*'Irish Basis'!$C$12*'Irish Basis'!$C$5,2)</f>
        <v/>
      </c>
      <c r="R1829" s="11">
        <f>ROUND(SUM(N1829:Q1829),2)</f>
        <v/>
      </c>
      <c r="S1829" s="5" t="inlineStr">
        <is>
          <t>Stated build-up</t>
        </is>
      </c>
      <c r="T1829" s="12" t="inlineStr">
        <is>
          <t>High</t>
        </is>
      </c>
      <c r="U1829" s="8" t="n">
        <v>602.28</v>
      </c>
      <c r="V1829" s="13">
        <f>IF(U1829="","",ROUND(M1829-U1829,2))</f>
        <v/>
      </c>
      <c r="W1829" s="5" t="n"/>
      <c r="X1829" s="5" t="inlineStr">
        <is>
          <t>Labour + plant + material as published; reconciles to the published rate.</t>
        </is>
      </c>
    </row>
    <row r="1830" ht="13" customHeight="1">
      <c r="A1830" s="4" t="n">
        <v>2857</v>
      </c>
      <c r="B1830" s="5" t="inlineStr">
        <is>
          <t>IMG_0104</t>
        </is>
      </c>
      <c r="C1830" s="5" t="inlineStr">
        <is>
          <t>CLASS K: PIPEWORK - MANHOLES AND PIPEWORK ANCILLARIES</t>
        </is>
      </c>
      <c r="D1830" s="5" t="inlineStr">
        <is>
          <t>01 MANHOLES</t>
        </is>
      </c>
      <c r="E1830" s="5" t="inlineStr">
        <is>
          <t>1050 x 700 chamber 3500 depth to invert</t>
        </is>
      </c>
      <c r="F1830" s="5" t="inlineStr">
        <is>
          <t>step irons</t>
        </is>
      </c>
      <c r="G1830" s="6" t="inlineStr">
        <is>
          <t>nr</t>
        </is>
      </c>
      <c r="H1830" s="7" t="n">
        <v>1.16</v>
      </c>
      <c r="I1830" s="8" t="n">
        <v>28.34</v>
      </c>
      <c r="J1830" s="8" t="n">
        <v>3.77</v>
      </c>
      <c r="K1830" s="8" t="n">
        <v>252.13</v>
      </c>
      <c r="L1830" s="8" t="n">
        <v>0</v>
      </c>
      <c r="M1830" s="9">
        <f>ROUND(SUM(I1830:L1830),2)</f>
        <v/>
      </c>
      <c r="N1830" s="10">
        <f>ROUND(I1830*'Irish Basis'!$C$6*'Irish Basis'!$C$5,2)</f>
        <v/>
      </c>
      <c r="O1830" s="10">
        <f>ROUND(J1830*'Irish Basis'!$C$7*'Irish Basis'!$C$5,2)</f>
        <v/>
      </c>
      <c r="P1830" s="10">
        <f>ROUND(K1830*'Irish Basis'!$C$8*'Irish Basis'!$C$5,2)</f>
        <v/>
      </c>
      <c r="Q1830" s="10">
        <f>ROUND(L1830*'Irish Basis'!$C$12*'Irish Basis'!$C$5,2)</f>
        <v/>
      </c>
      <c r="R1830" s="11">
        <f>ROUND(SUM(N1830:Q1830),2)</f>
        <v/>
      </c>
      <c r="S1830" s="5" t="inlineStr">
        <is>
          <t>Stated build-up</t>
        </is>
      </c>
      <c r="T1830" s="12" t="inlineStr">
        <is>
          <t>High</t>
        </is>
      </c>
      <c r="U1830" s="8" t="n">
        <v>284.23</v>
      </c>
      <c r="V1830" s="13">
        <f>IF(U1830="","",ROUND(M1830-U1830,2))</f>
        <v/>
      </c>
      <c r="W1830" s="5" t="n"/>
      <c r="X1830" s="5" t="inlineStr">
        <is>
          <t>Labour + plant + material as published; reconciles to the published rate.</t>
        </is>
      </c>
    </row>
    <row r="1831" ht="13" customHeight="1">
      <c r="A1831" s="4" t="n">
        <v>2858</v>
      </c>
      <c r="B1831" s="5" t="inlineStr">
        <is>
          <t>IMG_0104</t>
        </is>
      </c>
      <c r="C1831" s="5" t="inlineStr">
        <is>
          <t>CLASS K: PIPEWORK - MANHOLES AND PIPEWORK ANCILLARIES</t>
        </is>
      </c>
      <c r="D1831" s="5" t="inlineStr">
        <is>
          <t>01 MANHOLES</t>
        </is>
      </c>
      <c r="E1831" s="5" t="inlineStr">
        <is>
          <t>1050 x 700 chamber 3500 depth to invert</t>
        </is>
      </c>
      <c r="F1831" s="5" t="inlineStr">
        <is>
          <t>access cover and frame</t>
        </is>
      </c>
      <c r="G1831" s="6" t="inlineStr">
        <is>
          <t>nr</t>
        </is>
      </c>
      <c r="H1831" s="7" t="n">
        <v>1.44</v>
      </c>
      <c r="I1831" s="8" t="n">
        <v>40.16</v>
      </c>
      <c r="J1831" s="8" t="n">
        <v>4.42</v>
      </c>
      <c r="K1831" s="8" t="n">
        <v>341.51</v>
      </c>
      <c r="L1831" s="8" t="n">
        <v>0</v>
      </c>
      <c r="M1831" s="9">
        <f>ROUND(SUM(I1831:L1831),2)</f>
        <v/>
      </c>
      <c r="N1831" s="10">
        <f>ROUND(I1831*'Irish Basis'!$C$6*'Irish Basis'!$C$5,2)</f>
        <v/>
      </c>
      <c r="O1831" s="10">
        <f>ROUND(J1831*'Irish Basis'!$C$7*'Irish Basis'!$C$5,2)</f>
        <v/>
      </c>
      <c r="P1831" s="10">
        <f>ROUND(K1831*'Irish Basis'!$C$8*'Irish Basis'!$C$5,2)</f>
        <v/>
      </c>
      <c r="Q1831" s="10">
        <f>ROUND(L1831*'Irish Basis'!$C$12*'Irish Basis'!$C$5,2)</f>
        <v/>
      </c>
      <c r="R1831" s="11">
        <f>ROUND(SUM(N1831:Q1831),2)</f>
        <v/>
      </c>
      <c r="S1831" s="5" t="inlineStr">
        <is>
          <t>Stated build-up</t>
        </is>
      </c>
      <c r="T1831" s="12" t="inlineStr">
        <is>
          <t>High</t>
        </is>
      </c>
      <c r="U1831" s="8" t="n">
        <v>386.09</v>
      </c>
      <c r="V1831" s="13">
        <f>IF(U1831="","",ROUND(M1831-U1831,2))</f>
        <v/>
      </c>
      <c r="W1831" s="5" t="n"/>
      <c r="X1831" s="5" t="inlineStr">
        <is>
          <t>Labour + plant + material as published; reconciles to the published rate.</t>
        </is>
      </c>
    </row>
    <row r="1832" ht="13" customHeight="1">
      <c r="A1832" s="4" t="n">
        <v>2859</v>
      </c>
      <c r="B1832" s="5" t="inlineStr">
        <is>
          <t>IMG_0104</t>
        </is>
      </c>
      <c r="C1832" s="5" t="inlineStr">
        <is>
          <t>CLASS K: PIPEWORK - MANHOLES AND PIPEWORK ANCILLARIES</t>
        </is>
      </c>
      <c r="D1832" s="5" t="inlineStr">
        <is>
          <t>01 MANHOLES</t>
        </is>
      </c>
      <c r="E1832" s="5" t="inlineStr">
        <is>
          <t>1050 x 700 chamber 3500 depth to invert</t>
        </is>
      </c>
      <c r="F1832" s="5" t="inlineStr">
        <is>
          <t>TOTAL</t>
        </is>
      </c>
      <c r="G1832" s="6" t="inlineStr">
        <is>
          <t>nr</t>
        </is>
      </c>
      <c r="H1832" s="7" t="n">
        <v>66.84</v>
      </c>
      <c r="I1832" s="8" t="n">
        <v>1913.71</v>
      </c>
      <c r="J1832" s="8" t="n">
        <v>613.6900000000001</v>
      </c>
      <c r="K1832" s="8" t="n">
        <v>2444.74</v>
      </c>
      <c r="L1832" s="8" t="n">
        <v>0</v>
      </c>
      <c r="M1832" s="9">
        <f>ROUND(SUM(I1832:L1832),2)</f>
        <v/>
      </c>
      <c r="N1832" s="10">
        <f>ROUND(I1832*'Irish Basis'!$C$6*'Irish Basis'!$C$5,2)</f>
        <v/>
      </c>
      <c r="O1832" s="10">
        <f>ROUND(J1832*'Irish Basis'!$C$7*'Irish Basis'!$C$5,2)</f>
        <v/>
      </c>
      <c r="P1832" s="10">
        <f>ROUND(K1832*'Irish Basis'!$C$8*'Irish Basis'!$C$5,2)</f>
        <v/>
      </c>
      <c r="Q1832" s="10">
        <f>ROUND(L1832*'Irish Basis'!$C$12*'Irish Basis'!$C$5,2)</f>
        <v/>
      </c>
      <c r="R1832" s="11">
        <f>ROUND(SUM(N1832:Q1832),2)</f>
        <v/>
      </c>
      <c r="S1832" s="5" t="inlineStr">
        <is>
          <t>Stated build-up</t>
        </is>
      </c>
      <c r="T1832" s="12" t="inlineStr">
        <is>
          <t>High</t>
        </is>
      </c>
      <c r="U1832" s="8" t="n">
        <v>4972.15</v>
      </c>
      <c r="V1832" s="13">
        <f>IF(U1832="","",ROUND(M1832-U1832,2))</f>
        <v/>
      </c>
      <c r="W1832" s="5" t="n"/>
      <c r="X1832" s="5" t="inlineStr">
        <is>
          <t>Labour + plant + material as published; reconciles to the published rate.</t>
        </is>
      </c>
    </row>
    <row r="1833" ht="13" customHeight="1">
      <c r="A1833" s="4" t="n">
        <v>2861</v>
      </c>
      <c r="B1833" s="5" t="inlineStr">
        <is>
          <t>IMG_0104</t>
        </is>
      </c>
      <c r="C1833" s="5" t="inlineStr">
        <is>
          <t>CLASS K: PIPEWORK - MANHOLES AND PIPEWORK ANCILLARIES</t>
        </is>
      </c>
      <c r="D1833" s="5" t="inlineStr">
        <is>
          <t>01 MANHOLES</t>
        </is>
      </c>
      <c r="E1833" s="5" t="inlineStr">
        <is>
          <t>1350 x 700 chamber 2500 depth to invert</t>
        </is>
      </c>
      <c r="F1833" s="5" t="inlineStr">
        <is>
          <t>excavation, support, backfilling and disposal</t>
        </is>
      </c>
      <c r="G1833" s="6" t="inlineStr">
        <is>
          <t>nr</t>
        </is>
      </c>
      <c r="H1833" s="7" t="n">
        <v>2.42</v>
      </c>
      <c r="I1833" s="8" t="n">
        <v>226.48</v>
      </c>
      <c r="J1833" s="8" t="n">
        <v>147.47</v>
      </c>
      <c r="K1833" s="8" t="n">
        <v>0</v>
      </c>
      <c r="L1833" s="8" t="n">
        <v>0</v>
      </c>
      <c r="M1833" s="9">
        <f>ROUND(SUM(I1833:L1833),2)</f>
        <v/>
      </c>
      <c r="N1833" s="10">
        <f>ROUND(I1833*'Irish Basis'!$C$6*'Irish Basis'!$C$5,2)</f>
        <v/>
      </c>
      <c r="O1833" s="10">
        <f>ROUND(J1833*'Irish Basis'!$C$7*'Irish Basis'!$C$5,2)</f>
        <v/>
      </c>
      <c r="P1833" s="10">
        <f>ROUND(K1833*'Irish Basis'!$C$8*'Irish Basis'!$C$5,2)</f>
        <v/>
      </c>
      <c r="Q1833" s="10">
        <f>ROUND(L1833*'Irish Basis'!$C$12*'Irish Basis'!$C$5,2)</f>
        <v/>
      </c>
      <c r="R1833" s="11">
        <f>ROUND(SUM(N1833:Q1833),2)</f>
        <v/>
      </c>
      <c r="S1833" s="5" t="inlineStr">
        <is>
          <t>Stated build-up</t>
        </is>
      </c>
      <c r="T1833" s="12" t="inlineStr">
        <is>
          <t>High</t>
        </is>
      </c>
      <c r="U1833" s="8" t="n">
        <v>373.95</v>
      </c>
      <c r="V1833" s="13">
        <f>IF(U1833="","",ROUND(M1833-U1833,2))</f>
        <v/>
      </c>
      <c r="W1833" s="5" t="n"/>
      <c r="X1833" s="5" t="inlineStr">
        <is>
          <t>Labour + plant + material as published; reconciles to the published rate.</t>
        </is>
      </c>
    </row>
    <row r="1834" ht="13" customHeight="1">
      <c r="A1834" s="4" t="n">
        <v>2862</v>
      </c>
      <c r="B1834" s="5" t="inlineStr">
        <is>
          <t>IMG_0104</t>
        </is>
      </c>
      <c r="C1834" s="5" t="inlineStr">
        <is>
          <t>CLASS K: PIPEWORK - MANHOLES AND PIPEWORK ANCILLARIES</t>
        </is>
      </c>
      <c r="D1834" s="5" t="inlineStr">
        <is>
          <t>01 MANHOLES</t>
        </is>
      </c>
      <c r="E1834" s="5" t="inlineStr">
        <is>
          <t>1350 x 700 chamber 2500 depth to invert</t>
        </is>
      </c>
      <c r="F1834" s="5" t="inlineStr">
        <is>
          <t>concrete base</t>
        </is>
      </c>
      <c r="G1834" s="6" t="inlineStr">
        <is>
          <t>nr</t>
        </is>
      </c>
      <c r="H1834" s="7" t="n">
        <v>0.7</v>
      </c>
      <c r="I1834" s="8" t="n">
        <v>18.72</v>
      </c>
      <c r="J1834" s="8" t="n">
        <v>6.48</v>
      </c>
      <c r="K1834" s="8" t="n">
        <v>61.46</v>
      </c>
      <c r="L1834" s="8" t="n">
        <v>0</v>
      </c>
      <c r="M1834" s="9">
        <f>ROUND(SUM(I1834:L1834),2)</f>
        <v/>
      </c>
      <c r="N1834" s="10">
        <f>ROUND(I1834*'Irish Basis'!$C$6*'Irish Basis'!$C$5,2)</f>
        <v/>
      </c>
      <c r="O1834" s="10">
        <f>ROUND(J1834*'Irish Basis'!$C$7*'Irish Basis'!$C$5,2)</f>
        <v/>
      </c>
      <c r="P1834" s="10">
        <f>ROUND(K1834*'Irish Basis'!$C$8*'Irish Basis'!$C$5,2)</f>
        <v/>
      </c>
      <c r="Q1834" s="10">
        <f>ROUND(L1834*'Irish Basis'!$C$12*'Irish Basis'!$C$5,2)</f>
        <v/>
      </c>
      <c r="R1834" s="11">
        <f>ROUND(SUM(N1834:Q1834),2)</f>
        <v/>
      </c>
      <c r="S1834" s="5" t="inlineStr">
        <is>
          <t>Stated build-up</t>
        </is>
      </c>
      <c r="T1834" s="12" t="inlineStr">
        <is>
          <t>High</t>
        </is>
      </c>
      <c r="U1834" s="8" t="n">
        <v>86.65000000000001</v>
      </c>
      <c r="V1834" s="13">
        <f>IF(U1834="","",ROUND(M1834-U1834,2))</f>
        <v/>
      </c>
      <c r="W1834" s="5" t="n"/>
      <c r="X1834" s="5" t="inlineStr">
        <is>
          <t>Labour + plant + material as published; reconciles to the published rate.</t>
        </is>
      </c>
    </row>
    <row r="1835" ht="13" customHeight="1">
      <c r="A1835" s="4" t="n">
        <v>2863</v>
      </c>
      <c r="B1835" s="5" t="inlineStr">
        <is>
          <t>IMG_0104</t>
        </is>
      </c>
      <c r="C1835" s="5" t="inlineStr">
        <is>
          <t>CLASS K: PIPEWORK - MANHOLES AND PIPEWORK ANCILLARIES</t>
        </is>
      </c>
      <c r="D1835" s="5" t="inlineStr">
        <is>
          <t>01 MANHOLES</t>
        </is>
      </c>
      <c r="E1835" s="5" t="inlineStr">
        <is>
          <t>1350 x 700 chamber 2500 depth to invert</t>
        </is>
      </c>
      <c r="F1835" s="5" t="inlineStr">
        <is>
          <t>brickwork chamber and access shaft (700 x 700)</t>
        </is>
      </c>
      <c r="G1835" s="6" t="inlineStr">
        <is>
          <t>nr</t>
        </is>
      </c>
      <c r="H1835" s="7" t="n">
        <v>41.54</v>
      </c>
      <c r="I1835" s="8" t="n">
        <v>1019.22</v>
      </c>
      <c r="J1835" s="8" t="n">
        <v>133.23</v>
      </c>
      <c r="K1835" s="8" t="n">
        <v>1010.13</v>
      </c>
      <c r="L1835" s="8" t="n">
        <v>0</v>
      </c>
      <c r="M1835" s="9">
        <f>ROUND(SUM(I1835:L1835),2)</f>
        <v/>
      </c>
      <c r="N1835" s="10">
        <f>ROUND(I1835*'Irish Basis'!$C$6*'Irish Basis'!$C$5,2)</f>
        <v/>
      </c>
      <c r="O1835" s="10">
        <f>ROUND(J1835*'Irish Basis'!$C$7*'Irish Basis'!$C$5,2)</f>
        <v/>
      </c>
      <c r="P1835" s="10">
        <f>ROUND(K1835*'Irish Basis'!$C$8*'Irish Basis'!$C$5,2)</f>
        <v/>
      </c>
      <c r="Q1835" s="10">
        <f>ROUND(L1835*'Irish Basis'!$C$12*'Irish Basis'!$C$5,2)</f>
        <v/>
      </c>
      <c r="R1835" s="11">
        <f>ROUND(SUM(N1835:Q1835),2)</f>
        <v/>
      </c>
      <c r="S1835" s="5" t="inlineStr">
        <is>
          <t>Stated build-up</t>
        </is>
      </c>
      <c r="T1835" s="12" t="inlineStr">
        <is>
          <t>High</t>
        </is>
      </c>
      <c r="U1835" s="8" t="n">
        <v>2162.58</v>
      </c>
      <c r="V1835" s="13">
        <f>IF(U1835="","",ROUND(M1835-U1835,2))</f>
        <v/>
      </c>
      <c r="W1835" s="5" t="n"/>
      <c r="X1835" s="5" t="inlineStr">
        <is>
          <t>Labour + plant + material as published; reconciles to the published rate.</t>
        </is>
      </c>
    </row>
    <row r="1836" ht="13" customHeight="1">
      <c r="A1836" s="4" t="n">
        <v>2864</v>
      </c>
      <c r="B1836" s="5" t="inlineStr">
        <is>
          <t>IMG_0104</t>
        </is>
      </c>
      <c r="C1836" s="5" t="inlineStr">
        <is>
          <t>CLASS K: PIPEWORK - MANHOLES AND PIPEWORK ANCILLARIES</t>
        </is>
      </c>
      <c r="D1836" s="5" t="inlineStr">
        <is>
          <t>01 MANHOLES</t>
        </is>
      </c>
      <c r="E1836" s="5" t="inlineStr">
        <is>
          <t>1350 x 700 chamber 2500 depth to invert</t>
        </is>
      </c>
      <c r="F1836" s="5" t="inlineStr">
        <is>
          <t>concrete reducing slab</t>
        </is>
      </c>
      <c r="G1836" s="6" t="inlineStr">
        <is>
          <t>nr</t>
        </is>
      </c>
      <c r="H1836" s="7" t="n">
        <v>3.3</v>
      </c>
      <c r="I1836" s="8" t="n">
        <v>100.58</v>
      </c>
      <c r="J1836" s="8" t="n">
        <v>63.66</v>
      </c>
      <c r="K1836" s="8" t="n">
        <v>219.52</v>
      </c>
      <c r="L1836" s="8" t="n">
        <v>0</v>
      </c>
      <c r="M1836" s="9">
        <f>ROUND(SUM(I1836:L1836),2)</f>
        <v/>
      </c>
      <c r="N1836" s="10">
        <f>ROUND(I1836*'Irish Basis'!$C$6*'Irish Basis'!$C$5,2)</f>
        <v/>
      </c>
      <c r="O1836" s="10">
        <f>ROUND(J1836*'Irish Basis'!$C$7*'Irish Basis'!$C$5,2)</f>
        <v/>
      </c>
      <c r="P1836" s="10">
        <f>ROUND(K1836*'Irish Basis'!$C$8*'Irish Basis'!$C$5,2)</f>
        <v/>
      </c>
      <c r="Q1836" s="10">
        <f>ROUND(L1836*'Irish Basis'!$C$12*'Irish Basis'!$C$5,2)</f>
        <v/>
      </c>
      <c r="R1836" s="11">
        <f>ROUND(SUM(N1836:Q1836),2)</f>
        <v/>
      </c>
      <c r="S1836" s="5" t="inlineStr">
        <is>
          <t>Stated build-up</t>
        </is>
      </c>
      <c r="T1836" s="12" t="inlineStr">
        <is>
          <t>High</t>
        </is>
      </c>
      <c r="U1836" s="8" t="n">
        <v>383.76</v>
      </c>
      <c r="V1836" s="13">
        <f>IF(U1836="","",ROUND(M1836-U1836,2))</f>
        <v/>
      </c>
      <c r="W1836" s="5" t="n"/>
      <c r="X1836" s="5" t="inlineStr">
        <is>
          <t>Labour + plant + material as published; reconciles to the published rate.</t>
        </is>
      </c>
    </row>
    <row r="1837" ht="13" customHeight="1">
      <c r="A1837" s="4" t="n">
        <v>2865</v>
      </c>
      <c r="B1837" s="5" t="inlineStr">
        <is>
          <t>IMG_0104</t>
        </is>
      </c>
      <c r="C1837" s="5" t="inlineStr">
        <is>
          <t>CLASS K: PIPEWORK - MANHOLES AND PIPEWORK ANCILLARIES</t>
        </is>
      </c>
      <c r="D1837" s="5" t="inlineStr">
        <is>
          <t>01 MANHOLES</t>
        </is>
      </c>
      <c r="E1837" s="5" t="inlineStr">
        <is>
          <t>1350 x 700 chamber 2500 depth to invert</t>
        </is>
      </c>
      <c r="F1837" s="5" t="inlineStr">
        <is>
          <t>concrete cover slab</t>
        </is>
      </c>
      <c r="G1837" s="6" t="inlineStr">
        <is>
          <t>nr</t>
        </is>
      </c>
      <c r="H1837" s="7" t="n">
        <v>2.8</v>
      </c>
      <c r="I1837" s="8" t="n">
        <v>85.83</v>
      </c>
      <c r="J1837" s="8" t="n">
        <v>63.66</v>
      </c>
      <c r="K1837" s="8" t="n">
        <v>225.91</v>
      </c>
      <c r="L1837" s="8" t="n">
        <v>0</v>
      </c>
      <c r="M1837" s="9">
        <f>ROUND(SUM(I1837:L1837),2)</f>
        <v/>
      </c>
      <c r="N1837" s="10">
        <f>ROUND(I1837*'Irish Basis'!$C$6*'Irish Basis'!$C$5,2)</f>
        <v/>
      </c>
      <c r="O1837" s="10">
        <f>ROUND(J1837*'Irish Basis'!$C$7*'Irish Basis'!$C$5,2)</f>
        <v/>
      </c>
      <c r="P1837" s="10">
        <f>ROUND(K1837*'Irish Basis'!$C$8*'Irish Basis'!$C$5,2)</f>
        <v/>
      </c>
      <c r="Q1837" s="10">
        <f>ROUND(L1837*'Irish Basis'!$C$12*'Irish Basis'!$C$5,2)</f>
        <v/>
      </c>
      <c r="R1837" s="11">
        <f>ROUND(SUM(N1837:Q1837),2)</f>
        <v/>
      </c>
      <c r="S1837" s="5" t="inlineStr">
        <is>
          <t>Stated build-up</t>
        </is>
      </c>
      <c r="T1837" s="12" t="inlineStr">
        <is>
          <t>High</t>
        </is>
      </c>
      <c r="U1837" s="8" t="n">
        <v>375.4</v>
      </c>
      <c r="V1837" s="13">
        <f>IF(U1837="","",ROUND(M1837-U1837,2))</f>
        <v/>
      </c>
      <c r="W1837" s="5" t="n"/>
      <c r="X1837" s="5" t="inlineStr">
        <is>
          <t>Labour + plant + material as published; reconciles to the published rate.</t>
        </is>
      </c>
    </row>
    <row r="1838" ht="13" customHeight="1">
      <c r="A1838" s="4" t="n">
        <v>2866</v>
      </c>
      <c r="B1838" s="5" t="inlineStr">
        <is>
          <t>IMG_0104</t>
        </is>
      </c>
      <c r="C1838" s="5" t="inlineStr">
        <is>
          <t>CLASS K: PIPEWORK - MANHOLES AND PIPEWORK ANCILLARIES</t>
        </is>
      </c>
      <c r="D1838" s="5" t="inlineStr">
        <is>
          <t>01 MANHOLES</t>
        </is>
      </c>
      <c r="E1838" s="5" t="inlineStr">
        <is>
          <t>1350 x 700 chamber 2500 depth to invert</t>
        </is>
      </c>
      <c r="F1838" s="5" t="inlineStr">
        <is>
          <t>concrete benching, main and branch channels</t>
        </is>
      </c>
      <c r="G1838" s="6" t="inlineStr">
        <is>
          <t>nr</t>
        </is>
      </c>
      <c r="H1838" s="7" t="n">
        <v>11.14</v>
      </c>
      <c r="I1838" s="8" t="n">
        <v>304.2</v>
      </c>
      <c r="J1838" s="8" t="n">
        <v>69.44</v>
      </c>
      <c r="K1838" s="8" t="n">
        <v>304.06</v>
      </c>
      <c r="L1838" s="8" t="n">
        <v>0</v>
      </c>
      <c r="M1838" s="9">
        <f>ROUND(SUM(I1838:L1838),2)</f>
        <v/>
      </c>
      <c r="N1838" s="10">
        <f>ROUND(I1838*'Irish Basis'!$C$6*'Irish Basis'!$C$5,2)</f>
        <v/>
      </c>
      <c r="O1838" s="10">
        <f>ROUND(J1838*'Irish Basis'!$C$7*'Irish Basis'!$C$5,2)</f>
        <v/>
      </c>
      <c r="P1838" s="10">
        <f>ROUND(K1838*'Irish Basis'!$C$8*'Irish Basis'!$C$5,2)</f>
        <v/>
      </c>
      <c r="Q1838" s="10">
        <f>ROUND(L1838*'Irish Basis'!$C$12*'Irish Basis'!$C$5,2)</f>
        <v/>
      </c>
      <c r="R1838" s="11">
        <f>ROUND(SUM(N1838:Q1838),2)</f>
        <v/>
      </c>
      <c r="S1838" s="5" t="inlineStr">
        <is>
          <t>Stated build-up</t>
        </is>
      </c>
      <c r="T1838" s="12" t="inlineStr">
        <is>
          <t>High</t>
        </is>
      </c>
      <c r="U1838" s="8" t="n">
        <v>677.71</v>
      </c>
      <c r="V1838" s="13">
        <f>IF(U1838="","",ROUND(M1838-U1838,2))</f>
        <v/>
      </c>
      <c r="W1838" s="5" t="n"/>
      <c r="X1838" s="5" t="inlineStr">
        <is>
          <t>Labour + plant + material as published; reconciles to the published rate.</t>
        </is>
      </c>
    </row>
    <row r="1839" ht="13" customHeight="1">
      <c r="A1839" s="4" t="n">
        <v>2867</v>
      </c>
      <c r="B1839" s="5" t="inlineStr">
        <is>
          <t>IMG_0104</t>
        </is>
      </c>
      <c r="C1839" s="5" t="inlineStr">
        <is>
          <t>CLASS K: PIPEWORK - MANHOLES AND PIPEWORK ANCILLARIES</t>
        </is>
      </c>
      <c r="D1839" s="5" t="inlineStr">
        <is>
          <t>01 MANHOLES</t>
        </is>
      </c>
      <c r="E1839" s="5" t="inlineStr">
        <is>
          <t>1350 x 700 chamber 2500 depth to invert</t>
        </is>
      </c>
      <c r="F1839" s="5" t="inlineStr">
        <is>
          <t>step irons</t>
        </is>
      </c>
      <c r="G1839" s="6" t="inlineStr">
        <is>
          <t>nr</t>
        </is>
      </c>
      <c r="H1839" s="7" t="n">
        <v>0.84</v>
      </c>
      <c r="I1839" s="8" t="n">
        <v>20.61</v>
      </c>
      <c r="J1839" s="8" t="n">
        <v>2.74</v>
      </c>
      <c r="K1839" s="8" t="n">
        <v>183.37</v>
      </c>
      <c r="L1839" s="8" t="n">
        <v>0</v>
      </c>
      <c r="M1839" s="9">
        <f>ROUND(SUM(I1839:L1839),2)</f>
        <v/>
      </c>
      <c r="N1839" s="10">
        <f>ROUND(I1839*'Irish Basis'!$C$6*'Irish Basis'!$C$5,2)</f>
        <v/>
      </c>
      <c r="O1839" s="10">
        <f>ROUND(J1839*'Irish Basis'!$C$7*'Irish Basis'!$C$5,2)</f>
        <v/>
      </c>
      <c r="P1839" s="10">
        <f>ROUND(K1839*'Irish Basis'!$C$8*'Irish Basis'!$C$5,2)</f>
        <v/>
      </c>
      <c r="Q1839" s="10">
        <f>ROUND(L1839*'Irish Basis'!$C$12*'Irish Basis'!$C$5,2)</f>
        <v/>
      </c>
      <c r="R1839" s="11">
        <f>ROUND(SUM(N1839:Q1839),2)</f>
        <v/>
      </c>
      <c r="S1839" s="5" t="inlineStr">
        <is>
          <t>Stated build-up</t>
        </is>
      </c>
      <c r="T1839" s="12" t="inlineStr">
        <is>
          <t>High</t>
        </is>
      </c>
      <c r="U1839" s="8" t="n">
        <v>206.72</v>
      </c>
      <c r="V1839" s="13">
        <f>IF(U1839="","",ROUND(M1839-U1839,2))</f>
        <v/>
      </c>
      <c r="W1839" s="5" t="n"/>
      <c r="X1839" s="5" t="inlineStr">
        <is>
          <t>Labour + plant + material as published; reconciles to the published rate.</t>
        </is>
      </c>
    </row>
    <row r="1840" ht="13" customHeight="1">
      <c r="A1840" s="4" t="n">
        <v>2868</v>
      </c>
      <c r="B1840" s="5" t="inlineStr">
        <is>
          <t>IMG_0104</t>
        </is>
      </c>
      <c r="C1840" s="5" t="inlineStr">
        <is>
          <t>CLASS K: PIPEWORK - MANHOLES AND PIPEWORK ANCILLARIES</t>
        </is>
      </c>
      <c r="D1840" s="5" t="inlineStr">
        <is>
          <t>01 MANHOLES</t>
        </is>
      </c>
      <c r="E1840" s="5" t="inlineStr">
        <is>
          <t>1350 x 700 chamber 2500 depth to invert</t>
        </is>
      </c>
      <c r="F1840" s="5" t="inlineStr">
        <is>
          <t>access cover and frame</t>
        </is>
      </c>
      <c r="G1840" s="6" t="inlineStr">
        <is>
          <t>nr</t>
        </is>
      </c>
      <c r="H1840" s="7" t="n">
        <v>1.44</v>
      </c>
      <c r="I1840" s="8" t="n">
        <v>40.16</v>
      </c>
      <c r="J1840" s="8" t="n">
        <v>4.42</v>
      </c>
      <c r="K1840" s="8" t="n">
        <v>341.51</v>
      </c>
      <c r="L1840" s="8" t="n">
        <v>0</v>
      </c>
      <c r="M1840" s="9">
        <f>ROUND(SUM(I1840:L1840),2)</f>
        <v/>
      </c>
      <c r="N1840" s="10">
        <f>ROUND(I1840*'Irish Basis'!$C$6*'Irish Basis'!$C$5,2)</f>
        <v/>
      </c>
      <c r="O1840" s="10">
        <f>ROUND(J1840*'Irish Basis'!$C$7*'Irish Basis'!$C$5,2)</f>
        <v/>
      </c>
      <c r="P1840" s="10">
        <f>ROUND(K1840*'Irish Basis'!$C$8*'Irish Basis'!$C$5,2)</f>
        <v/>
      </c>
      <c r="Q1840" s="10">
        <f>ROUND(L1840*'Irish Basis'!$C$12*'Irish Basis'!$C$5,2)</f>
        <v/>
      </c>
      <c r="R1840" s="11">
        <f>ROUND(SUM(N1840:Q1840),2)</f>
        <v/>
      </c>
      <c r="S1840" s="5" t="inlineStr">
        <is>
          <t>Stated build-up</t>
        </is>
      </c>
      <c r="T1840" s="12" t="inlineStr">
        <is>
          <t>High</t>
        </is>
      </c>
      <c r="U1840" s="8" t="n">
        <v>386.09</v>
      </c>
      <c r="V1840" s="13">
        <f>IF(U1840="","",ROUND(M1840-U1840,2))</f>
        <v/>
      </c>
      <c r="W1840" s="5" t="n"/>
      <c r="X1840" s="5" t="inlineStr">
        <is>
          <t>Labour + plant + material as published; reconciles to the published rate.</t>
        </is>
      </c>
    </row>
    <row r="1841" ht="13" customHeight="1">
      <c r="A1841" s="4" t="n">
        <v>2869</v>
      </c>
      <c r="B1841" s="5" t="inlineStr">
        <is>
          <t>IMG_0104</t>
        </is>
      </c>
      <c r="C1841" s="5" t="inlineStr">
        <is>
          <t>CLASS K: PIPEWORK - MANHOLES AND PIPEWORK ANCILLARIES</t>
        </is>
      </c>
      <c r="D1841" s="5" t="inlineStr">
        <is>
          <t>01 MANHOLES</t>
        </is>
      </c>
      <c r="E1841" s="5" t="inlineStr">
        <is>
          <t>1350 x 700 chamber 2500 depth to invert</t>
        </is>
      </c>
      <c r="F1841" s="5" t="inlineStr">
        <is>
          <t>TOTAL</t>
        </is>
      </c>
      <c r="G1841" s="6" t="inlineStr">
        <is>
          <t>nr</t>
        </is>
      </c>
      <c r="H1841" s="7" t="n">
        <v>64.18000000000001</v>
      </c>
      <c r="I1841" s="8" t="n">
        <v>1815.8</v>
      </c>
      <c r="J1841" s="8" t="n">
        <v>491.11</v>
      </c>
      <c r="K1841" s="8" t="n">
        <v>2345.95</v>
      </c>
      <c r="L1841" s="8" t="n">
        <v>0</v>
      </c>
      <c r="M1841" s="9">
        <f>ROUND(SUM(I1841:L1841),2)</f>
        <v/>
      </c>
      <c r="N1841" s="10">
        <f>ROUND(I1841*'Irish Basis'!$C$6*'Irish Basis'!$C$5,2)</f>
        <v/>
      </c>
      <c r="O1841" s="10">
        <f>ROUND(J1841*'Irish Basis'!$C$7*'Irish Basis'!$C$5,2)</f>
        <v/>
      </c>
      <c r="P1841" s="10">
        <f>ROUND(K1841*'Irish Basis'!$C$8*'Irish Basis'!$C$5,2)</f>
        <v/>
      </c>
      <c r="Q1841" s="10">
        <f>ROUND(L1841*'Irish Basis'!$C$12*'Irish Basis'!$C$5,2)</f>
        <v/>
      </c>
      <c r="R1841" s="11">
        <f>ROUND(SUM(N1841:Q1841),2)</f>
        <v/>
      </c>
      <c r="S1841" s="5" t="inlineStr">
        <is>
          <t>Stated build-up</t>
        </is>
      </c>
      <c r="T1841" s="12" t="inlineStr">
        <is>
          <t>High</t>
        </is>
      </c>
      <c r="U1841" s="8" t="n">
        <v>4652.86</v>
      </c>
      <c r="V1841" s="13">
        <f>IF(U1841="","",ROUND(M1841-U1841,2))</f>
        <v/>
      </c>
      <c r="W1841" s="5" t="n"/>
      <c r="X1841" s="5" t="inlineStr">
        <is>
          <t>Labour + plant + material as published; reconciles to the published rate.</t>
        </is>
      </c>
    </row>
    <row r="1842" ht="13" customHeight="1">
      <c r="A1842" s="4" t="n">
        <v>2871</v>
      </c>
      <c r="B1842" s="5" t="inlineStr">
        <is>
          <t>IMG_0104</t>
        </is>
      </c>
      <c r="C1842" s="5" t="inlineStr">
        <is>
          <t>CLASS K: PIPEWORK - MANHOLES AND PIPEWORK ANCILLARIES</t>
        </is>
      </c>
      <c r="D1842" s="5" t="inlineStr">
        <is>
          <t>01 MANHOLES</t>
        </is>
      </c>
      <c r="E1842" s="5" t="inlineStr">
        <is>
          <t>1350 x 700 chamber 3500 depth to invert</t>
        </is>
      </c>
      <c r="F1842" s="5" t="inlineStr">
        <is>
          <t>excavation, support, backfilling and disposal</t>
        </is>
      </c>
      <c r="G1842" s="6" t="inlineStr">
        <is>
          <t>nr</t>
        </is>
      </c>
      <c r="H1842" s="7" t="n">
        <v>3.65</v>
      </c>
      <c r="I1842" s="8" t="n">
        <v>349.23</v>
      </c>
      <c r="J1842" s="8" t="n">
        <v>337.9</v>
      </c>
      <c r="K1842" s="8" t="n">
        <v>0</v>
      </c>
      <c r="L1842" s="8" t="n">
        <v>0</v>
      </c>
      <c r="M1842" s="9">
        <f>ROUND(SUM(I1842:L1842),2)</f>
        <v/>
      </c>
      <c r="N1842" s="10">
        <f>ROUND(I1842*'Irish Basis'!$C$6*'Irish Basis'!$C$5,2)</f>
        <v/>
      </c>
      <c r="O1842" s="10">
        <f>ROUND(J1842*'Irish Basis'!$C$7*'Irish Basis'!$C$5,2)</f>
        <v/>
      </c>
      <c r="P1842" s="10">
        <f>ROUND(K1842*'Irish Basis'!$C$8*'Irish Basis'!$C$5,2)</f>
        <v/>
      </c>
      <c r="Q1842" s="10">
        <f>ROUND(L1842*'Irish Basis'!$C$12*'Irish Basis'!$C$5,2)</f>
        <v/>
      </c>
      <c r="R1842" s="11">
        <f>ROUND(SUM(N1842:Q1842),2)</f>
        <v/>
      </c>
      <c r="S1842" s="5" t="inlineStr">
        <is>
          <t>Stated build-up</t>
        </is>
      </c>
      <c r="T1842" s="12" t="inlineStr">
        <is>
          <t>High</t>
        </is>
      </c>
      <c r="U1842" s="8" t="n">
        <v>687.13</v>
      </c>
      <c r="V1842" s="13">
        <f>IF(U1842="","",ROUND(M1842-U1842,2))</f>
        <v/>
      </c>
      <c r="W1842" s="5" t="n"/>
      <c r="X1842" s="5" t="inlineStr">
        <is>
          <t>Labour + plant + material as published; reconciles to the published rate.</t>
        </is>
      </c>
    </row>
    <row r="1843" ht="13" customHeight="1">
      <c r="A1843" s="4" t="n">
        <v>2872</v>
      </c>
      <c r="B1843" s="5" t="inlineStr">
        <is>
          <t>IMG_0104</t>
        </is>
      </c>
      <c r="C1843" s="5" t="inlineStr">
        <is>
          <t>CLASS K: PIPEWORK - MANHOLES AND PIPEWORK ANCILLARIES</t>
        </is>
      </c>
      <c r="D1843" s="5" t="inlineStr">
        <is>
          <t>01 MANHOLES</t>
        </is>
      </c>
      <c r="E1843" s="5" t="inlineStr">
        <is>
          <t>1350 x 700 chamber 3500 depth to invert</t>
        </is>
      </c>
      <c r="F1843" s="5" t="inlineStr">
        <is>
          <t>concrete base</t>
        </is>
      </c>
      <c r="G1843" s="6" t="inlineStr">
        <is>
          <t>nr</t>
        </is>
      </c>
      <c r="H1843" s="7" t="n">
        <v>0.7</v>
      </c>
      <c r="I1843" s="8" t="n">
        <v>18.72</v>
      </c>
      <c r="J1843" s="8" t="n">
        <v>6.48</v>
      </c>
      <c r="K1843" s="8" t="n">
        <v>61.46</v>
      </c>
      <c r="L1843" s="8" t="n">
        <v>0</v>
      </c>
      <c r="M1843" s="9">
        <f>ROUND(SUM(I1843:L1843),2)</f>
        <v/>
      </c>
      <c r="N1843" s="10">
        <f>ROUND(I1843*'Irish Basis'!$C$6*'Irish Basis'!$C$5,2)</f>
        <v/>
      </c>
      <c r="O1843" s="10">
        <f>ROUND(J1843*'Irish Basis'!$C$7*'Irish Basis'!$C$5,2)</f>
        <v/>
      </c>
      <c r="P1843" s="10">
        <f>ROUND(K1843*'Irish Basis'!$C$8*'Irish Basis'!$C$5,2)</f>
        <v/>
      </c>
      <c r="Q1843" s="10">
        <f>ROUND(L1843*'Irish Basis'!$C$12*'Irish Basis'!$C$5,2)</f>
        <v/>
      </c>
      <c r="R1843" s="11">
        <f>ROUND(SUM(N1843:Q1843),2)</f>
        <v/>
      </c>
      <c r="S1843" s="5" t="inlineStr">
        <is>
          <t>Stated build-up</t>
        </is>
      </c>
      <c r="T1843" s="12" t="inlineStr">
        <is>
          <t>High</t>
        </is>
      </c>
      <c r="U1843" s="8" t="n">
        <v>86.65000000000001</v>
      </c>
      <c r="V1843" s="13">
        <f>IF(U1843="","",ROUND(M1843-U1843,2))</f>
        <v/>
      </c>
      <c r="W1843" s="5" t="n"/>
      <c r="X1843" s="5" t="inlineStr">
        <is>
          <t>Labour + plant + material as published; reconciles to the published rate.</t>
        </is>
      </c>
    </row>
    <row r="1844" ht="13" customHeight="1">
      <c r="A1844" s="4" t="n">
        <v>2873</v>
      </c>
      <c r="B1844" s="5" t="inlineStr">
        <is>
          <t>IMG_0104</t>
        </is>
      </c>
      <c r="C1844" s="5" t="inlineStr">
        <is>
          <t>CLASS K: PIPEWORK - MANHOLES AND PIPEWORK ANCILLARIES</t>
        </is>
      </c>
      <c r="D1844" s="5" t="inlineStr">
        <is>
          <t>01 MANHOLES</t>
        </is>
      </c>
      <c r="E1844" s="5" t="inlineStr">
        <is>
          <t>1350 x 700 chamber 3500 depth to invert</t>
        </is>
      </c>
      <c r="F1844" s="5" t="inlineStr">
        <is>
          <t>brickwork chamber and access shaft (700 x 700)</t>
        </is>
      </c>
      <c r="G1844" s="6" t="inlineStr">
        <is>
          <t>nr</t>
        </is>
      </c>
      <c r="H1844" s="7" t="n">
        <v>54.89</v>
      </c>
      <c r="I1844" s="8" t="n">
        <v>1346.64</v>
      </c>
      <c r="J1844" s="8" t="n">
        <v>176.04</v>
      </c>
      <c r="K1844" s="8" t="n">
        <v>1301.22</v>
      </c>
      <c r="L1844" s="8" t="n">
        <v>0</v>
      </c>
      <c r="M1844" s="9">
        <f>ROUND(SUM(I1844:L1844),2)</f>
        <v/>
      </c>
      <c r="N1844" s="10">
        <f>ROUND(I1844*'Irish Basis'!$C$6*'Irish Basis'!$C$5,2)</f>
        <v/>
      </c>
      <c r="O1844" s="10">
        <f>ROUND(J1844*'Irish Basis'!$C$7*'Irish Basis'!$C$5,2)</f>
        <v/>
      </c>
      <c r="P1844" s="10">
        <f>ROUND(K1844*'Irish Basis'!$C$8*'Irish Basis'!$C$5,2)</f>
        <v/>
      </c>
      <c r="Q1844" s="10">
        <f>ROUND(L1844*'Irish Basis'!$C$12*'Irish Basis'!$C$5,2)</f>
        <v/>
      </c>
      <c r="R1844" s="11">
        <f>ROUND(SUM(N1844:Q1844),2)</f>
        <v/>
      </c>
      <c r="S1844" s="5" t="inlineStr">
        <is>
          <t>Stated build-up</t>
        </is>
      </c>
      <c r="T1844" s="12" t="inlineStr">
        <is>
          <t>High</t>
        </is>
      </c>
      <c r="U1844" s="8" t="n">
        <v>2823.91</v>
      </c>
      <c r="V1844" s="13">
        <f>IF(U1844="","",ROUND(M1844-U1844,2))</f>
        <v/>
      </c>
      <c r="W1844" s="5" t="n"/>
      <c r="X1844" s="5" t="inlineStr">
        <is>
          <t>Labour + plant + material as published; reconciles to the published rate.</t>
        </is>
      </c>
    </row>
    <row r="1845" ht="13" customHeight="1">
      <c r="A1845" s="4" t="n">
        <v>2874</v>
      </c>
      <c r="B1845" s="5" t="inlineStr">
        <is>
          <t>IMG_0104</t>
        </is>
      </c>
      <c r="C1845" s="5" t="inlineStr">
        <is>
          <t>CLASS K: PIPEWORK - MANHOLES AND PIPEWORK ANCILLARIES</t>
        </is>
      </c>
      <c r="D1845" s="5" t="inlineStr">
        <is>
          <t>01 MANHOLES</t>
        </is>
      </c>
      <c r="E1845" s="5" t="inlineStr">
        <is>
          <t>1350 x 700 chamber 3500 depth to invert</t>
        </is>
      </c>
      <c r="F1845" s="5" t="inlineStr">
        <is>
          <t>concrete reducing slab</t>
        </is>
      </c>
      <c r="G1845" s="6" t="inlineStr">
        <is>
          <t>nr</t>
        </is>
      </c>
      <c r="H1845" s="7" t="n">
        <v>3.3</v>
      </c>
      <c r="I1845" s="8" t="n">
        <v>100.58</v>
      </c>
      <c r="J1845" s="8" t="n">
        <v>63.66</v>
      </c>
      <c r="K1845" s="8" t="n">
        <v>219.52</v>
      </c>
      <c r="L1845" s="8" t="n">
        <v>0</v>
      </c>
      <c r="M1845" s="9">
        <f>ROUND(SUM(I1845:L1845),2)</f>
        <v/>
      </c>
      <c r="N1845" s="10">
        <f>ROUND(I1845*'Irish Basis'!$C$6*'Irish Basis'!$C$5,2)</f>
        <v/>
      </c>
      <c r="O1845" s="10">
        <f>ROUND(J1845*'Irish Basis'!$C$7*'Irish Basis'!$C$5,2)</f>
        <v/>
      </c>
      <c r="P1845" s="10">
        <f>ROUND(K1845*'Irish Basis'!$C$8*'Irish Basis'!$C$5,2)</f>
        <v/>
      </c>
      <c r="Q1845" s="10">
        <f>ROUND(L1845*'Irish Basis'!$C$12*'Irish Basis'!$C$5,2)</f>
        <v/>
      </c>
      <c r="R1845" s="11">
        <f>ROUND(SUM(N1845:Q1845),2)</f>
        <v/>
      </c>
      <c r="S1845" s="5" t="inlineStr">
        <is>
          <t>Stated build-up</t>
        </is>
      </c>
      <c r="T1845" s="12" t="inlineStr">
        <is>
          <t>High</t>
        </is>
      </c>
      <c r="U1845" s="8" t="n">
        <v>383.76</v>
      </c>
      <c r="V1845" s="13">
        <f>IF(U1845="","",ROUND(M1845-U1845,2))</f>
        <v/>
      </c>
      <c r="W1845" s="5" t="n"/>
      <c r="X1845" s="5" t="inlineStr">
        <is>
          <t>Labour + plant + material as published; reconciles to the published rate.</t>
        </is>
      </c>
    </row>
    <row r="1846" ht="13" customHeight="1">
      <c r="A1846" s="4" t="n">
        <v>2875</v>
      </c>
      <c r="B1846" s="5" t="inlineStr">
        <is>
          <t>IMG_0104</t>
        </is>
      </c>
      <c r="C1846" s="5" t="inlineStr">
        <is>
          <t>CLASS K: PIPEWORK - MANHOLES AND PIPEWORK ANCILLARIES</t>
        </is>
      </c>
      <c r="D1846" s="5" t="inlineStr">
        <is>
          <t>01 MANHOLES</t>
        </is>
      </c>
      <c r="E1846" s="5" t="inlineStr">
        <is>
          <t>1350 x 700 chamber 3500 depth to invert</t>
        </is>
      </c>
      <c r="F1846" s="5" t="inlineStr">
        <is>
          <t>concrete cover slab</t>
        </is>
      </c>
      <c r="G1846" s="6" t="inlineStr">
        <is>
          <t>nr</t>
        </is>
      </c>
      <c r="H1846" s="7" t="n">
        <v>2.8</v>
      </c>
      <c r="I1846" s="8" t="n">
        <v>85.83</v>
      </c>
      <c r="J1846" s="8" t="n">
        <v>63.66</v>
      </c>
      <c r="K1846" s="8" t="n">
        <v>225.91</v>
      </c>
      <c r="L1846" s="8" t="n">
        <v>0</v>
      </c>
      <c r="M1846" s="9">
        <f>ROUND(SUM(I1846:L1846),2)</f>
        <v/>
      </c>
      <c r="N1846" s="10">
        <f>ROUND(I1846*'Irish Basis'!$C$6*'Irish Basis'!$C$5,2)</f>
        <v/>
      </c>
      <c r="O1846" s="10">
        <f>ROUND(J1846*'Irish Basis'!$C$7*'Irish Basis'!$C$5,2)</f>
        <v/>
      </c>
      <c r="P1846" s="10">
        <f>ROUND(K1846*'Irish Basis'!$C$8*'Irish Basis'!$C$5,2)</f>
        <v/>
      </c>
      <c r="Q1846" s="10">
        <f>ROUND(L1846*'Irish Basis'!$C$12*'Irish Basis'!$C$5,2)</f>
        <v/>
      </c>
      <c r="R1846" s="11">
        <f>ROUND(SUM(N1846:Q1846),2)</f>
        <v/>
      </c>
      <c r="S1846" s="5" t="inlineStr">
        <is>
          <t>Stated build-up</t>
        </is>
      </c>
      <c r="T1846" s="12" t="inlineStr">
        <is>
          <t>High</t>
        </is>
      </c>
      <c r="U1846" s="8" t="n">
        <v>375.4</v>
      </c>
      <c r="V1846" s="13">
        <f>IF(U1846="","",ROUND(M1846-U1846,2))</f>
        <v/>
      </c>
      <c r="W1846" s="5" t="n"/>
      <c r="X1846" s="5" t="inlineStr">
        <is>
          <t>Labour + plant + material as published; reconciles to the published rate.</t>
        </is>
      </c>
    </row>
    <row r="1847" ht="13" customHeight="1">
      <c r="A1847" s="4" t="n">
        <v>2876</v>
      </c>
      <c r="B1847" s="5" t="inlineStr">
        <is>
          <t>IMG_0104</t>
        </is>
      </c>
      <c r="C1847" s="5" t="inlineStr">
        <is>
          <t>CLASS K: PIPEWORK - MANHOLES AND PIPEWORK ANCILLARIES</t>
        </is>
      </c>
      <c r="D1847" s="5" t="inlineStr">
        <is>
          <t>01 MANHOLES</t>
        </is>
      </c>
      <c r="E1847" s="5" t="inlineStr">
        <is>
          <t>1350 x 700 chamber 3500 depth to invert</t>
        </is>
      </c>
      <c r="F1847" s="5" t="inlineStr">
        <is>
          <t>concrete benching, main and branch channels</t>
        </is>
      </c>
      <c r="G1847" s="6" t="inlineStr">
        <is>
          <t>nr</t>
        </is>
      </c>
      <c r="H1847" s="7" t="n">
        <v>11.14</v>
      </c>
      <c r="I1847" s="8" t="n">
        <v>304.2</v>
      </c>
      <c r="J1847" s="8" t="n">
        <v>69.44</v>
      </c>
      <c r="K1847" s="8" t="n">
        <v>304.06</v>
      </c>
      <c r="L1847" s="8" t="n">
        <v>0</v>
      </c>
      <c r="M1847" s="9">
        <f>ROUND(SUM(I1847:L1847),2)</f>
        <v/>
      </c>
      <c r="N1847" s="10">
        <f>ROUND(I1847*'Irish Basis'!$C$6*'Irish Basis'!$C$5,2)</f>
        <v/>
      </c>
      <c r="O1847" s="10">
        <f>ROUND(J1847*'Irish Basis'!$C$7*'Irish Basis'!$C$5,2)</f>
        <v/>
      </c>
      <c r="P1847" s="10">
        <f>ROUND(K1847*'Irish Basis'!$C$8*'Irish Basis'!$C$5,2)</f>
        <v/>
      </c>
      <c r="Q1847" s="10">
        <f>ROUND(L1847*'Irish Basis'!$C$12*'Irish Basis'!$C$5,2)</f>
        <v/>
      </c>
      <c r="R1847" s="11">
        <f>ROUND(SUM(N1847:Q1847),2)</f>
        <v/>
      </c>
      <c r="S1847" s="5" t="inlineStr">
        <is>
          <t>Stated build-up</t>
        </is>
      </c>
      <c r="T1847" s="12" t="inlineStr">
        <is>
          <t>High</t>
        </is>
      </c>
      <c r="U1847" s="8" t="n">
        <v>677.71</v>
      </c>
      <c r="V1847" s="13">
        <f>IF(U1847="","",ROUND(M1847-U1847,2))</f>
        <v/>
      </c>
      <c r="W1847" s="5" t="n"/>
      <c r="X1847" s="5" t="inlineStr">
        <is>
          <t>Labour + plant + material as published; reconciles to the published rate.</t>
        </is>
      </c>
    </row>
    <row r="1848" ht="13" customHeight="1">
      <c r="A1848" s="4" t="n">
        <v>2877</v>
      </c>
      <c r="B1848" s="5" t="inlineStr">
        <is>
          <t>IMG_0104</t>
        </is>
      </c>
      <c r="C1848" s="5" t="inlineStr">
        <is>
          <t>CLASS K: PIPEWORK - MANHOLES AND PIPEWORK ANCILLARIES</t>
        </is>
      </c>
      <c r="D1848" s="5" t="inlineStr">
        <is>
          <t>01 MANHOLES</t>
        </is>
      </c>
      <c r="E1848" s="5" t="inlineStr">
        <is>
          <t>1350 x 700 chamber 3500 depth to invert</t>
        </is>
      </c>
      <c r="F1848" s="5" t="inlineStr">
        <is>
          <t>step irons</t>
        </is>
      </c>
      <c r="G1848" s="6" t="inlineStr">
        <is>
          <t>nr</t>
        </is>
      </c>
      <c r="H1848" s="7" t="n">
        <v>1.16</v>
      </c>
      <c r="I1848" s="8" t="n">
        <v>28.34</v>
      </c>
      <c r="J1848" s="8" t="n">
        <v>3.77</v>
      </c>
      <c r="K1848" s="8" t="n">
        <v>252.13</v>
      </c>
      <c r="L1848" s="8" t="n">
        <v>0</v>
      </c>
      <c r="M1848" s="9">
        <f>ROUND(SUM(I1848:L1848),2)</f>
        <v/>
      </c>
      <c r="N1848" s="10">
        <f>ROUND(I1848*'Irish Basis'!$C$6*'Irish Basis'!$C$5,2)</f>
        <v/>
      </c>
      <c r="O1848" s="10">
        <f>ROUND(J1848*'Irish Basis'!$C$7*'Irish Basis'!$C$5,2)</f>
        <v/>
      </c>
      <c r="P1848" s="10">
        <f>ROUND(K1848*'Irish Basis'!$C$8*'Irish Basis'!$C$5,2)</f>
        <v/>
      </c>
      <c r="Q1848" s="10">
        <f>ROUND(L1848*'Irish Basis'!$C$12*'Irish Basis'!$C$5,2)</f>
        <v/>
      </c>
      <c r="R1848" s="11">
        <f>ROUND(SUM(N1848:Q1848),2)</f>
        <v/>
      </c>
      <c r="S1848" s="5" t="inlineStr">
        <is>
          <t>Stated build-up</t>
        </is>
      </c>
      <c r="T1848" s="12" t="inlineStr">
        <is>
          <t>High</t>
        </is>
      </c>
      <c r="U1848" s="8" t="n">
        <v>284.23</v>
      </c>
      <c r="V1848" s="13">
        <f>IF(U1848="","",ROUND(M1848-U1848,2))</f>
        <v/>
      </c>
      <c r="W1848" s="5" t="n"/>
      <c r="X1848" s="5" t="inlineStr">
        <is>
          <t>Labour + plant + material as published; reconciles to the published rate.</t>
        </is>
      </c>
    </row>
    <row r="1849" ht="13" customHeight="1">
      <c r="A1849" s="4" t="n">
        <v>2878</v>
      </c>
      <c r="B1849" s="5" t="inlineStr">
        <is>
          <t>IMG_0104</t>
        </is>
      </c>
      <c r="C1849" s="5" t="inlineStr">
        <is>
          <t>CLASS K: PIPEWORK - MANHOLES AND PIPEWORK ANCILLARIES</t>
        </is>
      </c>
      <c r="D1849" s="5" t="inlineStr">
        <is>
          <t>01 MANHOLES</t>
        </is>
      </c>
      <c r="E1849" s="5" t="inlineStr">
        <is>
          <t>1350 x 700 chamber 3500 depth to invert</t>
        </is>
      </c>
      <c r="F1849" s="5" t="inlineStr">
        <is>
          <t>access cover and frame</t>
        </is>
      </c>
      <c r="G1849" s="6" t="inlineStr">
        <is>
          <t>nr</t>
        </is>
      </c>
      <c r="H1849" s="7" t="n">
        <v>1.44</v>
      </c>
      <c r="I1849" s="8" t="n">
        <v>40.16</v>
      </c>
      <c r="J1849" s="8" t="n">
        <v>4.42</v>
      </c>
      <c r="K1849" s="8" t="n">
        <v>341.51</v>
      </c>
      <c r="L1849" s="8" t="n">
        <v>0</v>
      </c>
      <c r="M1849" s="9">
        <f>ROUND(SUM(I1849:L1849),2)</f>
        <v/>
      </c>
      <c r="N1849" s="10">
        <f>ROUND(I1849*'Irish Basis'!$C$6*'Irish Basis'!$C$5,2)</f>
        <v/>
      </c>
      <c r="O1849" s="10">
        <f>ROUND(J1849*'Irish Basis'!$C$7*'Irish Basis'!$C$5,2)</f>
        <v/>
      </c>
      <c r="P1849" s="10">
        <f>ROUND(K1849*'Irish Basis'!$C$8*'Irish Basis'!$C$5,2)</f>
        <v/>
      </c>
      <c r="Q1849" s="10">
        <f>ROUND(L1849*'Irish Basis'!$C$12*'Irish Basis'!$C$5,2)</f>
        <v/>
      </c>
      <c r="R1849" s="11">
        <f>ROUND(SUM(N1849:Q1849),2)</f>
        <v/>
      </c>
      <c r="S1849" s="5" t="inlineStr">
        <is>
          <t>Stated build-up</t>
        </is>
      </c>
      <c r="T1849" s="12" t="inlineStr">
        <is>
          <t>High</t>
        </is>
      </c>
      <c r="U1849" s="8" t="n">
        <v>386.09</v>
      </c>
      <c r="V1849" s="13">
        <f>IF(U1849="","",ROUND(M1849-U1849,2))</f>
        <v/>
      </c>
      <c r="W1849" s="5" t="n"/>
      <c r="X1849" s="5" t="inlineStr">
        <is>
          <t>Labour + plant + material as published; reconciles to the published rate.</t>
        </is>
      </c>
    </row>
    <row r="1850" ht="13" customHeight="1">
      <c r="A1850" s="4" t="n">
        <v>2879</v>
      </c>
      <c r="B1850" s="5" t="inlineStr">
        <is>
          <t>IMG_0104</t>
        </is>
      </c>
      <c r="C1850" s="5" t="inlineStr">
        <is>
          <t>CLASS K: PIPEWORK - MANHOLES AND PIPEWORK ANCILLARIES</t>
        </is>
      </c>
      <c r="D1850" s="5" t="inlineStr">
        <is>
          <t>01 MANHOLES</t>
        </is>
      </c>
      <c r="E1850" s="5" t="inlineStr">
        <is>
          <t>1350 x 700 chamber 3500 depth to invert</t>
        </is>
      </c>
      <c r="F1850" s="5" t="inlineStr">
        <is>
          <t>TOTAL</t>
        </is>
      </c>
      <c r="G1850" s="6" t="inlineStr">
        <is>
          <t>nr</t>
        </is>
      </c>
      <c r="H1850" s="7" t="n">
        <v>79.08</v>
      </c>
      <c r="I1850" s="8" t="n">
        <v>2273.7</v>
      </c>
      <c r="J1850" s="8" t="n">
        <v>725.38</v>
      </c>
      <c r="K1850" s="8" t="n">
        <v>2705.81</v>
      </c>
      <c r="L1850" s="8" t="n">
        <v>0</v>
      </c>
      <c r="M1850" s="9">
        <f>ROUND(SUM(I1850:L1850),2)</f>
        <v/>
      </c>
      <c r="N1850" s="10">
        <f>ROUND(I1850*'Irish Basis'!$C$6*'Irish Basis'!$C$5,2)</f>
        <v/>
      </c>
      <c r="O1850" s="10">
        <f>ROUND(J1850*'Irish Basis'!$C$7*'Irish Basis'!$C$5,2)</f>
        <v/>
      </c>
      <c r="P1850" s="10">
        <f>ROUND(K1850*'Irish Basis'!$C$8*'Irish Basis'!$C$5,2)</f>
        <v/>
      </c>
      <c r="Q1850" s="10">
        <f>ROUND(L1850*'Irish Basis'!$C$12*'Irish Basis'!$C$5,2)</f>
        <v/>
      </c>
      <c r="R1850" s="11">
        <f>ROUND(SUM(N1850:Q1850),2)</f>
        <v/>
      </c>
      <c r="S1850" s="5" t="inlineStr">
        <is>
          <t>Stated build-up</t>
        </is>
      </c>
      <c r="T1850" s="12" t="inlineStr">
        <is>
          <t>High</t>
        </is>
      </c>
      <c r="U1850" s="8" t="n">
        <v>5704.89</v>
      </c>
      <c r="V1850" s="13">
        <f>IF(U1850="","",ROUND(M1850-U1850,2))</f>
        <v/>
      </c>
      <c r="W1850" s="5" t="n"/>
      <c r="X1850" s="5" t="inlineStr">
        <is>
          <t>Labour + plant + material as published; reconciles to the published rate.</t>
        </is>
      </c>
    </row>
    <row r="1851" ht="13" customHeight="1">
      <c r="A1851" s="4" t="n">
        <v>2881</v>
      </c>
      <c r="B1851" s="5" t="inlineStr">
        <is>
          <t>IMG_0104</t>
        </is>
      </c>
      <c r="C1851" s="5" t="inlineStr">
        <is>
          <t>CLASS K: PIPEWORK - MANHOLES AND PIPEWORK ANCILLARIES</t>
        </is>
      </c>
      <c r="D1851" s="5" t="inlineStr">
        <is>
          <t>01 MANHOLES</t>
        </is>
      </c>
      <c r="E1851" s="5" t="inlineStr">
        <is>
          <t>1350 x 700 chamber 4500 depth to invert</t>
        </is>
      </c>
      <c r="F1851" s="5" t="inlineStr">
        <is>
          <t>excavation, support, backfilling and disposal</t>
        </is>
      </c>
      <c r="G1851" s="6" t="inlineStr">
        <is>
          <t>nr</t>
        </is>
      </c>
      <c r="H1851" s="7" t="n">
        <v>4.69</v>
      </c>
      <c r="I1851" s="8" t="n">
        <v>448.77</v>
      </c>
      <c r="J1851" s="8" t="n">
        <v>434.36</v>
      </c>
      <c r="K1851" s="8" t="n">
        <v>0</v>
      </c>
      <c r="L1851" s="8" t="n">
        <v>0</v>
      </c>
      <c r="M1851" s="9">
        <f>ROUND(SUM(I1851:L1851),2)</f>
        <v/>
      </c>
      <c r="N1851" s="10">
        <f>ROUND(I1851*'Irish Basis'!$C$6*'Irish Basis'!$C$5,2)</f>
        <v/>
      </c>
      <c r="O1851" s="10">
        <f>ROUND(J1851*'Irish Basis'!$C$7*'Irish Basis'!$C$5,2)</f>
        <v/>
      </c>
      <c r="P1851" s="10">
        <f>ROUND(K1851*'Irish Basis'!$C$8*'Irish Basis'!$C$5,2)</f>
        <v/>
      </c>
      <c r="Q1851" s="10">
        <f>ROUND(L1851*'Irish Basis'!$C$12*'Irish Basis'!$C$5,2)</f>
        <v/>
      </c>
      <c r="R1851" s="11">
        <f>ROUND(SUM(N1851:Q1851),2)</f>
        <v/>
      </c>
      <c r="S1851" s="5" t="inlineStr">
        <is>
          <t>Stated build-up</t>
        </is>
      </c>
      <c r="T1851" s="12" t="inlineStr">
        <is>
          <t>High</t>
        </is>
      </c>
      <c r="U1851" s="8" t="n">
        <v>883.12</v>
      </c>
      <c r="V1851" s="13">
        <f>IF(U1851="","",ROUND(M1851-U1851,2))</f>
        <v/>
      </c>
      <c r="W1851" s="5" t="n"/>
      <c r="X1851" s="5" t="inlineStr">
        <is>
          <t>Labour + plant + material as published; reconciles to the published rate.</t>
        </is>
      </c>
    </row>
    <row r="1852" ht="13" customHeight="1">
      <c r="A1852" s="4" t="n">
        <v>2882</v>
      </c>
      <c r="B1852" s="5" t="inlineStr">
        <is>
          <t>IMG_0104</t>
        </is>
      </c>
      <c r="C1852" s="5" t="inlineStr">
        <is>
          <t>CLASS K: PIPEWORK - MANHOLES AND PIPEWORK ANCILLARIES</t>
        </is>
      </c>
      <c r="D1852" s="5" t="inlineStr">
        <is>
          <t>01 MANHOLES</t>
        </is>
      </c>
      <c r="E1852" s="5" t="inlineStr">
        <is>
          <t>1350 x 700 chamber 4500 depth to invert</t>
        </is>
      </c>
      <c r="F1852" s="5" t="inlineStr">
        <is>
          <t>concrete base</t>
        </is>
      </c>
      <c r="G1852" s="6" t="inlineStr">
        <is>
          <t>nr</t>
        </is>
      </c>
      <c r="H1852" s="7" t="n">
        <v>0.7</v>
      </c>
      <c r="I1852" s="8" t="n">
        <v>18.72</v>
      </c>
      <c r="J1852" s="8" t="n">
        <v>6.48</v>
      </c>
      <c r="K1852" s="8" t="n">
        <v>61.46</v>
      </c>
      <c r="L1852" s="8" t="n">
        <v>0</v>
      </c>
      <c r="M1852" s="9">
        <f>ROUND(SUM(I1852:L1852),2)</f>
        <v/>
      </c>
      <c r="N1852" s="10">
        <f>ROUND(I1852*'Irish Basis'!$C$6*'Irish Basis'!$C$5,2)</f>
        <v/>
      </c>
      <c r="O1852" s="10">
        <f>ROUND(J1852*'Irish Basis'!$C$7*'Irish Basis'!$C$5,2)</f>
        <v/>
      </c>
      <c r="P1852" s="10">
        <f>ROUND(K1852*'Irish Basis'!$C$8*'Irish Basis'!$C$5,2)</f>
        <v/>
      </c>
      <c r="Q1852" s="10">
        <f>ROUND(L1852*'Irish Basis'!$C$12*'Irish Basis'!$C$5,2)</f>
        <v/>
      </c>
      <c r="R1852" s="11">
        <f>ROUND(SUM(N1852:Q1852),2)</f>
        <v/>
      </c>
      <c r="S1852" s="5" t="inlineStr">
        <is>
          <t>Stated build-up</t>
        </is>
      </c>
      <c r="T1852" s="12" t="inlineStr">
        <is>
          <t>High</t>
        </is>
      </c>
      <c r="U1852" s="8" t="n">
        <v>86.65000000000001</v>
      </c>
      <c r="V1852" s="13">
        <f>IF(U1852="","",ROUND(M1852-U1852,2))</f>
        <v/>
      </c>
      <c r="W1852" s="5" t="n"/>
      <c r="X1852" s="5" t="inlineStr">
        <is>
          <t>Labour + plant + material as published; reconciles to the published rate.</t>
        </is>
      </c>
    </row>
    <row r="1853" ht="13" customHeight="1">
      <c r="A1853" s="4" t="n">
        <v>2883</v>
      </c>
      <c r="B1853" s="5" t="inlineStr">
        <is>
          <t>IMG_0104</t>
        </is>
      </c>
      <c r="C1853" s="5" t="inlineStr">
        <is>
          <t>CLASS K: PIPEWORK - MANHOLES AND PIPEWORK ANCILLARIES</t>
        </is>
      </c>
      <c r="D1853" s="5" t="inlineStr">
        <is>
          <t>01 MANHOLES</t>
        </is>
      </c>
      <c r="E1853" s="5" t="inlineStr">
        <is>
          <t>1350 x 700 chamber 4500 depth to invert</t>
        </is>
      </c>
      <c r="F1853" s="5" t="inlineStr">
        <is>
          <t>brickwork chamber and access shaft (700 x 700)</t>
        </is>
      </c>
      <c r="G1853" s="6" t="inlineStr">
        <is>
          <t>nr</t>
        </is>
      </c>
      <c r="H1853" s="7" t="n">
        <v>67.37</v>
      </c>
      <c r="I1853" s="8" t="n">
        <v>1652.94</v>
      </c>
      <c r="J1853" s="8" t="n">
        <v>216.1</v>
      </c>
      <c r="K1853" s="8" t="n">
        <v>1592.31</v>
      </c>
      <c r="L1853" s="8" t="n">
        <v>0</v>
      </c>
      <c r="M1853" s="9">
        <f>ROUND(SUM(I1853:L1853),2)</f>
        <v/>
      </c>
      <c r="N1853" s="10">
        <f>ROUND(I1853*'Irish Basis'!$C$6*'Irish Basis'!$C$5,2)</f>
        <v/>
      </c>
      <c r="O1853" s="10">
        <f>ROUND(J1853*'Irish Basis'!$C$7*'Irish Basis'!$C$5,2)</f>
        <v/>
      </c>
      <c r="P1853" s="10">
        <f>ROUND(K1853*'Irish Basis'!$C$8*'Irish Basis'!$C$5,2)</f>
        <v/>
      </c>
      <c r="Q1853" s="10">
        <f>ROUND(L1853*'Irish Basis'!$C$12*'Irish Basis'!$C$5,2)</f>
        <v/>
      </c>
      <c r="R1853" s="11">
        <f>ROUND(SUM(N1853:Q1853),2)</f>
        <v/>
      </c>
      <c r="S1853" s="5" t="inlineStr">
        <is>
          <t>Stated build-up</t>
        </is>
      </c>
      <c r="T1853" s="12" t="inlineStr">
        <is>
          <t>High</t>
        </is>
      </c>
      <c r="U1853" s="8" t="n">
        <v>3461.34</v>
      </c>
      <c r="V1853" s="13">
        <f>IF(U1853="","",ROUND(M1853-U1853,2))</f>
        <v/>
      </c>
      <c r="W1853" s="5" t="n"/>
      <c r="X1853" s="5" t="inlineStr">
        <is>
          <t>Labour + plant + material as published; reconciles to the published rate.</t>
        </is>
      </c>
    </row>
    <row r="1854" ht="13" customHeight="1">
      <c r="A1854" s="4" t="n">
        <v>2884</v>
      </c>
      <c r="B1854" s="5" t="inlineStr">
        <is>
          <t>IMG_0104</t>
        </is>
      </c>
      <c r="C1854" s="5" t="inlineStr">
        <is>
          <t>CLASS K: PIPEWORK - MANHOLES AND PIPEWORK ANCILLARIES</t>
        </is>
      </c>
      <c r="D1854" s="5" t="inlineStr">
        <is>
          <t>01 MANHOLES</t>
        </is>
      </c>
      <c r="E1854" s="5" t="inlineStr">
        <is>
          <t>1350 x 700 chamber 4500 depth to invert</t>
        </is>
      </c>
      <c r="F1854" s="5" t="inlineStr">
        <is>
          <t>concrete reducing slab</t>
        </is>
      </c>
      <c r="G1854" s="6" t="inlineStr">
        <is>
          <t>nr</t>
        </is>
      </c>
      <c r="H1854" s="7" t="n">
        <v>3.3</v>
      </c>
      <c r="I1854" s="8" t="n">
        <v>100.58</v>
      </c>
      <c r="J1854" s="8" t="n">
        <v>63.66</v>
      </c>
      <c r="K1854" s="8" t="n">
        <v>219.52</v>
      </c>
      <c r="L1854" s="8" t="n">
        <v>0</v>
      </c>
      <c r="M1854" s="9">
        <f>ROUND(SUM(I1854:L1854),2)</f>
        <v/>
      </c>
      <c r="N1854" s="10">
        <f>ROUND(I1854*'Irish Basis'!$C$6*'Irish Basis'!$C$5,2)</f>
        <v/>
      </c>
      <c r="O1854" s="10">
        <f>ROUND(J1854*'Irish Basis'!$C$7*'Irish Basis'!$C$5,2)</f>
        <v/>
      </c>
      <c r="P1854" s="10">
        <f>ROUND(K1854*'Irish Basis'!$C$8*'Irish Basis'!$C$5,2)</f>
        <v/>
      </c>
      <c r="Q1854" s="10">
        <f>ROUND(L1854*'Irish Basis'!$C$12*'Irish Basis'!$C$5,2)</f>
        <v/>
      </c>
      <c r="R1854" s="11">
        <f>ROUND(SUM(N1854:Q1854),2)</f>
        <v/>
      </c>
      <c r="S1854" s="5" t="inlineStr">
        <is>
          <t>Stated build-up</t>
        </is>
      </c>
      <c r="T1854" s="12" t="inlineStr">
        <is>
          <t>High</t>
        </is>
      </c>
      <c r="U1854" s="8" t="n">
        <v>383.76</v>
      </c>
      <c r="V1854" s="13">
        <f>IF(U1854="","",ROUND(M1854-U1854,2))</f>
        <v/>
      </c>
      <c r="W1854" s="5" t="n"/>
      <c r="X1854" s="5" t="inlineStr">
        <is>
          <t>Labour + plant + material as published; reconciles to the published rate.</t>
        </is>
      </c>
    </row>
    <row r="1855" ht="13" customHeight="1">
      <c r="A1855" s="4" t="n">
        <v>2885</v>
      </c>
      <c r="B1855" s="5" t="inlineStr">
        <is>
          <t>IMG_0104</t>
        </is>
      </c>
      <c r="C1855" s="5" t="inlineStr">
        <is>
          <t>CLASS K: PIPEWORK - MANHOLES AND PIPEWORK ANCILLARIES</t>
        </is>
      </c>
      <c r="D1855" s="5" t="inlineStr">
        <is>
          <t>01 MANHOLES</t>
        </is>
      </c>
      <c r="E1855" s="5" t="inlineStr">
        <is>
          <t>1350 x 700 chamber 4500 depth to invert</t>
        </is>
      </c>
      <c r="F1855" s="5" t="inlineStr">
        <is>
          <t>concrete cover slab</t>
        </is>
      </c>
      <c r="G1855" s="6" t="inlineStr">
        <is>
          <t>nr</t>
        </is>
      </c>
      <c r="H1855" s="7" t="n">
        <v>2.8</v>
      </c>
      <c r="I1855" s="8" t="n">
        <v>85.83</v>
      </c>
      <c r="J1855" s="8" t="n">
        <v>63.66</v>
      </c>
      <c r="K1855" s="8" t="n">
        <v>225.91</v>
      </c>
      <c r="L1855" s="8" t="n">
        <v>0</v>
      </c>
      <c r="M1855" s="9">
        <f>ROUND(SUM(I1855:L1855),2)</f>
        <v/>
      </c>
      <c r="N1855" s="10">
        <f>ROUND(I1855*'Irish Basis'!$C$6*'Irish Basis'!$C$5,2)</f>
        <v/>
      </c>
      <c r="O1855" s="10">
        <f>ROUND(J1855*'Irish Basis'!$C$7*'Irish Basis'!$C$5,2)</f>
        <v/>
      </c>
      <c r="P1855" s="10">
        <f>ROUND(K1855*'Irish Basis'!$C$8*'Irish Basis'!$C$5,2)</f>
        <v/>
      </c>
      <c r="Q1855" s="10">
        <f>ROUND(L1855*'Irish Basis'!$C$12*'Irish Basis'!$C$5,2)</f>
        <v/>
      </c>
      <c r="R1855" s="11">
        <f>ROUND(SUM(N1855:Q1855),2)</f>
        <v/>
      </c>
      <c r="S1855" s="5" t="inlineStr">
        <is>
          <t>Stated build-up</t>
        </is>
      </c>
      <c r="T1855" s="12" t="inlineStr">
        <is>
          <t>High</t>
        </is>
      </c>
      <c r="U1855" s="8" t="n">
        <v>375.4</v>
      </c>
      <c r="V1855" s="13">
        <f>IF(U1855="","",ROUND(M1855-U1855,2))</f>
        <v/>
      </c>
      <c r="W1855" s="5" t="n"/>
      <c r="X1855" s="5" t="inlineStr">
        <is>
          <t>Labour + plant + material as published; reconciles to the published rate.</t>
        </is>
      </c>
    </row>
    <row r="1856" ht="13" customHeight="1">
      <c r="A1856" s="4" t="n">
        <v>2886</v>
      </c>
      <c r="B1856" s="5" t="inlineStr">
        <is>
          <t>IMG_0104</t>
        </is>
      </c>
      <c r="C1856" s="5" t="inlineStr">
        <is>
          <t>CLASS K: PIPEWORK - MANHOLES AND PIPEWORK ANCILLARIES</t>
        </is>
      </c>
      <c r="D1856" s="5" t="inlineStr">
        <is>
          <t>01 MANHOLES</t>
        </is>
      </c>
      <c r="E1856" s="5" t="inlineStr">
        <is>
          <t>1350 x 700 chamber 4500 depth to invert</t>
        </is>
      </c>
      <c r="F1856" s="5" t="inlineStr">
        <is>
          <t>concrete benching, main and branch channels</t>
        </is>
      </c>
      <c r="G1856" s="6" t="inlineStr">
        <is>
          <t>nr</t>
        </is>
      </c>
      <c r="H1856" s="7" t="n">
        <v>11.14</v>
      </c>
      <c r="I1856" s="8" t="n">
        <v>304.2</v>
      </c>
      <c r="J1856" s="8" t="n">
        <v>69.44</v>
      </c>
      <c r="K1856" s="8" t="n">
        <v>304.06</v>
      </c>
      <c r="L1856" s="8" t="n">
        <v>0</v>
      </c>
      <c r="M1856" s="9">
        <f>ROUND(SUM(I1856:L1856),2)</f>
        <v/>
      </c>
      <c r="N1856" s="10">
        <f>ROUND(I1856*'Irish Basis'!$C$6*'Irish Basis'!$C$5,2)</f>
        <v/>
      </c>
      <c r="O1856" s="10">
        <f>ROUND(J1856*'Irish Basis'!$C$7*'Irish Basis'!$C$5,2)</f>
        <v/>
      </c>
      <c r="P1856" s="10">
        <f>ROUND(K1856*'Irish Basis'!$C$8*'Irish Basis'!$C$5,2)</f>
        <v/>
      </c>
      <c r="Q1856" s="10">
        <f>ROUND(L1856*'Irish Basis'!$C$12*'Irish Basis'!$C$5,2)</f>
        <v/>
      </c>
      <c r="R1856" s="11">
        <f>ROUND(SUM(N1856:Q1856),2)</f>
        <v/>
      </c>
      <c r="S1856" s="5" t="inlineStr">
        <is>
          <t>Stated build-up</t>
        </is>
      </c>
      <c r="T1856" s="12" t="inlineStr">
        <is>
          <t>High</t>
        </is>
      </c>
      <c r="U1856" s="8" t="n">
        <v>677.71</v>
      </c>
      <c r="V1856" s="13">
        <f>IF(U1856="","",ROUND(M1856-U1856,2))</f>
        <v/>
      </c>
      <c r="W1856" s="5" t="n"/>
      <c r="X1856" s="5" t="inlineStr">
        <is>
          <t>Labour + plant + material as published; reconciles to the published rate.</t>
        </is>
      </c>
    </row>
    <row r="1857" ht="13" customHeight="1">
      <c r="A1857" s="4" t="n">
        <v>2887</v>
      </c>
      <c r="B1857" s="5" t="inlineStr">
        <is>
          <t>IMG_0104</t>
        </is>
      </c>
      <c r="C1857" s="5" t="inlineStr">
        <is>
          <t>CLASS K: PIPEWORK - MANHOLES AND PIPEWORK ANCILLARIES</t>
        </is>
      </c>
      <c r="D1857" s="5" t="inlineStr">
        <is>
          <t>01 MANHOLES</t>
        </is>
      </c>
      <c r="E1857" s="5" t="inlineStr">
        <is>
          <t>1350 x 700 chamber 4500 depth to invert</t>
        </is>
      </c>
      <c r="F1857" s="5" t="inlineStr">
        <is>
          <t>step irons</t>
        </is>
      </c>
      <c r="G1857" s="6" t="inlineStr">
        <is>
          <t>nr</t>
        </is>
      </c>
      <c r="H1857" s="7" t="n">
        <v>1.47</v>
      </c>
      <c r="I1857" s="8" t="n">
        <v>36.07</v>
      </c>
      <c r="J1857" s="8" t="n">
        <v>4.79</v>
      </c>
      <c r="K1857" s="8" t="n">
        <v>320.89</v>
      </c>
      <c r="L1857" s="8" t="n">
        <v>0</v>
      </c>
      <c r="M1857" s="9">
        <f>ROUND(SUM(I1857:L1857),2)</f>
        <v/>
      </c>
      <c r="N1857" s="10">
        <f>ROUND(I1857*'Irish Basis'!$C$6*'Irish Basis'!$C$5,2)</f>
        <v/>
      </c>
      <c r="O1857" s="10">
        <f>ROUND(J1857*'Irish Basis'!$C$7*'Irish Basis'!$C$5,2)</f>
        <v/>
      </c>
      <c r="P1857" s="10">
        <f>ROUND(K1857*'Irish Basis'!$C$8*'Irish Basis'!$C$5,2)</f>
        <v/>
      </c>
      <c r="Q1857" s="10">
        <f>ROUND(L1857*'Irish Basis'!$C$12*'Irish Basis'!$C$5,2)</f>
        <v/>
      </c>
      <c r="R1857" s="11">
        <f>ROUND(SUM(N1857:Q1857),2)</f>
        <v/>
      </c>
      <c r="S1857" s="5" t="inlineStr">
        <is>
          <t>Stated build-up</t>
        </is>
      </c>
      <c r="T1857" s="12" t="inlineStr">
        <is>
          <t>High</t>
        </is>
      </c>
      <c r="U1857" s="8" t="n">
        <v>361.75</v>
      </c>
      <c r="V1857" s="13">
        <f>IF(U1857="","",ROUND(M1857-U1857,2))</f>
        <v/>
      </c>
      <c r="W1857" s="5" t="n"/>
      <c r="X1857" s="5" t="inlineStr">
        <is>
          <t>Labour + plant + material as published; reconciles to the published rate.</t>
        </is>
      </c>
    </row>
    <row r="1858" ht="13" customHeight="1">
      <c r="A1858" s="4" t="n">
        <v>2888</v>
      </c>
      <c r="B1858" s="5" t="inlineStr">
        <is>
          <t>IMG_0104</t>
        </is>
      </c>
      <c r="C1858" s="5" t="inlineStr">
        <is>
          <t>CLASS K: PIPEWORK - MANHOLES AND PIPEWORK ANCILLARIES</t>
        </is>
      </c>
      <c r="D1858" s="5" t="inlineStr">
        <is>
          <t>01 MANHOLES</t>
        </is>
      </c>
      <c r="E1858" s="5" t="inlineStr">
        <is>
          <t>1350 x 700 chamber 4500 depth to invert</t>
        </is>
      </c>
      <c r="F1858" s="5" t="inlineStr">
        <is>
          <t>access cover and frame</t>
        </is>
      </c>
      <c r="G1858" s="6" t="inlineStr">
        <is>
          <t>nr</t>
        </is>
      </c>
      <c r="H1858" s="7" t="n">
        <v>1.44</v>
      </c>
      <c r="I1858" s="8" t="n">
        <v>40.16</v>
      </c>
      <c r="J1858" s="8" t="n">
        <v>4.42</v>
      </c>
      <c r="K1858" s="8" t="n">
        <v>341.51</v>
      </c>
      <c r="L1858" s="8" t="n">
        <v>0</v>
      </c>
      <c r="M1858" s="9">
        <f>ROUND(SUM(I1858:L1858),2)</f>
        <v/>
      </c>
      <c r="N1858" s="10">
        <f>ROUND(I1858*'Irish Basis'!$C$6*'Irish Basis'!$C$5,2)</f>
        <v/>
      </c>
      <c r="O1858" s="10">
        <f>ROUND(J1858*'Irish Basis'!$C$7*'Irish Basis'!$C$5,2)</f>
        <v/>
      </c>
      <c r="P1858" s="10">
        <f>ROUND(K1858*'Irish Basis'!$C$8*'Irish Basis'!$C$5,2)</f>
        <v/>
      </c>
      <c r="Q1858" s="10">
        <f>ROUND(L1858*'Irish Basis'!$C$12*'Irish Basis'!$C$5,2)</f>
        <v/>
      </c>
      <c r="R1858" s="11">
        <f>ROUND(SUM(N1858:Q1858),2)</f>
        <v/>
      </c>
      <c r="S1858" s="5" t="inlineStr">
        <is>
          <t>Stated build-up</t>
        </is>
      </c>
      <c r="T1858" s="12" t="inlineStr">
        <is>
          <t>High</t>
        </is>
      </c>
      <c r="U1858" s="8" t="n">
        <v>386.09</v>
      </c>
      <c r="V1858" s="13">
        <f>IF(U1858="","",ROUND(M1858-U1858,2))</f>
        <v/>
      </c>
      <c r="W1858" s="5" t="n"/>
      <c r="X1858" s="5" t="inlineStr">
        <is>
          <t>Labour + plant + material as published; reconciles to the published rate.</t>
        </is>
      </c>
    </row>
    <row r="1859" ht="13" customHeight="1">
      <c r="A1859" s="4" t="n">
        <v>2889</v>
      </c>
      <c r="B1859" s="5" t="inlineStr">
        <is>
          <t>IMG_0104</t>
        </is>
      </c>
      <c r="C1859" s="5" t="inlineStr">
        <is>
          <t>CLASS K: PIPEWORK - MANHOLES AND PIPEWORK ANCILLARIES</t>
        </is>
      </c>
      <c r="D1859" s="5" t="inlineStr">
        <is>
          <t>01 MANHOLES</t>
        </is>
      </c>
      <c r="E1859" s="5" t="inlineStr">
        <is>
          <t>1350 x 700 chamber 4500 depth to invert</t>
        </is>
      </c>
      <c r="F1859" s="5" t="inlineStr">
        <is>
          <t>TOTAL</t>
        </is>
      </c>
      <c r="G1859" s="6" t="inlineStr">
        <is>
          <t>nr</t>
        </is>
      </c>
      <c r="H1859" s="7" t="n">
        <v>92.92</v>
      </c>
      <c r="I1859" s="8" t="n">
        <v>2687.26</v>
      </c>
      <c r="J1859" s="8" t="n">
        <v>862.91</v>
      </c>
      <c r="K1859" s="8" t="n">
        <v>3065.66</v>
      </c>
      <c r="L1859" s="8" t="n">
        <v>0</v>
      </c>
      <c r="M1859" s="9">
        <f>ROUND(SUM(I1859:L1859),2)</f>
        <v/>
      </c>
      <c r="N1859" s="10">
        <f>ROUND(I1859*'Irish Basis'!$C$6*'Irish Basis'!$C$5,2)</f>
        <v/>
      </c>
      <c r="O1859" s="10">
        <f>ROUND(J1859*'Irish Basis'!$C$7*'Irish Basis'!$C$5,2)</f>
        <v/>
      </c>
      <c r="P1859" s="10">
        <f>ROUND(K1859*'Irish Basis'!$C$8*'Irish Basis'!$C$5,2)</f>
        <v/>
      </c>
      <c r="Q1859" s="10">
        <f>ROUND(L1859*'Irish Basis'!$C$12*'Irish Basis'!$C$5,2)</f>
        <v/>
      </c>
      <c r="R1859" s="11">
        <f>ROUND(SUM(N1859:Q1859),2)</f>
        <v/>
      </c>
      <c r="S1859" s="5" t="inlineStr">
        <is>
          <t>Stated build-up</t>
        </is>
      </c>
      <c r="T1859" s="12" t="inlineStr">
        <is>
          <t>High</t>
        </is>
      </c>
      <c r="U1859" s="8" t="n">
        <v>6615.84</v>
      </c>
      <c r="V1859" s="13">
        <f>IF(U1859="","",ROUND(M1859-U1859,2))</f>
        <v/>
      </c>
      <c r="W1859" s="5" t="n"/>
      <c r="X1859" s="5" t="inlineStr">
        <is>
          <t>Labour + plant + material as published; reconciles to the published rate.</t>
        </is>
      </c>
    </row>
    <row r="1860" ht="13" customHeight="1">
      <c r="A1860" s="4" t="n">
        <v>2893</v>
      </c>
      <c r="B1860" s="5" t="inlineStr">
        <is>
          <t>IMG_0104</t>
        </is>
      </c>
      <c r="C1860" s="5" t="inlineStr">
        <is>
          <t>CLASS K: PIPEWORK - MANHOLES AND PIPEWORK ANCILLARIES</t>
        </is>
      </c>
      <c r="D1860" s="5" t="inlineStr">
        <is>
          <t>01 MANHOLES</t>
        </is>
      </c>
      <c r="E1860" s="5" t="inlineStr">
        <is>
          <t>675 dia. x 500 depth to invert</t>
        </is>
      </c>
      <c r="F1860" s="5" t="inlineStr">
        <is>
          <t>excavation, support, backfilling and disposal</t>
        </is>
      </c>
      <c r="G1860" s="6" t="inlineStr">
        <is>
          <t>nr</t>
        </is>
      </c>
      <c r="H1860" s="7" t="n">
        <v>0.19</v>
      </c>
      <c r="I1860" s="8" t="n">
        <v>18.37</v>
      </c>
      <c r="J1860" s="8" t="n">
        <v>13.15</v>
      </c>
      <c r="K1860" s="8" t="n">
        <v>0</v>
      </c>
      <c r="L1860" s="8" t="n">
        <v>0</v>
      </c>
      <c r="M1860" s="9">
        <f>ROUND(SUM(I1860:L1860),2)</f>
        <v/>
      </c>
      <c r="N1860" s="10">
        <f>ROUND(I1860*'Irish Basis'!$C$6*'Irish Basis'!$C$5,2)</f>
        <v/>
      </c>
      <c r="O1860" s="10">
        <f>ROUND(J1860*'Irish Basis'!$C$7*'Irish Basis'!$C$5,2)</f>
        <v/>
      </c>
      <c r="P1860" s="10">
        <f>ROUND(K1860*'Irish Basis'!$C$8*'Irish Basis'!$C$5,2)</f>
        <v/>
      </c>
      <c r="Q1860" s="10">
        <f>ROUND(L1860*'Irish Basis'!$C$12*'Irish Basis'!$C$5,2)</f>
        <v/>
      </c>
      <c r="R1860" s="11">
        <f>ROUND(SUM(N1860:Q1860),2)</f>
        <v/>
      </c>
      <c r="S1860" s="5" t="inlineStr">
        <is>
          <t>Stated build-up</t>
        </is>
      </c>
      <c r="T1860" s="12" t="inlineStr">
        <is>
          <t>High</t>
        </is>
      </c>
      <c r="U1860" s="8" t="n">
        <v>31.52</v>
      </c>
      <c r="V1860" s="13">
        <f>IF(U1860="","",ROUND(M1860-U1860,2))</f>
        <v/>
      </c>
      <c r="W1860" s="5" t="n"/>
      <c r="X1860" s="5" t="inlineStr">
        <is>
          <t>Labour + plant + material as published; reconciles to the published rate.</t>
        </is>
      </c>
    </row>
    <row r="1861" ht="13" customHeight="1">
      <c r="A1861" s="4" t="n">
        <v>2894</v>
      </c>
      <c r="B1861" s="5" t="inlineStr">
        <is>
          <t>IMG_0104</t>
        </is>
      </c>
      <c r="C1861" s="5" t="inlineStr">
        <is>
          <t>CLASS K: PIPEWORK - MANHOLES AND PIPEWORK ANCILLARIES</t>
        </is>
      </c>
      <c r="D1861" s="5" t="inlineStr">
        <is>
          <t>01 MANHOLES</t>
        </is>
      </c>
      <c r="E1861" s="5" t="inlineStr">
        <is>
          <t>675 dia. x 500 depth to invert</t>
        </is>
      </c>
      <c r="F1861" s="5" t="inlineStr">
        <is>
          <t>concrete base</t>
        </is>
      </c>
      <c r="G1861" s="6" t="inlineStr">
        <is>
          <t>nr</t>
        </is>
      </c>
      <c r="H1861" s="7" t="n">
        <v>0.27</v>
      </c>
      <c r="I1861" s="8" t="n">
        <v>7.13</v>
      </c>
      <c r="J1861" s="8" t="n">
        <v>2.47</v>
      </c>
      <c r="K1861" s="8" t="n">
        <v>23.41</v>
      </c>
      <c r="L1861" s="8" t="n">
        <v>0</v>
      </c>
      <c r="M1861" s="9">
        <f>ROUND(SUM(I1861:L1861),2)</f>
        <v/>
      </c>
      <c r="N1861" s="10">
        <f>ROUND(I1861*'Irish Basis'!$C$6*'Irish Basis'!$C$5,2)</f>
        <v/>
      </c>
      <c r="O1861" s="10">
        <f>ROUND(J1861*'Irish Basis'!$C$7*'Irish Basis'!$C$5,2)</f>
        <v/>
      </c>
      <c r="P1861" s="10">
        <f>ROUND(K1861*'Irish Basis'!$C$8*'Irish Basis'!$C$5,2)</f>
        <v/>
      </c>
      <c r="Q1861" s="10">
        <f>ROUND(L1861*'Irish Basis'!$C$12*'Irish Basis'!$C$5,2)</f>
        <v/>
      </c>
      <c r="R1861" s="11">
        <f>ROUND(SUM(N1861:Q1861),2)</f>
        <v/>
      </c>
      <c r="S1861" s="5" t="inlineStr">
        <is>
          <t>Stated build-up</t>
        </is>
      </c>
      <c r="T1861" s="12" t="inlineStr">
        <is>
          <t>High</t>
        </is>
      </c>
      <c r="U1861" s="8" t="n">
        <v>33.01</v>
      </c>
      <c r="V1861" s="13">
        <f>IF(U1861="","",ROUND(M1861-U1861,2))</f>
        <v/>
      </c>
      <c r="W1861" s="5" t="n"/>
      <c r="X1861" s="5" t="inlineStr">
        <is>
          <t>Labour + plant + material as published; reconciles to the published rate.</t>
        </is>
      </c>
    </row>
    <row r="1862" ht="13" customHeight="1">
      <c r="A1862" s="4" t="n">
        <v>2895</v>
      </c>
      <c r="B1862" s="5" t="inlineStr">
        <is>
          <t>IMG_0104</t>
        </is>
      </c>
      <c r="C1862" s="5" t="inlineStr">
        <is>
          <t>CLASS K: PIPEWORK - MANHOLES AND PIPEWORK ANCILLARIES</t>
        </is>
      </c>
      <c r="D1862" s="5" t="inlineStr">
        <is>
          <t>01 MANHOLES</t>
        </is>
      </c>
      <c r="E1862" s="5" t="inlineStr">
        <is>
          <t>675 dia. x 500 depth to invert</t>
        </is>
      </c>
      <c r="F1862" s="5" t="inlineStr">
        <is>
          <t>main chamber rings</t>
        </is>
      </c>
      <c r="G1862" s="6" t="inlineStr">
        <is>
          <t>nr</t>
        </is>
      </c>
      <c r="H1862" s="7" t="n">
        <v>1.6</v>
      </c>
      <c r="I1862" s="8" t="n">
        <v>49.05</v>
      </c>
      <c r="J1862" s="8" t="n">
        <v>36.36</v>
      </c>
      <c r="K1862" s="8" t="n">
        <v>43.66</v>
      </c>
      <c r="L1862" s="8" t="n">
        <v>0</v>
      </c>
      <c r="M1862" s="9">
        <f>ROUND(SUM(I1862:L1862),2)</f>
        <v/>
      </c>
      <c r="N1862" s="10">
        <f>ROUND(I1862*'Irish Basis'!$C$6*'Irish Basis'!$C$5,2)</f>
        <v/>
      </c>
      <c r="O1862" s="10">
        <f>ROUND(J1862*'Irish Basis'!$C$7*'Irish Basis'!$C$5,2)</f>
        <v/>
      </c>
      <c r="P1862" s="10">
        <f>ROUND(K1862*'Irish Basis'!$C$8*'Irish Basis'!$C$5,2)</f>
        <v/>
      </c>
      <c r="Q1862" s="10">
        <f>ROUND(L1862*'Irish Basis'!$C$12*'Irish Basis'!$C$5,2)</f>
        <v/>
      </c>
      <c r="R1862" s="11">
        <f>ROUND(SUM(N1862:Q1862),2)</f>
        <v/>
      </c>
      <c r="S1862" s="5" t="inlineStr">
        <is>
          <t>Stated build-up</t>
        </is>
      </c>
      <c r="T1862" s="12" t="inlineStr">
        <is>
          <t>High</t>
        </is>
      </c>
      <c r="U1862" s="8" t="n">
        <v>129.06</v>
      </c>
      <c r="V1862" s="13">
        <f>IF(U1862="","",ROUND(M1862-U1862,2))</f>
        <v/>
      </c>
      <c r="W1862" s="5" t="n"/>
      <c r="X1862" s="5" t="inlineStr">
        <is>
          <t>Labour + plant + material as published; reconciles to the published rate.</t>
        </is>
      </c>
    </row>
    <row r="1863" ht="13" customHeight="1">
      <c r="A1863" s="4" t="n">
        <v>2896</v>
      </c>
      <c r="B1863" s="5" t="inlineStr">
        <is>
          <t>IMG_0104</t>
        </is>
      </c>
      <c r="C1863" s="5" t="inlineStr">
        <is>
          <t>CLASS K: PIPEWORK - MANHOLES AND PIPEWORK ANCILLARIES</t>
        </is>
      </c>
      <c r="D1863" s="5" t="inlineStr">
        <is>
          <t>01 MANHOLES</t>
        </is>
      </c>
      <c r="E1863" s="5" t="inlineStr">
        <is>
          <t>675 dia. x 500 depth to invert</t>
        </is>
      </c>
      <c r="F1863" s="5" t="inlineStr">
        <is>
          <t>cover slab</t>
        </is>
      </c>
      <c r="G1863" s="6" t="inlineStr">
        <is>
          <t>nr</t>
        </is>
      </c>
      <c r="H1863" s="7" t="n">
        <v>1.98</v>
      </c>
      <c r="I1863" s="8" t="n">
        <v>59.86</v>
      </c>
      <c r="J1863" s="8" t="n">
        <v>41.85</v>
      </c>
      <c r="K1863" s="8" t="n">
        <v>99.81</v>
      </c>
      <c r="L1863" s="8" t="n">
        <v>0</v>
      </c>
      <c r="M1863" s="9">
        <f>ROUND(SUM(I1863:L1863),2)</f>
        <v/>
      </c>
      <c r="N1863" s="10">
        <f>ROUND(I1863*'Irish Basis'!$C$6*'Irish Basis'!$C$5,2)</f>
        <v/>
      </c>
      <c r="O1863" s="10">
        <f>ROUND(J1863*'Irish Basis'!$C$7*'Irish Basis'!$C$5,2)</f>
        <v/>
      </c>
      <c r="P1863" s="10">
        <f>ROUND(K1863*'Irish Basis'!$C$8*'Irish Basis'!$C$5,2)</f>
        <v/>
      </c>
      <c r="Q1863" s="10">
        <f>ROUND(L1863*'Irish Basis'!$C$12*'Irish Basis'!$C$5,2)</f>
        <v/>
      </c>
      <c r="R1863" s="11">
        <f>ROUND(SUM(N1863:Q1863),2)</f>
        <v/>
      </c>
      <c r="S1863" s="5" t="inlineStr">
        <is>
          <t>Stated build-up</t>
        </is>
      </c>
      <c r="T1863" s="12" t="inlineStr">
        <is>
          <t>High</t>
        </is>
      </c>
      <c r="U1863" s="8" t="n">
        <v>201.51</v>
      </c>
      <c r="V1863" s="13">
        <f>IF(U1863="","",ROUND(M1863-U1863,2))</f>
        <v/>
      </c>
      <c r="W1863" s="5" t="n"/>
      <c r="X1863" s="5" t="inlineStr">
        <is>
          <t>Labour + plant + material as published; reconciles to the published rate.</t>
        </is>
      </c>
    </row>
    <row r="1864" ht="13" customHeight="1">
      <c r="A1864" s="4" t="n">
        <v>2897</v>
      </c>
      <c r="B1864" s="5" t="inlineStr">
        <is>
          <t>IMG_0104</t>
        </is>
      </c>
      <c r="C1864" s="5" t="inlineStr">
        <is>
          <t>CLASS K: PIPEWORK - MANHOLES AND PIPEWORK ANCILLARIES</t>
        </is>
      </c>
      <c r="D1864" s="5" t="inlineStr">
        <is>
          <t>01 MANHOLES</t>
        </is>
      </c>
      <c r="E1864" s="5" t="inlineStr">
        <is>
          <t>675 dia. x 500 depth to invert</t>
        </is>
      </c>
      <c r="F1864" s="5" t="inlineStr">
        <is>
          <t>concrete surround</t>
        </is>
      </c>
      <c r="G1864" s="6" t="inlineStr">
        <is>
          <t>nr</t>
        </is>
      </c>
      <c r="H1864" s="7" t="n">
        <v>0.37</v>
      </c>
      <c r="I1864" s="8" t="n">
        <v>9.789999999999999</v>
      </c>
      <c r="J1864" s="8" t="n">
        <v>3.81</v>
      </c>
      <c r="K1864" s="8" t="n">
        <v>23.37</v>
      </c>
      <c r="L1864" s="8" t="n">
        <v>0</v>
      </c>
      <c r="M1864" s="9">
        <f>ROUND(SUM(I1864:L1864),2)</f>
        <v/>
      </c>
      <c r="N1864" s="10">
        <f>ROUND(I1864*'Irish Basis'!$C$6*'Irish Basis'!$C$5,2)</f>
        <v/>
      </c>
      <c r="O1864" s="10">
        <f>ROUND(J1864*'Irish Basis'!$C$7*'Irish Basis'!$C$5,2)</f>
        <v/>
      </c>
      <c r="P1864" s="10">
        <f>ROUND(K1864*'Irish Basis'!$C$8*'Irish Basis'!$C$5,2)</f>
        <v/>
      </c>
      <c r="Q1864" s="10">
        <f>ROUND(L1864*'Irish Basis'!$C$12*'Irish Basis'!$C$5,2)</f>
        <v/>
      </c>
      <c r="R1864" s="11">
        <f>ROUND(SUM(N1864:Q1864),2)</f>
        <v/>
      </c>
      <c r="S1864" s="5" t="inlineStr">
        <is>
          <t>Stated build-up</t>
        </is>
      </c>
      <c r="T1864" s="12" t="inlineStr">
        <is>
          <t>High</t>
        </is>
      </c>
      <c r="U1864" s="8" t="n">
        <v>36.96</v>
      </c>
      <c r="V1864" s="13">
        <f>IF(U1864="","",ROUND(M1864-U1864,2))</f>
        <v/>
      </c>
      <c r="W1864" s="5" t="n"/>
      <c r="X1864" s="5" t="inlineStr">
        <is>
          <t>Labour + plant + material as published; reconciles to the published rate.</t>
        </is>
      </c>
    </row>
    <row r="1865" ht="13" customHeight="1">
      <c r="A1865" s="4" t="n">
        <v>2898</v>
      </c>
      <c r="B1865" s="5" t="inlineStr">
        <is>
          <t>IMG_0104</t>
        </is>
      </c>
      <c r="C1865" s="5" t="inlineStr">
        <is>
          <t>CLASS K: PIPEWORK - MANHOLES AND PIPEWORK ANCILLARIES</t>
        </is>
      </c>
      <c r="D1865" s="5" t="inlineStr">
        <is>
          <t>01 MANHOLES</t>
        </is>
      </c>
      <c r="E1865" s="5" t="inlineStr">
        <is>
          <t>675 dia. x 500 depth to invert</t>
        </is>
      </c>
      <c r="F1865" s="5" t="inlineStr">
        <is>
          <t>concrete benching, main and branch channels</t>
        </is>
      </c>
      <c r="G1865" s="6" t="inlineStr">
        <is>
          <t>nr</t>
        </is>
      </c>
      <c r="H1865" s="7" t="n">
        <v>2.38</v>
      </c>
      <c r="I1865" s="8" t="n">
        <v>65.09</v>
      </c>
      <c r="J1865" s="8" t="n">
        <v>13.31</v>
      </c>
      <c r="K1865" s="8" t="n">
        <v>139.72</v>
      </c>
      <c r="L1865" s="8" t="n">
        <v>0</v>
      </c>
      <c r="M1865" s="9">
        <f>ROUND(SUM(I1865:L1865),2)</f>
        <v/>
      </c>
      <c r="N1865" s="10">
        <f>ROUND(I1865*'Irish Basis'!$C$6*'Irish Basis'!$C$5,2)</f>
        <v/>
      </c>
      <c r="O1865" s="10">
        <f>ROUND(J1865*'Irish Basis'!$C$7*'Irish Basis'!$C$5,2)</f>
        <v/>
      </c>
      <c r="P1865" s="10">
        <f>ROUND(K1865*'Irish Basis'!$C$8*'Irish Basis'!$C$5,2)</f>
        <v/>
      </c>
      <c r="Q1865" s="10">
        <f>ROUND(L1865*'Irish Basis'!$C$12*'Irish Basis'!$C$5,2)</f>
        <v/>
      </c>
      <c r="R1865" s="11">
        <f>ROUND(SUM(N1865:Q1865),2)</f>
        <v/>
      </c>
      <c r="S1865" s="5" t="inlineStr">
        <is>
          <t>Stated build-up</t>
        </is>
      </c>
      <c r="T1865" s="12" t="inlineStr">
        <is>
          <t>High</t>
        </is>
      </c>
      <c r="U1865" s="8" t="n">
        <v>218.13</v>
      </c>
      <c r="V1865" s="13">
        <f>IF(U1865="","",ROUND(M1865-U1865,2))</f>
        <v/>
      </c>
      <c r="W1865" s="5" t="n"/>
      <c r="X1865" s="5" t="inlineStr">
        <is>
          <t>Labour + plant + material as published; reconciles to the published rate.</t>
        </is>
      </c>
    </row>
    <row r="1866" ht="13" customHeight="1">
      <c r="A1866" s="4" t="n">
        <v>2899</v>
      </c>
      <c r="B1866" s="5" t="inlineStr">
        <is>
          <t>IMG_0104</t>
        </is>
      </c>
      <c r="C1866" s="5" t="inlineStr">
        <is>
          <t>CLASS K: PIPEWORK - MANHOLES AND PIPEWORK ANCILLARIES</t>
        </is>
      </c>
      <c r="D1866" s="5" t="inlineStr">
        <is>
          <t>01 MANHOLES</t>
        </is>
      </c>
      <c r="E1866" s="5" t="inlineStr">
        <is>
          <t>675 dia. x 500 depth to invert</t>
        </is>
      </c>
      <c r="F1866" s="5" t="inlineStr">
        <is>
          <t>step irons</t>
        </is>
      </c>
      <c r="G1866" s="6" t="inlineStr">
        <is>
          <t>nr</t>
        </is>
      </c>
      <c r="H1866" s="7" t="n">
        <v>0.11</v>
      </c>
      <c r="I1866" s="8" t="n">
        <v>2.58</v>
      </c>
      <c r="J1866" s="8" t="n">
        <v>0.34</v>
      </c>
      <c r="K1866" s="8" t="n">
        <v>22.92</v>
      </c>
      <c r="L1866" s="8" t="n">
        <v>0</v>
      </c>
      <c r="M1866" s="9">
        <f>ROUND(SUM(I1866:L1866),2)</f>
        <v/>
      </c>
      <c r="N1866" s="10">
        <f>ROUND(I1866*'Irish Basis'!$C$6*'Irish Basis'!$C$5,2)</f>
        <v/>
      </c>
      <c r="O1866" s="10">
        <f>ROUND(J1866*'Irish Basis'!$C$7*'Irish Basis'!$C$5,2)</f>
        <v/>
      </c>
      <c r="P1866" s="10">
        <f>ROUND(K1866*'Irish Basis'!$C$8*'Irish Basis'!$C$5,2)</f>
        <v/>
      </c>
      <c r="Q1866" s="10">
        <f>ROUND(L1866*'Irish Basis'!$C$12*'Irish Basis'!$C$5,2)</f>
        <v/>
      </c>
      <c r="R1866" s="11">
        <f>ROUND(SUM(N1866:Q1866),2)</f>
        <v/>
      </c>
      <c r="S1866" s="5" t="inlineStr">
        <is>
          <t>Stated build-up</t>
        </is>
      </c>
      <c r="T1866" s="12" t="inlineStr">
        <is>
          <t>High</t>
        </is>
      </c>
      <c r="U1866" s="8" t="n">
        <v>25.84</v>
      </c>
      <c r="V1866" s="13">
        <f>IF(U1866="","",ROUND(M1866-U1866,2))</f>
        <v/>
      </c>
      <c r="W1866" s="5" t="n"/>
      <c r="X1866" s="5" t="inlineStr">
        <is>
          <t>Labour + plant + material as published; reconciles to the published rate.</t>
        </is>
      </c>
    </row>
    <row r="1867" ht="13" customHeight="1">
      <c r="A1867" s="4" t="n">
        <v>2900</v>
      </c>
      <c r="B1867" s="5" t="inlineStr">
        <is>
          <t>IMG_0104</t>
        </is>
      </c>
      <c r="C1867" s="5" t="inlineStr">
        <is>
          <t>CLASS K: PIPEWORK - MANHOLES AND PIPEWORK ANCILLARIES</t>
        </is>
      </c>
      <c r="D1867" s="5" t="inlineStr">
        <is>
          <t>01 MANHOLES</t>
        </is>
      </c>
      <c r="E1867" s="5" t="inlineStr">
        <is>
          <t>675 dia. x 500 depth to invert</t>
        </is>
      </c>
      <c r="F1867" s="5" t="inlineStr">
        <is>
          <t>access cover and frame</t>
        </is>
      </c>
      <c r="G1867" s="6" t="inlineStr">
        <is>
          <t>nr</t>
        </is>
      </c>
      <c r="H1867" s="7" t="n">
        <v>1.44</v>
      </c>
      <c r="I1867" s="8" t="n">
        <v>40.16</v>
      </c>
      <c r="J1867" s="8" t="n">
        <v>4.42</v>
      </c>
      <c r="K1867" s="8" t="n">
        <v>341.51</v>
      </c>
      <c r="L1867" s="8" t="n">
        <v>0</v>
      </c>
      <c r="M1867" s="9">
        <f>ROUND(SUM(I1867:L1867),2)</f>
        <v/>
      </c>
      <c r="N1867" s="10">
        <f>ROUND(I1867*'Irish Basis'!$C$6*'Irish Basis'!$C$5,2)</f>
        <v/>
      </c>
      <c r="O1867" s="10">
        <f>ROUND(J1867*'Irish Basis'!$C$7*'Irish Basis'!$C$5,2)</f>
        <v/>
      </c>
      <c r="P1867" s="10">
        <f>ROUND(K1867*'Irish Basis'!$C$8*'Irish Basis'!$C$5,2)</f>
        <v/>
      </c>
      <c r="Q1867" s="10">
        <f>ROUND(L1867*'Irish Basis'!$C$12*'Irish Basis'!$C$5,2)</f>
        <v/>
      </c>
      <c r="R1867" s="11">
        <f>ROUND(SUM(N1867:Q1867),2)</f>
        <v/>
      </c>
      <c r="S1867" s="5" t="inlineStr">
        <is>
          <t>Stated build-up</t>
        </is>
      </c>
      <c r="T1867" s="12" t="inlineStr">
        <is>
          <t>High</t>
        </is>
      </c>
      <c r="U1867" s="8" t="n">
        <v>386.09</v>
      </c>
      <c r="V1867" s="13">
        <f>IF(U1867="","",ROUND(M1867-U1867,2))</f>
        <v/>
      </c>
      <c r="W1867" s="5" t="n"/>
      <c r="X1867" s="5" t="inlineStr">
        <is>
          <t>Labour + plant + material as published; reconciles to the published rate.</t>
        </is>
      </c>
    </row>
    <row r="1868" ht="13" customHeight="1">
      <c r="A1868" s="4" t="n">
        <v>2901</v>
      </c>
      <c r="B1868" s="5" t="inlineStr">
        <is>
          <t>IMG_0104</t>
        </is>
      </c>
      <c r="C1868" s="5" t="inlineStr">
        <is>
          <t>CLASS K: PIPEWORK - MANHOLES AND PIPEWORK ANCILLARIES</t>
        </is>
      </c>
      <c r="D1868" s="5" t="inlineStr">
        <is>
          <t>01 MANHOLES</t>
        </is>
      </c>
      <c r="E1868" s="5" t="inlineStr">
        <is>
          <t>675 dia. x 500 depth to invert</t>
        </is>
      </c>
      <c r="F1868" s="5" t="inlineStr">
        <is>
          <t>TOTAL</t>
        </is>
      </c>
      <c r="G1868" s="6" t="inlineStr">
        <is>
          <t>nr</t>
        </is>
      </c>
      <c r="H1868" s="7" t="n">
        <v>8.34</v>
      </c>
      <c r="I1868" s="8" t="n">
        <v>252.02</v>
      </c>
      <c r="J1868" s="8" t="n">
        <v>115.71</v>
      </c>
      <c r="K1868" s="8" t="n">
        <v>694.4</v>
      </c>
      <c r="L1868" s="8" t="n">
        <v>0</v>
      </c>
      <c r="M1868" s="9">
        <f>ROUND(SUM(I1868:L1868),2)</f>
        <v/>
      </c>
      <c r="N1868" s="10">
        <f>ROUND(I1868*'Irish Basis'!$C$6*'Irish Basis'!$C$5,2)</f>
        <v/>
      </c>
      <c r="O1868" s="10">
        <f>ROUND(J1868*'Irish Basis'!$C$7*'Irish Basis'!$C$5,2)</f>
        <v/>
      </c>
      <c r="P1868" s="10">
        <f>ROUND(K1868*'Irish Basis'!$C$8*'Irish Basis'!$C$5,2)</f>
        <v/>
      </c>
      <c r="Q1868" s="10">
        <f>ROUND(L1868*'Irish Basis'!$C$12*'Irish Basis'!$C$5,2)</f>
        <v/>
      </c>
      <c r="R1868" s="11">
        <f>ROUND(SUM(N1868:Q1868),2)</f>
        <v/>
      </c>
      <c r="S1868" s="5" t="inlineStr">
        <is>
          <t>Stated build-up</t>
        </is>
      </c>
      <c r="T1868" s="12" t="inlineStr">
        <is>
          <t>High</t>
        </is>
      </c>
      <c r="U1868" s="8" t="n">
        <v>1062.13</v>
      </c>
      <c r="V1868" s="13">
        <f>IF(U1868="","",ROUND(M1868-U1868,2))</f>
        <v/>
      </c>
      <c r="W1868" s="5" t="n"/>
      <c r="X1868" s="5" t="inlineStr">
        <is>
          <t>Labour + plant + material as published; reconciles to the published rate.</t>
        </is>
      </c>
    </row>
    <row r="1869" ht="13" customHeight="1">
      <c r="A1869" s="4" t="n">
        <v>2903</v>
      </c>
      <c r="B1869" s="5" t="inlineStr">
        <is>
          <t>IMG_0104</t>
        </is>
      </c>
      <c r="C1869" s="5" t="inlineStr">
        <is>
          <t>CLASS K: PIPEWORK - MANHOLES AND PIPEWORK ANCILLARIES</t>
        </is>
      </c>
      <c r="D1869" s="5" t="inlineStr">
        <is>
          <t>01 MANHOLES</t>
        </is>
      </c>
      <c r="E1869" s="5" t="inlineStr">
        <is>
          <t>675 dia. x 750 depth to invert</t>
        </is>
      </c>
      <c r="F1869" s="5" t="inlineStr">
        <is>
          <t>excavation, support, backfilling and disposal</t>
        </is>
      </c>
      <c r="G1869" s="6" t="inlineStr">
        <is>
          <t>nr</t>
        </is>
      </c>
      <c r="H1869" s="7" t="n">
        <v>0.28</v>
      </c>
      <c r="I1869" s="8" t="n">
        <v>26.86</v>
      </c>
      <c r="J1869" s="8" t="n">
        <v>19.44</v>
      </c>
      <c r="K1869" s="8" t="n">
        <v>0</v>
      </c>
      <c r="L1869" s="8" t="n">
        <v>0</v>
      </c>
      <c r="M1869" s="9">
        <f>ROUND(SUM(I1869:L1869),2)</f>
        <v/>
      </c>
      <c r="N1869" s="10">
        <f>ROUND(I1869*'Irish Basis'!$C$6*'Irish Basis'!$C$5,2)</f>
        <v/>
      </c>
      <c r="O1869" s="10">
        <f>ROUND(J1869*'Irish Basis'!$C$7*'Irish Basis'!$C$5,2)</f>
        <v/>
      </c>
      <c r="P1869" s="10">
        <f>ROUND(K1869*'Irish Basis'!$C$8*'Irish Basis'!$C$5,2)</f>
        <v/>
      </c>
      <c r="Q1869" s="10">
        <f>ROUND(L1869*'Irish Basis'!$C$12*'Irish Basis'!$C$5,2)</f>
        <v/>
      </c>
      <c r="R1869" s="11">
        <f>ROUND(SUM(N1869:Q1869),2)</f>
        <v/>
      </c>
      <c r="S1869" s="5" t="inlineStr">
        <is>
          <t>Stated build-up</t>
        </is>
      </c>
      <c r="T1869" s="12" t="inlineStr">
        <is>
          <t>High</t>
        </is>
      </c>
      <c r="U1869" s="8" t="n">
        <v>46.3</v>
      </c>
      <c r="V1869" s="13">
        <f>IF(U1869="","",ROUND(M1869-U1869,2))</f>
        <v/>
      </c>
      <c r="W1869" s="5" t="n"/>
      <c r="X1869" s="5" t="inlineStr">
        <is>
          <t>Labour + plant + material as published; reconciles to the published rate.</t>
        </is>
      </c>
    </row>
    <row r="1870" ht="13" customHeight="1">
      <c r="A1870" s="4" t="n">
        <v>2904</v>
      </c>
      <c r="B1870" s="5" t="inlineStr">
        <is>
          <t>IMG_0104</t>
        </is>
      </c>
      <c r="C1870" s="5" t="inlineStr">
        <is>
          <t>CLASS K: PIPEWORK - MANHOLES AND PIPEWORK ANCILLARIES</t>
        </is>
      </c>
      <c r="D1870" s="5" t="inlineStr">
        <is>
          <t>01 MANHOLES</t>
        </is>
      </c>
      <c r="E1870" s="5" t="inlineStr">
        <is>
          <t>675 dia. x 750 depth to invert</t>
        </is>
      </c>
      <c r="F1870" s="5" t="inlineStr">
        <is>
          <t>concrete base</t>
        </is>
      </c>
      <c r="G1870" s="6" t="inlineStr">
        <is>
          <t>nr</t>
        </is>
      </c>
      <c r="H1870" s="7" t="n">
        <v>0.27</v>
      </c>
      <c r="I1870" s="8" t="n">
        <v>7.13</v>
      </c>
      <c r="J1870" s="8" t="n">
        <v>2.47</v>
      </c>
      <c r="K1870" s="8" t="n">
        <v>23.41</v>
      </c>
      <c r="L1870" s="8" t="n">
        <v>0</v>
      </c>
      <c r="M1870" s="9">
        <f>ROUND(SUM(I1870:L1870),2)</f>
        <v/>
      </c>
      <c r="N1870" s="10">
        <f>ROUND(I1870*'Irish Basis'!$C$6*'Irish Basis'!$C$5,2)</f>
        <v/>
      </c>
      <c r="O1870" s="10">
        <f>ROUND(J1870*'Irish Basis'!$C$7*'Irish Basis'!$C$5,2)</f>
        <v/>
      </c>
      <c r="P1870" s="10">
        <f>ROUND(K1870*'Irish Basis'!$C$8*'Irish Basis'!$C$5,2)</f>
        <v/>
      </c>
      <c r="Q1870" s="10">
        <f>ROUND(L1870*'Irish Basis'!$C$12*'Irish Basis'!$C$5,2)</f>
        <v/>
      </c>
      <c r="R1870" s="11">
        <f>ROUND(SUM(N1870:Q1870),2)</f>
        <v/>
      </c>
      <c r="S1870" s="5" t="inlineStr">
        <is>
          <t>Stated build-up</t>
        </is>
      </c>
      <c r="T1870" s="12" t="inlineStr">
        <is>
          <t>High</t>
        </is>
      </c>
      <c r="U1870" s="8" t="n">
        <v>33.01</v>
      </c>
      <c r="V1870" s="13">
        <f>IF(U1870="","",ROUND(M1870-U1870,2))</f>
        <v/>
      </c>
      <c r="W1870" s="5" t="n"/>
      <c r="X1870" s="5" t="inlineStr">
        <is>
          <t>Labour + plant + material as published; reconciles to the published rate.</t>
        </is>
      </c>
    </row>
    <row r="1871" ht="13" customHeight="1">
      <c r="A1871" s="4" t="n">
        <v>2905</v>
      </c>
      <c r="B1871" s="5" t="inlineStr">
        <is>
          <t>IMG_0104</t>
        </is>
      </c>
      <c r="C1871" s="5" t="inlineStr">
        <is>
          <t>CLASS K: PIPEWORK - MANHOLES AND PIPEWORK ANCILLARIES</t>
        </is>
      </c>
      <c r="D1871" s="5" t="inlineStr">
        <is>
          <t>01 MANHOLES</t>
        </is>
      </c>
      <c r="E1871" s="5" t="inlineStr">
        <is>
          <t>675 dia. x 750 depth to invert</t>
        </is>
      </c>
      <c r="F1871" s="5" t="inlineStr">
        <is>
          <t>main chamber rings</t>
        </is>
      </c>
      <c r="G1871" s="6" t="inlineStr">
        <is>
          <t>nr</t>
        </is>
      </c>
      <c r="H1871" s="7" t="n">
        <v>2.4</v>
      </c>
      <c r="I1871" s="8" t="n">
        <v>73.56999999999999</v>
      </c>
      <c r="J1871" s="8" t="n">
        <v>54.54</v>
      </c>
      <c r="K1871" s="8" t="n">
        <v>65.48</v>
      </c>
      <c r="L1871" s="8" t="n">
        <v>0</v>
      </c>
      <c r="M1871" s="9">
        <f>ROUND(SUM(I1871:L1871),2)</f>
        <v/>
      </c>
      <c r="N1871" s="10">
        <f>ROUND(I1871*'Irish Basis'!$C$6*'Irish Basis'!$C$5,2)</f>
        <v/>
      </c>
      <c r="O1871" s="10">
        <f>ROUND(J1871*'Irish Basis'!$C$7*'Irish Basis'!$C$5,2)</f>
        <v/>
      </c>
      <c r="P1871" s="10">
        <f>ROUND(K1871*'Irish Basis'!$C$8*'Irish Basis'!$C$5,2)</f>
        <v/>
      </c>
      <c r="Q1871" s="10">
        <f>ROUND(L1871*'Irish Basis'!$C$12*'Irish Basis'!$C$5,2)</f>
        <v/>
      </c>
      <c r="R1871" s="11">
        <f>ROUND(SUM(N1871:Q1871),2)</f>
        <v/>
      </c>
      <c r="S1871" s="5" t="inlineStr">
        <is>
          <t>Stated build-up</t>
        </is>
      </c>
      <c r="T1871" s="12" t="inlineStr">
        <is>
          <t>High</t>
        </is>
      </c>
      <c r="U1871" s="8" t="n">
        <v>193.6</v>
      </c>
      <c r="V1871" s="13">
        <f>IF(U1871="","",ROUND(M1871-U1871,2))</f>
        <v/>
      </c>
      <c r="W1871" s="5" t="n"/>
      <c r="X1871" s="5" t="inlineStr">
        <is>
          <t>Labour + plant + material as published; reconciles to the published rate.</t>
        </is>
      </c>
    </row>
    <row r="1872" ht="13" customHeight="1">
      <c r="A1872" s="4" t="n">
        <v>2906</v>
      </c>
      <c r="B1872" s="5" t="inlineStr">
        <is>
          <t>IMG_0104</t>
        </is>
      </c>
      <c r="C1872" s="5" t="inlineStr">
        <is>
          <t>CLASS K: PIPEWORK - MANHOLES AND PIPEWORK ANCILLARIES</t>
        </is>
      </c>
      <c r="D1872" s="5" t="inlineStr">
        <is>
          <t>01 MANHOLES</t>
        </is>
      </c>
      <c r="E1872" s="5" t="inlineStr">
        <is>
          <t>675 dia. x 750 depth to invert</t>
        </is>
      </c>
      <c r="F1872" s="5" t="inlineStr">
        <is>
          <t>cover slab</t>
        </is>
      </c>
      <c r="G1872" s="6" t="inlineStr">
        <is>
          <t>nr</t>
        </is>
      </c>
      <c r="H1872" s="7" t="n">
        <v>1.98</v>
      </c>
      <c r="I1872" s="8" t="n">
        <v>59.86</v>
      </c>
      <c r="J1872" s="8" t="n">
        <v>41.85</v>
      </c>
      <c r="K1872" s="8" t="n">
        <v>99.81</v>
      </c>
      <c r="L1872" s="8" t="n">
        <v>0</v>
      </c>
      <c r="M1872" s="9">
        <f>ROUND(SUM(I1872:L1872),2)</f>
        <v/>
      </c>
      <c r="N1872" s="10">
        <f>ROUND(I1872*'Irish Basis'!$C$6*'Irish Basis'!$C$5,2)</f>
        <v/>
      </c>
      <c r="O1872" s="10">
        <f>ROUND(J1872*'Irish Basis'!$C$7*'Irish Basis'!$C$5,2)</f>
        <v/>
      </c>
      <c r="P1872" s="10">
        <f>ROUND(K1872*'Irish Basis'!$C$8*'Irish Basis'!$C$5,2)</f>
        <v/>
      </c>
      <c r="Q1872" s="10">
        <f>ROUND(L1872*'Irish Basis'!$C$12*'Irish Basis'!$C$5,2)</f>
        <v/>
      </c>
      <c r="R1872" s="11">
        <f>ROUND(SUM(N1872:Q1872),2)</f>
        <v/>
      </c>
      <c r="S1872" s="5" t="inlineStr">
        <is>
          <t>Stated build-up</t>
        </is>
      </c>
      <c r="T1872" s="12" t="inlineStr">
        <is>
          <t>High</t>
        </is>
      </c>
      <c r="U1872" s="8" t="n">
        <v>201.51</v>
      </c>
      <c r="V1872" s="13">
        <f>IF(U1872="","",ROUND(M1872-U1872,2))</f>
        <v/>
      </c>
      <c r="W1872" s="5" t="n"/>
      <c r="X1872" s="5" t="inlineStr">
        <is>
          <t>Labour + plant + material as published; reconciles to the published rate.</t>
        </is>
      </c>
    </row>
    <row r="1873" ht="13" customHeight="1">
      <c r="A1873" s="4" t="n">
        <v>2908</v>
      </c>
      <c r="B1873" s="5" t="inlineStr">
        <is>
          <t>IMG_0105</t>
        </is>
      </c>
      <c r="C1873" s="5" t="inlineStr">
        <is>
          <t>CLASS K: PIPEWORK - MANHOLES AND PIPEWORK ANCILLARIES</t>
        </is>
      </c>
      <c r="D1873" s="5" t="inlineStr">
        <is>
          <t>01 MANHOLES</t>
        </is>
      </c>
      <c r="E1873" s="5" t="inlineStr">
        <is>
          <t>Precast concrete construction; 675 dia. x 750 depth to invert (continued)</t>
        </is>
      </c>
      <c r="F1873" s="5" t="inlineStr">
        <is>
          <t>concrete surround</t>
        </is>
      </c>
      <c r="G1873" s="6" t="inlineStr">
        <is>
          <t>nr</t>
        </is>
      </c>
      <c r="H1873" s="7" t="n">
        <v>0.55</v>
      </c>
      <c r="I1873" s="8" t="n">
        <v>14.68</v>
      </c>
      <c r="J1873" s="8" t="n">
        <v>5.71</v>
      </c>
      <c r="K1873" s="8" t="n">
        <v>35.05</v>
      </c>
      <c r="L1873" s="8" t="n">
        <v>0</v>
      </c>
      <c r="M1873" s="9">
        <f>ROUND(SUM(I1873:L1873),2)</f>
        <v/>
      </c>
      <c r="N1873" s="10">
        <f>ROUND(I1873*'Irish Basis'!$C$6*'Irish Basis'!$C$5,2)</f>
        <v/>
      </c>
      <c r="O1873" s="10">
        <f>ROUND(J1873*'Irish Basis'!$C$7*'Irish Basis'!$C$5,2)</f>
        <v/>
      </c>
      <c r="P1873" s="10">
        <f>ROUND(K1873*'Irish Basis'!$C$8*'Irish Basis'!$C$5,2)</f>
        <v/>
      </c>
      <c r="Q1873" s="10">
        <f>ROUND(L1873*'Irish Basis'!$C$12*'Irish Basis'!$C$5,2)</f>
        <v/>
      </c>
      <c r="R1873" s="11">
        <f>ROUND(SUM(N1873:Q1873),2)</f>
        <v/>
      </c>
      <c r="S1873" s="5" t="inlineStr">
        <is>
          <t>Stated build-up</t>
        </is>
      </c>
      <c r="T1873" s="12" t="inlineStr">
        <is>
          <t>High</t>
        </is>
      </c>
      <c r="U1873" s="8" t="n">
        <v>55.45</v>
      </c>
      <c r="V1873" s="13">
        <f>IF(U1873="","",ROUND(M1873-U1873,2))</f>
        <v/>
      </c>
      <c r="W1873" s="5" t="n"/>
      <c r="X1873" s="5" t="inlineStr">
        <is>
          <t>Labour + plant + material as published; reconciles to the published rate.</t>
        </is>
      </c>
    </row>
    <row r="1874" ht="13" customHeight="1">
      <c r="A1874" s="4" t="n">
        <v>2909</v>
      </c>
      <c r="B1874" s="5" t="inlineStr">
        <is>
          <t>IMG_0105</t>
        </is>
      </c>
      <c r="C1874" s="5" t="inlineStr">
        <is>
          <t>CLASS K: PIPEWORK - MANHOLES AND PIPEWORK ANCILLARIES</t>
        </is>
      </c>
      <c r="D1874" s="5" t="inlineStr">
        <is>
          <t>01 MANHOLES</t>
        </is>
      </c>
      <c r="E1874" s="5" t="inlineStr">
        <is>
          <t>Precast concrete construction; 675 dia. x 750 depth to invert (continued)</t>
        </is>
      </c>
      <c r="F1874" s="5" t="inlineStr">
        <is>
          <t>concrete benching, main and branch channels</t>
        </is>
      </c>
      <c r="G1874" s="6" t="inlineStr">
        <is>
          <t>nr</t>
        </is>
      </c>
      <c r="H1874" s="7" t="n">
        <v>2.38</v>
      </c>
      <c r="I1874" s="8" t="n">
        <v>65.09</v>
      </c>
      <c r="J1874" s="8" t="n">
        <v>13.31</v>
      </c>
      <c r="K1874" s="8" t="n">
        <v>139.72</v>
      </c>
      <c r="L1874" s="8" t="n">
        <v>0</v>
      </c>
      <c r="M1874" s="9">
        <f>ROUND(SUM(I1874:L1874),2)</f>
        <v/>
      </c>
      <c r="N1874" s="10">
        <f>ROUND(I1874*'Irish Basis'!$C$6*'Irish Basis'!$C$5,2)</f>
        <v/>
      </c>
      <c r="O1874" s="10">
        <f>ROUND(J1874*'Irish Basis'!$C$7*'Irish Basis'!$C$5,2)</f>
        <v/>
      </c>
      <c r="P1874" s="10">
        <f>ROUND(K1874*'Irish Basis'!$C$8*'Irish Basis'!$C$5,2)</f>
        <v/>
      </c>
      <c r="Q1874" s="10">
        <f>ROUND(L1874*'Irish Basis'!$C$12*'Irish Basis'!$C$5,2)</f>
        <v/>
      </c>
      <c r="R1874" s="11">
        <f>ROUND(SUM(N1874:Q1874),2)</f>
        <v/>
      </c>
      <c r="S1874" s="5" t="inlineStr">
        <is>
          <t>Stated build-up</t>
        </is>
      </c>
      <c r="T1874" s="12" t="inlineStr">
        <is>
          <t>High</t>
        </is>
      </c>
      <c r="U1874" s="8" t="n">
        <v>218.13</v>
      </c>
      <c r="V1874" s="13">
        <f>IF(U1874="","",ROUND(M1874-U1874,2))</f>
        <v/>
      </c>
      <c r="W1874" s="5" t="n"/>
      <c r="X1874" s="5" t="inlineStr">
        <is>
          <t>Labour + plant + material as published; reconciles to the published rate.</t>
        </is>
      </c>
    </row>
    <row r="1875" ht="13" customHeight="1">
      <c r="A1875" s="4" t="n">
        <v>2910</v>
      </c>
      <c r="B1875" s="5" t="inlineStr">
        <is>
          <t>IMG_0105</t>
        </is>
      </c>
      <c r="C1875" s="5" t="inlineStr">
        <is>
          <t>CLASS K: PIPEWORK - MANHOLES AND PIPEWORK ANCILLARIES</t>
        </is>
      </c>
      <c r="D1875" s="5" t="inlineStr">
        <is>
          <t>01 MANHOLES</t>
        </is>
      </c>
      <c r="E1875" s="5" t="inlineStr">
        <is>
          <t>Precast concrete construction; 675 dia. x 750 depth to invert (continued)</t>
        </is>
      </c>
      <c r="F1875" s="5" t="inlineStr">
        <is>
          <t>step irons</t>
        </is>
      </c>
      <c r="G1875" s="6" t="inlineStr">
        <is>
          <t>nr</t>
        </is>
      </c>
      <c r="H1875" s="7" t="n">
        <v>0.21</v>
      </c>
      <c r="I1875" s="8" t="n">
        <v>5.15</v>
      </c>
      <c r="J1875" s="8" t="n">
        <v>0.68</v>
      </c>
      <c r="K1875" s="8" t="n">
        <v>45.84</v>
      </c>
      <c r="L1875" s="8" t="n">
        <v>0</v>
      </c>
      <c r="M1875" s="9">
        <f>ROUND(SUM(I1875:L1875),2)</f>
        <v/>
      </c>
      <c r="N1875" s="10">
        <f>ROUND(I1875*'Irish Basis'!$C$6*'Irish Basis'!$C$5,2)</f>
        <v/>
      </c>
      <c r="O1875" s="10">
        <f>ROUND(J1875*'Irish Basis'!$C$7*'Irish Basis'!$C$5,2)</f>
        <v/>
      </c>
      <c r="P1875" s="10">
        <f>ROUND(K1875*'Irish Basis'!$C$8*'Irish Basis'!$C$5,2)</f>
        <v/>
      </c>
      <c r="Q1875" s="10">
        <f>ROUND(L1875*'Irish Basis'!$C$12*'Irish Basis'!$C$5,2)</f>
        <v/>
      </c>
      <c r="R1875" s="11">
        <f>ROUND(SUM(N1875:Q1875),2)</f>
        <v/>
      </c>
      <c r="S1875" s="5" t="inlineStr">
        <is>
          <t>Stated build-up</t>
        </is>
      </c>
      <c r="T1875" s="12" t="inlineStr">
        <is>
          <t>High</t>
        </is>
      </c>
      <c r="U1875" s="8" t="n">
        <v>51.68</v>
      </c>
      <c r="V1875" s="13">
        <f>IF(U1875="","",ROUND(M1875-U1875,2))</f>
        <v/>
      </c>
      <c r="W1875" s="5" t="n"/>
      <c r="X1875" s="5" t="inlineStr">
        <is>
          <t>Labour + plant + material as published; reconciles to the published rate.</t>
        </is>
      </c>
    </row>
    <row r="1876" ht="13" customHeight="1">
      <c r="A1876" s="4" t="n">
        <v>2911</v>
      </c>
      <c r="B1876" s="5" t="inlineStr">
        <is>
          <t>IMG_0105</t>
        </is>
      </c>
      <c r="C1876" s="5" t="inlineStr">
        <is>
          <t>CLASS K: PIPEWORK - MANHOLES AND PIPEWORK ANCILLARIES</t>
        </is>
      </c>
      <c r="D1876" s="5" t="inlineStr">
        <is>
          <t>01 MANHOLES</t>
        </is>
      </c>
      <c r="E1876" s="5" t="inlineStr">
        <is>
          <t>Precast concrete construction; 675 dia. x 750 depth to invert (continued)</t>
        </is>
      </c>
      <c r="F1876" s="5" t="inlineStr">
        <is>
          <t>access cover and frame</t>
        </is>
      </c>
      <c r="G1876" s="6" t="inlineStr">
        <is>
          <t>nr</t>
        </is>
      </c>
      <c r="H1876" s="7" t="n">
        <v>1.44</v>
      </c>
      <c r="I1876" s="8" t="n">
        <v>40.16</v>
      </c>
      <c r="J1876" s="8" t="n">
        <v>4.42</v>
      </c>
      <c r="K1876" s="8" t="n">
        <v>341.51</v>
      </c>
      <c r="L1876" s="8" t="n">
        <v>0</v>
      </c>
      <c r="M1876" s="9">
        <f>ROUND(SUM(I1876:L1876),2)</f>
        <v/>
      </c>
      <c r="N1876" s="10">
        <f>ROUND(I1876*'Irish Basis'!$C$6*'Irish Basis'!$C$5,2)</f>
        <v/>
      </c>
      <c r="O1876" s="10">
        <f>ROUND(J1876*'Irish Basis'!$C$7*'Irish Basis'!$C$5,2)</f>
        <v/>
      </c>
      <c r="P1876" s="10">
        <f>ROUND(K1876*'Irish Basis'!$C$8*'Irish Basis'!$C$5,2)</f>
        <v/>
      </c>
      <c r="Q1876" s="10">
        <f>ROUND(L1876*'Irish Basis'!$C$12*'Irish Basis'!$C$5,2)</f>
        <v/>
      </c>
      <c r="R1876" s="11">
        <f>ROUND(SUM(N1876:Q1876),2)</f>
        <v/>
      </c>
      <c r="S1876" s="5" t="inlineStr">
        <is>
          <t>Stated build-up</t>
        </is>
      </c>
      <c r="T1876" s="12" t="inlineStr">
        <is>
          <t>High</t>
        </is>
      </c>
      <c r="U1876" s="8" t="n">
        <v>386.09</v>
      </c>
      <c r="V1876" s="13">
        <f>IF(U1876="","",ROUND(M1876-U1876,2))</f>
        <v/>
      </c>
      <c r="W1876" s="5" t="n"/>
      <c r="X1876" s="5" t="inlineStr">
        <is>
          <t>Labour + plant + material as published; reconciles to the published rate.</t>
        </is>
      </c>
    </row>
    <row r="1877" ht="13" customHeight="1">
      <c r="A1877" s="4" t="n">
        <v>2912</v>
      </c>
      <c r="B1877" s="5" t="inlineStr">
        <is>
          <t>IMG_0105</t>
        </is>
      </c>
      <c r="C1877" s="5" t="inlineStr">
        <is>
          <t>CLASS K: PIPEWORK - MANHOLES AND PIPEWORK ANCILLARIES</t>
        </is>
      </c>
      <c r="D1877" s="5" t="inlineStr">
        <is>
          <t>01 MANHOLES</t>
        </is>
      </c>
      <c r="E1877" s="5" t="inlineStr">
        <is>
          <t>Precast concrete construction; 675 dia. x 750 depth to invert (continued)</t>
        </is>
      </c>
      <c r="F1877" s="5" t="inlineStr">
        <is>
          <t>TOTAL</t>
        </is>
      </c>
      <c r="G1877" s="6" t="inlineStr">
        <is>
          <t>nr</t>
        </is>
      </c>
      <c r="H1877" s="7" t="n">
        <v>9.51</v>
      </c>
      <c r="I1877" s="8" t="n">
        <v>292.51</v>
      </c>
      <c r="J1877" s="8" t="n">
        <v>142.42</v>
      </c>
      <c r="K1877" s="8" t="n">
        <v>750.84</v>
      </c>
      <c r="L1877" s="8" t="n">
        <v>0</v>
      </c>
      <c r="M1877" s="9">
        <f>ROUND(SUM(I1877:L1877),2)</f>
        <v/>
      </c>
      <c r="N1877" s="10">
        <f>ROUND(I1877*'Irish Basis'!$C$6*'Irish Basis'!$C$5,2)</f>
        <v/>
      </c>
      <c r="O1877" s="10">
        <f>ROUND(J1877*'Irish Basis'!$C$7*'Irish Basis'!$C$5,2)</f>
        <v/>
      </c>
      <c r="P1877" s="10">
        <f>ROUND(K1877*'Irish Basis'!$C$8*'Irish Basis'!$C$5,2)</f>
        <v/>
      </c>
      <c r="Q1877" s="10">
        <f>ROUND(L1877*'Irish Basis'!$C$12*'Irish Basis'!$C$5,2)</f>
        <v/>
      </c>
      <c r="R1877" s="11">
        <f>ROUND(SUM(N1877:Q1877),2)</f>
        <v/>
      </c>
      <c r="S1877" s="5" t="inlineStr">
        <is>
          <t>Stated build-up</t>
        </is>
      </c>
      <c r="T1877" s="12" t="inlineStr">
        <is>
          <t>High</t>
        </is>
      </c>
      <c r="U1877" s="8" t="n">
        <v>1185.76</v>
      </c>
      <c r="V1877" s="13">
        <f>IF(U1877="","",ROUND(M1877-U1877,2))</f>
        <v/>
      </c>
      <c r="W1877" s="5" t="n"/>
      <c r="X1877" s="5" t="inlineStr">
        <is>
          <t>Labour + plant + material as published; reconciles to the published rate.</t>
        </is>
      </c>
    </row>
    <row r="1878" ht="13" customHeight="1">
      <c r="A1878" s="4" t="n">
        <v>2914</v>
      </c>
      <c r="B1878" s="5" t="inlineStr">
        <is>
          <t>IMG_0105</t>
        </is>
      </c>
      <c r="C1878" s="5" t="inlineStr">
        <is>
          <t>CLASS K: PIPEWORK - MANHOLES AND PIPEWORK ANCILLARIES</t>
        </is>
      </c>
      <c r="D1878" s="5" t="inlineStr">
        <is>
          <t>01 MANHOLES</t>
        </is>
      </c>
      <c r="E1878" s="5" t="inlineStr">
        <is>
          <t>675 dia. x 1000 depth to invert</t>
        </is>
      </c>
      <c r="F1878" s="5" t="inlineStr">
        <is>
          <t>excavation, support, backfilling and disposal</t>
        </is>
      </c>
      <c r="G1878" s="6" t="inlineStr">
        <is>
          <t>nr</t>
        </is>
      </c>
      <c r="H1878" s="7" t="n">
        <v>0.38</v>
      </c>
      <c r="I1878" s="8" t="n">
        <v>36.05</v>
      </c>
      <c r="J1878" s="8" t="n">
        <v>26.01</v>
      </c>
      <c r="K1878" s="8" t="n">
        <v>0</v>
      </c>
      <c r="L1878" s="8" t="n">
        <v>0</v>
      </c>
      <c r="M1878" s="9">
        <f>ROUND(SUM(I1878:L1878),2)</f>
        <v/>
      </c>
      <c r="N1878" s="10">
        <f>ROUND(I1878*'Irish Basis'!$C$6*'Irish Basis'!$C$5,2)</f>
        <v/>
      </c>
      <c r="O1878" s="10">
        <f>ROUND(J1878*'Irish Basis'!$C$7*'Irish Basis'!$C$5,2)</f>
        <v/>
      </c>
      <c r="P1878" s="10">
        <f>ROUND(K1878*'Irish Basis'!$C$8*'Irish Basis'!$C$5,2)</f>
        <v/>
      </c>
      <c r="Q1878" s="10">
        <f>ROUND(L1878*'Irish Basis'!$C$12*'Irish Basis'!$C$5,2)</f>
        <v/>
      </c>
      <c r="R1878" s="11">
        <f>ROUND(SUM(N1878:Q1878),2)</f>
        <v/>
      </c>
      <c r="S1878" s="5" t="inlineStr">
        <is>
          <t>Stated build-up</t>
        </is>
      </c>
      <c r="T1878" s="12" t="inlineStr">
        <is>
          <t>High</t>
        </is>
      </c>
      <c r="U1878" s="8" t="n">
        <v>62.06</v>
      </c>
      <c r="V1878" s="13">
        <f>IF(U1878="","",ROUND(M1878-U1878,2))</f>
        <v/>
      </c>
      <c r="W1878" s="5" t="n"/>
      <c r="X1878" s="5" t="inlineStr">
        <is>
          <t>Labour + plant + material as published; reconciles to the published rate.</t>
        </is>
      </c>
    </row>
    <row r="1879" ht="13" customHeight="1">
      <c r="A1879" s="4" t="n">
        <v>2915</v>
      </c>
      <c r="B1879" s="5" t="inlineStr">
        <is>
          <t>IMG_0105</t>
        </is>
      </c>
      <c r="C1879" s="5" t="inlineStr">
        <is>
          <t>CLASS K: PIPEWORK - MANHOLES AND PIPEWORK ANCILLARIES</t>
        </is>
      </c>
      <c r="D1879" s="5" t="inlineStr">
        <is>
          <t>01 MANHOLES</t>
        </is>
      </c>
      <c r="E1879" s="5" t="inlineStr">
        <is>
          <t>675 dia. x 1000 depth to invert</t>
        </is>
      </c>
      <c r="F1879" s="5" t="inlineStr">
        <is>
          <t>concrete base</t>
        </is>
      </c>
      <c r="G1879" s="6" t="inlineStr">
        <is>
          <t>nr</t>
        </is>
      </c>
      <c r="H1879" s="7" t="n">
        <v>0.27</v>
      </c>
      <c r="I1879" s="8" t="n">
        <v>7.13</v>
      </c>
      <c r="J1879" s="8" t="n">
        <v>2.47</v>
      </c>
      <c r="K1879" s="8" t="n">
        <v>23.41</v>
      </c>
      <c r="L1879" s="8" t="n">
        <v>0</v>
      </c>
      <c r="M1879" s="9">
        <f>ROUND(SUM(I1879:L1879),2)</f>
        <v/>
      </c>
      <c r="N1879" s="10">
        <f>ROUND(I1879*'Irish Basis'!$C$6*'Irish Basis'!$C$5,2)</f>
        <v/>
      </c>
      <c r="O1879" s="10">
        <f>ROUND(J1879*'Irish Basis'!$C$7*'Irish Basis'!$C$5,2)</f>
        <v/>
      </c>
      <c r="P1879" s="10">
        <f>ROUND(K1879*'Irish Basis'!$C$8*'Irish Basis'!$C$5,2)</f>
        <v/>
      </c>
      <c r="Q1879" s="10">
        <f>ROUND(L1879*'Irish Basis'!$C$12*'Irish Basis'!$C$5,2)</f>
        <v/>
      </c>
      <c r="R1879" s="11">
        <f>ROUND(SUM(N1879:Q1879),2)</f>
        <v/>
      </c>
      <c r="S1879" s="5" t="inlineStr">
        <is>
          <t>Stated build-up</t>
        </is>
      </c>
      <c r="T1879" s="12" t="inlineStr">
        <is>
          <t>High</t>
        </is>
      </c>
      <c r="U1879" s="8" t="n">
        <v>33.01</v>
      </c>
      <c r="V1879" s="13">
        <f>IF(U1879="","",ROUND(M1879-U1879,2))</f>
        <v/>
      </c>
      <c r="W1879" s="5" t="n"/>
      <c r="X1879" s="5" t="inlineStr">
        <is>
          <t>Labour + plant + material as published; reconciles to the published rate.</t>
        </is>
      </c>
    </row>
    <row r="1880" ht="13" customHeight="1">
      <c r="A1880" s="4" t="n">
        <v>2916</v>
      </c>
      <c r="B1880" s="5" t="inlineStr">
        <is>
          <t>IMG_0105</t>
        </is>
      </c>
      <c r="C1880" s="5" t="inlineStr">
        <is>
          <t>CLASS K: PIPEWORK - MANHOLES AND PIPEWORK ANCILLARIES</t>
        </is>
      </c>
      <c r="D1880" s="5" t="inlineStr">
        <is>
          <t>01 MANHOLES</t>
        </is>
      </c>
      <c r="E1880" s="5" t="inlineStr">
        <is>
          <t>675 dia. x 1000 depth to invert</t>
        </is>
      </c>
      <c r="F1880" s="5" t="inlineStr">
        <is>
          <t>main chamber rings</t>
        </is>
      </c>
      <c r="G1880" s="6" t="inlineStr">
        <is>
          <t>nr</t>
        </is>
      </c>
      <c r="H1880" s="7" t="n">
        <v>3.2</v>
      </c>
      <c r="I1880" s="8" t="n">
        <v>98.09999999999999</v>
      </c>
      <c r="J1880" s="8" t="n">
        <v>72.72</v>
      </c>
      <c r="K1880" s="8" t="n">
        <v>87.31</v>
      </c>
      <c r="L1880" s="8" t="n">
        <v>0</v>
      </c>
      <c r="M1880" s="9">
        <f>ROUND(SUM(I1880:L1880),2)</f>
        <v/>
      </c>
      <c r="N1880" s="10">
        <f>ROUND(I1880*'Irish Basis'!$C$6*'Irish Basis'!$C$5,2)</f>
        <v/>
      </c>
      <c r="O1880" s="10">
        <f>ROUND(J1880*'Irish Basis'!$C$7*'Irish Basis'!$C$5,2)</f>
        <v/>
      </c>
      <c r="P1880" s="10">
        <f>ROUND(K1880*'Irish Basis'!$C$8*'Irish Basis'!$C$5,2)</f>
        <v/>
      </c>
      <c r="Q1880" s="10">
        <f>ROUND(L1880*'Irish Basis'!$C$12*'Irish Basis'!$C$5,2)</f>
        <v/>
      </c>
      <c r="R1880" s="11">
        <f>ROUND(SUM(N1880:Q1880),2)</f>
        <v/>
      </c>
      <c r="S1880" s="5" t="inlineStr">
        <is>
          <t>Stated build-up</t>
        </is>
      </c>
      <c r="T1880" s="12" t="inlineStr">
        <is>
          <t>High</t>
        </is>
      </c>
      <c r="U1880" s="8" t="n">
        <v>258.13</v>
      </c>
      <c r="V1880" s="13">
        <f>IF(U1880="","",ROUND(M1880-U1880,2))</f>
        <v/>
      </c>
      <c r="W1880" s="5" t="n"/>
      <c r="X1880" s="5" t="inlineStr">
        <is>
          <t>Labour + plant + material as published; reconciles to the published rate.</t>
        </is>
      </c>
    </row>
    <row r="1881" ht="13" customHeight="1">
      <c r="A1881" s="4" t="n">
        <v>2917</v>
      </c>
      <c r="B1881" s="5" t="inlineStr">
        <is>
          <t>IMG_0105</t>
        </is>
      </c>
      <c r="C1881" s="5" t="inlineStr">
        <is>
          <t>CLASS K: PIPEWORK - MANHOLES AND PIPEWORK ANCILLARIES</t>
        </is>
      </c>
      <c r="D1881" s="5" t="inlineStr">
        <is>
          <t>01 MANHOLES</t>
        </is>
      </c>
      <c r="E1881" s="5" t="inlineStr">
        <is>
          <t>675 dia. x 1000 depth to invert</t>
        </is>
      </c>
      <c r="F1881" s="5" t="inlineStr">
        <is>
          <t>cover slab</t>
        </is>
      </c>
      <c r="G1881" s="6" t="inlineStr">
        <is>
          <t>nr</t>
        </is>
      </c>
      <c r="H1881" s="7" t="n">
        <v>1.98</v>
      </c>
      <c r="I1881" s="8" t="n">
        <v>59.86</v>
      </c>
      <c r="J1881" s="8" t="n">
        <v>41.85</v>
      </c>
      <c r="K1881" s="8" t="n">
        <v>99.81</v>
      </c>
      <c r="L1881" s="8" t="n">
        <v>0</v>
      </c>
      <c r="M1881" s="9">
        <f>ROUND(SUM(I1881:L1881),2)</f>
        <v/>
      </c>
      <c r="N1881" s="10">
        <f>ROUND(I1881*'Irish Basis'!$C$6*'Irish Basis'!$C$5,2)</f>
        <v/>
      </c>
      <c r="O1881" s="10">
        <f>ROUND(J1881*'Irish Basis'!$C$7*'Irish Basis'!$C$5,2)</f>
        <v/>
      </c>
      <c r="P1881" s="10">
        <f>ROUND(K1881*'Irish Basis'!$C$8*'Irish Basis'!$C$5,2)</f>
        <v/>
      </c>
      <c r="Q1881" s="10">
        <f>ROUND(L1881*'Irish Basis'!$C$12*'Irish Basis'!$C$5,2)</f>
        <v/>
      </c>
      <c r="R1881" s="11">
        <f>ROUND(SUM(N1881:Q1881),2)</f>
        <v/>
      </c>
      <c r="S1881" s="5" t="inlineStr">
        <is>
          <t>Stated build-up</t>
        </is>
      </c>
      <c r="T1881" s="12" t="inlineStr">
        <is>
          <t>High</t>
        </is>
      </c>
      <c r="U1881" s="8" t="n">
        <v>201.51</v>
      </c>
      <c r="V1881" s="13">
        <f>IF(U1881="","",ROUND(M1881-U1881,2))</f>
        <v/>
      </c>
      <c r="W1881" s="5" t="n"/>
      <c r="X1881" s="5" t="inlineStr">
        <is>
          <t>Labour + plant + material as published; reconciles to the published rate.</t>
        </is>
      </c>
    </row>
    <row r="1882" ht="13" customHeight="1">
      <c r="A1882" s="4" t="n">
        <v>2918</v>
      </c>
      <c r="B1882" s="5" t="inlineStr">
        <is>
          <t>IMG_0105</t>
        </is>
      </c>
      <c r="C1882" s="5" t="inlineStr">
        <is>
          <t>CLASS K: PIPEWORK - MANHOLES AND PIPEWORK ANCILLARIES</t>
        </is>
      </c>
      <c r="D1882" s="5" t="inlineStr">
        <is>
          <t>01 MANHOLES</t>
        </is>
      </c>
      <c r="E1882" s="5" t="inlineStr">
        <is>
          <t>675 dia. x 1000 depth to invert</t>
        </is>
      </c>
      <c r="F1882" s="5" t="inlineStr">
        <is>
          <t>concrete surround</t>
        </is>
      </c>
      <c r="G1882" s="6" t="inlineStr">
        <is>
          <t>nr</t>
        </is>
      </c>
      <c r="H1882" s="7" t="n">
        <v>0.74</v>
      </c>
      <c r="I1882" s="8" t="n">
        <v>19.58</v>
      </c>
      <c r="J1882" s="8" t="n">
        <v>7.61</v>
      </c>
      <c r="K1882" s="8" t="n">
        <v>46.74</v>
      </c>
      <c r="L1882" s="8" t="n">
        <v>0</v>
      </c>
      <c r="M1882" s="9">
        <f>ROUND(SUM(I1882:L1882),2)</f>
        <v/>
      </c>
      <c r="N1882" s="10">
        <f>ROUND(I1882*'Irish Basis'!$C$6*'Irish Basis'!$C$5,2)</f>
        <v/>
      </c>
      <c r="O1882" s="10">
        <f>ROUND(J1882*'Irish Basis'!$C$7*'Irish Basis'!$C$5,2)</f>
        <v/>
      </c>
      <c r="P1882" s="10">
        <f>ROUND(K1882*'Irish Basis'!$C$8*'Irish Basis'!$C$5,2)</f>
        <v/>
      </c>
      <c r="Q1882" s="10">
        <f>ROUND(L1882*'Irish Basis'!$C$12*'Irish Basis'!$C$5,2)</f>
        <v/>
      </c>
      <c r="R1882" s="11">
        <f>ROUND(SUM(N1882:Q1882),2)</f>
        <v/>
      </c>
      <c r="S1882" s="5" t="inlineStr">
        <is>
          <t>Stated build-up</t>
        </is>
      </c>
      <c r="T1882" s="12" t="inlineStr">
        <is>
          <t>High</t>
        </is>
      </c>
      <c r="U1882" s="8" t="n">
        <v>73.93000000000001</v>
      </c>
      <c r="V1882" s="13">
        <f>IF(U1882="","",ROUND(M1882-U1882,2))</f>
        <v/>
      </c>
      <c r="W1882" s="5" t="n"/>
      <c r="X1882" s="5" t="inlineStr">
        <is>
          <t>Labour + plant + material as published; reconciles to the published rate.</t>
        </is>
      </c>
    </row>
    <row r="1883" ht="13" customHeight="1">
      <c r="A1883" s="4" t="n">
        <v>2919</v>
      </c>
      <c r="B1883" s="5" t="inlineStr">
        <is>
          <t>IMG_0105</t>
        </is>
      </c>
      <c r="C1883" s="5" t="inlineStr">
        <is>
          <t>CLASS K: PIPEWORK - MANHOLES AND PIPEWORK ANCILLARIES</t>
        </is>
      </c>
      <c r="D1883" s="5" t="inlineStr">
        <is>
          <t>01 MANHOLES</t>
        </is>
      </c>
      <c r="E1883" s="5" t="inlineStr">
        <is>
          <t>675 dia. x 1000 depth to invert</t>
        </is>
      </c>
      <c r="F1883" s="5" t="inlineStr">
        <is>
          <t>concrete benching, main and branch channels</t>
        </is>
      </c>
      <c r="G1883" s="6" t="inlineStr">
        <is>
          <t>nr</t>
        </is>
      </c>
      <c r="H1883" s="7" t="n">
        <v>2.38</v>
      </c>
      <c r="I1883" s="8" t="n">
        <v>65.09</v>
      </c>
      <c r="J1883" s="8" t="n">
        <v>13.31</v>
      </c>
      <c r="K1883" s="8" t="n">
        <v>139.72</v>
      </c>
      <c r="L1883" s="8" t="n">
        <v>0</v>
      </c>
      <c r="M1883" s="9">
        <f>ROUND(SUM(I1883:L1883),2)</f>
        <v/>
      </c>
      <c r="N1883" s="10">
        <f>ROUND(I1883*'Irish Basis'!$C$6*'Irish Basis'!$C$5,2)</f>
        <v/>
      </c>
      <c r="O1883" s="10">
        <f>ROUND(J1883*'Irish Basis'!$C$7*'Irish Basis'!$C$5,2)</f>
        <v/>
      </c>
      <c r="P1883" s="10">
        <f>ROUND(K1883*'Irish Basis'!$C$8*'Irish Basis'!$C$5,2)</f>
        <v/>
      </c>
      <c r="Q1883" s="10">
        <f>ROUND(L1883*'Irish Basis'!$C$12*'Irish Basis'!$C$5,2)</f>
        <v/>
      </c>
      <c r="R1883" s="11">
        <f>ROUND(SUM(N1883:Q1883),2)</f>
        <v/>
      </c>
      <c r="S1883" s="5" t="inlineStr">
        <is>
          <t>Stated build-up</t>
        </is>
      </c>
      <c r="T1883" s="12" t="inlineStr">
        <is>
          <t>High</t>
        </is>
      </c>
      <c r="U1883" s="8" t="n">
        <v>218.13</v>
      </c>
      <c r="V1883" s="13">
        <f>IF(U1883="","",ROUND(M1883-U1883,2))</f>
        <v/>
      </c>
      <c r="W1883" s="5" t="n"/>
      <c r="X1883" s="5" t="inlineStr">
        <is>
          <t>Labour + plant + material as published; reconciles to the published rate.</t>
        </is>
      </c>
    </row>
    <row r="1884" ht="13" customHeight="1">
      <c r="A1884" s="4" t="n">
        <v>2920</v>
      </c>
      <c r="B1884" s="5" t="inlineStr">
        <is>
          <t>IMG_0105</t>
        </is>
      </c>
      <c r="C1884" s="5" t="inlineStr">
        <is>
          <t>CLASS K: PIPEWORK - MANHOLES AND PIPEWORK ANCILLARIES</t>
        </is>
      </c>
      <c r="D1884" s="5" t="inlineStr">
        <is>
          <t>01 MANHOLES</t>
        </is>
      </c>
      <c r="E1884" s="5" t="inlineStr">
        <is>
          <t>675 dia. x 1000 depth to invert</t>
        </is>
      </c>
      <c r="F1884" s="5" t="inlineStr">
        <is>
          <t>step irons</t>
        </is>
      </c>
      <c r="G1884" s="6" t="inlineStr">
        <is>
          <t>nr</t>
        </is>
      </c>
      <c r="H1884" s="7" t="n">
        <v>0.32</v>
      </c>
      <c r="I1884" s="8" t="n">
        <v>7.73</v>
      </c>
      <c r="J1884" s="8" t="n">
        <v>1.03</v>
      </c>
      <c r="K1884" s="8" t="n">
        <v>68.76000000000001</v>
      </c>
      <c r="L1884" s="8" t="n">
        <v>0</v>
      </c>
      <c r="M1884" s="9">
        <f>ROUND(SUM(I1884:L1884),2)</f>
        <v/>
      </c>
      <c r="N1884" s="10">
        <f>ROUND(I1884*'Irish Basis'!$C$6*'Irish Basis'!$C$5,2)</f>
        <v/>
      </c>
      <c r="O1884" s="10">
        <f>ROUND(J1884*'Irish Basis'!$C$7*'Irish Basis'!$C$5,2)</f>
        <v/>
      </c>
      <c r="P1884" s="10">
        <f>ROUND(K1884*'Irish Basis'!$C$8*'Irish Basis'!$C$5,2)</f>
        <v/>
      </c>
      <c r="Q1884" s="10">
        <f>ROUND(L1884*'Irish Basis'!$C$12*'Irish Basis'!$C$5,2)</f>
        <v/>
      </c>
      <c r="R1884" s="11">
        <f>ROUND(SUM(N1884:Q1884),2)</f>
        <v/>
      </c>
      <c r="S1884" s="5" t="inlineStr">
        <is>
          <t>Stated build-up</t>
        </is>
      </c>
      <c r="T1884" s="12" t="inlineStr">
        <is>
          <t>High</t>
        </is>
      </c>
      <c r="U1884" s="8" t="n">
        <v>77.52</v>
      </c>
      <c r="V1884" s="13">
        <f>IF(U1884="","",ROUND(M1884-U1884,2))</f>
        <v/>
      </c>
      <c r="W1884" s="5" t="n"/>
      <c r="X1884" s="5" t="inlineStr">
        <is>
          <t>Labour + plant + material as published; reconciles to the published rate.</t>
        </is>
      </c>
    </row>
    <row r="1885" ht="13" customHeight="1">
      <c r="A1885" s="4" t="n">
        <v>2921</v>
      </c>
      <c r="B1885" s="5" t="inlineStr">
        <is>
          <t>IMG_0105</t>
        </is>
      </c>
      <c r="C1885" s="5" t="inlineStr">
        <is>
          <t>CLASS K: PIPEWORK - MANHOLES AND PIPEWORK ANCILLARIES</t>
        </is>
      </c>
      <c r="D1885" s="5" t="inlineStr">
        <is>
          <t>01 MANHOLES</t>
        </is>
      </c>
      <c r="E1885" s="5" t="inlineStr">
        <is>
          <t>675 dia. x 1000 depth to invert</t>
        </is>
      </c>
      <c r="F1885" s="5" t="inlineStr">
        <is>
          <t>access cover and frame</t>
        </is>
      </c>
      <c r="G1885" s="6" t="inlineStr">
        <is>
          <t>nr</t>
        </is>
      </c>
      <c r="H1885" s="7" t="n">
        <v>1.44</v>
      </c>
      <c r="I1885" s="8" t="n">
        <v>40.16</v>
      </c>
      <c r="J1885" s="8" t="n">
        <v>4.42</v>
      </c>
      <c r="K1885" s="8" t="n">
        <v>341.51</v>
      </c>
      <c r="L1885" s="8" t="n">
        <v>0</v>
      </c>
      <c r="M1885" s="9">
        <f>ROUND(SUM(I1885:L1885),2)</f>
        <v/>
      </c>
      <c r="N1885" s="10">
        <f>ROUND(I1885*'Irish Basis'!$C$6*'Irish Basis'!$C$5,2)</f>
        <v/>
      </c>
      <c r="O1885" s="10">
        <f>ROUND(J1885*'Irish Basis'!$C$7*'Irish Basis'!$C$5,2)</f>
        <v/>
      </c>
      <c r="P1885" s="10">
        <f>ROUND(K1885*'Irish Basis'!$C$8*'Irish Basis'!$C$5,2)</f>
        <v/>
      </c>
      <c r="Q1885" s="10">
        <f>ROUND(L1885*'Irish Basis'!$C$12*'Irish Basis'!$C$5,2)</f>
        <v/>
      </c>
      <c r="R1885" s="11">
        <f>ROUND(SUM(N1885:Q1885),2)</f>
        <v/>
      </c>
      <c r="S1885" s="5" t="inlineStr">
        <is>
          <t>Stated build-up</t>
        </is>
      </c>
      <c r="T1885" s="12" t="inlineStr">
        <is>
          <t>High</t>
        </is>
      </c>
      <c r="U1885" s="8" t="n">
        <v>386.09</v>
      </c>
      <c r="V1885" s="13">
        <f>IF(U1885="","",ROUND(M1885-U1885,2))</f>
        <v/>
      </c>
      <c r="W1885" s="5" t="n"/>
      <c r="X1885" s="5" t="inlineStr">
        <is>
          <t>Labour + plant + material as published; reconciles to the published rate.</t>
        </is>
      </c>
    </row>
    <row r="1886" ht="13" customHeight="1">
      <c r="A1886" s="4" t="n">
        <v>2922</v>
      </c>
      <c r="B1886" s="5" t="inlineStr">
        <is>
          <t>IMG_0105</t>
        </is>
      </c>
      <c r="C1886" s="5" t="inlineStr">
        <is>
          <t>CLASS K: PIPEWORK - MANHOLES AND PIPEWORK ANCILLARIES</t>
        </is>
      </c>
      <c r="D1886" s="5" t="inlineStr">
        <is>
          <t>01 MANHOLES</t>
        </is>
      </c>
      <c r="E1886" s="5" t="inlineStr">
        <is>
          <t>675 dia. x 1000 depth to invert</t>
        </is>
      </c>
      <c r="F1886" s="5" t="inlineStr">
        <is>
          <t>TOTAL</t>
        </is>
      </c>
      <c r="G1886" s="6" t="inlineStr">
        <is>
          <t>nr</t>
        </is>
      </c>
      <c r="H1886" s="7" t="n">
        <v>10.7</v>
      </c>
      <c r="I1886" s="8" t="n">
        <v>333.69</v>
      </c>
      <c r="J1886" s="8" t="n">
        <v>169.42</v>
      </c>
      <c r="K1886" s="8" t="n">
        <v>807.27</v>
      </c>
      <c r="L1886" s="8" t="n">
        <v>0</v>
      </c>
      <c r="M1886" s="9">
        <f>ROUND(SUM(I1886:L1886),2)</f>
        <v/>
      </c>
      <c r="N1886" s="10">
        <f>ROUND(I1886*'Irish Basis'!$C$6*'Irish Basis'!$C$5,2)</f>
        <v/>
      </c>
      <c r="O1886" s="10">
        <f>ROUND(J1886*'Irish Basis'!$C$7*'Irish Basis'!$C$5,2)</f>
        <v/>
      </c>
      <c r="P1886" s="10">
        <f>ROUND(K1886*'Irish Basis'!$C$8*'Irish Basis'!$C$5,2)</f>
        <v/>
      </c>
      <c r="Q1886" s="10">
        <f>ROUND(L1886*'Irish Basis'!$C$12*'Irish Basis'!$C$5,2)</f>
        <v/>
      </c>
      <c r="R1886" s="11">
        <f>ROUND(SUM(N1886:Q1886),2)</f>
        <v/>
      </c>
      <c r="S1886" s="5" t="inlineStr">
        <is>
          <t>Stated build-up</t>
        </is>
      </c>
      <c r="T1886" s="12" t="inlineStr">
        <is>
          <t>High</t>
        </is>
      </c>
      <c r="U1886" s="8" t="n">
        <v>1310.38</v>
      </c>
      <c r="V1886" s="13">
        <f>IF(U1886="","",ROUND(M1886-U1886,2))</f>
        <v/>
      </c>
      <c r="W1886" s="5" t="n"/>
      <c r="X1886" s="5" t="inlineStr">
        <is>
          <t>Labour + plant + material as published; reconciles to the published rate.</t>
        </is>
      </c>
    </row>
    <row r="1887" ht="13" customHeight="1">
      <c r="A1887" s="4" t="n">
        <v>2924</v>
      </c>
      <c r="B1887" s="5" t="inlineStr">
        <is>
          <t>IMG_0105</t>
        </is>
      </c>
      <c r="C1887" s="5" t="inlineStr">
        <is>
          <t>CLASS K: PIPEWORK - MANHOLES AND PIPEWORK ANCILLARIES</t>
        </is>
      </c>
      <c r="D1887" s="5" t="inlineStr">
        <is>
          <t>01 MANHOLES</t>
        </is>
      </c>
      <c r="E1887" s="5" t="inlineStr">
        <is>
          <t>675 dia. x 1250 depth to invert</t>
        </is>
      </c>
      <c r="F1887" s="5" t="inlineStr">
        <is>
          <t>excavation, support, backfilling and disposal</t>
        </is>
      </c>
      <c r="G1887" s="6" t="inlineStr">
        <is>
          <t>nr</t>
        </is>
      </c>
      <c r="H1887" s="7" t="n">
        <v>0.48</v>
      </c>
      <c r="I1887" s="8" t="n">
        <v>45.24</v>
      </c>
      <c r="J1887" s="8" t="n">
        <v>32.59</v>
      </c>
      <c r="K1887" s="8" t="n">
        <v>0</v>
      </c>
      <c r="L1887" s="8" t="n">
        <v>0</v>
      </c>
      <c r="M1887" s="9">
        <f>ROUND(SUM(I1887:L1887),2)</f>
        <v/>
      </c>
      <c r="N1887" s="10">
        <f>ROUND(I1887*'Irish Basis'!$C$6*'Irish Basis'!$C$5,2)</f>
        <v/>
      </c>
      <c r="O1887" s="10">
        <f>ROUND(J1887*'Irish Basis'!$C$7*'Irish Basis'!$C$5,2)</f>
        <v/>
      </c>
      <c r="P1887" s="10">
        <f>ROUND(K1887*'Irish Basis'!$C$8*'Irish Basis'!$C$5,2)</f>
        <v/>
      </c>
      <c r="Q1887" s="10">
        <f>ROUND(L1887*'Irish Basis'!$C$12*'Irish Basis'!$C$5,2)</f>
        <v/>
      </c>
      <c r="R1887" s="11">
        <f>ROUND(SUM(N1887:Q1887),2)</f>
        <v/>
      </c>
      <c r="S1887" s="5" t="inlineStr">
        <is>
          <t>Stated build-up</t>
        </is>
      </c>
      <c r="T1887" s="12" t="inlineStr">
        <is>
          <t>High</t>
        </is>
      </c>
      <c r="U1887" s="8" t="n">
        <v>77.83</v>
      </c>
      <c r="V1887" s="13">
        <f>IF(U1887="","",ROUND(M1887-U1887,2))</f>
        <v/>
      </c>
      <c r="W1887" s="5" t="n"/>
      <c r="X1887" s="5" t="inlineStr">
        <is>
          <t>Labour + plant + material as published; reconciles to the published rate.</t>
        </is>
      </c>
    </row>
    <row r="1888" ht="13" customHeight="1">
      <c r="A1888" s="4" t="n">
        <v>2925</v>
      </c>
      <c r="B1888" s="5" t="inlineStr">
        <is>
          <t>IMG_0105</t>
        </is>
      </c>
      <c r="C1888" s="5" t="inlineStr">
        <is>
          <t>CLASS K: PIPEWORK - MANHOLES AND PIPEWORK ANCILLARIES</t>
        </is>
      </c>
      <c r="D1888" s="5" t="inlineStr">
        <is>
          <t>01 MANHOLES</t>
        </is>
      </c>
      <c r="E1888" s="5" t="inlineStr">
        <is>
          <t>675 dia. x 1250 depth to invert</t>
        </is>
      </c>
      <c r="F1888" s="5" t="inlineStr">
        <is>
          <t>concrete base</t>
        </is>
      </c>
      <c r="G1888" s="6" t="inlineStr">
        <is>
          <t>nr</t>
        </is>
      </c>
      <c r="H1888" s="7" t="n">
        <v>0.27</v>
      </c>
      <c r="I1888" s="8" t="n">
        <v>7.13</v>
      </c>
      <c r="J1888" s="8" t="n">
        <v>2.47</v>
      </c>
      <c r="K1888" s="8" t="n">
        <v>23.41</v>
      </c>
      <c r="L1888" s="8" t="n">
        <v>0</v>
      </c>
      <c r="M1888" s="9">
        <f>ROUND(SUM(I1888:L1888),2)</f>
        <v/>
      </c>
      <c r="N1888" s="10">
        <f>ROUND(I1888*'Irish Basis'!$C$6*'Irish Basis'!$C$5,2)</f>
        <v/>
      </c>
      <c r="O1888" s="10">
        <f>ROUND(J1888*'Irish Basis'!$C$7*'Irish Basis'!$C$5,2)</f>
        <v/>
      </c>
      <c r="P1888" s="10">
        <f>ROUND(K1888*'Irish Basis'!$C$8*'Irish Basis'!$C$5,2)</f>
        <v/>
      </c>
      <c r="Q1888" s="10">
        <f>ROUND(L1888*'Irish Basis'!$C$12*'Irish Basis'!$C$5,2)</f>
        <v/>
      </c>
      <c r="R1888" s="11">
        <f>ROUND(SUM(N1888:Q1888),2)</f>
        <v/>
      </c>
      <c r="S1888" s="5" t="inlineStr">
        <is>
          <t>Stated build-up</t>
        </is>
      </c>
      <c r="T1888" s="12" t="inlineStr">
        <is>
          <t>High</t>
        </is>
      </c>
      <c r="U1888" s="8" t="n">
        <v>33.01</v>
      </c>
      <c r="V1888" s="13">
        <f>IF(U1888="","",ROUND(M1888-U1888,2))</f>
        <v/>
      </c>
      <c r="W1888" s="5" t="n"/>
      <c r="X1888" s="5" t="inlineStr">
        <is>
          <t>Labour + plant + material as published; reconciles to the published rate.</t>
        </is>
      </c>
    </row>
    <row r="1889" ht="13" customHeight="1">
      <c r="A1889" s="4" t="n">
        <v>2926</v>
      </c>
      <c r="B1889" s="5" t="inlineStr">
        <is>
          <t>IMG_0105</t>
        </is>
      </c>
      <c r="C1889" s="5" t="inlineStr">
        <is>
          <t>CLASS K: PIPEWORK - MANHOLES AND PIPEWORK ANCILLARIES</t>
        </is>
      </c>
      <c r="D1889" s="5" t="inlineStr">
        <is>
          <t>01 MANHOLES</t>
        </is>
      </c>
      <c r="E1889" s="5" t="inlineStr">
        <is>
          <t>675 dia. x 1250 depth to invert</t>
        </is>
      </c>
      <c r="F1889" s="5" t="inlineStr">
        <is>
          <t>main chamber rings</t>
        </is>
      </c>
      <c r="G1889" s="6" t="inlineStr">
        <is>
          <t>nr</t>
        </is>
      </c>
      <c r="H1889" s="7" t="n">
        <v>4</v>
      </c>
      <c r="I1889" s="8" t="n">
        <v>122.62</v>
      </c>
      <c r="J1889" s="8" t="n">
        <v>90.90000000000001</v>
      </c>
      <c r="K1889" s="8" t="n">
        <v>109.14</v>
      </c>
      <c r="L1889" s="8" t="n">
        <v>0</v>
      </c>
      <c r="M1889" s="9">
        <f>ROUND(SUM(I1889:L1889),2)</f>
        <v/>
      </c>
      <c r="N1889" s="10">
        <f>ROUND(I1889*'Irish Basis'!$C$6*'Irish Basis'!$C$5,2)</f>
        <v/>
      </c>
      <c r="O1889" s="10">
        <f>ROUND(J1889*'Irish Basis'!$C$7*'Irish Basis'!$C$5,2)</f>
        <v/>
      </c>
      <c r="P1889" s="10">
        <f>ROUND(K1889*'Irish Basis'!$C$8*'Irish Basis'!$C$5,2)</f>
        <v/>
      </c>
      <c r="Q1889" s="10">
        <f>ROUND(L1889*'Irish Basis'!$C$12*'Irish Basis'!$C$5,2)</f>
        <v/>
      </c>
      <c r="R1889" s="11">
        <f>ROUND(SUM(N1889:Q1889),2)</f>
        <v/>
      </c>
      <c r="S1889" s="5" t="inlineStr">
        <is>
          <t>Stated build-up</t>
        </is>
      </c>
      <c r="T1889" s="12" t="inlineStr">
        <is>
          <t>High</t>
        </is>
      </c>
      <c r="U1889" s="8" t="n">
        <v>322.66</v>
      </c>
      <c r="V1889" s="13">
        <f>IF(U1889="","",ROUND(M1889-U1889,2))</f>
        <v/>
      </c>
      <c r="W1889" s="5" t="n"/>
      <c r="X1889" s="5" t="inlineStr">
        <is>
          <t>Labour + plant + material as published; reconciles to the published rate.</t>
        </is>
      </c>
    </row>
    <row r="1890" ht="13" customHeight="1">
      <c r="A1890" s="4" t="n">
        <v>2927</v>
      </c>
      <c r="B1890" s="5" t="inlineStr">
        <is>
          <t>IMG_0105</t>
        </is>
      </c>
      <c r="C1890" s="5" t="inlineStr">
        <is>
          <t>CLASS K: PIPEWORK - MANHOLES AND PIPEWORK ANCILLARIES</t>
        </is>
      </c>
      <c r="D1890" s="5" t="inlineStr">
        <is>
          <t>01 MANHOLES</t>
        </is>
      </c>
      <c r="E1890" s="5" t="inlineStr">
        <is>
          <t>675 dia. x 1250 depth to invert</t>
        </is>
      </c>
      <c r="F1890" s="5" t="inlineStr">
        <is>
          <t>cover slab</t>
        </is>
      </c>
      <c r="G1890" s="6" t="inlineStr">
        <is>
          <t>nr</t>
        </is>
      </c>
      <c r="H1890" s="7" t="n">
        <v>1.98</v>
      </c>
      <c r="I1890" s="8" t="n">
        <v>59.86</v>
      </c>
      <c r="J1890" s="8" t="n">
        <v>41.85</v>
      </c>
      <c r="K1890" s="8" t="n">
        <v>99.81</v>
      </c>
      <c r="L1890" s="8" t="n">
        <v>0</v>
      </c>
      <c r="M1890" s="9">
        <f>ROUND(SUM(I1890:L1890),2)</f>
        <v/>
      </c>
      <c r="N1890" s="10">
        <f>ROUND(I1890*'Irish Basis'!$C$6*'Irish Basis'!$C$5,2)</f>
        <v/>
      </c>
      <c r="O1890" s="10">
        <f>ROUND(J1890*'Irish Basis'!$C$7*'Irish Basis'!$C$5,2)</f>
        <v/>
      </c>
      <c r="P1890" s="10">
        <f>ROUND(K1890*'Irish Basis'!$C$8*'Irish Basis'!$C$5,2)</f>
        <v/>
      </c>
      <c r="Q1890" s="10">
        <f>ROUND(L1890*'Irish Basis'!$C$12*'Irish Basis'!$C$5,2)</f>
        <v/>
      </c>
      <c r="R1890" s="11">
        <f>ROUND(SUM(N1890:Q1890),2)</f>
        <v/>
      </c>
      <c r="S1890" s="5" t="inlineStr">
        <is>
          <t>Stated build-up</t>
        </is>
      </c>
      <c r="T1890" s="12" t="inlineStr">
        <is>
          <t>High</t>
        </is>
      </c>
      <c r="U1890" s="8" t="n">
        <v>201.51</v>
      </c>
      <c r="V1890" s="13">
        <f>IF(U1890="","",ROUND(M1890-U1890,2))</f>
        <v/>
      </c>
      <c r="W1890" s="5" t="n"/>
      <c r="X1890" s="5" t="inlineStr">
        <is>
          <t>Labour + plant + material as published; reconciles to the published rate.</t>
        </is>
      </c>
    </row>
    <row r="1891" ht="13" customHeight="1">
      <c r="A1891" s="4" t="n">
        <v>2928</v>
      </c>
      <c r="B1891" s="5" t="inlineStr">
        <is>
          <t>IMG_0105</t>
        </is>
      </c>
      <c r="C1891" s="5" t="inlineStr">
        <is>
          <t>CLASS K: PIPEWORK - MANHOLES AND PIPEWORK ANCILLARIES</t>
        </is>
      </c>
      <c r="D1891" s="5" t="inlineStr">
        <is>
          <t>01 MANHOLES</t>
        </is>
      </c>
      <c r="E1891" s="5" t="inlineStr">
        <is>
          <t>675 dia. x 1250 depth to invert</t>
        </is>
      </c>
      <c r="F1891" s="5" t="inlineStr">
        <is>
          <t>concrete surround</t>
        </is>
      </c>
      <c r="G1891" s="6" t="inlineStr">
        <is>
          <t>nr</t>
        </is>
      </c>
      <c r="H1891" s="7" t="n">
        <v>0.92</v>
      </c>
      <c r="I1891" s="8" t="n">
        <v>24.47</v>
      </c>
      <c r="J1891" s="8" t="n">
        <v>9.51</v>
      </c>
      <c r="K1891" s="8" t="n">
        <v>58.42</v>
      </c>
      <c r="L1891" s="8" t="n">
        <v>0</v>
      </c>
      <c r="M1891" s="9">
        <f>ROUND(SUM(I1891:L1891),2)</f>
        <v/>
      </c>
      <c r="N1891" s="10">
        <f>ROUND(I1891*'Irish Basis'!$C$6*'Irish Basis'!$C$5,2)</f>
        <v/>
      </c>
      <c r="O1891" s="10">
        <f>ROUND(J1891*'Irish Basis'!$C$7*'Irish Basis'!$C$5,2)</f>
        <v/>
      </c>
      <c r="P1891" s="10">
        <f>ROUND(K1891*'Irish Basis'!$C$8*'Irish Basis'!$C$5,2)</f>
        <v/>
      </c>
      <c r="Q1891" s="10">
        <f>ROUND(L1891*'Irish Basis'!$C$12*'Irish Basis'!$C$5,2)</f>
        <v/>
      </c>
      <c r="R1891" s="11">
        <f>ROUND(SUM(N1891:Q1891),2)</f>
        <v/>
      </c>
      <c r="S1891" s="5" t="inlineStr">
        <is>
          <t>Stated build-up</t>
        </is>
      </c>
      <c r="T1891" s="12" t="inlineStr">
        <is>
          <t>High</t>
        </is>
      </c>
      <c r="U1891" s="8" t="n">
        <v>92.41</v>
      </c>
      <c r="V1891" s="13">
        <f>IF(U1891="","",ROUND(M1891-U1891,2))</f>
        <v/>
      </c>
      <c r="W1891" s="5" t="n"/>
      <c r="X1891" s="5" t="inlineStr">
        <is>
          <t>Labour + plant + material as published; reconciles to the published rate.</t>
        </is>
      </c>
    </row>
    <row r="1892" ht="13" customHeight="1">
      <c r="A1892" s="4" t="n">
        <v>2929</v>
      </c>
      <c r="B1892" s="5" t="inlineStr">
        <is>
          <t>IMG_0105</t>
        </is>
      </c>
      <c r="C1892" s="5" t="inlineStr">
        <is>
          <t>CLASS K: PIPEWORK - MANHOLES AND PIPEWORK ANCILLARIES</t>
        </is>
      </c>
      <c r="D1892" s="5" t="inlineStr">
        <is>
          <t>01 MANHOLES</t>
        </is>
      </c>
      <c r="E1892" s="5" t="inlineStr">
        <is>
          <t>675 dia. x 1250 depth to invert</t>
        </is>
      </c>
      <c r="F1892" s="5" t="inlineStr">
        <is>
          <t>concrete benching, main and branch channels</t>
        </is>
      </c>
      <c r="G1892" s="6" t="inlineStr">
        <is>
          <t>nr</t>
        </is>
      </c>
      <c r="H1892" s="7" t="n">
        <v>2.38</v>
      </c>
      <c r="I1892" s="8" t="n">
        <v>65.09</v>
      </c>
      <c r="J1892" s="8" t="n">
        <v>13.31</v>
      </c>
      <c r="K1892" s="8" t="n">
        <v>139.72</v>
      </c>
      <c r="L1892" s="8" t="n">
        <v>0</v>
      </c>
      <c r="M1892" s="9">
        <f>ROUND(SUM(I1892:L1892),2)</f>
        <v/>
      </c>
      <c r="N1892" s="10">
        <f>ROUND(I1892*'Irish Basis'!$C$6*'Irish Basis'!$C$5,2)</f>
        <v/>
      </c>
      <c r="O1892" s="10">
        <f>ROUND(J1892*'Irish Basis'!$C$7*'Irish Basis'!$C$5,2)</f>
        <v/>
      </c>
      <c r="P1892" s="10">
        <f>ROUND(K1892*'Irish Basis'!$C$8*'Irish Basis'!$C$5,2)</f>
        <v/>
      </c>
      <c r="Q1892" s="10">
        <f>ROUND(L1892*'Irish Basis'!$C$12*'Irish Basis'!$C$5,2)</f>
        <v/>
      </c>
      <c r="R1892" s="11">
        <f>ROUND(SUM(N1892:Q1892),2)</f>
        <v/>
      </c>
      <c r="S1892" s="5" t="inlineStr">
        <is>
          <t>Stated build-up</t>
        </is>
      </c>
      <c r="T1892" s="12" t="inlineStr">
        <is>
          <t>High</t>
        </is>
      </c>
      <c r="U1892" s="8" t="n">
        <v>218.13</v>
      </c>
      <c r="V1892" s="13">
        <f>IF(U1892="","",ROUND(M1892-U1892,2))</f>
        <v/>
      </c>
      <c r="W1892" s="5" t="n"/>
      <c r="X1892" s="5" t="inlineStr">
        <is>
          <t>Labour + plant + material as published; reconciles to the published rate.</t>
        </is>
      </c>
    </row>
    <row r="1893" ht="13" customHeight="1">
      <c r="A1893" s="4" t="n">
        <v>2930</v>
      </c>
      <c r="B1893" s="5" t="inlineStr">
        <is>
          <t>IMG_0105</t>
        </is>
      </c>
      <c r="C1893" s="5" t="inlineStr">
        <is>
          <t>CLASS K: PIPEWORK - MANHOLES AND PIPEWORK ANCILLARIES</t>
        </is>
      </c>
      <c r="D1893" s="5" t="inlineStr">
        <is>
          <t>01 MANHOLES</t>
        </is>
      </c>
      <c r="E1893" s="5" t="inlineStr">
        <is>
          <t>675 dia. x 1250 depth to invert</t>
        </is>
      </c>
      <c r="F1893" s="5" t="inlineStr">
        <is>
          <t>step irons</t>
        </is>
      </c>
      <c r="G1893" s="6" t="inlineStr">
        <is>
          <t>nr</t>
        </is>
      </c>
      <c r="H1893" s="7" t="n">
        <v>0.42</v>
      </c>
      <c r="I1893" s="8" t="n">
        <v>10.3</v>
      </c>
      <c r="J1893" s="8" t="n">
        <v>1.37</v>
      </c>
      <c r="K1893" s="8" t="n">
        <v>91.68000000000001</v>
      </c>
      <c r="L1893" s="8" t="n">
        <v>0</v>
      </c>
      <c r="M1893" s="9">
        <f>ROUND(SUM(I1893:L1893),2)</f>
        <v/>
      </c>
      <c r="N1893" s="10">
        <f>ROUND(I1893*'Irish Basis'!$C$6*'Irish Basis'!$C$5,2)</f>
        <v/>
      </c>
      <c r="O1893" s="10">
        <f>ROUND(J1893*'Irish Basis'!$C$7*'Irish Basis'!$C$5,2)</f>
        <v/>
      </c>
      <c r="P1893" s="10">
        <f>ROUND(K1893*'Irish Basis'!$C$8*'Irish Basis'!$C$5,2)</f>
        <v/>
      </c>
      <c r="Q1893" s="10">
        <f>ROUND(L1893*'Irish Basis'!$C$12*'Irish Basis'!$C$5,2)</f>
        <v/>
      </c>
      <c r="R1893" s="11">
        <f>ROUND(SUM(N1893:Q1893),2)</f>
        <v/>
      </c>
      <c r="S1893" s="5" t="inlineStr">
        <is>
          <t>Stated build-up</t>
        </is>
      </c>
      <c r="T1893" s="12" t="inlineStr">
        <is>
          <t>High</t>
        </is>
      </c>
      <c r="U1893" s="8" t="n">
        <v>103.36</v>
      </c>
      <c r="V1893" s="13">
        <f>IF(U1893="","",ROUND(M1893-U1893,2))</f>
        <v/>
      </c>
      <c r="W1893" s="5" t="n"/>
      <c r="X1893" s="5" t="inlineStr">
        <is>
          <t>Labour + plant + material as published; reconciles to the published rate.</t>
        </is>
      </c>
    </row>
    <row r="1894" ht="13" customHeight="1">
      <c r="A1894" s="4" t="n">
        <v>2931</v>
      </c>
      <c r="B1894" s="5" t="inlineStr">
        <is>
          <t>IMG_0105</t>
        </is>
      </c>
      <c r="C1894" s="5" t="inlineStr">
        <is>
          <t>CLASS K: PIPEWORK - MANHOLES AND PIPEWORK ANCILLARIES</t>
        </is>
      </c>
      <c r="D1894" s="5" t="inlineStr">
        <is>
          <t>01 MANHOLES</t>
        </is>
      </c>
      <c r="E1894" s="5" t="inlineStr">
        <is>
          <t>675 dia. x 1250 depth to invert</t>
        </is>
      </c>
      <c r="F1894" s="5" t="inlineStr">
        <is>
          <t>access cover and frame</t>
        </is>
      </c>
      <c r="G1894" s="6" t="inlineStr">
        <is>
          <t>nr</t>
        </is>
      </c>
      <c r="H1894" s="7" t="n">
        <v>1.44</v>
      </c>
      <c r="I1894" s="8" t="n">
        <v>40.16</v>
      </c>
      <c r="J1894" s="8" t="n">
        <v>4.42</v>
      </c>
      <c r="K1894" s="8" t="n">
        <v>341.51</v>
      </c>
      <c r="L1894" s="8" t="n">
        <v>0</v>
      </c>
      <c r="M1894" s="9">
        <f>ROUND(SUM(I1894:L1894),2)</f>
        <v/>
      </c>
      <c r="N1894" s="10">
        <f>ROUND(I1894*'Irish Basis'!$C$6*'Irish Basis'!$C$5,2)</f>
        <v/>
      </c>
      <c r="O1894" s="10">
        <f>ROUND(J1894*'Irish Basis'!$C$7*'Irish Basis'!$C$5,2)</f>
        <v/>
      </c>
      <c r="P1894" s="10">
        <f>ROUND(K1894*'Irish Basis'!$C$8*'Irish Basis'!$C$5,2)</f>
        <v/>
      </c>
      <c r="Q1894" s="10">
        <f>ROUND(L1894*'Irish Basis'!$C$12*'Irish Basis'!$C$5,2)</f>
        <v/>
      </c>
      <c r="R1894" s="11">
        <f>ROUND(SUM(N1894:Q1894),2)</f>
        <v/>
      </c>
      <c r="S1894" s="5" t="inlineStr">
        <is>
          <t>Stated build-up</t>
        </is>
      </c>
      <c r="T1894" s="12" t="inlineStr">
        <is>
          <t>High</t>
        </is>
      </c>
      <c r="U1894" s="8" t="n">
        <v>386.09</v>
      </c>
      <c r="V1894" s="13">
        <f>IF(U1894="","",ROUND(M1894-U1894,2))</f>
        <v/>
      </c>
      <c r="W1894" s="5" t="n"/>
      <c r="X1894" s="5" t="inlineStr">
        <is>
          <t>Labour + plant + material as published; reconciles to the published rate.</t>
        </is>
      </c>
    </row>
    <row r="1895" ht="13" customHeight="1">
      <c r="A1895" s="4" t="n">
        <v>2932</v>
      </c>
      <c r="B1895" s="5" t="inlineStr">
        <is>
          <t>IMG_0105</t>
        </is>
      </c>
      <c r="C1895" s="5" t="inlineStr">
        <is>
          <t>CLASS K: PIPEWORK - MANHOLES AND PIPEWORK ANCILLARIES</t>
        </is>
      </c>
      <c r="D1895" s="5" t="inlineStr">
        <is>
          <t>01 MANHOLES</t>
        </is>
      </c>
      <c r="E1895" s="5" t="inlineStr">
        <is>
          <t>675 dia. x 1250 depth to invert</t>
        </is>
      </c>
      <c r="F1895" s="5" t="inlineStr">
        <is>
          <t>TOTAL</t>
        </is>
      </c>
      <c r="G1895" s="6" t="inlineStr">
        <is>
          <t>nr</t>
        </is>
      </c>
      <c r="H1895" s="7" t="n">
        <v>11.89</v>
      </c>
      <c r="I1895" s="8" t="n">
        <v>374.87</v>
      </c>
      <c r="J1895" s="8" t="n">
        <v>196.42</v>
      </c>
      <c r="K1895" s="8" t="n">
        <v>863.7</v>
      </c>
      <c r="L1895" s="8" t="n">
        <v>0</v>
      </c>
      <c r="M1895" s="9">
        <f>ROUND(SUM(I1895:L1895),2)</f>
        <v/>
      </c>
      <c r="N1895" s="10">
        <f>ROUND(I1895*'Irish Basis'!$C$6*'Irish Basis'!$C$5,2)</f>
        <v/>
      </c>
      <c r="O1895" s="10">
        <f>ROUND(J1895*'Irish Basis'!$C$7*'Irish Basis'!$C$5,2)</f>
        <v/>
      </c>
      <c r="P1895" s="10">
        <f>ROUND(K1895*'Irish Basis'!$C$8*'Irish Basis'!$C$5,2)</f>
        <v/>
      </c>
      <c r="Q1895" s="10">
        <f>ROUND(L1895*'Irish Basis'!$C$12*'Irish Basis'!$C$5,2)</f>
        <v/>
      </c>
      <c r="R1895" s="11">
        <f>ROUND(SUM(N1895:Q1895),2)</f>
        <v/>
      </c>
      <c r="S1895" s="5" t="inlineStr">
        <is>
          <t>Stated build-up</t>
        </is>
      </c>
      <c r="T1895" s="12" t="inlineStr">
        <is>
          <t>High</t>
        </is>
      </c>
      <c r="U1895" s="8" t="n">
        <v>1434.99</v>
      </c>
      <c r="V1895" s="13">
        <f>IF(U1895="","",ROUND(M1895-U1895,2))</f>
        <v/>
      </c>
      <c r="W1895" s="5" t="n"/>
      <c r="X1895" s="5" t="inlineStr">
        <is>
          <t>Labour + plant + material as published; reconciles to the published rate.</t>
        </is>
      </c>
    </row>
    <row r="1896" ht="13" customHeight="1">
      <c r="A1896" s="4" t="n">
        <v>2934</v>
      </c>
      <c r="B1896" s="5" t="inlineStr">
        <is>
          <t>IMG_0105</t>
        </is>
      </c>
      <c r="C1896" s="5" t="inlineStr">
        <is>
          <t>CLASS K: PIPEWORK - MANHOLES AND PIPEWORK ANCILLARIES</t>
        </is>
      </c>
      <c r="D1896" s="5" t="inlineStr">
        <is>
          <t>01 MANHOLES</t>
        </is>
      </c>
      <c r="E1896" s="5" t="inlineStr">
        <is>
          <t>900 dia. x 750 depth to invert</t>
        </is>
      </c>
      <c r="F1896" s="5" t="inlineStr">
        <is>
          <t>excavation, support, backfilling and disposal</t>
        </is>
      </c>
      <c r="G1896" s="6" t="inlineStr">
        <is>
          <t>nr</t>
        </is>
      </c>
      <c r="H1896" s="7" t="n">
        <v>0.49</v>
      </c>
      <c r="I1896" s="8" t="n">
        <v>45.79</v>
      </c>
      <c r="J1896" s="8" t="n">
        <v>30.07</v>
      </c>
      <c r="K1896" s="8" t="n">
        <v>0</v>
      </c>
      <c r="L1896" s="8" t="n">
        <v>0</v>
      </c>
      <c r="M1896" s="9">
        <f>ROUND(SUM(I1896:L1896),2)</f>
        <v/>
      </c>
      <c r="N1896" s="10">
        <f>ROUND(I1896*'Irish Basis'!$C$6*'Irish Basis'!$C$5,2)</f>
        <v/>
      </c>
      <c r="O1896" s="10">
        <f>ROUND(J1896*'Irish Basis'!$C$7*'Irish Basis'!$C$5,2)</f>
        <v/>
      </c>
      <c r="P1896" s="10">
        <f>ROUND(K1896*'Irish Basis'!$C$8*'Irish Basis'!$C$5,2)</f>
        <v/>
      </c>
      <c r="Q1896" s="10">
        <f>ROUND(L1896*'Irish Basis'!$C$12*'Irish Basis'!$C$5,2)</f>
        <v/>
      </c>
      <c r="R1896" s="11">
        <f>ROUND(SUM(N1896:Q1896),2)</f>
        <v/>
      </c>
      <c r="S1896" s="5" t="inlineStr">
        <is>
          <t>Stated build-up</t>
        </is>
      </c>
      <c r="T1896" s="12" t="inlineStr">
        <is>
          <t>High</t>
        </is>
      </c>
      <c r="U1896" s="8" t="n">
        <v>75.87</v>
      </c>
      <c r="V1896" s="13">
        <f>IF(U1896="","",ROUND(M1896-U1896,2))</f>
        <v/>
      </c>
      <c r="W1896" s="5" t="n"/>
      <c r="X1896" s="5" t="inlineStr">
        <is>
          <t>Labour + plant + material as published; reconciles to the published rate.</t>
        </is>
      </c>
    </row>
    <row r="1897" ht="13" customHeight="1">
      <c r="A1897" s="4" t="n">
        <v>2935</v>
      </c>
      <c r="B1897" s="5" t="inlineStr">
        <is>
          <t>IMG_0105</t>
        </is>
      </c>
      <c r="C1897" s="5" t="inlineStr">
        <is>
          <t>CLASS K: PIPEWORK - MANHOLES AND PIPEWORK ANCILLARIES</t>
        </is>
      </c>
      <c r="D1897" s="5" t="inlineStr">
        <is>
          <t>01 MANHOLES</t>
        </is>
      </c>
      <c r="E1897" s="5" t="inlineStr">
        <is>
          <t>900 dia. x 750 depth to invert</t>
        </is>
      </c>
      <c r="F1897" s="5" t="inlineStr">
        <is>
          <t>concrete base</t>
        </is>
      </c>
      <c r="G1897" s="6" t="inlineStr">
        <is>
          <t>nr</t>
        </is>
      </c>
      <c r="H1897" s="7" t="n">
        <v>0.47</v>
      </c>
      <c r="I1897" s="8" t="n">
        <v>12.48</v>
      </c>
      <c r="J1897" s="8" t="n">
        <v>4.32</v>
      </c>
      <c r="K1897" s="8" t="n">
        <v>40.97</v>
      </c>
      <c r="L1897" s="8" t="n">
        <v>0</v>
      </c>
      <c r="M1897" s="9">
        <f>ROUND(SUM(I1897:L1897),2)</f>
        <v/>
      </c>
      <c r="N1897" s="10">
        <f>ROUND(I1897*'Irish Basis'!$C$6*'Irish Basis'!$C$5,2)</f>
        <v/>
      </c>
      <c r="O1897" s="10">
        <f>ROUND(J1897*'Irish Basis'!$C$7*'Irish Basis'!$C$5,2)</f>
        <v/>
      </c>
      <c r="P1897" s="10">
        <f>ROUND(K1897*'Irish Basis'!$C$8*'Irish Basis'!$C$5,2)</f>
        <v/>
      </c>
      <c r="Q1897" s="10">
        <f>ROUND(L1897*'Irish Basis'!$C$12*'Irish Basis'!$C$5,2)</f>
        <v/>
      </c>
      <c r="R1897" s="11">
        <f>ROUND(SUM(N1897:Q1897),2)</f>
        <v/>
      </c>
      <c r="S1897" s="5" t="inlineStr">
        <is>
          <t>Stated build-up</t>
        </is>
      </c>
      <c r="T1897" s="12" t="inlineStr">
        <is>
          <t>High</t>
        </is>
      </c>
      <c r="U1897" s="8" t="n">
        <v>57.77</v>
      </c>
      <c r="V1897" s="13">
        <f>IF(U1897="","",ROUND(M1897-U1897,2))</f>
        <v/>
      </c>
      <c r="W1897" s="5" t="n"/>
      <c r="X1897" s="5" t="inlineStr">
        <is>
          <t>Labour + plant + material as published; reconciles to the published rate.</t>
        </is>
      </c>
    </row>
    <row r="1898" ht="13" customHeight="1">
      <c r="A1898" s="4" t="n">
        <v>2936</v>
      </c>
      <c r="B1898" s="5" t="inlineStr">
        <is>
          <t>IMG_0105</t>
        </is>
      </c>
      <c r="C1898" s="5" t="inlineStr">
        <is>
          <t>CLASS K: PIPEWORK - MANHOLES AND PIPEWORK ANCILLARIES</t>
        </is>
      </c>
      <c r="D1898" s="5" t="inlineStr">
        <is>
          <t>01 MANHOLES</t>
        </is>
      </c>
      <c r="E1898" s="5" t="inlineStr">
        <is>
          <t>900 dia. x 750 depth to invert</t>
        </is>
      </c>
      <c r="F1898" s="5" t="inlineStr">
        <is>
          <t>main chamber rings</t>
        </is>
      </c>
      <c r="G1898" s="6" t="inlineStr">
        <is>
          <t>nr</t>
        </is>
      </c>
      <c r="H1898" s="7" t="n">
        <v>2.85</v>
      </c>
      <c r="I1898" s="8" t="n">
        <v>87.37</v>
      </c>
      <c r="J1898" s="8" t="n">
        <v>64.76000000000001</v>
      </c>
      <c r="K1898" s="8" t="n">
        <v>150.6</v>
      </c>
      <c r="L1898" s="8" t="n">
        <v>0</v>
      </c>
      <c r="M1898" s="9">
        <f>ROUND(SUM(I1898:L1898),2)</f>
        <v/>
      </c>
      <c r="N1898" s="10">
        <f>ROUND(I1898*'Irish Basis'!$C$6*'Irish Basis'!$C$5,2)</f>
        <v/>
      </c>
      <c r="O1898" s="10">
        <f>ROUND(J1898*'Irish Basis'!$C$7*'Irish Basis'!$C$5,2)</f>
        <v/>
      </c>
      <c r="P1898" s="10">
        <f>ROUND(K1898*'Irish Basis'!$C$8*'Irish Basis'!$C$5,2)</f>
        <v/>
      </c>
      <c r="Q1898" s="10">
        <f>ROUND(L1898*'Irish Basis'!$C$12*'Irish Basis'!$C$5,2)</f>
        <v/>
      </c>
      <c r="R1898" s="11">
        <f>ROUND(SUM(N1898:Q1898),2)</f>
        <v/>
      </c>
      <c r="S1898" s="5" t="inlineStr">
        <is>
          <t>Stated build-up</t>
        </is>
      </c>
      <c r="T1898" s="12" t="inlineStr">
        <is>
          <t>High</t>
        </is>
      </c>
      <c r="U1898" s="8" t="n">
        <v>302.72</v>
      </c>
      <c r="V1898" s="13">
        <f>IF(U1898="","",ROUND(M1898-U1898,2))</f>
        <v/>
      </c>
      <c r="W1898" s="5" t="n"/>
      <c r="X1898" s="5" t="inlineStr">
        <is>
          <t>Labour + plant + material as published; reconciles to the published rate.</t>
        </is>
      </c>
    </row>
    <row r="1899" ht="13" customHeight="1">
      <c r="A1899" s="4" t="n">
        <v>2937</v>
      </c>
      <c r="B1899" s="5" t="inlineStr">
        <is>
          <t>IMG_0105</t>
        </is>
      </c>
      <c r="C1899" s="5" t="inlineStr">
        <is>
          <t>CLASS K: PIPEWORK - MANHOLES AND PIPEWORK ANCILLARIES</t>
        </is>
      </c>
      <c r="D1899" s="5" t="inlineStr">
        <is>
          <t>01 MANHOLES</t>
        </is>
      </c>
      <c r="E1899" s="5" t="inlineStr">
        <is>
          <t>900 dia. x 750 depth to invert</t>
        </is>
      </c>
      <c r="F1899" s="5" t="inlineStr">
        <is>
          <t>cover slab</t>
        </is>
      </c>
      <c r="G1899" s="6" t="inlineStr">
        <is>
          <t>nr</t>
        </is>
      </c>
      <c r="H1899" s="7" t="n">
        <v>3.8</v>
      </c>
      <c r="I1899" s="8" t="n">
        <v>116.49</v>
      </c>
      <c r="J1899" s="8" t="n">
        <v>86.34</v>
      </c>
      <c r="K1899" s="8" t="n">
        <v>200.8</v>
      </c>
      <c r="L1899" s="8" t="n">
        <v>0</v>
      </c>
      <c r="M1899" s="9">
        <f>ROUND(SUM(I1899:L1899),2)</f>
        <v/>
      </c>
      <c r="N1899" s="10">
        <f>ROUND(I1899*'Irish Basis'!$C$6*'Irish Basis'!$C$5,2)</f>
        <v/>
      </c>
      <c r="O1899" s="10">
        <f>ROUND(J1899*'Irish Basis'!$C$7*'Irish Basis'!$C$5,2)</f>
        <v/>
      </c>
      <c r="P1899" s="10">
        <f>ROUND(K1899*'Irish Basis'!$C$8*'Irish Basis'!$C$5,2)</f>
        <v/>
      </c>
      <c r="Q1899" s="10">
        <f>ROUND(L1899*'Irish Basis'!$C$12*'Irish Basis'!$C$5,2)</f>
        <v/>
      </c>
      <c r="R1899" s="11">
        <f>ROUND(SUM(N1899:Q1899),2)</f>
        <v/>
      </c>
      <c r="S1899" s="5" t="inlineStr">
        <is>
          <t>Stated build-up</t>
        </is>
      </c>
      <c r="T1899" s="12" t="inlineStr">
        <is>
          <t>High</t>
        </is>
      </c>
      <c r="U1899" s="8" t="n">
        <v>403.63</v>
      </c>
      <c r="V1899" s="13">
        <f>IF(U1899="","",ROUND(M1899-U1899,2))</f>
        <v/>
      </c>
      <c r="W1899" s="5" t="n"/>
      <c r="X1899" s="5" t="inlineStr">
        <is>
          <t>Labour + plant + material as published; reconciles to the published rate.</t>
        </is>
      </c>
    </row>
    <row r="1900" ht="13" customHeight="1">
      <c r="A1900" s="4" t="n">
        <v>2938</v>
      </c>
      <c r="B1900" s="5" t="inlineStr">
        <is>
          <t>IMG_0105</t>
        </is>
      </c>
      <c r="C1900" s="5" t="inlineStr">
        <is>
          <t>CLASS K: PIPEWORK - MANHOLES AND PIPEWORK ANCILLARIES</t>
        </is>
      </c>
      <c r="D1900" s="5" t="inlineStr">
        <is>
          <t>01 MANHOLES</t>
        </is>
      </c>
      <c r="E1900" s="5" t="inlineStr">
        <is>
          <t>900 dia. x 750 depth to invert</t>
        </is>
      </c>
      <c r="F1900" s="5" t="inlineStr">
        <is>
          <t>concrete surround</t>
        </is>
      </c>
      <c r="G1900" s="6" t="inlineStr">
        <is>
          <t>nr</t>
        </is>
      </c>
      <c r="H1900" s="7" t="n">
        <v>0.74</v>
      </c>
      <c r="I1900" s="8" t="n">
        <v>19.58</v>
      </c>
      <c r="J1900" s="8" t="n">
        <v>7.61</v>
      </c>
      <c r="K1900" s="8" t="n">
        <v>46.74</v>
      </c>
      <c r="L1900" s="8" t="n">
        <v>0</v>
      </c>
      <c r="M1900" s="9">
        <f>ROUND(SUM(I1900:L1900),2)</f>
        <v/>
      </c>
      <c r="N1900" s="10">
        <f>ROUND(I1900*'Irish Basis'!$C$6*'Irish Basis'!$C$5,2)</f>
        <v/>
      </c>
      <c r="O1900" s="10">
        <f>ROUND(J1900*'Irish Basis'!$C$7*'Irish Basis'!$C$5,2)</f>
        <v/>
      </c>
      <c r="P1900" s="10">
        <f>ROUND(K1900*'Irish Basis'!$C$8*'Irish Basis'!$C$5,2)</f>
        <v/>
      </c>
      <c r="Q1900" s="10">
        <f>ROUND(L1900*'Irish Basis'!$C$12*'Irish Basis'!$C$5,2)</f>
        <v/>
      </c>
      <c r="R1900" s="11">
        <f>ROUND(SUM(N1900:Q1900),2)</f>
        <v/>
      </c>
      <c r="S1900" s="5" t="inlineStr">
        <is>
          <t>Stated build-up</t>
        </is>
      </c>
      <c r="T1900" s="12" t="inlineStr">
        <is>
          <t>High</t>
        </is>
      </c>
      <c r="U1900" s="8" t="n">
        <v>73.93000000000001</v>
      </c>
      <c r="V1900" s="13">
        <f>IF(U1900="","",ROUND(M1900-U1900,2))</f>
        <v/>
      </c>
      <c r="W1900" s="5" t="n"/>
      <c r="X1900" s="5" t="inlineStr">
        <is>
          <t>Labour + plant + material as published; reconciles to the published rate.</t>
        </is>
      </c>
    </row>
    <row r="1901" ht="13" customHeight="1">
      <c r="A1901" s="4" t="n">
        <v>2939</v>
      </c>
      <c r="B1901" s="5" t="inlineStr">
        <is>
          <t>IMG_0105</t>
        </is>
      </c>
      <c r="C1901" s="5" t="inlineStr">
        <is>
          <t>CLASS K: PIPEWORK - MANHOLES AND PIPEWORK ANCILLARIES</t>
        </is>
      </c>
      <c r="D1901" s="5" t="inlineStr">
        <is>
          <t>01 MANHOLES</t>
        </is>
      </c>
      <c r="E1901" s="5" t="inlineStr">
        <is>
          <t>900 dia. x 750 depth to invert</t>
        </is>
      </c>
      <c r="F1901" s="5" t="inlineStr">
        <is>
          <t>concrete benching, main and branch channels</t>
        </is>
      </c>
      <c r="G1901" s="6" t="inlineStr">
        <is>
          <t>nr</t>
        </is>
      </c>
      <c r="H1901" s="7" t="n">
        <v>3.38</v>
      </c>
      <c r="I1901" s="8" t="n">
        <v>91.69</v>
      </c>
      <c r="J1901" s="8" t="n">
        <v>22.66</v>
      </c>
      <c r="K1901" s="8" t="n">
        <v>150.84</v>
      </c>
      <c r="L1901" s="8" t="n">
        <v>0</v>
      </c>
      <c r="M1901" s="9">
        <f>ROUND(SUM(I1901:L1901),2)</f>
        <v/>
      </c>
      <c r="N1901" s="10">
        <f>ROUND(I1901*'Irish Basis'!$C$6*'Irish Basis'!$C$5,2)</f>
        <v/>
      </c>
      <c r="O1901" s="10">
        <f>ROUND(J1901*'Irish Basis'!$C$7*'Irish Basis'!$C$5,2)</f>
        <v/>
      </c>
      <c r="P1901" s="10">
        <f>ROUND(K1901*'Irish Basis'!$C$8*'Irish Basis'!$C$5,2)</f>
        <v/>
      </c>
      <c r="Q1901" s="10">
        <f>ROUND(L1901*'Irish Basis'!$C$12*'Irish Basis'!$C$5,2)</f>
        <v/>
      </c>
      <c r="R1901" s="11">
        <f>ROUND(SUM(N1901:Q1901),2)</f>
        <v/>
      </c>
      <c r="S1901" s="5" t="inlineStr">
        <is>
          <t>Stated build-up</t>
        </is>
      </c>
      <c r="T1901" s="12" t="inlineStr">
        <is>
          <t>High</t>
        </is>
      </c>
      <c r="U1901" s="8" t="n">
        <v>265.19</v>
      </c>
      <c r="V1901" s="13">
        <f>IF(U1901="","",ROUND(M1901-U1901,2))</f>
        <v/>
      </c>
      <c r="W1901" s="5" t="n"/>
      <c r="X1901" s="5" t="inlineStr">
        <is>
          <t>Labour + plant + material as published; reconciles to the published rate.</t>
        </is>
      </c>
    </row>
    <row r="1902" ht="13" customHeight="1">
      <c r="A1902" s="4" t="n">
        <v>2940</v>
      </c>
      <c r="B1902" s="5" t="inlineStr">
        <is>
          <t>IMG_0105</t>
        </is>
      </c>
      <c r="C1902" s="5" t="inlineStr">
        <is>
          <t>CLASS K: PIPEWORK - MANHOLES AND PIPEWORK ANCILLARIES</t>
        </is>
      </c>
      <c r="D1902" s="5" t="inlineStr">
        <is>
          <t>01 MANHOLES</t>
        </is>
      </c>
      <c r="E1902" s="5" t="inlineStr">
        <is>
          <t>900 dia. x 750 depth to invert</t>
        </is>
      </c>
      <c r="F1902" s="5" t="inlineStr">
        <is>
          <t>step irons</t>
        </is>
      </c>
      <c r="G1902" s="6" t="inlineStr">
        <is>
          <t>nr</t>
        </is>
      </c>
      <c r="H1902" s="7" t="n">
        <v>0.21</v>
      </c>
      <c r="I1902" s="8" t="n">
        <v>5.15</v>
      </c>
      <c r="J1902" s="8" t="n">
        <v>0.68</v>
      </c>
      <c r="K1902" s="8" t="n">
        <v>45.84</v>
      </c>
      <c r="L1902" s="8" t="n">
        <v>0</v>
      </c>
      <c r="M1902" s="9">
        <f>ROUND(SUM(I1902:L1902),2)</f>
        <v/>
      </c>
      <c r="N1902" s="10">
        <f>ROUND(I1902*'Irish Basis'!$C$6*'Irish Basis'!$C$5,2)</f>
        <v/>
      </c>
      <c r="O1902" s="10">
        <f>ROUND(J1902*'Irish Basis'!$C$7*'Irish Basis'!$C$5,2)</f>
        <v/>
      </c>
      <c r="P1902" s="10">
        <f>ROUND(K1902*'Irish Basis'!$C$8*'Irish Basis'!$C$5,2)</f>
        <v/>
      </c>
      <c r="Q1902" s="10">
        <f>ROUND(L1902*'Irish Basis'!$C$12*'Irish Basis'!$C$5,2)</f>
        <v/>
      </c>
      <c r="R1902" s="11">
        <f>ROUND(SUM(N1902:Q1902),2)</f>
        <v/>
      </c>
      <c r="S1902" s="5" t="inlineStr">
        <is>
          <t>Stated build-up</t>
        </is>
      </c>
      <c r="T1902" s="12" t="inlineStr">
        <is>
          <t>High</t>
        </is>
      </c>
      <c r="U1902" s="8" t="n">
        <v>51.68</v>
      </c>
      <c r="V1902" s="13">
        <f>IF(U1902="","",ROUND(M1902-U1902,2))</f>
        <v/>
      </c>
      <c r="W1902" s="5" t="n"/>
      <c r="X1902" s="5" t="inlineStr">
        <is>
          <t>Labour + plant + material as published; reconciles to the published rate.</t>
        </is>
      </c>
    </row>
    <row r="1903" ht="13" customHeight="1">
      <c r="A1903" s="4" t="n">
        <v>2941</v>
      </c>
      <c r="B1903" s="5" t="inlineStr">
        <is>
          <t>IMG_0105</t>
        </is>
      </c>
      <c r="C1903" s="5" t="inlineStr">
        <is>
          <t>CLASS K: PIPEWORK - MANHOLES AND PIPEWORK ANCILLARIES</t>
        </is>
      </c>
      <c r="D1903" s="5" t="inlineStr">
        <is>
          <t>01 MANHOLES</t>
        </is>
      </c>
      <c r="E1903" s="5" t="inlineStr">
        <is>
          <t>900 dia. x 750 depth to invert</t>
        </is>
      </c>
      <c r="F1903" s="5" t="inlineStr">
        <is>
          <t>access cover and frame</t>
        </is>
      </c>
      <c r="G1903" s="6" t="inlineStr">
        <is>
          <t>nr</t>
        </is>
      </c>
      <c r="H1903" s="7" t="n">
        <v>1.44</v>
      </c>
      <c r="I1903" s="8" t="n">
        <v>40.16</v>
      </c>
      <c r="J1903" s="8" t="n">
        <v>4.42</v>
      </c>
      <c r="K1903" s="8" t="n">
        <v>341.51</v>
      </c>
      <c r="L1903" s="8" t="n">
        <v>0</v>
      </c>
      <c r="M1903" s="9">
        <f>ROUND(SUM(I1903:L1903),2)</f>
        <v/>
      </c>
      <c r="N1903" s="10">
        <f>ROUND(I1903*'Irish Basis'!$C$6*'Irish Basis'!$C$5,2)</f>
        <v/>
      </c>
      <c r="O1903" s="10">
        <f>ROUND(J1903*'Irish Basis'!$C$7*'Irish Basis'!$C$5,2)</f>
        <v/>
      </c>
      <c r="P1903" s="10">
        <f>ROUND(K1903*'Irish Basis'!$C$8*'Irish Basis'!$C$5,2)</f>
        <v/>
      </c>
      <c r="Q1903" s="10">
        <f>ROUND(L1903*'Irish Basis'!$C$12*'Irish Basis'!$C$5,2)</f>
        <v/>
      </c>
      <c r="R1903" s="11">
        <f>ROUND(SUM(N1903:Q1903),2)</f>
        <v/>
      </c>
      <c r="S1903" s="5" t="inlineStr">
        <is>
          <t>Stated build-up</t>
        </is>
      </c>
      <c r="T1903" s="12" t="inlineStr">
        <is>
          <t>High</t>
        </is>
      </c>
      <c r="U1903" s="8" t="n">
        <v>386.09</v>
      </c>
      <c r="V1903" s="13">
        <f>IF(U1903="","",ROUND(M1903-U1903,2))</f>
        <v/>
      </c>
      <c r="W1903" s="5" t="n"/>
      <c r="X1903" s="5" t="inlineStr">
        <is>
          <t>Labour + plant + material as published; reconciles to the published rate.</t>
        </is>
      </c>
    </row>
    <row r="1904" ht="13" customHeight="1">
      <c r="A1904" s="4" t="n">
        <v>2942</v>
      </c>
      <c r="B1904" s="5" t="inlineStr">
        <is>
          <t>IMG_0105</t>
        </is>
      </c>
      <c r="C1904" s="5" t="inlineStr">
        <is>
          <t>CLASS K: PIPEWORK - MANHOLES AND PIPEWORK ANCILLARIES</t>
        </is>
      </c>
      <c r="D1904" s="5" t="inlineStr">
        <is>
          <t>01 MANHOLES</t>
        </is>
      </c>
      <c r="E1904" s="5" t="inlineStr">
        <is>
          <t>900 dia. x 750 depth to invert</t>
        </is>
      </c>
      <c r="F1904" s="5" t="inlineStr">
        <is>
          <t>TOTAL</t>
        </is>
      </c>
      <c r="G1904" s="6" t="inlineStr">
        <is>
          <t>nr</t>
        </is>
      </c>
      <c r="H1904" s="7" t="n">
        <v>13.37</v>
      </c>
      <c r="I1904" s="8" t="n">
        <v>418.71</v>
      </c>
      <c r="J1904" s="8" t="n">
        <v>220.87</v>
      </c>
      <c r="K1904" s="8" t="n">
        <v>977.3</v>
      </c>
      <c r="L1904" s="8" t="n">
        <v>0</v>
      </c>
      <c r="M1904" s="9">
        <f>ROUND(SUM(I1904:L1904),2)</f>
        <v/>
      </c>
      <c r="N1904" s="10">
        <f>ROUND(I1904*'Irish Basis'!$C$6*'Irish Basis'!$C$5,2)</f>
        <v/>
      </c>
      <c r="O1904" s="10">
        <f>ROUND(J1904*'Irish Basis'!$C$7*'Irish Basis'!$C$5,2)</f>
        <v/>
      </c>
      <c r="P1904" s="10">
        <f>ROUND(K1904*'Irish Basis'!$C$8*'Irish Basis'!$C$5,2)</f>
        <v/>
      </c>
      <c r="Q1904" s="10">
        <f>ROUND(L1904*'Irish Basis'!$C$12*'Irish Basis'!$C$5,2)</f>
        <v/>
      </c>
      <c r="R1904" s="11">
        <f>ROUND(SUM(N1904:Q1904),2)</f>
        <v/>
      </c>
      <c r="S1904" s="5" t="inlineStr">
        <is>
          <t>Stated build-up</t>
        </is>
      </c>
      <c r="T1904" s="12" t="inlineStr">
        <is>
          <t>High</t>
        </is>
      </c>
      <c r="U1904" s="8" t="n">
        <v>1616.87</v>
      </c>
      <c r="V1904" s="13">
        <f>IF(U1904="","",ROUND(M1904-U1904,2))</f>
        <v/>
      </c>
      <c r="W1904" s="5" t="n"/>
      <c r="X1904" s="5" t="inlineStr">
        <is>
          <t>Labour + plant + material as published; reconciles to the published rate.</t>
        </is>
      </c>
    </row>
    <row r="1905" ht="13" customHeight="1">
      <c r="A1905" s="4" t="n">
        <v>2944</v>
      </c>
      <c r="B1905" s="5" t="inlineStr">
        <is>
          <t>IMG_0105</t>
        </is>
      </c>
      <c r="C1905" s="5" t="inlineStr">
        <is>
          <t>CLASS K: PIPEWORK - MANHOLES AND PIPEWORK ANCILLARIES</t>
        </is>
      </c>
      <c r="D1905" s="5" t="inlineStr">
        <is>
          <t>01 MANHOLES</t>
        </is>
      </c>
      <c r="E1905" s="5" t="inlineStr">
        <is>
          <t>900 dia. x 1000 depth to invert</t>
        </is>
      </c>
      <c r="F1905" s="5" t="inlineStr">
        <is>
          <t>excavation, support, backfilling and disposal</t>
        </is>
      </c>
      <c r="G1905" s="6" t="inlineStr">
        <is>
          <t>nr</t>
        </is>
      </c>
      <c r="H1905" s="7" t="n">
        <v>0.65</v>
      </c>
      <c r="I1905" s="8" t="n">
        <v>60.97</v>
      </c>
      <c r="J1905" s="8" t="n">
        <v>40.05</v>
      </c>
      <c r="K1905" s="8" t="n">
        <v>0</v>
      </c>
      <c r="L1905" s="8" t="n">
        <v>0</v>
      </c>
      <c r="M1905" s="9">
        <f>ROUND(SUM(I1905:L1905),2)</f>
        <v/>
      </c>
      <c r="N1905" s="10">
        <f>ROUND(I1905*'Irish Basis'!$C$6*'Irish Basis'!$C$5,2)</f>
        <v/>
      </c>
      <c r="O1905" s="10">
        <f>ROUND(J1905*'Irish Basis'!$C$7*'Irish Basis'!$C$5,2)</f>
        <v/>
      </c>
      <c r="P1905" s="10">
        <f>ROUND(K1905*'Irish Basis'!$C$8*'Irish Basis'!$C$5,2)</f>
        <v/>
      </c>
      <c r="Q1905" s="10">
        <f>ROUND(L1905*'Irish Basis'!$C$12*'Irish Basis'!$C$5,2)</f>
        <v/>
      </c>
      <c r="R1905" s="11">
        <f>ROUND(SUM(N1905:Q1905),2)</f>
        <v/>
      </c>
      <c r="S1905" s="5" t="inlineStr">
        <is>
          <t>Stated build-up</t>
        </is>
      </c>
      <c r="T1905" s="12" t="inlineStr">
        <is>
          <t>High</t>
        </is>
      </c>
      <c r="U1905" s="8" t="n">
        <v>101.02</v>
      </c>
      <c r="V1905" s="13">
        <f>IF(U1905="","",ROUND(M1905-U1905,2))</f>
        <v/>
      </c>
      <c r="W1905" s="5" t="n"/>
      <c r="X1905" s="5" t="inlineStr">
        <is>
          <t>Labour + plant + material as published; reconciles to the published rate.</t>
        </is>
      </c>
    </row>
    <row r="1906" ht="13" customHeight="1">
      <c r="A1906" s="4" t="n">
        <v>2945</v>
      </c>
      <c r="B1906" s="5" t="inlineStr">
        <is>
          <t>IMG_0105</t>
        </is>
      </c>
      <c r="C1906" s="5" t="inlineStr">
        <is>
          <t>CLASS K: PIPEWORK - MANHOLES AND PIPEWORK ANCILLARIES</t>
        </is>
      </c>
      <c r="D1906" s="5" t="inlineStr">
        <is>
          <t>01 MANHOLES</t>
        </is>
      </c>
      <c r="E1906" s="5" t="inlineStr">
        <is>
          <t>900 dia. x 1000 depth to invert</t>
        </is>
      </c>
      <c r="F1906" s="5" t="inlineStr">
        <is>
          <t>concrete base</t>
        </is>
      </c>
      <c r="G1906" s="6" t="inlineStr">
        <is>
          <t>nr</t>
        </is>
      </c>
      <c r="H1906" s="7" t="n">
        <v>0.47</v>
      </c>
      <c r="I1906" s="8" t="n">
        <v>12.48</v>
      </c>
      <c r="J1906" s="8" t="n">
        <v>4.32</v>
      </c>
      <c r="K1906" s="8" t="n">
        <v>40.97</v>
      </c>
      <c r="L1906" s="8" t="n">
        <v>0</v>
      </c>
      <c r="M1906" s="9">
        <f>ROUND(SUM(I1906:L1906),2)</f>
        <v/>
      </c>
      <c r="N1906" s="10">
        <f>ROUND(I1906*'Irish Basis'!$C$6*'Irish Basis'!$C$5,2)</f>
        <v/>
      </c>
      <c r="O1906" s="10">
        <f>ROUND(J1906*'Irish Basis'!$C$7*'Irish Basis'!$C$5,2)</f>
        <v/>
      </c>
      <c r="P1906" s="10">
        <f>ROUND(K1906*'Irish Basis'!$C$8*'Irish Basis'!$C$5,2)</f>
        <v/>
      </c>
      <c r="Q1906" s="10">
        <f>ROUND(L1906*'Irish Basis'!$C$12*'Irish Basis'!$C$5,2)</f>
        <v/>
      </c>
      <c r="R1906" s="11">
        <f>ROUND(SUM(N1906:Q1906),2)</f>
        <v/>
      </c>
      <c r="S1906" s="5" t="inlineStr">
        <is>
          <t>Stated build-up</t>
        </is>
      </c>
      <c r="T1906" s="12" t="inlineStr">
        <is>
          <t>High</t>
        </is>
      </c>
      <c r="U1906" s="8" t="n">
        <v>57.77</v>
      </c>
      <c r="V1906" s="13">
        <f>IF(U1906="","",ROUND(M1906-U1906,2))</f>
        <v/>
      </c>
      <c r="W1906" s="5" t="n"/>
      <c r="X1906" s="5" t="inlineStr">
        <is>
          <t>Labour + plant + material as published; reconciles to the published rate.</t>
        </is>
      </c>
    </row>
    <row r="1907" ht="13" customHeight="1">
      <c r="A1907" s="4" t="n">
        <v>2946</v>
      </c>
      <c r="B1907" s="5" t="inlineStr">
        <is>
          <t>IMG_0105</t>
        </is>
      </c>
      <c r="C1907" s="5" t="inlineStr">
        <is>
          <t>CLASS K: PIPEWORK - MANHOLES AND PIPEWORK ANCILLARIES</t>
        </is>
      </c>
      <c r="D1907" s="5" t="inlineStr">
        <is>
          <t>01 MANHOLES</t>
        </is>
      </c>
      <c r="E1907" s="5" t="inlineStr">
        <is>
          <t>900 dia. x 1000 depth to invert</t>
        </is>
      </c>
      <c r="F1907" s="5" t="inlineStr">
        <is>
          <t>main chamber rings</t>
        </is>
      </c>
      <c r="G1907" s="6" t="inlineStr">
        <is>
          <t>nr</t>
        </is>
      </c>
      <c r="H1907" s="7" t="n">
        <v>3.8</v>
      </c>
      <c r="I1907" s="8" t="n">
        <v>116.49</v>
      </c>
      <c r="J1907" s="8" t="n">
        <v>86.34</v>
      </c>
      <c r="K1907" s="8" t="n">
        <v>200.8</v>
      </c>
      <c r="L1907" s="8" t="n">
        <v>0</v>
      </c>
      <c r="M1907" s="9">
        <f>ROUND(SUM(I1907:L1907),2)</f>
        <v/>
      </c>
      <c r="N1907" s="10">
        <f>ROUND(I1907*'Irish Basis'!$C$6*'Irish Basis'!$C$5,2)</f>
        <v/>
      </c>
      <c r="O1907" s="10">
        <f>ROUND(J1907*'Irish Basis'!$C$7*'Irish Basis'!$C$5,2)</f>
        <v/>
      </c>
      <c r="P1907" s="10">
        <f>ROUND(K1907*'Irish Basis'!$C$8*'Irish Basis'!$C$5,2)</f>
        <v/>
      </c>
      <c r="Q1907" s="10">
        <f>ROUND(L1907*'Irish Basis'!$C$12*'Irish Basis'!$C$5,2)</f>
        <v/>
      </c>
      <c r="R1907" s="11">
        <f>ROUND(SUM(N1907:Q1907),2)</f>
        <v/>
      </c>
      <c r="S1907" s="5" t="inlineStr">
        <is>
          <t>Stated build-up</t>
        </is>
      </c>
      <c r="T1907" s="12" t="inlineStr">
        <is>
          <t>High</t>
        </is>
      </c>
      <c r="U1907" s="8" t="n">
        <v>403.63</v>
      </c>
      <c r="V1907" s="13">
        <f>IF(U1907="","",ROUND(M1907-U1907,2))</f>
        <v/>
      </c>
      <c r="W1907" s="5" t="n"/>
      <c r="X1907" s="5" t="inlineStr">
        <is>
          <t>Labour + plant + material as published; reconciles to the published rate.</t>
        </is>
      </c>
    </row>
    <row r="1908" ht="13" customHeight="1">
      <c r="A1908" s="4" t="n">
        <v>2947</v>
      </c>
      <c r="B1908" s="5" t="inlineStr">
        <is>
          <t>IMG_0105</t>
        </is>
      </c>
      <c r="C1908" s="5" t="inlineStr">
        <is>
          <t>CLASS K: PIPEWORK - MANHOLES AND PIPEWORK ANCILLARIES</t>
        </is>
      </c>
      <c r="D1908" s="5" t="inlineStr">
        <is>
          <t>01 MANHOLES</t>
        </is>
      </c>
      <c r="E1908" s="5" t="inlineStr">
        <is>
          <t>900 dia. x 1000 depth to invert</t>
        </is>
      </c>
      <c r="F1908" s="5" t="inlineStr">
        <is>
          <t>cover slab</t>
        </is>
      </c>
      <c r="G1908" s="6" t="inlineStr">
        <is>
          <t>nr</t>
        </is>
      </c>
      <c r="H1908" s="7" t="n">
        <v>3.8</v>
      </c>
      <c r="I1908" s="8" t="n">
        <v>116.49</v>
      </c>
      <c r="J1908" s="8" t="n">
        <v>86.34</v>
      </c>
      <c r="K1908" s="8" t="n">
        <v>200.8</v>
      </c>
      <c r="L1908" s="8" t="n">
        <v>0</v>
      </c>
      <c r="M1908" s="9">
        <f>ROUND(SUM(I1908:L1908),2)</f>
        <v/>
      </c>
      <c r="N1908" s="10">
        <f>ROUND(I1908*'Irish Basis'!$C$6*'Irish Basis'!$C$5,2)</f>
        <v/>
      </c>
      <c r="O1908" s="10">
        <f>ROUND(J1908*'Irish Basis'!$C$7*'Irish Basis'!$C$5,2)</f>
        <v/>
      </c>
      <c r="P1908" s="10">
        <f>ROUND(K1908*'Irish Basis'!$C$8*'Irish Basis'!$C$5,2)</f>
        <v/>
      </c>
      <c r="Q1908" s="10">
        <f>ROUND(L1908*'Irish Basis'!$C$12*'Irish Basis'!$C$5,2)</f>
        <v/>
      </c>
      <c r="R1908" s="11">
        <f>ROUND(SUM(N1908:Q1908),2)</f>
        <v/>
      </c>
      <c r="S1908" s="5" t="inlineStr">
        <is>
          <t>Stated build-up</t>
        </is>
      </c>
      <c r="T1908" s="12" t="inlineStr">
        <is>
          <t>High</t>
        </is>
      </c>
      <c r="U1908" s="8" t="n">
        <v>403.63</v>
      </c>
      <c r="V1908" s="13">
        <f>IF(U1908="","",ROUND(M1908-U1908,2))</f>
        <v/>
      </c>
      <c r="W1908" s="5" t="n"/>
      <c r="X1908" s="5" t="inlineStr">
        <is>
          <t>Labour + plant + material as published; reconciles to the published rate.</t>
        </is>
      </c>
    </row>
    <row r="1909" ht="13" customHeight="1">
      <c r="A1909" s="4" t="n">
        <v>2948</v>
      </c>
      <c r="B1909" s="5" t="inlineStr">
        <is>
          <t>IMG_0105</t>
        </is>
      </c>
      <c r="C1909" s="5" t="inlineStr">
        <is>
          <t>CLASS K: PIPEWORK - MANHOLES AND PIPEWORK ANCILLARIES</t>
        </is>
      </c>
      <c r="D1909" s="5" t="inlineStr">
        <is>
          <t>01 MANHOLES</t>
        </is>
      </c>
      <c r="E1909" s="5" t="inlineStr">
        <is>
          <t>900 dia. x 1000 depth to invert</t>
        </is>
      </c>
      <c r="F1909" s="5" t="inlineStr">
        <is>
          <t>concrete surround</t>
        </is>
      </c>
      <c r="G1909" s="6" t="inlineStr">
        <is>
          <t>nr</t>
        </is>
      </c>
      <c r="H1909" s="7" t="n">
        <v>0.97</v>
      </c>
      <c r="I1909" s="8" t="n">
        <v>25.7</v>
      </c>
      <c r="J1909" s="8" t="n">
        <v>9.99</v>
      </c>
      <c r="K1909" s="8" t="n">
        <v>61.34</v>
      </c>
      <c r="L1909" s="8" t="n">
        <v>0</v>
      </c>
      <c r="M1909" s="9">
        <f>ROUND(SUM(I1909:L1909),2)</f>
        <v/>
      </c>
      <c r="N1909" s="10">
        <f>ROUND(I1909*'Irish Basis'!$C$6*'Irish Basis'!$C$5,2)</f>
        <v/>
      </c>
      <c r="O1909" s="10">
        <f>ROUND(J1909*'Irish Basis'!$C$7*'Irish Basis'!$C$5,2)</f>
        <v/>
      </c>
      <c r="P1909" s="10">
        <f>ROUND(K1909*'Irish Basis'!$C$8*'Irish Basis'!$C$5,2)</f>
        <v/>
      </c>
      <c r="Q1909" s="10">
        <f>ROUND(L1909*'Irish Basis'!$C$12*'Irish Basis'!$C$5,2)</f>
        <v/>
      </c>
      <c r="R1909" s="11">
        <f>ROUND(SUM(N1909:Q1909),2)</f>
        <v/>
      </c>
      <c r="S1909" s="5" t="inlineStr">
        <is>
          <t>Stated build-up</t>
        </is>
      </c>
      <c r="T1909" s="12" t="inlineStr">
        <is>
          <t>High</t>
        </is>
      </c>
      <c r="U1909" s="8" t="n">
        <v>97.03</v>
      </c>
      <c r="V1909" s="13">
        <f>IF(U1909="","",ROUND(M1909-U1909,2))</f>
        <v/>
      </c>
      <c r="W1909" s="5" t="n"/>
      <c r="X1909" s="5" t="inlineStr">
        <is>
          <t>Labour + plant + material as published; reconciles to the published rate.</t>
        </is>
      </c>
    </row>
    <row r="1910" ht="13" customHeight="1">
      <c r="A1910" s="4" t="n">
        <v>2949</v>
      </c>
      <c r="B1910" s="5" t="inlineStr">
        <is>
          <t>IMG_0105</t>
        </is>
      </c>
      <c r="C1910" s="5" t="inlineStr">
        <is>
          <t>CLASS K: PIPEWORK - MANHOLES AND PIPEWORK ANCILLARIES</t>
        </is>
      </c>
      <c r="D1910" s="5" t="inlineStr">
        <is>
          <t>01 MANHOLES</t>
        </is>
      </c>
      <c r="E1910" s="5" t="inlineStr">
        <is>
          <t>900 dia. x 1000 depth to invert</t>
        </is>
      </c>
      <c r="F1910" s="5" t="inlineStr">
        <is>
          <t>concrete benching, main and branch channels</t>
        </is>
      </c>
      <c r="G1910" s="6" t="inlineStr">
        <is>
          <t>nr</t>
        </is>
      </c>
      <c r="H1910" s="7" t="n">
        <v>3.38</v>
      </c>
      <c r="I1910" s="8" t="n">
        <v>91.69</v>
      </c>
      <c r="J1910" s="8" t="n">
        <v>22.66</v>
      </c>
      <c r="K1910" s="8" t="n">
        <v>150.84</v>
      </c>
      <c r="L1910" s="8" t="n">
        <v>0</v>
      </c>
      <c r="M1910" s="9">
        <f>ROUND(SUM(I1910:L1910),2)</f>
        <v/>
      </c>
      <c r="N1910" s="10">
        <f>ROUND(I1910*'Irish Basis'!$C$6*'Irish Basis'!$C$5,2)</f>
        <v/>
      </c>
      <c r="O1910" s="10">
        <f>ROUND(J1910*'Irish Basis'!$C$7*'Irish Basis'!$C$5,2)</f>
        <v/>
      </c>
      <c r="P1910" s="10">
        <f>ROUND(K1910*'Irish Basis'!$C$8*'Irish Basis'!$C$5,2)</f>
        <v/>
      </c>
      <c r="Q1910" s="10">
        <f>ROUND(L1910*'Irish Basis'!$C$12*'Irish Basis'!$C$5,2)</f>
        <v/>
      </c>
      <c r="R1910" s="11">
        <f>ROUND(SUM(N1910:Q1910),2)</f>
        <v/>
      </c>
      <c r="S1910" s="5" t="inlineStr">
        <is>
          <t>Stated build-up</t>
        </is>
      </c>
      <c r="T1910" s="12" t="inlineStr">
        <is>
          <t>High</t>
        </is>
      </c>
      <c r="U1910" s="8" t="n">
        <v>265.19</v>
      </c>
      <c r="V1910" s="13">
        <f>IF(U1910="","",ROUND(M1910-U1910,2))</f>
        <v/>
      </c>
      <c r="W1910" s="5" t="n"/>
      <c r="X1910" s="5" t="inlineStr">
        <is>
          <t>Labour + plant + material as published; reconciles to the published rate.</t>
        </is>
      </c>
    </row>
    <row r="1911" ht="13" customHeight="1">
      <c r="A1911" s="4" t="n">
        <v>2950</v>
      </c>
      <c r="B1911" s="5" t="inlineStr">
        <is>
          <t>IMG_0105</t>
        </is>
      </c>
      <c r="C1911" s="5" t="inlineStr">
        <is>
          <t>CLASS K: PIPEWORK - MANHOLES AND PIPEWORK ANCILLARIES</t>
        </is>
      </c>
      <c r="D1911" s="5" t="inlineStr">
        <is>
          <t>01 MANHOLES</t>
        </is>
      </c>
      <c r="E1911" s="5" t="inlineStr">
        <is>
          <t>900 dia. x 1000 depth to invert</t>
        </is>
      </c>
      <c r="F1911" s="5" t="inlineStr">
        <is>
          <t>step irons</t>
        </is>
      </c>
      <c r="G1911" s="6" t="inlineStr">
        <is>
          <t>nr</t>
        </is>
      </c>
      <c r="H1911" s="7" t="n">
        <v>0.32</v>
      </c>
      <c r="I1911" s="8" t="n">
        <v>7.73</v>
      </c>
      <c r="J1911" s="8" t="n">
        <v>1.03</v>
      </c>
      <c r="K1911" s="8" t="n">
        <v>68.76000000000001</v>
      </c>
      <c r="L1911" s="8" t="n">
        <v>0</v>
      </c>
      <c r="M1911" s="9">
        <f>ROUND(SUM(I1911:L1911),2)</f>
        <v/>
      </c>
      <c r="N1911" s="10">
        <f>ROUND(I1911*'Irish Basis'!$C$6*'Irish Basis'!$C$5,2)</f>
        <v/>
      </c>
      <c r="O1911" s="10">
        <f>ROUND(J1911*'Irish Basis'!$C$7*'Irish Basis'!$C$5,2)</f>
        <v/>
      </c>
      <c r="P1911" s="10">
        <f>ROUND(K1911*'Irish Basis'!$C$8*'Irish Basis'!$C$5,2)</f>
        <v/>
      </c>
      <c r="Q1911" s="10">
        <f>ROUND(L1911*'Irish Basis'!$C$12*'Irish Basis'!$C$5,2)</f>
        <v/>
      </c>
      <c r="R1911" s="11">
        <f>ROUND(SUM(N1911:Q1911),2)</f>
        <v/>
      </c>
      <c r="S1911" s="5" t="inlineStr">
        <is>
          <t>Stated build-up</t>
        </is>
      </c>
      <c r="T1911" s="12" t="inlineStr">
        <is>
          <t>High</t>
        </is>
      </c>
      <c r="U1911" s="8" t="n">
        <v>77.52</v>
      </c>
      <c r="V1911" s="13">
        <f>IF(U1911="","",ROUND(M1911-U1911,2))</f>
        <v/>
      </c>
      <c r="W1911" s="5" t="n"/>
      <c r="X1911" s="5" t="inlineStr">
        <is>
          <t>Labour + plant + material as published; reconciles to the published rate.</t>
        </is>
      </c>
    </row>
    <row r="1912" ht="13" customHeight="1">
      <c r="A1912" s="4" t="n">
        <v>2951</v>
      </c>
      <c r="B1912" s="5" t="inlineStr">
        <is>
          <t>IMG_0105</t>
        </is>
      </c>
      <c r="C1912" s="5" t="inlineStr">
        <is>
          <t>CLASS K: PIPEWORK - MANHOLES AND PIPEWORK ANCILLARIES</t>
        </is>
      </c>
      <c r="D1912" s="5" t="inlineStr">
        <is>
          <t>01 MANHOLES</t>
        </is>
      </c>
      <c r="E1912" s="5" t="inlineStr">
        <is>
          <t>900 dia. x 1000 depth to invert</t>
        </is>
      </c>
      <c r="F1912" s="5" t="inlineStr">
        <is>
          <t>access cover and frame</t>
        </is>
      </c>
      <c r="G1912" s="6" t="inlineStr">
        <is>
          <t>nr</t>
        </is>
      </c>
      <c r="H1912" s="7" t="n">
        <v>1.44</v>
      </c>
      <c r="I1912" s="8" t="n">
        <v>40.16</v>
      </c>
      <c r="J1912" s="8" t="n">
        <v>4.42</v>
      </c>
      <c r="K1912" s="8" t="n">
        <v>341.51</v>
      </c>
      <c r="L1912" s="8" t="n">
        <v>0</v>
      </c>
      <c r="M1912" s="9">
        <f>ROUND(SUM(I1912:L1912),2)</f>
        <v/>
      </c>
      <c r="N1912" s="10">
        <f>ROUND(I1912*'Irish Basis'!$C$6*'Irish Basis'!$C$5,2)</f>
        <v/>
      </c>
      <c r="O1912" s="10">
        <f>ROUND(J1912*'Irish Basis'!$C$7*'Irish Basis'!$C$5,2)</f>
        <v/>
      </c>
      <c r="P1912" s="10">
        <f>ROUND(K1912*'Irish Basis'!$C$8*'Irish Basis'!$C$5,2)</f>
        <v/>
      </c>
      <c r="Q1912" s="10">
        <f>ROUND(L1912*'Irish Basis'!$C$12*'Irish Basis'!$C$5,2)</f>
        <v/>
      </c>
      <c r="R1912" s="11">
        <f>ROUND(SUM(N1912:Q1912),2)</f>
        <v/>
      </c>
      <c r="S1912" s="5" t="inlineStr">
        <is>
          <t>Stated build-up</t>
        </is>
      </c>
      <c r="T1912" s="12" t="inlineStr">
        <is>
          <t>High</t>
        </is>
      </c>
      <c r="U1912" s="8" t="n">
        <v>386.09</v>
      </c>
      <c r="V1912" s="13">
        <f>IF(U1912="","",ROUND(M1912-U1912,2))</f>
        <v/>
      </c>
      <c r="W1912" s="5" t="n"/>
      <c r="X1912" s="5" t="inlineStr">
        <is>
          <t>Labour + plant + material as published; reconciles to the published rate.</t>
        </is>
      </c>
    </row>
    <row r="1913" ht="13" customHeight="1">
      <c r="A1913" s="4" t="n">
        <v>2952</v>
      </c>
      <c r="B1913" s="5" t="inlineStr">
        <is>
          <t>IMG_0105</t>
        </is>
      </c>
      <c r="C1913" s="5" t="inlineStr">
        <is>
          <t>CLASS K: PIPEWORK - MANHOLES AND PIPEWORK ANCILLARIES</t>
        </is>
      </c>
      <c r="D1913" s="5" t="inlineStr">
        <is>
          <t>01 MANHOLES</t>
        </is>
      </c>
      <c r="E1913" s="5" t="inlineStr">
        <is>
          <t>900 dia. x 1000 depth to invert</t>
        </is>
      </c>
      <c r="F1913" s="5" t="inlineStr">
        <is>
          <t>TOTAL</t>
        </is>
      </c>
      <c r="G1913" s="6" t="inlineStr">
        <is>
          <t>nr</t>
        </is>
      </c>
      <c r="H1913" s="7" t="n">
        <v>14.82</v>
      </c>
      <c r="I1913" s="8" t="n">
        <v>471.7</v>
      </c>
      <c r="J1913" s="8" t="n">
        <v>255.15</v>
      </c>
      <c r="K1913" s="8" t="n">
        <v>1065.02</v>
      </c>
      <c r="L1913" s="8" t="n">
        <v>0</v>
      </c>
      <c r="M1913" s="9">
        <f>ROUND(SUM(I1913:L1913),2)</f>
        <v/>
      </c>
      <c r="N1913" s="10">
        <f>ROUND(I1913*'Irish Basis'!$C$6*'Irish Basis'!$C$5,2)</f>
        <v/>
      </c>
      <c r="O1913" s="10">
        <f>ROUND(J1913*'Irish Basis'!$C$7*'Irish Basis'!$C$5,2)</f>
        <v/>
      </c>
      <c r="P1913" s="10">
        <f>ROUND(K1913*'Irish Basis'!$C$8*'Irish Basis'!$C$5,2)</f>
        <v/>
      </c>
      <c r="Q1913" s="10">
        <f>ROUND(L1913*'Irish Basis'!$C$12*'Irish Basis'!$C$5,2)</f>
        <v/>
      </c>
      <c r="R1913" s="11">
        <f>ROUND(SUM(N1913:Q1913),2)</f>
        <v/>
      </c>
      <c r="S1913" s="5" t="inlineStr">
        <is>
          <t>Stated build-up</t>
        </is>
      </c>
      <c r="T1913" s="12" t="inlineStr">
        <is>
          <t>High</t>
        </is>
      </c>
      <c r="U1913" s="8" t="n">
        <v>1791.87</v>
      </c>
      <c r="V1913" s="13">
        <f>IF(U1913="","",ROUND(M1913-U1913,2))</f>
        <v/>
      </c>
      <c r="W1913" s="5" t="n"/>
      <c r="X1913" s="5" t="inlineStr">
        <is>
          <t>Labour + plant + material as published; reconciles to the published rate.</t>
        </is>
      </c>
    </row>
    <row r="1914" ht="13" customHeight="1">
      <c r="A1914" s="4" t="n">
        <v>2954</v>
      </c>
      <c r="B1914" s="5" t="inlineStr">
        <is>
          <t>IMG_0105</t>
        </is>
      </c>
      <c r="C1914" s="5" t="inlineStr">
        <is>
          <t>CLASS K: PIPEWORK - MANHOLES AND PIPEWORK ANCILLARIES</t>
        </is>
      </c>
      <c r="D1914" s="5" t="inlineStr">
        <is>
          <t>01 MANHOLES</t>
        </is>
      </c>
      <c r="E1914" s="5" t="inlineStr">
        <is>
          <t>900 dia. x 1500 depth to invert</t>
        </is>
      </c>
      <c r="F1914" s="5" t="inlineStr">
        <is>
          <t>excavation, support, backfilling and disposal</t>
        </is>
      </c>
      <c r="G1914" s="6" t="inlineStr">
        <is>
          <t>nr</t>
        </is>
      </c>
      <c r="H1914" s="7" t="n">
        <v>0.99</v>
      </c>
      <c r="I1914" s="8" t="n">
        <v>92.29000000000001</v>
      </c>
      <c r="J1914" s="8" t="n">
        <v>60.43</v>
      </c>
      <c r="K1914" s="8" t="n">
        <v>0</v>
      </c>
      <c r="L1914" s="8" t="n">
        <v>0</v>
      </c>
      <c r="M1914" s="9">
        <f>ROUND(SUM(I1914:L1914),2)</f>
        <v/>
      </c>
      <c r="N1914" s="10">
        <f>ROUND(I1914*'Irish Basis'!$C$6*'Irish Basis'!$C$5,2)</f>
        <v/>
      </c>
      <c r="O1914" s="10">
        <f>ROUND(J1914*'Irish Basis'!$C$7*'Irish Basis'!$C$5,2)</f>
        <v/>
      </c>
      <c r="P1914" s="10">
        <f>ROUND(K1914*'Irish Basis'!$C$8*'Irish Basis'!$C$5,2)</f>
        <v/>
      </c>
      <c r="Q1914" s="10">
        <f>ROUND(L1914*'Irish Basis'!$C$12*'Irish Basis'!$C$5,2)</f>
        <v/>
      </c>
      <c r="R1914" s="11">
        <f>ROUND(SUM(N1914:Q1914),2)</f>
        <v/>
      </c>
      <c r="S1914" s="5" t="inlineStr">
        <is>
          <t>Stated build-up</t>
        </is>
      </c>
      <c r="T1914" s="12" t="inlineStr">
        <is>
          <t>High</t>
        </is>
      </c>
      <c r="U1914" s="8" t="n">
        <v>152.72</v>
      </c>
      <c r="V1914" s="13">
        <f>IF(U1914="","",ROUND(M1914-U1914,2))</f>
        <v/>
      </c>
      <c r="W1914" s="5" t="n"/>
      <c r="X1914" s="5" t="inlineStr">
        <is>
          <t>Labour + plant + material as published; reconciles to the published rate.</t>
        </is>
      </c>
    </row>
    <row r="1915" ht="13" customHeight="1">
      <c r="A1915" s="4" t="n">
        <v>2955</v>
      </c>
      <c r="B1915" s="5" t="inlineStr">
        <is>
          <t>IMG_0105</t>
        </is>
      </c>
      <c r="C1915" s="5" t="inlineStr">
        <is>
          <t>CLASS K: PIPEWORK - MANHOLES AND PIPEWORK ANCILLARIES</t>
        </is>
      </c>
      <c r="D1915" s="5" t="inlineStr">
        <is>
          <t>01 MANHOLES</t>
        </is>
      </c>
      <c r="E1915" s="5" t="inlineStr">
        <is>
          <t>900 dia. x 1500 depth to invert</t>
        </is>
      </c>
      <c r="F1915" s="5" t="inlineStr">
        <is>
          <t>concrete base</t>
        </is>
      </c>
      <c r="G1915" s="6" t="inlineStr">
        <is>
          <t>nr</t>
        </is>
      </c>
      <c r="H1915" s="7" t="n">
        <v>0.47</v>
      </c>
      <c r="I1915" s="8" t="n">
        <v>12.48</v>
      </c>
      <c r="J1915" s="8" t="n">
        <v>4.32</v>
      </c>
      <c r="K1915" s="8" t="n">
        <v>40.97</v>
      </c>
      <c r="L1915" s="8" t="n">
        <v>0</v>
      </c>
      <c r="M1915" s="9">
        <f>ROUND(SUM(I1915:L1915),2)</f>
        <v/>
      </c>
      <c r="N1915" s="10">
        <f>ROUND(I1915*'Irish Basis'!$C$6*'Irish Basis'!$C$5,2)</f>
        <v/>
      </c>
      <c r="O1915" s="10">
        <f>ROUND(J1915*'Irish Basis'!$C$7*'Irish Basis'!$C$5,2)</f>
        <v/>
      </c>
      <c r="P1915" s="10">
        <f>ROUND(K1915*'Irish Basis'!$C$8*'Irish Basis'!$C$5,2)</f>
        <v/>
      </c>
      <c r="Q1915" s="10">
        <f>ROUND(L1915*'Irish Basis'!$C$12*'Irish Basis'!$C$5,2)</f>
        <v/>
      </c>
      <c r="R1915" s="11">
        <f>ROUND(SUM(N1915:Q1915),2)</f>
        <v/>
      </c>
      <c r="S1915" s="5" t="inlineStr">
        <is>
          <t>Stated build-up</t>
        </is>
      </c>
      <c r="T1915" s="12" t="inlineStr">
        <is>
          <t>High</t>
        </is>
      </c>
      <c r="U1915" s="8" t="n">
        <v>57.77</v>
      </c>
      <c r="V1915" s="13">
        <f>IF(U1915="","",ROUND(M1915-U1915,2))</f>
        <v/>
      </c>
      <c r="W1915" s="5" t="n"/>
      <c r="X1915" s="5" t="inlineStr">
        <is>
          <t>Labour + plant + material as published; reconciles to the published rate.</t>
        </is>
      </c>
    </row>
    <row r="1916" ht="13" customHeight="1">
      <c r="A1916" s="4" t="n">
        <v>2956</v>
      </c>
      <c r="B1916" s="5" t="inlineStr">
        <is>
          <t>IMG_0105</t>
        </is>
      </c>
      <c r="C1916" s="5" t="inlineStr">
        <is>
          <t>CLASS K: PIPEWORK - MANHOLES AND PIPEWORK ANCILLARIES</t>
        </is>
      </c>
      <c r="D1916" s="5" t="inlineStr">
        <is>
          <t>01 MANHOLES</t>
        </is>
      </c>
      <c r="E1916" s="5" t="inlineStr">
        <is>
          <t>900 dia. x 1500 depth to invert</t>
        </is>
      </c>
      <c r="F1916" s="5" t="inlineStr">
        <is>
          <t>main chamber rings</t>
        </is>
      </c>
      <c r="G1916" s="6" t="inlineStr">
        <is>
          <t>nr</t>
        </is>
      </c>
      <c r="H1916" s="7" t="n">
        <v>5.7</v>
      </c>
      <c r="I1916" s="8" t="n">
        <v>174.73</v>
      </c>
      <c r="J1916" s="8" t="n">
        <v>129.51</v>
      </c>
      <c r="K1916" s="8" t="n">
        <v>301.19</v>
      </c>
      <c r="L1916" s="8" t="n">
        <v>0</v>
      </c>
      <c r="M1916" s="9">
        <f>ROUND(SUM(I1916:L1916),2)</f>
        <v/>
      </c>
      <c r="N1916" s="10">
        <f>ROUND(I1916*'Irish Basis'!$C$6*'Irish Basis'!$C$5,2)</f>
        <v/>
      </c>
      <c r="O1916" s="10">
        <f>ROUND(J1916*'Irish Basis'!$C$7*'Irish Basis'!$C$5,2)</f>
        <v/>
      </c>
      <c r="P1916" s="10">
        <f>ROUND(K1916*'Irish Basis'!$C$8*'Irish Basis'!$C$5,2)</f>
        <v/>
      </c>
      <c r="Q1916" s="10">
        <f>ROUND(L1916*'Irish Basis'!$C$12*'Irish Basis'!$C$5,2)</f>
        <v/>
      </c>
      <c r="R1916" s="11">
        <f>ROUND(SUM(N1916:Q1916),2)</f>
        <v/>
      </c>
      <c r="S1916" s="5" t="inlineStr">
        <is>
          <t>Stated build-up</t>
        </is>
      </c>
      <c r="T1916" s="12" t="inlineStr">
        <is>
          <t>High</t>
        </is>
      </c>
      <c r="U1916" s="8" t="n">
        <v>605.4400000000001</v>
      </c>
      <c r="V1916" s="13">
        <f>IF(U1916="","",ROUND(M1916-U1916,2))</f>
        <v/>
      </c>
      <c r="W1916" s="5" t="n"/>
      <c r="X1916" s="5" t="inlineStr">
        <is>
          <t>Labour + plant + material as published; reconciles to the published rate.</t>
        </is>
      </c>
    </row>
    <row r="1917" ht="13" customHeight="1">
      <c r="A1917" s="4" t="n">
        <v>2957</v>
      </c>
      <c r="B1917" s="5" t="inlineStr">
        <is>
          <t>IMG_0105</t>
        </is>
      </c>
      <c r="C1917" s="5" t="inlineStr">
        <is>
          <t>CLASS K: PIPEWORK - MANHOLES AND PIPEWORK ANCILLARIES</t>
        </is>
      </c>
      <c r="D1917" s="5" t="inlineStr">
        <is>
          <t>01 MANHOLES</t>
        </is>
      </c>
      <c r="E1917" s="5" t="inlineStr">
        <is>
          <t>900 dia. x 1500 depth to invert</t>
        </is>
      </c>
      <c r="F1917" s="5" t="inlineStr">
        <is>
          <t>cover slab</t>
        </is>
      </c>
      <c r="G1917" s="6" t="inlineStr">
        <is>
          <t>nr</t>
        </is>
      </c>
      <c r="H1917" s="7" t="n">
        <v>2.16</v>
      </c>
      <c r="I1917" s="8" t="n">
        <v>66.20999999999999</v>
      </c>
      <c r="J1917" s="8" t="n">
        <v>49.12</v>
      </c>
      <c r="K1917" s="8" t="n">
        <v>169.95</v>
      </c>
      <c r="L1917" s="8" t="n">
        <v>0</v>
      </c>
      <c r="M1917" s="9">
        <f>ROUND(SUM(I1917:L1917),2)</f>
        <v/>
      </c>
      <c r="N1917" s="10">
        <f>ROUND(I1917*'Irish Basis'!$C$6*'Irish Basis'!$C$5,2)</f>
        <v/>
      </c>
      <c r="O1917" s="10">
        <f>ROUND(J1917*'Irish Basis'!$C$7*'Irish Basis'!$C$5,2)</f>
        <v/>
      </c>
      <c r="P1917" s="10">
        <f>ROUND(K1917*'Irish Basis'!$C$8*'Irish Basis'!$C$5,2)</f>
        <v/>
      </c>
      <c r="Q1917" s="10">
        <f>ROUND(L1917*'Irish Basis'!$C$12*'Irish Basis'!$C$5,2)</f>
        <v/>
      </c>
      <c r="R1917" s="11">
        <f>ROUND(SUM(N1917:Q1917),2)</f>
        <v/>
      </c>
      <c r="S1917" s="5" t="inlineStr">
        <is>
          <t>Stated build-up</t>
        </is>
      </c>
      <c r="T1917" s="12" t="inlineStr">
        <is>
          <t>High</t>
        </is>
      </c>
      <c r="U1917" s="8" t="n">
        <v>285.28</v>
      </c>
      <c r="V1917" s="13">
        <f>IF(U1917="","",ROUND(M1917-U1917,2))</f>
        <v/>
      </c>
      <c r="W1917" s="5" t="n"/>
      <c r="X1917" s="5" t="inlineStr">
        <is>
          <t>Labour + plant + material as published; reconciles to the published rate.</t>
        </is>
      </c>
    </row>
    <row r="1918" ht="13" customHeight="1">
      <c r="A1918" s="4" t="n">
        <v>2958</v>
      </c>
      <c r="B1918" s="5" t="inlineStr">
        <is>
          <t>IMG_0105</t>
        </is>
      </c>
      <c r="C1918" s="5" t="inlineStr">
        <is>
          <t>CLASS K: PIPEWORK - MANHOLES AND PIPEWORK ANCILLARIES</t>
        </is>
      </c>
      <c r="D1918" s="5" t="inlineStr">
        <is>
          <t>01 MANHOLES</t>
        </is>
      </c>
      <c r="E1918" s="5" t="inlineStr">
        <is>
          <t>900 dia. x 1500 depth to invert</t>
        </is>
      </c>
      <c r="F1918" s="5" t="inlineStr">
        <is>
          <t>concrete surround</t>
        </is>
      </c>
      <c r="G1918" s="6" t="inlineStr">
        <is>
          <t>nr</t>
        </is>
      </c>
      <c r="H1918" s="7" t="n">
        <v>1.47</v>
      </c>
      <c r="I1918" s="8" t="n">
        <v>39.16</v>
      </c>
      <c r="J1918" s="8" t="n">
        <v>15.22</v>
      </c>
      <c r="K1918" s="8" t="n">
        <v>93.47</v>
      </c>
      <c r="L1918" s="8" t="n">
        <v>0</v>
      </c>
      <c r="M1918" s="9">
        <f>ROUND(SUM(I1918:L1918),2)</f>
        <v/>
      </c>
      <c r="N1918" s="10">
        <f>ROUND(I1918*'Irish Basis'!$C$6*'Irish Basis'!$C$5,2)</f>
        <v/>
      </c>
      <c r="O1918" s="10">
        <f>ROUND(J1918*'Irish Basis'!$C$7*'Irish Basis'!$C$5,2)</f>
        <v/>
      </c>
      <c r="P1918" s="10">
        <f>ROUND(K1918*'Irish Basis'!$C$8*'Irish Basis'!$C$5,2)</f>
        <v/>
      </c>
      <c r="Q1918" s="10">
        <f>ROUND(L1918*'Irish Basis'!$C$12*'Irish Basis'!$C$5,2)</f>
        <v/>
      </c>
      <c r="R1918" s="11">
        <f>ROUND(SUM(N1918:Q1918),2)</f>
        <v/>
      </c>
      <c r="S1918" s="5" t="inlineStr">
        <is>
          <t>Stated build-up</t>
        </is>
      </c>
      <c r="T1918" s="12" t="inlineStr">
        <is>
          <t>High</t>
        </is>
      </c>
      <c r="U1918" s="8" t="n">
        <v>147.85</v>
      </c>
      <c r="V1918" s="13">
        <f>IF(U1918="","",ROUND(M1918-U1918,2))</f>
        <v/>
      </c>
      <c r="W1918" s="5" t="n"/>
      <c r="X1918" s="5" t="inlineStr">
        <is>
          <t>Labour + plant + material as published; reconciles to the published rate.</t>
        </is>
      </c>
    </row>
    <row r="1919" ht="13" customHeight="1">
      <c r="A1919" s="4" t="n">
        <v>2959</v>
      </c>
      <c r="B1919" s="5" t="inlineStr">
        <is>
          <t>IMG_0105</t>
        </is>
      </c>
      <c r="C1919" s="5" t="inlineStr">
        <is>
          <t>CLASS K: PIPEWORK - MANHOLES AND PIPEWORK ANCILLARIES</t>
        </is>
      </c>
      <c r="D1919" s="5" t="inlineStr">
        <is>
          <t>01 MANHOLES</t>
        </is>
      </c>
      <c r="E1919" s="5" t="inlineStr">
        <is>
          <t>900 dia. x 1500 depth to invert</t>
        </is>
      </c>
      <c r="F1919" s="5" t="inlineStr">
        <is>
          <t>concrete benching, main and branch channels</t>
        </is>
      </c>
      <c r="G1919" s="6" t="inlineStr">
        <is>
          <t>nr</t>
        </is>
      </c>
      <c r="H1919" s="7" t="n">
        <v>3.38</v>
      </c>
      <c r="I1919" s="8" t="n">
        <v>91.69</v>
      </c>
      <c r="J1919" s="8" t="n">
        <v>22.66</v>
      </c>
      <c r="K1919" s="8" t="n">
        <v>150.84</v>
      </c>
      <c r="L1919" s="8" t="n">
        <v>0</v>
      </c>
      <c r="M1919" s="9">
        <f>ROUND(SUM(I1919:L1919),2)</f>
        <v/>
      </c>
      <c r="N1919" s="10">
        <f>ROUND(I1919*'Irish Basis'!$C$6*'Irish Basis'!$C$5,2)</f>
        <v/>
      </c>
      <c r="O1919" s="10">
        <f>ROUND(J1919*'Irish Basis'!$C$7*'Irish Basis'!$C$5,2)</f>
        <v/>
      </c>
      <c r="P1919" s="10">
        <f>ROUND(K1919*'Irish Basis'!$C$8*'Irish Basis'!$C$5,2)</f>
        <v/>
      </c>
      <c r="Q1919" s="10">
        <f>ROUND(L1919*'Irish Basis'!$C$12*'Irish Basis'!$C$5,2)</f>
        <v/>
      </c>
      <c r="R1919" s="11">
        <f>ROUND(SUM(N1919:Q1919),2)</f>
        <v/>
      </c>
      <c r="S1919" s="5" t="inlineStr">
        <is>
          <t>Stated build-up</t>
        </is>
      </c>
      <c r="T1919" s="12" t="inlineStr">
        <is>
          <t>High</t>
        </is>
      </c>
      <c r="U1919" s="8" t="n">
        <v>265.19</v>
      </c>
      <c r="V1919" s="13">
        <f>IF(U1919="","",ROUND(M1919-U1919,2))</f>
        <v/>
      </c>
      <c r="W1919" s="5" t="n"/>
      <c r="X1919" s="5" t="inlineStr">
        <is>
          <t>Labour + plant + material as published; reconciles to the published rate.</t>
        </is>
      </c>
    </row>
    <row r="1920" ht="13" customHeight="1">
      <c r="A1920" s="4" t="n">
        <v>2960</v>
      </c>
      <c r="B1920" s="5" t="inlineStr">
        <is>
          <t>IMG_0105</t>
        </is>
      </c>
      <c r="C1920" s="5" t="inlineStr">
        <is>
          <t>CLASS K: PIPEWORK - MANHOLES AND PIPEWORK ANCILLARIES</t>
        </is>
      </c>
      <c r="D1920" s="5" t="inlineStr">
        <is>
          <t>01 MANHOLES</t>
        </is>
      </c>
      <c r="E1920" s="5" t="inlineStr">
        <is>
          <t>900 dia. x 1500 depth to invert</t>
        </is>
      </c>
      <c r="F1920" s="5" t="inlineStr">
        <is>
          <t>step irons</t>
        </is>
      </c>
      <c r="G1920" s="6" t="inlineStr">
        <is>
          <t>nr</t>
        </is>
      </c>
      <c r="H1920" s="7" t="n">
        <v>0.42</v>
      </c>
      <c r="I1920" s="8" t="n">
        <v>10.3</v>
      </c>
      <c r="J1920" s="8" t="n">
        <v>1.37</v>
      </c>
      <c r="K1920" s="8" t="n">
        <v>91.68000000000001</v>
      </c>
      <c r="L1920" s="8" t="n">
        <v>0</v>
      </c>
      <c r="M1920" s="9">
        <f>ROUND(SUM(I1920:L1920),2)</f>
        <v/>
      </c>
      <c r="N1920" s="10">
        <f>ROUND(I1920*'Irish Basis'!$C$6*'Irish Basis'!$C$5,2)</f>
        <v/>
      </c>
      <c r="O1920" s="10">
        <f>ROUND(J1920*'Irish Basis'!$C$7*'Irish Basis'!$C$5,2)</f>
        <v/>
      </c>
      <c r="P1920" s="10">
        <f>ROUND(K1920*'Irish Basis'!$C$8*'Irish Basis'!$C$5,2)</f>
        <v/>
      </c>
      <c r="Q1920" s="10">
        <f>ROUND(L1920*'Irish Basis'!$C$12*'Irish Basis'!$C$5,2)</f>
        <v/>
      </c>
      <c r="R1920" s="11">
        <f>ROUND(SUM(N1920:Q1920),2)</f>
        <v/>
      </c>
      <c r="S1920" s="5" t="inlineStr">
        <is>
          <t>Stated build-up</t>
        </is>
      </c>
      <c r="T1920" s="12" t="inlineStr">
        <is>
          <t>High</t>
        </is>
      </c>
      <c r="U1920" s="8" t="n">
        <v>103.36</v>
      </c>
      <c r="V1920" s="13">
        <f>IF(U1920="","",ROUND(M1920-U1920,2))</f>
        <v/>
      </c>
      <c r="W1920" s="5" t="n"/>
      <c r="X1920" s="5" t="inlineStr">
        <is>
          <t>Labour + plant + material as published; reconciles to the published rate.</t>
        </is>
      </c>
    </row>
    <row r="1921" ht="13" customHeight="1">
      <c r="A1921" s="4" t="n">
        <v>2961</v>
      </c>
      <c r="B1921" s="5" t="inlineStr">
        <is>
          <t>IMG_0105</t>
        </is>
      </c>
      <c r="C1921" s="5" t="inlineStr">
        <is>
          <t>CLASS K: PIPEWORK - MANHOLES AND PIPEWORK ANCILLARIES</t>
        </is>
      </c>
      <c r="D1921" s="5" t="inlineStr">
        <is>
          <t>01 MANHOLES</t>
        </is>
      </c>
      <c r="E1921" s="5" t="inlineStr">
        <is>
          <t>900 dia. x 1500 depth to invert</t>
        </is>
      </c>
      <c r="F1921" s="5" t="inlineStr">
        <is>
          <t>access cover and frame</t>
        </is>
      </c>
      <c r="G1921" s="6" t="inlineStr">
        <is>
          <t>nr</t>
        </is>
      </c>
      <c r="H1921" s="7" t="n">
        <v>1.44</v>
      </c>
      <c r="I1921" s="8" t="n">
        <v>40.16</v>
      </c>
      <c r="J1921" s="8" t="n">
        <v>4.42</v>
      </c>
      <c r="K1921" s="8" t="n">
        <v>341.51</v>
      </c>
      <c r="L1921" s="8" t="n">
        <v>0</v>
      </c>
      <c r="M1921" s="9">
        <f>ROUND(SUM(I1921:L1921),2)</f>
        <v/>
      </c>
      <c r="N1921" s="10">
        <f>ROUND(I1921*'Irish Basis'!$C$6*'Irish Basis'!$C$5,2)</f>
        <v/>
      </c>
      <c r="O1921" s="10">
        <f>ROUND(J1921*'Irish Basis'!$C$7*'Irish Basis'!$C$5,2)</f>
        <v/>
      </c>
      <c r="P1921" s="10">
        <f>ROUND(K1921*'Irish Basis'!$C$8*'Irish Basis'!$C$5,2)</f>
        <v/>
      </c>
      <c r="Q1921" s="10">
        <f>ROUND(L1921*'Irish Basis'!$C$12*'Irish Basis'!$C$5,2)</f>
        <v/>
      </c>
      <c r="R1921" s="11">
        <f>ROUND(SUM(N1921:Q1921),2)</f>
        <v/>
      </c>
      <c r="S1921" s="5" t="inlineStr">
        <is>
          <t>Stated build-up</t>
        </is>
      </c>
      <c r="T1921" s="12" t="inlineStr">
        <is>
          <t>High</t>
        </is>
      </c>
      <c r="U1921" s="8" t="n">
        <v>386.09</v>
      </c>
      <c r="V1921" s="13">
        <f>IF(U1921="","",ROUND(M1921-U1921,2))</f>
        <v/>
      </c>
      <c r="W1921" s="5" t="n"/>
      <c r="X1921" s="5" t="inlineStr">
        <is>
          <t>Labour + plant + material as published; reconciles to the published rate.</t>
        </is>
      </c>
    </row>
    <row r="1922" ht="13" customHeight="1">
      <c r="A1922" s="4" t="n">
        <v>2962</v>
      </c>
      <c r="B1922" s="5" t="inlineStr">
        <is>
          <t>IMG_0105</t>
        </is>
      </c>
      <c r="C1922" s="5" t="inlineStr">
        <is>
          <t>CLASS K: PIPEWORK - MANHOLES AND PIPEWORK ANCILLARIES</t>
        </is>
      </c>
      <c r="D1922" s="5" t="inlineStr">
        <is>
          <t>01 MANHOLES</t>
        </is>
      </c>
      <c r="E1922" s="5" t="inlineStr">
        <is>
          <t>900 dia. x 1500 depth to invert</t>
        </is>
      </c>
      <c r="F1922" s="5" t="inlineStr">
        <is>
          <t>TOTAL</t>
        </is>
      </c>
      <c r="G1922" s="6" t="inlineStr">
        <is>
          <t>nr</t>
        </is>
      </c>
      <c r="H1922" s="7" t="n">
        <v>16.03</v>
      </c>
      <c r="I1922" s="8" t="n">
        <v>527.02</v>
      </c>
      <c r="J1922" s="8" t="n">
        <v>287.05</v>
      </c>
      <c r="K1922" s="8" t="n">
        <v>1189.62</v>
      </c>
      <c r="L1922" s="8" t="n">
        <v>0</v>
      </c>
      <c r="M1922" s="9">
        <f>ROUND(SUM(I1922:L1922),2)</f>
        <v/>
      </c>
      <c r="N1922" s="10">
        <f>ROUND(I1922*'Irish Basis'!$C$6*'Irish Basis'!$C$5,2)</f>
        <v/>
      </c>
      <c r="O1922" s="10">
        <f>ROUND(J1922*'Irish Basis'!$C$7*'Irish Basis'!$C$5,2)</f>
        <v/>
      </c>
      <c r="P1922" s="10">
        <f>ROUND(K1922*'Irish Basis'!$C$8*'Irish Basis'!$C$5,2)</f>
        <v/>
      </c>
      <c r="Q1922" s="10">
        <f>ROUND(L1922*'Irish Basis'!$C$12*'Irish Basis'!$C$5,2)</f>
        <v/>
      </c>
      <c r="R1922" s="11">
        <f>ROUND(SUM(N1922:Q1922),2)</f>
        <v/>
      </c>
      <c r="S1922" s="5" t="inlineStr">
        <is>
          <t>Stated build-up</t>
        </is>
      </c>
      <c r="T1922" s="12" t="inlineStr">
        <is>
          <t>High</t>
        </is>
      </c>
      <c r="U1922" s="8" t="n">
        <v>2003.7</v>
      </c>
      <c r="V1922" s="13">
        <f>IF(U1922="","",ROUND(M1922-U1922,2))</f>
        <v/>
      </c>
      <c r="W1922" s="5" t="n"/>
      <c r="X1922" s="5" t="inlineStr">
        <is>
          <t>Labour + plant + material as published; reconciles to the published rate.</t>
        </is>
      </c>
    </row>
    <row r="1923" ht="13" customHeight="1">
      <c r="A1923" s="4" t="n">
        <v>2964</v>
      </c>
      <c r="B1923" s="5" t="inlineStr">
        <is>
          <t>IMG_0105</t>
        </is>
      </c>
      <c r="C1923" s="5" t="inlineStr">
        <is>
          <t>CLASS K: PIPEWORK - MANHOLES AND PIPEWORK ANCILLARIES</t>
        </is>
      </c>
      <c r="D1923" s="5" t="inlineStr">
        <is>
          <t>01 MANHOLES</t>
        </is>
      </c>
      <c r="E1923" s="5" t="inlineStr">
        <is>
          <t>1200 dia. x 1500 depth to invert</t>
        </is>
      </c>
      <c r="F1923" s="5" t="inlineStr">
        <is>
          <t>excavation, support, backfilling and disposal</t>
        </is>
      </c>
      <c r="G1923" s="6" t="inlineStr">
        <is>
          <t>nr</t>
        </is>
      </c>
      <c r="H1923" s="7" t="n">
        <v>1.7</v>
      </c>
      <c r="I1923" s="8" t="n">
        <v>158.28</v>
      </c>
      <c r="J1923" s="8" t="n">
        <v>95.26000000000001</v>
      </c>
      <c r="K1923" s="8" t="n">
        <v>0</v>
      </c>
      <c r="L1923" s="8" t="n">
        <v>0</v>
      </c>
      <c r="M1923" s="9">
        <f>ROUND(SUM(I1923:L1923),2)</f>
        <v/>
      </c>
      <c r="N1923" s="10">
        <f>ROUND(I1923*'Irish Basis'!$C$6*'Irish Basis'!$C$5,2)</f>
        <v/>
      </c>
      <c r="O1923" s="10">
        <f>ROUND(J1923*'Irish Basis'!$C$7*'Irish Basis'!$C$5,2)</f>
        <v/>
      </c>
      <c r="P1923" s="10">
        <f>ROUND(K1923*'Irish Basis'!$C$8*'Irish Basis'!$C$5,2)</f>
        <v/>
      </c>
      <c r="Q1923" s="10">
        <f>ROUND(L1923*'Irish Basis'!$C$12*'Irish Basis'!$C$5,2)</f>
        <v/>
      </c>
      <c r="R1923" s="11">
        <f>ROUND(SUM(N1923:Q1923),2)</f>
        <v/>
      </c>
      <c r="S1923" s="5" t="inlineStr">
        <is>
          <t>Stated build-up</t>
        </is>
      </c>
      <c r="T1923" s="12" t="inlineStr">
        <is>
          <t>High</t>
        </is>
      </c>
      <c r="U1923" s="8" t="n">
        <v>253.54</v>
      </c>
      <c r="V1923" s="13">
        <f>IF(U1923="","",ROUND(M1923-U1923,2))</f>
        <v/>
      </c>
      <c r="W1923" s="5" t="n"/>
      <c r="X1923" s="5" t="inlineStr">
        <is>
          <t>Labour + plant + material as published; reconciles to the published rate.</t>
        </is>
      </c>
    </row>
    <row r="1924" ht="13" customHeight="1">
      <c r="A1924" s="4" t="n">
        <v>2965</v>
      </c>
      <c r="B1924" s="5" t="inlineStr">
        <is>
          <t>IMG_0105</t>
        </is>
      </c>
      <c r="C1924" s="5" t="inlineStr">
        <is>
          <t>CLASS K: PIPEWORK - MANHOLES AND PIPEWORK ANCILLARIES</t>
        </is>
      </c>
      <c r="D1924" s="5" t="inlineStr">
        <is>
          <t>01 MANHOLES</t>
        </is>
      </c>
      <c r="E1924" s="5" t="inlineStr">
        <is>
          <t>1200 dia. x 1500 depth to invert</t>
        </is>
      </c>
      <c r="F1924" s="5" t="inlineStr">
        <is>
          <t>concrete base</t>
        </is>
      </c>
      <c r="G1924" s="6" t="inlineStr">
        <is>
          <t>nr</t>
        </is>
      </c>
      <c r="H1924" s="7" t="n">
        <v>0.84</v>
      </c>
      <c r="I1924" s="8" t="n">
        <v>22.28</v>
      </c>
      <c r="J1924" s="8" t="n">
        <v>7.72</v>
      </c>
      <c r="K1924" s="8" t="n">
        <v>73.16</v>
      </c>
      <c r="L1924" s="8" t="n">
        <v>0</v>
      </c>
      <c r="M1924" s="9">
        <f>ROUND(SUM(I1924:L1924),2)</f>
        <v/>
      </c>
      <c r="N1924" s="10">
        <f>ROUND(I1924*'Irish Basis'!$C$6*'Irish Basis'!$C$5,2)</f>
        <v/>
      </c>
      <c r="O1924" s="10">
        <f>ROUND(J1924*'Irish Basis'!$C$7*'Irish Basis'!$C$5,2)</f>
        <v/>
      </c>
      <c r="P1924" s="10">
        <f>ROUND(K1924*'Irish Basis'!$C$8*'Irish Basis'!$C$5,2)</f>
        <v/>
      </c>
      <c r="Q1924" s="10">
        <f>ROUND(L1924*'Irish Basis'!$C$12*'Irish Basis'!$C$5,2)</f>
        <v/>
      </c>
      <c r="R1924" s="11">
        <f>ROUND(SUM(N1924:Q1924),2)</f>
        <v/>
      </c>
      <c r="S1924" s="5" t="inlineStr">
        <is>
          <t>Stated build-up</t>
        </is>
      </c>
      <c r="T1924" s="12" t="inlineStr">
        <is>
          <t>High</t>
        </is>
      </c>
      <c r="U1924" s="8" t="n">
        <v>103.16</v>
      </c>
      <c r="V1924" s="13">
        <f>IF(U1924="","",ROUND(M1924-U1924,2))</f>
        <v/>
      </c>
      <c r="W1924" s="5" t="n"/>
      <c r="X1924" s="5" t="inlineStr">
        <is>
          <t>Labour + plant + material as published; reconciles to the published rate.</t>
        </is>
      </c>
    </row>
    <row r="1925" ht="13" customHeight="1">
      <c r="A1925" s="4" t="n">
        <v>2966</v>
      </c>
      <c r="B1925" s="5" t="inlineStr">
        <is>
          <t>IMG_0105</t>
        </is>
      </c>
      <c r="C1925" s="5" t="inlineStr">
        <is>
          <t>CLASS K: PIPEWORK - MANHOLES AND PIPEWORK ANCILLARIES</t>
        </is>
      </c>
      <c r="D1925" s="5" t="inlineStr">
        <is>
          <t>01 MANHOLES</t>
        </is>
      </c>
      <c r="E1925" s="5" t="inlineStr">
        <is>
          <t>1200 dia. x 1500 depth to invert</t>
        </is>
      </c>
      <c r="F1925" s="5" t="inlineStr">
        <is>
          <t>main chamber rings</t>
        </is>
      </c>
      <c r="G1925" s="6" t="inlineStr">
        <is>
          <t>nr</t>
        </is>
      </c>
      <c r="H1925" s="7" t="n">
        <v>7.02</v>
      </c>
      <c r="I1925" s="8" t="n">
        <v>215.2</v>
      </c>
      <c r="J1925" s="8" t="n">
        <v>159.56</v>
      </c>
      <c r="K1925" s="8" t="n">
        <v>300.88</v>
      </c>
      <c r="L1925" s="8" t="n">
        <v>0</v>
      </c>
      <c r="M1925" s="9">
        <f>ROUND(SUM(I1925:L1925),2)</f>
        <v/>
      </c>
      <c r="N1925" s="10">
        <f>ROUND(I1925*'Irish Basis'!$C$6*'Irish Basis'!$C$5,2)</f>
        <v/>
      </c>
      <c r="O1925" s="10">
        <f>ROUND(J1925*'Irish Basis'!$C$7*'Irish Basis'!$C$5,2)</f>
        <v/>
      </c>
      <c r="P1925" s="10">
        <f>ROUND(K1925*'Irish Basis'!$C$8*'Irish Basis'!$C$5,2)</f>
        <v/>
      </c>
      <c r="Q1925" s="10">
        <f>ROUND(L1925*'Irish Basis'!$C$12*'Irish Basis'!$C$5,2)</f>
        <v/>
      </c>
      <c r="R1925" s="11">
        <f>ROUND(SUM(N1925:Q1925),2)</f>
        <v/>
      </c>
      <c r="S1925" s="5" t="inlineStr">
        <is>
          <t>Stated build-up</t>
        </is>
      </c>
      <c r="T1925" s="12" t="inlineStr">
        <is>
          <t>High</t>
        </is>
      </c>
      <c r="U1925" s="8" t="n">
        <v>675.64</v>
      </c>
      <c r="V1925" s="13">
        <f>IF(U1925="","",ROUND(M1925-U1925,2))</f>
        <v/>
      </c>
      <c r="W1925" s="5" t="n"/>
      <c r="X1925" s="5" t="inlineStr">
        <is>
          <t>Labour + plant + material as published; reconciles to the published rate.</t>
        </is>
      </c>
    </row>
    <row r="1926" ht="13" customHeight="1">
      <c r="A1926" s="4" t="n">
        <v>2967</v>
      </c>
      <c r="B1926" s="5" t="inlineStr">
        <is>
          <t>IMG_0105</t>
        </is>
      </c>
      <c r="C1926" s="5" t="inlineStr">
        <is>
          <t>CLASS K: PIPEWORK - MANHOLES AND PIPEWORK ANCILLARIES</t>
        </is>
      </c>
      <c r="D1926" s="5" t="inlineStr">
        <is>
          <t>01 MANHOLES</t>
        </is>
      </c>
      <c r="E1926" s="5" t="inlineStr">
        <is>
          <t>1200 dia. x 1500 depth to invert</t>
        </is>
      </c>
      <c r="F1926" s="5" t="inlineStr">
        <is>
          <t>cover slab</t>
        </is>
      </c>
      <c r="G1926" s="6" t="inlineStr">
        <is>
          <t>nr</t>
        </is>
      </c>
      <c r="H1926" s="7" t="n">
        <v>2.8</v>
      </c>
      <c r="I1926" s="8" t="n">
        <v>85.83</v>
      </c>
      <c r="J1926" s="8" t="n">
        <v>63.66</v>
      </c>
      <c r="K1926" s="8" t="n">
        <v>225.91</v>
      </c>
      <c r="L1926" s="8" t="n">
        <v>0</v>
      </c>
      <c r="M1926" s="9">
        <f>ROUND(SUM(I1926:L1926),2)</f>
        <v/>
      </c>
      <c r="N1926" s="10">
        <f>ROUND(I1926*'Irish Basis'!$C$6*'Irish Basis'!$C$5,2)</f>
        <v/>
      </c>
      <c r="O1926" s="10">
        <f>ROUND(J1926*'Irish Basis'!$C$7*'Irish Basis'!$C$5,2)</f>
        <v/>
      </c>
      <c r="P1926" s="10">
        <f>ROUND(K1926*'Irish Basis'!$C$8*'Irish Basis'!$C$5,2)</f>
        <v/>
      </c>
      <c r="Q1926" s="10">
        <f>ROUND(L1926*'Irish Basis'!$C$12*'Irish Basis'!$C$5,2)</f>
        <v/>
      </c>
      <c r="R1926" s="11">
        <f>ROUND(SUM(N1926:Q1926),2)</f>
        <v/>
      </c>
      <c r="S1926" s="5" t="inlineStr">
        <is>
          <t>Stated build-up</t>
        </is>
      </c>
      <c r="T1926" s="12" t="inlineStr">
        <is>
          <t>High</t>
        </is>
      </c>
      <c r="U1926" s="8" t="n">
        <v>375.4</v>
      </c>
      <c r="V1926" s="13">
        <f>IF(U1926="","",ROUND(M1926-U1926,2))</f>
        <v/>
      </c>
      <c r="W1926" s="5" t="n"/>
      <c r="X1926" s="5" t="inlineStr">
        <is>
          <t>Labour + plant + material as published; reconciles to the published rate.</t>
        </is>
      </c>
    </row>
    <row r="1927" ht="13" customHeight="1">
      <c r="A1927" s="4" t="n">
        <v>2968</v>
      </c>
      <c r="B1927" s="5" t="inlineStr">
        <is>
          <t>IMG_0105</t>
        </is>
      </c>
      <c r="C1927" s="5" t="inlineStr">
        <is>
          <t>CLASS K: PIPEWORK - MANHOLES AND PIPEWORK ANCILLARIES</t>
        </is>
      </c>
      <c r="D1927" s="5" t="inlineStr">
        <is>
          <t>01 MANHOLES</t>
        </is>
      </c>
      <c r="E1927" s="5" t="inlineStr">
        <is>
          <t>1200 dia. x 1500 depth to invert</t>
        </is>
      </c>
      <c r="F1927" s="5" t="inlineStr">
        <is>
          <t>concrete surround</t>
        </is>
      </c>
      <c r="G1927" s="6" t="inlineStr">
        <is>
          <t>nr</t>
        </is>
      </c>
      <c r="H1927" s="7" t="n">
        <v>1.96</v>
      </c>
      <c r="I1927" s="8" t="n">
        <v>52.01</v>
      </c>
      <c r="J1927" s="8" t="n">
        <v>20.21</v>
      </c>
      <c r="K1927" s="8" t="n">
        <v>124.15</v>
      </c>
      <c r="L1927" s="8" t="n">
        <v>0</v>
      </c>
      <c r="M1927" s="9">
        <f>ROUND(SUM(I1927:L1927),2)</f>
        <v/>
      </c>
      <c r="N1927" s="10">
        <f>ROUND(I1927*'Irish Basis'!$C$6*'Irish Basis'!$C$5,2)</f>
        <v/>
      </c>
      <c r="O1927" s="10">
        <f>ROUND(J1927*'Irish Basis'!$C$7*'Irish Basis'!$C$5,2)</f>
        <v/>
      </c>
      <c r="P1927" s="10">
        <f>ROUND(K1927*'Irish Basis'!$C$8*'Irish Basis'!$C$5,2)</f>
        <v/>
      </c>
      <c r="Q1927" s="10">
        <f>ROUND(L1927*'Irish Basis'!$C$12*'Irish Basis'!$C$5,2)</f>
        <v/>
      </c>
      <c r="R1927" s="11">
        <f>ROUND(SUM(N1927:Q1927),2)</f>
        <v/>
      </c>
      <c r="S1927" s="5" t="inlineStr">
        <is>
          <t>Stated build-up</t>
        </is>
      </c>
      <c r="T1927" s="12" t="inlineStr">
        <is>
          <t>High</t>
        </is>
      </c>
      <c r="U1927" s="8" t="n">
        <v>196.37</v>
      </c>
      <c r="V1927" s="13">
        <f>IF(U1927="","",ROUND(M1927-U1927,2))</f>
        <v/>
      </c>
      <c r="W1927" s="5" t="n"/>
      <c r="X1927" s="5" t="inlineStr">
        <is>
          <t>Labour + plant + material as published; reconciles to the published rate.</t>
        </is>
      </c>
    </row>
    <row r="1928" ht="13" customHeight="1">
      <c r="A1928" s="4" t="n">
        <v>2969</v>
      </c>
      <c r="B1928" s="5" t="inlineStr">
        <is>
          <t>IMG_0105</t>
        </is>
      </c>
      <c r="C1928" s="5" t="inlineStr">
        <is>
          <t>CLASS K: PIPEWORK - MANHOLES AND PIPEWORK ANCILLARIES</t>
        </is>
      </c>
      <c r="D1928" s="5" t="inlineStr">
        <is>
          <t>01 MANHOLES</t>
        </is>
      </c>
      <c r="E1928" s="5" t="inlineStr">
        <is>
          <t>1200 dia. x 1500 depth to invert</t>
        </is>
      </c>
      <c r="F1928" s="5" t="inlineStr">
        <is>
          <t>concrete benching, main and branch channels</t>
        </is>
      </c>
      <c r="G1928" s="6" t="inlineStr">
        <is>
          <t>nr</t>
        </is>
      </c>
      <c r="H1928" s="7" t="n">
        <v>6.13</v>
      </c>
      <c r="I1928" s="8" t="n">
        <v>164.85</v>
      </c>
      <c r="J1928" s="8" t="n">
        <v>45.89</v>
      </c>
      <c r="K1928" s="8" t="n">
        <v>168.91</v>
      </c>
      <c r="L1928" s="8" t="n">
        <v>0</v>
      </c>
      <c r="M1928" s="9">
        <f>ROUND(SUM(I1928:L1928),2)</f>
        <v/>
      </c>
      <c r="N1928" s="10">
        <f>ROUND(I1928*'Irish Basis'!$C$6*'Irish Basis'!$C$5,2)</f>
        <v/>
      </c>
      <c r="O1928" s="10">
        <f>ROUND(J1928*'Irish Basis'!$C$7*'Irish Basis'!$C$5,2)</f>
        <v/>
      </c>
      <c r="P1928" s="10">
        <f>ROUND(K1928*'Irish Basis'!$C$8*'Irish Basis'!$C$5,2)</f>
        <v/>
      </c>
      <c r="Q1928" s="10">
        <f>ROUND(L1928*'Irish Basis'!$C$12*'Irish Basis'!$C$5,2)</f>
        <v/>
      </c>
      <c r="R1928" s="11">
        <f>ROUND(SUM(N1928:Q1928),2)</f>
        <v/>
      </c>
      <c r="S1928" s="5" t="inlineStr">
        <is>
          <t>Stated build-up</t>
        </is>
      </c>
      <c r="T1928" s="12" t="inlineStr">
        <is>
          <t>High</t>
        </is>
      </c>
      <c r="U1928" s="8" t="n">
        <v>379.65</v>
      </c>
      <c r="V1928" s="13">
        <f>IF(U1928="","",ROUND(M1928-U1928,2))</f>
        <v/>
      </c>
      <c r="W1928" s="5" t="n"/>
      <c r="X1928" s="5" t="inlineStr">
        <is>
          <t>Labour + plant + material as published; reconciles to the published rate.</t>
        </is>
      </c>
    </row>
    <row r="1929" ht="13" customHeight="1">
      <c r="A1929" s="4" t="n">
        <v>2970</v>
      </c>
      <c r="B1929" s="5" t="inlineStr">
        <is>
          <t>IMG_0105</t>
        </is>
      </c>
      <c r="C1929" s="5" t="inlineStr">
        <is>
          <t>CLASS K: PIPEWORK - MANHOLES AND PIPEWORK ANCILLARIES</t>
        </is>
      </c>
      <c r="D1929" s="5" t="inlineStr">
        <is>
          <t>01 MANHOLES</t>
        </is>
      </c>
      <c r="E1929" s="5" t="inlineStr">
        <is>
          <t>1200 dia. x 1500 depth to invert</t>
        </is>
      </c>
      <c r="F1929" s="5" t="inlineStr">
        <is>
          <t>step irons</t>
        </is>
      </c>
      <c r="G1929" s="6" t="inlineStr">
        <is>
          <t>nr</t>
        </is>
      </c>
      <c r="H1929" s="7" t="n">
        <v>0.42</v>
      </c>
      <c r="I1929" s="8" t="n">
        <v>10.3</v>
      </c>
      <c r="J1929" s="8" t="n">
        <v>1.37</v>
      </c>
      <c r="K1929" s="8" t="n">
        <v>91.68000000000001</v>
      </c>
      <c r="L1929" s="8" t="n">
        <v>0</v>
      </c>
      <c r="M1929" s="9">
        <f>ROUND(SUM(I1929:L1929),2)</f>
        <v/>
      </c>
      <c r="N1929" s="10">
        <f>ROUND(I1929*'Irish Basis'!$C$6*'Irish Basis'!$C$5,2)</f>
        <v/>
      </c>
      <c r="O1929" s="10">
        <f>ROUND(J1929*'Irish Basis'!$C$7*'Irish Basis'!$C$5,2)</f>
        <v/>
      </c>
      <c r="P1929" s="10">
        <f>ROUND(K1929*'Irish Basis'!$C$8*'Irish Basis'!$C$5,2)</f>
        <v/>
      </c>
      <c r="Q1929" s="10">
        <f>ROUND(L1929*'Irish Basis'!$C$12*'Irish Basis'!$C$5,2)</f>
        <v/>
      </c>
      <c r="R1929" s="11">
        <f>ROUND(SUM(N1929:Q1929),2)</f>
        <v/>
      </c>
      <c r="S1929" s="5" t="inlineStr">
        <is>
          <t>Stated build-up</t>
        </is>
      </c>
      <c r="T1929" s="12" t="inlineStr">
        <is>
          <t>High</t>
        </is>
      </c>
      <c r="U1929" s="8" t="n">
        <v>103.36</v>
      </c>
      <c r="V1929" s="13">
        <f>IF(U1929="","",ROUND(M1929-U1929,2))</f>
        <v/>
      </c>
      <c r="W1929" s="5" t="n"/>
      <c r="X1929" s="5" t="inlineStr">
        <is>
          <t>Labour + plant + material as published; reconciles to the published rate.</t>
        </is>
      </c>
    </row>
    <row r="1930" ht="13" customHeight="1">
      <c r="A1930" s="4" t="n">
        <v>2971</v>
      </c>
      <c r="B1930" s="5" t="inlineStr">
        <is>
          <t>IMG_0105</t>
        </is>
      </c>
      <c r="C1930" s="5" t="inlineStr">
        <is>
          <t>CLASS K: PIPEWORK - MANHOLES AND PIPEWORK ANCILLARIES</t>
        </is>
      </c>
      <c r="D1930" s="5" t="inlineStr">
        <is>
          <t>01 MANHOLES</t>
        </is>
      </c>
      <c r="E1930" s="5" t="inlineStr">
        <is>
          <t>1200 dia. x 1500 depth to invert</t>
        </is>
      </c>
      <c r="F1930" s="5" t="inlineStr">
        <is>
          <t>access cover and frame</t>
        </is>
      </c>
      <c r="G1930" s="6" t="inlineStr">
        <is>
          <t>nr</t>
        </is>
      </c>
      <c r="H1930" s="7" t="n">
        <v>1.44</v>
      </c>
      <c r="I1930" s="8" t="n">
        <v>40.16</v>
      </c>
      <c r="J1930" s="8" t="n">
        <v>4.42</v>
      </c>
      <c r="K1930" s="8" t="n">
        <v>341.51</v>
      </c>
      <c r="L1930" s="8" t="n">
        <v>0</v>
      </c>
      <c r="M1930" s="9">
        <f>ROUND(SUM(I1930:L1930),2)</f>
        <v/>
      </c>
      <c r="N1930" s="10">
        <f>ROUND(I1930*'Irish Basis'!$C$6*'Irish Basis'!$C$5,2)</f>
        <v/>
      </c>
      <c r="O1930" s="10">
        <f>ROUND(J1930*'Irish Basis'!$C$7*'Irish Basis'!$C$5,2)</f>
        <v/>
      </c>
      <c r="P1930" s="10">
        <f>ROUND(K1930*'Irish Basis'!$C$8*'Irish Basis'!$C$5,2)</f>
        <v/>
      </c>
      <c r="Q1930" s="10">
        <f>ROUND(L1930*'Irish Basis'!$C$12*'Irish Basis'!$C$5,2)</f>
        <v/>
      </c>
      <c r="R1930" s="11">
        <f>ROUND(SUM(N1930:Q1930),2)</f>
        <v/>
      </c>
      <c r="S1930" s="5" t="inlineStr">
        <is>
          <t>Stated build-up</t>
        </is>
      </c>
      <c r="T1930" s="12" t="inlineStr">
        <is>
          <t>High</t>
        </is>
      </c>
      <c r="U1930" s="8" t="n">
        <v>386.09</v>
      </c>
      <c r="V1930" s="13">
        <f>IF(U1930="","",ROUND(M1930-U1930,2))</f>
        <v/>
      </c>
      <c r="W1930" s="5" t="n"/>
      <c r="X1930" s="5" t="inlineStr">
        <is>
          <t>Labour + plant + material as published; reconciles to the published rate.</t>
        </is>
      </c>
    </row>
    <row r="1931" ht="13" customHeight="1">
      <c r="A1931" s="4" t="n">
        <v>2972</v>
      </c>
      <c r="B1931" s="5" t="inlineStr">
        <is>
          <t>IMG_0105</t>
        </is>
      </c>
      <c r="C1931" s="5" t="inlineStr">
        <is>
          <t>CLASS K: PIPEWORK - MANHOLES AND PIPEWORK ANCILLARIES</t>
        </is>
      </c>
      <c r="D1931" s="5" t="inlineStr">
        <is>
          <t>01 MANHOLES</t>
        </is>
      </c>
      <c r="E1931" s="5" t="inlineStr">
        <is>
          <t>1200 dia. x 1500 depth to invert</t>
        </is>
      </c>
      <c r="F1931" s="5" t="inlineStr">
        <is>
          <t>TOTAL</t>
        </is>
      </c>
      <c r="G1931" s="6" t="inlineStr">
        <is>
          <t>nr</t>
        </is>
      </c>
      <c r="H1931" s="7" t="n">
        <v>22.31</v>
      </c>
      <c r="I1931" s="8" t="n">
        <v>748.91</v>
      </c>
      <c r="J1931" s="8" t="n">
        <v>398.09</v>
      </c>
      <c r="K1931" s="8" t="n">
        <v>1326.2</v>
      </c>
      <c r="L1931" s="8" t="n">
        <v>0</v>
      </c>
      <c r="M1931" s="9">
        <f>ROUND(SUM(I1931:L1931),2)</f>
        <v/>
      </c>
      <c r="N1931" s="10">
        <f>ROUND(I1931*'Irish Basis'!$C$6*'Irish Basis'!$C$5,2)</f>
        <v/>
      </c>
      <c r="O1931" s="10">
        <f>ROUND(J1931*'Irish Basis'!$C$7*'Irish Basis'!$C$5,2)</f>
        <v/>
      </c>
      <c r="P1931" s="10">
        <f>ROUND(K1931*'Irish Basis'!$C$8*'Irish Basis'!$C$5,2)</f>
        <v/>
      </c>
      <c r="Q1931" s="10">
        <f>ROUND(L1931*'Irish Basis'!$C$12*'Irish Basis'!$C$5,2)</f>
        <v/>
      </c>
      <c r="R1931" s="11">
        <f>ROUND(SUM(N1931:Q1931),2)</f>
        <v/>
      </c>
      <c r="S1931" s="5" t="inlineStr">
        <is>
          <t>Stated build-up</t>
        </is>
      </c>
      <c r="T1931" s="12" t="inlineStr">
        <is>
          <t>High</t>
        </is>
      </c>
      <c r="U1931" s="8" t="n">
        <v>2473.2</v>
      </c>
      <c r="V1931" s="13">
        <f>IF(U1931="","",ROUND(M1931-U1931,2))</f>
        <v/>
      </c>
      <c r="W1931" s="5" t="n"/>
      <c r="X1931" s="5" t="inlineStr">
        <is>
          <t>Labour + plant + material as published; reconciles to the published rate.</t>
        </is>
      </c>
    </row>
    <row r="1932" ht="13" customHeight="1">
      <c r="A1932" s="4" t="n">
        <v>2974</v>
      </c>
      <c r="B1932" s="5" t="inlineStr">
        <is>
          <t>IMG_0105</t>
        </is>
      </c>
      <c r="C1932" s="5" t="inlineStr">
        <is>
          <t>CLASS K: PIPEWORK - MANHOLES AND PIPEWORK ANCILLARIES</t>
        </is>
      </c>
      <c r="D1932" s="5" t="inlineStr">
        <is>
          <t>01 MANHOLES</t>
        </is>
      </c>
      <c r="E1932" s="5" t="inlineStr">
        <is>
          <t>1200 dia. x 2000 depth to invert</t>
        </is>
      </c>
      <c r="F1932" s="5" t="inlineStr">
        <is>
          <t>excavation, support, backfilling and disposal</t>
        </is>
      </c>
      <c r="G1932" s="6" t="inlineStr">
        <is>
          <t>nr</t>
        </is>
      </c>
      <c r="H1932" s="7" t="n">
        <v>2.35</v>
      </c>
      <c r="I1932" s="8" t="n">
        <v>220.6</v>
      </c>
      <c r="J1932" s="8" t="n">
        <v>149.81</v>
      </c>
      <c r="K1932" s="8" t="n">
        <v>0</v>
      </c>
      <c r="L1932" s="8" t="n">
        <v>0</v>
      </c>
      <c r="M1932" s="9">
        <f>ROUND(SUM(I1932:L1932),2)</f>
        <v/>
      </c>
      <c r="N1932" s="10">
        <f>ROUND(I1932*'Irish Basis'!$C$6*'Irish Basis'!$C$5,2)</f>
        <v/>
      </c>
      <c r="O1932" s="10">
        <f>ROUND(J1932*'Irish Basis'!$C$7*'Irish Basis'!$C$5,2)</f>
        <v/>
      </c>
      <c r="P1932" s="10">
        <f>ROUND(K1932*'Irish Basis'!$C$8*'Irish Basis'!$C$5,2)</f>
        <v/>
      </c>
      <c r="Q1932" s="10">
        <f>ROUND(L1932*'Irish Basis'!$C$12*'Irish Basis'!$C$5,2)</f>
        <v/>
      </c>
      <c r="R1932" s="11">
        <f>ROUND(SUM(N1932:Q1932),2)</f>
        <v/>
      </c>
      <c r="S1932" s="5" t="inlineStr">
        <is>
          <t>Stated build-up</t>
        </is>
      </c>
      <c r="T1932" s="12" t="inlineStr">
        <is>
          <t>High</t>
        </is>
      </c>
      <c r="U1932" s="8" t="n">
        <v>370.41</v>
      </c>
      <c r="V1932" s="13">
        <f>IF(U1932="","",ROUND(M1932-U1932,2))</f>
        <v/>
      </c>
      <c r="W1932" s="5" t="n"/>
      <c r="X1932" s="5" t="inlineStr">
        <is>
          <t>Labour + plant + material as published; reconciles to the published rate.</t>
        </is>
      </c>
    </row>
    <row r="1933" ht="13" customHeight="1">
      <c r="A1933" s="4" t="n">
        <v>2975</v>
      </c>
      <c r="B1933" s="5" t="inlineStr">
        <is>
          <t>IMG_0105</t>
        </is>
      </c>
      <c r="C1933" s="5" t="inlineStr">
        <is>
          <t>CLASS K: PIPEWORK - MANHOLES AND PIPEWORK ANCILLARIES</t>
        </is>
      </c>
      <c r="D1933" s="5" t="inlineStr">
        <is>
          <t>01 MANHOLES</t>
        </is>
      </c>
      <c r="E1933" s="5" t="inlineStr">
        <is>
          <t>1200 dia. x 2000 depth to invert</t>
        </is>
      </c>
      <c r="F1933" s="5" t="inlineStr">
        <is>
          <t>concrete base</t>
        </is>
      </c>
      <c r="G1933" s="6" t="inlineStr">
        <is>
          <t>nr</t>
        </is>
      </c>
      <c r="H1933" s="7" t="n">
        <v>0.84</v>
      </c>
      <c r="I1933" s="8" t="n">
        <v>22.28</v>
      </c>
      <c r="J1933" s="8" t="n">
        <v>7.72</v>
      </c>
      <c r="K1933" s="8" t="n">
        <v>73.16</v>
      </c>
      <c r="L1933" s="8" t="n">
        <v>0</v>
      </c>
      <c r="M1933" s="9">
        <f>ROUND(SUM(I1933:L1933),2)</f>
        <v/>
      </c>
      <c r="N1933" s="10">
        <f>ROUND(I1933*'Irish Basis'!$C$6*'Irish Basis'!$C$5,2)</f>
        <v/>
      </c>
      <c r="O1933" s="10">
        <f>ROUND(J1933*'Irish Basis'!$C$7*'Irish Basis'!$C$5,2)</f>
        <v/>
      </c>
      <c r="P1933" s="10">
        <f>ROUND(K1933*'Irish Basis'!$C$8*'Irish Basis'!$C$5,2)</f>
        <v/>
      </c>
      <c r="Q1933" s="10">
        <f>ROUND(L1933*'Irish Basis'!$C$12*'Irish Basis'!$C$5,2)</f>
        <v/>
      </c>
      <c r="R1933" s="11">
        <f>ROUND(SUM(N1933:Q1933),2)</f>
        <v/>
      </c>
      <c r="S1933" s="5" t="inlineStr">
        <is>
          <t>Stated build-up</t>
        </is>
      </c>
      <c r="T1933" s="12" t="inlineStr">
        <is>
          <t>High</t>
        </is>
      </c>
      <c r="U1933" s="8" t="n">
        <v>103.16</v>
      </c>
      <c r="V1933" s="13">
        <f>IF(U1933="","",ROUND(M1933-U1933,2))</f>
        <v/>
      </c>
      <c r="W1933" s="5" t="n"/>
      <c r="X1933" s="5" t="inlineStr">
        <is>
          <t>Labour + plant + material as published; reconciles to the published rate.</t>
        </is>
      </c>
    </row>
    <row r="1934" ht="13" customHeight="1">
      <c r="A1934" s="4" t="n">
        <v>2976</v>
      </c>
      <c r="B1934" s="5" t="inlineStr">
        <is>
          <t>IMG_0105</t>
        </is>
      </c>
      <c r="C1934" s="5" t="inlineStr">
        <is>
          <t>CLASS K: PIPEWORK - MANHOLES AND PIPEWORK ANCILLARIES</t>
        </is>
      </c>
      <c r="D1934" s="5" t="inlineStr">
        <is>
          <t>01 MANHOLES</t>
        </is>
      </c>
      <c r="E1934" s="5" t="inlineStr">
        <is>
          <t>1200 dia. x 2000 depth to invert</t>
        </is>
      </c>
      <c r="F1934" s="5" t="inlineStr">
        <is>
          <t>main chamber rings</t>
        </is>
      </c>
      <c r="G1934" s="6" t="inlineStr">
        <is>
          <t>nr</t>
        </is>
      </c>
      <c r="H1934" s="7" t="n">
        <v>9.359999999999999</v>
      </c>
      <c r="I1934" s="8" t="n">
        <v>286.93</v>
      </c>
      <c r="J1934" s="8" t="n">
        <v>212.74</v>
      </c>
      <c r="K1934" s="8" t="n">
        <v>401.18</v>
      </c>
      <c r="L1934" s="8" t="n">
        <v>0</v>
      </c>
      <c r="M1934" s="9">
        <f>ROUND(SUM(I1934:L1934),2)</f>
        <v/>
      </c>
      <c r="N1934" s="10">
        <f>ROUND(I1934*'Irish Basis'!$C$6*'Irish Basis'!$C$5,2)</f>
        <v/>
      </c>
      <c r="O1934" s="10">
        <f>ROUND(J1934*'Irish Basis'!$C$7*'Irish Basis'!$C$5,2)</f>
        <v/>
      </c>
      <c r="P1934" s="10">
        <f>ROUND(K1934*'Irish Basis'!$C$8*'Irish Basis'!$C$5,2)</f>
        <v/>
      </c>
      <c r="Q1934" s="10">
        <f>ROUND(L1934*'Irish Basis'!$C$12*'Irish Basis'!$C$5,2)</f>
        <v/>
      </c>
      <c r="R1934" s="11">
        <f>ROUND(SUM(N1934:Q1934),2)</f>
        <v/>
      </c>
      <c r="S1934" s="5" t="inlineStr">
        <is>
          <t>Stated build-up</t>
        </is>
      </c>
      <c r="T1934" s="12" t="inlineStr">
        <is>
          <t>High</t>
        </is>
      </c>
      <c r="U1934" s="8" t="n">
        <v>900.85</v>
      </c>
      <c r="V1934" s="13">
        <f>IF(U1934="","",ROUND(M1934-U1934,2))</f>
        <v/>
      </c>
      <c r="W1934" s="5" t="n"/>
      <c r="X1934" s="5" t="inlineStr">
        <is>
          <t>Labour + plant + material as published; reconciles to the published rate.</t>
        </is>
      </c>
    </row>
    <row r="1935" ht="13" customHeight="1">
      <c r="A1935" s="4" t="n">
        <v>2977</v>
      </c>
      <c r="B1935" s="5" t="inlineStr">
        <is>
          <t>IMG_0105</t>
        </is>
      </c>
      <c r="C1935" s="5" t="inlineStr">
        <is>
          <t>CLASS K: PIPEWORK - MANHOLES AND PIPEWORK ANCILLARIES</t>
        </is>
      </c>
      <c r="D1935" s="5" t="inlineStr">
        <is>
          <t>01 MANHOLES</t>
        </is>
      </c>
      <c r="E1935" s="5" t="inlineStr">
        <is>
          <t>1200 dia. x 2000 depth to invert</t>
        </is>
      </c>
      <c r="F1935" s="5" t="inlineStr">
        <is>
          <t>cover slab</t>
        </is>
      </c>
      <c r="G1935" s="6" t="inlineStr">
        <is>
          <t>nr</t>
        </is>
      </c>
      <c r="H1935" s="7" t="n">
        <v>2.8</v>
      </c>
      <c r="I1935" s="8" t="n">
        <v>85.83</v>
      </c>
      <c r="J1935" s="8" t="n">
        <v>63.66</v>
      </c>
      <c r="K1935" s="8" t="n">
        <v>225.91</v>
      </c>
      <c r="L1935" s="8" t="n">
        <v>0</v>
      </c>
      <c r="M1935" s="9">
        <f>ROUND(SUM(I1935:L1935),2)</f>
        <v/>
      </c>
      <c r="N1935" s="10">
        <f>ROUND(I1935*'Irish Basis'!$C$6*'Irish Basis'!$C$5,2)</f>
        <v/>
      </c>
      <c r="O1935" s="10">
        <f>ROUND(J1935*'Irish Basis'!$C$7*'Irish Basis'!$C$5,2)</f>
        <v/>
      </c>
      <c r="P1935" s="10">
        <f>ROUND(K1935*'Irish Basis'!$C$8*'Irish Basis'!$C$5,2)</f>
        <v/>
      </c>
      <c r="Q1935" s="10">
        <f>ROUND(L1935*'Irish Basis'!$C$12*'Irish Basis'!$C$5,2)</f>
        <v/>
      </c>
      <c r="R1935" s="11">
        <f>ROUND(SUM(N1935:Q1935),2)</f>
        <v/>
      </c>
      <c r="S1935" s="5" t="inlineStr">
        <is>
          <t>Stated build-up</t>
        </is>
      </c>
      <c r="T1935" s="12" t="inlineStr">
        <is>
          <t>High</t>
        </is>
      </c>
      <c r="U1935" s="8" t="n">
        <v>375.4</v>
      </c>
      <c r="V1935" s="13">
        <f>IF(U1935="","",ROUND(M1935-U1935,2))</f>
        <v/>
      </c>
      <c r="W1935" s="5" t="n"/>
      <c r="X1935" s="5" t="inlineStr">
        <is>
          <t>Labour + plant + material as published; reconciles to the published rate.</t>
        </is>
      </c>
    </row>
    <row r="1936" ht="13" customHeight="1">
      <c r="A1936" s="4" t="n">
        <v>2978</v>
      </c>
      <c r="B1936" s="5" t="inlineStr">
        <is>
          <t>IMG_0105</t>
        </is>
      </c>
      <c r="C1936" s="5" t="inlineStr">
        <is>
          <t>CLASS K: PIPEWORK - MANHOLES AND PIPEWORK ANCILLARIES</t>
        </is>
      </c>
      <c r="D1936" s="5" t="inlineStr">
        <is>
          <t>01 MANHOLES</t>
        </is>
      </c>
      <c r="E1936" s="5" t="inlineStr">
        <is>
          <t>1200 dia. x 2000 depth to invert</t>
        </is>
      </c>
      <c r="F1936" s="5" t="inlineStr">
        <is>
          <t>concrete surround</t>
        </is>
      </c>
      <c r="G1936" s="6" t="inlineStr">
        <is>
          <t>nr</t>
        </is>
      </c>
      <c r="H1936" s="7" t="n">
        <v>2.6</v>
      </c>
      <c r="I1936" s="8" t="n">
        <v>69.14</v>
      </c>
      <c r="J1936" s="8" t="n">
        <v>26.87</v>
      </c>
      <c r="K1936" s="8" t="n">
        <v>165.04</v>
      </c>
      <c r="L1936" s="8" t="n">
        <v>0</v>
      </c>
      <c r="M1936" s="9">
        <f>ROUND(SUM(I1936:L1936),2)</f>
        <v/>
      </c>
      <c r="N1936" s="10">
        <f>ROUND(I1936*'Irish Basis'!$C$6*'Irish Basis'!$C$5,2)</f>
        <v/>
      </c>
      <c r="O1936" s="10">
        <f>ROUND(J1936*'Irish Basis'!$C$7*'Irish Basis'!$C$5,2)</f>
        <v/>
      </c>
      <c r="P1936" s="10">
        <f>ROUND(K1936*'Irish Basis'!$C$8*'Irish Basis'!$C$5,2)</f>
        <v/>
      </c>
      <c r="Q1936" s="10">
        <f>ROUND(L1936*'Irish Basis'!$C$12*'Irish Basis'!$C$5,2)</f>
        <v/>
      </c>
      <c r="R1936" s="11">
        <f>ROUND(SUM(N1936:Q1936),2)</f>
        <v/>
      </c>
      <c r="S1936" s="5" t="inlineStr">
        <is>
          <t>Stated build-up</t>
        </is>
      </c>
      <c r="T1936" s="12" t="inlineStr">
        <is>
          <t>High</t>
        </is>
      </c>
      <c r="U1936" s="8" t="n">
        <v>261.06</v>
      </c>
      <c r="V1936" s="13">
        <f>IF(U1936="","",ROUND(M1936-U1936,2))</f>
        <v/>
      </c>
      <c r="W1936" s="5" t="n"/>
      <c r="X1936" s="5" t="inlineStr">
        <is>
          <t>Labour + plant + material as published; reconciles to the published rate.</t>
        </is>
      </c>
    </row>
    <row r="1937" ht="13" customHeight="1">
      <c r="A1937" s="4" t="n">
        <v>2979</v>
      </c>
      <c r="B1937" s="5" t="inlineStr">
        <is>
          <t>IMG_0105</t>
        </is>
      </c>
      <c r="C1937" s="5" t="inlineStr">
        <is>
          <t>CLASS K: PIPEWORK - MANHOLES AND PIPEWORK ANCILLARIES</t>
        </is>
      </c>
      <c r="D1937" s="5" t="inlineStr">
        <is>
          <t>01 MANHOLES</t>
        </is>
      </c>
      <c r="E1937" s="5" t="inlineStr">
        <is>
          <t>1200 dia. x 2000 depth to invert</t>
        </is>
      </c>
      <c r="F1937" s="5" t="inlineStr">
        <is>
          <t>concrete benching, main and branch channels</t>
        </is>
      </c>
      <c r="G1937" s="6" t="inlineStr">
        <is>
          <t>nr</t>
        </is>
      </c>
      <c r="H1937" s="7" t="n">
        <v>6.13</v>
      </c>
      <c r="I1937" s="8" t="n">
        <v>164.85</v>
      </c>
      <c r="J1937" s="8" t="n">
        <v>45.89</v>
      </c>
      <c r="K1937" s="8" t="n">
        <v>168.91</v>
      </c>
      <c r="L1937" s="8" t="n">
        <v>0</v>
      </c>
      <c r="M1937" s="9">
        <f>ROUND(SUM(I1937:L1937),2)</f>
        <v/>
      </c>
      <c r="N1937" s="10">
        <f>ROUND(I1937*'Irish Basis'!$C$6*'Irish Basis'!$C$5,2)</f>
        <v/>
      </c>
      <c r="O1937" s="10">
        <f>ROUND(J1937*'Irish Basis'!$C$7*'Irish Basis'!$C$5,2)</f>
        <v/>
      </c>
      <c r="P1937" s="10">
        <f>ROUND(K1937*'Irish Basis'!$C$8*'Irish Basis'!$C$5,2)</f>
        <v/>
      </c>
      <c r="Q1937" s="10">
        <f>ROUND(L1937*'Irish Basis'!$C$12*'Irish Basis'!$C$5,2)</f>
        <v/>
      </c>
      <c r="R1937" s="11">
        <f>ROUND(SUM(N1937:Q1937),2)</f>
        <v/>
      </c>
      <c r="S1937" s="5" t="inlineStr">
        <is>
          <t>Stated build-up</t>
        </is>
      </c>
      <c r="T1937" s="12" t="inlineStr">
        <is>
          <t>High</t>
        </is>
      </c>
      <c r="U1937" s="8" t="n">
        <v>379.65</v>
      </c>
      <c r="V1937" s="13">
        <f>IF(U1937="","",ROUND(M1937-U1937,2))</f>
        <v/>
      </c>
      <c r="W1937" s="5" t="n"/>
      <c r="X1937" s="5" t="inlineStr">
        <is>
          <t>Labour + plant + material as published; reconciles to the published rate.</t>
        </is>
      </c>
    </row>
    <row r="1938" ht="13" customHeight="1">
      <c r="A1938" s="4" t="n">
        <v>2980</v>
      </c>
      <c r="B1938" s="5" t="inlineStr">
        <is>
          <t>IMG_0105</t>
        </is>
      </c>
      <c r="C1938" s="5" t="inlineStr">
        <is>
          <t>CLASS K: PIPEWORK - MANHOLES AND PIPEWORK ANCILLARIES</t>
        </is>
      </c>
      <c r="D1938" s="5" t="inlineStr">
        <is>
          <t>01 MANHOLES</t>
        </is>
      </c>
      <c r="E1938" s="5" t="inlineStr">
        <is>
          <t>1200 dia. x 2000 depth to invert</t>
        </is>
      </c>
      <c r="F1938" s="5" t="inlineStr">
        <is>
          <t>step irons</t>
        </is>
      </c>
      <c r="G1938" s="6" t="inlineStr">
        <is>
          <t>nr</t>
        </is>
      </c>
      <c r="H1938" s="7" t="n">
        <v>0.63</v>
      </c>
      <c r="I1938" s="8" t="n">
        <v>15.46</v>
      </c>
      <c r="J1938" s="8" t="n">
        <v>2.05</v>
      </c>
      <c r="K1938" s="8" t="n">
        <v>137.53</v>
      </c>
      <c r="L1938" s="8" t="n">
        <v>0</v>
      </c>
      <c r="M1938" s="9">
        <f>ROUND(SUM(I1938:L1938),2)</f>
        <v/>
      </c>
      <c r="N1938" s="10">
        <f>ROUND(I1938*'Irish Basis'!$C$6*'Irish Basis'!$C$5,2)</f>
        <v/>
      </c>
      <c r="O1938" s="10">
        <f>ROUND(J1938*'Irish Basis'!$C$7*'Irish Basis'!$C$5,2)</f>
        <v/>
      </c>
      <c r="P1938" s="10">
        <f>ROUND(K1938*'Irish Basis'!$C$8*'Irish Basis'!$C$5,2)</f>
        <v/>
      </c>
      <c r="Q1938" s="10">
        <f>ROUND(L1938*'Irish Basis'!$C$12*'Irish Basis'!$C$5,2)</f>
        <v/>
      </c>
      <c r="R1938" s="11">
        <f>ROUND(SUM(N1938:Q1938),2)</f>
        <v/>
      </c>
      <c r="S1938" s="5" t="inlineStr">
        <is>
          <t>Stated build-up</t>
        </is>
      </c>
      <c r="T1938" s="12" t="inlineStr">
        <is>
          <t>High</t>
        </is>
      </c>
      <c r="U1938" s="8" t="n">
        <v>155.04</v>
      </c>
      <c r="V1938" s="13">
        <f>IF(U1938="","",ROUND(M1938-U1938,2))</f>
        <v/>
      </c>
      <c r="W1938" s="5" t="n"/>
      <c r="X1938" s="5" t="inlineStr">
        <is>
          <t>Labour + plant + material as published; reconciles to the published rate.</t>
        </is>
      </c>
    </row>
    <row r="1939" ht="13" customHeight="1">
      <c r="A1939" s="4" t="n">
        <v>2981</v>
      </c>
      <c r="B1939" s="5" t="inlineStr">
        <is>
          <t>IMG_0105</t>
        </is>
      </c>
      <c r="C1939" s="5" t="inlineStr">
        <is>
          <t>CLASS K: PIPEWORK - MANHOLES AND PIPEWORK ANCILLARIES</t>
        </is>
      </c>
      <c r="D1939" s="5" t="inlineStr">
        <is>
          <t>01 MANHOLES</t>
        </is>
      </c>
      <c r="E1939" s="5" t="inlineStr">
        <is>
          <t>1200 dia. x 2000 depth to invert</t>
        </is>
      </c>
      <c r="F1939" s="5" t="inlineStr">
        <is>
          <t>access cover and frame</t>
        </is>
      </c>
      <c r="G1939" s="6" t="inlineStr">
        <is>
          <t>nr</t>
        </is>
      </c>
      <c r="H1939" s="7" t="n">
        <v>1.44</v>
      </c>
      <c r="I1939" s="8" t="n">
        <v>40.16</v>
      </c>
      <c r="J1939" s="8" t="n">
        <v>4.42</v>
      </c>
      <c r="K1939" s="8" t="n">
        <v>341.51</v>
      </c>
      <c r="L1939" s="8" t="n">
        <v>0</v>
      </c>
      <c r="M1939" s="9">
        <f>ROUND(SUM(I1939:L1939),2)</f>
        <v/>
      </c>
      <c r="N1939" s="10">
        <f>ROUND(I1939*'Irish Basis'!$C$6*'Irish Basis'!$C$5,2)</f>
        <v/>
      </c>
      <c r="O1939" s="10">
        <f>ROUND(J1939*'Irish Basis'!$C$7*'Irish Basis'!$C$5,2)</f>
        <v/>
      </c>
      <c r="P1939" s="10">
        <f>ROUND(K1939*'Irish Basis'!$C$8*'Irish Basis'!$C$5,2)</f>
        <v/>
      </c>
      <c r="Q1939" s="10">
        <f>ROUND(L1939*'Irish Basis'!$C$12*'Irish Basis'!$C$5,2)</f>
        <v/>
      </c>
      <c r="R1939" s="11">
        <f>ROUND(SUM(N1939:Q1939),2)</f>
        <v/>
      </c>
      <c r="S1939" s="5" t="inlineStr">
        <is>
          <t>Stated build-up</t>
        </is>
      </c>
      <c r="T1939" s="12" t="inlineStr">
        <is>
          <t>High</t>
        </is>
      </c>
      <c r="U1939" s="8" t="n">
        <v>386.09</v>
      </c>
      <c r="V1939" s="13">
        <f>IF(U1939="","",ROUND(M1939-U1939,2))</f>
        <v/>
      </c>
      <c r="W1939" s="5" t="n"/>
      <c r="X1939" s="5" t="inlineStr">
        <is>
          <t>Labour + plant + material as published; reconciles to the published rate.</t>
        </is>
      </c>
    </row>
    <row r="1940" ht="13" customHeight="1">
      <c r="A1940" s="4" t="n">
        <v>2982</v>
      </c>
      <c r="B1940" s="5" t="inlineStr">
        <is>
          <t>IMG_0105</t>
        </is>
      </c>
      <c r="C1940" s="5" t="inlineStr">
        <is>
          <t>CLASS K: PIPEWORK - MANHOLES AND PIPEWORK ANCILLARIES</t>
        </is>
      </c>
      <c r="D1940" s="5" t="inlineStr">
        <is>
          <t>01 MANHOLES</t>
        </is>
      </c>
      <c r="E1940" s="5" t="inlineStr">
        <is>
          <t>1200 dia. x 2000 depth to invert</t>
        </is>
      </c>
      <c r="F1940" s="5" t="inlineStr">
        <is>
          <t>TOTAL</t>
        </is>
      </c>
      <c r="G1940" s="6" t="inlineStr">
        <is>
          <t>nr</t>
        </is>
      </c>
      <c r="H1940" s="7" t="n">
        <v>26.14</v>
      </c>
      <c r="I1940" s="8" t="n">
        <v>905.25</v>
      </c>
      <c r="J1940" s="8" t="n">
        <v>513.17</v>
      </c>
      <c r="K1940" s="8" t="n">
        <v>1513.24</v>
      </c>
      <c r="L1940" s="8" t="n">
        <v>0</v>
      </c>
      <c r="M1940" s="9">
        <f>ROUND(SUM(I1940:L1940),2)</f>
        <v/>
      </c>
      <c r="N1940" s="10">
        <f>ROUND(I1940*'Irish Basis'!$C$6*'Irish Basis'!$C$5,2)</f>
        <v/>
      </c>
      <c r="O1940" s="10">
        <f>ROUND(J1940*'Irish Basis'!$C$7*'Irish Basis'!$C$5,2)</f>
        <v/>
      </c>
      <c r="P1940" s="10">
        <f>ROUND(K1940*'Irish Basis'!$C$8*'Irish Basis'!$C$5,2)</f>
        <v/>
      </c>
      <c r="Q1940" s="10">
        <f>ROUND(L1940*'Irish Basis'!$C$12*'Irish Basis'!$C$5,2)</f>
        <v/>
      </c>
      <c r="R1940" s="11">
        <f>ROUND(SUM(N1940:Q1940),2)</f>
        <v/>
      </c>
      <c r="S1940" s="5" t="inlineStr">
        <is>
          <t>Stated build-up</t>
        </is>
      </c>
      <c r="T1940" s="12" t="inlineStr">
        <is>
          <t>High</t>
        </is>
      </c>
      <c r="U1940" s="8" t="n">
        <v>2931.66</v>
      </c>
      <c r="V1940" s="13">
        <f>IF(U1940="","",ROUND(M1940-U1940,2))</f>
        <v/>
      </c>
      <c r="W1940" s="5" t="n"/>
      <c r="X1940" s="5" t="inlineStr">
        <is>
          <t>Labour + plant + material as published; reconciles to the published rate.</t>
        </is>
      </c>
    </row>
    <row r="1941" ht="13" customHeight="1">
      <c r="A1941" s="4" t="n">
        <v>2984</v>
      </c>
      <c r="B1941" s="5" t="inlineStr">
        <is>
          <t>IMG_0105</t>
        </is>
      </c>
      <c r="C1941" s="5" t="inlineStr">
        <is>
          <t>CLASS K: PIPEWORK - MANHOLES AND PIPEWORK ANCILLARIES</t>
        </is>
      </c>
      <c r="D1941" s="5" t="inlineStr">
        <is>
          <t>01 MANHOLES</t>
        </is>
      </c>
      <c r="E1941" s="5" t="inlineStr">
        <is>
          <t>1200 dia. x 2500 depth to invert</t>
        </is>
      </c>
      <c r="F1941" s="5" t="inlineStr">
        <is>
          <t>excavation, support, backfilling and disposal</t>
        </is>
      </c>
      <c r="G1941" s="6" t="inlineStr">
        <is>
          <t>nr</t>
        </is>
      </c>
      <c r="H1941" s="7" t="n">
        <v>2.94</v>
      </c>
      <c r="I1941" s="8" t="n">
        <v>275.91</v>
      </c>
      <c r="J1941" s="8" t="n">
        <v>187.35</v>
      </c>
      <c r="K1941" s="8" t="n">
        <v>0</v>
      </c>
      <c r="L1941" s="8" t="n">
        <v>0</v>
      </c>
      <c r="M1941" s="9">
        <f>ROUND(SUM(I1941:L1941),2)</f>
        <v/>
      </c>
      <c r="N1941" s="10">
        <f>ROUND(I1941*'Irish Basis'!$C$6*'Irish Basis'!$C$5,2)</f>
        <v/>
      </c>
      <c r="O1941" s="10">
        <f>ROUND(J1941*'Irish Basis'!$C$7*'Irish Basis'!$C$5,2)</f>
        <v/>
      </c>
      <c r="P1941" s="10">
        <f>ROUND(K1941*'Irish Basis'!$C$8*'Irish Basis'!$C$5,2)</f>
        <v/>
      </c>
      <c r="Q1941" s="10">
        <f>ROUND(L1941*'Irish Basis'!$C$12*'Irish Basis'!$C$5,2)</f>
        <v/>
      </c>
      <c r="R1941" s="11">
        <f>ROUND(SUM(N1941:Q1941),2)</f>
        <v/>
      </c>
      <c r="S1941" s="5" t="inlineStr">
        <is>
          <t>Stated build-up</t>
        </is>
      </c>
      <c r="T1941" s="12" t="inlineStr">
        <is>
          <t>High</t>
        </is>
      </c>
      <c r="U1941" s="8" t="n">
        <v>463.26</v>
      </c>
      <c r="V1941" s="13">
        <f>IF(U1941="","",ROUND(M1941-U1941,2))</f>
        <v/>
      </c>
      <c r="W1941" s="5" t="n"/>
      <c r="X1941" s="5" t="inlineStr">
        <is>
          <t>Labour + plant + material as published; reconciles to the published rate.</t>
        </is>
      </c>
    </row>
    <row r="1942" ht="13" customHeight="1">
      <c r="A1942" s="4" t="n">
        <v>2985</v>
      </c>
      <c r="B1942" s="5" t="inlineStr">
        <is>
          <t>IMG_0105</t>
        </is>
      </c>
      <c r="C1942" s="5" t="inlineStr">
        <is>
          <t>CLASS K: PIPEWORK - MANHOLES AND PIPEWORK ANCILLARIES</t>
        </is>
      </c>
      <c r="D1942" s="5" t="inlineStr">
        <is>
          <t>01 MANHOLES</t>
        </is>
      </c>
      <c r="E1942" s="5" t="inlineStr">
        <is>
          <t>1200 dia. x 2500 depth to invert</t>
        </is>
      </c>
      <c r="F1942" s="5" t="inlineStr">
        <is>
          <t>concrete base</t>
        </is>
      </c>
      <c r="G1942" s="6" t="inlineStr">
        <is>
          <t>nr</t>
        </is>
      </c>
      <c r="H1942" s="7" t="n">
        <v>0.84</v>
      </c>
      <c r="I1942" s="8" t="n">
        <v>22.28</v>
      </c>
      <c r="J1942" s="8" t="n">
        <v>7.72</v>
      </c>
      <c r="K1942" s="8" t="n">
        <v>73.16</v>
      </c>
      <c r="L1942" s="8" t="n">
        <v>0</v>
      </c>
      <c r="M1942" s="9">
        <f>ROUND(SUM(I1942:L1942),2)</f>
        <v/>
      </c>
      <c r="N1942" s="10">
        <f>ROUND(I1942*'Irish Basis'!$C$6*'Irish Basis'!$C$5,2)</f>
        <v/>
      </c>
      <c r="O1942" s="10">
        <f>ROUND(J1942*'Irish Basis'!$C$7*'Irish Basis'!$C$5,2)</f>
        <v/>
      </c>
      <c r="P1942" s="10">
        <f>ROUND(K1942*'Irish Basis'!$C$8*'Irish Basis'!$C$5,2)</f>
        <v/>
      </c>
      <c r="Q1942" s="10">
        <f>ROUND(L1942*'Irish Basis'!$C$12*'Irish Basis'!$C$5,2)</f>
        <v/>
      </c>
      <c r="R1942" s="11">
        <f>ROUND(SUM(N1942:Q1942),2)</f>
        <v/>
      </c>
      <c r="S1942" s="5" t="inlineStr">
        <is>
          <t>Stated build-up</t>
        </is>
      </c>
      <c r="T1942" s="12" t="inlineStr">
        <is>
          <t>High</t>
        </is>
      </c>
      <c r="U1942" s="8" t="n">
        <v>103.16</v>
      </c>
      <c r="V1942" s="13">
        <f>IF(U1942="","",ROUND(M1942-U1942,2))</f>
        <v/>
      </c>
      <c r="W1942" s="5" t="n"/>
      <c r="X1942" s="5" t="inlineStr">
        <is>
          <t>Labour + plant + material as published; reconciles to the published rate.</t>
        </is>
      </c>
    </row>
    <row r="1943" ht="13" customHeight="1">
      <c r="A1943" s="4" t="n">
        <v>2986</v>
      </c>
      <c r="B1943" s="5" t="inlineStr">
        <is>
          <t>IMG_0105</t>
        </is>
      </c>
      <c r="C1943" s="5" t="inlineStr">
        <is>
          <t>CLASS K: PIPEWORK - MANHOLES AND PIPEWORK ANCILLARIES</t>
        </is>
      </c>
      <c r="D1943" s="5" t="inlineStr">
        <is>
          <t>01 MANHOLES</t>
        </is>
      </c>
      <c r="E1943" s="5" t="inlineStr">
        <is>
          <t>1200 dia. x 2500 depth to invert</t>
        </is>
      </c>
      <c r="F1943" s="5" t="inlineStr">
        <is>
          <t>main chamber rings</t>
        </is>
      </c>
      <c r="G1943" s="6" t="inlineStr">
        <is>
          <t>nr</t>
        </is>
      </c>
      <c r="H1943" s="7" t="n">
        <v>11.7</v>
      </c>
      <c r="I1943" s="8" t="n">
        <v>358.66</v>
      </c>
      <c r="J1943" s="8" t="n">
        <v>265.93</v>
      </c>
      <c r="K1943" s="8" t="n">
        <v>501.47</v>
      </c>
      <c r="L1943" s="8" t="n">
        <v>0</v>
      </c>
      <c r="M1943" s="9">
        <f>ROUND(SUM(I1943:L1943),2)</f>
        <v/>
      </c>
      <c r="N1943" s="10">
        <f>ROUND(I1943*'Irish Basis'!$C$6*'Irish Basis'!$C$5,2)</f>
        <v/>
      </c>
      <c r="O1943" s="10">
        <f>ROUND(J1943*'Irish Basis'!$C$7*'Irish Basis'!$C$5,2)</f>
        <v/>
      </c>
      <c r="P1943" s="10">
        <f>ROUND(K1943*'Irish Basis'!$C$8*'Irish Basis'!$C$5,2)</f>
        <v/>
      </c>
      <c r="Q1943" s="10">
        <f>ROUND(L1943*'Irish Basis'!$C$12*'Irish Basis'!$C$5,2)</f>
        <v/>
      </c>
      <c r="R1943" s="11">
        <f>ROUND(SUM(N1943:Q1943),2)</f>
        <v/>
      </c>
      <c r="S1943" s="5" t="inlineStr">
        <is>
          <t>Stated build-up</t>
        </is>
      </c>
      <c r="T1943" s="12" t="inlineStr">
        <is>
          <t>High</t>
        </is>
      </c>
      <c r="U1943" s="8" t="n">
        <v>1126.06</v>
      </c>
      <c r="V1943" s="13">
        <f>IF(U1943="","",ROUND(M1943-U1943,2))</f>
        <v/>
      </c>
      <c r="W1943" s="5" t="n"/>
      <c r="X1943" s="5" t="inlineStr">
        <is>
          <t>Labour + plant + material as published; reconciles to the published rate.</t>
        </is>
      </c>
    </row>
    <row r="1944" ht="13" customHeight="1">
      <c r="A1944" s="4" t="n">
        <v>2987</v>
      </c>
      <c r="B1944" s="5" t="inlineStr">
        <is>
          <t>IMG_0105</t>
        </is>
      </c>
      <c r="C1944" s="5" t="inlineStr">
        <is>
          <t>CLASS K: PIPEWORK - MANHOLES AND PIPEWORK ANCILLARIES</t>
        </is>
      </c>
      <c r="D1944" s="5" t="inlineStr">
        <is>
          <t>01 MANHOLES</t>
        </is>
      </c>
      <c r="E1944" s="5" t="inlineStr">
        <is>
          <t>1200 dia. x 2500 depth to invert</t>
        </is>
      </c>
      <c r="F1944" s="5" t="inlineStr">
        <is>
          <t>cover slab</t>
        </is>
      </c>
      <c r="G1944" s="6" t="inlineStr">
        <is>
          <t>nr</t>
        </is>
      </c>
      <c r="H1944" s="7" t="n">
        <v>2.8</v>
      </c>
      <c r="I1944" s="8" t="n">
        <v>85.83</v>
      </c>
      <c r="J1944" s="8" t="n">
        <v>63.66</v>
      </c>
      <c r="K1944" s="8" t="n">
        <v>225.91</v>
      </c>
      <c r="L1944" s="8" t="n">
        <v>0</v>
      </c>
      <c r="M1944" s="9">
        <f>ROUND(SUM(I1944:L1944),2)</f>
        <v/>
      </c>
      <c r="N1944" s="10">
        <f>ROUND(I1944*'Irish Basis'!$C$6*'Irish Basis'!$C$5,2)</f>
        <v/>
      </c>
      <c r="O1944" s="10">
        <f>ROUND(J1944*'Irish Basis'!$C$7*'Irish Basis'!$C$5,2)</f>
        <v/>
      </c>
      <c r="P1944" s="10">
        <f>ROUND(K1944*'Irish Basis'!$C$8*'Irish Basis'!$C$5,2)</f>
        <v/>
      </c>
      <c r="Q1944" s="10">
        <f>ROUND(L1944*'Irish Basis'!$C$12*'Irish Basis'!$C$5,2)</f>
        <v/>
      </c>
      <c r="R1944" s="11">
        <f>ROUND(SUM(N1944:Q1944),2)</f>
        <v/>
      </c>
      <c r="S1944" s="5" t="inlineStr">
        <is>
          <t>Stated build-up</t>
        </is>
      </c>
      <c r="T1944" s="12" t="inlineStr">
        <is>
          <t>High</t>
        </is>
      </c>
      <c r="U1944" s="8" t="n">
        <v>375.4</v>
      </c>
      <c r="V1944" s="13">
        <f>IF(U1944="","",ROUND(M1944-U1944,2))</f>
        <v/>
      </c>
      <c r="W1944" s="5" t="n"/>
      <c r="X1944" s="5" t="inlineStr">
        <is>
          <t>Labour + plant + material as published; reconciles to the published rate.</t>
        </is>
      </c>
    </row>
    <row r="1945" ht="13" customHeight="1">
      <c r="A1945" s="4" t="n">
        <v>2988</v>
      </c>
      <c r="B1945" s="5" t="inlineStr">
        <is>
          <t>IMG_0105</t>
        </is>
      </c>
      <c r="C1945" s="5" t="inlineStr">
        <is>
          <t>CLASS K: PIPEWORK - MANHOLES AND PIPEWORK ANCILLARIES</t>
        </is>
      </c>
      <c r="D1945" s="5" t="inlineStr">
        <is>
          <t>01 MANHOLES</t>
        </is>
      </c>
      <c r="E1945" s="5" t="inlineStr">
        <is>
          <t>1200 dia. x 2500 depth to invert</t>
        </is>
      </c>
      <c r="F1945" s="5" t="inlineStr">
        <is>
          <t>concrete surround</t>
        </is>
      </c>
      <c r="G1945" s="6" t="inlineStr">
        <is>
          <t>nr</t>
        </is>
      </c>
      <c r="H1945" s="7" t="n">
        <v>3.24</v>
      </c>
      <c r="I1945" s="8" t="n">
        <v>86.27</v>
      </c>
      <c r="J1945" s="8" t="n">
        <v>33.53</v>
      </c>
      <c r="K1945" s="8" t="n">
        <v>205.94</v>
      </c>
      <c r="L1945" s="8" t="n">
        <v>0</v>
      </c>
      <c r="M1945" s="9">
        <f>ROUND(SUM(I1945:L1945),2)</f>
        <v/>
      </c>
      <c r="N1945" s="10">
        <f>ROUND(I1945*'Irish Basis'!$C$6*'Irish Basis'!$C$5,2)</f>
        <v/>
      </c>
      <c r="O1945" s="10">
        <f>ROUND(J1945*'Irish Basis'!$C$7*'Irish Basis'!$C$5,2)</f>
        <v/>
      </c>
      <c r="P1945" s="10">
        <f>ROUND(K1945*'Irish Basis'!$C$8*'Irish Basis'!$C$5,2)</f>
        <v/>
      </c>
      <c r="Q1945" s="10">
        <f>ROUND(L1945*'Irish Basis'!$C$12*'Irish Basis'!$C$5,2)</f>
        <v/>
      </c>
      <c r="R1945" s="11">
        <f>ROUND(SUM(N1945:Q1945),2)</f>
        <v/>
      </c>
      <c r="S1945" s="5" t="inlineStr">
        <is>
          <t>Stated build-up</t>
        </is>
      </c>
      <c r="T1945" s="12" t="inlineStr">
        <is>
          <t>High</t>
        </is>
      </c>
      <c r="U1945" s="8" t="n">
        <v>325.74</v>
      </c>
      <c r="V1945" s="13">
        <f>IF(U1945="","",ROUND(M1945-U1945,2))</f>
        <v/>
      </c>
      <c r="W1945" s="5" t="n"/>
      <c r="X1945" s="5" t="inlineStr">
        <is>
          <t>Labour + plant + material as published; reconciles to the published rate.</t>
        </is>
      </c>
    </row>
    <row r="1946" ht="13" customHeight="1">
      <c r="A1946" s="4" t="n">
        <v>2989</v>
      </c>
      <c r="B1946" s="5" t="inlineStr">
        <is>
          <t>IMG_0105</t>
        </is>
      </c>
      <c r="C1946" s="5" t="inlineStr">
        <is>
          <t>CLASS K: PIPEWORK - MANHOLES AND PIPEWORK ANCILLARIES</t>
        </is>
      </c>
      <c r="D1946" s="5" t="inlineStr">
        <is>
          <t>01 MANHOLES</t>
        </is>
      </c>
      <c r="E1946" s="5" t="inlineStr">
        <is>
          <t>1200 dia. x 2500 depth to invert</t>
        </is>
      </c>
      <c r="F1946" s="5" t="inlineStr">
        <is>
          <t>concrete benching, main and branch channels</t>
        </is>
      </c>
      <c r="G1946" s="6" t="inlineStr">
        <is>
          <t>nr</t>
        </is>
      </c>
      <c r="H1946" s="7" t="n">
        <v>6.13</v>
      </c>
      <c r="I1946" s="8" t="n">
        <v>164.85</v>
      </c>
      <c r="J1946" s="8" t="n">
        <v>45.89</v>
      </c>
      <c r="K1946" s="8" t="n">
        <v>168.91</v>
      </c>
      <c r="L1946" s="8" t="n">
        <v>0</v>
      </c>
      <c r="M1946" s="9">
        <f>ROUND(SUM(I1946:L1946),2)</f>
        <v/>
      </c>
      <c r="N1946" s="10">
        <f>ROUND(I1946*'Irish Basis'!$C$6*'Irish Basis'!$C$5,2)</f>
        <v/>
      </c>
      <c r="O1946" s="10">
        <f>ROUND(J1946*'Irish Basis'!$C$7*'Irish Basis'!$C$5,2)</f>
        <v/>
      </c>
      <c r="P1946" s="10">
        <f>ROUND(K1946*'Irish Basis'!$C$8*'Irish Basis'!$C$5,2)</f>
        <v/>
      </c>
      <c r="Q1946" s="10">
        <f>ROUND(L1946*'Irish Basis'!$C$12*'Irish Basis'!$C$5,2)</f>
        <v/>
      </c>
      <c r="R1946" s="11">
        <f>ROUND(SUM(N1946:Q1946),2)</f>
        <v/>
      </c>
      <c r="S1946" s="5" t="inlineStr">
        <is>
          <t>Stated build-up</t>
        </is>
      </c>
      <c r="T1946" s="12" t="inlineStr">
        <is>
          <t>High</t>
        </is>
      </c>
      <c r="U1946" s="8" t="n">
        <v>379.65</v>
      </c>
      <c r="V1946" s="13">
        <f>IF(U1946="","",ROUND(M1946-U1946,2))</f>
        <v/>
      </c>
      <c r="W1946" s="5" t="n"/>
      <c r="X1946" s="5" t="inlineStr">
        <is>
          <t>Labour + plant + material as published; reconciles to the published rate.</t>
        </is>
      </c>
    </row>
    <row r="1947" ht="13" customHeight="1">
      <c r="A1947" s="4" t="n">
        <v>2990</v>
      </c>
      <c r="B1947" s="5" t="inlineStr">
        <is>
          <t>IMG_0105</t>
        </is>
      </c>
      <c r="C1947" s="5" t="inlineStr">
        <is>
          <t>CLASS K: PIPEWORK - MANHOLES AND PIPEWORK ANCILLARIES</t>
        </is>
      </c>
      <c r="D1947" s="5" t="inlineStr">
        <is>
          <t>01 MANHOLES</t>
        </is>
      </c>
      <c r="E1947" s="5" t="inlineStr">
        <is>
          <t>1200 dia. x 2500 depth to invert</t>
        </is>
      </c>
      <c r="F1947" s="5" t="inlineStr">
        <is>
          <t>step irons</t>
        </is>
      </c>
      <c r="G1947" s="6" t="inlineStr">
        <is>
          <t>nr</t>
        </is>
      </c>
      <c r="H1947" s="7" t="n">
        <v>0.84</v>
      </c>
      <c r="I1947" s="8" t="n">
        <v>20.61</v>
      </c>
      <c r="J1947" s="8" t="n">
        <v>2.74</v>
      </c>
      <c r="K1947" s="8" t="n">
        <v>183.37</v>
      </c>
      <c r="L1947" s="8" t="n">
        <v>0</v>
      </c>
      <c r="M1947" s="9">
        <f>ROUND(SUM(I1947:L1947),2)</f>
        <v/>
      </c>
      <c r="N1947" s="10">
        <f>ROUND(I1947*'Irish Basis'!$C$6*'Irish Basis'!$C$5,2)</f>
        <v/>
      </c>
      <c r="O1947" s="10">
        <f>ROUND(J1947*'Irish Basis'!$C$7*'Irish Basis'!$C$5,2)</f>
        <v/>
      </c>
      <c r="P1947" s="10">
        <f>ROUND(K1947*'Irish Basis'!$C$8*'Irish Basis'!$C$5,2)</f>
        <v/>
      </c>
      <c r="Q1947" s="10">
        <f>ROUND(L1947*'Irish Basis'!$C$12*'Irish Basis'!$C$5,2)</f>
        <v/>
      </c>
      <c r="R1947" s="11">
        <f>ROUND(SUM(N1947:Q1947),2)</f>
        <v/>
      </c>
      <c r="S1947" s="5" t="inlineStr">
        <is>
          <t>Stated build-up</t>
        </is>
      </c>
      <c r="T1947" s="12" t="inlineStr">
        <is>
          <t>High</t>
        </is>
      </c>
      <c r="U1947" s="8" t="n">
        <v>206.72</v>
      </c>
      <c r="V1947" s="13">
        <f>IF(U1947="","",ROUND(M1947-U1947,2))</f>
        <v/>
      </c>
      <c r="W1947" s="5" t="n"/>
      <c r="X1947" s="5" t="inlineStr">
        <is>
          <t>Labour + plant + material as published; reconciles to the published rate.</t>
        </is>
      </c>
    </row>
    <row r="1948" ht="13" customHeight="1">
      <c r="A1948" s="4" t="n">
        <v>2991</v>
      </c>
      <c r="B1948" s="5" t="inlineStr">
        <is>
          <t>IMG_0105</t>
        </is>
      </c>
      <c r="C1948" s="5" t="inlineStr">
        <is>
          <t>CLASS K: PIPEWORK - MANHOLES AND PIPEWORK ANCILLARIES</t>
        </is>
      </c>
      <c r="D1948" s="5" t="inlineStr">
        <is>
          <t>01 MANHOLES</t>
        </is>
      </c>
      <c r="E1948" s="5" t="inlineStr">
        <is>
          <t>1200 dia. x 2500 depth to invert</t>
        </is>
      </c>
      <c r="F1948" s="5" t="inlineStr">
        <is>
          <t>access cover and frame</t>
        </is>
      </c>
      <c r="G1948" s="6" t="inlineStr">
        <is>
          <t>nr</t>
        </is>
      </c>
      <c r="H1948" s="7" t="n">
        <v>1.44</v>
      </c>
      <c r="I1948" s="8" t="n">
        <v>40.16</v>
      </c>
      <c r="J1948" s="8" t="n">
        <v>4.42</v>
      </c>
      <c r="K1948" s="8" t="n">
        <v>341.51</v>
      </c>
      <c r="L1948" s="8" t="n">
        <v>0</v>
      </c>
      <c r="M1948" s="9">
        <f>ROUND(SUM(I1948:L1948),2)</f>
        <v/>
      </c>
      <c r="N1948" s="10">
        <f>ROUND(I1948*'Irish Basis'!$C$6*'Irish Basis'!$C$5,2)</f>
        <v/>
      </c>
      <c r="O1948" s="10">
        <f>ROUND(J1948*'Irish Basis'!$C$7*'Irish Basis'!$C$5,2)</f>
        <v/>
      </c>
      <c r="P1948" s="10">
        <f>ROUND(K1948*'Irish Basis'!$C$8*'Irish Basis'!$C$5,2)</f>
        <v/>
      </c>
      <c r="Q1948" s="10">
        <f>ROUND(L1948*'Irish Basis'!$C$12*'Irish Basis'!$C$5,2)</f>
        <v/>
      </c>
      <c r="R1948" s="11">
        <f>ROUND(SUM(N1948:Q1948),2)</f>
        <v/>
      </c>
      <c r="S1948" s="5" t="inlineStr">
        <is>
          <t>Stated build-up</t>
        </is>
      </c>
      <c r="T1948" s="12" t="inlineStr">
        <is>
          <t>High</t>
        </is>
      </c>
      <c r="U1948" s="8" t="n">
        <v>386.09</v>
      </c>
      <c r="V1948" s="13">
        <f>IF(U1948="","",ROUND(M1948-U1948,2))</f>
        <v/>
      </c>
      <c r="W1948" s="5" t="n"/>
      <c r="X1948" s="5" t="inlineStr">
        <is>
          <t>Labour + plant + material as published; reconciles to the published rate.</t>
        </is>
      </c>
    </row>
    <row r="1949" ht="13" customHeight="1">
      <c r="A1949" s="4" t="n">
        <v>2992</v>
      </c>
      <c r="B1949" s="5" t="inlineStr">
        <is>
          <t>IMG_0105</t>
        </is>
      </c>
      <c r="C1949" s="5" t="inlineStr">
        <is>
          <t>CLASS K: PIPEWORK - MANHOLES AND PIPEWORK ANCILLARIES</t>
        </is>
      </c>
      <c r="D1949" s="5" t="inlineStr">
        <is>
          <t>01 MANHOLES</t>
        </is>
      </c>
      <c r="E1949" s="5" t="inlineStr">
        <is>
          <t>1200 dia. x 2500 depth to invert</t>
        </is>
      </c>
      <c r="F1949" s="5" t="inlineStr">
        <is>
          <t>TOTAL</t>
        </is>
      </c>
      <c r="G1949" s="6" t="inlineStr">
        <is>
          <t>nr</t>
        </is>
      </c>
      <c r="H1949" s="7" t="n">
        <v>29.93</v>
      </c>
      <c r="I1949" s="8" t="n">
        <v>1054.57</v>
      </c>
      <c r="J1949" s="8" t="n">
        <v>611.24</v>
      </c>
      <c r="K1949" s="8" t="n">
        <v>1700.27</v>
      </c>
      <c r="L1949" s="8" t="n">
        <v>0</v>
      </c>
      <c r="M1949" s="9">
        <f>ROUND(SUM(I1949:L1949),2)</f>
        <v/>
      </c>
      <c r="N1949" s="10">
        <f>ROUND(I1949*'Irish Basis'!$C$6*'Irish Basis'!$C$5,2)</f>
        <v/>
      </c>
      <c r="O1949" s="10">
        <f>ROUND(J1949*'Irish Basis'!$C$7*'Irish Basis'!$C$5,2)</f>
        <v/>
      </c>
      <c r="P1949" s="10">
        <f>ROUND(K1949*'Irish Basis'!$C$8*'Irish Basis'!$C$5,2)</f>
        <v/>
      </c>
      <c r="Q1949" s="10">
        <f>ROUND(L1949*'Irish Basis'!$C$12*'Irish Basis'!$C$5,2)</f>
        <v/>
      </c>
      <c r="R1949" s="11">
        <f>ROUND(SUM(N1949:Q1949),2)</f>
        <v/>
      </c>
      <c r="S1949" s="5" t="inlineStr">
        <is>
          <t>Stated build-up</t>
        </is>
      </c>
      <c r="T1949" s="12" t="inlineStr">
        <is>
          <t>High</t>
        </is>
      </c>
      <c r="U1949" s="8" t="n">
        <v>3366.08</v>
      </c>
      <c r="V1949" s="13">
        <f>IF(U1949="","",ROUND(M1949-U1949,2))</f>
        <v/>
      </c>
      <c r="W1949" s="5" t="n"/>
      <c r="X1949" s="5" t="inlineStr">
        <is>
          <t>Labour + plant + material as published; reconciles to the published rate.</t>
        </is>
      </c>
    </row>
    <row r="1950" ht="13" customHeight="1">
      <c r="A1950" s="4" t="n">
        <v>2994</v>
      </c>
      <c r="B1950" s="5" t="inlineStr">
        <is>
          <t>IMG_0105</t>
        </is>
      </c>
      <c r="C1950" s="5" t="inlineStr">
        <is>
          <t>CLASS K: PIPEWORK - MANHOLES AND PIPEWORK ANCILLARIES</t>
        </is>
      </c>
      <c r="D1950" s="5" t="inlineStr">
        <is>
          <t>01 MANHOLES</t>
        </is>
      </c>
      <c r="E1950" s="5" t="inlineStr">
        <is>
          <t>1200 dia. x 3000 depth to invert</t>
        </is>
      </c>
      <c r="F1950" s="5" t="inlineStr">
        <is>
          <t>excavation, support, backfilling and disposal</t>
        </is>
      </c>
      <c r="G1950" s="6" t="inlineStr">
        <is>
          <t>nr</t>
        </is>
      </c>
      <c r="H1950" s="7" t="n">
        <v>3.53</v>
      </c>
      <c r="I1950" s="8" t="n">
        <v>331.33</v>
      </c>
      <c r="J1950" s="8" t="n">
        <v>224.92</v>
      </c>
      <c r="K1950" s="8" t="n">
        <v>0</v>
      </c>
      <c r="L1950" s="8" t="n">
        <v>0</v>
      </c>
      <c r="M1950" s="9">
        <f>ROUND(SUM(I1950:L1950),2)</f>
        <v/>
      </c>
      <c r="N1950" s="10">
        <f>ROUND(I1950*'Irish Basis'!$C$6*'Irish Basis'!$C$5,2)</f>
        <v/>
      </c>
      <c r="O1950" s="10">
        <f>ROUND(J1950*'Irish Basis'!$C$7*'Irish Basis'!$C$5,2)</f>
        <v/>
      </c>
      <c r="P1950" s="10">
        <f>ROUND(K1950*'Irish Basis'!$C$8*'Irish Basis'!$C$5,2)</f>
        <v/>
      </c>
      <c r="Q1950" s="10">
        <f>ROUND(L1950*'Irish Basis'!$C$12*'Irish Basis'!$C$5,2)</f>
        <v/>
      </c>
      <c r="R1950" s="11">
        <f>ROUND(SUM(N1950:Q1950),2)</f>
        <v/>
      </c>
      <c r="S1950" s="5" t="inlineStr">
        <is>
          <t>Stated build-up</t>
        </is>
      </c>
      <c r="T1950" s="12" t="inlineStr">
        <is>
          <t>High</t>
        </is>
      </c>
      <c r="U1950" s="8" t="n">
        <v>556.25</v>
      </c>
      <c r="V1950" s="13">
        <f>IF(U1950="","",ROUND(M1950-U1950,2))</f>
        <v/>
      </c>
      <c r="W1950" s="5" t="n"/>
      <c r="X1950" s="5" t="inlineStr">
        <is>
          <t>Labour + plant + material as published; reconciles to the published rate.</t>
        </is>
      </c>
    </row>
    <row r="1951" ht="13" customHeight="1">
      <c r="A1951" s="4" t="n">
        <v>2995</v>
      </c>
      <c r="B1951" s="5" t="inlineStr">
        <is>
          <t>IMG_0105</t>
        </is>
      </c>
      <c r="C1951" s="5" t="inlineStr">
        <is>
          <t>CLASS K: PIPEWORK - MANHOLES AND PIPEWORK ANCILLARIES</t>
        </is>
      </c>
      <c r="D1951" s="5" t="inlineStr">
        <is>
          <t>01 MANHOLES</t>
        </is>
      </c>
      <c r="E1951" s="5" t="inlineStr">
        <is>
          <t>1200 dia. x 3000 depth to invert</t>
        </is>
      </c>
      <c r="F1951" s="5" t="inlineStr">
        <is>
          <t>concrete base</t>
        </is>
      </c>
      <c r="G1951" s="6" t="inlineStr">
        <is>
          <t>nr</t>
        </is>
      </c>
      <c r="H1951" s="7" t="n">
        <v>0.84</v>
      </c>
      <c r="I1951" s="8" t="n">
        <v>22.28</v>
      </c>
      <c r="J1951" s="8" t="n">
        <v>7.72</v>
      </c>
      <c r="K1951" s="8" t="n">
        <v>73.16</v>
      </c>
      <c r="L1951" s="8" t="n">
        <v>0</v>
      </c>
      <c r="M1951" s="9">
        <f>ROUND(SUM(I1951:L1951),2)</f>
        <v/>
      </c>
      <c r="N1951" s="10">
        <f>ROUND(I1951*'Irish Basis'!$C$6*'Irish Basis'!$C$5,2)</f>
        <v/>
      </c>
      <c r="O1951" s="10">
        <f>ROUND(J1951*'Irish Basis'!$C$7*'Irish Basis'!$C$5,2)</f>
        <v/>
      </c>
      <c r="P1951" s="10">
        <f>ROUND(K1951*'Irish Basis'!$C$8*'Irish Basis'!$C$5,2)</f>
        <v/>
      </c>
      <c r="Q1951" s="10">
        <f>ROUND(L1951*'Irish Basis'!$C$12*'Irish Basis'!$C$5,2)</f>
        <v/>
      </c>
      <c r="R1951" s="11">
        <f>ROUND(SUM(N1951:Q1951),2)</f>
        <v/>
      </c>
      <c r="S1951" s="5" t="inlineStr">
        <is>
          <t>Stated build-up</t>
        </is>
      </c>
      <c r="T1951" s="12" t="inlineStr">
        <is>
          <t>High</t>
        </is>
      </c>
      <c r="U1951" s="8" t="n">
        <v>103.16</v>
      </c>
      <c r="V1951" s="13">
        <f>IF(U1951="","",ROUND(M1951-U1951,2))</f>
        <v/>
      </c>
      <c r="W1951" s="5" t="n"/>
      <c r="X1951" s="5" t="inlineStr">
        <is>
          <t>Labour + plant + material as published; reconciles to the published rate.</t>
        </is>
      </c>
    </row>
    <row r="1952" ht="13" customHeight="1">
      <c r="A1952" s="4" t="n">
        <v>2996</v>
      </c>
      <c r="B1952" s="5" t="inlineStr">
        <is>
          <t>IMG_0105</t>
        </is>
      </c>
      <c r="C1952" s="5" t="inlineStr">
        <is>
          <t>CLASS K: PIPEWORK - MANHOLES AND PIPEWORK ANCILLARIES</t>
        </is>
      </c>
      <c r="D1952" s="5" t="inlineStr">
        <is>
          <t>01 MANHOLES</t>
        </is>
      </c>
      <c r="E1952" s="5" t="inlineStr">
        <is>
          <t>1200 dia. x 3000 depth to invert</t>
        </is>
      </c>
      <c r="F1952" s="5" t="inlineStr">
        <is>
          <t>main chamber rings</t>
        </is>
      </c>
      <c r="G1952" s="6" t="inlineStr">
        <is>
          <t>nr</t>
        </is>
      </c>
      <c r="H1952" s="7" t="n">
        <v>14.04</v>
      </c>
      <c r="I1952" s="8" t="n">
        <v>430.39</v>
      </c>
      <c r="J1952" s="8" t="n">
        <v>319.12</v>
      </c>
      <c r="K1952" s="8" t="n">
        <v>601.77</v>
      </c>
      <c r="L1952" s="8" t="n">
        <v>0</v>
      </c>
      <c r="M1952" s="9">
        <f>ROUND(SUM(I1952:L1952),2)</f>
        <v/>
      </c>
      <c r="N1952" s="10">
        <f>ROUND(I1952*'Irish Basis'!$C$6*'Irish Basis'!$C$5,2)</f>
        <v/>
      </c>
      <c r="O1952" s="10">
        <f>ROUND(J1952*'Irish Basis'!$C$7*'Irish Basis'!$C$5,2)</f>
        <v/>
      </c>
      <c r="P1952" s="10">
        <f>ROUND(K1952*'Irish Basis'!$C$8*'Irish Basis'!$C$5,2)</f>
        <v/>
      </c>
      <c r="Q1952" s="10">
        <f>ROUND(L1952*'Irish Basis'!$C$12*'Irish Basis'!$C$5,2)</f>
        <v/>
      </c>
      <c r="R1952" s="11">
        <f>ROUND(SUM(N1952:Q1952),2)</f>
        <v/>
      </c>
      <c r="S1952" s="5" t="inlineStr">
        <is>
          <t>Stated build-up</t>
        </is>
      </c>
      <c r="T1952" s="12" t="inlineStr">
        <is>
          <t>High</t>
        </is>
      </c>
      <c r="U1952" s="8" t="n">
        <v>1351.28</v>
      </c>
      <c r="V1952" s="13">
        <f>IF(U1952="","",ROUND(M1952-U1952,2))</f>
        <v/>
      </c>
      <c r="W1952" s="5" t="n"/>
      <c r="X1952" s="5" t="inlineStr">
        <is>
          <t>Labour + plant + material as published; reconciles to the published rate.</t>
        </is>
      </c>
    </row>
    <row r="1953" ht="13" customHeight="1">
      <c r="A1953" s="4" t="n">
        <v>2997</v>
      </c>
      <c r="B1953" s="5" t="inlineStr">
        <is>
          <t>IMG_0105</t>
        </is>
      </c>
      <c r="C1953" s="5" t="inlineStr">
        <is>
          <t>CLASS K: PIPEWORK - MANHOLES AND PIPEWORK ANCILLARIES</t>
        </is>
      </c>
      <c r="D1953" s="5" t="inlineStr">
        <is>
          <t>01 MANHOLES</t>
        </is>
      </c>
      <c r="E1953" s="5" t="inlineStr">
        <is>
          <t>1200 dia. x 3000 depth to invert</t>
        </is>
      </c>
      <c r="F1953" s="5" t="inlineStr">
        <is>
          <t>cover slab</t>
        </is>
      </c>
      <c r="G1953" s="6" t="inlineStr">
        <is>
          <t>nr</t>
        </is>
      </c>
      <c r="H1953" s="7" t="n">
        <v>2.8</v>
      </c>
      <c r="I1953" s="8" t="n">
        <v>85.83</v>
      </c>
      <c r="J1953" s="8" t="n">
        <v>63.66</v>
      </c>
      <c r="K1953" s="8" t="n">
        <v>225.91</v>
      </c>
      <c r="L1953" s="8" t="n">
        <v>0</v>
      </c>
      <c r="M1953" s="9">
        <f>ROUND(SUM(I1953:L1953),2)</f>
        <v/>
      </c>
      <c r="N1953" s="10">
        <f>ROUND(I1953*'Irish Basis'!$C$6*'Irish Basis'!$C$5,2)</f>
        <v/>
      </c>
      <c r="O1953" s="10">
        <f>ROUND(J1953*'Irish Basis'!$C$7*'Irish Basis'!$C$5,2)</f>
        <v/>
      </c>
      <c r="P1953" s="10">
        <f>ROUND(K1953*'Irish Basis'!$C$8*'Irish Basis'!$C$5,2)</f>
        <v/>
      </c>
      <c r="Q1953" s="10">
        <f>ROUND(L1953*'Irish Basis'!$C$12*'Irish Basis'!$C$5,2)</f>
        <v/>
      </c>
      <c r="R1953" s="11">
        <f>ROUND(SUM(N1953:Q1953),2)</f>
        <v/>
      </c>
      <c r="S1953" s="5" t="inlineStr">
        <is>
          <t>Stated build-up</t>
        </is>
      </c>
      <c r="T1953" s="12" t="inlineStr">
        <is>
          <t>High</t>
        </is>
      </c>
      <c r="U1953" s="8" t="n">
        <v>375.4</v>
      </c>
      <c r="V1953" s="13">
        <f>IF(U1953="","",ROUND(M1953-U1953,2))</f>
        <v/>
      </c>
      <c r="W1953" s="5" t="n"/>
      <c r="X1953" s="5" t="inlineStr">
        <is>
          <t>Labour + plant + material as published; reconciles to the published rate.</t>
        </is>
      </c>
    </row>
    <row r="1954" ht="13" customHeight="1">
      <c r="A1954" s="4" t="n">
        <v>2998</v>
      </c>
      <c r="B1954" s="5" t="inlineStr">
        <is>
          <t>IMG_0105</t>
        </is>
      </c>
      <c r="C1954" s="5" t="inlineStr">
        <is>
          <t>CLASS K: PIPEWORK - MANHOLES AND PIPEWORK ANCILLARIES</t>
        </is>
      </c>
      <c r="D1954" s="5" t="inlineStr">
        <is>
          <t>01 MANHOLES</t>
        </is>
      </c>
      <c r="E1954" s="5" t="inlineStr">
        <is>
          <t>1200 dia. x 3000 depth to invert</t>
        </is>
      </c>
      <c r="F1954" s="5" t="inlineStr">
        <is>
          <t>concrete surround</t>
        </is>
      </c>
      <c r="G1954" s="6" t="inlineStr">
        <is>
          <t>nr</t>
        </is>
      </c>
      <c r="H1954" s="7" t="n">
        <v>3.91</v>
      </c>
      <c r="I1954" s="8" t="n">
        <v>104.02</v>
      </c>
      <c r="J1954" s="8" t="n">
        <v>40.43</v>
      </c>
      <c r="K1954" s="8" t="n">
        <v>248.29</v>
      </c>
      <c r="L1954" s="8" t="n">
        <v>0</v>
      </c>
      <c r="M1954" s="9">
        <f>ROUND(SUM(I1954:L1954),2)</f>
        <v/>
      </c>
      <c r="N1954" s="10">
        <f>ROUND(I1954*'Irish Basis'!$C$6*'Irish Basis'!$C$5,2)</f>
        <v/>
      </c>
      <c r="O1954" s="10">
        <f>ROUND(J1954*'Irish Basis'!$C$7*'Irish Basis'!$C$5,2)</f>
        <v/>
      </c>
      <c r="P1954" s="10">
        <f>ROUND(K1954*'Irish Basis'!$C$8*'Irish Basis'!$C$5,2)</f>
        <v/>
      </c>
      <c r="Q1954" s="10">
        <f>ROUND(L1954*'Irish Basis'!$C$12*'Irish Basis'!$C$5,2)</f>
        <v/>
      </c>
      <c r="R1954" s="11">
        <f>ROUND(SUM(N1954:Q1954),2)</f>
        <v/>
      </c>
      <c r="S1954" s="5" t="inlineStr">
        <is>
          <t>Stated build-up</t>
        </is>
      </c>
      <c r="T1954" s="12" t="inlineStr">
        <is>
          <t>High</t>
        </is>
      </c>
      <c r="U1954" s="8" t="n">
        <v>392.74</v>
      </c>
      <c r="V1954" s="13">
        <f>IF(U1954="","",ROUND(M1954-U1954,2))</f>
        <v/>
      </c>
      <c r="W1954" s="5" t="n"/>
      <c r="X1954" s="5" t="inlineStr">
        <is>
          <t>Labour + plant + material as published; reconciles to the published rate.</t>
        </is>
      </c>
    </row>
    <row r="1955" ht="13" customHeight="1">
      <c r="A1955" s="4" t="n">
        <v>3000</v>
      </c>
      <c r="B1955" s="5" t="inlineStr">
        <is>
          <t>IMG_0106</t>
        </is>
      </c>
      <c r="C1955" s="5" t="inlineStr">
        <is>
          <t>CLASS K: PIPEWORK - MANHOLES AND PIPEWORK ANCILLARIES</t>
        </is>
      </c>
      <c r="D1955" s="5" t="inlineStr">
        <is>
          <t>01 MANHOLES</t>
        </is>
      </c>
      <c r="E1955" s="5" t="inlineStr">
        <is>
          <t>Precast concrete construction; 1200 dia. x 3000 depth to invert (continued)</t>
        </is>
      </c>
      <c r="F1955" s="5" t="inlineStr">
        <is>
          <t>concrete benching, main and branch channels</t>
        </is>
      </c>
      <c r="G1955" s="6" t="inlineStr">
        <is>
          <t>nr</t>
        </is>
      </c>
      <c r="H1955" s="7" t="n">
        <v>6.13</v>
      </c>
      <c r="I1955" s="8" t="n">
        <v>164.85</v>
      </c>
      <c r="J1955" s="8" t="n">
        <v>45.89</v>
      </c>
      <c r="K1955" s="8" t="n">
        <v>168.91</v>
      </c>
      <c r="L1955" s="8" t="n">
        <v>0</v>
      </c>
      <c r="M1955" s="9">
        <f>ROUND(SUM(I1955:L1955),2)</f>
        <v/>
      </c>
      <c r="N1955" s="10">
        <f>ROUND(I1955*'Irish Basis'!$C$6*'Irish Basis'!$C$5,2)</f>
        <v/>
      </c>
      <c r="O1955" s="10">
        <f>ROUND(J1955*'Irish Basis'!$C$7*'Irish Basis'!$C$5,2)</f>
        <v/>
      </c>
      <c r="P1955" s="10">
        <f>ROUND(K1955*'Irish Basis'!$C$8*'Irish Basis'!$C$5,2)</f>
        <v/>
      </c>
      <c r="Q1955" s="10">
        <f>ROUND(L1955*'Irish Basis'!$C$12*'Irish Basis'!$C$5,2)</f>
        <v/>
      </c>
      <c r="R1955" s="11">
        <f>ROUND(SUM(N1955:Q1955),2)</f>
        <v/>
      </c>
      <c r="S1955" s="5" t="inlineStr">
        <is>
          <t>Stated build-up</t>
        </is>
      </c>
      <c r="T1955" s="12" t="inlineStr">
        <is>
          <t>High</t>
        </is>
      </c>
      <c r="U1955" s="8" t="n">
        <v>379.65</v>
      </c>
      <c r="V1955" s="13">
        <f>IF(U1955="","",ROUND(M1955-U1955,2))</f>
        <v/>
      </c>
      <c r="W1955" s="5" t="n"/>
      <c r="X1955" s="5" t="inlineStr">
        <is>
          <t>Labour + plant + material as published; reconciles to the published rate.</t>
        </is>
      </c>
    </row>
    <row r="1956" ht="13" customHeight="1">
      <c r="A1956" s="4" t="n">
        <v>3001</v>
      </c>
      <c r="B1956" s="5" t="inlineStr">
        <is>
          <t>IMG_0106</t>
        </is>
      </c>
      <c r="C1956" s="5" t="inlineStr">
        <is>
          <t>CLASS K: PIPEWORK - MANHOLES AND PIPEWORK ANCILLARIES</t>
        </is>
      </c>
      <c r="D1956" s="5" t="inlineStr">
        <is>
          <t>01 MANHOLES</t>
        </is>
      </c>
      <c r="E1956" s="5" t="inlineStr">
        <is>
          <t>Precast concrete construction; 1200 dia. x 3000 depth to invert (continued)</t>
        </is>
      </c>
      <c r="F1956" s="5" t="inlineStr">
        <is>
          <t>step irons</t>
        </is>
      </c>
      <c r="G1956" s="6" t="inlineStr">
        <is>
          <t>nr</t>
        </is>
      </c>
      <c r="H1956" s="7" t="n">
        <v>0.95</v>
      </c>
      <c r="I1956" s="8" t="n">
        <v>23.19</v>
      </c>
      <c r="J1956" s="8" t="n">
        <v>3.08</v>
      </c>
      <c r="K1956" s="8" t="n">
        <v>206.29</v>
      </c>
      <c r="L1956" s="8" t="n">
        <v>0</v>
      </c>
      <c r="M1956" s="9">
        <f>ROUND(SUM(I1956:L1956),2)</f>
        <v/>
      </c>
      <c r="N1956" s="10">
        <f>ROUND(I1956*'Irish Basis'!$C$6*'Irish Basis'!$C$5,2)</f>
        <v/>
      </c>
      <c r="O1956" s="10">
        <f>ROUND(J1956*'Irish Basis'!$C$7*'Irish Basis'!$C$5,2)</f>
        <v/>
      </c>
      <c r="P1956" s="10">
        <f>ROUND(K1956*'Irish Basis'!$C$8*'Irish Basis'!$C$5,2)</f>
        <v/>
      </c>
      <c r="Q1956" s="10">
        <f>ROUND(L1956*'Irish Basis'!$C$12*'Irish Basis'!$C$5,2)</f>
        <v/>
      </c>
      <c r="R1956" s="11">
        <f>ROUND(SUM(N1956:Q1956),2)</f>
        <v/>
      </c>
      <c r="S1956" s="5" t="inlineStr">
        <is>
          <t>Stated build-up</t>
        </is>
      </c>
      <c r="T1956" s="12" t="inlineStr">
        <is>
          <t>High</t>
        </is>
      </c>
      <c r="U1956" s="8" t="n">
        <v>232.55</v>
      </c>
      <c r="V1956" s="13">
        <f>IF(U1956="","",ROUND(M1956-U1956,2))</f>
        <v/>
      </c>
      <c r="W1956" s="5" t="n"/>
      <c r="X1956" s="5" t="inlineStr">
        <is>
          <t>Labour + plant + material as published; reconciles to the published rate.</t>
        </is>
      </c>
    </row>
    <row r="1957" ht="13" customHeight="1">
      <c r="A1957" s="4" t="n">
        <v>3002</v>
      </c>
      <c r="B1957" s="5" t="inlineStr">
        <is>
          <t>IMG_0106</t>
        </is>
      </c>
      <c r="C1957" s="5" t="inlineStr">
        <is>
          <t>CLASS K: PIPEWORK - MANHOLES AND PIPEWORK ANCILLARIES</t>
        </is>
      </c>
      <c r="D1957" s="5" t="inlineStr">
        <is>
          <t>01 MANHOLES</t>
        </is>
      </c>
      <c r="E1957" s="5" t="inlineStr">
        <is>
          <t>Precast concrete construction; 1200 dia. x 3000 depth to invert (continued)</t>
        </is>
      </c>
      <c r="F1957" s="5" t="inlineStr">
        <is>
          <t>access cover and frame</t>
        </is>
      </c>
      <c r="G1957" s="6" t="inlineStr">
        <is>
          <t>nr</t>
        </is>
      </c>
      <c r="H1957" s="7" t="n">
        <v>1.44</v>
      </c>
      <c r="I1957" s="8" t="n">
        <v>40.16</v>
      </c>
      <c r="J1957" s="8" t="n">
        <v>4.42</v>
      </c>
      <c r="K1957" s="8" t="n">
        <v>341.51</v>
      </c>
      <c r="L1957" s="8" t="n">
        <v>0</v>
      </c>
      <c r="M1957" s="9">
        <f>ROUND(SUM(I1957:L1957),2)</f>
        <v/>
      </c>
      <c r="N1957" s="10">
        <f>ROUND(I1957*'Irish Basis'!$C$6*'Irish Basis'!$C$5,2)</f>
        <v/>
      </c>
      <c r="O1957" s="10">
        <f>ROUND(J1957*'Irish Basis'!$C$7*'Irish Basis'!$C$5,2)</f>
        <v/>
      </c>
      <c r="P1957" s="10">
        <f>ROUND(K1957*'Irish Basis'!$C$8*'Irish Basis'!$C$5,2)</f>
        <v/>
      </c>
      <c r="Q1957" s="10">
        <f>ROUND(L1957*'Irish Basis'!$C$12*'Irish Basis'!$C$5,2)</f>
        <v/>
      </c>
      <c r="R1957" s="11">
        <f>ROUND(SUM(N1957:Q1957),2)</f>
        <v/>
      </c>
      <c r="S1957" s="5" t="inlineStr">
        <is>
          <t>Stated build-up</t>
        </is>
      </c>
      <c r="T1957" s="12" t="inlineStr">
        <is>
          <t>High</t>
        </is>
      </c>
      <c r="U1957" s="8" t="n">
        <v>386.09</v>
      </c>
      <c r="V1957" s="13">
        <f>IF(U1957="","",ROUND(M1957-U1957,2))</f>
        <v/>
      </c>
      <c r="W1957" s="5" t="n"/>
      <c r="X1957" s="5" t="inlineStr">
        <is>
          <t>Labour + plant + material as published; reconciles to the published rate.</t>
        </is>
      </c>
    </row>
    <row r="1958" ht="13" customHeight="1">
      <c r="A1958" s="4" t="n">
        <v>3003</v>
      </c>
      <c r="B1958" s="5" t="inlineStr">
        <is>
          <t>IMG_0106</t>
        </is>
      </c>
      <c r="C1958" s="5" t="inlineStr">
        <is>
          <t>CLASS K: PIPEWORK - MANHOLES AND PIPEWORK ANCILLARIES</t>
        </is>
      </c>
      <c r="D1958" s="5" t="inlineStr">
        <is>
          <t>01 MANHOLES</t>
        </is>
      </c>
      <c r="E1958" s="5" t="inlineStr">
        <is>
          <t>Precast concrete construction; 1200 dia. x 3000 depth to invert (continued)</t>
        </is>
      </c>
      <c r="F1958" s="5" t="inlineStr">
        <is>
          <t>TOTAL</t>
        </is>
      </c>
      <c r="G1958" s="6" t="inlineStr">
        <is>
          <t>nr</t>
        </is>
      </c>
      <c r="H1958" s="7" t="n">
        <v>33.63</v>
      </c>
      <c r="I1958" s="8" t="n">
        <v>1202.05</v>
      </c>
      <c r="J1958" s="8" t="n">
        <v>709.23</v>
      </c>
      <c r="K1958" s="8" t="n">
        <v>1865.84</v>
      </c>
      <c r="L1958" s="8" t="n">
        <v>0</v>
      </c>
      <c r="M1958" s="9">
        <f>ROUND(SUM(I1958:L1958),2)</f>
        <v/>
      </c>
      <c r="N1958" s="10">
        <f>ROUND(I1958*'Irish Basis'!$C$6*'Irish Basis'!$C$5,2)</f>
        <v/>
      </c>
      <c r="O1958" s="10">
        <f>ROUND(J1958*'Irish Basis'!$C$7*'Irish Basis'!$C$5,2)</f>
        <v/>
      </c>
      <c r="P1958" s="10">
        <f>ROUND(K1958*'Irish Basis'!$C$8*'Irish Basis'!$C$5,2)</f>
        <v/>
      </c>
      <c r="Q1958" s="10">
        <f>ROUND(L1958*'Irish Basis'!$C$12*'Irish Basis'!$C$5,2)</f>
        <v/>
      </c>
      <c r="R1958" s="11">
        <f>ROUND(SUM(N1958:Q1958),2)</f>
        <v/>
      </c>
      <c r="S1958" s="5" t="inlineStr">
        <is>
          <t>Stated build-up</t>
        </is>
      </c>
      <c r="T1958" s="12" t="inlineStr">
        <is>
          <t>High</t>
        </is>
      </c>
      <c r="U1958" s="8" t="n">
        <v>3777.12</v>
      </c>
      <c r="V1958" s="13">
        <f>IF(U1958="","",ROUND(M1958-U1958,2))</f>
        <v/>
      </c>
      <c r="W1958" s="5" t="n"/>
      <c r="X1958" s="5" t="inlineStr">
        <is>
          <t>Labour + plant + material as published; reconciles to the published rate.</t>
        </is>
      </c>
    </row>
    <row r="1959" ht="13" customHeight="1">
      <c r="A1959" s="4" t="n">
        <v>3005</v>
      </c>
      <c r="B1959" s="5" t="inlineStr">
        <is>
          <t>IMG_0106</t>
        </is>
      </c>
      <c r="C1959" s="5" t="inlineStr">
        <is>
          <t>CLASS K: PIPEWORK - MANHOLES AND PIPEWORK ANCILLARIES</t>
        </is>
      </c>
      <c r="D1959" s="5" t="inlineStr">
        <is>
          <t>01 MANHOLES</t>
        </is>
      </c>
      <c r="E1959" s="5" t="inlineStr">
        <is>
          <t>1800 dia. x 2000 depth to invert</t>
        </is>
      </c>
      <c r="F1959" s="5" t="inlineStr">
        <is>
          <t>excavation, support, backfilling and disposal</t>
        </is>
      </c>
      <c r="G1959" s="6" t="inlineStr">
        <is>
          <t>nr</t>
        </is>
      </c>
      <c r="H1959" s="7" t="n">
        <v>4.97</v>
      </c>
      <c r="I1959" s="8" t="n">
        <v>457.86</v>
      </c>
      <c r="J1959" s="8" t="n">
        <v>249.3</v>
      </c>
      <c r="K1959" s="8" t="n">
        <v>0</v>
      </c>
      <c r="L1959" s="8" t="n">
        <v>0</v>
      </c>
      <c r="M1959" s="9">
        <f>ROUND(SUM(I1959:L1959),2)</f>
        <v/>
      </c>
      <c r="N1959" s="10">
        <f>ROUND(I1959*'Irish Basis'!$C$6*'Irish Basis'!$C$5,2)</f>
        <v/>
      </c>
      <c r="O1959" s="10">
        <f>ROUND(J1959*'Irish Basis'!$C$7*'Irish Basis'!$C$5,2)</f>
        <v/>
      </c>
      <c r="P1959" s="10">
        <f>ROUND(K1959*'Irish Basis'!$C$8*'Irish Basis'!$C$5,2)</f>
        <v/>
      </c>
      <c r="Q1959" s="10">
        <f>ROUND(L1959*'Irish Basis'!$C$12*'Irish Basis'!$C$5,2)</f>
        <v/>
      </c>
      <c r="R1959" s="11">
        <f>ROUND(SUM(N1959:Q1959),2)</f>
        <v/>
      </c>
      <c r="S1959" s="5" t="inlineStr">
        <is>
          <t>Stated build-up</t>
        </is>
      </c>
      <c r="T1959" s="12" t="inlineStr">
        <is>
          <t>High</t>
        </is>
      </c>
      <c r="U1959" s="8" t="n">
        <v>707.16</v>
      </c>
      <c r="V1959" s="13">
        <f>IF(U1959="","",ROUND(M1959-U1959,2))</f>
        <v/>
      </c>
      <c r="W1959" s="5" t="n"/>
      <c r="X1959" s="5" t="inlineStr">
        <is>
          <t>Labour + plant + material as published; reconciles to the published rate.</t>
        </is>
      </c>
    </row>
    <row r="1960" ht="13" customHeight="1">
      <c r="A1960" s="4" t="n">
        <v>3006</v>
      </c>
      <c r="B1960" s="5" t="inlineStr">
        <is>
          <t>IMG_0106</t>
        </is>
      </c>
      <c r="C1960" s="5" t="inlineStr">
        <is>
          <t>CLASS K: PIPEWORK - MANHOLES AND PIPEWORK ANCILLARIES</t>
        </is>
      </c>
      <c r="D1960" s="5" t="inlineStr">
        <is>
          <t>01 MANHOLES</t>
        </is>
      </c>
      <c r="E1960" s="5" t="inlineStr">
        <is>
          <t>1800 dia. x 2000 depth to invert</t>
        </is>
      </c>
      <c r="F1960" s="5" t="inlineStr">
        <is>
          <t>concrete base</t>
        </is>
      </c>
      <c r="G1960" s="6" t="inlineStr">
        <is>
          <t>nr</t>
        </is>
      </c>
      <c r="H1960" s="7" t="n">
        <v>1.91</v>
      </c>
      <c r="I1960" s="8" t="n">
        <v>50.8</v>
      </c>
      <c r="J1960" s="8" t="n">
        <v>17.59</v>
      </c>
      <c r="K1960" s="8" t="n">
        <v>166.81</v>
      </c>
      <c r="L1960" s="8" t="n">
        <v>0</v>
      </c>
      <c r="M1960" s="9">
        <f>ROUND(SUM(I1960:L1960),2)</f>
        <v/>
      </c>
      <c r="N1960" s="10">
        <f>ROUND(I1960*'Irish Basis'!$C$6*'Irish Basis'!$C$5,2)</f>
        <v/>
      </c>
      <c r="O1960" s="10">
        <f>ROUND(J1960*'Irish Basis'!$C$7*'Irish Basis'!$C$5,2)</f>
        <v/>
      </c>
      <c r="P1960" s="10">
        <f>ROUND(K1960*'Irish Basis'!$C$8*'Irish Basis'!$C$5,2)</f>
        <v/>
      </c>
      <c r="Q1960" s="10">
        <f>ROUND(L1960*'Irish Basis'!$C$12*'Irish Basis'!$C$5,2)</f>
        <v/>
      </c>
      <c r="R1960" s="11">
        <f>ROUND(SUM(N1960:Q1960),2)</f>
        <v/>
      </c>
      <c r="S1960" s="5" t="inlineStr">
        <is>
          <t>Stated build-up</t>
        </is>
      </c>
      <c r="T1960" s="12" t="inlineStr">
        <is>
          <t>High</t>
        </is>
      </c>
      <c r="U1960" s="8" t="n">
        <v>235.2</v>
      </c>
      <c r="V1960" s="13">
        <f>IF(U1960="","",ROUND(M1960-U1960,2))</f>
        <v/>
      </c>
      <c r="W1960" s="5" t="n"/>
      <c r="X1960" s="5" t="inlineStr">
        <is>
          <t>Labour + plant + material as published; reconciles to the published rate.</t>
        </is>
      </c>
    </row>
    <row r="1961" ht="13" customHeight="1">
      <c r="A1961" s="4" t="n">
        <v>3007</v>
      </c>
      <c r="B1961" s="5" t="inlineStr">
        <is>
          <t>IMG_0106</t>
        </is>
      </c>
      <c r="C1961" s="5" t="inlineStr">
        <is>
          <t>CLASS K: PIPEWORK - MANHOLES AND PIPEWORK ANCILLARIES</t>
        </is>
      </c>
      <c r="D1961" s="5" t="inlineStr">
        <is>
          <t>01 MANHOLES</t>
        </is>
      </c>
      <c r="E1961" s="5" t="inlineStr">
        <is>
          <t>1800 dia. x 2000 depth to invert</t>
        </is>
      </c>
      <c r="F1961" s="5" t="inlineStr">
        <is>
          <t>main chamber rings</t>
        </is>
      </c>
      <c r="G1961" s="6" t="inlineStr">
        <is>
          <t>nr</t>
        </is>
      </c>
      <c r="H1961" s="7" t="n">
        <v>12</v>
      </c>
      <c r="I1961" s="8" t="n">
        <v>367.86</v>
      </c>
      <c r="J1961" s="8" t="n">
        <v>272.77</v>
      </c>
      <c r="K1961" s="8" t="n">
        <v>1056.44</v>
      </c>
      <c r="L1961" s="8" t="n">
        <v>0</v>
      </c>
      <c r="M1961" s="9">
        <f>ROUND(SUM(I1961:L1961),2)</f>
        <v/>
      </c>
      <c r="N1961" s="10">
        <f>ROUND(I1961*'Irish Basis'!$C$6*'Irish Basis'!$C$5,2)</f>
        <v/>
      </c>
      <c r="O1961" s="10">
        <f>ROUND(J1961*'Irish Basis'!$C$7*'Irish Basis'!$C$5,2)</f>
        <v/>
      </c>
      <c r="P1961" s="10">
        <f>ROUND(K1961*'Irish Basis'!$C$8*'Irish Basis'!$C$5,2)</f>
        <v/>
      </c>
      <c r="Q1961" s="10">
        <f>ROUND(L1961*'Irish Basis'!$C$12*'Irish Basis'!$C$5,2)</f>
        <v/>
      </c>
      <c r="R1961" s="11">
        <f>ROUND(SUM(N1961:Q1961),2)</f>
        <v/>
      </c>
      <c r="S1961" s="5" t="inlineStr">
        <is>
          <t>Stated build-up</t>
        </is>
      </c>
      <c r="T1961" s="12" t="inlineStr">
        <is>
          <t>High</t>
        </is>
      </c>
      <c r="U1961" s="8" t="n">
        <v>1697.07</v>
      </c>
      <c r="V1961" s="13">
        <f>IF(U1961="","",ROUND(M1961-U1961,2))</f>
        <v/>
      </c>
      <c r="W1961" s="5" t="n"/>
      <c r="X1961" s="5" t="inlineStr">
        <is>
          <t>Labour + plant + material as published; reconciles to the published rate.</t>
        </is>
      </c>
    </row>
    <row r="1962" ht="13" customHeight="1">
      <c r="A1962" s="4" t="n">
        <v>3008</v>
      </c>
      <c r="B1962" s="5" t="inlineStr">
        <is>
          <t>IMG_0106</t>
        </is>
      </c>
      <c r="C1962" s="5" t="inlineStr">
        <is>
          <t>CLASS K: PIPEWORK - MANHOLES AND PIPEWORK ANCILLARIES</t>
        </is>
      </c>
      <c r="D1962" s="5" t="inlineStr">
        <is>
          <t>01 MANHOLES</t>
        </is>
      </c>
      <c r="E1962" s="5" t="inlineStr">
        <is>
          <t>1800 dia. x 2000 depth to invert</t>
        </is>
      </c>
      <c r="F1962" s="5" t="inlineStr">
        <is>
          <t>cover slab</t>
        </is>
      </c>
      <c r="G1962" s="6" t="inlineStr">
        <is>
          <t>nr</t>
        </is>
      </c>
      <c r="H1962" s="7" t="n">
        <v>3.6</v>
      </c>
      <c r="I1962" s="8" t="n">
        <v>110.36</v>
      </c>
      <c r="J1962" s="8" t="n">
        <v>81.84</v>
      </c>
      <c r="K1962" s="8" t="n">
        <v>609.08</v>
      </c>
      <c r="L1962" s="8" t="n">
        <v>0</v>
      </c>
      <c r="M1962" s="9">
        <f>ROUND(SUM(I1962:L1962),2)</f>
        <v/>
      </c>
      <c r="N1962" s="10">
        <f>ROUND(I1962*'Irish Basis'!$C$6*'Irish Basis'!$C$5,2)</f>
        <v/>
      </c>
      <c r="O1962" s="10">
        <f>ROUND(J1962*'Irish Basis'!$C$7*'Irish Basis'!$C$5,2)</f>
        <v/>
      </c>
      <c r="P1962" s="10">
        <f>ROUND(K1962*'Irish Basis'!$C$8*'Irish Basis'!$C$5,2)</f>
        <v/>
      </c>
      <c r="Q1962" s="10">
        <f>ROUND(L1962*'Irish Basis'!$C$12*'Irish Basis'!$C$5,2)</f>
        <v/>
      </c>
      <c r="R1962" s="11">
        <f>ROUND(SUM(N1962:Q1962),2)</f>
        <v/>
      </c>
      <c r="S1962" s="5" t="inlineStr">
        <is>
          <t>Stated build-up</t>
        </is>
      </c>
      <c r="T1962" s="12" t="inlineStr">
        <is>
          <t>High</t>
        </is>
      </c>
      <c r="U1962" s="8" t="n">
        <v>801.28</v>
      </c>
      <c r="V1962" s="13">
        <f>IF(U1962="","",ROUND(M1962-U1962,2))</f>
        <v/>
      </c>
      <c r="W1962" s="5" t="n"/>
      <c r="X1962" s="5" t="inlineStr">
        <is>
          <t>Labour + plant + material as published; reconciles to the published rate.</t>
        </is>
      </c>
    </row>
    <row r="1963" ht="13" customHeight="1">
      <c r="A1963" s="4" t="n">
        <v>3009</v>
      </c>
      <c r="B1963" s="5" t="inlineStr">
        <is>
          <t>IMG_0106</t>
        </is>
      </c>
      <c r="C1963" s="5" t="inlineStr">
        <is>
          <t>CLASS K: PIPEWORK - MANHOLES AND PIPEWORK ANCILLARIES</t>
        </is>
      </c>
      <c r="D1963" s="5" t="inlineStr">
        <is>
          <t>01 MANHOLES</t>
        </is>
      </c>
      <c r="E1963" s="5" t="inlineStr">
        <is>
          <t>1800 dia. x 2000 depth to invert</t>
        </is>
      </c>
      <c r="F1963" s="5" t="inlineStr">
        <is>
          <t>concrete surround</t>
        </is>
      </c>
      <c r="G1963" s="6" t="inlineStr">
        <is>
          <t>nr</t>
        </is>
      </c>
      <c r="H1963" s="7" t="n">
        <v>3.91</v>
      </c>
      <c r="I1963" s="8" t="n">
        <v>104.02</v>
      </c>
      <c r="J1963" s="8" t="n">
        <v>40.43</v>
      </c>
      <c r="K1963" s="8" t="n">
        <v>248.29</v>
      </c>
      <c r="L1963" s="8" t="n">
        <v>0</v>
      </c>
      <c r="M1963" s="9">
        <f>ROUND(SUM(I1963:L1963),2)</f>
        <v/>
      </c>
      <c r="N1963" s="10">
        <f>ROUND(I1963*'Irish Basis'!$C$6*'Irish Basis'!$C$5,2)</f>
        <v/>
      </c>
      <c r="O1963" s="10">
        <f>ROUND(J1963*'Irish Basis'!$C$7*'Irish Basis'!$C$5,2)</f>
        <v/>
      </c>
      <c r="P1963" s="10">
        <f>ROUND(K1963*'Irish Basis'!$C$8*'Irish Basis'!$C$5,2)</f>
        <v/>
      </c>
      <c r="Q1963" s="10">
        <f>ROUND(L1963*'Irish Basis'!$C$12*'Irish Basis'!$C$5,2)</f>
        <v/>
      </c>
      <c r="R1963" s="11">
        <f>ROUND(SUM(N1963:Q1963),2)</f>
        <v/>
      </c>
      <c r="S1963" s="5" t="inlineStr">
        <is>
          <t>Stated build-up</t>
        </is>
      </c>
      <c r="T1963" s="12" t="inlineStr">
        <is>
          <t>High</t>
        </is>
      </c>
      <c r="U1963" s="8" t="n">
        <v>392.74</v>
      </c>
      <c r="V1963" s="13">
        <f>IF(U1963="","",ROUND(M1963-U1963,2))</f>
        <v/>
      </c>
      <c r="W1963" s="5" t="n"/>
      <c r="X1963" s="5" t="inlineStr">
        <is>
          <t>Labour + plant + material as published; reconciles to the published rate.</t>
        </is>
      </c>
    </row>
    <row r="1964" ht="13" customHeight="1">
      <c r="A1964" s="4" t="n">
        <v>3010</v>
      </c>
      <c r="B1964" s="5" t="inlineStr">
        <is>
          <t>IMG_0106</t>
        </is>
      </c>
      <c r="C1964" s="5" t="inlineStr">
        <is>
          <t>CLASS K: PIPEWORK - MANHOLES AND PIPEWORK ANCILLARIES</t>
        </is>
      </c>
      <c r="D1964" s="5" t="inlineStr">
        <is>
          <t>01 MANHOLES</t>
        </is>
      </c>
      <c r="E1964" s="5" t="inlineStr">
        <is>
          <t>1800 dia. x 2000 depth to invert</t>
        </is>
      </c>
      <c r="F1964" s="5" t="inlineStr">
        <is>
          <t>concrete benching, main and branch channels</t>
        </is>
      </c>
      <c r="G1964" s="6" t="inlineStr">
        <is>
          <t>nr</t>
        </is>
      </c>
      <c r="H1964" s="7" t="n">
        <v>7.38</v>
      </c>
      <c r="I1964" s="8" t="n">
        <v>198.58</v>
      </c>
      <c r="J1964" s="8" t="n">
        <v>54.57</v>
      </c>
      <c r="K1964" s="8" t="n">
        <v>192.16</v>
      </c>
      <c r="L1964" s="8" t="n">
        <v>0</v>
      </c>
      <c r="M1964" s="9">
        <f>ROUND(SUM(I1964:L1964),2)</f>
        <v/>
      </c>
      <c r="N1964" s="10">
        <f>ROUND(I1964*'Irish Basis'!$C$6*'Irish Basis'!$C$5,2)</f>
        <v/>
      </c>
      <c r="O1964" s="10">
        <f>ROUND(J1964*'Irish Basis'!$C$7*'Irish Basis'!$C$5,2)</f>
        <v/>
      </c>
      <c r="P1964" s="10">
        <f>ROUND(K1964*'Irish Basis'!$C$8*'Irish Basis'!$C$5,2)</f>
        <v/>
      </c>
      <c r="Q1964" s="10">
        <f>ROUND(L1964*'Irish Basis'!$C$12*'Irish Basis'!$C$5,2)</f>
        <v/>
      </c>
      <c r="R1964" s="11">
        <f>ROUND(SUM(N1964:Q1964),2)</f>
        <v/>
      </c>
      <c r="S1964" s="5" t="inlineStr">
        <is>
          <t>Stated build-up</t>
        </is>
      </c>
      <c r="T1964" s="12" t="inlineStr">
        <is>
          <t>High</t>
        </is>
      </c>
      <c r="U1964" s="8" t="n">
        <v>445.31</v>
      </c>
      <c r="V1964" s="13">
        <f>IF(U1964="","",ROUND(M1964-U1964,2))</f>
        <v/>
      </c>
      <c r="W1964" s="5" t="n"/>
      <c r="X1964" s="5" t="inlineStr">
        <is>
          <t>Labour + plant + material as published; reconciles to the published rate.</t>
        </is>
      </c>
    </row>
    <row r="1965" ht="13" customHeight="1">
      <c r="A1965" s="4" t="n">
        <v>3011</v>
      </c>
      <c r="B1965" s="5" t="inlineStr">
        <is>
          <t>IMG_0106</t>
        </is>
      </c>
      <c r="C1965" s="5" t="inlineStr">
        <is>
          <t>CLASS K: PIPEWORK - MANHOLES AND PIPEWORK ANCILLARIES</t>
        </is>
      </c>
      <c r="D1965" s="5" t="inlineStr">
        <is>
          <t>01 MANHOLES</t>
        </is>
      </c>
      <c r="E1965" s="5" t="inlineStr">
        <is>
          <t>1800 dia. x 2000 depth to invert</t>
        </is>
      </c>
      <c r="F1965" s="5" t="inlineStr">
        <is>
          <t>step irons</t>
        </is>
      </c>
      <c r="G1965" s="6" t="inlineStr">
        <is>
          <t>nr</t>
        </is>
      </c>
      <c r="H1965" s="7" t="n">
        <v>0.63</v>
      </c>
      <c r="I1965" s="8" t="n">
        <v>15.46</v>
      </c>
      <c r="J1965" s="8" t="n">
        <v>2.05</v>
      </c>
      <c r="K1965" s="8" t="n">
        <v>137.53</v>
      </c>
      <c r="L1965" s="8" t="n">
        <v>0</v>
      </c>
      <c r="M1965" s="9">
        <f>ROUND(SUM(I1965:L1965),2)</f>
        <v/>
      </c>
      <c r="N1965" s="10">
        <f>ROUND(I1965*'Irish Basis'!$C$6*'Irish Basis'!$C$5,2)</f>
        <v/>
      </c>
      <c r="O1965" s="10">
        <f>ROUND(J1965*'Irish Basis'!$C$7*'Irish Basis'!$C$5,2)</f>
        <v/>
      </c>
      <c r="P1965" s="10">
        <f>ROUND(K1965*'Irish Basis'!$C$8*'Irish Basis'!$C$5,2)</f>
        <v/>
      </c>
      <c r="Q1965" s="10">
        <f>ROUND(L1965*'Irish Basis'!$C$12*'Irish Basis'!$C$5,2)</f>
        <v/>
      </c>
      <c r="R1965" s="11">
        <f>ROUND(SUM(N1965:Q1965),2)</f>
        <v/>
      </c>
      <c r="S1965" s="5" t="inlineStr">
        <is>
          <t>Stated build-up</t>
        </is>
      </c>
      <c r="T1965" s="12" t="inlineStr">
        <is>
          <t>High</t>
        </is>
      </c>
      <c r="U1965" s="8" t="n">
        <v>155.04</v>
      </c>
      <c r="V1965" s="13">
        <f>IF(U1965="","",ROUND(M1965-U1965,2))</f>
        <v/>
      </c>
      <c r="W1965" s="5" t="n"/>
      <c r="X1965" s="5" t="inlineStr">
        <is>
          <t>Labour + plant + material as published; reconciles to the published rate.</t>
        </is>
      </c>
    </row>
    <row r="1966" ht="13" customHeight="1">
      <c r="A1966" s="4" t="n">
        <v>3012</v>
      </c>
      <c r="B1966" s="5" t="inlineStr">
        <is>
          <t>IMG_0106</t>
        </is>
      </c>
      <c r="C1966" s="5" t="inlineStr">
        <is>
          <t>CLASS K: PIPEWORK - MANHOLES AND PIPEWORK ANCILLARIES</t>
        </is>
      </c>
      <c r="D1966" s="5" t="inlineStr">
        <is>
          <t>01 MANHOLES</t>
        </is>
      </c>
      <c r="E1966" s="5" t="inlineStr">
        <is>
          <t>1800 dia. x 2000 depth to invert</t>
        </is>
      </c>
      <c r="F1966" s="5" t="inlineStr">
        <is>
          <t>access cover and frame</t>
        </is>
      </c>
      <c r="G1966" s="6" t="inlineStr">
        <is>
          <t>nr</t>
        </is>
      </c>
      <c r="H1966" s="7" t="n">
        <v>1.44</v>
      </c>
      <c r="I1966" s="8" t="n">
        <v>40.16</v>
      </c>
      <c r="J1966" s="8" t="n">
        <v>4.42</v>
      </c>
      <c r="K1966" s="8" t="n">
        <v>341.51</v>
      </c>
      <c r="L1966" s="8" t="n">
        <v>0</v>
      </c>
      <c r="M1966" s="9">
        <f>ROUND(SUM(I1966:L1966),2)</f>
        <v/>
      </c>
      <c r="N1966" s="10">
        <f>ROUND(I1966*'Irish Basis'!$C$6*'Irish Basis'!$C$5,2)</f>
        <v/>
      </c>
      <c r="O1966" s="10">
        <f>ROUND(J1966*'Irish Basis'!$C$7*'Irish Basis'!$C$5,2)</f>
        <v/>
      </c>
      <c r="P1966" s="10">
        <f>ROUND(K1966*'Irish Basis'!$C$8*'Irish Basis'!$C$5,2)</f>
        <v/>
      </c>
      <c r="Q1966" s="10">
        <f>ROUND(L1966*'Irish Basis'!$C$12*'Irish Basis'!$C$5,2)</f>
        <v/>
      </c>
      <c r="R1966" s="11">
        <f>ROUND(SUM(N1966:Q1966),2)</f>
        <v/>
      </c>
      <c r="S1966" s="5" t="inlineStr">
        <is>
          <t>Stated build-up</t>
        </is>
      </c>
      <c r="T1966" s="12" t="inlineStr">
        <is>
          <t>High</t>
        </is>
      </c>
      <c r="U1966" s="8" t="n">
        <v>386.09</v>
      </c>
      <c r="V1966" s="13">
        <f>IF(U1966="","",ROUND(M1966-U1966,2))</f>
        <v/>
      </c>
      <c r="W1966" s="5" t="n"/>
      <c r="X1966" s="5" t="inlineStr">
        <is>
          <t>Labour + plant + material as published; reconciles to the published rate.</t>
        </is>
      </c>
    </row>
    <row r="1967" ht="13" customHeight="1">
      <c r="A1967" s="4" t="n">
        <v>3013</v>
      </c>
      <c r="B1967" s="5" t="inlineStr">
        <is>
          <t>IMG_0106</t>
        </is>
      </c>
      <c r="C1967" s="5" t="inlineStr">
        <is>
          <t>CLASS K: PIPEWORK - MANHOLES AND PIPEWORK ANCILLARIES</t>
        </is>
      </c>
      <c r="D1967" s="5" t="inlineStr">
        <is>
          <t>01 MANHOLES</t>
        </is>
      </c>
      <c r="E1967" s="5" t="inlineStr">
        <is>
          <t>1800 dia. x 2000 depth to invert</t>
        </is>
      </c>
      <c r="F1967" s="5" t="inlineStr">
        <is>
          <t>TOTAL</t>
        </is>
      </c>
      <c r="G1967" s="6" t="inlineStr">
        <is>
          <t>nr</t>
        </is>
      </c>
      <c r="H1967" s="7" t="n">
        <v>35.84</v>
      </c>
      <c r="I1967" s="8" t="n">
        <v>1345.09</v>
      </c>
      <c r="J1967" s="8" t="n">
        <v>722.98</v>
      </c>
      <c r="K1967" s="8" t="n">
        <v>2751.82</v>
      </c>
      <c r="L1967" s="8" t="n">
        <v>0</v>
      </c>
      <c r="M1967" s="9">
        <f>ROUND(SUM(I1967:L1967),2)</f>
        <v/>
      </c>
      <c r="N1967" s="10">
        <f>ROUND(I1967*'Irish Basis'!$C$6*'Irish Basis'!$C$5,2)</f>
        <v/>
      </c>
      <c r="O1967" s="10">
        <f>ROUND(J1967*'Irish Basis'!$C$7*'Irish Basis'!$C$5,2)</f>
        <v/>
      </c>
      <c r="P1967" s="10">
        <f>ROUND(K1967*'Irish Basis'!$C$8*'Irish Basis'!$C$5,2)</f>
        <v/>
      </c>
      <c r="Q1967" s="10">
        <f>ROUND(L1967*'Irish Basis'!$C$12*'Irish Basis'!$C$5,2)</f>
        <v/>
      </c>
      <c r="R1967" s="11">
        <f>ROUND(SUM(N1967:Q1967),2)</f>
        <v/>
      </c>
      <c r="S1967" s="5" t="inlineStr">
        <is>
          <t>Stated build-up</t>
        </is>
      </c>
      <c r="T1967" s="12" t="inlineStr">
        <is>
          <t>High</t>
        </is>
      </c>
      <c r="U1967" s="8" t="n">
        <v>4819.89</v>
      </c>
      <c r="V1967" s="13">
        <f>IF(U1967="","",ROUND(M1967-U1967,2))</f>
        <v/>
      </c>
      <c r="W1967" s="5" t="n"/>
      <c r="X1967" s="5" t="inlineStr">
        <is>
          <t>Labour + plant + material as published; reconciles to the published rate.</t>
        </is>
      </c>
    </row>
    <row r="1968" ht="13" customHeight="1">
      <c r="A1968" s="4" t="n">
        <v>3015</v>
      </c>
      <c r="B1968" s="5" t="inlineStr">
        <is>
          <t>IMG_0106</t>
        </is>
      </c>
      <c r="C1968" s="5" t="inlineStr">
        <is>
          <t>CLASS K: PIPEWORK - MANHOLES AND PIPEWORK ANCILLARIES</t>
        </is>
      </c>
      <c r="D1968" s="5" t="inlineStr">
        <is>
          <t>01 MANHOLES</t>
        </is>
      </c>
      <c r="E1968" s="5" t="inlineStr">
        <is>
          <t>1800 dia. x 2500 depth to invert</t>
        </is>
      </c>
      <c r="F1968" s="5" t="inlineStr">
        <is>
          <t>excavation, support, backfilling and disposal</t>
        </is>
      </c>
      <c r="G1968" s="6" t="inlineStr">
        <is>
          <t>nr</t>
        </is>
      </c>
      <c r="H1968" s="7" t="n">
        <v>6.42</v>
      </c>
      <c r="I1968" s="8" t="n">
        <v>597.3</v>
      </c>
      <c r="J1968" s="8" t="n">
        <v>359.17</v>
      </c>
      <c r="K1968" s="8" t="n">
        <v>0</v>
      </c>
      <c r="L1968" s="8" t="n">
        <v>0</v>
      </c>
      <c r="M1968" s="9">
        <f>ROUND(SUM(I1968:L1968),2)</f>
        <v/>
      </c>
      <c r="N1968" s="10">
        <f>ROUND(I1968*'Irish Basis'!$C$6*'Irish Basis'!$C$5,2)</f>
        <v/>
      </c>
      <c r="O1968" s="10">
        <f>ROUND(J1968*'Irish Basis'!$C$7*'Irish Basis'!$C$5,2)</f>
        <v/>
      </c>
      <c r="P1968" s="10">
        <f>ROUND(K1968*'Irish Basis'!$C$8*'Irish Basis'!$C$5,2)</f>
        <v/>
      </c>
      <c r="Q1968" s="10">
        <f>ROUND(L1968*'Irish Basis'!$C$12*'Irish Basis'!$C$5,2)</f>
        <v/>
      </c>
      <c r="R1968" s="11">
        <f>ROUND(SUM(N1968:Q1968),2)</f>
        <v/>
      </c>
      <c r="S1968" s="5" t="inlineStr">
        <is>
          <t>Stated build-up</t>
        </is>
      </c>
      <c r="T1968" s="12" t="inlineStr">
        <is>
          <t>High</t>
        </is>
      </c>
      <c r="U1968" s="8" t="n">
        <v>956.47</v>
      </c>
      <c r="V1968" s="13">
        <f>IF(U1968="","",ROUND(M1968-U1968,2))</f>
        <v/>
      </c>
      <c r="W1968" s="5" t="n"/>
      <c r="X1968" s="5" t="inlineStr">
        <is>
          <t>Labour + plant + material as published; reconciles to the published rate.</t>
        </is>
      </c>
    </row>
    <row r="1969" ht="13" customHeight="1">
      <c r="A1969" s="4" t="n">
        <v>3016</v>
      </c>
      <c r="B1969" s="5" t="inlineStr">
        <is>
          <t>IMG_0106</t>
        </is>
      </c>
      <c r="C1969" s="5" t="inlineStr">
        <is>
          <t>CLASS K: PIPEWORK - MANHOLES AND PIPEWORK ANCILLARIES</t>
        </is>
      </c>
      <c r="D1969" s="5" t="inlineStr">
        <is>
          <t>01 MANHOLES</t>
        </is>
      </c>
      <c r="E1969" s="5" t="inlineStr">
        <is>
          <t>1800 dia. x 2500 depth to invert</t>
        </is>
      </c>
      <c r="F1969" s="5" t="inlineStr">
        <is>
          <t>concrete base</t>
        </is>
      </c>
      <c r="G1969" s="6" t="inlineStr">
        <is>
          <t>nr</t>
        </is>
      </c>
      <c r="H1969" s="7" t="n">
        <v>1.91</v>
      </c>
      <c r="I1969" s="8" t="n">
        <v>50.8</v>
      </c>
      <c r="J1969" s="8" t="n">
        <v>17.59</v>
      </c>
      <c r="K1969" s="8" t="n">
        <v>166.81</v>
      </c>
      <c r="L1969" s="8" t="n">
        <v>0</v>
      </c>
      <c r="M1969" s="9">
        <f>ROUND(SUM(I1969:L1969),2)</f>
        <v/>
      </c>
      <c r="N1969" s="10">
        <f>ROUND(I1969*'Irish Basis'!$C$6*'Irish Basis'!$C$5,2)</f>
        <v/>
      </c>
      <c r="O1969" s="10">
        <f>ROUND(J1969*'Irish Basis'!$C$7*'Irish Basis'!$C$5,2)</f>
        <v/>
      </c>
      <c r="P1969" s="10">
        <f>ROUND(K1969*'Irish Basis'!$C$8*'Irish Basis'!$C$5,2)</f>
        <v/>
      </c>
      <c r="Q1969" s="10">
        <f>ROUND(L1969*'Irish Basis'!$C$12*'Irish Basis'!$C$5,2)</f>
        <v/>
      </c>
      <c r="R1969" s="11">
        <f>ROUND(SUM(N1969:Q1969),2)</f>
        <v/>
      </c>
      <c r="S1969" s="5" t="inlineStr">
        <is>
          <t>Stated build-up</t>
        </is>
      </c>
      <c r="T1969" s="12" t="inlineStr">
        <is>
          <t>High</t>
        </is>
      </c>
      <c r="U1969" s="8" t="n">
        <v>235.2</v>
      </c>
      <c r="V1969" s="13">
        <f>IF(U1969="","",ROUND(M1969-U1969,2))</f>
        <v/>
      </c>
      <c r="W1969" s="5" t="n"/>
      <c r="X1969" s="5" t="inlineStr">
        <is>
          <t>Labour + plant + material as published; reconciles to the published rate.</t>
        </is>
      </c>
    </row>
    <row r="1970" ht="13" customHeight="1">
      <c r="A1970" s="4" t="n">
        <v>3017</v>
      </c>
      <c r="B1970" s="5" t="inlineStr">
        <is>
          <t>IMG_0106</t>
        </is>
      </c>
      <c r="C1970" s="5" t="inlineStr">
        <is>
          <t>CLASS K: PIPEWORK - MANHOLES AND PIPEWORK ANCILLARIES</t>
        </is>
      </c>
      <c r="D1970" s="5" t="inlineStr">
        <is>
          <t>01 MANHOLES</t>
        </is>
      </c>
      <c r="E1970" s="5" t="inlineStr">
        <is>
          <t>1800 dia. x 2500 depth to invert</t>
        </is>
      </c>
      <c r="F1970" s="5" t="inlineStr">
        <is>
          <t>main chamber rings</t>
        </is>
      </c>
      <c r="G1970" s="6" t="inlineStr">
        <is>
          <t>nr</t>
        </is>
      </c>
      <c r="H1970" s="7" t="n">
        <v>15</v>
      </c>
      <c r="I1970" s="8" t="n">
        <v>459.82</v>
      </c>
      <c r="J1970" s="8" t="n">
        <v>340.96</v>
      </c>
      <c r="K1970" s="8" t="n">
        <v>1320.55</v>
      </c>
      <c r="L1970" s="8" t="n">
        <v>0</v>
      </c>
      <c r="M1970" s="9">
        <f>ROUND(SUM(I1970:L1970),2)</f>
        <v/>
      </c>
      <c r="N1970" s="10">
        <f>ROUND(I1970*'Irish Basis'!$C$6*'Irish Basis'!$C$5,2)</f>
        <v/>
      </c>
      <c r="O1970" s="10">
        <f>ROUND(J1970*'Irish Basis'!$C$7*'Irish Basis'!$C$5,2)</f>
        <v/>
      </c>
      <c r="P1970" s="10">
        <f>ROUND(K1970*'Irish Basis'!$C$8*'Irish Basis'!$C$5,2)</f>
        <v/>
      </c>
      <c r="Q1970" s="10">
        <f>ROUND(L1970*'Irish Basis'!$C$12*'Irish Basis'!$C$5,2)</f>
        <v/>
      </c>
      <c r="R1970" s="11">
        <f>ROUND(SUM(N1970:Q1970),2)</f>
        <v/>
      </c>
      <c r="S1970" s="5" t="inlineStr">
        <is>
          <t>Stated build-up</t>
        </is>
      </c>
      <c r="T1970" s="12" t="inlineStr">
        <is>
          <t>High</t>
        </is>
      </c>
      <c r="U1970" s="8" t="n">
        <v>2121.34</v>
      </c>
      <c r="V1970" s="13">
        <f>IF(U1970="","",ROUND(M1970-U1970,2))</f>
        <v/>
      </c>
      <c r="W1970" s="5" t="n"/>
      <c r="X1970" s="5" t="inlineStr">
        <is>
          <t>Labour + plant + material as published; reconciles to the published rate.</t>
        </is>
      </c>
    </row>
    <row r="1971" ht="13" customHeight="1">
      <c r="A1971" s="4" t="n">
        <v>3018</v>
      </c>
      <c r="B1971" s="5" t="inlineStr">
        <is>
          <t>IMG_0106</t>
        </is>
      </c>
      <c r="C1971" s="5" t="inlineStr">
        <is>
          <t>CLASS K: PIPEWORK - MANHOLES AND PIPEWORK ANCILLARIES</t>
        </is>
      </c>
      <c r="D1971" s="5" t="inlineStr">
        <is>
          <t>01 MANHOLES</t>
        </is>
      </c>
      <c r="E1971" s="5" t="inlineStr">
        <is>
          <t>1800 dia. x 2500 depth to invert</t>
        </is>
      </c>
      <c r="F1971" s="5" t="inlineStr">
        <is>
          <t>cover slab</t>
        </is>
      </c>
      <c r="G1971" s="6" t="inlineStr">
        <is>
          <t>nr</t>
        </is>
      </c>
      <c r="H1971" s="7" t="n">
        <v>3.6</v>
      </c>
      <c r="I1971" s="8" t="n">
        <v>110.36</v>
      </c>
      <c r="J1971" s="8" t="n">
        <v>81.84</v>
      </c>
      <c r="K1971" s="8" t="n">
        <v>609.08</v>
      </c>
      <c r="L1971" s="8" t="n">
        <v>0</v>
      </c>
      <c r="M1971" s="9">
        <f>ROUND(SUM(I1971:L1971),2)</f>
        <v/>
      </c>
      <c r="N1971" s="10">
        <f>ROUND(I1971*'Irish Basis'!$C$6*'Irish Basis'!$C$5,2)</f>
        <v/>
      </c>
      <c r="O1971" s="10">
        <f>ROUND(J1971*'Irish Basis'!$C$7*'Irish Basis'!$C$5,2)</f>
        <v/>
      </c>
      <c r="P1971" s="10">
        <f>ROUND(K1971*'Irish Basis'!$C$8*'Irish Basis'!$C$5,2)</f>
        <v/>
      </c>
      <c r="Q1971" s="10">
        <f>ROUND(L1971*'Irish Basis'!$C$12*'Irish Basis'!$C$5,2)</f>
        <v/>
      </c>
      <c r="R1971" s="11">
        <f>ROUND(SUM(N1971:Q1971),2)</f>
        <v/>
      </c>
      <c r="S1971" s="5" t="inlineStr">
        <is>
          <t>Stated build-up</t>
        </is>
      </c>
      <c r="T1971" s="12" t="inlineStr">
        <is>
          <t>High</t>
        </is>
      </c>
      <c r="U1971" s="8" t="n">
        <v>801.28</v>
      </c>
      <c r="V1971" s="13">
        <f>IF(U1971="","",ROUND(M1971-U1971,2))</f>
        <v/>
      </c>
      <c r="W1971" s="5" t="n"/>
      <c r="X1971" s="5" t="inlineStr">
        <is>
          <t>Labour + plant + material as published; reconciles to the published rate.</t>
        </is>
      </c>
    </row>
    <row r="1972" ht="13" customHeight="1">
      <c r="A1972" s="4" t="n">
        <v>3019</v>
      </c>
      <c r="B1972" s="5" t="inlineStr">
        <is>
          <t>IMG_0106</t>
        </is>
      </c>
      <c r="C1972" s="5" t="inlineStr">
        <is>
          <t>CLASS K: PIPEWORK - MANHOLES AND PIPEWORK ANCILLARIES</t>
        </is>
      </c>
      <c r="D1972" s="5" t="inlineStr">
        <is>
          <t>01 MANHOLES</t>
        </is>
      </c>
      <c r="E1972" s="5" t="inlineStr">
        <is>
          <t>1800 dia. x 2500 depth to invert</t>
        </is>
      </c>
      <c r="F1972" s="5" t="inlineStr">
        <is>
          <t>concrete surround</t>
        </is>
      </c>
      <c r="G1972" s="6" t="inlineStr">
        <is>
          <t>nr</t>
        </is>
      </c>
      <c r="H1972" s="7" t="n">
        <v>4.88</v>
      </c>
      <c r="I1972" s="8" t="n">
        <v>129.72</v>
      </c>
      <c r="J1972" s="8" t="n">
        <v>50.42</v>
      </c>
      <c r="K1972" s="8" t="n">
        <v>309.64</v>
      </c>
      <c r="L1972" s="8" t="n">
        <v>0</v>
      </c>
      <c r="M1972" s="9">
        <f>ROUND(SUM(I1972:L1972),2)</f>
        <v/>
      </c>
      <c r="N1972" s="10">
        <f>ROUND(I1972*'Irish Basis'!$C$6*'Irish Basis'!$C$5,2)</f>
        <v/>
      </c>
      <c r="O1972" s="10">
        <f>ROUND(J1972*'Irish Basis'!$C$7*'Irish Basis'!$C$5,2)</f>
        <v/>
      </c>
      <c r="P1972" s="10">
        <f>ROUND(K1972*'Irish Basis'!$C$8*'Irish Basis'!$C$5,2)</f>
        <v/>
      </c>
      <c r="Q1972" s="10">
        <f>ROUND(L1972*'Irish Basis'!$C$12*'Irish Basis'!$C$5,2)</f>
        <v/>
      </c>
      <c r="R1972" s="11">
        <f>ROUND(SUM(N1972:Q1972),2)</f>
        <v/>
      </c>
      <c r="S1972" s="5" t="inlineStr">
        <is>
          <t>Stated build-up</t>
        </is>
      </c>
      <c r="T1972" s="12" t="inlineStr">
        <is>
          <t>High</t>
        </is>
      </c>
      <c r="U1972" s="8" t="n">
        <v>489.77</v>
      </c>
      <c r="V1972" s="13">
        <f>IF(U1972="","",ROUND(M1972-U1972,2))</f>
        <v/>
      </c>
      <c r="W1972" s="5" t="n"/>
      <c r="X1972" s="5" t="inlineStr">
        <is>
          <t>Labour + plant + material as published; reconciles to the published rate.</t>
        </is>
      </c>
    </row>
    <row r="1973" ht="13" customHeight="1">
      <c r="A1973" s="4" t="n">
        <v>3020</v>
      </c>
      <c r="B1973" s="5" t="inlineStr">
        <is>
          <t>IMG_0106</t>
        </is>
      </c>
      <c r="C1973" s="5" t="inlineStr">
        <is>
          <t>CLASS K: PIPEWORK - MANHOLES AND PIPEWORK ANCILLARIES</t>
        </is>
      </c>
      <c r="D1973" s="5" t="inlineStr">
        <is>
          <t>01 MANHOLES</t>
        </is>
      </c>
      <c r="E1973" s="5" t="inlineStr">
        <is>
          <t>1800 dia. x 2500 depth to invert</t>
        </is>
      </c>
      <c r="F1973" s="5" t="inlineStr">
        <is>
          <t>concrete benching, main and branch channels</t>
        </is>
      </c>
      <c r="G1973" s="6" t="inlineStr">
        <is>
          <t>nr</t>
        </is>
      </c>
      <c r="H1973" s="7" t="n">
        <v>7.38</v>
      </c>
      <c r="I1973" s="8" t="n">
        <v>198.58</v>
      </c>
      <c r="J1973" s="8" t="n">
        <v>54.57</v>
      </c>
      <c r="K1973" s="8" t="n">
        <v>192.16</v>
      </c>
      <c r="L1973" s="8" t="n">
        <v>0</v>
      </c>
      <c r="M1973" s="9">
        <f>ROUND(SUM(I1973:L1973),2)</f>
        <v/>
      </c>
      <c r="N1973" s="10">
        <f>ROUND(I1973*'Irish Basis'!$C$6*'Irish Basis'!$C$5,2)</f>
        <v/>
      </c>
      <c r="O1973" s="10">
        <f>ROUND(J1973*'Irish Basis'!$C$7*'Irish Basis'!$C$5,2)</f>
        <v/>
      </c>
      <c r="P1973" s="10">
        <f>ROUND(K1973*'Irish Basis'!$C$8*'Irish Basis'!$C$5,2)</f>
        <v/>
      </c>
      <c r="Q1973" s="10">
        <f>ROUND(L1973*'Irish Basis'!$C$12*'Irish Basis'!$C$5,2)</f>
        <v/>
      </c>
      <c r="R1973" s="11">
        <f>ROUND(SUM(N1973:Q1973),2)</f>
        <v/>
      </c>
      <c r="S1973" s="5" t="inlineStr">
        <is>
          <t>Stated build-up</t>
        </is>
      </c>
      <c r="T1973" s="12" t="inlineStr">
        <is>
          <t>High</t>
        </is>
      </c>
      <c r="U1973" s="8" t="n">
        <v>445.31</v>
      </c>
      <c r="V1973" s="13">
        <f>IF(U1973="","",ROUND(M1973-U1973,2))</f>
        <v/>
      </c>
      <c r="W1973" s="5" t="n"/>
      <c r="X1973" s="5" t="inlineStr">
        <is>
          <t>Labour + plant + material as published; reconciles to the published rate.</t>
        </is>
      </c>
    </row>
    <row r="1974" ht="13" customHeight="1">
      <c r="A1974" s="4" t="n">
        <v>3021</v>
      </c>
      <c r="B1974" s="5" t="inlineStr">
        <is>
          <t>IMG_0106</t>
        </is>
      </c>
      <c r="C1974" s="5" t="inlineStr">
        <is>
          <t>CLASS K: PIPEWORK - MANHOLES AND PIPEWORK ANCILLARIES</t>
        </is>
      </c>
      <c r="D1974" s="5" t="inlineStr">
        <is>
          <t>01 MANHOLES</t>
        </is>
      </c>
      <c r="E1974" s="5" t="inlineStr">
        <is>
          <t>1800 dia. x 2500 depth to invert</t>
        </is>
      </c>
      <c r="F1974" s="5" t="inlineStr">
        <is>
          <t>step irons</t>
        </is>
      </c>
      <c r="G1974" s="6" t="inlineStr">
        <is>
          <t>nr</t>
        </is>
      </c>
      <c r="H1974" s="7" t="n">
        <v>0.84</v>
      </c>
      <c r="I1974" s="8" t="n">
        <v>20.61</v>
      </c>
      <c r="J1974" s="8" t="n">
        <v>2.74</v>
      </c>
      <c r="K1974" s="8" t="n">
        <v>183.37</v>
      </c>
      <c r="L1974" s="8" t="n">
        <v>0</v>
      </c>
      <c r="M1974" s="9">
        <f>ROUND(SUM(I1974:L1974),2)</f>
        <v/>
      </c>
      <c r="N1974" s="10">
        <f>ROUND(I1974*'Irish Basis'!$C$6*'Irish Basis'!$C$5,2)</f>
        <v/>
      </c>
      <c r="O1974" s="10">
        <f>ROUND(J1974*'Irish Basis'!$C$7*'Irish Basis'!$C$5,2)</f>
        <v/>
      </c>
      <c r="P1974" s="10">
        <f>ROUND(K1974*'Irish Basis'!$C$8*'Irish Basis'!$C$5,2)</f>
        <v/>
      </c>
      <c r="Q1974" s="10">
        <f>ROUND(L1974*'Irish Basis'!$C$12*'Irish Basis'!$C$5,2)</f>
        <v/>
      </c>
      <c r="R1974" s="11">
        <f>ROUND(SUM(N1974:Q1974),2)</f>
        <v/>
      </c>
      <c r="S1974" s="5" t="inlineStr">
        <is>
          <t>Stated build-up</t>
        </is>
      </c>
      <c r="T1974" s="12" t="inlineStr">
        <is>
          <t>High</t>
        </is>
      </c>
      <c r="U1974" s="8" t="n">
        <v>206.72</v>
      </c>
      <c r="V1974" s="13">
        <f>IF(U1974="","",ROUND(M1974-U1974,2))</f>
        <v/>
      </c>
      <c r="W1974" s="5" t="n"/>
      <c r="X1974" s="5" t="inlineStr">
        <is>
          <t>Labour + plant + material as published; reconciles to the published rate.</t>
        </is>
      </c>
    </row>
    <row r="1975" ht="13" customHeight="1">
      <c r="A1975" s="4" t="n">
        <v>3022</v>
      </c>
      <c r="B1975" s="5" t="inlineStr">
        <is>
          <t>IMG_0106</t>
        </is>
      </c>
      <c r="C1975" s="5" t="inlineStr">
        <is>
          <t>CLASS K: PIPEWORK - MANHOLES AND PIPEWORK ANCILLARIES</t>
        </is>
      </c>
      <c r="D1975" s="5" t="inlineStr">
        <is>
          <t>01 MANHOLES</t>
        </is>
      </c>
      <c r="E1975" s="5" t="inlineStr">
        <is>
          <t>1800 dia. x 2500 depth to invert</t>
        </is>
      </c>
      <c r="F1975" s="5" t="inlineStr">
        <is>
          <t>access cover and frame</t>
        </is>
      </c>
      <c r="G1975" s="6" t="inlineStr">
        <is>
          <t>nr</t>
        </is>
      </c>
      <c r="H1975" s="7" t="n">
        <v>1.44</v>
      </c>
      <c r="I1975" s="8" t="n">
        <v>40.16</v>
      </c>
      <c r="J1975" s="8" t="n">
        <v>4.42</v>
      </c>
      <c r="K1975" s="8" t="n">
        <v>341.51</v>
      </c>
      <c r="L1975" s="8" t="n">
        <v>0</v>
      </c>
      <c r="M1975" s="9">
        <f>ROUND(SUM(I1975:L1975),2)</f>
        <v/>
      </c>
      <c r="N1975" s="10">
        <f>ROUND(I1975*'Irish Basis'!$C$6*'Irish Basis'!$C$5,2)</f>
        <v/>
      </c>
      <c r="O1975" s="10">
        <f>ROUND(J1975*'Irish Basis'!$C$7*'Irish Basis'!$C$5,2)</f>
        <v/>
      </c>
      <c r="P1975" s="10">
        <f>ROUND(K1975*'Irish Basis'!$C$8*'Irish Basis'!$C$5,2)</f>
        <v/>
      </c>
      <c r="Q1975" s="10">
        <f>ROUND(L1975*'Irish Basis'!$C$12*'Irish Basis'!$C$5,2)</f>
        <v/>
      </c>
      <c r="R1975" s="11">
        <f>ROUND(SUM(N1975:Q1975),2)</f>
        <v/>
      </c>
      <c r="S1975" s="5" t="inlineStr">
        <is>
          <t>Stated build-up</t>
        </is>
      </c>
      <c r="T1975" s="12" t="inlineStr">
        <is>
          <t>High</t>
        </is>
      </c>
      <c r="U1975" s="8" t="n">
        <v>386.09</v>
      </c>
      <c r="V1975" s="13">
        <f>IF(U1975="","",ROUND(M1975-U1975,2))</f>
        <v/>
      </c>
      <c r="W1975" s="5" t="n"/>
      <c r="X1975" s="5" t="inlineStr">
        <is>
          <t>Labour + plant + material as published; reconciles to the published rate.</t>
        </is>
      </c>
    </row>
    <row r="1976" ht="13" customHeight="1">
      <c r="A1976" s="4" t="n">
        <v>3023</v>
      </c>
      <c r="B1976" s="5" t="inlineStr">
        <is>
          <t>IMG_0106</t>
        </is>
      </c>
      <c r="C1976" s="5" t="inlineStr">
        <is>
          <t>CLASS K: PIPEWORK - MANHOLES AND PIPEWORK ANCILLARIES</t>
        </is>
      </c>
      <c r="D1976" s="5" t="inlineStr">
        <is>
          <t>01 MANHOLES</t>
        </is>
      </c>
      <c r="E1976" s="5" t="inlineStr">
        <is>
          <t>1800 dia. x 2500 depth to invert</t>
        </is>
      </c>
      <c r="F1976" s="5" t="inlineStr">
        <is>
          <t>TOTAL</t>
        </is>
      </c>
      <c r="G1976" s="6" t="inlineStr">
        <is>
          <t>nr</t>
        </is>
      </c>
      <c r="H1976" s="7" t="n">
        <v>41.46</v>
      </c>
      <c r="I1976" s="8" t="n">
        <v>1607.34</v>
      </c>
      <c r="J1976" s="8" t="n">
        <v>911.72</v>
      </c>
      <c r="K1976" s="8" t="n">
        <v>3123.11</v>
      </c>
      <c r="L1976" s="8" t="n">
        <v>0</v>
      </c>
      <c r="M1976" s="9">
        <f>ROUND(SUM(I1976:L1976),2)</f>
        <v/>
      </c>
      <c r="N1976" s="10">
        <f>ROUND(I1976*'Irish Basis'!$C$6*'Irish Basis'!$C$5,2)</f>
        <v/>
      </c>
      <c r="O1976" s="10">
        <f>ROUND(J1976*'Irish Basis'!$C$7*'Irish Basis'!$C$5,2)</f>
        <v/>
      </c>
      <c r="P1976" s="10">
        <f>ROUND(K1976*'Irish Basis'!$C$8*'Irish Basis'!$C$5,2)</f>
        <v/>
      </c>
      <c r="Q1976" s="10">
        <f>ROUND(L1976*'Irish Basis'!$C$12*'Irish Basis'!$C$5,2)</f>
        <v/>
      </c>
      <c r="R1976" s="11">
        <f>ROUND(SUM(N1976:Q1976),2)</f>
        <v/>
      </c>
      <c r="S1976" s="5" t="inlineStr">
        <is>
          <t>Stated build-up</t>
        </is>
      </c>
      <c r="T1976" s="12" t="inlineStr">
        <is>
          <t>High</t>
        </is>
      </c>
      <c r="U1976" s="8" t="n">
        <v>5642.18</v>
      </c>
      <c r="V1976" s="13">
        <f>IF(U1976="","",ROUND(M1976-U1976,2))</f>
        <v/>
      </c>
      <c r="W1976" s="5" t="n"/>
      <c r="X1976" s="5" t="inlineStr">
        <is>
          <t>Labour + plant + material as published; reconciles to the published rate.</t>
        </is>
      </c>
    </row>
    <row r="1977" ht="13" customHeight="1">
      <c r="A1977" s="4" t="n">
        <v>3025</v>
      </c>
      <c r="B1977" s="5" t="inlineStr">
        <is>
          <t>IMG_0106</t>
        </is>
      </c>
      <c r="C1977" s="5" t="inlineStr">
        <is>
          <t>CLASS K: PIPEWORK - MANHOLES AND PIPEWORK ANCILLARIES</t>
        </is>
      </c>
      <c r="D1977" s="5" t="inlineStr">
        <is>
          <t>01 MANHOLES</t>
        </is>
      </c>
      <c r="E1977" s="5" t="inlineStr">
        <is>
          <t>1800 dia. x 3000 depth to invert</t>
        </is>
      </c>
      <c r="F1977" s="5" t="inlineStr">
        <is>
          <t>excavation, support, backfilling and disposal</t>
        </is>
      </c>
      <c r="G1977" s="6" t="inlineStr">
        <is>
          <t>nr</t>
        </is>
      </c>
      <c r="H1977" s="7" t="n">
        <v>7.71</v>
      </c>
      <c r="I1977" s="8" t="n">
        <v>717.37</v>
      </c>
      <c r="J1977" s="8" t="n">
        <v>433.18</v>
      </c>
      <c r="K1977" s="8" t="n">
        <v>0</v>
      </c>
      <c r="L1977" s="8" t="n">
        <v>0</v>
      </c>
      <c r="M1977" s="9">
        <f>ROUND(SUM(I1977:L1977),2)</f>
        <v/>
      </c>
      <c r="N1977" s="10">
        <f>ROUND(I1977*'Irish Basis'!$C$6*'Irish Basis'!$C$5,2)</f>
        <v/>
      </c>
      <c r="O1977" s="10">
        <f>ROUND(J1977*'Irish Basis'!$C$7*'Irish Basis'!$C$5,2)</f>
        <v/>
      </c>
      <c r="P1977" s="10">
        <f>ROUND(K1977*'Irish Basis'!$C$8*'Irish Basis'!$C$5,2)</f>
        <v/>
      </c>
      <c r="Q1977" s="10">
        <f>ROUND(L1977*'Irish Basis'!$C$12*'Irish Basis'!$C$5,2)</f>
        <v/>
      </c>
      <c r="R1977" s="11">
        <f>ROUND(SUM(N1977:Q1977),2)</f>
        <v/>
      </c>
      <c r="S1977" s="5" t="inlineStr">
        <is>
          <t>Stated build-up</t>
        </is>
      </c>
      <c r="T1977" s="12" t="inlineStr">
        <is>
          <t>High</t>
        </is>
      </c>
      <c r="U1977" s="8" t="n">
        <v>1150.55</v>
      </c>
      <c r="V1977" s="13">
        <f>IF(U1977="","",ROUND(M1977-U1977,2))</f>
        <v/>
      </c>
      <c r="W1977" s="5" t="n"/>
      <c r="X1977" s="5" t="inlineStr">
        <is>
          <t>Labour + plant + material as published; reconciles to the published rate.</t>
        </is>
      </c>
    </row>
    <row r="1978" ht="13" customHeight="1">
      <c r="A1978" s="4" t="n">
        <v>3026</v>
      </c>
      <c r="B1978" s="5" t="inlineStr">
        <is>
          <t>IMG_0106</t>
        </is>
      </c>
      <c r="C1978" s="5" t="inlineStr">
        <is>
          <t>CLASS K: PIPEWORK - MANHOLES AND PIPEWORK ANCILLARIES</t>
        </is>
      </c>
      <c r="D1978" s="5" t="inlineStr">
        <is>
          <t>01 MANHOLES</t>
        </is>
      </c>
      <c r="E1978" s="5" t="inlineStr">
        <is>
          <t>1800 dia. x 3000 depth to invert</t>
        </is>
      </c>
      <c r="F1978" s="5" t="inlineStr">
        <is>
          <t>concrete base</t>
        </is>
      </c>
      <c r="G1978" s="6" t="inlineStr">
        <is>
          <t>nr</t>
        </is>
      </c>
      <c r="H1978" s="7" t="n">
        <v>1.91</v>
      </c>
      <c r="I1978" s="8" t="n">
        <v>50.8</v>
      </c>
      <c r="J1978" s="8" t="n">
        <v>17.59</v>
      </c>
      <c r="K1978" s="8" t="n">
        <v>166.81</v>
      </c>
      <c r="L1978" s="8" t="n">
        <v>0</v>
      </c>
      <c r="M1978" s="9">
        <f>ROUND(SUM(I1978:L1978),2)</f>
        <v/>
      </c>
      <c r="N1978" s="10">
        <f>ROUND(I1978*'Irish Basis'!$C$6*'Irish Basis'!$C$5,2)</f>
        <v/>
      </c>
      <c r="O1978" s="10">
        <f>ROUND(J1978*'Irish Basis'!$C$7*'Irish Basis'!$C$5,2)</f>
        <v/>
      </c>
      <c r="P1978" s="10">
        <f>ROUND(K1978*'Irish Basis'!$C$8*'Irish Basis'!$C$5,2)</f>
        <v/>
      </c>
      <c r="Q1978" s="10">
        <f>ROUND(L1978*'Irish Basis'!$C$12*'Irish Basis'!$C$5,2)</f>
        <v/>
      </c>
      <c r="R1978" s="11">
        <f>ROUND(SUM(N1978:Q1978),2)</f>
        <v/>
      </c>
      <c r="S1978" s="5" t="inlineStr">
        <is>
          <t>Stated build-up</t>
        </is>
      </c>
      <c r="T1978" s="12" t="inlineStr">
        <is>
          <t>High</t>
        </is>
      </c>
      <c r="U1978" s="8" t="n">
        <v>235.2</v>
      </c>
      <c r="V1978" s="13">
        <f>IF(U1978="","",ROUND(M1978-U1978,2))</f>
        <v/>
      </c>
      <c r="W1978" s="5" t="n"/>
      <c r="X1978" s="5" t="inlineStr">
        <is>
          <t>Labour + plant + material as published; reconciles to the published rate.</t>
        </is>
      </c>
    </row>
    <row r="1979" ht="13" customHeight="1">
      <c r="A1979" s="4" t="n">
        <v>3027</v>
      </c>
      <c r="B1979" s="5" t="inlineStr">
        <is>
          <t>IMG_0106</t>
        </is>
      </c>
      <c r="C1979" s="5" t="inlineStr">
        <is>
          <t>CLASS K: PIPEWORK - MANHOLES AND PIPEWORK ANCILLARIES</t>
        </is>
      </c>
      <c r="D1979" s="5" t="inlineStr">
        <is>
          <t>01 MANHOLES</t>
        </is>
      </c>
      <c r="E1979" s="5" t="inlineStr">
        <is>
          <t>1800 dia. x 3000 depth to invert</t>
        </is>
      </c>
      <c r="F1979" s="5" t="inlineStr">
        <is>
          <t>main chamber rings</t>
        </is>
      </c>
      <c r="G1979" s="6" t="inlineStr">
        <is>
          <t>nr</t>
        </is>
      </c>
      <c r="H1979" s="7" t="n">
        <v>18</v>
      </c>
      <c r="I1979" s="8" t="n">
        <v>551.79</v>
      </c>
      <c r="J1979" s="8" t="n">
        <v>409.16</v>
      </c>
      <c r="K1979" s="8" t="n">
        <v>1584.66</v>
      </c>
      <c r="L1979" s="8" t="n">
        <v>0</v>
      </c>
      <c r="M1979" s="9">
        <f>ROUND(SUM(I1979:L1979),2)</f>
        <v/>
      </c>
      <c r="N1979" s="10">
        <f>ROUND(I1979*'Irish Basis'!$C$6*'Irish Basis'!$C$5,2)</f>
        <v/>
      </c>
      <c r="O1979" s="10">
        <f>ROUND(J1979*'Irish Basis'!$C$7*'Irish Basis'!$C$5,2)</f>
        <v/>
      </c>
      <c r="P1979" s="10">
        <f>ROUND(K1979*'Irish Basis'!$C$8*'Irish Basis'!$C$5,2)</f>
        <v/>
      </c>
      <c r="Q1979" s="10">
        <f>ROUND(L1979*'Irish Basis'!$C$12*'Irish Basis'!$C$5,2)</f>
        <v/>
      </c>
      <c r="R1979" s="11">
        <f>ROUND(SUM(N1979:Q1979),2)</f>
        <v/>
      </c>
      <c r="S1979" s="5" t="inlineStr">
        <is>
          <t>Stated build-up</t>
        </is>
      </c>
      <c r="T1979" s="12" t="inlineStr">
        <is>
          <t>High</t>
        </is>
      </c>
      <c r="U1979" s="8" t="n">
        <v>2545.6</v>
      </c>
      <c r="V1979" s="13">
        <f>IF(U1979="","",ROUND(M1979-U1979,2))</f>
        <v/>
      </c>
      <c r="W1979" s="5" t="n"/>
      <c r="X1979" s="5" t="inlineStr">
        <is>
          <t>Labour + plant + material as published; reconciles to the published rate.</t>
        </is>
      </c>
    </row>
    <row r="1980" ht="13" customHeight="1">
      <c r="A1980" s="4" t="n">
        <v>3028</v>
      </c>
      <c r="B1980" s="5" t="inlineStr">
        <is>
          <t>IMG_0106</t>
        </is>
      </c>
      <c r="C1980" s="5" t="inlineStr">
        <is>
          <t>CLASS K: PIPEWORK - MANHOLES AND PIPEWORK ANCILLARIES</t>
        </is>
      </c>
      <c r="D1980" s="5" t="inlineStr">
        <is>
          <t>01 MANHOLES</t>
        </is>
      </c>
      <c r="E1980" s="5" t="inlineStr">
        <is>
          <t>1800 dia. x 3000 depth to invert</t>
        </is>
      </c>
      <c r="F1980" s="5" t="inlineStr">
        <is>
          <t>cover slab</t>
        </is>
      </c>
      <c r="G1980" s="6" t="inlineStr">
        <is>
          <t>nr</t>
        </is>
      </c>
      <c r="H1980" s="7" t="n">
        <v>3.6</v>
      </c>
      <c r="I1980" s="8" t="n">
        <v>110.36</v>
      </c>
      <c r="J1980" s="8" t="n">
        <v>81.84</v>
      </c>
      <c r="K1980" s="8" t="n">
        <v>609.08</v>
      </c>
      <c r="L1980" s="8" t="n">
        <v>0</v>
      </c>
      <c r="M1980" s="9">
        <f>ROUND(SUM(I1980:L1980),2)</f>
        <v/>
      </c>
      <c r="N1980" s="10">
        <f>ROUND(I1980*'Irish Basis'!$C$6*'Irish Basis'!$C$5,2)</f>
        <v/>
      </c>
      <c r="O1980" s="10">
        <f>ROUND(J1980*'Irish Basis'!$C$7*'Irish Basis'!$C$5,2)</f>
        <v/>
      </c>
      <c r="P1980" s="10">
        <f>ROUND(K1980*'Irish Basis'!$C$8*'Irish Basis'!$C$5,2)</f>
        <v/>
      </c>
      <c r="Q1980" s="10">
        <f>ROUND(L1980*'Irish Basis'!$C$12*'Irish Basis'!$C$5,2)</f>
        <v/>
      </c>
      <c r="R1980" s="11">
        <f>ROUND(SUM(N1980:Q1980),2)</f>
        <v/>
      </c>
      <c r="S1980" s="5" t="inlineStr">
        <is>
          <t>Stated build-up</t>
        </is>
      </c>
      <c r="T1980" s="12" t="inlineStr">
        <is>
          <t>High</t>
        </is>
      </c>
      <c r="U1980" s="8" t="n">
        <v>801.28</v>
      </c>
      <c r="V1980" s="13">
        <f>IF(U1980="","",ROUND(M1980-U1980,2))</f>
        <v/>
      </c>
      <c r="W1980" s="5" t="n"/>
      <c r="X1980" s="5" t="inlineStr">
        <is>
          <t>Labour + plant + material as published; reconciles to the published rate.</t>
        </is>
      </c>
    </row>
    <row r="1981" ht="13" customHeight="1">
      <c r="A1981" s="4" t="n">
        <v>3029</v>
      </c>
      <c r="B1981" s="5" t="inlineStr">
        <is>
          <t>IMG_0106</t>
        </is>
      </c>
      <c r="C1981" s="5" t="inlineStr">
        <is>
          <t>CLASS K: PIPEWORK - MANHOLES AND PIPEWORK ANCILLARIES</t>
        </is>
      </c>
      <c r="D1981" s="5" t="inlineStr">
        <is>
          <t>01 MANHOLES</t>
        </is>
      </c>
      <c r="E1981" s="5" t="inlineStr">
        <is>
          <t>1800 dia. x 3000 depth to invert</t>
        </is>
      </c>
      <c r="F1981" s="5" t="inlineStr">
        <is>
          <t>concrete surround</t>
        </is>
      </c>
      <c r="G1981" s="6" t="inlineStr">
        <is>
          <t>nr</t>
        </is>
      </c>
      <c r="H1981" s="7" t="n">
        <v>5.84</v>
      </c>
      <c r="I1981" s="8" t="n">
        <v>155.41</v>
      </c>
      <c r="J1981" s="8" t="n">
        <v>60.41</v>
      </c>
      <c r="K1981" s="8" t="n">
        <v>370.98</v>
      </c>
      <c r="L1981" s="8" t="n">
        <v>0</v>
      </c>
      <c r="M1981" s="9">
        <f>ROUND(SUM(I1981:L1981),2)</f>
        <v/>
      </c>
      <c r="N1981" s="10">
        <f>ROUND(I1981*'Irish Basis'!$C$6*'Irish Basis'!$C$5,2)</f>
        <v/>
      </c>
      <c r="O1981" s="10">
        <f>ROUND(J1981*'Irish Basis'!$C$7*'Irish Basis'!$C$5,2)</f>
        <v/>
      </c>
      <c r="P1981" s="10">
        <f>ROUND(K1981*'Irish Basis'!$C$8*'Irish Basis'!$C$5,2)</f>
        <v/>
      </c>
      <c r="Q1981" s="10">
        <f>ROUND(L1981*'Irish Basis'!$C$12*'Irish Basis'!$C$5,2)</f>
        <v/>
      </c>
      <c r="R1981" s="11">
        <f>ROUND(SUM(N1981:Q1981),2)</f>
        <v/>
      </c>
      <c r="S1981" s="5" t="inlineStr">
        <is>
          <t>Stated build-up</t>
        </is>
      </c>
      <c r="T1981" s="12" t="inlineStr">
        <is>
          <t>High</t>
        </is>
      </c>
      <c r="U1981" s="8" t="n">
        <v>586.8</v>
      </c>
      <c r="V1981" s="13">
        <f>IF(U1981="","",ROUND(M1981-U1981,2))</f>
        <v/>
      </c>
      <c r="W1981" s="5" t="n"/>
      <c r="X1981" s="5" t="inlineStr">
        <is>
          <t>Labour + plant + material as published; reconciles to the published rate.</t>
        </is>
      </c>
    </row>
    <row r="1982" ht="13" customHeight="1">
      <c r="A1982" s="4" t="n">
        <v>3030</v>
      </c>
      <c r="B1982" s="5" t="inlineStr">
        <is>
          <t>IMG_0106</t>
        </is>
      </c>
      <c r="C1982" s="5" t="inlineStr">
        <is>
          <t>CLASS K: PIPEWORK - MANHOLES AND PIPEWORK ANCILLARIES</t>
        </is>
      </c>
      <c r="D1982" s="5" t="inlineStr">
        <is>
          <t>01 MANHOLES</t>
        </is>
      </c>
      <c r="E1982" s="5" t="inlineStr">
        <is>
          <t>1800 dia. x 3000 depth to invert</t>
        </is>
      </c>
      <c r="F1982" s="5" t="inlineStr">
        <is>
          <t>concrete benching, main and branch channels</t>
        </is>
      </c>
      <c r="G1982" s="6" t="inlineStr">
        <is>
          <t>nr</t>
        </is>
      </c>
      <c r="H1982" s="7" t="n">
        <v>7.38</v>
      </c>
      <c r="I1982" s="8" t="n">
        <v>198.58</v>
      </c>
      <c r="J1982" s="8" t="n">
        <v>54.57</v>
      </c>
      <c r="K1982" s="8" t="n">
        <v>192.16</v>
      </c>
      <c r="L1982" s="8" t="n">
        <v>0</v>
      </c>
      <c r="M1982" s="9">
        <f>ROUND(SUM(I1982:L1982),2)</f>
        <v/>
      </c>
      <c r="N1982" s="10">
        <f>ROUND(I1982*'Irish Basis'!$C$6*'Irish Basis'!$C$5,2)</f>
        <v/>
      </c>
      <c r="O1982" s="10">
        <f>ROUND(J1982*'Irish Basis'!$C$7*'Irish Basis'!$C$5,2)</f>
        <v/>
      </c>
      <c r="P1982" s="10">
        <f>ROUND(K1982*'Irish Basis'!$C$8*'Irish Basis'!$C$5,2)</f>
        <v/>
      </c>
      <c r="Q1982" s="10">
        <f>ROUND(L1982*'Irish Basis'!$C$12*'Irish Basis'!$C$5,2)</f>
        <v/>
      </c>
      <c r="R1982" s="11">
        <f>ROUND(SUM(N1982:Q1982),2)</f>
        <v/>
      </c>
      <c r="S1982" s="5" t="inlineStr">
        <is>
          <t>Stated build-up</t>
        </is>
      </c>
      <c r="T1982" s="12" t="inlineStr">
        <is>
          <t>High</t>
        </is>
      </c>
      <c r="U1982" s="8" t="n">
        <v>445.31</v>
      </c>
      <c r="V1982" s="13">
        <f>IF(U1982="","",ROUND(M1982-U1982,2))</f>
        <v/>
      </c>
      <c r="W1982" s="5" t="n"/>
      <c r="X1982" s="5" t="inlineStr">
        <is>
          <t>Labour + plant + material as published; reconciles to the published rate.</t>
        </is>
      </c>
    </row>
    <row r="1983" ht="13" customHeight="1">
      <c r="A1983" s="4" t="n">
        <v>3031</v>
      </c>
      <c r="B1983" s="5" t="inlineStr">
        <is>
          <t>IMG_0106</t>
        </is>
      </c>
      <c r="C1983" s="5" t="inlineStr">
        <is>
          <t>CLASS K: PIPEWORK - MANHOLES AND PIPEWORK ANCILLARIES</t>
        </is>
      </c>
      <c r="D1983" s="5" t="inlineStr">
        <is>
          <t>01 MANHOLES</t>
        </is>
      </c>
      <c r="E1983" s="5" t="inlineStr">
        <is>
          <t>1800 dia. x 3000 depth to invert</t>
        </is>
      </c>
      <c r="F1983" s="5" t="inlineStr">
        <is>
          <t>step irons</t>
        </is>
      </c>
      <c r="G1983" s="6" t="inlineStr">
        <is>
          <t>nr</t>
        </is>
      </c>
      <c r="H1983" s="7" t="n">
        <v>0.95</v>
      </c>
      <c r="I1983" s="8" t="n">
        <v>23.19</v>
      </c>
      <c r="J1983" s="8" t="n">
        <v>3.08</v>
      </c>
      <c r="K1983" s="8" t="n">
        <v>206.29</v>
      </c>
      <c r="L1983" s="8" t="n">
        <v>0</v>
      </c>
      <c r="M1983" s="9">
        <f>ROUND(SUM(I1983:L1983),2)</f>
        <v/>
      </c>
      <c r="N1983" s="10">
        <f>ROUND(I1983*'Irish Basis'!$C$6*'Irish Basis'!$C$5,2)</f>
        <v/>
      </c>
      <c r="O1983" s="10">
        <f>ROUND(J1983*'Irish Basis'!$C$7*'Irish Basis'!$C$5,2)</f>
        <v/>
      </c>
      <c r="P1983" s="10">
        <f>ROUND(K1983*'Irish Basis'!$C$8*'Irish Basis'!$C$5,2)</f>
        <v/>
      </c>
      <c r="Q1983" s="10">
        <f>ROUND(L1983*'Irish Basis'!$C$12*'Irish Basis'!$C$5,2)</f>
        <v/>
      </c>
      <c r="R1983" s="11">
        <f>ROUND(SUM(N1983:Q1983),2)</f>
        <v/>
      </c>
      <c r="S1983" s="5" t="inlineStr">
        <is>
          <t>Stated build-up</t>
        </is>
      </c>
      <c r="T1983" s="12" t="inlineStr">
        <is>
          <t>High</t>
        </is>
      </c>
      <c r="U1983" s="8" t="n">
        <v>232.55</v>
      </c>
      <c r="V1983" s="13">
        <f>IF(U1983="","",ROUND(M1983-U1983,2))</f>
        <v/>
      </c>
      <c r="W1983" s="5" t="n"/>
      <c r="X1983" s="5" t="inlineStr">
        <is>
          <t>Labour + plant + material as published; reconciles to the published rate.</t>
        </is>
      </c>
    </row>
    <row r="1984" ht="13" customHeight="1">
      <c r="A1984" s="4" t="n">
        <v>3032</v>
      </c>
      <c r="B1984" s="5" t="inlineStr">
        <is>
          <t>IMG_0106</t>
        </is>
      </c>
      <c r="C1984" s="5" t="inlineStr">
        <is>
          <t>CLASS K: PIPEWORK - MANHOLES AND PIPEWORK ANCILLARIES</t>
        </is>
      </c>
      <c r="D1984" s="5" t="inlineStr">
        <is>
          <t>01 MANHOLES</t>
        </is>
      </c>
      <c r="E1984" s="5" t="inlineStr">
        <is>
          <t>1800 dia. x 3000 depth to invert</t>
        </is>
      </c>
      <c r="F1984" s="5" t="inlineStr">
        <is>
          <t>access cover and frame</t>
        </is>
      </c>
      <c r="G1984" s="6" t="inlineStr">
        <is>
          <t>nr</t>
        </is>
      </c>
      <c r="H1984" s="7" t="n">
        <v>1.44</v>
      </c>
      <c r="I1984" s="8" t="n">
        <v>40.16</v>
      </c>
      <c r="J1984" s="8" t="n">
        <v>4.42</v>
      </c>
      <c r="K1984" s="8" t="n">
        <v>341.51</v>
      </c>
      <c r="L1984" s="8" t="n">
        <v>0</v>
      </c>
      <c r="M1984" s="9">
        <f>ROUND(SUM(I1984:L1984),2)</f>
        <v/>
      </c>
      <c r="N1984" s="10">
        <f>ROUND(I1984*'Irish Basis'!$C$6*'Irish Basis'!$C$5,2)</f>
        <v/>
      </c>
      <c r="O1984" s="10">
        <f>ROUND(J1984*'Irish Basis'!$C$7*'Irish Basis'!$C$5,2)</f>
        <v/>
      </c>
      <c r="P1984" s="10">
        <f>ROUND(K1984*'Irish Basis'!$C$8*'Irish Basis'!$C$5,2)</f>
        <v/>
      </c>
      <c r="Q1984" s="10">
        <f>ROUND(L1984*'Irish Basis'!$C$12*'Irish Basis'!$C$5,2)</f>
        <v/>
      </c>
      <c r="R1984" s="11">
        <f>ROUND(SUM(N1984:Q1984),2)</f>
        <v/>
      </c>
      <c r="S1984" s="5" t="inlineStr">
        <is>
          <t>Stated build-up</t>
        </is>
      </c>
      <c r="T1984" s="12" t="inlineStr">
        <is>
          <t>High</t>
        </is>
      </c>
      <c r="U1984" s="8" t="n">
        <v>386.09</v>
      </c>
      <c r="V1984" s="13">
        <f>IF(U1984="","",ROUND(M1984-U1984,2))</f>
        <v/>
      </c>
      <c r="W1984" s="5" t="n"/>
      <c r="X1984" s="5" t="inlineStr">
        <is>
          <t>Labour + plant + material as published; reconciles to the published rate.</t>
        </is>
      </c>
    </row>
    <row r="1985" ht="13" customHeight="1">
      <c r="A1985" s="4" t="n">
        <v>3033</v>
      </c>
      <c r="B1985" s="5" t="inlineStr">
        <is>
          <t>IMG_0106</t>
        </is>
      </c>
      <c r="C1985" s="5" t="inlineStr">
        <is>
          <t>CLASS K: PIPEWORK - MANHOLES AND PIPEWORK ANCILLARIES</t>
        </is>
      </c>
      <c r="D1985" s="5" t="inlineStr">
        <is>
          <t>01 MANHOLES</t>
        </is>
      </c>
      <c r="E1985" s="5" t="inlineStr">
        <is>
          <t>1800 dia. x 3000 depth to invert</t>
        </is>
      </c>
      <c r="F1985" s="5" t="inlineStr">
        <is>
          <t>TOTAL</t>
        </is>
      </c>
      <c r="G1985" s="6" t="inlineStr">
        <is>
          <t>nr</t>
        </is>
      </c>
      <c r="H1985" s="7" t="n">
        <v>46.82</v>
      </c>
      <c r="I1985" s="8" t="n">
        <v>1847.66</v>
      </c>
      <c r="J1985" s="8" t="n">
        <v>1064.25</v>
      </c>
      <c r="K1985" s="8" t="n">
        <v>3471.49</v>
      </c>
      <c r="L1985" s="8" t="n">
        <v>0</v>
      </c>
      <c r="M1985" s="9">
        <f>ROUND(SUM(I1985:L1985),2)</f>
        <v/>
      </c>
      <c r="N1985" s="10">
        <f>ROUND(I1985*'Irish Basis'!$C$6*'Irish Basis'!$C$5,2)</f>
        <v/>
      </c>
      <c r="O1985" s="10">
        <f>ROUND(J1985*'Irish Basis'!$C$7*'Irish Basis'!$C$5,2)</f>
        <v/>
      </c>
      <c r="P1985" s="10">
        <f>ROUND(K1985*'Irish Basis'!$C$8*'Irish Basis'!$C$5,2)</f>
        <v/>
      </c>
      <c r="Q1985" s="10">
        <f>ROUND(L1985*'Irish Basis'!$C$12*'Irish Basis'!$C$5,2)</f>
        <v/>
      </c>
      <c r="R1985" s="11">
        <f>ROUND(SUM(N1985:Q1985),2)</f>
        <v/>
      </c>
      <c r="S1985" s="5" t="inlineStr">
        <is>
          <t>Stated build-up</t>
        </is>
      </c>
      <c r="T1985" s="12" t="inlineStr">
        <is>
          <t>High</t>
        </is>
      </c>
      <c r="U1985" s="8" t="n">
        <v>6383.4</v>
      </c>
      <c r="V1985" s="13">
        <f>IF(U1985="","",ROUND(M1985-U1985,2))</f>
        <v/>
      </c>
      <c r="W1985" s="5" t="n"/>
      <c r="X1985" s="5" t="inlineStr">
        <is>
          <t>Labour + plant + material as published; reconciles to the published rate.</t>
        </is>
      </c>
    </row>
    <row r="1986" ht="13" customHeight="1">
      <c r="A1986" s="4" t="n">
        <v>3035</v>
      </c>
      <c r="B1986" s="5" t="inlineStr">
        <is>
          <t>IMG_0106</t>
        </is>
      </c>
      <c r="C1986" s="5" t="inlineStr">
        <is>
          <t>CLASS K: PIPEWORK - MANHOLES AND PIPEWORK ANCILLARIES</t>
        </is>
      </c>
      <c r="D1986" s="5" t="inlineStr">
        <is>
          <t>01 MANHOLES</t>
        </is>
      </c>
      <c r="E1986" s="5" t="inlineStr">
        <is>
          <t>1800 dia. x 3500 depth to invert</t>
        </is>
      </c>
      <c r="F1986" s="5" t="inlineStr">
        <is>
          <t>excavation, support, backfilling and disposal</t>
        </is>
      </c>
      <c r="G1986" s="6" t="inlineStr">
        <is>
          <t>nr</t>
        </is>
      </c>
      <c r="H1986" s="7" t="n">
        <v>9.26</v>
      </c>
      <c r="I1986" s="8" t="n">
        <v>870.21</v>
      </c>
      <c r="J1986" s="8" t="n">
        <v>635.23</v>
      </c>
      <c r="K1986" s="8" t="n">
        <v>0</v>
      </c>
      <c r="L1986" s="8" t="n">
        <v>0</v>
      </c>
      <c r="M1986" s="9">
        <f>ROUND(SUM(I1986:L1986),2)</f>
        <v/>
      </c>
      <c r="N1986" s="10">
        <f>ROUND(I1986*'Irish Basis'!$C$6*'Irish Basis'!$C$5,2)</f>
        <v/>
      </c>
      <c r="O1986" s="10">
        <f>ROUND(J1986*'Irish Basis'!$C$7*'Irish Basis'!$C$5,2)</f>
        <v/>
      </c>
      <c r="P1986" s="10">
        <f>ROUND(K1986*'Irish Basis'!$C$8*'Irish Basis'!$C$5,2)</f>
        <v/>
      </c>
      <c r="Q1986" s="10">
        <f>ROUND(L1986*'Irish Basis'!$C$12*'Irish Basis'!$C$5,2)</f>
        <v/>
      </c>
      <c r="R1986" s="11">
        <f>ROUND(SUM(N1986:Q1986),2)</f>
        <v/>
      </c>
      <c r="S1986" s="5" t="inlineStr">
        <is>
          <t>Stated build-up</t>
        </is>
      </c>
      <c r="T1986" s="12" t="inlineStr">
        <is>
          <t>High</t>
        </is>
      </c>
      <c r="U1986" s="8" t="n">
        <v>1505.44</v>
      </c>
      <c r="V1986" s="13">
        <f>IF(U1986="","",ROUND(M1986-U1986,2))</f>
        <v/>
      </c>
      <c r="W1986" s="5" t="n"/>
      <c r="X1986" s="5" t="inlineStr">
        <is>
          <t>Labour + plant + material as published; reconciles to the published rate.</t>
        </is>
      </c>
    </row>
    <row r="1987" ht="13" customHeight="1">
      <c r="A1987" s="4" t="n">
        <v>3036</v>
      </c>
      <c r="B1987" s="5" t="inlineStr">
        <is>
          <t>IMG_0106</t>
        </is>
      </c>
      <c r="C1987" s="5" t="inlineStr">
        <is>
          <t>CLASS K: PIPEWORK - MANHOLES AND PIPEWORK ANCILLARIES</t>
        </is>
      </c>
      <c r="D1987" s="5" t="inlineStr">
        <is>
          <t>01 MANHOLES</t>
        </is>
      </c>
      <c r="E1987" s="5" t="inlineStr">
        <is>
          <t>1800 dia. x 3500 depth to invert</t>
        </is>
      </c>
      <c r="F1987" s="5" t="inlineStr">
        <is>
          <t>concrete base</t>
        </is>
      </c>
      <c r="G1987" s="6" t="inlineStr">
        <is>
          <t>nr</t>
        </is>
      </c>
      <c r="H1987" s="7" t="n">
        <v>1.91</v>
      </c>
      <c r="I1987" s="8" t="n">
        <v>50.8</v>
      </c>
      <c r="J1987" s="8" t="n">
        <v>17.59</v>
      </c>
      <c r="K1987" s="8" t="n">
        <v>166.81</v>
      </c>
      <c r="L1987" s="8" t="n">
        <v>0</v>
      </c>
      <c r="M1987" s="9">
        <f>ROUND(SUM(I1987:L1987),2)</f>
        <v/>
      </c>
      <c r="N1987" s="10">
        <f>ROUND(I1987*'Irish Basis'!$C$6*'Irish Basis'!$C$5,2)</f>
        <v/>
      </c>
      <c r="O1987" s="10">
        <f>ROUND(J1987*'Irish Basis'!$C$7*'Irish Basis'!$C$5,2)</f>
        <v/>
      </c>
      <c r="P1987" s="10">
        <f>ROUND(K1987*'Irish Basis'!$C$8*'Irish Basis'!$C$5,2)</f>
        <v/>
      </c>
      <c r="Q1987" s="10">
        <f>ROUND(L1987*'Irish Basis'!$C$12*'Irish Basis'!$C$5,2)</f>
        <v/>
      </c>
      <c r="R1987" s="11">
        <f>ROUND(SUM(N1987:Q1987),2)</f>
        <v/>
      </c>
      <c r="S1987" s="5" t="inlineStr">
        <is>
          <t>Stated build-up</t>
        </is>
      </c>
      <c r="T1987" s="12" t="inlineStr">
        <is>
          <t>High</t>
        </is>
      </c>
      <c r="U1987" s="8" t="n">
        <v>235.2</v>
      </c>
      <c r="V1987" s="13">
        <f>IF(U1987="","",ROUND(M1987-U1987,2))</f>
        <v/>
      </c>
      <c r="W1987" s="5" t="n"/>
      <c r="X1987" s="5" t="inlineStr">
        <is>
          <t>Labour + plant + material as published; reconciles to the published rate.</t>
        </is>
      </c>
    </row>
    <row r="1988" ht="13" customHeight="1">
      <c r="A1988" s="4" t="n">
        <v>3037</v>
      </c>
      <c r="B1988" s="5" t="inlineStr">
        <is>
          <t>IMG_0106</t>
        </is>
      </c>
      <c r="C1988" s="5" t="inlineStr">
        <is>
          <t>CLASS K: PIPEWORK - MANHOLES AND PIPEWORK ANCILLARIES</t>
        </is>
      </c>
      <c r="D1988" s="5" t="inlineStr">
        <is>
          <t>01 MANHOLES</t>
        </is>
      </c>
      <c r="E1988" s="5" t="inlineStr">
        <is>
          <t>1800 dia. x 3500 depth to invert</t>
        </is>
      </c>
      <c r="F1988" s="5" t="inlineStr">
        <is>
          <t>main chamber rings</t>
        </is>
      </c>
      <c r="G1988" s="6" t="inlineStr">
        <is>
          <t>nr</t>
        </is>
      </c>
      <c r="H1988" s="7" t="n">
        <v>21</v>
      </c>
      <c r="I1988" s="8" t="n">
        <v>643.75</v>
      </c>
      <c r="J1988" s="8" t="n">
        <v>477.35</v>
      </c>
      <c r="K1988" s="8" t="n">
        <v>1848.77</v>
      </c>
      <c r="L1988" s="8" t="n">
        <v>0</v>
      </c>
      <c r="M1988" s="9">
        <f>ROUND(SUM(I1988:L1988),2)</f>
        <v/>
      </c>
      <c r="N1988" s="10">
        <f>ROUND(I1988*'Irish Basis'!$C$6*'Irish Basis'!$C$5,2)</f>
        <v/>
      </c>
      <c r="O1988" s="10">
        <f>ROUND(J1988*'Irish Basis'!$C$7*'Irish Basis'!$C$5,2)</f>
        <v/>
      </c>
      <c r="P1988" s="10">
        <f>ROUND(K1988*'Irish Basis'!$C$8*'Irish Basis'!$C$5,2)</f>
        <v/>
      </c>
      <c r="Q1988" s="10">
        <f>ROUND(L1988*'Irish Basis'!$C$12*'Irish Basis'!$C$5,2)</f>
        <v/>
      </c>
      <c r="R1988" s="11">
        <f>ROUND(SUM(N1988:Q1988),2)</f>
        <v/>
      </c>
      <c r="S1988" s="5" t="inlineStr">
        <is>
          <t>Stated build-up</t>
        </is>
      </c>
      <c r="T1988" s="12" t="inlineStr">
        <is>
          <t>High</t>
        </is>
      </c>
      <c r="U1988" s="8" t="n">
        <v>2969.87</v>
      </c>
      <c r="V1988" s="13">
        <f>IF(U1988="","",ROUND(M1988-U1988,2))</f>
        <v/>
      </c>
      <c r="W1988" s="5" t="n"/>
      <c r="X1988" s="5" t="inlineStr">
        <is>
          <t>Labour + plant + material as published; reconciles to the published rate.</t>
        </is>
      </c>
    </row>
    <row r="1989" ht="13" customHeight="1">
      <c r="A1989" s="4" t="n">
        <v>3038</v>
      </c>
      <c r="B1989" s="5" t="inlineStr">
        <is>
          <t>IMG_0106</t>
        </is>
      </c>
      <c r="C1989" s="5" t="inlineStr">
        <is>
          <t>CLASS K: PIPEWORK - MANHOLES AND PIPEWORK ANCILLARIES</t>
        </is>
      </c>
      <c r="D1989" s="5" t="inlineStr">
        <is>
          <t>01 MANHOLES</t>
        </is>
      </c>
      <c r="E1989" s="5" t="inlineStr">
        <is>
          <t>1800 dia. x 3500 depth to invert</t>
        </is>
      </c>
      <c r="F1989" s="5" t="inlineStr">
        <is>
          <t>cover slab</t>
        </is>
      </c>
      <c r="G1989" s="6" t="inlineStr">
        <is>
          <t>nr</t>
        </is>
      </c>
      <c r="H1989" s="7" t="n">
        <v>3.6</v>
      </c>
      <c r="I1989" s="8" t="n">
        <v>110.36</v>
      </c>
      <c r="J1989" s="8" t="n">
        <v>81.84</v>
      </c>
      <c r="K1989" s="8" t="n">
        <v>609.08</v>
      </c>
      <c r="L1989" s="8" t="n">
        <v>0</v>
      </c>
      <c r="M1989" s="9">
        <f>ROUND(SUM(I1989:L1989),2)</f>
        <v/>
      </c>
      <c r="N1989" s="10">
        <f>ROUND(I1989*'Irish Basis'!$C$6*'Irish Basis'!$C$5,2)</f>
        <v/>
      </c>
      <c r="O1989" s="10">
        <f>ROUND(J1989*'Irish Basis'!$C$7*'Irish Basis'!$C$5,2)</f>
        <v/>
      </c>
      <c r="P1989" s="10">
        <f>ROUND(K1989*'Irish Basis'!$C$8*'Irish Basis'!$C$5,2)</f>
        <v/>
      </c>
      <c r="Q1989" s="10">
        <f>ROUND(L1989*'Irish Basis'!$C$12*'Irish Basis'!$C$5,2)</f>
        <v/>
      </c>
      <c r="R1989" s="11">
        <f>ROUND(SUM(N1989:Q1989),2)</f>
        <v/>
      </c>
      <c r="S1989" s="5" t="inlineStr">
        <is>
          <t>Stated build-up</t>
        </is>
      </c>
      <c r="T1989" s="12" t="inlineStr">
        <is>
          <t>High</t>
        </is>
      </c>
      <c r="U1989" s="8" t="n">
        <v>801.28</v>
      </c>
      <c r="V1989" s="13">
        <f>IF(U1989="","",ROUND(M1989-U1989,2))</f>
        <v/>
      </c>
      <c r="W1989" s="5" t="n"/>
      <c r="X1989" s="5" t="inlineStr">
        <is>
          <t>Labour + plant + material as published; reconciles to the published rate.</t>
        </is>
      </c>
    </row>
    <row r="1990" ht="13" customHeight="1">
      <c r="A1990" s="4" t="n">
        <v>3039</v>
      </c>
      <c r="B1990" s="5" t="inlineStr">
        <is>
          <t>IMG_0106</t>
        </is>
      </c>
      <c r="C1990" s="5" t="inlineStr">
        <is>
          <t>CLASS K: PIPEWORK - MANHOLES AND PIPEWORK ANCILLARIES</t>
        </is>
      </c>
      <c r="D1990" s="5" t="inlineStr">
        <is>
          <t>01 MANHOLES</t>
        </is>
      </c>
      <c r="E1990" s="5" t="inlineStr">
        <is>
          <t>1800 dia. x 3500 depth to invert</t>
        </is>
      </c>
      <c r="F1990" s="5" t="inlineStr">
        <is>
          <t>concrete surround</t>
        </is>
      </c>
      <c r="G1990" s="6" t="inlineStr">
        <is>
          <t>nr</t>
        </is>
      </c>
      <c r="H1990" s="7" t="n">
        <v>6.83</v>
      </c>
      <c r="I1990" s="8" t="n">
        <v>181.72</v>
      </c>
      <c r="J1990" s="8" t="n">
        <v>70.63</v>
      </c>
      <c r="K1990" s="8" t="n">
        <v>433.78</v>
      </c>
      <c r="L1990" s="8" t="n">
        <v>0</v>
      </c>
      <c r="M1990" s="9">
        <f>ROUND(SUM(I1990:L1990),2)</f>
        <v/>
      </c>
      <c r="N1990" s="10">
        <f>ROUND(I1990*'Irish Basis'!$C$6*'Irish Basis'!$C$5,2)</f>
        <v/>
      </c>
      <c r="O1990" s="10">
        <f>ROUND(J1990*'Irish Basis'!$C$7*'Irish Basis'!$C$5,2)</f>
        <v/>
      </c>
      <c r="P1990" s="10">
        <f>ROUND(K1990*'Irish Basis'!$C$8*'Irish Basis'!$C$5,2)</f>
        <v/>
      </c>
      <c r="Q1990" s="10">
        <f>ROUND(L1990*'Irish Basis'!$C$12*'Irish Basis'!$C$5,2)</f>
        <v/>
      </c>
      <c r="R1990" s="11">
        <f>ROUND(SUM(N1990:Q1990),2)</f>
        <v/>
      </c>
      <c r="S1990" s="5" t="inlineStr">
        <is>
          <t>Stated build-up</t>
        </is>
      </c>
      <c r="T1990" s="12" t="inlineStr">
        <is>
          <t>High</t>
        </is>
      </c>
      <c r="U1990" s="8" t="n">
        <v>686.14</v>
      </c>
      <c r="V1990" s="13">
        <f>IF(U1990="","",ROUND(M1990-U1990,2))</f>
        <v/>
      </c>
      <c r="W1990" s="5" t="n"/>
      <c r="X1990" s="5" t="inlineStr">
        <is>
          <t>Labour + plant + material as published; reconciles to the published rate.</t>
        </is>
      </c>
    </row>
    <row r="1991" ht="13" customHeight="1">
      <c r="A1991" s="4" t="n">
        <v>3040</v>
      </c>
      <c r="B1991" s="5" t="inlineStr">
        <is>
          <t>IMG_0106</t>
        </is>
      </c>
      <c r="C1991" s="5" t="inlineStr">
        <is>
          <t>CLASS K: PIPEWORK - MANHOLES AND PIPEWORK ANCILLARIES</t>
        </is>
      </c>
      <c r="D1991" s="5" t="inlineStr">
        <is>
          <t>01 MANHOLES</t>
        </is>
      </c>
      <c r="E1991" s="5" t="inlineStr">
        <is>
          <t>1800 dia. x 3500 depth to invert</t>
        </is>
      </c>
      <c r="F1991" s="5" t="inlineStr">
        <is>
          <t>concrete benching, main and branch channels</t>
        </is>
      </c>
      <c r="G1991" s="6" t="inlineStr">
        <is>
          <t>nr</t>
        </is>
      </c>
      <c r="H1991" s="7" t="n">
        <v>7.38</v>
      </c>
      <c r="I1991" s="8" t="n">
        <v>198.58</v>
      </c>
      <c r="J1991" s="8" t="n">
        <v>54.57</v>
      </c>
      <c r="K1991" s="8" t="n">
        <v>192.16</v>
      </c>
      <c r="L1991" s="8" t="n">
        <v>0</v>
      </c>
      <c r="M1991" s="9">
        <f>ROUND(SUM(I1991:L1991),2)</f>
        <v/>
      </c>
      <c r="N1991" s="10">
        <f>ROUND(I1991*'Irish Basis'!$C$6*'Irish Basis'!$C$5,2)</f>
        <v/>
      </c>
      <c r="O1991" s="10">
        <f>ROUND(J1991*'Irish Basis'!$C$7*'Irish Basis'!$C$5,2)</f>
        <v/>
      </c>
      <c r="P1991" s="10">
        <f>ROUND(K1991*'Irish Basis'!$C$8*'Irish Basis'!$C$5,2)</f>
        <v/>
      </c>
      <c r="Q1991" s="10">
        <f>ROUND(L1991*'Irish Basis'!$C$12*'Irish Basis'!$C$5,2)</f>
        <v/>
      </c>
      <c r="R1991" s="11">
        <f>ROUND(SUM(N1991:Q1991),2)</f>
        <v/>
      </c>
      <c r="S1991" s="5" t="inlineStr">
        <is>
          <t>Stated build-up</t>
        </is>
      </c>
      <c r="T1991" s="12" t="inlineStr">
        <is>
          <t>High</t>
        </is>
      </c>
      <c r="U1991" s="8" t="n">
        <v>445.31</v>
      </c>
      <c r="V1991" s="13">
        <f>IF(U1991="","",ROUND(M1991-U1991,2))</f>
        <v/>
      </c>
      <c r="W1991" s="5" t="n"/>
      <c r="X1991" s="5" t="inlineStr">
        <is>
          <t>Labour + plant + material as published; reconciles to the published rate.</t>
        </is>
      </c>
    </row>
    <row r="1992" ht="13" customHeight="1">
      <c r="A1992" s="4" t="n">
        <v>3041</v>
      </c>
      <c r="B1992" s="5" t="inlineStr">
        <is>
          <t>IMG_0106</t>
        </is>
      </c>
      <c r="C1992" s="5" t="inlineStr">
        <is>
          <t>CLASS K: PIPEWORK - MANHOLES AND PIPEWORK ANCILLARIES</t>
        </is>
      </c>
      <c r="D1992" s="5" t="inlineStr">
        <is>
          <t>01 MANHOLES</t>
        </is>
      </c>
      <c r="E1992" s="5" t="inlineStr">
        <is>
          <t>1800 dia. x 3500 depth to invert</t>
        </is>
      </c>
      <c r="F1992" s="5" t="inlineStr">
        <is>
          <t>step irons</t>
        </is>
      </c>
      <c r="G1992" s="6" t="inlineStr">
        <is>
          <t>nr</t>
        </is>
      </c>
      <c r="H1992" s="7" t="n">
        <v>1.16</v>
      </c>
      <c r="I1992" s="8" t="n">
        <v>28.34</v>
      </c>
      <c r="J1992" s="8" t="n">
        <v>3.77</v>
      </c>
      <c r="K1992" s="8" t="n">
        <v>252.13</v>
      </c>
      <c r="L1992" s="8" t="n">
        <v>0</v>
      </c>
      <c r="M1992" s="9">
        <f>ROUND(SUM(I1992:L1992),2)</f>
        <v/>
      </c>
      <c r="N1992" s="10">
        <f>ROUND(I1992*'Irish Basis'!$C$6*'Irish Basis'!$C$5,2)</f>
        <v/>
      </c>
      <c r="O1992" s="10">
        <f>ROUND(J1992*'Irish Basis'!$C$7*'Irish Basis'!$C$5,2)</f>
        <v/>
      </c>
      <c r="P1992" s="10">
        <f>ROUND(K1992*'Irish Basis'!$C$8*'Irish Basis'!$C$5,2)</f>
        <v/>
      </c>
      <c r="Q1992" s="10">
        <f>ROUND(L1992*'Irish Basis'!$C$12*'Irish Basis'!$C$5,2)</f>
        <v/>
      </c>
      <c r="R1992" s="11">
        <f>ROUND(SUM(N1992:Q1992),2)</f>
        <v/>
      </c>
      <c r="S1992" s="5" t="inlineStr">
        <is>
          <t>Stated build-up</t>
        </is>
      </c>
      <c r="T1992" s="12" t="inlineStr">
        <is>
          <t>High</t>
        </is>
      </c>
      <c r="U1992" s="8" t="n">
        <v>284.23</v>
      </c>
      <c r="V1992" s="13">
        <f>IF(U1992="","",ROUND(M1992-U1992,2))</f>
        <v/>
      </c>
      <c r="W1992" s="5" t="n"/>
      <c r="X1992" s="5" t="inlineStr">
        <is>
          <t>Labour + plant + material as published; reconciles to the published rate.</t>
        </is>
      </c>
    </row>
    <row r="1993" ht="13" customHeight="1">
      <c r="A1993" s="4" t="n">
        <v>3042</v>
      </c>
      <c r="B1993" s="5" t="inlineStr">
        <is>
          <t>IMG_0106</t>
        </is>
      </c>
      <c r="C1993" s="5" t="inlineStr">
        <is>
          <t>CLASS K: PIPEWORK - MANHOLES AND PIPEWORK ANCILLARIES</t>
        </is>
      </c>
      <c r="D1993" s="5" t="inlineStr">
        <is>
          <t>01 MANHOLES</t>
        </is>
      </c>
      <c r="E1993" s="5" t="inlineStr">
        <is>
          <t>1800 dia. x 3500 depth to invert</t>
        </is>
      </c>
      <c r="F1993" s="5" t="inlineStr">
        <is>
          <t>access cover and frame</t>
        </is>
      </c>
      <c r="G1993" s="6" t="inlineStr">
        <is>
          <t>nr</t>
        </is>
      </c>
      <c r="H1993" s="7" t="n">
        <v>1.44</v>
      </c>
      <c r="I1993" s="8" t="n">
        <v>40.16</v>
      </c>
      <c r="J1993" s="8" t="n">
        <v>4.42</v>
      </c>
      <c r="K1993" s="8" t="n">
        <v>341.51</v>
      </c>
      <c r="L1993" s="8" t="n">
        <v>0</v>
      </c>
      <c r="M1993" s="9">
        <f>ROUND(SUM(I1993:L1993),2)</f>
        <v/>
      </c>
      <c r="N1993" s="10">
        <f>ROUND(I1993*'Irish Basis'!$C$6*'Irish Basis'!$C$5,2)</f>
        <v/>
      </c>
      <c r="O1993" s="10">
        <f>ROUND(J1993*'Irish Basis'!$C$7*'Irish Basis'!$C$5,2)</f>
        <v/>
      </c>
      <c r="P1993" s="10">
        <f>ROUND(K1993*'Irish Basis'!$C$8*'Irish Basis'!$C$5,2)</f>
        <v/>
      </c>
      <c r="Q1993" s="10">
        <f>ROUND(L1993*'Irish Basis'!$C$12*'Irish Basis'!$C$5,2)</f>
        <v/>
      </c>
      <c r="R1993" s="11">
        <f>ROUND(SUM(N1993:Q1993),2)</f>
        <v/>
      </c>
      <c r="S1993" s="5" t="inlineStr">
        <is>
          <t>Stated build-up</t>
        </is>
      </c>
      <c r="T1993" s="12" t="inlineStr">
        <is>
          <t>High</t>
        </is>
      </c>
      <c r="U1993" s="8" t="n">
        <v>386.09</v>
      </c>
      <c r="V1993" s="13">
        <f>IF(U1993="","",ROUND(M1993-U1993,2))</f>
        <v/>
      </c>
      <c r="W1993" s="5" t="n"/>
      <c r="X1993" s="5" t="inlineStr">
        <is>
          <t>Labour + plant + material as published; reconciles to the published rate.</t>
        </is>
      </c>
    </row>
    <row r="1994" ht="13" customHeight="1">
      <c r="A1994" s="4" t="n">
        <v>3043</v>
      </c>
      <c r="B1994" s="5" t="inlineStr">
        <is>
          <t>IMG_0106</t>
        </is>
      </c>
      <c r="C1994" s="5" t="inlineStr">
        <is>
          <t>CLASS K: PIPEWORK - MANHOLES AND PIPEWORK ANCILLARIES</t>
        </is>
      </c>
      <c r="D1994" s="5" t="inlineStr">
        <is>
          <t>01 MANHOLES</t>
        </is>
      </c>
      <c r="E1994" s="5" t="inlineStr">
        <is>
          <t>1800 dia. x 3500 depth to invert</t>
        </is>
      </c>
      <c r="F1994" s="5" t="inlineStr">
        <is>
          <t>TOTAL</t>
        </is>
      </c>
      <c r="G1994" s="6" t="inlineStr">
        <is>
          <t>nr</t>
        </is>
      </c>
      <c r="H1994" s="7" t="n">
        <v>52.58</v>
      </c>
      <c r="I1994" s="8" t="n">
        <v>2123.92</v>
      </c>
      <c r="J1994" s="8" t="n">
        <v>1345.41</v>
      </c>
      <c r="K1994" s="8" t="n">
        <v>3844.24</v>
      </c>
      <c r="L1994" s="8" t="n">
        <v>0</v>
      </c>
      <c r="M1994" s="9">
        <f>ROUND(SUM(I1994:L1994),2)</f>
        <v/>
      </c>
      <c r="N1994" s="10">
        <f>ROUND(I1994*'Irish Basis'!$C$6*'Irish Basis'!$C$5,2)</f>
        <v/>
      </c>
      <c r="O1994" s="10">
        <f>ROUND(J1994*'Irish Basis'!$C$7*'Irish Basis'!$C$5,2)</f>
        <v/>
      </c>
      <c r="P1994" s="10">
        <f>ROUND(K1994*'Irish Basis'!$C$8*'Irish Basis'!$C$5,2)</f>
        <v/>
      </c>
      <c r="Q1994" s="10">
        <f>ROUND(L1994*'Irish Basis'!$C$12*'Irish Basis'!$C$5,2)</f>
        <v/>
      </c>
      <c r="R1994" s="11">
        <f>ROUND(SUM(N1994:Q1994),2)</f>
        <v/>
      </c>
      <c r="S1994" s="5" t="inlineStr">
        <is>
          <t>Stated build-up</t>
        </is>
      </c>
      <c r="T1994" s="12" t="inlineStr">
        <is>
          <t>High</t>
        </is>
      </c>
      <c r="U1994" s="8" t="n">
        <v>7313.57</v>
      </c>
      <c r="V1994" s="13">
        <f>IF(U1994="","",ROUND(M1994-U1994,2))</f>
        <v/>
      </c>
      <c r="W1994" s="5" t="n"/>
      <c r="X1994" s="5" t="inlineStr">
        <is>
          <t>Labour + plant + material as published; reconciles to the published rate.</t>
        </is>
      </c>
    </row>
    <row r="1995" ht="13" customHeight="1">
      <c r="A1995" s="4" t="n">
        <v>3045</v>
      </c>
      <c r="B1995" s="5" t="inlineStr">
        <is>
          <t>IMG_0106</t>
        </is>
      </c>
      <c r="C1995" s="5" t="inlineStr">
        <is>
          <t>CLASS K: PIPEWORK - MANHOLES AND PIPEWORK ANCILLARIES</t>
        </is>
      </c>
      <c r="D1995" s="5" t="inlineStr">
        <is>
          <t>01 MANHOLES</t>
        </is>
      </c>
      <c r="E1995" s="5" t="inlineStr">
        <is>
          <t>1800 dia. x 4000 depth to invert</t>
        </is>
      </c>
      <c r="F1995" s="5" t="inlineStr">
        <is>
          <t>excavation, support, backfilling and disposal</t>
        </is>
      </c>
      <c r="G1995" s="6" t="inlineStr">
        <is>
          <t>nr</t>
        </is>
      </c>
      <c r="H1995" s="7" t="n">
        <v>10.58</v>
      </c>
      <c r="I1995" s="8" t="n">
        <v>993.9400000000001</v>
      </c>
      <c r="J1995" s="8" t="n">
        <v>725.74</v>
      </c>
      <c r="K1995" s="8" t="n">
        <v>0</v>
      </c>
      <c r="L1995" s="8" t="n">
        <v>0</v>
      </c>
      <c r="M1995" s="9">
        <f>ROUND(SUM(I1995:L1995),2)</f>
        <v/>
      </c>
      <c r="N1995" s="10">
        <f>ROUND(I1995*'Irish Basis'!$C$6*'Irish Basis'!$C$5,2)</f>
        <v/>
      </c>
      <c r="O1995" s="10">
        <f>ROUND(J1995*'Irish Basis'!$C$7*'Irish Basis'!$C$5,2)</f>
        <v/>
      </c>
      <c r="P1995" s="10">
        <f>ROUND(K1995*'Irish Basis'!$C$8*'Irish Basis'!$C$5,2)</f>
        <v/>
      </c>
      <c r="Q1995" s="10">
        <f>ROUND(L1995*'Irish Basis'!$C$12*'Irish Basis'!$C$5,2)</f>
        <v/>
      </c>
      <c r="R1995" s="11">
        <f>ROUND(SUM(N1995:Q1995),2)</f>
        <v/>
      </c>
      <c r="S1995" s="5" t="inlineStr">
        <is>
          <t>Stated build-up</t>
        </is>
      </c>
      <c r="T1995" s="12" t="inlineStr">
        <is>
          <t>High</t>
        </is>
      </c>
      <c r="U1995" s="8" t="n">
        <v>1719.68</v>
      </c>
      <c r="V1995" s="13">
        <f>IF(U1995="","",ROUND(M1995-U1995,2))</f>
        <v/>
      </c>
      <c r="W1995" s="5" t="n"/>
      <c r="X1995" s="5" t="inlineStr">
        <is>
          <t>Labour + plant + material as published; reconciles to the published rate.</t>
        </is>
      </c>
    </row>
    <row r="1996" ht="13" customHeight="1">
      <c r="A1996" s="4" t="n">
        <v>3046</v>
      </c>
      <c r="B1996" s="5" t="inlineStr">
        <is>
          <t>IMG_0106</t>
        </is>
      </c>
      <c r="C1996" s="5" t="inlineStr">
        <is>
          <t>CLASS K: PIPEWORK - MANHOLES AND PIPEWORK ANCILLARIES</t>
        </is>
      </c>
      <c r="D1996" s="5" t="inlineStr">
        <is>
          <t>01 MANHOLES</t>
        </is>
      </c>
      <c r="E1996" s="5" t="inlineStr">
        <is>
          <t>1800 dia. x 4000 depth to invert</t>
        </is>
      </c>
      <c r="F1996" s="5" t="inlineStr">
        <is>
          <t>concrete base</t>
        </is>
      </c>
      <c r="G1996" s="6" t="inlineStr">
        <is>
          <t>nr</t>
        </is>
      </c>
      <c r="H1996" s="7" t="n">
        <v>1.91</v>
      </c>
      <c r="I1996" s="8" t="n">
        <v>50.8</v>
      </c>
      <c r="J1996" s="8" t="n">
        <v>17.59</v>
      </c>
      <c r="K1996" s="8" t="n">
        <v>166.81</v>
      </c>
      <c r="L1996" s="8" t="n">
        <v>0</v>
      </c>
      <c r="M1996" s="9">
        <f>ROUND(SUM(I1996:L1996),2)</f>
        <v/>
      </c>
      <c r="N1996" s="10">
        <f>ROUND(I1996*'Irish Basis'!$C$6*'Irish Basis'!$C$5,2)</f>
        <v/>
      </c>
      <c r="O1996" s="10">
        <f>ROUND(J1996*'Irish Basis'!$C$7*'Irish Basis'!$C$5,2)</f>
        <v/>
      </c>
      <c r="P1996" s="10">
        <f>ROUND(K1996*'Irish Basis'!$C$8*'Irish Basis'!$C$5,2)</f>
        <v/>
      </c>
      <c r="Q1996" s="10">
        <f>ROUND(L1996*'Irish Basis'!$C$12*'Irish Basis'!$C$5,2)</f>
        <v/>
      </c>
      <c r="R1996" s="11">
        <f>ROUND(SUM(N1996:Q1996),2)</f>
        <v/>
      </c>
      <c r="S1996" s="5" t="inlineStr">
        <is>
          <t>Stated build-up</t>
        </is>
      </c>
      <c r="T1996" s="12" t="inlineStr">
        <is>
          <t>High</t>
        </is>
      </c>
      <c r="U1996" s="8" t="n">
        <v>235.2</v>
      </c>
      <c r="V1996" s="13">
        <f>IF(U1996="","",ROUND(M1996-U1996,2))</f>
        <v/>
      </c>
      <c r="W1996" s="5" t="n"/>
      <c r="X1996" s="5" t="inlineStr">
        <is>
          <t>Labour + plant + material as published; reconciles to the published rate.</t>
        </is>
      </c>
    </row>
    <row r="1997" ht="13" customHeight="1">
      <c r="A1997" s="4" t="n">
        <v>3047</v>
      </c>
      <c r="B1997" s="5" t="inlineStr">
        <is>
          <t>IMG_0106</t>
        </is>
      </c>
      <c r="C1997" s="5" t="inlineStr">
        <is>
          <t>CLASS K: PIPEWORK - MANHOLES AND PIPEWORK ANCILLARIES</t>
        </is>
      </c>
      <c r="D1997" s="5" t="inlineStr">
        <is>
          <t>01 MANHOLES</t>
        </is>
      </c>
      <c r="E1997" s="5" t="inlineStr">
        <is>
          <t>1800 dia. x 4000 depth to invert</t>
        </is>
      </c>
      <c r="F1997" s="5" t="inlineStr">
        <is>
          <t>main chamber rings</t>
        </is>
      </c>
      <c r="G1997" s="6" t="inlineStr">
        <is>
          <t>nr</t>
        </is>
      </c>
      <c r="H1997" s="7" t="n">
        <v>24</v>
      </c>
      <c r="I1997" s="8" t="n">
        <v>735.71</v>
      </c>
      <c r="J1997" s="8" t="n">
        <v>545.54</v>
      </c>
      <c r="K1997" s="8" t="n">
        <v>2112.88</v>
      </c>
      <c r="L1997" s="8" t="n">
        <v>0</v>
      </c>
      <c r="M1997" s="9">
        <f>ROUND(SUM(I1997:L1997),2)</f>
        <v/>
      </c>
      <c r="N1997" s="10">
        <f>ROUND(I1997*'Irish Basis'!$C$6*'Irish Basis'!$C$5,2)</f>
        <v/>
      </c>
      <c r="O1997" s="10">
        <f>ROUND(J1997*'Irish Basis'!$C$7*'Irish Basis'!$C$5,2)</f>
        <v/>
      </c>
      <c r="P1997" s="10">
        <f>ROUND(K1997*'Irish Basis'!$C$8*'Irish Basis'!$C$5,2)</f>
        <v/>
      </c>
      <c r="Q1997" s="10">
        <f>ROUND(L1997*'Irish Basis'!$C$12*'Irish Basis'!$C$5,2)</f>
        <v/>
      </c>
      <c r="R1997" s="11">
        <f>ROUND(SUM(N1997:Q1997),2)</f>
        <v/>
      </c>
      <c r="S1997" s="5" t="inlineStr">
        <is>
          <t>Stated build-up</t>
        </is>
      </c>
      <c r="T1997" s="12" t="inlineStr">
        <is>
          <t>High</t>
        </is>
      </c>
      <c r="U1997" s="8" t="n">
        <v>3394.14</v>
      </c>
      <c r="V1997" s="13">
        <f>IF(U1997="","",ROUND(M1997-U1997,2))</f>
        <v/>
      </c>
      <c r="W1997" s="5" t="n"/>
      <c r="X1997" s="5" t="inlineStr">
        <is>
          <t>Labour + plant + material as published; reconciles to the published rate.</t>
        </is>
      </c>
    </row>
    <row r="1998" ht="13" customHeight="1">
      <c r="A1998" s="4" t="n">
        <v>3048</v>
      </c>
      <c r="B1998" s="5" t="inlineStr">
        <is>
          <t>IMG_0106</t>
        </is>
      </c>
      <c r="C1998" s="5" t="inlineStr">
        <is>
          <t>CLASS K: PIPEWORK - MANHOLES AND PIPEWORK ANCILLARIES</t>
        </is>
      </c>
      <c r="D1998" s="5" t="inlineStr">
        <is>
          <t>01 MANHOLES</t>
        </is>
      </c>
      <c r="E1998" s="5" t="inlineStr">
        <is>
          <t>1800 dia. x 4000 depth to invert</t>
        </is>
      </c>
      <c r="F1998" s="5" t="inlineStr">
        <is>
          <t>cover slab</t>
        </is>
      </c>
      <c r="G1998" s="6" t="inlineStr">
        <is>
          <t>nr</t>
        </is>
      </c>
      <c r="H1998" s="7" t="n">
        <v>3.6</v>
      </c>
      <c r="I1998" s="8" t="n">
        <v>110.36</v>
      </c>
      <c r="J1998" s="8" t="n">
        <v>81.84</v>
      </c>
      <c r="K1998" s="8" t="n">
        <v>609.08</v>
      </c>
      <c r="L1998" s="8" t="n">
        <v>0</v>
      </c>
      <c r="M1998" s="9">
        <f>ROUND(SUM(I1998:L1998),2)</f>
        <v/>
      </c>
      <c r="N1998" s="10">
        <f>ROUND(I1998*'Irish Basis'!$C$6*'Irish Basis'!$C$5,2)</f>
        <v/>
      </c>
      <c r="O1998" s="10">
        <f>ROUND(J1998*'Irish Basis'!$C$7*'Irish Basis'!$C$5,2)</f>
        <v/>
      </c>
      <c r="P1998" s="10">
        <f>ROUND(K1998*'Irish Basis'!$C$8*'Irish Basis'!$C$5,2)</f>
        <v/>
      </c>
      <c r="Q1998" s="10">
        <f>ROUND(L1998*'Irish Basis'!$C$12*'Irish Basis'!$C$5,2)</f>
        <v/>
      </c>
      <c r="R1998" s="11">
        <f>ROUND(SUM(N1998:Q1998),2)</f>
        <v/>
      </c>
      <c r="S1998" s="5" t="inlineStr">
        <is>
          <t>Stated build-up</t>
        </is>
      </c>
      <c r="T1998" s="12" t="inlineStr">
        <is>
          <t>High</t>
        </is>
      </c>
      <c r="U1998" s="8" t="n">
        <v>801.28</v>
      </c>
      <c r="V1998" s="13">
        <f>IF(U1998="","",ROUND(M1998-U1998,2))</f>
        <v/>
      </c>
      <c r="W1998" s="5" t="n"/>
      <c r="X1998" s="5" t="inlineStr">
        <is>
          <t>Labour + plant + material as published; reconciles to the published rate.</t>
        </is>
      </c>
    </row>
    <row r="1999" ht="13" customHeight="1">
      <c r="A1999" s="4" t="n">
        <v>3049</v>
      </c>
      <c r="B1999" s="5" t="inlineStr">
        <is>
          <t>IMG_0106</t>
        </is>
      </c>
      <c r="C1999" s="5" t="inlineStr">
        <is>
          <t>CLASS K: PIPEWORK - MANHOLES AND PIPEWORK ANCILLARIES</t>
        </is>
      </c>
      <c r="D1999" s="5" t="inlineStr">
        <is>
          <t>01 MANHOLES</t>
        </is>
      </c>
      <c r="E1999" s="5" t="inlineStr">
        <is>
          <t>1800 dia. x 4000 depth to invert</t>
        </is>
      </c>
      <c r="F1999" s="5" t="inlineStr">
        <is>
          <t>concrete surround</t>
        </is>
      </c>
      <c r="G1999" s="6" t="inlineStr">
        <is>
          <t>nr</t>
        </is>
      </c>
      <c r="H1999" s="7" t="n">
        <v>7.8</v>
      </c>
      <c r="I1999" s="8" t="n">
        <v>207.42</v>
      </c>
      <c r="J1999" s="8" t="n">
        <v>80.62</v>
      </c>
      <c r="K1999" s="8" t="n">
        <v>495.13</v>
      </c>
      <c r="L1999" s="8" t="n">
        <v>0</v>
      </c>
      <c r="M1999" s="9">
        <f>ROUND(SUM(I1999:L1999),2)</f>
        <v/>
      </c>
      <c r="N1999" s="10">
        <f>ROUND(I1999*'Irish Basis'!$C$6*'Irish Basis'!$C$5,2)</f>
        <v/>
      </c>
      <c r="O1999" s="10">
        <f>ROUND(J1999*'Irish Basis'!$C$7*'Irish Basis'!$C$5,2)</f>
        <v/>
      </c>
      <c r="P1999" s="10">
        <f>ROUND(K1999*'Irish Basis'!$C$8*'Irish Basis'!$C$5,2)</f>
        <v/>
      </c>
      <c r="Q1999" s="10">
        <f>ROUND(L1999*'Irish Basis'!$C$12*'Irish Basis'!$C$5,2)</f>
        <v/>
      </c>
      <c r="R1999" s="11">
        <f>ROUND(SUM(N1999:Q1999),2)</f>
        <v/>
      </c>
      <c r="S1999" s="5" t="inlineStr">
        <is>
          <t>Stated build-up</t>
        </is>
      </c>
      <c r="T1999" s="12" t="inlineStr">
        <is>
          <t>High</t>
        </is>
      </c>
      <c r="U1999" s="8" t="n">
        <v>783.17</v>
      </c>
      <c r="V1999" s="13">
        <f>IF(U1999="","",ROUND(M1999-U1999,2))</f>
        <v/>
      </c>
      <c r="W1999" s="5" t="n"/>
      <c r="X1999" s="5" t="inlineStr">
        <is>
          <t>Labour + plant + material as published; reconciles to the published rate.</t>
        </is>
      </c>
    </row>
    <row r="2000" ht="13" customHeight="1">
      <c r="A2000" s="4" t="n">
        <v>3050</v>
      </c>
      <c r="B2000" s="5" t="inlineStr">
        <is>
          <t>IMG_0106</t>
        </is>
      </c>
      <c r="C2000" s="5" t="inlineStr">
        <is>
          <t>CLASS K: PIPEWORK - MANHOLES AND PIPEWORK ANCILLARIES</t>
        </is>
      </c>
      <c r="D2000" s="5" t="inlineStr">
        <is>
          <t>01 MANHOLES</t>
        </is>
      </c>
      <c r="E2000" s="5" t="inlineStr">
        <is>
          <t>1800 dia. x 4000 depth to invert</t>
        </is>
      </c>
      <c r="F2000" s="5" t="inlineStr">
        <is>
          <t>concrete benching, main and branch channels</t>
        </is>
      </c>
      <c r="G2000" s="6" t="inlineStr">
        <is>
          <t>nr</t>
        </is>
      </c>
      <c r="H2000" s="7" t="n">
        <v>7.38</v>
      </c>
      <c r="I2000" s="8" t="n">
        <v>198.58</v>
      </c>
      <c r="J2000" s="8" t="n">
        <v>54.57</v>
      </c>
      <c r="K2000" s="8" t="n">
        <v>192.16</v>
      </c>
      <c r="L2000" s="8" t="n">
        <v>0</v>
      </c>
      <c r="M2000" s="9">
        <f>ROUND(SUM(I2000:L2000),2)</f>
        <v/>
      </c>
      <c r="N2000" s="10">
        <f>ROUND(I2000*'Irish Basis'!$C$6*'Irish Basis'!$C$5,2)</f>
        <v/>
      </c>
      <c r="O2000" s="10">
        <f>ROUND(J2000*'Irish Basis'!$C$7*'Irish Basis'!$C$5,2)</f>
        <v/>
      </c>
      <c r="P2000" s="10">
        <f>ROUND(K2000*'Irish Basis'!$C$8*'Irish Basis'!$C$5,2)</f>
        <v/>
      </c>
      <c r="Q2000" s="10">
        <f>ROUND(L2000*'Irish Basis'!$C$12*'Irish Basis'!$C$5,2)</f>
        <v/>
      </c>
      <c r="R2000" s="11">
        <f>ROUND(SUM(N2000:Q2000),2)</f>
        <v/>
      </c>
      <c r="S2000" s="5" t="inlineStr">
        <is>
          <t>Stated build-up</t>
        </is>
      </c>
      <c r="T2000" s="12" t="inlineStr">
        <is>
          <t>High</t>
        </is>
      </c>
      <c r="U2000" s="8" t="n">
        <v>445.31</v>
      </c>
      <c r="V2000" s="13">
        <f>IF(U2000="","",ROUND(M2000-U2000,2))</f>
        <v/>
      </c>
      <c r="W2000" s="5" t="n"/>
      <c r="X2000" s="5" t="inlineStr">
        <is>
          <t>Labour + plant + material as published; reconciles to the published rate.</t>
        </is>
      </c>
    </row>
    <row r="2001" ht="13" customHeight="1">
      <c r="A2001" s="4" t="n">
        <v>3051</v>
      </c>
      <c r="B2001" s="5" t="inlineStr">
        <is>
          <t>IMG_0106</t>
        </is>
      </c>
      <c r="C2001" s="5" t="inlineStr">
        <is>
          <t>CLASS K: PIPEWORK - MANHOLES AND PIPEWORK ANCILLARIES</t>
        </is>
      </c>
      <c r="D2001" s="5" t="inlineStr">
        <is>
          <t>01 MANHOLES</t>
        </is>
      </c>
      <c r="E2001" s="5" t="inlineStr">
        <is>
          <t>1800 dia. x 4000 depth to invert</t>
        </is>
      </c>
      <c r="F2001" s="5" t="inlineStr">
        <is>
          <t>step irons</t>
        </is>
      </c>
      <c r="G2001" s="6" t="inlineStr">
        <is>
          <t>nr</t>
        </is>
      </c>
      <c r="H2001" s="7" t="n">
        <v>1.37</v>
      </c>
      <c r="I2001" s="8" t="n">
        <v>33.49</v>
      </c>
      <c r="J2001" s="8" t="n">
        <v>4.45</v>
      </c>
      <c r="K2001" s="8" t="n">
        <v>297.97</v>
      </c>
      <c r="L2001" s="8" t="n">
        <v>0</v>
      </c>
      <c r="M2001" s="9">
        <f>ROUND(SUM(I2001:L2001),2)</f>
        <v/>
      </c>
      <c r="N2001" s="10">
        <f>ROUND(I2001*'Irish Basis'!$C$6*'Irish Basis'!$C$5,2)</f>
        <v/>
      </c>
      <c r="O2001" s="10">
        <f>ROUND(J2001*'Irish Basis'!$C$7*'Irish Basis'!$C$5,2)</f>
        <v/>
      </c>
      <c r="P2001" s="10">
        <f>ROUND(K2001*'Irish Basis'!$C$8*'Irish Basis'!$C$5,2)</f>
        <v/>
      </c>
      <c r="Q2001" s="10">
        <f>ROUND(L2001*'Irish Basis'!$C$12*'Irish Basis'!$C$5,2)</f>
        <v/>
      </c>
      <c r="R2001" s="11">
        <f>ROUND(SUM(N2001:Q2001),2)</f>
        <v/>
      </c>
      <c r="S2001" s="5" t="inlineStr">
        <is>
          <t>Stated build-up</t>
        </is>
      </c>
      <c r="T2001" s="12" t="inlineStr">
        <is>
          <t>High</t>
        </is>
      </c>
      <c r="U2001" s="8" t="n">
        <v>335.91</v>
      </c>
      <c r="V2001" s="13">
        <f>IF(U2001="","",ROUND(M2001-U2001,2))</f>
        <v/>
      </c>
      <c r="W2001" s="5" t="n"/>
      <c r="X2001" s="5" t="inlineStr">
        <is>
          <t>Labour + plant + material as published; reconciles to the published rate.</t>
        </is>
      </c>
    </row>
    <row r="2002" ht="13" customHeight="1">
      <c r="A2002" s="4" t="n">
        <v>3052</v>
      </c>
      <c r="B2002" s="5" t="inlineStr">
        <is>
          <t>IMG_0106</t>
        </is>
      </c>
      <c r="C2002" s="5" t="inlineStr">
        <is>
          <t>CLASS K: PIPEWORK - MANHOLES AND PIPEWORK ANCILLARIES</t>
        </is>
      </c>
      <c r="D2002" s="5" t="inlineStr">
        <is>
          <t>01 MANHOLES</t>
        </is>
      </c>
      <c r="E2002" s="5" t="inlineStr">
        <is>
          <t>1800 dia. x 4000 depth to invert</t>
        </is>
      </c>
      <c r="F2002" s="5" t="inlineStr">
        <is>
          <t>access cover and frame</t>
        </is>
      </c>
      <c r="G2002" s="6" t="inlineStr">
        <is>
          <t>nr</t>
        </is>
      </c>
      <c r="H2002" s="7" t="n">
        <v>1.44</v>
      </c>
      <c r="I2002" s="8" t="n">
        <v>40.16</v>
      </c>
      <c r="J2002" s="8" t="n">
        <v>4.42</v>
      </c>
      <c r="K2002" s="8" t="n">
        <v>341.51</v>
      </c>
      <c r="L2002" s="8" t="n">
        <v>0</v>
      </c>
      <c r="M2002" s="9">
        <f>ROUND(SUM(I2002:L2002),2)</f>
        <v/>
      </c>
      <c r="N2002" s="10">
        <f>ROUND(I2002*'Irish Basis'!$C$6*'Irish Basis'!$C$5,2)</f>
        <v/>
      </c>
      <c r="O2002" s="10">
        <f>ROUND(J2002*'Irish Basis'!$C$7*'Irish Basis'!$C$5,2)</f>
        <v/>
      </c>
      <c r="P2002" s="10">
        <f>ROUND(K2002*'Irish Basis'!$C$8*'Irish Basis'!$C$5,2)</f>
        <v/>
      </c>
      <c r="Q2002" s="10">
        <f>ROUND(L2002*'Irish Basis'!$C$12*'Irish Basis'!$C$5,2)</f>
        <v/>
      </c>
      <c r="R2002" s="11">
        <f>ROUND(SUM(N2002:Q2002),2)</f>
        <v/>
      </c>
      <c r="S2002" s="5" t="inlineStr">
        <is>
          <t>Stated build-up</t>
        </is>
      </c>
      <c r="T2002" s="12" t="inlineStr">
        <is>
          <t>High</t>
        </is>
      </c>
      <c r="U2002" s="8" t="n">
        <v>386.09</v>
      </c>
      <c r="V2002" s="13">
        <f>IF(U2002="","",ROUND(M2002-U2002,2))</f>
        <v/>
      </c>
      <c r="W2002" s="5" t="n"/>
      <c r="X2002" s="5" t="inlineStr">
        <is>
          <t>Labour + plant + material as published; reconciles to the published rate.</t>
        </is>
      </c>
    </row>
    <row r="2003" ht="13" customHeight="1">
      <c r="A2003" s="4" t="n">
        <v>3053</v>
      </c>
      <c r="B2003" s="5" t="inlineStr">
        <is>
          <t>IMG_0106</t>
        </is>
      </c>
      <c r="C2003" s="5" t="inlineStr">
        <is>
          <t>CLASS K: PIPEWORK - MANHOLES AND PIPEWORK ANCILLARIES</t>
        </is>
      </c>
      <c r="D2003" s="5" t="inlineStr">
        <is>
          <t>01 MANHOLES</t>
        </is>
      </c>
      <c r="E2003" s="5" t="inlineStr">
        <is>
          <t>1800 dia. x 4000 depth to invert</t>
        </is>
      </c>
      <c r="F2003" s="5" t="inlineStr">
        <is>
          <t>TOTAL</t>
        </is>
      </c>
      <c r="G2003" s="6" t="inlineStr">
        <is>
          <t>nr</t>
        </is>
      </c>
      <c r="H2003" s="7" t="n">
        <v>58.07</v>
      </c>
      <c r="I2003" s="8" t="n">
        <v>2370.46</v>
      </c>
      <c r="J2003" s="8" t="n">
        <v>1514.79</v>
      </c>
      <c r="K2003" s="8" t="n">
        <v>4215.54</v>
      </c>
      <c r="L2003" s="8" t="n">
        <v>0</v>
      </c>
      <c r="M2003" s="9">
        <f>ROUND(SUM(I2003:L2003),2)</f>
        <v/>
      </c>
      <c r="N2003" s="10">
        <f>ROUND(I2003*'Irish Basis'!$C$6*'Irish Basis'!$C$5,2)</f>
        <v/>
      </c>
      <c r="O2003" s="10">
        <f>ROUND(J2003*'Irish Basis'!$C$7*'Irish Basis'!$C$5,2)</f>
        <v/>
      </c>
      <c r="P2003" s="10">
        <f>ROUND(K2003*'Irish Basis'!$C$8*'Irish Basis'!$C$5,2)</f>
        <v/>
      </c>
      <c r="Q2003" s="10">
        <f>ROUND(L2003*'Irish Basis'!$C$12*'Irish Basis'!$C$5,2)</f>
        <v/>
      </c>
      <c r="R2003" s="11">
        <f>ROUND(SUM(N2003:Q2003),2)</f>
        <v/>
      </c>
      <c r="S2003" s="5" t="inlineStr">
        <is>
          <t>Stated build-up</t>
        </is>
      </c>
      <c r="T2003" s="12" t="inlineStr">
        <is>
          <t>High</t>
        </is>
      </c>
      <c r="U2003" s="8" t="n">
        <v>8100.78</v>
      </c>
      <c r="V2003" s="13">
        <f>IF(U2003="","",ROUND(M2003-U2003,2))</f>
        <v/>
      </c>
      <c r="W2003" s="5" t="n"/>
      <c r="X2003" s="5" t="inlineStr">
        <is>
          <t>Labour + plant + material as published; reconciles to the published rate.</t>
        </is>
      </c>
    </row>
    <row r="2004" ht="13" customHeight="1">
      <c r="A2004" s="4" t="n">
        <v>3055</v>
      </c>
      <c r="B2004" s="5" t="inlineStr">
        <is>
          <t>IMG_0106</t>
        </is>
      </c>
      <c r="C2004" s="5" t="inlineStr">
        <is>
          <t>CLASS K: PIPEWORK - MANHOLES AND PIPEWORK ANCILLARIES</t>
        </is>
      </c>
      <c r="D2004" s="5" t="inlineStr">
        <is>
          <t>01 MANHOLES</t>
        </is>
      </c>
      <c r="E2004" s="5" t="inlineStr">
        <is>
          <t>2400 dia. x 3000 depth to invert</t>
        </is>
      </c>
      <c r="F2004" s="5" t="inlineStr">
        <is>
          <t>excavation, support, backfilling and disposal</t>
        </is>
      </c>
      <c r="G2004" s="6" t="inlineStr">
        <is>
          <t>nr</t>
        </is>
      </c>
      <c r="H2004" s="7" t="n">
        <v>4.69</v>
      </c>
      <c r="I2004" s="8" t="n">
        <v>573.22</v>
      </c>
      <c r="J2004" s="8" t="n">
        <v>648.87</v>
      </c>
      <c r="K2004" s="8" t="n">
        <v>0</v>
      </c>
      <c r="L2004" s="8" t="n">
        <v>0</v>
      </c>
      <c r="M2004" s="9">
        <f>ROUND(SUM(I2004:L2004),2)</f>
        <v/>
      </c>
      <c r="N2004" s="10">
        <f>ROUND(I2004*'Irish Basis'!$C$6*'Irish Basis'!$C$5,2)</f>
        <v/>
      </c>
      <c r="O2004" s="10">
        <f>ROUND(J2004*'Irish Basis'!$C$7*'Irish Basis'!$C$5,2)</f>
        <v/>
      </c>
      <c r="P2004" s="10">
        <f>ROUND(K2004*'Irish Basis'!$C$8*'Irish Basis'!$C$5,2)</f>
        <v/>
      </c>
      <c r="Q2004" s="10">
        <f>ROUND(L2004*'Irish Basis'!$C$12*'Irish Basis'!$C$5,2)</f>
        <v/>
      </c>
      <c r="R2004" s="11">
        <f>ROUND(SUM(N2004:Q2004),2)</f>
        <v/>
      </c>
      <c r="S2004" s="5" t="inlineStr">
        <is>
          <t>Stated build-up</t>
        </is>
      </c>
      <c r="T2004" s="12" t="inlineStr">
        <is>
          <t>High</t>
        </is>
      </c>
      <c r="U2004" s="8" t="n">
        <v>1222.08</v>
      </c>
      <c r="V2004" s="13">
        <f>IF(U2004="","",ROUND(M2004-U2004,2))</f>
        <v/>
      </c>
      <c r="W2004" s="5" t="n"/>
      <c r="X2004" s="5" t="inlineStr">
        <is>
          <t>Labour + plant + material as published; reconciles to the published rate.</t>
        </is>
      </c>
    </row>
    <row r="2005" ht="13" customHeight="1">
      <c r="A2005" s="4" t="n">
        <v>3056</v>
      </c>
      <c r="B2005" s="5" t="inlineStr">
        <is>
          <t>IMG_0106</t>
        </is>
      </c>
      <c r="C2005" s="5" t="inlineStr">
        <is>
          <t>CLASS K: PIPEWORK - MANHOLES AND PIPEWORK ANCILLARIES</t>
        </is>
      </c>
      <c r="D2005" s="5" t="inlineStr">
        <is>
          <t>01 MANHOLES</t>
        </is>
      </c>
      <c r="E2005" s="5" t="inlineStr">
        <is>
          <t>2400 dia. x 3000 depth to invert</t>
        </is>
      </c>
      <c r="F2005" s="5" t="inlineStr">
        <is>
          <t>concrete base</t>
        </is>
      </c>
      <c r="G2005" s="6" t="inlineStr">
        <is>
          <t>nr</t>
        </is>
      </c>
      <c r="H2005" s="7" t="n">
        <v>3.42</v>
      </c>
      <c r="I2005" s="8" t="n">
        <v>90.90000000000001</v>
      </c>
      <c r="J2005" s="8" t="n">
        <v>31.48</v>
      </c>
      <c r="K2005" s="8" t="n">
        <v>298.5</v>
      </c>
      <c r="L2005" s="8" t="n">
        <v>0</v>
      </c>
      <c r="M2005" s="9">
        <f>ROUND(SUM(I2005:L2005),2)</f>
        <v/>
      </c>
      <c r="N2005" s="10">
        <f>ROUND(I2005*'Irish Basis'!$C$6*'Irish Basis'!$C$5,2)</f>
        <v/>
      </c>
      <c r="O2005" s="10">
        <f>ROUND(J2005*'Irish Basis'!$C$7*'Irish Basis'!$C$5,2)</f>
        <v/>
      </c>
      <c r="P2005" s="10">
        <f>ROUND(K2005*'Irish Basis'!$C$8*'Irish Basis'!$C$5,2)</f>
        <v/>
      </c>
      <c r="Q2005" s="10">
        <f>ROUND(L2005*'Irish Basis'!$C$12*'Irish Basis'!$C$5,2)</f>
        <v/>
      </c>
      <c r="R2005" s="11">
        <f>ROUND(SUM(N2005:Q2005),2)</f>
        <v/>
      </c>
      <c r="S2005" s="5" t="inlineStr">
        <is>
          <t>Stated build-up</t>
        </is>
      </c>
      <c r="T2005" s="12" t="inlineStr">
        <is>
          <t>High</t>
        </is>
      </c>
      <c r="U2005" s="8" t="n">
        <v>420.89</v>
      </c>
      <c r="V2005" s="13">
        <f>IF(U2005="","",ROUND(M2005-U2005,2))</f>
        <v/>
      </c>
      <c r="W2005" s="5" t="n"/>
      <c r="X2005" s="5" t="inlineStr">
        <is>
          <t>Labour + plant + material as published; reconciles to the published rate.</t>
        </is>
      </c>
    </row>
    <row r="2006" ht="13" customHeight="1">
      <c r="A2006" s="4" t="n">
        <v>3057</v>
      </c>
      <c r="B2006" s="5" t="inlineStr">
        <is>
          <t>IMG_0106</t>
        </is>
      </c>
      <c r="C2006" s="5" t="inlineStr">
        <is>
          <t>CLASS K: PIPEWORK - MANHOLES AND PIPEWORK ANCILLARIES</t>
        </is>
      </c>
      <c r="D2006" s="5" t="inlineStr">
        <is>
          <t>01 MANHOLES</t>
        </is>
      </c>
      <c r="E2006" s="5" t="inlineStr">
        <is>
          <t>2400 dia. x 3000 depth to invert</t>
        </is>
      </c>
      <c r="F2006" s="5" t="inlineStr">
        <is>
          <t>main chamber rings</t>
        </is>
      </c>
      <c r="G2006" s="6" t="inlineStr">
        <is>
          <t>nr</t>
        </is>
      </c>
      <c r="H2006" s="7" t="n">
        <v>21.6</v>
      </c>
      <c r="I2006" s="8" t="n">
        <v>744.36</v>
      </c>
      <c r="J2006" s="8" t="n">
        <v>1356.66</v>
      </c>
      <c r="K2006" s="8" t="n">
        <v>4530.57</v>
      </c>
      <c r="L2006" s="8" t="n">
        <v>0</v>
      </c>
      <c r="M2006" s="9">
        <f>ROUND(SUM(I2006:L2006),2)</f>
        <v/>
      </c>
      <c r="N2006" s="10">
        <f>ROUND(I2006*'Irish Basis'!$C$6*'Irish Basis'!$C$5,2)</f>
        <v/>
      </c>
      <c r="O2006" s="10">
        <f>ROUND(J2006*'Irish Basis'!$C$7*'Irish Basis'!$C$5,2)</f>
        <v/>
      </c>
      <c r="P2006" s="10">
        <f>ROUND(K2006*'Irish Basis'!$C$8*'Irish Basis'!$C$5,2)</f>
        <v/>
      </c>
      <c r="Q2006" s="10">
        <f>ROUND(L2006*'Irish Basis'!$C$12*'Irish Basis'!$C$5,2)</f>
        <v/>
      </c>
      <c r="R2006" s="11">
        <f>ROUND(SUM(N2006:Q2006),2)</f>
        <v/>
      </c>
      <c r="S2006" s="5" t="inlineStr">
        <is>
          <t>Stated build-up</t>
        </is>
      </c>
      <c r="T2006" s="12" t="inlineStr">
        <is>
          <t>High</t>
        </is>
      </c>
      <c r="U2006" s="8" t="n">
        <v>6631.58</v>
      </c>
      <c r="V2006" s="13">
        <f>IF(U2006="","",ROUND(M2006-U2006,2))</f>
        <v/>
      </c>
      <c r="W2006" s="5" t="n"/>
      <c r="X2006" s="5" t="inlineStr">
        <is>
          <t>Labour + plant + material as published; reconciles to the published rate.</t>
        </is>
      </c>
    </row>
    <row r="2007" ht="13" customHeight="1">
      <c r="A2007" s="4" t="n">
        <v>3058</v>
      </c>
      <c r="B2007" s="5" t="inlineStr">
        <is>
          <t>IMG_0106</t>
        </is>
      </c>
      <c r="C2007" s="5" t="inlineStr">
        <is>
          <t>CLASS K: PIPEWORK - MANHOLES AND PIPEWORK ANCILLARIES</t>
        </is>
      </c>
      <c r="D2007" s="5" t="inlineStr">
        <is>
          <t>01 MANHOLES</t>
        </is>
      </c>
      <c r="E2007" s="5" t="inlineStr">
        <is>
          <t>2400 dia. x 3000 depth to invert</t>
        </is>
      </c>
      <c r="F2007" s="5" t="inlineStr">
        <is>
          <t>cover slab</t>
        </is>
      </c>
      <c r="G2007" s="6" t="inlineStr">
        <is>
          <t>nr</t>
        </is>
      </c>
      <c r="H2007" s="7" t="n">
        <v>4.4</v>
      </c>
      <c r="I2007" s="8" t="n">
        <v>151.63</v>
      </c>
      <c r="J2007" s="8" t="n">
        <v>276.39</v>
      </c>
      <c r="K2007" s="8" t="n">
        <v>1727.27</v>
      </c>
      <c r="L2007" s="8" t="n">
        <v>0</v>
      </c>
      <c r="M2007" s="9">
        <f>ROUND(SUM(I2007:L2007),2)</f>
        <v/>
      </c>
      <c r="N2007" s="10">
        <f>ROUND(I2007*'Irish Basis'!$C$6*'Irish Basis'!$C$5,2)</f>
        <v/>
      </c>
      <c r="O2007" s="10">
        <f>ROUND(J2007*'Irish Basis'!$C$7*'Irish Basis'!$C$5,2)</f>
        <v/>
      </c>
      <c r="P2007" s="10">
        <f>ROUND(K2007*'Irish Basis'!$C$8*'Irish Basis'!$C$5,2)</f>
        <v/>
      </c>
      <c r="Q2007" s="10">
        <f>ROUND(L2007*'Irish Basis'!$C$12*'Irish Basis'!$C$5,2)</f>
        <v/>
      </c>
      <c r="R2007" s="11">
        <f>ROUND(SUM(N2007:Q2007),2)</f>
        <v/>
      </c>
      <c r="S2007" s="5" t="inlineStr">
        <is>
          <t>Stated build-up</t>
        </is>
      </c>
      <c r="T2007" s="12" t="inlineStr">
        <is>
          <t>High</t>
        </is>
      </c>
      <c r="U2007" s="8" t="n">
        <v>2155.29</v>
      </c>
      <c r="V2007" s="13">
        <f>IF(U2007="","",ROUND(M2007-U2007,2))</f>
        <v/>
      </c>
      <c r="W2007" s="5" t="n"/>
      <c r="X2007" s="5" t="inlineStr">
        <is>
          <t>Labour + plant + material as published; reconciles to the published rate.</t>
        </is>
      </c>
    </row>
    <row r="2008" ht="13" customHeight="1">
      <c r="A2008" s="4" t="n">
        <v>3059</v>
      </c>
      <c r="B2008" s="5" t="inlineStr">
        <is>
          <t>IMG_0106</t>
        </is>
      </c>
      <c r="C2008" s="5" t="inlineStr">
        <is>
          <t>CLASS K: PIPEWORK - MANHOLES AND PIPEWORK ANCILLARIES</t>
        </is>
      </c>
      <c r="D2008" s="5" t="inlineStr">
        <is>
          <t>01 MANHOLES</t>
        </is>
      </c>
      <c r="E2008" s="5" t="inlineStr">
        <is>
          <t>2400 dia. x 3000 depth to invert</t>
        </is>
      </c>
      <c r="F2008" s="5" t="inlineStr">
        <is>
          <t>concrete surround</t>
        </is>
      </c>
      <c r="G2008" s="6" t="inlineStr">
        <is>
          <t>nr</t>
        </is>
      </c>
      <c r="H2008" s="7" t="n">
        <v>7.8</v>
      </c>
      <c r="I2008" s="8" t="n">
        <v>207.42</v>
      </c>
      <c r="J2008" s="8" t="n">
        <v>80.62</v>
      </c>
      <c r="K2008" s="8" t="n">
        <v>495.13</v>
      </c>
      <c r="L2008" s="8" t="n">
        <v>0</v>
      </c>
      <c r="M2008" s="9">
        <f>ROUND(SUM(I2008:L2008),2)</f>
        <v/>
      </c>
      <c r="N2008" s="10">
        <f>ROUND(I2008*'Irish Basis'!$C$6*'Irish Basis'!$C$5,2)</f>
        <v/>
      </c>
      <c r="O2008" s="10">
        <f>ROUND(J2008*'Irish Basis'!$C$7*'Irish Basis'!$C$5,2)</f>
        <v/>
      </c>
      <c r="P2008" s="10">
        <f>ROUND(K2008*'Irish Basis'!$C$8*'Irish Basis'!$C$5,2)</f>
        <v/>
      </c>
      <c r="Q2008" s="10">
        <f>ROUND(L2008*'Irish Basis'!$C$12*'Irish Basis'!$C$5,2)</f>
        <v/>
      </c>
      <c r="R2008" s="11">
        <f>ROUND(SUM(N2008:Q2008),2)</f>
        <v/>
      </c>
      <c r="S2008" s="5" t="inlineStr">
        <is>
          <t>Stated build-up</t>
        </is>
      </c>
      <c r="T2008" s="12" t="inlineStr">
        <is>
          <t>High</t>
        </is>
      </c>
      <c r="U2008" s="8" t="n">
        <v>783.17</v>
      </c>
      <c r="V2008" s="13">
        <f>IF(U2008="","",ROUND(M2008-U2008,2))</f>
        <v/>
      </c>
      <c r="W2008" s="5" t="n"/>
      <c r="X2008" s="5" t="inlineStr">
        <is>
          <t>Labour + plant + material as published; reconciles to the published rate.</t>
        </is>
      </c>
    </row>
    <row r="2009" ht="13" customHeight="1">
      <c r="A2009" s="4" t="n">
        <v>3060</v>
      </c>
      <c r="B2009" s="5" t="inlineStr">
        <is>
          <t>IMG_0106</t>
        </is>
      </c>
      <c r="C2009" s="5" t="inlineStr">
        <is>
          <t>CLASS K: PIPEWORK - MANHOLES AND PIPEWORK ANCILLARIES</t>
        </is>
      </c>
      <c r="D2009" s="5" t="inlineStr">
        <is>
          <t>01 MANHOLES</t>
        </is>
      </c>
      <c r="E2009" s="5" t="inlineStr">
        <is>
          <t>2400 dia. x 3000 depth to invert</t>
        </is>
      </c>
      <c r="F2009" s="5" t="inlineStr">
        <is>
          <t>concrete benching, main and branch channels</t>
        </is>
      </c>
      <c r="G2009" s="6" t="inlineStr">
        <is>
          <t>nr</t>
        </is>
      </c>
      <c r="H2009" s="7" t="n">
        <v>7.88</v>
      </c>
      <c r="I2009" s="8" t="n">
        <v>213.33</v>
      </c>
      <c r="J2009" s="8" t="n">
        <v>54.57</v>
      </c>
      <c r="K2009" s="8" t="n">
        <v>192.16</v>
      </c>
      <c r="L2009" s="8" t="n">
        <v>0</v>
      </c>
      <c r="M2009" s="9">
        <f>ROUND(SUM(I2009:L2009),2)</f>
        <v/>
      </c>
      <c r="N2009" s="10">
        <f>ROUND(I2009*'Irish Basis'!$C$6*'Irish Basis'!$C$5,2)</f>
        <v/>
      </c>
      <c r="O2009" s="10">
        <f>ROUND(J2009*'Irish Basis'!$C$7*'Irish Basis'!$C$5,2)</f>
        <v/>
      </c>
      <c r="P2009" s="10">
        <f>ROUND(K2009*'Irish Basis'!$C$8*'Irish Basis'!$C$5,2)</f>
        <v/>
      </c>
      <c r="Q2009" s="10">
        <f>ROUND(L2009*'Irish Basis'!$C$12*'Irish Basis'!$C$5,2)</f>
        <v/>
      </c>
      <c r="R2009" s="11">
        <f>ROUND(SUM(N2009:Q2009),2)</f>
        <v/>
      </c>
      <c r="S2009" s="5" t="inlineStr">
        <is>
          <t>Stated build-up</t>
        </is>
      </c>
      <c r="T2009" s="12" t="inlineStr">
        <is>
          <t>High</t>
        </is>
      </c>
      <c r="U2009" s="8" t="n">
        <v>460.06</v>
      </c>
      <c r="V2009" s="13">
        <f>IF(U2009="","",ROUND(M2009-U2009,2))</f>
        <v/>
      </c>
      <c r="W2009" s="5" t="n"/>
      <c r="X2009" s="5" t="inlineStr">
        <is>
          <t>Labour + plant + material as published; reconciles to the published rate.</t>
        </is>
      </c>
    </row>
    <row r="2010" ht="13" customHeight="1">
      <c r="A2010" s="4" t="n">
        <v>3061</v>
      </c>
      <c r="B2010" s="5" t="inlineStr">
        <is>
          <t>IMG_0106</t>
        </is>
      </c>
      <c r="C2010" s="5" t="inlineStr">
        <is>
          <t>CLASS K: PIPEWORK - MANHOLES AND PIPEWORK ANCILLARIES</t>
        </is>
      </c>
      <c r="D2010" s="5" t="inlineStr">
        <is>
          <t>01 MANHOLES</t>
        </is>
      </c>
      <c r="E2010" s="5" t="inlineStr">
        <is>
          <t>2400 dia. x 3000 depth to invert</t>
        </is>
      </c>
      <c r="F2010" s="5" t="inlineStr">
        <is>
          <t>step irons</t>
        </is>
      </c>
      <c r="G2010" s="6" t="inlineStr">
        <is>
          <t>nr</t>
        </is>
      </c>
      <c r="H2010" s="7" t="n">
        <v>0.95</v>
      </c>
      <c r="I2010" s="8" t="n">
        <v>23.19</v>
      </c>
      <c r="J2010" s="8" t="n">
        <v>3.08</v>
      </c>
      <c r="K2010" s="8" t="n">
        <v>206.29</v>
      </c>
      <c r="L2010" s="8" t="n">
        <v>0</v>
      </c>
      <c r="M2010" s="9">
        <f>ROUND(SUM(I2010:L2010),2)</f>
        <v/>
      </c>
      <c r="N2010" s="10">
        <f>ROUND(I2010*'Irish Basis'!$C$6*'Irish Basis'!$C$5,2)</f>
        <v/>
      </c>
      <c r="O2010" s="10">
        <f>ROUND(J2010*'Irish Basis'!$C$7*'Irish Basis'!$C$5,2)</f>
        <v/>
      </c>
      <c r="P2010" s="10">
        <f>ROUND(K2010*'Irish Basis'!$C$8*'Irish Basis'!$C$5,2)</f>
        <v/>
      </c>
      <c r="Q2010" s="10">
        <f>ROUND(L2010*'Irish Basis'!$C$12*'Irish Basis'!$C$5,2)</f>
        <v/>
      </c>
      <c r="R2010" s="11">
        <f>ROUND(SUM(N2010:Q2010),2)</f>
        <v/>
      </c>
      <c r="S2010" s="5" t="inlineStr">
        <is>
          <t>Stated build-up</t>
        </is>
      </c>
      <c r="T2010" s="12" t="inlineStr">
        <is>
          <t>High</t>
        </is>
      </c>
      <c r="U2010" s="8" t="n">
        <v>232.55</v>
      </c>
      <c r="V2010" s="13">
        <f>IF(U2010="","",ROUND(M2010-U2010,2))</f>
        <v/>
      </c>
      <c r="W2010" s="5" t="n"/>
      <c r="X2010" s="5" t="inlineStr">
        <is>
          <t>Labour + plant + material as published; reconciles to the published rate.</t>
        </is>
      </c>
    </row>
    <row r="2011" ht="13" customHeight="1">
      <c r="A2011" s="4" t="n">
        <v>3062</v>
      </c>
      <c r="B2011" s="5" t="inlineStr">
        <is>
          <t>IMG_0106</t>
        </is>
      </c>
      <c r="C2011" s="5" t="inlineStr">
        <is>
          <t>CLASS K: PIPEWORK - MANHOLES AND PIPEWORK ANCILLARIES</t>
        </is>
      </c>
      <c r="D2011" s="5" t="inlineStr">
        <is>
          <t>01 MANHOLES</t>
        </is>
      </c>
      <c r="E2011" s="5" t="inlineStr">
        <is>
          <t>2400 dia. x 3000 depth to invert</t>
        </is>
      </c>
      <c r="F2011" s="5" t="inlineStr">
        <is>
          <t>access cover and frame</t>
        </is>
      </c>
      <c r="G2011" s="6" t="inlineStr">
        <is>
          <t>nr</t>
        </is>
      </c>
      <c r="H2011" s="7" t="n">
        <v>1.44</v>
      </c>
      <c r="I2011" s="8" t="n">
        <v>40.16</v>
      </c>
      <c r="J2011" s="8" t="n">
        <v>4.42</v>
      </c>
      <c r="K2011" s="8" t="n">
        <v>341.51</v>
      </c>
      <c r="L2011" s="8" t="n">
        <v>0</v>
      </c>
      <c r="M2011" s="9">
        <f>ROUND(SUM(I2011:L2011),2)</f>
        <v/>
      </c>
      <c r="N2011" s="10">
        <f>ROUND(I2011*'Irish Basis'!$C$6*'Irish Basis'!$C$5,2)</f>
        <v/>
      </c>
      <c r="O2011" s="10">
        <f>ROUND(J2011*'Irish Basis'!$C$7*'Irish Basis'!$C$5,2)</f>
        <v/>
      </c>
      <c r="P2011" s="10">
        <f>ROUND(K2011*'Irish Basis'!$C$8*'Irish Basis'!$C$5,2)</f>
        <v/>
      </c>
      <c r="Q2011" s="10">
        <f>ROUND(L2011*'Irish Basis'!$C$12*'Irish Basis'!$C$5,2)</f>
        <v/>
      </c>
      <c r="R2011" s="11">
        <f>ROUND(SUM(N2011:Q2011),2)</f>
        <v/>
      </c>
      <c r="S2011" s="5" t="inlineStr">
        <is>
          <t>Stated build-up</t>
        </is>
      </c>
      <c r="T2011" s="12" t="inlineStr">
        <is>
          <t>High</t>
        </is>
      </c>
      <c r="U2011" s="8" t="n">
        <v>386.09</v>
      </c>
      <c r="V2011" s="13">
        <f>IF(U2011="","",ROUND(M2011-U2011,2))</f>
        <v/>
      </c>
      <c r="W2011" s="5" t="n"/>
      <c r="X2011" s="5" t="inlineStr">
        <is>
          <t>Labour + plant + material as published; reconciles to the published rate.</t>
        </is>
      </c>
    </row>
    <row r="2012" ht="13" customHeight="1">
      <c r="A2012" s="4" t="n">
        <v>3063</v>
      </c>
      <c r="B2012" s="5" t="inlineStr">
        <is>
          <t>IMG_0106</t>
        </is>
      </c>
      <c r="C2012" s="5" t="inlineStr">
        <is>
          <t>CLASS K: PIPEWORK - MANHOLES AND PIPEWORK ANCILLARIES</t>
        </is>
      </c>
      <c r="D2012" s="5" t="inlineStr">
        <is>
          <t>01 MANHOLES</t>
        </is>
      </c>
      <c r="E2012" s="5" t="inlineStr">
        <is>
          <t>2400 dia. x 3000 depth to invert</t>
        </is>
      </c>
      <c r="F2012" s="5" t="inlineStr">
        <is>
          <t>TOTAL</t>
        </is>
      </c>
      <c r="G2012" s="6" t="inlineStr">
        <is>
          <t>nr</t>
        </is>
      </c>
      <c r="H2012" s="7" t="n">
        <v>52.17</v>
      </c>
      <c r="I2012" s="8" t="n">
        <v>2044.2</v>
      </c>
      <c r="J2012" s="8" t="n">
        <v>2456.09</v>
      </c>
      <c r="K2012" s="8" t="n">
        <v>7791.43</v>
      </c>
      <c r="L2012" s="8" t="n">
        <v>0</v>
      </c>
      <c r="M2012" s="9">
        <f>ROUND(SUM(I2012:L2012),2)</f>
        <v/>
      </c>
      <c r="N2012" s="10">
        <f>ROUND(I2012*'Irish Basis'!$C$6*'Irish Basis'!$C$5,2)</f>
        <v/>
      </c>
      <c r="O2012" s="10">
        <f>ROUND(J2012*'Irish Basis'!$C$7*'Irish Basis'!$C$5,2)</f>
        <v/>
      </c>
      <c r="P2012" s="10">
        <f>ROUND(K2012*'Irish Basis'!$C$8*'Irish Basis'!$C$5,2)</f>
        <v/>
      </c>
      <c r="Q2012" s="10">
        <f>ROUND(L2012*'Irish Basis'!$C$12*'Irish Basis'!$C$5,2)</f>
        <v/>
      </c>
      <c r="R2012" s="11">
        <f>ROUND(SUM(N2012:Q2012),2)</f>
        <v/>
      </c>
      <c r="S2012" s="5" t="inlineStr">
        <is>
          <t>Stated build-up</t>
        </is>
      </c>
      <c r="T2012" s="12" t="inlineStr">
        <is>
          <t>High</t>
        </is>
      </c>
      <c r="U2012" s="8" t="n">
        <v>12291.72</v>
      </c>
      <c r="V2012" s="13">
        <f>IF(U2012="","",ROUND(M2012-U2012,2))</f>
        <v/>
      </c>
      <c r="W2012" s="5" t="n"/>
      <c r="X2012" s="5" t="inlineStr">
        <is>
          <t>Labour + plant + material as published; reconciles to the published rate.</t>
        </is>
      </c>
    </row>
    <row r="2013" ht="13" customHeight="1">
      <c r="A2013" s="4" t="n">
        <v>3065</v>
      </c>
      <c r="B2013" s="5" t="inlineStr">
        <is>
          <t>IMG_0106</t>
        </is>
      </c>
      <c r="C2013" s="5" t="inlineStr">
        <is>
          <t>CLASS K: PIPEWORK - MANHOLES AND PIPEWORK ANCILLARIES</t>
        </is>
      </c>
      <c r="D2013" s="5" t="inlineStr">
        <is>
          <t>01 MANHOLES</t>
        </is>
      </c>
      <c r="E2013" s="5" t="inlineStr">
        <is>
          <t>2400 dia. x 4500 depth to invert</t>
        </is>
      </c>
      <c r="F2013" s="5" t="inlineStr">
        <is>
          <t>excavation, support, backfilling and disposal</t>
        </is>
      </c>
      <c r="G2013" s="6" t="inlineStr">
        <is>
          <t>nr</t>
        </is>
      </c>
      <c r="H2013" s="7" t="n">
        <v>20.82</v>
      </c>
      <c r="I2013" s="8" t="n">
        <v>1946.54</v>
      </c>
      <c r="J2013" s="8" t="n">
        <v>1287.05</v>
      </c>
      <c r="K2013" s="8" t="n">
        <v>0</v>
      </c>
      <c r="L2013" s="8" t="n">
        <v>0</v>
      </c>
      <c r="M2013" s="9">
        <f>ROUND(SUM(I2013:L2013),2)</f>
        <v/>
      </c>
      <c r="N2013" s="10">
        <f>ROUND(I2013*'Irish Basis'!$C$6*'Irish Basis'!$C$5,2)</f>
        <v/>
      </c>
      <c r="O2013" s="10">
        <f>ROUND(J2013*'Irish Basis'!$C$7*'Irish Basis'!$C$5,2)</f>
        <v/>
      </c>
      <c r="P2013" s="10">
        <f>ROUND(K2013*'Irish Basis'!$C$8*'Irish Basis'!$C$5,2)</f>
        <v/>
      </c>
      <c r="Q2013" s="10">
        <f>ROUND(L2013*'Irish Basis'!$C$12*'Irish Basis'!$C$5,2)</f>
        <v/>
      </c>
      <c r="R2013" s="11">
        <f>ROUND(SUM(N2013:Q2013),2)</f>
        <v/>
      </c>
      <c r="S2013" s="5" t="inlineStr">
        <is>
          <t>Stated build-up</t>
        </is>
      </c>
      <c r="T2013" s="12" t="inlineStr">
        <is>
          <t>High</t>
        </is>
      </c>
      <c r="U2013" s="8" t="n">
        <v>3233.59</v>
      </c>
      <c r="V2013" s="13">
        <f>IF(U2013="","",ROUND(M2013-U2013,2))</f>
        <v/>
      </c>
      <c r="W2013" s="5" t="n"/>
      <c r="X2013" s="5" t="inlineStr">
        <is>
          <t>Labour + plant + material as published; reconciles to the published rate.</t>
        </is>
      </c>
    </row>
    <row r="2014" ht="13" customHeight="1">
      <c r="A2014" s="4" t="n">
        <v>3066</v>
      </c>
      <c r="B2014" s="5" t="inlineStr">
        <is>
          <t>IMG_0106</t>
        </is>
      </c>
      <c r="C2014" s="5" t="inlineStr">
        <is>
          <t>CLASS K: PIPEWORK - MANHOLES AND PIPEWORK ANCILLARIES</t>
        </is>
      </c>
      <c r="D2014" s="5" t="inlineStr">
        <is>
          <t>01 MANHOLES</t>
        </is>
      </c>
      <c r="E2014" s="5" t="inlineStr">
        <is>
          <t>2400 dia. x 4500 depth to invert</t>
        </is>
      </c>
      <c r="F2014" s="5" t="inlineStr">
        <is>
          <t>concrete base</t>
        </is>
      </c>
      <c r="G2014" s="6" t="inlineStr">
        <is>
          <t>nr</t>
        </is>
      </c>
      <c r="H2014" s="7" t="n">
        <v>3.42</v>
      </c>
      <c r="I2014" s="8" t="n">
        <v>90.90000000000001</v>
      </c>
      <c r="J2014" s="8" t="n">
        <v>31.48</v>
      </c>
      <c r="K2014" s="8" t="n">
        <v>298.5</v>
      </c>
      <c r="L2014" s="8" t="n">
        <v>0</v>
      </c>
      <c r="M2014" s="9">
        <f>ROUND(SUM(I2014:L2014),2)</f>
        <v/>
      </c>
      <c r="N2014" s="10">
        <f>ROUND(I2014*'Irish Basis'!$C$6*'Irish Basis'!$C$5,2)</f>
        <v/>
      </c>
      <c r="O2014" s="10">
        <f>ROUND(J2014*'Irish Basis'!$C$7*'Irish Basis'!$C$5,2)</f>
        <v/>
      </c>
      <c r="P2014" s="10">
        <f>ROUND(K2014*'Irish Basis'!$C$8*'Irish Basis'!$C$5,2)</f>
        <v/>
      </c>
      <c r="Q2014" s="10">
        <f>ROUND(L2014*'Irish Basis'!$C$12*'Irish Basis'!$C$5,2)</f>
        <v/>
      </c>
      <c r="R2014" s="11">
        <f>ROUND(SUM(N2014:Q2014),2)</f>
        <v/>
      </c>
      <c r="S2014" s="5" t="inlineStr">
        <is>
          <t>Stated build-up</t>
        </is>
      </c>
      <c r="T2014" s="12" t="inlineStr">
        <is>
          <t>High</t>
        </is>
      </c>
      <c r="U2014" s="8" t="n">
        <v>420.89</v>
      </c>
      <c r="V2014" s="13">
        <f>IF(U2014="","",ROUND(M2014-U2014,2))</f>
        <v/>
      </c>
      <c r="W2014" s="5" t="n"/>
      <c r="X2014" s="5" t="inlineStr">
        <is>
          <t>Labour + plant + material as published; reconciles to the published rate.</t>
        </is>
      </c>
    </row>
    <row r="2015" ht="13" customHeight="1">
      <c r="A2015" s="4" t="n">
        <v>3067</v>
      </c>
      <c r="B2015" s="5" t="inlineStr">
        <is>
          <t>IMG_0106</t>
        </is>
      </c>
      <c r="C2015" s="5" t="inlineStr">
        <is>
          <t>CLASS K: PIPEWORK - MANHOLES AND PIPEWORK ANCILLARIES</t>
        </is>
      </c>
      <c r="D2015" s="5" t="inlineStr">
        <is>
          <t>01 MANHOLES</t>
        </is>
      </c>
      <c r="E2015" s="5" t="inlineStr">
        <is>
          <t>2400 dia. x 4500 depth to invert</t>
        </is>
      </c>
      <c r="F2015" s="5" t="inlineStr">
        <is>
          <t>main chamber rings</t>
        </is>
      </c>
      <c r="G2015" s="6" t="inlineStr">
        <is>
          <t>nr</t>
        </is>
      </c>
      <c r="H2015" s="7" t="n">
        <v>32.4</v>
      </c>
      <c r="I2015" s="8" t="n">
        <v>1116.54</v>
      </c>
      <c r="J2015" s="8" t="n">
        <v>2034.99</v>
      </c>
      <c r="K2015" s="8" t="n">
        <v>6795.85</v>
      </c>
      <c r="L2015" s="8" t="n">
        <v>0</v>
      </c>
      <c r="M2015" s="9">
        <f>ROUND(SUM(I2015:L2015),2)</f>
        <v/>
      </c>
      <c r="N2015" s="10">
        <f>ROUND(I2015*'Irish Basis'!$C$6*'Irish Basis'!$C$5,2)</f>
        <v/>
      </c>
      <c r="O2015" s="10">
        <f>ROUND(J2015*'Irish Basis'!$C$7*'Irish Basis'!$C$5,2)</f>
        <v/>
      </c>
      <c r="P2015" s="10">
        <f>ROUND(K2015*'Irish Basis'!$C$8*'Irish Basis'!$C$5,2)</f>
        <v/>
      </c>
      <c r="Q2015" s="10">
        <f>ROUND(L2015*'Irish Basis'!$C$12*'Irish Basis'!$C$5,2)</f>
        <v/>
      </c>
      <c r="R2015" s="11">
        <f>ROUND(SUM(N2015:Q2015),2)</f>
        <v/>
      </c>
      <c r="S2015" s="5" t="inlineStr">
        <is>
          <t>Stated build-up</t>
        </is>
      </c>
      <c r="T2015" s="12" t="inlineStr">
        <is>
          <t>High</t>
        </is>
      </c>
      <c r="U2015" s="8" t="n">
        <v>9947.370000000001</v>
      </c>
      <c r="V2015" s="13">
        <f>IF(U2015="","",ROUND(M2015-U2015,2))</f>
        <v/>
      </c>
      <c r="W2015" s="5" t="n"/>
      <c r="X2015" s="5" t="inlineStr">
        <is>
          <t>Labour + plant + material as published; reconciles to the published rate.</t>
        </is>
      </c>
    </row>
    <row r="2016" ht="13" customHeight="1">
      <c r="A2016" s="4" t="n">
        <v>3068</v>
      </c>
      <c r="B2016" s="5" t="inlineStr">
        <is>
          <t>IMG_0106</t>
        </is>
      </c>
      <c r="C2016" s="5" t="inlineStr">
        <is>
          <t>CLASS K: PIPEWORK - MANHOLES AND PIPEWORK ANCILLARIES</t>
        </is>
      </c>
      <c r="D2016" s="5" t="inlineStr">
        <is>
          <t>01 MANHOLES</t>
        </is>
      </c>
      <c r="E2016" s="5" t="inlineStr">
        <is>
          <t>2400 dia. x 4500 depth to invert</t>
        </is>
      </c>
      <c r="F2016" s="5" t="inlineStr">
        <is>
          <t>cover slab</t>
        </is>
      </c>
      <c r="G2016" s="6" t="inlineStr">
        <is>
          <t>nr</t>
        </is>
      </c>
      <c r="H2016" s="7" t="n">
        <v>4.4</v>
      </c>
      <c r="I2016" s="8" t="n">
        <v>151.63</v>
      </c>
      <c r="J2016" s="8" t="n">
        <v>276.39</v>
      </c>
      <c r="K2016" s="8" t="n">
        <v>1727.27</v>
      </c>
      <c r="L2016" s="8" t="n">
        <v>0</v>
      </c>
      <c r="M2016" s="9">
        <f>ROUND(SUM(I2016:L2016),2)</f>
        <v/>
      </c>
      <c r="N2016" s="10">
        <f>ROUND(I2016*'Irish Basis'!$C$6*'Irish Basis'!$C$5,2)</f>
        <v/>
      </c>
      <c r="O2016" s="10">
        <f>ROUND(J2016*'Irish Basis'!$C$7*'Irish Basis'!$C$5,2)</f>
        <v/>
      </c>
      <c r="P2016" s="10">
        <f>ROUND(K2016*'Irish Basis'!$C$8*'Irish Basis'!$C$5,2)</f>
        <v/>
      </c>
      <c r="Q2016" s="10">
        <f>ROUND(L2016*'Irish Basis'!$C$12*'Irish Basis'!$C$5,2)</f>
        <v/>
      </c>
      <c r="R2016" s="11">
        <f>ROUND(SUM(N2016:Q2016),2)</f>
        <v/>
      </c>
      <c r="S2016" s="5" t="inlineStr">
        <is>
          <t>Stated build-up</t>
        </is>
      </c>
      <c r="T2016" s="12" t="inlineStr">
        <is>
          <t>High</t>
        </is>
      </c>
      <c r="U2016" s="8" t="n">
        <v>2155.29</v>
      </c>
      <c r="V2016" s="13">
        <f>IF(U2016="","",ROUND(M2016-U2016,2))</f>
        <v/>
      </c>
      <c r="W2016" s="5" t="n"/>
      <c r="X2016" s="5" t="inlineStr">
        <is>
          <t>Labour + plant + material as published; reconciles to the published rate.</t>
        </is>
      </c>
    </row>
    <row r="2017" ht="13" customHeight="1">
      <c r="A2017" s="4" t="n">
        <v>3069</v>
      </c>
      <c r="B2017" s="5" t="inlineStr">
        <is>
          <t>IMG_0106</t>
        </is>
      </c>
      <c r="C2017" s="5" t="inlineStr">
        <is>
          <t>CLASS K: PIPEWORK - MANHOLES AND PIPEWORK ANCILLARIES</t>
        </is>
      </c>
      <c r="D2017" s="5" t="inlineStr">
        <is>
          <t>01 MANHOLES</t>
        </is>
      </c>
      <c r="E2017" s="5" t="inlineStr">
        <is>
          <t>2400 dia. x 4500 depth to invert</t>
        </is>
      </c>
      <c r="F2017" s="5" t="inlineStr">
        <is>
          <t>concrete surround</t>
        </is>
      </c>
      <c r="G2017" s="6" t="inlineStr">
        <is>
          <t>nr</t>
        </is>
      </c>
      <c r="H2017" s="7" t="n">
        <v>11.71</v>
      </c>
      <c r="I2017" s="8" t="n">
        <v>311.44</v>
      </c>
      <c r="J2017" s="8" t="n">
        <v>121.05</v>
      </c>
      <c r="K2017" s="8" t="n">
        <v>743.42</v>
      </c>
      <c r="L2017" s="8" t="n">
        <v>0</v>
      </c>
      <c r="M2017" s="9">
        <f>ROUND(SUM(I2017:L2017),2)</f>
        <v/>
      </c>
      <c r="N2017" s="10">
        <f>ROUND(I2017*'Irish Basis'!$C$6*'Irish Basis'!$C$5,2)</f>
        <v/>
      </c>
      <c r="O2017" s="10">
        <f>ROUND(J2017*'Irish Basis'!$C$7*'Irish Basis'!$C$5,2)</f>
        <v/>
      </c>
      <c r="P2017" s="10">
        <f>ROUND(K2017*'Irish Basis'!$C$8*'Irish Basis'!$C$5,2)</f>
        <v/>
      </c>
      <c r="Q2017" s="10">
        <f>ROUND(L2017*'Irish Basis'!$C$12*'Irish Basis'!$C$5,2)</f>
        <v/>
      </c>
      <c r="R2017" s="11">
        <f>ROUND(SUM(N2017:Q2017),2)</f>
        <v/>
      </c>
      <c r="S2017" s="5" t="inlineStr">
        <is>
          <t>Stated build-up</t>
        </is>
      </c>
      <c r="T2017" s="12" t="inlineStr">
        <is>
          <t>High</t>
        </is>
      </c>
      <c r="U2017" s="8" t="n">
        <v>1175.91</v>
      </c>
      <c r="V2017" s="13">
        <f>IF(U2017="","",ROUND(M2017-U2017,2))</f>
        <v/>
      </c>
      <c r="W2017" s="5" t="n"/>
      <c r="X2017" s="5" t="inlineStr">
        <is>
          <t>Labour + plant + material as published; reconciles to the published rate.</t>
        </is>
      </c>
    </row>
    <row r="2018" ht="13" customHeight="1">
      <c r="A2018" s="4" t="n">
        <v>3070</v>
      </c>
      <c r="B2018" s="5" t="inlineStr">
        <is>
          <t>IMG_0106</t>
        </is>
      </c>
      <c r="C2018" s="5" t="inlineStr">
        <is>
          <t>CLASS K: PIPEWORK - MANHOLES AND PIPEWORK ANCILLARIES</t>
        </is>
      </c>
      <c r="D2018" s="5" t="inlineStr">
        <is>
          <t>01 MANHOLES</t>
        </is>
      </c>
      <c r="E2018" s="5" t="inlineStr">
        <is>
          <t>2400 dia. x 4500 depth to invert</t>
        </is>
      </c>
      <c r="F2018" s="5" t="inlineStr">
        <is>
          <t>concrete benching, main and branch channels</t>
        </is>
      </c>
      <c r="G2018" s="6" t="inlineStr">
        <is>
          <t>nr</t>
        </is>
      </c>
      <c r="H2018" s="7" t="n">
        <v>7.88</v>
      </c>
      <c r="I2018" s="8" t="n">
        <v>213.33</v>
      </c>
      <c r="J2018" s="8" t="n">
        <v>54.57</v>
      </c>
      <c r="K2018" s="8" t="n">
        <v>192.16</v>
      </c>
      <c r="L2018" s="8" t="n">
        <v>0</v>
      </c>
      <c r="M2018" s="9">
        <f>ROUND(SUM(I2018:L2018),2)</f>
        <v/>
      </c>
      <c r="N2018" s="10">
        <f>ROUND(I2018*'Irish Basis'!$C$6*'Irish Basis'!$C$5,2)</f>
        <v/>
      </c>
      <c r="O2018" s="10">
        <f>ROUND(J2018*'Irish Basis'!$C$7*'Irish Basis'!$C$5,2)</f>
        <v/>
      </c>
      <c r="P2018" s="10">
        <f>ROUND(K2018*'Irish Basis'!$C$8*'Irish Basis'!$C$5,2)</f>
        <v/>
      </c>
      <c r="Q2018" s="10">
        <f>ROUND(L2018*'Irish Basis'!$C$12*'Irish Basis'!$C$5,2)</f>
        <v/>
      </c>
      <c r="R2018" s="11">
        <f>ROUND(SUM(N2018:Q2018),2)</f>
        <v/>
      </c>
      <c r="S2018" s="5" t="inlineStr">
        <is>
          <t>Stated build-up</t>
        </is>
      </c>
      <c r="T2018" s="12" t="inlineStr">
        <is>
          <t>High</t>
        </is>
      </c>
      <c r="U2018" s="8" t="n">
        <v>460.06</v>
      </c>
      <c r="V2018" s="13">
        <f>IF(U2018="","",ROUND(M2018-U2018,2))</f>
        <v/>
      </c>
      <c r="W2018" s="5" t="n"/>
      <c r="X2018" s="5" t="inlineStr">
        <is>
          <t>Labour + plant + material as published; reconciles to the published rate.</t>
        </is>
      </c>
    </row>
    <row r="2019" ht="13" customHeight="1">
      <c r="A2019" s="4" t="n">
        <v>3071</v>
      </c>
      <c r="B2019" s="5" t="inlineStr">
        <is>
          <t>IMG_0106</t>
        </is>
      </c>
      <c r="C2019" s="5" t="inlineStr">
        <is>
          <t>CLASS K: PIPEWORK - MANHOLES AND PIPEWORK ANCILLARIES</t>
        </is>
      </c>
      <c r="D2019" s="5" t="inlineStr">
        <is>
          <t>01 MANHOLES</t>
        </is>
      </c>
      <c r="E2019" s="5" t="inlineStr">
        <is>
          <t>2400 dia. x 4500 depth to invert</t>
        </is>
      </c>
      <c r="F2019" s="5" t="inlineStr">
        <is>
          <t>step irons</t>
        </is>
      </c>
      <c r="G2019" s="6" t="inlineStr">
        <is>
          <t>nr</t>
        </is>
      </c>
      <c r="H2019" s="7" t="n">
        <v>1.47</v>
      </c>
      <c r="I2019" s="8" t="n">
        <v>36.07</v>
      </c>
      <c r="J2019" s="8" t="n">
        <v>4.79</v>
      </c>
      <c r="K2019" s="8" t="n">
        <v>320.89</v>
      </c>
      <c r="L2019" s="8" t="n">
        <v>0</v>
      </c>
      <c r="M2019" s="9">
        <f>ROUND(SUM(I2019:L2019),2)</f>
        <v/>
      </c>
      <c r="N2019" s="10">
        <f>ROUND(I2019*'Irish Basis'!$C$6*'Irish Basis'!$C$5,2)</f>
        <v/>
      </c>
      <c r="O2019" s="10">
        <f>ROUND(J2019*'Irish Basis'!$C$7*'Irish Basis'!$C$5,2)</f>
        <v/>
      </c>
      <c r="P2019" s="10">
        <f>ROUND(K2019*'Irish Basis'!$C$8*'Irish Basis'!$C$5,2)</f>
        <v/>
      </c>
      <c r="Q2019" s="10">
        <f>ROUND(L2019*'Irish Basis'!$C$12*'Irish Basis'!$C$5,2)</f>
        <v/>
      </c>
      <c r="R2019" s="11">
        <f>ROUND(SUM(N2019:Q2019),2)</f>
        <v/>
      </c>
      <c r="S2019" s="5" t="inlineStr">
        <is>
          <t>Stated build-up</t>
        </is>
      </c>
      <c r="T2019" s="12" t="inlineStr">
        <is>
          <t>High</t>
        </is>
      </c>
      <c r="U2019" s="8" t="n">
        <v>361.75</v>
      </c>
      <c r="V2019" s="13">
        <f>IF(U2019="","",ROUND(M2019-U2019,2))</f>
        <v/>
      </c>
      <c r="W2019" s="5" t="n"/>
      <c r="X2019" s="5" t="inlineStr">
        <is>
          <t>Labour + plant + material as published; reconciles to the published rate.</t>
        </is>
      </c>
    </row>
    <row r="2020" ht="13" customHeight="1">
      <c r="A2020" s="4" t="n">
        <v>3072</v>
      </c>
      <c r="B2020" s="5" t="inlineStr">
        <is>
          <t>IMG_0106</t>
        </is>
      </c>
      <c r="C2020" s="5" t="inlineStr">
        <is>
          <t>CLASS K: PIPEWORK - MANHOLES AND PIPEWORK ANCILLARIES</t>
        </is>
      </c>
      <c r="D2020" s="5" t="inlineStr">
        <is>
          <t>01 MANHOLES</t>
        </is>
      </c>
      <c r="E2020" s="5" t="inlineStr">
        <is>
          <t>2400 dia. x 4500 depth to invert</t>
        </is>
      </c>
      <c r="F2020" s="5" t="inlineStr">
        <is>
          <t>access cover and frame</t>
        </is>
      </c>
      <c r="G2020" s="6" t="inlineStr">
        <is>
          <t>nr</t>
        </is>
      </c>
      <c r="H2020" s="7" t="n">
        <v>1.44</v>
      </c>
      <c r="I2020" s="8" t="n">
        <v>40.16</v>
      </c>
      <c r="J2020" s="8" t="n">
        <v>4.42</v>
      </c>
      <c r="K2020" s="8" t="n">
        <v>341.51</v>
      </c>
      <c r="L2020" s="8" t="n">
        <v>0</v>
      </c>
      <c r="M2020" s="9">
        <f>ROUND(SUM(I2020:L2020),2)</f>
        <v/>
      </c>
      <c r="N2020" s="10">
        <f>ROUND(I2020*'Irish Basis'!$C$6*'Irish Basis'!$C$5,2)</f>
        <v/>
      </c>
      <c r="O2020" s="10">
        <f>ROUND(J2020*'Irish Basis'!$C$7*'Irish Basis'!$C$5,2)</f>
        <v/>
      </c>
      <c r="P2020" s="10">
        <f>ROUND(K2020*'Irish Basis'!$C$8*'Irish Basis'!$C$5,2)</f>
        <v/>
      </c>
      <c r="Q2020" s="10">
        <f>ROUND(L2020*'Irish Basis'!$C$12*'Irish Basis'!$C$5,2)</f>
        <v/>
      </c>
      <c r="R2020" s="11">
        <f>ROUND(SUM(N2020:Q2020),2)</f>
        <v/>
      </c>
      <c r="S2020" s="5" t="inlineStr">
        <is>
          <t>Stated build-up</t>
        </is>
      </c>
      <c r="T2020" s="12" t="inlineStr">
        <is>
          <t>High</t>
        </is>
      </c>
      <c r="U2020" s="8" t="n">
        <v>386.09</v>
      </c>
      <c r="V2020" s="13">
        <f>IF(U2020="","",ROUND(M2020-U2020,2))</f>
        <v/>
      </c>
      <c r="W2020" s="5" t="n"/>
      <c r="X2020" s="5" t="inlineStr">
        <is>
          <t>Labour + plant + material as published; reconciles to the published rate.</t>
        </is>
      </c>
    </row>
    <row r="2021" ht="13" customHeight="1">
      <c r="A2021" s="4" t="n">
        <v>3073</v>
      </c>
      <c r="B2021" s="5" t="inlineStr">
        <is>
          <t>IMG_0106</t>
        </is>
      </c>
      <c r="C2021" s="5" t="inlineStr">
        <is>
          <t>CLASS K: PIPEWORK - MANHOLES AND PIPEWORK ANCILLARIES</t>
        </is>
      </c>
      <c r="D2021" s="5" t="inlineStr">
        <is>
          <t>01 MANHOLES</t>
        </is>
      </c>
      <c r="E2021" s="5" t="inlineStr">
        <is>
          <t>2400 dia. x 4500 depth to invert</t>
        </is>
      </c>
      <c r="F2021" s="5" t="inlineStr">
        <is>
          <t>TOTAL</t>
        </is>
      </c>
      <c r="G2021" s="6" t="inlineStr">
        <is>
          <t>nr</t>
        </is>
      </c>
      <c r="H2021" s="7" t="n">
        <v>83.54000000000001</v>
      </c>
      <c r="I2021" s="8" t="n">
        <v>3906.6</v>
      </c>
      <c r="J2021" s="8" t="n">
        <v>3814.74</v>
      </c>
      <c r="K2021" s="8" t="n">
        <v>10419.61</v>
      </c>
      <c r="L2021" s="8" t="n">
        <v>0</v>
      </c>
      <c r="M2021" s="9">
        <f>ROUND(SUM(I2021:L2021),2)</f>
        <v/>
      </c>
      <c r="N2021" s="10">
        <f>ROUND(I2021*'Irish Basis'!$C$6*'Irish Basis'!$C$5,2)</f>
        <v/>
      </c>
      <c r="O2021" s="10">
        <f>ROUND(J2021*'Irish Basis'!$C$7*'Irish Basis'!$C$5,2)</f>
        <v/>
      </c>
      <c r="P2021" s="10">
        <f>ROUND(K2021*'Irish Basis'!$C$8*'Irish Basis'!$C$5,2)</f>
        <v/>
      </c>
      <c r="Q2021" s="10">
        <f>ROUND(L2021*'Irish Basis'!$C$12*'Irish Basis'!$C$5,2)</f>
        <v/>
      </c>
      <c r="R2021" s="11">
        <f>ROUND(SUM(N2021:Q2021),2)</f>
        <v/>
      </c>
      <c r="S2021" s="5" t="inlineStr">
        <is>
          <t>Stated build-up</t>
        </is>
      </c>
      <c r="T2021" s="12" t="inlineStr">
        <is>
          <t>High</t>
        </is>
      </c>
      <c r="U2021" s="8" t="n">
        <v>18140.96</v>
      </c>
      <c r="V2021" s="13">
        <f>IF(U2021="","",ROUND(M2021-U2021,2))</f>
        <v/>
      </c>
      <c r="W2021" s="5" t="n"/>
      <c r="X2021" s="5" t="inlineStr">
        <is>
          <t>Labour + plant + material as published; reconciles to the published rate.</t>
        </is>
      </c>
    </row>
    <row r="2022" ht="13" customHeight="1">
      <c r="A2022" s="4" t="n">
        <v>3075</v>
      </c>
      <c r="B2022" s="5" t="inlineStr">
        <is>
          <t>IMG_0106</t>
        </is>
      </c>
      <c r="C2022" s="5" t="inlineStr">
        <is>
          <t>CLASS K: PIPEWORK - MANHOLES AND PIPEWORK ANCILLARIES</t>
        </is>
      </c>
      <c r="D2022" s="5" t="inlineStr">
        <is>
          <t>01 MANHOLES</t>
        </is>
      </c>
      <c r="E2022" s="5" t="inlineStr">
        <is>
          <t>2700 dia. x 3000 depth to invert</t>
        </is>
      </c>
      <c r="F2022" s="5" t="inlineStr">
        <is>
          <t>excavation, support, backfilling and disposal</t>
        </is>
      </c>
      <c r="G2022" s="6" t="inlineStr">
        <is>
          <t>nr</t>
        </is>
      </c>
      <c r="H2022" s="7" t="n">
        <v>16.98</v>
      </c>
      <c r="I2022" s="8" t="n">
        <v>1570.65</v>
      </c>
      <c r="J2022" s="8" t="n">
        <v>857.62</v>
      </c>
      <c r="K2022" s="8" t="n">
        <v>0</v>
      </c>
      <c r="L2022" s="8" t="n">
        <v>0</v>
      </c>
      <c r="M2022" s="9">
        <f>ROUND(SUM(I2022:L2022),2)</f>
        <v/>
      </c>
      <c r="N2022" s="10">
        <f>ROUND(I2022*'Irish Basis'!$C$6*'Irish Basis'!$C$5,2)</f>
        <v/>
      </c>
      <c r="O2022" s="10">
        <f>ROUND(J2022*'Irish Basis'!$C$7*'Irish Basis'!$C$5,2)</f>
        <v/>
      </c>
      <c r="P2022" s="10">
        <f>ROUND(K2022*'Irish Basis'!$C$8*'Irish Basis'!$C$5,2)</f>
        <v/>
      </c>
      <c r="Q2022" s="10">
        <f>ROUND(L2022*'Irish Basis'!$C$12*'Irish Basis'!$C$5,2)</f>
        <v/>
      </c>
      <c r="R2022" s="11">
        <f>ROUND(SUM(N2022:Q2022),2)</f>
        <v/>
      </c>
      <c r="S2022" s="5" t="inlineStr">
        <is>
          <t>Stated build-up</t>
        </is>
      </c>
      <c r="T2022" s="12" t="inlineStr">
        <is>
          <t>High</t>
        </is>
      </c>
      <c r="U2022" s="8" t="n">
        <v>2428.26</v>
      </c>
      <c r="V2022" s="13">
        <f>IF(U2022="","",ROUND(M2022-U2022,2))</f>
        <v/>
      </c>
      <c r="W2022" s="5" t="n"/>
      <c r="X2022" s="5" t="inlineStr">
        <is>
          <t>Labour + plant + material as published; reconciles to the published rate.</t>
        </is>
      </c>
    </row>
    <row r="2023" ht="13" customHeight="1">
      <c r="A2023" s="4" t="n">
        <v>3076</v>
      </c>
      <c r="B2023" s="5" t="inlineStr">
        <is>
          <t>IMG_0106</t>
        </is>
      </c>
      <c r="C2023" s="5" t="inlineStr">
        <is>
          <t>CLASS K: PIPEWORK - MANHOLES AND PIPEWORK ANCILLARIES</t>
        </is>
      </c>
      <c r="D2023" s="5" t="inlineStr">
        <is>
          <t>01 MANHOLES</t>
        </is>
      </c>
      <c r="E2023" s="5" t="inlineStr">
        <is>
          <t>2700 dia. x 3000 depth to invert</t>
        </is>
      </c>
      <c r="F2023" s="5" t="inlineStr">
        <is>
          <t>concrete base</t>
        </is>
      </c>
      <c r="G2023" s="6" t="inlineStr">
        <is>
          <t>nr</t>
        </is>
      </c>
      <c r="H2023" s="7" t="n">
        <v>4.32</v>
      </c>
      <c r="I2023" s="8" t="n">
        <v>114.96</v>
      </c>
      <c r="J2023" s="8" t="n">
        <v>39.82</v>
      </c>
      <c r="K2023" s="8" t="n">
        <v>377.52</v>
      </c>
      <c r="L2023" s="8" t="n">
        <v>0</v>
      </c>
      <c r="M2023" s="9">
        <f>ROUND(SUM(I2023:L2023),2)</f>
        <v/>
      </c>
      <c r="N2023" s="10">
        <f>ROUND(I2023*'Irish Basis'!$C$6*'Irish Basis'!$C$5,2)</f>
        <v/>
      </c>
      <c r="O2023" s="10">
        <f>ROUND(J2023*'Irish Basis'!$C$7*'Irish Basis'!$C$5,2)</f>
        <v/>
      </c>
      <c r="P2023" s="10">
        <f>ROUND(K2023*'Irish Basis'!$C$8*'Irish Basis'!$C$5,2)</f>
        <v/>
      </c>
      <c r="Q2023" s="10">
        <f>ROUND(L2023*'Irish Basis'!$C$12*'Irish Basis'!$C$5,2)</f>
        <v/>
      </c>
      <c r="R2023" s="11">
        <f>ROUND(SUM(N2023:Q2023),2)</f>
        <v/>
      </c>
      <c r="S2023" s="5" t="inlineStr">
        <is>
          <t>Stated build-up</t>
        </is>
      </c>
      <c r="T2023" s="12" t="inlineStr">
        <is>
          <t>High</t>
        </is>
      </c>
      <c r="U2023" s="8" t="n">
        <v>532.3</v>
      </c>
      <c r="V2023" s="13">
        <f>IF(U2023="","",ROUND(M2023-U2023,2))</f>
        <v/>
      </c>
      <c r="W2023" s="5" t="n"/>
      <c r="X2023" s="5" t="inlineStr">
        <is>
          <t>Labour + plant + material as published; reconciles to the published rate.</t>
        </is>
      </c>
    </row>
    <row r="2024" ht="13" customHeight="1">
      <c r="A2024" s="4" t="n">
        <v>3077</v>
      </c>
      <c r="B2024" s="5" t="inlineStr">
        <is>
          <t>IMG_0106</t>
        </is>
      </c>
      <c r="C2024" s="5" t="inlineStr">
        <is>
          <t>CLASS K: PIPEWORK - MANHOLES AND PIPEWORK ANCILLARIES</t>
        </is>
      </c>
      <c r="D2024" s="5" t="inlineStr">
        <is>
          <t>01 MANHOLES</t>
        </is>
      </c>
      <c r="E2024" s="5" t="inlineStr">
        <is>
          <t>2700 dia. x 3000 depth to invert</t>
        </is>
      </c>
      <c r="F2024" s="5" t="inlineStr">
        <is>
          <t>main chamber rings</t>
        </is>
      </c>
      <c r="G2024" s="6" t="inlineStr">
        <is>
          <t>nr</t>
        </is>
      </c>
      <c r="H2024" s="7" t="n">
        <v>24</v>
      </c>
      <c r="I2024" s="8" t="n">
        <v>827.0599999999999</v>
      </c>
      <c r="J2024" s="8" t="n">
        <v>1507.4</v>
      </c>
      <c r="K2024" s="8" t="n">
        <v>4888.91</v>
      </c>
      <c r="L2024" s="8" t="n">
        <v>0</v>
      </c>
      <c r="M2024" s="9">
        <f>ROUND(SUM(I2024:L2024),2)</f>
        <v/>
      </c>
      <c r="N2024" s="10">
        <f>ROUND(I2024*'Irish Basis'!$C$6*'Irish Basis'!$C$5,2)</f>
        <v/>
      </c>
      <c r="O2024" s="10">
        <f>ROUND(J2024*'Irish Basis'!$C$7*'Irish Basis'!$C$5,2)</f>
        <v/>
      </c>
      <c r="P2024" s="10">
        <f>ROUND(K2024*'Irish Basis'!$C$8*'Irish Basis'!$C$5,2)</f>
        <v/>
      </c>
      <c r="Q2024" s="10">
        <f>ROUND(L2024*'Irish Basis'!$C$12*'Irish Basis'!$C$5,2)</f>
        <v/>
      </c>
      <c r="R2024" s="11">
        <f>ROUND(SUM(N2024:Q2024),2)</f>
        <v/>
      </c>
      <c r="S2024" s="5" t="inlineStr">
        <is>
          <t>Stated build-up</t>
        </is>
      </c>
      <c r="T2024" s="12" t="inlineStr">
        <is>
          <t>High</t>
        </is>
      </c>
      <c r="U2024" s="8" t="n">
        <v>7223.38</v>
      </c>
      <c r="V2024" s="13">
        <f>IF(U2024="","",ROUND(M2024-U2024,2))</f>
        <v/>
      </c>
      <c r="W2024" s="5" t="n"/>
      <c r="X2024" s="5" t="inlineStr">
        <is>
          <t>Labour + plant + material as published; reconciles to the published rate.</t>
        </is>
      </c>
    </row>
    <row r="2025" ht="13" customHeight="1">
      <c r="A2025" s="4" t="n">
        <v>3078</v>
      </c>
      <c r="B2025" s="5" t="inlineStr">
        <is>
          <t>IMG_0106</t>
        </is>
      </c>
      <c r="C2025" s="5" t="inlineStr">
        <is>
          <t>CLASS K: PIPEWORK - MANHOLES AND PIPEWORK ANCILLARIES</t>
        </is>
      </c>
      <c r="D2025" s="5" t="inlineStr">
        <is>
          <t>01 MANHOLES</t>
        </is>
      </c>
      <c r="E2025" s="5" t="inlineStr">
        <is>
          <t>2700 dia. x 3000 depth to invert</t>
        </is>
      </c>
      <c r="F2025" s="5" t="inlineStr">
        <is>
          <t>cover slab</t>
        </is>
      </c>
      <c r="G2025" s="6" t="inlineStr">
        <is>
          <t>nr</t>
        </is>
      </c>
      <c r="H2025" s="7" t="n">
        <v>4.8</v>
      </c>
      <c r="I2025" s="8" t="n">
        <v>165.41</v>
      </c>
      <c r="J2025" s="8" t="n">
        <v>301.48</v>
      </c>
      <c r="K2025" s="8" t="n">
        <v>3474.55</v>
      </c>
      <c r="L2025" s="8" t="n">
        <v>0</v>
      </c>
      <c r="M2025" s="9">
        <f>ROUND(SUM(I2025:L2025),2)</f>
        <v/>
      </c>
      <c r="N2025" s="10">
        <f>ROUND(I2025*'Irish Basis'!$C$6*'Irish Basis'!$C$5,2)</f>
        <v/>
      </c>
      <c r="O2025" s="10">
        <f>ROUND(J2025*'Irish Basis'!$C$7*'Irish Basis'!$C$5,2)</f>
        <v/>
      </c>
      <c r="P2025" s="10">
        <f>ROUND(K2025*'Irish Basis'!$C$8*'Irish Basis'!$C$5,2)</f>
        <v/>
      </c>
      <c r="Q2025" s="10">
        <f>ROUND(L2025*'Irish Basis'!$C$12*'Irish Basis'!$C$5,2)</f>
        <v/>
      </c>
      <c r="R2025" s="11">
        <f>ROUND(SUM(N2025:Q2025),2)</f>
        <v/>
      </c>
      <c r="S2025" s="5" t="inlineStr">
        <is>
          <t>Stated build-up</t>
        </is>
      </c>
      <c r="T2025" s="12" t="inlineStr">
        <is>
          <t>High</t>
        </is>
      </c>
      <c r="U2025" s="8" t="n">
        <v>3941.44</v>
      </c>
      <c r="V2025" s="13">
        <f>IF(U2025="","",ROUND(M2025-U2025,2))</f>
        <v/>
      </c>
      <c r="W2025" s="5" t="n"/>
      <c r="X2025" s="5" t="inlineStr">
        <is>
          <t>Labour + plant + material as published; reconciles to the published rate.</t>
        </is>
      </c>
    </row>
    <row r="2026" ht="13" customHeight="1">
      <c r="A2026" s="4" t="n">
        <v>3079</v>
      </c>
      <c r="B2026" s="5" t="inlineStr">
        <is>
          <t>IMG_0106</t>
        </is>
      </c>
      <c r="C2026" s="5" t="inlineStr">
        <is>
          <t>CLASS K: PIPEWORK - MANHOLES AND PIPEWORK ANCILLARIES</t>
        </is>
      </c>
      <c r="D2026" s="5" t="inlineStr">
        <is>
          <t>01 MANHOLES</t>
        </is>
      </c>
      <c r="E2026" s="5" t="inlineStr">
        <is>
          <t>2700 dia. x 3000 depth to invert</t>
        </is>
      </c>
      <c r="F2026" s="5" t="inlineStr">
        <is>
          <t>concrete surround</t>
        </is>
      </c>
      <c r="G2026" s="6" t="inlineStr">
        <is>
          <t>nr</t>
        </is>
      </c>
      <c r="H2026" s="7" t="n">
        <v>8.789999999999999</v>
      </c>
      <c r="I2026" s="8" t="n">
        <v>233.73</v>
      </c>
      <c r="J2026" s="8" t="n">
        <v>90.84999999999999</v>
      </c>
      <c r="K2026" s="8" t="n">
        <v>557.9299999999999</v>
      </c>
      <c r="L2026" s="8" t="n">
        <v>0</v>
      </c>
      <c r="M2026" s="9">
        <f>ROUND(SUM(I2026:L2026),2)</f>
        <v/>
      </c>
      <c r="N2026" s="10">
        <f>ROUND(I2026*'Irish Basis'!$C$6*'Irish Basis'!$C$5,2)</f>
        <v/>
      </c>
      <c r="O2026" s="10">
        <f>ROUND(J2026*'Irish Basis'!$C$7*'Irish Basis'!$C$5,2)</f>
        <v/>
      </c>
      <c r="P2026" s="10">
        <f>ROUND(K2026*'Irish Basis'!$C$8*'Irish Basis'!$C$5,2)</f>
        <v/>
      </c>
      <c r="Q2026" s="10">
        <f>ROUND(L2026*'Irish Basis'!$C$12*'Irish Basis'!$C$5,2)</f>
        <v/>
      </c>
      <c r="R2026" s="11">
        <f>ROUND(SUM(N2026:Q2026),2)</f>
        <v/>
      </c>
      <c r="S2026" s="5" t="inlineStr">
        <is>
          <t>Stated build-up</t>
        </is>
      </c>
      <c r="T2026" s="12" t="inlineStr">
        <is>
          <t>High</t>
        </is>
      </c>
      <c r="U2026" s="8" t="n">
        <v>882.51</v>
      </c>
      <c r="V2026" s="13">
        <f>IF(U2026="","",ROUND(M2026-U2026,2))</f>
        <v/>
      </c>
      <c r="W2026" s="5" t="n"/>
      <c r="X2026" s="5" t="inlineStr">
        <is>
          <t>Labour + plant + material as published; reconciles to the published rate.</t>
        </is>
      </c>
    </row>
    <row r="2027" ht="13" customHeight="1">
      <c r="A2027" s="4" t="n">
        <v>3080</v>
      </c>
      <c r="B2027" s="5" t="inlineStr">
        <is>
          <t>IMG_0106</t>
        </is>
      </c>
      <c r="C2027" s="5" t="inlineStr">
        <is>
          <t>CLASS K: PIPEWORK - MANHOLES AND PIPEWORK ANCILLARIES</t>
        </is>
      </c>
      <c r="D2027" s="5" t="inlineStr">
        <is>
          <t>01 MANHOLES</t>
        </is>
      </c>
      <c r="E2027" s="5" t="inlineStr">
        <is>
          <t>2700 dia. x 3000 depth to invert</t>
        </is>
      </c>
      <c r="F2027" s="5" t="inlineStr">
        <is>
          <t>concrete benching, main and branch channels</t>
        </is>
      </c>
      <c r="G2027" s="6" t="inlineStr">
        <is>
          <t>nr</t>
        </is>
      </c>
      <c r="H2027" s="7" t="n">
        <v>8.08</v>
      </c>
      <c r="I2027" s="8" t="n">
        <v>219.23</v>
      </c>
      <c r="J2027" s="8" t="n">
        <v>54.57</v>
      </c>
      <c r="K2027" s="8" t="n">
        <v>192.16</v>
      </c>
      <c r="L2027" s="8" t="n">
        <v>0</v>
      </c>
      <c r="M2027" s="9">
        <f>ROUND(SUM(I2027:L2027),2)</f>
        <v/>
      </c>
      <c r="N2027" s="10">
        <f>ROUND(I2027*'Irish Basis'!$C$6*'Irish Basis'!$C$5,2)</f>
        <v/>
      </c>
      <c r="O2027" s="10">
        <f>ROUND(J2027*'Irish Basis'!$C$7*'Irish Basis'!$C$5,2)</f>
        <v/>
      </c>
      <c r="P2027" s="10">
        <f>ROUND(K2027*'Irish Basis'!$C$8*'Irish Basis'!$C$5,2)</f>
        <v/>
      </c>
      <c r="Q2027" s="10">
        <f>ROUND(L2027*'Irish Basis'!$C$12*'Irish Basis'!$C$5,2)</f>
        <v/>
      </c>
      <c r="R2027" s="11">
        <f>ROUND(SUM(N2027:Q2027),2)</f>
        <v/>
      </c>
      <c r="S2027" s="5" t="inlineStr">
        <is>
          <t>Stated build-up</t>
        </is>
      </c>
      <c r="T2027" s="12" t="inlineStr">
        <is>
          <t>High</t>
        </is>
      </c>
      <c r="U2027" s="8" t="n">
        <v>465.96</v>
      </c>
      <c r="V2027" s="13">
        <f>IF(U2027="","",ROUND(M2027-U2027,2))</f>
        <v/>
      </c>
      <c r="W2027" s="5" t="n"/>
      <c r="X2027" s="5" t="inlineStr">
        <is>
          <t>Labour + plant + material as published; reconciles to the published rate.</t>
        </is>
      </c>
    </row>
    <row r="2028" ht="13" customHeight="1">
      <c r="A2028" s="4" t="n">
        <v>3081</v>
      </c>
      <c r="B2028" s="5" t="inlineStr">
        <is>
          <t>IMG_0106</t>
        </is>
      </c>
      <c r="C2028" s="5" t="inlineStr">
        <is>
          <t>CLASS K: PIPEWORK - MANHOLES AND PIPEWORK ANCILLARIES</t>
        </is>
      </c>
      <c r="D2028" s="5" t="inlineStr">
        <is>
          <t>01 MANHOLES</t>
        </is>
      </c>
      <c r="E2028" s="5" t="inlineStr">
        <is>
          <t>2700 dia. x 3000 depth to invert</t>
        </is>
      </c>
      <c r="F2028" s="5" t="inlineStr">
        <is>
          <t>step irons</t>
        </is>
      </c>
      <c r="G2028" s="6" t="inlineStr">
        <is>
          <t>nr</t>
        </is>
      </c>
      <c r="H2028" s="7" t="n">
        <v>0.95</v>
      </c>
      <c r="I2028" s="8" t="n">
        <v>23.19</v>
      </c>
      <c r="J2028" s="8" t="n">
        <v>3.08</v>
      </c>
      <c r="K2028" s="8" t="n">
        <v>206.29</v>
      </c>
      <c r="L2028" s="8" t="n">
        <v>0</v>
      </c>
      <c r="M2028" s="9">
        <f>ROUND(SUM(I2028:L2028),2)</f>
        <v/>
      </c>
      <c r="N2028" s="10">
        <f>ROUND(I2028*'Irish Basis'!$C$6*'Irish Basis'!$C$5,2)</f>
        <v/>
      </c>
      <c r="O2028" s="10">
        <f>ROUND(J2028*'Irish Basis'!$C$7*'Irish Basis'!$C$5,2)</f>
        <v/>
      </c>
      <c r="P2028" s="10">
        <f>ROUND(K2028*'Irish Basis'!$C$8*'Irish Basis'!$C$5,2)</f>
        <v/>
      </c>
      <c r="Q2028" s="10">
        <f>ROUND(L2028*'Irish Basis'!$C$12*'Irish Basis'!$C$5,2)</f>
        <v/>
      </c>
      <c r="R2028" s="11">
        <f>ROUND(SUM(N2028:Q2028),2)</f>
        <v/>
      </c>
      <c r="S2028" s="5" t="inlineStr">
        <is>
          <t>Stated build-up</t>
        </is>
      </c>
      <c r="T2028" s="12" t="inlineStr">
        <is>
          <t>High</t>
        </is>
      </c>
      <c r="U2028" s="8" t="n">
        <v>232.55</v>
      </c>
      <c r="V2028" s="13">
        <f>IF(U2028="","",ROUND(M2028-U2028,2))</f>
        <v/>
      </c>
      <c r="W2028" s="5" t="n"/>
      <c r="X2028" s="5" t="inlineStr">
        <is>
          <t>Labour + plant + material as published; reconciles to the published rate.</t>
        </is>
      </c>
    </row>
    <row r="2029" ht="13" customHeight="1">
      <c r="A2029" s="4" t="n">
        <v>3082</v>
      </c>
      <c r="B2029" s="5" t="inlineStr">
        <is>
          <t>IMG_0106</t>
        </is>
      </c>
      <c r="C2029" s="5" t="inlineStr">
        <is>
          <t>CLASS K: PIPEWORK - MANHOLES AND PIPEWORK ANCILLARIES</t>
        </is>
      </c>
      <c r="D2029" s="5" t="inlineStr">
        <is>
          <t>01 MANHOLES</t>
        </is>
      </c>
      <c r="E2029" s="5" t="inlineStr">
        <is>
          <t>2700 dia. x 3000 depth to invert</t>
        </is>
      </c>
      <c r="F2029" s="5" t="inlineStr">
        <is>
          <t>access cover and frame</t>
        </is>
      </c>
      <c r="G2029" s="6" t="inlineStr">
        <is>
          <t>nr</t>
        </is>
      </c>
      <c r="H2029" s="7" t="n">
        <v>1.44</v>
      </c>
      <c r="I2029" s="8" t="n">
        <v>40.16</v>
      </c>
      <c r="J2029" s="8" t="n">
        <v>4.42</v>
      </c>
      <c r="K2029" s="8" t="n">
        <v>341.51</v>
      </c>
      <c r="L2029" s="8" t="n">
        <v>0</v>
      </c>
      <c r="M2029" s="9">
        <f>ROUND(SUM(I2029:L2029),2)</f>
        <v/>
      </c>
      <c r="N2029" s="10">
        <f>ROUND(I2029*'Irish Basis'!$C$6*'Irish Basis'!$C$5,2)</f>
        <v/>
      </c>
      <c r="O2029" s="10">
        <f>ROUND(J2029*'Irish Basis'!$C$7*'Irish Basis'!$C$5,2)</f>
        <v/>
      </c>
      <c r="P2029" s="10">
        <f>ROUND(K2029*'Irish Basis'!$C$8*'Irish Basis'!$C$5,2)</f>
        <v/>
      </c>
      <c r="Q2029" s="10">
        <f>ROUND(L2029*'Irish Basis'!$C$12*'Irish Basis'!$C$5,2)</f>
        <v/>
      </c>
      <c r="R2029" s="11">
        <f>ROUND(SUM(N2029:Q2029),2)</f>
        <v/>
      </c>
      <c r="S2029" s="5" t="inlineStr">
        <is>
          <t>Stated build-up</t>
        </is>
      </c>
      <c r="T2029" s="12" t="inlineStr">
        <is>
          <t>High</t>
        </is>
      </c>
      <c r="U2029" s="8" t="n">
        <v>386.09</v>
      </c>
      <c r="V2029" s="13">
        <f>IF(U2029="","",ROUND(M2029-U2029,2))</f>
        <v/>
      </c>
      <c r="W2029" s="5" t="n"/>
      <c r="X2029" s="5" t="inlineStr">
        <is>
          <t>Labour + plant + material as published; reconciles to the published rate.</t>
        </is>
      </c>
    </row>
    <row r="2030" ht="13" customHeight="1">
      <c r="A2030" s="4" t="n">
        <v>3083</v>
      </c>
      <c r="B2030" s="5" t="inlineStr">
        <is>
          <t>IMG_0106</t>
        </is>
      </c>
      <c r="C2030" s="5" t="inlineStr">
        <is>
          <t>CLASS K: PIPEWORK - MANHOLES AND PIPEWORK ANCILLARIES</t>
        </is>
      </c>
      <c r="D2030" s="5" t="inlineStr">
        <is>
          <t>01 MANHOLES</t>
        </is>
      </c>
      <c r="E2030" s="5" t="inlineStr">
        <is>
          <t>2700 dia. x 3000 depth to invert</t>
        </is>
      </c>
      <c r="F2030" s="5" t="inlineStr">
        <is>
          <t>TOTAL</t>
        </is>
      </c>
      <c r="G2030" s="6" t="inlineStr">
        <is>
          <t>nr</t>
        </is>
      </c>
      <c r="H2030" s="7" t="n">
        <v>69.34999999999999</v>
      </c>
      <c r="I2030" s="8" t="n">
        <v>3194.39</v>
      </c>
      <c r="J2030" s="8" t="n">
        <v>2859.23</v>
      </c>
      <c r="K2030" s="8" t="n">
        <v>10038.87</v>
      </c>
      <c r="L2030" s="8" t="n">
        <v>0</v>
      </c>
      <c r="M2030" s="9">
        <f>ROUND(SUM(I2030:L2030),2)</f>
        <v/>
      </c>
      <c r="N2030" s="10">
        <f>ROUND(I2030*'Irish Basis'!$C$6*'Irish Basis'!$C$5,2)</f>
        <v/>
      </c>
      <c r="O2030" s="10">
        <f>ROUND(J2030*'Irish Basis'!$C$7*'Irish Basis'!$C$5,2)</f>
        <v/>
      </c>
      <c r="P2030" s="10">
        <f>ROUND(K2030*'Irish Basis'!$C$8*'Irish Basis'!$C$5,2)</f>
        <v/>
      </c>
      <c r="Q2030" s="10">
        <f>ROUND(L2030*'Irish Basis'!$C$12*'Irish Basis'!$C$5,2)</f>
        <v/>
      </c>
      <c r="R2030" s="11">
        <f>ROUND(SUM(N2030:Q2030),2)</f>
        <v/>
      </c>
      <c r="S2030" s="5" t="inlineStr">
        <is>
          <t>Stated build-up</t>
        </is>
      </c>
      <c r="T2030" s="12" t="inlineStr">
        <is>
          <t>High</t>
        </is>
      </c>
      <c r="U2030" s="8" t="n">
        <v>16092.49</v>
      </c>
      <c r="V2030" s="13">
        <f>IF(U2030="","",ROUND(M2030-U2030,2))</f>
        <v/>
      </c>
      <c r="W2030" s="5" t="n"/>
      <c r="X2030" s="5" t="inlineStr">
        <is>
          <t>Labour + plant + material as published; reconciles to the published rate.</t>
        </is>
      </c>
    </row>
    <row r="2031" ht="13" customHeight="1">
      <c r="A2031" s="4" t="n">
        <v>3085</v>
      </c>
      <c r="B2031" s="5" t="inlineStr">
        <is>
          <t>IMG_0106</t>
        </is>
      </c>
      <c r="C2031" s="5" t="inlineStr">
        <is>
          <t>CLASS K: PIPEWORK - MANHOLES AND PIPEWORK ANCILLARIES</t>
        </is>
      </c>
      <c r="D2031" s="5" t="inlineStr">
        <is>
          <t>01 MANHOLES</t>
        </is>
      </c>
      <c r="E2031" s="5" t="inlineStr">
        <is>
          <t>2700 dia. x 4500 depth to invert</t>
        </is>
      </c>
      <c r="F2031" s="5" t="inlineStr">
        <is>
          <t>excavation, support, backfilling and disposal</t>
        </is>
      </c>
      <c r="G2031" s="6" t="inlineStr">
        <is>
          <t>nr</t>
        </is>
      </c>
      <c r="H2031" s="7" t="n">
        <v>26.21</v>
      </c>
      <c r="I2031" s="8" t="n">
        <v>2445.91</v>
      </c>
      <c r="J2031" s="8" t="n">
        <v>1559.43</v>
      </c>
      <c r="K2031" s="8" t="n">
        <v>0</v>
      </c>
      <c r="L2031" s="8" t="n">
        <v>0</v>
      </c>
      <c r="M2031" s="9">
        <f>ROUND(SUM(I2031:L2031),2)</f>
        <v/>
      </c>
      <c r="N2031" s="10">
        <f>ROUND(I2031*'Irish Basis'!$C$6*'Irish Basis'!$C$5,2)</f>
        <v/>
      </c>
      <c r="O2031" s="10">
        <f>ROUND(J2031*'Irish Basis'!$C$7*'Irish Basis'!$C$5,2)</f>
        <v/>
      </c>
      <c r="P2031" s="10">
        <f>ROUND(K2031*'Irish Basis'!$C$8*'Irish Basis'!$C$5,2)</f>
        <v/>
      </c>
      <c r="Q2031" s="10">
        <f>ROUND(L2031*'Irish Basis'!$C$12*'Irish Basis'!$C$5,2)</f>
        <v/>
      </c>
      <c r="R2031" s="11">
        <f>ROUND(SUM(N2031:Q2031),2)</f>
        <v/>
      </c>
      <c r="S2031" s="5" t="inlineStr">
        <is>
          <t>Stated build-up</t>
        </is>
      </c>
      <c r="T2031" s="12" t="inlineStr">
        <is>
          <t>High</t>
        </is>
      </c>
      <c r="U2031" s="8" t="n">
        <v>4005.34</v>
      </c>
      <c r="V2031" s="13">
        <f>IF(U2031="","",ROUND(M2031-U2031,2))</f>
        <v/>
      </c>
      <c r="W2031" s="5" t="n"/>
      <c r="X2031" s="5" t="inlineStr">
        <is>
          <t>Labour + plant + material as published; reconciles to the published rate.</t>
        </is>
      </c>
    </row>
    <row r="2032" ht="13" customHeight="1">
      <c r="A2032" s="4" t="n">
        <v>3086</v>
      </c>
      <c r="B2032" s="5" t="inlineStr">
        <is>
          <t>IMG_0106</t>
        </is>
      </c>
      <c r="C2032" s="5" t="inlineStr">
        <is>
          <t>CLASS K: PIPEWORK - MANHOLES AND PIPEWORK ANCILLARIES</t>
        </is>
      </c>
      <c r="D2032" s="5" t="inlineStr">
        <is>
          <t>01 MANHOLES</t>
        </is>
      </c>
      <c r="E2032" s="5" t="inlineStr">
        <is>
          <t>2700 dia. x 4500 depth to invert</t>
        </is>
      </c>
      <c r="F2032" s="5" t="inlineStr">
        <is>
          <t>concrete base</t>
        </is>
      </c>
      <c r="G2032" s="6" t="inlineStr">
        <is>
          <t>nr</t>
        </is>
      </c>
      <c r="H2032" s="7" t="n">
        <v>4.3</v>
      </c>
      <c r="I2032" s="8" t="n">
        <v>114.35</v>
      </c>
      <c r="J2032" s="8" t="n">
        <v>39.62</v>
      </c>
      <c r="K2032" s="8" t="n">
        <v>376.05</v>
      </c>
      <c r="L2032" s="8" t="n">
        <v>0</v>
      </c>
      <c r="M2032" s="9">
        <f>ROUND(SUM(I2032:L2032),2)</f>
        <v/>
      </c>
      <c r="N2032" s="10">
        <f>ROUND(I2032*'Irish Basis'!$C$6*'Irish Basis'!$C$5,2)</f>
        <v/>
      </c>
      <c r="O2032" s="10">
        <f>ROUND(J2032*'Irish Basis'!$C$7*'Irish Basis'!$C$5,2)</f>
        <v/>
      </c>
      <c r="P2032" s="10">
        <f>ROUND(K2032*'Irish Basis'!$C$8*'Irish Basis'!$C$5,2)</f>
        <v/>
      </c>
      <c r="Q2032" s="10">
        <f>ROUND(L2032*'Irish Basis'!$C$12*'Irish Basis'!$C$5,2)</f>
        <v/>
      </c>
      <c r="R2032" s="11">
        <f>ROUND(SUM(N2032:Q2032),2)</f>
        <v/>
      </c>
      <c r="S2032" s="5" t="inlineStr">
        <is>
          <t>Stated build-up</t>
        </is>
      </c>
      <c r="T2032" s="12" t="inlineStr">
        <is>
          <t>High</t>
        </is>
      </c>
      <c r="U2032" s="8" t="n">
        <v>530.03</v>
      </c>
      <c r="V2032" s="13">
        <f>IF(U2032="","",ROUND(M2032-U2032,2))</f>
        <v/>
      </c>
      <c r="W2032" s="5" t="n"/>
      <c r="X2032" s="5" t="inlineStr">
        <is>
          <t>Labour + plant + material as published; reconciles to the published rate.</t>
        </is>
      </c>
    </row>
    <row r="2033" ht="13" customHeight="1">
      <c r="A2033" s="4" t="n">
        <v>3087</v>
      </c>
      <c r="B2033" s="5" t="inlineStr">
        <is>
          <t>IMG_0106</t>
        </is>
      </c>
      <c r="C2033" s="5" t="inlineStr">
        <is>
          <t>CLASS K: PIPEWORK - MANHOLES AND PIPEWORK ANCILLARIES</t>
        </is>
      </c>
      <c r="D2033" s="5" t="inlineStr">
        <is>
          <t>01 MANHOLES</t>
        </is>
      </c>
      <c r="E2033" s="5" t="inlineStr">
        <is>
          <t>2700 dia. x 4500 depth to invert</t>
        </is>
      </c>
      <c r="F2033" s="5" t="inlineStr">
        <is>
          <t>main chamber rings</t>
        </is>
      </c>
      <c r="G2033" s="6" t="inlineStr">
        <is>
          <t>nr</t>
        </is>
      </c>
      <c r="H2033" s="7" t="n">
        <v>36</v>
      </c>
      <c r="I2033" s="8" t="n">
        <v>1240.6</v>
      </c>
      <c r="J2033" s="8" t="n">
        <v>2261.1</v>
      </c>
      <c r="K2033" s="8" t="n">
        <v>7333.37</v>
      </c>
      <c r="L2033" s="8" t="n">
        <v>0</v>
      </c>
      <c r="M2033" s="9">
        <f>ROUND(SUM(I2033:L2033),2)</f>
        <v/>
      </c>
      <c r="N2033" s="10">
        <f>ROUND(I2033*'Irish Basis'!$C$6*'Irish Basis'!$C$5,2)</f>
        <v/>
      </c>
      <c r="O2033" s="10">
        <f>ROUND(J2033*'Irish Basis'!$C$7*'Irish Basis'!$C$5,2)</f>
        <v/>
      </c>
      <c r="P2033" s="10">
        <f>ROUND(K2033*'Irish Basis'!$C$8*'Irish Basis'!$C$5,2)</f>
        <v/>
      </c>
      <c r="Q2033" s="10">
        <f>ROUND(L2033*'Irish Basis'!$C$12*'Irish Basis'!$C$5,2)</f>
        <v/>
      </c>
      <c r="R2033" s="11">
        <f>ROUND(SUM(N2033:Q2033),2)</f>
        <v/>
      </c>
      <c r="S2033" s="5" t="inlineStr">
        <is>
          <t>Stated build-up</t>
        </is>
      </c>
      <c r="T2033" s="12" t="inlineStr">
        <is>
          <t>High</t>
        </is>
      </c>
      <c r="U2033" s="8" t="n">
        <v>10835.06</v>
      </c>
      <c r="V2033" s="13">
        <f>IF(U2033="","",ROUND(M2033-U2033,2))</f>
        <v/>
      </c>
      <c r="W2033" s="5" t="n"/>
      <c r="X2033" s="5" t="inlineStr">
        <is>
          <t>Labour + plant + material as published; reconciles to the published rate.</t>
        </is>
      </c>
    </row>
    <row r="2034" ht="13" customHeight="1">
      <c r="A2034" s="4" t="n">
        <v>3088</v>
      </c>
      <c r="B2034" s="5" t="inlineStr">
        <is>
          <t>IMG_0106</t>
        </is>
      </c>
      <c r="C2034" s="5" t="inlineStr">
        <is>
          <t>CLASS K: PIPEWORK - MANHOLES AND PIPEWORK ANCILLARIES</t>
        </is>
      </c>
      <c r="D2034" s="5" t="inlineStr">
        <is>
          <t>01 MANHOLES</t>
        </is>
      </c>
      <c r="E2034" s="5" t="inlineStr">
        <is>
          <t>2700 dia. x 4500 depth to invert</t>
        </is>
      </c>
      <c r="F2034" s="5" t="inlineStr">
        <is>
          <t>cover slab</t>
        </is>
      </c>
      <c r="G2034" s="6" t="inlineStr">
        <is>
          <t>nr</t>
        </is>
      </c>
      <c r="H2034" s="7" t="n">
        <v>4.8</v>
      </c>
      <c r="I2034" s="8" t="n">
        <v>165.41</v>
      </c>
      <c r="J2034" s="8" t="n">
        <v>301.48</v>
      </c>
      <c r="K2034" s="8" t="n">
        <v>3474.55</v>
      </c>
      <c r="L2034" s="8" t="n">
        <v>0</v>
      </c>
      <c r="M2034" s="9">
        <f>ROUND(SUM(I2034:L2034),2)</f>
        <v/>
      </c>
      <c r="N2034" s="10">
        <f>ROUND(I2034*'Irish Basis'!$C$6*'Irish Basis'!$C$5,2)</f>
        <v/>
      </c>
      <c r="O2034" s="10">
        <f>ROUND(J2034*'Irish Basis'!$C$7*'Irish Basis'!$C$5,2)</f>
        <v/>
      </c>
      <c r="P2034" s="10">
        <f>ROUND(K2034*'Irish Basis'!$C$8*'Irish Basis'!$C$5,2)</f>
        <v/>
      </c>
      <c r="Q2034" s="10">
        <f>ROUND(L2034*'Irish Basis'!$C$12*'Irish Basis'!$C$5,2)</f>
        <v/>
      </c>
      <c r="R2034" s="11">
        <f>ROUND(SUM(N2034:Q2034),2)</f>
        <v/>
      </c>
      <c r="S2034" s="5" t="inlineStr">
        <is>
          <t>Stated build-up</t>
        </is>
      </c>
      <c r="T2034" s="12" t="inlineStr">
        <is>
          <t>High</t>
        </is>
      </c>
      <c r="U2034" s="8" t="n">
        <v>3941.44</v>
      </c>
      <c r="V2034" s="13">
        <f>IF(U2034="","",ROUND(M2034-U2034,2))</f>
        <v/>
      </c>
      <c r="W2034" s="5" t="n"/>
      <c r="X2034" s="5" t="inlineStr">
        <is>
          <t>Labour + plant + material as published; reconciles to the published rate.</t>
        </is>
      </c>
    </row>
    <row r="2035" ht="13" customHeight="1">
      <c r="A2035" s="4" t="n">
        <v>3089</v>
      </c>
      <c r="B2035" s="5" t="inlineStr">
        <is>
          <t>IMG_0106</t>
        </is>
      </c>
      <c r="C2035" s="5" t="inlineStr">
        <is>
          <t>CLASS K: PIPEWORK - MANHOLES AND PIPEWORK ANCILLARIES</t>
        </is>
      </c>
      <c r="D2035" s="5" t="inlineStr">
        <is>
          <t>01 MANHOLES</t>
        </is>
      </c>
      <c r="E2035" s="5" t="inlineStr">
        <is>
          <t>2700 dia. x 4500 depth to invert</t>
        </is>
      </c>
      <c r="F2035" s="5" t="inlineStr">
        <is>
          <t>concrete surround</t>
        </is>
      </c>
      <c r="G2035" s="6" t="inlineStr">
        <is>
          <t>nr</t>
        </is>
      </c>
      <c r="H2035" s="7" t="n">
        <v>13.18</v>
      </c>
      <c r="I2035" s="8" t="n">
        <v>350.6</v>
      </c>
      <c r="J2035" s="8" t="n">
        <v>136.27</v>
      </c>
      <c r="K2035" s="8" t="n">
        <v>836.89</v>
      </c>
      <c r="L2035" s="8" t="n">
        <v>0</v>
      </c>
      <c r="M2035" s="9">
        <f>ROUND(SUM(I2035:L2035),2)</f>
        <v/>
      </c>
      <c r="N2035" s="10">
        <f>ROUND(I2035*'Irish Basis'!$C$6*'Irish Basis'!$C$5,2)</f>
        <v/>
      </c>
      <c r="O2035" s="10">
        <f>ROUND(J2035*'Irish Basis'!$C$7*'Irish Basis'!$C$5,2)</f>
        <v/>
      </c>
      <c r="P2035" s="10">
        <f>ROUND(K2035*'Irish Basis'!$C$8*'Irish Basis'!$C$5,2)</f>
        <v/>
      </c>
      <c r="Q2035" s="10">
        <f>ROUND(L2035*'Irish Basis'!$C$12*'Irish Basis'!$C$5,2)</f>
        <v/>
      </c>
      <c r="R2035" s="11">
        <f>ROUND(SUM(N2035:Q2035),2)</f>
        <v/>
      </c>
      <c r="S2035" s="5" t="inlineStr">
        <is>
          <t>Stated build-up</t>
        </is>
      </c>
      <c r="T2035" s="12" t="inlineStr">
        <is>
          <t>High</t>
        </is>
      </c>
      <c r="U2035" s="8" t="n">
        <v>1323.76</v>
      </c>
      <c r="V2035" s="13">
        <f>IF(U2035="","",ROUND(M2035-U2035,2))</f>
        <v/>
      </c>
      <c r="W2035" s="5" t="n"/>
      <c r="X2035" s="5" t="inlineStr">
        <is>
          <t>Labour + plant + material as published; reconciles to the published rate.</t>
        </is>
      </c>
    </row>
    <row r="2036" ht="13" customHeight="1">
      <c r="A2036" s="4" t="n">
        <v>3090</v>
      </c>
      <c r="B2036" s="5" t="inlineStr">
        <is>
          <t>IMG_0106</t>
        </is>
      </c>
      <c r="C2036" s="5" t="inlineStr">
        <is>
          <t>CLASS K: PIPEWORK - MANHOLES AND PIPEWORK ANCILLARIES</t>
        </is>
      </c>
      <c r="D2036" s="5" t="inlineStr">
        <is>
          <t>01 MANHOLES</t>
        </is>
      </c>
      <c r="E2036" s="5" t="inlineStr">
        <is>
          <t>2700 dia. x 4500 depth to invert</t>
        </is>
      </c>
      <c r="F2036" s="5" t="inlineStr">
        <is>
          <t>concrete benching, main and branch channels</t>
        </is>
      </c>
      <c r="G2036" s="6" t="inlineStr">
        <is>
          <t>nr</t>
        </is>
      </c>
      <c r="H2036" s="7" t="n">
        <v>8.08</v>
      </c>
      <c r="I2036" s="8" t="n">
        <v>219.23</v>
      </c>
      <c r="J2036" s="8" t="n">
        <v>54.57</v>
      </c>
      <c r="K2036" s="8" t="n">
        <v>192.16</v>
      </c>
      <c r="L2036" s="8" t="n">
        <v>0</v>
      </c>
      <c r="M2036" s="9">
        <f>ROUND(SUM(I2036:L2036),2)</f>
        <v/>
      </c>
      <c r="N2036" s="10">
        <f>ROUND(I2036*'Irish Basis'!$C$6*'Irish Basis'!$C$5,2)</f>
        <v/>
      </c>
      <c r="O2036" s="10">
        <f>ROUND(J2036*'Irish Basis'!$C$7*'Irish Basis'!$C$5,2)</f>
        <v/>
      </c>
      <c r="P2036" s="10">
        <f>ROUND(K2036*'Irish Basis'!$C$8*'Irish Basis'!$C$5,2)</f>
        <v/>
      </c>
      <c r="Q2036" s="10">
        <f>ROUND(L2036*'Irish Basis'!$C$12*'Irish Basis'!$C$5,2)</f>
        <v/>
      </c>
      <c r="R2036" s="11">
        <f>ROUND(SUM(N2036:Q2036),2)</f>
        <v/>
      </c>
      <c r="S2036" s="5" t="inlineStr">
        <is>
          <t>Stated build-up</t>
        </is>
      </c>
      <c r="T2036" s="12" t="inlineStr">
        <is>
          <t>High</t>
        </is>
      </c>
      <c r="U2036" s="8" t="n">
        <v>465.96</v>
      </c>
      <c r="V2036" s="13">
        <f>IF(U2036="","",ROUND(M2036-U2036,2))</f>
        <v/>
      </c>
      <c r="W2036" s="5" t="n"/>
      <c r="X2036" s="5" t="inlineStr">
        <is>
          <t>Labour + plant + material as published; reconciles to the published rate.</t>
        </is>
      </c>
    </row>
    <row r="2037" ht="13" customHeight="1">
      <c r="A2037" s="4" t="n">
        <v>3092</v>
      </c>
      <c r="B2037" s="5" t="inlineStr">
        <is>
          <t>IMG_0107</t>
        </is>
      </c>
      <c r="C2037" s="5" t="inlineStr">
        <is>
          <t>CLASS K: PIPEWORK - MANHOLES AND PIPEWORK ANCILLARIES</t>
        </is>
      </c>
      <c r="D2037" s="5" t="inlineStr">
        <is>
          <t>01 MANHOLES</t>
        </is>
      </c>
      <c r="E2037" s="5" t="inlineStr">
        <is>
          <t>Precast concrete construction; 2700 dia. x 4500 depth to invert (continued)</t>
        </is>
      </c>
      <c r="F2037" s="5" t="inlineStr">
        <is>
          <t>step irons</t>
        </is>
      </c>
      <c r="G2037" s="6" t="inlineStr">
        <is>
          <t>nr</t>
        </is>
      </c>
      <c r="H2037" s="7" t="n">
        <v>1.47</v>
      </c>
      <c r="I2037" s="8" t="n">
        <v>36.07</v>
      </c>
      <c r="J2037" s="8" t="n">
        <v>4.79</v>
      </c>
      <c r="K2037" s="8" t="n">
        <v>320.89</v>
      </c>
      <c r="L2037" s="8" t="n">
        <v>0</v>
      </c>
      <c r="M2037" s="9">
        <f>ROUND(SUM(I2037:L2037),2)</f>
        <v/>
      </c>
      <c r="N2037" s="10">
        <f>ROUND(I2037*'Irish Basis'!$C$6*'Irish Basis'!$C$5,2)</f>
        <v/>
      </c>
      <c r="O2037" s="10">
        <f>ROUND(J2037*'Irish Basis'!$C$7*'Irish Basis'!$C$5,2)</f>
        <v/>
      </c>
      <c r="P2037" s="10">
        <f>ROUND(K2037*'Irish Basis'!$C$8*'Irish Basis'!$C$5,2)</f>
        <v/>
      </c>
      <c r="Q2037" s="10">
        <f>ROUND(L2037*'Irish Basis'!$C$12*'Irish Basis'!$C$5,2)</f>
        <v/>
      </c>
      <c r="R2037" s="11">
        <f>ROUND(SUM(N2037:Q2037),2)</f>
        <v/>
      </c>
      <c r="S2037" s="5" t="inlineStr">
        <is>
          <t>Stated build-up</t>
        </is>
      </c>
      <c r="T2037" s="12" t="inlineStr">
        <is>
          <t>High</t>
        </is>
      </c>
      <c r="U2037" s="8" t="n">
        <v>361.75</v>
      </c>
      <c r="V2037" s="13">
        <f>IF(U2037="","",ROUND(M2037-U2037,2))</f>
        <v/>
      </c>
      <c r="W2037" s="5" t="n"/>
      <c r="X2037" s="5" t="inlineStr">
        <is>
          <t>Labour + plant + material as published; reconciles to the published rate.</t>
        </is>
      </c>
    </row>
    <row r="2038" ht="13" customHeight="1">
      <c r="A2038" s="4" t="n">
        <v>3093</v>
      </c>
      <c r="B2038" s="5" t="inlineStr">
        <is>
          <t>IMG_0107</t>
        </is>
      </c>
      <c r="C2038" s="5" t="inlineStr">
        <is>
          <t>CLASS K: PIPEWORK - MANHOLES AND PIPEWORK ANCILLARIES</t>
        </is>
      </c>
      <c r="D2038" s="5" t="inlineStr">
        <is>
          <t>01 MANHOLES</t>
        </is>
      </c>
      <c r="E2038" s="5" t="inlineStr">
        <is>
          <t>Precast concrete construction; 2700 dia. x 4500 depth to invert (continued)</t>
        </is>
      </c>
      <c r="F2038" s="5" t="inlineStr">
        <is>
          <t>access cover and frame</t>
        </is>
      </c>
      <c r="G2038" s="6" t="inlineStr">
        <is>
          <t>nr</t>
        </is>
      </c>
      <c r="H2038" s="7" t="n">
        <v>1.44</v>
      </c>
      <c r="I2038" s="8" t="n">
        <v>40.16</v>
      </c>
      <c r="J2038" s="8" t="n">
        <v>4.42</v>
      </c>
      <c r="K2038" s="8" t="n">
        <v>341.51</v>
      </c>
      <c r="L2038" s="8" t="n">
        <v>0</v>
      </c>
      <c r="M2038" s="9">
        <f>ROUND(SUM(I2038:L2038),2)</f>
        <v/>
      </c>
      <c r="N2038" s="10">
        <f>ROUND(I2038*'Irish Basis'!$C$6*'Irish Basis'!$C$5,2)</f>
        <v/>
      </c>
      <c r="O2038" s="10">
        <f>ROUND(J2038*'Irish Basis'!$C$7*'Irish Basis'!$C$5,2)</f>
        <v/>
      </c>
      <c r="P2038" s="10">
        <f>ROUND(K2038*'Irish Basis'!$C$8*'Irish Basis'!$C$5,2)</f>
        <v/>
      </c>
      <c r="Q2038" s="10">
        <f>ROUND(L2038*'Irish Basis'!$C$12*'Irish Basis'!$C$5,2)</f>
        <v/>
      </c>
      <c r="R2038" s="11">
        <f>ROUND(SUM(N2038:Q2038),2)</f>
        <v/>
      </c>
      <c r="S2038" s="5" t="inlineStr">
        <is>
          <t>Stated build-up</t>
        </is>
      </c>
      <c r="T2038" s="12" t="inlineStr">
        <is>
          <t>High</t>
        </is>
      </c>
      <c r="U2038" s="8" t="n">
        <v>386.09</v>
      </c>
      <c r="V2038" s="13">
        <f>IF(U2038="","",ROUND(M2038-U2038,2))</f>
        <v/>
      </c>
      <c r="W2038" s="5" t="n"/>
      <c r="X2038" s="5" t="inlineStr">
        <is>
          <t>Labour + plant + material as published; reconciles to the published rate.</t>
        </is>
      </c>
    </row>
    <row r="2039" ht="13" customHeight="1">
      <c r="A2039" s="4" t="n">
        <v>3094</v>
      </c>
      <c r="B2039" s="5" t="inlineStr">
        <is>
          <t>IMG_0107</t>
        </is>
      </c>
      <c r="C2039" s="5" t="inlineStr">
        <is>
          <t>CLASS K: PIPEWORK - MANHOLES AND PIPEWORK ANCILLARIES</t>
        </is>
      </c>
      <c r="D2039" s="5" t="inlineStr">
        <is>
          <t>01 MANHOLES</t>
        </is>
      </c>
      <c r="E2039" s="5" t="inlineStr">
        <is>
          <t>Precast concrete construction; 2700 dia. x 4500 depth to invert (continued)</t>
        </is>
      </c>
      <c r="F2039" s="5" t="inlineStr">
        <is>
          <t>TOTAL</t>
        </is>
      </c>
      <c r="G2039" s="6" t="inlineStr">
        <is>
          <t>nr</t>
        </is>
      </c>
      <c r="H2039" s="7" t="n">
        <v>95.48</v>
      </c>
      <c r="I2039" s="8" t="n">
        <v>4612.32</v>
      </c>
      <c r="J2039" s="8" t="n">
        <v>4361.68</v>
      </c>
      <c r="K2039" s="8" t="n">
        <v>12875.43</v>
      </c>
      <c r="L2039" s="8" t="n">
        <v>0</v>
      </c>
      <c r="M2039" s="9">
        <f>ROUND(SUM(I2039:L2039),2)</f>
        <v/>
      </c>
      <c r="N2039" s="10">
        <f>ROUND(I2039*'Irish Basis'!$C$6*'Irish Basis'!$C$5,2)</f>
        <v/>
      </c>
      <c r="O2039" s="10">
        <f>ROUND(J2039*'Irish Basis'!$C$7*'Irish Basis'!$C$5,2)</f>
        <v/>
      </c>
      <c r="P2039" s="10">
        <f>ROUND(K2039*'Irish Basis'!$C$8*'Irish Basis'!$C$5,2)</f>
        <v/>
      </c>
      <c r="Q2039" s="10">
        <f>ROUND(L2039*'Irish Basis'!$C$12*'Irish Basis'!$C$5,2)</f>
        <v/>
      </c>
      <c r="R2039" s="11">
        <f>ROUND(SUM(N2039:Q2039),2)</f>
        <v/>
      </c>
      <c r="S2039" s="5" t="inlineStr">
        <is>
          <t>Stated build-up</t>
        </is>
      </c>
      <c r="T2039" s="12" t="inlineStr">
        <is>
          <t>High</t>
        </is>
      </c>
      <c r="U2039" s="8" t="n">
        <v>21849.43</v>
      </c>
      <c r="V2039" s="13">
        <f>IF(U2039="","",ROUND(M2039-U2039,2))</f>
        <v/>
      </c>
      <c r="W2039" s="5" t="n"/>
      <c r="X2039" s="5" t="inlineStr">
        <is>
          <t>Labour + plant + material as published; reconciles to the published rate.</t>
        </is>
      </c>
    </row>
    <row r="2040" ht="13" customHeight="1">
      <c r="A2040" s="4" t="n">
        <v>3096</v>
      </c>
      <c r="B2040" s="5" t="inlineStr">
        <is>
          <t>IMG_0107</t>
        </is>
      </c>
      <c r="C2040" s="5" t="inlineStr">
        <is>
          <t>CLASS K: PIPEWORK - MANHOLES AND PIPEWORK ANCILLARIES</t>
        </is>
      </c>
      <c r="D2040" s="5" t="inlineStr">
        <is>
          <t>01 MANHOLES</t>
        </is>
      </c>
      <c r="E2040" s="5" t="inlineStr">
        <is>
          <t>3000 dia. x 3000 depth to invert</t>
        </is>
      </c>
      <c r="F2040" s="5" t="inlineStr">
        <is>
          <t>excavation, support, backfilling and disposal</t>
        </is>
      </c>
      <c r="G2040" s="6" t="inlineStr">
        <is>
          <t>nr</t>
        </is>
      </c>
      <c r="H2040" s="7" t="n">
        <v>20.88</v>
      </c>
      <c r="I2040" s="8" t="n">
        <v>1928.84</v>
      </c>
      <c r="J2040" s="8" t="n">
        <v>1031.09</v>
      </c>
      <c r="K2040" s="8" t="n">
        <v>0</v>
      </c>
      <c r="L2040" s="8" t="n">
        <v>0</v>
      </c>
      <c r="M2040" s="9">
        <f>ROUND(SUM(I2040:L2040),2)</f>
        <v/>
      </c>
      <c r="N2040" s="10">
        <f>ROUND(I2040*'Irish Basis'!$C$6*'Irish Basis'!$C$5,2)</f>
        <v/>
      </c>
      <c r="O2040" s="10">
        <f>ROUND(J2040*'Irish Basis'!$C$7*'Irish Basis'!$C$5,2)</f>
        <v/>
      </c>
      <c r="P2040" s="10">
        <f>ROUND(K2040*'Irish Basis'!$C$8*'Irish Basis'!$C$5,2)</f>
        <v/>
      </c>
      <c r="Q2040" s="10">
        <f>ROUND(L2040*'Irish Basis'!$C$12*'Irish Basis'!$C$5,2)</f>
        <v/>
      </c>
      <c r="R2040" s="11">
        <f>ROUND(SUM(N2040:Q2040),2)</f>
        <v/>
      </c>
      <c r="S2040" s="5" t="inlineStr">
        <is>
          <t>Stated build-up</t>
        </is>
      </c>
      <c r="T2040" s="12" t="inlineStr">
        <is>
          <t>High</t>
        </is>
      </c>
      <c r="U2040" s="8" t="n">
        <v>2959.93</v>
      </c>
      <c r="V2040" s="13">
        <f>IF(U2040="","",ROUND(M2040-U2040,2))</f>
        <v/>
      </c>
      <c r="W2040" s="5" t="n"/>
      <c r="X2040" s="5" t="inlineStr">
        <is>
          <t>Labour + plant + material as published; reconciles to the published rate.</t>
        </is>
      </c>
    </row>
    <row r="2041" ht="13" customHeight="1">
      <c r="A2041" s="4" t="n">
        <v>3097</v>
      </c>
      <c r="B2041" s="5" t="inlineStr">
        <is>
          <t>IMG_0107</t>
        </is>
      </c>
      <c r="C2041" s="5" t="inlineStr">
        <is>
          <t>CLASS K: PIPEWORK - MANHOLES AND PIPEWORK ANCILLARIES</t>
        </is>
      </c>
      <c r="D2041" s="5" t="inlineStr">
        <is>
          <t>01 MANHOLES</t>
        </is>
      </c>
      <c r="E2041" s="5" t="inlineStr">
        <is>
          <t>3000 dia. x 3000 depth to invert</t>
        </is>
      </c>
      <c r="F2041" s="5" t="inlineStr">
        <is>
          <t>concrete base</t>
        </is>
      </c>
      <c r="G2041" s="6" t="inlineStr">
        <is>
          <t>nr</t>
        </is>
      </c>
      <c r="H2041" s="7" t="n">
        <v>5.33</v>
      </c>
      <c r="I2041" s="8" t="n">
        <v>141.7</v>
      </c>
      <c r="J2041" s="8" t="n">
        <v>49.08</v>
      </c>
      <c r="K2041" s="8" t="n">
        <v>465.32</v>
      </c>
      <c r="L2041" s="8" t="n">
        <v>0</v>
      </c>
      <c r="M2041" s="9">
        <f>ROUND(SUM(I2041:L2041),2)</f>
        <v/>
      </c>
      <c r="N2041" s="10">
        <f>ROUND(I2041*'Irish Basis'!$C$6*'Irish Basis'!$C$5,2)</f>
        <v/>
      </c>
      <c r="O2041" s="10">
        <f>ROUND(J2041*'Irish Basis'!$C$7*'Irish Basis'!$C$5,2)</f>
        <v/>
      </c>
      <c r="P2041" s="10">
        <f>ROUND(K2041*'Irish Basis'!$C$8*'Irish Basis'!$C$5,2)</f>
        <v/>
      </c>
      <c r="Q2041" s="10">
        <f>ROUND(L2041*'Irish Basis'!$C$12*'Irish Basis'!$C$5,2)</f>
        <v/>
      </c>
      <c r="R2041" s="11">
        <f>ROUND(SUM(N2041:Q2041),2)</f>
        <v/>
      </c>
      <c r="S2041" s="5" t="inlineStr">
        <is>
          <t>Stated build-up</t>
        </is>
      </c>
      <c r="T2041" s="12" t="inlineStr">
        <is>
          <t>High</t>
        </is>
      </c>
      <c r="U2041" s="8" t="n">
        <v>656.09</v>
      </c>
      <c r="V2041" s="13">
        <f>IF(U2041="","",ROUND(M2041-U2041,2))</f>
        <v/>
      </c>
      <c r="W2041" s="5" t="n"/>
      <c r="X2041" s="5" t="inlineStr">
        <is>
          <t>Labour + plant + material as published; reconciles to the published rate.</t>
        </is>
      </c>
    </row>
    <row r="2042" ht="13" customHeight="1">
      <c r="A2042" s="4" t="n">
        <v>3098</v>
      </c>
      <c r="B2042" s="5" t="inlineStr">
        <is>
          <t>IMG_0107</t>
        </is>
      </c>
      <c r="C2042" s="5" t="inlineStr">
        <is>
          <t>CLASS K: PIPEWORK - MANHOLES AND PIPEWORK ANCILLARIES</t>
        </is>
      </c>
      <c r="D2042" s="5" t="inlineStr">
        <is>
          <t>01 MANHOLES</t>
        </is>
      </c>
      <c r="E2042" s="5" t="inlineStr">
        <is>
          <t>3000 dia. x 3000 depth to invert</t>
        </is>
      </c>
      <c r="F2042" s="5" t="inlineStr">
        <is>
          <t>main chamber rings</t>
        </is>
      </c>
      <c r="G2042" s="6" t="inlineStr">
        <is>
          <t>nr</t>
        </is>
      </c>
      <c r="H2042" s="7" t="n">
        <v>25.8</v>
      </c>
      <c r="I2042" s="8" t="n">
        <v>889.09</v>
      </c>
      <c r="J2042" s="8" t="n">
        <v>1620.41</v>
      </c>
      <c r="K2042" s="8" t="n">
        <v>6266.55</v>
      </c>
      <c r="L2042" s="8" t="n">
        <v>0</v>
      </c>
      <c r="M2042" s="9">
        <f>ROUND(SUM(I2042:L2042),2)</f>
        <v/>
      </c>
      <c r="N2042" s="10">
        <f>ROUND(I2042*'Irish Basis'!$C$6*'Irish Basis'!$C$5,2)</f>
        <v/>
      </c>
      <c r="O2042" s="10">
        <f>ROUND(J2042*'Irish Basis'!$C$7*'Irish Basis'!$C$5,2)</f>
        <v/>
      </c>
      <c r="P2042" s="10">
        <f>ROUND(K2042*'Irish Basis'!$C$8*'Irish Basis'!$C$5,2)</f>
        <v/>
      </c>
      <c r="Q2042" s="10">
        <f>ROUND(L2042*'Irish Basis'!$C$12*'Irish Basis'!$C$5,2)</f>
        <v/>
      </c>
      <c r="R2042" s="11">
        <f>ROUND(SUM(N2042:Q2042),2)</f>
        <v/>
      </c>
      <c r="S2042" s="5" t="inlineStr">
        <is>
          <t>Stated build-up</t>
        </is>
      </c>
      <c r="T2042" s="12" t="inlineStr">
        <is>
          <t>High</t>
        </is>
      </c>
      <c r="U2042" s="8" t="n">
        <v>8776.049999999999</v>
      </c>
      <c r="V2042" s="13">
        <f>IF(U2042="","",ROUND(M2042-U2042,2))</f>
        <v/>
      </c>
      <c r="W2042" s="5" t="n"/>
      <c r="X2042" s="5" t="inlineStr">
        <is>
          <t>Labour + plant + material as published; reconciles to the published rate.</t>
        </is>
      </c>
    </row>
    <row r="2043" ht="13" customHeight="1">
      <c r="A2043" s="4" t="n">
        <v>3099</v>
      </c>
      <c r="B2043" s="5" t="inlineStr">
        <is>
          <t>IMG_0107</t>
        </is>
      </c>
      <c r="C2043" s="5" t="inlineStr">
        <is>
          <t>CLASS K: PIPEWORK - MANHOLES AND PIPEWORK ANCILLARIES</t>
        </is>
      </c>
      <c r="D2043" s="5" t="inlineStr">
        <is>
          <t>01 MANHOLES</t>
        </is>
      </c>
      <c r="E2043" s="5" t="inlineStr">
        <is>
          <t>3000 dia. x 3000 depth to invert</t>
        </is>
      </c>
      <c r="F2043" s="5" t="inlineStr">
        <is>
          <t>cover slab</t>
        </is>
      </c>
      <c r="G2043" s="6" t="inlineStr">
        <is>
          <t>nr</t>
        </is>
      </c>
      <c r="H2043" s="7" t="n">
        <v>0.6</v>
      </c>
      <c r="I2043" s="8" t="n">
        <v>21.67</v>
      </c>
      <c r="J2043" s="8" t="n">
        <v>61.41</v>
      </c>
      <c r="K2043" s="8" t="n">
        <v>3316.15</v>
      </c>
      <c r="L2043" s="8" t="n">
        <v>0</v>
      </c>
      <c r="M2043" s="9">
        <f>ROUND(SUM(I2043:L2043),2)</f>
        <v/>
      </c>
      <c r="N2043" s="10">
        <f>ROUND(I2043*'Irish Basis'!$C$6*'Irish Basis'!$C$5,2)</f>
        <v/>
      </c>
      <c r="O2043" s="10">
        <f>ROUND(J2043*'Irish Basis'!$C$7*'Irish Basis'!$C$5,2)</f>
        <v/>
      </c>
      <c r="P2043" s="10">
        <f>ROUND(K2043*'Irish Basis'!$C$8*'Irish Basis'!$C$5,2)</f>
        <v/>
      </c>
      <c r="Q2043" s="10">
        <f>ROUND(L2043*'Irish Basis'!$C$12*'Irish Basis'!$C$5,2)</f>
        <v/>
      </c>
      <c r="R2043" s="11">
        <f>ROUND(SUM(N2043:Q2043),2)</f>
        <v/>
      </c>
      <c r="S2043" s="5" t="inlineStr">
        <is>
          <t>Stated build-up</t>
        </is>
      </c>
      <c r="T2043" s="12" t="inlineStr">
        <is>
          <t>High</t>
        </is>
      </c>
      <c r="U2043" s="8" t="n">
        <v>3399.23</v>
      </c>
      <c r="V2043" s="13">
        <f>IF(U2043="","",ROUND(M2043-U2043,2))</f>
        <v/>
      </c>
      <c r="W2043" s="5" t="n"/>
      <c r="X2043" s="5" t="inlineStr">
        <is>
          <t>Labour + plant + material as published; reconciles to the published rate.</t>
        </is>
      </c>
    </row>
    <row r="2044" ht="13" customHeight="1">
      <c r="A2044" s="4" t="n">
        <v>3100</v>
      </c>
      <c r="B2044" s="5" t="inlineStr">
        <is>
          <t>IMG_0107</t>
        </is>
      </c>
      <c r="C2044" s="5" t="inlineStr">
        <is>
          <t>CLASS K: PIPEWORK - MANHOLES AND PIPEWORK ANCILLARIES</t>
        </is>
      </c>
      <c r="D2044" s="5" t="inlineStr">
        <is>
          <t>01 MANHOLES</t>
        </is>
      </c>
      <c r="E2044" s="5" t="inlineStr">
        <is>
          <t>3000 dia. x 3000 depth to invert</t>
        </is>
      </c>
      <c r="F2044" s="5" t="inlineStr">
        <is>
          <t>concrete surround</t>
        </is>
      </c>
      <c r="G2044" s="6" t="inlineStr">
        <is>
          <t>nr</t>
        </is>
      </c>
      <c r="H2044" s="7" t="n">
        <v>9.75</v>
      </c>
      <c r="I2044" s="8" t="n">
        <v>259.43</v>
      </c>
      <c r="J2044" s="8" t="n">
        <v>100.84</v>
      </c>
      <c r="K2044" s="8" t="n">
        <v>619.27</v>
      </c>
      <c r="L2044" s="8" t="n">
        <v>0</v>
      </c>
      <c r="M2044" s="9">
        <f>ROUND(SUM(I2044:L2044),2)</f>
        <v/>
      </c>
      <c r="N2044" s="10">
        <f>ROUND(I2044*'Irish Basis'!$C$6*'Irish Basis'!$C$5,2)</f>
        <v/>
      </c>
      <c r="O2044" s="10">
        <f>ROUND(J2044*'Irish Basis'!$C$7*'Irish Basis'!$C$5,2)</f>
        <v/>
      </c>
      <c r="P2044" s="10">
        <f>ROUND(K2044*'Irish Basis'!$C$8*'Irish Basis'!$C$5,2)</f>
        <v/>
      </c>
      <c r="Q2044" s="10">
        <f>ROUND(L2044*'Irish Basis'!$C$12*'Irish Basis'!$C$5,2)</f>
        <v/>
      </c>
      <c r="R2044" s="11">
        <f>ROUND(SUM(N2044:Q2044),2)</f>
        <v/>
      </c>
      <c r="S2044" s="5" t="inlineStr">
        <is>
          <t>Stated build-up</t>
        </is>
      </c>
      <c r="T2044" s="12" t="inlineStr">
        <is>
          <t>High</t>
        </is>
      </c>
      <c r="U2044" s="8" t="n">
        <v>979.54</v>
      </c>
      <c r="V2044" s="13">
        <f>IF(U2044="","",ROUND(M2044-U2044,2))</f>
        <v/>
      </c>
      <c r="W2044" s="5" t="n"/>
      <c r="X2044" s="5" t="inlineStr">
        <is>
          <t>Labour + plant + material as published; reconciles to the published rate.</t>
        </is>
      </c>
    </row>
    <row r="2045" ht="13" customHeight="1">
      <c r="A2045" s="4" t="n">
        <v>3101</v>
      </c>
      <c r="B2045" s="5" t="inlineStr">
        <is>
          <t>IMG_0107</t>
        </is>
      </c>
      <c r="C2045" s="5" t="inlineStr">
        <is>
          <t>CLASS K: PIPEWORK - MANHOLES AND PIPEWORK ANCILLARIES</t>
        </is>
      </c>
      <c r="D2045" s="5" t="inlineStr">
        <is>
          <t>01 MANHOLES</t>
        </is>
      </c>
      <c r="E2045" s="5" t="inlineStr">
        <is>
          <t>3000 dia. x 3000 depth to invert</t>
        </is>
      </c>
      <c r="F2045" s="5" t="inlineStr">
        <is>
          <t>concrete benching, main and branch channels</t>
        </is>
      </c>
      <c r="G2045" s="6" t="inlineStr">
        <is>
          <t>nr</t>
        </is>
      </c>
      <c r="H2045" s="7" t="n">
        <v>8.880000000000001</v>
      </c>
      <c r="I2045" s="8" t="n">
        <v>240.42</v>
      </c>
      <c r="J2045" s="8" t="n">
        <v>54.57</v>
      </c>
      <c r="K2045" s="8" t="n">
        <v>192.16</v>
      </c>
      <c r="L2045" s="8" t="n">
        <v>0</v>
      </c>
      <c r="M2045" s="9">
        <f>ROUND(SUM(I2045:L2045),2)</f>
        <v/>
      </c>
      <c r="N2045" s="10">
        <f>ROUND(I2045*'Irish Basis'!$C$6*'Irish Basis'!$C$5,2)</f>
        <v/>
      </c>
      <c r="O2045" s="10">
        <f>ROUND(J2045*'Irish Basis'!$C$7*'Irish Basis'!$C$5,2)</f>
        <v/>
      </c>
      <c r="P2045" s="10">
        <f>ROUND(K2045*'Irish Basis'!$C$8*'Irish Basis'!$C$5,2)</f>
        <v/>
      </c>
      <c r="Q2045" s="10">
        <f>ROUND(L2045*'Irish Basis'!$C$12*'Irish Basis'!$C$5,2)</f>
        <v/>
      </c>
      <c r="R2045" s="11">
        <f>ROUND(SUM(N2045:Q2045),2)</f>
        <v/>
      </c>
      <c r="S2045" s="5" t="inlineStr">
        <is>
          <t>Stated build-up</t>
        </is>
      </c>
      <c r="T2045" s="12" t="inlineStr">
        <is>
          <t>High</t>
        </is>
      </c>
      <c r="U2045" s="8" t="n">
        <v>487.15</v>
      </c>
      <c r="V2045" s="13">
        <f>IF(U2045="","",ROUND(M2045-U2045,2))</f>
        <v/>
      </c>
      <c r="W2045" s="5" t="n"/>
      <c r="X2045" s="5" t="inlineStr">
        <is>
          <t>Labour + plant + material as published; reconciles to the published rate.</t>
        </is>
      </c>
    </row>
    <row r="2046" ht="13" customHeight="1">
      <c r="A2046" s="4" t="n">
        <v>3102</v>
      </c>
      <c r="B2046" s="5" t="inlineStr">
        <is>
          <t>IMG_0107</t>
        </is>
      </c>
      <c r="C2046" s="5" t="inlineStr">
        <is>
          <t>CLASS K: PIPEWORK - MANHOLES AND PIPEWORK ANCILLARIES</t>
        </is>
      </c>
      <c r="D2046" s="5" t="inlineStr">
        <is>
          <t>01 MANHOLES</t>
        </is>
      </c>
      <c r="E2046" s="5" t="inlineStr">
        <is>
          <t>3000 dia. x 3000 depth to invert</t>
        </is>
      </c>
      <c r="F2046" s="5" t="inlineStr">
        <is>
          <t>step irons</t>
        </is>
      </c>
      <c r="G2046" s="6" t="inlineStr">
        <is>
          <t>nr</t>
        </is>
      </c>
      <c r="H2046" s="7" t="n">
        <v>0.95</v>
      </c>
      <c r="I2046" s="8" t="n">
        <v>23.19</v>
      </c>
      <c r="J2046" s="8" t="n">
        <v>3.08</v>
      </c>
      <c r="K2046" s="8" t="n">
        <v>206.29</v>
      </c>
      <c r="L2046" s="8" t="n">
        <v>0</v>
      </c>
      <c r="M2046" s="9">
        <f>ROUND(SUM(I2046:L2046),2)</f>
        <v/>
      </c>
      <c r="N2046" s="10">
        <f>ROUND(I2046*'Irish Basis'!$C$6*'Irish Basis'!$C$5,2)</f>
        <v/>
      </c>
      <c r="O2046" s="10">
        <f>ROUND(J2046*'Irish Basis'!$C$7*'Irish Basis'!$C$5,2)</f>
        <v/>
      </c>
      <c r="P2046" s="10">
        <f>ROUND(K2046*'Irish Basis'!$C$8*'Irish Basis'!$C$5,2)</f>
        <v/>
      </c>
      <c r="Q2046" s="10">
        <f>ROUND(L2046*'Irish Basis'!$C$12*'Irish Basis'!$C$5,2)</f>
        <v/>
      </c>
      <c r="R2046" s="11">
        <f>ROUND(SUM(N2046:Q2046),2)</f>
        <v/>
      </c>
      <c r="S2046" s="5" t="inlineStr">
        <is>
          <t>Stated build-up</t>
        </is>
      </c>
      <c r="T2046" s="12" t="inlineStr">
        <is>
          <t>High</t>
        </is>
      </c>
      <c r="U2046" s="8" t="n">
        <v>232.55</v>
      </c>
      <c r="V2046" s="13">
        <f>IF(U2046="","",ROUND(M2046-U2046,2))</f>
        <v/>
      </c>
      <c r="W2046" s="5" t="n"/>
      <c r="X2046" s="5" t="inlineStr">
        <is>
          <t>Labour + plant + material as published; reconciles to the published rate.</t>
        </is>
      </c>
    </row>
    <row r="2047" ht="13" customHeight="1">
      <c r="A2047" s="4" t="n">
        <v>3103</v>
      </c>
      <c r="B2047" s="5" t="inlineStr">
        <is>
          <t>IMG_0107</t>
        </is>
      </c>
      <c r="C2047" s="5" t="inlineStr">
        <is>
          <t>CLASS K: PIPEWORK - MANHOLES AND PIPEWORK ANCILLARIES</t>
        </is>
      </c>
      <c r="D2047" s="5" t="inlineStr">
        <is>
          <t>01 MANHOLES</t>
        </is>
      </c>
      <c r="E2047" s="5" t="inlineStr">
        <is>
          <t>3000 dia. x 3000 depth to invert</t>
        </is>
      </c>
      <c r="F2047" s="5" t="inlineStr">
        <is>
          <t>access cover and frame</t>
        </is>
      </c>
      <c r="G2047" s="6" t="inlineStr">
        <is>
          <t>nr</t>
        </is>
      </c>
      <c r="H2047" s="7" t="n">
        <v>1.44</v>
      </c>
      <c r="I2047" s="8" t="n">
        <v>40.16</v>
      </c>
      <c r="J2047" s="8" t="n">
        <v>4.42</v>
      </c>
      <c r="K2047" s="8" t="n">
        <v>341.51</v>
      </c>
      <c r="L2047" s="8" t="n">
        <v>0</v>
      </c>
      <c r="M2047" s="9">
        <f>ROUND(SUM(I2047:L2047),2)</f>
        <v/>
      </c>
      <c r="N2047" s="10">
        <f>ROUND(I2047*'Irish Basis'!$C$6*'Irish Basis'!$C$5,2)</f>
        <v/>
      </c>
      <c r="O2047" s="10">
        <f>ROUND(J2047*'Irish Basis'!$C$7*'Irish Basis'!$C$5,2)</f>
        <v/>
      </c>
      <c r="P2047" s="10">
        <f>ROUND(K2047*'Irish Basis'!$C$8*'Irish Basis'!$C$5,2)</f>
        <v/>
      </c>
      <c r="Q2047" s="10">
        <f>ROUND(L2047*'Irish Basis'!$C$12*'Irish Basis'!$C$5,2)</f>
        <v/>
      </c>
      <c r="R2047" s="11">
        <f>ROUND(SUM(N2047:Q2047),2)</f>
        <v/>
      </c>
      <c r="S2047" s="5" t="inlineStr">
        <is>
          <t>Stated build-up</t>
        </is>
      </c>
      <c r="T2047" s="12" t="inlineStr">
        <is>
          <t>High</t>
        </is>
      </c>
      <c r="U2047" s="8" t="n">
        <v>386.09</v>
      </c>
      <c r="V2047" s="13">
        <f>IF(U2047="","",ROUND(M2047-U2047,2))</f>
        <v/>
      </c>
      <c r="W2047" s="5" t="n"/>
      <c r="X2047" s="5" t="inlineStr">
        <is>
          <t>Labour + plant + material as published; reconciles to the published rate.</t>
        </is>
      </c>
    </row>
    <row r="2048" ht="13" customHeight="1">
      <c r="A2048" s="4" t="n">
        <v>3104</v>
      </c>
      <c r="B2048" s="5" t="inlineStr">
        <is>
          <t>IMG_0107</t>
        </is>
      </c>
      <c r="C2048" s="5" t="inlineStr">
        <is>
          <t>CLASS K: PIPEWORK - MANHOLES AND PIPEWORK ANCILLARIES</t>
        </is>
      </c>
      <c r="D2048" s="5" t="inlineStr">
        <is>
          <t>01 MANHOLES</t>
        </is>
      </c>
      <c r="E2048" s="5" t="inlineStr">
        <is>
          <t>3000 dia. x 3000 depth to invert</t>
        </is>
      </c>
      <c r="F2048" s="5" t="inlineStr">
        <is>
          <t>TOTAL</t>
        </is>
      </c>
      <c r="G2048" s="6" t="inlineStr">
        <is>
          <t>nr</t>
        </is>
      </c>
      <c r="H2048" s="7" t="n">
        <v>73.63</v>
      </c>
      <c r="I2048" s="8" t="n">
        <v>3544.49</v>
      </c>
      <c r="J2048" s="8" t="n">
        <v>2924.89</v>
      </c>
      <c r="K2048" s="8" t="n">
        <v>11407.25</v>
      </c>
      <c r="L2048" s="8" t="n">
        <v>0</v>
      </c>
      <c r="M2048" s="9">
        <f>ROUND(SUM(I2048:L2048),2)</f>
        <v/>
      </c>
      <c r="N2048" s="10">
        <f>ROUND(I2048*'Irish Basis'!$C$6*'Irish Basis'!$C$5,2)</f>
        <v/>
      </c>
      <c r="O2048" s="10">
        <f>ROUND(J2048*'Irish Basis'!$C$7*'Irish Basis'!$C$5,2)</f>
        <v/>
      </c>
      <c r="P2048" s="10">
        <f>ROUND(K2048*'Irish Basis'!$C$8*'Irish Basis'!$C$5,2)</f>
        <v/>
      </c>
      <c r="Q2048" s="10">
        <f>ROUND(L2048*'Irish Basis'!$C$12*'Irish Basis'!$C$5,2)</f>
        <v/>
      </c>
      <c r="R2048" s="11">
        <f>ROUND(SUM(N2048:Q2048),2)</f>
        <v/>
      </c>
      <c r="S2048" s="5" t="inlineStr">
        <is>
          <t>Stated build-up</t>
        </is>
      </c>
      <c r="T2048" s="12" t="inlineStr">
        <is>
          <t>High</t>
        </is>
      </c>
      <c r="U2048" s="8" t="n">
        <v>17876.63</v>
      </c>
      <c r="V2048" s="13">
        <f>IF(U2048="","",ROUND(M2048-U2048,2))</f>
        <v/>
      </c>
      <c r="W2048" s="5" t="n"/>
      <c r="X2048" s="5" t="inlineStr">
        <is>
          <t>Labour + plant + material as published; reconciles to the published rate.</t>
        </is>
      </c>
    </row>
    <row r="2049" ht="13" customHeight="1">
      <c r="A2049" s="4" t="n">
        <v>3106</v>
      </c>
      <c r="B2049" s="5" t="inlineStr">
        <is>
          <t>IMG_0107</t>
        </is>
      </c>
      <c r="C2049" s="5" t="inlineStr">
        <is>
          <t>CLASS K: PIPEWORK - MANHOLES AND PIPEWORK ANCILLARIES</t>
        </is>
      </c>
      <c r="D2049" s="5" t="inlineStr">
        <is>
          <t>01 MANHOLES</t>
        </is>
      </c>
      <c r="E2049" s="5" t="inlineStr">
        <is>
          <t>3000 dia. x 4500 depth to invert</t>
        </is>
      </c>
      <c r="F2049" s="5" t="inlineStr">
        <is>
          <t>excavation, support, backfilling and disposal</t>
        </is>
      </c>
      <c r="G2049" s="6" t="inlineStr">
        <is>
          <t>nr</t>
        </is>
      </c>
      <c r="H2049" s="7" t="n">
        <v>32.21</v>
      </c>
      <c r="I2049" s="8" t="n">
        <v>3001.76</v>
      </c>
      <c r="J2049" s="8" t="n">
        <v>1856.37</v>
      </c>
      <c r="K2049" s="8" t="n">
        <v>0</v>
      </c>
      <c r="L2049" s="8" t="n">
        <v>0</v>
      </c>
      <c r="M2049" s="9">
        <f>ROUND(SUM(I2049:L2049),2)</f>
        <v/>
      </c>
      <c r="N2049" s="10">
        <f>ROUND(I2049*'Irish Basis'!$C$6*'Irish Basis'!$C$5,2)</f>
        <v/>
      </c>
      <c r="O2049" s="10">
        <f>ROUND(J2049*'Irish Basis'!$C$7*'Irish Basis'!$C$5,2)</f>
        <v/>
      </c>
      <c r="P2049" s="10">
        <f>ROUND(K2049*'Irish Basis'!$C$8*'Irish Basis'!$C$5,2)</f>
        <v/>
      </c>
      <c r="Q2049" s="10">
        <f>ROUND(L2049*'Irish Basis'!$C$12*'Irish Basis'!$C$5,2)</f>
        <v/>
      </c>
      <c r="R2049" s="11">
        <f>ROUND(SUM(N2049:Q2049),2)</f>
        <v/>
      </c>
      <c r="S2049" s="5" t="inlineStr">
        <is>
          <t>Stated build-up</t>
        </is>
      </c>
      <c r="T2049" s="12" t="inlineStr">
        <is>
          <t>High</t>
        </is>
      </c>
      <c r="U2049" s="8" t="n">
        <v>4858.14</v>
      </c>
      <c r="V2049" s="13">
        <f>IF(U2049="","",ROUND(M2049-U2049,2))</f>
        <v/>
      </c>
      <c r="W2049" s="5" t="n"/>
      <c r="X2049" s="5" t="inlineStr">
        <is>
          <t>Labour + plant + material as published; reconciles to the published rate.</t>
        </is>
      </c>
    </row>
    <row r="2050" ht="13" customHeight="1">
      <c r="A2050" s="4" t="n">
        <v>3107</v>
      </c>
      <c r="B2050" s="5" t="inlineStr">
        <is>
          <t>IMG_0107</t>
        </is>
      </c>
      <c r="C2050" s="5" t="inlineStr">
        <is>
          <t>CLASS K: PIPEWORK - MANHOLES AND PIPEWORK ANCILLARIES</t>
        </is>
      </c>
      <c r="D2050" s="5" t="inlineStr">
        <is>
          <t>01 MANHOLES</t>
        </is>
      </c>
      <c r="E2050" s="5" t="inlineStr">
        <is>
          <t>3000 dia. x 4500 depth to invert</t>
        </is>
      </c>
      <c r="F2050" s="5" t="inlineStr">
        <is>
          <t>concrete base</t>
        </is>
      </c>
      <c r="G2050" s="6" t="inlineStr">
        <is>
          <t>nr</t>
        </is>
      </c>
      <c r="H2050" s="7" t="n">
        <v>5.33</v>
      </c>
      <c r="I2050" s="8" t="n">
        <v>141.7</v>
      </c>
      <c r="J2050" s="8" t="n">
        <v>49.08</v>
      </c>
      <c r="K2050" s="8" t="n">
        <v>465.32</v>
      </c>
      <c r="L2050" s="8" t="n">
        <v>0</v>
      </c>
      <c r="M2050" s="9">
        <f>ROUND(SUM(I2050:L2050),2)</f>
        <v/>
      </c>
      <c r="N2050" s="10">
        <f>ROUND(I2050*'Irish Basis'!$C$6*'Irish Basis'!$C$5,2)</f>
        <v/>
      </c>
      <c r="O2050" s="10">
        <f>ROUND(J2050*'Irish Basis'!$C$7*'Irish Basis'!$C$5,2)</f>
        <v/>
      </c>
      <c r="P2050" s="10">
        <f>ROUND(K2050*'Irish Basis'!$C$8*'Irish Basis'!$C$5,2)</f>
        <v/>
      </c>
      <c r="Q2050" s="10">
        <f>ROUND(L2050*'Irish Basis'!$C$12*'Irish Basis'!$C$5,2)</f>
        <v/>
      </c>
      <c r="R2050" s="11">
        <f>ROUND(SUM(N2050:Q2050),2)</f>
        <v/>
      </c>
      <c r="S2050" s="5" t="inlineStr">
        <is>
          <t>Stated build-up</t>
        </is>
      </c>
      <c r="T2050" s="12" t="inlineStr">
        <is>
          <t>High</t>
        </is>
      </c>
      <c r="U2050" s="8" t="n">
        <v>656.09</v>
      </c>
      <c r="V2050" s="13">
        <f>IF(U2050="","",ROUND(M2050-U2050,2))</f>
        <v/>
      </c>
      <c r="W2050" s="5" t="n"/>
      <c r="X2050" s="5" t="inlineStr">
        <is>
          <t>Labour + plant + material as published; reconciles to the published rate.</t>
        </is>
      </c>
    </row>
    <row r="2051" ht="13" customHeight="1">
      <c r="A2051" s="4" t="n">
        <v>3108</v>
      </c>
      <c r="B2051" s="5" t="inlineStr">
        <is>
          <t>IMG_0107</t>
        </is>
      </c>
      <c r="C2051" s="5" t="inlineStr">
        <is>
          <t>CLASS K: PIPEWORK - MANHOLES AND PIPEWORK ANCILLARIES</t>
        </is>
      </c>
      <c r="D2051" s="5" t="inlineStr">
        <is>
          <t>01 MANHOLES</t>
        </is>
      </c>
      <c r="E2051" s="5" t="inlineStr">
        <is>
          <t>3000 dia. x 4500 depth to invert</t>
        </is>
      </c>
      <c r="F2051" s="5" t="inlineStr">
        <is>
          <t>main chamber rings</t>
        </is>
      </c>
      <c r="G2051" s="6" t="inlineStr">
        <is>
          <t>nr</t>
        </is>
      </c>
      <c r="H2051" s="7" t="n">
        <v>38.7</v>
      </c>
      <c r="I2051" s="8" t="n">
        <v>1333.64</v>
      </c>
      <c r="J2051" s="8" t="n">
        <v>2430.61</v>
      </c>
      <c r="K2051" s="8" t="n">
        <v>9399.83</v>
      </c>
      <c r="L2051" s="8" t="n">
        <v>0</v>
      </c>
      <c r="M2051" s="9">
        <f>ROUND(SUM(I2051:L2051),2)</f>
        <v/>
      </c>
      <c r="N2051" s="10">
        <f>ROUND(I2051*'Irish Basis'!$C$6*'Irish Basis'!$C$5,2)</f>
        <v/>
      </c>
      <c r="O2051" s="10">
        <f>ROUND(J2051*'Irish Basis'!$C$7*'Irish Basis'!$C$5,2)</f>
        <v/>
      </c>
      <c r="P2051" s="10">
        <f>ROUND(K2051*'Irish Basis'!$C$8*'Irish Basis'!$C$5,2)</f>
        <v/>
      </c>
      <c r="Q2051" s="10">
        <f>ROUND(L2051*'Irish Basis'!$C$12*'Irish Basis'!$C$5,2)</f>
        <v/>
      </c>
      <c r="R2051" s="11">
        <f>ROUND(SUM(N2051:Q2051),2)</f>
        <v/>
      </c>
      <c r="S2051" s="5" t="inlineStr">
        <is>
          <t>Stated build-up</t>
        </is>
      </c>
      <c r="T2051" s="12" t="inlineStr">
        <is>
          <t>High</t>
        </is>
      </c>
      <c r="U2051" s="8" t="n">
        <v>13164.08</v>
      </c>
      <c r="V2051" s="13">
        <f>IF(U2051="","",ROUND(M2051-U2051,2))</f>
        <v/>
      </c>
      <c r="W2051" s="5" t="n"/>
      <c r="X2051" s="5" t="inlineStr">
        <is>
          <t>Labour + plant + material as published; reconciles to the published rate.</t>
        </is>
      </c>
    </row>
    <row r="2052" ht="13" customHeight="1">
      <c r="A2052" s="4" t="n">
        <v>3109</v>
      </c>
      <c r="B2052" s="5" t="inlineStr">
        <is>
          <t>IMG_0107</t>
        </is>
      </c>
      <c r="C2052" s="5" t="inlineStr">
        <is>
          <t>CLASS K: PIPEWORK - MANHOLES AND PIPEWORK ANCILLARIES</t>
        </is>
      </c>
      <c r="D2052" s="5" t="inlineStr">
        <is>
          <t>01 MANHOLES</t>
        </is>
      </c>
      <c r="E2052" s="5" t="inlineStr">
        <is>
          <t>3000 dia. x 4500 depth to invert</t>
        </is>
      </c>
      <c r="F2052" s="5" t="inlineStr">
        <is>
          <t>cover slab</t>
        </is>
      </c>
      <c r="G2052" s="6" t="inlineStr">
        <is>
          <t>nr</t>
        </is>
      </c>
      <c r="H2052" s="7" t="n">
        <v>0.6</v>
      </c>
      <c r="I2052" s="8" t="n">
        <v>21.67</v>
      </c>
      <c r="J2052" s="8" t="n">
        <v>61.41</v>
      </c>
      <c r="K2052" s="8" t="n">
        <v>3316.15</v>
      </c>
      <c r="L2052" s="8" t="n">
        <v>0</v>
      </c>
      <c r="M2052" s="9">
        <f>ROUND(SUM(I2052:L2052),2)</f>
        <v/>
      </c>
      <c r="N2052" s="10">
        <f>ROUND(I2052*'Irish Basis'!$C$6*'Irish Basis'!$C$5,2)</f>
        <v/>
      </c>
      <c r="O2052" s="10">
        <f>ROUND(J2052*'Irish Basis'!$C$7*'Irish Basis'!$C$5,2)</f>
        <v/>
      </c>
      <c r="P2052" s="10">
        <f>ROUND(K2052*'Irish Basis'!$C$8*'Irish Basis'!$C$5,2)</f>
        <v/>
      </c>
      <c r="Q2052" s="10">
        <f>ROUND(L2052*'Irish Basis'!$C$12*'Irish Basis'!$C$5,2)</f>
        <v/>
      </c>
      <c r="R2052" s="11">
        <f>ROUND(SUM(N2052:Q2052),2)</f>
        <v/>
      </c>
      <c r="S2052" s="5" t="inlineStr">
        <is>
          <t>Stated build-up</t>
        </is>
      </c>
      <c r="T2052" s="12" t="inlineStr">
        <is>
          <t>High</t>
        </is>
      </c>
      <c r="U2052" s="8" t="n">
        <v>3399.23</v>
      </c>
      <c r="V2052" s="13">
        <f>IF(U2052="","",ROUND(M2052-U2052,2))</f>
        <v/>
      </c>
      <c r="W2052" s="5" t="n"/>
      <c r="X2052" s="5" t="inlineStr">
        <is>
          <t>Labour + plant + material as published; reconciles to the published rate.</t>
        </is>
      </c>
    </row>
    <row r="2053" ht="13" customHeight="1">
      <c r="A2053" s="4" t="n">
        <v>3110</v>
      </c>
      <c r="B2053" s="5" t="inlineStr">
        <is>
          <t>IMG_0107</t>
        </is>
      </c>
      <c r="C2053" s="5" t="inlineStr">
        <is>
          <t>CLASS K: PIPEWORK - MANHOLES AND PIPEWORK ANCILLARIES</t>
        </is>
      </c>
      <c r="D2053" s="5" t="inlineStr">
        <is>
          <t>01 MANHOLES</t>
        </is>
      </c>
      <c r="E2053" s="5" t="inlineStr">
        <is>
          <t>3000 dia. x 4500 depth to invert</t>
        </is>
      </c>
      <c r="F2053" s="5" t="inlineStr">
        <is>
          <t>concrete surround</t>
        </is>
      </c>
      <c r="G2053" s="6" t="inlineStr">
        <is>
          <t>nr</t>
        </is>
      </c>
      <c r="H2053" s="7" t="n">
        <v>14.63</v>
      </c>
      <c r="I2053" s="8" t="n">
        <v>389.15</v>
      </c>
      <c r="J2053" s="8" t="n">
        <v>151.25</v>
      </c>
      <c r="K2053" s="8" t="n">
        <v>928.91</v>
      </c>
      <c r="L2053" s="8" t="n">
        <v>0</v>
      </c>
      <c r="M2053" s="9">
        <f>ROUND(SUM(I2053:L2053),2)</f>
        <v/>
      </c>
      <c r="N2053" s="10">
        <f>ROUND(I2053*'Irish Basis'!$C$6*'Irish Basis'!$C$5,2)</f>
        <v/>
      </c>
      <c r="O2053" s="10">
        <f>ROUND(J2053*'Irish Basis'!$C$7*'Irish Basis'!$C$5,2)</f>
        <v/>
      </c>
      <c r="P2053" s="10">
        <f>ROUND(K2053*'Irish Basis'!$C$8*'Irish Basis'!$C$5,2)</f>
        <v/>
      </c>
      <c r="Q2053" s="10">
        <f>ROUND(L2053*'Irish Basis'!$C$12*'Irish Basis'!$C$5,2)</f>
        <v/>
      </c>
      <c r="R2053" s="11">
        <f>ROUND(SUM(N2053:Q2053),2)</f>
        <v/>
      </c>
      <c r="S2053" s="5" t="inlineStr">
        <is>
          <t>Stated build-up</t>
        </is>
      </c>
      <c r="T2053" s="12" t="inlineStr">
        <is>
          <t>High</t>
        </is>
      </c>
      <c r="U2053" s="8" t="n">
        <v>1469.31</v>
      </c>
      <c r="V2053" s="13">
        <f>IF(U2053="","",ROUND(M2053-U2053,2))</f>
        <v/>
      </c>
      <c r="W2053" s="5" t="n"/>
      <c r="X2053" s="5" t="inlineStr">
        <is>
          <t>Labour + plant + material as published; reconciles to the published rate.</t>
        </is>
      </c>
    </row>
    <row r="2054" ht="13" customHeight="1">
      <c r="A2054" s="4" t="n">
        <v>3111</v>
      </c>
      <c r="B2054" s="5" t="inlineStr">
        <is>
          <t>IMG_0107</t>
        </is>
      </c>
      <c r="C2054" s="5" t="inlineStr">
        <is>
          <t>CLASS K: PIPEWORK - MANHOLES AND PIPEWORK ANCILLARIES</t>
        </is>
      </c>
      <c r="D2054" s="5" t="inlineStr">
        <is>
          <t>01 MANHOLES</t>
        </is>
      </c>
      <c r="E2054" s="5" t="inlineStr">
        <is>
          <t>3000 dia. x 4500 depth to invert</t>
        </is>
      </c>
      <c r="F2054" s="5" t="inlineStr">
        <is>
          <t>concrete benching, main and branch channels</t>
        </is>
      </c>
      <c r="G2054" s="6" t="inlineStr">
        <is>
          <t>nr</t>
        </is>
      </c>
      <c r="H2054" s="7" t="n">
        <v>8.880000000000001</v>
      </c>
      <c r="I2054" s="8" t="n">
        <v>240.42</v>
      </c>
      <c r="J2054" s="8" t="n">
        <v>54.57</v>
      </c>
      <c r="K2054" s="8" t="n">
        <v>192.16</v>
      </c>
      <c r="L2054" s="8" t="n">
        <v>0</v>
      </c>
      <c r="M2054" s="9">
        <f>ROUND(SUM(I2054:L2054),2)</f>
        <v/>
      </c>
      <c r="N2054" s="10">
        <f>ROUND(I2054*'Irish Basis'!$C$6*'Irish Basis'!$C$5,2)</f>
        <v/>
      </c>
      <c r="O2054" s="10">
        <f>ROUND(J2054*'Irish Basis'!$C$7*'Irish Basis'!$C$5,2)</f>
        <v/>
      </c>
      <c r="P2054" s="10">
        <f>ROUND(K2054*'Irish Basis'!$C$8*'Irish Basis'!$C$5,2)</f>
        <v/>
      </c>
      <c r="Q2054" s="10">
        <f>ROUND(L2054*'Irish Basis'!$C$12*'Irish Basis'!$C$5,2)</f>
        <v/>
      </c>
      <c r="R2054" s="11">
        <f>ROUND(SUM(N2054:Q2054),2)</f>
        <v/>
      </c>
      <c r="S2054" s="5" t="inlineStr">
        <is>
          <t>Stated build-up</t>
        </is>
      </c>
      <c r="T2054" s="12" t="inlineStr">
        <is>
          <t>High</t>
        </is>
      </c>
      <c r="U2054" s="8" t="n">
        <v>487.15</v>
      </c>
      <c r="V2054" s="13">
        <f>IF(U2054="","",ROUND(M2054-U2054,2))</f>
        <v/>
      </c>
      <c r="W2054" s="5" t="n"/>
      <c r="X2054" s="5" t="inlineStr">
        <is>
          <t>Labour + plant + material as published; reconciles to the published rate.</t>
        </is>
      </c>
    </row>
    <row r="2055" ht="13" customHeight="1">
      <c r="A2055" s="4" t="n">
        <v>3112</v>
      </c>
      <c r="B2055" s="5" t="inlineStr">
        <is>
          <t>IMG_0107</t>
        </is>
      </c>
      <c r="C2055" s="5" t="inlineStr">
        <is>
          <t>CLASS K: PIPEWORK - MANHOLES AND PIPEWORK ANCILLARIES</t>
        </is>
      </c>
      <c r="D2055" s="5" t="inlineStr">
        <is>
          <t>01 MANHOLES</t>
        </is>
      </c>
      <c r="E2055" s="5" t="inlineStr">
        <is>
          <t>3000 dia. x 4500 depth to invert</t>
        </is>
      </c>
      <c r="F2055" s="5" t="inlineStr">
        <is>
          <t>step irons</t>
        </is>
      </c>
      <c r="G2055" s="6" t="inlineStr">
        <is>
          <t>nr</t>
        </is>
      </c>
      <c r="H2055" s="7" t="n">
        <v>1.47</v>
      </c>
      <c r="I2055" s="8" t="n">
        <v>36.07</v>
      </c>
      <c r="J2055" s="8" t="n">
        <v>4.79</v>
      </c>
      <c r="K2055" s="8" t="n">
        <v>320.89</v>
      </c>
      <c r="L2055" s="8" t="n">
        <v>0</v>
      </c>
      <c r="M2055" s="9">
        <f>ROUND(SUM(I2055:L2055),2)</f>
        <v/>
      </c>
      <c r="N2055" s="10">
        <f>ROUND(I2055*'Irish Basis'!$C$6*'Irish Basis'!$C$5,2)</f>
        <v/>
      </c>
      <c r="O2055" s="10">
        <f>ROUND(J2055*'Irish Basis'!$C$7*'Irish Basis'!$C$5,2)</f>
        <v/>
      </c>
      <c r="P2055" s="10">
        <f>ROUND(K2055*'Irish Basis'!$C$8*'Irish Basis'!$C$5,2)</f>
        <v/>
      </c>
      <c r="Q2055" s="10">
        <f>ROUND(L2055*'Irish Basis'!$C$12*'Irish Basis'!$C$5,2)</f>
        <v/>
      </c>
      <c r="R2055" s="11">
        <f>ROUND(SUM(N2055:Q2055),2)</f>
        <v/>
      </c>
      <c r="S2055" s="5" t="inlineStr">
        <is>
          <t>Stated build-up</t>
        </is>
      </c>
      <c r="T2055" s="12" t="inlineStr">
        <is>
          <t>High</t>
        </is>
      </c>
      <c r="U2055" s="8" t="n">
        <v>361.75</v>
      </c>
      <c r="V2055" s="13">
        <f>IF(U2055="","",ROUND(M2055-U2055,2))</f>
        <v/>
      </c>
      <c r="W2055" s="5" t="n"/>
      <c r="X2055" s="5" t="inlineStr">
        <is>
          <t>Labour + plant + material as published; reconciles to the published rate.</t>
        </is>
      </c>
    </row>
    <row r="2056" ht="13" customHeight="1">
      <c r="A2056" s="4" t="n">
        <v>3113</v>
      </c>
      <c r="B2056" s="5" t="inlineStr">
        <is>
          <t>IMG_0107</t>
        </is>
      </c>
      <c r="C2056" s="5" t="inlineStr">
        <is>
          <t>CLASS K: PIPEWORK - MANHOLES AND PIPEWORK ANCILLARIES</t>
        </is>
      </c>
      <c r="D2056" s="5" t="inlineStr">
        <is>
          <t>01 MANHOLES</t>
        </is>
      </c>
      <c r="E2056" s="5" t="inlineStr">
        <is>
          <t>3000 dia. x 4500 depth to invert</t>
        </is>
      </c>
      <c r="F2056" s="5" t="inlineStr">
        <is>
          <t>access cover and frame</t>
        </is>
      </c>
      <c r="G2056" s="6" t="inlineStr">
        <is>
          <t>nr</t>
        </is>
      </c>
      <c r="H2056" s="7" t="n">
        <v>1.44</v>
      </c>
      <c r="I2056" s="8" t="n">
        <v>40.16</v>
      </c>
      <c r="J2056" s="8" t="n">
        <v>4.42</v>
      </c>
      <c r="K2056" s="8" t="n">
        <v>341.51</v>
      </c>
      <c r="L2056" s="8" t="n">
        <v>0</v>
      </c>
      <c r="M2056" s="9">
        <f>ROUND(SUM(I2056:L2056),2)</f>
        <v/>
      </c>
      <c r="N2056" s="10">
        <f>ROUND(I2056*'Irish Basis'!$C$6*'Irish Basis'!$C$5,2)</f>
        <v/>
      </c>
      <c r="O2056" s="10">
        <f>ROUND(J2056*'Irish Basis'!$C$7*'Irish Basis'!$C$5,2)</f>
        <v/>
      </c>
      <c r="P2056" s="10">
        <f>ROUND(K2056*'Irish Basis'!$C$8*'Irish Basis'!$C$5,2)</f>
        <v/>
      </c>
      <c r="Q2056" s="10">
        <f>ROUND(L2056*'Irish Basis'!$C$12*'Irish Basis'!$C$5,2)</f>
        <v/>
      </c>
      <c r="R2056" s="11">
        <f>ROUND(SUM(N2056:Q2056),2)</f>
        <v/>
      </c>
      <c r="S2056" s="5" t="inlineStr">
        <is>
          <t>Stated build-up</t>
        </is>
      </c>
      <c r="T2056" s="12" t="inlineStr">
        <is>
          <t>High</t>
        </is>
      </c>
      <c r="U2056" s="8" t="n">
        <v>386.09</v>
      </c>
      <c r="V2056" s="13">
        <f>IF(U2056="","",ROUND(M2056-U2056,2))</f>
        <v/>
      </c>
      <c r="W2056" s="5" t="n"/>
      <c r="X2056" s="5" t="inlineStr">
        <is>
          <t>Labour + plant + material as published; reconciles to the published rate.</t>
        </is>
      </c>
    </row>
    <row r="2057" ht="13" customHeight="1">
      <c r="A2057" s="4" t="n">
        <v>3114</v>
      </c>
      <c r="B2057" s="5" t="inlineStr">
        <is>
          <t>IMG_0107</t>
        </is>
      </c>
      <c r="C2057" s="5" t="inlineStr">
        <is>
          <t>CLASS K: PIPEWORK - MANHOLES AND PIPEWORK ANCILLARIES</t>
        </is>
      </c>
      <c r="D2057" s="5" t="inlineStr">
        <is>
          <t>01 MANHOLES</t>
        </is>
      </c>
      <c r="E2057" s="5" t="inlineStr">
        <is>
          <t>3000 dia. x 4500 depth to invert</t>
        </is>
      </c>
      <c r="F2057" s="5" t="inlineStr">
        <is>
          <t>TOTAL</t>
        </is>
      </c>
      <c r="G2057" s="6" t="inlineStr">
        <is>
          <t>nr</t>
        </is>
      </c>
      <c r="H2057" s="7" t="n">
        <v>103.26</v>
      </c>
      <c r="I2057" s="8" t="n">
        <v>5204.56</v>
      </c>
      <c r="J2057" s="8" t="n">
        <v>4612.51</v>
      </c>
      <c r="K2057" s="8" t="n">
        <v>14964.76</v>
      </c>
      <c r="L2057" s="8" t="n">
        <v>0</v>
      </c>
      <c r="M2057" s="9">
        <f>ROUND(SUM(I2057:L2057),2)</f>
        <v/>
      </c>
      <c r="N2057" s="10">
        <f>ROUND(I2057*'Irish Basis'!$C$6*'Irish Basis'!$C$5,2)</f>
        <v/>
      </c>
      <c r="O2057" s="10">
        <f>ROUND(J2057*'Irish Basis'!$C$7*'Irish Basis'!$C$5,2)</f>
        <v/>
      </c>
      <c r="P2057" s="10">
        <f>ROUND(K2057*'Irish Basis'!$C$8*'Irish Basis'!$C$5,2)</f>
        <v/>
      </c>
      <c r="Q2057" s="10">
        <f>ROUND(L2057*'Irish Basis'!$C$12*'Irish Basis'!$C$5,2)</f>
        <v/>
      </c>
      <c r="R2057" s="11">
        <f>ROUND(SUM(N2057:Q2057),2)</f>
        <v/>
      </c>
      <c r="S2057" s="5" t="inlineStr">
        <is>
          <t>Stated build-up</t>
        </is>
      </c>
      <c r="T2057" s="12" t="inlineStr">
        <is>
          <t>High</t>
        </is>
      </c>
      <c r="U2057" s="8" t="n">
        <v>24781.83</v>
      </c>
      <c r="V2057" s="13">
        <f>IF(U2057="","",ROUND(M2057-U2057,2))</f>
        <v/>
      </c>
      <c r="W2057" s="5" t="n"/>
      <c r="X2057" s="5" t="inlineStr">
        <is>
          <t>Labour + plant + material as published; reconciles to the published rate.</t>
        </is>
      </c>
    </row>
    <row r="2058" ht="13" customHeight="1">
      <c r="A2058" s="4" t="n">
        <v>3116</v>
      </c>
      <c r="B2058" s="5" t="inlineStr">
        <is>
          <t>IMG_0107</t>
        </is>
      </c>
      <c r="C2058" s="5" t="inlineStr">
        <is>
          <t>CLASS K: PIPEWORK - MANHOLES AND PIPEWORK ANCILLARIES</t>
        </is>
      </c>
      <c r="D2058" s="5" t="inlineStr">
        <is>
          <t>01 MANHOLES</t>
        </is>
      </c>
      <c r="E2058" s="5" t="inlineStr">
        <is>
          <t>3000 dia. x 6000 depth to invert</t>
        </is>
      </c>
      <c r="F2058" s="5" t="inlineStr">
        <is>
          <t>excavation, support, backfilling and disposal</t>
        </is>
      </c>
      <c r="G2058" s="6" t="inlineStr">
        <is>
          <t>nr</t>
        </is>
      </c>
      <c r="H2058" s="7" t="n">
        <v>42.95</v>
      </c>
      <c r="I2058" s="8" t="n">
        <v>4002.11</v>
      </c>
      <c r="J2058" s="8" t="n">
        <v>2475.1</v>
      </c>
      <c r="K2058" s="8" t="n">
        <v>0</v>
      </c>
      <c r="L2058" s="8" t="n">
        <v>0</v>
      </c>
      <c r="M2058" s="9">
        <f>ROUND(SUM(I2058:L2058),2)</f>
        <v/>
      </c>
      <c r="N2058" s="10">
        <f>ROUND(I2058*'Irish Basis'!$C$6*'Irish Basis'!$C$5,2)</f>
        <v/>
      </c>
      <c r="O2058" s="10">
        <f>ROUND(J2058*'Irish Basis'!$C$7*'Irish Basis'!$C$5,2)</f>
        <v/>
      </c>
      <c r="P2058" s="10">
        <f>ROUND(K2058*'Irish Basis'!$C$8*'Irish Basis'!$C$5,2)</f>
        <v/>
      </c>
      <c r="Q2058" s="10">
        <f>ROUND(L2058*'Irish Basis'!$C$12*'Irish Basis'!$C$5,2)</f>
        <v/>
      </c>
      <c r="R2058" s="11">
        <f>ROUND(SUM(N2058:Q2058),2)</f>
        <v/>
      </c>
      <c r="S2058" s="5" t="inlineStr">
        <is>
          <t>Stated build-up</t>
        </is>
      </c>
      <c r="T2058" s="12" t="inlineStr">
        <is>
          <t>High</t>
        </is>
      </c>
      <c r="U2058" s="8" t="n">
        <v>6477.21</v>
      </c>
      <c r="V2058" s="13">
        <f>IF(U2058="","",ROUND(M2058-U2058,2))</f>
        <v/>
      </c>
      <c r="W2058" s="5" t="n"/>
      <c r="X2058" s="5" t="inlineStr">
        <is>
          <t>Labour + plant + material as published; reconciles to the published rate.</t>
        </is>
      </c>
    </row>
    <row r="2059" ht="13" customHeight="1">
      <c r="A2059" s="4" t="n">
        <v>3117</v>
      </c>
      <c r="B2059" s="5" t="inlineStr">
        <is>
          <t>IMG_0107</t>
        </is>
      </c>
      <c r="C2059" s="5" t="inlineStr">
        <is>
          <t>CLASS K: PIPEWORK - MANHOLES AND PIPEWORK ANCILLARIES</t>
        </is>
      </c>
      <c r="D2059" s="5" t="inlineStr">
        <is>
          <t>01 MANHOLES</t>
        </is>
      </c>
      <c r="E2059" s="5" t="inlineStr">
        <is>
          <t>3000 dia. x 6000 depth to invert</t>
        </is>
      </c>
      <c r="F2059" s="5" t="inlineStr">
        <is>
          <t>concrete base</t>
        </is>
      </c>
      <c r="G2059" s="6" t="inlineStr">
        <is>
          <t>nr</t>
        </is>
      </c>
      <c r="H2059" s="7" t="n">
        <v>5.33</v>
      </c>
      <c r="I2059" s="8" t="n">
        <v>141.7</v>
      </c>
      <c r="J2059" s="8" t="n">
        <v>49.08</v>
      </c>
      <c r="K2059" s="8" t="n">
        <v>465.32</v>
      </c>
      <c r="L2059" s="8" t="n">
        <v>0</v>
      </c>
      <c r="M2059" s="9">
        <f>ROUND(SUM(I2059:L2059),2)</f>
        <v/>
      </c>
      <c r="N2059" s="10">
        <f>ROUND(I2059*'Irish Basis'!$C$6*'Irish Basis'!$C$5,2)</f>
        <v/>
      </c>
      <c r="O2059" s="10">
        <f>ROUND(J2059*'Irish Basis'!$C$7*'Irish Basis'!$C$5,2)</f>
        <v/>
      </c>
      <c r="P2059" s="10">
        <f>ROUND(K2059*'Irish Basis'!$C$8*'Irish Basis'!$C$5,2)</f>
        <v/>
      </c>
      <c r="Q2059" s="10">
        <f>ROUND(L2059*'Irish Basis'!$C$12*'Irish Basis'!$C$5,2)</f>
        <v/>
      </c>
      <c r="R2059" s="11">
        <f>ROUND(SUM(N2059:Q2059),2)</f>
        <v/>
      </c>
      <c r="S2059" s="5" t="inlineStr">
        <is>
          <t>Stated build-up</t>
        </is>
      </c>
      <c r="T2059" s="12" t="inlineStr">
        <is>
          <t>High</t>
        </is>
      </c>
      <c r="U2059" s="8" t="n">
        <v>656.09</v>
      </c>
      <c r="V2059" s="13">
        <f>IF(U2059="","",ROUND(M2059-U2059,2))</f>
        <v/>
      </c>
      <c r="W2059" s="5" t="n"/>
      <c r="X2059" s="5" t="inlineStr">
        <is>
          <t>Labour + plant + material as published; reconciles to the published rate.</t>
        </is>
      </c>
    </row>
    <row r="2060" ht="13" customHeight="1">
      <c r="A2060" s="4" t="n">
        <v>3118</v>
      </c>
      <c r="B2060" s="5" t="inlineStr">
        <is>
          <t>IMG_0107</t>
        </is>
      </c>
      <c r="C2060" s="5" t="inlineStr">
        <is>
          <t>CLASS K: PIPEWORK - MANHOLES AND PIPEWORK ANCILLARIES</t>
        </is>
      </c>
      <c r="D2060" s="5" t="inlineStr">
        <is>
          <t>01 MANHOLES</t>
        </is>
      </c>
      <c r="E2060" s="5" t="inlineStr">
        <is>
          <t>3000 dia. x 6000 depth to invert</t>
        </is>
      </c>
      <c r="F2060" s="5" t="inlineStr">
        <is>
          <t>main chamber rings</t>
        </is>
      </c>
      <c r="G2060" s="6" t="inlineStr">
        <is>
          <t>nr</t>
        </is>
      </c>
      <c r="H2060" s="7" t="n">
        <v>51.6</v>
      </c>
      <c r="I2060" s="8" t="n">
        <v>1778.19</v>
      </c>
      <c r="J2060" s="8" t="n">
        <v>3240.81</v>
      </c>
      <c r="K2060" s="8" t="n">
        <v>12533.1</v>
      </c>
      <c r="L2060" s="8" t="n">
        <v>0</v>
      </c>
      <c r="M2060" s="9">
        <f>ROUND(SUM(I2060:L2060),2)</f>
        <v/>
      </c>
      <c r="N2060" s="10">
        <f>ROUND(I2060*'Irish Basis'!$C$6*'Irish Basis'!$C$5,2)</f>
        <v/>
      </c>
      <c r="O2060" s="10">
        <f>ROUND(J2060*'Irish Basis'!$C$7*'Irish Basis'!$C$5,2)</f>
        <v/>
      </c>
      <c r="P2060" s="10">
        <f>ROUND(K2060*'Irish Basis'!$C$8*'Irish Basis'!$C$5,2)</f>
        <v/>
      </c>
      <c r="Q2060" s="10">
        <f>ROUND(L2060*'Irish Basis'!$C$12*'Irish Basis'!$C$5,2)</f>
        <v/>
      </c>
      <c r="R2060" s="11">
        <f>ROUND(SUM(N2060:Q2060),2)</f>
        <v/>
      </c>
      <c r="S2060" s="5" t="inlineStr">
        <is>
          <t>Stated build-up</t>
        </is>
      </c>
      <c r="T2060" s="12" t="inlineStr">
        <is>
          <t>High</t>
        </is>
      </c>
      <c r="U2060" s="8" t="n">
        <v>17552.11</v>
      </c>
      <c r="V2060" s="13">
        <f>IF(U2060="","",ROUND(M2060-U2060,2))</f>
        <v/>
      </c>
      <c r="W2060" s="5" t="n"/>
      <c r="X2060" s="5" t="inlineStr">
        <is>
          <t>Labour + plant + material as published; reconciles to the published rate.</t>
        </is>
      </c>
    </row>
    <row r="2061" ht="13" customHeight="1">
      <c r="A2061" s="4" t="n">
        <v>3119</v>
      </c>
      <c r="B2061" s="5" t="inlineStr">
        <is>
          <t>IMG_0107</t>
        </is>
      </c>
      <c r="C2061" s="5" t="inlineStr">
        <is>
          <t>CLASS K: PIPEWORK - MANHOLES AND PIPEWORK ANCILLARIES</t>
        </is>
      </c>
      <c r="D2061" s="5" t="inlineStr">
        <is>
          <t>01 MANHOLES</t>
        </is>
      </c>
      <c r="E2061" s="5" t="inlineStr">
        <is>
          <t>3000 dia. x 6000 depth to invert</t>
        </is>
      </c>
      <c r="F2061" s="5" t="inlineStr">
        <is>
          <t>cover slab</t>
        </is>
      </c>
      <c r="G2061" s="6" t="inlineStr">
        <is>
          <t>nr</t>
        </is>
      </c>
      <c r="H2061" s="7" t="n">
        <v>0.6</v>
      </c>
      <c r="I2061" s="8" t="n">
        <v>21.67</v>
      </c>
      <c r="J2061" s="8" t="n">
        <v>61.41</v>
      </c>
      <c r="K2061" s="8" t="n">
        <v>3316.15</v>
      </c>
      <c r="L2061" s="8" t="n">
        <v>0</v>
      </c>
      <c r="M2061" s="9">
        <f>ROUND(SUM(I2061:L2061),2)</f>
        <v/>
      </c>
      <c r="N2061" s="10">
        <f>ROUND(I2061*'Irish Basis'!$C$6*'Irish Basis'!$C$5,2)</f>
        <v/>
      </c>
      <c r="O2061" s="10">
        <f>ROUND(J2061*'Irish Basis'!$C$7*'Irish Basis'!$C$5,2)</f>
        <v/>
      </c>
      <c r="P2061" s="10">
        <f>ROUND(K2061*'Irish Basis'!$C$8*'Irish Basis'!$C$5,2)</f>
        <v/>
      </c>
      <c r="Q2061" s="10">
        <f>ROUND(L2061*'Irish Basis'!$C$12*'Irish Basis'!$C$5,2)</f>
        <v/>
      </c>
      <c r="R2061" s="11">
        <f>ROUND(SUM(N2061:Q2061),2)</f>
        <v/>
      </c>
      <c r="S2061" s="5" t="inlineStr">
        <is>
          <t>Stated build-up</t>
        </is>
      </c>
      <c r="T2061" s="12" t="inlineStr">
        <is>
          <t>High</t>
        </is>
      </c>
      <c r="U2061" s="8" t="n">
        <v>3399.23</v>
      </c>
      <c r="V2061" s="13">
        <f>IF(U2061="","",ROUND(M2061-U2061,2))</f>
        <v/>
      </c>
      <c r="W2061" s="5" t="n"/>
      <c r="X2061" s="5" t="inlineStr">
        <is>
          <t>Labour + plant + material as published; reconciles to the published rate.</t>
        </is>
      </c>
    </row>
    <row r="2062" ht="13" customHeight="1">
      <c r="A2062" s="4" t="n">
        <v>3120</v>
      </c>
      <c r="B2062" s="5" t="inlineStr">
        <is>
          <t>IMG_0107</t>
        </is>
      </c>
      <c r="C2062" s="5" t="inlineStr">
        <is>
          <t>CLASS K: PIPEWORK - MANHOLES AND PIPEWORK ANCILLARIES</t>
        </is>
      </c>
      <c r="D2062" s="5" t="inlineStr">
        <is>
          <t>01 MANHOLES</t>
        </is>
      </c>
      <c r="E2062" s="5" t="inlineStr">
        <is>
          <t>3000 dia. x 6000 depth to invert</t>
        </is>
      </c>
      <c r="F2062" s="5" t="inlineStr">
        <is>
          <t>concrete surround</t>
        </is>
      </c>
      <c r="G2062" s="6" t="inlineStr">
        <is>
          <t>nr</t>
        </is>
      </c>
      <c r="H2062" s="7" t="n">
        <v>19.5</v>
      </c>
      <c r="I2062" s="8" t="n">
        <v>518.86</v>
      </c>
      <c r="J2062" s="8" t="n">
        <v>201.67</v>
      </c>
      <c r="K2062" s="8" t="n">
        <v>1238.54</v>
      </c>
      <c r="L2062" s="8" t="n">
        <v>0</v>
      </c>
      <c r="M2062" s="9">
        <f>ROUND(SUM(I2062:L2062),2)</f>
        <v/>
      </c>
      <c r="N2062" s="10">
        <f>ROUND(I2062*'Irish Basis'!$C$6*'Irish Basis'!$C$5,2)</f>
        <v/>
      </c>
      <c r="O2062" s="10">
        <f>ROUND(J2062*'Irish Basis'!$C$7*'Irish Basis'!$C$5,2)</f>
        <v/>
      </c>
      <c r="P2062" s="10">
        <f>ROUND(K2062*'Irish Basis'!$C$8*'Irish Basis'!$C$5,2)</f>
        <v/>
      </c>
      <c r="Q2062" s="10">
        <f>ROUND(L2062*'Irish Basis'!$C$12*'Irish Basis'!$C$5,2)</f>
        <v/>
      </c>
      <c r="R2062" s="11">
        <f>ROUND(SUM(N2062:Q2062),2)</f>
        <v/>
      </c>
      <c r="S2062" s="5" t="inlineStr">
        <is>
          <t>Stated build-up</t>
        </is>
      </c>
      <c r="T2062" s="12" t="inlineStr">
        <is>
          <t>High</t>
        </is>
      </c>
      <c r="U2062" s="8" t="n">
        <v>1959.08</v>
      </c>
      <c r="V2062" s="13">
        <f>IF(U2062="","",ROUND(M2062-U2062,2))</f>
        <v/>
      </c>
      <c r="W2062" s="5" t="n"/>
      <c r="X2062" s="5" t="inlineStr">
        <is>
          <t>Labour + plant + material as published; reconciles to the published rate.</t>
        </is>
      </c>
    </row>
    <row r="2063" ht="13" customHeight="1">
      <c r="A2063" s="4" t="n">
        <v>3121</v>
      </c>
      <c r="B2063" s="5" t="inlineStr">
        <is>
          <t>IMG_0107</t>
        </is>
      </c>
      <c r="C2063" s="5" t="inlineStr">
        <is>
          <t>CLASS K: PIPEWORK - MANHOLES AND PIPEWORK ANCILLARIES</t>
        </is>
      </c>
      <c r="D2063" s="5" t="inlineStr">
        <is>
          <t>01 MANHOLES</t>
        </is>
      </c>
      <c r="E2063" s="5" t="inlineStr">
        <is>
          <t>3000 dia. x 6000 depth to invert</t>
        </is>
      </c>
      <c r="F2063" s="5" t="inlineStr">
        <is>
          <t>concrete benching, main and branch channels</t>
        </is>
      </c>
      <c r="G2063" s="6" t="inlineStr">
        <is>
          <t>nr</t>
        </is>
      </c>
      <c r="H2063" s="7" t="n">
        <v>8.880000000000001</v>
      </c>
      <c r="I2063" s="8" t="n">
        <v>240.42</v>
      </c>
      <c r="J2063" s="8" t="n">
        <v>54.57</v>
      </c>
      <c r="K2063" s="8" t="n">
        <v>192.16</v>
      </c>
      <c r="L2063" s="8" t="n">
        <v>0</v>
      </c>
      <c r="M2063" s="9">
        <f>ROUND(SUM(I2063:L2063),2)</f>
        <v/>
      </c>
      <c r="N2063" s="10">
        <f>ROUND(I2063*'Irish Basis'!$C$6*'Irish Basis'!$C$5,2)</f>
        <v/>
      </c>
      <c r="O2063" s="10">
        <f>ROUND(J2063*'Irish Basis'!$C$7*'Irish Basis'!$C$5,2)</f>
        <v/>
      </c>
      <c r="P2063" s="10">
        <f>ROUND(K2063*'Irish Basis'!$C$8*'Irish Basis'!$C$5,2)</f>
        <v/>
      </c>
      <c r="Q2063" s="10">
        <f>ROUND(L2063*'Irish Basis'!$C$12*'Irish Basis'!$C$5,2)</f>
        <v/>
      </c>
      <c r="R2063" s="11">
        <f>ROUND(SUM(N2063:Q2063),2)</f>
        <v/>
      </c>
      <c r="S2063" s="5" t="inlineStr">
        <is>
          <t>Stated build-up</t>
        </is>
      </c>
      <c r="T2063" s="12" t="inlineStr">
        <is>
          <t>High</t>
        </is>
      </c>
      <c r="U2063" s="8" t="n">
        <v>487.15</v>
      </c>
      <c r="V2063" s="13">
        <f>IF(U2063="","",ROUND(M2063-U2063,2))</f>
        <v/>
      </c>
      <c r="W2063" s="5" t="n"/>
      <c r="X2063" s="5" t="inlineStr">
        <is>
          <t>Labour + plant + material as published; reconciles to the published rate.</t>
        </is>
      </c>
    </row>
    <row r="2064" ht="13" customHeight="1">
      <c r="A2064" s="4" t="n">
        <v>3122</v>
      </c>
      <c r="B2064" s="5" t="inlineStr">
        <is>
          <t>IMG_0107</t>
        </is>
      </c>
      <c r="C2064" s="5" t="inlineStr">
        <is>
          <t>CLASS K: PIPEWORK - MANHOLES AND PIPEWORK ANCILLARIES</t>
        </is>
      </c>
      <c r="D2064" s="5" t="inlineStr">
        <is>
          <t>01 MANHOLES</t>
        </is>
      </c>
      <c r="E2064" s="5" t="inlineStr">
        <is>
          <t>3000 dia. x 6000 depth to invert</t>
        </is>
      </c>
      <c r="F2064" s="5" t="inlineStr">
        <is>
          <t>step irons</t>
        </is>
      </c>
      <c r="G2064" s="6" t="inlineStr">
        <is>
          <t>nr</t>
        </is>
      </c>
      <c r="H2064" s="7" t="n">
        <v>2</v>
      </c>
      <c r="I2064" s="8" t="n">
        <v>48.95</v>
      </c>
      <c r="J2064" s="8" t="n">
        <v>6.5</v>
      </c>
      <c r="K2064" s="8" t="n">
        <v>435.5</v>
      </c>
      <c r="L2064" s="8" t="n">
        <v>0</v>
      </c>
      <c r="M2064" s="9">
        <f>ROUND(SUM(I2064:L2064),2)</f>
        <v/>
      </c>
      <c r="N2064" s="10">
        <f>ROUND(I2064*'Irish Basis'!$C$6*'Irish Basis'!$C$5,2)</f>
        <v/>
      </c>
      <c r="O2064" s="10">
        <f>ROUND(J2064*'Irish Basis'!$C$7*'Irish Basis'!$C$5,2)</f>
        <v/>
      </c>
      <c r="P2064" s="10">
        <f>ROUND(K2064*'Irish Basis'!$C$8*'Irish Basis'!$C$5,2)</f>
        <v/>
      </c>
      <c r="Q2064" s="10">
        <f>ROUND(L2064*'Irish Basis'!$C$12*'Irish Basis'!$C$5,2)</f>
        <v/>
      </c>
      <c r="R2064" s="11">
        <f>ROUND(SUM(N2064:Q2064),2)</f>
        <v/>
      </c>
      <c r="S2064" s="5" t="inlineStr">
        <is>
          <t>Stated build-up</t>
        </is>
      </c>
      <c r="T2064" s="12" t="inlineStr">
        <is>
          <t>High</t>
        </is>
      </c>
      <c r="U2064" s="8" t="n">
        <v>490.95</v>
      </c>
      <c r="V2064" s="13">
        <f>IF(U2064="","",ROUND(M2064-U2064,2))</f>
        <v/>
      </c>
      <c r="W2064" s="5" t="n"/>
      <c r="X2064" s="5" t="inlineStr">
        <is>
          <t>Labour + plant + material as published; reconciles to the published rate.</t>
        </is>
      </c>
    </row>
    <row r="2065" ht="13" customHeight="1">
      <c r="A2065" s="4" t="n">
        <v>3123</v>
      </c>
      <c r="B2065" s="5" t="inlineStr">
        <is>
          <t>IMG_0107</t>
        </is>
      </c>
      <c r="C2065" s="5" t="inlineStr">
        <is>
          <t>CLASS K: PIPEWORK - MANHOLES AND PIPEWORK ANCILLARIES</t>
        </is>
      </c>
      <c r="D2065" s="5" t="inlineStr">
        <is>
          <t>01 MANHOLES</t>
        </is>
      </c>
      <c r="E2065" s="5" t="inlineStr">
        <is>
          <t>3000 dia. x 6000 depth to invert</t>
        </is>
      </c>
      <c r="F2065" s="5" t="inlineStr">
        <is>
          <t>access cover and frame</t>
        </is>
      </c>
      <c r="G2065" s="6" t="inlineStr">
        <is>
          <t>nr</t>
        </is>
      </c>
      <c r="H2065" s="7" t="n">
        <v>1.44</v>
      </c>
      <c r="I2065" s="8" t="n">
        <v>40.16</v>
      </c>
      <c r="J2065" s="8" t="n">
        <v>4.42</v>
      </c>
      <c r="K2065" s="8" t="n">
        <v>341.51</v>
      </c>
      <c r="L2065" s="8" t="n">
        <v>0</v>
      </c>
      <c r="M2065" s="9">
        <f>ROUND(SUM(I2065:L2065),2)</f>
        <v/>
      </c>
      <c r="N2065" s="10">
        <f>ROUND(I2065*'Irish Basis'!$C$6*'Irish Basis'!$C$5,2)</f>
        <v/>
      </c>
      <c r="O2065" s="10">
        <f>ROUND(J2065*'Irish Basis'!$C$7*'Irish Basis'!$C$5,2)</f>
        <v/>
      </c>
      <c r="P2065" s="10">
        <f>ROUND(K2065*'Irish Basis'!$C$8*'Irish Basis'!$C$5,2)</f>
        <v/>
      </c>
      <c r="Q2065" s="10">
        <f>ROUND(L2065*'Irish Basis'!$C$12*'Irish Basis'!$C$5,2)</f>
        <v/>
      </c>
      <c r="R2065" s="11">
        <f>ROUND(SUM(N2065:Q2065),2)</f>
        <v/>
      </c>
      <c r="S2065" s="5" t="inlineStr">
        <is>
          <t>Stated build-up</t>
        </is>
      </c>
      <c r="T2065" s="12" t="inlineStr">
        <is>
          <t>High</t>
        </is>
      </c>
      <c r="U2065" s="8" t="n">
        <v>386.09</v>
      </c>
      <c r="V2065" s="13">
        <f>IF(U2065="","",ROUND(M2065-U2065,2))</f>
        <v/>
      </c>
      <c r="W2065" s="5" t="n"/>
      <c r="X2065" s="5" t="inlineStr">
        <is>
          <t>Labour + plant + material as published; reconciles to the published rate.</t>
        </is>
      </c>
    </row>
    <row r="2066" ht="13" customHeight="1">
      <c r="A2066" s="4" t="n">
        <v>3124</v>
      </c>
      <c r="B2066" s="5" t="inlineStr">
        <is>
          <t>IMG_0107</t>
        </is>
      </c>
      <c r="C2066" s="5" t="inlineStr">
        <is>
          <t>CLASS K: PIPEWORK - MANHOLES AND PIPEWORK ANCILLARIES</t>
        </is>
      </c>
      <c r="D2066" s="5" t="inlineStr">
        <is>
          <t>01 MANHOLES</t>
        </is>
      </c>
      <c r="E2066" s="5" t="inlineStr">
        <is>
          <t>3000 dia. x 6000 depth to invert</t>
        </is>
      </c>
      <c r="F2066" s="5" t="inlineStr">
        <is>
          <t>TOTAL</t>
        </is>
      </c>
      <c r="G2066" s="6" t="inlineStr">
        <is>
          <t>nr</t>
        </is>
      </c>
      <c r="H2066" s="7" t="n">
        <v>132.29</v>
      </c>
      <c r="I2066" s="8" t="n">
        <v>6792.05</v>
      </c>
      <c r="J2066" s="8" t="n">
        <v>6093.57</v>
      </c>
      <c r="K2066" s="8" t="n">
        <v>18522.28</v>
      </c>
      <c r="L2066" s="8" t="n">
        <v>0</v>
      </c>
      <c r="M2066" s="9">
        <f>ROUND(SUM(I2066:L2066),2)</f>
        <v/>
      </c>
      <c r="N2066" s="10">
        <f>ROUND(I2066*'Irish Basis'!$C$6*'Irish Basis'!$C$5,2)</f>
        <v/>
      </c>
      <c r="O2066" s="10">
        <f>ROUND(J2066*'Irish Basis'!$C$7*'Irish Basis'!$C$5,2)</f>
        <v/>
      </c>
      <c r="P2066" s="10">
        <f>ROUND(K2066*'Irish Basis'!$C$8*'Irish Basis'!$C$5,2)</f>
        <v/>
      </c>
      <c r="Q2066" s="10">
        <f>ROUND(L2066*'Irish Basis'!$C$12*'Irish Basis'!$C$5,2)</f>
        <v/>
      </c>
      <c r="R2066" s="11">
        <f>ROUND(SUM(N2066:Q2066),2)</f>
        <v/>
      </c>
      <c r="S2066" s="5" t="inlineStr">
        <is>
          <t>Stated build-up</t>
        </is>
      </c>
      <c r="T2066" s="12" t="inlineStr">
        <is>
          <t>High</t>
        </is>
      </c>
      <c r="U2066" s="8" t="n">
        <v>31407.9</v>
      </c>
      <c r="V2066" s="13">
        <f>IF(U2066="","",ROUND(M2066-U2066,2))</f>
        <v/>
      </c>
      <c r="W2066" s="5" t="n"/>
      <c r="X2066" s="5" t="inlineStr">
        <is>
          <t>Labour + plant + material as published; reconciles to the published rate.</t>
        </is>
      </c>
    </row>
    <row r="2067" ht="13" customHeight="1">
      <c r="A2067" s="4" t="n">
        <v>3126</v>
      </c>
      <c r="B2067" s="5" t="inlineStr">
        <is>
          <t>IMG_0107</t>
        </is>
      </c>
      <c r="C2067" s="5" t="inlineStr">
        <is>
          <t>CLASS K: PIPEWORK - MANHOLES AND PIPEWORK ANCILLARIES</t>
        </is>
      </c>
      <c r="D2067" s="5" t="inlineStr">
        <is>
          <t>01 MANHOLES</t>
        </is>
      </c>
      <c r="E2067" s="5" t="inlineStr">
        <is>
          <t>Precast concrete circular manhole; CPM Perfect Manhole; complete with preformed benching and outlets to base; elastomeric seal to joints to rings; single steps as required. Excavations and backfilling not included; 1200 mm dia. with up to four outlets 100 mm or 150 mm dia.; effective internal depth</t>
        </is>
      </c>
      <c r="F2067" s="5" t="inlineStr">
        <is>
          <t>1250 mm deep</t>
        </is>
      </c>
      <c r="G2067" s="6" t="inlineStr">
        <is>
          <t>nr</t>
        </is>
      </c>
      <c r="H2067" s="7" t="n">
        <v>2.25</v>
      </c>
      <c r="I2067" s="8" t="n">
        <v>162.11</v>
      </c>
      <c r="J2067" s="8" t="n">
        <v>59.66</v>
      </c>
      <c r="K2067" s="8" t="n">
        <v>1325.16</v>
      </c>
      <c r="L2067" s="8" t="n">
        <v>0</v>
      </c>
      <c r="M2067" s="9">
        <f>ROUND(SUM(I2067:L2067),2)</f>
        <v/>
      </c>
      <c r="N2067" s="10">
        <f>ROUND(I2067*'Irish Basis'!$C$6*'Irish Basis'!$C$5,2)</f>
        <v/>
      </c>
      <c r="O2067" s="10">
        <f>ROUND(J2067*'Irish Basis'!$C$7*'Irish Basis'!$C$5,2)</f>
        <v/>
      </c>
      <c r="P2067" s="10">
        <f>ROUND(K2067*'Irish Basis'!$C$8*'Irish Basis'!$C$5,2)</f>
        <v/>
      </c>
      <c r="Q2067" s="10">
        <f>ROUND(L2067*'Irish Basis'!$C$12*'Irish Basis'!$C$5,2)</f>
        <v/>
      </c>
      <c r="R2067" s="11">
        <f>ROUND(SUM(N2067:Q2067),2)</f>
        <v/>
      </c>
      <c r="S2067" s="5" t="inlineStr">
        <is>
          <t>Stated build-up</t>
        </is>
      </c>
      <c r="T2067" s="12" t="inlineStr">
        <is>
          <t>High</t>
        </is>
      </c>
      <c r="U2067" s="8" t="n">
        <v>1546.92</v>
      </c>
      <c r="V2067" s="13">
        <f>IF(U2067="","",ROUND(M2067-U2067,2))</f>
        <v/>
      </c>
      <c r="W2067" s="5" t="n"/>
      <c r="X2067" s="5" t="inlineStr">
        <is>
          <t>Labour + plant + material as published; reconciles to the published rate.</t>
        </is>
      </c>
    </row>
    <row r="2068" ht="13" customHeight="1">
      <c r="A2068" s="4" t="n">
        <v>3127</v>
      </c>
      <c r="B2068" s="5" t="inlineStr">
        <is>
          <t>IMG_0107</t>
        </is>
      </c>
      <c r="C2068" s="5" t="inlineStr">
        <is>
          <t>CLASS K: PIPEWORK - MANHOLES AND PIPEWORK ANCILLARIES</t>
        </is>
      </c>
      <c r="D2068" s="5" t="inlineStr">
        <is>
          <t>01 MANHOLES</t>
        </is>
      </c>
      <c r="E2068" s="5" t="inlineStr">
        <is>
          <t>Precast concrete circular manhole; CPM Perfect Manhole; complete with preformed benching and outlets to base; elastomeric seal to joints to rings; single steps as required. Excavations and backfilling not included; 1200 mm dia. with up to four outlets 100 mm or 150 mm dia.; effective internal depth</t>
        </is>
      </c>
      <c r="F2068" s="5" t="inlineStr">
        <is>
          <t>1500 mm deep</t>
        </is>
      </c>
      <c r="G2068" s="6" t="inlineStr">
        <is>
          <t>nr</t>
        </is>
      </c>
      <c r="H2068" s="7" t="n">
        <v>2.25</v>
      </c>
      <c r="I2068" s="8" t="n">
        <v>151.27</v>
      </c>
      <c r="J2068" s="8" t="n">
        <v>59.66</v>
      </c>
      <c r="K2068" s="8" t="n">
        <v>1513.7</v>
      </c>
      <c r="L2068" s="8" t="n">
        <v>0</v>
      </c>
      <c r="M2068" s="9">
        <f>ROUND(SUM(I2068:L2068),2)</f>
        <v/>
      </c>
      <c r="N2068" s="10">
        <f>ROUND(I2068*'Irish Basis'!$C$6*'Irish Basis'!$C$5,2)</f>
        <v/>
      </c>
      <c r="O2068" s="10">
        <f>ROUND(J2068*'Irish Basis'!$C$7*'Irish Basis'!$C$5,2)</f>
        <v/>
      </c>
      <c r="P2068" s="10">
        <f>ROUND(K2068*'Irish Basis'!$C$8*'Irish Basis'!$C$5,2)</f>
        <v/>
      </c>
      <c r="Q2068" s="10">
        <f>ROUND(L2068*'Irish Basis'!$C$12*'Irish Basis'!$C$5,2)</f>
        <v/>
      </c>
      <c r="R2068" s="11">
        <f>ROUND(SUM(N2068:Q2068),2)</f>
        <v/>
      </c>
      <c r="S2068" s="5" t="inlineStr">
        <is>
          <t>Stated build-up</t>
        </is>
      </c>
      <c r="T2068" s="12" t="inlineStr">
        <is>
          <t>High</t>
        </is>
      </c>
      <c r="U2068" s="8" t="n">
        <v>1724.64</v>
      </c>
      <c r="V2068" s="13">
        <f>IF(U2068="","",ROUND(M2068-U2068,2))</f>
        <v/>
      </c>
      <c r="W2068" s="5" t="n"/>
      <c r="X2068" s="5" t="inlineStr">
        <is>
          <t>Labour + plant + material as published; reconciles to the published rate.</t>
        </is>
      </c>
    </row>
    <row r="2069" ht="13" customHeight="1">
      <c r="A2069" s="4" t="n">
        <v>3128</v>
      </c>
      <c r="B2069" s="5" t="inlineStr">
        <is>
          <t>IMG_0107</t>
        </is>
      </c>
      <c r="C2069" s="5" t="inlineStr">
        <is>
          <t>CLASS K: PIPEWORK - MANHOLES AND PIPEWORK ANCILLARIES</t>
        </is>
      </c>
      <c r="D2069" s="5" t="inlineStr">
        <is>
          <t>01 MANHOLES</t>
        </is>
      </c>
      <c r="E2069" s="5" t="inlineStr">
        <is>
          <t>Precast concrete circular manhole; CPM Perfect Manhole; complete with preformed benching and outlets to base; elastomeric seal to joints to rings; single steps as required. Excavations and backfilling not included; 1200 mm dia. with up to four outlets 100 mm or 150 mm dia.; effective internal depth</t>
        </is>
      </c>
      <c r="F2069" s="5" t="inlineStr">
        <is>
          <t>1800 mm deep</t>
        </is>
      </c>
      <c r="G2069" s="6" t="inlineStr">
        <is>
          <t>nr</t>
        </is>
      </c>
      <c r="H2069" s="7" t="n">
        <v>2.5</v>
      </c>
      <c r="I2069" s="8" t="n">
        <v>170.69</v>
      </c>
      <c r="J2069" s="8" t="n">
        <v>59.66</v>
      </c>
      <c r="K2069" s="8" t="n">
        <v>1592.9</v>
      </c>
      <c r="L2069" s="8" t="n">
        <v>0</v>
      </c>
      <c r="M2069" s="9">
        <f>ROUND(SUM(I2069:L2069),2)</f>
        <v/>
      </c>
      <c r="N2069" s="10">
        <f>ROUND(I2069*'Irish Basis'!$C$6*'Irish Basis'!$C$5,2)</f>
        <v/>
      </c>
      <c r="O2069" s="10">
        <f>ROUND(J2069*'Irish Basis'!$C$7*'Irish Basis'!$C$5,2)</f>
        <v/>
      </c>
      <c r="P2069" s="10">
        <f>ROUND(K2069*'Irish Basis'!$C$8*'Irish Basis'!$C$5,2)</f>
        <v/>
      </c>
      <c r="Q2069" s="10">
        <f>ROUND(L2069*'Irish Basis'!$C$12*'Irish Basis'!$C$5,2)</f>
        <v/>
      </c>
      <c r="R2069" s="11">
        <f>ROUND(SUM(N2069:Q2069),2)</f>
        <v/>
      </c>
      <c r="S2069" s="5" t="inlineStr">
        <is>
          <t>Stated build-up</t>
        </is>
      </c>
      <c r="T2069" s="12" t="inlineStr">
        <is>
          <t>High</t>
        </is>
      </c>
      <c r="U2069" s="8" t="n">
        <v>1823.25</v>
      </c>
      <c r="V2069" s="13">
        <f>IF(U2069="","",ROUND(M2069-U2069,2))</f>
        <v/>
      </c>
      <c r="W2069" s="5" t="n"/>
      <c r="X2069" s="5" t="inlineStr">
        <is>
          <t>Labour + plant + material as published; reconciles to the published rate.</t>
        </is>
      </c>
    </row>
    <row r="2070" ht="13" customHeight="1">
      <c r="A2070" s="4" t="n">
        <v>3129</v>
      </c>
      <c r="B2070" s="5" t="inlineStr">
        <is>
          <t>IMG_0107</t>
        </is>
      </c>
      <c r="C2070" s="5" t="inlineStr">
        <is>
          <t>CLASS K: PIPEWORK - MANHOLES AND PIPEWORK ANCILLARIES</t>
        </is>
      </c>
      <c r="D2070" s="5" t="inlineStr">
        <is>
          <t>01 MANHOLES</t>
        </is>
      </c>
      <c r="E2070" s="5" t="inlineStr">
        <is>
          <t>Precast concrete circular manhole; CPM Perfect Manhole; complete with preformed benching and outlets to base; elastomeric seal to joints to rings; single steps as required. Excavations and backfilling not included; 1200 mm dia. with up to four outlets 100 mm or 150 mm dia.; effective internal depth</t>
        </is>
      </c>
      <c r="F2070" s="5" t="inlineStr">
        <is>
          <t>2000 mm deep</t>
        </is>
      </c>
      <c r="G2070" s="6" t="inlineStr">
        <is>
          <t>nr</t>
        </is>
      </c>
      <c r="H2070" s="7" t="n">
        <v>2.5</v>
      </c>
      <c r="I2070" s="8" t="n">
        <v>170.69</v>
      </c>
      <c r="J2070" s="8" t="n">
        <v>59.66</v>
      </c>
      <c r="K2070" s="8" t="n">
        <v>1833.44</v>
      </c>
      <c r="L2070" s="8" t="n">
        <v>0</v>
      </c>
      <c r="M2070" s="9">
        <f>ROUND(SUM(I2070:L2070),2)</f>
        <v/>
      </c>
      <c r="N2070" s="10">
        <f>ROUND(I2070*'Irish Basis'!$C$6*'Irish Basis'!$C$5,2)</f>
        <v/>
      </c>
      <c r="O2070" s="10">
        <f>ROUND(J2070*'Irish Basis'!$C$7*'Irish Basis'!$C$5,2)</f>
        <v/>
      </c>
      <c r="P2070" s="10">
        <f>ROUND(K2070*'Irish Basis'!$C$8*'Irish Basis'!$C$5,2)</f>
        <v/>
      </c>
      <c r="Q2070" s="10">
        <f>ROUND(L2070*'Irish Basis'!$C$12*'Irish Basis'!$C$5,2)</f>
        <v/>
      </c>
      <c r="R2070" s="11">
        <f>ROUND(SUM(N2070:Q2070),2)</f>
        <v/>
      </c>
      <c r="S2070" s="5" t="inlineStr">
        <is>
          <t>Stated build-up</t>
        </is>
      </c>
      <c r="T2070" s="12" t="inlineStr">
        <is>
          <t>High</t>
        </is>
      </c>
      <c r="U2070" s="8" t="n">
        <v>2063.79</v>
      </c>
      <c r="V2070" s="13">
        <f>IF(U2070="","",ROUND(M2070-U2070,2))</f>
        <v/>
      </c>
      <c r="W2070" s="5" t="n"/>
      <c r="X2070" s="5" t="inlineStr">
        <is>
          <t>Labour + plant + material as published; reconciles to the published rate.</t>
        </is>
      </c>
    </row>
    <row r="2071" ht="13" customHeight="1">
      <c r="A2071" s="4" t="n">
        <v>3130</v>
      </c>
      <c r="B2071" s="5" t="inlineStr">
        <is>
          <t>IMG_0107</t>
        </is>
      </c>
      <c r="C2071" s="5" t="inlineStr">
        <is>
          <t>CLASS K: PIPEWORK - MANHOLES AND PIPEWORK ANCILLARIES</t>
        </is>
      </c>
      <c r="D2071" s="5" t="inlineStr">
        <is>
          <t>01 MANHOLES</t>
        </is>
      </c>
      <c r="E2071" s="5" t="inlineStr">
        <is>
          <t>Precast concrete circular manhole; CPM Perfect Manhole; complete with preformed benching and outlets to base; elastomeric seal to joints to rings; single steps as required. Excavations and backfilling not included; 1200 mm dia. with up to four outlets 100 mm or 150 mm dia.; effective internal depth</t>
        </is>
      </c>
      <c r="F2071" s="5" t="inlineStr">
        <is>
          <t>2500 mm deep</t>
        </is>
      </c>
      <c r="G2071" s="6" t="inlineStr">
        <is>
          <t>nr</t>
        </is>
      </c>
      <c r="H2071" s="7" t="n">
        <v>2.75</v>
      </c>
      <c r="I2071" s="8" t="n">
        <v>184.24</v>
      </c>
      <c r="J2071" s="8" t="n">
        <v>74.56999999999999</v>
      </c>
      <c r="K2071" s="8" t="n">
        <v>2101.19</v>
      </c>
      <c r="L2071" s="8" t="n">
        <v>0</v>
      </c>
      <c r="M2071" s="9">
        <f>ROUND(SUM(I2071:L2071),2)</f>
        <v/>
      </c>
      <c r="N2071" s="10">
        <f>ROUND(I2071*'Irish Basis'!$C$6*'Irish Basis'!$C$5,2)</f>
        <v/>
      </c>
      <c r="O2071" s="10">
        <f>ROUND(J2071*'Irish Basis'!$C$7*'Irish Basis'!$C$5,2)</f>
        <v/>
      </c>
      <c r="P2071" s="10">
        <f>ROUND(K2071*'Irish Basis'!$C$8*'Irish Basis'!$C$5,2)</f>
        <v/>
      </c>
      <c r="Q2071" s="10">
        <f>ROUND(L2071*'Irish Basis'!$C$12*'Irish Basis'!$C$5,2)</f>
        <v/>
      </c>
      <c r="R2071" s="11">
        <f>ROUND(SUM(N2071:Q2071),2)</f>
        <v/>
      </c>
      <c r="S2071" s="5" t="inlineStr">
        <is>
          <t>Stated build-up</t>
        </is>
      </c>
      <c r="T2071" s="12" t="inlineStr">
        <is>
          <t>High</t>
        </is>
      </c>
      <c r="U2071" s="8" t="n">
        <v>2360</v>
      </c>
      <c r="V2071" s="13">
        <f>IF(U2071="","",ROUND(M2071-U2071,2))</f>
        <v/>
      </c>
      <c r="W2071" s="5" t="n"/>
      <c r="X2071" s="5" t="inlineStr">
        <is>
          <t>Labour + plant + material as published; reconciles to the published rate.</t>
        </is>
      </c>
    </row>
    <row r="2072" ht="13" customHeight="1">
      <c r="A2072" s="4" t="n">
        <v>3132</v>
      </c>
      <c r="B2072" s="5" t="inlineStr">
        <is>
          <t>IMG_0107</t>
        </is>
      </c>
      <c r="C2072" s="5" t="inlineStr">
        <is>
          <t>CLASS K: PIPEWORK - MANHOLES AND PIPEWORK ANCILLARIES</t>
        </is>
      </c>
      <c r="D2072" s="5" t="inlineStr">
        <is>
          <t>01 MANHOLES</t>
        </is>
      </c>
      <c r="E2072" s="5" t="inlineStr">
        <is>
          <t>1500 mm dia. with up to four outlets up to 450 mm dia.; effective internal depth</t>
        </is>
      </c>
      <c r="F2072" s="5" t="inlineStr">
        <is>
          <t>2000 mm deep</t>
        </is>
      </c>
      <c r="G2072" s="6" t="inlineStr">
        <is>
          <t>nr</t>
        </is>
      </c>
      <c r="H2072" s="7" t="n">
        <v>2.75</v>
      </c>
      <c r="I2072" s="8" t="n">
        <v>184.24</v>
      </c>
      <c r="J2072" s="8" t="n">
        <v>74.56999999999999</v>
      </c>
      <c r="K2072" s="8" t="n">
        <v>3852.71</v>
      </c>
      <c r="L2072" s="8" t="n">
        <v>0</v>
      </c>
      <c r="M2072" s="9">
        <f>ROUND(SUM(I2072:L2072),2)</f>
        <v/>
      </c>
      <c r="N2072" s="10">
        <f>ROUND(I2072*'Irish Basis'!$C$6*'Irish Basis'!$C$5,2)</f>
        <v/>
      </c>
      <c r="O2072" s="10">
        <f>ROUND(J2072*'Irish Basis'!$C$7*'Irish Basis'!$C$5,2)</f>
        <v/>
      </c>
      <c r="P2072" s="10">
        <f>ROUND(K2072*'Irish Basis'!$C$8*'Irish Basis'!$C$5,2)</f>
        <v/>
      </c>
      <c r="Q2072" s="10">
        <f>ROUND(L2072*'Irish Basis'!$C$12*'Irish Basis'!$C$5,2)</f>
        <v/>
      </c>
      <c r="R2072" s="11">
        <f>ROUND(SUM(N2072:Q2072),2)</f>
        <v/>
      </c>
      <c r="S2072" s="5" t="inlineStr">
        <is>
          <t>Stated build-up</t>
        </is>
      </c>
      <c r="T2072" s="12" t="inlineStr">
        <is>
          <t>High</t>
        </is>
      </c>
      <c r="U2072" s="8" t="n">
        <v>4111.52</v>
      </c>
      <c r="V2072" s="13">
        <f>IF(U2072="","",ROUND(M2072-U2072,2))</f>
        <v/>
      </c>
      <c r="W2072" s="5" t="n"/>
      <c r="X2072" s="5" t="inlineStr">
        <is>
          <t>Labour + plant + material as published; reconciles to the published rate.</t>
        </is>
      </c>
    </row>
    <row r="2073" ht="13" customHeight="1">
      <c r="A2073" s="4" t="n">
        <v>3133</v>
      </c>
      <c r="B2073" s="5" t="inlineStr">
        <is>
          <t>IMG_0107</t>
        </is>
      </c>
      <c r="C2073" s="5" t="inlineStr">
        <is>
          <t>CLASS K: PIPEWORK - MANHOLES AND PIPEWORK ANCILLARIES</t>
        </is>
      </c>
      <c r="D2073" s="5" t="inlineStr">
        <is>
          <t>01 MANHOLES</t>
        </is>
      </c>
      <c r="E2073" s="5" t="inlineStr">
        <is>
          <t>1500 mm dia. with up to four outlets up to 450 mm dia.; effective internal depth</t>
        </is>
      </c>
      <c r="F2073" s="5" t="inlineStr">
        <is>
          <t>2500 mm deep</t>
        </is>
      </c>
      <c r="G2073" s="6" t="inlineStr">
        <is>
          <t>nr</t>
        </is>
      </c>
      <c r="H2073" s="7" t="n">
        <v>3.05</v>
      </c>
      <c r="I2073" s="8" t="n">
        <v>204.01</v>
      </c>
      <c r="J2073" s="8" t="n">
        <v>83.52</v>
      </c>
      <c r="K2073" s="8" t="n">
        <v>4299.08</v>
      </c>
      <c r="L2073" s="8" t="n">
        <v>0</v>
      </c>
      <c r="M2073" s="9">
        <f>ROUND(SUM(I2073:L2073),2)</f>
        <v/>
      </c>
      <c r="N2073" s="10">
        <f>ROUND(I2073*'Irish Basis'!$C$6*'Irish Basis'!$C$5,2)</f>
        <v/>
      </c>
      <c r="O2073" s="10">
        <f>ROUND(J2073*'Irish Basis'!$C$7*'Irish Basis'!$C$5,2)</f>
        <v/>
      </c>
      <c r="P2073" s="10">
        <f>ROUND(K2073*'Irish Basis'!$C$8*'Irish Basis'!$C$5,2)</f>
        <v/>
      </c>
      <c r="Q2073" s="10">
        <f>ROUND(L2073*'Irish Basis'!$C$12*'Irish Basis'!$C$5,2)</f>
        <v/>
      </c>
      <c r="R2073" s="11">
        <f>ROUND(SUM(N2073:Q2073),2)</f>
        <v/>
      </c>
      <c r="S2073" s="5" t="inlineStr">
        <is>
          <t>Stated build-up</t>
        </is>
      </c>
      <c r="T2073" s="12" t="inlineStr">
        <is>
          <t>High</t>
        </is>
      </c>
      <c r="U2073" s="8" t="n">
        <v>4586.61</v>
      </c>
      <c r="V2073" s="13">
        <f>IF(U2073="","",ROUND(M2073-U2073,2))</f>
        <v/>
      </c>
      <c r="W2073" s="5" t="n"/>
      <c r="X2073" s="5" t="inlineStr">
        <is>
          <t>Labour + plant + material as published; reconciles to the published rate.</t>
        </is>
      </c>
    </row>
    <row r="2074" ht="13" customHeight="1">
      <c r="A2074" s="4" t="n">
        <v>3134</v>
      </c>
      <c r="B2074" s="5" t="inlineStr">
        <is>
          <t>IMG_0107</t>
        </is>
      </c>
      <c r="C2074" s="5" t="inlineStr">
        <is>
          <t>CLASS K: PIPEWORK - MANHOLES AND PIPEWORK ANCILLARIES</t>
        </is>
      </c>
      <c r="D2074" s="5" t="inlineStr">
        <is>
          <t>01 MANHOLES</t>
        </is>
      </c>
      <c r="E2074" s="5" t="inlineStr">
        <is>
          <t>1500 mm dia. with up to four outlets up to 450 mm dia.; effective internal depth</t>
        </is>
      </c>
      <c r="F2074" s="5" t="inlineStr">
        <is>
          <t>3000 mm deep</t>
        </is>
      </c>
      <c r="G2074" s="6" t="inlineStr">
        <is>
          <t>nr</t>
        </is>
      </c>
      <c r="H2074" s="7" t="n">
        <v>3.1</v>
      </c>
      <c r="I2074" s="8" t="n">
        <v>207.9</v>
      </c>
      <c r="J2074" s="8" t="n">
        <v>83.52</v>
      </c>
      <c r="K2074" s="8" t="n">
        <v>4388.24</v>
      </c>
      <c r="L2074" s="8" t="n">
        <v>0</v>
      </c>
      <c r="M2074" s="9">
        <f>ROUND(SUM(I2074:L2074),2)</f>
        <v/>
      </c>
      <c r="N2074" s="10">
        <f>ROUND(I2074*'Irish Basis'!$C$6*'Irish Basis'!$C$5,2)</f>
        <v/>
      </c>
      <c r="O2074" s="10">
        <f>ROUND(J2074*'Irish Basis'!$C$7*'Irish Basis'!$C$5,2)</f>
        <v/>
      </c>
      <c r="P2074" s="10">
        <f>ROUND(K2074*'Irish Basis'!$C$8*'Irish Basis'!$C$5,2)</f>
        <v/>
      </c>
      <c r="Q2074" s="10">
        <f>ROUND(L2074*'Irish Basis'!$C$12*'Irish Basis'!$C$5,2)</f>
        <v/>
      </c>
      <c r="R2074" s="11">
        <f>ROUND(SUM(N2074:Q2074),2)</f>
        <v/>
      </c>
      <c r="S2074" s="5" t="inlineStr">
        <is>
          <t>Stated build-up</t>
        </is>
      </c>
      <c r="T2074" s="12" t="inlineStr">
        <is>
          <t>High</t>
        </is>
      </c>
      <c r="U2074" s="8" t="n">
        <v>4679.66</v>
      </c>
      <c r="V2074" s="13">
        <f>IF(U2074="","",ROUND(M2074-U2074,2))</f>
        <v/>
      </c>
      <c r="W2074" s="5" t="n"/>
      <c r="X2074" s="5" t="inlineStr">
        <is>
          <t>Labour + plant + material as published; reconciles to the published rate.</t>
        </is>
      </c>
    </row>
    <row r="2075" ht="13" customHeight="1">
      <c r="A2075" s="4" t="n">
        <v>3135</v>
      </c>
      <c r="B2075" s="5" t="inlineStr">
        <is>
          <t>IMG_0107</t>
        </is>
      </c>
      <c r="C2075" s="5" t="inlineStr">
        <is>
          <t>CLASS K: PIPEWORK - MANHOLES AND PIPEWORK ANCILLARIES</t>
        </is>
      </c>
      <c r="D2075" s="5" t="inlineStr">
        <is>
          <t>01 MANHOLES</t>
        </is>
      </c>
      <c r="E2075" s="5" t="inlineStr">
        <is>
          <t>1500 mm dia. with up to four outlets up to 450 mm dia.; effective internal depth</t>
        </is>
      </c>
      <c r="F2075" s="5" t="inlineStr">
        <is>
          <t>3500 mm deep</t>
        </is>
      </c>
      <c r="G2075" s="6" t="inlineStr">
        <is>
          <t>nr</t>
        </is>
      </c>
      <c r="H2075" s="7" t="n">
        <v>3.4</v>
      </c>
      <c r="I2075" s="8" t="n">
        <v>226.5</v>
      </c>
      <c r="J2075" s="8" t="n">
        <v>95.45</v>
      </c>
      <c r="K2075" s="8" t="n">
        <v>4588.49</v>
      </c>
      <c r="L2075" s="8" t="n">
        <v>0</v>
      </c>
      <c r="M2075" s="9">
        <f>ROUND(SUM(I2075:L2075),2)</f>
        <v/>
      </c>
      <c r="N2075" s="10">
        <f>ROUND(I2075*'Irish Basis'!$C$6*'Irish Basis'!$C$5,2)</f>
        <v/>
      </c>
      <c r="O2075" s="10">
        <f>ROUND(J2075*'Irish Basis'!$C$7*'Irish Basis'!$C$5,2)</f>
        <v/>
      </c>
      <c r="P2075" s="10">
        <f>ROUND(K2075*'Irish Basis'!$C$8*'Irish Basis'!$C$5,2)</f>
        <v/>
      </c>
      <c r="Q2075" s="10">
        <f>ROUND(L2075*'Irish Basis'!$C$12*'Irish Basis'!$C$5,2)</f>
        <v/>
      </c>
      <c r="R2075" s="11">
        <f>ROUND(SUM(N2075:Q2075),2)</f>
        <v/>
      </c>
      <c r="S2075" s="5" t="inlineStr">
        <is>
          <t>Stated build-up</t>
        </is>
      </c>
      <c r="T2075" s="12" t="inlineStr">
        <is>
          <t>High</t>
        </is>
      </c>
      <c r="U2075" s="8" t="n">
        <v>4910.45</v>
      </c>
      <c r="V2075" s="13">
        <f>IF(U2075="","",ROUND(M2075-U2075,2))</f>
        <v/>
      </c>
      <c r="W2075" s="5" t="n"/>
      <c r="X2075" s="5" t="inlineStr">
        <is>
          <t>Labour + plant + material as published; reconciles to the published rate.</t>
        </is>
      </c>
    </row>
    <row r="2076" ht="13" customHeight="1">
      <c r="A2076" s="4" t="n">
        <v>3136</v>
      </c>
      <c r="B2076" s="5" t="inlineStr">
        <is>
          <t>IMG_0107</t>
        </is>
      </c>
      <c r="C2076" s="5" t="inlineStr">
        <is>
          <t>CLASS K: PIPEWORK - MANHOLES AND PIPEWORK ANCILLARIES</t>
        </is>
      </c>
      <c r="D2076" s="5" t="inlineStr">
        <is>
          <t>01 MANHOLES</t>
        </is>
      </c>
      <c r="E2076" s="5" t="inlineStr">
        <is>
          <t>1500 mm dia. with up to four outlets up to 450 mm dia.; effective internal depth</t>
        </is>
      </c>
      <c r="F2076" s="5" t="inlineStr">
        <is>
          <t>4000 mm deep</t>
        </is>
      </c>
      <c r="G2076" s="6" t="inlineStr">
        <is>
          <t>nr</t>
        </is>
      </c>
      <c r="H2076" s="7" t="n">
        <v>3.55</v>
      </c>
      <c r="I2076" s="8" t="n">
        <v>236.98</v>
      </c>
      <c r="J2076" s="8" t="n">
        <v>98.44</v>
      </c>
      <c r="K2076" s="8" t="n">
        <v>5201.77</v>
      </c>
      <c r="L2076" s="8" t="n">
        <v>0</v>
      </c>
      <c r="M2076" s="9">
        <f>ROUND(SUM(I2076:L2076),2)</f>
        <v/>
      </c>
      <c r="N2076" s="10">
        <f>ROUND(I2076*'Irish Basis'!$C$6*'Irish Basis'!$C$5,2)</f>
        <v/>
      </c>
      <c r="O2076" s="10">
        <f>ROUND(J2076*'Irish Basis'!$C$7*'Irish Basis'!$C$5,2)</f>
        <v/>
      </c>
      <c r="P2076" s="10">
        <f>ROUND(K2076*'Irish Basis'!$C$8*'Irish Basis'!$C$5,2)</f>
        <v/>
      </c>
      <c r="Q2076" s="10">
        <f>ROUND(L2076*'Irish Basis'!$C$12*'Irish Basis'!$C$5,2)</f>
        <v/>
      </c>
      <c r="R2076" s="11">
        <f>ROUND(SUM(N2076:Q2076),2)</f>
        <v/>
      </c>
      <c r="S2076" s="5" t="inlineStr">
        <is>
          <t>Stated build-up</t>
        </is>
      </c>
      <c r="T2076" s="12" t="inlineStr">
        <is>
          <t>High</t>
        </is>
      </c>
      <c r="U2076" s="8" t="n">
        <v>5537.18</v>
      </c>
      <c r="V2076" s="13">
        <f>IF(U2076="","",ROUND(M2076-U2076,2))</f>
        <v/>
      </c>
      <c r="W2076" s="5" t="n"/>
      <c r="X2076" s="5" t="inlineStr">
        <is>
          <t>Labour + plant + material as published; reconciles to the published rate.</t>
        </is>
      </c>
    </row>
    <row r="2077" ht="13" customHeight="1">
      <c r="A2077" s="4" t="n">
        <v>3137</v>
      </c>
      <c r="B2077" s="5" t="inlineStr">
        <is>
          <t>IMG_0107</t>
        </is>
      </c>
      <c r="C2077" s="5" t="inlineStr">
        <is>
          <t>CLASS K: PIPEWORK - MANHOLES AND PIPEWORK ANCILLARIES</t>
        </is>
      </c>
      <c r="D2077" s="5" t="inlineStr">
        <is>
          <t>01 MANHOLES</t>
        </is>
      </c>
      <c r="E2077" s="5" t="inlineStr">
        <is>
          <t>1500 mm dia. with up to four outlets up to 450 mm dia.; effective internal depth</t>
        </is>
      </c>
      <c r="F2077" s="5" t="inlineStr">
        <is>
          <t>4500 mm deep</t>
        </is>
      </c>
      <c r="G2077" s="6" t="inlineStr">
        <is>
          <t>nr</t>
        </is>
      </c>
      <c r="H2077" s="7" t="n">
        <v>3.55</v>
      </c>
      <c r="I2077" s="8" t="n">
        <v>236.98</v>
      </c>
      <c r="J2077" s="8" t="n">
        <v>98.44</v>
      </c>
      <c r="K2077" s="8" t="n">
        <v>5648.13</v>
      </c>
      <c r="L2077" s="8" t="n">
        <v>0</v>
      </c>
      <c r="M2077" s="9">
        <f>ROUND(SUM(I2077:L2077),2)</f>
        <v/>
      </c>
      <c r="N2077" s="10">
        <f>ROUND(I2077*'Irish Basis'!$C$6*'Irish Basis'!$C$5,2)</f>
        <v/>
      </c>
      <c r="O2077" s="10">
        <f>ROUND(J2077*'Irish Basis'!$C$7*'Irish Basis'!$C$5,2)</f>
        <v/>
      </c>
      <c r="P2077" s="10">
        <f>ROUND(K2077*'Irish Basis'!$C$8*'Irish Basis'!$C$5,2)</f>
        <v/>
      </c>
      <c r="Q2077" s="10">
        <f>ROUND(L2077*'Irish Basis'!$C$12*'Irish Basis'!$C$5,2)</f>
        <v/>
      </c>
      <c r="R2077" s="11">
        <f>ROUND(SUM(N2077:Q2077),2)</f>
        <v/>
      </c>
      <c r="S2077" s="5" t="inlineStr">
        <is>
          <t>Stated build-up</t>
        </is>
      </c>
      <c r="T2077" s="12" t="inlineStr">
        <is>
          <t>High</t>
        </is>
      </c>
      <c r="U2077" s="8" t="n">
        <v>5983.54</v>
      </c>
      <c r="V2077" s="13">
        <f>IF(U2077="","",ROUND(M2077-U2077,2))</f>
        <v/>
      </c>
      <c r="W2077" s="5" t="n"/>
      <c r="X2077" s="5" t="inlineStr">
        <is>
          <t>Labour + plant + material as published; reconciles to the published rate.</t>
        </is>
      </c>
    </row>
    <row r="2078" ht="13" customHeight="1">
      <c r="A2078" s="4" t="n">
        <v>3139</v>
      </c>
      <c r="B2078" s="5" t="inlineStr">
        <is>
          <t>IMG_0107</t>
        </is>
      </c>
      <c r="C2078" s="5" t="inlineStr">
        <is>
          <t>CLASS K: PIPEWORK - MANHOLES AND PIPEWORK ANCILLARIES</t>
        </is>
      </c>
      <c r="D2078" s="5" t="inlineStr">
        <is>
          <t>01 MANHOLES</t>
        </is>
      </c>
      <c r="E2078" s="5" t="inlineStr">
        <is>
          <t>1500 mm dia. with up to four outlets up to 600 mm dia.; effective internal depth</t>
        </is>
      </c>
      <c r="F2078" s="5" t="inlineStr">
        <is>
          <t>4000 mm deep</t>
        </is>
      </c>
      <c r="G2078" s="6" t="inlineStr">
        <is>
          <t>nr</t>
        </is>
      </c>
      <c r="H2078" s="7" t="n">
        <v>3.95</v>
      </c>
      <c r="I2078" s="8" t="n">
        <v>266.87</v>
      </c>
      <c r="J2078" s="8" t="n">
        <v>104.4</v>
      </c>
      <c r="K2078" s="8" t="n">
        <v>5053.29</v>
      </c>
      <c r="L2078" s="8" t="n">
        <v>0</v>
      </c>
      <c r="M2078" s="9">
        <f>ROUND(SUM(I2078:L2078),2)</f>
        <v/>
      </c>
      <c r="N2078" s="10">
        <f>ROUND(I2078*'Irish Basis'!$C$6*'Irish Basis'!$C$5,2)</f>
        <v/>
      </c>
      <c r="O2078" s="10">
        <f>ROUND(J2078*'Irish Basis'!$C$7*'Irish Basis'!$C$5,2)</f>
        <v/>
      </c>
      <c r="P2078" s="10">
        <f>ROUND(K2078*'Irish Basis'!$C$8*'Irish Basis'!$C$5,2)</f>
        <v/>
      </c>
      <c r="Q2078" s="10">
        <f>ROUND(L2078*'Irish Basis'!$C$12*'Irish Basis'!$C$5,2)</f>
        <v/>
      </c>
      <c r="R2078" s="11">
        <f>ROUND(SUM(N2078:Q2078),2)</f>
        <v/>
      </c>
      <c r="S2078" s="5" t="inlineStr">
        <is>
          <t>Stated build-up</t>
        </is>
      </c>
      <c r="T2078" s="12" t="inlineStr">
        <is>
          <t>High</t>
        </is>
      </c>
      <c r="U2078" s="8" t="n">
        <v>5424.56</v>
      </c>
      <c r="V2078" s="13">
        <f>IF(U2078="","",ROUND(M2078-U2078,2))</f>
        <v/>
      </c>
      <c r="W2078" s="5" t="n"/>
      <c r="X2078" s="5" t="inlineStr">
        <is>
          <t>Labour + plant + material as published; reconciles to the published rate.</t>
        </is>
      </c>
    </row>
    <row r="2079" ht="13" customHeight="1">
      <c r="A2079" s="4" t="n">
        <v>3140</v>
      </c>
      <c r="B2079" s="5" t="inlineStr">
        <is>
          <t>IMG_0107</t>
        </is>
      </c>
      <c r="C2079" s="5" t="inlineStr">
        <is>
          <t>CLASS K: PIPEWORK - MANHOLES AND PIPEWORK ANCILLARIES</t>
        </is>
      </c>
      <c r="D2079" s="5" t="inlineStr">
        <is>
          <t>01 MANHOLES</t>
        </is>
      </c>
      <c r="E2079" s="5" t="inlineStr">
        <is>
          <t>1500 mm dia. with up to four outlets up to 600 mm dia.; effective internal depth</t>
        </is>
      </c>
      <c r="F2079" s="5" t="inlineStr">
        <is>
          <t>4500 mm deep</t>
        </is>
      </c>
      <c r="G2079" s="6" t="inlineStr">
        <is>
          <t>nr</t>
        </is>
      </c>
      <c r="H2079" s="7" t="n">
        <v>4.5</v>
      </c>
      <c r="I2079" s="8" t="n">
        <v>302.54</v>
      </c>
      <c r="J2079" s="8" t="n">
        <v>119.32</v>
      </c>
      <c r="K2079" s="8" t="n">
        <v>5369.91</v>
      </c>
      <c r="L2079" s="8" t="n">
        <v>0</v>
      </c>
      <c r="M2079" s="9">
        <f>ROUND(SUM(I2079:L2079),2)</f>
        <v/>
      </c>
      <c r="N2079" s="10">
        <f>ROUND(I2079*'Irish Basis'!$C$6*'Irish Basis'!$C$5,2)</f>
        <v/>
      </c>
      <c r="O2079" s="10">
        <f>ROUND(J2079*'Irish Basis'!$C$7*'Irish Basis'!$C$5,2)</f>
        <v/>
      </c>
      <c r="P2079" s="10">
        <f>ROUND(K2079*'Irish Basis'!$C$8*'Irish Basis'!$C$5,2)</f>
        <v/>
      </c>
      <c r="Q2079" s="10">
        <f>ROUND(L2079*'Irish Basis'!$C$12*'Irish Basis'!$C$5,2)</f>
        <v/>
      </c>
      <c r="R2079" s="11">
        <f>ROUND(SUM(N2079:Q2079),2)</f>
        <v/>
      </c>
      <c r="S2079" s="5" t="inlineStr">
        <is>
          <t>Stated build-up</t>
        </is>
      </c>
      <c r="T2079" s="12" t="inlineStr">
        <is>
          <t>High</t>
        </is>
      </c>
      <c r="U2079" s="8" t="n">
        <v>5791.77</v>
      </c>
      <c r="V2079" s="13">
        <f>IF(U2079="","",ROUND(M2079-U2079,2))</f>
        <v/>
      </c>
      <c r="W2079" s="5" t="n"/>
      <c r="X2079" s="5" t="inlineStr">
        <is>
          <t>Labour + plant + material as published; reconciles to the published rate.</t>
        </is>
      </c>
    </row>
    <row r="2080" ht="13" customHeight="1">
      <c r="A2080" s="4" t="n">
        <v>3143</v>
      </c>
      <c r="B2080" s="5" t="inlineStr">
        <is>
          <t>IMG_0107</t>
        </is>
      </c>
      <c r="C2080" s="5" t="inlineStr">
        <is>
          <t>CLASS K: PIPEWORK - MANHOLES AND PIPEWORK ANCILLARIES</t>
        </is>
      </c>
      <c r="D2080" s="5" t="inlineStr">
        <is>
          <t>03 GULLIES</t>
        </is>
      </c>
      <c r="E2080" s="5" t="inlineStr">
        <is>
          <t>Vitrified clay; set in concrete grade C20, 150 mm thick; additional excavation and disposal; Road gully; 450 mm dia. x 900 mm deep, 100 mm or 150 mm outlet; cast iron road gully grating and frame group 4</t>
        </is>
      </c>
      <c r="F2080" s="5" t="inlineStr">
        <is>
          <t>434 x 434 mm, on Class B engineering brick seating</t>
        </is>
      </c>
      <c r="G2080" s="6" t="inlineStr">
        <is>
          <t>nr</t>
        </is>
      </c>
      <c r="H2080" s="7" t="n">
        <v>0.5</v>
      </c>
      <c r="I2080" s="8" t="n">
        <v>61.11</v>
      </c>
      <c r="J2080" s="8" t="n">
        <v>2.14</v>
      </c>
      <c r="K2080" s="8" t="n">
        <v>978.99</v>
      </c>
      <c r="L2080" s="8" t="n">
        <v>0</v>
      </c>
      <c r="M2080" s="9">
        <f>ROUND(SUM(I2080:L2080),2)</f>
        <v/>
      </c>
      <c r="N2080" s="10">
        <f>ROUND(I2080*'Irish Basis'!$C$6*'Irish Basis'!$C$5,2)</f>
        <v/>
      </c>
      <c r="O2080" s="10">
        <f>ROUND(J2080*'Irish Basis'!$C$7*'Irish Basis'!$C$5,2)</f>
        <v/>
      </c>
      <c r="P2080" s="10">
        <f>ROUND(K2080*'Irish Basis'!$C$8*'Irish Basis'!$C$5,2)</f>
        <v/>
      </c>
      <c r="Q2080" s="10">
        <f>ROUND(L2080*'Irish Basis'!$C$12*'Irish Basis'!$C$5,2)</f>
        <v/>
      </c>
      <c r="R2080" s="11">
        <f>ROUND(SUM(N2080:Q2080),2)</f>
        <v/>
      </c>
      <c r="S2080" s="5" t="inlineStr">
        <is>
          <t>Stated build-up</t>
        </is>
      </c>
      <c r="T2080" s="12" t="inlineStr">
        <is>
          <t>High</t>
        </is>
      </c>
      <c r="U2080" s="8" t="n">
        <v>1042.25</v>
      </c>
      <c r="V2080" s="13">
        <f>IF(U2080="","",ROUND(M2080-U2080,2))</f>
        <v/>
      </c>
      <c r="W2080" s="5" t="n"/>
      <c r="X2080" s="5" t="inlineStr">
        <is>
          <t>Labour + plant + material as published; reconciles to the published rate.</t>
        </is>
      </c>
    </row>
    <row r="2081" ht="13" customHeight="1">
      <c r="A2081" s="4" t="n">
        <v>3145</v>
      </c>
      <c r="B2081" s="5" t="inlineStr">
        <is>
          <t>IMG_0107</t>
        </is>
      </c>
      <c r="C2081" s="5" t="inlineStr">
        <is>
          <t>CLASS K: PIPEWORK - MANHOLES AND PIPEWORK ANCILLARIES</t>
        </is>
      </c>
      <c r="D2081" s="5" t="inlineStr">
        <is>
          <t>03 GULLIES</t>
        </is>
      </c>
      <c r="E2081" s="5" t="inlineStr">
        <is>
          <t>Yard gully (mud); trapped with rodding eye; galvanized bucket; stopper</t>
        </is>
      </c>
      <c r="F2081" s="5" t="inlineStr">
        <is>
          <t>225 mm dia., 100 mm dia. outlet, cast iron hinged grate and frame</t>
        </is>
      </c>
      <c r="G2081" s="6" t="inlineStr">
        <is>
          <t>nr</t>
        </is>
      </c>
      <c r="H2081" s="7" t="n">
        <v>0.3</v>
      </c>
      <c r="I2081" s="8" t="n">
        <v>36.67</v>
      </c>
      <c r="J2081" s="8" t="n">
        <v>1.28</v>
      </c>
      <c r="K2081" s="8" t="n">
        <v>732.75</v>
      </c>
      <c r="L2081" s="8" t="n">
        <v>0</v>
      </c>
      <c r="M2081" s="9">
        <f>ROUND(SUM(I2081:L2081),2)</f>
        <v/>
      </c>
      <c r="N2081" s="10">
        <f>ROUND(I2081*'Irish Basis'!$C$6*'Irish Basis'!$C$5,2)</f>
        <v/>
      </c>
      <c r="O2081" s="10">
        <f>ROUND(J2081*'Irish Basis'!$C$7*'Irish Basis'!$C$5,2)</f>
        <v/>
      </c>
      <c r="P2081" s="10">
        <f>ROUND(K2081*'Irish Basis'!$C$8*'Irish Basis'!$C$5,2)</f>
        <v/>
      </c>
      <c r="Q2081" s="10">
        <f>ROUND(L2081*'Irish Basis'!$C$12*'Irish Basis'!$C$5,2)</f>
        <v/>
      </c>
      <c r="R2081" s="11">
        <f>ROUND(SUM(N2081:Q2081),2)</f>
        <v/>
      </c>
      <c r="S2081" s="5" t="inlineStr">
        <is>
          <t>Stated build-up</t>
        </is>
      </c>
      <c r="T2081" s="12" t="inlineStr">
        <is>
          <t>High</t>
        </is>
      </c>
      <c r="U2081" s="8" t="n">
        <v>770.7</v>
      </c>
      <c r="V2081" s="13">
        <f>IF(U2081="","",ROUND(M2081-U2081,2))</f>
        <v/>
      </c>
      <c r="W2081" s="5" t="n"/>
      <c r="X2081" s="5" t="inlineStr">
        <is>
          <t>Labour + plant + material as published; reconciles to the published rate.</t>
        </is>
      </c>
    </row>
    <row r="2082" ht="13" customHeight="1">
      <c r="A2082" s="4" t="n">
        <v>3146</v>
      </c>
      <c r="B2082" s="5" t="inlineStr">
        <is>
          <t>IMG_0107</t>
        </is>
      </c>
      <c r="C2082" s="5" t="inlineStr">
        <is>
          <t>CLASS K: PIPEWORK - MANHOLES AND PIPEWORK ANCILLARIES</t>
        </is>
      </c>
      <c r="D2082" s="5" t="inlineStr">
        <is>
          <t>03 GULLIES</t>
        </is>
      </c>
      <c r="E2082" s="5" t="inlineStr">
        <is>
          <t>Yard gully (mud); trapped with rodding eye; galvanized bucket; stopper</t>
        </is>
      </c>
      <c r="F2082" s="5" t="inlineStr">
        <is>
          <t>Grease interceptors; internal access and bucket 600 x 450 mm, metal tray and lid, square hopper with horizontal inlet</t>
        </is>
      </c>
      <c r="G2082" s="6" t="inlineStr">
        <is>
          <t>nr</t>
        </is>
      </c>
      <c r="H2082" s="7" t="n">
        <v>0.35</v>
      </c>
      <c r="I2082" s="8" t="n">
        <v>42.78</v>
      </c>
      <c r="J2082" s="8" t="n">
        <v>1.5</v>
      </c>
      <c r="K2082" s="8" t="n">
        <v>3804.85</v>
      </c>
      <c r="L2082" s="8" t="n">
        <v>0</v>
      </c>
      <c r="M2082" s="9">
        <f>ROUND(SUM(I2082:L2082),2)</f>
        <v/>
      </c>
      <c r="N2082" s="10">
        <f>ROUND(I2082*'Irish Basis'!$C$6*'Irish Basis'!$C$5,2)</f>
        <v/>
      </c>
      <c r="O2082" s="10">
        <f>ROUND(J2082*'Irish Basis'!$C$7*'Irish Basis'!$C$5,2)</f>
        <v/>
      </c>
      <c r="P2082" s="10">
        <f>ROUND(K2082*'Irish Basis'!$C$8*'Irish Basis'!$C$5,2)</f>
        <v/>
      </c>
      <c r="Q2082" s="10">
        <f>ROUND(L2082*'Irish Basis'!$C$12*'Irish Basis'!$C$5,2)</f>
        <v/>
      </c>
      <c r="R2082" s="11">
        <f>ROUND(SUM(N2082:Q2082),2)</f>
        <v/>
      </c>
      <c r="S2082" s="5" t="inlineStr">
        <is>
          <t>Stated build-up</t>
        </is>
      </c>
      <c r="T2082" s="12" t="inlineStr">
        <is>
          <t>High</t>
        </is>
      </c>
      <c r="U2082" s="8" t="n">
        <v>3849.13</v>
      </c>
      <c r="V2082" s="13">
        <f>IF(U2082="","",ROUND(M2082-U2082,2))</f>
        <v/>
      </c>
      <c r="W2082" s="5" t="n"/>
      <c r="X2082" s="5" t="inlineStr">
        <is>
          <t>Labour + plant + material as published; reconciles to the published rate.</t>
        </is>
      </c>
    </row>
    <row r="2083" ht="13" customHeight="1">
      <c r="A2083" s="4" t="n">
        <v>3148</v>
      </c>
      <c r="B2083" s="5" t="inlineStr">
        <is>
          <t>IMG_0107</t>
        </is>
      </c>
      <c r="C2083" s="5" t="inlineStr">
        <is>
          <t>CLASS K: PIPEWORK - MANHOLES AND PIPEWORK ANCILLARIES</t>
        </is>
      </c>
      <c r="D2083" s="5" t="inlineStr">
        <is>
          <t>03 GULLIES</t>
        </is>
      </c>
      <c r="E2083" s="5" t="inlineStr">
        <is>
          <t>Precast concrete; set in concrete grade C20, 150 mm thick; additional excavation and disposal; Road gully; trapped with rodding eye; galvanized bucket; stopper</t>
        </is>
      </c>
      <c r="F2083" s="5" t="inlineStr">
        <is>
          <t>450 mm dia. x 750 mm deep; cast iron road gully grating and frame group 4, 434 x 434 mm, on Class B engineering brick seating</t>
        </is>
      </c>
      <c r="G2083" s="6" t="inlineStr">
        <is>
          <t>nr</t>
        </is>
      </c>
      <c r="H2083" s="7" t="n">
        <v>0.5</v>
      </c>
      <c r="I2083" s="8" t="n">
        <v>61.11</v>
      </c>
      <c r="J2083" s="8" t="n">
        <v>2.14</v>
      </c>
      <c r="K2083" s="8" t="n">
        <v>597.92</v>
      </c>
      <c r="L2083" s="8" t="n">
        <v>0</v>
      </c>
      <c r="M2083" s="9">
        <f>ROUND(SUM(I2083:L2083),2)</f>
        <v/>
      </c>
      <c r="N2083" s="10">
        <f>ROUND(I2083*'Irish Basis'!$C$6*'Irish Basis'!$C$5,2)</f>
        <v/>
      </c>
      <c r="O2083" s="10">
        <f>ROUND(J2083*'Irish Basis'!$C$7*'Irish Basis'!$C$5,2)</f>
        <v/>
      </c>
      <c r="P2083" s="10">
        <f>ROUND(K2083*'Irish Basis'!$C$8*'Irish Basis'!$C$5,2)</f>
        <v/>
      </c>
      <c r="Q2083" s="10">
        <f>ROUND(L2083*'Irish Basis'!$C$12*'Irish Basis'!$C$5,2)</f>
        <v/>
      </c>
      <c r="R2083" s="11">
        <f>ROUND(SUM(N2083:Q2083),2)</f>
        <v/>
      </c>
      <c r="S2083" s="5" t="inlineStr">
        <is>
          <t>Stated build-up</t>
        </is>
      </c>
      <c r="T2083" s="12" t="inlineStr">
        <is>
          <t>High</t>
        </is>
      </c>
      <c r="U2083" s="8" t="n">
        <v>661.1799999999999</v>
      </c>
      <c r="V2083" s="13">
        <f>IF(U2083="","",ROUND(M2083-U2083,2))</f>
        <v/>
      </c>
      <c r="W2083" s="5" t="n"/>
      <c r="X2083" s="5" t="inlineStr">
        <is>
          <t>Labour + plant + material as published; reconciles to the published rate.</t>
        </is>
      </c>
    </row>
    <row r="2084" ht="13" customHeight="1">
      <c r="A2084" s="4" t="n">
        <v>3149</v>
      </c>
      <c r="B2084" s="5" t="inlineStr">
        <is>
          <t>IMG_0107</t>
        </is>
      </c>
      <c r="C2084" s="5" t="inlineStr">
        <is>
          <t>CLASS K: PIPEWORK - MANHOLES AND PIPEWORK ANCILLARIES</t>
        </is>
      </c>
      <c r="D2084" s="5" t="inlineStr">
        <is>
          <t>03 GULLIES</t>
        </is>
      </c>
      <c r="E2084" s="5" t="inlineStr">
        <is>
          <t>Precast concrete; set in concrete grade C20, 150 mm thick; additional excavation and disposal; Road gully; trapped with rodding eye; galvanized bucket; stopper</t>
        </is>
      </c>
      <c r="F2084" s="5" t="inlineStr">
        <is>
          <t>450 mm dia. x 900 mm deep; cast iron road gully grating and frame group 4, 434 x 434 mm, on Class B engineering brick seating</t>
        </is>
      </c>
      <c r="G2084" s="6" t="inlineStr">
        <is>
          <t>nr</t>
        </is>
      </c>
      <c r="H2084" s="7" t="n">
        <v>0.54</v>
      </c>
      <c r="I2084" s="8" t="n">
        <v>66</v>
      </c>
      <c r="J2084" s="8" t="n">
        <v>2.32</v>
      </c>
      <c r="K2084" s="8" t="n">
        <v>627.41</v>
      </c>
      <c r="L2084" s="8" t="n">
        <v>0</v>
      </c>
      <c r="M2084" s="9">
        <f>ROUND(SUM(I2084:L2084),2)</f>
        <v/>
      </c>
      <c r="N2084" s="10">
        <f>ROUND(I2084*'Irish Basis'!$C$6*'Irish Basis'!$C$5,2)</f>
        <v/>
      </c>
      <c r="O2084" s="10">
        <f>ROUND(J2084*'Irish Basis'!$C$7*'Irish Basis'!$C$5,2)</f>
        <v/>
      </c>
      <c r="P2084" s="10">
        <f>ROUND(K2084*'Irish Basis'!$C$8*'Irish Basis'!$C$5,2)</f>
        <v/>
      </c>
      <c r="Q2084" s="10">
        <f>ROUND(L2084*'Irish Basis'!$C$12*'Irish Basis'!$C$5,2)</f>
        <v/>
      </c>
      <c r="R2084" s="11">
        <f>ROUND(SUM(N2084:Q2084),2)</f>
        <v/>
      </c>
      <c r="S2084" s="5" t="inlineStr">
        <is>
          <t>Stated build-up</t>
        </is>
      </c>
      <c r="T2084" s="12" t="inlineStr">
        <is>
          <t>High</t>
        </is>
      </c>
      <c r="U2084" s="8" t="n">
        <v>695.73</v>
      </c>
      <c r="V2084" s="13">
        <f>IF(U2084="","",ROUND(M2084-U2084,2))</f>
        <v/>
      </c>
      <c r="W2084" s="5" t="n"/>
      <c r="X2084" s="5" t="inlineStr">
        <is>
          <t>Labour + plant + material as published; reconciles to the published rate.</t>
        </is>
      </c>
    </row>
    <row r="2085" ht="13" customHeight="1">
      <c r="A2085" s="4" t="n">
        <v>3150</v>
      </c>
      <c r="B2085" s="5" t="inlineStr">
        <is>
          <t>IMG_0107</t>
        </is>
      </c>
      <c r="C2085" s="5" t="inlineStr">
        <is>
          <t>CLASS K: PIPEWORK - MANHOLES AND PIPEWORK ANCILLARIES</t>
        </is>
      </c>
      <c r="D2085" s="5" t="inlineStr">
        <is>
          <t>03 GULLIES</t>
        </is>
      </c>
      <c r="E2085" s="5" t="inlineStr">
        <is>
          <t>Precast concrete; set in concrete grade C20, 150 mm thick; additional excavation and disposal; Road gully; trapped with rodding eye; galvanized bucket; stopper</t>
        </is>
      </c>
      <c r="F2085" s="5" t="inlineStr">
        <is>
          <t>450 mm dia. x 1050 mm deep, cast iron road gully grating and frame group 4, 434 x 434 mm, on Class B engineering brick seating</t>
        </is>
      </c>
      <c r="G2085" s="6" t="inlineStr">
        <is>
          <t>nr</t>
        </is>
      </c>
      <c r="H2085" s="7" t="n">
        <v>0.58</v>
      </c>
      <c r="I2085" s="8" t="n">
        <v>70.89</v>
      </c>
      <c r="J2085" s="8" t="n">
        <v>2.48</v>
      </c>
      <c r="K2085" s="8" t="n">
        <v>646.9</v>
      </c>
      <c r="L2085" s="8" t="n">
        <v>0</v>
      </c>
      <c r="M2085" s="9">
        <f>ROUND(SUM(I2085:L2085),2)</f>
        <v/>
      </c>
      <c r="N2085" s="10">
        <f>ROUND(I2085*'Irish Basis'!$C$6*'Irish Basis'!$C$5,2)</f>
        <v/>
      </c>
      <c r="O2085" s="10">
        <f>ROUND(J2085*'Irish Basis'!$C$7*'Irish Basis'!$C$5,2)</f>
        <v/>
      </c>
      <c r="P2085" s="10">
        <f>ROUND(K2085*'Irish Basis'!$C$8*'Irish Basis'!$C$5,2)</f>
        <v/>
      </c>
      <c r="Q2085" s="10">
        <f>ROUND(L2085*'Irish Basis'!$C$12*'Irish Basis'!$C$5,2)</f>
        <v/>
      </c>
      <c r="R2085" s="11">
        <f>ROUND(SUM(N2085:Q2085),2)</f>
        <v/>
      </c>
      <c r="S2085" s="5" t="inlineStr">
        <is>
          <t>Stated build-up</t>
        </is>
      </c>
      <c r="T2085" s="12" t="inlineStr">
        <is>
          <t>High</t>
        </is>
      </c>
      <c r="U2085" s="8" t="n">
        <v>720.28</v>
      </c>
      <c r="V2085" s="13">
        <f>IF(U2085="","",ROUND(M2085-U2085,2))</f>
        <v/>
      </c>
      <c r="W2085" s="5" t="n"/>
      <c r="X2085" s="5" t="inlineStr">
        <is>
          <t>Labour + plant + material as published; reconciles to the published rate.</t>
        </is>
      </c>
    </row>
    <row r="2086" ht="13" customHeight="1">
      <c r="A2086" s="4" t="n">
        <v>3155</v>
      </c>
      <c r="B2086" s="5" t="inlineStr">
        <is>
          <t>IMG_0107</t>
        </is>
      </c>
      <c r="C2086" s="5" t="inlineStr">
        <is>
          <t>CLASS K: PIPEWORK - MANHOLES AND PIPEWORK ANCILLARIES</t>
        </is>
      </c>
      <c r="D2086" s="5" t="inlineStr">
        <is>
          <t>04 FRENCH DRAINS, RUBBLE DRAINS, DITCHES</t>
        </is>
      </c>
      <c r="E2086" s="5" t="inlineStr">
        <is>
          <t>Excavation; Excavation of trenches for unpiped rubble drains (excluding trench support); cross-sectional area</t>
        </is>
      </c>
      <c r="F2086" s="5" t="inlineStr">
        <is>
          <t>0.25-0.50 m2</t>
        </is>
      </c>
      <c r="G2086" s="6" t="inlineStr">
        <is>
          <t>m</t>
        </is>
      </c>
      <c r="H2086" s="7" t="n">
        <v>0.11</v>
      </c>
      <c r="I2086" s="8" t="n">
        <v>13.45</v>
      </c>
      <c r="J2086" s="8" t="n">
        <v>8.300000000000001</v>
      </c>
      <c r="K2086" s="8" t="n">
        <v>0</v>
      </c>
      <c r="L2086" s="8" t="n">
        <v>0</v>
      </c>
      <c r="M2086" s="9">
        <f>ROUND(SUM(I2086:L2086),2)</f>
        <v/>
      </c>
      <c r="N2086" s="10">
        <f>ROUND(I2086*'Irish Basis'!$C$6*'Irish Basis'!$C$5,2)</f>
        <v/>
      </c>
      <c r="O2086" s="10">
        <f>ROUND(J2086*'Irish Basis'!$C$7*'Irish Basis'!$C$5,2)</f>
        <v/>
      </c>
      <c r="P2086" s="10">
        <f>ROUND(K2086*'Irish Basis'!$C$8*'Irish Basis'!$C$5,2)</f>
        <v/>
      </c>
      <c r="Q2086" s="10">
        <f>ROUND(L2086*'Irish Basis'!$C$12*'Irish Basis'!$C$5,2)</f>
        <v/>
      </c>
      <c r="R2086" s="11">
        <f>ROUND(SUM(N2086:Q2086),2)</f>
        <v/>
      </c>
      <c r="S2086" s="5" t="inlineStr">
        <is>
          <t>Stated build-up</t>
        </is>
      </c>
      <c r="T2086" s="12" t="inlineStr">
        <is>
          <t>High</t>
        </is>
      </c>
      <c r="U2086" s="8" t="n">
        <v>21.74</v>
      </c>
      <c r="V2086" s="13">
        <f>IF(U2086="","",ROUND(M2086-U2086,2))</f>
        <v/>
      </c>
      <c r="W2086" s="5" t="n"/>
      <c r="X2086" s="5" t="inlineStr">
        <is>
          <t>Labour + plant + material as published; reconciles to the published rate.</t>
        </is>
      </c>
    </row>
    <row r="2087" ht="13" customHeight="1">
      <c r="A2087" s="4" t="n">
        <v>3157</v>
      </c>
      <c r="B2087" s="5" t="inlineStr">
        <is>
          <t>IMG_0108</t>
        </is>
      </c>
      <c r="C2087" s="5" t="inlineStr">
        <is>
          <t>CLASS K: PIPEWORK - MANHOLES AND PIPEWORK ANCILLARIES</t>
        </is>
      </c>
      <c r="D2087" s="5" t="inlineStr">
        <is>
          <t>04 FRENCH DRAINS, RUBBLE DRAINS, DITCHES</t>
        </is>
      </c>
      <c r="E2087" s="5" t="inlineStr">
        <is>
          <t>Excavation of trenches for unpiped rubble drains (excluding trench support); cross-sectional area (continued)</t>
        </is>
      </c>
      <c r="F2087" s="5" t="inlineStr">
        <is>
          <t>0.50-0.75 m2</t>
        </is>
      </c>
      <c r="G2087" s="6" t="inlineStr">
        <is>
          <t>m</t>
        </is>
      </c>
      <c r="H2087" s="7" t="n">
        <v>0.13</v>
      </c>
      <c r="I2087" s="8" t="n">
        <v>15.89</v>
      </c>
      <c r="J2087" s="8" t="n">
        <v>9.949999999999999</v>
      </c>
      <c r="K2087" s="8" t="n">
        <v>0</v>
      </c>
      <c r="L2087" s="8" t="n">
        <v>0</v>
      </c>
      <c r="M2087" s="9">
        <f>ROUND(SUM(I2087:L2087),2)</f>
        <v/>
      </c>
      <c r="N2087" s="10">
        <f>ROUND(I2087*'Irish Basis'!$C$6*'Irish Basis'!$C$5,2)</f>
        <v/>
      </c>
      <c r="O2087" s="10">
        <f>ROUND(J2087*'Irish Basis'!$C$7*'Irish Basis'!$C$5,2)</f>
        <v/>
      </c>
      <c r="P2087" s="10">
        <f>ROUND(K2087*'Irish Basis'!$C$8*'Irish Basis'!$C$5,2)</f>
        <v/>
      </c>
      <c r="Q2087" s="10">
        <f>ROUND(L2087*'Irish Basis'!$C$12*'Irish Basis'!$C$5,2)</f>
        <v/>
      </c>
      <c r="R2087" s="11">
        <f>ROUND(SUM(N2087:Q2087),2)</f>
        <v/>
      </c>
      <c r="S2087" s="5" t="inlineStr">
        <is>
          <t>Stated build-up</t>
        </is>
      </c>
      <c r="T2087" s="12" t="inlineStr">
        <is>
          <t>High</t>
        </is>
      </c>
      <c r="U2087" s="8" t="n">
        <v>25.84</v>
      </c>
      <c r="V2087" s="13">
        <f>IF(U2087="","",ROUND(M2087-U2087,2))</f>
        <v/>
      </c>
      <c r="W2087" s="5" t="n"/>
      <c r="X2087" s="5" t="inlineStr">
        <is>
          <t>Labour + plant + material as published; reconciles to the published rate.</t>
        </is>
      </c>
    </row>
    <row r="2088" ht="13" customHeight="1">
      <c r="A2088" s="4" t="n">
        <v>3158</v>
      </c>
      <c r="B2088" s="5" t="inlineStr">
        <is>
          <t>IMG_0108</t>
        </is>
      </c>
      <c r="C2088" s="5" t="inlineStr">
        <is>
          <t>CLASS K: PIPEWORK - MANHOLES AND PIPEWORK ANCILLARIES</t>
        </is>
      </c>
      <c r="D2088" s="5" t="inlineStr">
        <is>
          <t>04 FRENCH DRAINS, RUBBLE DRAINS, DITCHES</t>
        </is>
      </c>
      <c r="E2088" s="5" t="inlineStr">
        <is>
          <t>Excavation of trenches for unpiped rubble drains (excluding trench support); cross-sectional area (continued)</t>
        </is>
      </c>
      <c r="F2088" s="5" t="inlineStr">
        <is>
          <t>0.75-1.00 m2</t>
        </is>
      </c>
      <c r="G2088" s="6" t="inlineStr">
        <is>
          <t>m</t>
        </is>
      </c>
      <c r="H2088" s="7" t="n">
        <v>0.16</v>
      </c>
      <c r="I2088" s="8" t="n">
        <v>18.95</v>
      </c>
      <c r="J2088" s="8" t="n">
        <v>11.61</v>
      </c>
      <c r="K2088" s="8" t="n">
        <v>0</v>
      </c>
      <c r="L2088" s="8" t="n">
        <v>0</v>
      </c>
      <c r="M2088" s="9">
        <f>ROUND(SUM(I2088:L2088),2)</f>
        <v/>
      </c>
      <c r="N2088" s="10">
        <f>ROUND(I2088*'Irish Basis'!$C$6*'Irish Basis'!$C$5,2)</f>
        <v/>
      </c>
      <c r="O2088" s="10">
        <f>ROUND(J2088*'Irish Basis'!$C$7*'Irish Basis'!$C$5,2)</f>
        <v/>
      </c>
      <c r="P2088" s="10">
        <f>ROUND(K2088*'Irish Basis'!$C$8*'Irish Basis'!$C$5,2)</f>
        <v/>
      </c>
      <c r="Q2088" s="10">
        <f>ROUND(L2088*'Irish Basis'!$C$12*'Irish Basis'!$C$5,2)</f>
        <v/>
      </c>
      <c r="R2088" s="11">
        <f>ROUND(SUM(N2088:Q2088),2)</f>
        <v/>
      </c>
      <c r="S2088" s="5" t="inlineStr">
        <is>
          <t>Stated build-up</t>
        </is>
      </c>
      <c r="T2088" s="12" t="inlineStr">
        <is>
          <t>High</t>
        </is>
      </c>
      <c r="U2088" s="8" t="n">
        <v>30.56</v>
      </c>
      <c r="V2088" s="13">
        <f>IF(U2088="","",ROUND(M2088-U2088,2))</f>
        <v/>
      </c>
      <c r="W2088" s="5" t="n"/>
      <c r="X2088" s="5" t="inlineStr">
        <is>
          <t>Labour + plant + material as published; reconciles to the published rate.</t>
        </is>
      </c>
    </row>
    <row r="2089" ht="13" customHeight="1">
      <c r="A2089" s="4" t="n">
        <v>3159</v>
      </c>
      <c r="B2089" s="5" t="inlineStr">
        <is>
          <t>IMG_0108</t>
        </is>
      </c>
      <c r="C2089" s="5" t="inlineStr">
        <is>
          <t>CLASS K: PIPEWORK - MANHOLES AND PIPEWORK ANCILLARIES</t>
        </is>
      </c>
      <c r="D2089" s="5" t="inlineStr">
        <is>
          <t>04 FRENCH DRAINS, RUBBLE DRAINS, DITCHES</t>
        </is>
      </c>
      <c r="E2089" s="5" t="inlineStr">
        <is>
          <t>Excavation of trenches for unpiped rubble drains (excluding trench support); cross-sectional area (continued)</t>
        </is>
      </c>
      <c r="F2089" s="5" t="inlineStr">
        <is>
          <t>1.00-1.50 m2</t>
        </is>
      </c>
      <c r="G2089" s="6" t="inlineStr">
        <is>
          <t>m</t>
        </is>
      </c>
      <c r="H2089" s="7" t="n">
        <v>0.19</v>
      </c>
      <c r="I2089" s="8" t="n">
        <v>22.61</v>
      </c>
      <c r="J2089" s="8" t="n">
        <v>14.1</v>
      </c>
      <c r="K2089" s="8" t="n">
        <v>0</v>
      </c>
      <c r="L2089" s="8" t="n">
        <v>0</v>
      </c>
      <c r="M2089" s="9">
        <f>ROUND(SUM(I2089:L2089),2)</f>
        <v/>
      </c>
      <c r="N2089" s="10">
        <f>ROUND(I2089*'Irish Basis'!$C$6*'Irish Basis'!$C$5,2)</f>
        <v/>
      </c>
      <c r="O2089" s="10">
        <f>ROUND(J2089*'Irish Basis'!$C$7*'Irish Basis'!$C$5,2)</f>
        <v/>
      </c>
      <c r="P2089" s="10">
        <f>ROUND(K2089*'Irish Basis'!$C$8*'Irish Basis'!$C$5,2)</f>
        <v/>
      </c>
      <c r="Q2089" s="10">
        <f>ROUND(L2089*'Irish Basis'!$C$12*'Irish Basis'!$C$5,2)</f>
        <v/>
      </c>
      <c r="R2089" s="11">
        <f>ROUND(SUM(N2089:Q2089),2)</f>
        <v/>
      </c>
      <c r="S2089" s="5" t="inlineStr">
        <is>
          <t>Stated build-up</t>
        </is>
      </c>
      <c r="T2089" s="12" t="inlineStr">
        <is>
          <t>High</t>
        </is>
      </c>
      <c r="U2089" s="8" t="n">
        <v>36.71</v>
      </c>
      <c r="V2089" s="13">
        <f>IF(U2089="","",ROUND(M2089-U2089,2))</f>
        <v/>
      </c>
      <c r="W2089" s="5" t="n"/>
      <c r="X2089" s="5" t="inlineStr">
        <is>
          <t>Labour + plant + material as published; reconciles to the published rate.</t>
        </is>
      </c>
    </row>
    <row r="2090" ht="13" customHeight="1">
      <c r="A2090" s="4" t="n">
        <v>3160</v>
      </c>
      <c r="B2090" s="5" t="inlineStr">
        <is>
          <t>IMG_0108</t>
        </is>
      </c>
      <c r="C2090" s="5" t="inlineStr">
        <is>
          <t>CLASS K: PIPEWORK - MANHOLES AND PIPEWORK ANCILLARIES</t>
        </is>
      </c>
      <c r="D2090" s="5" t="inlineStr">
        <is>
          <t>04 FRENCH DRAINS, RUBBLE DRAINS, DITCHES</t>
        </is>
      </c>
      <c r="E2090" s="5" t="inlineStr">
        <is>
          <t>Excavation of trenches for unpiped rubble drains (excluding trench support); cross-sectional area (continued)</t>
        </is>
      </c>
      <c r="F2090" s="5" t="inlineStr">
        <is>
          <t>1.50-2.00 m2</t>
        </is>
      </c>
      <c r="G2090" s="6" t="inlineStr">
        <is>
          <t>m</t>
        </is>
      </c>
      <c r="H2090" s="7" t="n">
        <v>0.22</v>
      </c>
      <c r="I2090" s="8" t="n">
        <v>26.89</v>
      </c>
      <c r="J2090" s="8" t="n">
        <v>16.58</v>
      </c>
      <c r="K2090" s="8" t="n">
        <v>0</v>
      </c>
      <c r="L2090" s="8" t="n">
        <v>0</v>
      </c>
      <c r="M2090" s="9">
        <f>ROUND(SUM(I2090:L2090),2)</f>
        <v/>
      </c>
      <c r="N2090" s="10">
        <f>ROUND(I2090*'Irish Basis'!$C$6*'Irish Basis'!$C$5,2)</f>
        <v/>
      </c>
      <c r="O2090" s="10">
        <f>ROUND(J2090*'Irish Basis'!$C$7*'Irish Basis'!$C$5,2)</f>
        <v/>
      </c>
      <c r="P2090" s="10">
        <f>ROUND(K2090*'Irish Basis'!$C$8*'Irish Basis'!$C$5,2)</f>
        <v/>
      </c>
      <c r="Q2090" s="10">
        <f>ROUND(L2090*'Irish Basis'!$C$12*'Irish Basis'!$C$5,2)</f>
        <v/>
      </c>
      <c r="R2090" s="11">
        <f>ROUND(SUM(N2090:Q2090),2)</f>
        <v/>
      </c>
      <c r="S2090" s="5" t="inlineStr">
        <is>
          <t>Stated build-up</t>
        </is>
      </c>
      <c r="T2090" s="12" t="inlineStr">
        <is>
          <t>High</t>
        </is>
      </c>
      <c r="U2090" s="8" t="n">
        <v>43.47</v>
      </c>
      <c r="V2090" s="13">
        <f>IF(U2090="","",ROUND(M2090-U2090,2))</f>
        <v/>
      </c>
      <c r="W2090" s="5" t="n"/>
      <c r="X2090" s="5" t="inlineStr">
        <is>
          <t>Labour + plant + material as published; reconciles to the published rate.</t>
        </is>
      </c>
    </row>
    <row r="2091" ht="13" customHeight="1">
      <c r="A2091" s="4" t="n">
        <v>3162</v>
      </c>
      <c r="B2091" s="5" t="inlineStr">
        <is>
          <t>IMG_0108</t>
        </is>
      </c>
      <c r="C2091" s="5" t="inlineStr">
        <is>
          <t>CLASS K: PIPEWORK - MANHOLES AND PIPEWORK ANCILLARIES</t>
        </is>
      </c>
      <c r="D2091" s="5" t="inlineStr">
        <is>
          <t>04 FRENCH DRAINS, RUBBLE DRAINS, DITCHES</t>
        </is>
      </c>
      <c r="E2091" s="5" t="inlineStr">
        <is>
          <t>Excavation of rectangular section ditches; unlined; cross-sectional area</t>
        </is>
      </c>
      <c r="F2091" s="5" t="inlineStr">
        <is>
          <t>0.25-0.50 m2</t>
        </is>
      </c>
      <c r="G2091" s="6" t="inlineStr">
        <is>
          <t>m</t>
        </is>
      </c>
      <c r="H2091" s="7" t="n">
        <v>0.11</v>
      </c>
      <c r="I2091" s="8" t="n">
        <v>13.45</v>
      </c>
      <c r="J2091" s="8" t="n">
        <v>10.08</v>
      </c>
      <c r="K2091" s="8" t="n">
        <v>0</v>
      </c>
      <c r="L2091" s="8" t="n">
        <v>0</v>
      </c>
      <c r="M2091" s="9">
        <f>ROUND(SUM(I2091:L2091),2)</f>
        <v/>
      </c>
      <c r="N2091" s="10">
        <f>ROUND(I2091*'Irish Basis'!$C$6*'Irish Basis'!$C$5,2)</f>
        <v/>
      </c>
      <c r="O2091" s="10">
        <f>ROUND(J2091*'Irish Basis'!$C$7*'Irish Basis'!$C$5,2)</f>
        <v/>
      </c>
      <c r="P2091" s="10">
        <f>ROUND(K2091*'Irish Basis'!$C$8*'Irish Basis'!$C$5,2)</f>
        <v/>
      </c>
      <c r="Q2091" s="10">
        <f>ROUND(L2091*'Irish Basis'!$C$12*'Irish Basis'!$C$5,2)</f>
        <v/>
      </c>
      <c r="R2091" s="11">
        <f>ROUND(SUM(N2091:Q2091),2)</f>
        <v/>
      </c>
      <c r="S2091" s="5" t="inlineStr">
        <is>
          <t>Stated build-up</t>
        </is>
      </c>
      <c r="T2091" s="12" t="inlineStr">
        <is>
          <t>High</t>
        </is>
      </c>
      <c r="U2091" s="8" t="n">
        <v>23.53</v>
      </c>
      <c r="V2091" s="13">
        <f>IF(U2091="","",ROUND(M2091-U2091,2))</f>
        <v/>
      </c>
      <c r="W2091" s="5" t="n"/>
      <c r="X2091" s="5" t="inlineStr">
        <is>
          <t>Labour + plant + material as published; reconciles to the published rate.</t>
        </is>
      </c>
    </row>
    <row r="2092" ht="13" customHeight="1">
      <c r="A2092" s="4" t="n">
        <v>3163</v>
      </c>
      <c r="B2092" s="5" t="inlineStr">
        <is>
          <t>IMG_0108</t>
        </is>
      </c>
      <c r="C2092" s="5" t="inlineStr">
        <is>
          <t>CLASS K: PIPEWORK - MANHOLES AND PIPEWORK ANCILLARIES</t>
        </is>
      </c>
      <c r="D2092" s="5" t="inlineStr">
        <is>
          <t>04 FRENCH DRAINS, RUBBLE DRAINS, DITCHES</t>
        </is>
      </c>
      <c r="E2092" s="5" t="inlineStr">
        <is>
          <t>Excavation of rectangular section ditches; unlined; cross-sectional area</t>
        </is>
      </c>
      <c r="F2092" s="5" t="inlineStr">
        <is>
          <t>0.50-0.75 m2</t>
        </is>
      </c>
      <c r="G2092" s="6" t="inlineStr">
        <is>
          <t>m</t>
        </is>
      </c>
      <c r="H2092" s="7" t="n">
        <v>0.14</v>
      </c>
      <c r="I2092" s="8" t="n">
        <v>17.11</v>
      </c>
      <c r="J2092" s="8" t="n">
        <v>11.15</v>
      </c>
      <c r="K2092" s="8" t="n">
        <v>0</v>
      </c>
      <c r="L2092" s="8" t="n">
        <v>0</v>
      </c>
      <c r="M2092" s="9">
        <f>ROUND(SUM(I2092:L2092),2)</f>
        <v/>
      </c>
      <c r="N2092" s="10">
        <f>ROUND(I2092*'Irish Basis'!$C$6*'Irish Basis'!$C$5,2)</f>
        <v/>
      </c>
      <c r="O2092" s="10">
        <f>ROUND(J2092*'Irish Basis'!$C$7*'Irish Basis'!$C$5,2)</f>
        <v/>
      </c>
      <c r="P2092" s="10">
        <f>ROUND(K2092*'Irish Basis'!$C$8*'Irish Basis'!$C$5,2)</f>
        <v/>
      </c>
      <c r="Q2092" s="10">
        <f>ROUND(L2092*'Irish Basis'!$C$12*'Irish Basis'!$C$5,2)</f>
        <v/>
      </c>
      <c r="R2092" s="11">
        <f>ROUND(SUM(N2092:Q2092),2)</f>
        <v/>
      </c>
      <c r="S2092" s="5" t="inlineStr">
        <is>
          <t>Stated build-up</t>
        </is>
      </c>
      <c r="T2092" s="12" t="inlineStr">
        <is>
          <t>High</t>
        </is>
      </c>
      <c r="U2092" s="8" t="n">
        <v>28.26</v>
      </c>
      <c r="V2092" s="13">
        <f>IF(U2092="","",ROUND(M2092-U2092,2))</f>
        <v/>
      </c>
      <c r="W2092" s="5" t="n"/>
      <c r="X2092" s="5" t="inlineStr">
        <is>
          <t>Labour + plant + material as published; reconciles to the published rate.</t>
        </is>
      </c>
    </row>
    <row r="2093" ht="13" customHeight="1">
      <c r="A2093" s="4" t="n">
        <v>3164</v>
      </c>
      <c r="B2093" s="5" t="inlineStr">
        <is>
          <t>IMG_0108</t>
        </is>
      </c>
      <c r="C2093" s="5" t="inlineStr">
        <is>
          <t>CLASS K: PIPEWORK - MANHOLES AND PIPEWORK ANCILLARIES</t>
        </is>
      </c>
      <c r="D2093" s="5" t="inlineStr">
        <is>
          <t>04 FRENCH DRAINS, RUBBLE DRAINS, DITCHES</t>
        </is>
      </c>
      <c r="E2093" s="5" t="inlineStr">
        <is>
          <t>Excavation of rectangular section ditches; unlined; cross-sectional area</t>
        </is>
      </c>
      <c r="F2093" s="5" t="inlineStr">
        <is>
          <t>0.75-1.00 m2</t>
        </is>
      </c>
      <c r="G2093" s="6" t="inlineStr">
        <is>
          <t>m</t>
        </is>
      </c>
      <c r="H2093" s="7" t="n">
        <v>0.17</v>
      </c>
      <c r="I2093" s="8" t="n">
        <v>20.78</v>
      </c>
      <c r="J2093" s="8" t="n">
        <v>13.59</v>
      </c>
      <c r="K2093" s="8" t="n">
        <v>0</v>
      </c>
      <c r="L2093" s="8" t="n">
        <v>0</v>
      </c>
      <c r="M2093" s="9">
        <f>ROUND(SUM(I2093:L2093),2)</f>
        <v/>
      </c>
      <c r="N2093" s="10">
        <f>ROUND(I2093*'Irish Basis'!$C$6*'Irish Basis'!$C$5,2)</f>
        <v/>
      </c>
      <c r="O2093" s="10">
        <f>ROUND(J2093*'Irish Basis'!$C$7*'Irish Basis'!$C$5,2)</f>
        <v/>
      </c>
      <c r="P2093" s="10">
        <f>ROUND(K2093*'Irish Basis'!$C$8*'Irish Basis'!$C$5,2)</f>
        <v/>
      </c>
      <c r="Q2093" s="10">
        <f>ROUND(L2093*'Irish Basis'!$C$12*'Irish Basis'!$C$5,2)</f>
        <v/>
      </c>
      <c r="R2093" s="11">
        <f>ROUND(SUM(N2093:Q2093),2)</f>
        <v/>
      </c>
      <c r="S2093" s="5" t="inlineStr">
        <is>
          <t>Stated build-up</t>
        </is>
      </c>
      <c r="T2093" s="12" t="inlineStr">
        <is>
          <t>High</t>
        </is>
      </c>
      <c r="U2093" s="8" t="n">
        <v>34.37</v>
      </c>
      <c r="V2093" s="13">
        <f>IF(U2093="","",ROUND(M2093-U2093,2))</f>
        <v/>
      </c>
      <c r="W2093" s="5" t="n"/>
      <c r="X2093" s="5" t="inlineStr">
        <is>
          <t>Labour + plant + material as published; reconciles to the published rate.</t>
        </is>
      </c>
    </row>
    <row r="2094" ht="13" customHeight="1">
      <c r="A2094" s="4" t="n">
        <v>3165</v>
      </c>
      <c r="B2094" s="5" t="inlineStr">
        <is>
          <t>IMG_0108</t>
        </is>
      </c>
      <c r="C2094" s="5" t="inlineStr">
        <is>
          <t>CLASS K: PIPEWORK - MANHOLES AND PIPEWORK ANCILLARIES</t>
        </is>
      </c>
      <c r="D2094" s="5" t="inlineStr">
        <is>
          <t>04 FRENCH DRAINS, RUBBLE DRAINS, DITCHES</t>
        </is>
      </c>
      <c r="E2094" s="5" t="inlineStr">
        <is>
          <t>Excavation of rectangular section ditches; unlined; cross-sectional area</t>
        </is>
      </c>
      <c r="F2094" s="5" t="inlineStr">
        <is>
          <t>1.00-1.50 m2</t>
        </is>
      </c>
      <c r="G2094" s="6" t="inlineStr">
        <is>
          <t>m</t>
        </is>
      </c>
      <c r="H2094" s="7" t="n">
        <v>0.21</v>
      </c>
      <c r="I2094" s="8" t="n">
        <v>25.67</v>
      </c>
      <c r="J2094" s="8" t="n">
        <v>16.85</v>
      </c>
      <c r="K2094" s="8" t="n">
        <v>0</v>
      </c>
      <c r="L2094" s="8" t="n">
        <v>0</v>
      </c>
      <c r="M2094" s="9">
        <f>ROUND(SUM(I2094:L2094),2)</f>
        <v/>
      </c>
      <c r="N2094" s="10">
        <f>ROUND(I2094*'Irish Basis'!$C$6*'Irish Basis'!$C$5,2)</f>
        <v/>
      </c>
      <c r="O2094" s="10">
        <f>ROUND(J2094*'Irish Basis'!$C$7*'Irish Basis'!$C$5,2)</f>
        <v/>
      </c>
      <c r="P2094" s="10">
        <f>ROUND(K2094*'Irish Basis'!$C$8*'Irish Basis'!$C$5,2)</f>
        <v/>
      </c>
      <c r="Q2094" s="10">
        <f>ROUND(L2094*'Irish Basis'!$C$12*'Irish Basis'!$C$5,2)</f>
        <v/>
      </c>
      <c r="R2094" s="11">
        <f>ROUND(SUM(N2094:Q2094),2)</f>
        <v/>
      </c>
      <c r="S2094" s="5" t="inlineStr">
        <is>
          <t>Stated build-up</t>
        </is>
      </c>
      <c r="T2094" s="12" t="inlineStr">
        <is>
          <t>High</t>
        </is>
      </c>
      <c r="U2094" s="8" t="n">
        <v>42.52</v>
      </c>
      <c r="V2094" s="13">
        <f>IF(U2094="","",ROUND(M2094-U2094,2))</f>
        <v/>
      </c>
      <c r="W2094" s="5" t="n"/>
      <c r="X2094" s="5" t="inlineStr">
        <is>
          <t>Labour + plant + material as published; reconciles to the published rate.</t>
        </is>
      </c>
    </row>
    <row r="2095" ht="13" customHeight="1">
      <c r="A2095" s="4" t="n">
        <v>3166</v>
      </c>
      <c r="B2095" s="5" t="inlineStr">
        <is>
          <t>IMG_0108</t>
        </is>
      </c>
      <c r="C2095" s="5" t="inlineStr">
        <is>
          <t>CLASS K: PIPEWORK - MANHOLES AND PIPEWORK ANCILLARIES</t>
        </is>
      </c>
      <c r="D2095" s="5" t="inlineStr">
        <is>
          <t>04 FRENCH DRAINS, RUBBLE DRAINS, DITCHES</t>
        </is>
      </c>
      <c r="E2095" s="5" t="inlineStr">
        <is>
          <t>Excavation of rectangular section ditches; unlined; cross-sectional area</t>
        </is>
      </c>
      <c r="F2095" s="5" t="inlineStr">
        <is>
          <t>1.50-2.00 m2</t>
        </is>
      </c>
      <c r="G2095" s="6" t="inlineStr">
        <is>
          <t>m</t>
        </is>
      </c>
      <c r="H2095" s="7" t="n">
        <v>0.26</v>
      </c>
      <c r="I2095" s="8" t="n">
        <v>31.78</v>
      </c>
      <c r="J2095" s="8" t="n">
        <v>21.31</v>
      </c>
      <c r="K2095" s="8" t="n">
        <v>0</v>
      </c>
      <c r="L2095" s="8" t="n">
        <v>0</v>
      </c>
      <c r="M2095" s="9">
        <f>ROUND(SUM(I2095:L2095),2)</f>
        <v/>
      </c>
      <c r="N2095" s="10">
        <f>ROUND(I2095*'Irish Basis'!$C$6*'Irish Basis'!$C$5,2)</f>
        <v/>
      </c>
      <c r="O2095" s="10">
        <f>ROUND(J2095*'Irish Basis'!$C$7*'Irish Basis'!$C$5,2)</f>
        <v/>
      </c>
      <c r="P2095" s="10">
        <f>ROUND(K2095*'Irish Basis'!$C$8*'Irish Basis'!$C$5,2)</f>
        <v/>
      </c>
      <c r="Q2095" s="10">
        <f>ROUND(L2095*'Irish Basis'!$C$12*'Irish Basis'!$C$5,2)</f>
        <v/>
      </c>
      <c r="R2095" s="11">
        <f>ROUND(SUM(N2095:Q2095),2)</f>
        <v/>
      </c>
      <c r="S2095" s="5" t="inlineStr">
        <is>
          <t>Stated build-up</t>
        </is>
      </c>
      <c r="T2095" s="12" t="inlineStr">
        <is>
          <t>High</t>
        </is>
      </c>
      <c r="U2095" s="8" t="n">
        <v>53.09</v>
      </c>
      <c r="V2095" s="13">
        <f>IF(U2095="","",ROUND(M2095-U2095,2))</f>
        <v/>
      </c>
      <c r="W2095" s="5" t="n"/>
      <c r="X2095" s="5" t="inlineStr">
        <is>
          <t>Labour + plant + material as published; reconciles to the published rate.</t>
        </is>
      </c>
    </row>
    <row r="2096" ht="13" customHeight="1">
      <c r="A2096" s="4" t="n">
        <v>3168</v>
      </c>
      <c r="B2096" s="5" t="inlineStr">
        <is>
          <t>IMG_0108</t>
        </is>
      </c>
      <c r="C2096" s="5" t="inlineStr">
        <is>
          <t>CLASS K: PIPEWORK - MANHOLES AND PIPEWORK ANCILLARIES</t>
        </is>
      </c>
      <c r="D2096" s="5" t="inlineStr">
        <is>
          <t>04 FRENCH DRAINS, RUBBLE DRAINS, DITCHES</t>
        </is>
      </c>
      <c r="E2096" s="5" t="inlineStr">
        <is>
          <t>Excavation of rectangular ditches; lined with precast concrete slabs; cross-sectional area</t>
        </is>
      </c>
      <c r="F2096" s="5" t="inlineStr">
        <is>
          <t>0.25-0.50 m2</t>
        </is>
      </c>
      <c r="G2096" s="6" t="inlineStr">
        <is>
          <t>m</t>
        </is>
      </c>
      <c r="H2096" s="7" t="n">
        <v>0.16</v>
      </c>
      <c r="I2096" s="8" t="n">
        <v>19.56</v>
      </c>
      <c r="J2096" s="8" t="n">
        <v>13.74</v>
      </c>
      <c r="K2096" s="8" t="n">
        <v>24.21</v>
      </c>
      <c r="L2096" s="8" t="n">
        <v>0</v>
      </c>
      <c r="M2096" s="9">
        <f>ROUND(SUM(I2096:L2096),2)</f>
        <v/>
      </c>
      <c r="N2096" s="10">
        <f>ROUND(I2096*'Irish Basis'!$C$6*'Irish Basis'!$C$5,2)</f>
        <v/>
      </c>
      <c r="O2096" s="10">
        <f>ROUND(J2096*'Irish Basis'!$C$7*'Irish Basis'!$C$5,2)</f>
        <v/>
      </c>
      <c r="P2096" s="10">
        <f>ROUND(K2096*'Irish Basis'!$C$8*'Irish Basis'!$C$5,2)</f>
        <v/>
      </c>
      <c r="Q2096" s="10">
        <f>ROUND(L2096*'Irish Basis'!$C$12*'Irish Basis'!$C$5,2)</f>
        <v/>
      </c>
      <c r="R2096" s="11">
        <f>ROUND(SUM(N2096:Q2096),2)</f>
        <v/>
      </c>
      <c r="S2096" s="5" t="inlineStr">
        <is>
          <t>Stated build-up</t>
        </is>
      </c>
      <c r="T2096" s="12" t="inlineStr">
        <is>
          <t>High</t>
        </is>
      </c>
      <c r="U2096" s="8" t="n">
        <v>57.5</v>
      </c>
      <c r="V2096" s="13">
        <f>IF(U2096="","",ROUND(M2096-U2096,2))</f>
        <v/>
      </c>
      <c r="W2096" s="5" t="n"/>
      <c r="X2096" s="5" t="inlineStr">
        <is>
          <t>Labour + plant + material as published; reconciles to the published rate.</t>
        </is>
      </c>
    </row>
    <row r="2097" ht="13" customHeight="1">
      <c r="A2097" s="4" t="n">
        <v>3169</v>
      </c>
      <c r="B2097" s="5" t="inlineStr">
        <is>
          <t>IMG_0108</t>
        </is>
      </c>
      <c r="C2097" s="5" t="inlineStr">
        <is>
          <t>CLASS K: PIPEWORK - MANHOLES AND PIPEWORK ANCILLARIES</t>
        </is>
      </c>
      <c r="D2097" s="5" t="inlineStr">
        <is>
          <t>04 FRENCH DRAINS, RUBBLE DRAINS, DITCHES</t>
        </is>
      </c>
      <c r="E2097" s="5" t="inlineStr">
        <is>
          <t>Excavation of rectangular ditches; lined with precast concrete slabs; cross-sectional area</t>
        </is>
      </c>
      <c r="F2097" s="5" t="inlineStr">
        <is>
          <t>0.50-0.75 m2</t>
        </is>
      </c>
      <c r="G2097" s="6" t="inlineStr">
        <is>
          <t>m</t>
        </is>
      </c>
      <c r="H2097" s="7" t="n">
        <v>0.27</v>
      </c>
      <c r="I2097" s="8" t="n">
        <v>33</v>
      </c>
      <c r="J2097" s="8" t="n">
        <v>22.54</v>
      </c>
      <c r="K2097" s="8" t="n">
        <v>35.32</v>
      </c>
      <c r="L2097" s="8" t="n">
        <v>0</v>
      </c>
      <c r="M2097" s="9">
        <f>ROUND(SUM(I2097:L2097),2)</f>
        <v/>
      </c>
      <c r="N2097" s="10">
        <f>ROUND(I2097*'Irish Basis'!$C$6*'Irish Basis'!$C$5,2)</f>
        <v/>
      </c>
      <c r="O2097" s="10">
        <f>ROUND(J2097*'Irish Basis'!$C$7*'Irish Basis'!$C$5,2)</f>
        <v/>
      </c>
      <c r="P2097" s="10">
        <f>ROUND(K2097*'Irish Basis'!$C$8*'Irish Basis'!$C$5,2)</f>
        <v/>
      </c>
      <c r="Q2097" s="10">
        <f>ROUND(L2097*'Irish Basis'!$C$12*'Irish Basis'!$C$5,2)</f>
        <v/>
      </c>
      <c r="R2097" s="11">
        <f>ROUND(SUM(N2097:Q2097),2)</f>
        <v/>
      </c>
      <c r="S2097" s="5" t="inlineStr">
        <is>
          <t>Stated build-up</t>
        </is>
      </c>
      <c r="T2097" s="12" t="inlineStr">
        <is>
          <t>High</t>
        </is>
      </c>
      <c r="U2097" s="8" t="n">
        <v>90.87</v>
      </c>
      <c r="V2097" s="13">
        <f>IF(U2097="","",ROUND(M2097-U2097,2))</f>
        <v/>
      </c>
      <c r="W2097" s="5" t="n"/>
      <c r="X2097" s="5" t="inlineStr">
        <is>
          <t>Labour + plant + material as published; reconciles to the published rate.</t>
        </is>
      </c>
    </row>
    <row r="2098" ht="13" customHeight="1">
      <c r="A2098" s="4" t="n">
        <v>3170</v>
      </c>
      <c r="B2098" s="5" t="inlineStr">
        <is>
          <t>IMG_0108</t>
        </is>
      </c>
      <c r="C2098" s="5" t="inlineStr">
        <is>
          <t>CLASS K: PIPEWORK - MANHOLES AND PIPEWORK ANCILLARIES</t>
        </is>
      </c>
      <c r="D2098" s="5" t="inlineStr">
        <is>
          <t>04 FRENCH DRAINS, RUBBLE DRAINS, DITCHES</t>
        </is>
      </c>
      <c r="E2098" s="5" t="inlineStr">
        <is>
          <t>Excavation of rectangular ditches; lined with precast concrete slabs; cross-sectional area</t>
        </is>
      </c>
      <c r="F2098" s="5" t="inlineStr">
        <is>
          <t>0.75-1.00 m2</t>
        </is>
      </c>
      <c r="G2098" s="6" t="inlineStr">
        <is>
          <t>m</t>
        </is>
      </c>
      <c r="H2098" s="7" t="n">
        <v>0.38</v>
      </c>
      <c r="I2098" s="8" t="n">
        <v>46.45</v>
      </c>
      <c r="J2098" s="8" t="n">
        <v>32.77</v>
      </c>
      <c r="K2098" s="8" t="n">
        <v>50.07</v>
      </c>
      <c r="L2098" s="8" t="n">
        <v>0</v>
      </c>
      <c r="M2098" s="9">
        <f>ROUND(SUM(I2098:L2098),2)</f>
        <v/>
      </c>
      <c r="N2098" s="10">
        <f>ROUND(I2098*'Irish Basis'!$C$6*'Irish Basis'!$C$5,2)</f>
        <v/>
      </c>
      <c r="O2098" s="10">
        <f>ROUND(J2098*'Irish Basis'!$C$7*'Irish Basis'!$C$5,2)</f>
        <v/>
      </c>
      <c r="P2098" s="10">
        <f>ROUND(K2098*'Irish Basis'!$C$8*'Irish Basis'!$C$5,2)</f>
        <v/>
      </c>
      <c r="Q2098" s="10">
        <f>ROUND(L2098*'Irish Basis'!$C$12*'Irish Basis'!$C$5,2)</f>
        <v/>
      </c>
      <c r="R2098" s="11">
        <f>ROUND(SUM(N2098:Q2098),2)</f>
        <v/>
      </c>
      <c r="S2098" s="5" t="inlineStr">
        <is>
          <t>Stated build-up</t>
        </is>
      </c>
      <c r="T2098" s="12" t="inlineStr">
        <is>
          <t>High</t>
        </is>
      </c>
      <c r="U2098" s="8" t="n">
        <v>129.29</v>
      </c>
      <c r="V2098" s="13">
        <f>IF(U2098="","",ROUND(M2098-U2098,2))</f>
        <v/>
      </c>
      <c r="W2098" s="5" t="n"/>
      <c r="X2098" s="5" t="inlineStr">
        <is>
          <t>Labour + plant + material as published; reconciles to the published rate.</t>
        </is>
      </c>
    </row>
    <row r="2099" ht="13" customHeight="1">
      <c r="A2099" s="4" t="n">
        <v>3171</v>
      </c>
      <c r="B2099" s="5" t="inlineStr">
        <is>
          <t>IMG_0108</t>
        </is>
      </c>
      <c r="C2099" s="5" t="inlineStr">
        <is>
          <t>CLASS K: PIPEWORK - MANHOLES AND PIPEWORK ANCILLARIES</t>
        </is>
      </c>
      <c r="D2099" s="5" t="inlineStr">
        <is>
          <t>04 FRENCH DRAINS, RUBBLE DRAINS, DITCHES</t>
        </is>
      </c>
      <c r="E2099" s="5" t="inlineStr">
        <is>
          <t>Excavation of rectangular ditches; lined with precast concrete slabs; cross-sectional area</t>
        </is>
      </c>
      <c r="F2099" s="5" t="inlineStr">
        <is>
          <t>1.00-1.50 m2</t>
        </is>
      </c>
      <c r="G2099" s="6" t="inlineStr">
        <is>
          <t>m</t>
        </is>
      </c>
      <c r="H2099" s="7" t="n">
        <v>0.42</v>
      </c>
      <c r="I2099" s="8" t="n">
        <v>51.34</v>
      </c>
      <c r="J2099" s="8" t="n">
        <v>37.18</v>
      </c>
      <c r="K2099" s="8" t="n">
        <v>70.56</v>
      </c>
      <c r="L2099" s="8" t="n">
        <v>0</v>
      </c>
      <c r="M2099" s="9">
        <f>ROUND(SUM(I2099:L2099),2)</f>
        <v/>
      </c>
      <c r="N2099" s="10">
        <f>ROUND(I2099*'Irish Basis'!$C$6*'Irish Basis'!$C$5,2)</f>
        <v/>
      </c>
      <c r="O2099" s="10">
        <f>ROUND(J2099*'Irish Basis'!$C$7*'Irish Basis'!$C$5,2)</f>
        <v/>
      </c>
      <c r="P2099" s="10">
        <f>ROUND(K2099*'Irish Basis'!$C$8*'Irish Basis'!$C$5,2)</f>
        <v/>
      </c>
      <c r="Q2099" s="10">
        <f>ROUND(L2099*'Irish Basis'!$C$12*'Irish Basis'!$C$5,2)</f>
        <v/>
      </c>
      <c r="R2099" s="11">
        <f>ROUND(SUM(N2099:Q2099),2)</f>
        <v/>
      </c>
      <c r="S2099" s="5" t="inlineStr">
        <is>
          <t>Stated build-up</t>
        </is>
      </c>
      <c r="T2099" s="12" t="inlineStr">
        <is>
          <t>High</t>
        </is>
      </c>
      <c r="U2099" s="8" t="n">
        <v>159.07</v>
      </c>
      <c r="V2099" s="13">
        <f>IF(U2099="","",ROUND(M2099-U2099,2))</f>
        <v/>
      </c>
      <c r="W2099" s="5" t="n"/>
      <c r="X2099" s="5" t="inlineStr">
        <is>
          <t>Labour + plant + material as published; reconciles to the published rate.</t>
        </is>
      </c>
    </row>
    <row r="2100" ht="13" customHeight="1">
      <c r="A2100" s="4" t="n">
        <v>3172</v>
      </c>
      <c r="B2100" s="5" t="inlineStr">
        <is>
          <t>IMG_0108</t>
        </is>
      </c>
      <c r="C2100" s="5" t="inlineStr">
        <is>
          <t>CLASS K: PIPEWORK - MANHOLES AND PIPEWORK ANCILLARIES</t>
        </is>
      </c>
      <c r="D2100" s="5" t="inlineStr">
        <is>
          <t>04 FRENCH DRAINS, RUBBLE DRAINS, DITCHES</t>
        </is>
      </c>
      <c r="E2100" s="5" t="inlineStr">
        <is>
          <t>Excavation of rectangular ditches; lined with precast concrete slabs; cross-sectional area</t>
        </is>
      </c>
      <c r="F2100" s="5" t="inlineStr">
        <is>
          <t>1.50-2.00 m2</t>
        </is>
      </c>
      <c r="G2100" s="6" t="inlineStr">
        <is>
          <t>m</t>
        </is>
      </c>
      <c r="H2100" s="7" t="n">
        <v>0.48</v>
      </c>
      <c r="I2100" s="8" t="n">
        <v>58.67</v>
      </c>
      <c r="J2100" s="8" t="n">
        <v>41.25</v>
      </c>
      <c r="K2100" s="8" t="n">
        <v>99.70999999999999</v>
      </c>
      <c r="L2100" s="8" t="n">
        <v>0</v>
      </c>
      <c r="M2100" s="9">
        <f>ROUND(SUM(I2100:L2100),2)</f>
        <v/>
      </c>
      <c r="N2100" s="10">
        <f>ROUND(I2100*'Irish Basis'!$C$6*'Irish Basis'!$C$5,2)</f>
        <v/>
      </c>
      <c r="O2100" s="10">
        <f>ROUND(J2100*'Irish Basis'!$C$7*'Irish Basis'!$C$5,2)</f>
        <v/>
      </c>
      <c r="P2100" s="10">
        <f>ROUND(K2100*'Irish Basis'!$C$8*'Irish Basis'!$C$5,2)</f>
        <v/>
      </c>
      <c r="Q2100" s="10">
        <f>ROUND(L2100*'Irish Basis'!$C$12*'Irish Basis'!$C$5,2)</f>
        <v/>
      </c>
      <c r="R2100" s="11">
        <f>ROUND(SUM(N2100:Q2100),2)</f>
        <v/>
      </c>
      <c r="S2100" s="5" t="inlineStr">
        <is>
          <t>Stated build-up</t>
        </is>
      </c>
      <c r="T2100" s="12" t="inlineStr">
        <is>
          <t>High</t>
        </is>
      </c>
      <c r="U2100" s="8" t="n">
        <v>199.63</v>
      </c>
      <c r="V2100" s="13">
        <f>IF(U2100="","",ROUND(M2100-U2100,2))</f>
        <v/>
      </c>
      <c r="W2100" s="5" t="n"/>
      <c r="X2100" s="5" t="inlineStr">
        <is>
          <t>Labour + plant + material as published; reconciles to the published rate.</t>
        </is>
      </c>
    </row>
    <row r="2101" ht="13" customHeight="1">
      <c r="A2101" s="4" t="n">
        <v>3174</v>
      </c>
      <c r="B2101" s="5" t="inlineStr">
        <is>
          <t>IMG_0108</t>
        </is>
      </c>
      <c r="C2101" s="5" t="inlineStr">
        <is>
          <t>CLASS K: PIPEWORK - MANHOLES AND PIPEWORK ANCILLARIES</t>
        </is>
      </c>
      <c r="D2101" s="5" t="inlineStr">
        <is>
          <t>04 FRENCH DRAINS, RUBBLE DRAINS, DITCHES</t>
        </is>
      </c>
      <c r="E2101" s="5" t="inlineStr">
        <is>
          <t>Excavation of vee section ditches; unlined; cross-sectional area</t>
        </is>
      </c>
      <c r="F2101" s="5" t="inlineStr">
        <is>
          <t>0.25-0.50 m2</t>
        </is>
      </c>
      <c r="G2101" s="6" t="inlineStr">
        <is>
          <t>m</t>
        </is>
      </c>
      <c r="H2101" s="7" t="n">
        <v>0.11</v>
      </c>
      <c r="I2101" s="8" t="n">
        <v>13.45</v>
      </c>
      <c r="J2101" s="8" t="n">
        <v>9.94</v>
      </c>
      <c r="K2101" s="8" t="n">
        <v>0</v>
      </c>
      <c r="L2101" s="8" t="n">
        <v>0</v>
      </c>
      <c r="M2101" s="9">
        <f>ROUND(SUM(I2101:L2101),2)</f>
        <v/>
      </c>
      <c r="N2101" s="10">
        <f>ROUND(I2101*'Irish Basis'!$C$6*'Irish Basis'!$C$5,2)</f>
        <v/>
      </c>
      <c r="O2101" s="10">
        <f>ROUND(J2101*'Irish Basis'!$C$7*'Irish Basis'!$C$5,2)</f>
        <v/>
      </c>
      <c r="P2101" s="10">
        <f>ROUND(K2101*'Irish Basis'!$C$8*'Irish Basis'!$C$5,2)</f>
        <v/>
      </c>
      <c r="Q2101" s="10">
        <f>ROUND(L2101*'Irish Basis'!$C$12*'Irish Basis'!$C$5,2)</f>
        <v/>
      </c>
      <c r="R2101" s="11">
        <f>ROUND(SUM(N2101:Q2101),2)</f>
        <v/>
      </c>
      <c r="S2101" s="5" t="inlineStr">
        <is>
          <t>Stated build-up</t>
        </is>
      </c>
      <c r="T2101" s="12" t="inlineStr">
        <is>
          <t>High</t>
        </is>
      </c>
      <c r="U2101" s="8" t="n">
        <v>23.39</v>
      </c>
      <c r="V2101" s="13">
        <f>IF(U2101="","",ROUND(M2101-U2101,2))</f>
        <v/>
      </c>
      <c r="W2101" s="5" t="n"/>
      <c r="X2101" s="5" t="inlineStr">
        <is>
          <t>Labour + plant + material as published; reconciles to the published rate.</t>
        </is>
      </c>
    </row>
    <row r="2102" ht="13" customHeight="1">
      <c r="A2102" s="4" t="n">
        <v>3175</v>
      </c>
      <c r="B2102" s="5" t="inlineStr">
        <is>
          <t>IMG_0108</t>
        </is>
      </c>
      <c r="C2102" s="5" t="inlineStr">
        <is>
          <t>CLASS K: PIPEWORK - MANHOLES AND PIPEWORK ANCILLARIES</t>
        </is>
      </c>
      <c r="D2102" s="5" t="inlineStr">
        <is>
          <t>04 FRENCH DRAINS, RUBBLE DRAINS, DITCHES</t>
        </is>
      </c>
      <c r="E2102" s="5" t="inlineStr">
        <is>
          <t>Excavation of vee section ditches; unlined; cross-sectional area</t>
        </is>
      </c>
      <c r="F2102" s="5" t="inlineStr">
        <is>
          <t>0.50-0.75 m2</t>
        </is>
      </c>
      <c r="G2102" s="6" t="inlineStr">
        <is>
          <t>m</t>
        </is>
      </c>
      <c r="H2102" s="7" t="n">
        <v>0.13</v>
      </c>
      <c r="I2102" s="8" t="n">
        <v>15.89</v>
      </c>
      <c r="J2102" s="8" t="n">
        <v>11.78</v>
      </c>
      <c r="K2102" s="8" t="n">
        <v>0</v>
      </c>
      <c r="L2102" s="8" t="n">
        <v>0</v>
      </c>
      <c r="M2102" s="9">
        <f>ROUND(SUM(I2102:L2102),2)</f>
        <v/>
      </c>
      <c r="N2102" s="10">
        <f>ROUND(I2102*'Irish Basis'!$C$6*'Irish Basis'!$C$5,2)</f>
        <v/>
      </c>
      <c r="O2102" s="10">
        <f>ROUND(J2102*'Irish Basis'!$C$7*'Irish Basis'!$C$5,2)</f>
        <v/>
      </c>
      <c r="P2102" s="10">
        <f>ROUND(K2102*'Irish Basis'!$C$8*'Irish Basis'!$C$5,2)</f>
        <v/>
      </c>
      <c r="Q2102" s="10">
        <f>ROUND(L2102*'Irish Basis'!$C$12*'Irish Basis'!$C$5,2)</f>
        <v/>
      </c>
      <c r="R2102" s="11">
        <f>ROUND(SUM(N2102:Q2102),2)</f>
        <v/>
      </c>
      <c r="S2102" s="5" t="inlineStr">
        <is>
          <t>Stated build-up</t>
        </is>
      </c>
      <c r="T2102" s="12" t="inlineStr">
        <is>
          <t>High</t>
        </is>
      </c>
      <c r="U2102" s="8" t="n">
        <v>27.67</v>
      </c>
      <c r="V2102" s="13">
        <f>IF(U2102="","",ROUND(M2102-U2102,2))</f>
        <v/>
      </c>
      <c r="W2102" s="5" t="n"/>
      <c r="X2102" s="5" t="inlineStr">
        <is>
          <t>Labour + plant + material as published; reconciles to the published rate.</t>
        </is>
      </c>
    </row>
    <row r="2103" ht="13" customHeight="1">
      <c r="A2103" s="4" t="n">
        <v>3176</v>
      </c>
      <c r="B2103" s="5" t="inlineStr">
        <is>
          <t>IMG_0108</t>
        </is>
      </c>
      <c r="C2103" s="5" t="inlineStr">
        <is>
          <t>CLASS K: PIPEWORK - MANHOLES AND PIPEWORK ANCILLARIES</t>
        </is>
      </c>
      <c r="D2103" s="5" t="inlineStr">
        <is>
          <t>04 FRENCH DRAINS, RUBBLE DRAINS, DITCHES</t>
        </is>
      </c>
      <c r="E2103" s="5" t="inlineStr">
        <is>
          <t>Excavation of vee section ditches; unlined; cross-sectional area</t>
        </is>
      </c>
      <c r="F2103" s="5" t="inlineStr">
        <is>
          <t>0.75-1.00 m2</t>
        </is>
      </c>
      <c r="G2103" s="6" t="inlineStr">
        <is>
          <t>m</t>
        </is>
      </c>
      <c r="H2103" s="7" t="n">
        <v>0.15</v>
      </c>
      <c r="I2103" s="8" t="n">
        <v>18.33</v>
      </c>
      <c r="J2103" s="8" t="n">
        <v>13.68</v>
      </c>
      <c r="K2103" s="8" t="n">
        <v>0</v>
      </c>
      <c r="L2103" s="8" t="n">
        <v>0</v>
      </c>
      <c r="M2103" s="9">
        <f>ROUND(SUM(I2103:L2103),2)</f>
        <v/>
      </c>
      <c r="N2103" s="10">
        <f>ROUND(I2103*'Irish Basis'!$C$6*'Irish Basis'!$C$5,2)</f>
        <v/>
      </c>
      <c r="O2103" s="10">
        <f>ROUND(J2103*'Irish Basis'!$C$7*'Irish Basis'!$C$5,2)</f>
        <v/>
      </c>
      <c r="P2103" s="10">
        <f>ROUND(K2103*'Irish Basis'!$C$8*'Irish Basis'!$C$5,2)</f>
        <v/>
      </c>
      <c r="Q2103" s="10">
        <f>ROUND(L2103*'Irish Basis'!$C$12*'Irish Basis'!$C$5,2)</f>
        <v/>
      </c>
      <c r="R2103" s="11">
        <f>ROUND(SUM(N2103:Q2103),2)</f>
        <v/>
      </c>
      <c r="S2103" s="5" t="inlineStr">
        <is>
          <t>Stated build-up</t>
        </is>
      </c>
      <c r="T2103" s="12" t="inlineStr">
        <is>
          <t>High</t>
        </is>
      </c>
      <c r="U2103" s="8" t="n">
        <v>32.02</v>
      </c>
      <c r="V2103" s="13">
        <f>IF(U2103="","",ROUND(M2103-U2103,2))</f>
        <v/>
      </c>
      <c r="W2103" s="5" t="n"/>
      <c r="X2103" s="5" t="inlineStr">
        <is>
          <t>Labour + plant + material as published; reconciles to the published rate.</t>
        </is>
      </c>
    </row>
    <row r="2104" ht="13" customHeight="1">
      <c r="A2104" s="4" t="n">
        <v>3177</v>
      </c>
      <c r="B2104" s="5" t="inlineStr">
        <is>
          <t>IMG_0108</t>
        </is>
      </c>
      <c r="C2104" s="5" t="inlineStr">
        <is>
          <t>CLASS K: PIPEWORK - MANHOLES AND PIPEWORK ANCILLARIES</t>
        </is>
      </c>
      <c r="D2104" s="5" t="inlineStr">
        <is>
          <t>04 FRENCH DRAINS, RUBBLE DRAINS, DITCHES</t>
        </is>
      </c>
      <c r="E2104" s="5" t="inlineStr">
        <is>
          <t>Excavation of vee section ditches; unlined; cross-sectional area</t>
        </is>
      </c>
      <c r="F2104" s="5" t="inlineStr">
        <is>
          <t>1.00-1.50 m2</t>
        </is>
      </c>
      <c r="G2104" s="6" t="inlineStr">
        <is>
          <t>m</t>
        </is>
      </c>
      <c r="H2104" s="7" t="n">
        <v>0.19</v>
      </c>
      <c r="I2104" s="8" t="n">
        <v>23.22</v>
      </c>
      <c r="J2104" s="8" t="n">
        <v>17.42</v>
      </c>
      <c r="K2104" s="8" t="n">
        <v>0</v>
      </c>
      <c r="L2104" s="8" t="n">
        <v>0</v>
      </c>
      <c r="M2104" s="9">
        <f>ROUND(SUM(I2104:L2104),2)</f>
        <v/>
      </c>
      <c r="N2104" s="10">
        <f>ROUND(I2104*'Irish Basis'!$C$6*'Irish Basis'!$C$5,2)</f>
        <v/>
      </c>
      <c r="O2104" s="10">
        <f>ROUND(J2104*'Irish Basis'!$C$7*'Irish Basis'!$C$5,2)</f>
        <v/>
      </c>
      <c r="P2104" s="10">
        <f>ROUND(K2104*'Irish Basis'!$C$8*'Irish Basis'!$C$5,2)</f>
        <v/>
      </c>
      <c r="Q2104" s="10">
        <f>ROUND(L2104*'Irish Basis'!$C$12*'Irish Basis'!$C$5,2)</f>
        <v/>
      </c>
      <c r="R2104" s="11">
        <f>ROUND(SUM(N2104:Q2104),2)</f>
        <v/>
      </c>
      <c r="S2104" s="5" t="inlineStr">
        <is>
          <t>Stated build-up</t>
        </is>
      </c>
      <c r="T2104" s="12" t="inlineStr">
        <is>
          <t>High</t>
        </is>
      </c>
      <c r="U2104" s="8" t="n">
        <v>40.64</v>
      </c>
      <c r="V2104" s="13">
        <f>IF(U2104="","",ROUND(M2104-U2104,2))</f>
        <v/>
      </c>
      <c r="W2104" s="5" t="n"/>
      <c r="X2104" s="5" t="inlineStr">
        <is>
          <t>Labour + plant + material as published; reconciles to the published rate.</t>
        </is>
      </c>
    </row>
    <row r="2105" ht="13" customHeight="1">
      <c r="A2105" s="4" t="n">
        <v>3178</v>
      </c>
      <c r="B2105" s="5" t="inlineStr">
        <is>
          <t>IMG_0108</t>
        </is>
      </c>
      <c r="C2105" s="5" t="inlineStr">
        <is>
          <t>CLASS K: PIPEWORK - MANHOLES AND PIPEWORK ANCILLARIES</t>
        </is>
      </c>
      <c r="D2105" s="5" t="inlineStr">
        <is>
          <t>04 FRENCH DRAINS, RUBBLE DRAINS, DITCHES</t>
        </is>
      </c>
      <c r="E2105" s="5" t="inlineStr">
        <is>
          <t>Excavation of vee section ditches; unlined; cross-sectional area</t>
        </is>
      </c>
      <c r="F2105" s="5" t="inlineStr">
        <is>
          <t>1.50-2.00 m2</t>
        </is>
      </c>
      <c r="G2105" s="6" t="inlineStr">
        <is>
          <t>m</t>
        </is>
      </c>
      <c r="H2105" s="7" t="n">
        <v>0.24</v>
      </c>
      <c r="I2105" s="8" t="n">
        <v>29.34</v>
      </c>
      <c r="J2105" s="8" t="n">
        <v>21.72</v>
      </c>
      <c r="K2105" s="8" t="n">
        <v>0</v>
      </c>
      <c r="L2105" s="8" t="n">
        <v>0</v>
      </c>
      <c r="M2105" s="9">
        <f>ROUND(SUM(I2105:L2105),2)</f>
        <v/>
      </c>
      <c r="N2105" s="10">
        <f>ROUND(I2105*'Irish Basis'!$C$6*'Irish Basis'!$C$5,2)</f>
        <v/>
      </c>
      <c r="O2105" s="10">
        <f>ROUND(J2105*'Irish Basis'!$C$7*'Irish Basis'!$C$5,2)</f>
        <v/>
      </c>
      <c r="P2105" s="10">
        <f>ROUND(K2105*'Irish Basis'!$C$8*'Irish Basis'!$C$5,2)</f>
        <v/>
      </c>
      <c r="Q2105" s="10">
        <f>ROUND(L2105*'Irish Basis'!$C$12*'Irish Basis'!$C$5,2)</f>
        <v/>
      </c>
      <c r="R2105" s="11">
        <f>ROUND(SUM(N2105:Q2105),2)</f>
        <v/>
      </c>
      <c r="S2105" s="5" t="inlineStr">
        <is>
          <t>Stated build-up</t>
        </is>
      </c>
      <c r="T2105" s="12" t="inlineStr">
        <is>
          <t>High</t>
        </is>
      </c>
      <c r="U2105" s="8" t="n">
        <v>51.06</v>
      </c>
      <c r="V2105" s="13">
        <f>IF(U2105="","",ROUND(M2105-U2105,2))</f>
        <v/>
      </c>
      <c r="W2105" s="5" t="n"/>
      <c r="X2105" s="5" t="inlineStr">
        <is>
          <t>Labour + plant + material as published; reconciles to the published rate.</t>
        </is>
      </c>
    </row>
    <row r="2106" ht="13" customHeight="1">
      <c r="A2106" s="4" t="n">
        <v>3180</v>
      </c>
      <c r="B2106" s="5" t="inlineStr">
        <is>
          <t>IMG_0108</t>
        </is>
      </c>
      <c r="C2106" s="5" t="inlineStr">
        <is>
          <t>CLASS K: PIPEWORK - MANHOLES AND PIPEWORK ANCILLARIES</t>
        </is>
      </c>
      <c r="D2106" s="5" t="inlineStr">
        <is>
          <t>04 FRENCH DRAINS, RUBBLE DRAINS, DITCHES</t>
        </is>
      </c>
      <c r="E2106" s="5" t="inlineStr">
        <is>
          <t>Filling</t>
        </is>
      </c>
      <c r="F2106" s="5" t="inlineStr">
        <is>
          <t>Filling French and rubble drains with graded material graded material; 20 mm stone aggregate</t>
        </is>
      </c>
      <c r="G2106" s="6" t="inlineStr">
        <is>
          <t>m3</t>
        </is>
      </c>
      <c r="H2106" s="7" t="n">
        <v>0.31</v>
      </c>
      <c r="I2106" s="8" t="n">
        <v>37.89</v>
      </c>
      <c r="J2106" s="8" t="n">
        <v>28.64</v>
      </c>
      <c r="K2106" s="8" t="n">
        <v>124.81</v>
      </c>
      <c r="L2106" s="8" t="n">
        <v>0</v>
      </c>
      <c r="M2106" s="9">
        <f>ROUND(SUM(I2106:L2106),2)</f>
        <v/>
      </c>
      <c r="N2106" s="10">
        <f>ROUND(I2106*'Irish Basis'!$C$6*'Irish Basis'!$C$5,2)</f>
        <v/>
      </c>
      <c r="O2106" s="10">
        <f>ROUND(J2106*'Irish Basis'!$C$7*'Irish Basis'!$C$5,2)</f>
        <v/>
      </c>
      <c r="P2106" s="10">
        <f>ROUND(K2106*'Irish Basis'!$C$8*'Irish Basis'!$C$5,2)</f>
        <v/>
      </c>
      <c r="Q2106" s="10">
        <f>ROUND(L2106*'Irish Basis'!$C$12*'Irish Basis'!$C$5,2)</f>
        <v/>
      </c>
      <c r="R2106" s="11">
        <f>ROUND(SUM(N2106:Q2106),2)</f>
        <v/>
      </c>
      <c r="S2106" s="5" t="inlineStr">
        <is>
          <t>Stated build-up</t>
        </is>
      </c>
      <c r="T2106" s="12" t="inlineStr">
        <is>
          <t>High</t>
        </is>
      </c>
      <c r="U2106" s="8" t="n">
        <v>191.34</v>
      </c>
      <c r="V2106" s="13">
        <f>IF(U2106="","",ROUND(M2106-U2106,2))</f>
        <v/>
      </c>
      <c r="W2106" s="5" t="n"/>
      <c r="X2106" s="5" t="inlineStr">
        <is>
          <t>Labour + plant + material as published; reconciles to the published rate.</t>
        </is>
      </c>
    </row>
    <row r="2107" ht="13" customHeight="1">
      <c r="A2107" s="4" t="n">
        <v>3181</v>
      </c>
      <c r="B2107" s="5" t="inlineStr">
        <is>
          <t>IMG_0108</t>
        </is>
      </c>
      <c r="C2107" s="5" t="inlineStr">
        <is>
          <t>CLASS K: PIPEWORK - MANHOLES AND PIPEWORK ANCILLARIES</t>
        </is>
      </c>
      <c r="D2107" s="5" t="inlineStr">
        <is>
          <t>04 FRENCH DRAINS, RUBBLE DRAINS, DITCHES</t>
        </is>
      </c>
      <c r="E2107" s="5" t="inlineStr">
        <is>
          <t>Filling</t>
        </is>
      </c>
      <c r="F2107" s="5" t="inlineStr">
        <is>
          <t>broken brick/concrete rubble</t>
        </is>
      </c>
      <c r="G2107" s="6" t="inlineStr">
        <is>
          <t>m3</t>
        </is>
      </c>
      <c r="H2107" s="7" t="n">
        <v>0.31</v>
      </c>
      <c r="I2107" s="8" t="n">
        <v>37.89</v>
      </c>
      <c r="J2107" s="8" t="n">
        <v>25.53</v>
      </c>
      <c r="K2107" s="8" t="n">
        <v>134.88</v>
      </c>
      <c r="L2107" s="8" t="n">
        <v>0</v>
      </c>
      <c r="M2107" s="9">
        <f>ROUND(SUM(I2107:L2107),2)</f>
        <v/>
      </c>
      <c r="N2107" s="10">
        <f>ROUND(I2107*'Irish Basis'!$C$6*'Irish Basis'!$C$5,2)</f>
        <v/>
      </c>
      <c r="O2107" s="10">
        <f>ROUND(J2107*'Irish Basis'!$C$7*'Irish Basis'!$C$5,2)</f>
        <v/>
      </c>
      <c r="P2107" s="10">
        <f>ROUND(K2107*'Irish Basis'!$C$8*'Irish Basis'!$C$5,2)</f>
        <v/>
      </c>
      <c r="Q2107" s="10">
        <f>ROUND(L2107*'Irish Basis'!$C$12*'Irish Basis'!$C$5,2)</f>
        <v/>
      </c>
      <c r="R2107" s="11">
        <f>ROUND(SUM(N2107:Q2107),2)</f>
        <v/>
      </c>
      <c r="S2107" s="5" t="inlineStr">
        <is>
          <t>Stated build-up</t>
        </is>
      </c>
      <c r="T2107" s="12" t="inlineStr">
        <is>
          <t>High</t>
        </is>
      </c>
      <c r="U2107" s="8" t="n">
        <v>198.3</v>
      </c>
      <c r="V2107" s="13">
        <f>IF(U2107="","",ROUND(M2107-U2107,2))</f>
        <v/>
      </c>
      <c r="W2107" s="5" t="n"/>
      <c r="X2107" s="5" t="inlineStr">
        <is>
          <t>Labour + plant + material as published; reconciles to the published rate.</t>
        </is>
      </c>
    </row>
    <row r="2108" ht="13" customHeight="1">
      <c r="A2108" s="4" t="n">
        <v>3184</v>
      </c>
      <c r="B2108" s="5" t="inlineStr">
        <is>
          <t>IMG_0108</t>
        </is>
      </c>
      <c r="C2108" s="5" t="inlineStr">
        <is>
          <t>CLASS K: PIPEWORK - MANHOLES AND PIPEWORK ANCILLARIES</t>
        </is>
      </c>
      <c r="D2108" s="5" t="inlineStr">
        <is>
          <t>04 FRENCH DRAINS, RUBBLE DRAINS, DITCHES</t>
        </is>
      </c>
      <c r="E2108" s="5" t="inlineStr">
        <is>
          <t>HydroBlox surface and sub-surface drains; Recycled plastic; water conveyance plank format as a French/land drain alternative and or retrofit solution for existing drainage installations</t>
        </is>
      </c>
      <c r="F2108" s="5" t="inlineStr">
        <is>
          <t>Single unit 1.00 m x 220 mm deep x 45 mm thick x providing 1003 l/min permeability; backfilled with excavated material</t>
        </is>
      </c>
      <c r="G2108" s="6" t="inlineStr">
        <is>
          <t>m</t>
        </is>
      </c>
      <c r="H2108" s="7" t="n"/>
      <c r="I2108" s="8" t="n">
        <v>38.01</v>
      </c>
      <c r="J2108" s="8" t="n">
        <v>25.45</v>
      </c>
      <c r="K2108" s="8" t="n">
        <v>0</v>
      </c>
      <c r="L2108" s="8" t="n">
        <v>0</v>
      </c>
      <c r="M2108" s="9">
        <f>ROUND(SUM(I2108:L2108),2)</f>
        <v/>
      </c>
      <c r="N2108" s="10">
        <f>ROUND(I2108*'Irish Basis'!$C$6*'Irish Basis'!$C$5,2)</f>
        <v/>
      </c>
      <c r="O2108" s="10">
        <f>ROUND(J2108*'Irish Basis'!$C$7*'Irish Basis'!$C$5,2)</f>
        <v/>
      </c>
      <c r="P2108" s="10">
        <f>ROUND(K2108*'Irish Basis'!$C$8*'Irish Basis'!$C$5,2)</f>
        <v/>
      </c>
      <c r="Q2108" s="10">
        <f>ROUND(L2108*'Irish Basis'!$C$12*'Irish Basis'!$C$5,2)</f>
        <v/>
      </c>
      <c r="R2108" s="11">
        <f>ROUND(SUM(N2108:Q2108),2)</f>
        <v/>
      </c>
      <c r="S2108" s="5" t="inlineStr">
        <is>
          <t>Apportioned (section)</t>
        </is>
      </c>
      <c r="T2108" s="16" t="inlineStr">
        <is>
          <t>Medium</t>
        </is>
      </c>
      <c r="U2108" s="8" t="n">
        <v>63.46</v>
      </c>
      <c r="V2108" s="13">
        <f>IF(U2108="","",ROUND(M2108-U2108,2))</f>
        <v/>
      </c>
      <c r="W2108" s="5" t="n"/>
      <c r="X2108" s="5" t="inlineStr">
        <is>
          <t>Split from published rate using median L/P/M shares of 22 comparable build-ups at section level (60/40/0).</t>
        </is>
      </c>
    </row>
    <row r="2109" ht="13" customHeight="1">
      <c r="A2109" s="4" t="n">
        <v>3185</v>
      </c>
      <c r="B2109" s="5" t="inlineStr">
        <is>
          <t>IMG_0108</t>
        </is>
      </c>
      <c r="C2109" s="5" t="inlineStr">
        <is>
          <t>CLASS K: PIPEWORK - MANHOLES AND PIPEWORK ANCILLARIES</t>
        </is>
      </c>
      <c r="D2109" s="5" t="inlineStr">
        <is>
          <t>04 FRENCH DRAINS, RUBBLE DRAINS, DITCHES</t>
        </is>
      </c>
      <c r="E2109" s="5" t="inlineStr">
        <is>
          <t>HydroBlox surface and sub-surface drains; Recycled plastic; water conveyance plank format as a French/land drain alternative and or retrofit solution for existing drainage installations</t>
        </is>
      </c>
      <c r="F2109" s="5" t="inlineStr">
        <is>
          <t>Two units 1.00 m x 220 mm deep x 90 mm thick x providing 2006 l/min permeability; backfilled with excavated material</t>
        </is>
      </c>
      <c r="G2109" s="6" t="inlineStr">
        <is>
          <t>m</t>
        </is>
      </c>
      <c r="H2109" s="7" t="n"/>
      <c r="I2109" s="8" t="n">
        <v>71.06999999999999</v>
      </c>
      <c r="J2109" s="8" t="n">
        <v>47.58</v>
      </c>
      <c r="K2109" s="8" t="n">
        <v>0</v>
      </c>
      <c r="L2109" s="8" t="n">
        <v>0</v>
      </c>
      <c r="M2109" s="9">
        <f>ROUND(SUM(I2109:L2109),2)</f>
        <v/>
      </c>
      <c r="N2109" s="10">
        <f>ROUND(I2109*'Irish Basis'!$C$6*'Irish Basis'!$C$5,2)</f>
        <v/>
      </c>
      <c r="O2109" s="10">
        <f>ROUND(J2109*'Irish Basis'!$C$7*'Irish Basis'!$C$5,2)</f>
        <v/>
      </c>
      <c r="P2109" s="10">
        <f>ROUND(K2109*'Irish Basis'!$C$8*'Irish Basis'!$C$5,2)</f>
        <v/>
      </c>
      <c r="Q2109" s="10">
        <f>ROUND(L2109*'Irish Basis'!$C$12*'Irish Basis'!$C$5,2)</f>
        <v/>
      </c>
      <c r="R2109" s="11">
        <f>ROUND(SUM(N2109:Q2109),2)</f>
        <v/>
      </c>
      <c r="S2109" s="5" t="inlineStr">
        <is>
          <t>Apportioned (section)</t>
        </is>
      </c>
      <c r="T2109" s="16" t="inlineStr">
        <is>
          <t>Medium</t>
        </is>
      </c>
      <c r="U2109" s="8" t="n">
        <v>118.65</v>
      </c>
      <c r="V2109" s="13">
        <f>IF(U2109="","",ROUND(M2109-U2109,2))</f>
        <v/>
      </c>
      <c r="W2109" s="5" t="n"/>
      <c r="X2109" s="5" t="inlineStr">
        <is>
          <t>Split from published rate using median L/P/M shares of 22 comparable build-ups at section level (60/40/0).</t>
        </is>
      </c>
    </row>
    <row r="2110" ht="13" customHeight="1">
      <c r="A2110" s="4" t="n">
        <v>3186</v>
      </c>
      <c r="B2110" s="5" t="inlineStr">
        <is>
          <t>IMG_0108</t>
        </is>
      </c>
      <c r="C2110" s="5" t="inlineStr">
        <is>
          <t>CLASS K: PIPEWORK - MANHOLES AND PIPEWORK ANCILLARIES</t>
        </is>
      </c>
      <c r="D2110" s="5" t="inlineStr">
        <is>
          <t>04 FRENCH DRAINS, RUBBLE DRAINS, DITCHES</t>
        </is>
      </c>
      <c r="E2110" s="5" t="inlineStr">
        <is>
          <t>HydroBlox surface and sub-surface drains; Recycled plastic; water conveyance plank format as a French/land drain alternative and or retrofit solution for existing drainage installations</t>
        </is>
      </c>
      <c r="F2110" s="5" t="inlineStr">
        <is>
          <t>Four units 1.00 m x 220 mm deep x 180 mm thick x providing 4012 l/min permeability; backfilled with excavated material</t>
        </is>
      </c>
      <c r="G2110" s="6" t="inlineStr">
        <is>
          <t>m</t>
        </is>
      </c>
      <c r="H2110" s="7" t="n"/>
      <c r="I2110" s="8" t="n">
        <v>136.78</v>
      </c>
      <c r="J2110" s="8" t="n">
        <v>91.56999999999999</v>
      </c>
      <c r="K2110" s="8" t="n">
        <v>0</v>
      </c>
      <c r="L2110" s="8" t="n">
        <v>0</v>
      </c>
      <c r="M2110" s="9">
        <f>ROUND(SUM(I2110:L2110),2)</f>
        <v/>
      </c>
      <c r="N2110" s="10">
        <f>ROUND(I2110*'Irish Basis'!$C$6*'Irish Basis'!$C$5,2)</f>
        <v/>
      </c>
      <c r="O2110" s="10">
        <f>ROUND(J2110*'Irish Basis'!$C$7*'Irish Basis'!$C$5,2)</f>
        <v/>
      </c>
      <c r="P2110" s="10">
        <f>ROUND(K2110*'Irish Basis'!$C$8*'Irish Basis'!$C$5,2)</f>
        <v/>
      </c>
      <c r="Q2110" s="10">
        <f>ROUND(L2110*'Irish Basis'!$C$12*'Irish Basis'!$C$5,2)</f>
        <v/>
      </c>
      <c r="R2110" s="11">
        <f>ROUND(SUM(N2110:Q2110),2)</f>
        <v/>
      </c>
      <c r="S2110" s="5" t="inlineStr">
        <is>
          <t>Apportioned (section)</t>
        </is>
      </c>
      <c r="T2110" s="16" t="inlineStr">
        <is>
          <t>Medium</t>
        </is>
      </c>
      <c r="U2110" s="8" t="n">
        <v>228.35</v>
      </c>
      <c r="V2110" s="13">
        <f>IF(U2110="","",ROUND(M2110-U2110,2))</f>
        <v/>
      </c>
      <c r="W2110" s="5" t="n"/>
      <c r="X2110" s="5" t="inlineStr">
        <is>
          <t>Split from published rate using median L/P/M shares of 22 comparable build-ups at section level (60/40/0).</t>
        </is>
      </c>
    </row>
    <row r="2111" ht="13" customHeight="1">
      <c r="A2111" s="4" t="n">
        <v>3189</v>
      </c>
      <c r="B2111" s="5" t="inlineStr">
        <is>
          <t>IMG_0108</t>
        </is>
      </c>
      <c r="C2111" s="5" t="inlineStr">
        <is>
          <t>CLASS K: PIPEWORK - MANHOLES AND PIPEWORK ANCILLARIES</t>
        </is>
      </c>
      <c r="D2111" s="5" t="inlineStr">
        <is>
          <t>05 DUCTS AND METAL CULVERTS</t>
        </is>
      </c>
      <c r="E2111" s="5" t="inlineStr">
        <is>
          <t>Galvanized steel culverts; bitumen coated; Sectional corrugated metal culverts, nominal internal dia. 0.5-1 m; 1000 mm nominal internal dia., 1.6 mm thick</t>
        </is>
      </c>
      <c r="F2111" s="5" t="inlineStr">
        <is>
          <t>not in trenches</t>
        </is>
      </c>
      <c r="G2111" s="6" t="inlineStr">
        <is>
          <t>m</t>
        </is>
      </c>
      <c r="H2111" s="7" t="n">
        <v>0.15</v>
      </c>
      <c r="I2111" s="8" t="n">
        <v>18.33</v>
      </c>
      <c r="J2111" s="8" t="n">
        <v>1.54</v>
      </c>
      <c r="K2111" s="8" t="n">
        <v>183.93</v>
      </c>
      <c r="L2111" s="8" t="n">
        <v>0</v>
      </c>
      <c r="M2111" s="9">
        <f>ROUND(SUM(I2111:L2111),2)</f>
        <v/>
      </c>
      <c r="N2111" s="10">
        <f>ROUND(I2111*'Irish Basis'!$C$6*'Irish Basis'!$C$5,2)</f>
        <v/>
      </c>
      <c r="O2111" s="10">
        <f>ROUND(J2111*'Irish Basis'!$C$7*'Irish Basis'!$C$5,2)</f>
        <v/>
      </c>
      <c r="P2111" s="10">
        <f>ROUND(K2111*'Irish Basis'!$C$8*'Irish Basis'!$C$5,2)</f>
        <v/>
      </c>
      <c r="Q2111" s="10">
        <f>ROUND(L2111*'Irish Basis'!$C$12*'Irish Basis'!$C$5,2)</f>
        <v/>
      </c>
      <c r="R2111" s="11">
        <f>ROUND(SUM(N2111:Q2111),2)</f>
        <v/>
      </c>
      <c r="S2111" s="5" t="inlineStr">
        <is>
          <t>Stated build-up</t>
        </is>
      </c>
      <c r="T2111" s="12" t="inlineStr">
        <is>
          <t>High</t>
        </is>
      </c>
      <c r="U2111" s="8" t="n">
        <v>203.8</v>
      </c>
      <c r="V2111" s="13">
        <f>IF(U2111="","",ROUND(M2111-U2111,2))</f>
        <v/>
      </c>
      <c r="W2111" s="5" t="n"/>
      <c r="X2111" s="5" t="inlineStr">
        <is>
          <t>Labour + plant + material as published; reconciles to the published rate.</t>
        </is>
      </c>
    </row>
    <row r="2112" ht="13" customHeight="1">
      <c r="A2112" s="4" t="n">
        <v>3190</v>
      </c>
      <c r="B2112" s="5" t="inlineStr">
        <is>
          <t>IMG_0108</t>
        </is>
      </c>
      <c r="C2112" s="5" t="inlineStr">
        <is>
          <t>CLASS K: PIPEWORK - MANHOLES AND PIPEWORK ANCILLARIES</t>
        </is>
      </c>
      <c r="D2112" s="5" t="inlineStr">
        <is>
          <t>05 DUCTS AND METAL CULVERTS</t>
        </is>
      </c>
      <c r="E2112" s="5" t="inlineStr">
        <is>
          <t>Galvanized steel culverts; bitumen coated; Sectional corrugated metal culverts, nominal internal dia. 0.5-1 m; 1000 mm nominal internal dia., 1.6 mm thick</t>
        </is>
      </c>
      <c r="F2112" s="5" t="inlineStr">
        <is>
          <t>in trenches, depth not exceeding 1.5 m</t>
        </is>
      </c>
      <c r="G2112" s="6" t="inlineStr">
        <is>
          <t>m</t>
        </is>
      </c>
      <c r="H2112" s="7" t="n">
        <v>0.31</v>
      </c>
      <c r="I2112" s="8" t="n">
        <v>37.89</v>
      </c>
      <c r="J2112" s="8" t="n">
        <v>28.95</v>
      </c>
      <c r="K2112" s="8" t="n">
        <v>183.93</v>
      </c>
      <c r="L2112" s="8" t="n">
        <v>0</v>
      </c>
      <c r="M2112" s="9">
        <f>ROUND(SUM(I2112:L2112),2)</f>
        <v/>
      </c>
      <c r="N2112" s="10">
        <f>ROUND(I2112*'Irish Basis'!$C$6*'Irish Basis'!$C$5,2)</f>
        <v/>
      </c>
      <c r="O2112" s="10">
        <f>ROUND(J2112*'Irish Basis'!$C$7*'Irish Basis'!$C$5,2)</f>
        <v/>
      </c>
      <c r="P2112" s="10">
        <f>ROUND(K2112*'Irish Basis'!$C$8*'Irish Basis'!$C$5,2)</f>
        <v/>
      </c>
      <c r="Q2112" s="10">
        <f>ROUND(L2112*'Irish Basis'!$C$12*'Irish Basis'!$C$5,2)</f>
        <v/>
      </c>
      <c r="R2112" s="11">
        <f>ROUND(SUM(N2112:Q2112),2)</f>
        <v/>
      </c>
      <c r="S2112" s="5" t="inlineStr">
        <is>
          <t>Stated build-up</t>
        </is>
      </c>
      <c r="T2112" s="12" t="inlineStr">
        <is>
          <t>High</t>
        </is>
      </c>
      <c r="U2112" s="8" t="n">
        <v>250.77</v>
      </c>
      <c r="V2112" s="13">
        <f>IF(U2112="","",ROUND(M2112-U2112,2))</f>
        <v/>
      </c>
      <c r="W2112" s="5" t="n"/>
      <c r="X2112" s="5" t="inlineStr">
        <is>
          <t>Labour + plant + material as published; reconciles to the published rate.</t>
        </is>
      </c>
    </row>
    <row r="2113" ht="13" customHeight="1">
      <c r="A2113" s="4" t="n">
        <v>3191</v>
      </c>
      <c r="B2113" s="5" t="inlineStr">
        <is>
          <t>IMG_0108</t>
        </is>
      </c>
      <c r="C2113" s="5" t="inlineStr">
        <is>
          <t>CLASS K: PIPEWORK - MANHOLES AND PIPEWORK ANCILLARIES</t>
        </is>
      </c>
      <c r="D2113" s="5" t="inlineStr">
        <is>
          <t>05 DUCTS AND METAL CULVERTS</t>
        </is>
      </c>
      <c r="E2113" s="5" t="inlineStr">
        <is>
          <t>Galvanized steel culverts; bitumen coated; Sectional corrugated metal culverts, nominal internal dia. 0.5-1 m; 1000 mm nominal internal dia., 1.6 mm thick</t>
        </is>
      </c>
      <c r="F2113" s="5" t="inlineStr">
        <is>
          <t>in trenches, depth 1.5-2 m</t>
        </is>
      </c>
      <c r="G2113" s="6" t="inlineStr">
        <is>
          <t>m</t>
        </is>
      </c>
      <c r="H2113" s="7" t="n">
        <v>0.43</v>
      </c>
      <c r="I2113" s="8" t="n">
        <v>52.56</v>
      </c>
      <c r="J2113" s="8" t="n">
        <v>40.16</v>
      </c>
      <c r="K2113" s="8" t="n">
        <v>183.93</v>
      </c>
      <c r="L2113" s="8" t="n">
        <v>0</v>
      </c>
      <c r="M2113" s="9">
        <f>ROUND(SUM(I2113:L2113),2)</f>
        <v/>
      </c>
      <c r="N2113" s="10">
        <f>ROUND(I2113*'Irish Basis'!$C$6*'Irish Basis'!$C$5,2)</f>
        <v/>
      </c>
      <c r="O2113" s="10">
        <f>ROUND(J2113*'Irish Basis'!$C$7*'Irish Basis'!$C$5,2)</f>
        <v/>
      </c>
      <c r="P2113" s="10">
        <f>ROUND(K2113*'Irish Basis'!$C$8*'Irish Basis'!$C$5,2)</f>
        <v/>
      </c>
      <c r="Q2113" s="10">
        <f>ROUND(L2113*'Irish Basis'!$C$12*'Irish Basis'!$C$5,2)</f>
        <v/>
      </c>
      <c r="R2113" s="11">
        <f>ROUND(SUM(N2113:Q2113),2)</f>
        <v/>
      </c>
      <c r="S2113" s="5" t="inlineStr">
        <is>
          <t>Stated build-up</t>
        </is>
      </c>
      <c r="T2113" s="12" t="inlineStr">
        <is>
          <t>High</t>
        </is>
      </c>
      <c r="U2113" s="8" t="n">
        <v>276.65</v>
      </c>
      <c r="V2113" s="13">
        <f>IF(U2113="","",ROUND(M2113-U2113,2))</f>
        <v/>
      </c>
      <c r="W2113" s="5" t="n"/>
      <c r="X2113" s="5" t="inlineStr">
        <is>
          <t>Labour + plant + material as published; reconciles to the published rate.</t>
        </is>
      </c>
    </row>
    <row r="2114" ht="13" customHeight="1">
      <c r="A2114" s="4" t="n">
        <v>3192</v>
      </c>
      <c r="B2114" s="5" t="inlineStr">
        <is>
          <t>IMG_0108</t>
        </is>
      </c>
      <c r="C2114" s="5" t="inlineStr">
        <is>
          <t>CLASS K: PIPEWORK - MANHOLES AND PIPEWORK ANCILLARIES</t>
        </is>
      </c>
      <c r="D2114" s="5" t="inlineStr">
        <is>
          <t>05 DUCTS AND METAL CULVERTS</t>
        </is>
      </c>
      <c r="E2114" s="5" t="inlineStr">
        <is>
          <t>Galvanized steel culverts; bitumen coated; Sectional corrugated metal culverts, nominal internal dia. 0.5-1 m; 1000 mm nominal internal dia., 1.6 mm thick</t>
        </is>
      </c>
      <c r="F2114" s="5" t="inlineStr">
        <is>
          <t>in trenches, depth 2-2.5 m</t>
        </is>
      </c>
      <c r="G2114" s="6" t="inlineStr">
        <is>
          <t>m</t>
        </is>
      </c>
      <c r="H2114" s="7" t="n">
        <v>0.51</v>
      </c>
      <c r="I2114" s="8" t="n">
        <v>62.34</v>
      </c>
      <c r="J2114" s="8" t="n">
        <v>47.64</v>
      </c>
      <c r="K2114" s="8" t="n">
        <v>183.93</v>
      </c>
      <c r="L2114" s="8" t="n">
        <v>0</v>
      </c>
      <c r="M2114" s="9">
        <f>ROUND(SUM(I2114:L2114),2)</f>
        <v/>
      </c>
      <c r="N2114" s="10">
        <f>ROUND(I2114*'Irish Basis'!$C$6*'Irish Basis'!$C$5,2)</f>
        <v/>
      </c>
      <c r="O2114" s="10">
        <f>ROUND(J2114*'Irish Basis'!$C$7*'Irish Basis'!$C$5,2)</f>
        <v/>
      </c>
      <c r="P2114" s="10">
        <f>ROUND(K2114*'Irish Basis'!$C$8*'Irish Basis'!$C$5,2)</f>
        <v/>
      </c>
      <c r="Q2114" s="10">
        <f>ROUND(L2114*'Irish Basis'!$C$12*'Irish Basis'!$C$5,2)</f>
        <v/>
      </c>
      <c r="R2114" s="11">
        <f>ROUND(SUM(N2114:Q2114),2)</f>
        <v/>
      </c>
      <c r="S2114" s="5" t="inlineStr">
        <is>
          <t>Stated build-up</t>
        </is>
      </c>
      <c r="T2114" s="12" t="inlineStr">
        <is>
          <t>High</t>
        </is>
      </c>
      <c r="U2114" s="8" t="n">
        <v>293.9</v>
      </c>
      <c r="V2114" s="13">
        <f>IF(U2114="","",ROUND(M2114-U2114,2))</f>
        <v/>
      </c>
      <c r="W2114" s="5" t="n"/>
      <c r="X2114" s="5" t="inlineStr">
        <is>
          <t>Labour + plant + material as published; reconciles to the published rate.</t>
        </is>
      </c>
    </row>
    <row r="2115" ht="13" customHeight="1">
      <c r="A2115" s="4" t="n">
        <v>3193</v>
      </c>
      <c r="B2115" s="5" t="inlineStr">
        <is>
          <t>IMG_0108</t>
        </is>
      </c>
      <c r="C2115" s="5" t="inlineStr">
        <is>
          <t>CLASS K: PIPEWORK - MANHOLES AND PIPEWORK ANCILLARIES</t>
        </is>
      </c>
      <c r="D2115" s="5" t="inlineStr">
        <is>
          <t>05 DUCTS AND METAL CULVERTS</t>
        </is>
      </c>
      <c r="E2115" s="5" t="inlineStr">
        <is>
          <t>Galvanized steel culverts; bitumen coated; Sectional corrugated metal culverts, nominal internal dia. 0.5-1 m; 1000 mm nominal internal dia., 1.6 mm thick</t>
        </is>
      </c>
      <c r="F2115" s="5" t="inlineStr">
        <is>
          <t>in trenches, depth 2.5-3 m</t>
        </is>
      </c>
      <c r="G2115" s="6" t="inlineStr">
        <is>
          <t>m</t>
        </is>
      </c>
      <c r="H2115" s="7" t="n">
        <v>0.6</v>
      </c>
      <c r="I2115" s="8" t="n">
        <v>73.34</v>
      </c>
      <c r="J2115" s="8" t="n">
        <v>56.06</v>
      </c>
      <c r="K2115" s="8" t="n">
        <v>183.93</v>
      </c>
      <c r="L2115" s="8" t="n">
        <v>0</v>
      </c>
      <c r="M2115" s="9">
        <f>ROUND(SUM(I2115:L2115),2)</f>
        <v/>
      </c>
      <c r="N2115" s="10">
        <f>ROUND(I2115*'Irish Basis'!$C$6*'Irish Basis'!$C$5,2)</f>
        <v/>
      </c>
      <c r="O2115" s="10">
        <f>ROUND(J2115*'Irish Basis'!$C$7*'Irish Basis'!$C$5,2)</f>
        <v/>
      </c>
      <c r="P2115" s="10">
        <f>ROUND(K2115*'Irish Basis'!$C$8*'Irish Basis'!$C$5,2)</f>
        <v/>
      </c>
      <c r="Q2115" s="10">
        <f>ROUND(L2115*'Irish Basis'!$C$12*'Irish Basis'!$C$5,2)</f>
        <v/>
      </c>
      <c r="R2115" s="11">
        <f>ROUND(SUM(N2115:Q2115),2)</f>
        <v/>
      </c>
      <c r="S2115" s="5" t="inlineStr">
        <is>
          <t>Stated build-up</t>
        </is>
      </c>
      <c r="T2115" s="12" t="inlineStr">
        <is>
          <t>High</t>
        </is>
      </c>
      <c r="U2115" s="8" t="n">
        <v>313.33</v>
      </c>
      <c r="V2115" s="13">
        <f>IF(U2115="","",ROUND(M2115-U2115,2))</f>
        <v/>
      </c>
      <c r="W2115" s="5" t="n"/>
      <c r="X2115" s="5" t="inlineStr">
        <is>
          <t>Labour + plant + material as published; reconciles to the published rate.</t>
        </is>
      </c>
    </row>
    <row r="2116" ht="13" customHeight="1">
      <c r="A2116" s="4" t="n">
        <v>3195</v>
      </c>
      <c r="B2116" s="5" t="inlineStr">
        <is>
          <t>IMG_0108</t>
        </is>
      </c>
      <c r="C2116" s="5" t="inlineStr">
        <is>
          <t>CLASS K: PIPEWORK - MANHOLES AND PIPEWORK ANCILLARIES</t>
        </is>
      </c>
      <c r="D2116" s="5" t="inlineStr">
        <is>
          <t>05 DUCTS AND METAL CULVERTS</t>
        </is>
      </c>
      <c r="E2116" s="5" t="inlineStr">
        <is>
          <t>Sectional corrugated metal culverts, nominal internal dia. exceeding 1.5 m; 1600 mm nominal internal dia., 1.6 mm thick</t>
        </is>
      </c>
      <c r="F2116" s="5" t="inlineStr">
        <is>
          <t>not in trenches</t>
        </is>
      </c>
      <c r="G2116" s="6" t="inlineStr">
        <is>
          <t>m</t>
        </is>
      </c>
      <c r="H2116" s="7" t="n">
        <v>0.21</v>
      </c>
      <c r="I2116" s="8" t="n">
        <v>25.67</v>
      </c>
      <c r="J2116" s="8" t="n">
        <v>2.17</v>
      </c>
      <c r="K2116" s="8" t="n">
        <v>294.86</v>
      </c>
      <c r="L2116" s="8" t="n">
        <v>0</v>
      </c>
      <c r="M2116" s="9">
        <f>ROUND(SUM(I2116:L2116),2)</f>
        <v/>
      </c>
      <c r="N2116" s="10">
        <f>ROUND(I2116*'Irish Basis'!$C$6*'Irish Basis'!$C$5,2)</f>
        <v/>
      </c>
      <c r="O2116" s="10">
        <f>ROUND(J2116*'Irish Basis'!$C$7*'Irish Basis'!$C$5,2)</f>
        <v/>
      </c>
      <c r="P2116" s="10">
        <f>ROUND(K2116*'Irish Basis'!$C$8*'Irish Basis'!$C$5,2)</f>
        <v/>
      </c>
      <c r="Q2116" s="10">
        <f>ROUND(L2116*'Irish Basis'!$C$12*'Irish Basis'!$C$5,2)</f>
        <v/>
      </c>
      <c r="R2116" s="11">
        <f>ROUND(SUM(N2116:Q2116),2)</f>
        <v/>
      </c>
      <c r="S2116" s="5" t="inlineStr">
        <is>
          <t>Stated build-up</t>
        </is>
      </c>
      <c r="T2116" s="12" t="inlineStr">
        <is>
          <t>High</t>
        </is>
      </c>
      <c r="U2116" s="8" t="n">
        <v>322.7</v>
      </c>
      <c r="V2116" s="13">
        <f>IF(U2116="","",ROUND(M2116-U2116,2))</f>
        <v/>
      </c>
      <c r="W2116" s="5" t="n"/>
      <c r="X2116" s="5" t="inlineStr">
        <is>
          <t>Labour + plant + material as published; reconciles to the published rate.</t>
        </is>
      </c>
    </row>
    <row r="2117" ht="13" customHeight="1">
      <c r="A2117" s="4" t="n">
        <v>3196</v>
      </c>
      <c r="B2117" s="5" t="inlineStr">
        <is>
          <t>IMG_0108</t>
        </is>
      </c>
      <c r="C2117" s="5" t="inlineStr">
        <is>
          <t>CLASS K: PIPEWORK - MANHOLES AND PIPEWORK ANCILLARIES</t>
        </is>
      </c>
      <c r="D2117" s="5" t="inlineStr">
        <is>
          <t>05 DUCTS AND METAL CULVERTS</t>
        </is>
      </c>
      <c r="E2117" s="5" t="inlineStr">
        <is>
          <t>Sectional corrugated metal culverts, nominal internal dia. exceeding 1.5 m; 1600 mm nominal internal dia., 1.6 mm thick</t>
        </is>
      </c>
      <c r="F2117" s="5" t="inlineStr">
        <is>
          <t>in trenches, depth 1.5-2 m</t>
        </is>
      </c>
      <c r="G2117" s="6" t="inlineStr">
        <is>
          <t>m</t>
        </is>
      </c>
      <c r="H2117" s="7" t="n">
        <v>0.44</v>
      </c>
      <c r="I2117" s="8" t="n">
        <v>53.78</v>
      </c>
      <c r="J2117" s="8" t="n">
        <v>41.11</v>
      </c>
      <c r="K2117" s="8" t="n">
        <v>294.86</v>
      </c>
      <c r="L2117" s="8" t="n">
        <v>0</v>
      </c>
      <c r="M2117" s="9">
        <f>ROUND(SUM(I2117:L2117),2)</f>
        <v/>
      </c>
      <c r="N2117" s="10">
        <f>ROUND(I2117*'Irish Basis'!$C$6*'Irish Basis'!$C$5,2)</f>
        <v/>
      </c>
      <c r="O2117" s="10">
        <f>ROUND(J2117*'Irish Basis'!$C$7*'Irish Basis'!$C$5,2)</f>
        <v/>
      </c>
      <c r="P2117" s="10">
        <f>ROUND(K2117*'Irish Basis'!$C$8*'Irish Basis'!$C$5,2)</f>
        <v/>
      </c>
      <c r="Q2117" s="10">
        <f>ROUND(L2117*'Irish Basis'!$C$12*'Irish Basis'!$C$5,2)</f>
        <v/>
      </c>
      <c r="R2117" s="11">
        <f>ROUND(SUM(N2117:Q2117),2)</f>
        <v/>
      </c>
      <c r="S2117" s="5" t="inlineStr">
        <is>
          <t>Stated build-up</t>
        </is>
      </c>
      <c r="T2117" s="12" t="inlineStr">
        <is>
          <t>High</t>
        </is>
      </c>
      <c r="U2117" s="8" t="n">
        <v>389.76</v>
      </c>
      <c r="V2117" s="13">
        <f>IF(U2117="","",ROUND(M2117-U2117,2))</f>
        <v/>
      </c>
      <c r="W2117" s="5" t="n"/>
      <c r="X2117" s="5" t="inlineStr">
        <is>
          <t>Labour + plant + material as published; reconciles to the published rate.</t>
        </is>
      </c>
    </row>
    <row r="2118" ht="13" customHeight="1">
      <c r="A2118" s="4" t="n">
        <v>3197</v>
      </c>
      <c r="B2118" s="5" t="inlineStr">
        <is>
          <t>IMG_0108</t>
        </is>
      </c>
      <c r="C2118" s="5" t="inlineStr">
        <is>
          <t>CLASS K: PIPEWORK - MANHOLES AND PIPEWORK ANCILLARIES</t>
        </is>
      </c>
      <c r="D2118" s="5" t="inlineStr">
        <is>
          <t>05 DUCTS AND METAL CULVERTS</t>
        </is>
      </c>
      <c r="E2118" s="5" t="inlineStr">
        <is>
          <t>Sectional corrugated metal culverts, nominal internal dia. exceeding 1.5 m; 1600 mm nominal internal dia., 1.6 mm thick</t>
        </is>
      </c>
      <c r="F2118" s="5" t="inlineStr">
        <is>
          <t>in trenches, depth 2-2.5 m</t>
        </is>
      </c>
      <c r="G2118" s="6" t="inlineStr">
        <is>
          <t>m</t>
        </is>
      </c>
      <c r="H2118" s="7" t="n">
        <v>0.5600000000000001</v>
      </c>
      <c r="I2118" s="8" t="n">
        <v>68.45</v>
      </c>
      <c r="J2118" s="8" t="n">
        <v>52.32</v>
      </c>
      <c r="K2118" s="8" t="n">
        <v>294.86</v>
      </c>
      <c r="L2118" s="8" t="n">
        <v>0</v>
      </c>
      <c r="M2118" s="9">
        <f>ROUND(SUM(I2118:L2118),2)</f>
        <v/>
      </c>
      <c r="N2118" s="10">
        <f>ROUND(I2118*'Irish Basis'!$C$6*'Irish Basis'!$C$5,2)</f>
        <v/>
      </c>
      <c r="O2118" s="10">
        <f>ROUND(J2118*'Irish Basis'!$C$7*'Irish Basis'!$C$5,2)</f>
        <v/>
      </c>
      <c r="P2118" s="10">
        <f>ROUND(K2118*'Irish Basis'!$C$8*'Irish Basis'!$C$5,2)</f>
        <v/>
      </c>
      <c r="Q2118" s="10">
        <f>ROUND(L2118*'Irish Basis'!$C$12*'Irish Basis'!$C$5,2)</f>
        <v/>
      </c>
      <c r="R2118" s="11">
        <f>ROUND(SUM(N2118:Q2118),2)</f>
        <v/>
      </c>
      <c r="S2118" s="5" t="inlineStr">
        <is>
          <t>Stated build-up</t>
        </is>
      </c>
      <c r="T2118" s="12" t="inlineStr">
        <is>
          <t>High</t>
        </is>
      </c>
      <c r="U2118" s="8" t="n">
        <v>415.64</v>
      </c>
      <c r="V2118" s="13">
        <f>IF(U2118="","",ROUND(M2118-U2118,2))</f>
        <v/>
      </c>
      <c r="W2118" s="5" t="n"/>
      <c r="X2118" s="5" t="inlineStr">
        <is>
          <t>Labour + plant + material as published; reconciles to the published rate.</t>
        </is>
      </c>
    </row>
    <row r="2119" ht="13" customHeight="1">
      <c r="A2119" s="4" t="n">
        <v>3198</v>
      </c>
      <c r="B2119" s="5" t="inlineStr">
        <is>
          <t>IMG_0108</t>
        </is>
      </c>
      <c r="C2119" s="5" t="inlineStr">
        <is>
          <t>CLASS K: PIPEWORK - MANHOLES AND PIPEWORK ANCILLARIES</t>
        </is>
      </c>
      <c r="D2119" s="5" t="inlineStr">
        <is>
          <t>05 DUCTS AND METAL CULVERTS</t>
        </is>
      </c>
      <c r="E2119" s="5" t="inlineStr">
        <is>
          <t>Sectional corrugated metal culverts, nominal internal dia. exceeding 1.5 m; 1600 mm nominal internal dia., 1.6 mm thick</t>
        </is>
      </c>
      <c r="F2119" s="5" t="inlineStr">
        <is>
          <t>in trenches, depth 2.5-3 m</t>
        </is>
      </c>
      <c r="G2119" s="6" t="inlineStr">
        <is>
          <t>m</t>
        </is>
      </c>
      <c r="H2119" s="7" t="n">
        <v>0.68</v>
      </c>
      <c r="I2119" s="8" t="n">
        <v>83.12</v>
      </c>
      <c r="J2119" s="8" t="n">
        <v>63.54</v>
      </c>
      <c r="K2119" s="8" t="n">
        <v>294.86</v>
      </c>
      <c r="L2119" s="8" t="n">
        <v>0</v>
      </c>
      <c r="M2119" s="9">
        <f>ROUND(SUM(I2119:L2119),2)</f>
        <v/>
      </c>
      <c r="N2119" s="10">
        <f>ROUND(I2119*'Irish Basis'!$C$6*'Irish Basis'!$C$5,2)</f>
        <v/>
      </c>
      <c r="O2119" s="10">
        <f>ROUND(J2119*'Irish Basis'!$C$7*'Irish Basis'!$C$5,2)</f>
        <v/>
      </c>
      <c r="P2119" s="10">
        <f>ROUND(K2119*'Irish Basis'!$C$8*'Irish Basis'!$C$5,2)</f>
        <v/>
      </c>
      <c r="Q2119" s="10">
        <f>ROUND(L2119*'Irish Basis'!$C$12*'Irish Basis'!$C$5,2)</f>
        <v/>
      </c>
      <c r="R2119" s="11">
        <f>ROUND(SUM(N2119:Q2119),2)</f>
        <v/>
      </c>
      <c r="S2119" s="5" t="inlineStr">
        <is>
          <t>Stated build-up</t>
        </is>
      </c>
      <c r="T2119" s="12" t="inlineStr">
        <is>
          <t>High</t>
        </is>
      </c>
      <c r="U2119" s="8" t="n">
        <v>441.52</v>
      </c>
      <c r="V2119" s="13">
        <f>IF(U2119="","",ROUND(M2119-U2119,2))</f>
        <v/>
      </c>
      <c r="W2119" s="5" t="n"/>
      <c r="X2119" s="5" t="inlineStr">
        <is>
          <t>Labour + plant + material as published; reconciles to the published rate.</t>
        </is>
      </c>
    </row>
    <row r="2120" ht="13" customHeight="1">
      <c r="A2120" s="4" t="n">
        <v>3199</v>
      </c>
      <c r="B2120" s="5" t="inlineStr">
        <is>
          <t>IMG_0108</t>
        </is>
      </c>
      <c r="C2120" s="5" t="inlineStr">
        <is>
          <t>CLASS K: PIPEWORK - MANHOLES AND PIPEWORK ANCILLARIES</t>
        </is>
      </c>
      <c r="D2120" s="5" t="inlineStr">
        <is>
          <t>05 DUCTS AND METAL CULVERTS</t>
        </is>
      </c>
      <c r="E2120" s="5" t="inlineStr">
        <is>
          <t>Sectional corrugated metal culverts, nominal internal dia. exceeding 1.5 m; 1600 mm nominal internal dia., 1.6 mm thick</t>
        </is>
      </c>
      <c r="F2120" s="5" t="inlineStr">
        <is>
          <t>in trenches, depth 3-3.5 m</t>
        </is>
      </c>
      <c r="G2120" s="6" t="inlineStr">
        <is>
          <t>m</t>
        </is>
      </c>
      <c r="H2120" s="7" t="n">
        <v>0.82</v>
      </c>
      <c r="I2120" s="8" t="n">
        <v>100.23</v>
      </c>
      <c r="J2120" s="8" t="n">
        <v>76.65000000000001</v>
      </c>
      <c r="K2120" s="8" t="n">
        <v>294.86</v>
      </c>
      <c r="L2120" s="8" t="n">
        <v>0</v>
      </c>
      <c r="M2120" s="9">
        <f>ROUND(SUM(I2120:L2120),2)</f>
        <v/>
      </c>
      <c r="N2120" s="10">
        <f>ROUND(I2120*'Irish Basis'!$C$6*'Irish Basis'!$C$5,2)</f>
        <v/>
      </c>
      <c r="O2120" s="10">
        <f>ROUND(J2120*'Irish Basis'!$C$7*'Irish Basis'!$C$5,2)</f>
        <v/>
      </c>
      <c r="P2120" s="10">
        <f>ROUND(K2120*'Irish Basis'!$C$8*'Irish Basis'!$C$5,2)</f>
        <v/>
      </c>
      <c r="Q2120" s="10">
        <f>ROUND(L2120*'Irish Basis'!$C$12*'Irish Basis'!$C$5,2)</f>
        <v/>
      </c>
      <c r="R2120" s="11">
        <f>ROUND(SUM(N2120:Q2120),2)</f>
        <v/>
      </c>
      <c r="S2120" s="5" t="inlineStr">
        <is>
          <t>Stated build-up</t>
        </is>
      </c>
      <c r="T2120" s="12" t="inlineStr">
        <is>
          <t>High</t>
        </is>
      </c>
      <c r="U2120" s="8" t="n">
        <v>471.74</v>
      </c>
      <c r="V2120" s="13">
        <f>IF(U2120="","",ROUND(M2120-U2120,2))</f>
        <v/>
      </c>
      <c r="W2120" s="5" t="n"/>
      <c r="X2120" s="5" t="inlineStr">
        <is>
          <t>Labour + plant + material as published; reconciles to the published rate.</t>
        </is>
      </c>
    </row>
    <row r="2121" ht="13" customHeight="1">
      <c r="A2121" s="4" t="n">
        <v>3201</v>
      </c>
      <c r="B2121" s="5" t="inlineStr">
        <is>
          <t>IMG_0108</t>
        </is>
      </c>
      <c r="C2121" s="5" t="inlineStr">
        <is>
          <t>CLASS K: PIPEWORK - MANHOLES AND PIPEWORK ANCILLARIES</t>
        </is>
      </c>
      <c r="D2121" s="5" t="inlineStr">
        <is>
          <t>05 DUCTS AND METAL CULVERTS</t>
        </is>
      </c>
      <c r="E2121" s="5" t="inlineStr">
        <is>
          <t>Sectional corrugated metal culverts, nominal internal dia. exceeding 1.5 m; 2000 mm nominal internal dia., 1.6 mm thick</t>
        </is>
      </c>
      <c r="F2121" s="5" t="inlineStr">
        <is>
          <t>not in trenches</t>
        </is>
      </c>
      <c r="G2121" s="6" t="inlineStr">
        <is>
          <t>m</t>
        </is>
      </c>
      <c r="H2121" s="7" t="n">
        <v>0.26</v>
      </c>
      <c r="I2121" s="8" t="n">
        <v>31.78</v>
      </c>
      <c r="J2121" s="8" t="n">
        <v>2.7</v>
      </c>
      <c r="K2121" s="8" t="n">
        <v>624.1900000000001</v>
      </c>
      <c r="L2121" s="8" t="n">
        <v>0</v>
      </c>
      <c r="M2121" s="9">
        <f>ROUND(SUM(I2121:L2121),2)</f>
        <v/>
      </c>
      <c r="N2121" s="10">
        <f>ROUND(I2121*'Irish Basis'!$C$6*'Irish Basis'!$C$5,2)</f>
        <v/>
      </c>
      <c r="O2121" s="10">
        <f>ROUND(J2121*'Irish Basis'!$C$7*'Irish Basis'!$C$5,2)</f>
        <v/>
      </c>
      <c r="P2121" s="10">
        <f>ROUND(K2121*'Irish Basis'!$C$8*'Irish Basis'!$C$5,2)</f>
        <v/>
      </c>
      <c r="Q2121" s="10">
        <f>ROUND(L2121*'Irish Basis'!$C$12*'Irish Basis'!$C$5,2)</f>
        <v/>
      </c>
      <c r="R2121" s="11">
        <f>ROUND(SUM(N2121:Q2121),2)</f>
        <v/>
      </c>
      <c r="S2121" s="5" t="inlineStr">
        <is>
          <t>Stated build-up</t>
        </is>
      </c>
      <c r="T2121" s="12" t="inlineStr">
        <is>
          <t>High</t>
        </is>
      </c>
      <c r="U2121" s="8" t="n">
        <v>658.66</v>
      </c>
      <c r="V2121" s="13">
        <f>IF(U2121="","",ROUND(M2121-U2121,2))</f>
        <v/>
      </c>
      <c r="W2121" s="5" t="n"/>
      <c r="X2121" s="5" t="inlineStr">
        <is>
          <t>Labour + plant + material as published; reconciles to the published rate.</t>
        </is>
      </c>
    </row>
    <row r="2122" ht="13" customHeight="1">
      <c r="A2122" s="4" t="n">
        <v>3202</v>
      </c>
      <c r="B2122" s="5" t="inlineStr">
        <is>
          <t>IMG_0108</t>
        </is>
      </c>
      <c r="C2122" s="5" t="inlineStr">
        <is>
          <t>CLASS K: PIPEWORK - MANHOLES AND PIPEWORK ANCILLARIES</t>
        </is>
      </c>
      <c r="D2122" s="5" t="inlineStr">
        <is>
          <t>05 DUCTS AND METAL CULVERTS</t>
        </is>
      </c>
      <c r="E2122" s="5" t="inlineStr">
        <is>
          <t>Sectional corrugated metal culverts, nominal internal dia. exceeding 1.5 m; 2000 mm nominal internal dia., 1.6 mm thick</t>
        </is>
      </c>
      <c r="F2122" s="5" t="inlineStr">
        <is>
          <t>in trenches, depth 2-2.5 m</t>
        </is>
      </c>
      <c r="G2122" s="6" t="inlineStr">
        <is>
          <t>m</t>
        </is>
      </c>
      <c r="H2122" s="7" t="n">
        <v>0.46</v>
      </c>
      <c r="I2122" s="8" t="n">
        <v>56.23</v>
      </c>
      <c r="J2122" s="8" t="n">
        <v>43.01</v>
      </c>
      <c r="K2122" s="8" t="n">
        <v>624.1900000000001</v>
      </c>
      <c r="L2122" s="8" t="n">
        <v>0</v>
      </c>
      <c r="M2122" s="9">
        <f>ROUND(SUM(I2122:L2122),2)</f>
        <v/>
      </c>
      <c r="N2122" s="10">
        <f>ROUND(I2122*'Irish Basis'!$C$6*'Irish Basis'!$C$5,2)</f>
        <v/>
      </c>
      <c r="O2122" s="10">
        <f>ROUND(J2122*'Irish Basis'!$C$7*'Irish Basis'!$C$5,2)</f>
        <v/>
      </c>
      <c r="P2122" s="10">
        <f>ROUND(K2122*'Irish Basis'!$C$8*'Irish Basis'!$C$5,2)</f>
        <v/>
      </c>
      <c r="Q2122" s="10">
        <f>ROUND(L2122*'Irish Basis'!$C$12*'Irish Basis'!$C$5,2)</f>
        <v/>
      </c>
      <c r="R2122" s="11">
        <f>ROUND(SUM(N2122:Q2122),2)</f>
        <v/>
      </c>
      <c r="S2122" s="5" t="inlineStr">
        <is>
          <t>Stated build-up</t>
        </is>
      </c>
      <c r="T2122" s="12" t="inlineStr">
        <is>
          <t>High</t>
        </is>
      </c>
      <c r="U2122" s="8" t="n">
        <v>723.42</v>
      </c>
      <c r="V2122" s="13">
        <f>IF(U2122="","",ROUND(M2122-U2122,2))</f>
        <v/>
      </c>
      <c r="W2122" s="5" t="n"/>
      <c r="X2122" s="5" t="inlineStr">
        <is>
          <t>Labour + plant + material as published; reconciles to the published rate.</t>
        </is>
      </c>
    </row>
    <row r="2123" ht="13" customHeight="1">
      <c r="A2123" s="4" t="n">
        <v>3203</v>
      </c>
      <c r="B2123" s="5" t="inlineStr">
        <is>
          <t>IMG_0108</t>
        </is>
      </c>
      <c r="C2123" s="5" t="inlineStr">
        <is>
          <t>CLASS K: PIPEWORK - MANHOLES AND PIPEWORK ANCILLARIES</t>
        </is>
      </c>
      <c r="D2123" s="5" t="inlineStr">
        <is>
          <t>05 DUCTS AND METAL CULVERTS</t>
        </is>
      </c>
      <c r="E2123" s="5" t="inlineStr">
        <is>
          <t>Sectional corrugated metal culverts, nominal internal dia. exceeding 1.5 m; 2000 mm nominal internal dia., 1.6 mm thick</t>
        </is>
      </c>
      <c r="F2123" s="5" t="inlineStr">
        <is>
          <t>in trenches, depth 2.5-3 m</t>
        </is>
      </c>
      <c r="G2123" s="6" t="inlineStr">
        <is>
          <t>m</t>
        </is>
      </c>
      <c r="H2123" s="7" t="n">
        <v>0.6</v>
      </c>
      <c r="I2123" s="8" t="n">
        <v>73.34</v>
      </c>
      <c r="J2123" s="8" t="n">
        <v>56.06</v>
      </c>
      <c r="K2123" s="8" t="n">
        <v>624.1900000000001</v>
      </c>
      <c r="L2123" s="8" t="n">
        <v>0</v>
      </c>
      <c r="M2123" s="9">
        <f>ROUND(SUM(I2123:L2123),2)</f>
        <v/>
      </c>
      <c r="N2123" s="10">
        <f>ROUND(I2123*'Irish Basis'!$C$6*'Irish Basis'!$C$5,2)</f>
        <v/>
      </c>
      <c r="O2123" s="10">
        <f>ROUND(J2123*'Irish Basis'!$C$7*'Irish Basis'!$C$5,2)</f>
        <v/>
      </c>
      <c r="P2123" s="10">
        <f>ROUND(K2123*'Irish Basis'!$C$8*'Irish Basis'!$C$5,2)</f>
        <v/>
      </c>
      <c r="Q2123" s="10">
        <f>ROUND(L2123*'Irish Basis'!$C$12*'Irish Basis'!$C$5,2)</f>
        <v/>
      </c>
      <c r="R2123" s="11">
        <f>ROUND(SUM(N2123:Q2123),2)</f>
        <v/>
      </c>
      <c r="S2123" s="5" t="inlineStr">
        <is>
          <t>Stated build-up</t>
        </is>
      </c>
      <c r="T2123" s="12" t="inlineStr">
        <is>
          <t>High</t>
        </is>
      </c>
      <c r="U2123" s="8" t="n">
        <v>753.59</v>
      </c>
      <c r="V2123" s="13">
        <f>IF(U2123="","",ROUND(M2123-U2123,2))</f>
        <v/>
      </c>
      <c r="W2123" s="5" t="n"/>
      <c r="X2123" s="5" t="inlineStr">
        <is>
          <t>Labour + plant + material as published; reconciles to the published rate.</t>
        </is>
      </c>
    </row>
    <row r="2124" ht="13" customHeight="1">
      <c r="A2124" s="4" t="n">
        <v>3204</v>
      </c>
      <c r="B2124" s="5" t="inlineStr">
        <is>
          <t>IMG_0108</t>
        </is>
      </c>
      <c r="C2124" s="5" t="inlineStr">
        <is>
          <t>CLASS K: PIPEWORK - MANHOLES AND PIPEWORK ANCILLARIES</t>
        </is>
      </c>
      <c r="D2124" s="5" t="inlineStr">
        <is>
          <t>05 DUCTS AND METAL CULVERTS</t>
        </is>
      </c>
      <c r="E2124" s="5" t="inlineStr">
        <is>
          <t>Sectional corrugated metal culverts, nominal internal dia. exceeding 1.5 m; 2000 mm nominal internal dia., 1.6 mm thick</t>
        </is>
      </c>
      <c r="F2124" s="5" t="inlineStr">
        <is>
          <t>in trenches, depth 3-3.5 m</t>
        </is>
      </c>
      <c r="G2124" s="6" t="inlineStr">
        <is>
          <t>m</t>
        </is>
      </c>
      <c r="H2124" s="7" t="n">
        <v>0.75</v>
      </c>
      <c r="I2124" s="8" t="n">
        <v>91.67</v>
      </c>
      <c r="J2124" s="8" t="n">
        <v>70.06</v>
      </c>
      <c r="K2124" s="8" t="n">
        <v>624.1900000000001</v>
      </c>
      <c r="L2124" s="8" t="n">
        <v>0</v>
      </c>
      <c r="M2124" s="9">
        <f>ROUND(SUM(I2124:L2124),2)</f>
        <v/>
      </c>
      <c r="N2124" s="10">
        <f>ROUND(I2124*'Irish Basis'!$C$6*'Irish Basis'!$C$5,2)</f>
        <v/>
      </c>
      <c r="O2124" s="10">
        <f>ROUND(J2124*'Irish Basis'!$C$7*'Irish Basis'!$C$5,2)</f>
        <v/>
      </c>
      <c r="P2124" s="10">
        <f>ROUND(K2124*'Irish Basis'!$C$8*'Irish Basis'!$C$5,2)</f>
        <v/>
      </c>
      <c r="Q2124" s="10">
        <f>ROUND(L2124*'Irish Basis'!$C$12*'Irish Basis'!$C$5,2)</f>
        <v/>
      </c>
      <c r="R2124" s="11">
        <f>ROUND(SUM(N2124:Q2124),2)</f>
        <v/>
      </c>
      <c r="S2124" s="5" t="inlineStr">
        <is>
          <t>Stated build-up</t>
        </is>
      </c>
      <c r="T2124" s="12" t="inlineStr">
        <is>
          <t>High</t>
        </is>
      </c>
      <c r="U2124" s="8" t="n">
        <v>785.92</v>
      </c>
      <c r="V2124" s="13">
        <f>IF(U2124="","",ROUND(M2124-U2124,2))</f>
        <v/>
      </c>
      <c r="W2124" s="5" t="n"/>
      <c r="X2124" s="5" t="inlineStr">
        <is>
          <t>Labour + plant + material as published; reconciles to the published rate.</t>
        </is>
      </c>
    </row>
    <row r="2125" ht="13" customHeight="1">
      <c r="A2125" s="4" t="n">
        <v>3205</v>
      </c>
      <c r="B2125" s="5" t="inlineStr">
        <is>
          <t>IMG_0108</t>
        </is>
      </c>
      <c r="C2125" s="5" t="inlineStr">
        <is>
          <t>CLASS K: PIPEWORK - MANHOLES AND PIPEWORK ANCILLARIES</t>
        </is>
      </c>
      <c r="D2125" s="5" t="inlineStr">
        <is>
          <t>05 DUCTS AND METAL CULVERTS</t>
        </is>
      </c>
      <c r="E2125" s="5" t="inlineStr">
        <is>
          <t>Sectional corrugated metal culverts, nominal internal dia. exceeding 1.5 m; 2000 mm nominal internal dia., 1.6 mm thick</t>
        </is>
      </c>
      <c r="F2125" s="5" t="inlineStr">
        <is>
          <t>in trenches, depth 3.5-4 m</t>
        </is>
      </c>
      <c r="G2125" s="6" t="inlineStr">
        <is>
          <t>m</t>
        </is>
      </c>
      <c r="H2125" s="7" t="n">
        <v>0.93</v>
      </c>
      <c r="I2125" s="8" t="n">
        <v>113.67</v>
      </c>
      <c r="J2125" s="8" t="n">
        <v>86.91</v>
      </c>
      <c r="K2125" s="8" t="n">
        <v>624.1900000000001</v>
      </c>
      <c r="L2125" s="8" t="n">
        <v>0</v>
      </c>
      <c r="M2125" s="9">
        <f>ROUND(SUM(I2125:L2125),2)</f>
        <v/>
      </c>
      <c r="N2125" s="10">
        <f>ROUND(I2125*'Irish Basis'!$C$6*'Irish Basis'!$C$5,2)</f>
        <v/>
      </c>
      <c r="O2125" s="10">
        <f>ROUND(J2125*'Irish Basis'!$C$7*'Irish Basis'!$C$5,2)</f>
        <v/>
      </c>
      <c r="P2125" s="10">
        <f>ROUND(K2125*'Irish Basis'!$C$8*'Irish Basis'!$C$5,2)</f>
        <v/>
      </c>
      <c r="Q2125" s="10">
        <f>ROUND(L2125*'Irish Basis'!$C$12*'Irish Basis'!$C$5,2)</f>
        <v/>
      </c>
      <c r="R2125" s="11">
        <f>ROUND(SUM(N2125:Q2125),2)</f>
        <v/>
      </c>
      <c r="S2125" s="5" t="inlineStr">
        <is>
          <t>Stated build-up</t>
        </is>
      </c>
      <c r="T2125" s="12" t="inlineStr">
        <is>
          <t>High</t>
        </is>
      </c>
      <c r="U2125" s="8" t="n">
        <v>824.77</v>
      </c>
      <c r="V2125" s="13">
        <f>IF(U2125="","",ROUND(M2125-U2125,2))</f>
        <v/>
      </c>
      <c r="W2125" s="5" t="n"/>
      <c r="X2125" s="5" t="inlineStr">
        <is>
          <t>Labour + plant + material as published; reconciles to the published rate.</t>
        </is>
      </c>
    </row>
    <row r="2126" ht="13" customHeight="1">
      <c r="A2126" s="4" t="n">
        <v>3207</v>
      </c>
      <c r="B2126" s="5" t="inlineStr">
        <is>
          <t>IMG_0108</t>
        </is>
      </c>
      <c r="C2126" s="5" t="inlineStr">
        <is>
          <t>CLASS K: PIPEWORK - MANHOLES AND PIPEWORK ANCILLARIES</t>
        </is>
      </c>
      <c r="D2126" s="5" t="inlineStr">
        <is>
          <t>05 DUCTS AND METAL CULVERTS</t>
        </is>
      </c>
      <c r="E2126" s="5" t="inlineStr">
        <is>
          <t>Sectional corrugated metal culverts, nominal internal dia. exceeding 1.5 m; 2200 mm nominal internal dia., 1.6 mm thick</t>
        </is>
      </c>
      <c r="F2126" s="5" t="inlineStr">
        <is>
          <t>not in trenches</t>
        </is>
      </c>
      <c r="G2126" s="6" t="inlineStr">
        <is>
          <t>m</t>
        </is>
      </c>
      <c r="H2126" s="7" t="n">
        <v>0.33</v>
      </c>
      <c r="I2126" s="8" t="n">
        <v>40.34</v>
      </c>
      <c r="J2126" s="8" t="n">
        <v>3.41</v>
      </c>
      <c r="K2126" s="8" t="n">
        <v>703.25</v>
      </c>
      <c r="L2126" s="8" t="n">
        <v>0</v>
      </c>
      <c r="M2126" s="9">
        <f>ROUND(SUM(I2126:L2126),2)</f>
        <v/>
      </c>
      <c r="N2126" s="10">
        <f>ROUND(I2126*'Irish Basis'!$C$6*'Irish Basis'!$C$5,2)</f>
        <v/>
      </c>
      <c r="O2126" s="10">
        <f>ROUND(J2126*'Irish Basis'!$C$7*'Irish Basis'!$C$5,2)</f>
        <v/>
      </c>
      <c r="P2126" s="10">
        <f>ROUND(K2126*'Irish Basis'!$C$8*'Irish Basis'!$C$5,2)</f>
        <v/>
      </c>
      <c r="Q2126" s="10">
        <f>ROUND(L2126*'Irish Basis'!$C$12*'Irish Basis'!$C$5,2)</f>
        <v/>
      </c>
      <c r="R2126" s="11">
        <f>ROUND(SUM(N2126:Q2126),2)</f>
        <v/>
      </c>
      <c r="S2126" s="5" t="inlineStr">
        <is>
          <t>Stated build-up</t>
        </is>
      </c>
      <c r="T2126" s="12" t="inlineStr">
        <is>
          <t>High</t>
        </is>
      </c>
      <c r="U2126" s="8" t="n">
        <v>747</v>
      </c>
      <c r="V2126" s="13">
        <f>IF(U2126="","",ROUND(M2126-U2126,2))</f>
        <v/>
      </c>
      <c r="W2126" s="5" t="n"/>
      <c r="X2126" s="5" t="inlineStr">
        <is>
          <t>Labour + plant + material as published; reconciles to the published rate.</t>
        </is>
      </c>
    </row>
    <row r="2127" ht="13" customHeight="1">
      <c r="A2127" s="4" t="n">
        <v>3208</v>
      </c>
      <c r="B2127" s="5" t="inlineStr">
        <is>
          <t>IMG_0108</t>
        </is>
      </c>
      <c r="C2127" s="5" t="inlineStr">
        <is>
          <t>CLASS K: PIPEWORK - MANHOLES AND PIPEWORK ANCILLARIES</t>
        </is>
      </c>
      <c r="D2127" s="5" t="inlineStr">
        <is>
          <t>05 DUCTS AND METAL CULVERTS</t>
        </is>
      </c>
      <c r="E2127" s="5" t="inlineStr">
        <is>
          <t>Sectional corrugated metal culverts, nominal internal dia. exceeding 1.5 m; 2200 mm nominal internal dia., 1.6 mm thick</t>
        </is>
      </c>
      <c r="F2127" s="5" t="inlineStr">
        <is>
          <t>in trenches, depth 2.5-3 m</t>
        </is>
      </c>
      <c r="G2127" s="6" t="inlineStr">
        <is>
          <t>m</t>
        </is>
      </c>
      <c r="H2127" s="7" t="n">
        <v>0.64</v>
      </c>
      <c r="I2127" s="8" t="n">
        <v>78.23</v>
      </c>
      <c r="J2127" s="8" t="n">
        <v>59.8</v>
      </c>
      <c r="K2127" s="8" t="n">
        <v>703.25</v>
      </c>
      <c r="L2127" s="8" t="n">
        <v>0</v>
      </c>
      <c r="M2127" s="9">
        <f>ROUND(SUM(I2127:L2127),2)</f>
        <v/>
      </c>
      <c r="N2127" s="10">
        <f>ROUND(I2127*'Irish Basis'!$C$6*'Irish Basis'!$C$5,2)</f>
        <v/>
      </c>
      <c r="O2127" s="10">
        <f>ROUND(J2127*'Irish Basis'!$C$7*'Irish Basis'!$C$5,2)</f>
        <v/>
      </c>
      <c r="P2127" s="10">
        <f>ROUND(K2127*'Irish Basis'!$C$8*'Irish Basis'!$C$5,2)</f>
        <v/>
      </c>
      <c r="Q2127" s="10">
        <f>ROUND(L2127*'Irish Basis'!$C$12*'Irish Basis'!$C$5,2)</f>
        <v/>
      </c>
      <c r="R2127" s="11">
        <f>ROUND(SUM(N2127:Q2127),2)</f>
        <v/>
      </c>
      <c r="S2127" s="5" t="inlineStr">
        <is>
          <t>Stated build-up</t>
        </is>
      </c>
      <c r="T2127" s="12" t="inlineStr">
        <is>
          <t>High</t>
        </is>
      </c>
      <c r="U2127" s="8" t="n">
        <v>841.28</v>
      </c>
      <c r="V2127" s="13">
        <f>IF(U2127="","",ROUND(M2127-U2127,2))</f>
        <v/>
      </c>
      <c r="W2127" s="5" t="n"/>
      <c r="X2127" s="5" t="inlineStr">
        <is>
          <t>Labour + plant + material as published; reconciles to the published rate.</t>
        </is>
      </c>
    </row>
    <row r="2128" ht="13" customHeight="1">
      <c r="A2128" s="4" t="n">
        <v>3209</v>
      </c>
      <c r="B2128" s="5" t="inlineStr">
        <is>
          <t>IMG_0108</t>
        </is>
      </c>
      <c r="C2128" s="5" t="inlineStr">
        <is>
          <t>CLASS K: PIPEWORK - MANHOLES AND PIPEWORK ANCILLARIES</t>
        </is>
      </c>
      <c r="D2128" s="5" t="inlineStr">
        <is>
          <t>05 DUCTS AND METAL CULVERTS</t>
        </is>
      </c>
      <c r="E2128" s="5" t="inlineStr">
        <is>
          <t>Sectional corrugated metal culverts, nominal internal dia. exceeding 1.5 m; 2200 mm nominal internal dia., 1.6 mm thick</t>
        </is>
      </c>
      <c r="F2128" s="5" t="inlineStr">
        <is>
          <t>in trenches, depth 3-3.5 m</t>
        </is>
      </c>
      <c r="G2128" s="6" t="inlineStr">
        <is>
          <t>m</t>
        </is>
      </c>
      <c r="H2128" s="7" t="n">
        <v>0.77</v>
      </c>
      <c r="I2128" s="8" t="n">
        <v>94.12</v>
      </c>
      <c r="J2128" s="8" t="n">
        <v>71.95999999999999</v>
      </c>
      <c r="K2128" s="8" t="n">
        <v>703.25</v>
      </c>
      <c r="L2128" s="8" t="n">
        <v>0</v>
      </c>
      <c r="M2128" s="9">
        <f>ROUND(SUM(I2128:L2128),2)</f>
        <v/>
      </c>
      <c r="N2128" s="10">
        <f>ROUND(I2128*'Irish Basis'!$C$6*'Irish Basis'!$C$5,2)</f>
        <v/>
      </c>
      <c r="O2128" s="10">
        <f>ROUND(J2128*'Irish Basis'!$C$7*'Irish Basis'!$C$5,2)</f>
        <v/>
      </c>
      <c r="P2128" s="10">
        <f>ROUND(K2128*'Irish Basis'!$C$8*'Irish Basis'!$C$5,2)</f>
        <v/>
      </c>
      <c r="Q2128" s="10">
        <f>ROUND(L2128*'Irish Basis'!$C$12*'Irish Basis'!$C$5,2)</f>
        <v/>
      </c>
      <c r="R2128" s="11">
        <f>ROUND(SUM(N2128:Q2128),2)</f>
        <v/>
      </c>
      <c r="S2128" s="5" t="inlineStr">
        <is>
          <t>Stated build-up</t>
        </is>
      </c>
      <c r="T2128" s="12" t="inlineStr">
        <is>
          <t>High</t>
        </is>
      </c>
      <c r="U2128" s="8" t="n">
        <v>869.33</v>
      </c>
      <c r="V2128" s="13">
        <f>IF(U2128="","",ROUND(M2128-U2128,2))</f>
        <v/>
      </c>
      <c r="W2128" s="5" t="n"/>
      <c r="X2128" s="5" t="inlineStr">
        <is>
          <t>Labour + plant + material as published; reconciles to the published rate.</t>
        </is>
      </c>
    </row>
    <row r="2129" ht="13" customHeight="1">
      <c r="A2129" s="4" t="n">
        <v>3210</v>
      </c>
      <c r="B2129" s="5" t="inlineStr">
        <is>
          <t>IMG_0108</t>
        </is>
      </c>
      <c r="C2129" s="5" t="inlineStr">
        <is>
          <t>CLASS K: PIPEWORK - MANHOLES AND PIPEWORK ANCILLARIES</t>
        </is>
      </c>
      <c r="D2129" s="5" t="inlineStr">
        <is>
          <t>05 DUCTS AND METAL CULVERTS</t>
        </is>
      </c>
      <c r="E2129" s="5" t="inlineStr">
        <is>
          <t>Sectional corrugated metal culverts, nominal internal dia. exceeding 1.5 m; 2200 mm nominal internal dia., 1.6 mm thick</t>
        </is>
      </c>
      <c r="F2129" s="5" t="inlineStr">
        <is>
          <t>in trenches, depth 3.5-4 m</t>
        </is>
      </c>
      <c r="G2129" s="6" t="inlineStr">
        <is>
          <t>m</t>
        </is>
      </c>
      <c r="H2129" s="7" t="n">
        <v>1.02</v>
      </c>
      <c r="I2129" s="8" t="n">
        <v>124.67</v>
      </c>
      <c r="J2129" s="8" t="n">
        <v>95.33</v>
      </c>
      <c r="K2129" s="8" t="n">
        <v>703.25</v>
      </c>
      <c r="L2129" s="8" t="n">
        <v>0</v>
      </c>
      <c r="M2129" s="9">
        <f>ROUND(SUM(I2129:L2129),2)</f>
        <v/>
      </c>
      <c r="N2129" s="10">
        <f>ROUND(I2129*'Irish Basis'!$C$6*'Irish Basis'!$C$5,2)</f>
        <v/>
      </c>
      <c r="O2129" s="10">
        <f>ROUND(J2129*'Irish Basis'!$C$7*'Irish Basis'!$C$5,2)</f>
        <v/>
      </c>
      <c r="P2129" s="10">
        <f>ROUND(K2129*'Irish Basis'!$C$8*'Irish Basis'!$C$5,2)</f>
        <v/>
      </c>
      <c r="Q2129" s="10">
        <f>ROUND(L2129*'Irish Basis'!$C$12*'Irish Basis'!$C$5,2)</f>
        <v/>
      </c>
      <c r="R2129" s="11">
        <f>ROUND(SUM(N2129:Q2129),2)</f>
        <v/>
      </c>
      <c r="S2129" s="5" t="inlineStr">
        <is>
          <t>Stated build-up</t>
        </is>
      </c>
      <c r="T2129" s="12" t="inlineStr">
        <is>
          <t>High</t>
        </is>
      </c>
      <c r="U2129" s="8" t="n">
        <v>923.26</v>
      </c>
      <c r="V2129" s="13">
        <f>IF(U2129="","",ROUND(M2129-U2129,2))</f>
        <v/>
      </c>
      <c r="W2129" s="5" t="n"/>
      <c r="X2129" s="5" t="inlineStr">
        <is>
          <t>Labour + plant + material as published; reconciles to the published rate.</t>
        </is>
      </c>
    </row>
    <row r="2130" ht="13" customHeight="1">
      <c r="A2130" s="4" t="n">
        <v>3211</v>
      </c>
      <c r="B2130" s="5" t="inlineStr">
        <is>
          <t>IMG_0108</t>
        </is>
      </c>
      <c r="C2130" s="5" t="inlineStr">
        <is>
          <t>CLASS K: PIPEWORK - MANHOLES AND PIPEWORK ANCILLARIES</t>
        </is>
      </c>
      <c r="D2130" s="5" t="inlineStr">
        <is>
          <t>05 DUCTS AND METAL CULVERTS</t>
        </is>
      </c>
      <c r="E2130" s="5" t="inlineStr">
        <is>
          <t>Sectional corrugated metal culverts, nominal internal dia. exceeding 1.5 m; 2200 mm nominal internal dia., 1.6 mm thick</t>
        </is>
      </c>
      <c r="F2130" s="5" t="inlineStr">
        <is>
          <t>in trenches, depth exceeding 4 m</t>
        </is>
      </c>
      <c r="G2130" s="6" t="inlineStr">
        <is>
          <t>m</t>
        </is>
      </c>
      <c r="H2130" s="7" t="n">
        <v>1.32</v>
      </c>
      <c r="I2130" s="8" t="n">
        <v>161.34</v>
      </c>
      <c r="J2130" s="8" t="n">
        <v>123.34</v>
      </c>
      <c r="K2130" s="8" t="n">
        <v>703.25</v>
      </c>
      <c r="L2130" s="8" t="n">
        <v>0</v>
      </c>
      <c r="M2130" s="9">
        <f>ROUND(SUM(I2130:L2130),2)</f>
        <v/>
      </c>
      <c r="N2130" s="10">
        <f>ROUND(I2130*'Irish Basis'!$C$6*'Irish Basis'!$C$5,2)</f>
        <v/>
      </c>
      <c r="O2130" s="10">
        <f>ROUND(J2130*'Irish Basis'!$C$7*'Irish Basis'!$C$5,2)</f>
        <v/>
      </c>
      <c r="P2130" s="10">
        <f>ROUND(K2130*'Irish Basis'!$C$8*'Irish Basis'!$C$5,2)</f>
        <v/>
      </c>
      <c r="Q2130" s="10">
        <f>ROUND(L2130*'Irish Basis'!$C$12*'Irish Basis'!$C$5,2)</f>
        <v/>
      </c>
      <c r="R2130" s="11">
        <f>ROUND(SUM(N2130:Q2130),2)</f>
        <v/>
      </c>
      <c r="S2130" s="5" t="inlineStr">
        <is>
          <t>Stated build-up</t>
        </is>
      </c>
      <c r="T2130" s="12" t="inlineStr">
        <is>
          <t>High</t>
        </is>
      </c>
      <c r="U2130" s="8" t="n">
        <v>987.9299999999999</v>
      </c>
      <c r="V2130" s="13">
        <f>IF(U2130="","",ROUND(M2130-U2130,2))</f>
        <v/>
      </c>
      <c r="W2130" s="5" t="n"/>
      <c r="X2130" s="5" t="inlineStr">
        <is>
          <t>Labour + plant + material as published; reconciles to the published rate.</t>
        </is>
      </c>
    </row>
    <row r="2131" ht="13" customHeight="1">
      <c r="A2131" s="4" t="n">
        <v>3215</v>
      </c>
      <c r="B2131" s="5" t="inlineStr">
        <is>
          <t>IMG_0108</t>
        </is>
      </c>
      <c r="C2131" s="5" t="inlineStr">
        <is>
          <t>CLASS K: PIPEWORK - MANHOLES AND PIPEWORK ANCILLARIES</t>
        </is>
      </c>
      <c r="D2131" s="5" t="inlineStr">
        <is>
          <t>08 OTHER PIPEWORK ANCILLARIES</t>
        </is>
      </c>
      <c r="E2131" s="5" t="inlineStr">
        <is>
          <t>Build Ends in; Connections to existing manholes and other chambers, pipe bore</t>
        </is>
      </c>
      <c r="F2131" s="5" t="inlineStr">
        <is>
          <t>150 mm dia.</t>
        </is>
      </c>
      <c r="G2131" s="6" t="inlineStr">
        <is>
          <t>nr</t>
        </is>
      </c>
      <c r="H2131" s="7" t="n">
        <v>0.6</v>
      </c>
      <c r="I2131" s="8" t="n">
        <v>82.91</v>
      </c>
      <c r="J2131" s="8" t="n">
        <v>7.6</v>
      </c>
      <c r="K2131" s="8" t="n">
        <v>14.41</v>
      </c>
      <c r="L2131" s="8" t="n">
        <v>0</v>
      </c>
      <c r="M2131" s="9">
        <f>ROUND(SUM(I2131:L2131),2)</f>
        <v/>
      </c>
      <c r="N2131" s="10">
        <f>ROUND(I2131*'Irish Basis'!$C$6*'Irish Basis'!$C$5,2)</f>
        <v/>
      </c>
      <c r="O2131" s="10">
        <f>ROUND(J2131*'Irish Basis'!$C$7*'Irish Basis'!$C$5,2)</f>
        <v/>
      </c>
      <c r="P2131" s="10">
        <f>ROUND(K2131*'Irish Basis'!$C$8*'Irish Basis'!$C$5,2)</f>
        <v/>
      </c>
      <c r="Q2131" s="10">
        <f>ROUND(L2131*'Irish Basis'!$C$12*'Irish Basis'!$C$5,2)</f>
        <v/>
      </c>
      <c r="R2131" s="11">
        <f>ROUND(SUM(N2131:Q2131),2)</f>
        <v/>
      </c>
      <c r="S2131" s="5" t="inlineStr">
        <is>
          <t>Stated build-up</t>
        </is>
      </c>
      <c r="T2131" s="12" t="inlineStr">
        <is>
          <t>High</t>
        </is>
      </c>
      <c r="U2131" s="8" t="n">
        <v>104.92</v>
      </c>
      <c r="V2131" s="13">
        <f>IF(U2131="","",ROUND(M2131-U2131,2))</f>
        <v/>
      </c>
      <c r="W2131" s="5" t="n"/>
      <c r="X2131" s="5" t="inlineStr">
        <is>
          <t>Labour + plant + material as published; reconciles to the published rate.</t>
        </is>
      </c>
    </row>
    <row r="2132" ht="13" customHeight="1">
      <c r="A2132" s="4" t="n">
        <v>3216</v>
      </c>
      <c r="B2132" s="5" t="inlineStr">
        <is>
          <t>IMG_0108</t>
        </is>
      </c>
      <c r="C2132" s="5" t="inlineStr">
        <is>
          <t>CLASS K: PIPEWORK - MANHOLES AND PIPEWORK ANCILLARIES</t>
        </is>
      </c>
      <c r="D2132" s="5" t="inlineStr">
        <is>
          <t>08 OTHER PIPEWORK ANCILLARIES</t>
        </is>
      </c>
      <c r="E2132" s="5" t="inlineStr">
        <is>
          <t>Build Ends in; Connections to existing manholes and other chambers, pipe bore</t>
        </is>
      </c>
      <c r="F2132" s="5" t="inlineStr">
        <is>
          <t>225 mm dia.</t>
        </is>
      </c>
      <c r="G2132" s="6" t="inlineStr">
        <is>
          <t>nr</t>
        </is>
      </c>
      <c r="H2132" s="7" t="n">
        <v>0.95</v>
      </c>
      <c r="I2132" s="8" t="n">
        <v>131.27</v>
      </c>
      <c r="J2132" s="8" t="n">
        <v>12.02</v>
      </c>
      <c r="K2132" s="8" t="n">
        <v>26.81</v>
      </c>
      <c r="L2132" s="8" t="n">
        <v>0</v>
      </c>
      <c r="M2132" s="9">
        <f>ROUND(SUM(I2132:L2132),2)</f>
        <v/>
      </c>
      <c r="N2132" s="10">
        <f>ROUND(I2132*'Irish Basis'!$C$6*'Irish Basis'!$C$5,2)</f>
        <v/>
      </c>
      <c r="O2132" s="10">
        <f>ROUND(J2132*'Irish Basis'!$C$7*'Irish Basis'!$C$5,2)</f>
        <v/>
      </c>
      <c r="P2132" s="10">
        <f>ROUND(K2132*'Irish Basis'!$C$8*'Irish Basis'!$C$5,2)</f>
        <v/>
      </c>
      <c r="Q2132" s="10">
        <f>ROUND(L2132*'Irish Basis'!$C$12*'Irish Basis'!$C$5,2)</f>
        <v/>
      </c>
      <c r="R2132" s="11">
        <f>ROUND(SUM(N2132:Q2132),2)</f>
        <v/>
      </c>
      <c r="S2132" s="5" t="inlineStr">
        <is>
          <t>Stated build-up</t>
        </is>
      </c>
      <c r="T2132" s="12" t="inlineStr">
        <is>
          <t>High</t>
        </is>
      </c>
      <c r="U2132" s="8" t="n">
        <v>170.1</v>
      </c>
      <c r="V2132" s="13">
        <f>IF(U2132="","",ROUND(M2132-U2132,2))</f>
        <v/>
      </c>
      <c r="W2132" s="5" t="n"/>
      <c r="X2132" s="5" t="inlineStr">
        <is>
          <t>Labour + plant + material as published; reconciles to the published rate.</t>
        </is>
      </c>
    </row>
    <row r="2133" ht="13" customHeight="1">
      <c r="A2133" s="4" t="n">
        <v>3217</v>
      </c>
      <c r="B2133" s="5" t="inlineStr">
        <is>
          <t>IMG_0108</t>
        </is>
      </c>
      <c r="C2133" s="5" t="inlineStr">
        <is>
          <t>CLASS K: PIPEWORK - MANHOLES AND PIPEWORK ANCILLARIES</t>
        </is>
      </c>
      <c r="D2133" s="5" t="inlineStr">
        <is>
          <t>08 OTHER PIPEWORK ANCILLARIES</t>
        </is>
      </c>
      <c r="E2133" s="5" t="inlineStr">
        <is>
          <t>Build Ends in; Connections to existing manholes and other chambers, pipe bore</t>
        </is>
      </c>
      <c r="F2133" s="5" t="inlineStr">
        <is>
          <t>300 mm dia.</t>
        </is>
      </c>
      <c r="G2133" s="6" t="inlineStr">
        <is>
          <t>nr</t>
        </is>
      </c>
      <c r="H2133" s="7" t="n">
        <v>1.25</v>
      </c>
      <c r="I2133" s="8" t="n">
        <v>172.73</v>
      </c>
      <c r="J2133" s="8" t="n">
        <v>15.85</v>
      </c>
      <c r="K2133" s="8" t="n">
        <v>40.69</v>
      </c>
      <c r="L2133" s="8" t="n">
        <v>0</v>
      </c>
      <c r="M2133" s="9">
        <f>ROUND(SUM(I2133:L2133),2)</f>
        <v/>
      </c>
      <c r="N2133" s="10">
        <f>ROUND(I2133*'Irish Basis'!$C$6*'Irish Basis'!$C$5,2)</f>
        <v/>
      </c>
      <c r="O2133" s="10">
        <f>ROUND(J2133*'Irish Basis'!$C$7*'Irish Basis'!$C$5,2)</f>
        <v/>
      </c>
      <c r="P2133" s="10">
        <f>ROUND(K2133*'Irish Basis'!$C$8*'Irish Basis'!$C$5,2)</f>
        <v/>
      </c>
      <c r="Q2133" s="10">
        <f>ROUND(L2133*'Irish Basis'!$C$12*'Irish Basis'!$C$5,2)</f>
        <v/>
      </c>
      <c r="R2133" s="11">
        <f>ROUND(SUM(N2133:Q2133),2)</f>
        <v/>
      </c>
      <c r="S2133" s="5" t="inlineStr">
        <is>
          <t>Stated build-up</t>
        </is>
      </c>
      <c r="T2133" s="12" t="inlineStr">
        <is>
          <t>High</t>
        </is>
      </c>
      <c r="U2133" s="8" t="n">
        <v>229.26</v>
      </c>
      <c r="V2133" s="13">
        <f>IF(U2133="","",ROUND(M2133-U2133,2))</f>
        <v/>
      </c>
      <c r="W2133" s="5" t="n"/>
      <c r="X2133" s="5" t="inlineStr">
        <is>
          <t>Labour + plant + material as published; reconciles to the published rate.</t>
        </is>
      </c>
    </row>
    <row r="2134" ht="13" customHeight="1">
      <c r="A2134" s="4" t="n">
        <v>3218</v>
      </c>
      <c r="B2134" s="5" t="inlineStr">
        <is>
          <t>IMG_0108</t>
        </is>
      </c>
      <c r="C2134" s="5" t="inlineStr">
        <is>
          <t>CLASS K: PIPEWORK - MANHOLES AND PIPEWORK ANCILLARIES</t>
        </is>
      </c>
      <c r="D2134" s="5" t="inlineStr">
        <is>
          <t>08 OTHER PIPEWORK ANCILLARIES</t>
        </is>
      </c>
      <c r="E2134" s="5" t="inlineStr">
        <is>
          <t>Build Ends in; Connections to existing manholes and other chambers, pipe bore</t>
        </is>
      </c>
      <c r="F2134" s="5" t="inlineStr">
        <is>
          <t>375 mm dia.</t>
        </is>
      </c>
      <c r="G2134" s="6" t="inlineStr">
        <is>
          <t>nr</t>
        </is>
      </c>
      <c r="H2134" s="7" t="n">
        <v>1.45</v>
      </c>
      <c r="I2134" s="8" t="n">
        <v>200.36</v>
      </c>
      <c r="J2134" s="8" t="n">
        <v>18.38</v>
      </c>
      <c r="K2134" s="8" t="n">
        <v>53.61</v>
      </c>
      <c r="L2134" s="8" t="n">
        <v>0</v>
      </c>
      <c r="M2134" s="9">
        <f>ROUND(SUM(I2134:L2134),2)</f>
        <v/>
      </c>
      <c r="N2134" s="10">
        <f>ROUND(I2134*'Irish Basis'!$C$6*'Irish Basis'!$C$5,2)</f>
        <v/>
      </c>
      <c r="O2134" s="10">
        <f>ROUND(J2134*'Irish Basis'!$C$7*'Irish Basis'!$C$5,2)</f>
        <v/>
      </c>
      <c r="P2134" s="10">
        <f>ROUND(K2134*'Irish Basis'!$C$8*'Irish Basis'!$C$5,2)</f>
        <v/>
      </c>
      <c r="Q2134" s="10">
        <f>ROUND(L2134*'Irish Basis'!$C$12*'Irish Basis'!$C$5,2)</f>
        <v/>
      </c>
      <c r="R2134" s="11">
        <f>ROUND(SUM(N2134:Q2134),2)</f>
        <v/>
      </c>
      <c r="S2134" s="5" t="inlineStr">
        <is>
          <t>Stated build-up</t>
        </is>
      </c>
      <c r="T2134" s="12" t="inlineStr">
        <is>
          <t>High</t>
        </is>
      </c>
      <c r="U2134" s="8" t="n">
        <v>272.36</v>
      </c>
      <c r="V2134" s="13">
        <f>IF(U2134="","",ROUND(M2134-U2134,2))</f>
        <v/>
      </c>
      <c r="W2134" s="5" t="n"/>
      <c r="X2134" s="5" t="inlineStr">
        <is>
          <t>Labour + plant + material as published; reconciles to the published rate.</t>
        </is>
      </c>
    </row>
    <row r="2135" ht="13" customHeight="1">
      <c r="A2135" s="4" t="n">
        <v>3219</v>
      </c>
      <c r="B2135" s="5" t="inlineStr">
        <is>
          <t>IMG_0108</t>
        </is>
      </c>
      <c r="C2135" s="5" t="inlineStr">
        <is>
          <t>CLASS K: PIPEWORK - MANHOLES AND PIPEWORK ANCILLARIES</t>
        </is>
      </c>
      <c r="D2135" s="5" t="inlineStr">
        <is>
          <t>08 OTHER PIPEWORK ANCILLARIES</t>
        </is>
      </c>
      <c r="E2135" s="5" t="inlineStr">
        <is>
          <t>Build Ends in; Connections to existing manholes and other chambers, pipe bore</t>
        </is>
      </c>
      <c r="F2135" s="5" t="inlineStr">
        <is>
          <t>450 mm dia.</t>
        </is>
      </c>
      <c r="G2135" s="6" t="inlineStr">
        <is>
          <t>nr</t>
        </is>
      </c>
      <c r="H2135" s="7" t="n">
        <v>1.75</v>
      </c>
      <c r="I2135" s="8" t="n">
        <v>241.82</v>
      </c>
      <c r="J2135" s="8" t="n">
        <v>160.39</v>
      </c>
      <c r="K2135" s="8" t="n">
        <v>67.44</v>
      </c>
      <c r="L2135" s="8" t="n">
        <v>0</v>
      </c>
      <c r="M2135" s="9">
        <f>ROUND(SUM(I2135:L2135),2)</f>
        <v/>
      </c>
      <c r="N2135" s="10">
        <f>ROUND(I2135*'Irish Basis'!$C$6*'Irish Basis'!$C$5,2)</f>
        <v/>
      </c>
      <c r="O2135" s="10">
        <f>ROUND(J2135*'Irish Basis'!$C$7*'Irish Basis'!$C$5,2)</f>
        <v/>
      </c>
      <c r="P2135" s="10">
        <f>ROUND(K2135*'Irish Basis'!$C$8*'Irish Basis'!$C$5,2)</f>
        <v/>
      </c>
      <c r="Q2135" s="10">
        <f>ROUND(L2135*'Irish Basis'!$C$12*'Irish Basis'!$C$5,2)</f>
        <v/>
      </c>
      <c r="R2135" s="11">
        <f>ROUND(SUM(N2135:Q2135),2)</f>
        <v/>
      </c>
      <c r="S2135" s="5" t="inlineStr">
        <is>
          <t>Stated build-up</t>
        </is>
      </c>
      <c r="T2135" s="12" t="inlineStr">
        <is>
          <t>High</t>
        </is>
      </c>
      <c r="U2135" s="8" t="n">
        <v>469.65</v>
      </c>
      <c r="V2135" s="13">
        <f>IF(U2135="","",ROUND(M2135-U2135,2))</f>
        <v/>
      </c>
      <c r="W2135" s="5" t="n"/>
      <c r="X2135" s="5" t="inlineStr">
        <is>
          <t>Labour + plant + material as published; reconciles to the published rate.</t>
        </is>
      </c>
    </row>
    <row r="2136" ht="13" customHeight="1">
      <c r="A2136" s="4" t="n">
        <v>3237</v>
      </c>
      <c r="B2136" s="5" t="inlineStr">
        <is>
          <t>IMG_0109</t>
        </is>
      </c>
      <c r="C2136" s="5" t="inlineStr">
        <is>
          <t>CLASS L: PIPEWORK SUPPORTS AND PROTECTION, ANCILLARIES TO LAYING AND EXCAVATION</t>
        </is>
      </c>
      <c r="D2136" s="5" t="inlineStr">
        <is>
          <t>01 EXTRAS TO EXCAVATION AND BACKFILLING</t>
        </is>
      </c>
      <c r="E2136" s="5" t="inlineStr">
        <is>
          <t>Drainage sundries; Extra over any item of drainage for excavation in</t>
        </is>
      </c>
      <c r="F2136" s="5" t="inlineStr">
        <is>
          <t>rock</t>
        </is>
      </c>
      <c r="G2136" s="6" t="inlineStr">
        <is>
          <t>m3</t>
        </is>
      </c>
      <c r="H2136" s="7" t="n">
        <v>0.65</v>
      </c>
      <c r="I2136" s="8" t="n">
        <v>54.72</v>
      </c>
      <c r="J2136" s="8" t="n">
        <v>75.27</v>
      </c>
      <c r="K2136" s="8" t="n">
        <v>0</v>
      </c>
      <c r="L2136" s="8" t="n">
        <v>0</v>
      </c>
      <c r="M2136" s="9">
        <f>ROUND(SUM(I2136:L2136),2)</f>
        <v/>
      </c>
      <c r="N2136" s="10">
        <f>ROUND(I2136*'Irish Basis'!$C$6*'Irish Basis'!$C$5,2)</f>
        <v/>
      </c>
      <c r="O2136" s="10">
        <f>ROUND(J2136*'Irish Basis'!$C$7*'Irish Basis'!$C$5,2)</f>
        <v/>
      </c>
      <c r="P2136" s="10">
        <f>ROUND(K2136*'Irish Basis'!$C$8*'Irish Basis'!$C$5,2)</f>
        <v/>
      </c>
      <c r="Q2136" s="10">
        <f>ROUND(L2136*'Irish Basis'!$C$12*'Irish Basis'!$C$5,2)</f>
        <v/>
      </c>
      <c r="R2136" s="11">
        <f>ROUND(SUM(N2136:Q2136),2)</f>
        <v/>
      </c>
      <c r="S2136" s="5" t="inlineStr">
        <is>
          <t>Stated build-up</t>
        </is>
      </c>
      <c r="T2136" s="12" t="inlineStr">
        <is>
          <t>High</t>
        </is>
      </c>
      <c r="U2136" s="8" t="n">
        <v>129.98</v>
      </c>
      <c r="V2136" s="13">
        <f>IF(U2136="","",ROUND(M2136-U2136,2))</f>
        <v/>
      </c>
      <c r="W2136" s="5" t="n"/>
      <c r="X2136" s="5" t="inlineStr">
        <is>
          <t>Labour + plant + material as published; reconciles to the published rate.</t>
        </is>
      </c>
    </row>
    <row r="2137" ht="13" customHeight="1">
      <c r="A2137" s="4" t="n">
        <v>3238</v>
      </c>
      <c r="B2137" s="5" t="inlineStr">
        <is>
          <t>IMG_0109</t>
        </is>
      </c>
      <c r="C2137" s="5" t="inlineStr">
        <is>
          <t>CLASS L: PIPEWORK SUPPORTS AND PROTECTION, ANCILLARIES TO LAYING AND EXCAVATION</t>
        </is>
      </c>
      <c r="D2137" s="5" t="inlineStr">
        <is>
          <t>01 EXTRAS TO EXCAVATION AND BACKFILLING</t>
        </is>
      </c>
      <c r="E2137" s="5" t="inlineStr">
        <is>
          <t>Drainage sundries; Extra over any item of drainage for excavation in</t>
        </is>
      </c>
      <c r="F2137" s="5" t="inlineStr">
        <is>
          <t>mass concrete</t>
        </is>
      </c>
      <c r="G2137" s="6" t="inlineStr">
        <is>
          <t>m3</t>
        </is>
      </c>
      <c r="H2137" s="7" t="n">
        <v>0.84</v>
      </c>
      <c r="I2137" s="8" t="n">
        <v>70.70999999999999</v>
      </c>
      <c r="J2137" s="8" t="n">
        <v>97.87</v>
      </c>
      <c r="K2137" s="8" t="n">
        <v>0</v>
      </c>
      <c r="L2137" s="8" t="n">
        <v>0</v>
      </c>
      <c r="M2137" s="9">
        <f>ROUND(SUM(I2137:L2137),2)</f>
        <v/>
      </c>
      <c r="N2137" s="10">
        <f>ROUND(I2137*'Irish Basis'!$C$6*'Irish Basis'!$C$5,2)</f>
        <v/>
      </c>
      <c r="O2137" s="10">
        <f>ROUND(J2137*'Irish Basis'!$C$7*'Irish Basis'!$C$5,2)</f>
        <v/>
      </c>
      <c r="P2137" s="10">
        <f>ROUND(K2137*'Irish Basis'!$C$8*'Irish Basis'!$C$5,2)</f>
        <v/>
      </c>
      <c r="Q2137" s="10">
        <f>ROUND(L2137*'Irish Basis'!$C$12*'Irish Basis'!$C$5,2)</f>
        <v/>
      </c>
      <c r="R2137" s="11">
        <f>ROUND(SUM(N2137:Q2137),2)</f>
        <v/>
      </c>
      <c r="S2137" s="5" t="inlineStr">
        <is>
          <t>Stated build-up</t>
        </is>
      </c>
      <c r="T2137" s="12" t="inlineStr">
        <is>
          <t>High</t>
        </is>
      </c>
      <c r="U2137" s="8" t="n">
        <v>168.59</v>
      </c>
      <c r="V2137" s="13">
        <f>IF(U2137="","",ROUND(M2137-U2137,2))</f>
        <v/>
      </c>
      <c r="W2137" s="5" t="n"/>
      <c r="X2137" s="5" t="inlineStr">
        <is>
          <t>Labour + plant + material as published; reconciles to the published rate.</t>
        </is>
      </c>
    </row>
    <row r="2138" ht="13" customHeight="1">
      <c r="A2138" s="4" t="n">
        <v>3239</v>
      </c>
      <c r="B2138" s="5" t="inlineStr">
        <is>
          <t>IMG_0109</t>
        </is>
      </c>
      <c r="C2138" s="5" t="inlineStr">
        <is>
          <t>CLASS L: PIPEWORK SUPPORTS AND PROTECTION, ANCILLARIES TO LAYING AND EXCAVATION</t>
        </is>
      </c>
      <c r="D2138" s="5" t="inlineStr">
        <is>
          <t>01 EXTRAS TO EXCAVATION AND BACKFILLING</t>
        </is>
      </c>
      <c r="E2138" s="5" t="inlineStr">
        <is>
          <t>Drainage sundries; Extra over any item of drainage for excavation in</t>
        </is>
      </c>
      <c r="F2138" s="5" t="inlineStr">
        <is>
          <t>reinforced concrete</t>
        </is>
      </c>
      <c r="G2138" s="6" t="inlineStr">
        <is>
          <t>m3</t>
        </is>
      </c>
      <c r="H2138" s="7" t="n">
        <v>1.18</v>
      </c>
      <c r="I2138" s="8" t="n">
        <v>99.33</v>
      </c>
      <c r="J2138" s="8" t="n">
        <v>137.24</v>
      </c>
      <c r="K2138" s="8" t="n">
        <v>0</v>
      </c>
      <c r="L2138" s="8" t="n">
        <v>0</v>
      </c>
      <c r="M2138" s="9">
        <f>ROUND(SUM(I2138:L2138),2)</f>
        <v/>
      </c>
      <c r="N2138" s="10">
        <f>ROUND(I2138*'Irish Basis'!$C$6*'Irish Basis'!$C$5,2)</f>
        <v/>
      </c>
      <c r="O2138" s="10">
        <f>ROUND(J2138*'Irish Basis'!$C$7*'Irish Basis'!$C$5,2)</f>
        <v/>
      </c>
      <c r="P2138" s="10">
        <f>ROUND(K2138*'Irish Basis'!$C$8*'Irish Basis'!$C$5,2)</f>
        <v/>
      </c>
      <c r="Q2138" s="10">
        <f>ROUND(L2138*'Irish Basis'!$C$12*'Irish Basis'!$C$5,2)</f>
        <v/>
      </c>
      <c r="R2138" s="11">
        <f>ROUND(SUM(N2138:Q2138),2)</f>
        <v/>
      </c>
      <c r="S2138" s="5" t="inlineStr">
        <is>
          <t>Stated build-up</t>
        </is>
      </c>
      <c r="T2138" s="12" t="inlineStr">
        <is>
          <t>High</t>
        </is>
      </c>
      <c r="U2138" s="8" t="n">
        <v>236.57</v>
      </c>
      <c r="V2138" s="13">
        <f>IF(U2138="","",ROUND(M2138-U2138,2))</f>
        <v/>
      </c>
      <c r="W2138" s="5" t="n"/>
      <c r="X2138" s="5" t="inlineStr">
        <is>
          <t>Labour + plant + material as published; reconciles to the published rate.</t>
        </is>
      </c>
    </row>
    <row r="2139" ht="13" customHeight="1">
      <c r="A2139" s="4" t="n">
        <v>3241</v>
      </c>
      <c r="B2139" s="5" t="inlineStr">
        <is>
          <t>IMG_0109</t>
        </is>
      </c>
      <c r="C2139" s="5" t="inlineStr">
        <is>
          <t>CLASS L: PIPEWORK SUPPORTS AND PROTECTION, ANCILLARIES TO LAYING AND EXCAVATION</t>
        </is>
      </c>
      <c r="D2139" s="5" t="inlineStr">
        <is>
          <t>01 EXTRAS TO EXCAVATION AND BACKFILLING</t>
        </is>
      </c>
      <c r="E2139" s="5" t="inlineStr">
        <is>
          <t>Excavation of soft spots, backfilling</t>
        </is>
      </c>
      <c r="F2139" s="5" t="inlineStr">
        <is>
          <t>concrete grade C15P</t>
        </is>
      </c>
      <c r="G2139" s="6" t="inlineStr">
        <is>
          <t>m3</t>
        </is>
      </c>
      <c r="H2139" s="7" t="n">
        <v>0.3</v>
      </c>
      <c r="I2139" s="8" t="n">
        <v>25.25</v>
      </c>
      <c r="J2139" s="8" t="n">
        <v>34.73</v>
      </c>
      <c r="K2139" s="8" t="n">
        <v>144.81</v>
      </c>
      <c r="L2139" s="8" t="n">
        <v>0</v>
      </c>
      <c r="M2139" s="9">
        <f>ROUND(SUM(I2139:L2139),2)</f>
        <v/>
      </c>
      <c r="N2139" s="10">
        <f>ROUND(I2139*'Irish Basis'!$C$6*'Irish Basis'!$C$5,2)</f>
        <v/>
      </c>
      <c r="O2139" s="10">
        <f>ROUND(J2139*'Irish Basis'!$C$7*'Irish Basis'!$C$5,2)</f>
        <v/>
      </c>
      <c r="P2139" s="10">
        <f>ROUND(K2139*'Irish Basis'!$C$8*'Irish Basis'!$C$5,2)</f>
        <v/>
      </c>
      <c r="Q2139" s="10">
        <f>ROUND(L2139*'Irish Basis'!$C$12*'Irish Basis'!$C$5,2)</f>
        <v/>
      </c>
      <c r="R2139" s="11">
        <f>ROUND(SUM(N2139:Q2139),2)</f>
        <v/>
      </c>
      <c r="S2139" s="5" t="inlineStr">
        <is>
          <t>Stated build-up</t>
        </is>
      </c>
      <c r="T2139" s="12" t="inlineStr">
        <is>
          <t>High</t>
        </is>
      </c>
      <c r="U2139" s="8" t="n">
        <v>204.8</v>
      </c>
      <c r="V2139" s="13">
        <f>IF(U2139="","",ROUND(M2139-U2139,2))</f>
        <v/>
      </c>
      <c r="W2139" s="5" t="n"/>
      <c r="X2139" s="5" t="inlineStr">
        <is>
          <t>Labour + plant + material as published; reconciles to the published rate.</t>
        </is>
      </c>
    </row>
    <row r="2140" ht="13" customHeight="1">
      <c r="A2140" s="4" t="n">
        <v>3245</v>
      </c>
      <c r="B2140" s="5" t="inlineStr">
        <is>
          <t>IMG_0109</t>
        </is>
      </c>
      <c r="C2140" s="5" t="inlineStr">
        <is>
          <t>CLASS L: PIPEWORK SUPPORTS AND PROTECTION, ANCILLARIES TO LAYING AND EXCAVATION</t>
        </is>
      </c>
      <c r="D2140" s="5" t="inlineStr">
        <is>
          <t>02 SPECIAL PIPE LAYING METHODS</t>
        </is>
      </c>
      <c r="E2140" s="5" t="inlineStr">
        <is>
          <t>Pipe Jacking; Provision of all plant, equipment and labour establishing</t>
        </is>
      </c>
      <c r="F2140" s="5" t="inlineStr">
        <is>
          <t>thrust pit; 6 m x 4 m x 8 m deep</t>
        </is>
      </c>
      <c r="G2140" s="6" t="inlineStr">
        <is>
          <t>item</t>
        </is>
      </c>
      <c r="H2140" s="7" t="n"/>
      <c r="I2140" s="8" t="n">
        <v>11723.88</v>
      </c>
      <c r="J2140" s="8" t="n">
        <v>10528.52</v>
      </c>
      <c r="K2140" s="8" t="n">
        <v>22355.16</v>
      </c>
      <c r="L2140" s="8" t="n">
        <v>0</v>
      </c>
      <c r="M2140" s="9">
        <f>ROUND(SUM(I2140:L2140),2)</f>
        <v/>
      </c>
      <c r="N2140" s="10">
        <f>ROUND(I2140*'Irish Basis'!$C$6*'Irish Basis'!$C$5,2)</f>
        <v/>
      </c>
      <c r="O2140" s="10">
        <f>ROUND(J2140*'Irish Basis'!$C$7*'Irish Basis'!$C$5,2)</f>
        <v/>
      </c>
      <c r="P2140" s="10">
        <f>ROUND(K2140*'Irish Basis'!$C$8*'Irish Basis'!$C$5,2)</f>
        <v/>
      </c>
      <c r="Q2140" s="10">
        <f>ROUND(L2140*'Irish Basis'!$C$12*'Irish Basis'!$C$5,2)</f>
        <v/>
      </c>
      <c r="R2140" s="11">
        <f>ROUND(SUM(N2140:Q2140),2)</f>
        <v/>
      </c>
      <c r="S2140" s="5" t="inlineStr">
        <is>
          <t>Apportioned (class)</t>
        </is>
      </c>
      <c r="T2140" s="17" t="inlineStr">
        <is>
          <t>Low</t>
        </is>
      </c>
      <c r="U2140" s="8" t="n">
        <v>44607.57</v>
      </c>
      <c r="V2140" s="13">
        <f>IF(U2140="","",ROUND(M2140-U2140,2))</f>
        <v/>
      </c>
      <c r="W2140" s="15" t="inlineStr">
        <is>
          <t>Apportioned at class level</t>
        </is>
      </c>
      <c r="X2140" s="5" t="inlineStr">
        <is>
          <t>Split from published rate using median L/P/M shares of 73 comparable build-ups at class level (26/24/50).</t>
        </is>
      </c>
    </row>
    <row r="2141" ht="13" customHeight="1">
      <c r="A2141" s="4" t="n">
        <v>3246</v>
      </c>
      <c r="B2141" s="5" t="inlineStr">
        <is>
          <t>IMG_0109</t>
        </is>
      </c>
      <c r="C2141" s="5" t="inlineStr">
        <is>
          <t>CLASS L: PIPEWORK SUPPORTS AND PROTECTION, ANCILLARIES TO LAYING AND EXCAVATION</t>
        </is>
      </c>
      <c r="D2141" s="5" t="inlineStr">
        <is>
          <t>02 SPECIAL PIPE LAYING METHODS</t>
        </is>
      </c>
      <c r="E2141" s="5" t="inlineStr">
        <is>
          <t>Pipe Jacking; Provision of all plant, equipment and labour establishing</t>
        </is>
      </c>
      <c r="F2141" s="5" t="inlineStr">
        <is>
          <t>reception pit; 4 m x 4 m x 8 m deep</t>
        </is>
      </c>
      <c r="G2141" s="6" t="inlineStr">
        <is>
          <t>item</t>
        </is>
      </c>
      <c r="H2141" s="7" t="n"/>
      <c r="I2141" s="8" t="n">
        <v>8597.52</v>
      </c>
      <c r="J2141" s="8" t="n">
        <v>7720.92</v>
      </c>
      <c r="K2141" s="8" t="n">
        <v>16393.79</v>
      </c>
      <c r="L2141" s="8" t="n">
        <v>0</v>
      </c>
      <c r="M2141" s="9">
        <f>ROUND(SUM(I2141:L2141),2)</f>
        <v/>
      </c>
      <c r="N2141" s="10">
        <f>ROUND(I2141*'Irish Basis'!$C$6*'Irish Basis'!$C$5,2)</f>
        <v/>
      </c>
      <c r="O2141" s="10">
        <f>ROUND(J2141*'Irish Basis'!$C$7*'Irish Basis'!$C$5,2)</f>
        <v/>
      </c>
      <c r="P2141" s="10">
        <f>ROUND(K2141*'Irish Basis'!$C$8*'Irish Basis'!$C$5,2)</f>
        <v/>
      </c>
      <c r="Q2141" s="10">
        <f>ROUND(L2141*'Irish Basis'!$C$12*'Irish Basis'!$C$5,2)</f>
        <v/>
      </c>
      <c r="R2141" s="11">
        <f>ROUND(SUM(N2141:Q2141),2)</f>
        <v/>
      </c>
      <c r="S2141" s="5" t="inlineStr">
        <is>
          <t>Apportioned (class)</t>
        </is>
      </c>
      <c r="T2141" s="17" t="inlineStr">
        <is>
          <t>Low</t>
        </is>
      </c>
      <c r="U2141" s="8" t="n">
        <v>32712.22</v>
      </c>
      <c r="V2141" s="13">
        <f>IF(U2141="","",ROUND(M2141-U2141,2))</f>
        <v/>
      </c>
      <c r="W2141" s="15" t="inlineStr">
        <is>
          <t>Apportioned at class level</t>
        </is>
      </c>
      <c r="X2141" s="5" t="inlineStr">
        <is>
          <t>Split from published rate using median L/P/M shares of 73 comparable build-ups at class level (26/24/50).</t>
        </is>
      </c>
    </row>
    <row r="2142" ht="13" customHeight="1">
      <c r="A2142" s="4" t="n">
        <v>3247</v>
      </c>
      <c r="B2142" s="5" t="inlineStr">
        <is>
          <t>IMG_0109</t>
        </is>
      </c>
      <c r="C2142" s="5" t="inlineStr">
        <is>
          <t>CLASS L: PIPEWORK SUPPORTS AND PROTECTION, ANCILLARIES TO LAYING AND EXCAVATION</t>
        </is>
      </c>
      <c r="D2142" s="5" t="inlineStr">
        <is>
          <t>02 SPECIAL PIPE LAYING METHODS</t>
        </is>
      </c>
      <c r="E2142" s="5" t="inlineStr">
        <is>
          <t>Pipe Jacking; Provision of all plant, equipment and labour establishing</t>
        </is>
      </c>
      <c r="F2142" s="5" t="inlineStr">
        <is>
          <t>mobilize and set up pipe jacking equipment</t>
        </is>
      </c>
      <c r="G2142" s="6" t="inlineStr">
        <is>
          <t>item</t>
        </is>
      </c>
      <c r="H2142" s="7" t="n"/>
      <c r="I2142" s="8" t="n">
        <v>17160.88</v>
      </c>
      <c r="J2142" s="8" t="n">
        <v>15411.17</v>
      </c>
      <c r="K2142" s="8" t="n">
        <v>32722.46</v>
      </c>
      <c r="L2142" s="8" t="n">
        <v>0</v>
      </c>
      <c r="M2142" s="9">
        <f>ROUND(SUM(I2142:L2142),2)</f>
        <v/>
      </c>
      <c r="N2142" s="10">
        <f>ROUND(I2142*'Irish Basis'!$C$6*'Irish Basis'!$C$5,2)</f>
        <v/>
      </c>
      <c r="O2142" s="10">
        <f>ROUND(J2142*'Irish Basis'!$C$7*'Irish Basis'!$C$5,2)</f>
        <v/>
      </c>
      <c r="P2142" s="10">
        <f>ROUND(K2142*'Irish Basis'!$C$8*'Irish Basis'!$C$5,2)</f>
        <v/>
      </c>
      <c r="Q2142" s="10">
        <f>ROUND(L2142*'Irish Basis'!$C$12*'Irish Basis'!$C$5,2)</f>
        <v/>
      </c>
      <c r="R2142" s="11">
        <f>ROUND(SUM(N2142:Q2142),2)</f>
        <v/>
      </c>
      <c r="S2142" s="5" t="inlineStr">
        <is>
          <t>Apportioned (class)</t>
        </is>
      </c>
      <c r="T2142" s="17" t="inlineStr">
        <is>
          <t>Low</t>
        </is>
      </c>
      <c r="U2142" s="8" t="n">
        <v>65294.51</v>
      </c>
      <c r="V2142" s="13">
        <f>IF(U2142="","",ROUND(M2142-U2142,2))</f>
        <v/>
      </c>
      <c r="W2142" s="15" t="inlineStr">
        <is>
          <t>Apportioned at class level</t>
        </is>
      </c>
      <c r="X2142" s="5" t="inlineStr">
        <is>
          <t>Split from published rate using median L/P/M shares of 73 comparable build-ups at class level (26/24/50).</t>
        </is>
      </c>
    </row>
    <row r="2143" ht="13" customHeight="1">
      <c r="A2143" s="4" t="n">
        <v>3249</v>
      </c>
      <c r="B2143" s="5" t="inlineStr">
        <is>
          <t>IMG_0109</t>
        </is>
      </c>
      <c r="C2143" s="5" t="inlineStr">
        <is>
          <t>CLASS L: PIPEWORK SUPPORTS AND PROTECTION, ANCILLARIES TO LAYING AND EXCAVATION</t>
        </is>
      </c>
      <c r="D2143" s="5" t="inlineStr">
        <is>
          <t>02 SPECIAL PIPE LAYING METHODS</t>
        </is>
      </c>
      <c r="E2143" s="5" t="inlineStr">
        <is>
          <t>Pipe jacking, excluding the cost of non-drainage materials; concrete pipes BS 5911 Part 1 Class 120 with rebated joints, steel reinforcing band; length not exceeding 50 m; in sand and gravel</t>
        </is>
      </c>
      <c r="F2143" s="5" t="inlineStr">
        <is>
          <t>900 mm nominal bore</t>
        </is>
      </c>
      <c r="G2143" s="6" t="inlineStr">
        <is>
          <t>m</t>
        </is>
      </c>
      <c r="H2143" s="7" t="n"/>
      <c r="I2143" s="8" t="n">
        <v>929.83</v>
      </c>
      <c r="J2143" s="8" t="n">
        <v>835.02</v>
      </c>
      <c r="K2143" s="8" t="n">
        <v>1773</v>
      </c>
      <c r="L2143" s="8" t="n">
        <v>0</v>
      </c>
      <c r="M2143" s="9">
        <f>ROUND(SUM(I2143:L2143),2)</f>
        <v/>
      </c>
      <c r="N2143" s="10">
        <f>ROUND(I2143*'Irish Basis'!$C$6*'Irish Basis'!$C$5,2)</f>
        <v/>
      </c>
      <c r="O2143" s="10">
        <f>ROUND(J2143*'Irish Basis'!$C$7*'Irish Basis'!$C$5,2)</f>
        <v/>
      </c>
      <c r="P2143" s="10">
        <f>ROUND(K2143*'Irish Basis'!$C$8*'Irish Basis'!$C$5,2)</f>
        <v/>
      </c>
      <c r="Q2143" s="10">
        <f>ROUND(L2143*'Irish Basis'!$C$12*'Irish Basis'!$C$5,2)</f>
        <v/>
      </c>
      <c r="R2143" s="11">
        <f>ROUND(SUM(N2143:Q2143),2)</f>
        <v/>
      </c>
      <c r="S2143" s="5" t="inlineStr">
        <is>
          <t>Apportioned (class)</t>
        </is>
      </c>
      <c r="T2143" s="17" t="inlineStr">
        <is>
          <t>Low</t>
        </is>
      </c>
      <c r="U2143" s="8" t="n">
        <v>3537.86</v>
      </c>
      <c r="V2143" s="13">
        <f>IF(U2143="","",ROUND(M2143-U2143,2))</f>
        <v/>
      </c>
      <c r="W2143" s="15" t="inlineStr">
        <is>
          <t>Apportioned at class level</t>
        </is>
      </c>
      <c r="X2143" s="5" t="inlineStr">
        <is>
          <t>Split from published rate using median L/P/M shares of 73 comparable build-ups at class level (26/24/50).</t>
        </is>
      </c>
    </row>
    <row r="2144" ht="13" customHeight="1">
      <c r="A2144" s="4" t="n">
        <v>3250</v>
      </c>
      <c r="B2144" s="5" t="inlineStr">
        <is>
          <t>IMG_0109</t>
        </is>
      </c>
      <c r="C2144" s="5" t="inlineStr">
        <is>
          <t>CLASS L: PIPEWORK SUPPORTS AND PROTECTION, ANCILLARIES TO LAYING AND EXCAVATION</t>
        </is>
      </c>
      <c r="D2144" s="5" t="inlineStr">
        <is>
          <t>02 SPECIAL PIPE LAYING METHODS</t>
        </is>
      </c>
      <c r="E2144" s="5" t="inlineStr">
        <is>
          <t>Pipe jacking, excluding the cost of non-drainage materials; concrete pipes BS 5911 Part 1 Class 120 with rebated joints, steel reinforcing band; length not exceeding 50 m; in sand and gravel</t>
        </is>
      </c>
      <c r="F2144" s="5" t="inlineStr">
        <is>
          <t>1200 mm nominal bore</t>
        </is>
      </c>
      <c r="G2144" s="6" t="inlineStr">
        <is>
          <t>m</t>
        </is>
      </c>
      <c r="H2144" s="7" t="n"/>
      <c r="I2144" s="8" t="n">
        <v>1076.48</v>
      </c>
      <c r="J2144" s="8" t="n">
        <v>966.72</v>
      </c>
      <c r="K2144" s="8" t="n">
        <v>2052.64</v>
      </c>
      <c r="L2144" s="8" t="n">
        <v>0</v>
      </c>
      <c r="M2144" s="9">
        <f>ROUND(SUM(I2144:L2144),2)</f>
        <v/>
      </c>
      <c r="N2144" s="10">
        <f>ROUND(I2144*'Irish Basis'!$C$6*'Irish Basis'!$C$5,2)</f>
        <v/>
      </c>
      <c r="O2144" s="10">
        <f>ROUND(J2144*'Irish Basis'!$C$7*'Irish Basis'!$C$5,2)</f>
        <v/>
      </c>
      <c r="P2144" s="10">
        <f>ROUND(K2144*'Irish Basis'!$C$8*'Irish Basis'!$C$5,2)</f>
        <v/>
      </c>
      <c r="Q2144" s="10">
        <f>ROUND(L2144*'Irish Basis'!$C$12*'Irish Basis'!$C$5,2)</f>
        <v/>
      </c>
      <c r="R2144" s="11">
        <f>ROUND(SUM(N2144:Q2144),2)</f>
        <v/>
      </c>
      <c r="S2144" s="5" t="inlineStr">
        <is>
          <t>Apportioned (class)</t>
        </is>
      </c>
      <c r="T2144" s="17" t="inlineStr">
        <is>
          <t>Low</t>
        </is>
      </c>
      <c r="U2144" s="8" t="n">
        <v>4095.85</v>
      </c>
      <c r="V2144" s="13">
        <f>IF(U2144="","",ROUND(M2144-U2144,2))</f>
        <v/>
      </c>
      <c r="W2144" s="15" t="inlineStr">
        <is>
          <t>Apportioned at class level</t>
        </is>
      </c>
      <c r="X2144" s="5" t="inlineStr">
        <is>
          <t>Split from published rate using median L/P/M shares of 73 comparable build-ups at class level (26/24/50).</t>
        </is>
      </c>
    </row>
    <row r="2145" ht="13" customHeight="1">
      <c r="A2145" s="4" t="n">
        <v>3251</v>
      </c>
      <c r="B2145" s="5" t="inlineStr">
        <is>
          <t>IMG_0109</t>
        </is>
      </c>
      <c r="C2145" s="5" t="inlineStr">
        <is>
          <t>CLASS L: PIPEWORK SUPPORTS AND PROTECTION, ANCILLARIES TO LAYING AND EXCAVATION</t>
        </is>
      </c>
      <c r="D2145" s="5" t="inlineStr">
        <is>
          <t>02 SPECIAL PIPE LAYING METHODS</t>
        </is>
      </c>
      <c r="E2145" s="5" t="inlineStr">
        <is>
          <t>Pipe jacking, excluding the cost of non-drainage materials; concrete pipes BS 5911 Part 1 Class 120 with rebated joints, steel reinforcing band; length not exceeding 50 m; in sand and gravel</t>
        </is>
      </c>
      <c r="F2145" s="5" t="inlineStr">
        <is>
          <t>1500 mm nominal bore</t>
        </is>
      </c>
      <c r="G2145" s="6" t="inlineStr">
        <is>
          <t>m</t>
        </is>
      </c>
      <c r="H2145" s="7" t="n"/>
      <c r="I2145" s="8" t="n">
        <v>796.77</v>
      </c>
      <c r="J2145" s="8" t="n">
        <v>715.53</v>
      </c>
      <c r="K2145" s="8" t="n">
        <v>1519.28</v>
      </c>
      <c r="L2145" s="8" t="n">
        <v>0</v>
      </c>
      <c r="M2145" s="9">
        <f>ROUND(SUM(I2145:L2145),2)</f>
        <v/>
      </c>
      <c r="N2145" s="10">
        <f>ROUND(I2145*'Irish Basis'!$C$6*'Irish Basis'!$C$5,2)</f>
        <v/>
      </c>
      <c r="O2145" s="10">
        <f>ROUND(J2145*'Irish Basis'!$C$7*'Irish Basis'!$C$5,2)</f>
        <v/>
      </c>
      <c r="P2145" s="10">
        <f>ROUND(K2145*'Irish Basis'!$C$8*'Irish Basis'!$C$5,2)</f>
        <v/>
      </c>
      <c r="Q2145" s="10">
        <f>ROUND(L2145*'Irish Basis'!$C$12*'Irish Basis'!$C$5,2)</f>
        <v/>
      </c>
      <c r="R2145" s="11">
        <f>ROUND(SUM(N2145:Q2145),2)</f>
        <v/>
      </c>
      <c r="S2145" s="5" t="inlineStr">
        <is>
          <t>Apportioned (class)</t>
        </is>
      </c>
      <c r="T2145" s="17" t="inlineStr">
        <is>
          <t>Low</t>
        </is>
      </c>
      <c r="U2145" s="8" t="n">
        <v>3031.58</v>
      </c>
      <c r="V2145" s="13">
        <f>IF(U2145="","",ROUND(M2145-U2145,2))</f>
        <v/>
      </c>
      <c r="W2145" s="15" t="inlineStr">
        <is>
          <t>Apportioned at class level</t>
        </is>
      </c>
      <c r="X2145" s="5" t="inlineStr">
        <is>
          <t>Split from published rate using median L/P/M shares of 73 comparable build-ups at class level (26/24/50).</t>
        </is>
      </c>
    </row>
    <row r="2146" ht="13" customHeight="1">
      <c r="A2146" s="4" t="n">
        <v>3252</v>
      </c>
      <c r="B2146" s="5" t="inlineStr">
        <is>
          <t>IMG_0109</t>
        </is>
      </c>
      <c r="C2146" s="5" t="inlineStr">
        <is>
          <t>CLASS L: PIPEWORK SUPPORTS AND PROTECTION, ANCILLARIES TO LAYING AND EXCAVATION</t>
        </is>
      </c>
      <c r="D2146" s="5" t="inlineStr">
        <is>
          <t>02 SPECIAL PIPE LAYING METHODS</t>
        </is>
      </c>
      <c r="E2146" s="5" t="inlineStr">
        <is>
          <t>Pipe jacking, excluding the cost of non-drainage materials; concrete pipes BS 5911 Part 1 Class 120 with rebated joints, steel reinforcing band; length not exceeding 50 m; in sand and gravel</t>
        </is>
      </c>
      <c r="F2146" s="5" t="inlineStr">
        <is>
          <t>1800 mm nominal bore</t>
        </is>
      </c>
      <c r="G2146" s="6" t="inlineStr">
        <is>
          <t>m</t>
        </is>
      </c>
      <c r="H2146" s="7" t="n"/>
      <c r="I2146" s="8" t="n">
        <v>847.99</v>
      </c>
      <c r="J2146" s="8" t="n">
        <v>761.53</v>
      </c>
      <c r="K2146" s="8" t="n">
        <v>1616.95</v>
      </c>
      <c r="L2146" s="8" t="n">
        <v>0</v>
      </c>
      <c r="M2146" s="9">
        <f>ROUND(SUM(I2146:L2146),2)</f>
        <v/>
      </c>
      <c r="N2146" s="10">
        <f>ROUND(I2146*'Irish Basis'!$C$6*'Irish Basis'!$C$5,2)</f>
        <v/>
      </c>
      <c r="O2146" s="10">
        <f>ROUND(J2146*'Irish Basis'!$C$7*'Irish Basis'!$C$5,2)</f>
        <v/>
      </c>
      <c r="P2146" s="10">
        <f>ROUND(K2146*'Irish Basis'!$C$8*'Irish Basis'!$C$5,2)</f>
        <v/>
      </c>
      <c r="Q2146" s="10">
        <f>ROUND(L2146*'Irish Basis'!$C$12*'Irish Basis'!$C$5,2)</f>
        <v/>
      </c>
      <c r="R2146" s="11">
        <f>ROUND(SUM(N2146:Q2146),2)</f>
        <v/>
      </c>
      <c r="S2146" s="5" t="inlineStr">
        <is>
          <t>Apportioned (class)</t>
        </is>
      </c>
      <c r="T2146" s="17" t="inlineStr">
        <is>
          <t>Low</t>
        </is>
      </c>
      <c r="U2146" s="8" t="n">
        <v>3226.47</v>
      </c>
      <c r="V2146" s="13">
        <f>IF(U2146="","",ROUND(M2146-U2146,2))</f>
        <v/>
      </c>
      <c r="W2146" s="15" t="inlineStr">
        <is>
          <t>Apportioned at class level</t>
        </is>
      </c>
      <c r="X2146" s="5" t="inlineStr">
        <is>
          <t>Split from published rate using median L/P/M shares of 73 comparable build-ups at class level (26/24/50).</t>
        </is>
      </c>
    </row>
    <row r="2147" ht="13" customHeight="1">
      <c r="A2147" s="4" t="n">
        <v>3255</v>
      </c>
      <c r="B2147" s="5" t="inlineStr">
        <is>
          <t>IMG_0109</t>
        </is>
      </c>
      <c r="C2147" s="5" t="inlineStr">
        <is>
          <t>CLASS L: PIPEWORK SUPPORTS AND PROTECTION, ANCILLARIES TO LAYING AND EXCAVATION</t>
        </is>
      </c>
      <c r="D2147" s="5" t="inlineStr">
        <is>
          <t>03 BEDS</t>
        </is>
      </c>
      <c r="E2147" s="5" t="inlineStr">
        <is>
          <t>Imported sand; 100 mm deep bed for pipes nominal bore</t>
        </is>
      </c>
      <c r="F2147" s="5" t="inlineStr">
        <is>
          <t>100 mm</t>
        </is>
      </c>
      <c r="G2147" s="6" t="inlineStr">
        <is>
          <t>m</t>
        </is>
      </c>
      <c r="H2147" s="7" t="n">
        <v>0.02</v>
      </c>
      <c r="I2147" s="8" t="n">
        <v>1.68</v>
      </c>
      <c r="J2147" s="8" t="n">
        <v>1.55</v>
      </c>
      <c r="K2147" s="8" t="n">
        <v>4.41</v>
      </c>
      <c r="L2147" s="8" t="n">
        <v>0</v>
      </c>
      <c r="M2147" s="9">
        <f>ROUND(SUM(I2147:L2147),2)</f>
        <v/>
      </c>
      <c r="N2147" s="10">
        <f>ROUND(I2147*'Irish Basis'!$C$6*'Irish Basis'!$C$5,2)</f>
        <v/>
      </c>
      <c r="O2147" s="10">
        <f>ROUND(J2147*'Irish Basis'!$C$7*'Irish Basis'!$C$5,2)</f>
        <v/>
      </c>
      <c r="P2147" s="10">
        <f>ROUND(K2147*'Irish Basis'!$C$8*'Irish Basis'!$C$5,2)</f>
        <v/>
      </c>
      <c r="Q2147" s="10">
        <f>ROUND(L2147*'Irish Basis'!$C$12*'Irish Basis'!$C$5,2)</f>
        <v/>
      </c>
      <c r="R2147" s="11">
        <f>ROUND(SUM(N2147:Q2147),2)</f>
        <v/>
      </c>
      <c r="S2147" s="5" t="inlineStr">
        <is>
          <t>Material recovered as residual</t>
        </is>
      </c>
      <c r="T2147" s="18" t="inlineStr">
        <is>
          <t>Medium-High</t>
        </is>
      </c>
      <c r="U2147" s="8" t="n">
        <v>7.64</v>
      </c>
      <c r="V2147" s="13">
        <f>IF(U2147="","",ROUND(M2147-U2147,2))</f>
        <v/>
      </c>
      <c r="W2147" s="5" t="n"/>
      <c r="X2147" s="5" t="inlineStr">
        <is>
          <t>Material column missing in source; recovered as published rate less labour and plant (£4.41). Verified against comparable items in the same section.</t>
        </is>
      </c>
    </row>
    <row r="2148" ht="13" customHeight="1">
      <c r="A2148" s="4" t="n">
        <v>3256</v>
      </c>
      <c r="B2148" s="5" t="inlineStr">
        <is>
          <t>IMG_0109</t>
        </is>
      </c>
      <c r="C2148" s="5" t="inlineStr">
        <is>
          <t>CLASS L: PIPEWORK SUPPORTS AND PROTECTION, ANCILLARIES TO LAYING AND EXCAVATION</t>
        </is>
      </c>
      <c r="D2148" s="5" t="inlineStr">
        <is>
          <t>03 BEDS</t>
        </is>
      </c>
      <c r="E2148" s="5" t="inlineStr">
        <is>
          <t>Imported sand; 100 mm deep bed for pipes nominal bore</t>
        </is>
      </c>
      <c r="F2148" s="5" t="inlineStr">
        <is>
          <t>150 mm</t>
        </is>
      </c>
      <c r="G2148" s="6" t="inlineStr">
        <is>
          <t>m</t>
        </is>
      </c>
      <c r="H2148" s="7" t="n">
        <v>0.02</v>
      </c>
      <c r="I2148" s="8" t="n">
        <v>1.68</v>
      </c>
      <c r="J2148" s="8" t="n">
        <v>1.55</v>
      </c>
      <c r="K2148" s="8" t="n">
        <v>4.75</v>
      </c>
      <c r="L2148" s="8" t="n">
        <v>0</v>
      </c>
      <c r="M2148" s="9">
        <f>ROUND(SUM(I2148:L2148),2)</f>
        <v/>
      </c>
      <c r="N2148" s="10">
        <f>ROUND(I2148*'Irish Basis'!$C$6*'Irish Basis'!$C$5,2)</f>
        <v/>
      </c>
      <c r="O2148" s="10">
        <f>ROUND(J2148*'Irish Basis'!$C$7*'Irish Basis'!$C$5,2)</f>
        <v/>
      </c>
      <c r="P2148" s="10">
        <f>ROUND(K2148*'Irish Basis'!$C$8*'Irish Basis'!$C$5,2)</f>
        <v/>
      </c>
      <c r="Q2148" s="10">
        <f>ROUND(L2148*'Irish Basis'!$C$12*'Irish Basis'!$C$5,2)</f>
        <v/>
      </c>
      <c r="R2148" s="11">
        <f>ROUND(SUM(N2148:Q2148),2)</f>
        <v/>
      </c>
      <c r="S2148" s="5" t="inlineStr">
        <is>
          <t>Material recovered as residual</t>
        </is>
      </c>
      <c r="T2148" s="18" t="inlineStr">
        <is>
          <t>Medium-High</t>
        </is>
      </c>
      <c r="U2148" s="8" t="n">
        <v>7.98</v>
      </c>
      <c r="V2148" s="13">
        <f>IF(U2148="","",ROUND(M2148-U2148,2))</f>
        <v/>
      </c>
      <c r="W2148" s="5" t="n"/>
      <c r="X2148" s="5" t="inlineStr">
        <is>
          <t>Material column missing in source; recovered as published rate less labour and plant (£4.75). Verified against comparable items in the same section.</t>
        </is>
      </c>
    </row>
    <row r="2149" ht="13" customHeight="1">
      <c r="A2149" s="4" t="n">
        <v>3257</v>
      </c>
      <c r="B2149" s="5" t="inlineStr">
        <is>
          <t>IMG_0109</t>
        </is>
      </c>
      <c r="C2149" s="5" t="inlineStr">
        <is>
          <t>CLASS L: PIPEWORK SUPPORTS AND PROTECTION, ANCILLARIES TO LAYING AND EXCAVATION</t>
        </is>
      </c>
      <c r="D2149" s="5" t="inlineStr">
        <is>
          <t>03 BEDS</t>
        </is>
      </c>
      <c r="E2149" s="5" t="inlineStr">
        <is>
          <t>Imported sand; 100 mm deep bed for pipes nominal bore</t>
        </is>
      </c>
      <c r="F2149" s="5" t="inlineStr">
        <is>
          <t>225 mm</t>
        </is>
      </c>
      <c r="G2149" s="6" t="inlineStr">
        <is>
          <t>m</t>
        </is>
      </c>
      <c r="H2149" s="7" t="n">
        <v>0.03</v>
      </c>
      <c r="I2149" s="8" t="n">
        <v>2.53</v>
      </c>
      <c r="J2149" s="8" t="n">
        <v>2.33</v>
      </c>
      <c r="K2149" s="8" t="n">
        <v>5.53</v>
      </c>
      <c r="L2149" s="8" t="n">
        <v>0</v>
      </c>
      <c r="M2149" s="9">
        <f>ROUND(SUM(I2149:L2149),2)</f>
        <v/>
      </c>
      <c r="N2149" s="10">
        <f>ROUND(I2149*'Irish Basis'!$C$6*'Irish Basis'!$C$5,2)</f>
        <v/>
      </c>
      <c r="O2149" s="10">
        <f>ROUND(J2149*'Irish Basis'!$C$7*'Irish Basis'!$C$5,2)</f>
        <v/>
      </c>
      <c r="P2149" s="10">
        <f>ROUND(K2149*'Irish Basis'!$C$8*'Irish Basis'!$C$5,2)</f>
        <v/>
      </c>
      <c r="Q2149" s="10">
        <f>ROUND(L2149*'Irish Basis'!$C$12*'Irish Basis'!$C$5,2)</f>
        <v/>
      </c>
      <c r="R2149" s="11">
        <f>ROUND(SUM(N2149:Q2149),2)</f>
        <v/>
      </c>
      <c r="S2149" s="5" t="inlineStr">
        <is>
          <t>Material recovered as residual</t>
        </is>
      </c>
      <c r="T2149" s="18" t="inlineStr">
        <is>
          <t>Medium-High</t>
        </is>
      </c>
      <c r="U2149" s="8" t="n">
        <v>10.39</v>
      </c>
      <c r="V2149" s="13">
        <f>IF(U2149="","",ROUND(M2149-U2149,2))</f>
        <v/>
      </c>
      <c r="W2149" s="5" t="n"/>
      <c r="X2149" s="5" t="inlineStr">
        <is>
          <t>Material column missing in source; recovered as published rate less labour and plant (£5.53). Verified against comparable items in the same section.</t>
        </is>
      </c>
    </row>
    <row r="2150" ht="13" customHeight="1">
      <c r="A2150" s="4" t="n">
        <v>3258</v>
      </c>
      <c r="B2150" s="5" t="inlineStr">
        <is>
          <t>IMG_0109</t>
        </is>
      </c>
      <c r="C2150" s="5" t="inlineStr">
        <is>
          <t>CLASS L: PIPEWORK SUPPORTS AND PROTECTION, ANCILLARIES TO LAYING AND EXCAVATION</t>
        </is>
      </c>
      <c r="D2150" s="5" t="inlineStr">
        <is>
          <t>03 BEDS</t>
        </is>
      </c>
      <c r="E2150" s="5" t="inlineStr">
        <is>
          <t>Imported sand; 100 mm deep bed for pipes nominal bore</t>
        </is>
      </c>
      <c r="F2150" s="5" t="inlineStr">
        <is>
          <t>300 mm</t>
        </is>
      </c>
      <c r="G2150" s="6" t="inlineStr">
        <is>
          <t>m</t>
        </is>
      </c>
      <c r="H2150" s="7" t="n">
        <v>0.04</v>
      </c>
      <c r="I2150" s="8" t="n">
        <v>3.37</v>
      </c>
      <c r="J2150" s="8" t="n">
        <v>3.1</v>
      </c>
      <c r="K2150" s="8" t="n">
        <v>5.79</v>
      </c>
      <c r="L2150" s="8" t="n">
        <v>0</v>
      </c>
      <c r="M2150" s="9">
        <f>ROUND(SUM(I2150:L2150),2)</f>
        <v/>
      </c>
      <c r="N2150" s="10">
        <f>ROUND(I2150*'Irish Basis'!$C$6*'Irish Basis'!$C$5,2)</f>
        <v/>
      </c>
      <c r="O2150" s="10">
        <f>ROUND(J2150*'Irish Basis'!$C$7*'Irish Basis'!$C$5,2)</f>
        <v/>
      </c>
      <c r="P2150" s="10">
        <f>ROUND(K2150*'Irish Basis'!$C$8*'Irish Basis'!$C$5,2)</f>
        <v/>
      </c>
      <c r="Q2150" s="10">
        <f>ROUND(L2150*'Irish Basis'!$C$12*'Irish Basis'!$C$5,2)</f>
        <v/>
      </c>
      <c r="R2150" s="11">
        <f>ROUND(SUM(N2150:Q2150),2)</f>
        <v/>
      </c>
      <c r="S2150" s="5" t="inlineStr">
        <is>
          <t>Material recovered as residual</t>
        </is>
      </c>
      <c r="T2150" s="18" t="inlineStr">
        <is>
          <t>Medium-High</t>
        </is>
      </c>
      <c r="U2150" s="8" t="n">
        <v>12.26</v>
      </c>
      <c r="V2150" s="13">
        <f>IF(U2150="","",ROUND(M2150-U2150,2))</f>
        <v/>
      </c>
      <c r="W2150" s="5" t="n"/>
      <c r="X2150" s="5" t="inlineStr">
        <is>
          <t>Material column missing in source; recovered as published rate less labour and plant (£5.79). Verified against comparable items in the same section.</t>
        </is>
      </c>
    </row>
    <row r="2151" ht="13" customHeight="1">
      <c r="A2151" s="4" t="n">
        <v>3260</v>
      </c>
      <c r="B2151" s="5" t="inlineStr">
        <is>
          <t>IMG_0109</t>
        </is>
      </c>
      <c r="C2151" s="5" t="inlineStr">
        <is>
          <t>CLASS L: PIPEWORK SUPPORTS AND PROTECTION, ANCILLARIES TO LAYING AND EXCAVATION</t>
        </is>
      </c>
      <c r="D2151" s="5" t="inlineStr">
        <is>
          <t>03 BEDS</t>
        </is>
      </c>
      <c r="E2151" s="5" t="inlineStr">
        <is>
          <t>Imported sand; 150 mm deep bed for pipes nominal bore</t>
        </is>
      </c>
      <c r="F2151" s="5" t="inlineStr">
        <is>
          <t>150 mm</t>
        </is>
      </c>
      <c r="G2151" s="6" t="inlineStr">
        <is>
          <t>m</t>
        </is>
      </c>
      <c r="H2151" s="7" t="n">
        <v>0.06</v>
      </c>
      <c r="I2151" s="8" t="n">
        <v>5.05</v>
      </c>
      <c r="J2151" s="8" t="n">
        <v>4.65</v>
      </c>
      <c r="K2151" s="8" t="n">
        <v>7.17</v>
      </c>
      <c r="L2151" s="8" t="n">
        <v>0</v>
      </c>
      <c r="M2151" s="9">
        <f>ROUND(SUM(I2151:L2151),2)</f>
        <v/>
      </c>
      <c r="N2151" s="10">
        <f>ROUND(I2151*'Irish Basis'!$C$6*'Irish Basis'!$C$5,2)</f>
        <v/>
      </c>
      <c r="O2151" s="10">
        <f>ROUND(J2151*'Irish Basis'!$C$7*'Irish Basis'!$C$5,2)</f>
        <v/>
      </c>
      <c r="P2151" s="10">
        <f>ROUND(K2151*'Irish Basis'!$C$8*'Irish Basis'!$C$5,2)</f>
        <v/>
      </c>
      <c r="Q2151" s="10">
        <f>ROUND(L2151*'Irish Basis'!$C$12*'Irish Basis'!$C$5,2)</f>
        <v/>
      </c>
      <c r="R2151" s="11">
        <f>ROUND(SUM(N2151:Q2151),2)</f>
        <v/>
      </c>
      <c r="S2151" s="5" t="inlineStr">
        <is>
          <t>Material recovered as residual</t>
        </is>
      </c>
      <c r="T2151" s="18" t="inlineStr">
        <is>
          <t>Medium-High</t>
        </is>
      </c>
      <c r="U2151" s="8" t="n">
        <v>16.87</v>
      </c>
      <c r="V2151" s="13">
        <f>IF(U2151="","",ROUND(M2151-U2151,2))</f>
        <v/>
      </c>
      <c r="W2151" s="5" t="n"/>
      <c r="X2151" s="5" t="inlineStr">
        <is>
          <t>Material column missing in source; recovered as published rate less labour and plant (£7.17). Verified against comparable items in the same section.</t>
        </is>
      </c>
    </row>
    <row r="2152" ht="13" customHeight="1">
      <c r="A2152" s="4" t="n">
        <v>3261</v>
      </c>
      <c r="B2152" s="5" t="inlineStr">
        <is>
          <t>IMG_0109</t>
        </is>
      </c>
      <c r="C2152" s="5" t="inlineStr">
        <is>
          <t>CLASS L: PIPEWORK SUPPORTS AND PROTECTION, ANCILLARIES TO LAYING AND EXCAVATION</t>
        </is>
      </c>
      <c r="D2152" s="5" t="inlineStr">
        <is>
          <t>03 BEDS</t>
        </is>
      </c>
      <c r="E2152" s="5" t="inlineStr">
        <is>
          <t>Imported sand; 150 mm deep bed for pipes nominal bore</t>
        </is>
      </c>
      <c r="F2152" s="5" t="inlineStr">
        <is>
          <t>225 mm</t>
        </is>
      </c>
      <c r="G2152" s="6" t="inlineStr">
        <is>
          <t>m</t>
        </is>
      </c>
      <c r="H2152" s="7" t="n">
        <v>0.07000000000000001</v>
      </c>
      <c r="I2152" s="8" t="n">
        <v>5.89</v>
      </c>
      <c r="J2152" s="8" t="n">
        <v>5.43</v>
      </c>
      <c r="K2152" s="8" t="n">
        <v>8.279999999999999</v>
      </c>
      <c r="L2152" s="8" t="n">
        <v>0</v>
      </c>
      <c r="M2152" s="9">
        <f>ROUND(SUM(I2152:L2152),2)</f>
        <v/>
      </c>
      <c r="N2152" s="10">
        <f>ROUND(I2152*'Irish Basis'!$C$6*'Irish Basis'!$C$5,2)</f>
        <v/>
      </c>
      <c r="O2152" s="10">
        <f>ROUND(J2152*'Irish Basis'!$C$7*'Irish Basis'!$C$5,2)</f>
        <v/>
      </c>
      <c r="P2152" s="10">
        <f>ROUND(K2152*'Irish Basis'!$C$8*'Irish Basis'!$C$5,2)</f>
        <v/>
      </c>
      <c r="Q2152" s="10">
        <f>ROUND(L2152*'Irish Basis'!$C$12*'Irish Basis'!$C$5,2)</f>
        <v/>
      </c>
      <c r="R2152" s="11">
        <f>ROUND(SUM(N2152:Q2152),2)</f>
        <v/>
      </c>
      <c r="S2152" s="5" t="inlineStr">
        <is>
          <t>Material recovered as residual</t>
        </is>
      </c>
      <c r="T2152" s="18" t="inlineStr">
        <is>
          <t>Medium-High</t>
        </is>
      </c>
      <c r="U2152" s="8" t="n">
        <v>19.6</v>
      </c>
      <c r="V2152" s="13">
        <f>IF(U2152="","",ROUND(M2152-U2152,2))</f>
        <v/>
      </c>
      <c r="W2152" s="5" t="n"/>
      <c r="X2152" s="5" t="inlineStr">
        <is>
          <t>Material column missing in source; recovered as published rate less labour and plant (£8.28). Verified against comparable items in the same section.</t>
        </is>
      </c>
    </row>
    <row r="2153" ht="13" customHeight="1">
      <c r="A2153" s="4" t="n">
        <v>3262</v>
      </c>
      <c r="B2153" s="5" t="inlineStr">
        <is>
          <t>IMG_0109</t>
        </is>
      </c>
      <c r="C2153" s="5" t="inlineStr">
        <is>
          <t>CLASS L: PIPEWORK SUPPORTS AND PROTECTION, ANCILLARIES TO LAYING AND EXCAVATION</t>
        </is>
      </c>
      <c r="D2153" s="5" t="inlineStr">
        <is>
          <t>03 BEDS</t>
        </is>
      </c>
      <c r="E2153" s="5" t="inlineStr">
        <is>
          <t>Imported sand; 150 mm deep bed for pipes nominal bore</t>
        </is>
      </c>
      <c r="F2153" s="5" t="inlineStr">
        <is>
          <t>300 mm</t>
        </is>
      </c>
      <c r="G2153" s="6" t="inlineStr">
        <is>
          <t>m</t>
        </is>
      </c>
      <c r="H2153" s="7" t="n">
        <v>0.09</v>
      </c>
      <c r="I2153" s="8" t="n">
        <v>7.58</v>
      </c>
      <c r="J2153" s="8" t="n">
        <v>6.98</v>
      </c>
      <c r="K2153" s="8" t="n">
        <v>8.76</v>
      </c>
      <c r="L2153" s="8" t="n">
        <v>0</v>
      </c>
      <c r="M2153" s="9">
        <f>ROUND(SUM(I2153:L2153),2)</f>
        <v/>
      </c>
      <c r="N2153" s="10">
        <f>ROUND(I2153*'Irish Basis'!$C$6*'Irish Basis'!$C$5,2)</f>
        <v/>
      </c>
      <c r="O2153" s="10">
        <f>ROUND(J2153*'Irish Basis'!$C$7*'Irish Basis'!$C$5,2)</f>
        <v/>
      </c>
      <c r="P2153" s="10">
        <f>ROUND(K2153*'Irish Basis'!$C$8*'Irish Basis'!$C$5,2)</f>
        <v/>
      </c>
      <c r="Q2153" s="10">
        <f>ROUND(L2153*'Irish Basis'!$C$12*'Irish Basis'!$C$5,2)</f>
        <v/>
      </c>
      <c r="R2153" s="11">
        <f>ROUND(SUM(N2153:Q2153),2)</f>
        <v/>
      </c>
      <c r="S2153" s="5" t="inlineStr">
        <is>
          <t>Material recovered as residual</t>
        </is>
      </c>
      <c r="T2153" s="18" t="inlineStr">
        <is>
          <t>Medium-High</t>
        </is>
      </c>
      <c r="U2153" s="8" t="n">
        <v>23.32</v>
      </c>
      <c r="V2153" s="13">
        <f>IF(U2153="","",ROUND(M2153-U2153,2))</f>
        <v/>
      </c>
      <c r="W2153" s="5" t="n"/>
      <c r="X2153" s="5" t="inlineStr">
        <is>
          <t>Material column missing in source; recovered as published rate less labour and plant (£8.76). Verified against comparable items in the same section.</t>
        </is>
      </c>
    </row>
    <row r="2154" ht="13" customHeight="1">
      <c r="A2154" s="4" t="n">
        <v>3263</v>
      </c>
      <c r="B2154" s="5" t="inlineStr">
        <is>
          <t>IMG_0109</t>
        </is>
      </c>
      <c r="C2154" s="5" t="inlineStr">
        <is>
          <t>CLASS L: PIPEWORK SUPPORTS AND PROTECTION, ANCILLARIES TO LAYING AND EXCAVATION</t>
        </is>
      </c>
      <c r="D2154" s="5" t="inlineStr">
        <is>
          <t>03 BEDS</t>
        </is>
      </c>
      <c r="E2154" s="5" t="inlineStr">
        <is>
          <t>Imported sand; 150 mm deep bed for pipes nominal bore</t>
        </is>
      </c>
      <c r="F2154" s="5" t="inlineStr">
        <is>
          <t>400 mm</t>
        </is>
      </c>
      <c r="G2154" s="6" t="inlineStr">
        <is>
          <t>m</t>
        </is>
      </c>
      <c r="H2154" s="7" t="n">
        <v>0.12</v>
      </c>
      <c r="I2154" s="8" t="n">
        <v>10.1</v>
      </c>
      <c r="J2154" s="8" t="n">
        <v>9.300000000000001</v>
      </c>
      <c r="K2154" s="8" t="n">
        <v>9.82</v>
      </c>
      <c r="L2154" s="8" t="n">
        <v>0</v>
      </c>
      <c r="M2154" s="9">
        <f>ROUND(SUM(I2154:L2154),2)</f>
        <v/>
      </c>
      <c r="N2154" s="10">
        <f>ROUND(I2154*'Irish Basis'!$C$6*'Irish Basis'!$C$5,2)</f>
        <v/>
      </c>
      <c r="O2154" s="10">
        <f>ROUND(J2154*'Irish Basis'!$C$7*'Irish Basis'!$C$5,2)</f>
        <v/>
      </c>
      <c r="P2154" s="10">
        <f>ROUND(K2154*'Irish Basis'!$C$8*'Irish Basis'!$C$5,2)</f>
        <v/>
      </c>
      <c r="Q2154" s="10">
        <f>ROUND(L2154*'Irish Basis'!$C$12*'Irish Basis'!$C$5,2)</f>
        <v/>
      </c>
      <c r="R2154" s="11">
        <f>ROUND(SUM(N2154:Q2154),2)</f>
        <v/>
      </c>
      <c r="S2154" s="5" t="inlineStr">
        <is>
          <t>Material recovered as residual</t>
        </is>
      </c>
      <c r="T2154" s="18" t="inlineStr">
        <is>
          <t>Medium-High</t>
        </is>
      </c>
      <c r="U2154" s="8" t="n">
        <v>29.22</v>
      </c>
      <c r="V2154" s="13">
        <f>IF(U2154="","",ROUND(M2154-U2154,2))</f>
        <v/>
      </c>
      <c r="W2154" s="5" t="n"/>
      <c r="X2154" s="5" t="inlineStr">
        <is>
          <t>Material column missing in source; recovered as published rate less labour and plant (£9.82). Verified against comparable items in the same section.</t>
        </is>
      </c>
    </row>
    <row r="2155" ht="13" customHeight="1">
      <c r="A2155" s="4" t="n">
        <v>3264</v>
      </c>
      <c r="B2155" s="5" t="inlineStr">
        <is>
          <t>IMG_0109</t>
        </is>
      </c>
      <c r="C2155" s="5" t="inlineStr">
        <is>
          <t>CLASS L: PIPEWORK SUPPORTS AND PROTECTION, ANCILLARIES TO LAYING AND EXCAVATION</t>
        </is>
      </c>
      <c r="D2155" s="5" t="inlineStr">
        <is>
          <t>03 BEDS</t>
        </is>
      </c>
      <c r="E2155" s="5" t="inlineStr">
        <is>
          <t>Imported sand; 150 mm deep bed for pipes nominal bore</t>
        </is>
      </c>
      <c r="F2155" s="5" t="inlineStr">
        <is>
          <t>450 mm</t>
        </is>
      </c>
      <c r="G2155" s="6" t="inlineStr">
        <is>
          <t>m</t>
        </is>
      </c>
      <c r="H2155" s="7" t="n">
        <v>0.14</v>
      </c>
      <c r="I2155" s="8" t="n">
        <v>11.79</v>
      </c>
      <c r="J2155" s="8" t="n">
        <v>10.85</v>
      </c>
      <c r="K2155" s="8" t="n">
        <v>11.49</v>
      </c>
      <c r="L2155" s="8" t="n">
        <v>0</v>
      </c>
      <c r="M2155" s="9">
        <f>ROUND(SUM(I2155:L2155),2)</f>
        <v/>
      </c>
      <c r="N2155" s="10">
        <f>ROUND(I2155*'Irish Basis'!$C$6*'Irish Basis'!$C$5,2)</f>
        <v/>
      </c>
      <c r="O2155" s="10">
        <f>ROUND(J2155*'Irish Basis'!$C$7*'Irish Basis'!$C$5,2)</f>
        <v/>
      </c>
      <c r="P2155" s="10">
        <f>ROUND(K2155*'Irish Basis'!$C$8*'Irish Basis'!$C$5,2)</f>
        <v/>
      </c>
      <c r="Q2155" s="10">
        <f>ROUND(L2155*'Irish Basis'!$C$12*'Irish Basis'!$C$5,2)</f>
        <v/>
      </c>
      <c r="R2155" s="11">
        <f>ROUND(SUM(N2155:Q2155),2)</f>
        <v/>
      </c>
      <c r="S2155" s="5" t="inlineStr">
        <is>
          <t>Material recovered as residual</t>
        </is>
      </c>
      <c r="T2155" s="18" t="inlineStr">
        <is>
          <t>Medium-High</t>
        </is>
      </c>
      <c r="U2155" s="8" t="n">
        <v>34.13</v>
      </c>
      <c r="V2155" s="13">
        <f>IF(U2155="","",ROUND(M2155-U2155,2))</f>
        <v/>
      </c>
      <c r="W2155" s="5" t="n"/>
      <c r="X2155" s="5" t="inlineStr">
        <is>
          <t>Material column missing in source; recovered as published rate less labour and plant (£11.49). Verified against comparable items in the same section.</t>
        </is>
      </c>
    </row>
    <row r="2156" ht="13" customHeight="1">
      <c r="A2156" s="4" t="n">
        <v>3265</v>
      </c>
      <c r="B2156" s="5" t="inlineStr">
        <is>
          <t>IMG_0109</t>
        </is>
      </c>
      <c r="C2156" s="5" t="inlineStr">
        <is>
          <t>CLASS L: PIPEWORK SUPPORTS AND PROTECTION, ANCILLARIES TO LAYING AND EXCAVATION</t>
        </is>
      </c>
      <c r="D2156" s="5" t="inlineStr">
        <is>
          <t>03 BEDS</t>
        </is>
      </c>
      <c r="E2156" s="5" t="inlineStr">
        <is>
          <t>Imported sand; 150 mm deep bed for pipes nominal bore</t>
        </is>
      </c>
      <c r="F2156" s="5" t="inlineStr">
        <is>
          <t>600 mm</t>
        </is>
      </c>
      <c r="G2156" s="6" t="inlineStr">
        <is>
          <t>m</t>
        </is>
      </c>
      <c r="H2156" s="7" t="n">
        <v>0.17</v>
      </c>
      <c r="I2156" s="8" t="n">
        <v>14.31</v>
      </c>
      <c r="J2156" s="8" t="n">
        <v>13.18</v>
      </c>
      <c r="K2156" s="8" t="n">
        <v>14.2</v>
      </c>
      <c r="L2156" s="8" t="n">
        <v>0</v>
      </c>
      <c r="M2156" s="9">
        <f>ROUND(SUM(I2156:L2156),2)</f>
        <v/>
      </c>
      <c r="N2156" s="10">
        <f>ROUND(I2156*'Irish Basis'!$C$6*'Irish Basis'!$C$5,2)</f>
        <v/>
      </c>
      <c r="O2156" s="10">
        <f>ROUND(J2156*'Irish Basis'!$C$7*'Irish Basis'!$C$5,2)</f>
        <v/>
      </c>
      <c r="P2156" s="10">
        <f>ROUND(K2156*'Irish Basis'!$C$8*'Irish Basis'!$C$5,2)</f>
        <v/>
      </c>
      <c r="Q2156" s="10">
        <f>ROUND(L2156*'Irish Basis'!$C$12*'Irish Basis'!$C$5,2)</f>
        <v/>
      </c>
      <c r="R2156" s="11">
        <f>ROUND(SUM(N2156:Q2156),2)</f>
        <v/>
      </c>
      <c r="S2156" s="5" t="inlineStr">
        <is>
          <t>Material recovered as residual</t>
        </is>
      </c>
      <c r="T2156" s="18" t="inlineStr">
        <is>
          <t>Medium-High</t>
        </is>
      </c>
      <c r="U2156" s="8" t="n">
        <v>41.69</v>
      </c>
      <c r="V2156" s="13">
        <f>IF(U2156="","",ROUND(M2156-U2156,2))</f>
        <v/>
      </c>
      <c r="W2156" s="5" t="n"/>
      <c r="X2156" s="5" t="inlineStr">
        <is>
          <t>Material column missing in source; recovered as published rate less labour and plant (£14.20). Verified against comparable items in the same section.</t>
        </is>
      </c>
    </row>
    <row r="2157" ht="13" customHeight="1">
      <c r="A2157" s="4" t="n">
        <v>3266</v>
      </c>
      <c r="B2157" s="5" t="inlineStr">
        <is>
          <t>IMG_0109</t>
        </is>
      </c>
      <c r="C2157" s="5" t="inlineStr">
        <is>
          <t>CLASS L: PIPEWORK SUPPORTS AND PROTECTION, ANCILLARIES TO LAYING AND EXCAVATION</t>
        </is>
      </c>
      <c r="D2157" s="5" t="inlineStr">
        <is>
          <t>03 BEDS</t>
        </is>
      </c>
      <c r="E2157" s="5" t="inlineStr">
        <is>
          <t>Imported sand; 150 mm deep bed for pipes nominal bore</t>
        </is>
      </c>
      <c r="F2157" s="5" t="inlineStr">
        <is>
          <t>750 mm</t>
        </is>
      </c>
      <c r="G2157" s="6" t="inlineStr">
        <is>
          <t>m</t>
        </is>
      </c>
      <c r="H2157" s="7" t="n">
        <v>0.19</v>
      </c>
      <c r="I2157" s="8" t="n">
        <v>15.99</v>
      </c>
      <c r="J2157" s="8" t="n">
        <v>14.73</v>
      </c>
      <c r="K2157" s="8" t="n">
        <v>15.88</v>
      </c>
      <c r="L2157" s="8" t="n">
        <v>0</v>
      </c>
      <c r="M2157" s="9">
        <f>ROUND(SUM(I2157:L2157),2)</f>
        <v/>
      </c>
      <c r="N2157" s="10">
        <f>ROUND(I2157*'Irish Basis'!$C$6*'Irish Basis'!$C$5,2)</f>
        <v/>
      </c>
      <c r="O2157" s="10">
        <f>ROUND(J2157*'Irish Basis'!$C$7*'Irish Basis'!$C$5,2)</f>
        <v/>
      </c>
      <c r="P2157" s="10">
        <f>ROUND(K2157*'Irish Basis'!$C$8*'Irish Basis'!$C$5,2)</f>
        <v/>
      </c>
      <c r="Q2157" s="10">
        <f>ROUND(L2157*'Irish Basis'!$C$12*'Irish Basis'!$C$5,2)</f>
        <v/>
      </c>
      <c r="R2157" s="11">
        <f>ROUND(SUM(N2157:Q2157),2)</f>
        <v/>
      </c>
      <c r="S2157" s="5" t="inlineStr">
        <is>
          <t>Material recovered as residual</t>
        </is>
      </c>
      <c r="T2157" s="18" t="inlineStr">
        <is>
          <t>Medium-High</t>
        </is>
      </c>
      <c r="U2157" s="8" t="n">
        <v>46.6</v>
      </c>
      <c r="V2157" s="13">
        <f>IF(U2157="","",ROUND(M2157-U2157,2))</f>
        <v/>
      </c>
      <c r="W2157" s="5" t="n"/>
      <c r="X2157" s="5" t="inlineStr">
        <is>
          <t>Material column missing in source; recovered as published rate less labour and plant (£15.88). Verified against comparable items in the same section.</t>
        </is>
      </c>
    </row>
    <row r="2158" ht="13" customHeight="1">
      <c r="A2158" s="4" t="n">
        <v>3267</v>
      </c>
      <c r="B2158" s="5" t="inlineStr">
        <is>
          <t>IMG_0109</t>
        </is>
      </c>
      <c r="C2158" s="5" t="inlineStr">
        <is>
          <t>CLASS L: PIPEWORK SUPPORTS AND PROTECTION, ANCILLARIES TO LAYING AND EXCAVATION</t>
        </is>
      </c>
      <c r="D2158" s="5" t="inlineStr">
        <is>
          <t>03 BEDS</t>
        </is>
      </c>
      <c r="E2158" s="5" t="inlineStr">
        <is>
          <t>Imported sand; 150 mm deep bed for pipes nominal bore</t>
        </is>
      </c>
      <c r="F2158" s="5" t="inlineStr">
        <is>
          <t>900 mm</t>
        </is>
      </c>
      <c r="G2158" s="6" t="inlineStr">
        <is>
          <t>m</t>
        </is>
      </c>
      <c r="H2158" s="7" t="n">
        <v>0.21</v>
      </c>
      <c r="I2158" s="8" t="n">
        <v>17.68</v>
      </c>
      <c r="J2158" s="8" t="n">
        <v>16.28</v>
      </c>
      <c r="K2158" s="8" t="n">
        <v>18.59</v>
      </c>
      <c r="L2158" s="8" t="n">
        <v>0</v>
      </c>
      <c r="M2158" s="9">
        <f>ROUND(SUM(I2158:L2158),2)</f>
        <v/>
      </c>
      <c r="N2158" s="10">
        <f>ROUND(I2158*'Irish Basis'!$C$6*'Irish Basis'!$C$5,2)</f>
        <v/>
      </c>
      <c r="O2158" s="10">
        <f>ROUND(J2158*'Irish Basis'!$C$7*'Irish Basis'!$C$5,2)</f>
        <v/>
      </c>
      <c r="P2158" s="10">
        <f>ROUND(K2158*'Irish Basis'!$C$8*'Irish Basis'!$C$5,2)</f>
        <v/>
      </c>
      <c r="Q2158" s="10">
        <f>ROUND(L2158*'Irish Basis'!$C$12*'Irish Basis'!$C$5,2)</f>
        <v/>
      </c>
      <c r="R2158" s="11">
        <f>ROUND(SUM(N2158:Q2158),2)</f>
        <v/>
      </c>
      <c r="S2158" s="5" t="inlineStr">
        <is>
          <t>Material recovered as residual</t>
        </is>
      </c>
      <c r="T2158" s="18" t="inlineStr">
        <is>
          <t>Medium-High</t>
        </is>
      </c>
      <c r="U2158" s="8" t="n">
        <v>52.55</v>
      </c>
      <c r="V2158" s="13">
        <f>IF(U2158="","",ROUND(M2158-U2158,2))</f>
        <v/>
      </c>
      <c r="W2158" s="5" t="n"/>
      <c r="X2158" s="5" t="inlineStr">
        <is>
          <t>Material column missing in source; recovered as published rate less labour and plant (£18.59). Verified against comparable items in the same section.</t>
        </is>
      </c>
    </row>
    <row r="2159" ht="13" customHeight="1">
      <c r="A2159" s="4" t="n">
        <v>3268</v>
      </c>
      <c r="B2159" s="5" t="inlineStr">
        <is>
          <t>IMG_0109</t>
        </is>
      </c>
      <c r="C2159" s="5" t="inlineStr">
        <is>
          <t>CLASS L: PIPEWORK SUPPORTS AND PROTECTION, ANCILLARIES TO LAYING AND EXCAVATION</t>
        </is>
      </c>
      <c r="D2159" s="5" t="inlineStr">
        <is>
          <t>03 BEDS</t>
        </is>
      </c>
      <c r="E2159" s="5" t="inlineStr">
        <is>
          <t>Imported sand; 150 mm deep bed for pipes nominal bore</t>
        </is>
      </c>
      <c r="F2159" s="5" t="inlineStr">
        <is>
          <t>1200 mm</t>
        </is>
      </c>
      <c r="G2159" s="6" t="inlineStr">
        <is>
          <t>m</t>
        </is>
      </c>
      <c r="H2159" s="7" t="n">
        <v>0.25</v>
      </c>
      <c r="I2159" s="8" t="n">
        <v>21.05</v>
      </c>
      <c r="J2159" s="8" t="n">
        <v>19.38</v>
      </c>
      <c r="K2159" s="8" t="n">
        <v>21.85</v>
      </c>
      <c r="L2159" s="8" t="n">
        <v>0</v>
      </c>
      <c r="M2159" s="9">
        <f>ROUND(SUM(I2159:L2159),2)</f>
        <v/>
      </c>
      <c r="N2159" s="10">
        <f>ROUND(I2159*'Irish Basis'!$C$6*'Irish Basis'!$C$5,2)</f>
        <v/>
      </c>
      <c r="O2159" s="10">
        <f>ROUND(J2159*'Irish Basis'!$C$7*'Irish Basis'!$C$5,2)</f>
        <v/>
      </c>
      <c r="P2159" s="10">
        <f>ROUND(K2159*'Irish Basis'!$C$8*'Irish Basis'!$C$5,2)</f>
        <v/>
      </c>
      <c r="Q2159" s="10">
        <f>ROUND(L2159*'Irish Basis'!$C$12*'Irish Basis'!$C$5,2)</f>
        <v/>
      </c>
      <c r="R2159" s="11">
        <f>ROUND(SUM(N2159:Q2159),2)</f>
        <v/>
      </c>
      <c r="S2159" s="5" t="inlineStr">
        <is>
          <t>Material recovered as residual</t>
        </is>
      </c>
      <c r="T2159" s="18" t="inlineStr">
        <is>
          <t>Medium-High</t>
        </is>
      </c>
      <c r="U2159" s="8" t="n">
        <v>62.28</v>
      </c>
      <c r="V2159" s="13">
        <f>IF(U2159="","",ROUND(M2159-U2159,2))</f>
        <v/>
      </c>
      <c r="W2159" s="5" t="n"/>
      <c r="X2159" s="5" t="inlineStr">
        <is>
          <t>Material column missing in source; recovered as published rate less labour and plant (£21.85). Verified against comparable items in the same section.</t>
        </is>
      </c>
    </row>
    <row r="2160" ht="13" customHeight="1">
      <c r="A2160" s="4" t="n">
        <v>3270</v>
      </c>
      <c r="B2160" s="5" t="inlineStr">
        <is>
          <t>IMG_0109</t>
        </is>
      </c>
      <c r="C2160" s="5" t="inlineStr">
        <is>
          <t>CLASS L: PIPEWORK SUPPORTS AND PROTECTION, ANCILLARIES TO LAYING AND EXCAVATION</t>
        </is>
      </c>
      <c r="D2160" s="5" t="inlineStr">
        <is>
          <t>03 BEDS</t>
        </is>
      </c>
      <c r="E2160" s="5" t="inlineStr">
        <is>
          <t>Imported granular material; 100 mm deep bed for pipes nominal bore</t>
        </is>
      </c>
      <c r="F2160" s="5" t="inlineStr">
        <is>
          <t>100 mm</t>
        </is>
      </c>
      <c r="G2160" s="6" t="inlineStr">
        <is>
          <t>m</t>
        </is>
      </c>
      <c r="H2160" s="7" t="n">
        <v>0.02</v>
      </c>
      <c r="I2160" s="8" t="n">
        <v>1.68</v>
      </c>
      <c r="J2160" s="8" t="n">
        <v>1.55</v>
      </c>
      <c r="K2160" s="8" t="n">
        <v>7.44</v>
      </c>
      <c r="L2160" s="8" t="n">
        <v>0</v>
      </c>
      <c r="M2160" s="9">
        <f>ROUND(SUM(I2160:L2160),2)</f>
        <v/>
      </c>
      <c r="N2160" s="10">
        <f>ROUND(I2160*'Irish Basis'!$C$6*'Irish Basis'!$C$5,2)</f>
        <v/>
      </c>
      <c r="O2160" s="10">
        <f>ROUND(J2160*'Irish Basis'!$C$7*'Irish Basis'!$C$5,2)</f>
        <v/>
      </c>
      <c r="P2160" s="10">
        <f>ROUND(K2160*'Irish Basis'!$C$8*'Irish Basis'!$C$5,2)</f>
        <v/>
      </c>
      <c r="Q2160" s="10">
        <f>ROUND(L2160*'Irish Basis'!$C$12*'Irish Basis'!$C$5,2)</f>
        <v/>
      </c>
      <c r="R2160" s="11">
        <f>ROUND(SUM(N2160:Q2160),2)</f>
        <v/>
      </c>
      <c r="S2160" s="5" t="inlineStr">
        <is>
          <t>Stated build-up</t>
        </is>
      </c>
      <c r="T2160" s="12" t="inlineStr">
        <is>
          <t>High</t>
        </is>
      </c>
      <c r="U2160" s="8" t="n">
        <v>10.68</v>
      </c>
      <c r="V2160" s="13">
        <f>IF(U2160="","",ROUND(M2160-U2160,2))</f>
        <v/>
      </c>
      <c r="W2160" s="5" t="n"/>
      <c r="X2160" s="5" t="inlineStr">
        <is>
          <t>Labour + plant + material as published; reconciles to the published rate.</t>
        </is>
      </c>
    </row>
    <row r="2161" ht="13" customHeight="1">
      <c r="A2161" s="4" t="n">
        <v>3271</v>
      </c>
      <c r="B2161" s="5" t="inlineStr">
        <is>
          <t>IMG_0109</t>
        </is>
      </c>
      <c r="C2161" s="5" t="inlineStr">
        <is>
          <t>CLASS L: PIPEWORK SUPPORTS AND PROTECTION, ANCILLARIES TO LAYING AND EXCAVATION</t>
        </is>
      </c>
      <c r="D2161" s="5" t="inlineStr">
        <is>
          <t>03 BEDS</t>
        </is>
      </c>
      <c r="E2161" s="5" t="inlineStr">
        <is>
          <t>Imported granular material; 100 mm deep bed for pipes nominal bore</t>
        </is>
      </c>
      <c r="F2161" s="5" t="inlineStr">
        <is>
          <t>150 mm</t>
        </is>
      </c>
      <c r="G2161" s="6" t="inlineStr">
        <is>
          <t>m</t>
        </is>
      </c>
      <c r="H2161" s="7" t="n">
        <v>0.03</v>
      </c>
      <c r="I2161" s="8" t="n">
        <v>2.53</v>
      </c>
      <c r="J2161" s="8" t="n">
        <v>2.33</v>
      </c>
      <c r="K2161" s="8" t="n">
        <v>8.07</v>
      </c>
      <c r="L2161" s="8" t="n">
        <v>0</v>
      </c>
      <c r="M2161" s="9">
        <f>ROUND(SUM(I2161:L2161),2)</f>
        <v/>
      </c>
      <c r="N2161" s="10">
        <f>ROUND(I2161*'Irish Basis'!$C$6*'Irish Basis'!$C$5,2)</f>
        <v/>
      </c>
      <c r="O2161" s="10">
        <f>ROUND(J2161*'Irish Basis'!$C$7*'Irish Basis'!$C$5,2)</f>
        <v/>
      </c>
      <c r="P2161" s="10">
        <f>ROUND(K2161*'Irish Basis'!$C$8*'Irish Basis'!$C$5,2)</f>
        <v/>
      </c>
      <c r="Q2161" s="10">
        <f>ROUND(L2161*'Irish Basis'!$C$12*'Irish Basis'!$C$5,2)</f>
        <v/>
      </c>
      <c r="R2161" s="11">
        <f>ROUND(SUM(N2161:Q2161),2)</f>
        <v/>
      </c>
      <c r="S2161" s="5" t="inlineStr">
        <is>
          <t>Stated build-up</t>
        </is>
      </c>
      <c r="T2161" s="12" t="inlineStr">
        <is>
          <t>High</t>
        </is>
      </c>
      <c r="U2161" s="8" t="n">
        <v>12.92</v>
      </c>
      <c r="V2161" s="13">
        <f>IF(U2161="","",ROUND(M2161-U2161,2))</f>
        <v/>
      </c>
      <c r="W2161" s="5" t="n"/>
      <c r="X2161" s="5" t="inlineStr">
        <is>
          <t>Labour + plant + material as published; reconciles to the published rate.</t>
        </is>
      </c>
    </row>
    <row r="2162" ht="13" customHeight="1">
      <c r="A2162" s="4" t="n">
        <v>3272</v>
      </c>
      <c r="B2162" s="5" t="inlineStr">
        <is>
          <t>IMG_0109</t>
        </is>
      </c>
      <c r="C2162" s="5" t="inlineStr">
        <is>
          <t>CLASS L: PIPEWORK SUPPORTS AND PROTECTION, ANCILLARIES TO LAYING AND EXCAVATION</t>
        </is>
      </c>
      <c r="D2162" s="5" t="inlineStr">
        <is>
          <t>03 BEDS</t>
        </is>
      </c>
      <c r="E2162" s="5" t="inlineStr">
        <is>
          <t>Imported granular material; 100 mm deep bed for pipes nominal bore</t>
        </is>
      </c>
      <c r="F2162" s="5" t="inlineStr">
        <is>
          <t>225 mm</t>
        </is>
      </c>
      <c r="G2162" s="6" t="inlineStr">
        <is>
          <t>m</t>
        </is>
      </c>
      <c r="H2162" s="7" t="n">
        <v>0.04</v>
      </c>
      <c r="I2162" s="8" t="n">
        <v>3.37</v>
      </c>
      <c r="J2162" s="8" t="n">
        <v>3.1</v>
      </c>
      <c r="K2162" s="8" t="n">
        <v>9.25</v>
      </c>
      <c r="L2162" s="8" t="n">
        <v>0</v>
      </c>
      <c r="M2162" s="9">
        <f>ROUND(SUM(I2162:L2162),2)</f>
        <v/>
      </c>
      <c r="N2162" s="10">
        <f>ROUND(I2162*'Irish Basis'!$C$6*'Irish Basis'!$C$5,2)</f>
        <v/>
      </c>
      <c r="O2162" s="10">
        <f>ROUND(J2162*'Irish Basis'!$C$7*'Irish Basis'!$C$5,2)</f>
        <v/>
      </c>
      <c r="P2162" s="10">
        <f>ROUND(K2162*'Irish Basis'!$C$8*'Irish Basis'!$C$5,2)</f>
        <v/>
      </c>
      <c r="Q2162" s="10">
        <f>ROUND(L2162*'Irish Basis'!$C$12*'Irish Basis'!$C$5,2)</f>
        <v/>
      </c>
      <c r="R2162" s="11">
        <f>ROUND(SUM(N2162:Q2162),2)</f>
        <v/>
      </c>
      <c r="S2162" s="5" t="inlineStr">
        <is>
          <t>Stated build-up</t>
        </is>
      </c>
      <c r="T2162" s="12" t="inlineStr">
        <is>
          <t>High</t>
        </is>
      </c>
      <c r="U2162" s="8" t="n">
        <v>15.72</v>
      </c>
      <c r="V2162" s="13">
        <f>IF(U2162="","",ROUND(M2162-U2162,2))</f>
        <v/>
      </c>
      <c r="W2162" s="5" t="n"/>
      <c r="X2162" s="5" t="inlineStr">
        <is>
          <t>Labour + plant + material as published; reconciles to the published rate.</t>
        </is>
      </c>
    </row>
    <row r="2163" ht="13" customHeight="1">
      <c r="A2163" s="4" t="n">
        <v>3273</v>
      </c>
      <c r="B2163" s="5" t="inlineStr">
        <is>
          <t>IMG_0109</t>
        </is>
      </c>
      <c r="C2163" s="5" t="inlineStr">
        <is>
          <t>CLASS L: PIPEWORK SUPPORTS AND PROTECTION, ANCILLARIES TO LAYING AND EXCAVATION</t>
        </is>
      </c>
      <c r="D2163" s="5" t="inlineStr">
        <is>
          <t>03 BEDS</t>
        </is>
      </c>
      <c r="E2163" s="5" t="inlineStr">
        <is>
          <t>Imported granular material; 100 mm deep bed for pipes nominal bore</t>
        </is>
      </c>
      <c r="F2163" s="5" t="inlineStr">
        <is>
          <t>300 mm</t>
        </is>
      </c>
      <c r="G2163" s="6" t="inlineStr">
        <is>
          <t>m</t>
        </is>
      </c>
      <c r="H2163" s="7" t="n">
        <v>0.05</v>
      </c>
      <c r="I2163" s="8" t="n">
        <v>4.21</v>
      </c>
      <c r="J2163" s="8" t="n">
        <v>3.88</v>
      </c>
      <c r="K2163" s="8" t="n">
        <v>9.9</v>
      </c>
      <c r="L2163" s="8" t="n">
        <v>0</v>
      </c>
      <c r="M2163" s="9">
        <f>ROUND(SUM(I2163:L2163),2)</f>
        <v/>
      </c>
      <c r="N2163" s="10">
        <f>ROUND(I2163*'Irish Basis'!$C$6*'Irish Basis'!$C$5,2)</f>
        <v/>
      </c>
      <c r="O2163" s="10">
        <f>ROUND(J2163*'Irish Basis'!$C$7*'Irish Basis'!$C$5,2)</f>
        <v/>
      </c>
      <c r="P2163" s="10">
        <f>ROUND(K2163*'Irish Basis'!$C$8*'Irish Basis'!$C$5,2)</f>
        <v/>
      </c>
      <c r="Q2163" s="10">
        <f>ROUND(L2163*'Irish Basis'!$C$12*'Irish Basis'!$C$5,2)</f>
        <v/>
      </c>
      <c r="R2163" s="11">
        <f>ROUND(SUM(N2163:Q2163),2)</f>
        <v/>
      </c>
      <c r="S2163" s="5" t="inlineStr">
        <is>
          <t>Stated build-up</t>
        </is>
      </c>
      <c r="T2163" s="12" t="inlineStr">
        <is>
          <t>High</t>
        </is>
      </c>
      <c r="U2163" s="8" t="n">
        <v>17.98</v>
      </c>
      <c r="V2163" s="13">
        <f>IF(U2163="","",ROUND(M2163-U2163,2))</f>
        <v/>
      </c>
      <c r="W2163" s="5" t="n"/>
      <c r="X2163" s="5" t="inlineStr">
        <is>
          <t>Labour + plant + material as published; reconciles to the published rate.</t>
        </is>
      </c>
    </row>
    <row r="2164" ht="13" customHeight="1">
      <c r="A2164" s="4" t="n">
        <v>3275</v>
      </c>
      <c r="B2164" s="5" t="inlineStr">
        <is>
          <t>IMG_0109</t>
        </is>
      </c>
      <c r="C2164" s="5" t="inlineStr">
        <is>
          <t>CLASS L: PIPEWORK SUPPORTS AND PROTECTION, ANCILLARIES TO LAYING AND EXCAVATION</t>
        </is>
      </c>
      <c r="D2164" s="5" t="inlineStr">
        <is>
          <t>03 BEDS</t>
        </is>
      </c>
      <c r="E2164" s="5" t="inlineStr">
        <is>
          <t>Imported granular material; 150 mm deep bed for pipes nominal bore</t>
        </is>
      </c>
      <c r="F2164" s="5" t="inlineStr">
        <is>
          <t>150 mm</t>
        </is>
      </c>
      <c r="G2164" s="6" t="inlineStr">
        <is>
          <t>m</t>
        </is>
      </c>
      <c r="H2164" s="7" t="n">
        <v>0.06</v>
      </c>
      <c r="I2164" s="8" t="n">
        <v>5.05</v>
      </c>
      <c r="J2164" s="8" t="n">
        <v>4.65</v>
      </c>
      <c r="K2164" s="8" t="n">
        <v>12.08</v>
      </c>
      <c r="L2164" s="8" t="n">
        <v>0</v>
      </c>
      <c r="M2164" s="9">
        <f>ROUND(SUM(I2164:L2164),2)</f>
        <v/>
      </c>
      <c r="N2164" s="10">
        <f>ROUND(I2164*'Irish Basis'!$C$6*'Irish Basis'!$C$5,2)</f>
        <v/>
      </c>
      <c r="O2164" s="10">
        <f>ROUND(J2164*'Irish Basis'!$C$7*'Irish Basis'!$C$5,2)</f>
        <v/>
      </c>
      <c r="P2164" s="10">
        <f>ROUND(K2164*'Irish Basis'!$C$8*'Irish Basis'!$C$5,2)</f>
        <v/>
      </c>
      <c r="Q2164" s="10">
        <f>ROUND(L2164*'Irish Basis'!$C$12*'Irish Basis'!$C$5,2)</f>
        <v/>
      </c>
      <c r="R2164" s="11">
        <f>ROUND(SUM(N2164:Q2164),2)</f>
        <v/>
      </c>
      <c r="S2164" s="5" t="inlineStr">
        <is>
          <t>Stated build-up</t>
        </is>
      </c>
      <c r="T2164" s="12" t="inlineStr">
        <is>
          <t>High</t>
        </is>
      </c>
      <c r="U2164" s="8" t="n">
        <v>21.78</v>
      </c>
      <c r="V2164" s="13">
        <f>IF(U2164="","",ROUND(M2164-U2164,2))</f>
        <v/>
      </c>
      <c r="W2164" s="5" t="n"/>
      <c r="X2164" s="5" t="inlineStr">
        <is>
          <t>Labour + plant + material as published; reconciles to the published rate.</t>
        </is>
      </c>
    </row>
    <row r="2165" ht="13" customHeight="1">
      <c r="A2165" s="4" t="n">
        <v>3276</v>
      </c>
      <c r="B2165" s="5" t="inlineStr">
        <is>
          <t>IMG_0109</t>
        </is>
      </c>
      <c r="C2165" s="5" t="inlineStr">
        <is>
          <t>CLASS L: PIPEWORK SUPPORTS AND PROTECTION, ANCILLARIES TO LAYING AND EXCAVATION</t>
        </is>
      </c>
      <c r="D2165" s="5" t="inlineStr">
        <is>
          <t>03 BEDS</t>
        </is>
      </c>
      <c r="E2165" s="5" t="inlineStr">
        <is>
          <t>Imported granular material; 150 mm deep bed for pipes nominal bore</t>
        </is>
      </c>
      <c r="F2165" s="5" t="inlineStr">
        <is>
          <t>225 mm</t>
        </is>
      </c>
      <c r="G2165" s="6" t="inlineStr">
        <is>
          <t>m</t>
        </is>
      </c>
      <c r="H2165" s="7" t="n">
        <v>0.08</v>
      </c>
      <c r="I2165" s="8" t="n">
        <v>6.73</v>
      </c>
      <c r="J2165" s="8" t="n">
        <v>6.2</v>
      </c>
      <c r="K2165" s="8" t="n">
        <v>13.9</v>
      </c>
      <c r="L2165" s="8" t="n">
        <v>0</v>
      </c>
      <c r="M2165" s="9">
        <f>ROUND(SUM(I2165:L2165),2)</f>
        <v/>
      </c>
      <c r="N2165" s="10">
        <f>ROUND(I2165*'Irish Basis'!$C$6*'Irish Basis'!$C$5,2)</f>
        <v/>
      </c>
      <c r="O2165" s="10">
        <f>ROUND(J2165*'Irish Basis'!$C$7*'Irish Basis'!$C$5,2)</f>
        <v/>
      </c>
      <c r="P2165" s="10">
        <f>ROUND(K2165*'Irish Basis'!$C$8*'Irish Basis'!$C$5,2)</f>
        <v/>
      </c>
      <c r="Q2165" s="10">
        <f>ROUND(L2165*'Irish Basis'!$C$12*'Irish Basis'!$C$5,2)</f>
        <v/>
      </c>
      <c r="R2165" s="11">
        <f>ROUND(SUM(N2165:Q2165),2)</f>
        <v/>
      </c>
      <c r="S2165" s="5" t="inlineStr">
        <is>
          <t>Stated build-up</t>
        </is>
      </c>
      <c r="T2165" s="12" t="inlineStr">
        <is>
          <t>High</t>
        </is>
      </c>
      <c r="U2165" s="8" t="n">
        <v>26.84</v>
      </c>
      <c r="V2165" s="13">
        <f>IF(U2165="","",ROUND(M2165-U2165,2))</f>
        <v/>
      </c>
      <c r="W2165" s="5" t="n"/>
      <c r="X2165" s="5" t="inlineStr">
        <is>
          <t>Labour + plant + material as published; reconciles to the published rate.</t>
        </is>
      </c>
    </row>
    <row r="2166" ht="13" customHeight="1">
      <c r="A2166" s="4" t="n">
        <v>3277</v>
      </c>
      <c r="B2166" s="5" t="inlineStr">
        <is>
          <t>IMG_0109</t>
        </is>
      </c>
      <c r="C2166" s="5" t="inlineStr">
        <is>
          <t>CLASS L: PIPEWORK SUPPORTS AND PROTECTION, ANCILLARIES TO LAYING AND EXCAVATION</t>
        </is>
      </c>
      <c r="D2166" s="5" t="inlineStr">
        <is>
          <t>03 BEDS</t>
        </is>
      </c>
      <c r="E2166" s="5" t="inlineStr">
        <is>
          <t>Imported granular material; 150 mm deep bed for pipes nominal bore</t>
        </is>
      </c>
      <c r="F2166" s="5" t="inlineStr">
        <is>
          <t>300 mm</t>
        </is>
      </c>
      <c r="G2166" s="6" t="inlineStr">
        <is>
          <t>m</t>
        </is>
      </c>
      <c r="H2166" s="7" t="n">
        <v>0.1</v>
      </c>
      <c r="I2166" s="8" t="n">
        <v>8.42</v>
      </c>
      <c r="J2166" s="8" t="n">
        <v>7.75</v>
      </c>
      <c r="K2166" s="8" t="n">
        <v>14.84</v>
      </c>
      <c r="L2166" s="8" t="n">
        <v>0</v>
      </c>
      <c r="M2166" s="9">
        <f>ROUND(SUM(I2166:L2166),2)</f>
        <v/>
      </c>
      <c r="N2166" s="10">
        <f>ROUND(I2166*'Irish Basis'!$C$6*'Irish Basis'!$C$5,2)</f>
        <v/>
      </c>
      <c r="O2166" s="10">
        <f>ROUND(J2166*'Irish Basis'!$C$7*'Irish Basis'!$C$5,2)</f>
        <v/>
      </c>
      <c r="P2166" s="10">
        <f>ROUND(K2166*'Irish Basis'!$C$8*'Irish Basis'!$C$5,2)</f>
        <v/>
      </c>
      <c r="Q2166" s="10">
        <f>ROUND(L2166*'Irish Basis'!$C$12*'Irish Basis'!$C$5,2)</f>
        <v/>
      </c>
      <c r="R2166" s="11">
        <f>ROUND(SUM(N2166:Q2166),2)</f>
        <v/>
      </c>
      <c r="S2166" s="5" t="inlineStr">
        <is>
          <t>Stated build-up</t>
        </is>
      </c>
      <c r="T2166" s="12" t="inlineStr">
        <is>
          <t>High</t>
        </is>
      </c>
      <c r="U2166" s="8" t="n">
        <v>31.01</v>
      </c>
      <c r="V2166" s="13">
        <f>IF(U2166="","",ROUND(M2166-U2166,2))</f>
        <v/>
      </c>
      <c r="W2166" s="5" t="n"/>
      <c r="X2166" s="5" t="inlineStr">
        <is>
          <t>Labour + plant + material as published; reconciles to the published rate.</t>
        </is>
      </c>
    </row>
    <row r="2167" ht="13" customHeight="1">
      <c r="A2167" s="4" t="n">
        <v>3278</v>
      </c>
      <c r="B2167" s="5" t="inlineStr">
        <is>
          <t>IMG_0109</t>
        </is>
      </c>
      <c r="C2167" s="5" t="inlineStr">
        <is>
          <t>CLASS L: PIPEWORK SUPPORTS AND PROTECTION, ANCILLARIES TO LAYING AND EXCAVATION</t>
        </is>
      </c>
      <c r="D2167" s="5" t="inlineStr">
        <is>
          <t>03 BEDS</t>
        </is>
      </c>
      <c r="E2167" s="5" t="inlineStr">
        <is>
          <t>Imported granular material; 150 mm deep bed for pipes nominal bore</t>
        </is>
      </c>
      <c r="F2167" s="5" t="inlineStr">
        <is>
          <t>400 mm</t>
        </is>
      </c>
      <c r="G2167" s="6" t="inlineStr">
        <is>
          <t>m</t>
        </is>
      </c>
      <c r="H2167" s="7" t="n">
        <v>0.13</v>
      </c>
      <c r="I2167" s="8" t="n">
        <v>10.94</v>
      </c>
      <c r="J2167" s="8" t="n">
        <v>10.08</v>
      </c>
      <c r="K2167" s="8" t="n">
        <v>16.73</v>
      </c>
      <c r="L2167" s="8" t="n">
        <v>0</v>
      </c>
      <c r="M2167" s="9">
        <f>ROUND(SUM(I2167:L2167),2)</f>
        <v/>
      </c>
      <c r="N2167" s="10">
        <f>ROUND(I2167*'Irish Basis'!$C$6*'Irish Basis'!$C$5,2)</f>
        <v/>
      </c>
      <c r="O2167" s="10">
        <f>ROUND(J2167*'Irish Basis'!$C$7*'Irish Basis'!$C$5,2)</f>
        <v/>
      </c>
      <c r="P2167" s="10">
        <f>ROUND(K2167*'Irish Basis'!$C$8*'Irish Basis'!$C$5,2)</f>
        <v/>
      </c>
      <c r="Q2167" s="10">
        <f>ROUND(L2167*'Irish Basis'!$C$12*'Irish Basis'!$C$5,2)</f>
        <v/>
      </c>
      <c r="R2167" s="11">
        <f>ROUND(SUM(N2167:Q2167),2)</f>
        <v/>
      </c>
      <c r="S2167" s="5" t="inlineStr">
        <is>
          <t>Stated build-up</t>
        </is>
      </c>
      <c r="T2167" s="12" t="inlineStr">
        <is>
          <t>High</t>
        </is>
      </c>
      <c r="U2167" s="8" t="n">
        <v>37.75</v>
      </c>
      <c r="V2167" s="13">
        <f>IF(U2167="","",ROUND(M2167-U2167,2))</f>
        <v/>
      </c>
      <c r="W2167" s="5" t="n"/>
      <c r="X2167" s="5" t="inlineStr">
        <is>
          <t>Labour + plant + material as published; reconciles to the published rate.</t>
        </is>
      </c>
    </row>
    <row r="2168" ht="13" customHeight="1">
      <c r="A2168" s="4" t="n">
        <v>3279</v>
      </c>
      <c r="B2168" s="5" t="inlineStr">
        <is>
          <t>IMG_0109</t>
        </is>
      </c>
      <c r="C2168" s="5" t="inlineStr">
        <is>
          <t>CLASS L: PIPEWORK SUPPORTS AND PROTECTION, ANCILLARIES TO LAYING AND EXCAVATION</t>
        </is>
      </c>
      <c r="D2168" s="5" t="inlineStr">
        <is>
          <t>03 BEDS</t>
        </is>
      </c>
      <c r="E2168" s="5" t="inlineStr">
        <is>
          <t>Imported granular material; 150 mm deep bed for pipes nominal bore</t>
        </is>
      </c>
      <c r="F2168" s="5" t="inlineStr">
        <is>
          <t>450 mm</t>
        </is>
      </c>
      <c r="G2168" s="6" t="inlineStr">
        <is>
          <t>m</t>
        </is>
      </c>
      <c r="H2168" s="7" t="n">
        <v>0.15</v>
      </c>
      <c r="I2168" s="8" t="n">
        <v>12.63</v>
      </c>
      <c r="J2168" s="8" t="n">
        <v>11.63</v>
      </c>
      <c r="K2168" s="8" t="n">
        <v>19.29</v>
      </c>
      <c r="L2168" s="8" t="n">
        <v>0</v>
      </c>
      <c r="M2168" s="9">
        <f>ROUND(SUM(I2168:L2168),2)</f>
        <v/>
      </c>
      <c r="N2168" s="10">
        <f>ROUND(I2168*'Irish Basis'!$C$6*'Irish Basis'!$C$5,2)</f>
        <v/>
      </c>
      <c r="O2168" s="10">
        <f>ROUND(J2168*'Irish Basis'!$C$7*'Irish Basis'!$C$5,2)</f>
        <v/>
      </c>
      <c r="P2168" s="10">
        <f>ROUND(K2168*'Irish Basis'!$C$8*'Irish Basis'!$C$5,2)</f>
        <v/>
      </c>
      <c r="Q2168" s="10">
        <f>ROUND(L2168*'Irish Basis'!$C$12*'Irish Basis'!$C$5,2)</f>
        <v/>
      </c>
      <c r="R2168" s="11">
        <f>ROUND(SUM(N2168:Q2168),2)</f>
        <v/>
      </c>
      <c r="S2168" s="5" t="inlineStr">
        <is>
          <t>Stated build-up</t>
        </is>
      </c>
      <c r="T2168" s="12" t="inlineStr">
        <is>
          <t>High</t>
        </is>
      </c>
      <c r="U2168" s="8" t="n">
        <v>43.54</v>
      </c>
      <c r="V2168" s="13">
        <f>IF(U2168="","",ROUND(M2168-U2168,2))</f>
        <v/>
      </c>
      <c r="W2168" s="5" t="n"/>
      <c r="X2168" s="5" t="inlineStr">
        <is>
          <t>Labour + plant + material as published; reconciles to the published rate.</t>
        </is>
      </c>
    </row>
    <row r="2169" ht="13" customHeight="1">
      <c r="A2169" s="4" t="n">
        <v>3280</v>
      </c>
      <c r="B2169" s="5" t="inlineStr">
        <is>
          <t>IMG_0109</t>
        </is>
      </c>
      <c r="C2169" s="5" t="inlineStr">
        <is>
          <t>CLASS L: PIPEWORK SUPPORTS AND PROTECTION, ANCILLARIES TO LAYING AND EXCAVATION</t>
        </is>
      </c>
      <c r="D2169" s="5" t="inlineStr">
        <is>
          <t>03 BEDS</t>
        </is>
      </c>
      <c r="E2169" s="5" t="inlineStr">
        <is>
          <t>Imported granular material; 150 mm deep bed for pipes nominal bore</t>
        </is>
      </c>
      <c r="F2169" s="5" t="inlineStr">
        <is>
          <t>600 mm</t>
        </is>
      </c>
      <c r="G2169" s="6" t="inlineStr">
        <is>
          <t>m</t>
        </is>
      </c>
      <c r="H2169" s="7" t="n">
        <v>0.18</v>
      </c>
      <c r="I2169" s="8" t="n">
        <v>15.15</v>
      </c>
      <c r="J2169" s="8" t="n">
        <v>13.95</v>
      </c>
      <c r="K2169" s="8" t="n">
        <v>24.04</v>
      </c>
      <c r="L2169" s="8" t="n">
        <v>0</v>
      </c>
      <c r="M2169" s="9">
        <f>ROUND(SUM(I2169:L2169),2)</f>
        <v/>
      </c>
      <c r="N2169" s="10">
        <f>ROUND(I2169*'Irish Basis'!$C$6*'Irish Basis'!$C$5,2)</f>
        <v/>
      </c>
      <c r="O2169" s="10">
        <f>ROUND(J2169*'Irish Basis'!$C$7*'Irish Basis'!$C$5,2)</f>
        <v/>
      </c>
      <c r="P2169" s="10">
        <f>ROUND(K2169*'Irish Basis'!$C$8*'Irish Basis'!$C$5,2)</f>
        <v/>
      </c>
      <c r="Q2169" s="10">
        <f>ROUND(L2169*'Irish Basis'!$C$12*'Irish Basis'!$C$5,2)</f>
        <v/>
      </c>
      <c r="R2169" s="11">
        <f>ROUND(SUM(N2169:Q2169),2)</f>
        <v/>
      </c>
      <c r="S2169" s="5" t="inlineStr">
        <is>
          <t>Stated build-up</t>
        </is>
      </c>
      <c r="T2169" s="12" t="inlineStr">
        <is>
          <t>High</t>
        </is>
      </c>
      <c r="U2169" s="8" t="n">
        <v>53.14</v>
      </c>
      <c r="V2169" s="13">
        <f>IF(U2169="","",ROUND(M2169-U2169,2))</f>
        <v/>
      </c>
      <c r="W2169" s="5" t="n"/>
      <c r="X2169" s="5" t="inlineStr">
        <is>
          <t>Labour + plant + material as published; reconciles to the published rate.</t>
        </is>
      </c>
    </row>
    <row r="2170" ht="13" customHeight="1">
      <c r="A2170" s="4" t="n">
        <v>3281</v>
      </c>
      <c r="B2170" s="5" t="inlineStr">
        <is>
          <t>IMG_0109</t>
        </is>
      </c>
      <c r="C2170" s="5" t="inlineStr">
        <is>
          <t>CLASS L: PIPEWORK SUPPORTS AND PROTECTION, ANCILLARIES TO LAYING AND EXCAVATION</t>
        </is>
      </c>
      <c r="D2170" s="5" t="inlineStr">
        <is>
          <t>03 BEDS</t>
        </is>
      </c>
      <c r="E2170" s="5" t="inlineStr">
        <is>
          <t>Imported granular material; 150 mm deep bed for pipes nominal bore</t>
        </is>
      </c>
      <c r="F2170" s="5" t="inlineStr">
        <is>
          <t>750 mm</t>
        </is>
      </c>
      <c r="G2170" s="6" t="inlineStr">
        <is>
          <t>m</t>
        </is>
      </c>
      <c r="H2170" s="7" t="n">
        <v>0.2</v>
      </c>
      <c r="I2170" s="8" t="n">
        <v>16.84</v>
      </c>
      <c r="J2170" s="8" t="n">
        <v>15.5</v>
      </c>
      <c r="K2170" s="8" t="n">
        <v>26.8</v>
      </c>
      <c r="L2170" s="8" t="n">
        <v>0</v>
      </c>
      <c r="M2170" s="9">
        <f>ROUND(SUM(I2170:L2170),2)</f>
        <v/>
      </c>
      <c r="N2170" s="10">
        <f>ROUND(I2170*'Irish Basis'!$C$6*'Irish Basis'!$C$5,2)</f>
        <v/>
      </c>
      <c r="O2170" s="10">
        <f>ROUND(J2170*'Irish Basis'!$C$7*'Irish Basis'!$C$5,2)</f>
        <v/>
      </c>
      <c r="P2170" s="10">
        <f>ROUND(K2170*'Irish Basis'!$C$8*'Irish Basis'!$C$5,2)</f>
        <v/>
      </c>
      <c r="Q2170" s="10">
        <f>ROUND(L2170*'Irish Basis'!$C$12*'Irish Basis'!$C$5,2)</f>
        <v/>
      </c>
      <c r="R2170" s="11">
        <f>ROUND(SUM(N2170:Q2170),2)</f>
        <v/>
      </c>
      <c r="S2170" s="5" t="inlineStr">
        <is>
          <t>Stated build-up</t>
        </is>
      </c>
      <c r="T2170" s="12" t="inlineStr">
        <is>
          <t>High</t>
        </is>
      </c>
      <c r="U2170" s="8" t="n">
        <v>59.14</v>
      </c>
      <c r="V2170" s="13">
        <f>IF(U2170="","",ROUND(M2170-U2170,2))</f>
        <v/>
      </c>
      <c r="W2170" s="5" t="n"/>
      <c r="X2170" s="5" t="inlineStr">
        <is>
          <t>Labour + plant + material as published; reconciles to the published rate.</t>
        </is>
      </c>
    </row>
    <row r="2171" ht="13" customHeight="1">
      <c r="A2171" s="4" t="n">
        <v>3282</v>
      </c>
      <c r="B2171" s="5" t="inlineStr">
        <is>
          <t>IMG_0109</t>
        </is>
      </c>
      <c r="C2171" s="5" t="inlineStr">
        <is>
          <t>CLASS L: PIPEWORK SUPPORTS AND PROTECTION, ANCILLARIES TO LAYING AND EXCAVATION</t>
        </is>
      </c>
      <c r="D2171" s="5" t="inlineStr">
        <is>
          <t>03 BEDS</t>
        </is>
      </c>
      <c r="E2171" s="5" t="inlineStr">
        <is>
          <t>Imported granular material; 150 mm deep bed for pipes nominal bore</t>
        </is>
      </c>
      <c r="F2171" s="5" t="inlineStr">
        <is>
          <t>900 mm</t>
        </is>
      </c>
      <c r="G2171" s="6" t="inlineStr">
        <is>
          <t>m</t>
        </is>
      </c>
      <c r="H2171" s="7" t="n">
        <v>0.22</v>
      </c>
      <c r="I2171" s="8" t="n">
        <v>18.52</v>
      </c>
      <c r="J2171" s="8" t="n">
        <v>17.05</v>
      </c>
      <c r="K2171" s="8" t="n">
        <v>31.45</v>
      </c>
      <c r="L2171" s="8" t="n">
        <v>0</v>
      </c>
      <c r="M2171" s="9">
        <f>ROUND(SUM(I2171:L2171),2)</f>
        <v/>
      </c>
      <c r="N2171" s="10">
        <f>ROUND(I2171*'Irish Basis'!$C$6*'Irish Basis'!$C$5,2)</f>
        <v/>
      </c>
      <c r="O2171" s="10">
        <f>ROUND(J2171*'Irish Basis'!$C$7*'Irish Basis'!$C$5,2)</f>
        <v/>
      </c>
      <c r="P2171" s="10">
        <f>ROUND(K2171*'Irish Basis'!$C$8*'Irish Basis'!$C$5,2)</f>
        <v/>
      </c>
      <c r="Q2171" s="10">
        <f>ROUND(L2171*'Irish Basis'!$C$12*'Irish Basis'!$C$5,2)</f>
        <v/>
      </c>
      <c r="R2171" s="11">
        <f>ROUND(SUM(N2171:Q2171),2)</f>
        <v/>
      </c>
      <c r="S2171" s="5" t="inlineStr">
        <is>
          <t>Stated build-up</t>
        </is>
      </c>
      <c r="T2171" s="12" t="inlineStr">
        <is>
          <t>High</t>
        </is>
      </c>
      <c r="U2171" s="8" t="n">
        <v>67.03</v>
      </c>
      <c r="V2171" s="13">
        <f>IF(U2171="","",ROUND(M2171-U2171,2))</f>
        <v/>
      </c>
      <c r="W2171" s="5" t="n"/>
      <c r="X2171" s="5" t="inlineStr">
        <is>
          <t>Labour + plant + material as published; reconciles to the published rate.</t>
        </is>
      </c>
    </row>
    <row r="2172" ht="13" customHeight="1">
      <c r="A2172" s="4" t="n">
        <v>3283</v>
      </c>
      <c r="B2172" s="5" t="inlineStr">
        <is>
          <t>IMG_0109</t>
        </is>
      </c>
      <c r="C2172" s="5" t="inlineStr">
        <is>
          <t>CLASS L: PIPEWORK SUPPORTS AND PROTECTION, ANCILLARIES TO LAYING AND EXCAVATION</t>
        </is>
      </c>
      <c r="D2172" s="5" t="inlineStr">
        <is>
          <t>03 BEDS</t>
        </is>
      </c>
      <c r="E2172" s="5" t="inlineStr">
        <is>
          <t>Imported granular material; 150 mm deep bed for pipes nominal bore</t>
        </is>
      </c>
      <c r="F2172" s="5" t="inlineStr">
        <is>
          <t>1200 mm</t>
        </is>
      </c>
      <c r="G2172" s="6" t="inlineStr">
        <is>
          <t>m</t>
        </is>
      </c>
      <c r="H2172" s="7" t="n">
        <v>0.26</v>
      </c>
      <c r="I2172" s="8" t="n">
        <v>21.89</v>
      </c>
      <c r="J2172" s="8" t="n">
        <v>20.15</v>
      </c>
      <c r="K2172" s="8" t="n">
        <v>36.93</v>
      </c>
      <c r="L2172" s="8" t="n">
        <v>0</v>
      </c>
      <c r="M2172" s="9">
        <f>ROUND(SUM(I2172:L2172),2)</f>
        <v/>
      </c>
      <c r="N2172" s="10">
        <f>ROUND(I2172*'Irish Basis'!$C$6*'Irish Basis'!$C$5,2)</f>
        <v/>
      </c>
      <c r="O2172" s="10">
        <f>ROUND(J2172*'Irish Basis'!$C$7*'Irish Basis'!$C$5,2)</f>
        <v/>
      </c>
      <c r="P2172" s="10">
        <f>ROUND(K2172*'Irish Basis'!$C$8*'Irish Basis'!$C$5,2)</f>
        <v/>
      </c>
      <c r="Q2172" s="10">
        <f>ROUND(L2172*'Irish Basis'!$C$12*'Irish Basis'!$C$5,2)</f>
        <v/>
      </c>
      <c r="R2172" s="11">
        <f>ROUND(SUM(N2172:Q2172),2)</f>
        <v/>
      </c>
      <c r="S2172" s="5" t="inlineStr">
        <is>
          <t>Stated build-up</t>
        </is>
      </c>
      <c r="T2172" s="12" t="inlineStr">
        <is>
          <t>High</t>
        </is>
      </c>
      <c r="U2172" s="8" t="n">
        <v>78.98</v>
      </c>
      <c r="V2172" s="13">
        <f>IF(U2172="","",ROUND(M2172-U2172,2))</f>
        <v/>
      </c>
      <c r="W2172" s="5" t="n"/>
      <c r="X2172" s="5" t="inlineStr">
        <is>
          <t>Labour + plant + material as published; reconciles to the published rate.</t>
        </is>
      </c>
    </row>
    <row r="2173" ht="13" customHeight="1">
      <c r="A2173" s="4" t="n">
        <v>3285</v>
      </c>
      <c r="B2173" s="5" t="inlineStr">
        <is>
          <t>IMG_0109</t>
        </is>
      </c>
      <c r="C2173" s="5" t="inlineStr">
        <is>
          <t>CLASS L: PIPEWORK SUPPORTS AND PROTECTION, ANCILLARIES TO LAYING AND EXCAVATION</t>
        </is>
      </c>
      <c r="D2173" s="5" t="inlineStr">
        <is>
          <t>03 BEDS</t>
        </is>
      </c>
      <c r="E2173" s="5" t="inlineStr">
        <is>
          <t>Mass concrete; 100 mm deep bed for pipes nominal bore</t>
        </is>
      </c>
      <c r="F2173" s="5" t="inlineStr">
        <is>
          <t>100 mm</t>
        </is>
      </c>
      <c r="G2173" s="6" t="inlineStr">
        <is>
          <t>m</t>
        </is>
      </c>
      <c r="H2173" s="7" t="n">
        <v>0.07000000000000001</v>
      </c>
      <c r="I2173" s="8" t="n">
        <v>5.89</v>
      </c>
      <c r="J2173" s="8" t="n">
        <v>5.43</v>
      </c>
      <c r="K2173" s="8" t="n">
        <v>11.08</v>
      </c>
      <c r="L2173" s="8" t="n">
        <v>0</v>
      </c>
      <c r="M2173" s="9">
        <f>ROUND(SUM(I2173:L2173),2)</f>
        <v/>
      </c>
      <c r="N2173" s="10">
        <f>ROUND(I2173*'Irish Basis'!$C$6*'Irish Basis'!$C$5,2)</f>
        <v/>
      </c>
      <c r="O2173" s="10">
        <f>ROUND(J2173*'Irish Basis'!$C$7*'Irish Basis'!$C$5,2)</f>
        <v/>
      </c>
      <c r="P2173" s="10">
        <f>ROUND(K2173*'Irish Basis'!$C$8*'Irish Basis'!$C$5,2)</f>
        <v/>
      </c>
      <c r="Q2173" s="10">
        <f>ROUND(L2173*'Irish Basis'!$C$12*'Irish Basis'!$C$5,2)</f>
        <v/>
      </c>
      <c r="R2173" s="11">
        <f>ROUND(SUM(N2173:Q2173),2)</f>
        <v/>
      </c>
      <c r="S2173" s="5" t="inlineStr">
        <is>
          <t>Stated build-up</t>
        </is>
      </c>
      <c r="T2173" s="12" t="inlineStr">
        <is>
          <t>High</t>
        </is>
      </c>
      <c r="U2173" s="8" t="n">
        <v>22.4</v>
      </c>
      <c r="V2173" s="13">
        <f>IF(U2173="","",ROUND(M2173-U2173,2))</f>
        <v/>
      </c>
      <c r="W2173" s="5" t="n"/>
      <c r="X2173" s="5" t="inlineStr">
        <is>
          <t>Labour + plant + material as published; reconciles to the published rate.</t>
        </is>
      </c>
    </row>
    <row r="2174" ht="13" customHeight="1">
      <c r="A2174" s="4" t="n">
        <v>3286</v>
      </c>
      <c r="B2174" s="5" t="inlineStr">
        <is>
          <t>IMG_0109</t>
        </is>
      </c>
      <c r="C2174" s="5" t="inlineStr">
        <is>
          <t>CLASS L: PIPEWORK SUPPORTS AND PROTECTION, ANCILLARIES TO LAYING AND EXCAVATION</t>
        </is>
      </c>
      <c r="D2174" s="5" t="inlineStr">
        <is>
          <t>03 BEDS</t>
        </is>
      </c>
      <c r="E2174" s="5" t="inlineStr">
        <is>
          <t>Mass concrete; 100 mm deep bed for pipes nominal bore</t>
        </is>
      </c>
      <c r="F2174" s="5" t="inlineStr">
        <is>
          <t>150 mm</t>
        </is>
      </c>
      <c r="G2174" s="6" t="inlineStr">
        <is>
          <t>m</t>
        </is>
      </c>
      <c r="H2174" s="7" t="n">
        <v>0.08</v>
      </c>
      <c r="I2174" s="8" t="n">
        <v>6.73</v>
      </c>
      <c r="J2174" s="8" t="n">
        <v>6.2</v>
      </c>
      <c r="K2174" s="8" t="n">
        <v>12.02</v>
      </c>
      <c r="L2174" s="8" t="n">
        <v>0</v>
      </c>
      <c r="M2174" s="9">
        <f>ROUND(SUM(I2174:L2174),2)</f>
        <v/>
      </c>
      <c r="N2174" s="10">
        <f>ROUND(I2174*'Irish Basis'!$C$6*'Irish Basis'!$C$5,2)</f>
        <v/>
      </c>
      <c r="O2174" s="10">
        <f>ROUND(J2174*'Irish Basis'!$C$7*'Irish Basis'!$C$5,2)</f>
        <v/>
      </c>
      <c r="P2174" s="10">
        <f>ROUND(K2174*'Irish Basis'!$C$8*'Irish Basis'!$C$5,2)</f>
        <v/>
      </c>
      <c r="Q2174" s="10">
        <f>ROUND(L2174*'Irish Basis'!$C$12*'Irish Basis'!$C$5,2)</f>
        <v/>
      </c>
      <c r="R2174" s="11">
        <f>ROUND(SUM(N2174:Q2174),2)</f>
        <v/>
      </c>
      <c r="S2174" s="5" t="inlineStr">
        <is>
          <t>Stated build-up</t>
        </is>
      </c>
      <c r="T2174" s="12" t="inlineStr">
        <is>
          <t>High</t>
        </is>
      </c>
      <c r="U2174" s="8" t="n">
        <v>24.96</v>
      </c>
      <c r="V2174" s="13">
        <f>IF(U2174="","",ROUND(M2174-U2174,2))</f>
        <v/>
      </c>
      <c r="W2174" s="5" t="n"/>
      <c r="X2174" s="5" t="inlineStr">
        <is>
          <t>Labour + plant + material as published; reconciles to the published rate.</t>
        </is>
      </c>
    </row>
    <row r="2175" ht="13" customHeight="1">
      <c r="A2175" s="4" t="n">
        <v>3287</v>
      </c>
      <c r="B2175" s="5" t="inlineStr">
        <is>
          <t>IMG_0109</t>
        </is>
      </c>
      <c r="C2175" s="5" t="inlineStr">
        <is>
          <t>CLASS L: PIPEWORK SUPPORTS AND PROTECTION, ANCILLARIES TO LAYING AND EXCAVATION</t>
        </is>
      </c>
      <c r="D2175" s="5" t="inlineStr">
        <is>
          <t>03 BEDS</t>
        </is>
      </c>
      <c r="E2175" s="5" t="inlineStr">
        <is>
          <t>Mass concrete; 100 mm deep bed for pipes nominal bore</t>
        </is>
      </c>
      <c r="F2175" s="5" t="inlineStr">
        <is>
          <t>225 mm</t>
        </is>
      </c>
      <c r="G2175" s="6" t="inlineStr">
        <is>
          <t>m</t>
        </is>
      </c>
      <c r="H2175" s="7" t="n">
        <v>0.09</v>
      </c>
      <c r="I2175" s="8" t="n">
        <v>7.58</v>
      </c>
      <c r="J2175" s="8" t="n">
        <v>6.98</v>
      </c>
      <c r="K2175" s="8" t="n">
        <v>13.88</v>
      </c>
      <c r="L2175" s="8" t="n">
        <v>0</v>
      </c>
      <c r="M2175" s="9">
        <f>ROUND(SUM(I2175:L2175),2)</f>
        <v/>
      </c>
      <c r="N2175" s="10">
        <f>ROUND(I2175*'Irish Basis'!$C$6*'Irish Basis'!$C$5,2)</f>
        <v/>
      </c>
      <c r="O2175" s="10">
        <f>ROUND(J2175*'Irish Basis'!$C$7*'Irish Basis'!$C$5,2)</f>
        <v/>
      </c>
      <c r="P2175" s="10">
        <f>ROUND(K2175*'Irish Basis'!$C$8*'Irish Basis'!$C$5,2)</f>
        <v/>
      </c>
      <c r="Q2175" s="10">
        <f>ROUND(L2175*'Irish Basis'!$C$12*'Irish Basis'!$C$5,2)</f>
        <v/>
      </c>
      <c r="R2175" s="11">
        <f>ROUND(SUM(N2175:Q2175),2)</f>
        <v/>
      </c>
      <c r="S2175" s="5" t="inlineStr">
        <is>
          <t>Stated build-up</t>
        </is>
      </c>
      <c r="T2175" s="12" t="inlineStr">
        <is>
          <t>High</t>
        </is>
      </c>
      <c r="U2175" s="8" t="n">
        <v>28.44</v>
      </c>
      <c r="V2175" s="13">
        <f>IF(U2175="","",ROUND(M2175-U2175,2))</f>
        <v/>
      </c>
      <c r="W2175" s="5" t="n"/>
      <c r="X2175" s="5" t="inlineStr">
        <is>
          <t>Labour + plant + material as published; reconciles to the published rate.</t>
        </is>
      </c>
    </row>
    <row r="2176" ht="13" customHeight="1">
      <c r="A2176" s="4" t="n">
        <v>3289</v>
      </c>
      <c r="B2176" s="5" t="inlineStr">
        <is>
          <t>IMG_0110</t>
        </is>
      </c>
      <c r="C2176" s="5" t="inlineStr">
        <is>
          <t>CLASS L: PIPEWORK SUPPORTS AND PROTECTION, ANCILLARIES TO LAYING AND EXCAVATION</t>
        </is>
      </c>
      <c r="D2176" s="5" t="inlineStr">
        <is>
          <t>03 BEDS</t>
        </is>
      </c>
      <c r="E2176" s="5" t="inlineStr">
        <is>
          <t>Mass concrete; 100 mm deep bed for pipes nominal bore (continued)</t>
        </is>
      </c>
      <c r="F2176" s="5" t="inlineStr">
        <is>
          <t>300 mm</t>
        </is>
      </c>
      <c r="G2176" s="6" t="inlineStr">
        <is>
          <t>m</t>
        </is>
      </c>
      <c r="H2176" s="7" t="n">
        <v>0.11</v>
      </c>
      <c r="I2176" s="8" t="n">
        <v>9.26</v>
      </c>
      <c r="J2176" s="8" t="n">
        <v>8.529999999999999</v>
      </c>
      <c r="K2176" s="8" t="n">
        <v>14.81</v>
      </c>
      <c r="L2176" s="8" t="n">
        <v>0</v>
      </c>
      <c r="M2176" s="9">
        <f>ROUND(SUM(I2176:L2176),2)</f>
        <v/>
      </c>
      <c r="N2176" s="10">
        <f>ROUND(I2176*'Irish Basis'!$C$6*'Irish Basis'!$C$5,2)</f>
        <v/>
      </c>
      <c r="O2176" s="10">
        <f>ROUND(J2176*'Irish Basis'!$C$7*'Irish Basis'!$C$5,2)</f>
        <v/>
      </c>
      <c r="P2176" s="10">
        <f>ROUND(K2176*'Irish Basis'!$C$8*'Irish Basis'!$C$5,2)</f>
        <v/>
      </c>
      <c r="Q2176" s="10">
        <f>ROUND(L2176*'Irish Basis'!$C$12*'Irish Basis'!$C$5,2)</f>
        <v/>
      </c>
      <c r="R2176" s="11">
        <f>ROUND(SUM(N2176:Q2176),2)</f>
        <v/>
      </c>
      <c r="S2176" s="5" t="inlineStr">
        <is>
          <t>Stated build-up</t>
        </is>
      </c>
      <c r="T2176" s="12" t="inlineStr">
        <is>
          <t>High</t>
        </is>
      </c>
      <c r="U2176" s="8" t="n">
        <v>32.59</v>
      </c>
      <c r="V2176" s="13">
        <f>IF(U2176="","",ROUND(M2176-U2176,2))</f>
        <v/>
      </c>
      <c r="W2176" s="5" t="n"/>
      <c r="X2176" s="5" t="inlineStr">
        <is>
          <t>Labour + plant + material as published; reconciles to the published rate.</t>
        </is>
      </c>
    </row>
    <row r="2177" ht="13" customHeight="1">
      <c r="A2177" s="4" t="n">
        <v>3291</v>
      </c>
      <c r="B2177" s="5" t="inlineStr">
        <is>
          <t>IMG_0110</t>
        </is>
      </c>
      <c r="C2177" s="5" t="inlineStr">
        <is>
          <t>CLASS L: PIPEWORK SUPPORTS AND PROTECTION, ANCILLARIES TO LAYING AND EXCAVATION</t>
        </is>
      </c>
      <c r="D2177" s="5" t="inlineStr">
        <is>
          <t>03 BEDS</t>
        </is>
      </c>
      <c r="E2177" s="5" t="inlineStr">
        <is>
          <t>Mass concrete; 150 mm deep bed for pipes nominal bore</t>
        </is>
      </c>
      <c r="F2177" s="5" t="inlineStr">
        <is>
          <t>100 mm</t>
        </is>
      </c>
      <c r="G2177" s="6" t="inlineStr">
        <is>
          <t>m</t>
        </is>
      </c>
      <c r="H2177" s="7" t="n">
        <v>0.1</v>
      </c>
      <c r="I2177" s="8" t="n">
        <v>8.42</v>
      </c>
      <c r="J2177" s="8" t="n">
        <v>7.75</v>
      </c>
      <c r="K2177" s="8" t="n">
        <v>16.65</v>
      </c>
      <c r="L2177" s="8" t="n">
        <v>0</v>
      </c>
      <c r="M2177" s="9">
        <f>ROUND(SUM(I2177:L2177),2)</f>
        <v/>
      </c>
      <c r="N2177" s="10">
        <f>ROUND(I2177*'Irish Basis'!$C$6*'Irish Basis'!$C$5,2)</f>
        <v/>
      </c>
      <c r="O2177" s="10">
        <f>ROUND(J2177*'Irish Basis'!$C$7*'Irish Basis'!$C$5,2)</f>
        <v/>
      </c>
      <c r="P2177" s="10">
        <f>ROUND(K2177*'Irish Basis'!$C$8*'Irish Basis'!$C$5,2)</f>
        <v/>
      </c>
      <c r="Q2177" s="10">
        <f>ROUND(L2177*'Irish Basis'!$C$12*'Irish Basis'!$C$5,2)</f>
        <v/>
      </c>
      <c r="R2177" s="11">
        <f>ROUND(SUM(N2177:Q2177),2)</f>
        <v/>
      </c>
      <c r="S2177" s="5" t="inlineStr">
        <is>
          <t>Stated build-up</t>
        </is>
      </c>
      <c r="T2177" s="12" t="inlineStr">
        <is>
          <t>High</t>
        </is>
      </c>
      <c r="U2177" s="8" t="n">
        <v>32.82</v>
      </c>
      <c r="V2177" s="13">
        <f>IF(U2177="","",ROUND(M2177-U2177,2))</f>
        <v/>
      </c>
      <c r="W2177" s="5" t="n"/>
      <c r="X2177" s="5" t="inlineStr">
        <is>
          <t>Labour + plant + material as published; reconciles to the published rate.</t>
        </is>
      </c>
    </row>
    <row r="2178" ht="13" customHeight="1">
      <c r="A2178" s="4" t="n">
        <v>3292</v>
      </c>
      <c r="B2178" s="5" t="inlineStr">
        <is>
          <t>IMG_0110</t>
        </is>
      </c>
      <c r="C2178" s="5" t="inlineStr">
        <is>
          <t>CLASS L: PIPEWORK SUPPORTS AND PROTECTION, ANCILLARIES TO LAYING AND EXCAVATION</t>
        </is>
      </c>
      <c r="D2178" s="5" t="inlineStr">
        <is>
          <t>03 BEDS</t>
        </is>
      </c>
      <c r="E2178" s="5" t="inlineStr">
        <is>
          <t>Mass concrete; 150 mm deep bed for pipes nominal bore</t>
        </is>
      </c>
      <c r="F2178" s="5" t="inlineStr">
        <is>
          <t>150 mm</t>
        </is>
      </c>
      <c r="G2178" s="6" t="inlineStr">
        <is>
          <t>m</t>
        </is>
      </c>
      <c r="H2178" s="7" t="n">
        <v>0.12</v>
      </c>
      <c r="I2178" s="8" t="n">
        <v>10.1</v>
      </c>
      <c r="J2178" s="8" t="n">
        <v>9.300000000000001</v>
      </c>
      <c r="K2178" s="8" t="n">
        <v>18.03</v>
      </c>
      <c r="L2178" s="8" t="n">
        <v>0</v>
      </c>
      <c r="M2178" s="9">
        <f>ROUND(SUM(I2178:L2178),2)</f>
        <v/>
      </c>
      <c r="N2178" s="10">
        <f>ROUND(I2178*'Irish Basis'!$C$6*'Irish Basis'!$C$5,2)</f>
        <v/>
      </c>
      <c r="O2178" s="10">
        <f>ROUND(J2178*'Irish Basis'!$C$7*'Irish Basis'!$C$5,2)</f>
        <v/>
      </c>
      <c r="P2178" s="10">
        <f>ROUND(K2178*'Irish Basis'!$C$8*'Irish Basis'!$C$5,2)</f>
        <v/>
      </c>
      <c r="Q2178" s="10">
        <f>ROUND(L2178*'Irish Basis'!$C$12*'Irish Basis'!$C$5,2)</f>
        <v/>
      </c>
      <c r="R2178" s="11">
        <f>ROUND(SUM(N2178:Q2178),2)</f>
        <v/>
      </c>
      <c r="S2178" s="5" t="inlineStr">
        <is>
          <t>Stated build-up</t>
        </is>
      </c>
      <c r="T2178" s="12" t="inlineStr">
        <is>
          <t>High</t>
        </is>
      </c>
      <c r="U2178" s="8" t="n">
        <v>37.44</v>
      </c>
      <c r="V2178" s="13">
        <f>IF(U2178="","",ROUND(M2178-U2178,2))</f>
        <v/>
      </c>
      <c r="W2178" s="5" t="n"/>
      <c r="X2178" s="5" t="inlineStr">
        <is>
          <t>Labour + plant + material as published; reconciles to the published rate.</t>
        </is>
      </c>
    </row>
    <row r="2179" ht="13" customHeight="1">
      <c r="A2179" s="4" t="n">
        <v>3293</v>
      </c>
      <c r="B2179" s="5" t="inlineStr">
        <is>
          <t>IMG_0110</t>
        </is>
      </c>
      <c r="C2179" s="5" t="inlineStr">
        <is>
          <t>CLASS L: PIPEWORK SUPPORTS AND PROTECTION, ANCILLARIES TO LAYING AND EXCAVATION</t>
        </is>
      </c>
      <c r="D2179" s="5" t="inlineStr">
        <is>
          <t>03 BEDS</t>
        </is>
      </c>
      <c r="E2179" s="5" t="inlineStr">
        <is>
          <t>Mass concrete; 150 mm deep bed for pipes nominal bore</t>
        </is>
      </c>
      <c r="F2179" s="5" t="inlineStr">
        <is>
          <t>225 mm</t>
        </is>
      </c>
      <c r="G2179" s="6" t="inlineStr">
        <is>
          <t>m</t>
        </is>
      </c>
      <c r="H2179" s="7" t="n">
        <v>0.14</v>
      </c>
      <c r="I2179" s="8" t="n">
        <v>11.79</v>
      </c>
      <c r="J2179" s="8" t="n">
        <v>10.85</v>
      </c>
      <c r="K2179" s="8" t="n">
        <v>20.82</v>
      </c>
      <c r="L2179" s="8" t="n">
        <v>0</v>
      </c>
      <c r="M2179" s="9">
        <f>ROUND(SUM(I2179:L2179),2)</f>
        <v/>
      </c>
      <c r="N2179" s="10">
        <f>ROUND(I2179*'Irish Basis'!$C$6*'Irish Basis'!$C$5,2)</f>
        <v/>
      </c>
      <c r="O2179" s="10">
        <f>ROUND(J2179*'Irish Basis'!$C$7*'Irish Basis'!$C$5,2)</f>
        <v/>
      </c>
      <c r="P2179" s="10">
        <f>ROUND(K2179*'Irish Basis'!$C$8*'Irish Basis'!$C$5,2)</f>
        <v/>
      </c>
      <c r="Q2179" s="10">
        <f>ROUND(L2179*'Irish Basis'!$C$12*'Irish Basis'!$C$5,2)</f>
        <v/>
      </c>
      <c r="R2179" s="11">
        <f>ROUND(SUM(N2179:Q2179),2)</f>
        <v/>
      </c>
      <c r="S2179" s="5" t="inlineStr">
        <is>
          <t>Stated build-up</t>
        </is>
      </c>
      <c r="T2179" s="12" t="inlineStr">
        <is>
          <t>High</t>
        </is>
      </c>
      <c r="U2179" s="8" t="n">
        <v>43.45</v>
      </c>
      <c r="V2179" s="13">
        <f>IF(U2179="","",ROUND(M2179-U2179,2))</f>
        <v/>
      </c>
      <c r="W2179" s="5" t="n"/>
      <c r="X2179" s="5" t="inlineStr">
        <is>
          <t>Labour + plant + material as published; reconciles to the published rate.</t>
        </is>
      </c>
    </row>
    <row r="2180" ht="13" customHeight="1">
      <c r="A2180" s="4" t="n">
        <v>3294</v>
      </c>
      <c r="B2180" s="5" t="inlineStr">
        <is>
          <t>IMG_0110</t>
        </is>
      </c>
      <c r="C2180" s="5" t="inlineStr">
        <is>
          <t>CLASS L: PIPEWORK SUPPORTS AND PROTECTION, ANCILLARIES TO LAYING AND EXCAVATION</t>
        </is>
      </c>
      <c r="D2180" s="5" t="inlineStr">
        <is>
          <t>03 BEDS</t>
        </is>
      </c>
      <c r="E2180" s="5" t="inlineStr">
        <is>
          <t>Mass concrete; 150 mm deep bed for pipes nominal bore</t>
        </is>
      </c>
      <c r="F2180" s="5" t="inlineStr">
        <is>
          <t>300 mm</t>
        </is>
      </c>
      <c r="G2180" s="6" t="inlineStr">
        <is>
          <t>m</t>
        </is>
      </c>
      <c r="H2180" s="7" t="n">
        <v>0.16</v>
      </c>
      <c r="I2180" s="8" t="n">
        <v>13.47</v>
      </c>
      <c r="J2180" s="8" t="n">
        <v>12.4</v>
      </c>
      <c r="K2180" s="8" t="n">
        <v>22.21</v>
      </c>
      <c r="L2180" s="8" t="n">
        <v>0</v>
      </c>
      <c r="M2180" s="9">
        <f>ROUND(SUM(I2180:L2180),2)</f>
        <v/>
      </c>
      <c r="N2180" s="10">
        <f>ROUND(I2180*'Irish Basis'!$C$6*'Irish Basis'!$C$5,2)</f>
        <v/>
      </c>
      <c r="O2180" s="10">
        <f>ROUND(J2180*'Irish Basis'!$C$7*'Irish Basis'!$C$5,2)</f>
        <v/>
      </c>
      <c r="P2180" s="10">
        <f>ROUND(K2180*'Irish Basis'!$C$8*'Irish Basis'!$C$5,2)</f>
        <v/>
      </c>
      <c r="Q2180" s="10">
        <f>ROUND(L2180*'Irish Basis'!$C$12*'Irish Basis'!$C$5,2)</f>
        <v/>
      </c>
      <c r="R2180" s="11">
        <f>ROUND(SUM(N2180:Q2180),2)</f>
        <v/>
      </c>
      <c r="S2180" s="5" t="inlineStr">
        <is>
          <t>Stated build-up</t>
        </is>
      </c>
      <c r="T2180" s="12" t="inlineStr">
        <is>
          <t>High</t>
        </is>
      </c>
      <c r="U2180" s="8" t="n">
        <v>48.08</v>
      </c>
      <c r="V2180" s="13">
        <f>IF(U2180="","",ROUND(M2180-U2180,2))</f>
        <v/>
      </c>
      <c r="W2180" s="5" t="n"/>
      <c r="X2180" s="5" t="inlineStr">
        <is>
          <t>Labour + plant + material as published; reconciles to the published rate.</t>
        </is>
      </c>
    </row>
    <row r="2181" ht="13" customHeight="1">
      <c r="A2181" s="4" t="n">
        <v>3295</v>
      </c>
      <c r="B2181" s="5" t="inlineStr">
        <is>
          <t>IMG_0110</t>
        </is>
      </c>
      <c r="C2181" s="5" t="inlineStr">
        <is>
          <t>CLASS L: PIPEWORK SUPPORTS AND PROTECTION, ANCILLARIES TO LAYING AND EXCAVATION</t>
        </is>
      </c>
      <c r="D2181" s="5" t="inlineStr">
        <is>
          <t>03 BEDS</t>
        </is>
      </c>
      <c r="E2181" s="5" t="inlineStr">
        <is>
          <t>Mass concrete; 150 mm deep bed for pipes nominal bore</t>
        </is>
      </c>
      <c r="F2181" s="5" t="inlineStr">
        <is>
          <t>400 mm</t>
        </is>
      </c>
      <c r="G2181" s="6" t="inlineStr">
        <is>
          <t>m</t>
        </is>
      </c>
      <c r="H2181" s="7" t="n">
        <v>0.19</v>
      </c>
      <c r="I2181" s="8" t="n">
        <v>15.99</v>
      </c>
      <c r="J2181" s="8" t="n">
        <v>14.73</v>
      </c>
      <c r="K2181" s="8" t="n">
        <v>24.92</v>
      </c>
      <c r="L2181" s="8" t="n">
        <v>0</v>
      </c>
      <c r="M2181" s="9">
        <f>ROUND(SUM(I2181:L2181),2)</f>
        <v/>
      </c>
      <c r="N2181" s="10">
        <f>ROUND(I2181*'Irish Basis'!$C$6*'Irish Basis'!$C$5,2)</f>
        <v/>
      </c>
      <c r="O2181" s="10">
        <f>ROUND(J2181*'Irish Basis'!$C$7*'Irish Basis'!$C$5,2)</f>
        <v/>
      </c>
      <c r="P2181" s="10">
        <f>ROUND(K2181*'Irish Basis'!$C$8*'Irish Basis'!$C$5,2)</f>
        <v/>
      </c>
      <c r="Q2181" s="10">
        <f>ROUND(L2181*'Irish Basis'!$C$12*'Irish Basis'!$C$5,2)</f>
        <v/>
      </c>
      <c r="R2181" s="11">
        <f>ROUND(SUM(N2181:Q2181),2)</f>
        <v/>
      </c>
      <c r="S2181" s="5" t="inlineStr">
        <is>
          <t>Stated build-up</t>
        </is>
      </c>
      <c r="T2181" s="12" t="inlineStr">
        <is>
          <t>High</t>
        </is>
      </c>
      <c r="U2181" s="8" t="n">
        <v>55.64</v>
      </c>
      <c r="V2181" s="13">
        <f>IF(U2181="","",ROUND(M2181-U2181,2))</f>
        <v/>
      </c>
      <c r="W2181" s="5" t="n"/>
      <c r="X2181" s="5" t="inlineStr">
        <is>
          <t>Labour + plant + material as published; reconciles to the published rate.</t>
        </is>
      </c>
    </row>
    <row r="2182" ht="13" customHeight="1">
      <c r="A2182" s="4" t="n">
        <v>3296</v>
      </c>
      <c r="B2182" s="5" t="inlineStr">
        <is>
          <t>IMG_0110</t>
        </is>
      </c>
      <c r="C2182" s="5" t="inlineStr">
        <is>
          <t>CLASS L: PIPEWORK SUPPORTS AND PROTECTION, ANCILLARIES TO LAYING AND EXCAVATION</t>
        </is>
      </c>
      <c r="D2182" s="5" t="inlineStr">
        <is>
          <t>03 BEDS</t>
        </is>
      </c>
      <c r="E2182" s="5" t="inlineStr">
        <is>
          <t>Mass concrete; 150 mm deep bed for pipes nominal bore</t>
        </is>
      </c>
      <c r="F2182" s="5" t="inlineStr">
        <is>
          <t>450 mm</t>
        </is>
      </c>
      <c r="G2182" s="6" t="inlineStr">
        <is>
          <t>m</t>
        </is>
      </c>
      <c r="H2182" s="7" t="n">
        <v>0.21</v>
      </c>
      <c r="I2182" s="8" t="n">
        <v>17.68</v>
      </c>
      <c r="J2182" s="8" t="n">
        <v>16.28</v>
      </c>
      <c r="K2182" s="8" t="n">
        <v>29.14</v>
      </c>
      <c r="L2182" s="8" t="n">
        <v>0</v>
      </c>
      <c r="M2182" s="9">
        <f>ROUND(SUM(I2182:L2182),2)</f>
        <v/>
      </c>
      <c r="N2182" s="10">
        <f>ROUND(I2182*'Irish Basis'!$C$6*'Irish Basis'!$C$5,2)</f>
        <v/>
      </c>
      <c r="O2182" s="10">
        <f>ROUND(J2182*'Irish Basis'!$C$7*'Irish Basis'!$C$5,2)</f>
        <v/>
      </c>
      <c r="P2182" s="10">
        <f>ROUND(K2182*'Irish Basis'!$C$8*'Irish Basis'!$C$5,2)</f>
        <v/>
      </c>
      <c r="Q2182" s="10">
        <f>ROUND(L2182*'Irish Basis'!$C$12*'Irish Basis'!$C$5,2)</f>
        <v/>
      </c>
      <c r="R2182" s="11">
        <f>ROUND(SUM(N2182:Q2182),2)</f>
        <v/>
      </c>
      <c r="S2182" s="5" t="inlineStr">
        <is>
          <t>Stated build-up</t>
        </is>
      </c>
      <c r="T2182" s="12" t="inlineStr">
        <is>
          <t>High</t>
        </is>
      </c>
      <c r="U2182" s="8" t="n">
        <v>63.1</v>
      </c>
      <c r="V2182" s="13">
        <f>IF(U2182="","",ROUND(M2182-U2182,2))</f>
        <v/>
      </c>
      <c r="W2182" s="5" t="n"/>
      <c r="X2182" s="5" t="inlineStr">
        <is>
          <t>Labour + plant + material as published; reconciles to the published rate.</t>
        </is>
      </c>
    </row>
    <row r="2183" ht="13" customHeight="1">
      <c r="A2183" s="4" t="n">
        <v>3297</v>
      </c>
      <c r="B2183" s="5" t="inlineStr">
        <is>
          <t>IMG_0110</t>
        </is>
      </c>
      <c r="C2183" s="5" t="inlineStr">
        <is>
          <t>CLASS L: PIPEWORK SUPPORTS AND PROTECTION, ANCILLARIES TO LAYING AND EXCAVATION</t>
        </is>
      </c>
      <c r="D2183" s="5" t="inlineStr">
        <is>
          <t>03 BEDS</t>
        </is>
      </c>
      <c r="E2183" s="5" t="inlineStr">
        <is>
          <t>Mass concrete; 150 mm deep bed for pipes nominal bore</t>
        </is>
      </c>
      <c r="F2183" s="5" t="inlineStr">
        <is>
          <t>600 mm</t>
        </is>
      </c>
      <c r="G2183" s="6" t="inlineStr">
        <is>
          <t>m</t>
        </is>
      </c>
      <c r="H2183" s="7" t="n">
        <v>0.24</v>
      </c>
      <c r="I2183" s="8" t="n">
        <v>20.2</v>
      </c>
      <c r="J2183" s="8" t="n">
        <v>18.6</v>
      </c>
      <c r="K2183" s="8" t="n">
        <v>36.03</v>
      </c>
      <c r="L2183" s="8" t="n">
        <v>0</v>
      </c>
      <c r="M2183" s="9">
        <f>ROUND(SUM(I2183:L2183),2)</f>
        <v/>
      </c>
      <c r="N2183" s="10">
        <f>ROUND(I2183*'Irish Basis'!$C$6*'Irish Basis'!$C$5,2)</f>
        <v/>
      </c>
      <c r="O2183" s="10">
        <f>ROUND(J2183*'Irish Basis'!$C$7*'Irish Basis'!$C$5,2)</f>
        <v/>
      </c>
      <c r="P2183" s="10">
        <f>ROUND(K2183*'Irish Basis'!$C$8*'Irish Basis'!$C$5,2)</f>
        <v/>
      </c>
      <c r="Q2183" s="10">
        <f>ROUND(L2183*'Irish Basis'!$C$12*'Irish Basis'!$C$5,2)</f>
        <v/>
      </c>
      <c r="R2183" s="11">
        <f>ROUND(SUM(N2183:Q2183),2)</f>
        <v/>
      </c>
      <c r="S2183" s="5" t="inlineStr">
        <is>
          <t>Stated build-up</t>
        </is>
      </c>
      <c r="T2183" s="12" t="inlineStr">
        <is>
          <t>High</t>
        </is>
      </c>
      <c r="U2183" s="8" t="n">
        <v>74.84</v>
      </c>
      <c r="V2183" s="13">
        <f>IF(U2183="","",ROUND(M2183-U2183,2))</f>
        <v/>
      </c>
      <c r="W2183" s="5" t="n"/>
      <c r="X2183" s="5" t="inlineStr">
        <is>
          <t>Labour + plant + material as published; reconciles to the published rate.</t>
        </is>
      </c>
    </row>
    <row r="2184" ht="13" customHeight="1">
      <c r="A2184" s="4" t="n">
        <v>3298</v>
      </c>
      <c r="B2184" s="5" t="inlineStr">
        <is>
          <t>IMG_0110</t>
        </is>
      </c>
      <c r="C2184" s="5" t="inlineStr">
        <is>
          <t>CLASS L: PIPEWORK SUPPORTS AND PROTECTION, ANCILLARIES TO LAYING AND EXCAVATION</t>
        </is>
      </c>
      <c r="D2184" s="5" t="inlineStr">
        <is>
          <t>03 BEDS</t>
        </is>
      </c>
      <c r="E2184" s="5" t="inlineStr">
        <is>
          <t>Mass concrete; 150 mm deep bed for pipes nominal bore</t>
        </is>
      </c>
      <c r="F2184" s="5" t="inlineStr">
        <is>
          <t>750 mm</t>
        </is>
      </c>
      <c r="G2184" s="6" t="inlineStr">
        <is>
          <t>m</t>
        </is>
      </c>
      <c r="H2184" s="7" t="n">
        <v>0.26</v>
      </c>
      <c r="I2184" s="8" t="n">
        <v>21.89</v>
      </c>
      <c r="J2184" s="8" t="n">
        <v>20.15</v>
      </c>
      <c r="K2184" s="8" t="n">
        <v>40.2</v>
      </c>
      <c r="L2184" s="8" t="n">
        <v>0</v>
      </c>
      <c r="M2184" s="9">
        <f>ROUND(SUM(I2184:L2184),2)</f>
        <v/>
      </c>
      <c r="N2184" s="10">
        <f>ROUND(I2184*'Irish Basis'!$C$6*'Irish Basis'!$C$5,2)</f>
        <v/>
      </c>
      <c r="O2184" s="10">
        <f>ROUND(J2184*'Irish Basis'!$C$7*'Irish Basis'!$C$5,2)</f>
        <v/>
      </c>
      <c r="P2184" s="10">
        <f>ROUND(K2184*'Irish Basis'!$C$8*'Irish Basis'!$C$5,2)</f>
        <v/>
      </c>
      <c r="Q2184" s="10">
        <f>ROUND(L2184*'Irish Basis'!$C$12*'Irish Basis'!$C$5,2)</f>
        <v/>
      </c>
      <c r="R2184" s="11">
        <f>ROUND(SUM(N2184:Q2184),2)</f>
        <v/>
      </c>
      <c r="S2184" s="5" t="inlineStr">
        <is>
          <t>Stated build-up</t>
        </is>
      </c>
      <c r="T2184" s="12" t="inlineStr">
        <is>
          <t>High</t>
        </is>
      </c>
      <c r="U2184" s="8" t="n">
        <v>82.23999999999999</v>
      </c>
      <c r="V2184" s="13">
        <f>IF(U2184="","",ROUND(M2184-U2184,2))</f>
        <v/>
      </c>
      <c r="W2184" s="5" t="n"/>
      <c r="X2184" s="5" t="inlineStr">
        <is>
          <t>Labour + plant + material as published; reconciles to the published rate.</t>
        </is>
      </c>
    </row>
    <row r="2185" ht="13" customHeight="1">
      <c r="A2185" s="4" t="n">
        <v>3299</v>
      </c>
      <c r="B2185" s="5" t="inlineStr">
        <is>
          <t>IMG_0110</t>
        </is>
      </c>
      <c r="C2185" s="5" t="inlineStr">
        <is>
          <t>CLASS L: PIPEWORK SUPPORTS AND PROTECTION, ANCILLARIES TO LAYING AND EXCAVATION</t>
        </is>
      </c>
      <c r="D2185" s="5" t="inlineStr">
        <is>
          <t>03 BEDS</t>
        </is>
      </c>
      <c r="E2185" s="5" t="inlineStr">
        <is>
          <t>Mass concrete; 150 mm deep bed for pipes nominal bore</t>
        </is>
      </c>
      <c r="F2185" s="5" t="inlineStr">
        <is>
          <t>900 mm</t>
        </is>
      </c>
      <c r="G2185" s="6" t="inlineStr">
        <is>
          <t>m</t>
        </is>
      </c>
      <c r="H2185" s="7" t="n">
        <v>0.28</v>
      </c>
      <c r="I2185" s="8" t="n">
        <v>23.57</v>
      </c>
      <c r="J2185" s="8" t="n">
        <v>21.7</v>
      </c>
      <c r="K2185" s="8" t="n">
        <v>47.15</v>
      </c>
      <c r="L2185" s="8" t="n">
        <v>0</v>
      </c>
      <c r="M2185" s="9">
        <f>ROUND(SUM(I2185:L2185),2)</f>
        <v/>
      </c>
      <c r="N2185" s="10">
        <f>ROUND(I2185*'Irish Basis'!$C$6*'Irish Basis'!$C$5,2)</f>
        <v/>
      </c>
      <c r="O2185" s="10">
        <f>ROUND(J2185*'Irish Basis'!$C$7*'Irish Basis'!$C$5,2)</f>
        <v/>
      </c>
      <c r="P2185" s="10">
        <f>ROUND(K2185*'Irish Basis'!$C$8*'Irish Basis'!$C$5,2)</f>
        <v/>
      </c>
      <c r="Q2185" s="10">
        <f>ROUND(L2185*'Irish Basis'!$C$12*'Irish Basis'!$C$5,2)</f>
        <v/>
      </c>
      <c r="R2185" s="11">
        <f>ROUND(SUM(N2185:Q2185),2)</f>
        <v/>
      </c>
      <c r="S2185" s="5" t="inlineStr">
        <is>
          <t>Stated build-up</t>
        </is>
      </c>
      <c r="T2185" s="12" t="inlineStr">
        <is>
          <t>High</t>
        </is>
      </c>
      <c r="U2185" s="8" t="n">
        <v>92.42</v>
      </c>
      <c r="V2185" s="13">
        <f>IF(U2185="","",ROUND(M2185-U2185,2))</f>
        <v/>
      </c>
      <c r="W2185" s="5" t="n"/>
      <c r="X2185" s="5" t="inlineStr">
        <is>
          <t>Labour + plant + material as published; reconciles to the published rate.</t>
        </is>
      </c>
    </row>
    <row r="2186" ht="13" customHeight="1">
      <c r="A2186" s="4" t="n">
        <v>3300</v>
      </c>
      <c r="B2186" s="5" t="inlineStr">
        <is>
          <t>IMG_0110</t>
        </is>
      </c>
      <c r="C2186" s="5" t="inlineStr">
        <is>
          <t>CLASS L: PIPEWORK SUPPORTS AND PROTECTION, ANCILLARIES TO LAYING AND EXCAVATION</t>
        </is>
      </c>
      <c r="D2186" s="5" t="inlineStr">
        <is>
          <t>03 BEDS</t>
        </is>
      </c>
      <c r="E2186" s="5" t="inlineStr">
        <is>
          <t>Mass concrete; 150 mm deep bed for pipes nominal bore</t>
        </is>
      </c>
      <c r="F2186" s="5" t="inlineStr">
        <is>
          <t>1200 mm</t>
        </is>
      </c>
      <c r="G2186" s="6" t="inlineStr">
        <is>
          <t>m</t>
        </is>
      </c>
      <c r="H2186" s="7" t="n">
        <v>0.32</v>
      </c>
      <c r="I2186" s="8" t="n">
        <v>26.94</v>
      </c>
      <c r="J2186" s="8" t="n">
        <v>24.81</v>
      </c>
      <c r="K2186" s="8" t="n">
        <v>55.44</v>
      </c>
      <c r="L2186" s="8" t="n">
        <v>0</v>
      </c>
      <c r="M2186" s="9">
        <f>ROUND(SUM(I2186:L2186),2)</f>
        <v/>
      </c>
      <c r="N2186" s="10">
        <f>ROUND(I2186*'Irish Basis'!$C$6*'Irish Basis'!$C$5,2)</f>
        <v/>
      </c>
      <c r="O2186" s="10">
        <f>ROUND(J2186*'Irish Basis'!$C$7*'Irish Basis'!$C$5,2)</f>
        <v/>
      </c>
      <c r="P2186" s="10">
        <f>ROUND(K2186*'Irish Basis'!$C$8*'Irish Basis'!$C$5,2)</f>
        <v/>
      </c>
      <c r="Q2186" s="10">
        <f>ROUND(L2186*'Irish Basis'!$C$12*'Irish Basis'!$C$5,2)</f>
        <v/>
      </c>
      <c r="R2186" s="11">
        <f>ROUND(SUM(N2186:Q2186),2)</f>
        <v/>
      </c>
      <c r="S2186" s="5" t="inlineStr">
        <is>
          <t>Stated build-up</t>
        </is>
      </c>
      <c r="T2186" s="12" t="inlineStr">
        <is>
          <t>High</t>
        </is>
      </c>
      <c r="U2186" s="8" t="n">
        <v>107.19</v>
      </c>
      <c r="V2186" s="13">
        <f>IF(U2186="","",ROUND(M2186-U2186,2))</f>
        <v/>
      </c>
      <c r="W2186" s="5" t="n"/>
      <c r="X2186" s="5" t="inlineStr">
        <is>
          <t>Labour + plant + material as published; reconciles to the published rate.</t>
        </is>
      </c>
    </row>
    <row r="2187" ht="13" customHeight="1">
      <c r="A2187" s="4" t="n">
        <v>3304</v>
      </c>
      <c r="B2187" s="5" t="inlineStr">
        <is>
          <t>IMG_0110</t>
        </is>
      </c>
      <c r="C2187" s="5" t="inlineStr">
        <is>
          <t>CLASS L: PIPEWORK SUPPORTS AND PROTECTION, ANCILLARIES TO LAYING AND EXCAVATION</t>
        </is>
      </c>
      <c r="D2187" s="5" t="inlineStr">
        <is>
          <t>04 HAUNCHES</t>
        </is>
      </c>
      <c r="E2187" s="5" t="inlineStr">
        <is>
          <t>Mass concrete; Haunches for pipes nominal bore</t>
        </is>
      </c>
      <c r="F2187" s="5" t="inlineStr">
        <is>
          <t>150 mm</t>
        </is>
      </c>
      <c r="G2187" s="6" t="inlineStr">
        <is>
          <t>m</t>
        </is>
      </c>
      <c r="H2187" s="7" t="n">
        <v>0.24</v>
      </c>
      <c r="I2187" s="8" t="n">
        <v>20.2</v>
      </c>
      <c r="J2187" s="8" t="n">
        <v>18.6</v>
      </c>
      <c r="K2187" s="8" t="n">
        <v>10.17</v>
      </c>
      <c r="L2187" s="8" t="n">
        <v>0</v>
      </c>
      <c r="M2187" s="9">
        <f>ROUND(SUM(I2187:L2187),2)</f>
        <v/>
      </c>
      <c r="N2187" s="10">
        <f>ROUND(I2187*'Irish Basis'!$C$6*'Irish Basis'!$C$5,2)</f>
        <v/>
      </c>
      <c r="O2187" s="10">
        <f>ROUND(J2187*'Irish Basis'!$C$7*'Irish Basis'!$C$5,2)</f>
        <v/>
      </c>
      <c r="P2187" s="10">
        <f>ROUND(K2187*'Irish Basis'!$C$8*'Irish Basis'!$C$5,2)</f>
        <v/>
      </c>
      <c r="Q2187" s="10">
        <f>ROUND(L2187*'Irish Basis'!$C$12*'Irish Basis'!$C$5,2)</f>
        <v/>
      </c>
      <c r="R2187" s="11">
        <f>ROUND(SUM(N2187:Q2187),2)</f>
        <v/>
      </c>
      <c r="S2187" s="5" t="inlineStr">
        <is>
          <t>Stated build-up</t>
        </is>
      </c>
      <c r="T2187" s="12" t="inlineStr">
        <is>
          <t>High</t>
        </is>
      </c>
      <c r="U2187" s="8" t="n">
        <v>48.98</v>
      </c>
      <c r="V2187" s="13">
        <f>IF(U2187="","",ROUND(M2187-U2187,2))</f>
        <v/>
      </c>
      <c r="W2187" s="5" t="n"/>
      <c r="X2187" s="5" t="inlineStr">
        <is>
          <t>Labour + plant + material as published; reconciles to the published rate.</t>
        </is>
      </c>
    </row>
    <row r="2188" ht="13" customHeight="1">
      <c r="A2188" s="4" t="n">
        <v>3305</v>
      </c>
      <c r="B2188" s="5" t="inlineStr">
        <is>
          <t>IMG_0110</t>
        </is>
      </c>
      <c r="C2188" s="5" t="inlineStr">
        <is>
          <t>CLASS L: PIPEWORK SUPPORTS AND PROTECTION, ANCILLARIES TO LAYING AND EXCAVATION</t>
        </is>
      </c>
      <c r="D2188" s="5" t="inlineStr">
        <is>
          <t>04 HAUNCHES</t>
        </is>
      </c>
      <c r="E2188" s="5" t="inlineStr">
        <is>
          <t>Mass concrete; Haunches for pipes nominal bore</t>
        </is>
      </c>
      <c r="F2188" s="5" t="inlineStr">
        <is>
          <t>225 mm</t>
        </is>
      </c>
      <c r="G2188" s="6" t="inlineStr">
        <is>
          <t>m</t>
        </is>
      </c>
      <c r="H2188" s="7" t="n">
        <v>0.29</v>
      </c>
      <c r="I2188" s="8" t="n">
        <v>24.41</v>
      </c>
      <c r="J2188" s="8" t="n">
        <v>22.48</v>
      </c>
      <c r="K2188" s="8" t="n">
        <v>15.96</v>
      </c>
      <c r="L2188" s="8" t="n">
        <v>0</v>
      </c>
      <c r="M2188" s="9">
        <f>ROUND(SUM(I2188:L2188),2)</f>
        <v/>
      </c>
      <c r="N2188" s="10">
        <f>ROUND(I2188*'Irish Basis'!$C$6*'Irish Basis'!$C$5,2)</f>
        <v/>
      </c>
      <c r="O2188" s="10">
        <f>ROUND(J2188*'Irish Basis'!$C$7*'Irish Basis'!$C$5,2)</f>
        <v/>
      </c>
      <c r="P2188" s="10">
        <f>ROUND(K2188*'Irish Basis'!$C$8*'Irish Basis'!$C$5,2)</f>
        <v/>
      </c>
      <c r="Q2188" s="10">
        <f>ROUND(L2188*'Irish Basis'!$C$12*'Irish Basis'!$C$5,2)</f>
        <v/>
      </c>
      <c r="R2188" s="11">
        <f>ROUND(SUM(N2188:Q2188),2)</f>
        <v/>
      </c>
      <c r="S2188" s="5" t="inlineStr">
        <is>
          <t>Stated build-up</t>
        </is>
      </c>
      <c r="T2188" s="12" t="inlineStr">
        <is>
          <t>High</t>
        </is>
      </c>
      <c r="U2188" s="8" t="n">
        <v>62.86</v>
      </c>
      <c r="V2188" s="13">
        <f>IF(U2188="","",ROUND(M2188-U2188,2))</f>
        <v/>
      </c>
      <c r="W2188" s="5" t="n"/>
      <c r="X2188" s="5" t="inlineStr">
        <is>
          <t>Labour + plant + material as published; reconciles to the published rate.</t>
        </is>
      </c>
    </row>
    <row r="2189" ht="13" customHeight="1">
      <c r="A2189" s="4" t="n">
        <v>3306</v>
      </c>
      <c r="B2189" s="5" t="inlineStr">
        <is>
          <t>IMG_0110</t>
        </is>
      </c>
      <c r="C2189" s="5" t="inlineStr">
        <is>
          <t>CLASS L: PIPEWORK SUPPORTS AND PROTECTION, ANCILLARIES TO LAYING AND EXCAVATION</t>
        </is>
      </c>
      <c r="D2189" s="5" t="inlineStr">
        <is>
          <t>04 HAUNCHES</t>
        </is>
      </c>
      <c r="E2189" s="5" t="inlineStr">
        <is>
          <t>Mass concrete; Haunches for pipes nominal bore</t>
        </is>
      </c>
      <c r="F2189" s="5" t="inlineStr">
        <is>
          <t>300 mm</t>
        </is>
      </c>
      <c r="G2189" s="6" t="inlineStr">
        <is>
          <t>m</t>
        </is>
      </c>
      <c r="H2189" s="7" t="n">
        <v>0.36</v>
      </c>
      <c r="I2189" s="8" t="n">
        <v>30.31</v>
      </c>
      <c r="J2189" s="8" t="n">
        <v>27.91</v>
      </c>
      <c r="K2189" s="8" t="n">
        <v>20.11</v>
      </c>
      <c r="L2189" s="8" t="n">
        <v>0</v>
      </c>
      <c r="M2189" s="9">
        <f>ROUND(SUM(I2189:L2189),2)</f>
        <v/>
      </c>
      <c r="N2189" s="10">
        <f>ROUND(I2189*'Irish Basis'!$C$6*'Irish Basis'!$C$5,2)</f>
        <v/>
      </c>
      <c r="O2189" s="10">
        <f>ROUND(J2189*'Irish Basis'!$C$7*'Irish Basis'!$C$5,2)</f>
        <v/>
      </c>
      <c r="P2189" s="10">
        <f>ROUND(K2189*'Irish Basis'!$C$8*'Irish Basis'!$C$5,2)</f>
        <v/>
      </c>
      <c r="Q2189" s="10">
        <f>ROUND(L2189*'Irish Basis'!$C$12*'Irish Basis'!$C$5,2)</f>
        <v/>
      </c>
      <c r="R2189" s="11">
        <f>ROUND(SUM(N2189:Q2189),2)</f>
        <v/>
      </c>
      <c r="S2189" s="5" t="inlineStr">
        <is>
          <t>Stated build-up</t>
        </is>
      </c>
      <c r="T2189" s="12" t="inlineStr">
        <is>
          <t>High</t>
        </is>
      </c>
      <c r="U2189" s="8" t="n">
        <v>78.31999999999999</v>
      </c>
      <c r="V2189" s="13">
        <f>IF(U2189="","",ROUND(M2189-U2189,2))</f>
        <v/>
      </c>
      <c r="W2189" s="5" t="n"/>
      <c r="X2189" s="5" t="inlineStr">
        <is>
          <t>Labour + plant + material as published; reconciles to the published rate.</t>
        </is>
      </c>
    </row>
    <row r="2190" ht="13" customHeight="1">
      <c r="A2190" s="4" t="n">
        <v>3307</v>
      </c>
      <c r="B2190" s="5" t="inlineStr">
        <is>
          <t>IMG_0110</t>
        </is>
      </c>
      <c r="C2190" s="5" t="inlineStr">
        <is>
          <t>CLASS L: PIPEWORK SUPPORTS AND PROTECTION, ANCILLARIES TO LAYING AND EXCAVATION</t>
        </is>
      </c>
      <c r="D2190" s="5" t="inlineStr">
        <is>
          <t>04 HAUNCHES</t>
        </is>
      </c>
      <c r="E2190" s="5" t="inlineStr">
        <is>
          <t>Mass concrete; Haunches for pipes nominal bore</t>
        </is>
      </c>
      <c r="F2190" s="5" t="inlineStr">
        <is>
          <t>400 mm</t>
        </is>
      </c>
      <c r="G2190" s="6" t="inlineStr">
        <is>
          <t>m</t>
        </is>
      </c>
      <c r="H2190" s="7" t="n">
        <v>0.43</v>
      </c>
      <c r="I2190" s="8" t="n">
        <v>36.2</v>
      </c>
      <c r="J2190" s="8" t="n">
        <v>33.33</v>
      </c>
      <c r="K2190" s="8" t="n">
        <v>26.61</v>
      </c>
      <c r="L2190" s="8" t="n">
        <v>0</v>
      </c>
      <c r="M2190" s="9">
        <f>ROUND(SUM(I2190:L2190),2)</f>
        <v/>
      </c>
      <c r="N2190" s="10">
        <f>ROUND(I2190*'Irish Basis'!$C$6*'Irish Basis'!$C$5,2)</f>
        <v/>
      </c>
      <c r="O2190" s="10">
        <f>ROUND(J2190*'Irish Basis'!$C$7*'Irish Basis'!$C$5,2)</f>
        <v/>
      </c>
      <c r="P2190" s="10">
        <f>ROUND(K2190*'Irish Basis'!$C$8*'Irish Basis'!$C$5,2)</f>
        <v/>
      </c>
      <c r="Q2190" s="10">
        <f>ROUND(L2190*'Irish Basis'!$C$12*'Irish Basis'!$C$5,2)</f>
        <v/>
      </c>
      <c r="R2190" s="11">
        <f>ROUND(SUM(N2190:Q2190),2)</f>
        <v/>
      </c>
      <c r="S2190" s="5" t="inlineStr">
        <is>
          <t>Stated build-up</t>
        </is>
      </c>
      <c r="T2190" s="12" t="inlineStr">
        <is>
          <t>High</t>
        </is>
      </c>
      <c r="U2190" s="8" t="n">
        <v>96.14</v>
      </c>
      <c r="V2190" s="13">
        <f>IF(U2190="","",ROUND(M2190-U2190,2))</f>
        <v/>
      </c>
      <c r="W2190" s="5" t="n"/>
      <c r="X2190" s="5" t="inlineStr">
        <is>
          <t>Labour + plant + material as published; reconciles to the published rate.</t>
        </is>
      </c>
    </row>
    <row r="2191" ht="13" customHeight="1">
      <c r="A2191" s="4" t="n">
        <v>3308</v>
      </c>
      <c r="B2191" s="5" t="inlineStr">
        <is>
          <t>IMG_0110</t>
        </is>
      </c>
      <c r="C2191" s="5" t="inlineStr">
        <is>
          <t>CLASS L: PIPEWORK SUPPORTS AND PROTECTION, ANCILLARIES TO LAYING AND EXCAVATION</t>
        </is>
      </c>
      <c r="D2191" s="5" t="inlineStr">
        <is>
          <t>04 HAUNCHES</t>
        </is>
      </c>
      <c r="E2191" s="5" t="inlineStr">
        <is>
          <t>Mass concrete; Haunches for pipes nominal bore</t>
        </is>
      </c>
      <c r="F2191" s="5" t="inlineStr">
        <is>
          <t>450 mm</t>
        </is>
      </c>
      <c r="G2191" s="6" t="inlineStr">
        <is>
          <t>m</t>
        </is>
      </c>
      <c r="H2191" s="7" t="n">
        <v>0.5</v>
      </c>
      <c r="I2191" s="8" t="n">
        <v>42.09</v>
      </c>
      <c r="J2191" s="8" t="n">
        <v>38.76</v>
      </c>
      <c r="K2191" s="8" t="n">
        <v>36.03</v>
      </c>
      <c r="L2191" s="8" t="n">
        <v>0</v>
      </c>
      <c r="M2191" s="9">
        <f>ROUND(SUM(I2191:L2191),2)</f>
        <v/>
      </c>
      <c r="N2191" s="10">
        <f>ROUND(I2191*'Irish Basis'!$C$6*'Irish Basis'!$C$5,2)</f>
        <v/>
      </c>
      <c r="O2191" s="10">
        <f>ROUND(J2191*'Irish Basis'!$C$7*'Irish Basis'!$C$5,2)</f>
        <v/>
      </c>
      <c r="P2191" s="10">
        <f>ROUND(K2191*'Irish Basis'!$C$8*'Irish Basis'!$C$5,2)</f>
        <v/>
      </c>
      <c r="Q2191" s="10">
        <f>ROUND(L2191*'Irish Basis'!$C$12*'Irish Basis'!$C$5,2)</f>
        <v/>
      </c>
      <c r="R2191" s="11">
        <f>ROUND(SUM(N2191:Q2191),2)</f>
        <v/>
      </c>
      <c r="S2191" s="5" t="inlineStr">
        <is>
          <t>Stated build-up</t>
        </is>
      </c>
      <c r="T2191" s="12" t="inlineStr">
        <is>
          <t>High</t>
        </is>
      </c>
      <c r="U2191" s="8" t="n">
        <v>116.88</v>
      </c>
      <c r="V2191" s="13">
        <f>IF(U2191="","",ROUND(M2191-U2191,2))</f>
        <v/>
      </c>
      <c r="W2191" s="5" t="n"/>
      <c r="X2191" s="5" t="inlineStr">
        <is>
          <t>Labour + plant + material as published; reconciles to the published rate.</t>
        </is>
      </c>
    </row>
    <row r="2192" ht="13" customHeight="1">
      <c r="A2192" s="4" t="n">
        <v>3309</v>
      </c>
      <c r="B2192" s="5" t="inlineStr">
        <is>
          <t>IMG_0110</t>
        </is>
      </c>
      <c r="C2192" s="5" t="inlineStr">
        <is>
          <t>CLASS L: PIPEWORK SUPPORTS AND PROTECTION, ANCILLARIES TO LAYING AND EXCAVATION</t>
        </is>
      </c>
      <c r="D2192" s="5" t="inlineStr">
        <is>
          <t>04 HAUNCHES</t>
        </is>
      </c>
      <c r="E2192" s="5" t="inlineStr">
        <is>
          <t>Mass concrete; Haunches for pipes nominal bore</t>
        </is>
      </c>
      <c r="F2192" s="5" t="inlineStr">
        <is>
          <t>600 mm</t>
        </is>
      </c>
      <c r="G2192" s="6" t="inlineStr">
        <is>
          <t>m</t>
        </is>
      </c>
      <c r="H2192" s="7" t="n">
        <v>0.5600000000000001</v>
      </c>
      <c r="I2192" s="8" t="n">
        <v>47.14</v>
      </c>
      <c r="J2192" s="8" t="n">
        <v>43.41</v>
      </c>
      <c r="K2192" s="8" t="n">
        <v>55.79</v>
      </c>
      <c r="L2192" s="8" t="n">
        <v>0</v>
      </c>
      <c r="M2192" s="9">
        <f>ROUND(SUM(I2192:L2192),2)</f>
        <v/>
      </c>
      <c r="N2192" s="10">
        <f>ROUND(I2192*'Irish Basis'!$C$6*'Irish Basis'!$C$5,2)</f>
        <v/>
      </c>
      <c r="O2192" s="10">
        <f>ROUND(J2192*'Irish Basis'!$C$7*'Irish Basis'!$C$5,2)</f>
        <v/>
      </c>
      <c r="P2192" s="10">
        <f>ROUND(K2192*'Irish Basis'!$C$8*'Irish Basis'!$C$5,2)</f>
        <v/>
      </c>
      <c r="Q2192" s="10">
        <f>ROUND(L2192*'Irish Basis'!$C$12*'Irish Basis'!$C$5,2)</f>
        <v/>
      </c>
      <c r="R2192" s="11">
        <f>ROUND(SUM(N2192:Q2192),2)</f>
        <v/>
      </c>
      <c r="S2192" s="5" t="inlineStr">
        <is>
          <t>Stated build-up</t>
        </is>
      </c>
      <c r="T2192" s="12" t="inlineStr">
        <is>
          <t>High</t>
        </is>
      </c>
      <c r="U2192" s="8" t="n">
        <v>146.35</v>
      </c>
      <c r="V2192" s="13">
        <f>IF(U2192="","",ROUND(M2192-U2192,2))</f>
        <v/>
      </c>
      <c r="W2192" s="5" t="n"/>
      <c r="X2192" s="5" t="inlineStr">
        <is>
          <t>Labour + plant + material as published; reconciles to the published rate.</t>
        </is>
      </c>
    </row>
    <row r="2193" ht="13" customHeight="1">
      <c r="A2193" s="4" t="n">
        <v>3310</v>
      </c>
      <c r="B2193" s="5" t="inlineStr">
        <is>
          <t>IMG_0110</t>
        </is>
      </c>
      <c r="C2193" s="5" t="inlineStr">
        <is>
          <t>CLASS L: PIPEWORK SUPPORTS AND PROTECTION, ANCILLARIES TO LAYING AND EXCAVATION</t>
        </is>
      </c>
      <c r="D2193" s="5" t="inlineStr">
        <is>
          <t>04 HAUNCHES</t>
        </is>
      </c>
      <c r="E2193" s="5" t="inlineStr">
        <is>
          <t>Mass concrete; Haunches for pipes nominal bore</t>
        </is>
      </c>
      <c r="F2193" s="5" t="inlineStr">
        <is>
          <t>750 mm</t>
        </is>
      </c>
      <c r="G2193" s="6" t="inlineStr">
        <is>
          <t>m</t>
        </is>
      </c>
      <c r="H2193" s="7" t="n">
        <v>0.62</v>
      </c>
      <c r="I2193" s="8" t="n">
        <v>52.19</v>
      </c>
      <c r="J2193" s="8" t="n">
        <v>48.06</v>
      </c>
      <c r="K2193" s="8" t="n">
        <v>68.98999999999999</v>
      </c>
      <c r="L2193" s="8" t="n">
        <v>0</v>
      </c>
      <c r="M2193" s="9">
        <f>ROUND(SUM(I2193:L2193),2)</f>
        <v/>
      </c>
      <c r="N2193" s="10">
        <f>ROUND(I2193*'Irish Basis'!$C$6*'Irish Basis'!$C$5,2)</f>
        <v/>
      </c>
      <c r="O2193" s="10">
        <f>ROUND(J2193*'Irish Basis'!$C$7*'Irish Basis'!$C$5,2)</f>
        <v/>
      </c>
      <c r="P2193" s="10">
        <f>ROUND(K2193*'Irish Basis'!$C$8*'Irish Basis'!$C$5,2)</f>
        <v/>
      </c>
      <c r="Q2193" s="10">
        <f>ROUND(L2193*'Irish Basis'!$C$12*'Irish Basis'!$C$5,2)</f>
        <v/>
      </c>
      <c r="R2193" s="11">
        <f>ROUND(SUM(N2193:Q2193),2)</f>
        <v/>
      </c>
      <c r="S2193" s="5" t="inlineStr">
        <is>
          <t>Stated build-up</t>
        </is>
      </c>
      <c r="T2193" s="12" t="inlineStr">
        <is>
          <t>High</t>
        </is>
      </c>
      <c r="U2193" s="8" t="n">
        <v>169.24</v>
      </c>
      <c r="V2193" s="13">
        <f>IF(U2193="","",ROUND(M2193-U2193,2))</f>
        <v/>
      </c>
      <c r="W2193" s="5" t="n"/>
      <c r="X2193" s="5" t="inlineStr">
        <is>
          <t>Labour + plant + material as published; reconciles to the published rate.</t>
        </is>
      </c>
    </row>
    <row r="2194" ht="13" customHeight="1">
      <c r="A2194" s="4" t="n">
        <v>3311</v>
      </c>
      <c r="B2194" s="5" t="inlineStr">
        <is>
          <t>IMG_0110</t>
        </is>
      </c>
      <c r="C2194" s="5" t="inlineStr">
        <is>
          <t>CLASS L: PIPEWORK SUPPORTS AND PROTECTION, ANCILLARIES TO LAYING AND EXCAVATION</t>
        </is>
      </c>
      <c r="D2194" s="5" t="inlineStr">
        <is>
          <t>04 HAUNCHES</t>
        </is>
      </c>
      <c r="E2194" s="5" t="inlineStr">
        <is>
          <t>Mass concrete; Haunches for pipes nominal bore</t>
        </is>
      </c>
      <c r="F2194" s="5" t="inlineStr">
        <is>
          <t>900 mm</t>
        </is>
      </c>
      <c r="G2194" s="6" t="inlineStr">
        <is>
          <t>m</t>
        </is>
      </c>
      <c r="H2194" s="7" t="n">
        <v>0.6899999999999999</v>
      </c>
      <c r="I2194" s="8" t="n">
        <v>58.09</v>
      </c>
      <c r="J2194" s="8" t="n">
        <v>53.49</v>
      </c>
      <c r="K2194" s="8" t="n">
        <v>94.41</v>
      </c>
      <c r="L2194" s="8" t="n">
        <v>0</v>
      </c>
      <c r="M2194" s="9">
        <f>ROUND(SUM(I2194:L2194),2)</f>
        <v/>
      </c>
      <c r="N2194" s="10">
        <f>ROUND(I2194*'Irish Basis'!$C$6*'Irish Basis'!$C$5,2)</f>
        <v/>
      </c>
      <c r="O2194" s="10">
        <f>ROUND(J2194*'Irish Basis'!$C$7*'Irish Basis'!$C$5,2)</f>
        <v/>
      </c>
      <c r="P2194" s="10">
        <f>ROUND(K2194*'Irish Basis'!$C$8*'Irish Basis'!$C$5,2)</f>
        <v/>
      </c>
      <c r="Q2194" s="10">
        <f>ROUND(L2194*'Irish Basis'!$C$12*'Irish Basis'!$C$5,2)</f>
        <v/>
      </c>
      <c r="R2194" s="11">
        <f>ROUND(SUM(N2194:Q2194),2)</f>
        <v/>
      </c>
      <c r="S2194" s="5" t="inlineStr">
        <is>
          <t>Stated build-up</t>
        </is>
      </c>
      <c r="T2194" s="12" t="inlineStr">
        <is>
          <t>High</t>
        </is>
      </c>
      <c r="U2194" s="8" t="n">
        <v>205.98</v>
      </c>
      <c r="V2194" s="13">
        <f>IF(U2194="","",ROUND(M2194-U2194,2))</f>
        <v/>
      </c>
      <c r="W2194" s="5" t="n"/>
      <c r="X2194" s="5" t="inlineStr">
        <is>
          <t>Labour + plant + material as published; reconciles to the published rate.</t>
        </is>
      </c>
    </row>
    <row r="2195" ht="13" customHeight="1">
      <c r="A2195" s="4" t="n">
        <v>3312</v>
      </c>
      <c r="B2195" s="5" t="inlineStr">
        <is>
          <t>IMG_0110</t>
        </is>
      </c>
      <c r="C2195" s="5" t="inlineStr">
        <is>
          <t>CLASS L: PIPEWORK SUPPORTS AND PROTECTION, ANCILLARIES TO LAYING AND EXCAVATION</t>
        </is>
      </c>
      <c r="D2195" s="5" t="inlineStr">
        <is>
          <t>04 HAUNCHES</t>
        </is>
      </c>
      <c r="E2195" s="5" t="inlineStr">
        <is>
          <t>Mass concrete; Haunches for pipes nominal bore</t>
        </is>
      </c>
      <c r="F2195" s="5" t="inlineStr">
        <is>
          <t>1200 mm</t>
        </is>
      </c>
      <c r="G2195" s="6" t="inlineStr">
        <is>
          <t>m</t>
        </is>
      </c>
      <c r="H2195" s="7" t="n">
        <v>0.75</v>
      </c>
      <c r="I2195" s="8" t="n">
        <v>63.14</v>
      </c>
      <c r="J2195" s="8" t="n">
        <v>58.14</v>
      </c>
      <c r="K2195" s="8" t="n">
        <v>123.58</v>
      </c>
      <c r="L2195" s="8" t="n">
        <v>0</v>
      </c>
      <c r="M2195" s="9">
        <f>ROUND(SUM(I2195:L2195),2)</f>
        <v/>
      </c>
      <c r="N2195" s="10">
        <f>ROUND(I2195*'Irish Basis'!$C$6*'Irish Basis'!$C$5,2)</f>
        <v/>
      </c>
      <c r="O2195" s="10">
        <f>ROUND(J2195*'Irish Basis'!$C$7*'Irish Basis'!$C$5,2)</f>
        <v/>
      </c>
      <c r="P2195" s="10">
        <f>ROUND(K2195*'Irish Basis'!$C$8*'Irish Basis'!$C$5,2)</f>
        <v/>
      </c>
      <c r="Q2195" s="10">
        <f>ROUND(L2195*'Irish Basis'!$C$12*'Irish Basis'!$C$5,2)</f>
        <v/>
      </c>
      <c r="R2195" s="11">
        <f>ROUND(SUM(N2195:Q2195),2)</f>
        <v/>
      </c>
      <c r="S2195" s="5" t="inlineStr">
        <is>
          <t>Stated build-up</t>
        </is>
      </c>
      <c r="T2195" s="12" t="inlineStr">
        <is>
          <t>High</t>
        </is>
      </c>
      <c r="U2195" s="8" t="n">
        <v>244.85</v>
      </c>
      <c r="V2195" s="13">
        <f>IF(U2195="","",ROUND(M2195-U2195,2))</f>
        <v/>
      </c>
      <c r="W2195" s="5" t="n"/>
      <c r="X2195" s="5" t="inlineStr">
        <is>
          <t>Labour + plant + material as published; reconciles to the published rate.</t>
        </is>
      </c>
    </row>
    <row r="2196" ht="13" customHeight="1">
      <c r="A2196" s="4" t="n">
        <v>3316</v>
      </c>
      <c r="B2196" s="5" t="inlineStr">
        <is>
          <t>IMG_0110</t>
        </is>
      </c>
      <c r="C2196" s="5" t="inlineStr">
        <is>
          <t>CLASS L: PIPEWORK SUPPORTS AND PROTECTION, ANCILLARIES TO LAYING AND EXCAVATION</t>
        </is>
      </c>
      <c r="D2196" s="5" t="inlineStr">
        <is>
          <t>05 SURROUNDS</t>
        </is>
      </c>
      <c r="E2196" s="5" t="inlineStr">
        <is>
          <t>Imported sand; 100 mm thick bed for pipes nominal bore</t>
        </is>
      </c>
      <c r="F2196" s="5" t="inlineStr">
        <is>
          <t>100 mm</t>
        </is>
      </c>
      <c r="G2196" s="6" t="inlineStr">
        <is>
          <t>m</t>
        </is>
      </c>
      <c r="H2196" s="7" t="n">
        <v>0.04</v>
      </c>
      <c r="I2196" s="8" t="n">
        <v>3.37</v>
      </c>
      <c r="J2196" s="8" t="n">
        <v>3.1</v>
      </c>
      <c r="K2196" s="8" t="n">
        <v>7.97</v>
      </c>
      <c r="L2196" s="8" t="n">
        <v>0</v>
      </c>
      <c r="M2196" s="9">
        <f>ROUND(SUM(I2196:L2196),2)</f>
        <v/>
      </c>
      <c r="N2196" s="10">
        <f>ROUND(I2196*'Irish Basis'!$C$6*'Irish Basis'!$C$5,2)</f>
        <v/>
      </c>
      <c r="O2196" s="10">
        <f>ROUND(J2196*'Irish Basis'!$C$7*'Irish Basis'!$C$5,2)</f>
        <v/>
      </c>
      <c r="P2196" s="10">
        <f>ROUND(K2196*'Irish Basis'!$C$8*'Irish Basis'!$C$5,2)</f>
        <v/>
      </c>
      <c r="Q2196" s="10">
        <f>ROUND(L2196*'Irish Basis'!$C$12*'Irish Basis'!$C$5,2)</f>
        <v/>
      </c>
      <c r="R2196" s="11">
        <f>ROUND(SUM(N2196:Q2196),2)</f>
        <v/>
      </c>
      <c r="S2196" s="5" t="inlineStr">
        <is>
          <t>Material recovered as residual</t>
        </is>
      </c>
      <c r="T2196" s="18" t="inlineStr">
        <is>
          <t>Medium-High</t>
        </is>
      </c>
      <c r="U2196" s="8" t="n">
        <v>14.44</v>
      </c>
      <c r="V2196" s="13">
        <f>IF(U2196="","",ROUND(M2196-U2196,2))</f>
        <v/>
      </c>
      <c r="W2196" s="5" t="n"/>
      <c r="X2196" s="5" t="inlineStr">
        <is>
          <t>Material column missing in source; recovered as published rate less labour and plant (£7.97). Verified against comparable items in the same section.</t>
        </is>
      </c>
    </row>
    <row r="2197" ht="13" customHeight="1">
      <c r="A2197" s="4" t="n">
        <v>3317</v>
      </c>
      <c r="B2197" s="5" t="inlineStr">
        <is>
          <t>IMG_0110</t>
        </is>
      </c>
      <c r="C2197" s="5" t="inlineStr">
        <is>
          <t>CLASS L: PIPEWORK SUPPORTS AND PROTECTION, ANCILLARIES TO LAYING AND EXCAVATION</t>
        </is>
      </c>
      <c r="D2197" s="5" t="inlineStr">
        <is>
          <t>05 SURROUNDS</t>
        </is>
      </c>
      <c r="E2197" s="5" t="inlineStr">
        <is>
          <t>Imported sand; 100 mm thick bed for pipes nominal bore</t>
        </is>
      </c>
      <c r="F2197" s="5" t="inlineStr">
        <is>
          <t>150 mm</t>
        </is>
      </c>
      <c r="G2197" s="6" t="inlineStr">
        <is>
          <t>m</t>
        </is>
      </c>
      <c r="H2197" s="7" t="n">
        <v>0.05</v>
      </c>
      <c r="I2197" s="8" t="n">
        <v>4.21</v>
      </c>
      <c r="J2197" s="8" t="n">
        <v>3.88</v>
      </c>
      <c r="K2197" s="8" t="n">
        <v>11.43</v>
      </c>
      <c r="L2197" s="8" t="n">
        <v>0</v>
      </c>
      <c r="M2197" s="9">
        <f>ROUND(SUM(I2197:L2197),2)</f>
        <v/>
      </c>
      <c r="N2197" s="10">
        <f>ROUND(I2197*'Irish Basis'!$C$6*'Irish Basis'!$C$5,2)</f>
        <v/>
      </c>
      <c r="O2197" s="10">
        <f>ROUND(J2197*'Irish Basis'!$C$7*'Irish Basis'!$C$5,2)</f>
        <v/>
      </c>
      <c r="P2197" s="10">
        <f>ROUND(K2197*'Irish Basis'!$C$8*'Irish Basis'!$C$5,2)</f>
        <v/>
      </c>
      <c r="Q2197" s="10">
        <f>ROUND(L2197*'Irish Basis'!$C$12*'Irish Basis'!$C$5,2)</f>
        <v/>
      </c>
      <c r="R2197" s="11">
        <f>ROUND(SUM(N2197:Q2197),2)</f>
        <v/>
      </c>
      <c r="S2197" s="5" t="inlineStr">
        <is>
          <t>Material recovered as residual</t>
        </is>
      </c>
      <c r="T2197" s="18" t="inlineStr">
        <is>
          <t>Medium-High</t>
        </is>
      </c>
      <c r="U2197" s="8" t="n">
        <v>19.52</v>
      </c>
      <c r="V2197" s="13">
        <f>IF(U2197="","",ROUND(M2197-U2197,2))</f>
        <v/>
      </c>
      <c r="W2197" s="5" t="n"/>
      <c r="X2197" s="5" t="inlineStr">
        <is>
          <t>Material column missing in source; recovered as published rate less labour and plant (£11.43). Verified against comparable items in the same section.</t>
        </is>
      </c>
    </row>
    <row r="2198" ht="13" customHeight="1">
      <c r="A2198" s="4" t="n">
        <v>3318</v>
      </c>
      <c r="B2198" s="5" t="inlineStr">
        <is>
          <t>IMG_0110</t>
        </is>
      </c>
      <c r="C2198" s="5" t="inlineStr">
        <is>
          <t>CLASS L: PIPEWORK SUPPORTS AND PROTECTION, ANCILLARIES TO LAYING AND EXCAVATION</t>
        </is>
      </c>
      <c r="D2198" s="5" t="inlineStr">
        <is>
          <t>05 SURROUNDS</t>
        </is>
      </c>
      <c r="E2198" s="5" t="inlineStr">
        <is>
          <t>Imported sand; 100 mm thick bed for pipes nominal bore</t>
        </is>
      </c>
      <c r="F2198" s="5" t="inlineStr">
        <is>
          <t>225 mm</t>
        </is>
      </c>
      <c r="G2198" s="6" t="inlineStr">
        <is>
          <t>m</t>
        </is>
      </c>
      <c r="H2198" s="7" t="n">
        <v>0.06</v>
      </c>
      <c r="I2198" s="8" t="n">
        <v>5.05</v>
      </c>
      <c r="J2198" s="8" t="n">
        <v>4.65</v>
      </c>
      <c r="K2198" s="8" t="n">
        <v>18.31</v>
      </c>
      <c r="L2198" s="8" t="n">
        <v>0</v>
      </c>
      <c r="M2198" s="9">
        <f>ROUND(SUM(I2198:L2198),2)</f>
        <v/>
      </c>
      <c r="N2198" s="10">
        <f>ROUND(I2198*'Irish Basis'!$C$6*'Irish Basis'!$C$5,2)</f>
        <v/>
      </c>
      <c r="O2198" s="10">
        <f>ROUND(J2198*'Irish Basis'!$C$7*'Irish Basis'!$C$5,2)</f>
        <v/>
      </c>
      <c r="P2198" s="10">
        <f>ROUND(K2198*'Irish Basis'!$C$8*'Irish Basis'!$C$5,2)</f>
        <v/>
      </c>
      <c r="Q2198" s="10">
        <f>ROUND(L2198*'Irish Basis'!$C$12*'Irish Basis'!$C$5,2)</f>
        <v/>
      </c>
      <c r="R2198" s="11">
        <f>ROUND(SUM(N2198:Q2198),2)</f>
        <v/>
      </c>
      <c r="S2198" s="5" t="inlineStr">
        <is>
          <t>Material recovered as residual</t>
        </is>
      </c>
      <c r="T2198" s="18" t="inlineStr">
        <is>
          <t>Medium-High</t>
        </is>
      </c>
      <c r="U2198" s="8" t="n">
        <v>28.01</v>
      </c>
      <c r="V2198" s="13">
        <f>IF(U2198="","",ROUND(M2198-U2198,2))</f>
        <v/>
      </c>
      <c r="W2198" s="5" t="n"/>
      <c r="X2198" s="5" t="inlineStr">
        <is>
          <t>Material column missing in source; recovered as published rate less labour and plant (£18.31). Verified against comparable items in the same section.</t>
        </is>
      </c>
    </row>
    <row r="2199" ht="13" customHeight="1">
      <c r="A2199" s="4" t="n">
        <v>3319</v>
      </c>
      <c r="B2199" s="5" t="inlineStr">
        <is>
          <t>IMG_0110</t>
        </is>
      </c>
      <c r="C2199" s="5" t="inlineStr">
        <is>
          <t>CLASS L: PIPEWORK SUPPORTS AND PROTECTION, ANCILLARIES TO LAYING AND EXCAVATION</t>
        </is>
      </c>
      <c r="D2199" s="5" t="inlineStr">
        <is>
          <t>05 SURROUNDS</t>
        </is>
      </c>
      <c r="E2199" s="5" t="inlineStr">
        <is>
          <t>Imported sand; 100 mm thick bed for pipes nominal bore</t>
        </is>
      </c>
      <c r="F2199" s="5" t="inlineStr">
        <is>
          <t>300 mm</t>
        </is>
      </c>
      <c r="G2199" s="6" t="inlineStr">
        <is>
          <t>m</t>
        </is>
      </c>
      <c r="H2199" s="7" t="n">
        <v>0.08</v>
      </c>
      <c r="I2199" s="8" t="n">
        <v>6.73</v>
      </c>
      <c r="J2199" s="8" t="n">
        <v>6.2</v>
      </c>
      <c r="K2199" s="8" t="n">
        <v>25.52</v>
      </c>
      <c r="L2199" s="8" t="n">
        <v>0</v>
      </c>
      <c r="M2199" s="9">
        <f>ROUND(SUM(I2199:L2199),2)</f>
        <v/>
      </c>
      <c r="N2199" s="10">
        <f>ROUND(I2199*'Irish Basis'!$C$6*'Irish Basis'!$C$5,2)</f>
        <v/>
      </c>
      <c r="O2199" s="10">
        <f>ROUND(J2199*'Irish Basis'!$C$7*'Irish Basis'!$C$5,2)</f>
        <v/>
      </c>
      <c r="P2199" s="10">
        <f>ROUND(K2199*'Irish Basis'!$C$8*'Irish Basis'!$C$5,2)</f>
        <v/>
      </c>
      <c r="Q2199" s="10">
        <f>ROUND(L2199*'Irish Basis'!$C$12*'Irish Basis'!$C$5,2)</f>
        <v/>
      </c>
      <c r="R2199" s="11">
        <f>ROUND(SUM(N2199:Q2199),2)</f>
        <v/>
      </c>
      <c r="S2199" s="5" t="inlineStr">
        <is>
          <t>Material recovered as residual</t>
        </is>
      </c>
      <c r="T2199" s="18" t="inlineStr">
        <is>
          <t>Medium-High</t>
        </is>
      </c>
      <c r="U2199" s="8" t="n">
        <v>38.45</v>
      </c>
      <c r="V2199" s="13">
        <f>IF(U2199="","",ROUND(M2199-U2199,2))</f>
        <v/>
      </c>
      <c r="W2199" s="5" t="n"/>
      <c r="X2199" s="5" t="inlineStr">
        <is>
          <t>Material column missing in source; recovered as published rate less labour and plant (£25.52). Verified against comparable items in the same section.</t>
        </is>
      </c>
    </row>
    <row r="2200" ht="13" customHeight="1">
      <c r="A2200" s="4" t="n">
        <v>3321</v>
      </c>
      <c r="B2200" s="5" t="inlineStr">
        <is>
          <t>IMG_0110</t>
        </is>
      </c>
      <c r="C2200" s="5" t="inlineStr">
        <is>
          <t>CLASS L: PIPEWORK SUPPORTS AND PROTECTION, ANCILLARIES TO LAYING AND EXCAVATION</t>
        </is>
      </c>
      <c r="D2200" s="5" t="inlineStr">
        <is>
          <t>05 SURROUNDS</t>
        </is>
      </c>
      <c r="E2200" s="5" t="inlineStr">
        <is>
          <t>Imported sand; 150 mm thick bed for pipes nominal bore</t>
        </is>
      </c>
      <c r="F2200" s="5" t="inlineStr">
        <is>
          <t>100 mm</t>
        </is>
      </c>
      <c r="G2200" s="6" t="inlineStr">
        <is>
          <t>m</t>
        </is>
      </c>
      <c r="H2200" s="7" t="n">
        <v>0.1</v>
      </c>
      <c r="I2200" s="8" t="n">
        <v>8.42</v>
      </c>
      <c r="J2200" s="8" t="n">
        <v>7.75</v>
      </c>
      <c r="K2200" s="8" t="n">
        <v>9.68</v>
      </c>
      <c r="L2200" s="8" t="n">
        <v>0</v>
      </c>
      <c r="M2200" s="9">
        <f>ROUND(SUM(I2200:L2200),2)</f>
        <v/>
      </c>
      <c r="N2200" s="10">
        <f>ROUND(I2200*'Irish Basis'!$C$6*'Irish Basis'!$C$5,2)</f>
        <v/>
      </c>
      <c r="O2200" s="10">
        <f>ROUND(J2200*'Irish Basis'!$C$7*'Irish Basis'!$C$5,2)</f>
        <v/>
      </c>
      <c r="P2200" s="10">
        <f>ROUND(K2200*'Irish Basis'!$C$8*'Irish Basis'!$C$5,2)</f>
        <v/>
      </c>
      <c r="Q2200" s="10">
        <f>ROUND(L2200*'Irish Basis'!$C$12*'Irish Basis'!$C$5,2)</f>
        <v/>
      </c>
      <c r="R2200" s="11">
        <f>ROUND(SUM(N2200:Q2200),2)</f>
        <v/>
      </c>
      <c r="S2200" s="5" t="inlineStr">
        <is>
          <t>Material recovered as residual</t>
        </is>
      </c>
      <c r="T2200" s="18" t="inlineStr">
        <is>
          <t>Medium-High</t>
        </is>
      </c>
      <c r="U2200" s="8" t="n">
        <v>25.85</v>
      </c>
      <c r="V2200" s="13">
        <f>IF(U2200="","",ROUND(M2200-U2200,2))</f>
        <v/>
      </c>
      <c r="W2200" s="5" t="n"/>
      <c r="X2200" s="5" t="inlineStr">
        <is>
          <t>Material column missing in source; recovered as published rate less labour and plant (£9.68). Verified against comparable items in the same section.</t>
        </is>
      </c>
    </row>
    <row r="2201" ht="13" customHeight="1">
      <c r="A2201" s="4" t="n">
        <v>3322</v>
      </c>
      <c r="B2201" s="5" t="inlineStr">
        <is>
          <t>IMG_0110</t>
        </is>
      </c>
      <c r="C2201" s="5" t="inlineStr">
        <is>
          <t>CLASS L: PIPEWORK SUPPORTS AND PROTECTION, ANCILLARIES TO LAYING AND EXCAVATION</t>
        </is>
      </c>
      <c r="D2201" s="5" t="inlineStr">
        <is>
          <t>05 SURROUNDS</t>
        </is>
      </c>
      <c r="E2201" s="5" t="inlineStr">
        <is>
          <t>Imported sand; 150 mm thick bed for pipes nominal bore</t>
        </is>
      </c>
      <c r="F2201" s="5" t="inlineStr">
        <is>
          <t>150 mm</t>
        </is>
      </c>
      <c r="G2201" s="6" t="inlineStr">
        <is>
          <t>m</t>
        </is>
      </c>
      <c r="H2201" s="7" t="n">
        <v>0.12</v>
      </c>
      <c r="I2201" s="8" t="n">
        <v>10.1</v>
      </c>
      <c r="J2201" s="8" t="n">
        <v>9.300000000000001</v>
      </c>
      <c r="K2201" s="8" t="n">
        <v>13.27</v>
      </c>
      <c r="L2201" s="8" t="n">
        <v>0</v>
      </c>
      <c r="M2201" s="9">
        <f>ROUND(SUM(I2201:L2201),2)</f>
        <v/>
      </c>
      <c r="N2201" s="10">
        <f>ROUND(I2201*'Irish Basis'!$C$6*'Irish Basis'!$C$5,2)</f>
        <v/>
      </c>
      <c r="O2201" s="10">
        <f>ROUND(J2201*'Irish Basis'!$C$7*'Irish Basis'!$C$5,2)</f>
        <v/>
      </c>
      <c r="P2201" s="10">
        <f>ROUND(K2201*'Irish Basis'!$C$8*'Irish Basis'!$C$5,2)</f>
        <v/>
      </c>
      <c r="Q2201" s="10">
        <f>ROUND(L2201*'Irish Basis'!$C$12*'Irish Basis'!$C$5,2)</f>
        <v/>
      </c>
      <c r="R2201" s="11">
        <f>ROUND(SUM(N2201:Q2201),2)</f>
        <v/>
      </c>
      <c r="S2201" s="5" t="inlineStr">
        <is>
          <t>Material recovered as residual</t>
        </is>
      </c>
      <c r="T2201" s="18" t="inlineStr">
        <is>
          <t>Medium-High</t>
        </is>
      </c>
      <c r="U2201" s="8" t="n">
        <v>32.67</v>
      </c>
      <c r="V2201" s="13">
        <f>IF(U2201="","",ROUND(M2201-U2201,2))</f>
        <v/>
      </c>
      <c r="W2201" s="5" t="n"/>
      <c r="X2201" s="5" t="inlineStr">
        <is>
          <t>Material column missing in source; recovered as published rate less labour and plant (£13.27). Verified against comparable items in the same section.</t>
        </is>
      </c>
    </row>
    <row r="2202" ht="13" customHeight="1">
      <c r="A2202" s="4" t="n">
        <v>3323</v>
      </c>
      <c r="B2202" s="5" t="inlineStr">
        <is>
          <t>IMG_0110</t>
        </is>
      </c>
      <c r="C2202" s="5" t="inlineStr">
        <is>
          <t>CLASS L: PIPEWORK SUPPORTS AND PROTECTION, ANCILLARIES TO LAYING AND EXCAVATION</t>
        </is>
      </c>
      <c r="D2202" s="5" t="inlineStr">
        <is>
          <t>05 SURROUNDS</t>
        </is>
      </c>
      <c r="E2202" s="5" t="inlineStr">
        <is>
          <t>Imported sand; 150 mm thick bed for pipes nominal bore</t>
        </is>
      </c>
      <c r="F2202" s="5" t="inlineStr">
        <is>
          <t>225 mm</t>
        </is>
      </c>
      <c r="G2202" s="6" t="inlineStr">
        <is>
          <t>m</t>
        </is>
      </c>
      <c r="H2202" s="7" t="n">
        <v>0.14</v>
      </c>
      <c r="I2202" s="8" t="n">
        <v>11.79</v>
      </c>
      <c r="J2202" s="8" t="n">
        <v>10.85</v>
      </c>
      <c r="K2202" s="8" t="n">
        <v>20.47</v>
      </c>
      <c r="L2202" s="8" t="n">
        <v>0</v>
      </c>
      <c r="M2202" s="9">
        <f>ROUND(SUM(I2202:L2202),2)</f>
        <v/>
      </c>
      <c r="N2202" s="10">
        <f>ROUND(I2202*'Irish Basis'!$C$6*'Irish Basis'!$C$5,2)</f>
        <v/>
      </c>
      <c r="O2202" s="10">
        <f>ROUND(J2202*'Irish Basis'!$C$7*'Irish Basis'!$C$5,2)</f>
        <v/>
      </c>
      <c r="P2202" s="10">
        <f>ROUND(K2202*'Irish Basis'!$C$8*'Irish Basis'!$C$5,2)</f>
        <v/>
      </c>
      <c r="Q2202" s="10">
        <f>ROUND(L2202*'Irish Basis'!$C$12*'Irish Basis'!$C$5,2)</f>
        <v/>
      </c>
      <c r="R2202" s="11">
        <f>ROUND(SUM(N2202:Q2202),2)</f>
        <v/>
      </c>
      <c r="S2202" s="5" t="inlineStr">
        <is>
          <t>Material recovered as residual</t>
        </is>
      </c>
      <c r="T2202" s="18" t="inlineStr">
        <is>
          <t>Medium-High</t>
        </is>
      </c>
      <c r="U2202" s="8" t="n">
        <v>43.11</v>
      </c>
      <c r="V2202" s="13">
        <f>IF(U2202="","",ROUND(M2202-U2202,2))</f>
        <v/>
      </c>
      <c r="W2202" s="5" t="n"/>
      <c r="X2202" s="5" t="inlineStr">
        <is>
          <t>Material column missing in source; recovered as published rate less labour and plant (£20.47). Verified against comparable items in the same section.</t>
        </is>
      </c>
    </row>
    <row r="2203" ht="13" customHeight="1">
      <c r="A2203" s="4" t="n">
        <v>3324</v>
      </c>
      <c r="B2203" s="5" t="inlineStr">
        <is>
          <t>IMG_0110</t>
        </is>
      </c>
      <c r="C2203" s="5" t="inlineStr">
        <is>
          <t>CLASS L: PIPEWORK SUPPORTS AND PROTECTION, ANCILLARIES TO LAYING AND EXCAVATION</t>
        </is>
      </c>
      <c r="D2203" s="5" t="inlineStr">
        <is>
          <t>05 SURROUNDS</t>
        </is>
      </c>
      <c r="E2203" s="5" t="inlineStr">
        <is>
          <t>Imported sand; 150 mm thick bed for pipes nominal bore</t>
        </is>
      </c>
      <c r="F2203" s="5" t="inlineStr">
        <is>
          <t>300 mm</t>
        </is>
      </c>
      <c r="G2203" s="6" t="inlineStr">
        <is>
          <t>m</t>
        </is>
      </c>
      <c r="H2203" s="7" t="n">
        <v>0.18</v>
      </c>
      <c r="I2203" s="8" t="n">
        <v>15.15</v>
      </c>
      <c r="J2203" s="8" t="n">
        <v>13.95</v>
      </c>
      <c r="K2203" s="8" t="n">
        <v>27.71</v>
      </c>
      <c r="L2203" s="8" t="n">
        <v>0</v>
      </c>
      <c r="M2203" s="9">
        <f>ROUND(SUM(I2203:L2203),2)</f>
        <v/>
      </c>
      <c r="N2203" s="10">
        <f>ROUND(I2203*'Irish Basis'!$C$6*'Irish Basis'!$C$5,2)</f>
        <v/>
      </c>
      <c r="O2203" s="10">
        <f>ROUND(J2203*'Irish Basis'!$C$7*'Irish Basis'!$C$5,2)</f>
        <v/>
      </c>
      <c r="P2203" s="10">
        <f>ROUND(K2203*'Irish Basis'!$C$8*'Irish Basis'!$C$5,2)</f>
        <v/>
      </c>
      <c r="Q2203" s="10">
        <f>ROUND(L2203*'Irish Basis'!$C$12*'Irish Basis'!$C$5,2)</f>
        <v/>
      </c>
      <c r="R2203" s="11">
        <f>ROUND(SUM(N2203:Q2203),2)</f>
        <v/>
      </c>
      <c r="S2203" s="5" t="inlineStr">
        <is>
          <t>Material recovered as residual</t>
        </is>
      </c>
      <c r="T2203" s="18" t="inlineStr">
        <is>
          <t>Medium-High</t>
        </is>
      </c>
      <c r="U2203" s="8" t="n">
        <v>56.81</v>
      </c>
      <c r="V2203" s="13">
        <f>IF(U2203="","",ROUND(M2203-U2203,2))</f>
        <v/>
      </c>
      <c r="W2203" s="5" t="n"/>
      <c r="X2203" s="5" t="inlineStr">
        <is>
          <t>Material column missing in source; recovered as published rate less labour and plant (£27.71). Verified against comparable items in the same section.</t>
        </is>
      </c>
    </row>
    <row r="2204" ht="13" customHeight="1">
      <c r="A2204" s="4" t="n">
        <v>3325</v>
      </c>
      <c r="B2204" s="5" t="inlineStr">
        <is>
          <t>IMG_0110</t>
        </is>
      </c>
      <c r="C2204" s="5" t="inlineStr">
        <is>
          <t>CLASS L: PIPEWORK SUPPORTS AND PROTECTION, ANCILLARIES TO LAYING AND EXCAVATION</t>
        </is>
      </c>
      <c r="D2204" s="5" t="inlineStr">
        <is>
          <t>05 SURROUNDS</t>
        </is>
      </c>
      <c r="E2204" s="5" t="inlineStr">
        <is>
          <t>Imported sand; 150 mm thick bed for pipes nominal bore</t>
        </is>
      </c>
      <c r="F2204" s="5" t="inlineStr">
        <is>
          <t>400 mm</t>
        </is>
      </c>
      <c r="G2204" s="6" t="inlineStr">
        <is>
          <t>m</t>
        </is>
      </c>
      <c r="H2204" s="7" t="n">
        <v>0.24</v>
      </c>
      <c r="I2204" s="8" t="n">
        <v>20.2</v>
      </c>
      <c r="J2204" s="8" t="n">
        <v>18.6</v>
      </c>
      <c r="K2204" s="8" t="n">
        <v>40.46</v>
      </c>
      <c r="L2204" s="8" t="n">
        <v>0</v>
      </c>
      <c r="M2204" s="9">
        <f>ROUND(SUM(I2204:L2204),2)</f>
        <v/>
      </c>
      <c r="N2204" s="10">
        <f>ROUND(I2204*'Irish Basis'!$C$6*'Irish Basis'!$C$5,2)</f>
        <v/>
      </c>
      <c r="O2204" s="10">
        <f>ROUND(J2204*'Irish Basis'!$C$7*'Irish Basis'!$C$5,2)</f>
        <v/>
      </c>
      <c r="P2204" s="10">
        <f>ROUND(K2204*'Irish Basis'!$C$8*'Irish Basis'!$C$5,2)</f>
        <v/>
      </c>
      <c r="Q2204" s="10">
        <f>ROUND(L2204*'Irish Basis'!$C$12*'Irish Basis'!$C$5,2)</f>
        <v/>
      </c>
      <c r="R2204" s="11">
        <f>ROUND(SUM(N2204:Q2204),2)</f>
        <v/>
      </c>
      <c r="S2204" s="5" t="inlineStr">
        <is>
          <t>Material recovered as residual</t>
        </is>
      </c>
      <c r="T2204" s="18" t="inlineStr">
        <is>
          <t>Medium-High</t>
        </is>
      </c>
      <c r="U2204" s="8" t="n">
        <v>79.26000000000001</v>
      </c>
      <c r="V2204" s="13">
        <f>IF(U2204="","",ROUND(M2204-U2204,2))</f>
        <v/>
      </c>
      <c r="W2204" s="5" t="n"/>
      <c r="X2204" s="5" t="inlineStr">
        <is>
          <t>Material column missing in source; recovered as published rate less labour and plant (£40.46). Verified against comparable items in the same section.</t>
        </is>
      </c>
    </row>
    <row r="2205" ht="13" customHeight="1">
      <c r="A2205" s="4" t="n">
        <v>3326</v>
      </c>
      <c r="B2205" s="5" t="inlineStr">
        <is>
          <t>IMG_0110</t>
        </is>
      </c>
      <c r="C2205" s="5" t="inlineStr">
        <is>
          <t>CLASS L: PIPEWORK SUPPORTS AND PROTECTION, ANCILLARIES TO LAYING AND EXCAVATION</t>
        </is>
      </c>
      <c r="D2205" s="5" t="inlineStr">
        <is>
          <t>05 SURROUNDS</t>
        </is>
      </c>
      <c r="E2205" s="5" t="inlineStr">
        <is>
          <t>Imported sand; 150 mm thick bed for pipes nominal bore</t>
        </is>
      </c>
      <c r="F2205" s="5" t="inlineStr">
        <is>
          <t>450 mm</t>
        </is>
      </c>
      <c r="G2205" s="6" t="inlineStr">
        <is>
          <t>m</t>
        </is>
      </c>
      <c r="H2205" s="7" t="n">
        <v>0.28</v>
      </c>
      <c r="I2205" s="8" t="n">
        <v>23.57</v>
      </c>
      <c r="J2205" s="8" t="n">
        <v>21.7</v>
      </c>
      <c r="K2205" s="8" t="n">
        <v>51.52</v>
      </c>
      <c r="L2205" s="8" t="n">
        <v>0</v>
      </c>
      <c r="M2205" s="9">
        <f>ROUND(SUM(I2205:L2205),2)</f>
        <v/>
      </c>
      <c r="N2205" s="10">
        <f>ROUND(I2205*'Irish Basis'!$C$6*'Irish Basis'!$C$5,2)</f>
        <v/>
      </c>
      <c r="O2205" s="10">
        <f>ROUND(J2205*'Irish Basis'!$C$7*'Irish Basis'!$C$5,2)</f>
        <v/>
      </c>
      <c r="P2205" s="10">
        <f>ROUND(K2205*'Irish Basis'!$C$8*'Irish Basis'!$C$5,2)</f>
        <v/>
      </c>
      <c r="Q2205" s="10">
        <f>ROUND(L2205*'Irish Basis'!$C$12*'Irish Basis'!$C$5,2)</f>
        <v/>
      </c>
      <c r="R2205" s="11">
        <f>ROUND(SUM(N2205:Q2205),2)</f>
        <v/>
      </c>
      <c r="S2205" s="5" t="inlineStr">
        <is>
          <t>Material recovered as residual</t>
        </is>
      </c>
      <c r="T2205" s="18" t="inlineStr">
        <is>
          <t>Medium-High</t>
        </is>
      </c>
      <c r="U2205" s="8" t="n">
        <v>96.79000000000001</v>
      </c>
      <c r="V2205" s="13">
        <f>IF(U2205="","",ROUND(M2205-U2205,2))</f>
        <v/>
      </c>
      <c r="W2205" s="5" t="n"/>
      <c r="X2205" s="5" t="inlineStr">
        <is>
          <t>Material column missing in source; recovered as published rate less labour and plant (£51.52). Verified against comparable items in the same section.</t>
        </is>
      </c>
    </row>
    <row r="2206" ht="13" customHeight="1">
      <c r="A2206" s="4" t="n">
        <v>3327</v>
      </c>
      <c r="B2206" s="5" t="inlineStr">
        <is>
          <t>IMG_0110</t>
        </is>
      </c>
      <c r="C2206" s="5" t="inlineStr">
        <is>
          <t>CLASS L: PIPEWORK SUPPORTS AND PROTECTION, ANCILLARIES TO LAYING AND EXCAVATION</t>
        </is>
      </c>
      <c r="D2206" s="5" t="inlineStr">
        <is>
          <t>05 SURROUNDS</t>
        </is>
      </c>
      <c r="E2206" s="5" t="inlineStr">
        <is>
          <t>Imported sand; 150 mm thick bed for pipes nominal bore</t>
        </is>
      </c>
      <c r="F2206" s="5" t="inlineStr">
        <is>
          <t>600 mm</t>
        </is>
      </c>
      <c r="G2206" s="6" t="inlineStr">
        <is>
          <t>m</t>
        </is>
      </c>
      <c r="H2206" s="7" t="n">
        <v>0.34</v>
      </c>
      <c r="I2206" s="8" t="n">
        <v>28.62</v>
      </c>
      <c r="J2206" s="8" t="n">
        <v>26.36</v>
      </c>
      <c r="K2206" s="8" t="n">
        <v>83.23</v>
      </c>
      <c r="L2206" s="8" t="n">
        <v>0</v>
      </c>
      <c r="M2206" s="9">
        <f>ROUND(SUM(I2206:L2206),2)</f>
        <v/>
      </c>
      <c r="N2206" s="10">
        <f>ROUND(I2206*'Irish Basis'!$C$6*'Irish Basis'!$C$5,2)</f>
        <v/>
      </c>
      <c r="O2206" s="10">
        <f>ROUND(J2206*'Irish Basis'!$C$7*'Irish Basis'!$C$5,2)</f>
        <v/>
      </c>
      <c r="P2206" s="10">
        <f>ROUND(K2206*'Irish Basis'!$C$8*'Irish Basis'!$C$5,2)</f>
        <v/>
      </c>
      <c r="Q2206" s="10">
        <f>ROUND(L2206*'Irish Basis'!$C$12*'Irish Basis'!$C$5,2)</f>
        <v/>
      </c>
      <c r="R2206" s="11">
        <f>ROUND(SUM(N2206:Q2206),2)</f>
        <v/>
      </c>
      <c r="S2206" s="5" t="inlineStr">
        <is>
          <t>Material recovered as residual</t>
        </is>
      </c>
      <c r="T2206" s="18" t="inlineStr">
        <is>
          <t>Medium-High</t>
        </is>
      </c>
      <c r="U2206" s="8" t="n">
        <v>138.21</v>
      </c>
      <c r="V2206" s="13">
        <f>IF(U2206="","",ROUND(M2206-U2206,2))</f>
        <v/>
      </c>
      <c r="W2206" s="5" t="n"/>
      <c r="X2206" s="5" t="inlineStr">
        <is>
          <t>Material column missing in source; recovered as published rate less labour and plant (£83.23). Verified against comparable items in the same section.</t>
        </is>
      </c>
    </row>
    <row r="2207" ht="13" customHeight="1">
      <c r="A2207" s="4" t="n">
        <v>3328</v>
      </c>
      <c r="B2207" s="5" t="inlineStr">
        <is>
          <t>IMG_0110</t>
        </is>
      </c>
      <c r="C2207" s="5" t="inlineStr">
        <is>
          <t>CLASS L: PIPEWORK SUPPORTS AND PROTECTION, ANCILLARIES TO LAYING AND EXCAVATION</t>
        </is>
      </c>
      <c r="D2207" s="5" t="inlineStr">
        <is>
          <t>05 SURROUNDS</t>
        </is>
      </c>
      <c r="E2207" s="5" t="inlineStr">
        <is>
          <t>Imported sand; 150 mm thick bed for pipes nominal bore</t>
        </is>
      </c>
      <c r="F2207" s="5" t="inlineStr">
        <is>
          <t>750 mm</t>
        </is>
      </c>
      <c r="G2207" s="6" t="inlineStr">
        <is>
          <t>m</t>
        </is>
      </c>
      <c r="H2207" s="7" t="n">
        <v>0.38</v>
      </c>
      <c r="I2207" s="8" t="n">
        <v>31.99</v>
      </c>
      <c r="J2207" s="8" t="n">
        <v>29.46</v>
      </c>
      <c r="K2207" s="8" t="n">
        <v>116.05</v>
      </c>
      <c r="L2207" s="8" t="n">
        <v>0</v>
      </c>
      <c r="M2207" s="9">
        <f>ROUND(SUM(I2207:L2207),2)</f>
        <v/>
      </c>
      <c r="N2207" s="10">
        <f>ROUND(I2207*'Irish Basis'!$C$6*'Irish Basis'!$C$5,2)</f>
        <v/>
      </c>
      <c r="O2207" s="10">
        <f>ROUND(J2207*'Irish Basis'!$C$7*'Irish Basis'!$C$5,2)</f>
        <v/>
      </c>
      <c r="P2207" s="10">
        <f>ROUND(K2207*'Irish Basis'!$C$8*'Irish Basis'!$C$5,2)</f>
        <v/>
      </c>
      <c r="Q2207" s="10">
        <f>ROUND(L2207*'Irish Basis'!$C$12*'Irish Basis'!$C$5,2)</f>
        <v/>
      </c>
      <c r="R2207" s="11">
        <f>ROUND(SUM(N2207:Q2207),2)</f>
        <v/>
      </c>
      <c r="S2207" s="5" t="inlineStr">
        <is>
          <t>Material recovered as residual</t>
        </is>
      </c>
      <c r="T2207" s="18" t="inlineStr">
        <is>
          <t>Medium-High</t>
        </is>
      </c>
      <c r="U2207" s="8" t="n">
        <v>177.5</v>
      </c>
      <c r="V2207" s="13">
        <f>IF(U2207="","",ROUND(M2207-U2207,2))</f>
        <v/>
      </c>
      <c r="W2207" s="5" t="n"/>
      <c r="X2207" s="5" t="inlineStr">
        <is>
          <t>Material column missing in source; recovered as published rate less labour and plant (£116.05). Verified against comparable items in the same section.</t>
        </is>
      </c>
    </row>
    <row r="2208" ht="13" customHeight="1">
      <c r="A2208" s="4" t="n">
        <v>3329</v>
      </c>
      <c r="B2208" s="5" t="inlineStr">
        <is>
          <t>IMG_0110</t>
        </is>
      </c>
      <c r="C2208" s="5" t="inlineStr">
        <is>
          <t>CLASS L: PIPEWORK SUPPORTS AND PROTECTION, ANCILLARIES TO LAYING AND EXCAVATION</t>
        </is>
      </c>
      <c r="D2208" s="5" t="inlineStr">
        <is>
          <t>05 SURROUNDS</t>
        </is>
      </c>
      <c r="E2208" s="5" t="inlineStr">
        <is>
          <t>Imported sand; 150 mm thick bed for pipes nominal bore</t>
        </is>
      </c>
      <c r="F2208" s="5" t="inlineStr">
        <is>
          <t>900 mm</t>
        </is>
      </c>
      <c r="G2208" s="6" t="inlineStr">
        <is>
          <t>m</t>
        </is>
      </c>
      <c r="H2208" s="7" t="n">
        <v>0.42</v>
      </c>
      <c r="I2208" s="8" t="n">
        <v>35.36</v>
      </c>
      <c r="J2208" s="8" t="n">
        <v>32.56</v>
      </c>
      <c r="K2208" s="8" t="n">
        <v>161.58</v>
      </c>
      <c r="L2208" s="8" t="n">
        <v>0</v>
      </c>
      <c r="M2208" s="9">
        <f>ROUND(SUM(I2208:L2208),2)</f>
        <v/>
      </c>
      <c r="N2208" s="10">
        <f>ROUND(I2208*'Irish Basis'!$C$6*'Irish Basis'!$C$5,2)</f>
        <v/>
      </c>
      <c r="O2208" s="10">
        <f>ROUND(J2208*'Irish Basis'!$C$7*'Irish Basis'!$C$5,2)</f>
        <v/>
      </c>
      <c r="P2208" s="10">
        <f>ROUND(K2208*'Irish Basis'!$C$8*'Irish Basis'!$C$5,2)</f>
        <v/>
      </c>
      <c r="Q2208" s="10">
        <f>ROUND(L2208*'Irish Basis'!$C$12*'Irish Basis'!$C$5,2)</f>
        <v/>
      </c>
      <c r="R2208" s="11">
        <f>ROUND(SUM(N2208:Q2208),2)</f>
        <v/>
      </c>
      <c r="S2208" s="5" t="inlineStr">
        <is>
          <t>Material recovered as residual</t>
        </is>
      </c>
      <c r="T2208" s="18" t="inlineStr">
        <is>
          <t>Medium-High</t>
        </is>
      </c>
      <c r="U2208" s="8" t="n">
        <v>229.5</v>
      </c>
      <c r="V2208" s="13">
        <f>IF(U2208="","",ROUND(M2208-U2208,2))</f>
        <v/>
      </c>
      <c r="W2208" s="5" t="n"/>
      <c r="X2208" s="5" t="inlineStr">
        <is>
          <t>Material column missing in source; recovered as published rate less labour and plant (£161.58). Verified against comparable items in the same section.</t>
        </is>
      </c>
    </row>
    <row r="2209" ht="13" customHeight="1">
      <c r="A2209" s="4" t="n">
        <v>3330</v>
      </c>
      <c r="B2209" s="5" t="inlineStr">
        <is>
          <t>IMG_0110</t>
        </is>
      </c>
      <c r="C2209" s="5" t="inlineStr">
        <is>
          <t>CLASS L: PIPEWORK SUPPORTS AND PROTECTION, ANCILLARIES TO LAYING AND EXCAVATION</t>
        </is>
      </c>
      <c r="D2209" s="5" t="inlineStr">
        <is>
          <t>05 SURROUNDS</t>
        </is>
      </c>
      <c r="E2209" s="5" t="inlineStr">
        <is>
          <t>Imported sand; 150 mm thick bed for pipes nominal bore</t>
        </is>
      </c>
      <c r="F2209" s="5" t="inlineStr">
        <is>
          <t>1200 mm</t>
        </is>
      </c>
      <c r="G2209" s="6" t="inlineStr">
        <is>
          <t>m</t>
        </is>
      </c>
      <c r="H2209" s="7" t="n">
        <v>0.5</v>
      </c>
      <c r="I2209" s="8" t="n">
        <v>42.09</v>
      </c>
      <c r="J2209" s="8" t="n">
        <v>38.76</v>
      </c>
      <c r="K2209" s="8" t="n">
        <v>257.53</v>
      </c>
      <c r="L2209" s="8" t="n">
        <v>0</v>
      </c>
      <c r="M2209" s="9">
        <f>ROUND(SUM(I2209:L2209),2)</f>
        <v/>
      </c>
      <c r="N2209" s="10">
        <f>ROUND(I2209*'Irish Basis'!$C$6*'Irish Basis'!$C$5,2)</f>
        <v/>
      </c>
      <c r="O2209" s="10">
        <f>ROUND(J2209*'Irish Basis'!$C$7*'Irish Basis'!$C$5,2)</f>
        <v/>
      </c>
      <c r="P2209" s="10">
        <f>ROUND(K2209*'Irish Basis'!$C$8*'Irish Basis'!$C$5,2)</f>
        <v/>
      </c>
      <c r="Q2209" s="10">
        <f>ROUND(L2209*'Irish Basis'!$C$12*'Irish Basis'!$C$5,2)</f>
        <v/>
      </c>
      <c r="R2209" s="11">
        <f>ROUND(SUM(N2209:Q2209),2)</f>
        <v/>
      </c>
      <c r="S2209" s="5" t="inlineStr">
        <is>
          <t>Material recovered as residual</t>
        </is>
      </c>
      <c r="T2209" s="18" t="inlineStr">
        <is>
          <t>Medium-High</t>
        </is>
      </c>
      <c r="U2209" s="8" t="n">
        <v>338.38</v>
      </c>
      <c r="V2209" s="13">
        <f>IF(U2209="","",ROUND(M2209-U2209,2))</f>
        <v/>
      </c>
      <c r="W2209" s="5" t="n"/>
      <c r="X2209" s="5" t="inlineStr">
        <is>
          <t>Material column missing in source; recovered as published rate less labour and plant (£257.53). Verified against comparable items in the same section.</t>
        </is>
      </c>
    </row>
    <row r="2210" ht="13" customHeight="1">
      <c r="A2210" s="4" t="n">
        <v>3332</v>
      </c>
      <c r="B2210" s="5" t="inlineStr">
        <is>
          <t>IMG_0110</t>
        </is>
      </c>
      <c r="C2210" s="5" t="inlineStr">
        <is>
          <t>CLASS L: PIPEWORK SUPPORTS AND PROTECTION, ANCILLARIES TO LAYING AND EXCAVATION</t>
        </is>
      </c>
      <c r="D2210" s="5" t="inlineStr">
        <is>
          <t>05 SURROUNDS</t>
        </is>
      </c>
      <c r="E2210" s="5" t="inlineStr">
        <is>
          <t>Imported granular material; 100 mm thick bed for pipes nominal bore</t>
        </is>
      </c>
      <c r="F2210" s="5" t="inlineStr">
        <is>
          <t>100 mm</t>
        </is>
      </c>
      <c r="G2210" s="6" t="inlineStr">
        <is>
          <t>m</t>
        </is>
      </c>
      <c r="H2210" s="7" t="n">
        <v>0.12</v>
      </c>
      <c r="I2210" s="8" t="n">
        <v>10.1</v>
      </c>
      <c r="J2210" s="8" t="n">
        <v>5.43</v>
      </c>
      <c r="K2210" s="8" t="n">
        <v>13.43</v>
      </c>
      <c r="L2210" s="8" t="n">
        <v>0</v>
      </c>
      <c r="M2210" s="9">
        <f>ROUND(SUM(I2210:L2210),2)</f>
        <v/>
      </c>
      <c r="N2210" s="10">
        <f>ROUND(I2210*'Irish Basis'!$C$6*'Irish Basis'!$C$5,2)</f>
        <v/>
      </c>
      <c r="O2210" s="10">
        <f>ROUND(J2210*'Irish Basis'!$C$7*'Irish Basis'!$C$5,2)</f>
        <v/>
      </c>
      <c r="P2210" s="10">
        <f>ROUND(K2210*'Irish Basis'!$C$8*'Irish Basis'!$C$5,2)</f>
        <v/>
      </c>
      <c r="Q2210" s="10">
        <f>ROUND(L2210*'Irish Basis'!$C$12*'Irish Basis'!$C$5,2)</f>
        <v/>
      </c>
      <c r="R2210" s="11">
        <f>ROUND(SUM(N2210:Q2210),2)</f>
        <v/>
      </c>
      <c r="S2210" s="5" t="inlineStr">
        <is>
          <t>Stated build-up</t>
        </is>
      </c>
      <c r="T2210" s="12" t="inlineStr">
        <is>
          <t>High</t>
        </is>
      </c>
      <c r="U2210" s="8" t="n">
        <v>28.96</v>
      </c>
      <c r="V2210" s="13">
        <f>IF(U2210="","",ROUND(M2210-U2210,2))</f>
        <v/>
      </c>
      <c r="W2210" s="5" t="n"/>
      <c r="X2210" s="5" t="inlineStr">
        <is>
          <t>Labour + plant + material as published; reconciles to the published rate.</t>
        </is>
      </c>
    </row>
    <row r="2211" ht="13" customHeight="1">
      <c r="A2211" s="4" t="n">
        <v>3333</v>
      </c>
      <c r="B2211" s="5" t="inlineStr">
        <is>
          <t>IMG_0110</t>
        </is>
      </c>
      <c r="C2211" s="5" t="inlineStr">
        <is>
          <t>CLASS L: PIPEWORK SUPPORTS AND PROTECTION, ANCILLARIES TO LAYING AND EXCAVATION</t>
        </is>
      </c>
      <c r="D2211" s="5" t="inlineStr">
        <is>
          <t>05 SURROUNDS</t>
        </is>
      </c>
      <c r="E2211" s="5" t="inlineStr">
        <is>
          <t>Imported granular material; 100 mm thick bed for pipes nominal bore</t>
        </is>
      </c>
      <c r="F2211" s="5" t="inlineStr">
        <is>
          <t>150 mm</t>
        </is>
      </c>
      <c r="G2211" s="6" t="inlineStr">
        <is>
          <t>m</t>
        </is>
      </c>
      <c r="H2211" s="7" t="n">
        <v>0.17</v>
      </c>
      <c r="I2211" s="8" t="n">
        <v>14.31</v>
      </c>
      <c r="J2211" s="8" t="n">
        <v>7.75</v>
      </c>
      <c r="K2211" s="8" t="n">
        <v>19.19</v>
      </c>
      <c r="L2211" s="8" t="n">
        <v>0</v>
      </c>
      <c r="M2211" s="9">
        <f>ROUND(SUM(I2211:L2211),2)</f>
        <v/>
      </c>
      <c r="N2211" s="10">
        <f>ROUND(I2211*'Irish Basis'!$C$6*'Irish Basis'!$C$5,2)</f>
        <v/>
      </c>
      <c r="O2211" s="10">
        <f>ROUND(J2211*'Irish Basis'!$C$7*'Irish Basis'!$C$5,2)</f>
        <v/>
      </c>
      <c r="P2211" s="10">
        <f>ROUND(K2211*'Irish Basis'!$C$8*'Irish Basis'!$C$5,2)</f>
        <v/>
      </c>
      <c r="Q2211" s="10">
        <f>ROUND(L2211*'Irish Basis'!$C$12*'Irish Basis'!$C$5,2)</f>
        <v/>
      </c>
      <c r="R2211" s="11">
        <f>ROUND(SUM(N2211:Q2211),2)</f>
        <v/>
      </c>
      <c r="S2211" s="5" t="inlineStr">
        <is>
          <t>Stated build-up</t>
        </is>
      </c>
      <c r="T2211" s="12" t="inlineStr">
        <is>
          <t>High</t>
        </is>
      </c>
      <c r="U2211" s="8" t="n">
        <v>41.26</v>
      </c>
      <c r="V2211" s="13">
        <f>IF(U2211="","",ROUND(M2211-U2211,2))</f>
        <v/>
      </c>
      <c r="W2211" s="5" t="n"/>
      <c r="X2211" s="5" t="inlineStr">
        <is>
          <t>Labour + plant + material as published; reconciles to the published rate.</t>
        </is>
      </c>
    </row>
    <row r="2212" ht="13" customHeight="1">
      <c r="A2212" s="4" t="n">
        <v>3334</v>
      </c>
      <c r="B2212" s="5" t="inlineStr">
        <is>
          <t>IMG_0110</t>
        </is>
      </c>
      <c r="C2212" s="5" t="inlineStr">
        <is>
          <t>CLASS L: PIPEWORK SUPPORTS AND PROTECTION, ANCILLARIES TO LAYING AND EXCAVATION</t>
        </is>
      </c>
      <c r="D2212" s="5" t="inlineStr">
        <is>
          <t>05 SURROUNDS</t>
        </is>
      </c>
      <c r="E2212" s="5" t="inlineStr">
        <is>
          <t>Imported granular material; 100 mm thick bed for pipes nominal bore</t>
        </is>
      </c>
      <c r="F2212" s="5" t="inlineStr">
        <is>
          <t>225 mm</t>
        </is>
      </c>
      <c r="G2212" s="6" t="inlineStr">
        <is>
          <t>m</t>
        </is>
      </c>
      <c r="H2212" s="7" t="n">
        <v>0.19</v>
      </c>
      <c r="I2212" s="8" t="n">
        <v>15.99</v>
      </c>
      <c r="J2212" s="8" t="n">
        <v>13.46</v>
      </c>
      <c r="K2212" s="8" t="n">
        <v>30.77</v>
      </c>
      <c r="L2212" s="8" t="n">
        <v>0</v>
      </c>
      <c r="M2212" s="9">
        <f>ROUND(SUM(I2212:L2212),2)</f>
        <v/>
      </c>
      <c r="N2212" s="10">
        <f>ROUND(I2212*'Irish Basis'!$C$6*'Irish Basis'!$C$5,2)</f>
        <v/>
      </c>
      <c r="O2212" s="10">
        <f>ROUND(J2212*'Irish Basis'!$C$7*'Irish Basis'!$C$5,2)</f>
        <v/>
      </c>
      <c r="P2212" s="10">
        <f>ROUND(K2212*'Irish Basis'!$C$8*'Irish Basis'!$C$5,2)</f>
        <v/>
      </c>
      <c r="Q2212" s="10">
        <f>ROUND(L2212*'Irish Basis'!$C$12*'Irish Basis'!$C$5,2)</f>
        <v/>
      </c>
      <c r="R2212" s="11">
        <f>ROUND(SUM(N2212:Q2212),2)</f>
        <v/>
      </c>
      <c r="S2212" s="5" t="inlineStr">
        <is>
          <t>Stated build-up</t>
        </is>
      </c>
      <c r="T2212" s="12" t="inlineStr">
        <is>
          <t>High</t>
        </is>
      </c>
      <c r="U2212" s="8" t="n">
        <v>60.23</v>
      </c>
      <c r="V2212" s="13">
        <f>IF(U2212="","",ROUND(M2212-U2212,2))</f>
        <v/>
      </c>
      <c r="W2212" s="5" t="n"/>
      <c r="X2212" s="5" t="inlineStr">
        <is>
          <t>Labour + plant + material as published; reconciles to the published rate.</t>
        </is>
      </c>
    </row>
    <row r="2213" ht="13" customHeight="1">
      <c r="A2213" s="4" t="n">
        <v>3335</v>
      </c>
      <c r="B2213" s="5" t="inlineStr">
        <is>
          <t>IMG_0110</t>
        </is>
      </c>
      <c r="C2213" s="5" t="inlineStr">
        <is>
          <t>CLASS L: PIPEWORK SUPPORTS AND PROTECTION, ANCILLARIES TO LAYING AND EXCAVATION</t>
        </is>
      </c>
      <c r="D2213" s="5" t="inlineStr">
        <is>
          <t>05 SURROUNDS</t>
        </is>
      </c>
      <c r="E2213" s="5" t="inlineStr">
        <is>
          <t>Imported granular material; 100 mm thick bed for pipes nominal bore</t>
        </is>
      </c>
      <c r="F2213" s="5" t="inlineStr">
        <is>
          <t>300 mm</t>
        </is>
      </c>
      <c r="G2213" s="6" t="inlineStr">
        <is>
          <t>m</t>
        </is>
      </c>
      <c r="H2213" s="7" t="n">
        <v>0.23</v>
      </c>
      <c r="I2213" s="8" t="n">
        <v>19.36</v>
      </c>
      <c r="J2213" s="8" t="n">
        <v>16.35</v>
      </c>
      <c r="K2213" s="8" t="n">
        <v>42.95</v>
      </c>
      <c r="L2213" s="8" t="n">
        <v>0</v>
      </c>
      <c r="M2213" s="9">
        <f>ROUND(SUM(I2213:L2213),2)</f>
        <v/>
      </c>
      <c r="N2213" s="10">
        <f>ROUND(I2213*'Irish Basis'!$C$6*'Irish Basis'!$C$5,2)</f>
        <v/>
      </c>
      <c r="O2213" s="10">
        <f>ROUND(J2213*'Irish Basis'!$C$7*'Irish Basis'!$C$5,2)</f>
        <v/>
      </c>
      <c r="P2213" s="10">
        <f>ROUND(K2213*'Irish Basis'!$C$8*'Irish Basis'!$C$5,2)</f>
        <v/>
      </c>
      <c r="Q2213" s="10">
        <f>ROUND(L2213*'Irish Basis'!$C$12*'Irish Basis'!$C$5,2)</f>
        <v/>
      </c>
      <c r="R2213" s="11">
        <f>ROUND(SUM(N2213:Q2213),2)</f>
        <v/>
      </c>
      <c r="S2213" s="5" t="inlineStr">
        <is>
          <t>Stated build-up</t>
        </is>
      </c>
      <c r="T2213" s="12" t="inlineStr">
        <is>
          <t>High</t>
        </is>
      </c>
      <c r="U2213" s="8" t="n">
        <v>78.66</v>
      </c>
      <c r="V2213" s="13">
        <f>IF(U2213="","",ROUND(M2213-U2213,2))</f>
        <v/>
      </c>
      <c r="W2213" s="5" t="n"/>
      <c r="X2213" s="5" t="inlineStr">
        <is>
          <t>Labour + plant + material as published; reconciles to the published rate.</t>
        </is>
      </c>
    </row>
    <row r="2214" ht="13" customHeight="1">
      <c r="A2214" s="4" t="n">
        <v>3337</v>
      </c>
      <c r="B2214" s="5" t="inlineStr">
        <is>
          <t>IMG_0110</t>
        </is>
      </c>
      <c r="C2214" s="5" t="inlineStr">
        <is>
          <t>CLASS L: PIPEWORK SUPPORTS AND PROTECTION, ANCILLARIES TO LAYING AND EXCAVATION</t>
        </is>
      </c>
      <c r="D2214" s="5" t="inlineStr">
        <is>
          <t>05 SURROUNDS</t>
        </is>
      </c>
      <c r="E2214" s="5" t="inlineStr">
        <is>
          <t>Imported granular material; 150 mm thick bed for pipes nominal bore</t>
        </is>
      </c>
      <c r="F2214" s="5" t="inlineStr">
        <is>
          <t>100 mm</t>
        </is>
      </c>
      <c r="G2214" s="6" t="inlineStr">
        <is>
          <t>m</t>
        </is>
      </c>
      <c r="H2214" s="7" t="n">
        <v>0.1</v>
      </c>
      <c r="I2214" s="8" t="n">
        <v>8.42</v>
      </c>
      <c r="J2214" s="8" t="n">
        <v>7.75</v>
      </c>
      <c r="K2214" s="8" t="n">
        <v>16.26</v>
      </c>
      <c r="L2214" s="8" t="n">
        <v>0</v>
      </c>
      <c r="M2214" s="9">
        <f>ROUND(SUM(I2214:L2214),2)</f>
        <v/>
      </c>
      <c r="N2214" s="10">
        <f>ROUND(I2214*'Irish Basis'!$C$6*'Irish Basis'!$C$5,2)</f>
        <v/>
      </c>
      <c r="O2214" s="10">
        <f>ROUND(J2214*'Irish Basis'!$C$7*'Irish Basis'!$C$5,2)</f>
        <v/>
      </c>
      <c r="P2214" s="10">
        <f>ROUND(K2214*'Irish Basis'!$C$8*'Irish Basis'!$C$5,2)</f>
        <v/>
      </c>
      <c r="Q2214" s="10">
        <f>ROUND(L2214*'Irish Basis'!$C$12*'Irish Basis'!$C$5,2)</f>
        <v/>
      </c>
      <c r="R2214" s="11">
        <f>ROUND(SUM(N2214:Q2214),2)</f>
        <v/>
      </c>
      <c r="S2214" s="5" t="inlineStr">
        <is>
          <t>Stated build-up</t>
        </is>
      </c>
      <c r="T2214" s="12" t="inlineStr">
        <is>
          <t>High</t>
        </is>
      </c>
      <c r="U2214" s="8" t="n">
        <v>32.43</v>
      </c>
      <c r="V2214" s="13">
        <f>IF(U2214="","",ROUND(M2214-U2214,2))</f>
        <v/>
      </c>
      <c r="W2214" s="5" t="n"/>
      <c r="X2214" s="5" t="inlineStr">
        <is>
          <t>Labour + plant + material as published; reconciles to the published rate.</t>
        </is>
      </c>
    </row>
    <row r="2215" ht="13" customHeight="1">
      <c r="A2215" s="4" t="n">
        <v>3338</v>
      </c>
      <c r="B2215" s="5" t="inlineStr">
        <is>
          <t>IMG_0110</t>
        </is>
      </c>
      <c r="C2215" s="5" t="inlineStr">
        <is>
          <t>CLASS L: PIPEWORK SUPPORTS AND PROTECTION, ANCILLARIES TO LAYING AND EXCAVATION</t>
        </is>
      </c>
      <c r="D2215" s="5" t="inlineStr">
        <is>
          <t>05 SURROUNDS</t>
        </is>
      </c>
      <c r="E2215" s="5" t="inlineStr">
        <is>
          <t>Imported granular material; 150 mm thick bed for pipes nominal bore</t>
        </is>
      </c>
      <c r="F2215" s="5" t="inlineStr">
        <is>
          <t>150 mm</t>
        </is>
      </c>
      <c r="G2215" s="6" t="inlineStr">
        <is>
          <t>m</t>
        </is>
      </c>
      <c r="H2215" s="7" t="n">
        <v>0.12</v>
      </c>
      <c r="I2215" s="8" t="n">
        <v>10.1</v>
      </c>
      <c r="J2215" s="8" t="n">
        <v>9.300000000000001</v>
      </c>
      <c r="K2215" s="8" t="n">
        <v>22.35</v>
      </c>
      <c r="L2215" s="8" t="n">
        <v>0</v>
      </c>
      <c r="M2215" s="9">
        <f>ROUND(SUM(I2215:L2215),2)</f>
        <v/>
      </c>
      <c r="N2215" s="10">
        <f>ROUND(I2215*'Irish Basis'!$C$6*'Irish Basis'!$C$5,2)</f>
        <v/>
      </c>
      <c r="O2215" s="10">
        <f>ROUND(J2215*'Irish Basis'!$C$7*'Irish Basis'!$C$5,2)</f>
        <v/>
      </c>
      <c r="P2215" s="10">
        <f>ROUND(K2215*'Irish Basis'!$C$8*'Irish Basis'!$C$5,2)</f>
        <v/>
      </c>
      <c r="Q2215" s="10">
        <f>ROUND(L2215*'Irish Basis'!$C$12*'Irish Basis'!$C$5,2)</f>
        <v/>
      </c>
      <c r="R2215" s="11">
        <f>ROUND(SUM(N2215:Q2215),2)</f>
        <v/>
      </c>
      <c r="S2215" s="5" t="inlineStr">
        <is>
          <t>Stated build-up</t>
        </is>
      </c>
      <c r="T2215" s="12" t="inlineStr">
        <is>
          <t>High</t>
        </is>
      </c>
      <c r="U2215" s="8" t="n">
        <v>41.75</v>
      </c>
      <c r="V2215" s="13">
        <f>IF(U2215="","",ROUND(M2215-U2215,2))</f>
        <v/>
      </c>
      <c r="W2215" s="5" t="n"/>
      <c r="X2215" s="5" t="inlineStr">
        <is>
          <t>Labour + plant + material as published; reconciles to the published rate.</t>
        </is>
      </c>
    </row>
    <row r="2216" ht="13" customHeight="1">
      <c r="A2216" s="4" t="n">
        <v>3339</v>
      </c>
      <c r="B2216" s="5" t="inlineStr">
        <is>
          <t>IMG_0110</t>
        </is>
      </c>
      <c r="C2216" s="5" t="inlineStr">
        <is>
          <t>CLASS L: PIPEWORK SUPPORTS AND PROTECTION, ANCILLARIES TO LAYING AND EXCAVATION</t>
        </is>
      </c>
      <c r="D2216" s="5" t="inlineStr">
        <is>
          <t>05 SURROUNDS</t>
        </is>
      </c>
      <c r="E2216" s="5" t="inlineStr">
        <is>
          <t>Imported granular material; 150 mm thick bed for pipes nominal bore</t>
        </is>
      </c>
      <c r="F2216" s="5" t="inlineStr">
        <is>
          <t>225 mm</t>
        </is>
      </c>
      <c r="G2216" s="6" t="inlineStr">
        <is>
          <t>m</t>
        </is>
      </c>
      <c r="H2216" s="7" t="n">
        <v>0.14</v>
      </c>
      <c r="I2216" s="8" t="n">
        <v>11.79</v>
      </c>
      <c r="J2216" s="8" t="n">
        <v>10.85</v>
      </c>
      <c r="K2216" s="8" t="n">
        <v>34.4</v>
      </c>
      <c r="L2216" s="8" t="n">
        <v>0</v>
      </c>
      <c r="M2216" s="9">
        <f>ROUND(SUM(I2216:L2216),2)</f>
        <v/>
      </c>
      <c r="N2216" s="10">
        <f>ROUND(I2216*'Irish Basis'!$C$6*'Irish Basis'!$C$5,2)</f>
        <v/>
      </c>
      <c r="O2216" s="10">
        <f>ROUND(J2216*'Irish Basis'!$C$7*'Irish Basis'!$C$5,2)</f>
        <v/>
      </c>
      <c r="P2216" s="10">
        <f>ROUND(K2216*'Irish Basis'!$C$8*'Irish Basis'!$C$5,2)</f>
        <v/>
      </c>
      <c r="Q2216" s="10">
        <f>ROUND(L2216*'Irish Basis'!$C$12*'Irish Basis'!$C$5,2)</f>
        <v/>
      </c>
      <c r="R2216" s="11">
        <f>ROUND(SUM(N2216:Q2216),2)</f>
        <v/>
      </c>
      <c r="S2216" s="5" t="inlineStr">
        <is>
          <t>Stated build-up</t>
        </is>
      </c>
      <c r="T2216" s="12" t="inlineStr">
        <is>
          <t>High</t>
        </is>
      </c>
      <c r="U2216" s="8" t="n">
        <v>57.04</v>
      </c>
      <c r="V2216" s="13">
        <f>IF(U2216="","",ROUND(M2216-U2216,2))</f>
        <v/>
      </c>
      <c r="W2216" s="5" t="n"/>
      <c r="X2216" s="5" t="inlineStr">
        <is>
          <t>Labour + plant + material as published; reconciles to the published rate.</t>
        </is>
      </c>
    </row>
    <row r="2217" ht="13" customHeight="1">
      <c r="A2217" s="4" t="n">
        <v>3340</v>
      </c>
      <c r="B2217" s="5" t="inlineStr">
        <is>
          <t>IMG_0110</t>
        </is>
      </c>
      <c r="C2217" s="5" t="inlineStr">
        <is>
          <t>CLASS L: PIPEWORK SUPPORTS AND PROTECTION, ANCILLARIES TO LAYING AND EXCAVATION</t>
        </is>
      </c>
      <c r="D2217" s="5" t="inlineStr">
        <is>
          <t>05 SURROUNDS</t>
        </is>
      </c>
      <c r="E2217" s="5" t="inlineStr">
        <is>
          <t>Imported granular material; 150 mm thick bed for pipes nominal bore</t>
        </is>
      </c>
      <c r="F2217" s="5" t="inlineStr">
        <is>
          <t>300 mm</t>
        </is>
      </c>
      <c r="G2217" s="6" t="inlineStr">
        <is>
          <t>m</t>
        </is>
      </c>
      <c r="H2217" s="7" t="n">
        <v>0.18</v>
      </c>
      <c r="I2217" s="8" t="n">
        <v>15.15</v>
      </c>
      <c r="J2217" s="8" t="n">
        <v>13.95</v>
      </c>
      <c r="K2217" s="8" t="n">
        <v>46.8</v>
      </c>
      <c r="L2217" s="8" t="n">
        <v>0</v>
      </c>
      <c r="M2217" s="9">
        <f>ROUND(SUM(I2217:L2217),2)</f>
        <v/>
      </c>
      <c r="N2217" s="10">
        <f>ROUND(I2217*'Irish Basis'!$C$6*'Irish Basis'!$C$5,2)</f>
        <v/>
      </c>
      <c r="O2217" s="10">
        <f>ROUND(J2217*'Irish Basis'!$C$7*'Irish Basis'!$C$5,2)</f>
        <v/>
      </c>
      <c r="P2217" s="10">
        <f>ROUND(K2217*'Irish Basis'!$C$8*'Irish Basis'!$C$5,2)</f>
        <v/>
      </c>
      <c r="Q2217" s="10">
        <f>ROUND(L2217*'Irish Basis'!$C$12*'Irish Basis'!$C$5,2)</f>
        <v/>
      </c>
      <c r="R2217" s="11">
        <f>ROUND(SUM(N2217:Q2217),2)</f>
        <v/>
      </c>
      <c r="S2217" s="5" t="inlineStr">
        <is>
          <t>Stated build-up</t>
        </is>
      </c>
      <c r="T2217" s="12" t="inlineStr">
        <is>
          <t>High</t>
        </is>
      </c>
      <c r="U2217" s="8" t="n">
        <v>75.90000000000001</v>
      </c>
      <c r="V2217" s="13">
        <f>IF(U2217="","",ROUND(M2217-U2217,2))</f>
        <v/>
      </c>
      <c r="W2217" s="5" t="n"/>
      <c r="X2217" s="5" t="inlineStr">
        <is>
          <t>Labour + plant + material as published; reconciles to the published rate.</t>
        </is>
      </c>
    </row>
    <row r="2218" ht="13" customHeight="1">
      <c r="A2218" s="4" t="n">
        <v>3341</v>
      </c>
      <c r="B2218" s="5" t="inlineStr">
        <is>
          <t>IMG_0110</t>
        </is>
      </c>
      <c r="C2218" s="5" t="inlineStr">
        <is>
          <t>CLASS L: PIPEWORK SUPPORTS AND PROTECTION, ANCILLARIES TO LAYING AND EXCAVATION</t>
        </is>
      </c>
      <c r="D2218" s="5" t="inlineStr">
        <is>
          <t>05 SURROUNDS</t>
        </is>
      </c>
      <c r="E2218" s="5" t="inlineStr">
        <is>
          <t>Imported granular material; 150 mm thick bed for pipes nominal bore</t>
        </is>
      </c>
      <c r="F2218" s="5" t="inlineStr">
        <is>
          <t>400 mm</t>
        </is>
      </c>
      <c r="G2218" s="6" t="inlineStr">
        <is>
          <t>m</t>
        </is>
      </c>
      <c r="H2218" s="7" t="n">
        <v>0.24</v>
      </c>
      <c r="I2218" s="8" t="n">
        <v>20.2</v>
      </c>
      <c r="J2218" s="8" t="n">
        <v>18.6</v>
      </c>
      <c r="K2218" s="8" t="n">
        <v>68.23999999999999</v>
      </c>
      <c r="L2218" s="8" t="n">
        <v>0</v>
      </c>
      <c r="M2218" s="9">
        <f>ROUND(SUM(I2218:L2218),2)</f>
        <v/>
      </c>
      <c r="N2218" s="10">
        <f>ROUND(I2218*'Irish Basis'!$C$6*'Irish Basis'!$C$5,2)</f>
        <v/>
      </c>
      <c r="O2218" s="10">
        <f>ROUND(J2218*'Irish Basis'!$C$7*'Irish Basis'!$C$5,2)</f>
        <v/>
      </c>
      <c r="P2218" s="10">
        <f>ROUND(K2218*'Irish Basis'!$C$8*'Irish Basis'!$C$5,2)</f>
        <v/>
      </c>
      <c r="Q2218" s="10">
        <f>ROUND(L2218*'Irish Basis'!$C$12*'Irish Basis'!$C$5,2)</f>
        <v/>
      </c>
      <c r="R2218" s="11">
        <f>ROUND(SUM(N2218:Q2218),2)</f>
        <v/>
      </c>
      <c r="S2218" s="5" t="inlineStr">
        <is>
          <t>Stated build-up</t>
        </is>
      </c>
      <c r="T2218" s="12" t="inlineStr">
        <is>
          <t>High</t>
        </is>
      </c>
      <c r="U2218" s="8" t="n">
        <v>107.05</v>
      </c>
      <c r="V2218" s="13">
        <f>IF(U2218="","",ROUND(M2218-U2218,2))</f>
        <v/>
      </c>
      <c r="W2218" s="5" t="n"/>
      <c r="X2218" s="5" t="inlineStr">
        <is>
          <t>Labour + plant + material as published; reconciles to the published rate.</t>
        </is>
      </c>
    </row>
    <row r="2219" ht="13" customHeight="1">
      <c r="A2219" s="4" t="n">
        <v>3342</v>
      </c>
      <c r="B2219" s="5" t="inlineStr">
        <is>
          <t>IMG_0110</t>
        </is>
      </c>
      <c r="C2219" s="5" t="inlineStr">
        <is>
          <t>CLASS L: PIPEWORK SUPPORTS AND PROTECTION, ANCILLARIES TO LAYING AND EXCAVATION</t>
        </is>
      </c>
      <c r="D2219" s="5" t="inlineStr">
        <is>
          <t>05 SURROUNDS</t>
        </is>
      </c>
      <c r="E2219" s="5" t="inlineStr">
        <is>
          <t>Imported granular material; 150 mm thick bed for pipes nominal bore</t>
        </is>
      </c>
      <c r="F2219" s="5" t="inlineStr">
        <is>
          <t>450 mm</t>
        </is>
      </c>
      <c r="G2219" s="6" t="inlineStr">
        <is>
          <t>m</t>
        </is>
      </c>
      <c r="H2219" s="7" t="n">
        <v>0.28</v>
      </c>
      <c r="I2219" s="8" t="n">
        <v>23.57</v>
      </c>
      <c r="J2219" s="8" t="n">
        <v>21.7</v>
      </c>
      <c r="K2219" s="8" t="n">
        <v>87.06999999999999</v>
      </c>
      <c r="L2219" s="8" t="n">
        <v>0</v>
      </c>
      <c r="M2219" s="9">
        <f>ROUND(SUM(I2219:L2219),2)</f>
        <v/>
      </c>
      <c r="N2219" s="10">
        <f>ROUND(I2219*'Irish Basis'!$C$6*'Irish Basis'!$C$5,2)</f>
        <v/>
      </c>
      <c r="O2219" s="10">
        <f>ROUND(J2219*'Irish Basis'!$C$7*'Irish Basis'!$C$5,2)</f>
        <v/>
      </c>
      <c r="P2219" s="10">
        <f>ROUND(K2219*'Irish Basis'!$C$8*'Irish Basis'!$C$5,2)</f>
        <v/>
      </c>
      <c r="Q2219" s="10">
        <f>ROUND(L2219*'Irish Basis'!$C$12*'Irish Basis'!$C$5,2)</f>
        <v/>
      </c>
      <c r="R2219" s="11">
        <f>ROUND(SUM(N2219:Q2219),2)</f>
        <v/>
      </c>
      <c r="S2219" s="5" t="inlineStr">
        <is>
          <t>Stated build-up</t>
        </is>
      </c>
      <c r="T2219" s="12" t="inlineStr">
        <is>
          <t>High</t>
        </is>
      </c>
      <c r="U2219" s="8" t="n">
        <v>132.34</v>
      </c>
      <c r="V2219" s="13">
        <f>IF(U2219="","",ROUND(M2219-U2219,2))</f>
        <v/>
      </c>
      <c r="W2219" s="5" t="n"/>
      <c r="X2219" s="5" t="inlineStr">
        <is>
          <t>Labour + plant + material as published; reconciles to the published rate.</t>
        </is>
      </c>
    </row>
    <row r="2220" ht="13" customHeight="1">
      <c r="A2220" s="4" t="n">
        <v>3343</v>
      </c>
      <c r="B2220" s="5" t="inlineStr">
        <is>
          <t>IMG_0110</t>
        </is>
      </c>
      <c r="C2220" s="5" t="inlineStr">
        <is>
          <t>CLASS L: PIPEWORK SUPPORTS AND PROTECTION, ANCILLARIES TO LAYING AND EXCAVATION</t>
        </is>
      </c>
      <c r="D2220" s="5" t="inlineStr">
        <is>
          <t>05 SURROUNDS</t>
        </is>
      </c>
      <c r="E2220" s="5" t="inlineStr">
        <is>
          <t>Imported granular material; 150 mm thick bed for pipes nominal bore</t>
        </is>
      </c>
      <c r="F2220" s="5" t="inlineStr">
        <is>
          <t>600 mm</t>
        </is>
      </c>
      <c r="G2220" s="6" t="inlineStr">
        <is>
          <t>m</t>
        </is>
      </c>
      <c r="H2220" s="7" t="n">
        <v>0.34</v>
      </c>
      <c r="I2220" s="8" t="n">
        <v>28.62</v>
      </c>
      <c r="J2220" s="8" t="n">
        <v>26.36</v>
      </c>
      <c r="K2220" s="8" t="n">
        <v>139.98</v>
      </c>
      <c r="L2220" s="8" t="n">
        <v>0</v>
      </c>
      <c r="M2220" s="9">
        <f>ROUND(SUM(I2220:L2220),2)</f>
        <v/>
      </c>
      <c r="N2220" s="10">
        <f>ROUND(I2220*'Irish Basis'!$C$6*'Irish Basis'!$C$5,2)</f>
        <v/>
      </c>
      <c r="O2220" s="10">
        <f>ROUND(J2220*'Irish Basis'!$C$7*'Irish Basis'!$C$5,2)</f>
        <v/>
      </c>
      <c r="P2220" s="10">
        <f>ROUND(K2220*'Irish Basis'!$C$8*'Irish Basis'!$C$5,2)</f>
        <v/>
      </c>
      <c r="Q2220" s="10">
        <f>ROUND(L2220*'Irish Basis'!$C$12*'Irish Basis'!$C$5,2)</f>
        <v/>
      </c>
      <c r="R2220" s="11">
        <f>ROUND(SUM(N2220:Q2220),2)</f>
        <v/>
      </c>
      <c r="S2220" s="5" t="inlineStr">
        <is>
          <t>Stated build-up</t>
        </is>
      </c>
      <c r="T2220" s="12" t="inlineStr">
        <is>
          <t>High</t>
        </is>
      </c>
      <c r="U2220" s="8" t="n">
        <v>194.96</v>
      </c>
      <c r="V2220" s="13">
        <f>IF(U2220="","",ROUND(M2220-U2220,2))</f>
        <v/>
      </c>
      <c r="W2220" s="5" t="n"/>
      <c r="X2220" s="5" t="inlineStr">
        <is>
          <t>Labour + plant + material as published; reconciles to the published rate.</t>
        </is>
      </c>
    </row>
    <row r="2221" ht="13" customHeight="1">
      <c r="A2221" s="4" t="n">
        <v>3344</v>
      </c>
      <c r="B2221" s="5" t="inlineStr">
        <is>
          <t>IMG_0110</t>
        </is>
      </c>
      <c r="C2221" s="5" t="inlineStr">
        <is>
          <t>CLASS L: PIPEWORK SUPPORTS AND PROTECTION, ANCILLARIES TO LAYING AND EXCAVATION</t>
        </is>
      </c>
      <c r="D2221" s="5" t="inlineStr">
        <is>
          <t>05 SURROUNDS</t>
        </is>
      </c>
      <c r="E2221" s="5" t="inlineStr">
        <is>
          <t>Imported granular material; 150 mm thick bed for pipes nominal bore</t>
        </is>
      </c>
      <c r="F2221" s="5" t="inlineStr">
        <is>
          <t>750 mm</t>
        </is>
      </c>
      <c r="G2221" s="6" t="inlineStr">
        <is>
          <t>m</t>
        </is>
      </c>
      <c r="H2221" s="7" t="n">
        <v>0.38</v>
      </c>
      <c r="I2221" s="8" t="n">
        <v>31.99</v>
      </c>
      <c r="J2221" s="8" t="n">
        <v>29.46</v>
      </c>
      <c r="K2221" s="8" t="n">
        <v>195.82</v>
      </c>
      <c r="L2221" s="8" t="n">
        <v>0</v>
      </c>
      <c r="M2221" s="9">
        <f>ROUND(SUM(I2221:L2221),2)</f>
        <v/>
      </c>
      <c r="N2221" s="10">
        <f>ROUND(I2221*'Irish Basis'!$C$6*'Irish Basis'!$C$5,2)</f>
        <v/>
      </c>
      <c r="O2221" s="10">
        <f>ROUND(J2221*'Irish Basis'!$C$7*'Irish Basis'!$C$5,2)</f>
        <v/>
      </c>
      <c r="P2221" s="10">
        <f>ROUND(K2221*'Irish Basis'!$C$8*'Irish Basis'!$C$5,2)</f>
        <v/>
      </c>
      <c r="Q2221" s="10">
        <f>ROUND(L2221*'Irish Basis'!$C$12*'Irish Basis'!$C$5,2)</f>
        <v/>
      </c>
      <c r="R2221" s="11">
        <f>ROUND(SUM(N2221:Q2221),2)</f>
        <v/>
      </c>
      <c r="S2221" s="5" t="inlineStr">
        <is>
          <t>Stated build-up</t>
        </is>
      </c>
      <c r="T2221" s="12" t="inlineStr">
        <is>
          <t>High</t>
        </is>
      </c>
      <c r="U2221" s="8" t="n">
        <v>257.27</v>
      </c>
      <c r="V2221" s="13">
        <f>IF(U2221="","",ROUND(M2221-U2221,2))</f>
        <v/>
      </c>
      <c r="W2221" s="5" t="n"/>
      <c r="X2221" s="5" t="inlineStr">
        <is>
          <t>Labour + plant + material as published; reconciles to the published rate.</t>
        </is>
      </c>
    </row>
    <row r="2222" ht="13" customHeight="1">
      <c r="A2222" s="4" t="n">
        <v>3345</v>
      </c>
      <c r="B2222" s="5" t="inlineStr">
        <is>
          <t>IMG_0110</t>
        </is>
      </c>
      <c r="C2222" s="5" t="inlineStr">
        <is>
          <t>CLASS L: PIPEWORK SUPPORTS AND PROTECTION, ANCILLARIES TO LAYING AND EXCAVATION</t>
        </is>
      </c>
      <c r="D2222" s="5" t="inlineStr">
        <is>
          <t>05 SURROUNDS</t>
        </is>
      </c>
      <c r="E2222" s="5" t="inlineStr">
        <is>
          <t>Imported granular material; 150 mm thick bed for pipes nominal bore</t>
        </is>
      </c>
      <c r="F2222" s="5" t="inlineStr">
        <is>
          <t>900 mm</t>
        </is>
      </c>
      <c r="G2222" s="6" t="inlineStr">
        <is>
          <t>m</t>
        </is>
      </c>
      <c r="H2222" s="7" t="n">
        <v>0.42</v>
      </c>
      <c r="I2222" s="8" t="n">
        <v>35.36</v>
      </c>
      <c r="J2222" s="8" t="n">
        <v>32.56</v>
      </c>
      <c r="K2222" s="8" t="n">
        <v>272.53</v>
      </c>
      <c r="L2222" s="8" t="n">
        <v>0</v>
      </c>
      <c r="M2222" s="9">
        <f>ROUND(SUM(I2222:L2222),2)</f>
        <v/>
      </c>
      <c r="N2222" s="10">
        <f>ROUND(I2222*'Irish Basis'!$C$6*'Irish Basis'!$C$5,2)</f>
        <v/>
      </c>
      <c r="O2222" s="10">
        <f>ROUND(J2222*'Irish Basis'!$C$7*'Irish Basis'!$C$5,2)</f>
        <v/>
      </c>
      <c r="P2222" s="10">
        <f>ROUND(K2222*'Irish Basis'!$C$8*'Irish Basis'!$C$5,2)</f>
        <v/>
      </c>
      <c r="Q2222" s="10">
        <f>ROUND(L2222*'Irish Basis'!$C$12*'Irish Basis'!$C$5,2)</f>
        <v/>
      </c>
      <c r="R2222" s="11">
        <f>ROUND(SUM(N2222:Q2222),2)</f>
        <v/>
      </c>
      <c r="S2222" s="5" t="inlineStr">
        <is>
          <t>Stated build-up</t>
        </is>
      </c>
      <c r="T2222" s="12" t="inlineStr">
        <is>
          <t>High</t>
        </is>
      </c>
      <c r="U2222" s="8" t="n">
        <v>340.44</v>
      </c>
      <c r="V2222" s="13">
        <f>IF(U2222="","",ROUND(M2222-U2222,2))</f>
        <v/>
      </c>
      <c r="W2222" s="5" t="n"/>
      <c r="X2222" s="5" t="inlineStr">
        <is>
          <t>Labour + plant + material as published; reconciles to the published rate.</t>
        </is>
      </c>
    </row>
    <row r="2223" ht="13" customHeight="1">
      <c r="A2223" s="4" t="n">
        <v>3346</v>
      </c>
      <c r="B2223" s="5" t="inlineStr">
        <is>
          <t>IMG_0110</t>
        </is>
      </c>
      <c r="C2223" s="5" t="inlineStr">
        <is>
          <t>CLASS L: PIPEWORK SUPPORTS AND PROTECTION, ANCILLARIES TO LAYING AND EXCAVATION</t>
        </is>
      </c>
      <c r="D2223" s="5" t="inlineStr">
        <is>
          <t>05 SURROUNDS</t>
        </is>
      </c>
      <c r="E2223" s="5" t="inlineStr">
        <is>
          <t>Imported granular material; 150 mm thick bed for pipes nominal bore</t>
        </is>
      </c>
      <c r="F2223" s="5" t="inlineStr">
        <is>
          <t>1200 mm</t>
        </is>
      </c>
      <c r="G2223" s="6" t="inlineStr">
        <is>
          <t>m</t>
        </is>
      </c>
      <c r="H2223" s="7" t="n">
        <v>0.5</v>
      </c>
      <c r="I2223" s="8" t="n">
        <v>42.09</v>
      </c>
      <c r="J2223" s="8" t="n">
        <v>38.76</v>
      </c>
      <c r="K2223" s="8" t="n">
        <v>434.51</v>
      </c>
      <c r="L2223" s="8" t="n">
        <v>0</v>
      </c>
      <c r="M2223" s="9">
        <f>ROUND(SUM(I2223:L2223),2)</f>
        <v/>
      </c>
      <c r="N2223" s="10">
        <f>ROUND(I2223*'Irish Basis'!$C$6*'Irish Basis'!$C$5,2)</f>
        <v/>
      </c>
      <c r="O2223" s="10">
        <f>ROUND(J2223*'Irish Basis'!$C$7*'Irish Basis'!$C$5,2)</f>
        <v/>
      </c>
      <c r="P2223" s="10">
        <f>ROUND(K2223*'Irish Basis'!$C$8*'Irish Basis'!$C$5,2)</f>
        <v/>
      </c>
      <c r="Q2223" s="10">
        <f>ROUND(L2223*'Irish Basis'!$C$12*'Irish Basis'!$C$5,2)</f>
        <v/>
      </c>
      <c r="R2223" s="11">
        <f>ROUND(SUM(N2223:Q2223),2)</f>
        <v/>
      </c>
      <c r="S2223" s="5" t="inlineStr">
        <is>
          <t>Stated build-up</t>
        </is>
      </c>
      <c r="T2223" s="12" t="inlineStr">
        <is>
          <t>High</t>
        </is>
      </c>
      <c r="U2223" s="8" t="n">
        <v>515.36</v>
      </c>
      <c r="V2223" s="13">
        <f>IF(U2223="","",ROUND(M2223-U2223,2))</f>
        <v/>
      </c>
      <c r="W2223" s="5" t="n"/>
      <c r="X2223" s="5" t="inlineStr">
        <is>
          <t>Labour + plant + material as published; reconciles to the published rate.</t>
        </is>
      </c>
    </row>
    <row r="2224" ht="13" customHeight="1">
      <c r="A2224" s="4" t="n">
        <v>3348</v>
      </c>
      <c r="B2224" s="5" t="inlineStr">
        <is>
          <t>IMG_0110</t>
        </is>
      </c>
      <c r="C2224" s="5" t="inlineStr">
        <is>
          <t>CLASS L: PIPEWORK SUPPORTS AND PROTECTION, ANCILLARIES TO LAYING AND EXCAVATION</t>
        </is>
      </c>
      <c r="D2224" s="5" t="inlineStr">
        <is>
          <t>05 SURROUNDS</t>
        </is>
      </c>
      <c r="E2224" s="5" t="inlineStr">
        <is>
          <t>Mass concrete; 100 mm thick bed for pipes nominal bore</t>
        </is>
      </c>
      <c r="F2224" s="5" t="inlineStr">
        <is>
          <t>100 mm</t>
        </is>
      </c>
      <c r="G2224" s="6" t="inlineStr">
        <is>
          <t>m</t>
        </is>
      </c>
      <c r="H2224" s="7" t="n">
        <v>0.14</v>
      </c>
      <c r="I2224" s="8" t="n">
        <v>11.79</v>
      </c>
      <c r="J2224" s="8" t="n">
        <v>10.85</v>
      </c>
      <c r="K2224" s="8" t="n">
        <v>20.04</v>
      </c>
      <c r="L2224" s="8" t="n">
        <v>0</v>
      </c>
      <c r="M2224" s="9">
        <f>ROUND(SUM(I2224:L2224),2)</f>
        <v/>
      </c>
      <c r="N2224" s="10">
        <f>ROUND(I2224*'Irish Basis'!$C$6*'Irish Basis'!$C$5,2)</f>
        <v/>
      </c>
      <c r="O2224" s="10">
        <f>ROUND(J2224*'Irish Basis'!$C$7*'Irish Basis'!$C$5,2)</f>
        <v/>
      </c>
      <c r="P2224" s="10">
        <f>ROUND(K2224*'Irish Basis'!$C$8*'Irish Basis'!$C$5,2)</f>
        <v/>
      </c>
      <c r="Q2224" s="10">
        <f>ROUND(L2224*'Irish Basis'!$C$12*'Irish Basis'!$C$5,2)</f>
        <v/>
      </c>
      <c r="R2224" s="11">
        <f>ROUND(SUM(N2224:Q2224),2)</f>
        <v/>
      </c>
      <c r="S2224" s="5" t="inlineStr">
        <is>
          <t>Stated build-up</t>
        </is>
      </c>
      <c r="T2224" s="12" t="inlineStr">
        <is>
          <t>High</t>
        </is>
      </c>
      <c r="U2224" s="8" t="n">
        <v>42.68</v>
      </c>
      <c r="V2224" s="13">
        <f>IF(U2224="","",ROUND(M2224-U2224,2))</f>
        <v/>
      </c>
      <c r="W2224" s="5" t="n"/>
      <c r="X2224" s="5" t="inlineStr">
        <is>
          <t>Labour + plant + material as published; reconciles to the published rate.</t>
        </is>
      </c>
    </row>
    <row r="2225" ht="13" customHeight="1">
      <c r="A2225" s="4" t="n">
        <v>3349</v>
      </c>
      <c r="B2225" s="5" t="inlineStr">
        <is>
          <t>IMG_0110</t>
        </is>
      </c>
      <c r="C2225" s="5" t="inlineStr">
        <is>
          <t>CLASS L: PIPEWORK SUPPORTS AND PROTECTION, ANCILLARIES TO LAYING AND EXCAVATION</t>
        </is>
      </c>
      <c r="D2225" s="5" t="inlineStr">
        <is>
          <t>05 SURROUNDS</t>
        </is>
      </c>
      <c r="E2225" s="5" t="inlineStr">
        <is>
          <t>Mass concrete; 100 mm thick bed for pipes nominal bore</t>
        </is>
      </c>
      <c r="F2225" s="5" t="inlineStr">
        <is>
          <t>150 mm</t>
        </is>
      </c>
      <c r="G2225" s="6" t="inlineStr">
        <is>
          <t>m</t>
        </is>
      </c>
      <c r="H2225" s="7" t="n">
        <v>0.16</v>
      </c>
      <c r="I2225" s="8" t="n">
        <v>13.47</v>
      </c>
      <c r="J2225" s="8" t="n">
        <v>12.4</v>
      </c>
      <c r="K2225" s="8" t="n">
        <v>28.78</v>
      </c>
      <c r="L2225" s="8" t="n">
        <v>0</v>
      </c>
      <c r="M2225" s="9">
        <f>ROUND(SUM(I2225:L2225),2)</f>
        <v/>
      </c>
      <c r="N2225" s="10">
        <f>ROUND(I2225*'Irish Basis'!$C$6*'Irish Basis'!$C$5,2)</f>
        <v/>
      </c>
      <c r="O2225" s="10">
        <f>ROUND(J2225*'Irish Basis'!$C$7*'Irish Basis'!$C$5,2)</f>
        <v/>
      </c>
      <c r="P2225" s="10">
        <f>ROUND(K2225*'Irish Basis'!$C$8*'Irish Basis'!$C$5,2)</f>
        <v/>
      </c>
      <c r="Q2225" s="10">
        <f>ROUND(L2225*'Irish Basis'!$C$12*'Irish Basis'!$C$5,2)</f>
        <v/>
      </c>
      <c r="R2225" s="11">
        <f>ROUND(SUM(N2225:Q2225),2)</f>
        <v/>
      </c>
      <c r="S2225" s="5" t="inlineStr">
        <is>
          <t>Stated build-up</t>
        </is>
      </c>
      <c r="T2225" s="12" t="inlineStr">
        <is>
          <t>High</t>
        </is>
      </c>
      <c r="U2225" s="8" t="n">
        <v>54.65</v>
      </c>
      <c r="V2225" s="13">
        <f>IF(U2225="","",ROUND(M2225-U2225,2))</f>
        <v/>
      </c>
      <c r="W2225" s="5" t="n"/>
      <c r="X2225" s="5" t="inlineStr">
        <is>
          <t>Labour + plant + material as published; reconciles to the published rate.</t>
        </is>
      </c>
    </row>
    <row r="2226" ht="13" customHeight="1">
      <c r="A2226" s="4" t="n">
        <v>3350</v>
      </c>
      <c r="B2226" s="5" t="inlineStr">
        <is>
          <t>IMG_0110</t>
        </is>
      </c>
      <c r="C2226" s="5" t="inlineStr">
        <is>
          <t>CLASS L: PIPEWORK SUPPORTS AND PROTECTION, ANCILLARIES TO LAYING AND EXCAVATION</t>
        </is>
      </c>
      <c r="D2226" s="5" t="inlineStr">
        <is>
          <t>05 SURROUNDS</t>
        </is>
      </c>
      <c r="E2226" s="5" t="inlineStr">
        <is>
          <t>Mass concrete; 100 mm thick bed for pipes nominal bore</t>
        </is>
      </c>
      <c r="F2226" s="5" t="inlineStr">
        <is>
          <t>225 mm</t>
        </is>
      </c>
      <c r="G2226" s="6" t="inlineStr">
        <is>
          <t>m</t>
        </is>
      </c>
      <c r="H2226" s="7" t="n">
        <v>0.18</v>
      </c>
      <c r="I2226" s="8" t="n">
        <v>15.15</v>
      </c>
      <c r="J2226" s="8" t="n">
        <v>13.95</v>
      </c>
      <c r="K2226" s="8" t="n">
        <v>46.08</v>
      </c>
      <c r="L2226" s="8" t="n">
        <v>0</v>
      </c>
      <c r="M2226" s="9">
        <f>ROUND(SUM(I2226:L2226),2)</f>
        <v/>
      </c>
      <c r="N2226" s="10">
        <f>ROUND(I2226*'Irish Basis'!$C$6*'Irish Basis'!$C$5,2)</f>
        <v/>
      </c>
      <c r="O2226" s="10">
        <f>ROUND(J2226*'Irish Basis'!$C$7*'Irish Basis'!$C$5,2)</f>
        <v/>
      </c>
      <c r="P2226" s="10">
        <f>ROUND(K2226*'Irish Basis'!$C$8*'Irish Basis'!$C$5,2)</f>
        <v/>
      </c>
      <c r="Q2226" s="10">
        <f>ROUND(L2226*'Irish Basis'!$C$12*'Irish Basis'!$C$5,2)</f>
        <v/>
      </c>
      <c r="R2226" s="11">
        <f>ROUND(SUM(N2226:Q2226),2)</f>
        <v/>
      </c>
      <c r="S2226" s="5" t="inlineStr">
        <is>
          <t>Stated build-up</t>
        </is>
      </c>
      <c r="T2226" s="12" t="inlineStr">
        <is>
          <t>High</t>
        </is>
      </c>
      <c r="U2226" s="8" t="n">
        <v>75.18000000000001</v>
      </c>
      <c r="V2226" s="13">
        <f>IF(U2226="","",ROUND(M2226-U2226,2))</f>
        <v/>
      </c>
      <c r="W2226" s="5" t="n"/>
      <c r="X2226" s="5" t="inlineStr">
        <is>
          <t>Labour + plant + material as published; reconciles to the published rate.</t>
        </is>
      </c>
    </row>
    <row r="2227" ht="13" customHeight="1">
      <c r="A2227" s="4" t="n">
        <v>3351</v>
      </c>
      <c r="B2227" s="5" t="inlineStr">
        <is>
          <t>IMG_0110</t>
        </is>
      </c>
      <c r="C2227" s="5" t="inlineStr">
        <is>
          <t>CLASS L: PIPEWORK SUPPORTS AND PROTECTION, ANCILLARIES TO LAYING AND EXCAVATION</t>
        </is>
      </c>
      <c r="D2227" s="5" t="inlineStr">
        <is>
          <t>05 SURROUNDS</t>
        </is>
      </c>
      <c r="E2227" s="5" t="inlineStr">
        <is>
          <t>Mass concrete; 100 mm thick bed for pipes nominal bore</t>
        </is>
      </c>
      <c r="F2227" s="5" t="inlineStr">
        <is>
          <t>300 mm</t>
        </is>
      </c>
      <c r="G2227" s="6" t="inlineStr">
        <is>
          <t>m</t>
        </is>
      </c>
      <c r="H2227" s="7" t="n">
        <v>0.22</v>
      </c>
      <c r="I2227" s="8" t="n">
        <v>18.52</v>
      </c>
      <c r="J2227" s="8" t="n">
        <v>17.05</v>
      </c>
      <c r="K2227" s="8" t="n">
        <v>64.28</v>
      </c>
      <c r="L2227" s="8" t="n">
        <v>0</v>
      </c>
      <c r="M2227" s="9">
        <f>ROUND(SUM(I2227:L2227),2)</f>
        <v/>
      </c>
      <c r="N2227" s="10">
        <f>ROUND(I2227*'Irish Basis'!$C$6*'Irish Basis'!$C$5,2)</f>
        <v/>
      </c>
      <c r="O2227" s="10">
        <f>ROUND(J2227*'Irish Basis'!$C$7*'Irish Basis'!$C$5,2)</f>
        <v/>
      </c>
      <c r="P2227" s="10">
        <f>ROUND(K2227*'Irish Basis'!$C$8*'Irish Basis'!$C$5,2)</f>
        <v/>
      </c>
      <c r="Q2227" s="10">
        <f>ROUND(L2227*'Irish Basis'!$C$12*'Irish Basis'!$C$5,2)</f>
        <v/>
      </c>
      <c r="R2227" s="11">
        <f>ROUND(SUM(N2227:Q2227),2)</f>
        <v/>
      </c>
      <c r="S2227" s="5" t="inlineStr">
        <is>
          <t>Stated build-up</t>
        </is>
      </c>
      <c r="T2227" s="12" t="inlineStr">
        <is>
          <t>High</t>
        </is>
      </c>
      <c r="U2227" s="8" t="n">
        <v>99.86</v>
      </c>
      <c r="V2227" s="13">
        <f>IF(U2227="","",ROUND(M2227-U2227,2))</f>
        <v/>
      </c>
      <c r="W2227" s="5" t="n"/>
      <c r="X2227" s="5" t="inlineStr">
        <is>
          <t>Labour + plant + material as published; reconciles to the published rate.</t>
        </is>
      </c>
    </row>
    <row r="2228" ht="13" customHeight="1">
      <c r="A2228" s="4" t="n">
        <v>3353</v>
      </c>
      <c r="B2228" s="5" t="inlineStr">
        <is>
          <t>IMG_0110</t>
        </is>
      </c>
      <c r="C2228" s="5" t="inlineStr">
        <is>
          <t>CLASS L: PIPEWORK SUPPORTS AND PROTECTION, ANCILLARIES TO LAYING AND EXCAVATION</t>
        </is>
      </c>
      <c r="D2228" s="5" t="inlineStr">
        <is>
          <t>05 SURROUNDS</t>
        </is>
      </c>
      <c r="E2228" s="5" t="inlineStr">
        <is>
          <t>Mass concrete; 150 mm thick bed for pipes nominal bore</t>
        </is>
      </c>
      <c r="F2228" s="5" t="inlineStr">
        <is>
          <t>150 mm</t>
        </is>
      </c>
      <c r="G2228" s="6" t="inlineStr">
        <is>
          <t>m</t>
        </is>
      </c>
      <c r="H2228" s="7" t="n">
        <v>0.23</v>
      </c>
      <c r="I2228" s="8" t="n">
        <v>19.36</v>
      </c>
      <c r="J2228" s="8" t="n">
        <v>17.83</v>
      </c>
      <c r="K2228" s="8" t="n">
        <v>33.45</v>
      </c>
      <c r="L2228" s="8" t="n">
        <v>0</v>
      </c>
      <c r="M2228" s="9">
        <f>ROUND(SUM(I2228:L2228),2)</f>
        <v/>
      </c>
      <c r="N2228" s="10">
        <f>ROUND(I2228*'Irish Basis'!$C$6*'Irish Basis'!$C$5,2)</f>
        <v/>
      </c>
      <c r="O2228" s="10">
        <f>ROUND(J2228*'Irish Basis'!$C$7*'Irish Basis'!$C$5,2)</f>
        <v/>
      </c>
      <c r="P2228" s="10">
        <f>ROUND(K2228*'Irish Basis'!$C$8*'Irish Basis'!$C$5,2)</f>
        <v/>
      </c>
      <c r="Q2228" s="10">
        <f>ROUND(L2228*'Irish Basis'!$C$12*'Irish Basis'!$C$5,2)</f>
        <v/>
      </c>
      <c r="R2228" s="11">
        <f>ROUND(SUM(N2228:Q2228),2)</f>
        <v/>
      </c>
      <c r="S2228" s="5" t="inlineStr">
        <is>
          <t>Stated build-up</t>
        </is>
      </c>
      <c r="T2228" s="12" t="inlineStr">
        <is>
          <t>High</t>
        </is>
      </c>
      <c r="U2228" s="8" t="n">
        <v>70.64</v>
      </c>
      <c r="V2228" s="13">
        <f>IF(U2228="","",ROUND(M2228-U2228,2))</f>
        <v/>
      </c>
      <c r="W2228" s="5" t="n"/>
      <c r="X2228" s="5" t="inlineStr">
        <is>
          <t>Labour + plant + material as published; reconciles to the published rate.</t>
        </is>
      </c>
    </row>
    <row r="2229" ht="13" customHeight="1">
      <c r="A2229" s="4" t="n">
        <v>3354</v>
      </c>
      <c r="B2229" s="5" t="inlineStr">
        <is>
          <t>IMG_0110</t>
        </is>
      </c>
      <c r="C2229" s="5" t="inlineStr">
        <is>
          <t>CLASS L: PIPEWORK SUPPORTS AND PROTECTION, ANCILLARIES TO LAYING AND EXCAVATION</t>
        </is>
      </c>
      <c r="D2229" s="5" t="inlineStr">
        <is>
          <t>05 SURROUNDS</t>
        </is>
      </c>
      <c r="E2229" s="5" t="inlineStr">
        <is>
          <t>Mass concrete; 150 mm thick bed for pipes nominal bore</t>
        </is>
      </c>
      <c r="F2229" s="5" t="inlineStr">
        <is>
          <t>225 mm</t>
        </is>
      </c>
      <c r="G2229" s="6" t="inlineStr">
        <is>
          <t>m</t>
        </is>
      </c>
      <c r="H2229" s="7" t="n">
        <v>0.26</v>
      </c>
      <c r="I2229" s="8" t="n">
        <v>21.89</v>
      </c>
      <c r="J2229" s="8" t="n">
        <v>20.15</v>
      </c>
      <c r="K2229" s="8" t="n">
        <v>51.48</v>
      </c>
      <c r="L2229" s="8" t="n">
        <v>0</v>
      </c>
      <c r="M2229" s="9">
        <f>ROUND(SUM(I2229:L2229),2)</f>
        <v/>
      </c>
      <c r="N2229" s="10">
        <f>ROUND(I2229*'Irish Basis'!$C$6*'Irish Basis'!$C$5,2)</f>
        <v/>
      </c>
      <c r="O2229" s="10">
        <f>ROUND(J2229*'Irish Basis'!$C$7*'Irish Basis'!$C$5,2)</f>
        <v/>
      </c>
      <c r="P2229" s="10">
        <f>ROUND(K2229*'Irish Basis'!$C$8*'Irish Basis'!$C$5,2)</f>
        <v/>
      </c>
      <c r="Q2229" s="10">
        <f>ROUND(L2229*'Irish Basis'!$C$12*'Irish Basis'!$C$5,2)</f>
        <v/>
      </c>
      <c r="R2229" s="11">
        <f>ROUND(SUM(N2229:Q2229),2)</f>
        <v/>
      </c>
      <c r="S2229" s="5" t="inlineStr">
        <is>
          <t>Stated build-up</t>
        </is>
      </c>
      <c r="T2229" s="12" t="inlineStr">
        <is>
          <t>High</t>
        </is>
      </c>
      <c r="U2229" s="8" t="n">
        <v>93.53</v>
      </c>
      <c r="V2229" s="13">
        <f>IF(U2229="","",ROUND(M2229-U2229,2))</f>
        <v/>
      </c>
      <c r="W2229" s="5" t="n"/>
      <c r="X2229" s="5" t="inlineStr">
        <is>
          <t>Labour + plant + material as published; reconciles to the published rate.</t>
        </is>
      </c>
    </row>
    <row r="2230" ht="13" customHeight="1">
      <c r="A2230" s="4" t="n">
        <v>3355</v>
      </c>
      <c r="B2230" s="5" t="inlineStr">
        <is>
          <t>IMG_0110</t>
        </is>
      </c>
      <c r="C2230" s="5" t="inlineStr">
        <is>
          <t>CLASS L: PIPEWORK SUPPORTS AND PROTECTION, ANCILLARIES TO LAYING AND EXCAVATION</t>
        </is>
      </c>
      <c r="D2230" s="5" t="inlineStr">
        <is>
          <t>05 SURROUNDS</t>
        </is>
      </c>
      <c r="E2230" s="5" t="inlineStr">
        <is>
          <t>Mass concrete; 150 mm thick bed for pipes nominal bore</t>
        </is>
      </c>
      <c r="F2230" s="5" t="inlineStr">
        <is>
          <t>300 mm</t>
        </is>
      </c>
      <c r="G2230" s="6" t="inlineStr">
        <is>
          <t>m</t>
        </is>
      </c>
      <c r="H2230" s="7" t="n">
        <v>0.3</v>
      </c>
      <c r="I2230" s="8" t="n">
        <v>25.25</v>
      </c>
      <c r="J2230" s="8" t="n">
        <v>23.26</v>
      </c>
      <c r="K2230" s="8" t="n">
        <v>70.06999999999999</v>
      </c>
      <c r="L2230" s="8" t="n">
        <v>0</v>
      </c>
      <c r="M2230" s="9">
        <f>ROUND(SUM(I2230:L2230),2)</f>
        <v/>
      </c>
      <c r="N2230" s="10">
        <f>ROUND(I2230*'Irish Basis'!$C$6*'Irish Basis'!$C$5,2)</f>
        <v/>
      </c>
      <c r="O2230" s="10">
        <f>ROUND(J2230*'Irish Basis'!$C$7*'Irish Basis'!$C$5,2)</f>
        <v/>
      </c>
      <c r="P2230" s="10">
        <f>ROUND(K2230*'Irish Basis'!$C$8*'Irish Basis'!$C$5,2)</f>
        <v/>
      </c>
      <c r="Q2230" s="10">
        <f>ROUND(L2230*'Irish Basis'!$C$12*'Irish Basis'!$C$5,2)</f>
        <v/>
      </c>
      <c r="R2230" s="11">
        <f>ROUND(SUM(N2230:Q2230),2)</f>
        <v/>
      </c>
      <c r="S2230" s="5" t="inlineStr">
        <is>
          <t>Stated build-up</t>
        </is>
      </c>
      <c r="T2230" s="12" t="inlineStr">
        <is>
          <t>High</t>
        </is>
      </c>
      <c r="U2230" s="8" t="n">
        <v>118.58</v>
      </c>
      <c r="V2230" s="13">
        <f>IF(U2230="","",ROUND(M2230-U2230,2))</f>
        <v/>
      </c>
      <c r="W2230" s="5" t="n"/>
      <c r="X2230" s="5" t="inlineStr">
        <is>
          <t>Labour + plant + material as published; reconciles to the published rate.</t>
        </is>
      </c>
    </row>
    <row r="2231" ht="13" customHeight="1">
      <c r="A2231" s="4" t="n">
        <v>3356</v>
      </c>
      <c r="B2231" s="5" t="inlineStr">
        <is>
          <t>IMG_0110</t>
        </is>
      </c>
      <c r="C2231" s="5" t="inlineStr">
        <is>
          <t>CLASS L: PIPEWORK SUPPORTS AND PROTECTION, ANCILLARIES TO LAYING AND EXCAVATION</t>
        </is>
      </c>
      <c r="D2231" s="5" t="inlineStr">
        <is>
          <t>05 SURROUNDS</t>
        </is>
      </c>
      <c r="E2231" s="5" t="inlineStr">
        <is>
          <t>Mass concrete; 150 mm thick bed for pipes nominal bore</t>
        </is>
      </c>
      <c r="F2231" s="5" t="inlineStr">
        <is>
          <t>400 mm</t>
        </is>
      </c>
      <c r="G2231" s="6" t="inlineStr">
        <is>
          <t>m</t>
        </is>
      </c>
      <c r="H2231" s="7" t="n">
        <v>0.36</v>
      </c>
      <c r="I2231" s="8" t="n">
        <v>30.31</v>
      </c>
      <c r="J2231" s="8" t="n">
        <v>27.91</v>
      </c>
      <c r="K2231" s="8" t="n">
        <v>102.21</v>
      </c>
      <c r="L2231" s="8" t="n">
        <v>0</v>
      </c>
      <c r="M2231" s="9">
        <f>ROUND(SUM(I2231:L2231),2)</f>
        <v/>
      </c>
      <c r="N2231" s="10">
        <f>ROUND(I2231*'Irish Basis'!$C$6*'Irish Basis'!$C$5,2)</f>
        <v/>
      </c>
      <c r="O2231" s="10">
        <f>ROUND(J2231*'Irish Basis'!$C$7*'Irish Basis'!$C$5,2)</f>
        <v/>
      </c>
      <c r="P2231" s="10">
        <f>ROUND(K2231*'Irish Basis'!$C$8*'Irish Basis'!$C$5,2)</f>
        <v/>
      </c>
      <c r="Q2231" s="10">
        <f>ROUND(L2231*'Irish Basis'!$C$12*'Irish Basis'!$C$5,2)</f>
        <v/>
      </c>
      <c r="R2231" s="11">
        <f>ROUND(SUM(N2231:Q2231),2)</f>
        <v/>
      </c>
      <c r="S2231" s="5" t="inlineStr">
        <is>
          <t>Stated build-up</t>
        </is>
      </c>
      <c r="T2231" s="12" t="inlineStr">
        <is>
          <t>High</t>
        </is>
      </c>
      <c r="U2231" s="8" t="n">
        <v>160.42</v>
      </c>
      <c r="V2231" s="13">
        <f>IF(U2231="","",ROUND(M2231-U2231,2))</f>
        <v/>
      </c>
      <c r="W2231" s="5" t="n"/>
      <c r="X2231" s="5" t="inlineStr">
        <is>
          <t>Labour + plant + material as published; reconciles to the published rate.</t>
        </is>
      </c>
    </row>
    <row r="2232" ht="13" customHeight="1">
      <c r="A2232" s="4" t="n">
        <v>3357</v>
      </c>
      <c r="B2232" s="5" t="inlineStr">
        <is>
          <t>IMG_0110</t>
        </is>
      </c>
      <c r="C2232" s="5" t="inlineStr">
        <is>
          <t>CLASS L: PIPEWORK SUPPORTS AND PROTECTION, ANCILLARIES TO LAYING AND EXCAVATION</t>
        </is>
      </c>
      <c r="D2232" s="5" t="inlineStr">
        <is>
          <t>05 SURROUNDS</t>
        </is>
      </c>
      <c r="E2232" s="5" t="inlineStr">
        <is>
          <t>Mass concrete; 150 mm thick bed for pipes nominal bore</t>
        </is>
      </c>
      <c r="F2232" s="5" t="inlineStr">
        <is>
          <t>450 mm</t>
        </is>
      </c>
      <c r="G2232" s="6" t="inlineStr">
        <is>
          <t>m</t>
        </is>
      </c>
      <c r="H2232" s="7" t="n">
        <v>0.4</v>
      </c>
      <c r="I2232" s="8" t="n">
        <v>33.67</v>
      </c>
      <c r="J2232" s="8" t="n">
        <v>31.01</v>
      </c>
      <c r="K2232" s="8" t="n">
        <v>130.27</v>
      </c>
      <c r="L2232" s="8" t="n">
        <v>0</v>
      </c>
      <c r="M2232" s="9">
        <f>ROUND(SUM(I2232:L2232),2)</f>
        <v/>
      </c>
      <c r="N2232" s="10">
        <f>ROUND(I2232*'Irish Basis'!$C$6*'Irish Basis'!$C$5,2)</f>
        <v/>
      </c>
      <c r="O2232" s="10">
        <f>ROUND(J2232*'Irish Basis'!$C$7*'Irish Basis'!$C$5,2)</f>
        <v/>
      </c>
      <c r="P2232" s="10">
        <f>ROUND(K2232*'Irish Basis'!$C$8*'Irish Basis'!$C$5,2)</f>
        <v/>
      </c>
      <c r="Q2232" s="10">
        <f>ROUND(L2232*'Irish Basis'!$C$12*'Irish Basis'!$C$5,2)</f>
        <v/>
      </c>
      <c r="R2232" s="11">
        <f>ROUND(SUM(N2232:Q2232),2)</f>
        <v/>
      </c>
      <c r="S2232" s="5" t="inlineStr">
        <is>
          <t>Stated build-up</t>
        </is>
      </c>
      <c r="T2232" s="12" t="inlineStr">
        <is>
          <t>High</t>
        </is>
      </c>
      <c r="U2232" s="8" t="n">
        <v>194.95</v>
      </c>
      <c r="V2232" s="13">
        <f>IF(U2232="","",ROUND(M2232-U2232,2))</f>
        <v/>
      </c>
      <c r="W2232" s="5" t="n"/>
      <c r="X2232" s="5" t="inlineStr">
        <is>
          <t>Labour + plant + material as published; reconciles to the published rate.</t>
        </is>
      </c>
    </row>
    <row r="2233" ht="13" customHeight="1">
      <c r="A2233" s="4" t="n">
        <v>3358</v>
      </c>
      <c r="B2233" s="5" t="inlineStr">
        <is>
          <t>IMG_0110</t>
        </is>
      </c>
      <c r="C2233" s="5" t="inlineStr">
        <is>
          <t>CLASS L: PIPEWORK SUPPORTS AND PROTECTION, ANCILLARIES TO LAYING AND EXCAVATION</t>
        </is>
      </c>
      <c r="D2233" s="5" t="inlineStr">
        <is>
          <t>05 SURROUNDS</t>
        </is>
      </c>
      <c r="E2233" s="5" t="inlineStr">
        <is>
          <t>Mass concrete; 150 mm thick bed for pipes nominal bore</t>
        </is>
      </c>
      <c r="F2233" s="5" t="inlineStr">
        <is>
          <t>600 mm</t>
        </is>
      </c>
      <c r="G2233" s="6" t="inlineStr">
        <is>
          <t>m</t>
        </is>
      </c>
      <c r="H2233" s="7" t="n">
        <v>0.45</v>
      </c>
      <c r="I2233" s="8" t="n">
        <v>37.88</v>
      </c>
      <c r="J2233" s="8" t="n">
        <v>34.88</v>
      </c>
      <c r="K2233" s="8" t="n">
        <v>209.41</v>
      </c>
      <c r="L2233" s="8" t="n">
        <v>0</v>
      </c>
      <c r="M2233" s="9">
        <f>ROUND(SUM(I2233:L2233),2)</f>
        <v/>
      </c>
      <c r="N2233" s="10">
        <f>ROUND(I2233*'Irish Basis'!$C$6*'Irish Basis'!$C$5,2)</f>
        <v/>
      </c>
      <c r="O2233" s="10">
        <f>ROUND(J2233*'Irish Basis'!$C$7*'Irish Basis'!$C$5,2)</f>
        <v/>
      </c>
      <c r="P2233" s="10">
        <f>ROUND(K2233*'Irish Basis'!$C$8*'Irish Basis'!$C$5,2)</f>
        <v/>
      </c>
      <c r="Q2233" s="10">
        <f>ROUND(L2233*'Irish Basis'!$C$12*'Irish Basis'!$C$5,2)</f>
        <v/>
      </c>
      <c r="R2233" s="11">
        <f>ROUND(SUM(N2233:Q2233),2)</f>
        <v/>
      </c>
      <c r="S2233" s="5" t="inlineStr">
        <is>
          <t>Stated build-up</t>
        </is>
      </c>
      <c r="T2233" s="12" t="inlineStr">
        <is>
          <t>High</t>
        </is>
      </c>
      <c r="U2233" s="8" t="n">
        <v>282.18</v>
      </c>
      <c r="V2233" s="13">
        <f>IF(U2233="","",ROUND(M2233-U2233,2))</f>
        <v/>
      </c>
      <c r="W2233" s="5" t="n"/>
      <c r="X2233" s="5" t="inlineStr">
        <is>
          <t>Labour + plant + material as published; reconciles to the published rate.</t>
        </is>
      </c>
    </row>
    <row r="2234" ht="13" customHeight="1">
      <c r="A2234" s="4" t="n">
        <v>3359</v>
      </c>
      <c r="B2234" s="5" t="inlineStr">
        <is>
          <t>IMG_0110</t>
        </is>
      </c>
      <c r="C2234" s="5" t="inlineStr">
        <is>
          <t>CLASS L: PIPEWORK SUPPORTS AND PROTECTION, ANCILLARIES TO LAYING AND EXCAVATION</t>
        </is>
      </c>
      <c r="D2234" s="5" t="inlineStr">
        <is>
          <t>05 SURROUNDS</t>
        </is>
      </c>
      <c r="E2234" s="5" t="inlineStr">
        <is>
          <t>Mass concrete; 150 mm thick bed for pipes nominal bore</t>
        </is>
      </c>
      <c r="F2234" s="5" t="inlineStr">
        <is>
          <t>750 mm</t>
        </is>
      </c>
      <c r="G2234" s="6" t="inlineStr">
        <is>
          <t>m</t>
        </is>
      </c>
      <c r="H2234" s="7" t="n">
        <v>0.5</v>
      </c>
      <c r="I2234" s="8" t="n">
        <v>42.09</v>
      </c>
      <c r="J2234" s="8" t="n">
        <v>38.76</v>
      </c>
      <c r="K2234" s="8" t="n">
        <v>293</v>
      </c>
      <c r="L2234" s="8" t="n">
        <v>0</v>
      </c>
      <c r="M2234" s="9">
        <f>ROUND(SUM(I2234:L2234),2)</f>
        <v/>
      </c>
      <c r="N2234" s="10">
        <f>ROUND(I2234*'Irish Basis'!$C$6*'Irish Basis'!$C$5,2)</f>
        <v/>
      </c>
      <c r="O2234" s="10">
        <f>ROUND(J2234*'Irish Basis'!$C$7*'Irish Basis'!$C$5,2)</f>
        <v/>
      </c>
      <c r="P2234" s="10">
        <f>ROUND(K2234*'Irish Basis'!$C$8*'Irish Basis'!$C$5,2)</f>
        <v/>
      </c>
      <c r="Q2234" s="10">
        <f>ROUND(L2234*'Irish Basis'!$C$12*'Irish Basis'!$C$5,2)</f>
        <v/>
      </c>
      <c r="R2234" s="11">
        <f>ROUND(SUM(N2234:Q2234),2)</f>
        <v/>
      </c>
      <c r="S2234" s="5" t="inlineStr">
        <is>
          <t>Stated build-up</t>
        </is>
      </c>
      <c r="T2234" s="12" t="inlineStr">
        <is>
          <t>High</t>
        </is>
      </c>
      <c r="U2234" s="8" t="n">
        <v>373.85</v>
      </c>
      <c r="V2234" s="13">
        <f>IF(U2234="","",ROUND(M2234-U2234,2))</f>
        <v/>
      </c>
      <c r="W2234" s="5" t="n"/>
      <c r="X2234" s="5" t="inlineStr">
        <is>
          <t>Labour + plant + material as published; reconciles to the published rate.</t>
        </is>
      </c>
    </row>
    <row r="2235" ht="13" customHeight="1">
      <c r="A2235" s="4" t="n">
        <v>3360</v>
      </c>
      <c r="B2235" s="5" t="inlineStr">
        <is>
          <t>IMG_0110</t>
        </is>
      </c>
      <c r="C2235" s="5" t="inlineStr">
        <is>
          <t>CLASS L: PIPEWORK SUPPORTS AND PROTECTION, ANCILLARIES TO LAYING AND EXCAVATION</t>
        </is>
      </c>
      <c r="D2235" s="5" t="inlineStr">
        <is>
          <t>05 SURROUNDS</t>
        </is>
      </c>
      <c r="E2235" s="5" t="inlineStr">
        <is>
          <t>Mass concrete; 150 mm thick bed for pipes nominal bore</t>
        </is>
      </c>
      <c r="F2235" s="5" t="inlineStr">
        <is>
          <t>900 mm</t>
        </is>
      </c>
      <c r="G2235" s="6" t="inlineStr">
        <is>
          <t>m</t>
        </is>
      </c>
      <c r="H2235" s="7" t="n">
        <v>0.55</v>
      </c>
      <c r="I2235" s="8" t="n">
        <v>46.3</v>
      </c>
      <c r="J2235" s="8" t="n">
        <v>42.63</v>
      </c>
      <c r="K2235" s="8" t="n">
        <v>407.54</v>
      </c>
      <c r="L2235" s="8" t="n">
        <v>0</v>
      </c>
      <c r="M2235" s="9">
        <f>ROUND(SUM(I2235:L2235),2)</f>
        <v/>
      </c>
      <c r="N2235" s="10">
        <f>ROUND(I2235*'Irish Basis'!$C$6*'Irish Basis'!$C$5,2)</f>
        <v/>
      </c>
      <c r="O2235" s="10">
        <f>ROUND(J2235*'Irish Basis'!$C$7*'Irish Basis'!$C$5,2)</f>
        <v/>
      </c>
      <c r="P2235" s="10">
        <f>ROUND(K2235*'Irish Basis'!$C$8*'Irish Basis'!$C$5,2)</f>
        <v/>
      </c>
      <c r="Q2235" s="10">
        <f>ROUND(L2235*'Irish Basis'!$C$12*'Irish Basis'!$C$5,2)</f>
        <v/>
      </c>
      <c r="R2235" s="11">
        <f>ROUND(SUM(N2235:Q2235),2)</f>
        <v/>
      </c>
      <c r="S2235" s="5" t="inlineStr">
        <is>
          <t>Stated build-up</t>
        </is>
      </c>
      <c r="T2235" s="12" t="inlineStr">
        <is>
          <t>High</t>
        </is>
      </c>
      <c r="U2235" s="8" t="n">
        <v>496.47</v>
      </c>
      <c r="V2235" s="13">
        <f>IF(U2235="","",ROUND(M2235-U2235,2))</f>
        <v/>
      </c>
      <c r="W2235" s="5" t="n"/>
      <c r="X2235" s="5" t="inlineStr">
        <is>
          <t>Labour + plant + material as published; reconciles to the published rate.</t>
        </is>
      </c>
    </row>
    <row r="2236" ht="13" customHeight="1">
      <c r="A2236" s="4" t="n">
        <v>3361</v>
      </c>
      <c r="B2236" s="5" t="inlineStr">
        <is>
          <t>IMG_0110</t>
        </is>
      </c>
      <c r="C2236" s="5" t="inlineStr">
        <is>
          <t>CLASS L: PIPEWORK SUPPORTS AND PROTECTION, ANCILLARIES TO LAYING AND EXCAVATION</t>
        </is>
      </c>
      <c r="D2236" s="5" t="inlineStr">
        <is>
          <t>05 SURROUNDS</t>
        </is>
      </c>
      <c r="E2236" s="5" t="inlineStr">
        <is>
          <t>Mass concrete; 150 mm thick bed for pipes nominal bore</t>
        </is>
      </c>
      <c r="F2236" s="5" t="inlineStr">
        <is>
          <t>1200 mm</t>
        </is>
      </c>
      <c r="G2236" s="6" t="inlineStr">
        <is>
          <t>m</t>
        </is>
      </c>
      <c r="H2236" s="7" t="n">
        <v>0.61</v>
      </c>
      <c r="I2236" s="8" t="n">
        <v>51.35</v>
      </c>
      <c r="J2236" s="8" t="n">
        <v>47.29</v>
      </c>
      <c r="K2236" s="8" t="n">
        <v>649.5599999999999</v>
      </c>
      <c r="L2236" s="8" t="n">
        <v>0</v>
      </c>
      <c r="M2236" s="9">
        <f>ROUND(SUM(I2236:L2236),2)</f>
        <v/>
      </c>
      <c r="N2236" s="10">
        <f>ROUND(I2236*'Irish Basis'!$C$6*'Irish Basis'!$C$5,2)</f>
        <v/>
      </c>
      <c r="O2236" s="10">
        <f>ROUND(J2236*'Irish Basis'!$C$7*'Irish Basis'!$C$5,2)</f>
        <v/>
      </c>
      <c r="P2236" s="10">
        <f>ROUND(K2236*'Irish Basis'!$C$8*'Irish Basis'!$C$5,2)</f>
        <v/>
      </c>
      <c r="Q2236" s="10">
        <f>ROUND(L2236*'Irish Basis'!$C$12*'Irish Basis'!$C$5,2)</f>
        <v/>
      </c>
      <c r="R2236" s="11">
        <f>ROUND(SUM(N2236:Q2236),2)</f>
        <v/>
      </c>
      <c r="S2236" s="5" t="inlineStr">
        <is>
          <t>Stated build-up</t>
        </is>
      </c>
      <c r="T2236" s="12" t="inlineStr">
        <is>
          <t>High</t>
        </is>
      </c>
      <c r="U2236" s="8" t="n">
        <v>748.1900000000001</v>
      </c>
      <c r="V2236" s="13">
        <f>IF(U2236="","",ROUND(M2236-U2236,2))</f>
        <v/>
      </c>
      <c r="W2236" s="5" t="n"/>
      <c r="X2236" s="5" t="inlineStr">
        <is>
          <t>Labour + plant + material as published; reconciles to the published rate.</t>
        </is>
      </c>
    </row>
    <row r="2237" ht="13" customHeight="1">
      <c r="A2237" s="4" t="n">
        <v>3364</v>
      </c>
      <c r="B2237" s="5" t="inlineStr">
        <is>
          <t>IMG_0110</t>
        </is>
      </c>
      <c r="C2237" s="5" t="inlineStr">
        <is>
          <t>CLASS L: PIPEWORK SUPPORTS AND PROTECTION, ANCILLARIES TO LAYING AND EXCAVATION</t>
        </is>
      </c>
      <c r="D2237" s="5" t="inlineStr">
        <is>
          <t>07 CONCRETE STOOLS AND THRUST BLOCKS</t>
        </is>
      </c>
      <c r="E2237" s="5" t="inlineStr">
        <is>
          <t>Mass concrete; Concrete stools or thrust blocks (nett volume of concrete excluding volume occupied by pipes)</t>
        </is>
      </c>
      <c r="F2237" s="5" t="inlineStr">
        <is>
          <t>0.1 m3</t>
        </is>
      </c>
      <c r="G2237" s="6" t="inlineStr">
        <is>
          <t>nr</t>
        </is>
      </c>
      <c r="H2237" s="7" t="n">
        <v>0.18</v>
      </c>
      <c r="I2237" s="8" t="n">
        <v>15.15</v>
      </c>
      <c r="J2237" s="8" t="n">
        <v>13.95</v>
      </c>
      <c r="K2237" s="8" t="n">
        <v>16.59</v>
      </c>
      <c r="L2237" s="8" t="n">
        <v>0</v>
      </c>
      <c r="M2237" s="9">
        <f>ROUND(SUM(I2237:L2237),2)</f>
        <v/>
      </c>
      <c r="N2237" s="10">
        <f>ROUND(I2237*'Irish Basis'!$C$6*'Irish Basis'!$C$5,2)</f>
        <v/>
      </c>
      <c r="O2237" s="10">
        <f>ROUND(J2237*'Irish Basis'!$C$7*'Irish Basis'!$C$5,2)</f>
        <v/>
      </c>
      <c r="P2237" s="10">
        <f>ROUND(K2237*'Irish Basis'!$C$8*'Irish Basis'!$C$5,2)</f>
        <v/>
      </c>
      <c r="Q2237" s="10">
        <f>ROUND(L2237*'Irish Basis'!$C$12*'Irish Basis'!$C$5,2)</f>
        <v/>
      </c>
      <c r="R2237" s="11">
        <f>ROUND(SUM(N2237:Q2237),2)</f>
        <v/>
      </c>
      <c r="S2237" s="5" t="inlineStr">
        <is>
          <t>Stated build-up</t>
        </is>
      </c>
      <c r="T2237" s="12" t="inlineStr">
        <is>
          <t>High</t>
        </is>
      </c>
      <c r="U2237" s="8" t="n">
        <v>45.7</v>
      </c>
      <c r="V2237" s="13">
        <f>IF(U2237="","",ROUND(M2237-U2237,2))</f>
        <v/>
      </c>
      <c r="W2237" s="5" t="n"/>
      <c r="X2237" s="5" t="inlineStr">
        <is>
          <t>Labour + plant + material as published; reconciles to the published rate.</t>
        </is>
      </c>
    </row>
    <row r="2238" ht="13" customHeight="1">
      <c r="A2238" s="4" t="n">
        <v>3365</v>
      </c>
      <c r="B2238" s="5" t="inlineStr">
        <is>
          <t>IMG_0110</t>
        </is>
      </c>
      <c r="C2238" s="5" t="inlineStr">
        <is>
          <t>CLASS L: PIPEWORK SUPPORTS AND PROTECTION, ANCILLARIES TO LAYING AND EXCAVATION</t>
        </is>
      </c>
      <c r="D2238" s="5" t="inlineStr">
        <is>
          <t>07 CONCRETE STOOLS AND THRUST BLOCKS</t>
        </is>
      </c>
      <c r="E2238" s="5" t="inlineStr">
        <is>
          <t>Mass concrete; Concrete stools or thrust blocks (nett volume of concrete excluding volume occupied by pipes)</t>
        </is>
      </c>
      <c r="F2238" s="5" t="inlineStr">
        <is>
          <t>0.1-0.2 m3</t>
        </is>
      </c>
      <c r="G2238" s="6" t="inlineStr">
        <is>
          <t>nr</t>
        </is>
      </c>
      <c r="H2238" s="7" t="n">
        <v>0.32</v>
      </c>
      <c r="I2238" s="8" t="n">
        <v>26.94</v>
      </c>
      <c r="J2238" s="8" t="n">
        <v>24.81</v>
      </c>
      <c r="K2238" s="8" t="n">
        <v>33.22</v>
      </c>
      <c r="L2238" s="8" t="n">
        <v>0</v>
      </c>
      <c r="M2238" s="9">
        <f>ROUND(SUM(I2238:L2238),2)</f>
        <v/>
      </c>
      <c r="N2238" s="10">
        <f>ROUND(I2238*'Irish Basis'!$C$6*'Irish Basis'!$C$5,2)</f>
        <v/>
      </c>
      <c r="O2238" s="10">
        <f>ROUND(J2238*'Irish Basis'!$C$7*'Irish Basis'!$C$5,2)</f>
        <v/>
      </c>
      <c r="P2238" s="10">
        <f>ROUND(K2238*'Irish Basis'!$C$8*'Irish Basis'!$C$5,2)</f>
        <v/>
      </c>
      <c r="Q2238" s="10">
        <f>ROUND(L2238*'Irish Basis'!$C$12*'Irish Basis'!$C$5,2)</f>
        <v/>
      </c>
      <c r="R2238" s="11">
        <f>ROUND(SUM(N2238:Q2238),2)</f>
        <v/>
      </c>
      <c r="S2238" s="5" t="inlineStr">
        <is>
          <t>Stated build-up</t>
        </is>
      </c>
      <c r="T2238" s="12" t="inlineStr">
        <is>
          <t>High</t>
        </is>
      </c>
      <c r="U2238" s="8" t="n">
        <v>84.95999999999999</v>
      </c>
      <c r="V2238" s="13">
        <f>IF(U2238="","",ROUND(M2238-U2238,2))</f>
        <v/>
      </c>
      <c r="W2238" s="5" t="n"/>
      <c r="X2238" s="5" t="inlineStr">
        <is>
          <t>Labour + plant + material as published; reconciles to the published rate.</t>
        </is>
      </c>
    </row>
    <row r="2239" ht="13" customHeight="1">
      <c r="A2239" s="4" t="n">
        <v>3366</v>
      </c>
      <c r="B2239" s="5" t="inlineStr">
        <is>
          <t>IMG_0110</t>
        </is>
      </c>
      <c r="C2239" s="5" t="inlineStr">
        <is>
          <t>CLASS L: PIPEWORK SUPPORTS AND PROTECTION, ANCILLARIES TO LAYING AND EXCAVATION</t>
        </is>
      </c>
      <c r="D2239" s="5" t="inlineStr">
        <is>
          <t>07 CONCRETE STOOLS AND THRUST BLOCKS</t>
        </is>
      </c>
      <c r="E2239" s="5" t="inlineStr">
        <is>
          <t>Mass concrete; Concrete stools or thrust blocks (nett volume of concrete excluding volume occupied by pipes)</t>
        </is>
      </c>
      <c r="F2239" s="5" t="inlineStr">
        <is>
          <t>0.2-0.5 m3</t>
        </is>
      </c>
      <c r="G2239" s="6" t="inlineStr">
        <is>
          <t>nr</t>
        </is>
      </c>
      <c r="H2239" s="7" t="n">
        <v>0.62</v>
      </c>
      <c r="I2239" s="8" t="n">
        <v>52.19</v>
      </c>
      <c r="J2239" s="8" t="n">
        <v>48.06</v>
      </c>
      <c r="K2239" s="8" t="n">
        <v>83.19</v>
      </c>
      <c r="L2239" s="8" t="n">
        <v>0</v>
      </c>
      <c r="M2239" s="9">
        <f>ROUND(SUM(I2239:L2239),2)</f>
        <v/>
      </c>
      <c r="N2239" s="10">
        <f>ROUND(I2239*'Irish Basis'!$C$6*'Irish Basis'!$C$5,2)</f>
        <v/>
      </c>
      <c r="O2239" s="10">
        <f>ROUND(J2239*'Irish Basis'!$C$7*'Irish Basis'!$C$5,2)</f>
        <v/>
      </c>
      <c r="P2239" s="10">
        <f>ROUND(K2239*'Irish Basis'!$C$8*'Irish Basis'!$C$5,2)</f>
        <v/>
      </c>
      <c r="Q2239" s="10">
        <f>ROUND(L2239*'Irish Basis'!$C$12*'Irish Basis'!$C$5,2)</f>
        <v/>
      </c>
      <c r="R2239" s="11">
        <f>ROUND(SUM(N2239:Q2239),2)</f>
        <v/>
      </c>
      <c r="S2239" s="5" t="inlineStr">
        <is>
          <t>Stated build-up</t>
        </is>
      </c>
      <c r="T2239" s="12" t="inlineStr">
        <is>
          <t>High</t>
        </is>
      </c>
      <c r="U2239" s="8" t="n">
        <v>183.45</v>
      </c>
      <c r="V2239" s="13">
        <f>IF(U2239="","",ROUND(M2239-U2239,2))</f>
        <v/>
      </c>
      <c r="W2239" s="5" t="n"/>
      <c r="X2239" s="5" t="inlineStr">
        <is>
          <t>Labour + plant + material as published; reconciles to the published rate.</t>
        </is>
      </c>
    </row>
    <row r="2240" ht="13" customHeight="1">
      <c r="A2240" s="4" t="n">
        <v>3367</v>
      </c>
      <c r="B2240" s="5" t="inlineStr">
        <is>
          <t>IMG_0110</t>
        </is>
      </c>
      <c r="C2240" s="5" t="inlineStr">
        <is>
          <t>CLASS L: PIPEWORK SUPPORTS AND PROTECTION, ANCILLARIES TO LAYING AND EXCAVATION</t>
        </is>
      </c>
      <c r="D2240" s="5" t="inlineStr">
        <is>
          <t>07 CONCRETE STOOLS AND THRUST BLOCKS</t>
        </is>
      </c>
      <c r="E2240" s="5" t="inlineStr">
        <is>
          <t>Mass concrete; Concrete stools or thrust blocks (nett volume of concrete excluding volume occupied by pipes)</t>
        </is>
      </c>
      <c r="F2240" s="5" t="inlineStr">
        <is>
          <t>0.5-1.0 m3</t>
        </is>
      </c>
      <c r="G2240" s="6" t="inlineStr">
        <is>
          <t>nr</t>
        </is>
      </c>
      <c r="H2240" s="7" t="n">
        <v>0.91</v>
      </c>
      <c r="I2240" s="8" t="n">
        <v>76.59999999999999</v>
      </c>
      <c r="J2240" s="8" t="n">
        <v>70.54000000000001</v>
      </c>
      <c r="K2240" s="8" t="n">
        <v>166.52</v>
      </c>
      <c r="L2240" s="8" t="n">
        <v>0</v>
      </c>
      <c r="M2240" s="9">
        <f>ROUND(SUM(I2240:L2240),2)</f>
        <v/>
      </c>
      <c r="N2240" s="10">
        <f>ROUND(I2240*'Irish Basis'!$C$6*'Irish Basis'!$C$5,2)</f>
        <v/>
      </c>
      <c r="O2240" s="10">
        <f>ROUND(J2240*'Irish Basis'!$C$7*'Irish Basis'!$C$5,2)</f>
        <v/>
      </c>
      <c r="P2240" s="10">
        <f>ROUND(K2240*'Irish Basis'!$C$8*'Irish Basis'!$C$5,2)</f>
        <v/>
      </c>
      <c r="Q2240" s="10">
        <f>ROUND(L2240*'Irish Basis'!$C$12*'Irish Basis'!$C$5,2)</f>
        <v/>
      </c>
      <c r="R2240" s="11">
        <f>ROUND(SUM(N2240:Q2240),2)</f>
        <v/>
      </c>
      <c r="S2240" s="5" t="inlineStr">
        <is>
          <t>Stated build-up</t>
        </is>
      </c>
      <c r="T2240" s="12" t="inlineStr">
        <is>
          <t>High</t>
        </is>
      </c>
      <c r="U2240" s="8" t="n">
        <v>313.66</v>
      </c>
      <c r="V2240" s="13">
        <f>IF(U2240="","",ROUND(M2240-U2240,2))</f>
        <v/>
      </c>
      <c r="W2240" s="5" t="n"/>
      <c r="X2240" s="5" t="inlineStr">
        <is>
          <t>Labour + plant + material as published; reconciles to the published rate.</t>
        </is>
      </c>
    </row>
    <row r="2241" ht="13" customHeight="1">
      <c r="A2241" s="4" t="n">
        <v>3369</v>
      </c>
      <c r="B2241" s="5" t="inlineStr">
        <is>
          <t>IMG_0111</t>
        </is>
      </c>
      <c r="C2241" s="5" t="inlineStr">
        <is>
          <t>CLASS L: PIPEWORK SUPPORTS AND PROTECTION, ANCILLARIES TO LAYING AND EXCAVATION</t>
        </is>
      </c>
      <c r="D2241" s="5" t="inlineStr">
        <is>
          <t>07 CONCRETE STOOLS AND THRUST BLOCKS</t>
        </is>
      </c>
      <c r="E2241" s="5" t="inlineStr">
        <is>
          <t>Mass concrete; Concrete stools or thrust blocks (continued)</t>
        </is>
      </c>
      <c r="F2241" s="5" t="inlineStr">
        <is>
          <t>1.0-2.0 m3</t>
        </is>
      </c>
      <c r="G2241" s="6" t="inlineStr">
        <is>
          <t>nr</t>
        </is>
      </c>
      <c r="H2241" s="7" t="n">
        <v>1.29</v>
      </c>
      <c r="I2241" s="8" t="n">
        <v>108.59</v>
      </c>
      <c r="J2241" s="8" t="n">
        <v>100</v>
      </c>
      <c r="K2241" s="8" t="n">
        <v>333.35</v>
      </c>
      <c r="L2241" s="8" t="n">
        <v>0</v>
      </c>
      <c r="M2241" s="9">
        <f>ROUND(SUM(I2241:L2241),2)</f>
        <v/>
      </c>
      <c r="N2241" s="10">
        <f>ROUND(I2241*'Irish Basis'!$C$6*'Irish Basis'!$C$5,2)</f>
        <v/>
      </c>
      <c r="O2241" s="10">
        <f>ROUND(J2241*'Irish Basis'!$C$7*'Irish Basis'!$C$5,2)</f>
        <v/>
      </c>
      <c r="P2241" s="10">
        <f>ROUND(K2241*'Irish Basis'!$C$8*'Irish Basis'!$C$5,2)</f>
        <v/>
      </c>
      <c r="Q2241" s="10">
        <f>ROUND(L2241*'Irish Basis'!$C$12*'Irish Basis'!$C$5,2)</f>
        <v/>
      </c>
      <c r="R2241" s="11">
        <f>ROUND(SUM(N2241:Q2241),2)</f>
        <v/>
      </c>
      <c r="S2241" s="5" t="inlineStr">
        <is>
          <t>Stated build-up</t>
        </is>
      </c>
      <c r="T2241" s="12" t="inlineStr">
        <is>
          <t>High</t>
        </is>
      </c>
      <c r="U2241" s="8" t="n">
        <v>541.9400000000001</v>
      </c>
      <c r="V2241" s="13">
        <f>IF(U2241="","",ROUND(M2241-U2241,2))</f>
        <v/>
      </c>
      <c r="W2241" s="5" t="n"/>
      <c r="X2241" s="5" t="inlineStr">
        <is>
          <t>Labour + plant + material as published; reconciles to the published rate.</t>
        </is>
      </c>
    </row>
    <row r="2242" ht="13" customHeight="1">
      <c r="A2242" s="4" t="n">
        <v>3370</v>
      </c>
      <c r="B2242" s="5" t="inlineStr">
        <is>
          <t>IMG_0111</t>
        </is>
      </c>
      <c r="C2242" s="5" t="inlineStr">
        <is>
          <t>CLASS L: PIPEWORK SUPPORTS AND PROTECTION, ANCILLARIES TO LAYING AND EXCAVATION</t>
        </is>
      </c>
      <c r="D2242" s="5" t="inlineStr">
        <is>
          <t>07 CONCRETE STOOLS AND THRUST BLOCKS</t>
        </is>
      </c>
      <c r="E2242" s="5" t="inlineStr">
        <is>
          <t>Mass concrete; Concrete stools or thrust blocks (continued)</t>
        </is>
      </c>
      <c r="F2242" s="5" t="inlineStr">
        <is>
          <t>2.0-4.0 m3</t>
        </is>
      </c>
      <c r="G2242" s="6" t="inlineStr">
        <is>
          <t>nr</t>
        </is>
      </c>
      <c r="H2242" s="7" t="n">
        <v>3.15</v>
      </c>
      <c r="I2242" s="8" t="n">
        <v>265.17</v>
      </c>
      <c r="J2242" s="8" t="n">
        <v>244.18</v>
      </c>
      <c r="K2242" s="8" t="n">
        <v>666.36</v>
      </c>
      <c r="L2242" s="8" t="n">
        <v>0</v>
      </c>
      <c r="M2242" s="9">
        <f>ROUND(SUM(I2242:L2242),2)</f>
        <v/>
      </c>
      <c r="N2242" s="10">
        <f>ROUND(I2242*'Irish Basis'!$C$6*'Irish Basis'!$C$5,2)</f>
        <v/>
      </c>
      <c r="O2242" s="10">
        <f>ROUND(J2242*'Irish Basis'!$C$7*'Irish Basis'!$C$5,2)</f>
        <v/>
      </c>
      <c r="P2242" s="10">
        <f>ROUND(K2242*'Irish Basis'!$C$8*'Irish Basis'!$C$5,2)</f>
        <v/>
      </c>
      <c r="Q2242" s="10">
        <f>ROUND(L2242*'Irish Basis'!$C$12*'Irish Basis'!$C$5,2)</f>
        <v/>
      </c>
      <c r="R2242" s="11">
        <f>ROUND(SUM(N2242:Q2242),2)</f>
        <v/>
      </c>
      <c r="S2242" s="5" t="inlineStr">
        <is>
          <t>Stated build-up</t>
        </is>
      </c>
      <c r="T2242" s="12" t="inlineStr">
        <is>
          <t>High</t>
        </is>
      </c>
      <c r="U2242" s="8" t="n">
        <v>1175.7</v>
      </c>
      <c r="V2242" s="13">
        <f>IF(U2242="","",ROUND(M2242-U2242,2))</f>
        <v/>
      </c>
      <c r="W2242" s="5" t="n"/>
      <c r="X2242" s="5" t="inlineStr">
        <is>
          <t>Labour + plant + material as published; reconciles to the published rate.</t>
        </is>
      </c>
    </row>
    <row r="2243" ht="13" customHeight="1">
      <c r="A2243" s="4" t="n">
        <v>3376</v>
      </c>
      <c r="B2243" s="5" t="inlineStr">
        <is>
          <t>IMG_0111</t>
        </is>
      </c>
      <c r="C2243" s="5" t="inlineStr">
        <is>
          <t>CLASS M: STRUCTURAL METALWORK</t>
        </is>
      </c>
      <c r="D2243" s="5" t="inlineStr">
        <is>
          <t>03 FABRICATION OF MEMBERS FOR FRAMES</t>
        </is>
      </c>
      <c r="E2243" s="5" t="inlineStr">
        <is>
          <t>Members for Frames; Columns</t>
        </is>
      </c>
      <c r="F2243" s="5" t="inlineStr">
        <is>
          <t>universal beams; straight on plan</t>
        </is>
      </c>
      <c r="G2243" s="6" t="inlineStr">
        <is>
          <t>t</t>
        </is>
      </c>
      <c r="H2243" s="7" t="n"/>
      <c r="I2243" s="8" t="n">
        <v>0</v>
      </c>
      <c r="J2243" s="8" t="n">
        <v>0</v>
      </c>
      <c r="K2243" s="8" t="n">
        <v>0</v>
      </c>
      <c r="L2243" s="8" t="n">
        <v>1864.45</v>
      </c>
      <c r="M2243" s="9">
        <f>ROUND(SUM(I2243:L2243),2)</f>
        <v/>
      </c>
      <c r="N2243" s="10">
        <f>ROUND(I2243*'Irish Basis'!$C$6*'Irish Basis'!$C$5,2)</f>
        <v/>
      </c>
      <c r="O2243" s="10">
        <f>ROUND(J2243*'Irish Basis'!$C$7*'Irish Basis'!$C$5,2)</f>
        <v/>
      </c>
      <c r="P2243" s="10">
        <f>ROUND(K2243*'Irish Basis'!$C$8*'Irish Basis'!$C$5,2)</f>
        <v/>
      </c>
      <c r="Q2243" s="10">
        <f>ROUND(L2243*'Irish Basis'!$C$12*'Irish Basis'!$C$5,2)</f>
        <v/>
      </c>
      <c r="R2243" s="11">
        <f>ROUND(SUM(N2243:Q2243),2)</f>
        <v/>
      </c>
      <c r="S2243" s="5" t="inlineStr">
        <is>
          <t>All-in specialist rate</t>
        </is>
      </c>
      <c r="T2243" s="14" t="inlineStr">
        <is>
          <t>All-in (not split)</t>
        </is>
      </c>
      <c r="U2243" s="8" t="n">
        <v>1864.45</v>
      </c>
      <c r="V2243" s="13">
        <f>IF(U2243="","",ROUND(M2243-U2243,2))</f>
        <v/>
      </c>
      <c r="W2243" s="5" t="n"/>
      <c r="X2243" s="5" t="inlineStr">
        <is>
          <t>Source publishes a specialist/sub-contract all-in rate; no labour/plant/material build-up exists to derive from.</t>
        </is>
      </c>
    </row>
    <row r="2244" ht="13" customHeight="1">
      <c r="A2244" s="4" t="n">
        <v>3377</v>
      </c>
      <c r="B2244" s="5" t="inlineStr">
        <is>
          <t>IMG_0111</t>
        </is>
      </c>
      <c r="C2244" s="5" t="inlineStr">
        <is>
          <t>CLASS M: STRUCTURAL METALWORK</t>
        </is>
      </c>
      <c r="D2244" s="5" t="inlineStr">
        <is>
          <t>03 FABRICATION OF MEMBERS FOR FRAMES</t>
        </is>
      </c>
      <c r="E2244" s="5" t="inlineStr">
        <is>
          <t>Members for Frames; Columns</t>
        </is>
      </c>
      <c r="F2244" s="5" t="inlineStr">
        <is>
          <t>circular hollow sections; straight on plan</t>
        </is>
      </c>
      <c r="G2244" s="6" t="inlineStr">
        <is>
          <t>t</t>
        </is>
      </c>
      <c r="H2244" s="7" t="n"/>
      <c r="I2244" s="8" t="n">
        <v>0</v>
      </c>
      <c r="J2244" s="8" t="n">
        <v>0</v>
      </c>
      <c r="K2244" s="8" t="n">
        <v>0</v>
      </c>
      <c r="L2244" s="8" t="n">
        <v>2272.56</v>
      </c>
      <c r="M2244" s="9">
        <f>ROUND(SUM(I2244:L2244),2)</f>
        <v/>
      </c>
      <c r="N2244" s="10">
        <f>ROUND(I2244*'Irish Basis'!$C$6*'Irish Basis'!$C$5,2)</f>
        <v/>
      </c>
      <c r="O2244" s="10">
        <f>ROUND(J2244*'Irish Basis'!$C$7*'Irish Basis'!$C$5,2)</f>
        <v/>
      </c>
      <c r="P2244" s="10">
        <f>ROUND(K2244*'Irish Basis'!$C$8*'Irish Basis'!$C$5,2)</f>
        <v/>
      </c>
      <c r="Q2244" s="10">
        <f>ROUND(L2244*'Irish Basis'!$C$12*'Irish Basis'!$C$5,2)</f>
        <v/>
      </c>
      <c r="R2244" s="11">
        <f>ROUND(SUM(N2244:Q2244),2)</f>
        <v/>
      </c>
      <c r="S2244" s="5" t="inlineStr">
        <is>
          <t>All-in specialist rate</t>
        </is>
      </c>
      <c r="T2244" s="14" t="inlineStr">
        <is>
          <t>All-in (not split)</t>
        </is>
      </c>
      <c r="U2244" s="8" t="n">
        <v>2272.56</v>
      </c>
      <c r="V2244" s="13">
        <f>IF(U2244="","",ROUND(M2244-U2244,2))</f>
        <v/>
      </c>
      <c r="W2244" s="5" t="n"/>
      <c r="X2244" s="5" t="inlineStr">
        <is>
          <t>Source publishes a specialist/sub-contract all-in rate; no labour/plant/material build-up exists to derive from.</t>
        </is>
      </c>
    </row>
    <row r="2245" ht="13" customHeight="1">
      <c r="A2245" s="4" t="n">
        <v>3378</v>
      </c>
      <c r="B2245" s="5" t="inlineStr">
        <is>
          <t>IMG_0111</t>
        </is>
      </c>
      <c r="C2245" s="5" t="inlineStr">
        <is>
          <t>CLASS M: STRUCTURAL METALWORK</t>
        </is>
      </c>
      <c r="D2245" s="5" t="inlineStr">
        <is>
          <t>03 FABRICATION OF MEMBERS FOR FRAMES</t>
        </is>
      </c>
      <c r="E2245" s="5" t="inlineStr">
        <is>
          <t>Members for Frames; Columns</t>
        </is>
      </c>
      <c r="F2245" s="5" t="inlineStr">
        <is>
          <t>rectangular hollow sections; straight on plan</t>
        </is>
      </c>
      <c r="G2245" s="6" t="inlineStr">
        <is>
          <t>t</t>
        </is>
      </c>
      <c r="H2245" s="7" t="n"/>
      <c r="I2245" s="8" t="n">
        <v>0</v>
      </c>
      <c r="J2245" s="8" t="n">
        <v>0</v>
      </c>
      <c r="K2245" s="8" t="n">
        <v>0</v>
      </c>
      <c r="L2245" s="8" t="n">
        <v>2159.61</v>
      </c>
      <c r="M2245" s="9">
        <f>ROUND(SUM(I2245:L2245),2)</f>
        <v/>
      </c>
      <c r="N2245" s="10">
        <f>ROUND(I2245*'Irish Basis'!$C$6*'Irish Basis'!$C$5,2)</f>
        <v/>
      </c>
      <c r="O2245" s="10">
        <f>ROUND(J2245*'Irish Basis'!$C$7*'Irish Basis'!$C$5,2)</f>
        <v/>
      </c>
      <c r="P2245" s="10">
        <f>ROUND(K2245*'Irish Basis'!$C$8*'Irish Basis'!$C$5,2)</f>
        <v/>
      </c>
      <c r="Q2245" s="10">
        <f>ROUND(L2245*'Irish Basis'!$C$12*'Irish Basis'!$C$5,2)</f>
        <v/>
      </c>
      <c r="R2245" s="11">
        <f>ROUND(SUM(N2245:Q2245),2)</f>
        <v/>
      </c>
      <c r="S2245" s="5" t="inlineStr">
        <is>
          <t>All-in specialist rate</t>
        </is>
      </c>
      <c r="T2245" s="14" t="inlineStr">
        <is>
          <t>All-in (not split)</t>
        </is>
      </c>
      <c r="U2245" s="8" t="n">
        <v>2159.61</v>
      </c>
      <c r="V2245" s="13">
        <f>IF(U2245="","",ROUND(M2245-U2245,2))</f>
        <v/>
      </c>
      <c r="W2245" s="5" t="n"/>
      <c r="X2245" s="5" t="inlineStr">
        <is>
          <t>Source publishes a specialist/sub-contract all-in rate; no labour/plant/material build-up exists to derive from.</t>
        </is>
      </c>
    </row>
    <row r="2246" ht="13" customHeight="1">
      <c r="A2246" s="4" t="n">
        <v>3380</v>
      </c>
      <c r="B2246" s="5" t="inlineStr">
        <is>
          <t>IMG_0111</t>
        </is>
      </c>
      <c r="C2246" s="5" t="inlineStr">
        <is>
          <t>CLASS M: STRUCTURAL METALWORK</t>
        </is>
      </c>
      <c r="D2246" s="5" t="inlineStr">
        <is>
          <t>03 FABRICATION OF MEMBERS FOR FRAMES</t>
        </is>
      </c>
      <c r="E2246" s="5" t="inlineStr">
        <is>
          <t>Beams</t>
        </is>
      </c>
      <c r="F2246" s="5" t="inlineStr">
        <is>
          <t>universal beams; straight on plan</t>
        </is>
      </c>
      <c r="G2246" s="6" t="inlineStr">
        <is>
          <t>t</t>
        </is>
      </c>
      <c r="H2246" s="7" t="n"/>
      <c r="I2246" s="8" t="n">
        <v>0</v>
      </c>
      <c r="J2246" s="8" t="n">
        <v>0</v>
      </c>
      <c r="K2246" s="8" t="n">
        <v>0</v>
      </c>
      <c r="L2246" s="8" t="n">
        <v>1734.95</v>
      </c>
      <c r="M2246" s="9">
        <f>ROUND(SUM(I2246:L2246),2)</f>
        <v/>
      </c>
      <c r="N2246" s="10">
        <f>ROUND(I2246*'Irish Basis'!$C$6*'Irish Basis'!$C$5,2)</f>
        <v/>
      </c>
      <c r="O2246" s="10">
        <f>ROUND(J2246*'Irish Basis'!$C$7*'Irish Basis'!$C$5,2)</f>
        <v/>
      </c>
      <c r="P2246" s="10">
        <f>ROUND(K2246*'Irish Basis'!$C$8*'Irish Basis'!$C$5,2)</f>
        <v/>
      </c>
      <c r="Q2246" s="10">
        <f>ROUND(L2246*'Irish Basis'!$C$12*'Irish Basis'!$C$5,2)</f>
        <v/>
      </c>
      <c r="R2246" s="11">
        <f>ROUND(SUM(N2246:Q2246),2)</f>
        <v/>
      </c>
      <c r="S2246" s="5" t="inlineStr">
        <is>
          <t>All-in specialist rate</t>
        </is>
      </c>
      <c r="T2246" s="14" t="inlineStr">
        <is>
          <t>All-in (not split)</t>
        </is>
      </c>
      <c r="U2246" s="8" t="n">
        <v>1734.95</v>
      </c>
      <c r="V2246" s="13">
        <f>IF(U2246="","",ROUND(M2246-U2246,2))</f>
        <v/>
      </c>
      <c r="W2246" s="5" t="n"/>
      <c r="X2246" s="5" t="inlineStr">
        <is>
          <t>Source publishes a specialist/sub-contract all-in rate; no labour/plant/material build-up exists to derive from.</t>
        </is>
      </c>
    </row>
    <row r="2247" ht="13" customHeight="1">
      <c r="A2247" s="4" t="n">
        <v>3381</v>
      </c>
      <c r="B2247" s="5" t="inlineStr">
        <is>
          <t>IMG_0111</t>
        </is>
      </c>
      <c r="C2247" s="5" t="inlineStr">
        <is>
          <t>CLASS M: STRUCTURAL METALWORK</t>
        </is>
      </c>
      <c r="D2247" s="5" t="inlineStr">
        <is>
          <t>03 FABRICATION OF MEMBERS FOR FRAMES</t>
        </is>
      </c>
      <c r="E2247" s="5" t="inlineStr">
        <is>
          <t>Beams</t>
        </is>
      </c>
      <c r="F2247" s="5" t="inlineStr">
        <is>
          <t>universal beams; curved on plan</t>
        </is>
      </c>
      <c r="G2247" s="6" t="inlineStr">
        <is>
          <t>t</t>
        </is>
      </c>
      <c r="H2247" s="7" t="n"/>
      <c r="I2247" s="8" t="n">
        <v>0</v>
      </c>
      <c r="J2247" s="8" t="n">
        <v>0</v>
      </c>
      <c r="K2247" s="8" t="n">
        <v>0</v>
      </c>
      <c r="L2247" s="8" t="n">
        <v>2175.62</v>
      </c>
      <c r="M2247" s="9">
        <f>ROUND(SUM(I2247:L2247),2)</f>
        <v/>
      </c>
      <c r="N2247" s="10">
        <f>ROUND(I2247*'Irish Basis'!$C$6*'Irish Basis'!$C$5,2)</f>
        <v/>
      </c>
      <c r="O2247" s="10">
        <f>ROUND(J2247*'Irish Basis'!$C$7*'Irish Basis'!$C$5,2)</f>
        <v/>
      </c>
      <c r="P2247" s="10">
        <f>ROUND(K2247*'Irish Basis'!$C$8*'Irish Basis'!$C$5,2)</f>
        <v/>
      </c>
      <c r="Q2247" s="10">
        <f>ROUND(L2247*'Irish Basis'!$C$12*'Irish Basis'!$C$5,2)</f>
        <v/>
      </c>
      <c r="R2247" s="11">
        <f>ROUND(SUM(N2247:Q2247),2)</f>
        <v/>
      </c>
      <c r="S2247" s="5" t="inlineStr">
        <is>
          <t>All-in specialist rate</t>
        </is>
      </c>
      <c r="T2247" s="14" t="inlineStr">
        <is>
          <t>All-in (not split)</t>
        </is>
      </c>
      <c r="U2247" s="8" t="n">
        <v>2175.62</v>
      </c>
      <c r="V2247" s="13">
        <f>IF(U2247="","",ROUND(M2247-U2247,2))</f>
        <v/>
      </c>
      <c r="W2247" s="5" t="n"/>
      <c r="X2247" s="5" t="inlineStr">
        <is>
          <t>Source publishes a specialist/sub-contract all-in rate; no labour/plant/material build-up exists to derive from.</t>
        </is>
      </c>
    </row>
    <row r="2248" ht="13" customHeight="1">
      <c r="A2248" s="4" t="n">
        <v>3382</v>
      </c>
      <c r="B2248" s="5" t="inlineStr">
        <is>
          <t>IMG_0111</t>
        </is>
      </c>
      <c r="C2248" s="5" t="inlineStr">
        <is>
          <t>CLASS M: STRUCTURAL METALWORK</t>
        </is>
      </c>
      <c r="D2248" s="5" t="inlineStr">
        <is>
          <t>03 FABRICATION OF MEMBERS FOR FRAMES</t>
        </is>
      </c>
      <c r="E2248" s="5" t="inlineStr">
        <is>
          <t>Beams</t>
        </is>
      </c>
      <c r="F2248" s="5" t="inlineStr">
        <is>
          <t>channels; straight on plan</t>
        </is>
      </c>
      <c r="G2248" s="6" t="inlineStr">
        <is>
          <t>t</t>
        </is>
      </c>
      <c r="H2248" s="7" t="n"/>
      <c r="I2248" s="8" t="n">
        <v>0</v>
      </c>
      <c r="J2248" s="8" t="n">
        <v>0</v>
      </c>
      <c r="K2248" s="8" t="n">
        <v>0</v>
      </c>
      <c r="L2248" s="8" t="n">
        <v>2108.7</v>
      </c>
      <c r="M2248" s="9">
        <f>ROUND(SUM(I2248:L2248),2)</f>
        <v/>
      </c>
      <c r="N2248" s="10">
        <f>ROUND(I2248*'Irish Basis'!$C$6*'Irish Basis'!$C$5,2)</f>
        <v/>
      </c>
      <c r="O2248" s="10">
        <f>ROUND(J2248*'Irish Basis'!$C$7*'Irish Basis'!$C$5,2)</f>
        <v/>
      </c>
      <c r="P2248" s="10">
        <f>ROUND(K2248*'Irish Basis'!$C$8*'Irish Basis'!$C$5,2)</f>
        <v/>
      </c>
      <c r="Q2248" s="10">
        <f>ROUND(L2248*'Irish Basis'!$C$12*'Irish Basis'!$C$5,2)</f>
        <v/>
      </c>
      <c r="R2248" s="11">
        <f>ROUND(SUM(N2248:Q2248),2)</f>
        <v/>
      </c>
      <c r="S2248" s="5" t="inlineStr">
        <is>
          <t>All-in specialist rate</t>
        </is>
      </c>
      <c r="T2248" s="14" t="inlineStr">
        <is>
          <t>All-in (not split)</t>
        </is>
      </c>
      <c r="U2248" s="8" t="n">
        <v>2108.7</v>
      </c>
      <c r="V2248" s="13">
        <f>IF(U2248="","",ROUND(M2248-U2248,2))</f>
        <v/>
      </c>
      <c r="W2248" s="5" t="n"/>
      <c r="X2248" s="5" t="inlineStr">
        <is>
          <t>Source publishes a specialist/sub-contract all-in rate; no labour/plant/material build-up exists to derive from.</t>
        </is>
      </c>
    </row>
    <row r="2249" ht="13" customHeight="1">
      <c r="A2249" s="4" t="n">
        <v>3383</v>
      </c>
      <c r="B2249" s="5" t="inlineStr">
        <is>
          <t>IMG_0111</t>
        </is>
      </c>
      <c r="C2249" s="5" t="inlineStr">
        <is>
          <t>CLASS M: STRUCTURAL METALWORK</t>
        </is>
      </c>
      <c r="D2249" s="5" t="inlineStr">
        <is>
          <t>03 FABRICATION OF MEMBERS FOR FRAMES</t>
        </is>
      </c>
      <c r="E2249" s="5" t="inlineStr">
        <is>
          <t>Beams</t>
        </is>
      </c>
      <c r="F2249" s="5" t="inlineStr">
        <is>
          <t>channels; curved on plan</t>
        </is>
      </c>
      <c r="G2249" s="6" t="inlineStr">
        <is>
          <t>t</t>
        </is>
      </c>
      <c r="H2249" s="7" t="n"/>
      <c r="I2249" s="8" t="n">
        <v>0</v>
      </c>
      <c r="J2249" s="8" t="n">
        <v>0</v>
      </c>
      <c r="K2249" s="8" t="n">
        <v>0</v>
      </c>
      <c r="L2249" s="8" t="n">
        <v>3490.09</v>
      </c>
      <c r="M2249" s="9">
        <f>ROUND(SUM(I2249:L2249),2)</f>
        <v/>
      </c>
      <c r="N2249" s="10">
        <f>ROUND(I2249*'Irish Basis'!$C$6*'Irish Basis'!$C$5,2)</f>
        <v/>
      </c>
      <c r="O2249" s="10">
        <f>ROUND(J2249*'Irish Basis'!$C$7*'Irish Basis'!$C$5,2)</f>
        <v/>
      </c>
      <c r="P2249" s="10">
        <f>ROUND(K2249*'Irish Basis'!$C$8*'Irish Basis'!$C$5,2)</f>
        <v/>
      </c>
      <c r="Q2249" s="10">
        <f>ROUND(L2249*'Irish Basis'!$C$12*'Irish Basis'!$C$5,2)</f>
        <v/>
      </c>
      <c r="R2249" s="11">
        <f>ROUND(SUM(N2249:Q2249),2)</f>
        <v/>
      </c>
      <c r="S2249" s="5" t="inlineStr">
        <is>
          <t>All-in specialist rate</t>
        </is>
      </c>
      <c r="T2249" s="14" t="inlineStr">
        <is>
          <t>All-in (not split)</t>
        </is>
      </c>
      <c r="U2249" s="8" t="n">
        <v>3490.09</v>
      </c>
      <c r="V2249" s="13">
        <f>IF(U2249="","",ROUND(M2249-U2249,2))</f>
        <v/>
      </c>
      <c r="W2249" s="5" t="n"/>
      <c r="X2249" s="5" t="inlineStr">
        <is>
          <t>Source publishes a specialist/sub-contract all-in rate; no labour/plant/material build-up exists to derive from.</t>
        </is>
      </c>
    </row>
    <row r="2250" ht="13" customHeight="1">
      <c r="A2250" s="4" t="n">
        <v>3384</v>
      </c>
      <c r="B2250" s="5" t="inlineStr">
        <is>
          <t>IMG_0111</t>
        </is>
      </c>
      <c r="C2250" s="5" t="inlineStr">
        <is>
          <t>CLASS M: STRUCTURAL METALWORK</t>
        </is>
      </c>
      <c r="D2250" s="5" t="inlineStr">
        <is>
          <t>03 FABRICATION OF MEMBERS FOR FRAMES</t>
        </is>
      </c>
      <c r="E2250" s="5" t="inlineStr">
        <is>
          <t>Beams</t>
        </is>
      </c>
      <c r="F2250" s="5" t="inlineStr">
        <is>
          <t>castellated beams; straight on plan</t>
        </is>
      </c>
      <c r="G2250" s="6" t="inlineStr">
        <is>
          <t>t</t>
        </is>
      </c>
      <c r="H2250" s="7" t="n"/>
      <c r="I2250" s="8" t="n">
        <v>0</v>
      </c>
      <c r="J2250" s="8" t="n">
        <v>0</v>
      </c>
      <c r="K2250" s="8" t="n">
        <v>0</v>
      </c>
      <c r="L2250" s="8" t="n">
        <v>2253.65</v>
      </c>
      <c r="M2250" s="9">
        <f>ROUND(SUM(I2250:L2250),2)</f>
        <v/>
      </c>
      <c r="N2250" s="10">
        <f>ROUND(I2250*'Irish Basis'!$C$6*'Irish Basis'!$C$5,2)</f>
        <v/>
      </c>
      <c r="O2250" s="10">
        <f>ROUND(J2250*'Irish Basis'!$C$7*'Irish Basis'!$C$5,2)</f>
        <v/>
      </c>
      <c r="P2250" s="10">
        <f>ROUND(K2250*'Irish Basis'!$C$8*'Irish Basis'!$C$5,2)</f>
        <v/>
      </c>
      <c r="Q2250" s="10">
        <f>ROUND(L2250*'Irish Basis'!$C$12*'Irish Basis'!$C$5,2)</f>
        <v/>
      </c>
      <c r="R2250" s="11">
        <f>ROUND(SUM(N2250:Q2250),2)</f>
        <v/>
      </c>
      <c r="S2250" s="5" t="inlineStr">
        <is>
          <t>All-in specialist rate</t>
        </is>
      </c>
      <c r="T2250" s="14" t="inlineStr">
        <is>
          <t>All-in (not split)</t>
        </is>
      </c>
      <c r="U2250" s="8" t="n">
        <v>2253.65</v>
      </c>
      <c r="V2250" s="13">
        <f>IF(U2250="","",ROUND(M2250-U2250,2))</f>
        <v/>
      </c>
      <c r="W2250" s="5" t="n"/>
      <c r="X2250" s="5" t="inlineStr">
        <is>
          <t>Source publishes a specialist/sub-contract all-in rate; no labour/plant/material build-up exists to derive from.</t>
        </is>
      </c>
    </row>
    <row r="2251" ht="13" customHeight="1">
      <c r="A2251" s="4" t="n">
        <v>3386</v>
      </c>
      <c r="B2251" s="5" t="inlineStr">
        <is>
          <t>IMG_0111</t>
        </is>
      </c>
      <c r="C2251" s="5" t="inlineStr">
        <is>
          <t>CLASS M: STRUCTURAL METALWORK</t>
        </is>
      </c>
      <c r="D2251" s="5" t="inlineStr">
        <is>
          <t>03 FABRICATION OF MEMBERS FOR FRAMES</t>
        </is>
      </c>
      <c r="E2251" s="5" t="inlineStr">
        <is>
          <t>Portal frames</t>
        </is>
      </c>
      <c r="F2251" s="5" t="inlineStr">
        <is>
          <t>straight on plan</t>
        </is>
      </c>
      <c r="G2251" s="6" t="inlineStr">
        <is>
          <t>t</t>
        </is>
      </c>
      <c r="H2251" s="7" t="n"/>
      <c r="I2251" s="8" t="n">
        <v>0</v>
      </c>
      <c r="J2251" s="8" t="n">
        <v>0</v>
      </c>
      <c r="K2251" s="8" t="n">
        <v>0</v>
      </c>
      <c r="L2251" s="8" t="n">
        <v>2617.68</v>
      </c>
      <c r="M2251" s="9">
        <f>ROUND(SUM(I2251:L2251),2)</f>
        <v/>
      </c>
      <c r="N2251" s="10">
        <f>ROUND(I2251*'Irish Basis'!$C$6*'Irish Basis'!$C$5,2)</f>
        <v/>
      </c>
      <c r="O2251" s="10">
        <f>ROUND(J2251*'Irish Basis'!$C$7*'Irish Basis'!$C$5,2)</f>
        <v/>
      </c>
      <c r="P2251" s="10">
        <f>ROUND(K2251*'Irish Basis'!$C$8*'Irish Basis'!$C$5,2)</f>
        <v/>
      </c>
      <c r="Q2251" s="10">
        <f>ROUND(L2251*'Irish Basis'!$C$12*'Irish Basis'!$C$5,2)</f>
        <v/>
      </c>
      <c r="R2251" s="11">
        <f>ROUND(SUM(N2251:Q2251),2)</f>
        <v/>
      </c>
      <c r="S2251" s="5" t="inlineStr">
        <is>
          <t>All-in specialist rate</t>
        </is>
      </c>
      <c r="T2251" s="14" t="inlineStr">
        <is>
          <t>All-in (not split)</t>
        </is>
      </c>
      <c r="U2251" s="8" t="n">
        <v>2617.68</v>
      </c>
      <c r="V2251" s="13">
        <f>IF(U2251="","",ROUND(M2251-U2251,2))</f>
        <v/>
      </c>
      <c r="W2251" s="5" t="n"/>
      <c r="X2251" s="5" t="inlineStr">
        <is>
          <t>Source publishes a specialist/sub-contract all-in rate; no labour/plant/material build-up exists to derive from.</t>
        </is>
      </c>
    </row>
    <row r="2252" ht="13" customHeight="1">
      <c r="A2252" s="4" t="n">
        <v>3388</v>
      </c>
      <c r="B2252" s="5" t="inlineStr">
        <is>
          <t>IMG_0111</t>
        </is>
      </c>
      <c r="C2252" s="5" t="inlineStr">
        <is>
          <t>CLASS M: STRUCTURAL METALWORK</t>
        </is>
      </c>
      <c r="D2252" s="5" t="inlineStr">
        <is>
          <t>03 FABRICATION OF MEMBERS FOR FRAMES</t>
        </is>
      </c>
      <c r="E2252" s="5" t="inlineStr">
        <is>
          <t>Trestles, towers and built-up columns</t>
        </is>
      </c>
      <c r="F2252" s="5" t="inlineStr">
        <is>
          <t>straight on plan</t>
        </is>
      </c>
      <c r="G2252" s="6" t="inlineStr">
        <is>
          <t>t</t>
        </is>
      </c>
      <c r="H2252" s="7" t="n"/>
      <c r="I2252" s="8" t="n">
        <v>0</v>
      </c>
      <c r="J2252" s="8" t="n">
        <v>0</v>
      </c>
      <c r="K2252" s="8" t="n">
        <v>0</v>
      </c>
      <c r="L2252" s="8" t="n">
        <v>2894.01</v>
      </c>
      <c r="M2252" s="9">
        <f>ROUND(SUM(I2252:L2252),2)</f>
        <v/>
      </c>
      <c r="N2252" s="10">
        <f>ROUND(I2252*'Irish Basis'!$C$6*'Irish Basis'!$C$5,2)</f>
        <v/>
      </c>
      <c r="O2252" s="10">
        <f>ROUND(J2252*'Irish Basis'!$C$7*'Irish Basis'!$C$5,2)</f>
        <v/>
      </c>
      <c r="P2252" s="10">
        <f>ROUND(K2252*'Irish Basis'!$C$8*'Irish Basis'!$C$5,2)</f>
        <v/>
      </c>
      <c r="Q2252" s="10">
        <f>ROUND(L2252*'Irish Basis'!$C$12*'Irish Basis'!$C$5,2)</f>
        <v/>
      </c>
      <c r="R2252" s="11">
        <f>ROUND(SUM(N2252:Q2252),2)</f>
        <v/>
      </c>
      <c r="S2252" s="5" t="inlineStr">
        <is>
          <t>All-in specialist rate</t>
        </is>
      </c>
      <c r="T2252" s="14" t="inlineStr">
        <is>
          <t>All-in (not split)</t>
        </is>
      </c>
      <c r="U2252" s="8" t="n">
        <v>2894.01</v>
      </c>
      <c r="V2252" s="13">
        <f>IF(U2252="","",ROUND(M2252-U2252,2))</f>
        <v/>
      </c>
      <c r="W2252" s="5" t="n"/>
      <c r="X2252" s="5" t="inlineStr">
        <is>
          <t>Source publishes a specialist/sub-contract all-in rate; no labour/plant/material build-up exists to derive from.</t>
        </is>
      </c>
    </row>
    <row r="2253" ht="13" customHeight="1">
      <c r="A2253" s="4" t="n">
        <v>3390</v>
      </c>
      <c r="B2253" s="5" t="inlineStr">
        <is>
          <t>IMG_0111</t>
        </is>
      </c>
      <c r="C2253" s="5" t="inlineStr">
        <is>
          <t>CLASS M: STRUCTURAL METALWORK</t>
        </is>
      </c>
      <c r="D2253" s="5" t="inlineStr">
        <is>
          <t>03 FABRICATION OF MEMBERS FOR FRAMES</t>
        </is>
      </c>
      <c r="E2253" s="5" t="inlineStr">
        <is>
          <t>Trusses and built-up girders</t>
        </is>
      </c>
      <c r="F2253" s="5" t="inlineStr">
        <is>
          <t>straight on plan</t>
        </is>
      </c>
      <c r="G2253" s="6" t="inlineStr">
        <is>
          <t>t</t>
        </is>
      </c>
      <c r="H2253" s="7" t="n"/>
      <c r="I2253" s="8" t="n">
        <v>0</v>
      </c>
      <c r="J2253" s="8" t="n">
        <v>0</v>
      </c>
      <c r="K2253" s="8" t="n">
        <v>0</v>
      </c>
      <c r="L2253" s="8" t="n">
        <v>2908.54</v>
      </c>
      <c r="M2253" s="9">
        <f>ROUND(SUM(I2253:L2253),2)</f>
        <v/>
      </c>
      <c r="N2253" s="10">
        <f>ROUND(I2253*'Irish Basis'!$C$6*'Irish Basis'!$C$5,2)</f>
        <v/>
      </c>
      <c r="O2253" s="10">
        <f>ROUND(J2253*'Irish Basis'!$C$7*'Irish Basis'!$C$5,2)</f>
        <v/>
      </c>
      <c r="P2253" s="10">
        <f>ROUND(K2253*'Irish Basis'!$C$8*'Irish Basis'!$C$5,2)</f>
        <v/>
      </c>
      <c r="Q2253" s="10">
        <f>ROUND(L2253*'Irish Basis'!$C$12*'Irish Basis'!$C$5,2)</f>
        <v/>
      </c>
      <c r="R2253" s="11">
        <f>ROUND(SUM(N2253:Q2253),2)</f>
        <v/>
      </c>
      <c r="S2253" s="5" t="inlineStr">
        <is>
          <t>All-in specialist rate</t>
        </is>
      </c>
      <c r="T2253" s="14" t="inlineStr">
        <is>
          <t>All-in (not split)</t>
        </is>
      </c>
      <c r="U2253" s="8" t="n">
        <v>2908.54</v>
      </c>
      <c r="V2253" s="13">
        <f>IF(U2253="","",ROUND(M2253-U2253,2))</f>
        <v/>
      </c>
      <c r="W2253" s="5" t="n"/>
      <c r="X2253" s="5" t="inlineStr">
        <is>
          <t>Source publishes a specialist/sub-contract all-in rate; no labour/plant/material build-up exists to derive from.</t>
        </is>
      </c>
    </row>
    <row r="2254" ht="13" customHeight="1">
      <c r="A2254" s="4" t="n">
        <v>3391</v>
      </c>
      <c r="B2254" s="5" t="inlineStr">
        <is>
          <t>IMG_0111</t>
        </is>
      </c>
      <c r="C2254" s="5" t="inlineStr">
        <is>
          <t>CLASS M: STRUCTURAL METALWORK</t>
        </is>
      </c>
      <c r="D2254" s="5" t="inlineStr">
        <is>
          <t>03 FABRICATION OF MEMBERS FOR FRAMES</t>
        </is>
      </c>
      <c r="E2254" s="5" t="inlineStr">
        <is>
          <t>Trusses and built-up girders</t>
        </is>
      </c>
      <c r="F2254" s="5" t="inlineStr">
        <is>
          <t>curved on plan</t>
        </is>
      </c>
      <c r="G2254" s="6" t="inlineStr">
        <is>
          <t>t</t>
        </is>
      </c>
      <c r="H2254" s="7" t="n"/>
      <c r="I2254" s="8" t="n">
        <v>0</v>
      </c>
      <c r="J2254" s="8" t="n">
        <v>0</v>
      </c>
      <c r="K2254" s="8" t="n">
        <v>0</v>
      </c>
      <c r="L2254" s="8" t="n">
        <v>3635.69</v>
      </c>
      <c r="M2254" s="9">
        <f>ROUND(SUM(I2254:L2254),2)</f>
        <v/>
      </c>
      <c r="N2254" s="10">
        <f>ROUND(I2254*'Irish Basis'!$C$6*'Irish Basis'!$C$5,2)</f>
        <v/>
      </c>
      <c r="O2254" s="10">
        <f>ROUND(J2254*'Irish Basis'!$C$7*'Irish Basis'!$C$5,2)</f>
        <v/>
      </c>
      <c r="P2254" s="10">
        <f>ROUND(K2254*'Irish Basis'!$C$8*'Irish Basis'!$C$5,2)</f>
        <v/>
      </c>
      <c r="Q2254" s="10">
        <f>ROUND(L2254*'Irish Basis'!$C$12*'Irish Basis'!$C$5,2)</f>
        <v/>
      </c>
      <c r="R2254" s="11">
        <f>ROUND(SUM(N2254:Q2254),2)</f>
        <v/>
      </c>
      <c r="S2254" s="5" t="inlineStr">
        <is>
          <t>All-in specialist rate</t>
        </is>
      </c>
      <c r="T2254" s="14" t="inlineStr">
        <is>
          <t>All-in (not split)</t>
        </is>
      </c>
      <c r="U2254" s="8" t="n">
        <v>3635.69</v>
      </c>
      <c r="V2254" s="13">
        <f>IF(U2254="","",ROUND(M2254-U2254,2))</f>
        <v/>
      </c>
      <c r="W2254" s="5" t="n"/>
      <c r="X2254" s="5" t="inlineStr">
        <is>
          <t>Source publishes a specialist/sub-contract all-in rate; no labour/plant/material build-up exists to derive from.</t>
        </is>
      </c>
    </row>
    <row r="2255" ht="13" customHeight="1">
      <c r="A2255" s="4" t="n">
        <v>3393</v>
      </c>
      <c r="B2255" s="5" t="inlineStr">
        <is>
          <t>IMG_0111</t>
        </is>
      </c>
      <c r="C2255" s="5" t="inlineStr">
        <is>
          <t>CLASS M: STRUCTURAL METALWORK</t>
        </is>
      </c>
      <c r="D2255" s="5" t="inlineStr">
        <is>
          <t>03 FABRICATION OF MEMBERS FOR FRAMES</t>
        </is>
      </c>
      <c r="E2255" s="5" t="inlineStr">
        <is>
          <t>Bracings</t>
        </is>
      </c>
      <c r="F2255" s="5" t="inlineStr">
        <is>
          <t>angles; straight on plan</t>
        </is>
      </c>
      <c r="G2255" s="6" t="inlineStr">
        <is>
          <t>t</t>
        </is>
      </c>
      <c r="H2255" s="7" t="n"/>
      <c r="I2255" s="8" t="n">
        <v>0</v>
      </c>
      <c r="J2255" s="8" t="n">
        <v>0</v>
      </c>
      <c r="K2255" s="8" t="n">
        <v>0</v>
      </c>
      <c r="L2255" s="8" t="n">
        <v>2480.99</v>
      </c>
      <c r="M2255" s="9">
        <f>ROUND(SUM(I2255:L2255),2)</f>
        <v/>
      </c>
      <c r="N2255" s="10">
        <f>ROUND(I2255*'Irish Basis'!$C$6*'Irish Basis'!$C$5,2)</f>
        <v/>
      </c>
      <c r="O2255" s="10">
        <f>ROUND(J2255*'Irish Basis'!$C$7*'Irish Basis'!$C$5,2)</f>
        <v/>
      </c>
      <c r="P2255" s="10">
        <f>ROUND(K2255*'Irish Basis'!$C$8*'Irish Basis'!$C$5,2)</f>
        <v/>
      </c>
      <c r="Q2255" s="10">
        <f>ROUND(L2255*'Irish Basis'!$C$12*'Irish Basis'!$C$5,2)</f>
        <v/>
      </c>
      <c r="R2255" s="11">
        <f>ROUND(SUM(N2255:Q2255),2)</f>
        <v/>
      </c>
      <c r="S2255" s="5" t="inlineStr">
        <is>
          <t>All-in specialist rate</t>
        </is>
      </c>
      <c r="T2255" s="14" t="inlineStr">
        <is>
          <t>All-in (not split)</t>
        </is>
      </c>
      <c r="U2255" s="8" t="n">
        <v>2480.99</v>
      </c>
      <c r="V2255" s="13">
        <f>IF(U2255="","",ROUND(M2255-U2255,2))</f>
        <v/>
      </c>
      <c r="W2255" s="5" t="n"/>
      <c r="X2255" s="5" t="inlineStr">
        <is>
          <t>Source publishes a specialist/sub-contract all-in rate; no labour/plant/material build-up exists to derive from.</t>
        </is>
      </c>
    </row>
    <row r="2256" ht="13" customHeight="1">
      <c r="A2256" s="4" t="n">
        <v>3394</v>
      </c>
      <c r="B2256" s="5" t="inlineStr">
        <is>
          <t>IMG_0111</t>
        </is>
      </c>
      <c r="C2256" s="5" t="inlineStr">
        <is>
          <t>CLASS M: STRUCTURAL METALWORK</t>
        </is>
      </c>
      <c r="D2256" s="5" t="inlineStr">
        <is>
          <t>03 FABRICATION OF MEMBERS FOR FRAMES</t>
        </is>
      </c>
      <c r="E2256" s="5" t="inlineStr">
        <is>
          <t>Bracings</t>
        </is>
      </c>
      <c r="F2256" s="5" t="inlineStr">
        <is>
          <t>circular hollow sections; straight on plan</t>
        </is>
      </c>
      <c r="G2256" s="6" t="inlineStr">
        <is>
          <t>t</t>
        </is>
      </c>
      <c r="H2256" s="7" t="n"/>
      <c r="I2256" s="8" t="n">
        <v>0</v>
      </c>
      <c r="J2256" s="8" t="n">
        <v>0</v>
      </c>
      <c r="K2256" s="8" t="n">
        <v>0</v>
      </c>
      <c r="L2256" s="8" t="n">
        <v>2837.3</v>
      </c>
      <c r="M2256" s="9">
        <f>ROUND(SUM(I2256:L2256),2)</f>
        <v/>
      </c>
      <c r="N2256" s="10">
        <f>ROUND(I2256*'Irish Basis'!$C$6*'Irish Basis'!$C$5,2)</f>
        <v/>
      </c>
      <c r="O2256" s="10">
        <f>ROUND(J2256*'Irish Basis'!$C$7*'Irish Basis'!$C$5,2)</f>
        <v/>
      </c>
      <c r="P2256" s="10">
        <f>ROUND(K2256*'Irish Basis'!$C$8*'Irish Basis'!$C$5,2)</f>
        <v/>
      </c>
      <c r="Q2256" s="10">
        <f>ROUND(L2256*'Irish Basis'!$C$12*'Irish Basis'!$C$5,2)</f>
        <v/>
      </c>
      <c r="R2256" s="11">
        <f>ROUND(SUM(N2256:Q2256),2)</f>
        <v/>
      </c>
      <c r="S2256" s="5" t="inlineStr">
        <is>
          <t>All-in specialist rate</t>
        </is>
      </c>
      <c r="T2256" s="14" t="inlineStr">
        <is>
          <t>All-in (not split)</t>
        </is>
      </c>
      <c r="U2256" s="8" t="n">
        <v>2837.3</v>
      </c>
      <c r="V2256" s="13">
        <f>IF(U2256="","",ROUND(M2256-U2256,2))</f>
        <v/>
      </c>
      <c r="W2256" s="5" t="n"/>
      <c r="X2256" s="5" t="inlineStr">
        <is>
          <t>Source publishes a specialist/sub-contract all-in rate; no labour/plant/material build-up exists to derive from.</t>
        </is>
      </c>
    </row>
    <row r="2257" ht="13" customHeight="1">
      <c r="A2257" s="4" t="n">
        <v>3396</v>
      </c>
      <c r="B2257" s="5" t="inlineStr">
        <is>
          <t>IMG_0111</t>
        </is>
      </c>
      <c r="C2257" s="5" t="inlineStr">
        <is>
          <t>CLASS M: STRUCTURAL METALWORK</t>
        </is>
      </c>
      <c r="D2257" s="5" t="inlineStr">
        <is>
          <t>03 FABRICATION OF MEMBERS FOR FRAMES</t>
        </is>
      </c>
      <c r="E2257" s="5" t="inlineStr">
        <is>
          <t>Purlins and cladding rails</t>
        </is>
      </c>
      <c r="F2257" s="5" t="inlineStr">
        <is>
          <t>straight on plan</t>
        </is>
      </c>
      <c r="G2257" s="6" t="inlineStr">
        <is>
          <t>t</t>
        </is>
      </c>
      <c r="H2257" s="7" t="n"/>
      <c r="I2257" s="8" t="n">
        <v>0</v>
      </c>
      <c r="J2257" s="8" t="n">
        <v>0</v>
      </c>
      <c r="K2257" s="8" t="n">
        <v>0</v>
      </c>
      <c r="L2257" s="8" t="n">
        <v>1715.47</v>
      </c>
      <c r="M2257" s="9">
        <f>ROUND(SUM(I2257:L2257),2)</f>
        <v/>
      </c>
      <c r="N2257" s="10">
        <f>ROUND(I2257*'Irish Basis'!$C$6*'Irish Basis'!$C$5,2)</f>
        <v/>
      </c>
      <c r="O2257" s="10">
        <f>ROUND(J2257*'Irish Basis'!$C$7*'Irish Basis'!$C$5,2)</f>
        <v/>
      </c>
      <c r="P2257" s="10">
        <f>ROUND(K2257*'Irish Basis'!$C$8*'Irish Basis'!$C$5,2)</f>
        <v/>
      </c>
      <c r="Q2257" s="10">
        <f>ROUND(L2257*'Irish Basis'!$C$12*'Irish Basis'!$C$5,2)</f>
        <v/>
      </c>
      <c r="R2257" s="11">
        <f>ROUND(SUM(N2257:Q2257),2)</f>
        <v/>
      </c>
      <c r="S2257" s="5" t="inlineStr">
        <is>
          <t>All-in specialist rate</t>
        </is>
      </c>
      <c r="T2257" s="14" t="inlineStr">
        <is>
          <t>All-in (not split)</t>
        </is>
      </c>
      <c r="U2257" s="8" t="n">
        <v>1715.47</v>
      </c>
      <c r="V2257" s="13">
        <f>IF(U2257="","",ROUND(M2257-U2257,2))</f>
        <v/>
      </c>
      <c r="W2257" s="5" t="n"/>
      <c r="X2257" s="5" t="inlineStr">
        <is>
          <t>Source publishes a specialist/sub-contract all-in rate; no labour/plant/material build-up exists to derive from.</t>
        </is>
      </c>
    </row>
    <row r="2258" ht="13" customHeight="1">
      <c r="A2258" s="4" t="n">
        <v>3398</v>
      </c>
      <c r="B2258" s="5" t="inlineStr">
        <is>
          <t>IMG_0111</t>
        </is>
      </c>
      <c r="C2258" s="5" t="inlineStr">
        <is>
          <t>CLASS M: STRUCTURAL METALWORK</t>
        </is>
      </c>
      <c r="D2258" s="5" t="inlineStr">
        <is>
          <t>03 FABRICATION OF MEMBERS FOR FRAMES</t>
        </is>
      </c>
      <c r="E2258" s="5" t="inlineStr">
        <is>
          <t>Cold rolled purlins and rails</t>
        </is>
      </c>
      <c r="F2258" s="5" t="inlineStr">
        <is>
          <t>straight on plan</t>
        </is>
      </c>
      <c r="G2258" s="6" t="inlineStr">
        <is>
          <t>t</t>
        </is>
      </c>
      <c r="H2258" s="7" t="n"/>
      <c r="I2258" s="8" t="n">
        <v>0</v>
      </c>
      <c r="J2258" s="8" t="n">
        <v>0</v>
      </c>
      <c r="K2258" s="8" t="n">
        <v>0</v>
      </c>
      <c r="L2258" s="8" t="n">
        <v>3507.82</v>
      </c>
      <c r="M2258" s="9">
        <f>ROUND(SUM(I2258:L2258),2)</f>
        <v/>
      </c>
      <c r="N2258" s="10">
        <f>ROUND(I2258*'Irish Basis'!$C$6*'Irish Basis'!$C$5,2)</f>
        <v/>
      </c>
      <c r="O2258" s="10">
        <f>ROUND(J2258*'Irish Basis'!$C$7*'Irish Basis'!$C$5,2)</f>
        <v/>
      </c>
      <c r="P2258" s="10">
        <f>ROUND(K2258*'Irish Basis'!$C$8*'Irish Basis'!$C$5,2)</f>
        <v/>
      </c>
      <c r="Q2258" s="10">
        <f>ROUND(L2258*'Irish Basis'!$C$12*'Irish Basis'!$C$5,2)</f>
        <v/>
      </c>
      <c r="R2258" s="11">
        <f>ROUND(SUM(N2258:Q2258),2)</f>
        <v/>
      </c>
      <c r="S2258" s="5" t="inlineStr">
        <is>
          <t>All-in specialist rate</t>
        </is>
      </c>
      <c r="T2258" s="14" t="inlineStr">
        <is>
          <t>All-in (not split)</t>
        </is>
      </c>
      <c r="U2258" s="8" t="n">
        <v>3507.82</v>
      </c>
      <c r="V2258" s="13">
        <f>IF(U2258="","",ROUND(M2258-U2258,2))</f>
        <v/>
      </c>
      <c r="W2258" s="5" t="n"/>
      <c r="X2258" s="5" t="inlineStr">
        <is>
          <t>Source publishes a specialist/sub-contract all-in rate; no labour/plant/material build-up exists to derive from.</t>
        </is>
      </c>
    </row>
    <row r="2259" ht="13" customHeight="1">
      <c r="A2259" s="4" t="n">
        <v>3399</v>
      </c>
      <c r="B2259" s="5" t="inlineStr">
        <is>
          <t>IMG_0111</t>
        </is>
      </c>
      <c r="C2259" s="5" t="inlineStr">
        <is>
          <t>CLASS M: STRUCTURAL METALWORK</t>
        </is>
      </c>
      <c r="D2259" s="5" t="inlineStr">
        <is>
          <t>03 FABRICATION OF MEMBERS FOR FRAMES</t>
        </is>
      </c>
      <c r="E2259" s="5" t="inlineStr">
        <is>
          <t>Cold rolled purlins and rails</t>
        </is>
      </c>
      <c r="F2259" s="5" t="inlineStr">
        <is>
          <t>Anchorages and holding down bolt assemblies base plate and bolt assemblies complete</t>
        </is>
      </c>
      <c r="G2259" s="6" t="inlineStr">
        <is>
          <t>t</t>
        </is>
      </c>
      <c r="H2259" s="7" t="n"/>
      <c r="I2259" s="8" t="n">
        <v>0</v>
      </c>
      <c r="J2259" s="8" t="n">
        <v>0</v>
      </c>
      <c r="K2259" s="8" t="n">
        <v>0</v>
      </c>
      <c r="L2259" s="8" t="n">
        <v>3562.96</v>
      </c>
      <c r="M2259" s="9">
        <f>ROUND(SUM(I2259:L2259),2)</f>
        <v/>
      </c>
      <c r="N2259" s="10">
        <f>ROUND(I2259*'Irish Basis'!$C$6*'Irish Basis'!$C$5,2)</f>
        <v/>
      </c>
      <c r="O2259" s="10">
        <f>ROUND(J2259*'Irish Basis'!$C$7*'Irish Basis'!$C$5,2)</f>
        <v/>
      </c>
      <c r="P2259" s="10">
        <f>ROUND(K2259*'Irish Basis'!$C$8*'Irish Basis'!$C$5,2)</f>
        <v/>
      </c>
      <c r="Q2259" s="10">
        <f>ROUND(L2259*'Irish Basis'!$C$12*'Irish Basis'!$C$5,2)</f>
        <v/>
      </c>
      <c r="R2259" s="11">
        <f>ROUND(SUM(N2259:Q2259),2)</f>
        <v/>
      </c>
      <c r="S2259" s="5" t="inlineStr">
        <is>
          <t>All-in specialist rate</t>
        </is>
      </c>
      <c r="T2259" s="14" t="inlineStr">
        <is>
          <t>All-in (not split)</t>
        </is>
      </c>
      <c r="U2259" s="8" t="n">
        <v>3562.96</v>
      </c>
      <c r="V2259" s="13">
        <f>IF(U2259="","",ROUND(M2259-U2259,2))</f>
        <v/>
      </c>
      <c r="W2259" s="5" t="n"/>
      <c r="X2259" s="5" t="inlineStr">
        <is>
          <t>Source publishes a specialist/sub-contract all-in rate; no labour/plant/material build-up exists to derive from.</t>
        </is>
      </c>
    </row>
    <row r="2260" ht="13" customHeight="1">
      <c r="A2260" s="4" t="n">
        <v>3402</v>
      </c>
      <c r="B2260" s="5" t="inlineStr">
        <is>
          <t>IMG_0111</t>
        </is>
      </c>
      <c r="C2260" s="5" t="inlineStr">
        <is>
          <t>CLASS M: STRUCTURAL METALWORK</t>
        </is>
      </c>
      <c r="D2260" s="5" t="inlineStr">
        <is>
          <t>06 ERECTION OF FABRICATED MEMBERS FOR FRAMES</t>
        </is>
      </c>
      <c r="E2260" s="5" t="inlineStr">
        <is>
          <t>Erection of Frames</t>
        </is>
      </c>
      <c r="F2260" s="5" t="inlineStr">
        <is>
          <t>Trial erection</t>
        </is>
      </c>
      <c r="G2260" s="6" t="inlineStr">
        <is>
          <t>t</t>
        </is>
      </c>
      <c r="H2260" s="7" t="n"/>
      <c r="I2260" s="8" t="n">
        <v>0</v>
      </c>
      <c r="J2260" s="8" t="n">
        <v>0</v>
      </c>
      <c r="K2260" s="8" t="n">
        <v>0</v>
      </c>
      <c r="L2260" s="8" t="n">
        <v>839.29</v>
      </c>
      <c r="M2260" s="9">
        <f>ROUND(SUM(I2260:L2260),2)</f>
        <v/>
      </c>
      <c r="N2260" s="10">
        <f>ROUND(I2260*'Irish Basis'!$C$6*'Irish Basis'!$C$5,2)</f>
        <v/>
      </c>
      <c r="O2260" s="10">
        <f>ROUND(J2260*'Irish Basis'!$C$7*'Irish Basis'!$C$5,2)</f>
        <v/>
      </c>
      <c r="P2260" s="10">
        <f>ROUND(K2260*'Irish Basis'!$C$8*'Irish Basis'!$C$5,2)</f>
        <v/>
      </c>
      <c r="Q2260" s="10">
        <f>ROUND(L2260*'Irish Basis'!$C$12*'Irish Basis'!$C$5,2)</f>
        <v/>
      </c>
      <c r="R2260" s="11">
        <f>ROUND(SUM(N2260:Q2260),2)</f>
        <v/>
      </c>
      <c r="S2260" s="5" t="inlineStr">
        <is>
          <t>All-in specialist rate</t>
        </is>
      </c>
      <c r="T2260" s="14" t="inlineStr">
        <is>
          <t>All-in (not split)</t>
        </is>
      </c>
      <c r="U2260" s="8" t="n">
        <v>839.29</v>
      </c>
      <c r="V2260" s="13">
        <f>IF(U2260="","",ROUND(M2260-U2260,2))</f>
        <v/>
      </c>
      <c r="W2260" s="5" t="n"/>
      <c r="X2260" s="5" t="inlineStr">
        <is>
          <t>Source publishes a specialist/sub-contract all-in rate; no labour/plant/material build-up exists to derive from.</t>
        </is>
      </c>
    </row>
    <row r="2261" ht="13" customHeight="1">
      <c r="A2261" s="4" t="n">
        <v>3403</v>
      </c>
      <c r="B2261" s="5" t="inlineStr">
        <is>
          <t>IMG_0111</t>
        </is>
      </c>
      <c r="C2261" s="5" t="inlineStr">
        <is>
          <t>CLASS M: STRUCTURAL METALWORK</t>
        </is>
      </c>
      <c r="D2261" s="5" t="inlineStr">
        <is>
          <t>06 ERECTION OF FABRICATED MEMBERS FOR FRAMES</t>
        </is>
      </c>
      <c r="E2261" s="5" t="inlineStr">
        <is>
          <t>Erection of Frames</t>
        </is>
      </c>
      <c r="F2261" s="5" t="inlineStr">
        <is>
          <t>Permanent erection</t>
        </is>
      </c>
      <c r="G2261" s="6" t="inlineStr">
        <is>
          <t>t</t>
        </is>
      </c>
      <c r="H2261" s="7" t="n"/>
      <c r="I2261" s="8" t="n">
        <v>0</v>
      </c>
      <c r="J2261" s="8" t="n">
        <v>0</v>
      </c>
      <c r="K2261" s="8" t="n">
        <v>0</v>
      </c>
      <c r="L2261" s="8" t="n">
        <v>839.29</v>
      </c>
      <c r="M2261" s="9">
        <f>ROUND(SUM(I2261:L2261),2)</f>
        <v/>
      </c>
      <c r="N2261" s="10">
        <f>ROUND(I2261*'Irish Basis'!$C$6*'Irish Basis'!$C$5,2)</f>
        <v/>
      </c>
      <c r="O2261" s="10">
        <f>ROUND(J2261*'Irish Basis'!$C$7*'Irish Basis'!$C$5,2)</f>
        <v/>
      </c>
      <c r="P2261" s="10">
        <f>ROUND(K2261*'Irish Basis'!$C$8*'Irish Basis'!$C$5,2)</f>
        <v/>
      </c>
      <c r="Q2261" s="10">
        <f>ROUND(L2261*'Irish Basis'!$C$12*'Irish Basis'!$C$5,2)</f>
        <v/>
      </c>
      <c r="R2261" s="11">
        <f>ROUND(SUM(N2261:Q2261),2)</f>
        <v/>
      </c>
      <c r="S2261" s="5" t="inlineStr">
        <is>
          <t>All-in specialist rate</t>
        </is>
      </c>
      <c r="T2261" s="14" t="inlineStr">
        <is>
          <t>All-in (not split)</t>
        </is>
      </c>
      <c r="U2261" s="8" t="n">
        <v>839.29</v>
      </c>
      <c r="V2261" s="13">
        <f>IF(U2261="","",ROUND(M2261-U2261,2))</f>
        <v/>
      </c>
      <c r="W2261" s="5" t="n"/>
      <c r="X2261" s="5" t="inlineStr">
        <is>
          <t>Source publishes a specialist/sub-contract all-in rate; no labour/plant/material build-up exists to derive from.</t>
        </is>
      </c>
    </row>
    <row r="2262" ht="13" customHeight="1">
      <c r="A2262" s="4" t="n">
        <v>3407</v>
      </c>
      <c r="B2262" s="5" t="inlineStr">
        <is>
          <t>IMG_0111</t>
        </is>
      </c>
      <c r="C2262" s="5" t="inlineStr">
        <is>
          <t>CLASS M: STRUCTURAL METALWORK</t>
        </is>
      </c>
      <c r="D2262" s="5" t="inlineStr">
        <is>
          <t>08 OFF SITE SURFACE TREATMENT</t>
        </is>
      </c>
      <c r="E2262" s="5" t="inlineStr">
        <is>
          <t>Surface Treatment to Frames</t>
        </is>
      </c>
      <c r="F2262" s="5" t="inlineStr">
        <is>
          <t>Blast cleaning</t>
        </is>
      </c>
      <c r="G2262" s="6" t="inlineStr">
        <is>
          <t>m2</t>
        </is>
      </c>
      <c r="H2262" s="7" t="n"/>
      <c r="I2262" s="8" t="n">
        <v>0</v>
      </c>
      <c r="J2262" s="8" t="n">
        <v>0</v>
      </c>
      <c r="K2262" s="8" t="n">
        <v>0</v>
      </c>
      <c r="L2262" s="8" t="n">
        <v>4.37</v>
      </c>
      <c r="M2262" s="9">
        <f>ROUND(SUM(I2262:L2262),2)</f>
        <v/>
      </c>
      <c r="N2262" s="10">
        <f>ROUND(I2262*'Irish Basis'!$C$6*'Irish Basis'!$C$5,2)</f>
        <v/>
      </c>
      <c r="O2262" s="10">
        <f>ROUND(J2262*'Irish Basis'!$C$7*'Irish Basis'!$C$5,2)</f>
        <v/>
      </c>
      <c r="P2262" s="10">
        <f>ROUND(K2262*'Irish Basis'!$C$8*'Irish Basis'!$C$5,2)</f>
        <v/>
      </c>
      <c r="Q2262" s="10">
        <f>ROUND(L2262*'Irish Basis'!$C$12*'Irish Basis'!$C$5,2)</f>
        <v/>
      </c>
      <c r="R2262" s="11">
        <f>ROUND(SUM(N2262:Q2262),2)</f>
        <v/>
      </c>
      <c r="S2262" s="5" t="inlineStr">
        <is>
          <t>All-in specialist rate</t>
        </is>
      </c>
      <c r="T2262" s="14" t="inlineStr">
        <is>
          <t>All-in (not split)</t>
        </is>
      </c>
      <c r="U2262" s="8" t="n">
        <v>4.37</v>
      </c>
      <c r="V2262" s="13">
        <f>IF(U2262="","",ROUND(M2262-U2262,2))</f>
        <v/>
      </c>
      <c r="W2262" s="5" t="n"/>
      <c r="X2262" s="5" t="inlineStr">
        <is>
          <t>Source publishes a specialist/sub-contract all-in rate; no labour/plant/material build-up exists to derive from.</t>
        </is>
      </c>
    </row>
    <row r="2263" ht="13" customHeight="1">
      <c r="A2263" s="4" t="n">
        <v>3408</v>
      </c>
      <c r="B2263" s="5" t="inlineStr">
        <is>
          <t>IMG_0111</t>
        </is>
      </c>
      <c r="C2263" s="5" t="inlineStr">
        <is>
          <t>CLASS M: STRUCTURAL METALWORK</t>
        </is>
      </c>
      <c r="D2263" s="5" t="inlineStr">
        <is>
          <t>08 OFF SITE SURFACE TREATMENT</t>
        </is>
      </c>
      <c r="E2263" s="5" t="inlineStr">
        <is>
          <t>Surface Treatment to Frames</t>
        </is>
      </c>
      <c r="F2263" s="5" t="inlineStr">
        <is>
          <t>Galvanizing</t>
        </is>
      </c>
      <c r="G2263" s="6" t="inlineStr">
        <is>
          <t>m2</t>
        </is>
      </c>
      <c r="H2263" s="7" t="n"/>
      <c r="I2263" s="8" t="n">
        <v>0</v>
      </c>
      <c r="J2263" s="8" t="n">
        <v>0</v>
      </c>
      <c r="K2263" s="8" t="n">
        <v>0</v>
      </c>
      <c r="L2263" s="8" t="n">
        <v>21.83</v>
      </c>
      <c r="M2263" s="9">
        <f>ROUND(SUM(I2263:L2263),2)</f>
        <v/>
      </c>
      <c r="N2263" s="10">
        <f>ROUND(I2263*'Irish Basis'!$C$6*'Irish Basis'!$C$5,2)</f>
        <v/>
      </c>
      <c r="O2263" s="10">
        <f>ROUND(J2263*'Irish Basis'!$C$7*'Irish Basis'!$C$5,2)</f>
        <v/>
      </c>
      <c r="P2263" s="10">
        <f>ROUND(K2263*'Irish Basis'!$C$8*'Irish Basis'!$C$5,2)</f>
        <v/>
      </c>
      <c r="Q2263" s="10">
        <f>ROUND(L2263*'Irish Basis'!$C$12*'Irish Basis'!$C$5,2)</f>
        <v/>
      </c>
      <c r="R2263" s="11">
        <f>ROUND(SUM(N2263:Q2263),2)</f>
        <v/>
      </c>
      <c r="S2263" s="5" t="inlineStr">
        <is>
          <t>All-in specialist rate</t>
        </is>
      </c>
      <c r="T2263" s="14" t="inlineStr">
        <is>
          <t>All-in (not split)</t>
        </is>
      </c>
      <c r="U2263" s="8" t="n">
        <v>21.83</v>
      </c>
      <c r="V2263" s="13">
        <f>IF(U2263="","",ROUND(M2263-U2263,2))</f>
        <v/>
      </c>
      <c r="W2263" s="5" t="n"/>
      <c r="X2263" s="5" t="inlineStr">
        <is>
          <t>Source publishes a specialist/sub-contract all-in rate; no labour/plant/material build-up exists to derive from.</t>
        </is>
      </c>
    </row>
    <row r="2264" ht="13" customHeight="1">
      <c r="A2264" s="4" t="n">
        <v>3410</v>
      </c>
      <c r="B2264" s="5" t="inlineStr">
        <is>
          <t>IMG_0111</t>
        </is>
      </c>
      <c r="C2264" s="5" t="inlineStr">
        <is>
          <t>CLASS M: STRUCTURAL METALWORK</t>
        </is>
      </c>
      <c r="D2264" s="5" t="inlineStr">
        <is>
          <t>08 OFF SITE SURFACE TREATMENT</t>
        </is>
      </c>
      <c r="E2264" s="5" t="inlineStr">
        <is>
          <t>Painting</t>
        </is>
      </c>
      <c r="F2264" s="5" t="inlineStr">
        <is>
          <t>one coat zinc chromate primer</t>
        </is>
      </c>
      <c r="G2264" s="6" t="inlineStr">
        <is>
          <t>m2</t>
        </is>
      </c>
      <c r="H2264" s="7" t="n"/>
      <c r="I2264" s="8" t="n">
        <v>0</v>
      </c>
      <c r="J2264" s="8" t="n">
        <v>0</v>
      </c>
      <c r="K2264" s="8" t="n">
        <v>0</v>
      </c>
      <c r="L2264" s="8" t="n">
        <v>7.26</v>
      </c>
      <c r="M2264" s="9">
        <f>ROUND(SUM(I2264:L2264),2)</f>
        <v/>
      </c>
      <c r="N2264" s="10">
        <f>ROUND(I2264*'Irish Basis'!$C$6*'Irish Basis'!$C$5,2)</f>
        <v/>
      </c>
      <c r="O2264" s="10">
        <f>ROUND(J2264*'Irish Basis'!$C$7*'Irish Basis'!$C$5,2)</f>
        <v/>
      </c>
      <c r="P2264" s="10">
        <f>ROUND(K2264*'Irish Basis'!$C$8*'Irish Basis'!$C$5,2)</f>
        <v/>
      </c>
      <c r="Q2264" s="10">
        <f>ROUND(L2264*'Irish Basis'!$C$12*'Irish Basis'!$C$5,2)</f>
        <v/>
      </c>
      <c r="R2264" s="11">
        <f>ROUND(SUM(N2264:Q2264),2)</f>
        <v/>
      </c>
      <c r="S2264" s="5" t="inlineStr">
        <is>
          <t>All-in specialist rate</t>
        </is>
      </c>
      <c r="T2264" s="14" t="inlineStr">
        <is>
          <t>All-in (not split)</t>
        </is>
      </c>
      <c r="U2264" s="8" t="n">
        <v>7.26</v>
      </c>
      <c r="V2264" s="13">
        <f>IF(U2264="","",ROUND(M2264-U2264,2))</f>
        <v/>
      </c>
      <c r="W2264" s="5" t="n"/>
      <c r="X2264" s="5" t="inlineStr">
        <is>
          <t>Source publishes a specialist/sub-contract all-in rate; no labour/plant/material build-up exists to derive from.</t>
        </is>
      </c>
    </row>
    <row r="2265" ht="13" customHeight="1">
      <c r="A2265" s="4" t="n">
        <v>3411</v>
      </c>
      <c r="B2265" s="5" t="inlineStr">
        <is>
          <t>IMG_0111</t>
        </is>
      </c>
      <c r="C2265" s="5" t="inlineStr">
        <is>
          <t>CLASS M: STRUCTURAL METALWORK</t>
        </is>
      </c>
      <c r="D2265" s="5" t="inlineStr">
        <is>
          <t>08 OFF SITE SURFACE TREATMENT</t>
        </is>
      </c>
      <c r="E2265" s="5" t="inlineStr">
        <is>
          <t>Painting</t>
        </is>
      </c>
      <c r="F2265" s="5" t="inlineStr">
        <is>
          <t>one coat two pack epoxy zinc phosphate primer (75 microns dry film thickness)</t>
        </is>
      </c>
      <c r="G2265" s="6" t="inlineStr">
        <is>
          <t>m2</t>
        </is>
      </c>
      <c r="H2265" s="7" t="n"/>
      <c r="I2265" s="8" t="n">
        <v>0</v>
      </c>
      <c r="J2265" s="8" t="n">
        <v>0</v>
      </c>
      <c r="K2265" s="8" t="n">
        <v>0</v>
      </c>
      <c r="L2265" s="8" t="n">
        <v>7.26</v>
      </c>
      <c r="M2265" s="9">
        <f>ROUND(SUM(I2265:L2265),2)</f>
        <v/>
      </c>
      <c r="N2265" s="10">
        <f>ROUND(I2265*'Irish Basis'!$C$6*'Irish Basis'!$C$5,2)</f>
        <v/>
      </c>
      <c r="O2265" s="10">
        <f>ROUND(J2265*'Irish Basis'!$C$7*'Irish Basis'!$C$5,2)</f>
        <v/>
      </c>
      <c r="P2265" s="10">
        <f>ROUND(K2265*'Irish Basis'!$C$8*'Irish Basis'!$C$5,2)</f>
        <v/>
      </c>
      <c r="Q2265" s="10">
        <f>ROUND(L2265*'Irish Basis'!$C$12*'Irish Basis'!$C$5,2)</f>
        <v/>
      </c>
      <c r="R2265" s="11">
        <f>ROUND(SUM(N2265:Q2265),2)</f>
        <v/>
      </c>
      <c r="S2265" s="5" t="inlineStr">
        <is>
          <t>All-in specialist rate</t>
        </is>
      </c>
      <c r="T2265" s="14" t="inlineStr">
        <is>
          <t>All-in (not split)</t>
        </is>
      </c>
      <c r="U2265" s="8" t="n">
        <v>7.26</v>
      </c>
      <c r="V2265" s="13">
        <f>IF(U2265="","",ROUND(M2265-U2265,2))</f>
        <v/>
      </c>
      <c r="W2265" s="5" t="n"/>
      <c r="X2265" s="5" t="inlineStr">
        <is>
          <t>Source publishes a specialist/sub-contract all-in rate; no labour/plant/material build-up exists to derive from.</t>
        </is>
      </c>
    </row>
    <row r="2266" ht="13" customHeight="1">
      <c r="A2266" s="4" t="n">
        <v>3412</v>
      </c>
      <c r="B2266" s="5" t="inlineStr">
        <is>
          <t>IMG_0111</t>
        </is>
      </c>
      <c r="C2266" s="5" t="inlineStr">
        <is>
          <t>CLASS M: STRUCTURAL METALWORK</t>
        </is>
      </c>
      <c r="D2266" s="5" t="inlineStr">
        <is>
          <t>08 OFF SITE SURFACE TREATMENT</t>
        </is>
      </c>
      <c r="E2266" s="5" t="inlineStr">
        <is>
          <t>Painting</t>
        </is>
      </c>
      <c r="F2266" s="5" t="inlineStr">
        <is>
          <t>two coats epoxy micaceous iron oxide (100 microns dry film thickness per coat)</t>
        </is>
      </c>
      <c r="G2266" s="6" t="inlineStr">
        <is>
          <t>m2</t>
        </is>
      </c>
      <c r="H2266" s="7" t="n"/>
      <c r="I2266" s="8" t="n">
        <v>0</v>
      </c>
      <c r="J2266" s="8" t="n">
        <v>0</v>
      </c>
      <c r="K2266" s="8" t="n">
        <v>0</v>
      </c>
      <c r="L2266" s="8" t="n">
        <v>21.83</v>
      </c>
      <c r="M2266" s="9">
        <f>ROUND(SUM(I2266:L2266),2)</f>
        <v/>
      </c>
      <c r="N2266" s="10">
        <f>ROUND(I2266*'Irish Basis'!$C$6*'Irish Basis'!$C$5,2)</f>
        <v/>
      </c>
      <c r="O2266" s="10">
        <f>ROUND(J2266*'Irish Basis'!$C$7*'Irish Basis'!$C$5,2)</f>
        <v/>
      </c>
      <c r="P2266" s="10">
        <f>ROUND(K2266*'Irish Basis'!$C$8*'Irish Basis'!$C$5,2)</f>
        <v/>
      </c>
      <c r="Q2266" s="10">
        <f>ROUND(L2266*'Irish Basis'!$C$12*'Irish Basis'!$C$5,2)</f>
        <v/>
      </c>
      <c r="R2266" s="11">
        <f>ROUND(SUM(N2266:Q2266),2)</f>
        <v/>
      </c>
      <c r="S2266" s="5" t="inlineStr">
        <is>
          <t>All-in specialist rate</t>
        </is>
      </c>
      <c r="T2266" s="14" t="inlineStr">
        <is>
          <t>All-in (not split)</t>
        </is>
      </c>
      <c r="U2266" s="8" t="n">
        <v>21.83</v>
      </c>
      <c r="V2266" s="13">
        <f>IF(U2266="","",ROUND(M2266-U2266,2))</f>
        <v/>
      </c>
      <c r="W2266" s="5" t="n"/>
      <c r="X2266" s="5" t="inlineStr">
        <is>
          <t>Source publishes a specialist/sub-contract all-in rate; no labour/plant/material build-up exists to derive from.</t>
        </is>
      </c>
    </row>
    <row r="2267" ht="13" customHeight="1">
      <c r="A2267" s="4" t="n">
        <v>3438</v>
      </c>
      <c r="B2267" s="5" t="inlineStr">
        <is>
          <t>IMG_0112</t>
        </is>
      </c>
      <c r="C2267" s="5" t="inlineStr">
        <is>
          <t>CLASS N: MISCELLANEOUS METALWORK</t>
        </is>
      </c>
      <c r="D2267" s="5" t="inlineStr">
        <is>
          <t>01 MILD STEEL</t>
        </is>
      </c>
      <c r="E2267" s="5" t="inlineStr">
        <is>
          <t>Mild steel</t>
        </is>
      </c>
      <c r="F2267" s="5" t="inlineStr">
        <is>
          <t>Stairways and landings</t>
        </is>
      </c>
      <c r="G2267" s="6" t="inlineStr">
        <is>
          <t>t</t>
        </is>
      </c>
      <c r="H2267" s="7" t="n"/>
      <c r="I2267" s="8" t="n">
        <v>1417.68</v>
      </c>
      <c r="J2267" s="8" t="n">
        <v>0</v>
      </c>
      <c r="K2267" s="8" t="n">
        <v>7872.83</v>
      </c>
      <c r="L2267" s="8" t="n">
        <v>0</v>
      </c>
      <c r="M2267" s="9">
        <f>ROUND(SUM(I2267:L2267),2)</f>
        <v/>
      </c>
      <c r="N2267" s="10">
        <f>ROUND(I2267*'Irish Basis'!$C$6*'Irish Basis'!$C$5,2)</f>
        <v/>
      </c>
      <c r="O2267" s="10">
        <f>ROUND(J2267*'Irish Basis'!$C$7*'Irish Basis'!$C$5,2)</f>
        <v/>
      </c>
      <c r="P2267" s="10">
        <f>ROUND(K2267*'Irish Basis'!$C$8*'Irish Basis'!$C$5,2)</f>
        <v/>
      </c>
      <c r="Q2267" s="10">
        <f>ROUND(L2267*'Irish Basis'!$C$12*'Irish Basis'!$C$5,2)</f>
        <v/>
      </c>
      <c r="R2267" s="11">
        <f>ROUND(SUM(N2267:Q2267),2)</f>
        <v/>
      </c>
      <c r="S2267" s="5" t="inlineStr">
        <is>
          <t>Apportioned (class)</t>
        </is>
      </c>
      <c r="T2267" s="17" t="inlineStr">
        <is>
          <t>Low</t>
        </is>
      </c>
      <c r="U2267" s="8" t="n">
        <v>9290.51</v>
      </c>
      <c r="V2267" s="13">
        <f>IF(U2267="","",ROUND(M2267-U2267,2))</f>
        <v/>
      </c>
      <c r="W2267" s="15" t="inlineStr">
        <is>
          <t>Apportioned at class level</t>
        </is>
      </c>
      <c r="X2267" s="5" t="inlineStr">
        <is>
          <t>Split from published rate using median L/P/M shares of 48 comparable build-ups at class level (15/0/85).</t>
        </is>
      </c>
    </row>
    <row r="2268" ht="13" customHeight="1">
      <c r="A2268" s="4" t="n">
        <v>3439</v>
      </c>
      <c r="B2268" s="5" t="inlineStr">
        <is>
          <t>IMG_0112</t>
        </is>
      </c>
      <c r="C2268" s="5" t="inlineStr">
        <is>
          <t>CLASS N: MISCELLANEOUS METALWORK</t>
        </is>
      </c>
      <c r="D2268" s="5" t="inlineStr">
        <is>
          <t>01 MILD STEEL</t>
        </is>
      </c>
      <c r="E2268" s="5" t="inlineStr">
        <is>
          <t>Mild steel</t>
        </is>
      </c>
      <c r="F2268" s="5" t="inlineStr">
        <is>
          <t>Walkways and platforms</t>
        </is>
      </c>
      <c r="G2268" s="6" t="inlineStr">
        <is>
          <t>t</t>
        </is>
      </c>
      <c r="H2268" s="7" t="n"/>
      <c r="I2268" s="8" t="n">
        <v>1514.69</v>
      </c>
      <c r="J2268" s="8" t="n">
        <v>0</v>
      </c>
      <c r="K2268" s="8" t="n">
        <v>8411.559999999999</v>
      </c>
      <c r="L2268" s="8" t="n">
        <v>0</v>
      </c>
      <c r="M2268" s="9">
        <f>ROUND(SUM(I2268:L2268),2)</f>
        <v/>
      </c>
      <c r="N2268" s="10">
        <f>ROUND(I2268*'Irish Basis'!$C$6*'Irish Basis'!$C$5,2)</f>
        <v/>
      </c>
      <c r="O2268" s="10">
        <f>ROUND(J2268*'Irish Basis'!$C$7*'Irish Basis'!$C$5,2)</f>
        <v/>
      </c>
      <c r="P2268" s="10">
        <f>ROUND(K2268*'Irish Basis'!$C$8*'Irish Basis'!$C$5,2)</f>
        <v/>
      </c>
      <c r="Q2268" s="10">
        <f>ROUND(L2268*'Irish Basis'!$C$12*'Irish Basis'!$C$5,2)</f>
        <v/>
      </c>
      <c r="R2268" s="11">
        <f>ROUND(SUM(N2268:Q2268),2)</f>
        <v/>
      </c>
      <c r="S2268" s="5" t="inlineStr">
        <is>
          <t>Apportioned (class)</t>
        </is>
      </c>
      <c r="T2268" s="17" t="inlineStr">
        <is>
          <t>Low</t>
        </is>
      </c>
      <c r="U2268" s="8" t="n">
        <v>9926.25</v>
      </c>
      <c r="V2268" s="13">
        <f>IF(U2268="","",ROUND(M2268-U2268,2))</f>
        <v/>
      </c>
      <c r="W2268" s="15" t="inlineStr">
        <is>
          <t>Apportioned at class level</t>
        </is>
      </c>
      <c r="X2268" s="5" t="inlineStr">
        <is>
          <t>Split from published rate using median L/P/M shares of 48 comparable build-ups at class level (15/0/85).</t>
        </is>
      </c>
    </row>
    <row r="2269" ht="13" customHeight="1">
      <c r="A2269" s="4" t="n">
        <v>3441</v>
      </c>
      <c r="B2269" s="5" t="inlineStr">
        <is>
          <t>IMG_0112</t>
        </is>
      </c>
      <c r="C2269" s="5" t="inlineStr">
        <is>
          <t>CLASS N: MISCELLANEOUS METALWORK</t>
        </is>
      </c>
      <c r="D2269" s="5" t="inlineStr">
        <is>
          <t>01 MILD STEEL</t>
        </is>
      </c>
      <c r="E2269" s="5" t="inlineStr">
        <is>
          <t>Ladders</t>
        </is>
      </c>
      <c r="F2269" s="5" t="inlineStr">
        <is>
          <t>cat ladder; 64 x 13 mm bar strings; 19 mm rungs at 250 mm centres; 450 mm wide with safety hoops</t>
        </is>
      </c>
      <c r="G2269" s="6" t="inlineStr">
        <is>
          <t>m</t>
        </is>
      </c>
      <c r="H2269" s="7" t="n"/>
      <c r="I2269" s="8" t="n">
        <v>26.02</v>
      </c>
      <c r="J2269" s="8" t="n">
        <v>0</v>
      </c>
      <c r="K2269" s="8" t="n">
        <v>144.47</v>
      </c>
      <c r="L2269" s="8" t="n">
        <v>0</v>
      </c>
      <c r="M2269" s="9">
        <f>ROUND(SUM(I2269:L2269),2)</f>
        <v/>
      </c>
      <c r="N2269" s="10">
        <f>ROUND(I2269*'Irish Basis'!$C$6*'Irish Basis'!$C$5,2)</f>
        <v/>
      </c>
      <c r="O2269" s="10">
        <f>ROUND(J2269*'Irish Basis'!$C$7*'Irish Basis'!$C$5,2)</f>
        <v/>
      </c>
      <c r="P2269" s="10">
        <f>ROUND(K2269*'Irish Basis'!$C$8*'Irish Basis'!$C$5,2)</f>
        <v/>
      </c>
      <c r="Q2269" s="10">
        <f>ROUND(L2269*'Irish Basis'!$C$12*'Irish Basis'!$C$5,2)</f>
        <v/>
      </c>
      <c r="R2269" s="11">
        <f>ROUND(SUM(N2269:Q2269),2)</f>
        <v/>
      </c>
      <c r="S2269" s="5" t="inlineStr">
        <is>
          <t>Apportioned (class)</t>
        </is>
      </c>
      <c r="T2269" s="17" t="inlineStr">
        <is>
          <t>Low</t>
        </is>
      </c>
      <c r="U2269" s="8" t="n">
        <v>170.49</v>
      </c>
      <c r="V2269" s="13">
        <f>IF(U2269="","",ROUND(M2269-U2269,2))</f>
        <v/>
      </c>
      <c r="W2269" s="15" t="inlineStr">
        <is>
          <t>Apportioned at class level</t>
        </is>
      </c>
      <c r="X2269" s="5" t="inlineStr">
        <is>
          <t>Split from published rate using median L/P/M shares of 48 comparable build-ups at class level (15/0/85).</t>
        </is>
      </c>
    </row>
    <row r="2270" ht="13" customHeight="1">
      <c r="A2270" s="4" t="n">
        <v>3443</v>
      </c>
      <c r="B2270" s="5" t="inlineStr">
        <is>
          <t>IMG_0112</t>
        </is>
      </c>
      <c r="C2270" s="5" t="inlineStr">
        <is>
          <t>CLASS N: MISCELLANEOUS METALWORK</t>
        </is>
      </c>
      <c r="D2270" s="5" t="inlineStr">
        <is>
          <t>01 MILD STEEL</t>
        </is>
      </c>
      <c r="E2270" s="5" t="inlineStr">
        <is>
          <t>Miscellaneous framing</t>
        </is>
      </c>
      <c r="F2270" s="5" t="inlineStr">
        <is>
          <t>angle section; 200 x 200 x 16 mm (equal)</t>
        </is>
      </c>
      <c r="G2270" s="6" t="inlineStr">
        <is>
          <t>m</t>
        </is>
      </c>
      <c r="H2270" s="7" t="n"/>
      <c r="I2270" s="8" t="n">
        <v>62.94</v>
      </c>
      <c r="J2270" s="8" t="n">
        <v>0</v>
      </c>
      <c r="K2270" s="8" t="n">
        <v>349.51</v>
      </c>
      <c r="L2270" s="8" t="n">
        <v>0</v>
      </c>
      <c r="M2270" s="9">
        <f>ROUND(SUM(I2270:L2270),2)</f>
        <v/>
      </c>
      <c r="N2270" s="10">
        <f>ROUND(I2270*'Irish Basis'!$C$6*'Irish Basis'!$C$5,2)</f>
        <v/>
      </c>
      <c r="O2270" s="10">
        <f>ROUND(J2270*'Irish Basis'!$C$7*'Irish Basis'!$C$5,2)</f>
        <v/>
      </c>
      <c r="P2270" s="10">
        <f>ROUND(K2270*'Irish Basis'!$C$8*'Irish Basis'!$C$5,2)</f>
        <v/>
      </c>
      <c r="Q2270" s="10">
        <f>ROUND(L2270*'Irish Basis'!$C$12*'Irish Basis'!$C$5,2)</f>
        <v/>
      </c>
      <c r="R2270" s="11">
        <f>ROUND(SUM(N2270:Q2270),2)</f>
        <v/>
      </c>
      <c r="S2270" s="5" t="inlineStr">
        <is>
          <t>Apportioned (class)</t>
        </is>
      </c>
      <c r="T2270" s="17" t="inlineStr">
        <is>
          <t>Low</t>
        </is>
      </c>
      <c r="U2270" s="8" t="n">
        <v>412.45</v>
      </c>
      <c r="V2270" s="13">
        <f>IF(U2270="","",ROUND(M2270-U2270,2))</f>
        <v/>
      </c>
      <c r="W2270" s="15" t="inlineStr">
        <is>
          <t>Apportioned at class level</t>
        </is>
      </c>
      <c r="X2270" s="5" t="inlineStr">
        <is>
          <t>Split from published rate using median L/P/M shares of 48 comparable build-ups at class level (15/0/85).</t>
        </is>
      </c>
    </row>
    <row r="2271" ht="13" customHeight="1">
      <c r="A2271" s="4" t="n">
        <v>3444</v>
      </c>
      <c r="B2271" s="5" t="inlineStr">
        <is>
          <t>IMG_0112</t>
        </is>
      </c>
      <c r="C2271" s="5" t="inlineStr">
        <is>
          <t>CLASS N: MISCELLANEOUS METALWORK</t>
        </is>
      </c>
      <c r="D2271" s="5" t="inlineStr">
        <is>
          <t>01 MILD STEEL</t>
        </is>
      </c>
      <c r="E2271" s="5" t="inlineStr">
        <is>
          <t>Miscellaneous framing</t>
        </is>
      </c>
      <c r="F2271" s="5" t="inlineStr">
        <is>
          <t>angle section; 150 x 150 x 10 mm (equal)</t>
        </is>
      </c>
      <c r="G2271" s="6" t="inlineStr">
        <is>
          <t>m</t>
        </is>
      </c>
      <c r="H2271" s="7" t="n"/>
      <c r="I2271" s="8" t="n">
        <v>29.09</v>
      </c>
      <c r="J2271" s="8" t="n">
        <v>0</v>
      </c>
      <c r="K2271" s="8" t="n">
        <v>161.57</v>
      </c>
      <c r="L2271" s="8" t="n">
        <v>0</v>
      </c>
      <c r="M2271" s="9">
        <f>ROUND(SUM(I2271:L2271),2)</f>
        <v/>
      </c>
      <c r="N2271" s="10">
        <f>ROUND(I2271*'Irish Basis'!$C$6*'Irish Basis'!$C$5,2)</f>
        <v/>
      </c>
      <c r="O2271" s="10">
        <f>ROUND(J2271*'Irish Basis'!$C$7*'Irish Basis'!$C$5,2)</f>
        <v/>
      </c>
      <c r="P2271" s="10">
        <f>ROUND(K2271*'Irish Basis'!$C$8*'Irish Basis'!$C$5,2)</f>
        <v/>
      </c>
      <c r="Q2271" s="10">
        <f>ROUND(L2271*'Irish Basis'!$C$12*'Irish Basis'!$C$5,2)</f>
        <v/>
      </c>
      <c r="R2271" s="11">
        <f>ROUND(SUM(N2271:Q2271),2)</f>
        <v/>
      </c>
      <c r="S2271" s="5" t="inlineStr">
        <is>
          <t>Apportioned (class)</t>
        </is>
      </c>
      <c r="T2271" s="17" t="inlineStr">
        <is>
          <t>Low</t>
        </is>
      </c>
      <c r="U2271" s="8" t="n">
        <v>190.66</v>
      </c>
      <c r="V2271" s="13">
        <f>IF(U2271="","",ROUND(M2271-U2271,2))</f>
        <v/>
      </c>
      <c r="W2271" s="15" t="inlineStr">
        <is>
          <t>Apportioned at class level</t>
        </is>
      </c>
      <c r="X2271" s="5" t="inlineStr">
        <is>
          <t>Split from published rate using median L/P/M shares of 48 comparable build-ups at class level (15/0/85).</t>
        </is>
      </c>
    </row>
    <row r="2272" ht="13" customHeight="1">
      <c r="A2272" s="4" t="n">
        <v>3445</v>
      </c>
      <c r="B2272" s="5" t="inlineStr">
        <is>
          <t>IMG_0112</t>
        </is>
      </c>
      <c r="C2272" s="5" t="inlineStr">
        <is>
          <t>CLASS N: MISCELLANEOUS METALWORK</t>
        </is>
      </c>
      <c r="D2272" s="5" t="inlineStr">
        <is>
          <t>01 MILD STEEL</t>
        </is>
      </c>
      <c r="E2272" s="5" t="inlineStr">
        <is>
          <t>Miscellaneous framing</t>
        </is>
      </c>
      <c r="F2272" s="5" t="inlineStr">
        <is>
          <t>angle section; 100 x 100 x 12 mm (equal)</t>
        </is>
      </c>
      <c r="G2272" s="6" t="inlineStr">
        <is>
          <t>m</t>
        </is>
      </c>
      <c r="H2272" s="7" t="n"/>
      <c r="I2272" s="8" t="n">
        <v>52.25</v>
      </c>
      <c r="J2272" s="8" t="n">
        <v>0</v>
      </c>
      <c r="K2272" s="8" t="n">
        <v>290.16</v>
      </c>
      <c r="L2272" s="8" t="n">
        <v>0</v>
      </c>
      <c r="M2272" s="9">
        <f>ROUND(SUM(I2272:L2272),2)</f>
        <v/>
      </c>
      <c r="N2272" s="10">
        <f>ROUND(I2272*'Irish Basis'!$C$6*'Irish Basis'!$C$5,2)</f>
        <v/>
      </c>
      <c r="O2272" s="10">
        <f>ROUND(J2272*'Irish Basis'!$C$7*'Irish Basis'!$C$5,2)</f>
        <v/>
      </c>
      <c r="P2272" s="10">
        <f>ROUND(K2272*'Irish Basis'!$C$8*'Irish Basis'!$C$5,2)</f>
        <v/>
      </c>
      <c r="Q2272" s="10">
        <f>ROUND(L2272*'Irish Basis'!$C$12*'Irish Basis'!$C$5,2)</f>
        <v/>
      </c>
      <c r="R2272" s="11">
        <f>ROUND(SUM(N2272:Q2272),2)</f>
        <v/>
      </c>
      <c r="S2272" s="5" t="inlineStr">
        <is>
          <t>Apportioned (class)</t>
        </is>
      </c>
      <c r="T2272" s="17" t="inlineStr">
        <is>
          <t>Low</t>
        </is>
      </c>
      <c r="U2272" s="8" t="n">
        <v>342.41</v>
      </c>
      <c r="V2272" s="13">
        <f>IF(U2272="","",ROUND(M2272-U2272,2))</f>
        <v/>
      </c>
      <c r="W2272" s="15" t="inlineStr">
        <is>
          <t>Apportioned at class level</t>
        </is>
      </c>
      <c r="X2272" s="5" t="inlineStr">
        <is>
          <t>Split from published rate using median L/P/M shares of 48 comparable build-ups at class level (15/0/85).</t>
        </is>
      </c>
    </row>
    <row r="2273" ht="13" customHeight="1">
      <c r="A2273" s="4" t="n">
        <v>3446</v>
      </c>
      <c r="B2273" s="5" t="inlineStr">
        <is>
          <t>IMG_0112</t>
        </is>
      </c>
      <c r="C2273" s="5" t="inlineStr">
        <is>
          <t>CLASS N: MISCELLANEOUS METALWORK</t>
        </is>
      </c>
      <c r="D2273" s="5" t="inlineStr">
        <is>
          <t>01 MILD STEEL</t>
        </is>
      </c>
      <c r="E2273" s="5" t="inlineStr">
        <is>
          <t>Miscellaneous framing</t>
        </is>
      </c>
      <c r="F2273" s="5" t="inlineStr">
        <is>
          <t>angle section; 200 x 150 x 15 mm (unequal)</t>
        </is>
      </c>
      <c r="G2273" s="6" t="inlineStr">
        <is>
          <t>m</t>
        </is>
      </c>
      <c r="H2273" s="7" t="n"/>
      <c r="I2273" s="8" t="n">
        <v>41.56</v>
      </c>
      <c r="J2273" s="8" t="n">
        <v>0</v>
      </c>
      <c r="K2273" s="8" t="n">
        <v>230.79</v>
      </c>
      <c r="L2273" s="8" t="n">
        <v>0</v>
      </c>
      <c r="M2273" s="9">
        <f>ROUND(SUM(I2273:L2273),2)</f>
        <v/>
      </c>
      <c r="N2273" s="10">
        <f>ROUND(I2273*'Irish Basis'!$C$6*'Irish Basis'!$C$5,2)</f>
        <v/>
      </c>
      <c r="O2273" s="10">
        <f>ROUND(J2273*'Irish Basis'!$C$7*'Irish Basis'!$C$5,2)</f>
        <v/>
      </c>
      <c r="P2273" s="10">
        <f>ROUND(K2273*'Irish Basis'!$C$8*'Irish Basis'!$C$5,2)</f>
        <v/>
      </c>
      <c r="Q2273" s="10">
        <f>ROUND(L2273*'Irish Basis'!$C$12*'Irish Basis'!$C$5,2)</f>
        <v/>
      </c>
      <c r="R2273" s="11">
        <f>ROUND(SUM(N2273:Q2273),2)</f>
        <v/>
      </c>
      <c r="S2273" s="5" t="inlineStr">
        <is>
          <t>Apportioned (class)</t>
        </is>
      </c>
      <c r="T2273" s="17" t="inlineStr">
        <is>
          <t>Low</t>
        </is>
      </c>
      <c r="U2273" s="8" t="n">
        <v>272.35</v>
      </c>
      <c r="V2273" s="13">
        <f>IF(U2273="","",ROUND(M2273-U2273,2))</f>
        <v/>
      </c>
      <c r="W2273" s="15" t="inlineStr">
        <is>
          <t>Apportioned at class level</t>
        </is>
      </c>
      <c r="X2273" s="5" t="inlineStr">
        <is>
          <t>Split from published rate using median L/P/M shares of 48 comparable build-ups at class level (15/0/85).</t>
        </is>
      </c>
    </row>
    <row r="2274" ht="13" customHeight="1">
      <c r="A2274" s="4" t="n">
        <v>3447</v>
      </c>
      <c r="B2274" s="5" t="inlineStr">
        <is>
          <t>IMG_0112</t>
        </is>
      </c>
      <c r="C2274" s="5" t="inlineStr">
        <is>
          <t>CLASS N: MISCELLANEOUS METALWORK</t>
        </is>
      </c>
      <c r="D2274" s="5" t="inlineStr">
        <is>
          <t>01 MILD STEEL</t>
        </is>
      </c>
      <c r="E2274" s="5" t="inlineStr">
        <is>
          <t>Miscellaneous framing</t>
        </is>
      </c>
      <c r="F2274" s="5" t="inlineStr">
        <is>
          <t>angle section; 150 x 75 x 10 mm (unequal)</t>
        </is>
      </c>
      <c r="G2274" s="6" t="inlineStr">
        <is>
          <t>m</t>
        </is>
      </c>
      <c r="H2274" s="7" t="n"/>
      <c r="I2274" s="8" t="n">
        <v>22.02</v>
      </c>
      <c r="J2274" s="8" t="n">
        <v>0</v>
      </c>
      <c r="K2274" s="8" t="n">
        <v>122.27</v>
      </c>
      <c r="L2274" s="8" t="n">
        <v>0</v>
      </c>
      <c r="M2274" s="9">
        <f>ROUND(SUM(I2274:L2274),2)</f>
        <v/>
      </c>
      <c r="N2274" s="10">
        <f>ROUND(I2274*'Irish Basis'!$C$6*'Irish Basis'!$C$5,2)</f>
        <v/>
      </c>
      <c r="O2274" s="10">
        <f>ROUND(J2274*'Irish Basis'!$C$7*'Irish Basis'!$C$5,2)</f>
        <v/>
      </c>
      <c r="P2274" s="10">
        <f>ROUND(K2274*'Irish Basis'!$C$8*'Irish Basis'!$C$5,2)</f>
        <v/>
      </c>
      <c r="Q2274" s="10">
        <f>ROUND(L2274*'Irish Basis'!$C$12*'Irish Basis'!$C$5,2)</f>
        <v/>
      </c>
      <c r="R2274" s="11">
        <f>ROUND(SUM(N2274:Q2274),2)</f>
        <v/>
      </c>
      <c r="S2274" s="5" t="inlineStr">
        <is>
          <t>Apportioned (class)</t>
        </is>
      </c>
      <c r="T2274" s="17" t="inlineStr">
        <is>
          <t>Low</t>
        </is>
      </c>
      <c r="U2274" s="8" t="n">
        <v>144.29</v>
      </c>
      <c r="V2274" s="13">
        <f>IF(U2274="","",ROUND(M2274-U2274,2))</f>
        <v/>
      </c>
      <c r="W2274" s="15" t="inlineStr">
        <is>
          <t>Apportioned at class level</t>
        </is>
      </c>
      <c r="X2274" s="5" t="inlineStr">
        <is>
          <t>Split from published rate using median L/P/M shares of 48 comparable build-ups at class level (15/0/85).</t>
        </is>
      </c>
    </row>
    <row r="2275" ht="13" customHeight="1">
      <c r="A2275" s="4" t="n">
        <v>3448</v>
      </c>
      <c r="B2275" s="5" t="inlineStr">
        <is>
          <t>IMG_0112</t>
        </is>
      </c>
      <c r="C2275" s="5" t="inlineStr">
        <is>
          <t>CLASS N: MISCELLANEOUS METALWORK</t>
        </is>
      </c>
      <c r="D2275" s="5" t="inlineStr">
        <is>
          <t>01 MILD STEEL</t>
        </is>
      </c>
      <c r="E2275" s="5" t="inlineStr">
        <is>
          <t>Miscellaneous framing</t>
        </is>
      </c>
      <c r="F2275" s="5" t="inlineStr">
        <is>
          <t>universal beams; 914 x 419 mm</t>
        </is>
      </c>
      <c r="G2275" s="6" t="inlineStr">
        <is>
          <t>m</t>
        </is>
      </c>
      <c r="H2275" s="7" t="n"/>
      <c r="I2275" s="8" t="n">
        <v>486.89</v>
      </c>
      <c r="J2275" s="8" t="n">
        <v>0</v>
      </c>
      <c r="K2275" s="8" t="n">
        <v>2703.83</v>
      </c>
      <c r="L2275" s="8" t="n">
        <v>0</v>
      </c>
      <c r="M2275" s="9">
        <f>ROUND(SUM(I2275:L2275),2)</f>
        <v/>
      </c>
      <c r="N2275" s="10">
        <f>ROUND(I2275*'Irish Basis'!$C$6*'Irish Basis'!$C$5,2)</f>
        <v/>
      </c>
      <c r="O2275" s="10">
        <f>ROUND(J2275*'Irish Basis'!$C$7*'Irish Basis'!$C$5,2)</f>
        <v/>
      </c>
      <c r="P2275" s="10">
        <f>ROUND(K2275*'Irish Basis'!$C$8*'Irish Basis'!$C$5,2)</f>
        <v/>
      </c>
      <c r="Q2275" s="10">
        <f>ROUND(L2275*'Irish Basis'!$C$12*'Irish Basis'!$C$5,2)</f>
        <v/>
      </c>
      <c r="R2275" s="11">
        <f>ROUND(SUM(N2275:Q2275),2)</f>
        <v/>
      </c>
      <c r="S2275" s="5" t="inlineStr">
        <is>
          <t>Apportioned (class)</t>
        </is>
      </c>
      <c r="T2275" s="17" t="inlineStr">
        <is>
          <t>Low</t>
        </is>
      </c>
      <c r="U2275" s="8" t="n">
        <v>3190.72</v>
      </c>
      <c r="V2275" s="13">
        <f>IF(U2275="","",ROUND(M2275-U2275,2))</f>
        <v/>
      </c>
      <c r="W2275" s="15" t="inlineStr">
        <is>
          <t>Apportioned at class level</t>
        </is>
      </c>
      <c r="X2275" s="5" t="inlineStr">
        <is>
          <t>Split from published rate using median L/P/M shares of 48 comparable build-ups at class level (15/0/85).</t>
        </is>
      </c>
    </row>
    <row r="2276" ht="13" customHeight="1">
      <c r="A2276" s="4" t="n">
        <v>3449</v>
      </c>
      <c r="B2276" s="5" t="inlineStr">
        <is>
          <t>IMG_0112</t>
        </is>
      </c>
      <c r="C2276" s="5" t="inlineStr">
        <is>
          <t>CLASS N: MISCELLANEOUS METALWORK</t>
        </is>
      </c>
      <c r="D2276" s="5" t="inlineStr">
        <is>
          <t>01 MILD STEEL</t>
        </is>
      </c>
      <c r="E2276" s="5" t="inlineStr">
        <is>
          <t>Miscellaneous framing</t>
        </is>
      </c>
      <c r="F2276" s="5" t="inlineStr">
        <is>
          <t>universal beams; 533 x 210 mm</t>
        </is>
      </c>
      <c r="G2276" s="6" t="inlineStr">
        <is>
          <t>m</t>
        </is>
      </c>
      <c r="H2276" s="7" t="n"/>
      <c r="I2276" s="8" t="n">
        <v>166.25</v>
      </c>
      <c r="J2276" s="8" t="n">
        <v>0</v>
      </c>
      <c r="K2276" s="8" t="n">
        <v>923.26</v>
      </c>
      <c r="L2276" s="8" t="n">
        <v>0</v>
      </c>
      <c r="M2276" s="9">
        <f>ROUND(SUM(I2276:L2276),2)</f>
        <v/>
      </c>
      <c r="N2276" s="10">
        <f>ROUND(I2276*'Irish Basis'!$C$6*'Irish Basis'!$C$5,2)</f>
        <v/>
      </c>
      <c r="O2276" s="10">
        <f>ROUND(J2276*'Irish Basis'!$C$7*'Irish Basis'!$C$5,2)</f>
        <v/>
      </c>
      <c r="P2276" s="10">
        <f>ROUND(K2276*'Irish Basis'!$C$8*'Irish Basis'!$C$5,2)</f>
        <v/>
      </c>
      <c r="Q2276" s="10">
        <f>ROUND(L2276*'Irish Basis'!$C$12*'Irish Basis'!$C$5,2)</f>
        <v/>
      </c>
      <c r="R2276" s="11">
        <f>ROUND(SUM(N2276:Q2276),2)</f>
        <v/>
      </c>
      <c r="S2276" s="5" t="inlineStr">
        <is>
          <t>Apportioned (class)</t>
        </is>
      </c>
      <c r="T2276" s="17" t="inlineStr">
        <is>
          <t>Low</t>
        </is>
      </c>
      <c r="U2276" s="8" t="n">
        <v>1089.51</v>
      </c>
      <c r="V2276" s="13">
        <f>IF(U2276="","",ROUND(M2276-U2276,2))</f>
        <v/>
      </c>
      <c r="W2276" s="15" t="inlineStr">
        <is>
          <t>Apportioned at class level</t>
        </is>
      </c>
      <c r="X2276" s="5" t="inlineStr">
        <is>
          <t>Split from published rate using median L/P/M shares of 48 comparable build-ups at class level (15/0/85).</t>
        </is>
      </c>
    </row>
    <row r="2277" ht="13" customHeight="1">
      <c r="A2277" s="4" t="n">
        <v>3450</v>
      </c>
      <c r="B2277" s="5" t="inlineStr">
        <is>
          <t>IMG_0112</t>
        </is>
      </c>
      <c r="C2277" s="5" t="inlineStr">
        <is>
          <t>CLASS N: MISCELLANEOUS METALWORK</t>
        </is>
      </c>
      <c r="D2277" s="5" t="inlineStr">
        <is>
          <t>01 MILD STEEL</t>
        </is>
      </c>
      <c r="E2277" s="5" t="inlineStr">
        <is>
          <t>Miscellaneous framing</t>
        </is>
      </c>
      <c r="F2277" s="5" t="inlineStr">
        <is>
          <t>universal joists; 127 x 76 mm</t>
        </is>
      </c>
      <c r="G2277" s="6" t="inlineStr">
        <is>
          <t>m</t>
        </is>
      </c>
      <c r="H2277" s="7" t="n"/>
      <c r="I2277" s="8" t="n">
        <v>17.81</v>
      </c>
      <c r="J2277" s="8" t="n">
        <v>0</v>
      </c>
      <c r="K2277" s="8" t="n">
        <v>98.92</v>
      </c>
      <c r="L2277" s="8" t="n">
        <v>0</v>
      </c>
      <c r="M2277" s="9">
        <f>ROUND(SUM(I2277:L2277),2)</f>
        <v/>
      </c>
      <c r="N2277" s="10">
        <f>ROUND(I2277*'Irish Basis'!$C$6*'Irish Basis'!$C$5,2)</f>
        <v/>
      </c>
      <c r="O2277" s="10">
        <f>ROUND(J2277*'Irish Basis'!$C$7*'Irish Basis'!$C$5,2)</f>
        <v/>
      </c>
      <c r="P2277" s="10">
        <f>ROUND(K2277*'Irish Basis'!$C$8*'Irish Basis'!$C$5,2)</f>
        <v/>
      </c>
      <c r="Q2277" s="10">
        <f>ROUND(L2277*'Irish Basis'!$C$12*'Irish Basis'!$C$5,2)</f>
        <v/>
      </c>
      <c r="R2277" s="11">
        <f>ROUND(SUM(N2277:Q2277),2)</f>
        <v/>
      </c>
      <c r="S2277" s="5" t="inlineStr">
        <is>
          <t>Apportioned (class)</t>
        </is>
      </c>
      <c r="T2277" s="17" t="inlineStr">
        <is>
          <t>Low</t>
        </is>
      </c>
      <c r="U2277" s="8" t="n">
        <v>116.73</v>
      </c>
      <c r="V2277" s="13">
        <f>IF(U2277="","",ROUND(M2277-U2277,2))</f>
        <v/>
      </c>
      <c r="W2277" s="15" t="inlineStr">
        <is>
          <t>Apportioned at class level</t>
        </is>
      </c>
      <c r="X2277" s="5" t="inlineStr">
        <is>
          <t>Split from published rate using median L/P/M shares of 48 comparable build-ups at class level (15/0/85).</t>
        </is>
      </c>
    </row>
    <row r="2278" ht="13" customHeight="1">
      <c r="A2278" s="4" t="n">
        <v>3451</v>
      </c>
      <c r="B2278" s="5" t="inlineStr">
        <is>
          <t>IMG_0112</t>
        </is>
      </c>
      <c r="C2278" s="5" t="inlineStr">
        <is>
          <t>CLASS N: MISCELLANEOUS METALWORK</t>
        </is>
      </c>
      <c r="D2278" s="5" t="inlineStr">
        <is>
          <t>01 MILD STEEL</t>
        </is>
      </c>
      <c r="E2278" s="5" t="inlineStr">
        <is>
          <t>Miscellaneous framing</t>
        </is>
      </c>
      <c r="F2278" s="5" t="inlineStr">
        <is>
          <t>channel section; 381 x 102 mm</t>
        </is>
      </c>
      <c r="G2278" s="6" t="inlineStr">
        <is>
          <t>m</t>
        </is>
      </c>
      <c r="H2278" s="7" t="n"/>
      <c r="I2278" s="8" t="n">
        <v>76</v>
      </c>
      <c r="J2278" s="8" t="n">
        <v>0</v>
      </c>
      <c r="K2278" s="8" t="n">
        <v>422.05</v>
      </c>
      <c r="L2278" s="8" t="n">
        <v>0</v>
      </c>
      <c r="M2278" s="9">
        <f>ROUND(SUM(I2278:L2278),2)</f>
        <v/>
      </c>
      <c r="N2278" s="10">
        <f>ROUND(I2278*'Irish Basis'!$C$6*'Irish Basis'!$C$5,2)</f>
        <v/>
      </c>
      <c r="O2278" s="10">
        <f>ROUND(J2278*'Irish Basis'!$C$7*'Irish Basis'!$C$5,2)</f>
        <v/>
      </c>
      <c r="P2278" s="10">
        <f>ROUND(K2278*'Irish Basis'!$C$8*'Irish Basis'!$C$5,2)</f>
        <v/>
      </c>
      <c r="Q2278" s="10">
        <f>ROUND(L2278*'Irish Basis'!$C$12*'Irish Basis'!$C$5,2)</f>
        <v/>
      </c>
      <c r="R2278" s="11">
        <f>ROUND(SUM(N2278:Q2278),2)</f>
        <v/>
      </c>
      <c r="S2278" s="5" t="inlineStr">
        <is>
          <t>Apportioned (class)</t>
        </is>
      </c>
      <c r="T2278" s="17" t="inlineStr">
        <is>
          <t>Low</t>
        </is>
      </c>
      <c r="U2278" s="8" t="n">
        <v>498.05</v>
      </c>
      <c r="V2278" s="13">
        <f>IF(U2278="","",ROUND(M2278-U2278,2))</f>
        <v/>
      </c>
      <c r="W2278" s="15" t="inlineStr">
        <is>
          <t>Apportioned at class level</t>
        </is>
      </c>
      <c r="X2278" s="5" t="inlineStr">
        <is>
          <t>Split from published rate using median L/P/M shares of 48 comparable build-ups at class level (15/0/85).</t>
        </is>
      </c>
    </row>
    <row r="2279" ht="13" customHeight="1">
      <c r="A2279" s="4" t="n">
        <v>3452</v>
      </c>
      <c r="B2279" s="5" t="inlineStr">
        <is>
          <t>IMG_0112</t>
        </is>
      </c>
      <c r="C2279" s="5" t="inlineStr">
        <is>
          <t>CLASS N: MISCELLANEOUS METALWORK</t>
        </is>
      </c>
      <c r="D2279" s="5" t="inlineStr">
        <is>
          <t>01 MILD STEEL</t>
        </is>
      </c>
      <c r="E2279" s="5" t="inlineStr">
        <is>
          <t>Miscellaneous framing</t>
        </is>
      </c>
      <c r="F2279" s="5" t="inlineStr">
        <is>
          <t>channel section; 254 x 76 mm</t>
        </is>
      </c>
      <c r="G2279" s="6" t="inlineStr">
        <is>
          <t>m</t>
        </is>
      </c>
      <c r="H2279" s="7" t="n"/>
      <c r="I2279" s="8" t="n">
        <v>39.19</v>
      </c>
      <c r="J2279" s="8" t="n">
        <v>0</v>
      </c>
      <c r="K2279" s="8" t="n">
        <v>217.62</v>
      </c>
      <c r="L2279" s="8" t="n">
        <v>0</v>
      </c>
      <c r="M2279" s="9">
        <f>ROUND(SUM(I2279:L2279),2)</f>
        <v/>
      </c>
      <c r="N2279" s="10">
        <f>ROUND(I2279*'Irish Basis'!$C$6*'Irish Basis'!$C$5,2)</f>
        <v/>
      </c>
      <c r="O2279" s="10">
        <f>ROUND(J2279*'Irish Basis'!$C$7*'Irish Basis'!$C$5,2)</f>
        <v/>
      </c>
      <c r="P2279" s="10">
        <f>ROUND(K2279*'Irish Basis'!$C$8*'Irish Basis'!$C$5,2)</f>
        <v/>
      </c>
      <c r="Q2279" s="10">
        <f>ROUND(L2279*'Irish Basis'!$C$12*'Irish Basis'!$C$5,2)</f>
        <v/>
      </c>
      <c r="R2279" s="11">
        <f>ROUND(SUM(N2279:Q2279),2)</f>
        <v/>
      </c>
      <c r="S2279" s="5" t="inlineStr">
        <is>
          <t>Apportioned (class)</t>
        </is>
      </c>
      <c r="T2279" s="17" t="inlineStr">
        <is>
          <t>Low</t>
        </is>
      </c>
      <c r="U2279" s="8" t="n">
        <v>256.81</v>
      </c>
      <c r="V2279" s="13">
        <f>IF(U2279="","",ROUND(M2279-U2279,2))</f>
        <v/>
      </c>
      <c r="W2279" s="15" t="inlineStr">
        <is>
          <t>Apportioned at class level</t>
        </is>
      </c>
      <c r="X2279" s="5" t="inlineStr">
        <is>
          <t>Split from published rate using median L/P/M shares of 48 comparable build-ups at class level (15/0/85).</t>
        </is>
      </c>
    </row>
    <row r="2280" ht="13" customHeight="1">
      <c r="A2280" s="4" t="n">
        <v>3453</v>
      </c>
      <c r="B2280" s="5" t="inlineStr">
        <is>
          <t>IMG_0112</t>
        </is>
      </c>
      <c r="C2280" s="5" t="inlineStr">
        <is>
          <t>CLASS N: MISCELLANEOUS METALWORK</t>
        </is>
      </c>
      <c r="D2280" s="5" t="inlineStr">
        <is>
          <t>01 MILD STEEL</t>
        </is>
      </c>
      <c r="E2280" s="5" t="inlineStr">
        <is>
          <t>Miscellaneous framing</t>
        </is>
      </c>
      <c r="F2280" s="5" t="inlineStr">
        <is>
          <t>channel section; 152 x 76 mm</t>
        </is>
      </c>
      <c r="G2280" s="6" t="inlineStr">
        <is>
          <t>m</t>
        </is>
      </c>
      <c r="H2280" s="7" t="n"/>
      <c r="I2280" s="8" t="n">
        <v>24.94</v>
      </c>
      <c r="J2280" s="8" t="n">
        <v>0</v>
      </c>
      <c r="K2280" s="8" t="n">
        <v>138.48</v>
      </c>
      <c r="L2280" s="8" t="n">
        <v>0</v>
      </c>
      <c r="M2280" s="9">
        <f>ROUND(SUM(I2280:L2280),2)</f>
        <v/>
      </c>
      <c r="N2280" s="10">
        <f>ROUND(I2280*'Irish Basis'!$C$6*'Irish Basis'!$C$5,2)</f>
        <v/>
      </c>
      <c r="O2280" s="10">
        <f>ROUND(J2280*'Irish Basis'!$C$7*'Irish Basis'!$C$5,2)</f>
        <v/>
      </c>
      <c r="P2280" s="10">
        <f>ROUND(K2280*'Irish Basis'!$C$8*'Irish Basis'!$C$5,2)</f>
        <v/>
      </c>
      <c r="Q2280" s="10">
        <f>ROUND(L2280*'Irish Basis'!$C$12*'Irish Basis'!$C$5,2)</f>
        <v/>
      </c>
      <c r="R2280" s="11">
        <f>ROUND(SUM(N2280:Q2280),2)</f>
        <v/>
      </c>
      <c r="S2280" s="5" t="inlineStr">
        <is>
          <t>Apportioned (class)</t>
        </is>
      </c>
      <c r="T2280" s="17" t="inlineStr">
        <is>
          <t>Low</t>
        </is>
      </c>
      <c r="U2280" s="8" t="n">
        <v>163.42</v>
      </c>
      <c r="V2280" s="13">
        <f>IF(U2280="","",ROUND(M2280-U2280,2))</f>
        <v/>
      </c>
      <c r="W2280" s="15" t="inlineStr">
        <is>
          <t>Apportioned at class level</t>
        </is>
      </c>
      <c r="X2280" s="5" t="inlineStr">
        <is>
          <t>Split from published rate using median L/P/M shares of 48 comparable build-ups at class level (15/0/85).</t>
        </is>
      </c>
    </row>
    <row r="2281" ht="13" customHeight="1">
      <c r="A2281" s="4" t="n">
        <v>3454</v>
      </c>
      <c r="B2281" s="5" t="inlineStr">
        <is>
          <t>IMG_0112</t>
        </is>
      </c>
      <c r="C2281" s="5" t="inlineStr">
        <is>
          <t>CLASS N: MISCELLANEOUS METALWORK</t>
        </is>
      </c>
      <c r="D2281" s="5" t="inlineStr">
        <is>
          <t>01 MILD STEEL</t>
        </is>
      </c>
      <c r="E2281" s="5" t="inlineStr">
        <is>
          <t>Miscellaneous framing</t>
        </is>
      </c>
      <c r="F2281" s="5" t="inlineStr">
        <is>
          <t>tubular section; 100 x 100 x 10 mm</t>
        </is>
      </c>
      <c r="G2281" s="6" t="inlineStr">
        <is>
          <t>m</t>
        </is>
      </c>
      <c r="H2281" s="7" t="n"/>
      <c r="I2281" s="8" t="n">
        <v>35.63</v>
      </c>
      <c r="J2281" s="8" t="n">
        <v>0</v>
      </c>
      <c r="K2281" s="8" t="n">
        <v>197.86</v>
      </c>
      <c r="L2281" s="8" t="n">
        <v>0</v>
      </c>
      <c r="M2281" s="9">
        <f>ROUND(SUM(I2281:L2281),2)</f>
        <v/>
      </c>
      <c r="N2281" s="10">
        <f>ROUND(I2281*'Irish Basis'!$C$6*'Irish Basis'!$C$5,2)</f>
        <v/>
      </c>
      <c r="O2281" s="10">
        <f>ROUND(J2281*'Irish Basis'!$C$7*'Irish Basis'!$C$5,2)</f>
        <v/>
      </c>
      <c r="P2281" s="10">
        <f>ROUND(K2281*'Irish Basis'!$C$8*'Irish Basis'!$C$5,2)</f>
        <v/>
      </c>
      <c r="Q2281" s="10">
        <f>ROUND(L2281*'Irish Basis'!$C$12*'Irish Basis'!$C$5,2)</f>
        <v/>
      </c>
      <c r="R2281" s="11">
        <f>ROUND(SUM(N2281:Q2281),2)</f>
        <v/>
      </c>
      <c r="S2281" s="5" t="inlineStr">
        <is>
          <t>Apportioned (class)</t>
        </is>
      </c>
      <c r="T2281" s="17" t="inlineStr">
        <is>
          <t>Low</t>
        </is>
      </c>
      <c r="U2281" s="8" t="n">
        <v>233.49</v>
      </c>
      <c r="V2281" s="13">
        <f>IF(U2281="","",ROUND(M2281-U2281,2))</f>
        <v/>
      </c>
      <c r="W2281" s="15" t="inlineStr">
        <is>
          <t>Apportioned at class level</t>
        </is>
      </c>
      <c r="X2281" s="5" t="inlineStr">
        <is>
          <t>Split from published rate using median L/P/M shares of 48 comparable build-ups at class level (15/0/85).</t>
        </is>
      </c>
    </row>
    <row r="2282" ht="13" customHeight="1">
      <c r="A2282" s="4" t="n">
        <v>3455</v>
      </c>
      <c r="B2282" s="5" t="inlineStr">
        <is>
          <t>IMG_0112</t>
        </is>
      </c>
      <c r="C2282" s="5" t="inlineStr">
        <is>
          <t>CLASS N: MISCELLANEOUS METALWORK</t>
        </is>
      </c>
      <c r="D2282" s="5" t="inlineStr">
        <is>
          <t>01 MILD STEEL</t>
        </is>
      </c>
      <c r="E2282" s="5" t="inlineStr">
        <is>
          <t>Miscellaneous framing</t>
        </is>
      </c>
      <c r="F2282" s="5" t="inlineStr">
        <is>
          <t>tubular section; 200 x 200 x 15 mm</t>
        </is>
      </c>
      <c r="G2282" s="6" t="inlineStr">
        <is>
          <t>m</t>
        </is>
      </c>
      <c r="H2282" s="7" t="n"/>
      <c r="I2282" s="8" t="n">
        <v>118.76</v>
      </c>
      <c r="J2282" s="8" t="n">
        <v>0</v>
      </c>
      <c r="K2282" s="8" t="n">
        <v>659.49</v>
      </c>
      <c r="L2282" s="8" t="n">
        <v>0</v>
      </c>
      <c r="M2282" s="9">
        <f>ROUND(SUM(I2282:L2282),2)</f>
        <v/>
      </c>
      <c r="N2282" s="10">
        <f>ROUND(I2282*'Irish Basis'!$C$6*'Irish Basis'!$C$5,2)</f>
        <v/>
      </c>
      <c r="O2282" s="10">
        <f>ROUND(J2282*'Irish Basis'!$C$7*'Irish Basis'!$C$5,2)</f>
        <v/>
      </c>
      <c r="P2282" s="10">
        <f>ROUND(K2282*'Irish Basis'!$C$8*'Irish Basis'!$C$5,2)</f>
        <v/>
      </c>
      <c r="Q2282" s="10">
        <f>ROUND(L2282*'Irish Basis'!$C$12*'Irish Basis'!$C$5,2)</f>
        <v/>
      </c>
      <c r="R2282" s="11">
        <f>ROUND(SUM(N2282:Q2282),2)</f>
        <v/>
      </c>
      <c r="S2282" s="5" t="inlineStr">
        <is>
          <t>Apportioned (class)</t>
        </is>
      </c>
      <c r="T2282" s="17" t="inlineStr">
        <is>
          <t>Low</t>
        </is>
      </c>
      <c r="U2282" s="8" t="n">
        <v>778.25</v>
      </c>
      <c r="V2282" s="13">
        <f>IF(U2282="","",ROUND(M2282-U2282,2))</f>
        <v/>
      </c>
      <c r="W2282" s="15" t="inlineStr">
        <is>
          <t>Apportioned at class level</t>
        </is>
      </c>
      <c r="X2282" s="5" t="inlineStr">
        <is>
          <t>Split from published rate using median L/P/M shares of 48 comparable build-ups at class level (15/0/85).</t>
        </is>
      </c>
    </row>
    <row r="2283" ht="13" customHeight="1">
      <c r="A2283" s="4" t="n">
        <v>3456</v>
      </c>
      <c r="B2283" s="5" t="inlineStr">
        <is>
          <t>IMG_0112</t>
        </is>
      </c>
      <c r="C2283" s="5" t="inlineStr">
        <is>
          <t>CLASS N: MISCELLANEOUS METALWORK</t>
        </is>
      </c>
      <c r="D2283" s="5" t="inlineStr">
        <is>
          <t>01 MILD STEEL</t>
        </is>
      </c>
      <c r="E2283" s="5" t="inlineStr">
        <is>
          <t>Miscellaneous framing</t>
        </is>
      </c>
      <c r="F2283" s="5" t="inlineStr">
        <is>
          <t>tubular section; 76.1 x 5.0 mm</t>
        </is>
      </c>
      <c r="G2283" s="6" t="inlineStr">
        <is>
          <t>m</t>
        </is>
      </c>
      <c r="H2283" s="7" t="n"/>
      <c r="I2283" s="8" t="n">
        <v>12.35</v>
      </c>
      <c r="J2283" s="8" t="n">
        <v>0</v>
      </c>
      <c r="K2283" s="8" t="n">
        <v>68.56999999999999</v>
      </c>
      <c r="L2283" s="8" t="n">
        <v>0</v>
      </c>
      <c r="M2283" s="9">
        <f>ROUND(SUM(I2283:L2283),2)</f>
        <v/>
      </c>
      <c r="N2283" s="10">
        <f>ROUND(I2283*'Irish Basis'!$C$6*'Irish Basis'!$C$5,2)</f>
        <v/>
      </c>
      <c r="O2283" s="10">
        <f>ROUND(J2283*'Irish Basis'!$C$7*'Irish Basis'!$C$5,2)</f>
        <v/>
      </c>
      <c r="P2283" s="10">
        <f>ROUND(K2283*'Irish Basis'!$C$8*'Irish Basis'!$C$5,2)</f>
        <v/>
      </c>
      <c r="Q2283" s="10">
        <f>ROUND(L2283*'Irish Basis'!$C$12*'Irish Basis'!$C$5,2)</f>
        <v/>
      </c>
      <c r="R2283" s="11">
        <f>ROUND(SUM(N2283:Q2283),2)</f>
        <v/>
      </c>
      <c r="S2283" s="5" t="inlineStr">
        <is>
          <t>Apportioned (class)</t>
        </is>
      </c>
      <c r="T2283" s="17" t="inlineStr">
        <is>
          <t>Low</t>
        </is>
      </c>
      <c r="U2283" s="8" t="n">
        <v>80.92</v>
      </c>
      <c r="V2283" s="13">
        <f>IF(U2283="","",ROUND(M2283-U2283,2))</f>
        <v/>
      </c>
      <c r="W2283" s="15" t="inlineStr">
        <is>
          <t>Apportioned at class level</t>
        </is>
      </c>
      <c r="X2283" s="5" t="inlineStr">
        <is>
          <t>Split from published rate using median L/P/M shares of 48 comparable build-ups at class level (15/0/85).</t>
        </is>
      </c>
    </row>
    <row r="2284" ht="13" customHeight="1">
      <c r="A2284" s="4" t="n">
        <v>3457</v>
      </c>
      <c r="B2284" s="5" t="inlineStr">
        <is>
          <t>IMG_0112</t>
        </is>
      </c>
      <c r="C2284" s="5" t="inlineStr">
        <is>
          <t>CLASS N: MISCELLANEOUS METALWORK</t>
        </is>
      </c>
      <c r="D2284" s="5" t="inlineStr">
        <is>
          <t>01 MILD STEEL</t>
        </is>
      </c>
      <c r="E2284" s="5" t="inlineStr">
        <is>
          <t>Miscellaneous framing</t>
        </is>
      </c>
      <c r="F2284" s="5" t="inlineStr">
        <is>
          <t>tubular section; 139.7 x 6.3 mm</t>
        </is>
      </c>
      <c r="G2284" s="6" t="inlineStr">
        <is>
          <t>m</t>
        </is>
      </c>
      <c r="H2284" s="7" t="n"/>
      <c r="I2284" s="8" t="n">
        <v>34.44</v>
      </c>
      <c r="J2284" s="8" t="n">
        <v>0</v>
      </c>
      <c r="K2284" s="8" t="n">
        <v>191.26</v>
      </c>
      <c r="L2284" s="8" t="n">
        <v>0</v>
      </c>
      <c r="M2284" s="9">
        <f>ROUND(SUM(I2284:L2284),2)</f>
        <v/>
      </c>
      <c r="N2284" s="10">
        <f>ROUND(I2284*'Irish Basis'!$C$6*'Irish Basis'!$C$5,2)</f>
        <v/>
      </c>
      <c r="O2284" s="10">
        <f>ROUND(J2284*'Irish Basis'!$C$7*'Irish Basis'!$C$5,2)</f>
        <v/>
      </c>
      <c r="P2284" s="10">
        <f>ROUND(K2284*'Irish Basis'!$C$8*'Irish Basis'!$C$5,2)</f>
        <v/>
      </c>
      <c r="Q2284" s="10">
        <f>ROUND(L2284*'Irish Basis'!$C$12*'Irish Basis'!$C$5,2)</f>
        <v/>
      </c>
      <c r="R2284" s="11">
        <f>ROUND(SUM(N2284:Q2284),2)</f>
        <v/>
      </c>
      <c r="S2284" s="5" t="inlineStr">
        <is>
          <t>Apportioned (class)</t>
        </is>
      </c>
      <c r="T2284" s="17" t="inlineStr">
        <is>
          <t>Low</t>
        </is>
      </c>
      <c r="U2284" s="8" t="n">
        <v>225.7</v>
      </c>
      <c r="V2284" s="13">
        <f>IF(U2284="","",ROUND(M2284-U2284,2))</f>
        <v/>
      </c>
      <c r="W2284" s="15" t="inlineStr">
        <is>
          <t>Apportioned at class level</t>
        </is>
      </c>
      <c r="X2284" s="5" t="inlineStr">
        <is>
          <t>Split from published rate using median L/P/M shares of 48 comparable build-ups at class level (15/0/85).</t>
        </is>
      </c>
    </row>
    <row r="2285" ht="13" customHeight="1">
      <c r="A2285" s="4" t="n">
        <v>3459</v>
      </c>
      <c r="B2285" s="5" t="inlineStr">
        <is>
          <t>IMG_0112</t>
        </is>
      </c>
      <c r="C2285" s="5" t="inlineStr">
        <is>
          <t>CLASS N: MISCELLANEOUS METALWORK</t>
        </is>
      </c>
      <c r="D2285" s="5" t="inlineStr">
        <is>
          <t>01 MILD STEEL</t>
        </is>
      </c>
      <c r="E2285" s="5" t="inlineStr">
        <is>
          <t>Mild steel; galvanized; Handrails</t>
        </is>
      </c>
      <c r="F2285" s="5" t="inlineStr">
        <is>
          <t>76 mm dia. tubular handrail, 48 mm dia. standards at 750 mm centres, 48 mm dia. middle rail, 1070 mm high overall</t>
        </is>
      </c>
      <c r="G2285" s="6" t="inlineStr">
        <is>
          <t>m</t>
        </is>
      </c>
      <c r="H2285" s="7" t="n"/>
      <c r="I2285" s="8" t="n">
        <v>30.65</v>
      </c>
      <c r="J2285" s="8" t="n">
        <v>0</v>
      </c>
      <c r="K2285" s="8" t="n">
        <v>170.19</v>
      </c>
      <c r="L2285" s="8" t="n">
        <v>0</v>
      </c>
      <c r="M2285" s="9">
        <f>ROUND(SUM(I2285:L2285),2)</f>
        <v/>
      </c>
      <c r="N2285" s="10">
        <f>ROUND(I2285*'Irish Basis'!$C$6*'Irish Basis'!$C$5,2)</f>
        <v/>
      </c>
      <c r="O2285" s="10">
        <f>ROUND(J2285*'Irish Basis'!$C$7*'Irish Basis'!$C$5,2)</f>
        <v/>
      </c>
      <c r="P2285" s="10">
        <f>ROUND(K2285*'Irish Basis'!$C$8*'Irish Basis'!$C$5,2)</f>
        <v/>
      </c>
      <c r="Q2285" s="10">
        <f>ROUND(L2285*'Irish Basis'!$C$12*'Irish Basis'!$C$5,2)</f>
        <v/>
      </c>
      <c r="R2285" s="11">
        <f>ROUND(SUM(N2285:Q2285),2)</f>
        <v/>
      </c>
      <c r="S2285" s="5" t="inlineStr">
        <is>
          <t>Apportioned (class)</t>
        </is>
      </c>
      <c r="T2285" s="17" t="inlineStr">
        <is>
          <t>Low</t>
        </is>
      </c>
      <c r="U2285" s="8" t="n">
        <v>200.84</v>
      </c>
      <c r="V2285" s="13">
        <f>IF(U2285="","",ROUND(M2285-U2285,2))</f>
        <v/>
      </c>
      <c r="W2285" s="15" t="inlineStr">
        <is>
          <t>Apportioned at class level</t>
        </is>
      </c>
      <c r="X2285" s="5" t="inlineStr">
        <is>
          <t>Split from published rate using median L/P/M shares of 48 comparable build-ups at class level (15/0/85).</t>
        </is>
      </c>
    </row>
    <row r="2286" ht="13" customHeight="1">
      <c r="A2286" s="4" t="n">
        <v>3461</v>
      </c>
      <c r="B2286" s="5" t="inlineStr">
        <is>
          <t>IMG_0112</t>
        </is>
      </c>
      <c r="C2286" s="5" t="inlineStr">
        <is>
          <t>CLASS N: MISCELLANEOUS METALWORK</t>
        </is>
      </c>
      <c r="D2286" s="5" t="inlineStr">
        <is>
          <t>01 MILD STEEL</t>
        </is>
      </c>
      <c r="E2286" s="5" t="inlineStr">
        <is>
          <t>Plate flooring</t>
        </is>
      </c>
      <c r="F2286" s="5" t="inlineStr">
        <is>
          <t>8 mm (on plain) Durbar pattern floor plates, maximum weight each panel 50 kg</t>
        </is>
      </c>
      <c r="G2286" s="6" t="inlineStr">
        <is>
          <t>m2</t>
        </is>
      </c>
      <c r="H2286" s="7" t="n"/>
      <c r="I2286" s="8" t="n">
        <v>82.64</v>
      </c>
      <c r="J2286" s="8" t="n">
        <v>0</v>
      </c>
      <c r="K2286" s="8" t="n">
        <v>458.91</v>
      </c>
      <c r="L2286" s="8" t="n">
        <v>0</v>
      </c>
      <c r="M2286" s="9">
        <f>ROUND(SUM(I2286:L2286),2)</f>
        <v/>
      </c>
      <c r="N2286" s="10">
        <f>ROUND(I2286*'Irish Basis'!$C$6*'Irish Basis'!$C$5,2)</f>
        <v/>
      </c>
      <c r="O2286" s="10">
        <f>ROUND(J2286*'Irish Basis'!$C$7*'Irish Basis'!$C$5,2)</f>
        <v/>
      </c>
      <c r="P2286" s="10">
        <f>ROUND(K2286*'Irish Basis'!$C$8*'Irish Basis'!$C$5,2)</f>
        <v/>
      </c>
      <c r="Q2286" s="10">
        <f>ROUND(L2286*'Irish Basis'!$C$12*'Irish Basis'!$C$5,2)</f>
        <v/>
      </c>
      <c r="R2286" s="11">
        <f>ROUND(SUM(N2286:Q2286),2)</f>
        <v/>
      </c>
      <c r="S2286" s="5" t="inlineStr">
        <is>
          <t>Apportioned (class)</t>
        </is>
      </c>
      <c r="T2286" s="17" t="inlineStr">
        <is>
          <t>Low</t>
        </is>
      </c>
      <c r="U2286" s="8" t="n">
        <v>541.55</v>
      </c>
      <c r="V2286" s="13">
        <f>IF(U2286="","",ROUND(M2286-U2286,2))</f>
        <v/>
      </c>
      <c r="W2286" s="15" t="inlineStr">
        <is>
          <t>Apportioned at class level</t>
        </is>
      </c>
      <c r="X2286" s="5" t="inlineStr">
        <is>
          <t>Split from published rate using median L/P/M shares of 48 comparable build-ups at class level (15/0/85).</t>
        </is>
      </c>
    </row>
    <row r="2287" ht="13" customHeight="1">
      <c r="A2287" s="4" t="n">
        <v>3463</v>
      </c>
      <c r="B2287" s="5" t="inlineStr">
        <is>
          <t>IMG_0112</t>
        </is>
      </c>
      <c r="C2287" s="5" t="inlineStr">
        <is>
          <t>CLASS N: MISCELLANEOUS METALWORK</t>
        </is>
      </c>
      <c r="D2287" s="5" t="inlineStr">
        <is>
          <t>01 MILD STEEL</t>
        </is>
      </c>
      <c r="E2287" s="5" t="inlineStr">
        <is>
          <t>Mild steel; internally and externally acid dipped, rinse and hot dip galvanized, epoxy internal paint; Uncovered tanks</t>
        </is>
      </c>
      <c r="F2287" s="5" t="inlineStr">
        <is>
          <t>1600 litre capacity open top water tank</t>
        </is>
      </c>
      <c r="G2287" s="6" t="inlineStr">
        <is>
          <t>nr</t>
        </is>
      </c>
      <c r="H2287" s="7" t="n"/>
      <c r="I2287" s="8" t="n">
        <v>284.38</v>
      </c>
      <c r="J2287" s="8" t="n">
        <v>0</v>
      </c>
      <c r="K2287" s="8" t="n">
        <v>1579.25</v>
      </c>
      <c r="L2287" s="8" t="n">
        <v>0</v>
      </c>
      <c r="M2287" s="9">
        <f>ROUND(SUM(I2287:L2287),2)</f>
        <v/>
      </c>
      <c r="N2287" s="10">
        <f>ROUND(I2287*'Irish Basis'!$C$6*'Irish Basis'!$C$5,2)</f>
        <v/>
      </c>
      <c r="O2287" s="10">
        <f>ROUND(J2287*'Irish Basis'!$C$7*'Irish Basis'!$C$5,2)</f>
        <v/>
      </c>
      <c r="P2287" s="10">
        <f>ROUND(K2287*'Irish Basis'!$C$8*'Irish Basis'!$C$5,2)</f>
        <v/>
      </c>
      <c r="Q2287" s="10">
        <f>ROUND(L2287*'Irish Basis'!$C$12*'Irish Basis'!$C$5,2)</f>
        <v/>
      </c>
      <c r="R2287" s="11">
        <f>ROUND(SUM(N2287:Q2287),2)</f>
        <v/>
      </c>
      <c r="S2287" s="5" t="inlineStr">
        <is>
          <t>Apportioned (class)</t>
        </is>
      </c>
      <c r="T2287" s="17" t="inlineStr">
        <is>
          <t>Low</t>
        </is>
      </c>
      <c r="U2287" s="8" t="n">
        <v>1863.63</v>
      </c>
      <c r="V2287" s="13">
        <f>IF(U2287="","",ROUND(M2287-U2287,2))</f>
        <v/>
      </c>
      <c r="W2287" s="15" t="inlineStr">
        <is>
          <t>Apportioned at class level</t>
        </is>
      </c>
      <c r="X2287" s="5" t="inlineStr">
        <is>
          <t>Split from published rate using median L/P/M shares of 48 comparable build-ups at class level (15/0/85).</t>
        </is>
      </c>
    </row>
    <row r="2288" ht="13" customHeight="1">
      <c r="A2288" s="4" t="n">
        <v>3464</v>
      </c>
      <c r="B2288" s="5" t="inlineStr">
        <is>
          <t>IMG_0112</t>
        </is>
      </c>
      <c r="C2288" s="5" t="inlineStr">
        <is>
          <t>CLASS N: MISCELLANEOUS METALWORK</t>
        </is>
      </c>
      <c r="D2288" s="5" t="inlineStr">
        <is>
          <t>01 MILD STEEL</t>
        </is>
      </c>
      <c r="E2288" s="5" t="inlineStr">
        <is>
          <t>Mild steel; internally and externally acid dipped, rinse and hot dip galvanized, epoxy internal paint; Uncovered tanks</t>
        </is>
      </c>
      <c r="F2288" s="5" t="inlineStr">
        <is>
          <t>18180 litre capacity open top water tank</t>
        </is>
      </c>
      <c r="G2288" s="6" t="inlineStr">
        <is>
          <t>nr</t>
        </is>
      </c>
      <c r="H2288" s="7" t="n"/>
      <c r="I2288" s="8" t="n">
        <v>2716.8</v>
      </c>
      <c r="J2288" s="8" t="n">
        <v>0</v>
      </c>
      <c r="K2288" s="8" t="n">
        <v>15087.29</v>
      </c>
      <c r="L2288" s="8" t="n">
        <v>0</v>
      </c>
      <c r="M2288" s="9">
        <f>ROUND(SUM(I2288:L2288),2)</f>
        <v/>
      </c>
      <c r="N2288" s="10">
        <f>ROUND(I2288*'Irish Basis'!$C$6*'Irish Basis'!$C$5,2)</f>
        <v/>
      </c>
      <c r="O2288" s="10">
        <f>ROUND(J2288*'Irish Basis'!$C$7*'Irish Basis'!$C$5,2)</f>
        <v/>
      </c>
      <c r="P2288" s="10">
        <f>ROUND(K2288*'Irish Basis'!$C$8*'Irish Basis'!$C$5,2)</f>
        <v/>
      </c>
      <c r="Q2288" s="10">
        <f>ROUND(L2288*'Irish Basis'!$C$12*'Irish Basis'!$C$5,2)</f>
        <v/>
      </c>
      <c r="R2288" s="11">
        <f>ROUND(SUM(N2288:Q2288),2)</f>
        <v/>
      </c>
      <c r="S2288" s="5" t="inlineStr">
        <is>
          <t>Apportioned (class)</t>
        </is>
      </c>
      <c r="T2288" s="17" t="inlineStr">
        <is>
          <t>Low</t>
        </is>
      </c>
      <c r="U2288" s="8" t="n">
        <v>17804.09</v>
      </c>
      <c r="V2288" s="13">
        <f>IF(U2288="","",ROUND(M2288-U2288,2))</f>
        <v/>
      </c>
      <c r="W2288" s="15" t="inlineStr">
        <is>
          <t>Apportioned at class level</t>
        </is>
      </c>
      <c r="X2288" s="5" t="inlineStr">
        <is>
          <t>Split from published rate using median L/P/M shares of 48 comparable build-ups at class level (15/0/85).</t>
        </is>
      </c>
    </row>
    <row r="2289" ht="13" customHeight="1">
      <c r="A2289" s="4" t="n">
        <v>3466</v>
      </c>
      <c r="B2289" s="5" t="inlineStr">
        <is>
          <t>IMG_0112</t>
        </is>
      </c>
      <c r="C2289" s="5" t="inlineStr">
        <is>
          <t>CLASS N: MISCELLANEOUS METALWORK</t>
        </is>
      </c>
      <c r="D2289" s="5" t="inlineStr">
        <is>
          <t>01 MILD STEEL</t>
        </is>
      </c>
      <c r="E2289" s="5" t="inlineStr">
        <is>
          <t>Covered tanks</t>
        </is>
      </c>
      <c r="F2289" s="5" t="inlineStr">
        <is>
          <t>1600 litre capacity open top water tank with loose fitting lid</t>
        </is>
      </c>
      <c r="G2289" s="6" t="inlineStr">
        <is>
          <t>nr</t>
        </is>
      </c>
      <c r="H2289" s="7" t="n"/>
      <c r="I2289" s="8" t="n">
        <v>382.69</v>
      </c>
      <c r="J2289" s="8" t="n">
        <v>0</v>
      </c>
      <c r="K2289" s="8" t="n">
        <v>2125.22</v>
      </c>
      <c r="L2289" s="8" t="n">
        <v>0</v>
      </c>
      <c r="M2289" s="9">
        <f>ROUND(SUM(I2289:L2289),2)</f>
        <v/>
      </c>
      <c r="N2289" s="10">
        <f>ROUND(I2289*'Irish Basis'!$C$6*'Irish Basis'!$C$5,2)</f>
        <v/>
      </c>
      <c r="O2289" s="10">
        <f>ROUND(J2289*'Irish Basis'!$C$7*'Irish Basis'!$C$5,2)</f>
        <v/>
      </c>
      <c r="P2289" s="10">
        <f>ROUND(K2289*'Irish Basis'!$C$8*'Irish Basis'!$C$5,2)</f>
        <v/>
      </c>
      <c r="Q2289" s="10">
        <f>ROUND(L2289*'Irish Basis'!$C$12*'Irish Basis'!$C$5,2)</f>
        <v/>
      </c>
      <c r="R2289" s="11">
        <f>ROUND(SUM(N2289:Q2289),2)</f>
        <v/>
      </c>
      <c r="S2289" s="5" t="inlineStr">
        <is>
          <t>Apportioned (class)</t>
        </is>
      </c>
      <c r="T2289" s="17" t="inlineStr">
        <is>
          <t>Low</t>
        </is>
      </c>
      <c r="U2289" s="8" t="n">
        <v>2507.91</v>
      </c>
      <c r="V2289" s="13">
        <f>IF(U2289="","",ROUND(M2289-U2289,2))</f>
        <v/>
      </c>
      <c r="W2289" s="15" t="inlineStr">
        <is>
          <t>Apportioned at class level</t>
        </is>
      </c>
      <c r="X2289" s="5" t="inlineStr">
        <is>
          <t>Split from published rate using median L/P/M shares of 48 comparable build-ups at class level (15/0/85).</t>
        </is>
      </c>
    </row>
    <row r="2290" ht="13" customHeight="1">
      <c r="A2290" s="4" t="n">
        <v>3467</v>
      </c>
      <c r="B2290" s="5" t="inlineStr">
        <is>
          <t>IMG_0112</t>
        </is>
      </c>
      <c r="C2290" s="5" t="inlineStr">
        <is>
          <t>CLASS N: MISCELLANEOUS METALWORK</t>
        </is>
      </c>
      <c r="D2290" s="5" t="inlineStr">
        <is>
          <t>01 MILD STEEL</t>
        </is>
      </c>
      <c r="E2290" s="5" t="inlineStr">
        <is>
          <t>Covered tanks</t>
        </is>
      </c>
      <c r="F2290" s="5" t="inlineStr">
        <is>
          <t>18180 litre capacity open top water tank with loose fitting lid</t>
        </is>
      </c>
      <c r="G2290" s="6" t="inlineStr">
        <is>
          <t>nr</t>
        </is>
      </c>
      <c r="H2290" s="7" t="n"/>
      <c r="I2290" s="8" t="n">
        <v>2436.56</v>
      </c>
      <c r="J2290" s="8" t="n">
        <v>0</v>
      </c>
      <c r="K2290" s="8" t="n">
        <v>13531.04</v>
      </c>
      <c r="L2290" s="8" t="n">
        <v>0</v>
      </c>
      <c r="M2290" s="9">
        <f>ROUND(SUM(I2290:L2290),2)</f>
        <v/>
      </c>
      <c r="N2290" s="10">
        <f>ROUND(I2290*'Irish Basis'!$C$6*'Irish Basis'!$C$5,2)</f>
        <v/>
      </c>
      <c r="O2290" s="10">
        <f>ROUND(J2290*'Irish Basis'!$C$7*'Irish Basis'!$C$5,2)</f>
        <v/>
      </c>
      <c r="P2290" s="10">
        <f>ROUND(K2290*'Irish Basis'!$C$8*'Irish Basis'!$C$5,2)</f>
        <v/>
      </c>
      <c r="Q2290" s="10">
        <f>ROUND(L2290*'Irish Basis'!$C$12*'Irish Basis'!$C$5,2)</f>
        <v/>
      </c>
      <c r="R2290" s="11">
        <f>ROUND(SUM(N2290:Q2290),2)</f>
        <v/>
      </c>
      <c r="S2290" s="5" t="inlineStr">
        <is>
          <t>Apportioned (class)</t>
        </is>
      </c>
      <c r="T2290" s="17" t="inlineStr">
        <is>
          <t>Low</t>
        </is>
      </c>
      <c r="U2290" s="8" t="n">
        <v>15967.6</v>
      </c>
      <c r="V2290" s="13">
        <f>IF(U2290="","",ROUND(M2290-U2290,2))</f>
        <v/>
      </c>
      <c r="W2290" s="15" t="inlineStr">
        <is>
          <t>Apportioned at class level</t>
        </is>
      </c>
      <c r="X2290" s="5" t="inlineStr">
        <is>
          <t>Split from published rate using median L/P/M shares of 48 comparable build-ups at class level (15/0/85).</t>
        </is>
      </c>
    </row>
    <row r="2291" ht="13" customHeight="1">
      <c r="A2291" s="4" t="n">
        <v>3469</v>
      </c>
      <c r="B2291" s="5" t="inlineStr">
        <is>
          <t>IMG_0112</t>
        </is>
      </c>
      <c r="C2291" s="5" t="inlineStr">
        <is>
          <t>CLASS N: MISCELLANEOUS METALWORK</t>
        </is>
      </c>
      <c r="D2291" s="5" t="inlineStr">
        <is>
          <t>01 MILD STEEL</t>
        </is>
      </c>
      <c r="E2291" s="5" t="inlineStr">
        <is>
          <t>Corrugated steel plates to BS 1449 Pt 1, Gr H4, sealed and bolted; BS729 hot dip galvanized, epoxy internal and external paint; Uncovered tanks</t>
        </is>
      </c>
      <c r="F2291" s="5" t="inlineStr">
        <is>
          <t>713 m3 capacity bolted cylindrical open top tank</t>
        </is>
      </c>
      <c r="G2291" s="6" t="inlineStr">
        <is>
          <t>nr</t>
        </is>
      </c>
      <c r="H2291" s="7" t="n"/>
      <c r="I2291" s="8" t="n">
        <v>10454.93</v>
      </c>
      <c r="J2291" s="8" t="n">
        <v>0</v>
      </c>
      <c r="K2291" s="8" t="n">
        <v>58059.62</v>
      </c>
      <c r="L2291" s="8" t="n">
        <v>0</v>
      </c>
      <c r="M2291" s="9">
        <f>ROUND(SUM(I2291:L2291),2)</f>
        <v/>
      </c>
      <c r="N2291" s="10">
        <f>ROUND(I2291*'Irish Basis'!$C$6*'Irish Basis'!$C$5,2)</f>
        <v/>
      </c>
      <c r="O2291" s="10">
        <f>ROUND(J2291*'Irish Basis'!$C$7*'Irish Basis'!$C$5,2)</f>
        <v/>
      </c>
      <c r="P2291" s="10">
        <f>ROUND(K2291*'Irish Basis'!$C$8*'Irish Basis'!$C$5,2)</f>
        <v/>
      </c>
      <c r="Q2291" s="10">
        <f>ROUND(L2291*'Irish Basis'!$C$12*'Irish Basis'!$C$5,2)</f>
        <v/>
      </c>
      <c r="R2291" s="11">
        <f>ROUND(SUM(N2291:Q2291),2)</f>
        <v/>
      </c>
      <c r="S2291" s="5" t="inlineStr">
        <is>
          <t>Apportioned (class)</t>
        </is>
      </c>
      <c r="T2291" s="17" t="inlineStr">
        <is>
          <t>Low</t>
        </is>
      </c>
      <c r="U2291" s="8" t="n">
        <v>68514.55</v>
      </c>
      <c r="V2291" s="13">
        <f>IF(U2291="","",ROUND(M2291-U2291,2))</f>
        <v/>
      </c>
      <c r="W2291" s="15" t="inlineStr">
        <is>
          <t>Apportioned at class level</t>
        </is>
      </c>
      <c r="X2291" s="5" t="inlineStr">
        <is>
          <t>Split from published rate using median L/P/M shares of 48 comparable build-ups at class level (15/0/85).</t>
        </is>
      </c>
    </row>
    <row r="2292" ht="13" customHeight="1">
      <c r="A2292" s="4" t="n">
        <v>3472</v>
      </c>
      <c r="B2292" s="5" t="inlineStr">
        <is>
          <t>IMG_0112</t>
        </is>
      </c>
      <c r="C2292" s="5" t="inlineStr">
        <is>
          <t>CLASS N: MISCELLANEOUS METALWORK</t>
        </is>
      </c>
      <c r="D2292" s="5" t="inlineStr">
        <is>
          <t>02 PROPRIETARY WORK</t>
        </is>
      </c>
      <c r="E2292" s="5" t="inlineStr">
        <is>
          <t>Galvanized steel troughed sheeting; 0.70 mm metal thickness, 75 mm deep corrugations; colour coating each side; fixing with plastic capped self-tapping screws to steel purlins or rails; Cladding</t>
        </is>
      </c>
      <c r="F2292" s="5" t="inlineStr">
        <is>
          <t>upper surfaces inclined at an angle ne 30 deg to the horizontal</t>
        </is>
      </c>
      <c r="G2292" s="6" t="inlineStr">
        <is>
          <t>m2</t>
        </is>
      </c>
      <c r="H2292" s="7" t="n">
        <v>0.15</v>
      </c>
      <c r="I2292" s="8" t="n">
        <v>12.29</v>
      </c>
      <c r="J2292" s="8" t="n">
        <v>0.49</v>
      </c>
      <c r="K2292" s="8" t="n">
        <v>56.22</v>
      </c>
      <c r="L2292" s="8" t="n">
        <v>0</v>
      </c>
      <c r="M2292" s="9">
        <f>ROUND(SUM(I2292:L2292),2)</f>
        <v/>
      </c>
      <c r="N2292" s="10">
        <f>ROUND(I2292*'Irish Basis'!$C$6*'Irish Basis'!$C$5,2)</f>
        <v/>
      </c>
      <c r="O2292" s="10">
        <f>ROUND(J2292*'Irish Basis'!$C$7*'Irish Basis'!$C$5,2)</f>
        <v/>
      </c>
      <c r="P2292" s="10">
        <f>ROUND(K2292*'Irish Basis'!$C$8*'Irish Basis'!$C$5,2)</f>
        <v/>
      </c>
      <c r="Q2292" s="10">
        <f>ROUND(L2292*'Irish Basis'!$C$12*'Irish Basis'!$C$5,2)</f>
        <v/>
      </c>
      <c r="R2292" s="11">
        <f>ROUND(SUM(N2292:Q2292),2)</f>
        <v/>
      </c>
      <c r="S2292" s="5" t="inlineStr">
        <is>
          <t>Stated build-up</t>
        </is>
      </c>
      <c r="T2292" s="12" t="inlineStr">
        <is>
          <t>High</t>
        </is>
      </c>
      <c r="U2292" s="8" t="n">
        <v>69</v>
      </c>
      <c r="V2292" s="13">
        <f>IF(U2292="","",ROUND(M2292-U2292,2))</f>
        <v/>
      </c>
      <c r="W2292" s="5" t="n"/>
      <c r="X2292" s="5" t="inlineStr">
        <is>
          <t>Labour + plant + material as published; reconciles to the published rate.</t>
        </is>
      </c>
    </row>
    <row r="2293" ht="13" customHeight="1">
      <c r="A2293" s="4" t="n">
        <v>3474</v>
      </c>
      <c r="B2293" s="5" t="inlineStr">
        <is>
          <t>IMG_0112</t>
        </is>
      </c>
      <c r="C2293" s="5" t="inlineStr">
        <is>
          <t>CLASS N: MISCELLANEOUS METALWORK</t>
        </is>
      </c>
      <c r="D2293" s="5" t="inlineStr">
        <is>
          <t>02 PROPRIETARY WORK</t>
        </is>
      </c>
      <c r="E2293" s="5" t="inlineStr">
        <is>
          <t>Extra for</t>
        </is>
      </c>
      <c r="F2293" s="5" t="inlineStr">
        <is>
          <t>galvanized steel inner lining sheet, 0.40 mm thick, Plastisol colour coating</t>
        </is>
      </c>
      <c r="G2293" s="6" t="inlineStr">
        <is>
          <t>m2</t>
        </is>
      </c>
      <c r="H2293" s="7" t="n">
        <v>0.06</v>
      </c>
      <c r="I2293" s="8" t="n">
        <v>4.92</v>
      </c>
      <c r="J2293" s="8" t="n">
        <v>0.39</v>
      </c>
      <c r="K2293" s="8" t="n">
        <v>27.2</v>
      </c>
      <c r="L2293" s="8" t="n">
        <v>0</v>
      </c>
      <c r="M2293" s="9">
        <f>ROUND(SUM(I2293:L2293),2)</f>
        <v/>
      </c>
      <c r="N2293" s="10">
        <f>ROUND(I2293*'Irish Basis'!$C$6*'Irish Basis'!$C$5,2)</f>
        <v/>
      </c>
      <c r="O2293" s="10">
        <f>ROUND(J2293*'Irish Basis'!$C$7*'Irish Basis'!$C$5,2)</f>
        <v/>
      </c>
      <c r="P2293" s="10">
        <f>ROUND(K2293*'Irish Basis'!$C$8*'Irish Basis'!$C$5,2)</f>
        <v/>
      </c>
      <c r="Q2293" s="10">
        <f>ROUND(L2293*'Irish Basis'!$C$12*'Irish Basis'!$C$5,2)</f>
        <v/>
      </c>
      <c r="R2293" s="11">
        <f>ROUND(SUM(N2293:Q2293),2)</f>
        <v/>
      </c>
      <c r="S2293" s="5" t="inlineStr">
        <is>
          <t>Stated build-up</t>
        </is>
      </c>
      <c r="T2293" s="12" t="inlineStr">
        <is>
          <t>High</t>
        </is>
      </c>
      <c r="U2293" s="8" t="n">
        <v>32.51</v>
      </c>
      <c r="V2293" s="13">
        <f>IF(U2293="","",ROUND(M2293-U2293,2))</f>
        <v/>
      </c>
      <c r="W2293" s="5" t="n"/>
      <c r="X2293" s="5" t="inlineStr">
        <is>
          <t>Labour + plant + material as published; reconciles to the published rate.</t>
        </is>
      </c>
    </row>
    <row r="2294" ht="13" customHeight="1">
      <c r="A2294" s="4" t="n">
        <v>3475</v>
      </c>
      <c r="B2294" s="5" t="inlineStr">
        <is>
          <t>IMG_0112</t>
        </is>
      </c>
      <c r="C2294" s="5" t="inlineStr">
        <is>
          <t>CLASS N: MISCELLANEOUS METALWORK</t>
        </is>
      </c>
      <c r="D2294" s="5" t="inlineStr">
        <is>
          <t>02 PROPRIETARY WORK</t>
        </is>
      </c>
      <c r="E2294" s="5" t="inlineStr">
        <is>
          <t>Extra for</t>
        </is>
      </c>
      <c r="F2294" s="5" t="inlineStr">
        <is>
          <t>galvanized steel inner lining sheet, 0.40 mm thick, Plastisol colour coating; insulation, 80 mm thick</t>
        </is>
      </c>
      <c r="G2294" s="6" t="inlineStr">
        <is>
          <t>m2</t>
        </is>
      </c>
      <c r="H2294" s="7" t="n">
        <v>0.08</v>
      </c>
      <c r="I2294" s="8" t="n">
        <v>6.55</v>
      </c>
      <c r="J2294" s="8" t="n">
        <v>0.26</v>
      </c>
      <c r="K2294" s="8" t="n">
        <v>101.49</v>
      </c>
      <c r="L2294" s="8" t="n">
        <v>0</v>
      </c>
      <c r="M2294" s="9">
        <f>ROUND(SUM(I2294:L2294),2)</f>
        <v/>
      </c>
      <c r="N2294" s="10">
        <f>ROUND(I2294*'Irish Basis'!$C$6*'Irish Basis'!$C$5,2)</f>
        <v/>
      </c>
      <c r="O2294" s="10">
        <f>ROUND(J2294*'Irish Basis'!$C$7*'Irish Basis'!$C$5,2)</f>
        <v/>
      </c>
      <c r="P2294" s="10">
        <f>ROUND(K2294*'Irish Basis'!$C$8*'Irish Basis'!$C$5,2)</f>
        <v/>
      </c>
      <c r="Q2294" s="10">
        <f>ROUND(L2294*'Irish Basis'!$C$12*'Irish Basis'!$C$5,2)</f>
        <v/>
      </c>
      <c r="R2294" s="11">
        <f>ROUND(SUM(N2294:Q2294),2)</f>
        <v/>
      </c>
      <c r="S2294" s="5" t="inlineStr">
        <is>
          <t>Stated build-up</t>
        </is>
      </c>
      <c r="T2294" s="12" t="inlineStr">
        <is>
          <t>High</t>
        </is>
      </c>
      <c r="U2294" s="8" t="n">
        <v>108.31</v>
      </c>
      <c r="V2294" s="13">
        <f>IF(U2294="","",ROUND(M2294-U2294,2))</f>
        <v/>
      </c>
      <c r="W2294" s="5" t="n"/>
      <c r="X2294" s="5" t="inlineStr">
        <is>
          <t>Labour + plant + material as published; reconciles to the published rate.</t>
        </is>
      </c>
    </row>
    <row r="2295" ht="13" customHeight="1">
      <c r="A2295" s="4" t="n">
        <v>3476</v>
      </c>
      <c r="B2295" s="5" t="inlineStr">
        <is>
          <t>IMG_0112</t>
        </is>
      </c>
      <c r="C2295" s="5" t="inlineStr">
        <is>
          <t>CLASS N: MISCELLANEOUS METALWORK</t>
        </is>
      </c>
      <c r="D2295" s="5" t="inlineStr">
        <is>
          <t>02 PROPRIETARY WORK</t>
        </is>
      </c>
      <c r="E2295" s="5" t="inlineStr">
        <is>
          <t>Extra for</t>
        </is>
      </c>
      <c r="F2295" s="5" t="inlineStr">
        <is>
          <t>surfaces inclined at an angle exceeding 60 deg to the horizontal</t>
        </is>
      </c>
      <c r="G2295" s="6" t="inlineStr">
        <is>
          <t>m2</t>
        </is>
      </c>
      <c r="H2295" s="7" t="n">
        <v>0.16</v>
      </c>
      <c r="I2295" s="8" t="n">
        <v>13.11</v>
      </c>
      <c r="J2295" s="8" t="n">
        <v>1.04</v>
      </c>
      <c r="K2295" s="8" t="n">
        <v>47.84</v>
      </c>
      <c r="L2295" s="8" t="n">
        <v>0</v>
      </c>
      <c r="M2295" s="9">
        <f>ROUND(SUM(I2295:L2295),2)</f>
        <v/>
      </c>
      <c r="N2295" s="10">
        <f>ROUND(I2295*'Irish Basis'!$C$6*'Irish Basis'!$C$5,2)</f>
        <v/>
      </c>
      <c r="O2295" s="10">
        <f>ROUND(J2295*'Irish Basis'!$C$7*'Irish Basis'!$C$5,2)</f>
        <v/>
      </c>
      <c r="P2295" s="10">
        <f>ROUND(K2295*'Irish Basis'!$C$8*'Irish Basis'!$C$5,2)</f>
        <v/>
      </c>
      <c r="Q2295" s="10">
        <f>ROUND(L2295*'Irish Basis'!$C$12*'Irish Basis'!$C$5,2)</f>
        <v/>
      </c>
      <c r="R2295" s="11">
        <f>ROUND(SUM(N2295:Q2295),2)</f>
        <v/>
      </c>
      <c r="S2295" s="5" t="inlineStr">
        <is>
          <t>Stated build-up</t>
        </is>
      </c>
      <c r="T2295" s="12" t="inlineStr">
        <is>
          <t>High</t>
        </is>
      </c>
      <c r="U2295" s="8" t="n">
        <v>61.99</v>
      </c>
      <c r="V2295" s="13">
        <f>IF(U2295="","",ROUND(M2295-U2295,2))</f>
        <v/>
      </c>
      <c r="W2295" s="5" t="n"/>
      <c r="X2295" s="5" t="inlineStr">
        <is>
          <t>Labour + plant + material as published; reconciles to the published rate.</t>
        </is>
      </c>
    </row>
    <row r="2296" ht="13" customHeight="1">
      <c r="A2296" s="4" t="n">
        <v>3478</v>
      </c>
      <c r="B2296" s="5" t="inlineStr">
        <is>
          <t>IMG_0112</t>
        </is>
      </c>
      <c r="C2296" s="5" t="inlineStr">
        <is>
          <t>CLASS N: MISCELLANEOUS METALWORK</t>
        </is>
      </c>
      <c r="D2296" s="5" t="inlineStr">
        <is>
          <t>02 PROPRIETARY WORK</t>
        </is>
      </c>
      <c r="E2296" s="5" t="inlineStr">
        <is>
          <t>Extra for</t>
        </is>
      </c>
      <c r="F2296" s="5" t="inlineStr">
        <is>
          <t>galvanized steel inner lining sheet, 0.40 mm thick, Plastisol colour coating</t>
        </is>
      </c>
      <c r="G2296" s="6" t="inlineStr">
        <is>
          <t>m2</t>
        </is>
      </c>
      <c r="H2296" s="7" t="n">
        <v>0.11</v>
      </c>
      <c r="I2296" s="8" t="n">
        <v>9.01</v>
      </c>
      <c r="J2296" s="8" t="n">
        <v>0.72</v>
      </c>
      <c r="K2296" s="8" t="n">
        <v>27.2</v>
      </c>
      <c r="L2296" s="8" t="n">
        <v>0</v>
      </c>
      <c r="M2296" s="9">
        <f>ROUND(SUM(I2296:L2296),2)</f>
        <v/>
      </c>
      <c r="N2296" s="10">
        <f>ROUND(I2296*'Irish Basis'!$C$6*'Irish Basis'!$C$5,2)</f>
        <v/>
      </c>
      <c r="O2296" s="10">
        <f>ROUND(J2296*'Irish Basis'!$C$7*'Irish Basis'!$C$5,2)</f>
        <v/>
      </c>
      <c r="P2296" s="10">
        <f>ROUND(K2296*'Irish Basis'!$C$8*'Irish Basis'!$C$5,2)</f>
        <v/>
      </c>
      <c r="Q2296" s="10">
        <f>ROUND(L2296*'Irish Basis'!$C$12*'Irish Basis'!$C$5,2)</f>
        <v/>
      </c>
      <c r="R2296" s="11">
        <f>ROUND(SUM(N2296:Q2296),2)</f>
        <v/>
      </c>
      <c r="S2296" s="5" t="inlineStr">
        <is>
          <t>Stated build-up</t>
        </is>
      </c>
      <c r="T2296" s="12" t="inlineStr">
        <is>
          <t>High</t>
        </is>
      </c>
      <c r="U2296" s="8" t="n">
        <v>36.93</v>
      </c>
      <c r="V2296" s="13">
        <f>IF(U2296="","",ROUND(M2296-U2296,2))</f>
        <v/>
      </c>
      <c r="W2296" s="5" t="n"/>
      <c r="X2296" s="5" t="inlineStr">
        <is>
          <t>Labour + plant + material as published; reconciles to the published rate.</t>
        </is>
      </c>
    </row>
    <row r="2297" ht="13" customHeight="1">
      <c r="A2297" s="4" t="n">
        <v>3479</v>
      </c>
      <c r="B2297" s="5" t="inlineStr">
        <is>
          <t>IMG_0112</t>
        </is>
      </c>
      <c r="C2297" s="5" t="inlineStr">
        <is>
          <t>CLASS N: MISCELLANEOUS METALWORK</t>
        </is>
      </c>
      <c r="D2297" s="5" t="inlineStr">
        <is>
          <t>02 PROPRIETARY WORK</t>
        </is>
      </c>
      <c r="E2297" s="5" t="inlineStr">
        <is>
          <t>Extra for</t>
        </is>
      </c>
      <c r="F2297" s="5" t="inlineStr">
        <is>
          <t>galvanized steel inner lining sheet, 0.40 mm thick, Plastisol colour coating; insulation, 80 mm thick</t>
        </is>
      </c>
      <c r="G2297" s="6" t="inlineStr">
        <is>
          <t>m2</t>
        </is>
      </c>
      <c r="H2297" s="7" t="n">
        <v>0.13</v>
      </c>
      <c r="I2297" s="8" t="n">
        <v>10.65</v>
      </c>
      <c r="J2297" s="8" t="n">
        <v>0.85</v>
      </c>
      <c r="K2297" s="8" t="n">
        <v>101.49</v>
      </c>
      <c r="L2297" s="8" t="n">
        <v>0</v>
      </c>
      <c r="M2297" s="9">
        <f>ROUND(SUM(I2297:L2297),2)</f>
        <v/>
      </c>
      <c r="N2297" s="10">
        <f>ROUND(I2297*'Irish Basis'!$C$6*'Irish Basis'!$C$5,2)</f>
        <v/>
      </c>
      <c r="O2297" s="10">
        <f>ROUND(J2297*'Irish Basis'!$C$7*'Irish Basis'!$C$5,2)</f>
        <v/>
      </c>
      <c r="P2297" s="10">
        <f>ROUND(K2297*'Irish Basis'!$C$8*'Irish Basis'!$C$5,2)</f>
        <v/>
      </c>
      <c r="Q2297" s="10">
        <f>ROUND(L2297*'Irish Basis'!$C$12*'Irish Basis'!$C$5,2)</f>
        <v/>
      </c>
      <c r="R2297" s="11">
        <f>ROUND(SUM(N2297:Q2297),2)</f>
        <v/>
      </c>
      <c r="S2297" s="5" t="inlineStr">
        <is>
          <t>Stated build-up</t>
        </is>
      </c>
      <c r="T2297" s="12" t="inlineStr">
        <is>
          <t>High</t>
        </is>
      </c>
      <c r="U2297" s="8" t="n">
        <v>112.99</v>
      </c>
      <c r="V2297" s="13">
        <f>IF(U2297="","",ROUND(M2297-U2297,2))</f>
        <v/>
      </c>
      <c r="W2297" s="5" t="n"/>
      <c r="X2297" s="5" t="inlineStr">
        <is>
          <t>Labour + plant + material as published; reconciles to the published rate.</t>
        </is>
      </c>
    </row>
    <row r="2298" ht="13" customHeight="1">
      <c r="A2298" s="4" t="n">
        <v>3481</v>
      </c>
      <c r="B2298" s="5" t="inlineStr">
        <is>
          <t>IMG_0112</t>
        </is>
      </c>
      <c r="C2298" s="5" t="inlineStr">
        <is>
          <t>CLASS N: MISCELLANEOUS METALWORK</t>
        </is>
      </c>
      <c r="D2298" s="5" t="inlineStr">
        <is>
          <t>02 PROPRIETARY WORK</t>
        </is>
      </c>
      <c r="E2298" s="5" t="inlineStr">
        <is>
          <t>Galvanized steel flashings; 0.90 mm metal thickness; bent to profile; fixing with plastic capped self-tapping screws to steel purlins or rails; mastic sealant; Flashings to cladding</t>
        </is>
      </c>
      <c r="F2298" s="5" t="inlineStr">
        <is>
          <t>250 mm girth</t>
        </is>
      </c>
      <c r="G2298" s="6" t="inlineStr">
        <is>
          <t>m</t>
        </is>
      </c>
      <c r="H2298" s="7" t="n">
        <v>0.12</v>
      </c>
      <c r="I2298" s="8" t="n">
        <v>9.83</v>
      </c>
      <c r="J2298" s="8" t="n">
        <v>0.78</v>
      </c>
      <c r="K2298" s="8" t="n">
        <v>33.91</v>
      </c>
      <c r="L2298" s="8" t="n">
        <v>0</v>
      </c>
      <c r="M2298" s="9">
        <f>ROUND(SUM(I2298:L2298),2)</f>
        <v/>
      </c>
      <c r="N2298" s="10">
        <f>ROUND(I2298*'Irish Basis'!$C$6*'Irish Basis'!$C$5,2)</f>
        <v/>
      </c>
      <c r="O2298" s="10">
        <f>ROUND(J2298*'Irish Basis'!$C$7*'Irish Basis'!$C$5,2)</f>
        <v/>
      </c>
      <c r="P2298" s="10">
        <f>ROUND(K2298*'Irish Basis'!$C$8*'Irish Basis'!$C$5,2)</f>
        <v/>
      </c>
      <c r="Q2298" s="10">
        <f>ROUND(L2298*'Irish Basis'!$C$12*'Irish Basis'!$C$5,2)</f>
        <v/>
      </c>
      <c r="R2298" s="11">
        <f>ROUND(SUM(N2298:Q2298),2)</f>
        <v/>
      </c>
      <c r="S2298" s="5" t="inlineStr">
        <is>
          <t>Stated build-up</t>
        </is>
      </c>
      <c r="T2298" s="12" t="inlineStr">
        <is>
          <t>High</t>
        </is>
      </c>
      <c r="U2298" s="8" t="n">
        <v>44.53</v>
      </c>
      <c r="V2298" s="13">
        <f>IF(U2298="","",ROUND(M2298-U2298,2))</f>
        <v/>
      </c>
      <c r="W2298" s="5" t="n"/>
      <c r="X2298" s="5" t="inlineStr">
        <is>
          <t>Labour + plant + material as published; reconciles to the published rate.</t>
        </is>
      </c>
    </row>
    <row r="2299" ht="13" customHeight="1">
      <c r="A2299" s="4" t="n">
        <v>3482</v>
      </c>
      <c r="B2299" s="5" t="inlineStr">
        <is>
          <t>IMG_0112</t>
        </is>
      </c>
      <c r="C2299" s="5" t="inlineStr">
        <is>
          <t>CLASS N: MISCELLANEOUS METALWORK</t>
        </is>
      </c>
      <c r="D2299" s="5" t="inlineStr">
        <is>
          <t>02 PROPRIETARY WORK</t>
        </is>
      </c>
      <c r="E2299" s="5" t="inlineStr">
        <is>
          <t>Galvanized steel flashings; 0.90 mm metal thickness; bent to profile; fixing with plastic capped self-tapping screws to steel purlins or rails; mastic sealant; Flashings to cladding</t>
        </is>
      </c>
      <c r="F2299" s="5" t="inlineStr">
        <is>
          <t>500 mm girth</t>
        </is>
      </c>
      <c r="G2299" s="6" t="inlineStr">
        <is>
          <t>m</t>
        </is>
      </c>
      <c r="H2299" s="7" t="n">
        <v>0.18</v>
      </c>
      <c r="I2299" s="8" t="n">
        <v>14.75</v>
      </c>
      <c r="J2299" s="8" t="n">
        <v>1.17</v>
      </c>
      <c r="K2299" s="8" t="n">
        <v>49.36</v>
      </c>
      <c r="L2299" s="8" t="n">
        <v>0</v>
      </c>
      <c r="M2299" s="9">
        <f>ROUND(SUM(I2299:L2299),2)</f>
        <v/>
      </c>
      <c r="N2299" s="10">
        <f>ROUND(I2299*'Irish Basis'!$C$6*'Irish Basis'!$C$5,2)</f>
        <v/>
      </c>
      <c r="O2299" s="10">
        <f>ROUND(J2299*'Irish Basis'!$C$7*'Irish Basis'!$C$5,2)</f>
        <v/>
      </c>
      <c r="P2299" s="10">
        <f>ROUND(K2299*'Irish Basis'!$C$8*'Irish Basis'!$C$5,2)</f>
        <v/>
      </c>
      <c r="Q2299" s="10">
        <f>ROUND(L2299*'Irish Basis'!$C$12*'Irish Basis'!$C$5,2)</f>
        <v/>
      </c>
      <c r="R2299" s="11">
        <f>ROUND(SUM(N2299:Q2299),2)</f>
        <v/>
      </c>
      <c r="S2299" s="5" t="inlineStr">
        <is>
          <t>Stated build-up</t>
        </is>
      </c>
      <c r="T2299" s="12" t="inlineStr">
        <is>
          <t>High</t>
        </is>
      </c>
      <c r="U2299" s="8" t="n">
        <v>65.28</v>
      </c>
      <c r="V2299" s="13">
        <f>IF(U2299="","",ROUND(M2299-U2299,2))</f>
        <v/>
      </c>
      <c r="W2299" s="5" t="n"/>
      <c r="X2299" s="5" t="inlineStr">
        <is>
          <t>Labour + plant + material as published; reconciles to the published rate.</t>
        </is>
      </c>
    </row>
    <row r="2300" ht="13" customHeight="1">
      <c r="A2300" s="4" t="n">
        <v>3483</v>
      </c>
      <c r="B2300" s="5" t="inlineStr">
        <is>
          <t>IMG_0112</t>
        </is>
      </c>
      <c r="C2300" s="5" t="inlineStr">
        <is>
          <t>CLASS N: MISCELLANEOUS METALWORK</t>
        </is>
      </c>
      <c r="D2300" s="5" t="inlineStr">
        <is>
          <t>02 PROPRIETARY WORK</t>
        </is>
      </c>
      <c r="E2300" s="5" t="inlineStr">
        <is>
          <t>Galvanized steel flashings; 0.90 mm metal thickness; bent to profile; fixing with plastic capped self-tapping screws to steel purlins or rails; mastic sealant; Flashings to cladding</t>
        </is>
      </c>
      <c r="F2300" s="5" t="inlineStr">
        <is>
          <t>750 mm girth</t>
        </is>
      </c>
      <c r="G2300" s="6" t="inlineStr">
        <is>
          <t>m</t>
        </is>
      </c>
      <c r="H2300" s="7" t="n">
        <v>0.22</v>
      </c>
      <c r="I2300" s="8" t="n">
        <v>18.02</v>
      </c>
      <c r="J2300" s="8" t="n">
        <v>1.43</v>
      </c>
      <c r="K2300" s="8" t="n">
        <v>54.51</v>
      </c>
      <c r="L2300" s="8" t="n">
        <v>0</v>
      </c>
      <c r="M2300" s="9">
        <f>ROUND(SUM(I2300:L2300),2)</f>
        <v/>
      </c>
      <c r="N2300" s="10">
        <f>ROUND(I2300*'Irish Basis'!$C$6*'Irish Basis'!$C$5,2)</f>
        <v/>
      </c>
      <c r="O2300" s="10">
        <f>ROUND(J2300*'Irish Basis'!$C$7*'Irish Basis'!$C$5,2)</f>
        <v/>
      </c>
      <c r="P2300" s="10">
        <f>ROUND(K2300*'Irish Basis'!$C$8*'Irish Basis'!$C$5,2)</f>
        <v/>
      </c>
      <c r="Q2300" s="10">
        <f>ROUND(L2300*'Irish Basis'!$C$12*'Irish Basis'!$C$5,2)</f>
        <v/>
      </c>
      <c r="R2300" s="11">
        <f>ROUND(SUM(N2300:Q2300),2)</f>
        <v/>
      </c>
      <c r="S2300" s="5" t="inlineStr">
        <is>
          <t>Stated build-up</t>
        </is>
      </c>
      <c r="T2300" s="12" t="inlineStr">
        <is>
          <t>High</t>
        </is>
      </c>
      <c r="U2300" s="8" t="n">
        <v>73.97</v>
      </c>
      <c r="V2300" s="13">
        <f>IF(U2300="","",ROUND(M2300-U2300,2))</f>
        <v/>
      </c>
      <c r="W2300" s="5" t="n"/>
      <c r="X2300" s="5" t="inlineStr">
        <is>
          <t>Labour + plant + material as published; reconciles to the published rate.</t>
        </is>
      </c>
    </row>
    <row r="2301" ht="13" customHeight="1">
      <c r="A2301" s="4" t="n">
        <v>3485</v>
      </c>
      <c r="B2301" s="5" t="inlineStr">
        <is>
          <t>IMG_0112</t>
        </is>
      </c>
      <c r="C2301" s="5" t="inlineStr">
        <is>
          <t>CLASS N: MISCELLANEOUS METALWORK</t>
        </is>
      </c>
      <c r="D2301" s="5" t="inlineStr">
        <is>
          <t>02 PROPRIETARY WORK</t>
        </is>
      </c>
      <c r="E2301" s="5" t="inlineStr">
        <is>
          <t>Aluminium profiled sheeting; 0.90 mm metal thickness, 75 mm deep corrugations; colour coating each side; fixing with plastic capped self-tapping screws to steel purlins or rails; Cladding</t>
        </is>
      </c>
      <c r="F2301" s="5" t="inlineStr">
        <is>
          <t>upper surfaces inclined at an angle exceeding 60 deg to the horizontal</t>
        </is>
      </c>
      <c r="G2301" s="6" t="inlineStr">
        <is>
          <t>m2</t>
        </is>
      </c>
      <c r="H2301" s="7" t="n">
        <v>0.2</v>
      </c>
      <c r="I2301" s="8" t="n">
        <v>16.39</v>
      </c>
      <c r="J2301" s="8" t="n">
        <v>1.3</v>
      </c>
      <c r="K2301" s="8" t="n">
        <v>61.84</v>
      </c>
      <c r="L2301" s="8" t="n">
        <v>0</v>
      </c>
      <c r="M2301" s="9">
        <f>ROUND(SUM(I2301:L2301),2)</f>
        <v/>
      </c>
      <c r="N2301" s="10">
        <f>ROUND(I2301*'Irish Basis'!$C$6*'Irish Basis'!$C$5,2)</f>
        <v/>
      </c>
      <c r="O2301" s="10">
        <f>ROUND(J2301*'Irish Basis'!$C$7*'Irish Basis'!$C$5,2)</f>
        <v/>
      </c>
      <c r="P2301" s="10">
        <f>ROUND(K2301*'Irish Basis'!$C$8*'Irish Basis'!$C$5,2)</f>
        <v/>
      </c>
      <c r="Q2301" s="10">
        <f>ROUND(L2301*'Irish Basis'!$C$12*'Irish Basis'!$C$5,2)</f>
        <v/>
      </c>
      <c r="R2301" s="11">
        <f>ROUND(SUM(N2301:Q2301),2)</f>
        <v/>
      </c>
      <c r="S2301" s="5" t="inlineStr">
        <is>
          <t>Stated build-up</t>
        </is>
      </c>
      <c r="T2301" s="12" t="inlineStr">
        <is>
          <t>High</t>
        </is>
      </c>
      <c r="U2301" s="8" t="n">
        <v>79.53</v>
      </c>
      <c r="V2301" s="13">
        <f>IF(U2301="","",ROUND(M2301-U2301,2))</f>
        <v/>
      </c>
      <c r="W2301" s="5" t="n"/>
      <c r="X2301" s="5" t="inlineStr">
        <is>
          <t>Labour + plant + material as published; reconciles to the published rate.</t>
        </is>
      </c>
    </row>
    <row r="2302" ht="13" customHeight="1">
      <c r="A2302" s="4" t="n">
        <v>3487</v>
      </c>
      <c r="B2302" s="5" t="inlineStr">
        <is>
          <t>IMG_0112</t>
        </is>
      </c>
      <c r="C2302" s="5" t="inlineStr">
        <is>
          <t>CLASS N: MISCELLANEOUS METALWORK</t>
        </is>
      </c>
      <c r="D2302" s="5" t="inlineStr">
        <is>
          <t>02 PROPRIETARY WORK</t>
        </is>
      </c>
      <c r="E2302" s="5" t="inlineStr">
        <is>
          <t>Extra for</t>
        </is>
      </c>
      <c r="F2302" s="5" t="inlineStr">
        <is>
          <t>aluminium inner lining sheet, 0.70 mm thick, Plastisol colour coating</t>
        </is>
      </c>
      <c r="G2302" s="6" t="inlineStr">
        <is>
          <t>m2</t>
        </is>
      </c>
      <c r="H2302" s="7" t="n">
        <v>0.13</v>
      </c>
      <c r="I2302" s="8" t="n">
        <v>10.65</v>
      </c>
      <c r="J2302" s="8" t="n">
        <v>0.95</v>
      </c>
      <c r="K2302" s="8" t="n">
        <v>38.93</v>
      </c>
      <c r="L2302" s="8" t="n">
        <v>0</v>
      </c>
      <c r="M2302" s="9">
        <f>ROUND(SUM(I2302:L2302),2)</f>
        <v/>
      </c>
      <c r="N2302" s="10">
        <f>ROUND(I2302*'Irish Basis'!$C$6*'Irish Basis'!$C$5,2)</f>
        <v/>
      </c>
      <c r="O2302" s="10">
        <f>ROUND(J2302*'Irish Basis'!$C$7*'Irish Basis'!$C$5,2)</f>
        <v/>
      </c>
      <c r="P2302" s="10">
        <f>ROUND(K2302*'Irish Basis'!$C$8*'Irish Basis'!$C$5,2)</f>
        <v/>
      </c>
      <c r="Q2302" s="10">
        <f>ROUND(L2302*'Irish Basis'!$C$12*'Irish Basis'!$C$5,2)</f>
        <v/>
      </c>
      <c r="R2302" s="11">
        <f>ROUND(SUM(N2302:Q2302),2)</f>
        <v/>
      </c>
      <c r="S2302" s="5" t="inlineStr">
        <is>
          <t>Stated build-up</t>
        </is>
      </c>
      <c r="T2302" s="12" t="inlineStr">
        <is>
          <t>High</t>
        </is>
      </c>
      <c r="U2302" s="8" t="n">
        <v>50.52</v>
      </c>
      <c r="V2302" s="13">
        <f>IF(U2302="","",ROUND(M2302-U2302,2))</f>
        <v/>
      </c>
      <c r="W2302" s="5" t="n"/>
      <c r="X2302" s="5" t="inlineStr">
        <is>
          <t>Labour + plant + material as published; reconciles to the published rate.</t>
        </is>
      </c>
    </row>
    <row r="2303" ht="13" customHeight="1">
      <c r="A2303" s="4" t="n">
        <v>3488</v>
      </c>
      <c r="B2303" s="5" t="inlineStr">
        <is>
          <t>IMG_0112</t>
        </is>
      </c>
      <c r="C2303" s="5" t="inlineStr">
        <is>
          <t>CLASS N: MISCELLANEOUS METALWORK</t>
        </is>
      </c>
      <c r="D2303" s="5" t="inlineStr">
        <is>
          <t>02 PROPRIETARY WORK</t>
        </is>
      </c>
      <c r="E2303" s="5" t="inlineStr">
        <is>
          <t>Extra for</t>
        </is>
      </c>
      <c r="F2303" s="5" t="inlineStr">
        <is>
          <t>aluminium inner lining sheet, 0.70 mm thick, Plastisol colour coating; insulation, 80 mm thick</t>
        </is>
      </c>
      <c r="G2303" s="6" t="inlineStr">
        <is>
          <t>m2</t>
        </is>
      </c>
      <c r="H2303" s="7" t="n">
        <v>0.15</v>
      </c>
      <c r="I2303" s="8" t="n">
        <v>12.29</v>
      </c>
      <c r="J2303" s="8" t="n">
        <v>0.98</v>
      </c>
      <c r="K2303" s="8" t="n">
        <v>113.22</v>
      </c>
      <c r="L2303" s="8" t="n">
        <v>0</v>
      </c>
      <c r="M2303" s="9">
        <f>ROUND(SUM(I2303:L2303),2)</f>
        <v/>
      </c>
      <c r="N2303" s="10">
        <f>ROUND(I2303*'Irish Basis'!$C$6*'Irish Basis'!$C$5,2)</f>
        <v/>
      </c>
      <c r="O2303" s="10">
        <f>ROUND(J2303*'Irish Basis'!$C$7*'Irish Basis'!$C$5,2)</f>
        <v/>
      </c>
      <c r="P2303" s="10">
        <f>ROUND(K2303*'Irish Basis'!$C$8*'Irish Basis'!$C$5,2)</f>
        <v/>
      </c>
      <c r="Q2303" s="10">
        <f>ROUND(L2303*'Irish Basis'!$C$12*'Irish Basis'!$C$5,2)</f>
        <v/>
      </c>
      <c r="R2303" s="11">
        <f>ROUND(SUM(N2303:Q2303),2)</f>
        <v/>
      </c>
      <c r="S2303" s="5" t="inlineStr">
        <is>
          <t>Stated build-up</t>
        </is>
      </c>
      <c r="T2303" s="12" t="inlineStr">
        <is>
          <t>High</t>
        </is>
      </c>
      <c r="U2303" s="8" t="n">
        <v>126.49</v>
      </c>
      <c r="V2303" s="13">
        <f>IF(U2303="","",ROUND(M2303-U2303,2))</f>
        <v/>
      </c>
      <c r="W2303" s="5" t="n"/>
      <c r="X2303" s="5" t="inlineStr">
        <is>
          <t>Labour + plant + material as published; reconciles to the published rate.</t>
        </is>
      </c>
    </row>
    <row r="2304" ht="13" customHeight="1">
      <c r="A2304" s="4" t="n">
        <v>3491</v>
      </c>
      <c r="B2304" s="5" t="inlineStr">
        <is>
          <t>IMG_0113</t>
        </is>
      </c>
      <c r="C2304" s="5" t="inlineStr">
        <is>
          <t>CLASS N: MISCELLANEOUS METALWORK</t>
        </is>
      </c>
      <c r="D2304" s="5" t="inlineStr">
        <is>
          <t>02 PROPRIETARY WORK</t>
        </is>
      </c>
      <c r="E2304" s="5" t="inlineStr">
        <is>
          <t>Aluminium profiled sheeting; 1.00 mm metal thickness, 75 mm deep corrugations; Cladding (continued)</t>
        </is>
      </c>
      <c r="F2304" s="5" t="inlineStr">
        <is>
          <t>upper surfaces inclined at an angle ne 30 deg to the horizontal</t>
        </is>
      </c>
      <c r="G2304" s="6" t="inlineStr">
        <is>
          <t>m2</t>
        </is>
      </c>
      <c r="H2304" s="7" t="n">
        <v>0.17</v>
      </c>
      <c r="I2304" s="8" t="n">
        <v>13.93</v>
      </c>
      <c r="J2304" s="8" t="n">
        <v>0.55</v>
      </c>
      <c r="K2304" s="8" t="n">
        <v>77.3</v>
      </c>
      <c r="L2304" s="8" t="n">
        <v>0</v>
      </c>
      <c r="M2304" s="9">
        <f>ROUND(SUM(I2304:L2304),2)</f>
        <v/>
      </c>
      <c r="N2304" s="10">
        <f>ROUND(I2304*'Irish Basis'!$C$6*'Irish Basis'!$C$5,2)</f>
        <v/>
      </c>
      <c r="O2304" s="10">
        <f>ROUND(J2304*'Irish Basis'!$C$7*'Irish Basis'!$C$5,2)</f>
        <v/>
      </c>
      <c r="P2304" s="10">
        <f>ROUND(K2304*'Irish Basis'!$C$8*'Irish Basis'!$C$5,2)</f>
        <v/>
      </c>
      <c r="Q2304" s="10">
        <f>ROUND(L2304*'Irish Basis'!$C$12*'Irish Basis'!$C$5,2)</f>
        <v/>
      </c>
      <c r="R2304" s="11">
        <f>ROUND(SUM(N2304:Q2304),2)</f>
        <v/>
      </c>
      <c r="S2304" s="5" t="inlineStr">
        <is>
          <t>Stated build-up</t>
        </is>
      </c>
      <c r="T2304" s="12" t="inlineStr">
        <is>
          <t>High</t>
        </is>
      </c>
      <c r="U2304" s="8" t="n">
        <v>91.78</v>
      </c>
      <c r="V2304" s="13">
        <f>IF(U2304="","",ROUND(M2304-U2304,2))</f>
        <v/>
      </c>
      <c r="W2304" s="5" t="n"/>
      <c r="X2304" s="5" t="inlineStr">
        <is>
          <t>Labour + plant + material as published; reconciles to the published rate.</t>
        </is>
      </c>
    </row>
    <row r="2305" ht="13" customHeight="1">
      <c r="A2305" s="4" t="n">
        <v>3493</v>
      </c>
      <c r="B2305" s="5" t="inlineStr">
        <is>
          <t>IMG_0113</t>
        </is>
      </c>
      <c r="C2305" s="5" t="inlineStr">
        <is>
          <t>CLASS N: MISCELLANEOUS METALWORK</t>
        </is>
      </c>
      <c r="D2305" s="5" t="inlineStr">
        <is>
          <t>02 PROPRIETARY WORK</t>
        </is>
      </c>
      <c r="E2305" s="5" t="inlineStr">
        <is>
          <t>Extra for</t>
        </is>
      </c>
      <c r="F2305" s="5" t="inlineStr">
        <is>
          <t>aluminium inner lining sheet, 0.70 mm thick, Plastisol colour coating</t>
        </is>
      </c>
      <c r="G2305" s="6" t="inlineStr">
        <is>
          <t>m2</t>
        </is>
      </c>
      <c r="H2305" s="7" t="n">
        <v>0.09</v>
      </c>
      <c r="I2305" s="8" t="n">
        <v>7.37</v>
      </c>
      <c r="J2305" s="8" t="n">
        <v>0.29</v>
      </c>
      <c r="K2305" s="8" t="n">
        <v>38.93</v>
      </c>
      <c r="L2305" s="8" t="n">
        <v>0</v>
      </c>
      <c r="M2305" s="9">
        <f>ROUND(SUM(I2305:L2305),2)</f>
        <v/>
      </c>
      <c r="N2305" s="10">
        <f>ROUND(I2305*'Irish Basis'!$C$6*'Irish Basis'!$C$5,2)</f>
        <v/>
      </c>
      <c r="O2305" s="10">
        <f>ROUND(J2305*'Irish Basis'!$C$7*'Irish Basis'!$C$5,2)</f>
        <v/>
      </c>
      <c r="P2305" s="10">
        <f>ROUND(K2305*'Irish Basis'!$C$8*'Irish Basis'!$C$5,2)</f>
        <v/>
      </c>
      <c r="Q2305" s="10">
        <f>ROUND(L2305*'Irish Basis'!$C$12*'Irish Basis'!$C$5,2)</f>
        <v/>
      </c>
      <c r="R2305" s="11">
        <f>ROUND(SUM(N2305:Q2305),2)</f>
        <v/>
      </c>
      <c r="S2305" s="5" t="inlineStr">
        <is>
          <t>Stated build-up</t>
        </is>
      </c>
      <c r="T2305" s="12" t="inlineStr">
        <is>
          <t>High</t>
        </is>
      </c>
      <c r="U2305" s="8" t="n">
        <v>46.6</v>
      </c>
      <c r="V2305" s="13">
        <f>IF(U2305="","",ROUND(M2305-U2305,2))</f>
        <v/>
      </c>
      <c r="W2305" s="5" t="n"/>
      <c r="X2305" s="5" t="inlineStr">
        <is>
          <t>Labour + plant + material as published; reconciles to the published rate.</t>
        </is>
      </c>
    </row>
    <row r="2306" ht="13" customHeight="1">
      <c r="A2306" s="4" t="n">
        <v>3494</v>
      </c>
      <c r="B2306" s="5" t="inlineStr">
        <is>
          <t>IMG_0113</t>
        </is>
      </c>
      <c r="C2306" s="5" t="inlineStr">
        <is>
          <t>CLASS N: MISCELLANEOUS METALWORK</t>
        </is>
      </c>
      <c r="D2306" s="5" t="inlineStr">
        <is>
          <t>02 PROPRIETARY WORK</t>
        </is>
      </c>
      <c r="E2306" s="5" t="inlineStr">
        <is>
          <t>Extra for</t>
        </is>
      </c>
      <c r="F2306" s="5" t="inlineStr">
        <is>
          <t>aluminium inner lining sheet, 0.70 mm thick, Plastisol colour coating; insulation, 80 mm thick</t>
        </is>
      </c>
      <c r="G2306" s="6" t="inlineStr">
        <is>
          <t>m2</t>
        </is>
      </c>
      <c r="H2306" s="7" t="n">
        <v>0.11</v>
      </c>
      <c r="I2306" s="8" t="n">
        <v>9.01</v>
      </c>
      <c r="J2306" s="8" t="n">
        <v>0.36</v>
      </c>
      <c r="K2306" s="8" t="n">
        <v>113.22</v>
      </c>
      <c r="L2306" s="8" t="n">
        <v>0</v>
      </c>
      <c r="M2306" s="9">
        <f>ROUND(SUM(I2306:L2306),2)</f>
        <v/>
      </c>
      <c r="N2306" s="10">
        <f>ROUND(I2306*'Irish Basis'!$C$6*'Irish Basis'!$C$5,2)</f>
        <v/>
      </c>
      <c r="O2306" s="10">
        <f>ROUND(J2306*'Irish Basis'!$C$7*'Irish Basis'!$C$5,2)</f>
        <v/>
      </c>
      <c r="P2306" s="10">
        <f>ROUND(K2306*'Irish Basis'!$C$8*'Irish Basis'!$C$5,2)</f>
        <v/>
      </c>
      <c r="Q2306" s="10">
        <f>ROUND(L2306*'Irish Basis'!$C$12*'Irish Basis'!$C$5,2)</f>
        <v/>
      </c>
      <c r="R2306" s="11">
        <f>ROUND(SUM(N2306:Q2306),2)</f>
        <v/>
      </c>
      <c r="S2306" s="5" t="inlineStr">
        <is>
          <t>Stated build-up</t>
        </is>
      </c>
      <c r="T2306" s="12" t="inlineStr">
        <is>
          <t>High</t>
        </is>
      </c>
      <c r="U2306" s="8" t="n">
        <v>122.59</v>
      </c>
      <c r="V2306" s="13">
        <f>IF(U2306="","",ROUND(M2306-U2306,2))</f>
        <v/>
      </c>
      <c r="W2306" s="5" t="n"/>
      <c r="X2306" s="5" t="inlineStr">
        <is>
          <t>Labour + plant + material as published; reconciles to the published rate.</t>
        </is>
      </c>
    </row>
    <row r="2307" ht="13" customHeight="1">
      <c r="A2307" s="4" t="n">
        <v>3496</v>
      </c>
      <c r="B2307" s="5" t="inlineStr">
        <is>
          <t>IMG_0113</t>
        </is>
      </c>
      <c r="C2307" s="5" t="inlineStr">
        <is>
          <t>CLASS N: MISCELLANEOUS METALWORK</t>
        </is>
      </c>
      <c r="D2307" s="5" t="inlineStr">
        <is>
          <t>02 PROPRIETARY WORK</t>
        </is>
      </c>
      <c r="E2307" s="5" t="inlineStr">
        <is>
          <t>Aluminium flashings; 0.90 mm metal thickness; bent to profile; fixing with plastic capped self-tapping screws to steel purlins or rails; mastic sealant; Flashings to cladding</t>
        </is>
      </c>
      <c r="F2307" s="5" t="inlineStr">
        <is>
          <t>250 mm girth</t>
        </is>
      </c>
      <c r="G2307" s="6" t="inlineStr">
        <is>
          <t>m</t>
        </is>
      </c>
      <c r="H2307" s="7" t="n">
        <v>0.12</v>
      </c>
      <c r="I2307" s="8" t="n">
        <v>9.83</v>
      </c>
      <c r="J2307" s="8" t="n">
        <v>0.78</v>
      </c>
      <c r="K2307" s="8" t="n">
        <v>34.32</v>
      </c>
      <c r="L2307" s="8" t="n">
        <v>0</v>
      </c>
      <c r="M2307" s="9">
        <f>ROUND(SUM(I2307:L2307),2)</f>
        <v/>
      </c>
      <c r="N2307" s="10">
        <f>ROUND(I2307*'Irish Basis'!$C$6*'Irish Basis'!$C$5,2)</f>
        <v/>
      </c>
      <c r="O2307" s="10">
        <f>ROUND(J2307*'Irish Basis'!$C$7*'Irish Basis'!$C$5,2)</f>
        <v/>
      </c>
      <c r="P2307" s="10">
        <f>ROUND(K2307*'Irish Basis'!$C$8*'Irish Basis'!$C$5,2)</f>
        <v/>
      </c>
      <c r="Q2307" s="10">
        <f>ROUND(L2307*'Irish Basis'!$C$12*'Irish Basis'!$C$5,2)</f>
        <v/>
      </c>
      <c r="R2307" s="11">
        <f>ROUND(SUM(N2307:Q2307),2)</f>
        <v/>
      </c>
      <c r="S2307" s="5" t="inlineStr">
        <is>
          <t>Stated build-up</t>
        </is>
      </c>
      <c r="T2307" s="12" t="inlineStr">
        <is>
          <t>High</t>
        </is>
      </c>
      <c r="U2307" s="8" t="n">
        <v>44.94</v>
      </c>
      <c r="V2307" s="13">
        <f>IF(U2307="","",ROUND(M2307-U2307,2))</f>
        <v/>
      </c>
      <c r="W2307" s="5" t="n"/>
      <c r="X2307" s="5" t="inlineStr">
        <is>
          <t>Labour + plant + material as published; reconciles to the published rate.</t>
        </is>
      </c>
    </row>
    <row r="2308" ht="13" customHeight="1">
      <c r="A2308" s="4" t="n">
        <v>3497</v>
      </c>
      <c r="B2308" s="5" t="inlineStr">
        <is>
          <t>IMG_0113</t>
        </is>
      </c>
      <c r="C2308" s="5" t="inlineStr">
        <is>
          <t>CLASS N: MISCELLANEOUS METALWORK</t>
        </is>
      </c>
      <c r="D2308" s="5" t="inlineStr">
        <is>
          <t>02 PROPRIETARY WORK</t>
        </is>
      </c>
      <c r="E2308" s="5" t="inlineStr">
        <is>
          <t>Aluminium flashings; 0.90 mm metal thickness; bent to profile; fixing with plastic capped self-tapping screws to steel purlins or rails; mastic sealant; Flashings to cladding</t>
        </is>
      </c>
      <c r="F2308" s="5" t="inlineStr">
        <is>
          <t>500 mm girth</t>
        </is>
      </c>
      <c r="G2308" s="6" t="inlineStr">
        <is>
          <t>m</t>
        </is>
      </c>
      <c r="H2308" s="7" t="n">
        <v>0.18</v>
      </c>
      <c r="I2308" s="8" t="n">
        <v>14.75</v>
      </c>
      <c r="J2308" s="8" t="n">
        <v>1.17</v>
      </c>
      <c r="K2308" s="8" t="n">
        <v>49.78</v>
      </c>
      <c r="L2308" s="8" t="n">
        <v>0</v>
      </c>
      <c r="M2308" s="9">
        <f>ROUND(SUM(I2308:L2308),2)</f>
        <v/>
      </c>
      <c r="N2308" s="10">
        <f>ROUND(I2308*'Irish Basis'!$C$6*'Irish Basis'!$C$5,2)</f>
        <v/>
      </c>
      <c r="O2308" s="10">
        <f>ROUND(J2308*'Irish Basis'!$C$7*'Irish Basis'!$C$5,2)</f>
        <v/>
      </c>
      <c r="P2308" s="10">
        <f>ROUND(K2308*'Irish Basis'!$C$8*'Irish Basis'!$C$5,2)</f>
        <v/>
      </c>
      <c r="Q2308" s="10">
        <f>ROUND(L2308*'Irish Basis'!$C$12*'Irish Basis'!$C$5,2)</f>
        <v/>
      </c>
      <c r="R2308" s="11">
        <f>ROUND(SUM(N2308:Q2308),2)</f>
        <v/>
      </c>
      <c r="S2308" s="5" t="inlineStr">
        <is>
          <t>Stated build-up</t>
        </is>
      </c>
      <c r="T2308" s="12" t="inlineStr">
        <is>
          <t>High</t>
        </is>
      </c>
      <c r="U2308" s="8" t="n">
        <v>65.7</v>
      </c>
      <c r="V2308" s="13">
        <f>IF(U2308="","",ROUND(M2308-U2308,2))</f>
        <v/>
      </c>
      <c r="W2308" s="5" t="n"/>
      <c r="X2308" s="5" t="inlineStr">
        <is>
          <t>Labour + plant + material as published; reconciles to the published rate.</t>
        </is>
      </c>
    </row>
    <row r="2309" ht="13" customHeight="1">
      <c r="A2309" s="4" t="n">
        <v>3498</v>
      </c>
      <c r="B2309" s="5" t="inlineStr">
        <is>
          <t>IMG_0113</t>
        </is>
      </c>
      <c r="C2309" s="5" t="inlineStr">
        <is>
          <t>CLASS N: MISCELLANEOUS METALWORK</t>
        </is>
      </c>
      <c r="D2309" s="5" t="inlineStr">
        <is>
          <t>02 PROPRIETARY WORK</t>
        </is>
      </c>
      <c r="E2309" s="5" t="inlineStr">
        <is>
          <t>Aluminium flashings; 0.90 mm metal thickness; bent to profile; fixing with plastic capped self-tapping screws to steel purlins or rails; mastic sealant; Flashings to cladding</t>
        </is>
      </c>
      <c r="F2309" s="5" t="inlineStr">
        <is>
          <t>750 mm girth</t>
        </is>
      </c>
      <c r="G2309" s="6" t="inlineStr">
        <is>
          <t>m</t>
        </is>
      </c>
      <c r="H2309" s="7" t="n">
        <v>0.22</v>
      </c>
      <c r="I2309" s="8" t="n">
        <v>18.02</v>
      </c>
      <c r="J2309" s="8" t="n">
        <v>1.43</v>
      </c>
      <c r="K2309" s="8" t="n">
        <v>55.72</v>
      </c>
      <c r="L2309" s="8" t="n">
        <v>0</v>
      </c>
      <c r="M2309" s="9">
        <f>ROUND(SUM(I2309:L2309),2)</f>
        <v/>
      </c>
      <c r="N2309" s="10">
        <f>ROUND(I2309*'Irish Basis'!$C$6*'Irish Basis'!$C$5,2)</f>
        <v/>
      </c>
      <c r="O2309" s="10">
        <f>ROUND(J2309*'Irish Basis'!$C$7*'Irish Basis'!$C$5,2)</f>
        <v/>
      </c>
      <c r="P2309" s="10">
        <f>ROUND(K2309*'Irish Basis'!$C$8*'Irish Basis'!$C$5,2)</f>
        <v/>
      </c>
      <c r="Q2309" s="10">
        <f>ROUND(L2309*'Irish Basis'!$C$12*'Irish Basis'!$C$5,2)</f>
        <v/>
      </c>
      <c r="R2309" s="11">
        <f>ROUND(SUM(N2309:Q2309),2)</f>
        <v/>
      </c>
      <c r="S2309" s="5" t="inlineStr">
        <is>
          <t>Stated build-up</t>
        </is>
      </c>
      <c r="T2309" s="12" t="inlineStr">
        <is>
          <t>High</t>
        </is>
      </c>
      <c r="U2309" s="8" t="n">
        <v>75.18000000000001</v>
      </c>
      <c r="V2309" s="13">
        <f>IF(U2309="","",ROUND(M2309-U2309,2))</f>
        <v/>
      </c>
      <c r="W2309" s="5" t="n"/>
      <c r="X2309" s="5" t="inlineStr">
        <is>
          <t>Labour + plant + material as published; reconciles to the published rate.</t>
        </is>
      </c>
    </row>
    <row r="2310" ht="13" customHeight="1">
      <c r="A2310" s="4" t="n">
        <v>3500</v>
      </c>
      <c r="B2310" s="5" t="inlineStr">
        <is>
          <t>IMG_0113</t>
        </is>
      </c>
      <c r="C2310" s="5" t="inlineStr">
        <is>
          <t>CLASS N: MISCELLANEOUS METALWORK</t>
        </is>
      </c>
      <c r="D2310" s="5" t="inlineStr">
        <is>
          <t>02 PROPRIETARY WORK</t>
        </is>
      </c>
      <c r="E2310" s="5" t="inlineStr">
        <is>
          <t>Flooring; Eurogrid; galvanized mild steel; Open grid flooring</t>
        </is>
      </c>
      <c r="F2310" s="5" t="inlineStr">
        <is>
          <t>type 41/100; 3 x 25 mm bearer bar; 6 mm dia. transverse bar</t>
        </is>
      </c>
      <c r="G2310" s="6" t="inlineStr">
        <is>
          <t>m2</t>
        </is>
      </c>
      <c r="H2310" s="7" t="n"/>
      <c r="I2310" s="8" t="n">
        <v>12.77</v>
      </c>
      <c r="J2310" s="8" t="n">
        <v>0</v>
      </c>
      <c r="K2310" s="8" t="n">
        <v>70.89</v>
      </c>
      <c r="L2310" s="8" t="n">
        <v>0</v>
      </c>
      <c r="M2310" s="9">
        <f>ROUND(SUM(I2310:L2310),2)</f>
        <v/>
      </c>
      <c r="N2310" s="10">
        <f>ROUND(I2310*'Irish Basis'!$C$6*'Irish Basis'!$C$5,2)</f>
        <v/>
      </c>
      <c r="O2310" s="10">
        <f>ROUND(J2310*'Irish Basis'!$C$7*'Irish Basis'!$C$5,2)</f>
        <v/>
      </c>
      <c r="P2310" s="10">
        <f>ROUND(K2310*'Irish Basis'!$C$8*'Irish Basis'!$C$5,2)</f>
        <v/>
      </c>
      <c r="Q2310" s="10">
        <f>ROUND(L2310*'Irish Basis'!$C$12*'Irish Basis'!$C$5,2)</f>
        <v/>
      </c>
      <c r="R2310" s="11">
        <f>ROUND(SUM(N2310:Q2310),2)</f>
        <v/>
      </c>
      <c r="S2310" s="5" t="inlineStr">
        <is>
          <t>Apportioned (section)</t>
        </is>
      </c>
      <c r="T2310" s="16" t="inlineStr">
        <is>
          <t>Medium</t>
        </is>
      </c>
      <c r="U2310" s="8" t="n">
        <v>83.66</v>
      </c>
      <c r="V2310" s="13">
        <f>IF(U2310="","",ROUND(M2310-U2310,2))</f>
        <v/>
      </c>
      <c r="W2310" s="5" t="n"/>
      <c r="X2310" s="5" t="inlineStr">
        <is>
          <t>Split from published rate using median L/P/M shares of 48 comparable build-ups at section level (15/0/85).</t>
        </is>
      </c>
    </row>
    <row r="2311" ht="13" customHeight="1">
      <c r="A2311" s="4" t="n">
        <v>3501</v>
      </c>
      <c r="B2311" s="5" t="inlineStr">
        <is>
          <t>IMG_0113</t>
        </is>
      </c>
      <c r="C2311" s="5" t="inlineStr">
        <is>
          <t>CLASS N: MISCELLANEOUS METALWORK</t>
        </is>
      </c>
      <c r="D2311" s="5" t="inlineStr">
        <is>
          <t>02 PROPRIETARY WORK</t>
        </is>
      </c>
      <c r="E2311" s="5" t="inlineStr">
        <is>
          <t>Flooring; Eurogrid; galvanized mild steel; Open grid flooring</t>
        </is>
      </c>
      <c r="F2311" s="5" t="inlineStr">
        <is>
          <t>type 41/100; 5 x 25 mm bearer bar; 6 mm dia. transverse bar</t>
        </is>
      </c>
      <c r="G2311" s="6" t="inlineStr">
        <is>
          <t>m2</t>
        </is>
      </c>
      <c r="H2311" s="7" t="n"/>
      <c r="I2311" s="8" t="n">
        <v>15.67</v>
      </c>
      <c r="J2311" s="8" t="n">
        <v>0</v>
      </c>
      <c r="K2311" s="8" t="n">
        <v>87.02</v>
      </c>
      <c r="L2311" s="8" t="n">
        <v>0</v>
      </c>
      <c r="M2311" s="9">
        <f>ROUND(SUM(I2311:L2311),2)</f>
        <v/>
      </c>
      <c r="N2311" s="10">
        <f>ROUND(I2311*'Irish Basis'!$C$6*'Irish Basis'!$C$5,2)</f>
        <v/>
      </c>
      <c r="O2311" s="10">
        <f>ROUND(J2311*'Irish Basis'!$C$7*'Irish Basis'!$C$5,2)</f>
        <v/>
      </c>
      <c r="P2311" s="10">
        <f>ROUND(K2311*'Irish Basis'!$C$8*'Irish Basis'!$C$5,2)</f>
        <v/>
      </c>
      <c r="Q2311" s="10">
        <f>ROUND(L2311*'Irish Basis'!$C$12*'Irish Basis'!$C$5,2)</f>
        <v/>
      </c>
      <c r="R2311" s="11">
        <f>ROUND(SUM(N2311:Q2311),2)</f>
        <v/>
      </c>
      <c r="S2311" s="5" t="inlineStr">
        <is>
          <t>Apportioned (section)</t>
        </is>
      </c>
      <c r="T2311" s="16" t="inlineStr">
        <is>
          <t>Medium</t>
        </is>
      </c>
      <c r="U2311" s="8" t="n">
        <v>102.69</v>
      </c>
      <c r="V2311" s="13">
        <f>IF(U2311="","",ROUND(M2311-U2311,2))</f>
        <v/>
      </c>
      <c r="W2311" s="5" t="n"/>
      <c r="X2311" s="5" t="inlineStr">
        <is>
          <t>Split from published rate using median L/P/M shares of 48 comparable build-ups at section level (15/0/85).</t>
        </is>
      </c>
    </row>
    <row r="2312" ht="13" customHeight="1">
      <c r="A2312" s="4" t="n">
        <v>3502</v>
      </c>
      <c r="B2312" s="5" t="inlineStr">
        <is>
          <t>IMG_0113</t>
        </is>
      </c>
      <c r="C2312" s="5" t="inlineStr">
        <is>
          <t>CLASS N: MISCELLANEOUS METALWORK</t>
        </is>
      </c>
      <c r="D2312" s="5" t="inlineStr">
        <is>
          <t>02 PROPRIETARY WORK</t>
        </is>
      </c>
      <c r="E2312" s="5" t="inlineStr">
        <is>
          <t>Flooring; Eurogrid; galvanized mild steel; Open grid flooring</t>
        </is>
      </c>
      <c r="F2312" s="5" t="inlineStr">
        <is>
          <t>type 41/100; 3 x 30 mm bearer bar; 6 mm dia. transverse bar</t>
        </is>
      </c>
      <c r="G2312" s="6" t="inlineStr">
        <is>
          <t>m2</t>
        </is>
      </c>
      <c r="H2312" s="7" t="n"/>
      <c r="I2312" s="8" t="n">
        <v>14.58</v>
      </c>
      <c r="J2312" s="8" t="n">
        <v>0</v>
      </c>
      <c r="K2312" s="8" t="n">
        <v>80.98</v>
      </c>
      <c r="L2312" s="8" t="n">
        <v>0</v>
      </c>
      <c r="M2312" s="9">
        <f>ROUND(SUM(I2312:L2312),2)</f>
        <v/>
      </c>
      <c r="N2312" s="10">
        <f>ROUND(I2312*'Irish Basis'!$C$6*'Irish Basis'!$C$5,2)</f>
        <v/>
      </c>
      <c r="O2312" s="10">
        <f>ROUND(J2312*'Irish Basis'!$C$7*'Irish Basis'!$C$5,2)</f>
        <v/>
      </c>
      <c r="P2312" s="10">
        <f>ROUND(K2312*'Irish Basis'!$C$8*'Irish Basis'!$C$5,2)</f>
        <v/>
      </c>
      <c r="Q2312" s="10">
        <f>ROUND(L2312*'Irish Basis'!$C$12*'Irish Basis'!$C$5,2)</f>
        <v/>
      </c>
      <c r="R2312" s="11">
        <f>ROUND(SUM(N2312:Q2312),2)</f>
        <v/>
      </c>
      <c r="S2312" s="5" t="inlineStr">
        <is>
          <t>Apportioned (section)</t>
        </is>
      </c>
      <c r="T2312" s="16" t="inlineStr">
        <is>
          <t>Medium</t>
        </is>
      </c>
      <c r="U2312" s="8" t="n">
        <v>95.56</v>
      </c>
      <c r="V2312" s="13">
        <f>IF(U2312="","",ROUND(M2312-U2312,2))</f>
        <v/>
      </c>
      <c r="W2312" s="5" t="n"/>
      <c r="X2312" s="5" t="inlineStr">
        <is>
          <t>Split from published rate using median L/P/M shares of 48 comparable build-ups at section level (15/0/85).</t>
        </is>
      </c>
    </row>
    <row r="2313" ht="13" customHeight="1">
      <c r="A2313" s="4" t="n">
        <v>3504</v>
      </c>
      <c r="B2313" s="5" t="inlineStr">
        <is>
          <t>IMG_0113</t>
        </is>
      </c>
      <c r="C2313" s="5" t="inlineStr">
        <is>
          <t>CLASS N: MISCELLANEOUS METALWORK</t>
        </is>
      </c>
      <c r="D2313" s="5" t="inlineStr">
        <is>
          <t>02 PROPRIETARY WORK</t>
        </is>
      </c>
      <c r="E2313" s="5" t="inlineStr">
        <is>
          <t>Duct covers; Stelduct; galvanized mild steel; Duct covers; pedestrian duty</t>
        </is>
      </c>
      <c r="F2313" s="5" t="inlineStr">
        <is>
          <t>225 mm clear opening</t>
        </is>
      </c>
      <c r="G2313" s="6" t="inlineStr">
        <is>
          <t>m</t>
        </is>
      </c>
      <c r="H2313" s="7" t="n"/>
      <c r="I2313" s="8" t="n">
        <v>25.46</v>
      </c>
      <c r="J2313" s="8" t="n">
        <v>0</v>
      </c>
      <c r="K2313" s="8" t="n">
        <v>141.38</v>
      </c>
      <c r="L2313" s="8" t="n">
        <v>0</v>
      </c>
      <c r="M2313" s="9">
        <f>ROUND(SUM(I2313:L2313),2)</f>
        <v/>
      </c>
      <c r="N2313" s="10">
        <f>ROUND(I2313*'Irish Basis'!$C$6*'Irish Basis'!$C$5,2)</f>
        <v/>
      </c>
      <c r="O2313" s="10">
        <f>ROUND(J2313*'Irish Basis'!$C$7*'Irish Basis'!$C$5,2)</f>
        <v/>
      </c>
      <c r="P2313" s="10">
        <f>ROUND(K2313*'Irish Basis'!$C$8*'Irish Basis'!$C$5,2)</f>
        <v/>
      </c>
      <c r="Q2313" s="10">
        <f>ROUND(L2313*'Irish Basis'!$C$12*'Irish Basis'!$C$5,2)</f>
        <v/>
      </c>
      <c r="R2313" s="11">
        <f>ROUND(SUM(N2313:Q2313),2)</f>
        <v/>
      </c>
      <c r="S2313" s="5" t="inlineStr">
        <is>
          <t>Apportioned (section)</t>
        </is>
      </c>
      <c r="T2313" s="16" t="inlineStr">
        <is>
          <t>Medium</t>
        </is>
      </c>
      <c r="U2313" s="8" t="n">
        <v>166.84</v>
      </c>
      <c r="V2313" s="13">
        <f>IF(U2313="","",ROUND(M2313-U2313,2))</f>
        <v/>
      </c>
      <c r="W2313" s="5" t="n"/>
      <c r="X2313" s="5" t="inlineStr">
        <is>
          <t>Split from published rate using median L/P/M shares of 48 comparable build-ups at section level (15/0/85).</t>
        </is>
      </c>
    </row>
    <row r="2314" ht="13" customHeight="1">
      <c r="A2314" s="4" t="n">
        <v>3505</v>
      </c>
      <c r="B2314" s="5" t="inlineStr">
        <is>
          <t>IMG_0113</t>
        </is>
      </c>
      <c r="C2314" s="5" t="inlineStr">
        <is>
          <t>CLASS N: MISCELLANEOUS METALWORK</t>
        </is>
      </c>
      <c r="D2314" s="5" t="inlineStr">
        <is>
          <t>02 PROPRIETARY WORK</t>
        </is>
      </c>
      <c r="E2314" s="5" t="inlineStr">
        <is>
          <t>Duct covers; Stelduct; galvanized mild steel; Duct covers; pedestrian duty</t>
        </is>
      </c>
      <c r="F2314" s="5" t="inlineStr">
        <is>
          <t>450 mm clear opening</t>
        </is>
      </c>
      <c r="G2314" s="6" t="inlineStr">
        <is>
          <t>m</t>
        </is>
      </c>
      <c r="H2314" s="7" t="n"/>
      <c r="I2314" s="8" t="n">
        <v>25.52</v>
      </c>
      <c r="J2314" s="8" t="n">
        <v>0</v>
      </c>
      <c r="K2314" s="8" t="n">
        <v>141.74</v>
      </c>
      <c r="L2314" s="8" t="n">
        <v>0</v>
      </c>
      <c r="M2314" s="9">
        <f>ROUND(SUM(I2314:L2314),2)</f>
        <v/>
      </c>
      <c r="N2314" s="10">
        <f>ROUND(I2314*'Irish Basis'!$C$6*'Irish Basis'!$C$5,2)</f>
        <v/>
      </c>
      <c r="O2314" s="10">
        <f>ROUND(J2314*'Irish Basis'!$C$7*'Irish Basis'!$C$5,2)</f>
        <v/>
      </c>
      <c r="P2314" s="10">
        <f>ROUND(K2314*'Irish Basis'!$C$8*'Irish Basis'!$C$5,2)</f>
        <v/>
      </c>
      <c r="Q2314" s="10">
        <f>ROUND(L2314*'Irish Basis'!$C$12*'Irish Basis'!$C$5,2)</f>
        <v/>
      </c>
      <c r="R2314" s="11">
        <f>ROUND(SUM(N2314:Q2314),2)</f>
        <v/>
      </c>
      <c r="S2314" s="5" t="inlineStr">
        <is>
          <t>Apportioned (section)</t>
        </is>
      </c>
      <c r="T2314" s="16" t="inlineStr">
        <is>
          <t>Medium</t>
        </is>
      </c>
      <c r="U2314" s="8" t="n">
        <v>167.26</v>
      </c>
      <c r="V2314" s="13">
        <f>IF(U2314="","",ROUND(M2314-U2314,2))</f>
        <v/>
      </c>
      <c r="W2314" s="5" t="n"/>
      <c r="X2314" s="5" t="inlineStr">
        <is>
          <t>Split from published rate using median L/P/M shares of 48 comparable build-ups at section level (15/0/85).</t>
        </is>
      </c>
    </row>
    <row r="2315" ht="13" customHeight="1">
      <c r="A2315" s="4" t="n">
        <v>3506</v>
      </c>
      <c r="B2315" s="5" t="inlineStr">
        <is>
          <t>IMG_0113</t>
        </is>
      </c>
      <c r="C2315" s="5" t="inlineStr">
        <is>
          <t>CLASS N: MISCELLANEOUS METALWORK</t>
        </is>
      </c>
      <c r="D2315" s="5" t="inlineStr">
        <is>
          <t>02 PROPRIETARY WORK</t>
        </is>
      </c>
      <c r="E2315" s="5" t="inlineStr">
        <is>
          <t>Duct covers; Stelduct; galvanized mild steel; Duct covers; pedestrian duty</t>
        </is>
      </c>
      <c r="F2315" s="5" t="inlineStr">
        <is>
          <t>750 mm clear opening</t>
        </is>
      </c>
      <c r="G2315" s="6" t="inlineStr">
        <is>
          <t>m</t>
        </is>
      </c>
      <c r="H2315" s="7" t="n"/>
      <c r="I2315" s="8" t="n">
        <v>30.49</v>
      </c>
      <c r="J2315" s="8" t="n">
        <v>0</v>
      </c>
      <c r="K2315" s="8" t="n">
        <v>169.3</v>
      </c>
      <c r="L2315" s="8" t="n">
        <v>0</v>
      </c>
      <c r="M2315" s="9">
        <f>ROUND(SUM(I2315:L2315),2)</f>
        <v/>
      </c>
      <c r="N2315" s="10">
        <f>ROUND(I2315*'Irish Basis'!$C$6*'Irish Basis'!$C$5,2)</f>
        <v/>
      </c>
      <c r="O2315" s="10">
        <f>ROUND(J2315*'Irish Basis'!$C$7*'Irish Basis'!$C$5,2)</f>
        <v/>
      </c>
      <c r="P2315" s="10">
        <f>ROUND(K2315*'Irish Basis'!$C$8*'Irish Basis'!$C$5,2)</f>
        <v/>
      </c>
      <c r="Q2315" s="10">
        <f>ROUND(L2315*'Irish Basis'!$C$12*'Irish Basis'!$C$5,2)</f>
        <v/>
      </c>
      <c r="R2315" s="11">
        <f>ROUND(SUM(N2315:Q2315),2)</f>
        <v/>
      </c>
      <c r="S2315" s="5" t="inlineStr">
        <is>
          <t>Apportioned (section)</t>
        </is>
      </c>
      <c r="T2315" s="16" t="inlineStr">
        <is>
          <t>Medium</t>
        </is>
      </c>
      <c r="U2315" s="8" t="n">
        <v>199.79</v>
      </c>
      <c r="V2315" s="13">
        <f>IF(U2315="","",ROUND(M2315-U2315,2))</f>
        <v/>
      </c>
      <c r="W2315" s="5" t="n"/>
      <c r="X2315" s="5" t="inlineStr">
        <is>
          <t>Split from published rate using median L/P/M shares of 48 comparable build-ups at section level (15/0/85).</t>
        </is>
      </c>
    </row>
    <row r="2316" ht="13" customHeight="1">
      <c r="A2316" s="4" t="n">
        <v>3508</v>
      </c>
      <c r="B2316" s="5" t="inlineStr">
        <is>
          <t>IMG_0113</t>
        </is>
      </c>
      <c r="C2316" s="5" t="inlineStr">
        <is>
          <t>CLASS N: MISCELLANEOUS METALWORK</t>
        </is>
      </c>
      <c r="D2316" s="5" t="inlineStr">
        <is>
          <t>02 PROPRIETARY WORK</t>
        </is>
      </c>
      <c r="E2316" s="5" t="inlineStr">
        <is>
          <t>Duct covers; medium duty</t>
        </is>
      </c>
      <c r="F2316" s="5" t="inlineStr">
        <is>
          <t>225 mm clear opening</t>
        </is>
      </c>
      <c r="G2316" s="6" t="inlineStr">
        <is>
          <t>m</t>
        </is>
      </c>
      <c r="H2316" s="7" t="n"/>
      <c r="I2316" s="8" t="n">
        <v>127.3</v>
      </c>
      <c r="J2316" s="8" t="n">
        <v>0</v>
      </c>
      <c r="K2316" s="8" t="n">
        <v>706.91</v>
      </c>
      <c r="L2316" s="8" t="n">
        <v>0</v>
      </c>
      <c r="M2316" s="9">
        <f>ROUND(SUM(I2316:L2316),2)</f>
        <v/>
      </c>
      <c r="N2316" s="10">
        <f>ROUND(I2316*'Irish Basis'!$C$6*'Irish Basis'!$C$5,2)</f>
        <v/>
      </c>
      <c r="O2316" s="10">
        <f>ROUND(J2316*'Irish Basis'!$C$7*'Irish Basis'!$C$5,2)</f>
        <v/>
      </c>
      <c r="P2316" s="10">
        <f>ROUND(K2316*'Irish Basis'!$C$8*'Irish Basis'!$C$5,2)</f>
        <v/>
      </c>
      <c r="Q2316" s="10">
        <f>ROUND(L2316*'Irish Basis'!$C$12*'Irish Basis'!$C$5,2)</f>
        <v/>
      </c>
      <c r="R2316" s="11">
        <f>ROUND(SUM(N2316:Q2316),2)</f>
        <v/>
      </c>
      <c r="S2316" s="5" t="inlineStr">
        <is>
          <t>Apportioned (section)</t>
        </is>
      </c>
      <c r="T2316" s="16" t="inlineStr">
        <is>
          <t>Medium</t>
        </is>
      </c>
      <c r="U2316" s="8" t="n">
        <v>834.21</v>
      </c>
      <c r="V2316" s="13">
        <f>IF(U2316="","",ROUND(M2316-U2316,2))</f>
        <v/>
      </c>
      <c r="W2316" s="5" t="n"/>
      <c r="X2316" s="5" t="inlineStr">
        <is>
          <t>Split from published rate using median L/P/M shares of 48 comparable build-ups at section level (15/0/85).</t>
        </is>
      </c>
    </row>
    <row r="2317" ht="13" customHeight="1">
      <c r="A2317" s="4" t="n">
        <v>3509</v>
      </c>
      <c r="B2317" s="5" t="inlineStr">
        <is>
          <t>IMG_0113</t>
        </is>
      </c>
      <c r="C2317" s="5" t="inlineStr">
        <is>
          <t>CLASS N: MISCELLANEOUS METALWORK</t>
        </is>
      </c>
      <c r="D2317" s="5" t="inlineStr">
        <is>
          <t>02 PROPRIETARY WORK</t>
        </is>
      </c>
      <c r="E2317" s="5" t="inlineStr">
        <is>
          <t>Duct covers; medium duty</t>
        </is>
      </c>
      <c r="F2317" s="5" t="inlineStr">
        <is>
          <t>450 mm clear opening</t>
        </is>
      </c>
      <c r="G2317" s="6" t="inlineStr">
        <is>
          <t>m</t>
        </is>
      </c>
      <c r="H2317" s="7" t="n"/>
      <c r="I2317" s="8" t="n">
        <v>127.62</v>
      </c>
      <c r="J2317" s="8" t="n">
        <v>0</v>
      </c>
      <c r="K2317" s="8" t="n">
        <v>708.6900000000001</v>
      </c>
      <c r="L2317" s="8" t="n">
        <v>0</v>
      </c>
      <c r="M2317" s="9">
        <f>ROUND(SUM(I2317:L2317),2)</f>
        <v/>
      </c>
      <c r="N2317" s="10">
        <f>ROUND(I2317*'Irish Basis'!$C$6*'Irish Basis'!$C$5,2)</f>
        <v/>
      </c>
      <c r="O2317" s="10">
        <f>ROUND(J2317*'Irish Basis'!$C$7*'Irish Basis'!$C$5,2)</f>
        <v/>
      </c>
      <c r="P2317" s="10">
        <f>ROUND(K2317*'Irish Basis'!$C$8*'Irish Basis'!$C$5,2)</f>
        <v/>
      </c>
      <c r="Q2317" s="10">
        <f>ROUND(L2317*'Irish Basis'!$C$12*'Irish Basis'!$C$5,2)</f>
        <v/>
      </c>
      <c r="R2317" s="11">
        <f>ROUND(SUM(N2317:Q2317),2)</f>
        <v/>
      </c>
      <c r="S2317" s="5" t="inlineStr">
        <is>
          <t>Apportioned (section)</t>
        </is>
      </c>
      <c r="T2317" s="16" t="inlineStr">
        <is>
          <t>Medium</t>
        </is>
      </c>
      <c r="U2317" s="8" t="n">
        <v>836.3099999999999</v>
      </c>
      <c r="V2317" s="13">
        <f>IF(U2317="","",ROUND(M2317-U2317,2))</f>
        <v/>
      </c>
      <c r="W2317" s="5" t="n"/>
      <c r="X2317" s="5" t="inlineStr">
        <is>
          <t>Split from published rate using median L/P/M shares of 48 comparable build-ups at section level (15/0/85).</t>
        </is>
      </c>
    </row>
    <row r="2318" ht="13" customHeight="1">
      <c r="A2318" s="4" t="n">
        <v>3510</v>
      </c>
      <c r="B2318" s="5" t="inlineStr">
        <is>
          <t>IMG_0113</t>
        </is>
      </c>
      <c r="C2318" s="5" t="inlineStr">
        <is>
          <t>CLASS N: MISCELLANEOUS METALWORK</t>
        </is>
      </c>
      <c r="D2318" s="5" t="inlineStr">
        <is>
          <t>02 PROPRIETARY WORK</t>
        </is>
      </c>
      <c r="E2318" s="5" t="inlineStr">
        <is>
          <t>Duct covers; medium duty</t>
        </is>
      </c>
      <c r="F2318" s="5" t="inlineStr">
        <is>
          <t>750 mm clear opening</t>
        </is>
      </c>
      <c r="G2318" s="6" t="inlineStr">
        <is>
          <t>m</t>
        </is>
      </c>
      <c r="H2318" s="7" t="n"/>
      <c r="I2318" s="8" t="n">
        <v>121.95</v>
      </c>
      <c r="J2318" s="8" t="n">
        <v>0</v>
      </c>
      <c r="K2318" s="8" t="n">
        <v>677.21</v>
      </c>
      <c r="L2318" s="8" t="n">
        <v>0</v>
      </c>
      <c r="M2318" s="9">
        <f>ROUND(SUM(I2318:L2318),2)</f>
        <v/>
      </c>
      <c r="N2318" s="10">
        <f>ROUND(I2318*'Irish Basis'!$C$6*'Irish Basis'!$C$5,2)</f>
        <v/>
      </c>
      <c r="O2318" s="10">
        <f>ROUND(J2318*'Irish Basis'!$C$7*'Irish Basis'!$C$5,2)</f>
        <v/>
      </c>
      <c r="P2318" s="10">
        <f>ROUND(K2318*'Irish Basis'!$C$8*'Irish Basis'!$C$5,2)</f>
        <v/>
      </c>
      <c r="Q2318" s="10">
        <f>ROUND(L2318*'Irish Basis'!$C$12*'Irish Basis'!$C$5,2)</f>
        <v/>
      </c>
      <c r="R2318" s="11">
        <f>ROUND(SUM(N2318:Q2318),2)</f>
        <v/>
      </c>
      <c r="S2318" s="5" t="inlineStr">
        <is>
          <t>Apportioned (section)</t>
        </is>
      </c>
      <c r="T2318" s="16" t="inlineStr">
        <is>
          <t>Medium</t>
        </is>
      </c>
      <c r="U2318" s="8" t="n">
        <v>799.16</v>
      </c>
      <c r="V2318" s="13">
        <f>IF(U2318="","",ROUND(M2318-U2318,2))</f>
        <v/>
      </c>
      <c r="W2318" s="5" t="n"/>
      <c r="X2318" s="5" t="inlineStr">
        <is>
          <t>Split from published rate using median L/P/M shares of 48 comparable build-ups at section level (15/0/85).</t>
        </is>
      </c>
    </row>
    <row r="2319" ht="13" customHeight="1">
      <c r="A2319" s="4" t="n">
        <v>3512</v>
      </c>
      <c r="B2319" s="5" t="inlineStr">
        <is>
          <t>IMG_0113</t>
        </is>
      </c>
      <c r="C2319" s="5" t="inlineStr">
        <is>
          <t>CLASS N: MISCELLANEOUS METALWORK</t>
        </is>
      </c>
      <c r="D2319" s="5" t="inlineStr">
        <is>
          <t>02 PROPRIETARY WORK</t>
        </is>
      </c>
      <c r="E2319" s="5" t="inlineStr">
        <is>
          <t>Duct covers; heavy duty</t>
        </is>
      </c>
      <c r="F2319" s="5" t="inlineStr">
        <is>
          <t>225 mm clear opening</t>
        </is>
      </c>
      <c r="G2319" s="6" t="inlineStr">
        <is>
          <t>m</t>
        </is>
      </c>
      <c r="H2319" s="7" t="n"/>
      <c r="I2319" s="8" t="n">
        <v>50.92</v>
      </c>
      <c r="J2319" s="8" t="n">
        <v>0</v>
      </c>
      <c r="K2319" s="8" t="n">
        <v>282.76</v>
      </c>
      <c r="L2319" s="8" t="n">
        <v>0</v>
      </c>
      <c r="M2319" s="9">
        <f>ROUND(SUM(I2319:L2319),2)</f>
        <v/>
      </c>
      <c r="N2319" s="10">
        <f>ROUND(I2319*'Irish Basis'!$C$6*'Irish Basis'!$C$5,2)</f>
        <v/>
      </c>
      <c r="O2319" s="10">
        <f>ROUND(J2319*'Irish Basis'!$C$7*'Irish Basis'!$C$5,2)</f>
        <v/>
      </c>
      <c r="P2319" s="10">
        <f>ROUND(K2319*'Irish Basis'!$C$8*'Irish Basis'!$C$5,2)</f>
        <v/>
      </c>
      <c r="Q2319" s="10">
        <f>ROUND(L2319*'Irish Basis'!$C$12*'Irish Basis'!$C$5,2)</f>
        <v/>
      </c>
      <c r="R2319" s="11">
        <f>ROUND(SUM(N2319:Q2319),2)</f>
        <v/>
      </c>
      <c r="S2319" s="5" t="inlineStr">
        <is>
          <t>Apportioned (section)</t>
        </is>
      </c>
      <c r="T2319" s="16" t="inlineStr">
        <is>
          <t>Medium</t>
        </is>
      </c>
      <c r="U2319" s="8" t="n">
        <v>333.68</v>
      </c>
      <c r="V2319" s="13">
        <f>IF(U2319="","",ROUND(M2319-U2319,2))</f>
        <v/>
      </c>
      <c r="W2319" s="5" t="n"/>
      <c r="X2319" s="5" t="inlineStr">
        <is>
          <t>Split from published rate using median L/P/M shares of 48 comparable build-ups at section level (15/0/85).</t>
        </is>
      </c>
    </row>
    <row r="2320" ht="13" customHeight="1">
      <c r="A2320" s="4" t="n">
        <v>3513</v>
      </c>
      <c r="B2320" s="5" t="inlineStr">
        <is>
          <t>IMG_0113</t>
        </is>
      </c>
      <c r="C2320" s="5" t="inlineStr">
        <is>
          <t>CLASS N: MISCELLANEOUS METALWORK</t>
        </is>
      </c>
      <c r="D2320" s="5" t="inlineStr">
        <is>
          <t>02 PROPRIETARY WORK</t>
        </is>
      </c>
      <c r="E2320" s="5" t="inlineStr">
        <is>
          <t>Duct covers; heavy duty</t>
        </is>
      </c>
      <c r="F2320" s="5" t="inlineStr">
        <is>
          <t>450 mm clear opening</t>
        </is>
      </c>
      <c r="G2320" s="6" t="inlineStr">
        <is>
          <t>m</t>
        </is>
      </c>
      <c r="H2320" s="7" t="n"/>
      <c r="I2320" s="8" t="n">
        <v>63.81</v>
      </c>
      <c r="J2320" s="8" t="n">
        <v>0</v>
      </c>
      <c r="K2320" s="8" t="n">
        <v>354.35</v>
      </c>
      <c r="L2320" s="8" t="n">
        <v>0</v>
      </c>
      <c r="M2320" s="9">
        <f>ROUND(SUM(I2320:L2320),2)</f>
        <v/>
      </c>
      <c r="N2320" s="10">
        <f>ROUND(I2320*'Irish Basis'!$C$6*'Irish Basis'!$C$5,2)</f>
        <v/>
      </c>
      <c r="O2320" s="10">
        <f>ROUND(J2320*'Irish Basis'!$C$7*'Irish Basis'!$C$5,2)</f>
        <v/>
      </c>
      <c r="P2320" s="10">
        <f>ROUND(K2320*'Irish Basis'!$C$8*'Irish Basis'!$C$5,2)</f>
        <v/>
      </c>
      <c r="Q2320" s="10">
        <f>ROUND(L2320*'Irish Basis'!$C$12*'Irish Basis'!$C$5,2)</f>
        <v/>
      </c>
      <c r="R2320" s="11">
        <f>ROUND(SUM(N2320:Q2320),2)</f>
        <v/>
      </c>
      <c r="S2320" s="5" t="inlineStr">
        <is>
          <t>Apportioned (section)</t>
        </is>
      </c>
      <c r="T2320" s="16" t="inlineStr">
        <is>
          <t>Medium</t>
        </is>
      </c>
      <c r="U2320" s="8" t="n">
        <v>418.16</v>
      </c>
      <c r="V2320" s="13">
        <f>IF(U2320="","",ROUND(M2320-U2320,2))</f>
        <v/>
      </c>
      <c r="W2320" s="5" t="n"/>
      <c r="X2320" s="5" t="inlineStr">
        <is>
          <t>Split from published rate using median L/P/M shares of 48 comparable build-ups at section level (15/0/85).</t>
        </is>
      </c>
    </row>
    <row r="2321" ht="13" customHeight="1">
      <c r="A2321" s="4" t="n">
        <v>3514</v>
      </c>
      <c r="B2321" s="5" t="inlineStr">
        <is>
          <t>IMG_0113</t>
        </is>
      </c>
      <c r="C2321" s="5" t="inlineStr">
        <is>
          <t>CLASS N: MISCELLANEOUS METALWORK</t>
        </is>
      </c>
      <c r="D2321" s="5" t="inlineStr">
        <is>
          <t>02 PROPRIETARY WORK</t>
        </is>
      </c>
      <c r="E2321" s="5" t="inlineStr">
        <is>
          <t>Duct covers; heavy duty</t>
        </is>
      </c>
      <c r="F2321" s="5" t="inlineStr">
        <is>
          <t>750 mm clear opening</t>
        </is>
      </c>
      <c r="G2321" s="6" t="inlineStr">
        <is>
          <t>m</t>
        </is>
      </c>
      <c r="H2321" s="7" t="n"/>
      <c r="I2321" s="8" t="n">
        <v>76.22</v>
      </c>
      <c r="J2321" s="8" t="n">
        <v>0</v>
      </c>
      <c r="K2321" s="8" t="n">
        <v>423.25</v>
      </c>
      <c r="L2321" s="8" t="n">
        <v>0</v>
      </c>
      <c r="M2321" s="9">
        <f>ROUND(SUM(I2321:L2321),2)</f>
        <v/>
      </c>
      <c r="N2321" s="10">
        <f>ROUND(I2321*'Irish Basis'!$C$6*'Irish Basis'!$C$5,2)</f>
        <v/>
      </c>
      <c r="O2321" s="10">
        <f>ROUND(J2321*'Irish Basis'!$C$7*'Irish Basis'!$C$5,2)</f>
        <v/>
      </c>
      <c r="P2321" s="10">
        <f>ROUND(K2321*'Irish Basis'!$C$8*'Irish Basis'!$C$5,2)</f>
        <v/>
      </c>
      <c r="Q2321" s="10">
        <f>ROUND(L2321*'Irish Basis'!$C$12*'Irish Basis'!$C$5,2)</f>
        <v/>
      </c>
      <c r="R2321" s="11">
        <f>ROUND(SUM(N2321:Q2321),2)</f>
        <v/>
      </c>
      <c r="S2321" s="5" t="inlineStr">
        <is>
          <t>Apportioned (section)</t>
        </is>
      </c>
      <c r="T2321" s="16" t="inlineStr">
        <is>
          <t>Medium</t>
        </is>
      </c>
      <c r="U2321" s="8" t="n">
        <v>499.47</v>
      </c>
      <c r="V2321" s="13">
        <f>IF(U2321="","",ROUND(M2321-U2321,2))</f>
        <v/>
      </c>
      <c r="W2321" s="5" t="n"/>
      <c r="X2321" s="5" t="inlineStr">
        <is>
          <t>Split from published rate using median L/P/M shares of 48 comparable build-ups at section level (15/0/85).</t>
        </is>
      </c>
    </row>
    <row r="2322" ht="13" customHeight="1">
      <c r="A2322" s="4" t="n">
        <v>3516</v>
      </c>
      <c r="B2322" s="5" t="inlineStr">
        <is>
          <t>IMG_0113</t>
        </is>
      </c>
      <c r="C2322" s="5" t="inlineStr">
        <is>
          <t>CLASS N: MISCELLANEOUS METALWORK</t>
        </is>
      </c>
      <c r="D2322" s="5" t="inlineStr">
        <is>
          <t>02 PROPRIETARY WORK</t>
        </is>
      </c>
      <c r="E2322" s="5" t="inlineStr">
        <is>
          <t>Bridge bearings; Supply plain rubber bearings (3 m and 5 m lengths)</t>
        </is>
      </c>
      <c r="F2322" s="5" t="inlineStr">
        <is>
          <t>150 x 20 mm</t>
        </is>
      </c>
      <c r="G2322" s="6" t="inlineStr">
        <is>
          <t>m</t>
        </is>
      </c>
      <c r="H2322" s="7" t="n">
        <v>0.35</v>
      </c>
      <c r="I2322" s="8" t="n">
        <v>25.6</v>
      </c>
      <c r="J2322" s="8" t="n">
        <v>0</v>
      </c>
      <c r="K2322" s="8" t="n">
        <v>67.73</v>
      </c>
      <c r="L2322" s="8" t="n">
        <v>0</v>
      </c>
      <c r="M2322" s="9">
        <f>ROUND(SUM(I2322:L2322),2)</f>
        <v/>
      </c>
      <c r="N2322" s="10">
        <f>ROUND(I2322*'Irish Basis'!$C$6*'Irish Basis'!$C$5,2)</f>
        <v/>
      </c>
      <c r="O2322" s="10">
        <f>ROUND(J2322*'Irish Basis'!$C$7*'Irish Basis'!$C$5,2)</f>
        <v/>
      </c>
      <c r="P2322" s="10">
        <f>ROUND(K2322*'Irish Basis'!$C$8*'Irish Basis'!$C$5,2)</f>
        <v/>
      </c>
      <c r="Q2322" s="10">
        <f>ROUND(L2322*'Irish Basis'!$C$12*'Irish Basis'!$C$5,2)</f>
        <v/>
      </c>
      <c r="R2322" s="11">
        <f>ROUND(SUM(N2322:Q2322),2)</f>
        <v/>
      </c>
      <c r="S2322" s="5" t="inlineStr">
        <is>
          <t>Stated build-up</t>
        </is>
      </c>
      <c r="T2322" s="12" t="inlineStr">
        <is>
          <t>High</t>
        </is>
      </c>
      <c r="U2322" s="8" t="n">
        <v>93.31999999999999</v>
      </c>
      <c r="V2322" s="13">
        <f>IF(U2322="","",ROUND(M2322-U2322,2))</f>
        <v/>
      </c>
      <c r="W2322" s="5" t="n"/>
      <c r="X2322" s="5" t="inlineStr">
        <is>
          <t>Labour + plant + material as published; reconciles to the published rate.</t>
        </is>
      </c>
    </row>
    <row r="2323" ht="13" customHeight="1">
      <c r="A2323" s="4" t="n">
        <v>3517</v>
      </c>
      <c r="B2323" s="5" t="inlineStr">
        <is>
          <t>IMG_0113</t>
        </is>
      </c>
      <c r="C2323" s="5" t="inlineStr">
        <is>
          <t>CLASS N: MISCELLANEOUS METALWORK</t>
        </is>
      </c>
      <c r="D2323" s="5" t="inlineStr">
        <is>
          <t>02 PROPRIETARY WORK</t>
        </is>
      </c>
      <c r="E2323" s="5" t="inlineStr">
        <is>
          <t>Bridge bearings; Supply plain rubber bearings (3 m and 5 m lengths)</t>
        </is>
      </c>
      <c r="F2323" s="5" t="inlineStr">
        <is>
          <t>150 x 25 mm</t>
        </is>
      </c>
      <c r="G2323" s="6" t="inlineStr">
        <is>
          <t>m</t>
        </is>
      </c>
      <c r="H2323" s="7" t="n">
        <v>0.35</v>
      </c>
      <c r="I2323" s="8" t="n">
        <v>25.6</v>
      </c>
      <c r="J2323" s="8" t="n">
        <v>0</v>
      </c>
      <c r="K2323" s="8" t="n">
        <v>81.3</v>
      </c>
      <c r="L2323" s="8" t="n">
        <v>0</v>
      </c>
      <c r="M2323" s="9">
        <f>ROUND(SUM(I2323:L2323),2)</f>
        <v/>
      </c>
      <c r="N2323" s="10">
        <f>ROUND(I2323*'Irish Basis'!$C$6*'Irish Basis'!$C$5,2)</f>
        <v/>
      </c>
      <c r="O2323" s="10">
        <f>ROUND(J2323*'Irish Basis'!$C$7*'Irish Basis'!$C$5,2)</f>
        <v/>
      </c>
      <c r="P2323" s="10">
        <f>ROUND(K2323*'Irish Basis'!$C$8*'Irish Basis'!$C$5,2)</f>
        <v/>
      </c>
      <c r="Q2323" s="10">
        <f>ROUND(L2323*'Irish Basis'!$C$12*'Irish Basis'!$C$5,2)</f>
        <v/>
      </c>
      <c r="R2323" s="11">
        <f>ROUND(SUM(N2323:Q2323),2)</f>
        <v/>
      </c>
      <c r="S2323" s="5" t="inlineStr">
        <is>
          <t>Stated build-up</t>
        </is>
      </c>
      <c r="T2323" s="12" t="inlineStr">
        <is>
          <t>High</t>
        </is>
      </c>
      <c r="U2323" s="8" t="n">
        <v>106.9</v>
      </c>
      <c r="V2323" s="13">
        <f>IF(U2323="","",ROUND(M2323-U2323,2))</f>
        <v/>
      </c>
      <c r="W2323" s="5" t="n"/>
      <c r="X2323" s="5" t="inlineStr">
        <is>
          <t>Labour + plant + material as published; reconciles to the published rate.</t>
        </is>
      </c>
    </row>
    <row r="2324" ht="13" customHeight="1">
      <c r="A2324" s="4" t="n">
        <v>3519</v>
      </c>
      <c r="B2324" s="5" t="inlineStr">
        <is>
          <t>IMG_0113</t>
        </is>
      </c>
      <c r="C2324" s="5" t="inlineStr">
        <is>
          <t>CLASS N: MISCELLANEOUS METALWORK</t>
        </is>
      </c>
      <c r="D2324" s="5" t="inlineStr">
        <is>
          <t>02 PROPRIETARY WORK</t>
        </is>
      </c>
      <c r="E2324" s="5" t="inlineStr">
        <is>
          <t>Supply and place in position laminated elastomeric rubber bearing</t>
        </is>
      </c>
      <c r="F2324" s="5" t="inlineStr">
        <is>
          <t>250 x 150 x 19 mm</t>
        </is>
      </c>
      <c r="G2324" s="6" t="inlineStr">
        <is>
          <t>nr</t>
        </is>
      </c>
      <c r="H2324" s="7" t="n">
        <v>0.25</v>
      </c>
      <c r="I2324" s="8" t="n">
        <v>18.28</v>
      </c>
      <c r="J2324" s="8" t="n">
        <v>0</v>
      </c>
      <c r="K2324" s="8" t="n">
        <v>50.33</v>
      </c>
      <c r="L2324" s="8" t="n">
        <v>0</v>
      </c>
      <c r="M2324" s="9">
        <f>ROUND(SUM(I2324:L2324),2)</f>
        <v/>
      </c>
      <c r="N2324" s="10">
        <f>ROUND(I2324*'Irish Basis'!$C$6*'Irish Basis'!$C$5,2)</f>
        <v/>
      </c>
      <c r="O2324" s="10">
        <f>ROUND(J2324*'Irish Basis'!$C$7*'Irish Basis'!$C$5,2)</f>
        <v/>
      </c>
      <c r="P2324" s="10">
        <f>ROUND(K2324*'Irish Basis'!$C$8*'Irish Basis'!$C$5,2)</f>
        <v/>
      </c>
      <c r="Q2324" s="10">
        <f>ROUND(L2324*'Irish Basis'!$C$12*'Irish Basis'!$C$5,2)</f>
        <v/>
      </c>
      <c r="R2324" s="11">
        <f>ROUND(SUM(N2324:Q2324),2)</f>
        <v/>
      </c>
      <c r="S2324" s="5" t="inlineStr">
        <is>
          <t>Stated build-up</t>
        </is>
      </c>
      <c r="T2324" s="12" t="inlineStr">
        <is>
          <t>High</t>
        </is>
      </c>
      <c r="U2324" s="8" t="n">
        <v>68.62</v>
      </c>
      <c r="V2324" s="13">
        <f>IF(U2324="","",ROUND(M2324-U2324,2))</f>
        <v/>
      </c>
      <c r="W2324" s="5" t="n"/>
      <c r="X2324" s="5" t="inlineStr">
        <is>
          <t>Labour + plant + material as published; reconciles to the published rate.</t>
        </is>
      </c>
    </row>
    <row r="2325" ht="13" customHeight="1">
      <c r="A2325" s="4" t="n">
        <v>3520</v>
      </c>
      <c r="B2325" s="5" t="inlineStr">
        <is>
          <t>IMG_0113</t>
        </is>
      </c>
      <c r="C2325" s="5" t="inlineStr">
        <is>
          <t>CLASS N: MISCELLANEOUS METALWORK</t>
        </is>
      </c>
      <c r="D2325" s="5" t="inlineStr">
        <is>
          <t>02 PROPRIETARY WORK</t>
        </is>
      </c>
      <c r="E2325" s="5" t="inlineStr">
        <is>
          <t>Supply and place in position laminated elastomeric rubber bearing</t>
        </is>
      </c>
      <c r="F2325" s="5" t="inlineStr">
        <is>
          <t>300 x 200 x 19 mm</t>
        </is>
      </c>
      <c r="G2325" s="6" t="inlineStr">
        <is>
          <t>nr</t>
        </is>
      </c>
      <c r="H2325" s="7" t="n">
        <v>0.25</v>
      </c>
      <c r="I2325" s="8" t="n">
        <v>18.28</v>
      </c>
      <c r="J2325" s="8" t="n">
        <v>0</v>
      </c>
      <c r="K2325" s="8" t="n">
        <v>55.16</v>
      </c>
      <c r="L2325" s="8" t="n">
        <v>0</v>
      </c>
      <c r="M2325" s="9">
        <f>ROUND(SUM(I2325:L2325),2)</f>
        <v/>
      </c>
      <c r="N2325" s="10">
        <f>ROUND(I2325*'Irish Basis'!$C$6*'Irish Basis'!$C$5,2)</f>
        <v/>
      </c>
      <c r="O2325" s="10">
        <f>ROUND(J2325*'Irish Basis'!$C$7*'Irish Basis'!$C$5,2)</f>
        <v/>
      </c>
      <c r="P2325" s="10">
        <f>ROUND(K2325*'Irish Basis'!$C$8*'Irish Basis'!$C$5,2)</f>
        <v/>
      </c>
      <c r="Q2325" s="10">
        <f>ROUND(L2325*'Irish Basis'!$C$12*'Irish Basis'!$C$5,2)</f>
        <v/>
      </c>
      <c r="R2325" s="11">
        <f>ROUND(SUM(N2325:Q2325),2)</f>
        <v/>
      </c>
      <c r="S2325" s="5" t="inlineStr">
        <is>
          <t>Stated build-up</t>
        </is>
      </c>
      <c r="T2325" s="12" t="inlineStr">
        <is>
          <t>High</t>
        </is>
      </c>
      <c r="U2325" s="8" t="n">
        <v>73.45</v>
      </c>
      <c r="V2325" s="13">
        <f>IF(U2325="","",ROUND(M2325-U2325,2))</f>
        <v/>
      </c>
      <c r="W2325" s="5" t="n"/>
      <c r="X2325" s="5" t="inlineStr">
        <is>
          <t>Labour + plant + material as published; reconciles to the published rate.</t>
        </is>
      </c>
    </row>
    <row r="2326" ht="13" customHeight="1">
      <c r="A2326" s="4" t="n">
        <v>3521</v>
      </c>
      <c r="B2326" s="5" t="inlineStr">
        <is>
          <t>IMG_0113</t>
        </is>
      </c>
      <c r="C2326" s="5" t="inlineStr">
        <is>
          <t>CLASS N: MISCELLANEOUS METALWORK</t>
        </is>
      </c>
      <c r="D2326" s="5" t="inlineStr">
        <is>
          <t>02 PROPRIETARY WORK</t>
        </is>
      </c>
      <c r="E2326" s="5" t="inlineStr">
        <is>
          <t>Supply and place in position laminated elastomeric rubber bearing</t>
        </is>
      </c>
      <c r="F2326" s="5" t="inlineStr">
        <is>
          <t>300 x 200 x 30 mm</t>
        </is>
      </c>
      <c r="G2326" s="6" t="inlineStr">
        <is>
          <t>nr</t>
        </is>
      </c>
      <c r="H2326" s="7" t="n">
        <v>0.27</v>
      </c>
      <c r="I2326" s="8" t="n">
        <v>19.75</v>
      </c>
      <c r="J2326" s="8" t="n">
        <v>0</v>
      </c>
      <c r="K2326" s="8" t="n">
        <v>69.67</v>
      </c>
      <c r="L2326" s="8" t="n">
        <v>0</v>
      </c>
      <c r="M2326" s="9">
        <f>ROUND(SUM(I2326:L2326),2)</f>
        <v/>
      </c>
      <c r="N2326" s="10">
        <f>ROUND(I2326*'Irish Basis'!$C$6*'Irish Basis'!$C$5,2)</f>
        <v/>
      </c>
      <c r="O2326" s="10">
        <f>ROUND(J2326*'Irish Basis'!$C$7*'Irish Basis'!$C$5,2)</f>
        <v/>
      </c>
      <c r="P2326" s="10">
        <f>ROUND(K2326*'Irish Basis'!$C$8*'Irish Basis'!$C$5,2)</f>
        <v/>
      </c>
      <c r="Q2326" s="10">
        <f>ROUND(L2326*'Irish Basis'!$C$12*'Irish Basis'!$C$5,2)</f>
        <v/>
      </c>
      <c r="R2326" s="11">
        <f>ROUND(SUM(N2326:Q2326),2)</f>
        <v/>
      </c>
      <c r="S2326" s="5" t="inlineStr">
        <is>
          <t>Stated build-up</t>
        </is>
      </c>
      <c r="T2326" s="12" t="inlineStr">
        <is>
          <t>High</t>
        </is>
      </c>
      <c r="U2326" s="8" t="n">
        <v>89.42</v>
      </c>
      <c r="V2326" s="13">
        <f>IF(U2326="","",ROUND(M2326-U2326,2))</f>
        <v/>
      </c>
      <c r="W2326" s="5" t="n"/>
      <c r="X2326" s="5" t="inlineStr">
        <is>
          <t>Labour + plant + material as published; reconciles to the published rate.</t>
        </is>
      </c>
    </row>
    <row r="2327" ht="13" customHeight="1">
      <c r="A2327" s="4" t="n">
        <v>3522</v>
      </c>
      <c r="B2327" s="5" t="inlineStr">
        <is>
          <t>IMG_0113</t>
        </is>
      </c>
      <c r="C2327" s="5" t="inlineStr">
        <is>
          <t>CLASS N: MISCELLANEOUS METALWORK</t>
        </is>
      </c>
      <c r="D2327" s="5" t="inlineStr">
        <is>
          <t>02 PROPRIETARY WORK</t>
        </is>
      </c>
      <c r="E2327" s="5" t="inlineStr">
        <is>
          <t>Supply and place in position laminated elastomeric rubber bearing</t>
        </is>
      </c>
      <c r="F2327" s="5" t="inlineStr">
        <is>
          <t>300 x 200 x 41 mm</t>
        </is>
      </c>
      <c r="G2327" s="6" t="inlineStr">
        <is>
          <t>nr</t>
        </is>
      </c>
      <c r="H2327" s="7" t="n">
        <v>0.27</v>
      </c>
      <c r="I2327" s="8" t="n">
        <v>19.75</v>
      </c>
      <c r="J2327" s="8" t="n">
        <v>0</v>
      </c>
      <c r="K2327" s="8" t="n">
        <v>104.51</v>
      </c>
      <c r="L2327" s="8" t="n">
        <v>0</v>
      </c>
      <c r="M2327" s="9">
        <f>ROUND(SUM(I2327:L2327),2)</f>
        <v/>
      </c>
      <c r="N2327" s="10">
        <f>ROUND(I2327*'Irish Basis'!$C$6*'Irish Basis'!$C$5,2)</f>
        <v/>
      </c>
      <c r="O2327" s="10">
        <f>ROUND(J2327*'Irish Basis'!$C$7*'Irish Basis'!$C$5,2)</f>
        <v/>
      </c>
      <c r="P2327" s="10">
        <f>ROUND(K2327*'Irish Basis'!$C$8*'Irish Basis'!$C$5,2)</f>
        <v/>
      </c>
      <c r="Q2327" s="10">
        <f>ROUND(L2327*'Irish Basis'!$C$12*'Irish Basis'!$C$5,2)</f>
        <v/>
      </c>
      <c r="R2327" s="11">
        <f>ROUND(SUM(N2327:Q2327),2)</f>
        <v/>
      </c>
      <c r="S2327" s="5" t="inlineStr">
        <is>
          <t>Stated build-up</t>
        </is>
      </c>
      <c r="T2327" s="12" t="inlineStr">
        <is>
          <t>High</t>
        </is>
      </c>
      <c r="U2327" s="8" t="n">
        <v>124.26</v>
      </c>
      <c r="V2327" s="13">
        <f>IF(U2327="","",ROUND(M2327-U2327,2))</f>
        <v/>
      </c>
      <c r="W2327" s="5" t="n"/>
      <c r="X2327" s="5" t="inlineStr">
        <is>
          <t>Labour + plant + material as published; reconciles to the published rate.</t>
        </is>
      </c>
    </row>
    <row r="2328" ht="13" customHeight="1">
      <c r="A2328" s="4" t="n">
        <v>3523</v>
      </c>
      <c r="B2328" s="5" t="inlineStr">
        <is>
          <t>IMG_0113</t>
        </is>
      </c>
      <c r="C2328" s="5" t="inlineStr">
        <is>
          <t>CLASS N: MISCELLANEOUS METALWORK</t>
        </is>
      </c>
      <c r="D2328" s="5" t="inlineStr">
        <is>
          <t>02 PROPRIETARY WORK</t>
        </is>
      </c>
      <c r="E2328" s="5" t="inlineStr">
        <is>
          <t>Supply and place in position laminated elastomeric rubber bearing</t>
        </is>
      </c>
      <c r="F2328" s="5" t="inlineStr">
        <is>
          <t>300 x 250 x 41 mm</t>
        </is>
      </c>
      <c r="G2328" s="6" t="inlineStr">
        <is>
          <t>nr</t>
        </is>
      </c>
      <c r="H2328" s="7" t="n">
        <v>0.3</v>
      </c>
      <c r="I2328" s="8" t="n">
        <v>21.94</v>
      </c>
      <c r="J2328" s="8" t="n">
        <v>0</v>
      </c>
      <c r="K2328" s="8" t="n">
        <v>131.58</v>
      </c>
      <c r="L2328" s="8" t="n">
        <v>0</v>
      </c>
      <c r="M2328" s="9">
        <f>ROUND(SUM(I2328:L2328),2)</f>
        <v/>
      </c>
      <c r="N2328" s="10">
        <f>ROUND(I2328*'Irish Basis'!$C$6*'Irish Basis'!$C$5,2)</f>
        <v/>
      </c>
      <c r="O2328" s="10">
        <f>ROUND(J2328*'Irish Basis'!$C$7*'Irish Basis'!$C$5,2)</f>
        <v/>
      </c>
      <c r="P2328" s="10">
        <f>ROUND(K2328*'Irish Basis'!$C$8*'Irish Basis'!$C$5,2)</f>
        <v/>
      </c>
      <c r="Q2328" s="10">
        <f>ROUND(L2328*'Irish Basis'!$C$12*'Irish Basis'!$C$5,2)</f>
        <v/>
      </c>
      <c r="R2328" s="11">
        <f>ROUND(SUM(N2328:Q2328),2)</f>
        <v/>
      </c>
      <c r="S2328" s="5" t="inlineStr">
        <is>
          <t>Stated build-up</t>
        </is>
      </c>
      <c r="T2328" s="12" t="inlineStr">
        <is>
          <t>High</t>
        </is>
      </c>
      <c r="U2328" s="8" t="n">
        <v>153.52</v>
      </c>
      <c r="V2328" s="13">
        <f>IF(U2328="","",ROUND(M2328-U2328,2))</f>
        <v/>
      </c>
      <c r="W2328" s="5" t="n"/>
      <c r="X2328" s="5" t="inlineStr">
        <is>
          <t>Labour + plant + material as published; reconciles to the published rate.</t>
        </is>
      </c>
    </row>
    <row r="2329" ht="13" customHeight="1">
      <c r="A2329" s="4" t="n">
        <v>3524</v>
      </c>
      <c r="B2329" s="5" t="inlineStr">
        <is>
          <t>IMG_0113</t>
        </is>
      </c>
      <c r="C2329" s="5" t="inlineStr">
        <is>
          <t>CLASS N: MISCELLANEOUS METALWORK</t>
        </is>
      </c>
      <c r="D2329" s="5" t="inlineStr">
        <is>
          <t>02 PROPRIETARY WORK</t>
        </is>
      </c>
      <c r="E2329" s="5" t="inlineStr">
        <is>
          <t>Supply and place in position laminated elastomeric rubber bearing</t>
        </is>
      </c>
      <c r="F2329" s="5" t="inlineStr">
        <is>
          <t>300 x 250 x 63 mm</t>
        </is>
      </c>
      <c r="G2329" s="6" t="inlineStr">
        <is>
          <t>nr</t>
        </is>
      </c>
      <c r="H2329" s="7" t="n">
        <v>0.3</v>
      </c>
      <c r="I2329" s="8" t="n">
        <v>21.94</v>
      </c>
      <c r="J2329" s="8" t="n">
        <v>0</v>
      </c>
      <c r="K2329" s="8" t="n">
        <v>183.86</v>
      </c>
      <c r="L2329" s="8" t="n">
        <v>0</v>
      </c>
      <c r="M2329" s="9">
        <f>ROUND(SUM(I2329:L2329),2)</f>
        <v/>
      </c>
      <c r="N2329" s="10">
        <f>ROUND(I2329*'Irish Basis'!$C$6*'Irish Basis'!$C$5,2)</f>
        <v/>
      </c>
      <c r="O2329" s="10">
        <f>ROUND(J2329*'Irish Basis'!$C$7*'Irish Basis'!$C$5,2)</f>
        <v/>
      </c>
      <c r="P2329" s="10">
        <f>ROUND(K2329*'Irish Basis'!$C$8*'Irish Basis'!$C$5,2)</f>
        <v/>
      </c>
      <c r="Q2329" s="10">
        <f>ROUND(L2329*'Irish Basis'!$C$12*'Irish Basis'!$C$5,2)</f>
        <v/>
      </c>
      <c r="R2329" s="11">
        <f>ROUND(SUM(N2329:Q2329),2)</f>
        <v/>
      </c>
      <c r="S2329" s="5" t="inlineStr">
        <is>
          <t>Stated build-up</t>
        </is>
      </c>
      <c r="T2329" s="12" t="inlineStr">
        <is>
          <t>High</t>
        </is>
      </c>
      <c r="U2329" s="8" t="n">
        <v>205.8</v>
      </c>
      <c r="V2329" s="13">
        <f>IF(U2329="","",ROUND(M2329-U2329,2))</f>
        <v/>
      </c>
      <c r="W2329" s="5" t="n"/>
      <c r="X2329" s="5" t="inlineStr">
        <is>
          <t>Labour + plant + material as published; reconciles to the published rate.</t>
        </is>
      </c>
    </row>
    <row r="2330" ht="13" customHeight="1">
      <c r="A2330" s="4" t="n">
        <v>3525</v>
      </c>
      <c r="B2330" s="5" t="inlineStr">
        <is>
          <t>IMG_0113</t>
        </is>
      </c>
      <c r="C2330" s="5" t="inlineStr">
        <is>
          <t>CLASS N: MISCELLANEOUS METALWORK</t>
        </is>
      </c>
      <c r="D2330" s="5" t="inlineStr">
        <is>
          <t>02 PROPRIETARY WORK</t>
        </is>
      </c>
      <c r="E2330" s="5" t="inlineStr">
        <is>
          <t>Supply and place in position laminated elastomeric rubber bearing</t>
        </is>
      </c>
      <c r="F2330" s="5" t="inlineStr">
        <is>
          <t>400 x 250 x 19 mm</t>
        </is>
      </c>
      <c r="G2330" s="6" t="inlineStr">
        <is>
          <t>nr</t>
        </is>
      </c>
      <c r="H2330" s="7" t="n">
        <v>0.32</v>
      </c>
      <c r="I2330" s="8" t="n">
        <v>23.4</v>
      </c>
      <c r="J2330" s="8" t="n">
        <v>0</v>
      </c>
      <c r="K2330" s="8" t="n">
        <v>96.77</v>
      </c>
      <c r="L2330" s="8" t="n">
        <v>0</v>
      </c>
      <c r="M2330" s="9">
        <f>ROUND(SUM(I2330:L2330),2)</f>
        <v/>
      </c>
      <c r="N2330" s="10">
        <f>ROUND(I2330*'Irish Basis'!$C$6*'Irish Basis'!$C$5,2)</f>
        <v/>
      </c>
      <c r="O2330" s="10">
        <f>ROUND(J2330*'Irish Basis'!$C$7*'Irish Basis'!$C$5,2)</f>
        <v/>
      </c>
      <c r="P2330" s="10">
        <f>ROUND(K2330*'Irish Basis'!$C$8*'Irish Basis'!$C$5,2)</f>
        <v/>
      </c>
      <c r="Q2330" s="10">
        <f>ROUND(L2330*'Irish Basis'!$C$12*'Irish Basis'!$C$5,2)</f>
        <v/>
      </c>
      <c r="R2330" s="11">
        <f>ROUND(SUM(N2330:Q2330),2)</f>
        <v/>
      </c>
      <c r="S2330" s="5" t="inlineStr">
        <is>
          <t>Stated build-up</t>
        </is>
      </c>
      <c r="T2330" s="12" t="inlineStr">
        <is>
          <t>High</t>
        </is>
      </c>
      <c r="U2330" s="8" t="n">
        <v>120.17</v>
      </c>
      <c r="V2330" s="13">
        <f>IF(U2330="","",ROUND(M2330-U2330,2))</f>
        <v/>
      </c>
      <c r="W2330" s="5" t="n"/>
      <c r="X2330" s="5" t="inlineStr">
        <is>
          <t>Labour + plant + material as published; reconciles to the published rate.</t>
        </is>
      </c>
    </row>
    <row r="2331" ht="13" customHeight="1">
      <c r="A2331" s="4" t="n">
        <v>3526</v>
      </c>
      <c r="B2331" s="5" t="inlineStr">
        <is>
          <t>IMG_0113</t>
        </is>
      </c>
      <c r="C2331" s="5" t="inlineStr">
        <is>
          <t>CLASS N: MISCELLANEOUS METALWORK</t>
        </is>
      </c>
      <c r="D2331" s="5" t="inlineStr">
        <is>
          <t>02 PROPRIETARY WORK</t>
        </is>
      </c>
      <c r="E2331" s="5" t="inlineStr">
        <is>
          <t>Supply and place in position laminated elastomeric rubber bearing</t>
        </is>
      </c>
      <c r="F2331" s="5" t="inlineStr">
        <is>
          <t>400 x 250 x 52 mm</t>
        </is>
      </c>
      <c r="G2331" s="6" t="inlineStr">
        <is>
          <t>nr</t>
        </is>
      </c>
      <c r="H2331" s="7" t="n">
        <v>0.32</v>
      </c>
      <c r="I2331" s="8" t="n">
        <v>23.4</v>
      </c>
      <c r="J2331" s="8" t="n">
        <v>0</v>
      </c>
      <c r="K2331" s="8" t="n">
        <v>213.39</v>
      </c>
      <c r="L2331" s="8" t="n">
        <v>0</v>
      </c>
      <c r="M2331" s="9">
        <f>ROUND(SUM(I2331:L2331),2)</f>
        <v/>
      </c>
      <c r="N2331" s="10">
        <f>ROUND(I2331*'Irish Basis'!$C$6*'Irish Basis'!$C$5,2)</f>
        <v/>
      </c>
      <c r="O2331" s="10">
        <f>ROUND(J2331*'Irish Basis'!$C$7*'Irish Basis'!$C$5,2)</f>
        <v/>
      </c>
      <c r="P2331" s="10">
        <f>ROUND(K2331*'Irish Basis'!$C$8*'Irish Basis'!$C$5,2)</f>
        <v/>
      </c>
      <c r="Q2331" s="10">
        <f>ROUND(L2331*'Irish Basis'!$C$12*'Irish Basis'!$C$5,2)</f>
        <v/>
      </c>
      <c r="R2331" s="11">
        <f>ROUND(SUM(N2331:Q2331),2)</f>
        <v/>
      </c>
      <c r="S2331" s="5" t="inlineStr">
        <is>
          <t>Stated build-up</t>
        </is>
      </c>
      <c r="T2331" s="12" t="inlineStr">
        <is>
          <t>High</t>
        </is>
      </c>
      <c r="U2331" s="8" t="n">
        <v>236.79</v>
      </c>
      <c r="V2331" s="13">
        <f>IF(U2331="","",ROUND(M2331-U2331,2))</f>
        <v/>
      </c>
      <c r="W2331" s="5" t="n"/>
      <c r="X2331" s="5" t="inlineStr">
        <is>
          <t>Labour + plant + material as published; reconciles to the published rate.</t>
        </is>
      </c>
    </row>
    <row r="2332" ht="13" customHeight="1">
      <c r="A2332" s="4" t="n">
        <v>3527</v>
      </c>
      <c r="B2332" s="5" t="inlineStr">
        <is>
          <t>IMG_0113</t>
        </is>
      </c>
      <c r="C2332" s="5" t="inlineStr">
        <is>
          <t>CLASS N: MISCELLANEOUS METALWORK</t>
        </is>
      </c>
      <c r="D2332" s="5" t="inlineStr">
        <is>
          <t>02 PROPRIETARY WORK</t>
        </is>
      </c>
      <c r="E2332" s="5" t="inlineStr">
        <is>
          <t>Supply and place in position laminated elastomeric rubber bearing</t>
        </is>
      </c>
      <c r="F2332" s="5" t="inlineStr">
        <is>
          <t>400 x 300 x 19 mm</t>
        </is>
      </c>
      <c r="G2332" s="6" t="inlineStr">
        <is>
          <t>nr</t>
        </is>
      </c>
      <c r="H2332" s="7" t="n">
        <v>0.32</v>
      </c>
      <c r="I2332" s="8" t="n">
        <v>23.4</v>
      </c>
      <c r="J2332" s="8" t="n">
        <v>0</v>
      </c>
      <c r="K2332" s="8" t="n">
        <v>112.24</v>
      </c>
      <c r="L2332" s="8" t="n">
        <v>0</v>
      </c>
      <c r="M2332" s="9">
        <f>ROUND(SUM(I2332:L2332),2)</f>
        <v/>
      </c>
      <c r="N2332" s="10">
        <f>ROUND(I2332*'Irish Basis'!$C$6*'Irish Basis'!$C$5,2)</f>
        <v/>
      </c>
      <c r="O2332" s="10">
        <f>ROUND(J2332*'Irish Basis'!$C$7*'Irish Basis'!$C$5,2)</f>
        <v/>
      </c>
      <c r="P2332" s="10">
        <f>ROUND(K2332*'Irish Basis'!$C$8*'Irish Basis'!$C$5,2)</f>
        <v/>
      </c>
      <c r="Q2332" s="10">
        <f>ROUND(L2332*'Irish Basis'!$C$12*'Irish Basis'!$C$5,2)</f>
        <v/>
      </c>
      <c r="R2332" s="11">
        <f>ROUND(SUM(N2332:Q2332),2)</f>
        <v/>
      </c>
      <c r="S2332" s="5" t="inlineStr">
        <is>
          <t>Stated build-up</t>
        </is>
      </c>
      <c r="T2332" s="12" t="inlineStr">
        <is>
          <t>High</t>
        </is>
      </c>
      <c r="U2332" s="8" t="n">
        <v>135.65</v>
      </c>
      <c r="V2332" s="13">
        <f>IF(U2332="","",ROUND(M2332-U2332,2))</f>
        <v/>
      </c>
      <c r="W2332" s="5" t="n"/>
      <c r="X2332" s="5" t="inlineStr">
        <is>
          <t>Labour + plant + material as published; reconciles to the published rate.</t>
        </is>
      </c>
    </row>
    <row r="2333" ht="13" customHeight="1">
      <c r="A2333" s="4" t="n">
        <v>3528</v>
      </c>
      <c r="B2333" s="5" t="inlineStr">
        <is>
          <t>IMG_0113</t>
        </is>
      </c>
      <c r="C2333" s="5" t="inlineStr">
        <is>
          <t>CLASS N: MISCELLANEOUS METALWORK</t>
        </is>
      </c>
      <c r="D2333" s="5" t="inlineStr">
        <is>
          <t>02 PROPRIETARY WORK</t>
        </is>
      </c>
      <c r="E2333" s="5" t="inlineStr">
        <is>
          <t>Supply and place in position laminated elastomeric rubber bearing</t>
        </is>
      </c>
      <c r="F2333" s="5" t="inlineStr">
        <is>
          <t>600 x 450 x 24 mm</t>
        </is>
      </c>
      <c r="G2333" s="6" t="inlineStr">
        <is>
          <t>nr</t>
        </is>
      </c>
      <c r="H2333" s="7" t="n">
        <v>0.35</v>
      </c>
      <c r="I2333" s="8" t="n">
        <v>25.6</v>
      </c>
      <c r="J2333" s="8" t="n">
        <v>0</v>
      </c>
      <c r="K2333" s="8" t="n">
        <v>232.22</v>
      </c>
      <c r="L2333" s="8" t="n">
        <v>0</v>
      </c>
      <c r="M2333" s="9">
        <f>ROUND(SUM(I2333:L2333),2)</f>
        <v/>
      </c>
      <c r="N2333" s="10">
        <f>ROUND(I2333*'Irish Basis'!$C$6*'Irish Basis'!$C$5,2)</f>
        <v/>
      </c>
      <c r="O2333" s="10">
        <f>ROUND(J2333*'Irish Basis'!$C$7*'Irish Basis'!$C$5,2)</f>
        <v/>
      </c>
      <c r="P2333" s="10">
        <f>ROUND(K2333*'Irish Basis'!$C$8*'Irish Basis'!$C$5,2)</f>
        <v/>
      </c>
      <c r="Q2333" s="10">
        <f>ROUND(L2333*'Irish Basis'!$C$12*'Irish Basis'!$C$5,2)</f>
        <v/>
      </c>
      <c r="R2333" s="11">
        <f>ROUND(SUM(N2333:Q2333),2)</f>
        <v/>
      </c>
      <c r="S2333" s="5" t="inlineStr">
        <is>
          <t>Stated build-up</t>
        </is>
      </c>
      <c r="T2333" s="12" t="inlineStr">
        <is>
          <t>High</t>
        </is>
      </c>
      <c r="U2333" s="8" t="n">
        <v>257.81</v>
      </c>
      <c r="V2333" s="13">
        <f>IF(U2333="","",ROUND(M2333-U2333,2))</f>
        <v/>
      </c>
      <c r="W2333" s="5" t="n"/>
      <c r="X2333" s="5" t="inlineStr">
        <is>
          <t>Labour + plant + material as published; reconciles to the published rate.</t>
        </is>
      </c>
    </row>
    <row r="2334" ht="13" customHeight="1">
      <c r="A2334" s="4" t="n">
        <v>3530</v>
      </c>
      <c r="B2334" s="5" t="inlineStr">
        <is>
          <t>IMG_0113</t>
        </is>
      </c>
      <c r="C2334" s="5" t="inlineStr">
        <is>
          <t>CLASS N: MISCELLANEOUS METALWORK</t>
        </is>
      </c>
      <c r="D2334" s="5" t="inlineStr">
        <is>
          <t>02 PROPRIETARY WORK</t>
        </is>
      </c>
      <c r="E2334" s="5" t="inlineStr">
        <is>
          <t>Adhesive fixings to laminated elastomeric rubber bearings</t>
        </is>
      </c>
      <c r="F2334" s="5" t="inlineStr">
        <is>
          <t>2 mm thick epoxy adhesive</t>
        </is>
      </c>
      <c r="G2334" s="6" t="inlineStr">
        <is>
          <t>m2</t>
        </is>
      </c>
      <c r="H2334" s="7" t="n">
        <v>1</v>
      </c>
      <c r="I2334" s="8" t="n">
        <v>73.13</v>
      </c>
      <c r="J2334" s="8" t="n">
        <v>0</v>
      </c>
      <c r="K2334" s="8" t="n">
        <v>38.35</v>
      </c>
      <c r="L2334" s="8" t="n">
        <v>0</v>
      </c>
      <c r="M2334" s="9">
        <f>ROUND(SUM(I2334:L2334),2)</f>
        <v/>
      </c>
      <c r="N2334" s="10">
        <f>ROUND(I2334*'Irish Basis'!$C$6*'Irish Basis'!$C$5,2)</f>
        <v/>
      </c>
      <c r="O2334" s="10">
        <f>ROUND(J2334*'Irish Basis'!$C$7*'Irish Basis'!$C$5,2)</f>
        <v/>
      </c>
      <c r="P2334" s="10">
        <f>ROUND(K2334*'Irish Basis'!$C$8*'Irish Basis'!$C$5,2)</f>
        <v/>
      </c>
      <c r="Q2334" s="10">
        <f>ROUND(L2334*'Irish Basis'!$C$12*'Irish Basis'!$C$5,2)</f>
        <v/>
      </c>
      <c r="R2334" s="11">
        <f>ROUND(SUM(N2334:Q2334),2)</f>
        <v/>
      </c>
      <c r="S2334" s="5" t="inlineStr">
        <is>
          <t>Stated build-up</t>
        </is>
      </c>
      <c r="T2334" s="12" t="inlineStr">
        <is>
          <t>High</t>
        </is>
      </c>
      <c r="U2334" s="8" t="n">
        <v>111.48</v>
      </c>
      <c r="V2334" s="13">
        <f>IF(U2334="","",ROUND(M2334-U2334,2))</f>
        <v/>
      </c>
      <c r="W2334" s="5" t="n"/>
      <c r="X2334" s="5" t="inlineStr">
        <is>
          <t>Labour + plant + material as published; reconciles to the published rate.</t>
        </is>
      </c>
    </row>
    <row r="2335" ht="13" customHeight="1">
      <c r="A2335" s="4" t="n">
        <v>3531</v>
      </c>
      <c r="B2335" s="5" t="inlineStr">
        <is>
          <t>IMG_0113</t>
        </is>
      </c>
      <c r="C2335" s="5" t="inlineStr">
        <is>
          <t>CLASS N: MISCELLANEOUS METALWORK</t>
        </is>
      </c>
      <c r="D2335" s="5" t="inlineStr">
        <is>
          <t>02 PROPRIETARY WORK</t>
        </is>
      </c>
      <c r="E2335" s="5" t="inlineStr">
        <is>
          <t>Adhesive fixings to laminated elastomeric rubber bearings</t>
        </is>
      </c>
      <c r="F2335" s="5" t="inlineStr">
        <is>
          <t>15 mm thick epoxy mortar</t>
        </is>
      </c>
      <c r="G2335" s="6" t="inlineStr">
        <is>
          <t>m2</t>
        </is>
      </c>
      <c r="H2335" s="7" t="n">
        <v>1.5</v>
      </c>
      <c r="I2335" s="8" t="n">
        <v>109.7</v>
      </c>
      <c r="J2335" s="8" t="n">
        <v>0</v>
      </c>
      <c r="K2335" s="8" t="n">
        <v>333.61</v>
      </c>
      <c r="L2335" s="8" t="n">
        <v>0</v>
      </c>
      <c r="M2335" s="9">
        <f>ROUND(SUM(I2335:L2335),2)</f>
        <v/>
      </c>
      <c r="N2335" s="10">
        <f>ROUND(I2335*'Irish Basis'!$C$6*'Irish Basis'!$C$5,2)</f>
        <v/>
      </c>
      <c r="O2335" s="10">
        <f>ROUND(J2335*'Irish Basis'!$C$7*'Irish Basis'!$C$5,2)</f>
        <v/>
      </c>
      <c r="P2335" s="10">
        <f>ROUND(K2335*'Irish Basis'!$C$8*'Irish Basis'!$C$5,2)</f>
        <v/>
      </c>
      <c r="Q2335" s="10">
        <f>ROUND(L2335*'Irish Basis'!$C$12*'Irish Basis'!$C$5,2)</f>
        <v/>
      </c>
      <c r="R2335" s="11">
        <f>ROUND(SUM(N2335:Q2335),2)</f>
        <v/>
      </c>
      <c r="S2335" s="5" t="inlineStr">
        <is>
          <t>Stated build-up</t>
        </is>
      </c>
      <c r="T2335" s="12" t="inlineStr">
        <is>
          <t>High</t>
        </is>
      </c>
      <c r="U2335" s="8" t="n">
        <v>443.31</v>
      </c>
      <c r="V2335" s="13">
        <f>IF(U2335="","",ROUND(M2335-U2335,2))</f>
        <v/>
      </c>
      <c r="W2335" s="5" t="n"/>
      <c r="X2335" s="5" t="inlineStr">
        <is>
          <t>Labour + plant + material as published; reconciles to the published rate.</t>
        </is>
      </c>
    </row>
    <row r="2336" ht="13" customHeight="1">
      <c r="A2336" s="4" t="n">
        <v>3532</v>
      </c>
      <c r="B2336" s="5" t="inlineStr">
        <is>
          <t>IMG_0113</t>
        </is>
      </c>
      <c r="C2336" s="5" t="inlineStr">
        <is>
          <t>CLASS N: MISCELLANEOUS METALWORK</t>
        </is>
      </c>
      <c r="D2336" s="5" t="inlineStr">
        <is>
          <t>02 PROPRIETARY WORK</t>
        </is>
      </c>
      <c r="E2336" s="5" t="inlineStr">
        <is>
          <t>Adhesive fixings to laminated elastomeric rubber bearings</t>
        </is>
      </c>
      <c r="F2336" s="5" t="inlineStr">
        <is>
          <t>15 mm thick epoxy pourable grout</t>
        </is>
      </c>
      <c r="G2336" s="6" t="inlineStr">
        <is>
          <t>m2</t>
        </is>
      </c>
      <c r="H2336" s="7" t="n">
        <v>2</v>
      </c>
      <c r="I2336" s="8" t="n">
        <v>146.26</v>
      </c>
      <c r="J2336" s="8" t="n">
        <v>0</v>
      </c>
      <c r="K2336" s="8" t="n">
        <v>26.76</v>
      </c>
      <c r="L2336" s="8" t="n">
        <v>0</v>
      </c>
      <c r="M2336" s="9">
        <f>ROUND(SUM(I2336:L2336),2)</f>
        <v/>
      </c>
      <c r="N2336" s="10">
        <f>ROUND(I2336*'Irish Basis'!$C$6*'Irish Basis'!$C$5,2)</f>
        <v/>
      </c>
      <c r="O2336" s="10">
        <f>ROUND(J2336*'Irish Basis'!$C$7*'Irish Basis'!$C$5,2)</f>
        <v/>
      </c>
      <c r="P2336" s="10">
        <f>ROUND(K2336*'Irish Basis'!$C$8*'Irish Basis'!$C$5,2)</f>
        <v/>
      </c>
      <c r="Q2336" s="10">
        <f>ROUND(L2336*'Irish Basis'!$C$12*'Irish Basis'!$C$5,2)</f>
        <v/>
      </c>
      <c r="R2336" s="11">
        <f>ROUND(SUM(N2336:Q2336),2)</f>
        <v/>
      </c>
      <c r="S2336" s="5" t="inlineStr">
        <is>
          <t>Stated build-up</t>
        </is>
      </c>
      <c r="T2336" s="12" t="inlineStr">
        <is>
          <t>High</t>
        </is>
      </c>
      <c r="U2336" s="8" t="n">
        <v>173.03</v>
      </c>
      <c r="V2336" s="13">
        <f>IF(U2336="","",ROUND(M2336-U2336,2))</f>
        <v/>
      </c>
      <c r="W2336" s="5" t="n"/>
      <c r="X2336" s="5" t="inlineStr">
        <is>
          <t>Labour + plant + material as published; reconciles to the published rate.</t>
        </is>
      </c>
    </row>
    <row r="2337" ht="13" customHeight="1">
      <c r="A2337" s="4" t="n">
        <v>3534</v>
      </c>
      <c r="B2337" s="5" t="inlineStr">
        <is>
          <t>IMG_0113</t>
        </is>
      </c>
      <c r="C2337" s="5" t="inlineStr">
        <is>
          <t>CLASS N: MISCELLANEOUS METALWORK</t>
        </is>
      </c>
      <c r="D2337" s="5" t="inlineStr">
        <is>
          <t>02 PROPRIETARY WORK</t>
        </is>
      </c>
      <c r="E2337" s="5" t="inlineStr">
        <is>
          <t>Supply and install mechanical guides for laminated elastomeric rubber bearings</t>
        </is>
      </c>
      <c r="F2337" s="5" t="inlineStr">
        <is>
          <t>500kN SLS design load; FP50 fixed pin Type 1</t>
        </is>
      </c>
      <c r="G2337" s="6" t="inlineStr">
        <is>
          <t>nr</t>
        </is>
      </c>
      <c r="H2337" s="7" t="n">
        <v>2</v>
      </c>
      <c r="I2337" s="8" t="n">
        <v>146.26</v>
      </c>
      <c r="J2337" s="8" t="n">
        <v>0</v>
      </c>
      <c r="K2337" s="8" t="n">
        <v>1439.56</v>
      </c>
      <c r="L2337" s="8" t="n">
        <v>0</v>
      </c>
      <c r="M2337" s="9">
        <f>ROUND(SUM(I2337:L2337),2)</f>
        <v/>
      </c>
      <c r="N2337" s="10">
        <f>ROUND(I2337*'Irish Basis'!$C$6*'Irish Basis'!$C$5,2)</f>
        <v/>
      </c>
      <c r="O2337" s="10">
        <f>ROUND(J2337*'Irish Basis'!$C$7*'Irish Basis'!$C$5,2)</f>
        <v/>
      </c>
      <c r="P2337" s="10">
        <f>ROUND(K2337*'Irish Basis'!$C$8*'Irish Basis'!$C$5,2)</f>
        <v/>
      </c>
      <c r="Q2337" s="10">
        <f>ROUND(L2337*'Irish Basis'!$C$12*'Irish Basis'!$C$5,2)</f>
        <v/>
      </c>
      <c r="R2337" s="11">
        <f>ROUND(SUM(N2337:Q2337),2)</f>
        <v/>
      </c>
      <c r="S2337" s="5" t="inlineStr">
        <is>
          <t>Stated build-up</t>
        </is>
      </c>
      <c r="T2337" s="12" t="inlineStr">
        <is>
          <t>High</t>
        </is>
      </c>
      <c r="U2337" s="8" t="n">
        <v>1585.83</v>
      </c>
      <c r="V2337" s="13">
        <f>IF(U2337="","",ROUND(M2337-U2337,2))</f>
        <v/>
      </c>
      <c r="W2337" s="5" t="n"/>
      <c r="X2337" s="5" t="inlineStr">
        <is>
          <t>Labour + plant + material as published; reconciles to the published rate.</t>
        </is>
      </c>
    </row>
    <row r="2338" ht="13" customHeight="1">
      <c r="A2338" s="4" t="n">
        <v>3535</v>
      </c>
      <c r="B2338" s="5" t="inlineStr">
        <is>
          <t>IMG_0113</t>
        </is>
      </c>
      <c r="C2338" s="5" t="inlineStr">
        <is>
          <t>CLASS N: MISCELLANEOUS METALWORK</t>
        </is>
      </c>
      <c r="D2338" s="5" t="inlineStr">
        <is>
          <t>02 PROPRIETARY WORK</t>
        </is>
      </c>
      <c r="E2338" s="5" t="inlineStr">
        <is>
          <t>Supply and install mechanical guides for laminated elastomeric rubber bearings</t>
        </is>
      </c>
      <c r="F2338" s="5" t="inlineStr">
        <is>
          <t>500kN SLS design load; FP50 fixed pin Type 2</t>
        </is>
      </c>
      <c r="G2338" s="6" t="inlineStr">
        <is>
          <t>nr</t>
        </is>
      </c>
      <c r="H2338" s="7" t="n">
        <v>2</v>
      </c>
      <c r="I2338" s="8" t="n">
        <v>146.26</v>
      </c>
      <c r="J2338" s="8" t="n">
        <v>0</v>
      </c>
      <c r="K2338" s="8" t="n">
        <v>1506.29</v>
      </c>
      <c r="L2338" s="8" t="n">
        <v>0</v>
      </c>
      <c r="M2338" s="9">
        <f>ROUND(SUM(I2338:L2338),2)</f>
        <v/>
      </c>
      <c r="N2338" s="10">
        <f>ROUND(I2338*'Irish Basis'!$C$6*'Irish Basis'!$C$5,2)</f>
        <v/>
      </c>
      <c r="O2338" s="10">
        <f>ROUND(J2338*'Irish Basis'!$C$7*'Irish Basis'!$C$5,2)</f>
        <v/>
      </c>
      <c r="P2338" s="10">
        <f>ROUND(K2338*'Irish Basis'!$C$8*'Irish Basis'!$C$5,2)</f>
        <v/>
      </c>
      <c r="Q2338" s="10">
        <f>ROUND(L2338*'Irish Basis'!$C$12*'Irish Basis'!$C$5,2)</f>
        <v/>
      </c>
      <c r="R2338" s="11">
        <f>ROUND(SUM(N2338:Q2338),2)</f>
        <v/>
      </c>
      <c r="S2338" s="5" t="inlineStr">
        <is>
          <t>Stated build-up</t>
        </is>
      </c>
      <c r="T2338" s="12" t="inlineStr">
        <is>
          <t>High</t>
        </is>
      </c>
      <c r="U2338" s="8" t="n">
        <v>1652.56</v>
      </c>
      <c r="V2338" s="13">
        <f>IF(U2338="","",ROUND(M2338-U2338,2))</f>
        <v/>
      </c>
      <c r="W2338" s="5" t="n"/>
      <c r="X2338" s="5" t="inlineStr">
        <is>
          <t>Labour + plant + material as published; reconciles to the published rate.</t>
        </is>
      </c>
    </row>
    <row r="2339" ht="13" customHeight="1">
      <c r="A2339" s="4" t="n">
        <v>3536</v>
      </c>
      <c r="B2339" s="5" t="inlineStr">
        <is>
          <t>IMG_0113</t>
        </is>
      </c>
      <c r="C2339" s="5" t="inlineStr">
        <is>
          <t>CLASS N: MISCELLANEOUS METALWORK</t>
        </is>
      </c>
      <c r="D2339" s="5" t="inlineStr">
        <is>
          <t>02 PROPRIETARY WORK</t>
        </is>
      </c>
      <c r="E2339" s="5" t="inlineStr">
        <is>
          <t>Supply and install mechanical guides for laminated elastomeric rubber bearings</t>
        </is>
      </c>
      <c r="F2339" s="5" t="inlineStr">
        <is>
          <t>750kN SLS design load; FP75 fixed pin Type 1</t>
        </is>
      </c>
      <c r="G2339" s="6" t="inlineStr">
        <is>
          <t>nr</t>
        </is>
      </c>
      <c r="H2339" s="7" t="n">
        <v>2.1</v>
      </c>
      <c r="I2339" s="8" t="n">
        <v>153.58</v>
      </c>
      <c r="J2339" s="8" t="n">
        <v>0</v>
      </c>
      <c r="K2339" s="8" t="n">
        <v>1708.61</v>
      </c>
      <c r="L2339" s="8" t="n">
        <v>0</v>
      </c>
      <c r="M2339" s="9">
        <f>ROUND(SUM(I2339:L2339),2)</f>
        <v/>
      </c>
      <c r="N2339" s="10">
        <f>ROUND(I2339*'Irish Basis'!$C$6*'Irish Basis'!$C$5,2)</f>
        <v/>
      </c>
      <c r="O2339" s="10">
        <f>ROUND(J2339*'Irish Basis'!$C$7*'Irish Basis'!$C$5,2)</f>
        <v/>
      </c>
      <c r="P2339" s="10">
        <f>ROUND(K2339*'Irish Basis'!$C$8*'Irish Basis'!$C$5,2)</f>
        <v/>
      </c>
      <c r="Q2339" s="10">
        <f>ROUND(L2339*'Irish Basis'!$C$12*'Irish Basis'!$C$5,2)</f>
        <v/>
      </c>
      <c r="R2339" s="11">
        <f>ROUND(SUM(N2339:Q2339),2)</f>
        <v/>
      </c>
      <c r="S2339" s="5" t="inlineStr">
        <is>
          <t>Stated build-up</t>
        </is>
      </c>
      <c r="T2339" s="12" t="inlineStr">
        <is>
          <t>High</t>
        </is>
      </c>
      <c r="U2339" s="8" t="n">
        <v>1862.18</v>
      </c>
      <c r="V2339" s="13">
        <f>IF(U2339="","",ROUND(M2339-U2339,2))</f>
        <v/>
      </c>
      <c r="W2339" s="5" t="n"/>
      <c r="X2339" s="5" t="inlineStr">
        <is>
          <t>Labour + plant + material as published; reconciles to the published rate.</t>
        </is>
      </c>
    </row>
    <row r="2340" ht="13" customHeight="1">
      <c r="A2340" s="4" t="n">
        <v>3537</v>
      </c>
      <c r="B2340" s="5" t="inlineStr">
        <is>
          <t>IMG_0113</t>
        </is>
      </c>
      <c r="C2340" s="5" t="inlineStr">
        <is>
          <t>CLASS N: MISCELLANEOUS METALWORK</t>
        </is>
      </c>
      <c r="D2340" s="5" t="inlineStr">
        <is>
          <t>02 PROPRIETARY WORK</t>
        </is>
      </c>
      <c r="E2340" s="5" t="inlineStr">
        <is>
          <t>Supply and install mechanical guides for laminated elastomeric rubber bearings</t>
        </is>
      </c>
      <c r="F2340" s="5" t="inlineStr">
        <is>
          <t>750kN SLS design load; FP75 fixed pin Type 2</t>
        </is>
      </c>
      <c r="G2340" s="6" t="inlineStr">
        <is>
          <t>nr</t>
        </is>
      </c>
      <c r="H2340" s="7" t="n">
        <v>2.1</v>
      </c>
      <c r="I2340" s="8" t="n">
        <v>153.58</v>
      </c>
      <c r="J2340" s="8" t="n">
        <v>0</v>
      </c>
      <c r="K2340" s="8" t="n">
        <v>1924.96</v>
      </c>
      <c r="L2340" s="8" t="n">
        <v>0</v>
      </c>
      <c r="M2340" s="9">
        <f>ROUND(SUM(I2340:L2340),2)</f>
        <v/>
      </c>
      <c r="N2340" s="10">
        <f>ROUND(I2340*'Irish Basis'!$C$6*'Irish Basis'!$C$5,2)</f>
        <v/>
      </c>
      <c r="O2340" s="10">
        <f>ROUND(J2340*'Irish Basis'!$C$7*'Irish Basis'!$C$5,2)</f>
        <v/>
      </c>
      <c r="P2340" s="10">
        <f>ROUND(K2340*'Irish Basis'!$C$8*'Irish Basis'!$C$5,2)</f>
        <v/>
      </c>
      <c r="Q2340" s="10">
        <f>ROUND(L2340*'Irish Basis'!$C$12*'Irish Basis'!$C$5,2)</f>
        <v/>
      </c>
      <c r="R2340" s="11">
        <f>ROUND(SUM(N2340:Q2340),2)</f>
        <v/>
      </c>
      <c r="S2340" s="5" t="inlineStr">
        <is>
          <t>Stated build-up</t>
        </is>
      </c>
      <c r="T2340" s="12" t="inlineStr">
        <is>
          <t>High</t>
        </is>
      </c>
      <c r="U2340" s="8" t="n">
        <v>2078.54</v>
      </c>
      <c r="V2340" s="13">
        <f>IF(U2340="","",ROUND(M2340-U2340,2))</f>
        <v/>
      </c>
      <c r="W2340" s="5" t="n"/>
      <c r="X2340" s="5" t="inlineStr">
        <is>
          <t>Labour + plant + material as published; reconciles to the published rate.</t>
        </is>
      </c>
    </row>
    <row r="2341" ht="13" customHeight="1">
      <c r="A2341" s="4" t="n">
        <v>3538</v>
      </c>
      <c r="B2341" s="5" t="inlineStr">
        <is>
          <t>IMG_0113</t>
        </is>
      </c>
      <c r="C2341" s="5" t="inlineStr">
        <is>
          <t>CLASS N: MISCELLANEOUS METALWORK</t>
        </is>
      </c>
      <c r="D2341" s="5" t="inlineStr">
        <is>
          <t>02 PROPRIETARY WORK</t>
        </is>
      </c>
      <c r="E2341" s="5" t="inlineStr">
        <is>
          <t>Supply and install mechanical guides for laminated elastomeric rubber bearings</t>
        </is>
      </c>
      <c r="F2341" s="5" t="inlineStr">
        <is>
          <t>300kN SLS design load; UG300 Uniguide Type 1</t>
        </is>
      </c>
      <c r="G2341" s="6" t="inlineStr">
        <is>
          <t>nr</t>
        </is>
      </c>
      <c r="H2341" s="7" t="n">
        <v>2</v>
      </c>
      <c r="I2341" s="8" t="n">
        <v>146.26</v>
      </c>
      <c r="J2341" s="8" t="n">
        <v>0</v>
      </c>
      <c r="K2341" s="8" t="n">
        <v>1751.53</v>
      </c>
      <c r="L2341" s="8" t="n">
        <v>0</v>
      </c>
      <c r="M2341" s="9">
        <f>ROUND(SUM(I2341:L2341),2)</f>
        <v/>
      </c>
      <c r="N2341" s="10">
        <f>ROUND(I2341*'Irish Basis'!$C$6*'Irish Basis'!$C$5,2)</f>
        <v/>
      </c>
      <c r="O2341" s="10">
        <f>ROUND(J2341*'Irish Basis'!$C$7*'Irish Basis'!$C$5,2)</f>
        <v/>
      </c>
      <c r="P2341" s="10">
        <f>ROUND(K2341*'Irish Basis'!$C$8*'Irish Basis'!$C$5,2)</f>
        <v/>
      </c>
      <c r="Q2341" s="10">
        <f>ROUND(L2341*'Irish Basis'!$C$12*'Irish Basis'!$C$5,2)</f>
        <v/>
      </c>
      <c r="R2341" s="11">
        <f>ROUND(SUM(N2341:Q2341),2)</f>
        <v/>
      </c>
      <c r="S2341" s="5" t="inlineStr">
        <is>
          <t>Stated build-up</t>
        </is>
      </c>
      <c r="T2341" s="12" t="inlineStr">
        <is>
          <t>High</t>
        </is>
      </c>
      <c r="U2341" s="8" t="n">
        <v>1897.79</v>
      </c>
      <c r="V2341" s="13">
        <f>IF(U2341="","",ROUND(M2341-U2341,2))</f>
        <v/>
      </c>
      <c r="W2341" s="5" t="n"/>
      <c r="X2341" s="5" t="inlineStr">
        <is>
          <t>Labour + plant + material as published; reconciles to the published rate.</t>
        </is>
      </c>
    </row>
    <row r="2342" ht="13" customHeight="1">
      <c r="A2342" s="4" t="n">
        <v>3539</v>
      </c>
      <c r="B2342" s="5" t="inlineStr">
        <is>
          <t>IMG_0113</t>
        </is>
      </c>
      <c r="C2342" s="5" t="inlineStr">
        <is>
          <t>CLASS N: MISCELLANEOUS METALWORK</t>
        </is>
      </c>
      <c r="D2342" s="5" t="inlineStr">
        <is>
          <t>02 PROPRIETARY WORK</t>
        </is>
      </c>
      <c r="E2342" s="5" t="inlineStr">
        <is>
          <t>Supply and install mechanical guides for laminated elastomeric rubber bearings</t>
        </is>
      </c>
      <c r="F2342" s="5" t="inlineStr">
        <is>
          <t>300kN SLS design load; UG300 Uniguide Type 2</t>
        </is>
      </c>
      <c r="G2342" s="6" t="inlineStr">
        <is>
          <t>nr</t>
        </is>
      </c>
      <c r="H2342" s="7" t="n">
        <v>2</v>
      </c>
      <c r="I2342" s="8" t="n">
        <v>146.26</v>
      </c>
      <c r="J2342" s="8" t="n">
        <v>0</v>
      </c>
      <c r="K2342" s="8" t="n">
        <v>2011.65</v>
      </c>
      <c r="L2342" s="8" t="n">
        <v>0</v>
      </c>
      <c r="M2342" s="9">
        <f>ROUND(SUM(I2342:L2342),2)</f>
        <v/>
      </c>
      <c r="N2342" s="10">
        <f>ROUND(I2342*'Irish Basis'!$C$6*'Irish Basis'!$C$5,2)</f>
        <v/>
      </c>
      <c r="O2342" s="10">
        <f>ROUND(J2342*'Irish Basis'!$C$7*'Irish Basis'!$C$5,2)</f>
        <v/>
      </c>
      <c r="P2342" s="10">
        <f>ROUND(K2342*'Irish Basis'!$C$8*'Irish Basis'!$C$5,2)</f>
        <v/>
      </c>
      <c r="Q2342" s="10">
        <f>ROUND(L2342*'Irish Basis'!$C$12*'Irish Basis'!$C$5,2)</f>
        <v/>
      </c>
      <c r="R2342" s="11">
        <f>ROUND(SUM(N2342:Q2342),2)</f>
        <v/>
      </c>
      <c r="S2342" s="5" t="inlineStr">
        <is>
          <t>Stated build-up</t>
        </is>
      </c>
      <c r="T2342" s="12" t="inlineStr">
        <is>
          <t>High</t>
        </is>
      </c>
      <c r="U2342" s="8" t="n">
        <v>2157.91</v>
      </c>
      <c r="V2342" s="13">
        <f>IF(U2342="","",ROUND(M2342-U2342,2))</f>
        <v/>
      </c>
      <c r="W2342" s="5" t="n"/>
      <c r="X2342" s="5" t="inlineStr">
        <is>
          <t>Labour + plant + material as published; reconciles to the published rate.</t>
        </is>
      </c>
    </row>
    <row r="2343" ht="13" customHeight="1">
      <c r="A2343" s="4" t="n">
        <v>3541</v>
      </c>
      <c r="B2343" s="5" t="inlineStr">
        <is>
          <t>IMG_0113</t>
        </is>
      </c>
      <c r="C2343" s="5" t="inlineStr">
        <is>
          <t>CLASS N: MISCELLANEOUS METALWORK</t>
        </is>
      </c>
      <c r="D2343" s="5" t="inlineStr">
        <is>
          <t>02 PROPRIETARY WORK</t>
        </is>
      </c>
      <c r="E2343" s="5" t="inlineStr">
        <is>
          <t>Supply and install fixed pot bearings</t>
        </is>
      </c>
      <c r="F2343" s="5" t="inlineStr">
        <is>
          <t>355 x 355 mm; PF200</t>
        </is>
      </c>
      <c r="G2343" s="6" t="inlineStr">
        <is>
          <t>nr</t>
        </is>
      </c>
      <c r="H2343" s="7" t="n">
        <v>2</v>
      </c>
      <c r="I2343" s="8" t="n">
        <v>146.26</v>
      </c>
      <c r="J2343" s="8" t="n">
        <v>0</v>
      </c>
      <c r="K2343" s="8" t="n">
        <v>1820</v>
      </c>
      <c r="L2343" s="8" t="n">
        <v>0</v>
      </c>
      <c r="M2343" s="9">
        <f>ROUND(SUM(I2343:L2343),2)</f>
        <v/>
      </c>
      <c r="N2343" s="10">
        <f>ROUND(I2343*'Irish Basis'!$C$6*'Irish Basis'!$C$5,2)</f>
        <v/>
      </c>
      <c r="O2343" s="10">
        <f>ROUND(J2343*'Irish Basis'!$C$7*'Irish Basis'!$C$5,2)</f>
        <v/>
      </c>
      <c r="P2343" s="10">
        <f>ROUND(K2343*'Irish Basis'!$C$8*'Irish Basis'!$C$5,2)</f>
        <v/>
      </c>
      <c r="Q2343" s="10">
        <f>ROUND(L2343*'Irish Basis'!$C$12*'Irish Basis'!$C$5,2)</f>
        <v/>
      </c>
      <c r="R2343" s="11">
        <f>ROUND(SUM(N2343:Q2343),2)</f>
        <v/>
      </c>
      <c r="S2343" s="5" t="inlineStr">
        <is>
          <t>Stated build-up</t>
        </is>
      </c>
      <c r="T2343" s="12" t="inlineStr">
        <is>
          <t>High</t>
        </is>
      </c>
      <c r="U2343" s="8" t="n">
        <v>1966.26</v>
      </c>
      <c r="V2343" s="13">
        <f>IF(U2343="","",ROUND(M2343-U2343,2))</f>
        <v/>
      </c>
      <c r="W2343" s="5" t="n"/>
      <c r="X2343" s="5" t="inlineStr">
        <is>
          <t>Labour + plant + material as published; reconciles to the published rate.</t>
        </is>
      </c>
    </row>
    <row r="2344" ht="13" customHeight="1">
      <c r="A2344" s="4" t="n">
        <v>3542</v>
      </c>
      <c r="B2344" s="5" t="inlineStr">
        <is>
          <t>IMG_0113</t>
        </is>
      </c>
      <c r="C2344" s="5" t="inlineStr">
        <is>
          <t>CLASS N: MISCELLANEOUS METALWORK</t>
        </is>
      </c>
      <c r="D2344" s="5" t="inlineStr">
        <is>
          <t>02 PROPRIETARY WORK</t>
        </is>
      </c>
      <c r="E2344" s="5" t="inlineStr">
        <is>
          <t>Supply and install fixed pot bearings</t>
        </is>
      </c>
      <c r="F2344" s="5" t="inlineStr">
        <is>
          <t>425 x 425 mm; PF300</t>
        </is>
      </c>
      <c r="G2344" s="6" t="inlineStr">
        <is>
          <t>nr</t>
        </is>
      </c>
      <c r="H2344" s="7" t="n">
        <v>2.1</v>
      </c>
      <c r="I2344" s="8" t="n">
        <v>153.58</v>
      </c>
      <c r="J2344" s="8" t="n">
        <v>0</v>
      </c>
      <c r="K2344" s="8" t="n">
        <v>2009.73</v>
      </c>
      <c r="L2344" s="8" t="n">
        <v>0</v>
      </c>
      <c r="M2344" s="9">
        <f>ROUND(SUM(I2344:L2344),2)</f>
        <v/>
      </c>
      <c r="N2344" s="10">
        <f>ROUND(I2344*'Irish Basis'!$C$6*'Irish Basis'!$C$5,2)</f>
        <v/>
      </c>
      <c r="O2344" s="10">
        <f>ROUND(J2344*'Irish Basis'!$C$7*'Irish Basis'!$C$5,2)</f>
        <v/>
      </c>
      <c r="P2344" s="10">
        <f>ROUND(K2344*'Irish Basis'!$C$8*'Irish Basis'!$C$5,2)</f>
        <v/>
      </c>
      <c r="Q2344" s="10">
        <f>ROUND(L2344*'Irish Basis'!$C$12*'Irish Basis'!$C$5,2)</f>
        <v/>
      </c>
      <c r="R2344" s="11">
        <f>ROUND(SUM(N2344:Q2344),2)</f>
        <v/>
      </c>
      <c r="S2344" s="5" t="inlineStr">
        <is>
          <t>Stated build-up</t>
        </is>
      </c>
      <c r="T2344" s="12" t="inlineStr">
        <is>
          <t>High</t>
        </is>
      </c>
      <c r="U2344" s="8" t="n">
        <v>2163.31</v>
      </c>
      <c r="V2344" s="13">
        <f>IF(U2344="","",ROUND(M2344-U2344,2))</f>
        <v/>
      </c>
      <c r="W2344" s="5" t="n"/>
      <c r="X2344" s="5" t="inlineStr">
        <is>
          <t>Labour + plant + material as published; reconciles to the published rate.</t>
        </is>
      </c>
    </row>
    <row r="2345" ht="13" customHeight="1">
      <c r="A2345" s="4" t="n">
        <v>3544</v>
      </c>
      <c r="B2345" s="5" t="inlineStr">
        <is>
          <t>IMG_0113</t>
        </is>
      </c>
      <c r="C2345" s="5" t="inlineStr">
        <is>
          <t>CLASS N: MISCELLANEOUS METALWORK</t>
        </is>
      </c>
      <c r="D2345" s="5" t="inlineStr">
        <is>
          <t>02 PROPRIETARY WORK</t>
        </is>
      </c>
      <c r="E2345" s="5" t="inlineStr">
        <is>
          <t>Supply and install free sliding pot bearings</t>
        </is>
      </c>
      <c r="F2345" s="5" t="inlineStr">
        <is>
          <t>445 x 345 mm; PS200</t>
        </is>
      </c>
      <c r="G2345" s="6" t="inlineStr">
        <is>
          <t>nr</t>
        </is>
      </c>
      <c r="H2345" s="7" t="n">
        <v>2.1</v>
      </c>
      <c r="I2345" s="8" t="n">
        <v>153.58</v>
      </c>
      <c r="J2345" s="8" t="n">
        <v>0</v>
      </c>
      <c r="K2345" s="8" t="n">
        <v>2265.39</v>
      </c>
      <c r="L2345" s="8" t="n">
        <v>0</v>
      </c>
      <c r="M2345" s="9">
        <f>ROUND(SUM(I2345:L2345),2)</f>
        <v/>
      </c>
      <c r="N2345" s="10">
        <f>ROUND(I2345*'Irish Basis'!$C$6*'Irish Basis'!$C$5,2)</f>
        <v/>
      </c>
      <c r="O2345" s="10">
        <f>ROUND(J2345*'Irish Basis'!$C$7*'Irish Basis'!$C$5,2)</f>
        <v/>
      </c>
      <c r="P2345" s="10">
        <f>ROUND(K2345*'Irish Basis'!$C$8*'Irish Basis'!$C$5,2)</f>
        <v/>
      </c>
      <c r="Q2345" s="10">
        <f>ROUND(L2345*'Irish Basis'!$C$12*'Irish Basis'!$C$5,2)</f>
        <v/>
      </c>
      <c r="R2345" s="11">
        <f>ROUND(SUM(N2345:Q2345),2)</f>
        <v/>
      </c>
      <c r="S2345" s="5" t="inlineStr">
        <is>
          <t>Stated build-up</t>
        </is>
      </c>
      <c r="T2345" s="12" t="inlineStr">
        <is>
          <t>High</t>
        </is>
      </c>
      <c r="U2345" s="8" t="n">
        <v>2418.96</v>
      </c>
      <c r="V2345" s="13">
        <f>IF(U2345="","",ROUND(M2345-U2345,2))</f>
        <v/>
      </c>
      <c r="W2345" s="5" t="n"/>
      <c r="X2345" s="5" t="inlineStr">
        <is>
          <t>Labour + plant + material as published; reconciles to the published rate.</t>
        </is>
      </c>
    </row>
    <row r="2346" ht="13" customHeight="1">
      <c r="A2346" s="4" t="n">
        <v>3545</v>
      </c>
      <c r="B2346" s="5" t="inlineStr">
        <is>
          <t>IMG_0113</t>
        </is>
      </c>
      <c r="C2346" s="5" t="inlineStr">
        <is>
          <t>CLASS N: MISCELLANEOUS METALWORK</t>
        </is>
      </c>
      <c r="D2346" s="5" t="inlineStr">
        <is>
          <t>02 PROPRIETARY WORK</t>
        </is>
      </c>
      <c r="E2346" s="5" t="inlineStr">
        <is>
          <t>Supply and install free sliding pot bearings</t>
        </is>
      </c>
      <c r="F2346" s="5" t="inlineStr">
        <is>
          <t>520 x 415 mm; PS300</t>
        </is>
      </c>
      <c r="G2346" s="6" t="inlineStr">
        <is>
          <t>nr</t>
        </is>
      </c>
      <c r="H2346" s="7" t="n">
        <v>2.2</v>
      </c>
      <c r="I2346" s="8" t="n">
        <v>160.89</v>
      </c>
      <c r="J2346" s="8" t="n">
        <v>0</v>
      </c>
      <c r="K2346" s="8" t="n">
        <v>2888.6</v>
      </c>
      <c r="L2346" s="8" t="n">
        <v>0</v>
      </c>
      <c r="M2346" s="9">
        <f>ROUND(SUM(I2346:L2346),2)</f>
        <v/>
      </c>
      <c r="N2346" s="10">
        <f>ROUND(I2346*'Irish Basis'!$C$6*'Irish Basis'!$C$5,2)</f>
        <v/>
      </c>
      <c r="O2346" s="10">
        <f>ROUND(J2346*'Irish Basis'!$C$7*'Irish Basis'!$C$5,2)</f>
        <v/>
      </c>
      <c r="P2346" s="10">
        <f>ROUND(K2346*'Irish Basis'!$C$8*'Irish Basis'!$C$5,2)</f>
        <v/>
      </c>
      <c r="Q2346" s="10">
        <f>ROUND(L2346*'Irish Basis'!$C$12*'Irish Basis'!$C$5,2)</f>
        <v/>
      </c>
      <c r="R2346" s="11">
        <f>ROUND(SUM(N2346:Q2346),2)</f>
        <v/>
      </c>
      <c r="S2346" s="5" t="inlineStr">
        <is>
          <t>Stated build-up</t>
        </is>
      </c>
      <c r="T2346" s="12" t="inlineStr">
        <is>
          <t>High</t>
        </is>
      </c>
      <c r="U2346" s="8" t="n">
        <v>3049.49</v>
      </c>
      <c r="V2346" s="13">
        <f>IF(U2346="","",ROUND(M2346-U2346,2))</f>
        <v/>
      </c>
      <c r="W2346" s="5" t="n"/>
      <c r="X2346" s="5" t="inlineStr">
        <is>
          <t>Labour + plant + material as published; reconciles to the published rate.</t>
        </is>
      </c>
    </row>
    <row r="2347" ht="13" customHeight="1">
      <c r="A2347" s="4" t="n">
        <v>3547</v>
      </c>
      <c r="B2347" s="5" t="inlineStr">
        <is>
          <t>IMG_0113</t>
        </is>
      </c>
      <c r="C2347" s="5" t="inlineStr">
        <is>
          <t>CLASS N: MISCELLANEOUS METALWORK</t>
        </is>
      </c>
      <c r="D2347" s="5" t="inlineStr">
        <is>
          <t>02 PROPRIETARY WORK</t>
        </is>
      </c>
      <c r="E2347" s="5" t="inlineStr">
        <is>
          <t>Supply and install guided sliding pot bearings</t>
        </is>
      </c>
      <c r="F2347" s="5" t="inlineStr">
        <is>
          <t>455 x 375 mm; PG200</t>
        </is>
      </c>
      <c r="G2347" s="6" t="inlineStr">
        <is>
          <t>nr</t>
        </is>
      </c>
      <c r="H2347" s="7" t="n">
        <v>2.2</v>
      </c>
      <c r="I2347" s="8" t="n">
        <v>160.89</v>
      </c>
      <c r="J2347" s="8" t="n">
        <v>0</v>
      </c>
      <c r="K2347" s="8" t="n">
        <v>2796.08</v>
      </c>
      <c r="L2347" s="8" t="n">
        <v>0</v>
      </c>
      <c r="M2347" s="9">
        <f>ROUND(SUM(I2347:L2347),2)</f>
        <v/>
      </c>
      <c r="N2347" s="10">
        <f>ROUND(I2347*'Irish Basis'!$C$6*'Irish Basis'!$C$5,2)</f>
        <v/>
      </c>
      <c r="O2347" s="10">
        <f>ROUND(J2347*'Irish Basis'!$C$7*'Irish Basis'!$C$5,2)</f>
        <v/>
      </c>
      <c r="P2347" s="10">
        <f>ROUND(K2347*'Irish Basis'!$C$8*'Irish Basis'!$C$5,2)</f>
        <v/>
      </c>
      <c r="Q2347" s="10">
        <f>ROUND(L2347*'Irish Basis'!$C$12*'Irish Basis'!$C$5,2)</f>
        <v/>
      </c>
      <c r="R2347" s="11">
        <f>ROUND(SUM(N2347:Q2347),2)</f>
        <v/>
      </c>
      <c r="S2347" s="5" t="inlineStr">
        <is>
          <t>Stated build-up</t>
        </is>
      </c>
      <c r="T2347" s="12" t="inlineStr">
        <is>
          <t>High</t>
        </is>
      </c>
      <c r="U2347" s="8" t="n">
        <v>2956.97</v>
      </c>
      <c r="V2347" s="13">
        <f>IF(U2347="","",ROUND(M2347-U2347,2))</f>
        <v/>
      </c>
      <c r="W2347" s="5" t="n"/>
      <c r="X2347" s="5" t="inlineStr">
        <is>
          <t>Labour + plant + material as published; reconciles to the published rate.</t>
        </is>
      </c>
    </row>
    <row r="2348" ht="13" customHeight="1">
      <c r="A2348" s="4" t="n">
        <v>3548</v>
      </c>
      <c r="B2348" s="5" t="inlineStr">
        <is>
          <t>IMG_0113</t>
        </is>
      </c>
      <c r="C2348" s="5" t="inlineStr">
        <is>
          <t>CLASS N: MISCELLANEOUS METALWORK</t>
        </is>
      </c>
      <c r="D2348" s="5" t="inlineStr">
        <is>
          <t>02 PROPRIETARY WORK</t>
        </is>
      </c>
      <c r="E2348" s="5" t="inlineStr">
        <is>
          <t>Supply and install guided sliding pot bearings</t>
        </is>
      </c>
      <c r="F2348" s="5" t="inlineStr">
        <is>
          <t>545 x 435 mm; PG300</t>
        </is>
      </c>
      <c r="G2348" s="6" t="inlineStr">
        <is>
          <t>nr</t>
        </is>
      </c>
      <c r="H2348" s="7" t="n">
        <v>2.3</v>
      </c>
      <c r="I2348" s="8" t="n">
        <v>168.2</v>
      </c>
      <c r="J2348" s="8" t="n">
        <v>0</v>
      </c>
      <c r="K2348" s="8" t="n">
        <v>3329.65</v>
      </c>
      <c r="L2348" s="8" t="n">
        <v>0</v>
      </c>
      <c r="M2348" s="9">
        <f>ROUND(SUM(I2348:L2348),2)</f>
        <v/>
      </c>
      <c r="N2348" s="10">
        <f>ROUND(I2348*'Irish Basis'!$C$6*'Irish Basis'!$C$5,2)</f>
        <v/>
      </c>
      <c r="O2348" s="10">
        <f>ROUND(J2348*'Irish Basis'!$C$7*'Irish Basis'!$C$5,2)</f>
        <v/>
      </c>
      <c r="P2348" s="10">
        <f>ROUND(K2348*'Irish Basis'!$C$8*'Irish Basis'!$C$5,2)</f>
        <v/>
      </c>
      <c r="Q2348" s="10">
        <f>ROUND(L2348*'Irish Basis'!$C$12*'Irish Basis'!$C$5,2)</f>
        <v/>
      </c>
      <c r="R2348" s="11">
        <f>ROUND(SUM(N2348:Q2348),2)</f>
        <v/>
      </c>
      <c r="S2348" s="5" t="inlineStr">
        <is>
          <t>Stated build-up</t>
        </is>
      </c>
      <c r="T2348" s="12" t="inlineStr">
        <is>
          <t>High</t>
        </is>
      </c>
      <c r="U2348" s="8" t="n">
        <v>3497.85</v>
      </c>
      <c r="V2348" s="13">
        <f>IF(U2348="","",ROUND(M2348-U2348,2))</f>
        <v/>
      </c>
      <c r="W2348" s="5" t="n"/>
      <c r="X2348" s="5" t="inlineStr">
        <is>
          <t>Labour + plant + material as published; reconciles to the published rate.</t>
        </is>
      </c>
    </row>
    <row r="2349" ht="13" customHeight="1">
      <c r="A2349" s="4" t="n">
        <v>3550</v>
      </c>
      <c r="B2349" s="5" t="inlineStr">
        <is>
          <t>IMG_0113</t>
        </is>
      </c>
      <c r="C2349" s="5" t="inlineStr">
        <is>
          <t>CLASS N: MISCELLANEOUS METALWORK</t>
        </is>
      </c>
      <c r="D2349" s="5" t="inlineStr">
        <is>
          <t>02 PROPRIETARY WORK</t>
        </is>
      </c>
      <c r="E2349" s="5" t="inlineStr">
        <is>
          <t>Testing; laminated elastomeric bearings</t>
        </is>
      </c>
      <c r="F2349" s="5" t="inlineStr">
        <is>
          <t>compression test</t>
        </is>
      </c>
      <c r="G2349" s="6" t="inlineStr">
        <is>
          <t>nr</t>
        </is>
      </c>
      <c r="H2349" s="7" t="n"/>
      <c r="I2349" s="8" t="n">
        <v>0</v>
      </c>
      <c r="J2349" s="8" t="n">
        <v>0</v>
      </c>
      <c r="K2349" s="8" t="n">
        <v>99.75</v>
      </c>
      <c r="L2349" s="8" t="n">
        <v>0</v>
      </c>
      <c r="M2349" s="9">
        <f>ROUND(SUM(I2349:L2349),2)</f>
        <v/>
      </c>
      <c r="N2349" s="10">
        <f>ROUND(I2349*'Irish Basis'!$C$6*'Irish Basis'!$C$5,2)</f>
        <v/>
      </c>
      <c r="O2349" s="10">
        <f>ROUND(J2349*'Irish Basis'!$C$7*'Irish Basis'!$C$5,2)</f>
        <v/>
      </c>
      <c r="P2349" s="10">
        <f>ROUND(K2349*'Irish Basis'!$C$8*'Irish Basis'!$C$5,2)</f>
        <v/>
      </c>
      <c r="Q2349" s="10">
        <f>ROUND(L2349*'Irish Basis'!$C$12*'Irish Basis'!$C$5,2)</f>
        <v/>
      </c>
      <c r="R2349" s="11">
        <f>ROUND(SUM(N2349:Q2349),2)</f>
        <v/>
      </c>
      <c r="S2349" s="5" t="inlineStr">
        <is>
          <t>Stated build-up</t>
        </is>
      </c>
      <c r="T2349" s="12" t="inlineStr">
        <is>
          <t>High</t>
        </is>
      </c>
      <c r="U2349" s="8" t="n">
        <v>99.75</v>
      </c>
      <c r="V2349" s="13">
        <f>IF(U2349="","",ROUND(M2349-U2349,2))</f>
        <v/>
      </c>
      <c r="W2349" s="5" t="n"/>
      <c r="X2349" s="5" t="inlineStr">
        <is>
          <t>Labour + plant + material as published; reconciles to the published rate.</t>
        </is>
      </c>
    </row>
    <row r="2350" ht="13" customHeight="1">
      <c r="A2350" s="4" t="n">
        <v>3551</v>
      </c>
      <c r="B2350" s="5" t="inlineStr">
        <is>
          <t>IMG_0113</t>
        </is>
      </c>
      <c r="C2350" s="5" t="inlineStr">
        <is>
          <t>CLASS N: MISCELLANEOUS METALWORK</t>
        </is>
      </c>
      <c r="D2350" s="5" t="inlineStr">
        <is>
          <t>02 PROPRIETARY WORK</t>
        </is>
      </c>
      <c r="E2350" s="5" t="inlineStr">
        <is>
          <t>Testing; laminated elastomeric bearings</t>
        </is>
      </c>
      <c r="F2350" s="5" t="inlineStr">
        <is>
          <t>shear test</t>
        </is>
      </c>
      <c r="G2350" s="6" t="inlineStr">
        <is>
          <t>nr</t>
        </is>
      </c>
      <c r="H2350" s="7" t="n"/>
      <c r="I2350" s="8" t="n">
        <v>0</v>
      </c>
      <c r="J2350" s="8" t="n">
        <v>0</v>
      </c>
      <c r="K2350" s="8" t="n">
        <v>130.12</v>
      </c>
      <c r="L2350" s="8" t="n">
        <v>0</v>
      </c>
      <c r="M2350" s="9">
        <f>ROUND(SUM(I2350:L2350),2)</f>
        <v/>
      </c>
      <c r="N2350" s="10">
        <f>ROUND(I2350*'Irish Basis'!$C$6*'Irish Basis'!$C$5,2)</f>
        <v/>
      </c>
      <c r="O2350" s="10">
        <f>ROUND(J2350*'Irish Basis'!$C$7*'Irish Basis'!$C$5,2)</f>
        <v/>
      </c>
      <c r="P2350" s="10">
        <f>ROUND(K2350*'Irish Basis'!$C$8*'Irish Basis'!$C$5,2)</f>
        <v/>
      </c>
      <c r="Q2350" s="10">
        <f>ROUND(L2350*'Irish Basis'!$C$12*'Irish Basis'!$C$5,2)</f>
        <v/>
      </c>
      <c r="R2350" s="11">
        <f>ROUND(SUM(N2350:Q2350),2)</f>
        <v/>
      </c>
      <c r="S2350" s="5" t="inlineStr">
        <is>
          <t>Stated build-up</t>
        </is>
      </c>
      <c r="T2350" s="12" t="inlineStr">
        <is>
          <t>High</t>
        </is>
      </c>
      <c r="U2350" s="8" t="n">
        <v>130.12</v>
      </c>
      <c r="V2350" s="13">
        <f>IF(U2350="","",ROUND(M2350-U2350,2))</f>
        <v/>
      </c>
      <c r="W2350" s="5" t="n"/>
      <c r="X2350" s="5" t="inlineStr">
        <is>
          <t>Labour + plant + material as published; reconciles to the published rate.</t>
        </is>
      </c>
    </row>
    <row r="2351" ht="13" customHeight="1">
      <c r="A2351" s="4" t="n">
        <v>3552</v>
      </c>
      <c r="B2351" s="5" t="inlineStr">
        <is>
          <t>IMG_0113</t>
        </is>
      </c>
      <c r="C2351" s="5" t="inlineStr">
        <is>
          <t>CLASS N: MISCELLANEOUS METALWORK</t>
        </is>
      </c>
      <c r="D2351" s="5" t="inlineStr">
        <is>
          <t>02 PROPRIETARY WORK</t>
        </is>
      </c>
      <c r="E2351" s="5" t="inlineStr">
        <is>
          <t>Testing; laminated elastomeric bearings</t>
        </is>
      </c>
      <c r="F2351" s="5" t="inlineStr">
        <is>
          <t>bond test (Exclusive of cost of bearings as this is a destructive test)</t>
        </is>
      </c>
      <c r="G2351" s="6" t="inlineStr">
        <is>
          <t>nr</t>
        </is>
      </c>
      <c r="H2351" s="7" t="n"/>
      <c r="I2351" s="8" t="n">
        <v>0</v>
      </c>
      <c r="J2351" s="8" t="n">
        <v>0</v>
      </c>
      <c r="K2351" s="8" t="n">
        <v>494.52</v>
      </c>
      <c r="L2351" s="8" t="n">
        <v>0</v>
      </c>
      <c r="M2351" s="9">
        <f>ROUND(SUM(I2351:L2351),2)</f>
        <v/>
      </c>
      <c r="N2351" s="10">
        <f>ROUND(I2351*'Irish Basis'!$C$6*'Irish Basis'!$C$5,2)</f>
        <v/>
      </c>
      <c r="O2351" s="10">
        <f>ROUND(J2351*'Irish Basis'!$C$7*'Irish Basis'!$C$5,2)</f>
        <v/>
      </c>
      <c r="P2351" s="10">
        <f>ROUND(K2351*'Irish Basis'!$C$8*'Irish Basis'!$C$5,2)</f>
        <v/>
      </c>
      <c r="Q2351" s="10">
        <f>ROUND(L2351*'Irish Basis'!$C$12*'Irish Basis'!$C$5,2)</f>
        <v/>
      </c>
      <c r="R2351" s="11">
        <f>ROUND(SUM(N2351:Q2351),2)</f>
        <v/>
      </c>
      <c r="S2351" s="5" t="inlineStr">
        <is>
          <t>Stated build-up</t>
        </is>
      </c>
      <c r="T2351" s="12" t="inlineStr">
        <is>
          <t>High</t>
        </is>
      </c>
      <c r="U2351" s="8" t="n">
        <v>494.52</v>
      </c>
      <c r="V2351" s="13">
        <f>IF(U2351="","",ROUND(M2351-U2351,2))</f>
        <v/>
      </c>
      <c r="W2351" s="5" t="n"/>
      <c r="X2351" s="5" t="inlineStr">
        <is>
          <t>Labour + plant + material as published; reconciles to the published rate.</t>
        </is>
      </c>
    </row>
    <row r="2352" ht="13" customHeight="1">
      <c r="A2352" s="4" t="n">
        <v>3578</v>
      </c>
      <c r="B2352" s="5" t="inlineStr">
        <is>
          <t>IMG_0114</t>
        </is>
      </c>
      <c r="C2352" s="5" t="inlineStr">
        <is>
          <t>CLASS O: TIMBER</t>
        </is>
      </c>
      <c r="D2352" s="5" t="inlineStr">
        <is>
          <t>01 HARDWOOD COMPONENTS</t>
        </is>
      </c>
      <c r="E2352" s="5" t="inlineStr">
        <is>
          <t>Greenheart; 100 x 75 mm</t>
        </is>
      </c>
      <c r="F2352" s="5" t="inlineStr">
        <is>
          <t>length not exceeding 1.5 m</t>
        </is>
      </c>
      <c r="G2352" s="6" t="inlineStr">
        <is>
          <t>m</t>
        </is>
      </c>
      <c r="H2352" s="7" t="n">
        <v>0.15</v>
      </c>
      <c r="I2352" s="8" t="n">
        <v>15.35</v>
      </c>
      <c r="J2352" s="8" t="n">
        <v>16.27</v>
      </c>
      <c r="K2352" s="8" t="n">
        <v>11.26</v>
      </c>
      <c r="L2352" s="8" t="n">
        <v>0</v>
      </c>
      <c r="M2352" s="9">
        <f>ROUND(SUM(I2352:L2352),2)</f>
        <v/>
      </c>
      <c r="N2352" s="10">
        <f>ROUND(I2352*'Irish Basis'!$C$6*'Irish Basis'!$C$5,2)</f>
        <v/>
      </c>
      <c r="O2352" s="10">
        <f>ROUND(J2352*'Irish Basis'!$C$7*'Irish Basis'!$C$5,2)</f>
        <v/>
      </c>
      <c r="P2352" s="10">
        <f>ROUND(K2352*'Irish Basis'!$C$8*'Irish Basis'!$C$5,2)</f>
        <v/>
      </c>
      <c r="Q2352" s="10">
        <f>ROUND(L2352*'Irish Basis'!$C$12*'Irish Basis'!$C$5,2)</f>
        <v/>
      </c>
      <c r="R2352" s="11">
        <f>ROUND(SUM(N2352:Q2352),2)</f>
        <v/>
      </c>
      <c r="S2352" s="5" t="inlineStr">
        <is>
          <t>Stated build-up</t>
        </is>
      </c>
      <c r="T2352" s="12" t="inlineStr">
        <is>
          <t>High</t>
        </is>
      </c>
      <c r="U2352" s="8" t="n">
        <v>42.87</v>
      </c>
      <c r="V2352" s="13">
        <f>IF(U2352="","",ROUND(M2352-U2352,2))</f>
        <v/>
      </c>
      <c r="W2352" s="5" t="n"/>
      <c r="X2352" s="5" t="inlineStr">
        <is>
          <t>Labour + plant + material as published; reconciles to the published rate.</t>
        </is>
      </c>
    </row>
    <row r="2353" ht="13" customHeight="1">
      <c r="A2353" s="4" t="n">
        <v>3579</v>
      </c>
      <c r="B2353" s="5" t="inlineStr">
        <is>
          <t>IMG_0114</t>
        </is>
      </c>
      <c r="C2353" s="5" t="inlineStr">
        <is>
          <t>CLASS O: TIMBER</t>
        </is>
      </c>
      <c r="D2353" s="5" t="inlineStr">
        <is>
          <t>01 HARDWOOD COMPONENTS</t>
        </is>
      </c>
      <c r="E2353" s="5" t="inlineStr">
        <is>
          <t>Greenheart; 100 x 75 mm</t>
        </is>
      </c>
      <c r="F2353" s="5" t="inlineStr">
        <is>
          <t>length 1.5-3 m</t>
        </is>
      </c>
      <c r="G2353" s="6" t="inlineStr">
        <is>
          <t>m</t>
        </is>
      </c>
      <c r="H2353" s="7" t="n">
        <v>0.13</v>
      </c>
      <c r="I2353" s="8" t="n">
        <v>13.3</v>
      </c>
      <c r="J2353" s="8" t="n">
        <v>14.13</v>
      </c>
      <c r="K2353" s="8" t="n">
        <v>11.26</v>
      </c>
      <c r="L2353" s="8" t="n">
        <v>0</v>
      </c>
      <c r="M2353" s="9">
        <f>ROUND(SUM(I2353:L2353),2)</f>
        <v/>
      </c>
      <c r="N2353" s="10">
        <f>ROUND(I2353*'Irish Basis'!$C$6*'Irish Basis'!$C$5,2)</f>
        <v/>
      </c>
      <c r="O2353" s="10">
        <f>ROUND(J2353*'Irish Basis'!$C$7*'Irish Basis'!$C$5,2)</f>
        <v/>
      </c>
      <c r="P2353" s="10">
        <f>ROUND(K2353*'Irish Basis'!$C$8*'Irish Basis'!$C$5,2)</f>
        <v/>
      </c>
      <c r="Q2353" s="10">
        <f>ROUND(L2353*'Irish Basis'!$C$12*'Irish Basis'!$C$5,2)</f>
        <v/>
      </c>
      <c r="R2353" s="11">
        <f>ROUND(SUM(N2353:Q2353),2)</f>
        <v/>
      </c>
      <c r="S2353" s="5" t="inlineStr">
        <is>
          <t>Stated build-up</t>
        </is>
      </c>
      <c r="T2353" s="12" t="inlineStr">
        <is>
          <t>High</t>
        </is>
      </c>
      <c r="U2353" s="8" t="n">
        <v>38.69</v>
      </c>
      <c r="V2353" s="13">
        <f>IF(U2353="","",ROUND(M2353-U2353,2))</f>
        <v/>
      </c>
      <c r="W2353" s="5" t="n"/>
      <c r="X2353" s="5" t="inlineStr">
        <is>
          <t>Labour + plant + material as published; reconciles to the published rate.</t>
        </is>
      </c>
    </row>
    <row r="2354" ht="13" customHeight="1">
      <c r="A2354" s="4" t="n">
        <v>3580</v>
      </c>
      <c r="B2354" s="5" t="inlineStr">
        <is>
          <t>IMG_0114</t>
        </is>
      </c>
      <c r="C2354" s="5" t="inlineStr">
        <is>
          <t>CLASS O: TIMBER</t>
        </is>
      </c>
      <c r="D2354" s="5" t="inlineStr">
        <is>
          <t>01 HARDWOOD COMPONENTS</t>
        </is>
      </c>
      <c r="E2354" s="5" t="inlineStr">
        <is>
          <t>Greenheart; 100 x 75 mm</t>
        </is>
      </c>
      <c r="F2354" s="5" t="inlineStr">
        <is>
          <t>length 3-5 m</t>
        </is>
      </c>
      <c r="G2354" s="6" t="inlineStr">
        <is>
          <t>m</t>
        </is>
      </c>
      <c r="H2354" s="7" t="n">
        <v>0.12</v>
      </c>
      <c r="I2354" s="8" t="n">
        <v>12.28</v>
      </c>
      <c r="J2354" s="8" t="n">
        <v>12.98</v>
      </c>
      <c r="K2354" s="8" t="n">
        <v>11.26</v>
      </c>
      <c r="L2354" s="8" t="n">
        <v>0</v>
      </c>
      <c r="M2354" s="9">
        <f>ROUND(SUM(I2354:L2354),2)</f>
        <v/>
      </c>
      <c r="N2354" s="10">
        <f>ROUND(I2354*'Irish Basis'!$C$6*'Irish Basis'!$C$5,2)</f>
        <v/>
      </c>
      <c r="O2354" s="10">
        <f>ROUND(J2354*'Irish Basis'!$C$7*'Irish Basis'!$C$5,2)</f>
        <v/>
      </c>
      <c r="P2354" s="10">
        <f>ROUND(K2354*'Irish Basis'!$C$8*'Irish Basis'!$C$5,2)</f>
        <v/>
      </c>
      <c r="Q2354" s="10">
        <f>ROUND(L2354*'Irish Basis'!$C$12*'Irish Basis'!$C$5,2)</f>
        <v/>
      </c>
      <c r="R2354" s="11">
        <f>ROUND(SUM(N2354:Q2354),2)</f>
        <v/>
      </c>
      <c r="S2354" s="5" t="inlineStr">
        <is>
          <t>Stated build-up</t>
        </is>
      </c>
      <c r="T2354" s="12" t="inlineStr">
        <is>
          <t>High</t>
        </is>
      </c>
      <c r="U2354" s="8" t="n">
        <v>36.52</v>
      </c>
      <c r="V2354" s="13">
        <f>IF(U2354="","",ROUND(M2354-U2354,2))</f>
        <v/>
      </c>
      <c r="W2354" s="5" t="n"/>
      <c r="X2354" s="5" t="inlineStr">
        <is>
          <t>Labour + plant + material as published; reconciles to the published rate.</t>
        </is>
      </c>
    </row>
    <row r="2355" ht="13" customHeight="1">
      <c r="A2355" s="4" t="n">
        <v>3581</v>
      </c>
      <c r="B2355" s="5" t="inlineStr">
        <is>
          <t>IMG_0114</t>
        </is>
      </c>
      <c r="C2355" s="5" t="inlineStr">
        <is>
          <t>CLASS O: TIMBER</t>
        </is>
      </c>
      <c r="D2355" s="5" t="inlineStr">
        <is>
          <t>01 HARDWOOD COMPONENTS</t>
        </is>
      </c>
      <c r="E2355" s="5" t="inlineStr">
        <is>
          <t>Greenheart; 100 x 75 mm</t>
        </is>
      </c>
      <c r="F2355" s="5" t="inlineStr">
        <is>
          <t>length 5-8 m</t>
        </is>
      </c>
      <c r="G2355" s="6" t="inlineStr">
        <is>
          <t>m</t>
        </is>
      </c>
      <c r="H2355" s="7" t="n">
        <v>0.11</v>
      </c>
      <c r="I2355" s="8" t="n">
        <v>11.26</v>
      </c>
      <c r="J2355" s="8" t="n">
        <v>11.97</v>
      </c>
      <c r="K2355" s="8" t="n">
        <v>11.83</v>
      </c>
      <c r="L2355" s="8" t="n">
        <v>0</v>
      </c>
      <c r="M2355" s="9">
        <f>ROUND(SUM(I2355:L2355),2)</f>
        <v/>
      </c>
      <c r="N2355" s="10">
        <f>ROUND(I2355*'Irish Basis'!$C$6*'Irish Basis'!$C$5,2)</f>
        <v/>
      </c>
      <c r="O2355" s="10">
        <f>ROUND(J2355*'Irish Basis'!$C$7*'Irish Basis'!$C$5,2)</f>
        <v/>
      </c>
      <c r="P2355" s="10">
        <f>ROUND(K2355*'Irish Basis'!$C$8*'Irish Basis'!$C$5,2)</f>
        <v/>
      </c>
      <c r="Q2355" s="10">
        <f>ROUND(L2355*'Irish Basis'!$C$12*'Irish Basis'!$C$5,2)</f>
        <v/>
      </c>
      <c r="R2355" s="11">
        <f>ROUND(SUM(N2355:Q2355),2)</f>
        <v/>
      </c>
      <c r="S2355" s="5" t="inlineStr">
        <is>
          <t>Stated build-up</t>
        </is>
      </c>
      <c r="T2355" s="12" t="inlineStr">
        <is>
          <t>High</t>
        </is>
      </c>
      <c r="U2355" s="8" t="n">
        <v>35.06</v>
      </c>
      <c r="V2355" s="13">
        <f>IF(U2355="","",ROUND(M2355-U2355,2))</f>
        <v/>
      </c>
      <c r="W2355" s="5" t="n"/>
      <c r="X2355" s="5" t="inlineStr">
        <is>
          <t>Labour + plant + material as published; reconciles to the published rate.</t>
        </is>
      </c>
    </row>
    <row r="2356" ht="13" customHeight="1">
      <c r="A2356" s="4" t="n">
        <v>3583</v>
      </c>
      <c r="B2356" s="5" t="inlineStr">
        <is>
          <t>IMG_0114</t>
        </is>
      </c>
      <c r="C2356" s="5" t="inlineStr">
        <is>
          <t>CLASS O: TIMBER</t>
        </is>
      </c>
      <c r="D2356" s="5" t="inlineStr">
        <is>
          <t>01 HARDWOOD COMPONENTS</t>
        </is>
      </c>
      <c r="E2356" s="5" t="inlineStr">
        <is>
          <t>Greenheart; 150 x 75 mm</t>
        </is>
      </c>
      <c r="F2356" s="5" t="inlineStr">
        <is>
          <t>length not exceeding 1.5 m</t>
        </is>
      </c>
      <c r="G2356" s="6" t="inlineStr">
        <is>
          <t>m</t>
        </is>
      </c>
      <c r="H2356" s="7" t="n">
        <v>0.17</v>
      </c>
      <c r="I2356" s="8" t="n">
        <v>17.4</v>
      </c>
      <c r="J2356" s="8" t="n">
        <v>18.72</v>
      </c>
      <c r="K2356" s="8" t="n">
        <v>13.98</v>
      </c>
      <c r="L2356" s="8" t="n">
        <v>0</v>
      </c>
      <c r="M2356" s="9">
        <f>ROUND(SUM(I2356:L2356),2)</f>
        <v/>
      </c>
      <c r="N2356" s="10">
        <f>ROUND(I2356*'Irish Basis'!$C$6*'Irish Basis'!$C$5,2)</f>
        <v/>
      </c>
      <c r="O2356" s="10">
        <f>ROUND(J2356*'Irish Basis'!$C$7*'Irish Basis'!$C$5,2)</f>
        <v/>
      </c>
      <c r="P2356" s="10">
        <f>ROUND(K2356*'Irish Basis'!$C$8*'Irish Basis'!$C$5,2)</f>
        <v/>
      </c>
      <c r="Q2356" s="10">
        <f>ROUND(L2356*'Irish Basis'!$C$12*'Irish Basis'!$C$5,2)</f>
        <v/>
      </c>
      <c r="R2356" s="11">
        <f>ROUND(SUM(N2356:Q2356),2)</f>
        <v/>
      </c>
      <c r="S2356" s="5" t="inlineStr">
        <is>
          <t>Stated build-up</t>
        </is>
      </c>
      <c r="T2356" s="12" t="inlineStr">
        <is>
          <t>High</t>
        </is>
      </c>
      <c r="U2356" s="8" t="n">
        <v>50.09</v>
      </c>
      <c r="V2356" s="13">
        <f>IF(U2356="","",ROUND(M2356-U2356,2))</f>
        <v/>
      </c>
      <c r="W2356" s="5" t="n"/>
      <c r="X2356" s="5" t="inlineStr">
        <is>
          <t>Labour + plant + material as published; reconciles to the published rate.</t>
        </is>
      </c>
    </row>
    <row r="2357" ht="13" customHeight="1">
      <c r="A2357" s="4" t="n">
        <v>3584</v>
      </c>
      <c r="B2357" s="5" t="inlineStr">
        <is>
          <t>IMG_0114</t>
        </is>
      </c>
      <c r="C2357" s="5" t="inlineStr">
        <is>
          <t>CLASS O: TIMBER</t>
        </is>
      </c>
      <c r="D2357" s="5" t="inlineStr">
        <is>
          <t>01 HARDWOOD COMPONENTS</t>
        </is>
      </c>
      <c r="E2357" s="5" t="inlineStr">
        <is>
          <t>Greenheart; 150 x 75 mm</t>
        </is>
      </c>
      <c r="F2357" s="5" t="inlineStr">
        <is>
          <t>length 1.5-3 m</t>
        </is>
      </c>
      <c r="G2357" s="6" t="inlineStr">
        <is>
          <t>m</t>
        </is>
      </c>
      <c r="H2357" s="7" t="n">
        <v>0.15</v>
      </c>
      <c r="I2357" s="8" t="n">
        <v>15.35</v>
      </c>
      <c r="J2357" s="8" t="n">
        <v>16.27</v>
      </c>
      <c r="K2357" s="8" t="n">
        <v>13.64</v>
      </c>
      <c r="L2357" s="8" t="n">
        <v>0</v>
      </c>
      <c r="M2357" s="9">
        <f>ROUND(SUM(I2357:L2357),2)</f>
        <v/>
      </c>
      <c r="N2357" s="10">
        <f>ROUND(I2357*'Irish Basis'!$C$6*'Irish Basis'!$C$5,2)</f>
        <v/>
      </c>
      <c r="O2357" s="10">
        <f>ROUND(J2357*'Irish Basis'!$C$7*'Irish Basis'!$C$5,2)</f>
        <v/>
      </c>
      <c r="P2357" s="10">
        <f>ROUND(K2357*'Irish Basis'!$C$8*'Irish Basis'!$C$5,2)</f>
        <v/>
      </c>
      <c r="Q2357" s="10">
        <f>ROUND(L2357*'Irish Basis'!$C$12*'Irish Basis'!$C$5,2)</f>
        <v/>
      </c>
      <c r="R2357" s="11">
        <f>ROUND(SUM(N2357:Q2357),2)</f>
        <v/>
      </c>
      <c r="S2357" s="5" t="inlineStr">
        <is>
          <t>Stated build-up</t>
        </is>
      </c>
      <c r="T2357" s="12" t="inlineStr">
        <is>
          <t>High</t>
        </is>
      </c>
      <c r="U2357" s="8" t="n">
        <v>45.26</v>
      </c>
      <c r="V2357" s="13">
        <f>IF(U2357="","",ROUND(M2357-U2357,2))</f>
        <v/>
      </c>
      <c r="W2357" s="5" t="n"/>
      <c r="X2357" s="5" t="inlineStr">
        <is>
          <t>Labour + plant + material as published; reconciles to the published rate.</t>
        </is>
      </c>
    </row>
    <row r="2358" ht="13" customHeight="1">
      <c r="A2358" s="4" t="n">
        <v>3585</v>
      </c>
      <c r="B2358" s="5" t="inlineStr">
        <is>
          <t>IMG_0114</t>
        </is>
      </c>
      <c r="C2358" s="5" t="inlineStr">
        <is>
          <t>CLASS O: TIMBER</t>
        </is>
      </c>
      <c r="D2358" s="5" t="inlineStr">
        <is>
          <t>01 HARDWOOD COMPONENTS</t>
        </is>
      </c>
      <c r="E2358" s="5" t="inlineStr">
        <is>
          <t>Greenheart; 150 x 75 mm</t>
        </is>
      </c>
      <c r="F2358" s="5" t="inlineStr">
        <is>
          <t>length 3-5 m</t>
        </is>
      </c>
      <c r="G2358" s="6" t="inlineStr">
        <is>
          <t>m</t>
        </is>
      </c>
      <c r="H2358" s="7" t="n">
        <v>0.14</v>
      </c>
      <c r="I2358" s="8" t="n">
        <v>14.33</v>
      </c>
      <c r="J2358" s="8" t="n">
        <v>15.14</v>
      </c>
      <c r="K2358" s="8" t="n">
        <v>13.64</v>
      </c>
      <c r="L2358" s="8" t="n">
        <v>0</v>
      </c>
      <c r="M2358" s="9">
        <f>ROUND(SUM(I2358:L2358),2)</f>
        <v/>
      </c>
      <c r="N2358" s="10">
        <f>ROUND(I2358*'Irish Basis'!$C$6*'Irish Basis'!$C$5,2)</f>
        <v/>
      </c>
      <c r="O2358" s="10">
        <f>ROUND(J2358*'Irish Basis'!$C$7*'Irish Basis'!$C$5,2)</f>
        <v/>
      </c>
      <c r="P2358" s="10">
        <f>ROUND(K2358*'Irish Basis'!$C$8*'Irish Basis'!$C$5,2)</f>
        <v/>
      </c>
      <c r="Q2358" s="10">
        <f>ROUND(L2358*'Irish Basis'!$C$12*'Irish Basis'!$C$5,2)</f>
        <v/>
      </c>
      <c r="R2358" s="11">
        <f>ROUND(SUM(N2358:Q2358),2)</f>
        <v/>
      </c>
      <c r="S2358" s="5" t="inlineStr">
        <is>
          <t>Stated build-up</t>
        </is>
      </c>
      <c r="T2358" s="12" t="inlineStr">
        <is>
          <t>High</t>
        </is>
      </c>
      <c r="U2358" s="8" t="n">
        <v>43.11</v>
      </c>
      <c r="V2358" s="13">
        <f>IF(U2358="","",ROUND(M2358-U2358,2))</f>
        <v/>
      </c>
      <c r="W2358" s="5" t="n"/>
      <c r="X2358" s="5" t="inlineStr">
        <is>
          <t>Labour + plant + material as published; reconciles to the published rate.</t>
        </is>
      </c>
    </row>
    <row r="2359" ht="13" customHeight="1">
      <c r="A2359" s="4" t="n">
        <v>3586</v>
      </c>
      <c r="B2359" s="5" t="inlineStr">
        <is>
          <t>IMG_0114</t>
        </is>
      </c>
      <c r="C2359" s="5" t="inlineStr">
        <is>
          <t>CLASS O: TIMBER</t>
        </is>
      </c>
      <c r="D2359" s="5" t="inlineStr">
        <is>
          <t>01 HARDWOOD COMPONENTS</t>
        </is>
      </c>
      <c r="E2359" s="5" t="inlineStr">
        <is>
          <t>Greenheart; 150 x 75 mm</t>
        </is>
      </c>
      <c r="F2359" s="5" t="inlineStr">
        <is>
          <t>length 5-8 m</t>
        </is>
      </c>
      <c r="G2359" s="6" t="inlineStr">
        <is>
          <t>m</t>
        </is>
      </c>
      <c r="H2359" s="7" t="n">
        <v>0.12</v>
      </c>
      <c r="I2359" s="8" t="n">
        <v>12.28</v>
      </c>
      <c r="J2359" s="8" t="n">
        <v>16.82</v>
      </c>
      <c r="K2359" s="8" t="n">
        <v>14.33</v>
      </c>
      <c r="L2359" s="8" t="n">
        <v>0</v>
      </c>
      <c r="M2359" s="9">
        <f>ROUND(SUM(I2359:L2359),2)</f>
        <v/>
      </c>
      <c r="N2359" s="10">
        <f>ROUND(I2359*'Irish Basis'!$C$6*'Irish Basis'!$C$5,2)</f>
        <v/>
      </c>
      <c r="O2359" s="10">
        <f>ROUND(J2359*'Irish Basis'!$C$7*'Irish Basis'!$C$5,2)</f>
        <v/>
      </c>
      <c r="P2359" s="10">
        <f>ROUND(K2359*'Irish Basis'!$C$8*'Irish Basis'!$C$5,2)</f>
        <v/>
      </c>
      <c r="Q2359" s="10">
        <f>ROUND(L2359*'Irish Basis'!$C$12*'Irish Basis'!$C$5,2)</f>
        <v/>
      </c>
      <c r="R2359" s="11">
        <f>ROUND(SUM(N2359:Q2359),2)</f>
        <v/>
      </c>
      <c r="S2359" s="5" t="inlineStr">
        <is>
          <t>Stated build-up</t>
        </is>
      </c>
      <c r="T2359" s="12" t="inlineStr">
        <is>
          <t>High</t>
        </is>
      </c>
      <c r="U2359" s="8" t="n">
        <v>43.43</v>
      </c>
      <c r="V2359" s="13">
        <f>IF(U2359="","",ROUND(M2359-U2359,2))</f>
        <v/>
      </c>
      <c r="W2359" s="5" t="n"/>
      <c r="X2359" s="5" t="inlineStr">
        <is>
          <t>Labour + plant + material as published; reconciles to the published rate.</t>
        </is>
      </c>
    </row>
    <row r="2360" ht="13" customHeight="1">
      <c r="A2360" s="4" t="n">
        <v>3588</v>
      </c>
      <c r="B2360" s="5" t="inlineStr">
        <is>
          <t>IMG_0114</t>
        </is>
      </c>
      <c r="C2360" s="5" t="inlineStr">
        <is>
          <t>CLASS O: TIMBER</t>
        </is>
      </c>
      <c r="D2360" s="5" t="inlineStr">
        <is>
          <t>01 HARDWOOD COMPONENTS</t>
        </is>
      </c>
      <c r="E2360" s="5" t="inlineStr">
        <is>
          <t>Greenheart; 200 x 100 mm</t>
        </is>
      </c>
      <c r="F2360" s="5" t="inlineStr">
        <is>
          <t>length not exceeding 1.5 m</t>
        </is>
      </c>
      <c r="G2360" s="6" t="inlineStr">
        <is>
          <t>m</t>
        </is>
      </c>
      <c r="H2360" s="7" t="n">
        <v>0.24</v>
      </c>
      <c r="I2360" s="8" t="n">
        <v>24.56</v>
      </c>
      <c r="J2360" s="8" t="n">
        <v>25.95</v>
      </c>
      <c r="K2360" s="8" t="n">
        <v>28.63</v>
      </c>
      <c r="L2360" s="8" t="n">
        <v>0</v>
      </c>
      <c r="M2360" s="9">
        <f>ROUND(SUM(I2360:L2360),2)</f>
        <v/>
      </c>
      <c r="N2360" s="10">
        <f>ROUND(I2360*'Irish Basis'!$C$6*'Irish Basis'!$C$5,2)</f>
        <v/>
      </c>
      <c r="O2360" s="10">
        <f>ROUND(J2360*'Irish Basis'!$C$7*'Irish Basis'!$C$5,2)</f>
        <v/>
      </c>
      <c r="P2360" s="10">
        <f>ROUND(K2360*'Irish Basis'!$C$8*'Irish Basis'!$C$5,2)</f>
        <v/>
      </c>
      <c r="Q2360" s="10">
        <f>ROUND(L2360*'Irish Basis'!$C$12*'Irish Basis'!$C$5,2)</f>
        <v/>
      </c>
      <c r="R2360" s="11">
        <f>ROUND(SUM(N2360:Q2360),2)</f>
        <v/>
      </c>
      <c r="S2360" s="5" t="inlineStr">
        <is>
          <t>Stated build-up</t>
        </is>
      </c>
      <c r="T2360" s="12" t="inlineStr">
        <is>
          <t>High</t>
        </is>
      </c>
      <c r="U2360" s="8" t="n">
        <v>79.15000000000001</v>
      </c>
      <c r="V2360" s="13">
        <f>IF(U2360="","",ROUND(M2360-U2360,2))</f>
        <v/>
      </c>
      <c r="W2360" s="5" t="n"/>
      <c r="X2360" s="5" t="inlineStr">
        <is>
          <t>Labour + plant + material as published; reconciles to the published rate.</t>
        </is>
      </c>
    </row>
    <row r="2361" ht="13" customHeight="1">
      <c r="A2361" s="4" t="n">
        <v>3589</v>
      </c>
      <c r="B2361" s="5" t="inlineStr">
        <is>
          <t>IMG_0114</t>
        </is>
      </c>
      <c r="C2361" s="5" t="inlineStr">
        <is>
          <t>CLASS O: TIMBER</t>
        </is>
      </c>
      <c r="D2361" s="5" t="inlineStr">
        <is>
          <t>01 HARDWOOD COMPONENTS</t>
        </is>
      </c>
      <c r="E2361" s="5" t="inlineStr">
        <is>
          <t>Greenheart; 200 x 100 mm</t>
        </is>
      </c>
      <c r="F2361" s="5" t="inlineStr">
        <is>
          <t>length 1.5-3 m</t>
        </is>
      </c>
      <c r="G2361" s="6" t="inlineStr">
        <is>
          <t>m</t>
        </is>
      </c>
      <c r="H2361" s="7" t="n">
        <v>0.21</v>
      </c>
      <c r="I2361" s="8" t="n">
        <v>21.49</v>
      </c>
      <c r="J2361" s="8" t="n">
        <v>23.04</v>
      </c>
      <c r="K2361" s="8" t="n">
        <v>28.63</v>
      </c>
      <c r="L2361" s="8" t="n">
        <v>0</v>
      </c>
      <c r="M2361" s="9">
        <f>ROUND(SUM(I2361:L2361),2)</f>
        <v/>
      </c>
      <c r="N2361" s="10">
        <f>ROUND(I2361*'Irish Basis'!$C$6*'Irish Basis'!$C$5,2)</f>
        <v/>
      </c>
      <c r="O2361" s="10">
        <f>ROUND(J2361*'Irish Basis'!$C$7*'Irish Basis'!$C$5,2)</f>
        <v/>
      </c>
      <c r="P2361" s="10">
        <f>ROUND(K2361*'Irish Basis'!$C$8*'Irish Basis'!$C$5,2)</f>
        <v/>
      </c>
      <c r="Q2361" s="10">
        <f>ROUND(L2361*'Irish Basis'!$C$12*'Irish Basis'!$C$5,2)</f>
        <v/>
      </c>
      <c r="R2361" s="11">
        <f>ROUND(SUM(N2361:Q2361),2)</f>
        <v/>
      </c>
      <c r="S2361" s="5" t="inlineStr">
        <is>
          <t>Stated build-up</t>
        </is>
      </c>
      <c r="T2361" s="12" t="inlineStr">
        <is>
          <t>High</t>
        </is>
      </c>
      <c r="U2361" s="8" t="n">
        <v>73.16</v>
      </c>
      <c r="V2361" s="13">
        <f>IF(U2361="","",ROUND(M2361-U2361,2))</f>
        <v/>
      </c>
      <c r="W2361" s="5" t="n"/>
      <c r="X2361" s="5" t="inlineStr">
        <is>
          <t>Labour + plant + material as published; reconciles to the published rate.</t>
        </is>
      </c>
    </row>
    <row r="2362" ht="13" customHeight="1">
      <c r="A2362" s="4" t="n">
        <v>3590</v>
      </c>
      <c r="B2362" s="5" t="inlineStr">
        <is>
          <t>IMG_0114</t>
        </is>
      </c>
      <c r="C2362" s="5" t="inlineStr">
        <is>
          <t>CLASS O: TIMBER</t>
        </is>
      </c>
      <c r="D2362" s="5" t="inlineStr">
        <is>
          <t>01 HARDWOOD COMPONENTS</t>
        </is>
      </c>
      <c r="E2362" s="5" t="inlineStr">
        <is>
          <t>Greenheart; 200 x 100 mm</t>
        </is>
      </c>
      <c r="F2362" s="5" t="inlineStr">
        <is>
          <t>length 3-5 m</t>
        </is>
      </c>
      <c r="G2362" s="6" t="inlineStr">
        <is>
          <t>m</t>
        </is>
      </c>
      <c r="H2362" s="7" t="n">
        <v>0.2</v>
      </c>
      <c r="I2362" s="8" t="n">
        <v>19.96</v>
      </c>
      <c r="J2362" s="8" t="n">
        <v>21.13</v>
      </c>
      <c r="K2362" s="8" t="n">
        <v>28.63</v>
      </c>
      <c r="L2362" s="8" t="n">
        <v>0</v>
      </c>
      <c r="M2362" s="9">
        <f>ROUND(SUM(I2362:L2362),2)</f>
        <v/>
      </c>
      <c r="N2362" s="10">
        <f>ROUND(I2362*'Irish Basis'!$C$6*'Irish Basis'!$C$5,2)</f>
        <v/>
      </c>
      <c r="O2362" s="10">
        <f>ROUND(J2362*'Irish Basis'!$C$7*'Irish Basis'!$C$5,2)</f>
        <v/>
      </c>
      <c r="P2362" s="10">
        <f>ROUND(K2362*'Irish Basis'!$C$8*'Irish Basis'!$C$5,2)</f>
        <v/>
      </c>
      <c r="Q2362" s="10">
        <f>ROUND(L2362*'Irish Basis'!$C$12*'Irish Basis'!$C$5,2)</f>
        <v/>
      </c>
      <c r="R2362" s="11">
        <f>ROUND(SUM(N2362:Q2362),2)</f>
        <v/>
      </c>
      <c r="S2362" s="5" t="inlineStr">
        <is>
          <t>Stated build-up</t>
        </is>
      </c>
      <c r="T2362" s="12" t="inlineStr">
        <is>
          <t>High</t>
        </is>
      </c>
      <c r="U2362" s="8" t="n">
        <v>69.72</v>
      </c>
      <c r="V2362" s="13">
        <f>IF(U2362="","",ROUND(M2362-U2362,2))</f>
        <v/>
      </c>
      <c r="W2362" s="5" t="n"/>
      <c r="X2362" s="5" t="inlineStr">
        <is>
          <t>Labour + plant + material as published; reconciles to the published rate.</t>
        </is>
      </c>
    </row>
    <row r="2363" ht="13" customHeight="1">
      <c r="A2363" s="4" t="n">
        <v>3591</v>
      </c>
      <c r="B2363" s="5" t="inlineStr">
        <is>
          <t>IMG_0114</t>
        </is>
      </c>
      <c r="C2363" s="5" t="inlineStr">
        <is>
          <t>CLASS O: TIMBER</t>
        </is>
      </c>
      <c r="D2363" s="5" t="inlineStr">
        <is>
          <t>01 HARDWOOD COMPONENTS</t>
        </is>
      </c>
      <c r="E2363" s="5" t="inlineStr">
        <is>
          <t>Greenheart; 200 x 100 mm</t>
        </is>
      </c>
      <c r="F2363" s="5" t="inlineStr">
        <is>
          <t>length 5-8 m</t>
        </is>
      </c>
      <c r="G2363" s="6" t="inlineStr">
        <is>
          <t>m</t>
        </is>
      </c>
      <c r="H2363" s="7" t="n">
        <v>0.18</v>
      </c>
      <c r="I2363" s="8" t="n">
        <v>18.42</v>
      </c>
      <c r="J2363" s="8" t="n">
        <v>19.46</v>
      </c>
      <c r="K2363" s="8" t="n">
        <v>28.63</v>
      </c>
      <c r="L2363" s="8" t="n">
        <v>0</v>
      </c>
      <c r="M2363" s="9">
        <f>ROUND(SUM(I2363:L2363),2)</f>
        <v/>
      </c>
      <c r="N2363" s="10">
        <f>ROUND(I2363*'Irish Basis'!$C$6*'Irish Basis'!$C$5,2)</f>
        <v/>
      </c>
      <c r="O2363" s="10">
        <f>ROUND(J2363*'Irish Basis'!$C$7*'Irish Basis'!$C$5,2)</f>
        <v/>
      </c>
      <c r="P2363" s="10">
        <f>ROUND(K2363*'Irish Basis'!$C$8*'Irish Basis'!$C$5,2)</f>
        <v/>
      </c>
      <c r="Q2363" s="10">
        <f>ROUND(L2363*'Irish Basis'!$C$12*'Irish Basis'!$C$5,2)</f>
        <v/>
      </c>
      <c r="R2363" s="11">
        <f>ROUND(SUM(N2363:Q2363),2)</f>
        <v/>
      </c>
      <c r="S2363" s="5" t="inlineStr">
        <is>
          <t>Stated build-up</t>
        </is>
      </c>
      <c r="T2363" s="12" t="inlineStr">
        <is>
          <t>High</t>
        </is>
      </c>
      <c r="U2363" s="8" t="n">
        <v>66.51000000000001</v>
      </c>
      <c r="V2363" s="13">
        <f>IF(U2363="","",ROUND(M2363-U2363,2))</f>
        <v/>
      </c>
      <c r="W2363" s="5" t="n"/>
      <c r="X2363" s="5" t="inlineStr">
        <is>
          <t>Labour + plant + material as published; reconciles to the published rate.</t>
        </is>
      </c>
    </row>
    <row r="2364" ht="13" customHeight="1">
      <c r="A2364" s="4" t="n">
        <v>3592</v>
      </c>
      <c r="B2364" s="5" t="inlineStr">
        <is>
          <t>IMG_0114</t>
        </is>
      </c>
      <c r="C2364" s="5" t="inlineStr">
        <is>
          <t>CLASS O: TIMBER</t>
        </is>
      </c>
      <c r="D2364" s="5" t="inlineStr">
        <is>
          <t>01 HARDWOOD COMPONENTS</t>
        </is>
      </c>
      <c r="E2364" s="5" t="inlineStr">
        <is>
          <t>Greenheart; 200 x 100 mm</t>
        </is>
      </c>
      <c r="F2364" s="5" t="inlineStr">
        <is>
          <t>length 8-12 m</t>
        </is>
      </c>
      <c r="G2364" s="6" t="inlineStr">
        <is>
          <t>m</t>
        </is>
      </c>
      <c r="H2364" s="7" t="n">
        <v>0.16</v>
      </c>
      <c r="I2364" s="8" t="n">
        <v>16.37</v>
      </c>
      <c r="J2364" s="8" t="n">
        <v>17.3</v>
      </c>
      <c r="K2364" s="8" t="n">
        <v>34.94</v>
      </c>
      <c r="L2364" s="8" t="n">
        <v>0</v>
      </c>
      <c r="M2364" s="9">
        <f>ROUND(SUM(I2364:L2364),2)</f>
        <v/>
      </c>
      <c r="N2364" s="10">
        <f>ROUND(I2364*'Irish Basis'!$C$6*'Irish Basis'!$C$5,2)</f>
        <v/>
      </c>
      <c r="O2364" s="10">
        <f>ROUND(J2364*'Irish Basis'!$C$7*'Irish Basis'!$C$5,2)</f>
        <v/>
      </c>
      <c r="P2364" s="10">
        <f>ROUND(K2364*'Irish Basis'!$C$8*'Irish Basis'!$C$5,2)</f>
        <v/>
      </c>
      <c r="Q2364" s="10">
        <f>ROUND(L2364*'Irish Basis'!$C$12*'Irish Basis'!$C$5,2)</f>
        <v/>
      </c>
      <c r="R2364" s="11">
        <f>ROUND(SUM(N2364:Q2364),2)</f>
        <v/>
      </c>
      <c r="S2364" s="5" t="inlineStr">
        <is>
          <t>Stated build-up</t>
        </is>
      </c>
      <c r="T2364" s="12" t="inlineStr">
        <is>
          <t>High</t>
        </is>
      </c>
      <c r="U2364" s="8" t="n">
        <v>68.62</v>
      </c>
      <c r="V2364" s="13">
        <f>IF(U2364="","",ROUND(M2364-U2364,2))</f>
        <v/>
      </c>
      <c r="W2364" s="5" t="n"/>
      <c r="X2364" s="5" t="inlineStr">
        <is>
          <t>Labour + plant + material as published; reconciles to the published rate.</t>
        </is>
      </c>
    </row>
    <row r="2365" ht="13" customHeight="1">
      <c r="A2365" s="4" t="n">
        <v>3594</v>
      </c>
      <c r="B2365" s="5" t="inlineStr">
        <is>
          <t>IMG_0114</t>
        </is>
      </c>
      <c r="C2365" s="5" t="inlineStr">
        <is>
          <t>CLASS O: TIMBER</t>
        </is>
      </c>
      <c r="D2365" s="5" t="inlineStr">
        <is>
          <t>01 HARDWOOD COMPONENTS</t>
        </is>
      </c>
      <c r="E2365" s="5" t="inlineStr">
        <is>
          <t>Greenheart; 200 x 200 mm</t>
        </is>
      </c>
      <c r="F2365" s="5" t="inlineStr">
        <is>
          <t>length not exceeding 1.5 m</t>
        </is>
      </c>
      <c r="G2365" s="6" t="inlineStr">
        <is>
          <t>m</t>
        </is>
      </c>
      <c r="H2365" s="7" t="n">
        <v>0.42</v>
      </c>
      <c r="I2365" s="8" t="n">
        <v>42.98</v>
      </c>
      <c r="J2365" s="8" t="n">
        <v>45.42</v>
      </c>
      <c r="K2365" s="8" t="n">
        <v>46.77</v>
      </c>
      <c r="L2365" s="8" t="n">
        <v>0</v>
      </c>
      <c r="M2365" s="9">
        <f>ROUND(SUM(I2365:L2365),2)</f>
        <v/>
      </c>
      <c r="N2365" s="10">
        <f>ROUND(I2365*'Irish Basis'!$C$6*'Irish Basis'!$C$5,2)</f>
        <v/>
      </c>
      <c r="O2365" s="10">
        <f>ROUND(J2365*'Irish Basis'!$C$7*'Irish Basis'!$C$5,2)</f>
        <v/>
      </c>
      <c r="P2365" s="10">
        <f>ROUND(K2365*'Irish Basis'!$C$8*'Irish Basis'!$C$5,2)</f>
        <v/>
      </c>
      <c r="Q2365" s="10">
        <f>ROUND(L2365*'Irish Basis'!$C$12*'Irish Basis'!$C$5,2)</f>
        <v/>
      </c>
      <c r="R2365" s="11">
        <f>ROUND(SUM(N2365:Q2365),2)</f>
        <v/>
      </c>
      <c r="S2365" s="5" t="inlineStr">
        <is>
          <t>Stated build-up</t>
        </is>
      </c>
      <c r="T2365" s="12" t="inlineStr">
        <is>
          <t>High</t>
        </is>
      </c>
      <c r="U2365" s="8" t="n">
        <v>135.17</v>
      </c>
      <c r="V2365" s="13">
        <f>IF(U2365="","",ROUND(M2365-U2365,2))</f>
        <v/>
      </c>
      <c r="W2365" s="5" t="n"/>
      <c r="X2365" s="5" t="inlineStr">
        <is>
          <t>Labour + plant + material as published; reconciles to the published rate.</t>
        </is>
      </c>
    </row>
    <row r="2366" ht="13" customHeight="1">
      <c r="A2366" s="4" t="n">
        <v>3595</v>
      </c>
      <c r="B2366" s="5" t="inlineStr">
        <is>
          <t>IMG_0114</t>
        </is>
      </c>
      <c r="C2366" s="5" t="inlineStr">
        <is>
          <t>CLASS O: TIMBER</t>
        </is>
      </c>
      <c r="D2366" s="5" t="inlineStr">
        <is>
          <t>01 HARDWOOD COMPONENTS</t>
        </is>
      </c>
      <c r="E2366" s="5" t="inlineStr">
        <is>
          <t>Greenheart; 200 x 200 mm</t>
        </is>
      </c>
      <c r="F2366" s="5" t="inlineStr">
        <is>
          <t>length 1.5-3 m</t>
        </is>
      </c>
      <c r="G2366" s="6" t="inlineStr">
        <is>
          <t>m</t>
        </is>
      </c>
      <c r="H2366" s="7" t="n">
        <v>0.4</v>
      </c>
      <c r="I2366" s="8" t="n">
        <v>40.94</v>
      </c>
      <c r="J2366" s="8" t="n">
        <v>43.26</v>
      </c>
      <c r="K2366" s="8" t="n">
        <v>49.57</v>
      </c>
      <c r="L2366" s="8" t="n">
        <v>0</v>
      </c>
      <c r="M2366" s="9">
        <f>ROUND(SUM(I2366:L2366),2)</f>
        <v/>
      </c>
      <c r="N2366" s="10">
        <f>ROUND(I2366*'Irish Basis'!$C$6*'Irish Basis'!$C$5,2)</f>
        <v/>
      </c>
      <c r="O2366" s="10">
        <f>ROUND(J2366*'Irish Basis'!$C$7*'Irish Basis'!$C$5,2)</f>
        <v/>
      </c>
      <c r="P2366" s="10">
        <f>ROUND(K2366*'Irish Basis'!$C$8*'Irish Basis'!$C$5,2)</f>
        <v/>
      </c>
      <c r="Q2366" s="10">
        <f>ROUND(L2366*'Irish Basis'!$C$12*'Irish Basis'!$C$5,2)</f>
        <v/>
      </c>
      <c r="R2366" s="11">
        <f>ROUND(SUM(N2366:Q2366),2)</f>
        <v/>
      </c>
      <c r="S2366" s="5" t="inlineStr">
        <is>
          <t>Stated build-up</t>
        </is>
      </c>
      <c r="T2366" s="12" t="inlineStr">
        <is>
          <t>High</t>
        </is>
      </c>
      <c r="U2366" s="8" t="n">
        <v>133.76</v>
      </c>
      <c r="V2366" s="13">
        <f>IF(U2366="","",ROUND(M2366-U2366,2))</f>
        <v/>
      </c>
      <c r="W2366" s="5" t="n"/>
      <c r="X2366" s="5" t="inlineStr">
        <is>
          <t>Labour + plant + material as published; reconciles to the published rate.</t>
        </is>
      </c>
    </row>
    <row r="2367" ht="13" customHeight="1">
      <c r="A2367" s="4" t="n">
        <v>3596</v>
      </c>
      <c r="B2367" s="5" t="inlineStr">
        <is>
          <t>IMG_0114</t>
        </is>
      </c>
      <c r="C2367" s="5" t="inlineStr">
        <is>
          <t>CLASS O: TIMBER</t>
        </is>
      </c>
      <c r="D2367" s="5" t="inlineStr">
        <is>
          <t>01 HARDWOOD COMPONENTS</t>
        </is>
      </c>
      <c r="E2367" s="5" t="inlineStr">
        <is>
          <t>Greenheart; 200 x 200 mm</t>
        </is>
      </c>
      <c r="F2367" s="5" t="inlineStr">
        <is>
          <t>length 3-5 m</t>
        </is>
      </c>
      <c r="G2367" s="6" t="inlineStr">
        <is>
          <t>m</t>
        </is>
      </c>
      <c r="H2367" s="7" t="n">
        <v>0.38</v>
      </c>
      <c r="I2367" s="8" t="n">
        <v>38.89</v>
      </c>
      <c r="J2367" s="8" t="n">
        <v>41.1</v>
      </c>
      <c r="K2367" s="8" t="n">
        <v>49.57</v>
      </c>
      <c r="L2367" s="8" t="n">
        <v>0</v>
      </c>
      <c r="M2367" s="9">
        <f>ROUND(SUM(I2367:L2367),2)</f>
        <v/>
      </c>
      <c r="N2367" s="10">
        <f>ROUND(I2367*'Irish Basis'!$C$6*'Irish Basis'!$C$5,2)</f>
        <v/>
      </c>
      <c r="O2367" s="10">
        <f>ROUND(J2367*'Irish Basis'!$C$7*'Irish Basis'!$C$5,2)</f>
        <v/>
      </c>
      <c r="P2367" s="10">
        <f>ROUND(K2367*'Irish Basis'!$C$8*'Irish Basis'!$C$5,2)</f>
        <v/>
      </c>
      <c r="Q2367" s="10">
        <f>ROUND(L2367*'Irish Basis'!$C$12*'Irish Basis'!$C$5,2)</f>
        <v/>
      </c>
      <c r="R2367" s="11">
        <f>ROUND(SUM(N2367:Q2367),2)</f>
        <v/>
      </c>
      <c r="S2367" s="5" t="inlineStr">
        <is>
          <t>Stated build-up</t>
        </is>
      </c>
      <c r="T2367" s="12" t="inlineStr">
        <is>
          <t>High</t>
        </is>
      </c>
      <c r="U2367" s="8" t="n">
        <v>129.55</v>
      </c>
      <c r="V2367" s="13">
        <f>IF(U2367="","",ROUND(M2367-U2367,2))</f>
        <v/>
      </c>
      <c r="W2367" s="5" t="n"/>
      <c r="X2367" s="5" t="inlineStr">
        <is>
          <t>Labour + plant + material as published; reconciles to the published rate.</t>
        </is>
      </c>
    </row>
    <row r="2368" ht="13" customHeight="1">
      <c r="A2368" s="4" t="n">
        <v>3597</v>
      </c>
      <c r="B2368" s="5" t="inlineStr">
        <is>
          <t>IMG_0114</t>
        </is>
      </c>
      <c r="C2368" s="5" t="inlineStr">
        <is>
          <t>CLASS O: TIMBER</t>
        </is>
      </c>
      <c r="D2368" s="5" t="inlineStr">
        <is>
          <t>01 HARDWOOD COMPONENTS</t>
        </is>
      </c>
      <c r="E2368" s="5" t="inlineStr">
        <is>
          <t>Greenheart; 200 x 200 mm</t>
        </is>
      </c>
      <c r="F2368" s="5" t="inlineStr">
        <is>
          <t>length 5-8 m</t>
        </is>
      </c>
      <c r="G2368" s="6" t="inlineStr">
        <is>
          <t>m</t>
        </is>
      </c>
      <c r="H2368" s="7" t="n">
        <v>0.34</v>
      </c>
      <c r="I2368" s="8" t="n">
        <v>34.79</v>
      </c>
      <c r="J2368" s="8" t="n">
        <v>36.76</v>
      </c>
      <c r="K2368" s="8" t="n">
        <v>49.57</v>
      </c>
      <c r="L2368" s="8" t="n">
        <v>0</v>
      </c>
      <c r="M2368" s="9">
        <f>ROUND(SUM(I2368:L2368),2)</f>
        <v/>
      </c>
      <c r="N2368" s="10">
        <f>ROUND(I2368*'Irish Basis'!$C$6*'Irish Basis'!$C$5,2)</f>
        <v/>
      </c>
      <c r="O2368" s="10">
        <f>ROUND(J2368*'Irish Basis'!$C$7*'Irish Basis'!$C$5,2)</f>
        <v/>
      </c>
      <c r="P2368" s="10">
        <f>ROUND(K2368*'Irish Basis'!$C$8*'Irish Basis'!$C$5,2)</f>
        <v/>
      </c>
      <c r="Q2368" s="10">
        <f>ROUND(L2368*'Irish Basis'!$C$12*'Irish Basis'!$C$5,2)</f>
        <v/>
      </c>
      <c r="R2368" s="11">
        <f>ROUND(SUM(N2368:Q2368),2)</f>
        <v/>
      </c>
      <c r="S2368" s="5" t="inlineStr">
        <is>
          <t>Stated build-up</t>
        </is>
      </c>
      <c r="T2368" s="12" t="inlineStr">
        <is>
          <t>High</t>
        </is>
      </c>
      <c r="U2368" s="8" t="n">
        <v>121.13</v>
      </c>
      <c r="V2368" s="13">
        <f>IF(U2368="","",ROUND(M2368-U2368,2))</f>
        <v/>
      </c>
      <c r="W2368" s="5" t="n"/>
      <c r="X2368" s="5" t="inlineStr">
        <is>
          <t>Labour + plant + material as published; reconciles to the published rate.</t>
        </is>
      </c>
    </row>
    <row r="2369" ht="13" customHeight="1">
      <c r="A2369" s="4" t="n">
        <v>3598</v>
      </c>
      <c r="B2369" s="5" t="inlineStr">
        <is>
          <t>IMG_0114</t>
        </is>
      </c>
      <c r="C2369" s="5" t="inlineStr">
        <is>
          <t>CLASS O: TIMBER</t>
        </is>
      </c>
      <c r="D2369" s="5" t="inlineStr">
        <is>
          <t>01 HARDWOOD COMPONENTS</t>
        </is>
      </c>
      <c r="E2369" s="5" t="inlineStr">
        <is>
          <t>Greenheart; 200 x 200 mm</t>
        </is>
      </c>
      <c r="F2369" s="5" t="inlineStr">
        <is>
          <t>length 8-12 m</t>
        </is>
      </c>
      <c r="G2369" s="6" t="inlineStr">
        <is>
          <t>m</t>
        </is>
      </c>
      <c r="H2369" s="7" t="n">
        <v>0.3</v>
      </c>
      <c r="I2369" s="8" t="n">
        <v>30.7</v>
      </c>
      <c r="J2369" s="8" t="n">
        <v>33.08</v>
      </c>
      <c r="K2369" s="8" t="n">
        <v>53.44</v>
      </c>
      <c r="L2369" s="8" t="n">
        <v>0</v>
      </c>
      <c r="M2369" s="9">
        <f>ROUND(SUM(I2369:L2369),2)</f>
        <v/>
      </c>
      <c r="N2369" s="10">
        <f>ROUND(I2369*'Irish Basis'!$C$6*'Irish Basis'!$C$5,2)</f>
        <v/>
      </c>
      <c r="O2369" s="10">
        <f>ROUND(J2369*'Irish Basis'!$C$7*'Irish Basis'!$C$5,2)</f>
        <v/>
      </c>
      <c r="P2369" s="10">
        <f>ROUND(K2369*'Irish Basis'!$C$8*'Irish Basis'!$C$5,2)</f>
        <v/>
      </c>
      <c r="Q2369" s="10">
        <f>ROUND(L2369*'Irish Basis'!$C$12*'Irish Basis'!$C$5,2)</f>
        <v/>
      </c>
      <c r="R2369" s="11">
        <f>ROUND(SUM(N2369:Q2369),2)</f>
        <v/>
      </c>
      <c r="S2369" s="5" t="inlineStr">
        <is>
          <t>Stated build-up</t>
        </is>
      </c>
      <c r="T2369" s="12" t="inlineStr">
        <is>
          <t>High</t>
        </is>
      </c>
      <c r="U2369" s="8" t="n">
        <v>117.22</v>
      </c>
      <c r="V2369" s="13">
        <f>IF(U2369="","",ROUND(M2369-U2369,2))</f>
        <v/>
      </c>
      <c r="W2369" s="5" t="n"/>
      <c r="X2369" s="5" t="inlineStr">
        <is>
          <t>Labour + plant + material as published; reconciles to the published rate.</t>
        </is>
      </c>
    </row>
    <row r="2370" ht="13" customHeight="1">
      <c r="A2370" s="4" t="n">
        <v>3600</v>
      </c>
      <c r="B2370" s="5" t="inlineStr">
        <is>
          <t>IMG_0114</t>
        </is>
      </c>
      <c r="C2370" s="5" t="inlineStr">
        <is>
          <t>CLASS O: TIMBER</t>
        </is>
      </c>
      <c r="D2370" s="5" t="inlineStr">
        <is>
          <t>01 HARDWOOD COMPONENTS</t>
        </is>
      </c>
      <c r="E2370" s="5" t="inlineStr">
        <is>
          <t>Greenheart; 225 x 100 mm</t>
        </is>
      </c>
      <c r="F2370" s="5" t="inlineStr">
        <is>
          <t>length not exceeding 1.5 m</t>
        </is>
      </c>
      <c r="G2370" s="6" t="inlineStr">
        <is>
          <t>m</t>
        </is>
      </c>
      <c r="H2370" s="7" t="n">
        <v>0.27</v>
      </c>
      <c r="I2370" s="8" t="n">
        <v>27.63</v>
      </c>
      <c r="J2370" s="8" t="n">
        <v>29.53</v>
      </c>
      <c r="K2370" s="8" t="n">
        <v>28.63</v>
      </c>
      <c r="L2370" s="8" t="n">
        <v>0</v>
      </c>
      <c r="M2370" s="9">
        <f>ROUND(SUM(I2370:L2370),2)</f>
        <v/>
      </c>
      <c r="N2370" s="10">
        <f>ROUND(I2370*'Irish Basis'!$C$6*'Irish Basis'!$C$5,2)</f>
        <v/>
      </c>
      <c r="O2370" s="10">
        <f>ROUND(J2370*'Irish Basis'!$C$7*'Irish Basis'!$C$5,2)</f>
        <v/>
      </c>
      <c r="P2370" s="10">
        <f>ROUND(K2370*'Irish Basis'!$C$8*'Irish Basis'!$C$5,2)</f>
        <v/>
      </c>
      <c r="Q2370" s="10">
        <f>ROUND(L2370*'Irish Basis'!$C$12*'Irish Basis'!$C$5,2)</f>
        <v/>
      </c>
      <c r="R2370" s="11">
        <f>ROUND(SUM(N2370:Q2370),2)</f>
        <v/>
      </c>
      <c r="S2370" s="5" t="inlineStr">
        <is>
          <t>Stated build-up</t>
        </is>
      </c>
      <c r="T2370" s="12" t="inlineStr">
        <is>
          <t>High</t>
        </is>
      </c>
      <c r="U2370" s="8" t="n">
        <v>85.79000000000001</v>
      </c>
      <c r="V2370" s="13">
        <f>IF(U2370="","",ROUND(M2370-U2370,2))</f>
        <v/>
      </c>
      <c r="W2370" s="5" t="n"/>
      <c r="X2370" s="5" t="inlineStr">
        <is>
          <t>Labour + plant + material as published; reconciles to the published rate.</t>
        </is>
      </c>
    </row>
    <row r="2371" ht="13" customHeight="1">
      <c r="A2371" s="4" t="n">
        <v>3601</v>
      </c>
      <c r="B2371" s="5" t="inlineStr">
        <is>
          <t>IMG_0114</t>
        </is>
      </c>
      <c r="C2371" s="5" t="inlineStr">
        <is>
          <t>CLASS O: TIMBER</t>
        </is>
      </c>
      <c r="D2371" s="5" t="inlineStr">
        <is>
          <t>01 HARDWOOD COMPONENTS</t>
        </is>
      </c>
      <c r="E2371" s="5" t="inlineStr">
        <is>
          <t>Greenheart; 225 x 100 mm</t>
        </is>
      </c>
      <c r="F2371" s="5" t="inlineStr">
        <is>
          <t>length 1.5-3 m</t>
        </is>
      </c>
      <c r="G2371" s="6" t="inlineStr">
        <is>
          <t>m</t>
        </is>
      </c>
      <c r="H2371" s="7" t="n">
        <v>0.24</v>
      </c>
      <c r="I2371" s="8" t="n">
        <v>24.56</v>
      </c>
      <c r="J2371" s="8" t="n">
        <v>25.95</v>
      </c>
      <c r="K2371" s="8" t="n">
        <v>28.63</v>
      </c>
      <c r="L2371" s="8" t="n">
        <v>0</v>
      </c>
      <c r="M2371" s="9">
        <f>ROUND(SUM(I2371:L2371),2)</f>
        <v/>
      </c>
      <c r="N2371" s="10">
        <f>ROUND(I2371*'Irish Basis'!$C$6*'Irish Basis'!$C$5,2)</f>
        <v/>
      </c>
      <c r="O2371" s="10">
        <f>ROUND(J2371*'Irish Basis'!$C$7*'Irish Basis'!$C$5,2)</f>
        <v/>
      </c>
      <c r="P2371" s="10">
        <f>ROUND(K2371*'Irish Basis'!$C$8*'Irish Basis'!$C$5,2)</f>
        <v/>
      </c>
      <c r="Q2371" s="10">
        <f>ROUND(L2371*'Irish Basis'!$C$12*'Irish Basis'!$C$5,2)</f>
        <v/>
      </c>
      <c r="R2371" s="11">
        <f>ROUND(SUM(N2371:Q2371),2)</f>
        <v/>
      </c>
      <c r="S2371" s="5" t="inlineStr">
        <is>
          <t>Stated build-up</t>
        </is>
      </c>
      <c r="T2371" s="12" t="inlineStr">
        <is>
          <t>High</t>
        </is>
      </c>
      <c r="U2371" s="8" t="n">
        <v>79.15000000000001</v>
      </c>
      <c r="V2371" s="13">
        <f>IF(U2371="","",ROUND(M2371-U2371,2))</f>
        <v/>
      </c>
      <c r="W2371" s="5" t="n"/>
      <c r="X2371" s="5" t="inlineStr">
        <is>
          <t>Labour + plant + material as published; reconciles to the published rate.</t>
        </is>
      </c>
    </row>
    <row r="2372" ht="13" customHeight="1">
      <c r="A2372" s="4" t="n">
        <v>3602</v>
      </c>
      <c r="B2372" s="5" t="inlineStr">
        <is>
          <t>IMG_0114</t>
        </is>
      </c>
      <c r="C2372" s="5" t="inlineStr">
        <is>
          <t>CLASS O: TIMBER</t>
        </is>
      </c>
      <c r="D2372" s="5" t="inlineStr">
        <is>
          <t>01 HARDWOOD COMPONENTS</t>
        </is>
      </c>
      <c r="E2372" s="5" t="inlineStr">
        <is>
          <t>Greenheart; 225 x 100 mm</t>
        </is>
      </c>
      <c r="F2372" s="5" t="inlineStr">
        <is>
          <t>length 3-5 m</t>
        </is>
      </c>
      <c r="G2372" s="6" t="inlineStr">
        <is>
          <t>m</t>
        </is>
      </c>
      <c r="H2372" s="7" t="n">
        <v>0.22</v>
      </c>
      <c r="I2372" s="8" t="n">
        <v>22.51</v>
      </c>
      <c r="J2372" s="8" t="n">
        <v>24.43</v>
      </c>
      <c r="K2372" s="8" t="n">
        <v>28.63</v>
      </c>
      <c r="L2372" s="8" t="n">
        <v>0</v>
      </c>
      <c r="M2372" s="9">
        <f>ROUND(SUM(I2372:L2372),2)</f>
        <v/>
      </c>
      <c r="N2372" s="10">
        <f>ROUND(I2372*'Irish Basis'!$C$6*'Irish Basis'!$C$5,2)</f>
        <v/>
      </c>
      <c r="O2372" s="10">
        <f>ROUND(J2372*'Irish Basis'!$C$7*'Irish Basis'!$C$5,2)</f>
        <v/>
      </c>
      <c r="P2372" s="10">
        <f>ROUND(K2372*'Irish Basis'!$C$8*'Irish Basis'!$C$5,2)</f>
        <v/>
      </c>
      <c r="Q2372" s="10">
        <f>ROUND(L2372*'Irish Basis'!$C$12*'Irish Basis'!$C$5,2)</f>
        <v/>
      </c>
      <c r="R2372" s="11">
        <f>ROUND(SUM(N2372:Q2372),2)</f>
        <v/>
      </c>
      <c r="S2372" s="5" t="inlineStr">
        <is>
          <t>Stated build-up</t>
        </is>
      </c>
      <c r="T2372" s="12" t="inlineStr">
        <is>
          <t>High</t>
        </is>
      </c>
      <c r="U2372" s="8" t="n">
        <v>75.58</v>
      </c>
      <c r="V2372" s="13">
        <f>IF(U2372="","",ROUND(M2372-U2372,2))</f>
        <v/>
      </c>
      <c r="W2372" s="5" t="n"/>
      <c r="X2372" s="5" t="inlineStr">
        <is>
          <t>Labour + plant + material as published; reconciles to the published rate.</t>
        </is>
      </c>
    </row>
    <row r="2373" ht="13" customHeight="1">
      <c r="A2373" s="4" t="n">
        <v>3603</v>
      </c>
      <c r="B2373" s="5" t="inlineStr">
        <is>
          <t>IMG_0114</t>
        </is>
      </c>
      <c r="C2373" s="5" t="inlineStr">
        <is>
          <t>CLASS O: TIMBER</t>
        </is>
      </c>
      <c r="D2373" s="5" t="inlineStr">
        <is>
          <t>01 HARDWOOD COMPONENTS</t>
        </is>
      </c>
      <c r="E2373" s="5" t="inlineStr">
        <is>
          <t>Greenheart; 225 x 100 mm</t>
        </is>
      </c>
      <c r="F2373" s="5" t="inlineStr">
        <is>
          <t>length 5-8 m</t>
        </is>
      </c>
      <c r="G2373" s="6" t="inlineStr">
        <is>
          <t>m</t>
        </is>
      </c>
      <c r="H2373" s="7" t="n">
        <v>0.2</v>
      </c>
      <c r="I2373" s="8" t="n">
        <v>20.47</v>
      </c>
      <c r="J2373" s="8" t="n">
        <v>28.03</v>
      </c>
      <c r="K2373" s="8" t="n">
        <v>28.63</v>
      </c>
      <c r="L2373" s="8" t="n">
        <v>0</v>
      </c>
      <c r="M2373" s="9">
        <f>ROUND(SUM(I2373:L2373),2)</f>
        <v/>
      </c>
      <c r="N2373" s="10">
        <f>ROUND(I2373*'Irish Basis'!$C$6*'Irish Basis'!$C$5,2)</f>
        <v/>
      </c>
      <c r="O2373" s="10">
        <f>ROUND(J2373*'Irish Basis'!$C$7*'Irish Basis'!$C$5,2)</f>
        <v/>
      </c>
      <c r="P2373" s="10">
        <f>ROUND(K2373*'Irish Basis'!$C$8*'Irish Basis'!$C$5,2)</f>
        <v/>
      </c>
      <c r="Q2373" s="10">
        <f>ROUND(L2373*'Irish Basis'!$C$12*'Irish Basis'!$C$5,2)</f>
        <v/>
      </c>
      <c r="R2373" s="11">
        <f>ROUND(SUM(N2373:Q2373),2)</f>
        <v/>
      </c>
      <c r="S2373" s="5" t="inlineStr">
        <is>
          <t>Stated build-up</t>
        </is>
      </c>
      <c r="T2373" s="12" t="inlineStr">
        <is>
          <t>High</t>
        </is>
      </c>
      <c r="U2373" s="8" t="n">
        <v>77.13</v>
      </c>
      <c r="V2373" s="13">
        <f>IF(U2373="","",ROUND(M2373-U2373,2))</f>
        <v/>
      </c>
      <c r="W2373" s="5" t="n"/>
      <c r="X2373" s="5" t="inlineStr">
        <is>
          <t>Labour + plant + material as published; reconciles to the published rate.</t>
        </is>
      </c>
    </row>
    <row r="2374" ht="13" customHeight="1">
      <c r="A2374" s="4" t="n">
        <v>3604</v>
      </c>
      <c r="B2374" s="5" t="inlineStr">
        <is>
          <t>IMG_0114</t>
        </is>
      </c>
      <c r="C2374" s="5" t="inlineStr">
        <is>
          <t>CLASS O: TIMBER</t>
        </is>
      </c>
      <c r="D2374" s="5" t="inlineStr">
        <is>
          <t>01 HARDWOOD COMPONENTS</t>
        </is>
      </c>
      <c r="E2374" s="5" t="inlineStr">
        <is>
          <t>Greenheart; 225 x 100 mm</t>
        </is>
      </c>
      <c r="F2374" s="5" t="inlineStr">
        <is>
          <t>length 8-12 m</t>
        </is>
      </c>
      <c r="G2374" s="6" t="inlineStr">
        <is>
          <t>m</t>
        </is>
      </c>
      <c r="H2374" s="7" t="n">
        <v>0.18</v>
      </c>
      <c r="I2374" s="8" t="n">
        <v>18.42</v>
      </c>
      <c r="J2374" s="8" t="n">
        <v>20.1</v>
      </c>
      <c r="K2374" s="8" t="n">
        <v>34.94</v>
      </c>
      <c r="L2374" s="8" t="n">
        <v>0</v>
      </c>
      <c r="M2374" s="9">
        <f>ROUND(SUM(I2374:L2374),2)</f>
        <v/>
      </c>
      <c r="N2374" s="10">
        <f>ROUND(I2374*'Irish Basis'!$C$6*'Irish Basis'!$C$5,2)</f>
        <v/>
      </c>
      <c r="O2374" s="10">
        <f>ROUND(J2374*'Irish Basis'!$C$7*'Irish Basis'!$C$5,2)</f>
        <v/>
      </c>
      <c r="P2374" s="10">
        <f>ROUND(K2374*'Irish Basis'!$C$8*'Irish Basis'!$C$5,2)</f>
        <v/>
      </c>
      <c r="Q2374" s="10">
        <f>ROUND(L2374*'Irish Basis'!$C$12*'Irish Basis'!$C$5,2)</f>
        <v/>
      </c>
      <c r="R2374" s="11">
        <f>ROUND(SUM(N2374:Q2374),2)</f>
        <v/>
      </c>
      <c r="S2374" s="5" t="inlineStr">
        <is>
          <t>Stated build-up</t>
        </is>
      </c>
      <c r="T2374" s="12" t="inlineStr">
        <is>
          <t>High</t>
        </is>
      </c>
      <c r="U2374" s="8" t="n">
        <v>73.45999999999999</v>
      </c>
      <c r="V2374" s="13">
        <f>IF(U2374="","",ROUND(M2374-U2374,2))</f>
        <v/>
      </c>
      <c r="W2374" s="5" t="n"/>
      <c r="X2374" s="5" t="inlineStr">
        <is>
          <t>Labour + plant + material as published; reconciles to the published rate.</t>
        </is>
      </c>
    </row>
    <row r="2375" ht="13" customHeight="1">
      <c r="A2375" s="4" t="n">
        <v>3606</v>
      </c>
      <c r="B2375" s="5" t="inlineStr">
        <is>
          <t>IMG_0114</t>
        </is>
      </c>
      <c r="C2375" s="5" t="inlineStr">
        <is>
          <t>CLASS O: TIMBER</t>
        </is>
      </c>
      <c r="D2375" s="5" t="inlineStr">
        <is>
          <t>01 HARDWOOD COMPONENTS</t>
        </is>
      </c>
      <c r="E2375" s="5" t="inlineStr">
        <is>
          <t>Greenheart; 300 x 100 mm</t>
        </is>
      </c>
      <c r="F2375" s="5" t="inlineStr">
        <is>
          <t>length not exceeding 1.5 m</t>
        </is>
      </c>
      <c r="G2375" s="6" t="inlineStr">
        <is>
          <t>m</t>
        </is>
      </c>
      <c r="H2375" s="7" t="n">
        <v>0.36</v>
      </c>
      <c r="I2375" s="8" t="n">
        <v>36.84</v>
      </c>
      <c r="J2375" s="8" t="n">
        <v>38.94</v>
      </c>
      <c r="K2375" s="8" t="n">
        <v>35.93</v>
      </c>
      <c r="L2375" s="8" t="n">
        <v>0</v>
      </c>
      <c r="M2375" s="9">
        <f>ROUND(SUM(I2375:L2375),2)</f>
        <v/>
      </c>
      <c r="N2375" s="10">
        <f>ROUND(I2375*'Irish Basis'!$C$6*'Irish Basis'!$C$5,2)</f>
        <v/>
      </c>
      <c r="O2375" s="10">
        <f>ROUND(J2375*'Irish Basis'!$C$7*'Irish Basis'!$C$5,2)</f>
        <v/>
      </c>
      <c r="P2375" s="10">
        <f>ROUND(K2375*'Irish Basis'!$C$8*'Irish Basis'!$C$5,2)</f>
        <v/>
      </c>
      <c r="Q2375" s="10">
        <f>ROUND(L2375*'Irish Basis'!$C$12*'Irish Basis'!$C$5,2)</f>
        <v/>
      </c>
      <c r="R2375" s="11">
        <f>ROUND(SUM(N2375:Q2375),2)</f>
        <v/>
      </c>
      <c r="S2375" s="5" t="inlineStr">
        <is>
          <t>Stated build-up</t>
        </is>
      </c>
      <c r="T2375" s="12" t="inlineStr">
        <is>
          <t>High</t>
        </is>
      </c>
      <c r="U2375" s="8" t="n">
        <v>111.71</v>
      </c>
      <c r="V2375" s="13">
        <f>IF(U2375="","",ROUND(M2375-U2375,2))</f>
        <v/>
      </c>
      <c r="W2375" s="5" t="n"/>
      <c r="X2375" s="5" t="inlineStr">
        <is>
          <t>Labour + plant + material as published; reconciles to the published rate.</t>
        </is>
      </c>
    </row>
    <row r="2376" ht="13" customHeight="1">
      <c r="A2376" s="4" t="n">
        <v>3607</v>
      </c>
      <c r="B2376" s="5" t="inlineStr">
        <is>
          <t>IMG_0114</t>
        </is>
      </c>
      <c r="C2376" s="5" t="inlineStr">
        <is>
          <t>CLASS O: TIMBER</t>
        </is>
      </c>
      <c r="D2376" s="5" t="inlineStr">
        <is>
          <t>01 HARDWOOD COMPONENTS</t>
        </is>
      </c>
      <c r="E2376" s="5" t="inlineStr">
        <is>
          <t>Greenheart; 300 x 100 mm</t>
        </is>
      </c>
      <c r="F2376" s="5" t="inlineStr">
        <is>
          <t>length 1.5-3 m</t>
        </is>
      </c>
      <c r="G2376" s="6" t="inlineStr">
        <is>
          <t>m</t>
        </is>
      </c>
      <c r="H2376" s="7" t="n">
        <v>0.33</v>
      </c>
      <c r="I2376" s="8" t="n">
        <v>33.77</v>
      </c>
      <c r="J2376" s="8" t="n">
        <v>36.02</v>
      </c>
      <c r="K2376" s="8" t="n">
        <v>35.94</v>
      </c>
      <c r="L2376" s="8" t="n">
        <v>0</v>
      </c>
      <c r="M2376" s="9">
        <f>ROUND(SUM(I2376:L2376),2)</f>
        <v/>
      </c>
      <c r="N2376" s="10">
        <f>ROUND(I2376*'Irish Basis'!$C$6*'Irish Basis'!$C$5,2)</f>
        <v/>
      </c>
      <c r="O2376" s="10">
        <f>ROUND(J2376*'Irish Basis'!$C$7*'Irish Basis'!$C$5,2)</f>
        <v/>
      </c>
      <c r="P2376" s="10">
        <f>ROUND(K2376*'Irish Basis'!$C$8*'Irish Basis'!$C$5,2)</f>
        <v/>
      </c>
      <c r="Q2376" s="10">
        <f>ROUND(L2376*'Irish Basis'!$C$12*'Irish Basis'!$C$5,2)</f>
        <v/>
      </c>
      <c r="R2376" s="11">
        <f>ROUND(SUM(N2376:Q2376),2)</f>
        <v/>
      </c>
      <c r="S2376" s="5" t="inlineStr">
        <is>
          <t>Stated build-up</t>
        </is>
      </c>
      <c r="T2376" s="12" t="inlineStr">
        <is>
          <t>High</t>
        </is>
      </c>
      <c r="U2376" s="8" t="n">
        <v>105.74</v>
      </c>
      <c r="V2376" s="13">
        <f>IF(U2376="","",ROUND(M2376-U2376,2))</f>
        <v/>
      </c>
      <c r="W2376" s="5" t="n"/>
      <c r="X2376" s="5" t="inlineStr">
        <is>
          <t>Labour + plant + material as published; reconciles to the published rate.</t>
        </is>
      </c>
    </row>
    <row r="2377" ht="13" customHeight="1">
      <c r="A2377" s="4" t="n">
        <v>3608</v>
      </c>
      <c r="B2377" s="5" t="inlineStr">
        <is>
          <t>IMG_0114</t>
        </is>
      </c>
      <c r="C2377" s="5" t="inlineStr">
        <is>
          <t>CLASS O: TIMBER</t>
        </is>
      </c>
      <c r="D2377" s="5" t="inlineStr">
        <is>
          <t>01 HARDWOOD COMPONENTS</t>
        </is>
      </c>
      <c r="E2377" s="5" t="inlineStr">
        <is>
          <t>Greenheart; 300 x 100 mm</t>
        </is>
      </c>
      <c r="F2377" s="5" t="inlineStr">
        <is>
          <t>length 3-5 m</t>
        </is>
      </c>
      <c r="G2377" s="6" t="inlineStr">
        <is>
          <t>m</t>
        </is>
      </c>
      <c r="H2377" s="7" t="n">
        <v>0.3</v>
      </c>
      <c r="I2377" s="8" t="n">
        <v>30.7</v>
      </c>
      <c r="J2377" s="8" t="n">
        <v>33.08</v>
      </c>
      <c r="K2377" s="8" t="n">
        <v>35.94</v>
      </c>
      <c r="L2377" s="8" t="n">
        <v>0</v>
      </c>
      <c r="M2377" s="9">
        <f>ROUND(SUM(I2377:L2377),2)</f>
        <v/>
      </c>
      <c r="N2377" s="10">
        <f>ROUND(I2377*'Irish Basis'!$C$6*'Irish Basis'!$C$5,2)</f>
        <v/>
      </c>
      <c r="O2377" s="10">
        <f>ROUND(J2377*'Irish Basis'!$C$7*'Irish Basis'!$C$5,2)</f>
        <v/>
      </c>
      <c r="P2377" s="10">
        <f>ROUND(K2377*'Irish Basis'!$C$8*'Irish Basis'!$C$5,2)</f>
        <v/>
      </c>
      <c r="Q2377" s="10">
        <f>ROUND(L2377*'Irish Basis'!$C$12*'Irish Basis'!$C$5,2)</f>
        <v/>
      </c>
      <c r="R2377" s="11">
        <f>ROUND(SUM(N2377:Q2377),2)</f>
        <v/>
      </c>
      <c r="S2377" s="5" t="inlineStr">
        <is>
          <t>Stated build-up</t>
        </is>
      </c>
      <c r="T2377" s="12" t="inlineStr">
        <is>
          <t>High</t>
        </is>
      </c>
      <c r="U2377" s="8" t="n">
        <v>99.73</v>
      </c>
      <c r="V2377" s="13">
        <f>IF(U2377="","",ROUND(M2377-U2377,2))</f>
        <v/>
      </c>
      <c r="W2377" s="5" t="n"/>
      <c r="X2377" s="5" t="inlineStr">
        <is>
          <t>Labour + plant + material as published; reconciles to the published rate.</t>
        </is>
      </c>
    </row>
    <row r="2378" ht="13" customHeight="1">
      <c r="A2378" s="4" t="n">
        <v>3609</v>
      </c>
      <c r="B2378" s="5" t="inlineStr">
        <is>
          <t>IMG_0114</t>
        </is>
      </c>
      <c r="C2378" s="5" t="inlineStr">
        <is>
          <t>CLASS O: TIMBER</t>
        </is>
      </c>
      <c r="D2378" s="5" t="inlineStr">
        <is>
          <t>01 HARDWOOD COMPONENTS</t>
        </is>
      </c>
      <c r="E2378" s="5" t="inlineStr">
        <is>
          <t>Greenheart; 300 x 100 mm</t>
        </is>
      </c>
      <c r="F2378" s="5" t="inlineStr">
        <is>
          <t>length 5-8 m</t>
        </is>
      </c>
      <c r="G2378" s="6" t="inlineStr">
        <is>
          <t>m</t>
        </is>
      </c>
      <c r="H2378" s="7" t="n">
        <v>0.27</v>
      </c>
      <c r="I2378" s="8" t="n">
        <v>27.63</v>
      </c>
      <c r="J2378" s="8" t="n">
        <v>29.53</v>
      </c>
      <c r="K2378" s="8" t="n">
        <v>33.24</v>
      </c>
      <c r="L2378" s="8" t="n">
        <v>0</v>
      </c>
      <c r="M2378" s="9">
        <f>ROUND(SUM(I2378:L2378),2)</f>
        <v/>
      </c>
      <c r="N2378" s="10">
        <f>ROUND(I2378*'Irish Basis'!$C$6*'Irish Basis'!$C$5,2)</f>
        <v/>
      </c>
      <c r="O2378" s="10">
        <f>ROUND(J2378*'Irish Basis'!$C$7*'Irish Basis'!$C$5,2)</f>
        <v/>
      </c>
      <c r="P2378" s="10">
        <f>ROUND(K2378*'Irish Basis'!$C$8*'Irish Basis'!$C$5,2)</f>
        <v/>
      </c>
      <c r="Q2378" s="10">
        <f>ROUND(L2378*'Irish Basis'!$C$12*'Irish Basis'!$C$5,2)</f>
        <v/>
      </c>
      <c r="R2378" s="11">
        <f>ROUND(SUM(N2378:Q2378),2)</f>
        <v/>
      </c>
      <c r="S2378" s="5" t="inlineStr">
        <is>
          <t>Stated build-up</t>
        </is>
      </c>
      <c r="T2378" s="12" t="inlineStr">
        <is>
          <t>High</t>
        </is>
      </c>
      <c r="U2378" s="8" t="n">
        <v>90.41</v>
      </c>
      <c r="V2378" s="13">
        <f>IF(U2378="","",ROUND(M2378-U2378,2))</f>
        <v/>
      </c>
      <c r="W2378" s="5" t="n"/>
      <c r="X2378" s="5" t="inlineStr">
        <is>
          <t>Labour + plant + material as published; reconciles to the published rate.</t>
        </is>
      </c>
    </row>
    <row r="2379" ht="13" customHeight="1">
      <c r="A2379" s="4" t="n">
        <v>3610</v>
      </c>
      <c r="B2379" s="5" t="inlineStr">
        <is>
          <t>IMG_0114</t>
        </is>
      </c>
      <c r="C2379" s="5" t="inlineStr">
        <is>
          <t>CLASS O: TIMBER</t>
        </is>
      </c>
      <c r="D2379" s="5" t="inlineStr">
        <is>
          <t>01 HARDWOOD COMPONENTS</t>
        </is>
      </c>
      <c r="E2379" s="5" t="inlineStr">
        <is>
          <t>Greenheart; 300 x 100 mm</t>
        </is>
      </c>
      <c r="F2379" s="5" t="inlineStr">
        <is>
          <t>length 8-12 m</t>
        </is>
      </c>
      <c r="G2379" s="6" t="inlineStr">
        <is>
          <t>m</t>
        </is>
      </c>
      <c r="H2379" s="7" t="n">
        <v>0.24</v>
      </c>
      <c r="I2379" s="8" t="n">
        <v>24.56</v>
      </c>
      <c r="J2379" s="8" t="n">
        <v>25.95</v>
      </c>
      <c r="K2379" s="8" t="n">
        <v>50.79</v>
      </c>
      <c r="L2379" s="8" t="n">
        <v>0</v>
      </c>
      <c r="M2379" s="9">
        <f>ROUND(SUM(I2379:L2379),2)</f>
        <v/>
      </c>
      <c r="N2379" s="10">
        <f>ROUND(I2379*'Irish Basis'!$C$6*'Irish Basis'!$C$5,2)</f>
        <v/>
      </c>
      <c r="O2379" s="10">
        <f>ROUND(J2379*'Irish Basis'!$C$7*'Irish Basis'!$C$5,2)</f>
        <v/>
      </c>
      <c r="P2379" s="10">
        <f>ROUND(K2379*'Irish Basis'!$C$8*'Irish Basis'!$C$5,2)</f>
        <v/>
      </c>
      <c r="Q2379" s="10">
        <f>ROUND(L2379*'Irish Basis'!$C$12*'Irish Basis'!$C$5,2)</f>
        <v/>
      </c>
      <c r="R2379" s="11">
        <f>ROUND(SUM(N2379:Q2379),2)</f>
        <v/>
      </c>
      <c r="S2379" s="5" t="inlineStr">
        <is>
          <t>Stated build-up</t>
        </is>
      </c>
      <c r="T2379" s="12" t="inlineStr">
        <is>
          <t>High</t>
        </is>
      </c>
      <c r="U2379" s="8" t="n">
        <v>101.3</v>
      </c>
      <c r="V2379" s="13">
        <f>IF(U2379="","",ROUND(M2379-U2379,2))</f>
        <v/>
      </c>
      <c r="W2379" s="5" t="n"/>
      <c r="X2379" s="5" t="inlineStr">
        <is>
          <t>Labour + plant + material as published; reconciles to the published rate.</t>
        </is>
      </c>
    </row>
    <row r="2380" ht="13" customHeight="1">
      <c r="A2380" s="4" t="n">
        <v>3612</v>
      </c>
      <c r="B2380" s="5" t="inlineStr">
        <is>
          <t>IMG_0114</t>
        </is>
      </c>
      <c r="C2380" s="5" t="inlineStr">
        <is>
          <t>CLASS O: TIMBER</t>
        </is>
      </c>
      <c r="D2380" s="5" t="inlineStr">
        <is>
          <t>01 HARDWOOD COMPONENTS</t>
        </is>
      </c>
      <c r="E2380" s="5" t="inlineStr">
        <is>
          <t>Greenheart; 300 x 200 mm</t>
        </is>
      </c>
      <c r="F2380" s="5" t="inlineStr">
        <is>
          <t>length not exceeding 1.5 m</t>
        </is>
      </c>
      <c r="G2380" s="6" t="inlineStr">
        <is>
          <t>m</t>
        </is>
      </c>
      <c r="H2380" s="7" t="n">
        <v>0.5</v>
      </c>
      <c r="I2380" s="8" t="n">
        <v>51.17</v>
      </c>
      <c r="J2380" s="8" t="n">
        <v>54.08</v>
      </c>
      <c r="K2380" s="8" t="n">
        <v>74.92</v>
      </c>
      <c r="L2380" s="8" t="n">
        <v>0</v>
      </c>
      <c r="M2380" s="9">
        <f>ROUND(SUM(I2380:L2380),2)</f>
        <v/>
      </c>
      <c r="N2380" s="10">
        <f>ROUND(I2380*'Irish Basis'!$C$6*'Irish Basis'!$C$5,2)</f>
        <v/>
      </c>
      <c r="O2380" s="10">
        <f>ROUND(J2380*'Irish Basis'!$C$7*'Irish Basis'!$C$5,2)</f>
        <v/>
      </c>
      <c r="P2380" s="10">
        <f>ROUND(K2380*'Irish Basis'!$C$8*'Irish Basis'!$C$5,2)</f>
        <v/>
      </c>
      <c r="Q2380" s="10">
        <f>ROUND(L2380*'Irish Basis'!$C$12*'Irish Basis'!$C$5,2)</f>
        <v/>
      </c>
      <c r="R2380" s="11">
        <f>ROUND(SUM(N2380:Q2380),2)</f>
        <v/>
      </c>
      <c r="S2380" s="5" t="inlineStr">
        <is>
          <t>Stated build-up</t>
        </is>
      </c>
      <c r="T2380" s="12" t="inlineStr">
        <is>
          <t>High</t>
        </is>
      </c>
      <c r="U2380" s="8" t="n">
        <v>180.16</v>
      </c>
      <c r="V2380" s="13">
        <f>IF(U2380="","",ROUND(M2380-U2380,2))</f>
        <v/>
      </c>
      <c r="W2380" s="5" t="n"/>
      <c r="X2380" s="5" t="inlineStr">
        <is>
          <t>Labour + plant + material as published; reconciles to the published rate.</t>
        </is>
      </c>
    </row>
    <row r="2381" ht="13" customHeight="1">
      <c r="A2381" s="4" t="n">
        <v>3613</v>
      </c>
      <c r="B2381" s="5" t="inlineStr">
        <is>
          <t>IMG_0114</t>
        </is>
      </c>
      <c r="C2381" s="5" t="inlineStr">
        <is>
          <t>CLASS O: TIMBER</t>
        </is>
      </c>
      <c r="D2381" s="5" t="inlineStr">
        <is>
          <t>01 HARDWOOD COMPONENTS</t>
        </is>
      </c>
      <c r="E2381" s="5" t="inlineStr">
        <is>
          <t>Greenheart; 300 x 200 mm</t>
        </is>
      </c>
      <c r="F2381" s="5" t="inlineStr">
        <is>
          <t>length 1.5-3 m</t>
        </is>
      </c>
      <c r="G2381" s="6" t="inlineStr">
        <is>
          <t>m</t>
        </is>
      </c>
      <c r="H2381" s="7" t="n">
        <v>0.45</v>
      </c>
      <c r="I2381" s="8" t="n">
        <v>46.05</v>
      </c>
      <c r="J2381" s="8" t="n">
        <v>48.99</v>
      </c>
      <c r="K2381" s="8" t="n">
        <v>74.92</v>
      </c>
      <c r="L2381" s="8" t="n">
        <v>0</v>
      </c>
      <c r="M2381" s="9">
        <f>ROUND(SUM(I2381:L2381),2)</f>
        <v/>
      </c>
      <c r="N2381" s="10">
        <f>ROUND(I2381*'Irish Basis'!$C$6*'Irish Basis'!$C$5,2)</f>
        <v/>
      </c>
      <c r="O2381" s="10">
        <f>ROUND(J2381*'Irish Basis'!$C$7*'Irish Basis'!$C$5,2)</f>
        <v/>
      </c>
      <c r="P2381" s="10">
        <f>ROUND(K2381*'Irish Basis'!$C$8*'Irish Basis'!$C$5,2)</f>
        <v/>
      </c>
      <c r="Q2381" s="10">
        <f>ROUND(L2381*'Irish Basis'!$C$12*'Irish Basis'!$C$5,2)</f>
        <v/>
      </c>
      <c r="R2381" s="11">
        <f>ROUND(SUM(N2381:Q2381),2)</f>
        <v/>
      </c>
      <c r="S2381" s="5" t="inlineStr">
        <is>
          <t>Stated build-up</t>
        </is>
      </c>
      <c r="T2381" s="12" t="inlineStr">
        <is>
          <t>High</t>
        </is>
      </c>
      <c r="U2381" s="8" t="n">
        <v>169.96</v>
      </c>
      <c r="V2381" s="13">
        <f>IF(U2381="","",ROUND(M2381-U2381,2))</f>
        <v/>
      </c>
      <c r="W2381" s="5" t="n"/>
      <c r="X2381" s="5" t="inlineStr">
        <is>
          <t>Labour + plant + material as published; reconciles to the published rate.</t>
        </is>
      </c>
    </row>
    <row r="2382" ht="13" customHeight="1">
      <c r="A2382" s="4" t="n">
        <v>3614</v>
      </c>
      <c r="B2382" s="5" t="inlineStr">
        <is>
          <t>IMG_0114</t>
        </is>
      </c>
      <c r="C2382" s="5" t="inlineStr">
        <is>
          <t>CLASS O: TIMBER</t>
        </is>
      </c>
      <c r="D2382" s="5" t="inlineStr">
        <is>
          <t>01 HARDWOOD COMPONENTS</t>
        </is>
      </c>
      <c r="E2382" s="5" t="inlineStr">
        <is>
          <t>Greenheart; 300 x 200 mm</t>
        </is>
      </c>
      <c r="F2382" s="5" t="inlineStr">
        <is>
          <t>length 3-5 m</t>
        </is>
      </c>
      <c r="G2382" s="6" t="inlineStr">
        <is>
          <t>m</t>
        </is>
      </c>
      <c r="H2382" s="7" t="n">
        <v>0.4</v>
      </c>
      <c r="I2382" s="8" t="n">
        <v>40.94</v>
      </c>
      <c r="J2382" s="8" t="n">
        <v>43.26</v>
      </c>
      <c r="K2382" s="8" t="n">
        <v>74.92</v>
      </c>
      <c r="L2382" s="8" t="n">
        <v>0</v>
      </c>
      <c r="M2382" s="9">
        <f>ROUND(SUM(I2382:L2382),2)</f>
        <v/>
      </c>
      <c r="N2382" s="10">
        <f>ROUND(I2382*'Irish Basis'!$C$6*'Irish Basis'!$C$5,2)</f>
        <v/>
      </c>
      <c r="O2382" s="10">
        <f>ROUND(J2382*'Irish Basis'!$C$7*'Irish Basis'!$C$5,2)</f>
        <v/>
      </c>
      <c r="P2382" s="10">
        <f>ROUND(K2382*'Irish Basis'!$C$8*'Irish Basis'!$C$5,2)</f>
        <v/>
      </c>
      <c r="Q2382" s="10">
        <f>ROUND(L2382*'Irish Basis'!$C$12*'Irish Basis'!$C$5,2)</f>
        <v/>
      </c>
      <c r="R2382" s="11">
        <f>ROUND(SUM(N2382:Q2382),2)</f>
        <v/>
      </c>
      <c r="S2382" s="5" t="inlineStr">
        <is>
          <t>Stated build-up</t>
        </is>
      </c>
      <c r="T2382" s="12" t="inlineStr">
        <is>
          <t>High</t>
        </is>
      </c>
      <c r="U2382" s="8" t="n">
        <v>159.11</v>
      </c>
      <c r="V2382" s="13">
        <f>IF(U2382="","",ROUND(M2382-U2382,2))</f>
        <v/>
      </c>
      <c r="W2382" s="5" t="n"/>
      <c r="X2382" s="5" t="inlineStr">
        <is>
          <t>Labour + plant + material as published; reconciles to the published rate.</t>
        </is>
      </c>
    </row>
    <row r="2383" ht="13" customHeight="1">
      <c r="A2383" s="4" t="n">
        <v>3615</v>
      </c>
      <c r="B2383" s="5" t="inlineStr">
        <is>
          <t>IMG_0114</t>
        </is>
      </c>
      <c r="C2383" s="5" t="inlineStr">
        <is>
          <t>CLASS O: TIMBER</t>
        </is>
      </c>
      <c r="D2383" s="5" t="inlineStr">
        <is>
          <t>01 HARDWOOD COMPONENTS</t>
        </is>
      </c>
      <c r="E2383" s="5" t="inlineStr">
        <is>
          <t>Greenheart; 300 x 200 mm</t>
        </is>
      </c>
      <c r="F2383" s="5" t="inlineStr">
        <is>
          <t>length 5-8 m</t>
        </is>
      </c>
      <c r="G2383" s="6" t="inlineStr">
        <is>
          <t>m</t>
        </is>
      </c>
      <c r="H2383" s="7" t="n">
        <v>0.35</v>
      </c>
      <c r="I2383" s="8" t="n">
        <v>35.82</v>
      </c>
      <c r="J2383" s="8" t="n">
        <v>38.16</v>
      </c>
      <c r="K2383" s="8" t="n">
        <v>79.5</v>
      </c>
      <c r="L2383" s="8" t="n">
        <v>0</v>
      </c>
      <c r="M2383" s="9">
        <f>ROUND(SUM(I2383:L2383),2)</f>
        <v/>
      </c>
      <c r="N2383" s="10">
        <f>ROUND(I2383*'Irish Basis'!$C$6*'Irish Basis'!$C$5,2)</f>
        <v/>
      </c>
      <c r="O2383" s="10">
        <f>ROUND(J2383*'Irish Basis'!$C$7*'Irish Basis'!$C$5,2)</f>
        <v/>
      </c>
      <c r="P2383" s="10">
        <f>ROUND(K2383*'Irish Basis'!$C$8*'Irish Basis'!$C$5,2)</f>
        <v/>
      </c>
      <c r="Q2383" s="10">
        <f>ROUND(L2383*'Irish Basis'!$C$12*'Irish Basis'!$C$5,2)</f>
        <v/>
      </c>
      <c r="R2383" s="11">
        <f>ROUND(SUM(N2383:Q2383),2)</f>
        <v/>
      </c>
      <c r="S2383" s="5" t="inlineStr">
        <is>
          <t>Stated build-up</t>
        </is>
      </c>
      <c r="T2383" s="12" t="inlineStr">
        <is>
          <t>High</t>
        </is>
      </c>
      <c r="U2383" s="8" t="n">
        <v>153.48</v>
      </c>
      <c r="V2383" s="13">
        <f>IF(U2383="","",ROUND(M2383-U2383,2))</f>
        <v/>
      </c>
      <c r="W2383" s="5" t="n"/>
      <c r="X2383" s="5" t="inlineStr">
        <is>
          <t>Labour + plant + material as published; reconciles to the published rate.</t>
        </is>
      </c>
    </row>
    <row r="2384" ht="13" customHeight="1">
      <c r="A2384" s="4" t="n">
        <v>3616</v>
      </c>
      <c r="B2384" s="5" t="inlineStr">
        <is>
          <t>IMG_0114</t>
        </is>
      </c>
      <c r="C2384" s="5" t="inlineStr">
        <is>
          <t>CLASS O: TIMBER</t>
        </is>
      </c>
      <c r="D2384" s="5" t="inlineStr">
        <is>
          <t>01 HARDWOOD COMPONENTS</t>
        </is>
      </c>
      <c r="E2384" s="5" t="inlineStr">
        <is>
          <t>Greenheart; 300 x 200 mm</t>
        </is>
      </c>
      <c r="F2384" s="5" t="inlineStr">
        <is>
          <t>length 8-12 m</t>
        </is>
      </c>
      <c r="G2384" s="6" t="inlineStr">
        <is>
          <t>m</t>
        </is>
      </c>
      <c r="H2384" s="7" t="n">
        <v>0.3</v>
      </c>
      <c r="I2384" s="8" t="n">
        <v>30.7</v>
      </c>
      <c r="J2384" s="8" t="n">
        <v>32.44</v>
      </c>
      <c r="K2384" s="8" t="n">
        <v>79.5</v>
      </c>
      <c r="L2384" s="8" t="n">
        <v>0</v>
      </c>
      <c r="M2384" s="9">
        <f>ROUND(SUM(I2384:L2384),2)</f>
        <v/>
      </c>
      <c r="N2384" s="10">
        <f>ROUND(I2384*'Irish Basis'!$C$6*'Irish Basis'!$C$5,2)</f>
        <v/>
      </c>
      <c r="O2384" s="10">
        <f>ROUND(J2384*'Irish Basis'!$C$7*'Irish Basis'!$C$5,2)</f>
        <v/>
      </c>
      <c r="P2384" s="10">
        <f>ROUND(K2384*'Irish Basis'!$C$8*'Irish Basis'!$C$5,2)</f>
        <v/>
      </c>
      <c r="Q2384" s="10">
        <f>ROUND(L2384*'Irish Basis'!$C$12*'Irish Basis'!$C$5,2)</f>
        <v/>
      </c>
      <c r="R2384" s="11">
        <f>ROUND(SUM(N2384:Q2384),2)</f>
        <v/>
      </c>
      <c r="S2384" s="5" t="inlineStr">
        <is>
          <t>Stated build-up</t>
        </is>
      </c>
      <c r="T2384" s="12" t="inlineStr">
        <is>
          <t>High</t>
        </is>
      </c>
      <c r="U2384" s="8" t="n">
        <v>142.65</v>
      </c>
      <c r="V2384" s="13">
        <f>IF(U2384="","",ROUND(M2384-U2384,2))</f>
        <v/>
      </c>
      <c r="W2384" s="5" t="n"/>
      <c r="X2384" s="5" t="inlineStr">
        <is>
          <t>Labour + plant + material as published; reconciles to the published rate.</t>
        </is>
      </c>
    </row>
    <row r="2385" ht="13" customHeight="1">
      <c r="A2385" s="4" t="n">
        <v>3618</v>
      </c>
      <c r="B2385" s="5" t="inlineStr">
        <is>
          <t>IMG_0114</t>
        </is>
      </c>
      <c r="C2385" s="5" t="inlineStr">
        <is>
          <t>CLASS O: TIMBER</t>
        </is>
      </c>
      <c r="D2385" s="5" t="inlineStr">
        <is>
          <t>01 HARDWOOD COMPONENTS</t>
        </is>
      </c>
      <c r="E2385" s="5" t="inlineStr">
        <is>
          <t>Greenheart; 300 x 300 mm</t>
        </is>
      </c>
      <c r="F2385" s="5" t="inlineStr">
        <is>
          <t>length not exceeding 1.5 m</t>
        </is>
      </c>
      <c r="G2385" s="6" t="inlineStr">
        <is>
          <t>m</t>
        </is>
      </c>
      <c r="H2385" s="7" t="n">
        <v>0.52</v>
      </c>
      <c r="I2385" s="8" t="n">
        <v>53.22</v>
      </c>
      <c r="J2385" s="8" t="n">
        <v>56.24</v>
      </c>
      <c r="K2385" s="8" t="n">
        <v>112.35</v>
      </c>
      <c r="L2385" s="8" t="n">
        <v>0</v>
      </c>
      <c r="M2385" s="9">
        <f>ROUND(SUM(I2385:L2385),2)</f>
        <v/>
      </c>
      <c r="N2385" s="10">
        <f>ROUND(I2385*'Irish Basis'!$C$6*'Irish Basis'!$C$5,2)</f>
        <v/>
      </c>
      <c r="O2385" s="10">
        <f>ROUND(J2385*'Irish Basis'!$C$7*'Irish Basis'!$C$5,2)</f>
        <v/>
      </c>
      <c r="P2385" s="10">
        <f>ROUND(K2385*'Irish Basis'!$C$8*'Irish Basis'!$C$5,2)</f>
        <v/>
      </c>
      <c r="Q2385" s="10">
        <f>ROUND(L2385*'Irish Basis'!$C$12*'Irish Basis'!$C$5,2)</f>
        <v/>
      </c>
      <c r="R2385" s="11">
        <f>ROUND(SUM(N2385:Q2385),2)</f>
        <v/>
      </c>
      <c r="S2385" s="5" t="inlineStr">
        <is>
          <t>Stated build-up</t>
        </is>
      </c>
      <c r="T2385" s="12" t="inlineStr">
        <is>
          <t>High</t>
        </is>
      </c>
      <c r="U2385" s="8" t="n">
        <v>221.81</v>
      </c>
      <c r="V2385" s="13">
        <f>IF(U2385="","",ROUND(M2385-U2385,2))</f>
        <v/>
      </c>
      <c r="W2385" s="5" t="n"/>
      <c r="X2385" s="5" t="inlineStr">
        <is>
          <t>Labour + plant + material as published; reconciles to the published rate.</t>
        </is>
      </c>
    </row>
    <row r="2386" ht="13" customHeight="1">
      <c r="A2386" s="4" t="n">
        <v>3619</v>
      </c>
      <c r="B2386" s="5" t="inlineStr">
        <is>
          <t>IMG_0114</t>
        </is>
      </c>
      <c r="C2386" s="5" t="inlineStr">
        <is>
          <t>CLASS O: TIMBER</t>
        </is>
      </c>
      <c r="D2386" s="5" t="inlineStr">
        <is>
          <t>01 HARDWOOD COMPONENTS</t>
        </is>
      </c>
      <c r="E2386" s="5" t="inlineStr">
        <is>
          <t>Greenheart; 300 x 300 mm</t>
        </is>
      </c>
      <c r="F2386" s="5" t="inlineStr">
        <is>
          <t>length 1.5-3 m</t>
        </is>
      </c>
      <c r="G2386" s="6" t="inlineStr">
        <is>
          <t>m</t>
        </is>
      </c>
      <c r="H2386" s="7" t="n">
        <v>0.48</v>
      </c>
      <c r="I2386" s="8" t="n">
        <v>49.12</v>
      </c>
      <c r="J2386" s="8" t="n">
        <v>51.91</v>
      </c>
      <c r="K2386" s="8" t="n">
        <v>112.35</v>
      </c>
      <c r="L2386" s="8" t="n">
        <v>0</v>
      </c>
      <c r="M2386" s="9">
        <f>ROUND(SUM(I2386:L2386),2)</f>
        <v/>
      </c>
      <c r="N2386" s="10">
        <f>ROUND(I2386*'Irish Basis'!$C$6*'Irish Basis'!$C$5,2)</f>
        <v/>
      </c>
      <c r="O2386" s="10">
        <f>ROUND(J2386*'Irish Basis'!$C$7*'Irish Basis'!$C$5,2)</f>
        <v/>
      </c>
      <c r="P2386" s="10">
        <f>ROUND(K2386*'Irish Basis'!$C$8*'Irish Basis'!$C$5,2)</f>
        <v/>
      </c>
      <c r="Q2386" s="10">
        <f>ROUND(L2386*'Irish Basis'!$C$12*'Irish Basis'!$C$5,2)</f>
        <v/>
      </c>
      <c r="R2386" s="11">
        <f>ROUND(SUM(N2386:Q2386),2)</f>
        <v/>
      </c>
      <c r="S2386" s="5" t="inlineStr">
        <is>
          <t>Stated build-up</t>
        </is>
      </c>
      <c r="T2386" s="12" t="inlineStr">
        <is>
          <t>High</t>
        </is>
      </c>
      <c r="U2386" s="8" t="n">
        <v>213.38</v>
      </c>
      <c r="V2386" s="13">
        <f>IF(U2386="","",ROUND(M2386-U2386,2))</f>
        <v/>
      </c>
      <c r="W2386" s="5" t="n"/>
      <c r="X2386" s="5" t="inlineStr">
        <is>
          <t>Labour + plant + material as published; reconciles to the published rate.</t>
        </is>
      </c>
    </row>
    <row r="2387" ht="13" customHeight="1">
      <c r="A2387" s="4" t="n">
        <v>3620</v>
      </c>
      <c r="B2387" s="5" t="inlineStr">
        <is>
          <t>IMG_0114</t>
        </is>
      </c>
      <c r="C2387" s="5" t="inlineStr">
        <is>
          <t>CLASS O: TIMBER</t>
        </is>
      </c>
      <c r="D2387" s="5" t="inlineStr">
        <is>
          <t>01 HARDWOOD COMPONENTS</t>
        </is>
      </c>
      <c r="E2387" s="5" t="inlineStr">
        <is>
          <t>Greenheart; 300 x 300 mm</t>
        </is>
      </c>
      <c r="F2387" s="5" t="inlineStr">
        <is>
          <t>length 3-5 m</t>
        </is>
      </c>
      <c r="G2387" s="6" t="inlineStr">
        <is>
          <t>m</t>
        </is>
      </c>
      <c r="H2387" s="7" t="n">
        <v>0.44</v>
      </c>
      <c r="I2387" s="8" t="n">
        <v>45.03</v>
      </c>
      <c r="J2387" s="8" t="n">
        <v>47.59</v>
      </c>
      <c r="K2387" s="8" t="n">
        <v>112.35</v>
      </c>
      <c r="L2387" s="8" t="n">
        <v>0</v>
      </c>
      <c r="M2387" s="9">
        <f>ROUND(SUM(I2387:L2387),2)</f>
        <v/>
      </c>
      <c r="N2387" s="10">
        <f>ROUND(I2387*'Irish Basis'!$C$6*'Irish Basis'!$C$5,2)</f>
        <v/>
      </c>
      <c r="O2387" s="10">
        <f>ROUND(J2387*'Irish Basis'!$C$7*'Irish Basis'!$C$5,2)</f>
        <v/>
      </c>
      <c r="P2387" s="10">
        <f>ROUND(K2387*'Irish Basis'!$C$8*'Irish Basis'!$C$5,2)</f>
        <v/>
      </c>
      <c r="Q2387" s="10">
        <f>ROUND(L2387*'Irish Basis'!$C$12*'Irish Basis'!$C$5,2)</f>
        <v/>
      </c>
      <c r="R2387" s="11">
        <f>ROUND(SUM(N2387:Q2387),2)</f>
        <v/>
      </c>
      <c r="S2387" s="5" t="inlineStr">
        <is>
          <t>Stated build-up</t>
        </is>
      </c>
      <c r="T2387" s="12" t="inlineStr">
        <is>
          <t>High</t>
        </is>
      </c>
      <c r="U2387" s="8" t="n">
        <v>204.97</v>
      </c>
      <c r="V2387" s="13">
        <f>IF(U2387="","",ROUND(M2387-U2387,2))</f>
        <v/>
      </c>
      <c r="W2387" s="5" t="n"/>
      <c r="X2387" s="5" t="inlineStr">
        <is>
          <t>Labour + plant + material as published; reconciles to the published rate.</t>
        </is>
      </c>
    </row>
    <row r="2388" ht="13" customHeight="1">
      <c r="A2388" s="4" t="n">
        <v>3621</v>
      </c>
      <c r="B2388" s="5" t="inlineStr">
        <is>
          <t>IMG_0114</t>
        </is>
      </c>
      <c r="C2388" s="5" t="inlineStr">
        <is>
          <t>CLASS O: TIMBER</t>
        </is>
      </c>
      <c r="D2388" s="5" t="inlineStr">
        <is>
          <t>01 HARDWOOD COMPONENTS</t>
        </is>
      </c>
      <c r="E2388" s="5" t="inlineStr">
        <is>
          <t>Greenheart; 300 x 300 mm</t>
        </is>
      </c>
      <c r="F2388" s="5" t="inlineStr">
        <is>
          <t>length 5-8 m</t>
        </is>
      </c>
      <c r="G2388" s="6" t="inlineStr">
        <is>
          <t>m</t>
        </is>
      </c>
      <c r="H2388" s="7" t="n">
        <v>0.4</v>
      </c>
      <c r="I2388" s="8" t="n">
        <v>40.94</v>
      </c>
      <c r="J2388" s="8" t="n">
        <v>43.26</v>
      </c>
      <c r="K2388" s="8" t="n">
        <v>119.49</v>
      </c>
      <c r="L2388" s="8" t="n">
        <v>0</v>
      </c>
      <c r="M2388" s="9">
        <f>ROUND(SUM(I2388:L2388),2)</f>
        <v/>
      </c>
      <c r="N2388" s="10">
        <f>ROUND(I2388*'Irish Basis'!$C$6*'Irish Basis'!$C$5,2)</f>
        <v/>
      </c>
      <c r="O2388" s="10">
        <f>ROUND(J2388*'Irish Basis'!$C$7*'Irish Basis'!$C$5,2)</f>
        <v/>
      </c>
      <c r="P2388" s="10">
        <f>ROUND(K2388*'Irish Basis'!$C$8*'Irish Basis'!$C$5,2)</f>
        <v/>
      </c>
      <c r="Q2388" s="10">
        <f>ROUND(L2388*'Irish Basis'!$C$12*'Irish Basis'!$C$5,2)</f>
        <v/>
      </c>
      <c r="R2388" s="11">
        <f>ROUND(SUM(N2388:Q2388),2)</f>
        <v/>
      </c>
      <c r="S2388" s="5" t="inlineStr">
        <is>
          <t>Stated build-up</t>
        </is>
      </c>
      <c r="T2388" s="12" t="inlineStr">
        <is>
          <t>High</t>
        </is>
      </c>
      <c r="U2388" s="8" t="n">
        <v>203.68</v>
      </c>
      <c r="V2388" s="13">
        <f>IF(U2388="","",ROUND(M2388-U2388,2))</f>
        <v/>
      </c>
      <c r="W2388" s="5" t="n"/>
      <c r="X2388" s="5" t="inlineStr">
        <is>
          <t>Labour + plant + material as published; reconciles to the published rate.</t>
        </is>
      </c>
    </row>
    <row r="2389" ht="13" customHeight="1">
      <c r="A2389" s="4" t="n">
        <v>3622</v>
      </c>
      <c r="B2389" s="5" t="inlineStr">
        <is>
          <t>IMG_0114</t>
        </is>
      </c>
      <c r="C2389" s="5" t="inlineStr">
        <is>
          <t>CLASS O: TIMBER</t>
        </is>
      </c>
      <c r="D2389" s="5" t="inlineStr">
        <is>
          <t>01 HARDWOOD COMPONENTS</t>
        </is>
      </c>
      <c r="E2389" s="5" t="inlineStr">
        <is>
          <t>Greenheart; 300 x 300 mm</t>
        </is>
      </c>
      <c r="F2389" s="5" t="inlineStr">
        <is>
          <t>length 8-12 m</t>
        </is>
      </c>
      <c r="G2389" s="6" t="inlineStr">
        <is>
          <t>m</t>
        </is>
      </c>
      <c r="H2389" s="7" t="n">
        <v>0.36</v>
      </c>
      <c r="I2389" s="8" t="n">
        <v>36.84</v>
      </c>
      <c r="J2389" s="8" t="n">
        <v>38.94</v>
      </c>
      <c r="K2389" s="8" t="n">
        <v>119.49</v>
      </c>
      <c r="L2389" s="8" t="n">
        <v>0</v>
      </c>
      <c r="M2389" s="9">
        <f>ROUND(SUM(I2389:L2389),2)</f>
        <v/>
      </c>
      <c r="N2389" s="10">
        <f>ROUND(I2389*'Irish Basis'!$C$6*'Irish Basis'!$C$5,2)</f>
        <v/>
      </c>
      <c r="O2389" s="10">
        <f>ROUND(J2389*'Irish Basis'!$C$7*'Irish Basis'!$C$5,2)</f>
        <v/>
      </c>
      <c r="P2389" s="10">
        <f>ROUND(K2389*'Irish Basis'!$C$8*'Irish Basis'!$C$5,2)</f>
        <v/>
      </c>
      <c r="Q2389" s="10">
        <f>ROUND(L2389*'Irish Basis'!$C$12*'Irish Basis'!$C$5,2)</f>
        <v/>
      </c>
      <c r="R2389" s="11">
        <f>ROUND(SUM(N2389:Q2389),2)</f>
        <v/>
      </c>
      <c r="S2389" s="5" t="inlineStr">
        <is>
          <t>Stated build-up</t>
        </is>
      </c>
      <c r="T2389" s="12" t="inlineStr">
        <is>
          <t>High</t>
        </is>
      </c>
      <c r="U2389" s="8" t="n">
        <v>195.27</v>
      </c>
      <c r="V2389" s="13">
        <f>IF(U2389="","",ROUND(M2389-U2389,2))</f>
        <v/>
      </c>
      <c r="W2389" s="5" t="n"/>
      <c r="X2389" s="5" t="inlineStr">
        <is>
          <t>Labour + plant + material as published; reconciles to the published rate.</t>
        </is>
      </c>
    </row>
    <row r="2390" ht="13" customHeight="1">
      <c r="A2390" s="4" t="n">
        <v>3624</v>
      </c>
      <c r="B2390" s="5" t="inlineStr">
        <is>
          <t>IMG_0114</t>
        </is>
      </c>
      <c r="C2390" s="5" t="inlineStr">
        <is>
          <t>CLASS O: TIMBER</t>
        </is>
      </c>
      <c r="D2390" s="5" t="inlineStr">
        <is>
          <t>01 HARDWOOD COMPONENTS</t>
        </is>
      </c>
      <c r="E2390" s="5" t="inlineStr">
        <is>
          <t>Greenheart; 450 x 450 mm</t>
        </is>
      </c>
      <c r="F2390" s="5" t="inlineStr">
        <is>
          <t>length not exceeding 1.5 m</t>
        </is>
      </c>
      <c r="G2390" s="6" t="inlineStr">
        <is>
          <t>m</t>
        </is>
      </c>
      <c r="H2390" s="7" t="n">
        <v>0.98</v>
      </c>
      <c r="I2390" s="8" t="n">
        <v>100.29</v>
      </c>
      <c r="J2390" s="8" t="n">
        <v>106.62</v>
      </c>
      <c r="K2390" s="8" t="n">
        <v>247.49</v>
      </c>
      <c r="L2390" s="8" t="n">
        <v>0</v>
      </c>
      <c r="M2390" s="9">
        <f>ROUND(SUM(I2390:L2390),2)</f>
        <v/>
      </c>
      <c r="N2390" s="10">
        <f>ROUND(I2390*'Irish Basis'!$C$6*'Irish Basis'!$C$5,2)</f>
        <v/>
      </c>
      <c r="O2390" s="10">
        <f>ROUND(J2390*'Irish Basis'!$C$7*'Irish Basis'!$C$5,2)</f>
        <v/>
      </c>
      <c r="P2390" s="10">
        <f>ROUND(K2390*'Irish Basis'!$C$8*'Irish Basis'!$C$5,2)</f>
        <v/>
      </c>
      <c r="Q2390" s="10">
        <f>ROUND(L2390*'Irish Basis'!$C$12*'Irish Basis'!$C$5,2)</f>
        <v/>
      </c>
      <c r="R2390" s="11">
        <f>ROUND(SUM(N2390:Q2390),2)</f>
        <v/>
      </c>
      <c r="S2390" s="5" t="inlineStr">
        <is>
          <t>Stated build-up</t>
        </is>
      </c>
      <c r="T2390" s="12" t="inlineStr">
        <is>
          <t>High</t>
        </is>
      </c>
      <c r="U2390" s="8" t="n">
        <v>454.4</v>
      </c>
      <c r="V2390" s="13">
        <f>IF(U2390="","",ROUND(M2390-U2390,2))</f>
        <v/>
      </c>
      <c r="W2390" s="5" t="n"/>
      <c r="X2390" s="5" t="inlineStr">
        <is>
          <t>Labour + plant + material as published; reconciles to the published rate.</t>
        </is>
      </c>
    </row>
    <row r="2391" ht="13" customHeight="1">
      <c r="A2391" s="4" t="n">
        <v>3625</v>
      </c>
      <c r="B2391" s="5" t="inlineStr">
        <is>
          <t>IMG_0114</t>
        </is>
      </c>
      <c r="C2391" s="5" t="inlineStr">
        <is>
          <t>CLASS O: TIMBER</t>
        </is>
      </c>
      <c r="D2391" s="5" t="inlineStr">
        <is>
          <t>01 HARDWOOD COMPONENTS</t>
        </is>
      </c>
      <c r="E2391" s="5" t="inlineStr">
        <is>
          <t>Greenheart; 450 x 450 mm</t>
        </is>
      </c>
      <c r="F2391" s="5" t="inlineStr">
        <is>
          <t>length 1.5-3 m</t>
        </is>
      </c>
      <c r="G2391" s="6" t="inlineStr">
        <is>
          <t>m</t>
        </is>
      </c>
      <c r="H2391" s="7" t="n">
        <v>0.9</v>
      </c>
      <c r="I2391" s="8" t="n">
        <v>92.09999999999999</v>
      </c>
      <c r="J2391" s="8" t="n">
        <v>97.97</v>
      </c>
      <c r="K2391" s="8" t="n">
        <v>247.49</v>
      </c>
      <c r="L2391" s="8" t="n">
        <v>0</v>
      </c>
      <c r="M2391" s="9">
        <f>ROUND(SUM(I2391:L2391),2)</f>
        <v/>
      </c>
      <c r="N2391" s="10">
        <f>ROUND(I2391*'Irish Basis'!$C$6*'Irish Basis'!$C$5,2)</f>
        <v/>
      </c>
      <c r="O2391" s="10">
        <f>ROUND(J2391*'Irish Basis'!$C$7*'Irish Basis'!$C$5,2)</f>
        <v/>
      </c>
      <c r="P2391" s="10">
        <f>ROUND(K2391*'Irish Basis'!$C$8*'Irish Basis'!$C$5,2)</f>
        <v/>
      </c>
      <c r="Q2391" s="10">
        <f>ROUND(L2391*'Irish Basis'!$C$12*'Irish Basis'!$C$5,2)</f>
        <v/>
      </c>
      <c r="R2391" s="11">
        <f>ROUND(SUM(N2391:Q2391),2)</f>
        <v/>
      </c>
      <c r="S2391" s="5" t="inlineStr">
        <is>
          <t>Stated build-up</t>
        </is>
      </c>
      <c r="T2391" s="12" t="inlineStr">
        <is>
          <t>High</t>
        </is>
      </c>
      <c r="U2391" s="8" t="n">
        <v>437.57</v>
      </c>
      <c r="V2391" s="13">
        <f>IF(U2391="","",ROUND(M2391-U2391,2))</f>
        <v/>
      </c>
      <c r="W2391" s="5" t="n"/>
      <c r="X2391" s="5" t="inlineStr">
        <is>
          <t>Labour + plant + material as published; reconciles to the published rate.</t>
        </is>
      </c>
    </row>
    <row r="2392" ht="13" customHeight="1">
      <c r="A2392" s="4" t="n">
        <v>3626</v>
      </c>
      <c r="B2392" s="5" t="inlineStr">
        <is>
          <t>IMG_0114</t>
        </is>
      </c>
      <c r="C2392" s="5" t="inlineStr">
        <is>
          <t>CLASS O: TIMBER</t>
        </is>
      </c>
      <c r="D2392" s="5" t="inlineStr">
        <is>
          <t>01 HARDWOOD COMPONENTS</t>
        </is>
      </c>
      <c r="E2392" s="5" t="inlineStr">
        <is>
          <t>Greenheart; 450 x 450 mm</t>
        </is>
      </c>
      <c r="F2392" s="5" t="inlineStr">
        <is>
          <t>length 3-5 m</t>
        </is>
      </c>
      <c r="G2392" s="6" t="inlineStr">
        <is>
          <t>m</t>
        </is>
      </c>
      <c r="H2392" s="7" t="n">
        <v>0.83</v>
      </c>
      <c r="I2392" s="8" t="n">
        <v>84.94</v>
      </c>
      <c r="J2392" s="8" t="n">
        <v>90.09</v>
      </c>
      <c r="K2392" s="8" t="n">
        <v>267.54</v>
      </c>
      <c r="L2392" s="8" t="n">
        <v>0</v>
      </c>
      <c r="M2392" s="9">
        <f>ROUND(SUM(I2392:L2392),2)</f>
        <v/>
      </c>
      <c r="N2392" s="10">
        <f>ROUND(I2392*'Irish Basis'!$C$6*'Irish Basis'!$C$5,2)</f>
        <v/>
      </c>
      <c r="O2392" s="10">
        <f>ROUND(J2392*'Irish Basis'!$C$7*'Irish Basis'!$C$5,2)</f>
        <v/>
      </c>
      <c r="P2392" s="10">
        <f>ROUND(K2392*'Irish Basis'!$C$8*'Irish Basis'!$C$5,2)</f>
        <v/>
      </c>
      <c r="Q2392" s="10">
        <f>ROUND(L2392*'Irish Basis'!$C$12*'Irish Basis'!$C$5,2)</f>
        <v/>
      </c>
      <c r="R2392" s="11">
        <f>ROUND(SUM(N2392:Q2392),2)</f>
        <v/>
      </c>
      <c r="S2392" s="5" t="inlineStr">
        <is>
          <t>Stated build-up</t>
        </is>
      </c>
      <c r="T2392" s="12" t="inlineStr">
        <is>
          <t>High</t>
        </is>
      </c>
      <c r="U2392" s="8" t="n">
        <v>442.57</v>
      </c>
      <c r="V2392" s="13">
        <f>IF(U2392="","",ROUND(M2392-U2392,2))</f>
        <v/>
      </c>
      <c r="W2392" s="5" t="n"/>
      <c r="X2392" s="5" t="inlineStr">
        <is>
          <t>Labour + plant + material as published; reconciles to the published rate.</t>
        </is>
      </c>
    </row>
    <row r="2393" ht="13" customHeight="1">
      <c r="A2393" s="4" t="n">
        <v>3627</v>
      </c>
      <c r="B2393" s="5" t="inlineStr">
        <is>
          <t>IMG_0114</t>
        </is>
      </c>
      <c r="C2393" s="5" t="inlineStr">
        <is>
          <t>CLASS O: TIMBER</t>
        </is>
      </c>
      <c r="D2393" s="5" t="inlineStr">
        <is>
          <t>01 HARDWOOD COMPONENTS</t>
        </is>
      </c>
      <c r="E2393" s="5" t="inlineStr">
        <is>
          <t>Greenheart; 450 x 450 mm</t>
        </is>
      </c>
      <c r="F2393" s="5" t="inlineStr">
        <is>
          <t>length 5-8 m</t>
        </is>
      </c>
      <c r="G2393" s="6" t="inlineStr">
        <is>
          <t>m</t>
        </is>
      </c>
      <c r="H2393" s="7" t="n">
        <v>0.75</v>
      </c>
      <c r="I2393" s="8" t="n">
        <v>76.75</v>
      </c>
      <c r="J2393" s="8" t="n">
        <v>81.44</v>
      </c>
      <c r="K2393" s="8" t="n">
        <v>253.68</v>
      </c>
      <c r="L2393" s="8" t="n">
        <v>0</v>
      </c>
      <c r="M2393" s="9">
        <f>ROUND(SUM(I2393:L2393),2)</f>
        <v/>
      </c>
      <c r="N2393" s="10">
        <f>ROUND(I2393*'Irish Basis'!$C$6*'Irish Basis'!$C$5,2)</f>
        <v/>
      </c>
      <c r="O2393" s="10">
        <f>ROUND(J2393*'Irish Basis'!$C$7*'Irish Basis'!$C$5,2)</f>
        <v/>
      </c>
      <c r="P2393" s="10">
        <f>ROUND(K2393*'Irish Basis'!$C$8*'Irish Basis'!$C$5,2)</f>
        <v/>
      </c>
      <c r="Q2393" s="10">
        <f>ROUND(L2393*'Irish Basis'!$C$12*'Irish Basis'!$C$5,2)</f>
        <v/>
      </c>
      <c r="R2393" s="11">
        <f>ROUND(SUM(N2393:Q2393),2)</f>
        <v/>
      </c>
      <c r="S2393" s="5" t="inlineStr">
        <is>
          <t>Stated build-up</t>
        </is>
      </c>
      <c r="T2393" s="12" t="inlineStr">
        <is>
          <t>High</t>
        </is>
      </c>
      <c r="U2393" s="8" t="n">
        <v>411.87</v>
      </c>
      <c r="V2393" s="13">
        <f>IF(U2393="","",ROUND(M2393-U2393,2))</f>
        <v/>
      </c>
      <c r="W2393" s="5" t="n"/>
      <c r="X2393" s="5" t="inlineStr">
        <is>
          <t>Labour + plant + material as published; reconciles to the published rate.</t>
        </is>
      </c>
    </row>
    <row r="2394" ht="13" customHeight="1">
      <c r="A2394" s="4" t="n">
        <v>3628</v>
      </c>
      <c r="B2394" s="5" t="inlineStr">
        <is>
          <t>IMG_0114</t>
        </is>
      </c>
      <c r="C2394" s="5" t="inlineStr">
        <is>
          <t>CLASS O: TIMBER</t>
        </is>
      </c>
      <c r="D2394" s="5" t="inlineStr">
        <is>
          <t>01 HARDWOOD COMPONENTS</t>
        </is>
      </c>
      <c r="E2394" s="5" t="inlineStr">
        <is>
          <t>Greenheart; 450 x 450 mm</t>
        </is>
      </c>
      <c r="F2394" s="5" t="inlineStr">
        <is>
          <t>length 8-12 m</t>
        </is>
      </c>
      <c r="G2394" s="6" t="inlineStr">
        <is>
          <t>m</t>
        </is>
      </c>
      <c r="H2394" s="7" t="n">
        <v>0.68</v>
      </c>
      <c r="I2394" s="8" t="n">
        <v>69.59</v>
      </c>
      <c r="J2394" s="8" t="n">
        <v>73.54000000000001</v>
      </c>
      <c r="K2394" s="8" t="n">
        <v>266.07</v>
      </c>
      <c r="L2394" s="8" t="n">
        <v>0</v>
      </c>
      <c r="M2394" s="9">
        <f>ROUND(SUM(I2394:L2394),2)</f>
        <v/>
      </c>
      <c r="N2394" s="10">
        <f>ROUND(I2394*'Irish Basis'!$C$6*'Irish Basis'!$C$5,2)</f>
        <v/>
      </c>
      <c r="O2394" s="10">
        <f>ROUND(J2394*'Irish Basis'!$C$7*'Irish Basis'!$C$5,2)</f>
        <v/>
      </c>
      <c r="P2394" s="10">
        <f>ROUND(K2394*'Irish Basis'!$C$8*'Irish Basis'!$C$5,2)</f>
        <v/>
      </c>
      <c r="Q2394" s="10">
        <f>ROUND(L2394*'Irish Basis'!$C$12*'Irish Basis'!$C$5,2)</f>
        <v/>
      </c>
      <c r="R2394" s="11">
        <f>ROUND(SUM(N2394:Q2394),2)</f>
        <v/>
      </c>
      <c r="S2394" s="5" t="inlineStr">
        <is>
          <t>Stated build-up</t>
        </is>
      </c>
      <c r="T2394" s="12" t="inlineStr">
        <is>
          <t>High</t>
        </is>
      </c>
      <c r="U2394" s="8" t="n">
        <v>409.19</v>
      </c>
      <c r="V2394" s="13">
        <f>IF(U2394="","",ROUND(M2394-U2394,2))</f>
        <v/>
      </c>
      <c r="W2394" s="5" t="n"/>
      <c r="X2394" s="5" t="inlineStr">
        <is>
          <t>Labour + plant + material as published; reconciles to the published rate.</t>
        </is>
      </c>
    </row>
    <row r="2395" ht="13" customHeight="1">
      <c r="A2395" s="4" t="n">
        <v>3631</v>
      </c>
      <c r="B2395" s="5" t="inlineStr">
        <is>
          <t>IMG_0114</t>
        </is>
      </c>
      <c r="C2395" s="5" t="inlineStr">
        <is>
          <t>CLASS O: TIMBER</t>
        </is>
      </c>
      <c r="D2395" s="5" t="inlineStr">
        <is>
          <t>02 SOFTWOOD COMPONENTS</t>
        </is>
      </c>
      <c r="E2395" s="5" t="inlineStr">
        <is>
          <t>Softwood; stress graded SC3/4; 100 x 75 mm</t>
        </is>
      </c>
      <c r="F2395" s="5" t="inlineStr">
        <is>
          <t>up to 3.00 m long</t>
        </is>
      </c>
      <c r="G2395" s="6" t="inlineStr">
        <is>
          <t>m</t>
        </is>
      </c>
      <c r="H2395" s="7" t="n">
        <v>0.1</v>
      </c>
      <c r="I2395" s="8" t="n">
        <v>10.23</v>
      </c>
      <c r="J2395" s="8" t="n">
        <v>9.83</v>
      </c>
      <c r="K2395" s="8" t="n">
        <v>6.27</v>
      </c>
      <c r="L2395" s="8" t="n">
        <v>0</v>
      </c>
      <c r="M2395" s="9">
        <f>ROUND(SUM(I2395:L2395),2)</f>
        <v/>
      </c>
      <c r="N2395" s="10">
        <f>ROUND(I2395*'Irish Basis'!$C$6*'Irish Basis'!$C$5,2)</f>
        <v/>
      </c>
      <c r="O2395" s="10">
        <f>ROUND(J2395*'Irish Basis'!$C$7*'Irish Basis'!$C$5,2)</f>
        <v/>
      </c>
      <c r="P2395" s="10">
        <f>ROUND(K2395*'Irish Basis'!$C$8*'Irish Basis'!$C$5,2)</f>
        <v/>
      </c>
      <c r="Q2395" s="10">
        <f>ROUND(L2395*'Irish Basis'!$C$12*'Irish Basis'!$C$5,2)</f>
        <v/>
      </c>
      <c r="R2395" s="11">
        <f>ROUND(SUM(N2395:Q2395),2)</f>
        <v/>
      </c>
      <c r="S2395" s="5" t="inlineStr">
        <is>
          <t>Stated build-up</t>
        </is>
      </c>
      <c r="T2395" s="12" t="inlineStr">
        <is>
          <t>High</t>
        </is>
      </c>
      <c r="U2395" s="8" t="n">
        <v>26.33</v>
      </c>
      <c r="V2395" s="13">
        <f>IF(U2395="","",ROUND(M2395-U2395,2))</f>
        <v/>
      </c>
      <c r="W2395" s="5" t="n"/>
      <c r="X2395" s="5" t="inlineStr">
        <is>
          <t>Labour + plant + material as published; reconciles to the published rate.</t>
        </is>
      </c>
    </row>
    <row r="2396" ht="13" customHeight="1">
      <c r="A2396" s="4" t="n">
        <v>3632</v>
      </c>
      <c r="B2396" s="5" t="inlineStr">
        <is>
          <t>IMG_0114</t>
        </is>
      </c>
      <c r="C2396" s="5" t="inlineStr">
        <is>
          <t>CLASS O: TIMBER</t>
        </is>
      </c>
      <c r="D2396" s="5" t="inlineStr">
        <is>
          <t>02 SOFTWOOD COMPONENTS</t>
        </is>
      </c>
      <c r="E2396" s="5" t="inlineStr">
        <is>
          <t>Softwood; stress graded SC3/4; 100 x 75 mm</t>
        </is>
      </c>
      <c r="F2396" s="5" t="inlineStr">
        <is>
          <t>3.00-5.00 m long</t>
        </is>
      </c>
      <c r="G2396" s="6" t="inlineStr">
        <is>
          <t>m</t>
        </is>
      </c>
      <c r="H2396" s="7" t="n">
        <v>0.1</v>
      </c>
      <c r="I2396" s="8" t="n">
        <v>10.23</v>
      </c>
      <c r="J2396" s="8" t="n">
        <v>9.83</v>
      </c>
      <c r="K2396" s="8" t="n">
        <v>8.960000000000001</v>
      </c>
      <c r="L2396" s="8" t="n">
        <v>0</v>
      </c>
      <c r="M2396" s="9">
        <f>ROUND(SUM(I2396:L2396),2)</f>
        <v/>
      </c>
      <c r="N2396" s="10">
        <f>ROUND(I2396*'Irish Basis'!$C$6*'Irish Basis'!$C$5,2)</f>
        <v/>
      </c>
      <c r="O2396" s="10">
        <f>ROUND(J2396*'Irish Basis'!$C$7*'Irish Basis'!$C$5,2)</f>
        <v/>
      </c>
      <c r="P2396" s="10">
        <f>ROUND(K2396*'Irish Basis'!$C$8*'Irish Basis'!$C$5,2)</f>
        <v/>
      </c>
      <c r="Q2396" s="10">
        <f>ROUND(L2396*'Irish Basis'!$C$12*'Irish Basis'!$C$5,2)</f>
        <v/>
      </c>
      <c r="R2396" s="11">
        <f>ROUND(SUM(N2396:Q2396),2)</f>
        <v/>
      </c>
      <c r="S2396" s="5" t="inlineStr">
        <is>
          <t>Stated build-up</t>
        </is>
      </c>
      <c r="T2396" s="12" t="inlineStr">
        <is>
          <t>High</t>
        </is>
      </c>
      <c r="U2396" s="8" t="n">
        <v>29.03</v>
      </c>
      <c r="V2396" s="13">
        <f>IF(U2396="","",ROUND(M2396-U2396,2))</f>
        <v/>
      </c>
      <c r="W2396" s="5" t="n"/>
      <c r="X2396" s="5" t="inlineStr">
        <is>
          <t>Labour + plant + material as published; reconciles to the published rate.</t>
        </is>
      </c>
    </row>
    <row r="2397" ht="13" customHeight="1">
      <c r="A2397" s="4" t="n">
        <v>3634</v>
      </c>
      <c r="B2397" s="5" t="inlineStr">
        <is>
          <t>IMG_0114</t>
        </is>
      </c>
      <c r="C2397" s="5" t="inlineStr">
        <is>
          <t>CLASS O: TIMBER</t>
        </is>
      </c>
      <c r="D2397" s="5" t="inlineStr">
        <is>
          <t>02 SOFTWOOD COMPONENTS</t>
        </is>
      </c>
      <c r="E2397" s="5" t="inlineStr">
        <is>
          <t>Softwood; 150 x 75 mm</t>
        </is>
      </c>
      <c r="F2397" s="5" t="inlineStr">
        <is>
          <t>up to 3.00 m long</t>
        </is>
      </c>
      <c r="G2397" s="6" t="inlineStr">
        <is>
          <t>m</t>
        </is>
      </c>
      <c r="H2397" s="7" t="n">
        <v>0.13</v>
      </c>
      <c r="I2397" s="8" t="n">
        <v>13.3</v>
      </c>
      <c r="J2397" s="8" t="n">
        <v>12.76</v>
      </c>
      <c r="K2397" s="8" t="n">
        <v>12.41</v>
      </c>
      <c r="L2397" s="8" t="n">
        <v>0</v>
      </c>
      <c r="M2397" s="9">
        <f>ROUND(SUM(I2397:L2397),2)</f>
        <v/>
      </c>
      <c r="N2397" s="10">
        <f>ROUND(I2397*'Irish Basis'!$C$6*'Irish Basis'!$C$5,2)</f>
        <v/>
      </c>
      <c r="O2397" s="10">
        <f>ROUND(J2397*'Irish Basis'!$C$7*'Irish Basis'!$C$5,2)</f>
        <v/>
      </c>
      <c r="P2397" s="10">
        <f>ROUND(K2397*'Irish Basis'!$C$8*'Irish Basis'!$C$5,2)</f>
        <v/>
      </c>
      <c r="Q2397" s="10">
        <f>ROUND(L2397*'Irish Basis'!$C$12*'Irish Basis'!$C$5,2)</f>
        <v/>
      </c>
      <c r="R2397" s="11">
        <f>ROUND(SUM(N2397:Q2397),2)</f>
        <v/>
      </c>
      <c r="S2397" s="5" t="inlineStr">
        <is>
          <t>Stated build-up</t>
        </is>
      </c>
      <c r="T2397" s="12" t="inlineStr">
        <is>
          <t>High</t>
        </is>
      </c>
      <c r="U2397" s="8" t="n">
        <v>38.47</v>
      </c>
      <c r="V2397" s="13">
        <f>IF(U2397="","",ROUND(M2397-U2397,2))</f>
        <v/>
      </c>
      <c r="W2397" s="5" t="n"/>
      <c r="X2397" s="5" t="inlineStr">
        <is>
          <t>Labour + plant + material as published; reconciles to the published rate.</t>
        </is>
      </c>
    </row>
    <row r="2398" ht="13" customHeight="1">
      <c r="A2398" s="4" t="n">
        <v>3635</v>
      </c>
      <c r="B2398" s="5" t="inlineStr">
        <is>
          <t>IMG_0114</t>
        </is>
      </c>
      <c r="C2398" s="5" t="inlineStr">
        <is>
          <t>CLASS O: TIMBER</t>
        </is>
      </c>
      <c r="D2398" s="5" t="inlineStr">
        <is>
          <t>02 SOFTWOOD COMPONENTS</t>
        </is>
      </c>
      <c r="E2398" s="5" t="inlineStr">
        <is>
          <t>Softwood; 150 x 75 mm</t>
        </is>
      </c>
      <c r="F2398" s="5" t="inlineStr">
        <is>
          <t>3.00-5.00 m long</t>
        </is>
      </c>
      <c r="G2398" s="6" t="inlineStr">
        <is>
          <t>m</t>
        </is>
      </c>
      <c r="H2398" s="7" t="n">
        <v>0.11</v>
      </c>
      <c r="I2398" s="8" t="n">
        <v>11.26</v>
      </c>
      <c r="J2398" s="8" t="n">
        <v>10.81</v>
      </c>
      <c r="K2398" s="8" t="n">
        <v>15.84</v>
      </c>
      <c r="L2398" s="8" t="n">
        <v>0</v>
      </c>
      <c r="M2398" s="9">
        <f>ROUND(SUM(I2398:L2398),2)</f>
        <v/>
      </c>
      <c r="N2398" s="10">
        <f>ROUND(I2398*'Irish Basis'!$C$6*'Irish Basis'!$C$5,2)</f>
        <v/>
      </c>
      <c r="O2398" s="10">
        <f>ROUND(J2398*'Irish Basis'!$C$7*'Irish Basis'!$C$5,2)</f>
        <v/>
      </c>
      <c r="P2398" s="10">
        <f>ROUND(K2398*'Irish Basis'!$C$8*'Irish Basis'!$C$5,2)</f>
        <v/>
      </c>
      <c r="Q2398" s="10">
        <f>ROUND(L2398*'Irish Basis'!$C$12*'Irish Basis'!$C$5,2)</f>
        <v/>
      </c>
      <c r="R2398" s="11">
        <f>ROUND(SUM(N2398:Q2398),2)</f>
        <v/>
      </c>
      <c r="S2398" s="5" t="inlineStr">
        <is>
          <t>Stated build-up</t>
        </is>
      </c>
      <c r="T2398" s="12" t="inlineStr">
        <is>
          <t>High</t>
        </is>
      </c>
      <c r="U2398" s="8" t="n">
        <v>37.91</v>
      </c>
      <c r="V2398" s="13">
        <f>IF(U2398="","",ROUND(M2398-U2398,2))</f>
        <v/>
      </c>
      <c r="W2398" s="5" t="n"/>
      <c r="X2398" s="5" t="inlineStr">
        <is>
          <t>Labour + plant + material as published; reconciles to the published rate.</t>
        </is>
      </c>
    </row>
    <row r="2399" ht="13" customHeight="1">
      <c r="A2399" s="4" t="n">
        <v>3637</v>
      </c>
      <c r="B2399" s="5" t="inlineStr">
        <is>
          <t>IMG_0114</t>
        </is>
      </c>
      <c r="C2399" s="5" t="inlineStr">
        <is>
          <t>CLASS O: TIMBER</t>
        </is>
      </c>
      <c r="D2399" s="5" t="inlineStr">
        <is>
          <t>02 SOFTWOOD COMPONENTS</t>
        </is>
      </c>
      <c r="E2399" s="5" t="inlineStr">
        <is>
          <t>Softwood; 200 x 100 mm</t>
        </is>
      </c>
      <c r="F2399" s="5" t="inlineStr">
        <is>
          <t>up to 3.00 m long</t>
        </is>
      </c>
      <c r="G2399" s="6" t="inlineStr">
        <is>
          <t>m</t>
        </is>
      </c>
      <c r="H2399" s="7" t="n">
        <v>0.16</v>
      </c>
      <c r="I2399" s="8" t="n">
        <v>16.37</v>
      </c>
      <c r="J2399" s="8" t="n">
        <v>15.71</v>
      </c>
      <c r="K2399" s="8" t="n">
        <v>23.1</v>
      </c>
      <c r="L2399" s="8" t="n">
        <v>0</v>
      </c>
      <c r="M2399" s="9">
        <f>ROUND(SUM(I2399:L2399),2)</f>
        <v/>
      </c>
      <c r="N2399" s="10">
        <f>ROUND(I2399*'Irish Basis'!$C$6*'Irish Basis'!$C$5,2)</f>
        <v/>
      </c>
      <c r="O2399" s="10">
        <f>ROUND(J2399*'Irish Basis'!$C$7*'Irish Basis'!$C$5,2)</f>
        <v/>
      </c>
      <c r="P2399" s="10">
        <f>ROUND(K2399*'Irish Basis'!$C$8*'Irish Basis'!$C$5,2)</f>
        <v/>
      </c>
      <c r="Q2399" s="10">
        <f>ROUND(L2399*'Irish Basis'!$C$12*'Irish Basis'!$C$5,2)</f>
        <v/>
      </c>
      <c r="R2399" s="11">
        <f>ROUND(SUM(N2399:Q2399),2)</f>
        <v/>
      </c>
      <c r="S2399" s="5" t="inlineStr">
        <is>
          <t>Stated build-up</t>
        </is>
      </c>
      <c r="T2399" s="12" t="inlineStr">
        <is>
          <t>High</t>
        </is>
      </c>
      <c r="U2399" s="8" t="n">
        <v>55.18</v>
      </c>
      <c r="V2399" s="13">
        <f>IF(U2399="","",ROUND(M2399-U2399,2))</f>
        <v/>
      </c>
      <c r="W2399" s="5" t="n"/>
      <c r="X2399" s="5" t="inlineStr">
        <is>
          <t>Labour + plant + material as published; reconciles to the published rate.</t>
        </is>
      </c>
    </row>
    <row r="2400" ht="13" customHeight="1">
      <c r="A2400" s="4" t="n">
        <v>3638</v>
      </c>
      <c r="B2400" s="5" t="inlineStr">
        <is>
          <t>IMG_0114</t>
        </is>
      </c>
      <c r="C2400" s="5" t="inlineStr">
        <is>
          <t>CLASS O: TIMBER</t>
        </is>
      </c>
      <c r="D2400" s="5" t="inlineStr">
        <is>
          <t>02 SOFTWOOD COMPONENTS</t>
        </is>
      </c>
      <c r="E2400" s="5" t="inlineStr">
        <is>
          <t>Softwood; 200 x 100 mm</t>
        </is>
      </c>
      <c r="F2400" s="5" t="inlineStr">
        <is>
          <t>3.00-5.00 m long</t>
        </is>
      </c>
      <c r="G2400" s="6" t="inlineStr">
        <is>
          <t>m</t>
        </is>
      </c>
      <c r="H2400" s="7" t="n">
        <v>0.14</v>
      </c>
      <c r="I2400" s="8" t="n">
        <v>14.33</v>
      </c>
      <c r="J2400" s="8" t="n">
        <v>13.76</v>
      </c>
      <c r="K2400" s="8" t="n">
        <v>34.78</v>
      </c>
      <c r="L2400" s="8" t="n">
        <v>0</v>
      </c>
      <c r="M2400" s="9">
        <f>ROUND(SUM(I2400:L2400),2)</f>
        <v/>
      </c>
      <c r="N2400" s="10">
        <f>ROUND(I2400*'Irish Basis'!$C$6*'Irish Basis'!$C$5,2)</f>
        <v/>
      </c>
      <c r="O2400" s="10">
        <f>ROUND(J2400*'Irish Basis'!$C$7*'Irish Basis'!$C$5,2)</f>
        <v/>
      </c>
      <c r="P2400" s="10">
        <f>ROUND(K2400*'Irish Basis'!$C$8*'Irish Basis'!$C$5,2)</f>
        <v/>
      </c>
      <c r="Q2400" s="10">
        <f>ROUND(L2400*'Irish Basis'!$C$12*'Irish Basis'!$C$5,2)</f>
        <v/>
      </c>
      <c r="R2400" s="11">
        <f>ROUND(SUM(N2400:Q2400),2)</f>
        <v/>
      </c>
      <c r="S2400" s="5" t="inlineStr">
        <is>
          <t>Stated build-up</t>
        </is>
      </c>
      <c r="T2400" s="12" t="inlineStr">
        <is>
          <t>High</t>
        </is>
      </c>
      <c r="U2400" s="8" t="n">
        <v>62.87</v>
      </c>
      <c r="V2400" s="13">
        <f>IF(U2400="","",ROUND(M2400-U2400,2))</f>
        <v/>
      </c>
      <c r="W2400" s="5" t="n"/>
      <c r="X2400" s="5" t="inlineStr">
        <is>
          <t>Labour + plant + material as published; reconciles to the published rate.</t>
        </is>
      </c>
    </row>
    <row r="2401" ht="13" customHeight="1">
      <c r="A2401" s="4" t="n">
        <v>3640</v>
      </c>
      <c r="B2401" s="5" t="inlineStr">
        <is>
          <t>IMG_0114</t>
        </is>
      </c>
      <c r="C2401" s="5" t="inlineStr">
        <is>
          <t>CLASS O: TIMBER</t>
        </is>
      </c>
      <c r="D2401" s="5" t="inlineStr">
        <is>
          <t>02 SOFTWOOD COMPONENTS</t>
        </is>
      </c>
      <c r="E2401" s="5" t="inlineStr">
        <is>
          <t>Softwood; 200 x 200 mm</t>
        </is>
      </c>
      <c r="F2401" s="5" t="inlineStr">
        <is>
          <t>up to 3.00 m long</t>
        </is>
      </c>
      <c r="G2401" s="6" t="inlineStr">
        <is>
          <t>m</t>
        </is>
      </c>
      <c r="H2401" s="7" t="n">
        <v>0.25</v>
      </c>
      <c r="I2401" s="8" t="n">
        <v>25.58</v>
      </c>
      <c r="J2401" s="8" t="n">
        <v>24.54</v>
      </c>
      <c r="K2401" s="8" t="n">
        <v>69.38</v>
      </c>
      <c r="L2401" s="8" t="n">
        <v>0</v>
      </c>
      <c r="M2401" s="9">
        <f>ROUND(SUM(I2401:L2401),2)</f>
        <v/>
      </c>
      <c r="N2401" s="10">
        <f>ROUND(I2401*'Irish Basis'!$C$6*'Irish Basis'!$C$5,2)</f>
        <v/>
      </c>
      <c r="O2401" s="10">
        <f>ROUND(J2401*'Irish Basis'!$C$7*'Irish Basis'!$C$5,2)</f>
        <v/>
      </c>
      <c r="P2401" s="10">
        <f>ROUND(K2401*'Irish Basis'!$C$8*'Irish Basis'!$C$5,2)</f>
        <v/>
      </c>
      <c r="Q2401" s="10">
        <f>ROUND(L2401*'Irish Basis'!$C$12*'Irish Basis'!$C$5,2)</f>
        <v/>
      </c>
      <c r="R2401" s="11">
        <f>ROUND(SUM(N2401:Q2401),2)</f>
        <v/>
      </c>
      <c r="S2401" s="5" t="inlineStr">
        <is>
          <t>Stated build-up</t>
        </is>
      </c>
      <c r="T2401" s="12" t="inlineStr">
        <is>
          <t>High</t>
        </is>
      </c>
      <c r="U2401" s="8" t="n">
        <v>119.5</v>
      </c>
      <c r="V2401" s="13">
        <f>IF(U2401="","",ROUND(M2401-U2401,2))</f>
        <v/>
      </c>
      <c r="W2401" s="5" t="n"/>
      <c r="X2401" s="5" t="inlineStr">
        <is>
          <t>Labour + plant + material as published; reconciles to the published rate.</t>
        </is>
      </c>
    </row>
    <row r="2402" ht="13" customHeight="1">
      <c r="A2402" s="4" t="n">
        <v>3641</v>
      </c>
      <c r="B2402" s="5" t="inlineStr">
        <is>
          <t>IMG_0114</t>
        </is>
      </c>
      <c r="C2402" s="5" t="inlineStr">
        <is>
          <t>CLASS O: TIMBER</t>
        </is>
      </c>
      <c r="D2402" s="5" t="inlineStr">
        <is>
          <t>02 SOFTWOOD COMPONENTS</t>
        </is>
      </c>
      <c r="E2402" s="5" t="inlineStr">
        <is>
          <t>Softwood; 200 x 200 mm</t>
        </is>
      </c>
      <c r="F2402" s="5" t="inlineStr">
        <is>
          <t>3.00-5.00 m long</t>
        </is>
      </c>
      <c r="G2402" s="6" t="inlineStr">
        <is>
          <t>m</t>
        </is>
      </c>
      <c r="H2402" s="7" t="n">
        <v>0.23</v>
      </c>
      <c r="I2402" s="8" t="n">
        <v>23.54</v>
      </c>
      <c r="J2402" s="8" t="n">
        <v>22.59</v>
      </c>
      <c r="K2402" s="8" t="n">
        <v>87.44</v>
      </c>
      <c r="L2402" s="8" t="n">
        <v>0</v>
      </c>
      <c r="M2402" s="9">
        <f>ROUND(SUM(I2402:L2402),2)</f>
        <v/>
      </c>
      <c r="N2402" s="10">
        <f>ROUND(I2402*'Irish Basis'!$C$6*'Irish Basis'!$C$5,2)</f>
        <v/>
      </c>
      <c r="O2402" s="10">
        <f>ROUND(J2402*'Irish Basis'!$C$7*'Irish Basis'!$C$5,2)</f>
        <v/>
      </c>
      <c r="P2402" s="10">
        <f>ROUND(K2402*'Irish Basis'!$C$8*'Irish Basis'!$C$5,2)</f>
        <v/>
      </c>
      <c r="Q2402" s="10">
        <f>ROUND(L2402*'Irish Basis'!$C$12*'Irish Basis'!$C$5,2)</f>
        <v/>
      </c>
      <c r="R2402" s="11">
        <f>ROUND(SUM(N2402:Q2402),2)</f>
        <v/>
      </c>
      <c r="S2402" s="5" t="inlineStr">
        <is>
          <t>Stated build-up</t>
        </is>
      </c>
      <c r="T2402" s="12" t="inlineStr">
        <is>
          <t>High</t>
        </is>
      </c>
      <c r="U2402" s="8" t="n">
        <v>133.56</v>
      </c>
      <c r="V2402" s="13">
        <f>IF(U2402="","",ROUND(M2402-U2402,2))</f>
        <v/>
      </c>
      <c r="W2402" s="5" t="n"/>
      <c r="X2402" s="5" t="inlineStr">
        <is>
          <t>Labour + plant + material as published; reconciles to the published rate.</t>
        </is>
      </c>
    </row>
    <row r="2403" ht="13" customHeight="1">
      <c r="A2403" s="4" t="n">
        <v>3642</v>
      </c>
      <c r="B2403" s="5" t="inlineStr">
        <is>
          <t>IMG_0114</t>
        </is>
      </c>
      <c r="C2403" s="5" t="inlineStr">
        <is>
          <t>CLASS O: TIMBER</t>
        </is>
      </c>
      <c r="D2403" s="5" t="inlineStr">
        <is>
          <t>02 SOFTWOOD COMPONENTS</t>
        </is>
      </c>
      <c r="E2403" s="5" t="inlineStr">
        <is>
          <t>Softwood; 200 x 200 mm</t>
        </is>
      </c>
      <c r="F2403" s="5" t="inlineStr">
        <is>
          <t>5.00-8.00 m long</t>
        </is>
      </c>
      <c r="G2403" s="6" t="inlineStr">
        <is>
          <t>m</t>
        </is>
      </c>
      <c r="H2403" s="7" t="n">
        <v>0.2</v>
      </c>
      <c r="I2403" s="8" t="n">
        <v>20.47</v>
      </c>
      <c r="J2403" s="8" t="n">
        <v>19.64</v>
      </c>
      <c r="K2403" s="8" t="n">
        <v>76.58</v>
      </c>
      <c r="L2403" s="8" t="n">
        <v>0</v>
      </c>
      <c r="M2403" s="9">
        <f>ROUND(SUM(I2403:L2403),2)</f>
        <v/>
      </c>
      <c r="N2403" s="10">
        <f>ROUND(I2403*'Irish Basis'!$C$6*'Irish Basis'!$C$5,2)</f>
        <v/>
      </c>
      <c r="O2403" s="10">
        <f>ROUND(J2403*'Irish Basis'!$C$7*'Irish Basis'!$C$5,2)</f>
        <v/>
      </c>
      <c r="P2403" s="10">
        <f>ROUND(K2403*'Irish Basis'!$C$8*'Irish Basis'!$C$5,2)</f>
        <v/>
      </c>
      <c r="Q2403" s="10">
        <f>ROUND(L2403*'Irish Basis'!$C$12*'Irish Basis'!$C$5,2)</f>
        <v/>
      </c>
      <c r="R2403" s="11">
        <f>ROUND(SUM(N2403:Q2403),2)</f>
        <v/>
      </c>
      <c r="S2403" s="5" t="inlineStr">
        <is>
          <t>Stated build-up</t>
        </is>
      </c>
      <c r="T2403" s="12" t="inlineStr">
        <is>
          <t>High</t>
        </is>
      </c>
      <c r="U2403" s="8" t="n">
        <v>116.69</v>
      </c>
      <c r="V2403" s="13">
        <f>IF(U2403="","",ROUND(M2403-U2403,2))</f>
        <v/>
      </c>
      <c r="W2403" s="5" t="n"/>
      <c r="X2403" s="5" t="inlineStr">
        <is>
          <t>Labour + plant + material as published; reconciles to the published rate.</t>
        </is>
      </c>
    </row>
    <row r="2404" ht="13" customHeight="1">
      <c r="A2404" s="4" t="n">
        <v>3644</v>
      </c>
      <c r="B2404" s="5" t="inlineStr">
        <is>
          <t>IMG_0114</t>
        </is>
      </c>
      <c r="C2404" s="5" t="inlineStr">
        <is>
          <t>CLASS O: TIMBER</t>
        </is>
      </c>
      <c r="D2404" s="5" t="inlineStr">
        <is>
          <t>02 SOFTWOOD COMPONENTS</t>
        </is>
      </c>
      <c r="E2404" s="5" t="inlineStr">
        <is>
          <t>Softwood; 300 x 200 mm</t>
        </is>
      </c>
      <c r="F2404" s="5" t="inlineStr">
        <is>
          <t>up to 3.00 m long</t>
        </is>
      </c>
      <c r="G2404" s="6" t="inlineStr">
        <is>
          <t>m</t>
        </is>
      </c>
      <c r="H2404" s="7" t="n">
        <v>0.27</v>
      </c>
      <c r="I2404" s="8" t="n">
        <v>27.63</v>
      </c>
      <c r="J2404" s="8" t="n">
        <v>26.52</v>
      </c>
      <c r="K2404" s="8" t="n">
        <v>116.94</v>
      </c>
      <c r="L2404" s="8" t="n">
        <v>0</v>
      </c>
      <c r="M2404" s="9">
        <f>ROUND(SUM(I2404:L2404),2)</f>
        <v/>
      </c>
      <c r="N2404" s="10">
        <f>ROUND(I2404*'Irish Basis'!$C$6*'Irish Basis'!$C$5,2)</f>
        <v/>
      </c>
      <c r="O2404" s="10">
        <f>ROUND(J2404*'Irish Basis'!$C$7*'Irish Basis'!$C$5,2)</f>
        <v/>
      </c>
      <c r="P2404" s="10">
        <f>ROUND(K2404*'Irish Basis'!$C$8*'Irish Basis'!$C$5,2)</f>
        <v/>
      </c>
      <c r="Q2404" s="10">
        <f>ROUND(L2404*'Irish Basis'!$C$12*'Irish Basis'!$C$5,2)</f>
        <v/>
      </c>
      <c r="R2404" s="11">
        <f>ROUND(SUM(N2404:Q2404),2)</f>
        <v/>
      </c>
      <c r="S2404" s="5" t="inlineStr">
        <is>
          <t>Stated build-up</t>
        </is>
      </c>
      <c r="T2404" s="12" t="inlineStr">
        <is>
          <t>High</t>
        </is>
      </c>
      <c r="U2404" s="8" t="n">
        <v>171.09</v>
      </c>
      <c r="V2404" s="13">
        <f>IF(U2404="","",ROUND(M2404-U2404,2))</f>
        <v/>
      </c>
      <c r="W2404" s="5" t="n"/>
      <c r="X2404" s="5" t="inlineStr">
        <is>
          <t>Labour + plant + material as published; reconciles to the published rate.</t>
        </is>
      </c>
    </row>
    <row r="2405" ht="13" customHeight="1">
      <c r="A2405" s="4" t="n">
        <v>3645</v>
      </c>
      <c r="B2405" s="5" t="inlineStr">
        <is>
          <t>IMG_0114</t>
        </is>
      </c>
      <c r="C2405" s="5" t="inlineStr">
        <is>
          <t>CLASS O: TIMBER</t>
        </is>
      </c>
      <c r="D2405" s="5" t="inlineStr">
        <is>
          <t>02 SOFTWOOD COMPONENTS</t>
        </is>
      </c>
      <c r="E2405" s="5" t="inlineStr">
        <is>
          <t>Softwood; 300 x 200 mm</t>
        </is>
      </c>
      <c r="F2405" s="5" t="inlineStr">
        <is>
          <t>3.00-5.00 m long</t>
        </is>
      </c>
      <c r="G2405" s="6" t="inlineStr">
        <is>
          <t>m</t>
        </is>
      </c>
      <c r="H2405" s="7" t="n">
        <v>0.25</v>
      </c>
      <c r="I2405" s="8" t="n">
        <v>25.58</v>
      </c>
      <c r="J2405" s="8" t="n">
        <v>24.54</v>
      </c>
      <c r="K2405" s="8" t="n">
        <v>148</v>
      </c>
      <c r="L2405" s="8" t="n">
        <v>0</v>
      </c>
      <c r="M2405" s="9">
        <f>ROUND(SUM(I2405:L2405),2)</f>
        <v/>
      </c>
      <c r="N2405" s="10">
        <f>ROUND(I2405*'Irish Basis'!$C$6*'Irish Basis'!$C$5,2)</f>
        <v/>
      </c>
      <c r="O2405" s="10">
        <f>ROUND(J2405*'Irish Basis'!$C$7*'Irish Basis'!$C$5,2)</f>
        <v/>
      </c>
      <c r="P2405" s="10">
        <f>ROUND(K2405*'Irish Basis'!$C$8*'Irish Basis'!$C$5,2)</f>
        <v/>
      </c>
      <c r="Q2405" s="10">
        <f>ROUND(L2405*'Irish Basis'!$C$12*'Irish Basis'!$C$5,2)</f>
        <v/>
      </c>
      <c r="R2405" s="11">
        <f>ROUND(SUM(N2405:Q2405),2)</f>
        <v/>
      </c>
      <c r="S2405" s="5" t="inlineStr">
        <is>
          <t>Stated build-up</t>
        </is>
      </c>
      <c r="T2405" s="12" t="inlineStr">
        <is>
          <t>High</t>
        </is>
      </c>
      <c r="U2405" s="8" t="n">
        <v>198.12</v>
      </c>
      <c r="V2405" s="13">
        <f>IF(U2405="","",ROUND(M2405-U2405,2))</f>
        <v/>
      </c>
      <c r="W2405" s="5" t="n"/>
      <c r="X2405" s="5" t="inlineStr">
        <is>
          <t>Labour + plant + material as published; reconciles to the published rate.</t>
        </is>
      </c>
    </row>
    <row r="2406" ht="13" customHeight="1">
      <c r="A2406" s="4" t="n">
        <v>3646</v>
      </c>
      <c r="B2406" s="5" t="inlineStr">
        <is>
          <t>IMG_0114</t>
        </is>
      </c>
      <c r="C2406" s="5" t="inlineStr">
        <is>
          <t>CLASS O: TIMBER</t>
        </is>
      </c>
      <c r="D2406" s="5" t="inlineStr">
        <is>
          <t>02 SOFTWOOD COMPONENTS</t>
        </is>
      </c>
      <c r="E2406" s="5" t="inlineStr">
        <is>
          <t>Softwood; 300 x 200 mm</t>
        </is>
      </c>
      <c r="F2406" s="5" t="inlineStr">
        <is>
          <t>5.00-8.00 m long</t>
        </is>
      </c>
      <c r="G2406" s="6" t="inlineStr">
        <is>
          <t>m</t>
        </is>
      </c>
      <c r="H2406" s="7" t="n">
        <v>0.23</v>
      </c>
      <c r="I2406" s="8" t="n">
        <v>23.54</v>
      </c>
      <c r="J2406" s="8" t="n">
        <v>22.59</v>
      </c>
      <c r="K2406" s="8" t="n">
        <v>118.39</v>
      </c>
      <c r="L2406" s="8" t="n">
        <v>0</v>
      </c>
      <c r="M2406" s="9">
        <f>ROUND(SUM(I2406:L2406),2)</f>
        <v/>
      </c>
      <c r="N2406" s="10">
        <f>ROUND(I2406*'Irish Basis'!$C$6*'Irish Basis'!$C$5,2)</f>
        <v/>
      </c>
      <c r="O2406" s="10">
        <f>ROUND(J2406*'Irish Basis'!$C$7*'Irish Basis'!$C$5,2)</f>
        <v/>
      </c>
      <c r="P2406" s="10">
        <f>ROUND(K2406*'Irish Basis'!$C$8*'Irish Basis'!$C$5,2)</f>
        <v/>
      </c>
      <c r="Q2406" s="10">
        <f>ROUND(L2406*'Irish Basis'!$C$12*'Irish Basis'!$C$5,2)</f>
        <v/>
      </c>
      <c r="R2406" s="11">
        <f>ROUND(SUM(N2406:Q2406),2)</f>
        <v/>
      </c>
      <c r="S2406" s="5" t="inlineStr">
        <is>
          <t>Stated build-up</t>
        </is>
      </c>
      <c r="T2406" s="12" t="inlineStr">
        <is>
          <t>High</t>
        </is>
      </c>
      <c r="U2406" s="8" t="n">
        <v>164.52</v>
      </c>
      <c r="V2406" s="13">
        <f>IF(U2406="","",ROUND(M2406-U2406,2))</f>
        <v/>
      </c>
      <c r="W2406" s="5" t="n"/>
      <c r="X2406" s="5" t="inlineStr">
        <is>
          <t>Labour + plant + material as published; reconciles to the published rate.</t>
        </is>
      </c>
    </row>
    <row r="2407" ht="13" customHeight="1">
      <c r="A2407" s="4" t="n">
        <v>3648</v>
      </c>
      <c r="B2407" s="5" t="inlineStr">
        <is>
          <t>IMG_0114</t>
        </is>
      </c>
      <c r="C2407" s="5" t="inlineStr">
        <is>
          <t>CLASS O: TIMBER</t>
        </is>
      </c>
      <c r="D2407" s="5" t="inlineStr">
        <is>
          <t>02 SOFTWOOD COMPONENTS</t>
        </is>
      </c>
      <c r="E2407" s="5" t="inlineStr">
        <is>
          <t>Softwood; 300 x 300 mm</t>
        </is>
      </c>
      <c r="F2407" s="5" t="inlineStr">
        <is>
          <t>up to 3.00 m long</t>
        </is>
      </c>
      <c r="G2407" s="6" t="inlineStr">
        <is>
          <t>m</t>
        </is>
      </c>
      <c r="H2407" s="7" t="n">
        <v>0.3</v>
      </c>
      <c r="I2407" s="8" t="n">
        <v>30.7</v>
      </c>
      <c r="J2407" s="8" t="n">
        <v>29.44</v>
      </c>
      <c r="K2407" s="8" t="n">
        <v>189.3</v>
      </c>
      <c r="L2407" s="8" t="n">
        <v>0</v>
      </c>
      <c r="M2407" s="9">
        <f>ROUND(SUM(I2407:L2407),2)</f>
        <v/>
      </c>
      <c r="N2407" s="10">
        <f>ROUND(I2407*'Irish Basis'!$C$6*'Irish Basis'!$C$5,2)</f>
        <v/>
      </c>
      <c r="O2407" s="10">
        <f>ROUND(J2407*'Irish Basis'!$C$7*'Irish Basis'!$C$5,2)</f>
        <v/>
      </c>
      <c r="P2407" s="10">
        <f>ROUND(K2407*'Irish Basis'!$C$8*'Irish Basis'!$C$5,2)</f>
        <v/>
      </c>
      <c r="Q2407" s="10">
        <f>ROUND(L2407*'Irish Basis'!$C$12*'Irish Basis'!$C$5,2)</f>
        <v/>
      </c>
      <c r="R2407" s="11">
        <f>ROUND(SUM(N2407:Q2407),2)</f>
        <v/>
      </c>
      <c r="S2407" s="5" t="inlineStr">
        <is>
          <t>Stated build-up</t>
        </is>
      </c>
      <c r="T2407" s="12" t="inlineStr">
        <is>
          <t>High</t>
        </is>
      </c>
      <c r="U2407" s="8" t="n">
        <v>249.44</v>
      </c>
      <c r="V2407" s="13">
        <f>IF(U2407="","",ROUND(M2407-U2407,2))</f>
        <v/>
      </c>
      <c r="W2407" s="5" t="n"/>
      <c r="X2407" s="5" t="inlineStr">
        <is>
          <t>Labour + plant + material as published; reconciles to the published rate.</t>
        </is>
      </c>
    </row>
    <row r="2408" ht="13" customHeight="1">
      <c r="A2408" s="4" t="n">
        <v>3650</v>
      </c>
      <c r="B2408" s="5" t="inlineStr">
        <is>
          <t>IMG_0115</t>
        </is>
      </c>
      <c r="C2408" s="5" t="inlineStr">
        <is>
          <t>CLASS O: TIMBER</t>
        </is>
      </c>
      <c r="D2408" s="5" t="inlineStr">
        <is>
          <t>02 SOFTWOOD COMPONENTS</t>
        </is>
      </c>
      <c r="E2408" s="5" t="inlineStr">
        <is>
          <t>Softwood; 300 x 300 mm (continued)</t>
        </is>
      </c>
      <c r="F2408" s="5" t="inlineStr">
        <is>
          <t>3.00-5.00 m long</t>
        </is>
      </c>
      <c r="G2408" s="6" t="inlineStr">
        <is>
          <t>m</t>
        </is>
      </c>
      <c r="H2408" s="7" t="n">
        <v>0.27</v>
      </c>
      <c r="I2408" s="8" t="n">
        <v>27.63</v>
      </c>
      <c r="J2408" s="8" t="n">
        <v>26.52</v>
      </c>
      <c r="K2408" s="8" t="n">
        <v>244.5</v>
      </c>
      <c r="L2408" s="8" t="n">
        <v>0</v>
      </c>
      <c r="M2408" s="9">
        <f>ROUND(SUM(I2408:L2408),2)</f>
        <v/>
      </c>
      <c r="N2408" s="10">
        <f>ROUND(I2408*'Irish Basis'!$C$6*'Irish Basis'!$C$5,2)</f>
        <v/>
      </c>
      <c r="O2408" s="10">
        <f>ROUND(J2408*'Irish Basis'!$C$7*'Irish Basis'!$C$5,2)</f>
        <v/>
      </c>
      <c r="P2408" s="10">
        <f>ROUND(K2408*'Irish Basis'!$C$8*'Irish Basis'!$C$5,2)</f>
        <v/>
      </c>
      <c r="Q2408" s="10">
        <f>ROUND(L2408*'Irish Basis'!$C$12*'Irish Basis'!$C$5,2)</f>
        <v/>
      </c>
      <c r="R2408" s="11">
        <f>ROUND(SUM(N2408:Q2408),2)</f>
        <v/>
      </c>
      <c r="S2408" s="5" t="inlineStr">
        <is>
          <t>Stated build-up</t>
        </is>
      </c>
      <c r="T2408" s="12" t="inlineStr">
        <is>
          <t>High</t>
        </is>
      </c>
      <c r="U2408" s="8" t="n">
        <v>298.64</v>
      </c>
      <c r="V2408" s="13">
        <f>IF(U2408="","",ROUND(M2408-U2408,2))</f>
        <v/>
      </c>
      <c r="W2408" s="5" t="n"/>
      <c r="X2408" s="5" t="inlineStr">
        <is>
          <t>Labour + plant + material as published; reconciles to the published rate.</t>
        </is>
      </c>
    </row>
    <row r="2409" ht="13" customHeight="1">
      <c r="A2409" s="4" t="n">
        <v>3651</v>
      </c>
      <c r="B2409" s="5" t="inlineStr">
        <is>
          <t>IMG_0115</t>
        </is>
      </c>
      <c r="C2409" s="5" t="inlineStr">
        <is>
          <t>CLASS O: TIMBER</t>
        </is>
      </c>
      <c r="D2409" s="5" t="inlineStr">
        <is>
          <t>02 SOFTWOOD COMPONENTS</t>
        </is>
      </c>
      <c r="E2409" s="5" t="inlineStr">
        <is>
          <t>Softwood; 300 x 300 mm (continued)</t>
        </is>
      </c>
      <c r="F2409" s="5" t="inlineStr">
        <is>
          <t>5.00-8.00 m long</t>
        </is>
      </c>
      <c r="G2409" s="6" t="inlineStr">
        <is>
          <t>m</t>
        </is>
      </c>
      <c r="H2409" s="7" t="n">
        <v>0.25</v>
      </c>
      <c r="I2409" s="8" t="n">
        <v>25.58</v>
      </c>
      <c r="J2409" s="8" t="n">
        <v>24.54</v>
      </c>
      <c r="K2409" s="8" t="n">
        <v>190.55</v>
      </c>
      <c r="L2409" s="8" t="n">
        <v>0</v>
      </c>
      <c r="M2409" s="9">
        <f>ROUND(SUM(I2409:L2409),2)</f>
        <v/>
      </c>
      <c r="N2409" s="10">
        <f>ROUND(I2409*'Irish Basis'!$C$6*'Irish Basis'!$C$5,2)</f>
        <v/>
      </c>
      <c r="O2409" s="10">
        <f>ROUND(J2409*'Irish Basis'!$C$7*'Irish Basis'!$C$5,2)</f>
        <v/>
      </c>
      <c r="P2409" s="10">
        <f>ROUND(K2409*'Irish Basis'!$C$8*'Irish Basis'!$C$5,2)</f>
        <v/>
      </c>
      <c r="Q2409" s="10">
        <f>ROUND(L2409*'Irish Basis'!$C$12*'Irish Basis'!$C$5,2)</f>
        <v/>
      </c>
      <c r="R2409" s="11">
        <f>ROUND(SUM(N2409:Q2409),2)</f>
        <v/>
      </c>
      <c r="S2409" s="5" t="inlineStr">
        <is>
          <t>Stated build-up</t>
        </is>
      </c>
      <c r="T2409" s="12" t="inlineStr">
        <is>
          <t>High</t>
        </is>
      </c>
      <c r="U2409" s="8" t="n">
        <v>240.68</v>
      </c>
      <c r="V2409" s="13">
        <f>IF(U2409="","",ROUND(M2409-U2409,2))</f>
        <v/>
      </c>
      <c r="W2409" s="5" t="n"/>
      <c r="X2409" s="5" t="inlineStr">
        <is>
          <t>Labour + plant + material as published; reconciles to the published rate.</t>
        </is>
      </c>
    </row>
    <row r="2410" ht="13" customHeight="1">
      <c r="A2410" s="4" t="n">
        <v>3653</v>
      </c>
      <c r="B2410" s="5" t="inlineStr">
        <is>
          <t>IMG_0115</t>
        </is>
      </c>
      <c r="C2410" s="5" t="inlineStr">
        <is>
          <t>CLASS O: TIMBER</t>
        </is>
      </c>
      <c r="D2410" s="5" t="inlineStr">
        <is>
          <t>02 SOFTWOOD COMPONENTS</t>
        </is>
      </c>
      <c r="E2410" s="5" t="inlineStr">
        <is>
          <t>Softwood; 450 x 450 mm</t>
        </is>
      </c>
      <c r="F2410" s="5" t="inlineStr">
        <is>
          <t>up to 3.00 m long</t>
        </is>
      </c>
      <c r="G2410" s="6" t="inlineStr">
        <is>
          <t>m</t>
        </is>
      </c>
      <c r="H2410" s="7" t="n">
        <v>0.35</v>
      </c>
      <c r="I2410" s="8" t="n">
        <v>35.82</v>
      </c>
      <c r="J2410" s="8" t="n">
        <v>34.37</v>
      </c>
      <c r="K2410" s="8" t="n">
        <v>541.26</v>
      </c>
      <c r="L2410" s="8" t="n">
        <v>0</v>
      </c>
      <c r="M2410" s="9">
        <f>ROUND(SUM(I2410:L2410),2)</f>
        <v/>
      </c>
      <c r="N2410" s="10">
        <f>ROUND(I2410*'Irish Basis'!$C$6*'Irish Basis'!$C$5,2)</f>
        <v/>
      </c>
      <c r="O2410" s="10">
        <f>ROUND(J2410*'Irish Basis'!$C$7*'Irish Basis'!$C$5,2)</f>
        <v/>
      </c>
      <c r="P2410" s="10">
        <f>ROUND(K2410*'Irish Basis'!$C$8*'Irish Basis'!$C$5,2)</f>
        <v/>
      </c>
      <c r="Q2410" s="10">
        <f>ROUND(L2410*'Irish Basis'!$C$12*'Irish Basis'!$C$5,2)</f>
        <v/>
      </c>
      <c r="R2410" s="11">
        <f>ROUND(SUM(N2410:Q2410),2)</f>
        <v/>
      </c>
      <c r="S2410" s="5" t="inlineStr">
        <is>
          <t>Stated build-up</t>
        </is>
      </c>
      <c r="T2410" s="12" t="inlineStr">
        <is>
          <t>High</t>
        </is>
      </c>
      <c r="U2410" s="8" t="n">
        <v>611.45</v>
      </c>
      <c r="V2410" s="13">
        <f>IF(U2410="","",ROUND(M2410-U2410,2))</f>
        <v/>
      </c>
      <c r="W2410" s="5" t="n"/>
      <c r="X2410" s="5" t="inlineStr">
        <is>
          <t>Labour + plant + material as published; reconciles to the published rate.</t>
        </is>
      </c>
    </row>
    <row r="2411" ht="13" customHeight="1">
      <c r="A2411" s="4" t="n">
        <v>3654</v>
      </c>
      <c r="B2411" s="5" t="inlineStr">
        <is>
          <t>IMG_0115</t>
        </is>
      </c>
      <c r="C2411" s="5" t="inlineStr">
        <is>
          <t>CLASS O: TIMBER</t>
        </is>
      </c>
      <c r="D2411" s="5" t="inlineStr">
        <is>
          <t>02 SOFTWOOD COMPONENTS</t>
        </is>
      </c>
      <c r="E2411" s="5" t="inlineStr">
        <is>
          <t>Softwood; 450 x 450 mm</t>
        </is>
      </c>
      <c r="F2411" s="5" t="inlineStr">
        <is>
          <t>3.00-5.00 m long</t>
        </is>
      </c>
      <c r="G2411" s="6" t="inlineStr">
        <is>
          <t>m</t>
        </is>
      </c>
      <c r="H2411" s="7" t="n">
        <v>0.31</v>
      </c>
      <c r="I2411" s="8" t="n">
        <v>31.72</v>
      </c>
      <c r="J2411" s="8" t="n">
        <v>30.45</v>
      </c>
      <c r="K2411" s="8" t="n">
        <v>645.6900000000001</v>
      </c>
      <c r="L2411" s="8" t="n">
        <v>0</v>
      </c>
      <c r="M2411" s="9">
        <f>ROUND(SUM(I2411:L2411),2)</f>
        <v/>
      </c>
      <c r="N2411" s="10">
        <f>ROUND(I2411*'Irish Basis'!$C$6*'Irish Basis'!$C$5,2)</f>
        <v/>
      </c>
      <c r="O2411" s="10">
        <f>ROUND(J2411*'Irish Basis'!$C$7*'Irish Basis'!$C$5,2)</f>
        <v/>
      </c>
      <c r="P2411" s="10">
        <f>ROUND(K2411*'Irish Basis'!$C$8*'Irish Basis'!$C$5,2)</f>
        <v/>
      </c>
      <c r="Q2411" s="10">
        <f>ROUND(L2411*'Irish Basis'!$C$12*'Irish Basis'!$C$5,2)</f>
        <v/>
      </c>
      <c r="R2411" s="11">
        <f>ROUND(SUM(N2411:Q2411),2)</f>
        <v/>
      </c>
      <c r="S2411" s="5" t="inlineStr">
        <is>
          <t>Stated build-up</t>
        </is>
      </c>
      <c r="T2411" s="12" t="inlineStr">
        <is>
          <t>High</t>
        </is>
      </c>
      <c r="U2411" s="8" t="n">
        <v>707.86</v>
      </c>
      <c r="V2411" s="13">
        <f>IF(U2411="","",ROUND(M2411-U2411,2))</f>
        <v/>
      </c>
      <c r="W2411" s="5" t="n"/>
      <c r="X2411" s="5" t="inlineStr">
        <is>
          <t>Labour + plant + material as published; reconciles to the published rate.</t>
        </is>
      </c>
    </row>
    <row r="2412" ht="13" customHeight="1">
      <c r="A2412" s="4" t="n">
        <v>3655</v>
      </c>
      <c r="B2412" s="5" t="inlineStr">
        <is>
          <t>IMG_0115</t>
        </is>
      </c>
      <c r="C2412" s="5" t="inlineStr">
        <is>
          <t>CLASS O: TIMBER</t>
        </is>
      </c>
      <c r="D2412" s="5" t="inlineStr">
        <is>
          <t>02 SOFTWOOD COMPONENTS</t>
        </is>
      </c>
      <c r="E2412" s="5" t="inlineStr">
        <is>
          <t>Softwood; 450 x 450 mm</t>
        </is>
      </c>
      <c r="F2412" s="5" t="inlineStr">
        <is>
          <t>5.00-8.00 m long</t>
        </is>
      </c>
      <c r="G2412" s="6" t="inlineStr">
        <is>
          <t>m</t>
        </is>
      </c>
      <c r="H2412" s="7" t="n">
        <v>0.28</v>
      </c>
      <c r="I2412" s="8" t="n">
        <v>28.65</v>
      </c>
      <c r="J2412" s="8" t="n">
        <v>27.5</v>
      </c>
      <c r="K2412" s="8" t="n">
        <v>534.6900000000001</v>
      </c>
      <c r="L2412" s="8" t="n">
        <v>0</v>
      </c>
      <c r="M2412" s="9">
        <f>ROUND(SUM(I2412:L2412),2)</f>
        <v/>
      </c>
      <c r="N2412" s="10">
        <f>ROUND(I2412*'Irish Basis'!$C$6*'Irish Basis'!$C$5,2)</f>
        <v/>
      </c>
      <c r="O2412" s="10">
        <f>ROUND(J2412*'Irish Basis'!$C$7*'Irish Basis'!$C$5,2)</f>
        <v/>
      </c>
      <c r="P2412" s="10">
        <f>ROUND(K2412*'Irish Basis'!$C$8*'Irish Basis'!$C$5,2)</f>
        <v/>
      </c>
      <c r="Q2412" s="10">
        <f>ROUND(L2412*'Irish Basis'!$C$12*'Irish Basis'!$C$5,2)</f>
        <v/>
      </c>
      <c r="R2412" s="11">
        <f>ROUND(SUM(N2412:Q2412),2)</f>
        <v/>
      </c>
      <c r="S2412" s="5" t="inlineStr">
        <is>
          <t>Stated build-up</t>
        </is>
      </c>
      <c r="T2412" s="12" t="inlineStr">
        <is>
          <t>High</t>
        </is>
      </c>
      <c r="U2412" s="8" t="n">
        <v>590.84</v>
      </c>
      <c r="V2412" s="13">
        <f>IF(U2412="","",ROUND(M2412-U2412,2))</f>
        <v/>
      </c>
      <c r="W2412" s="5" t="n"/>
      <c r="X2412" s="5" t="inlineStr">
        <is>
          <t>Labour + plant + material as published; reconciles to the published rate.</t>
        </is>
      </c>
    </row>
    <row r="2413" ht="13" customHeight="1">
      <c r="A2413" s="4" t="n">
        <v>3657</v>
      </c>
      <c r="B2413" s="5" t="inlineStr">
        <is>
          <t>IMG_0115</t>
        </is>
      </c>
      <c r="C2413" s="5" t="inlineStr">
        <is>
          <t>CLASS O: TIMBER</t>
        </is>
      </c>
      <c r="D2413" s="5" t="inlineStr">
        <is>
          <t>02 SOFTWOOD COMPONENTS</t>
        </is>
      </c>
      <c r="E2413" s="5" t="inlineStr">
        <is>
          <t>Softwood; 600 x 600 mm</t>
        </is>
      </c>
      <c r="F2413" s="5" t="inlineStr">
        <is>
          <t>3.00-5.00 m long</t>
        </is>
      </c>
      <c r="G2413" s="6" t="inlineStr">
        <is>
          <t>m</t>
        </is>
      </c>
      <c r="H2413" s="7" t="n">
        <v>0.39</v>
      </c>
      <c r="I2413" s="8" t="n">
        <v>39.91</v>
      </c>
      <c r="J2413" s="8" t="n">
        <v>32.87</v>
      </c>
      <c r="K2413" s="8" t="n">
        <v>968.91</v>
      </c>
      <c r="L2413" s="8" t="n">
        <v>0</v>
      </c>
      <c r="M2413" s="9">
        <f>ROUND(SUM(I2413:L2413),2)</f>
        <v/>
      </c>
      <c r="N2413" s="10">
        <f>ROUND(I2413*'Irish Basis'!$C$6*'Irish Basis'!$C$5,2)</f>
        <v/>
      </c>
      <c r="O2413" s="10">
        <f>ROUND(J2413*'Irish Basis'!$C$7*'Irish Basis'!$C$5,2)</f>
        <v/>
      </c>
      <c r="P2413" s="10">
        <f>ROUND(K2413*'Irish Basis'!$C$8*'Irish Basis'!$C$5,2)</f>
        <v/>
      </c>
      <c r="Q2413" s="10">
        <f>ROUND(L2413*'Irish Basis'!$C$12*'Irish Basis'!$C$5,2)</f>
        <v/>
      </c>
      <c r="R2413" s="11">
        <f>ROUND(SUM(N2413:Q2413),2)</f>
        <v/>
      </c>
      <c r="S2413" s="5" t="inlineStr">
        <is>
          <t>Stated build-up</t>
        </is>
      </c>
      <c r="T2413" s="12" t="inlineStr">
        <is>
          <t>High</t>
        </is>
      </c>
      <c r="U2413" s="8" t="n">
        <v>1041.69</v>
      </c>
      <c r="V2413" s="13">
        <f>IF(U2413="","",ROUND(M2413-U2413,2))</f>
        <v/>
      </c>
      <c r="W2413" s="5" t="n"/>
      <c r="X2413" s="5" t="inlineStr">
        <is>
          <t>Labour + plant + material as published; reconciles to the published rate.</t>
        </is>
      </c>
    </row>
    <row r="2414" ht="13" customHeight="1">
      <c r="A2414" s="4" t="n">
        <v>3658</v>
      </c>
      <c r="B2414" s="5" t="inlineStr">
        <is>
          <t>IMG_0115</t>
        </is>
      </c>
      <c r="C2414" s="5" t="inlineStr">
        <is>
          <t>CLASS O: TIMBER</t>
        </is>
      </c>
      <c r="D2414" s="5" t="inlineStr">
        <is>
          <t>02 SOFTWOOD COMPONENTS</t>
        </is>
      </c>
      <c r="E2414" s="5" t="inlineStr">
        <is>
          <t>Softwood; 600 x 600 mm</t>
        </is>
      </c>
      <c r="F2414" s="5" t="inlineStr">
        <is>
          <t>5.00-8.00 m long</t>
        </is>
      </c>
      <c r="G2414" s="6" t="inlineStr">
        <is>
          <t>m</t>
        </is>
      </c>
      <c r="H2414" s="7" t="n">
        <v>0.37</v>
      </c>
      <c r="I2414" s="8" t="n">
        <v>37.87</v>
      </c>
      <c r="J2414" s="8" t="n">
        <v>36.32</v>
      </c>
      <c r="K2414" s="8" t="n">
        <v>976.15</v>
      </c>
      <c r="L2414" s="8" t="n">
        <v>0</v>
      </c>
      <c r="M2414" s="9">
        <f>ROUND(SUM(I2414:L2414),2)</f>
        <v/>
      </c>
      <c r="N2414" s="10">
        <f>ROUND(I2414*'Irish Basis'!$C$6*'Irish Basis'!$C$5,2)</f>
        <v/>
      </c>
      <c r="O2414" s="10">
        <f>ROUND(J2414*'Irish Basis'!$C$7*'Irish Basis'!$C$5,2)</f>
        <v/>
      </c>
      <c r="P2414" s="10">
        <f>ROUND(K2414*'Irish Basis'!$C$8*'Irish Basis'!$C$5,2)</f>
        <v/>
      </c>
      <c r="Q2414" s="10">
        <f>ROUND(L2414*'Irish Basis'!$C$12*'Irish Basis'!$C$5,2)</f>
        <v/>
      </c>
      <c r="R2414" s="11">
        <f>ROUND(SUM(N2414:Q2414),2)</f>
        <v/>
      </c>
      <c r="S2414" s="5" t="inlineStr">
        <is>
          <t>Stated build-up</t>
        </is>
      </c>
      <c r="T2414" s="12" t="inlineStr">
        <is>
          <t>High</t>
        </is>
      </c>
      <c r="U2414" s="8" t="n">
        <v>1050.33</v>
      </c>
      <c r="V2414" s="13">
        <f>IF(U2414="","",ROUND(M2414-U2414,2))</f>
        <v/>
      </c>
      <c r="W2414" s="5" t="n"/>
      <c r="X2414" s="5" t="inlineStr">
        <is>
          <t>Labour + plant + material as published; reconciles to the published rate.</t>
        </is>
      </c>
    </row>
    <row r="2415" ht="13" customHeight="1">
      <c r="A2415" s="4" t="n">
        <v>3659</v>
      </c>
      <c r="B2415" s="5" t="inlineStr">
        <is>
          <t>IMG_0115</t>
        </is>
      </c>
      <c r="C2415" s="5" t="inlineStr">
        <is>
          <t>CLASS O: TIMBER</t>
        </is>
      </c>
      <c r="D2415" s="5" t="inlineStr">
        <is>
          <t>02 SOFTWOOD COMPONENTS</t>
        </is>
      </c>
      <c r="E2415" s="5" t="inlineStr">
        <is>
          <t>Softwood; 600 x 600 mm</t>
        </is>
      </c>
      <c r="F2415" s="5" t="inlineStr">
        <is>
          <t>ADD to the above prices for vacuum/pressure impregnating to minimum 5.30 kg/m3 salt retention</t>
        </is>
      </c>
      <c r="G2415" s="6" t="inlineStr">
        <is>
          <t>m3</t>
        </is>
      </c>
      <c r="H2415" s="7" t="n"/>
      <c r="I2415" s="8" t="n">
        <v>0</v>
      </c>
      <c r="J2415" s="8" t="n">
        <v>0</v>
      </c>
      <c r="K2415" s="8" t="n">
        <v>62.99</v>
      </c>
      <c r="L2415" s="8" t="n">
        <v>0</v>
      </c>
      <c r="M2415" s="9">
        <f>ROUND(SUM(I2415:L2415),2)</f>
        <v/>
      </c>
      <c r="N2415" s="10">
        <f>ROUND(I2415*'Irish Basis'!$C$6*'Irish Basis'!$C$5,2)</f>
        <v/>
      </c>
      <c r="O2415" s="10">
        <f>ROUND(J2415*'Irish Basis'!$C$7*'Irish Basis'!$C$5,2)</f>
        <v/>
      </c>
      <c r="P2415" s="10">
        <f>ROUND(K2415*'Irish Basis'!$C$8*'Irish Basis'!$C$5,2)</f>
        <v/>
      </c>
      <c r="Q2415" s="10">
        <f>ROUND(L2415*'Irish Basis'!$C$12*'Irish Basis'!$C$5,2)</f>
        <v/>
      </c>
      <c r="R2415" s="11">
        <f>ROUND(SUM(N2415:Q2415),2)</f>
        <v/>
      </c>
      <c r="S2415" s="5" t="inlineStr">
        <is>
          <t>Stated build-up</t>
        </is>
      </c>
      <c r="T2415" s="12" t="inlineStr">
        <is>
          <t>High</t>
        </is>
      </c>
      <c r="U2415" s="8" t="n">
        <v>62.99</v>
      </c>
      <c r="V2415" s="13">
        <f>IF(U2415="","",ROUND(M2415-U2415,2))</f>
        <v/>
      </c>
      <c r="W2415" s="5" t="n"/>
      <c r="X2415" s="5" t="inlineStr">
        <is>
          <t>Labour + plant + material as published; reconciles to the published rate.</t>
        </is>
      </c>
    </row>
    <row r="2416" ht="13" customHeight="1">
      <c r="A2416" s="4" t="n">
        <v>3662</v>
      </c>
      <c r="B2416" s="5" t="inlineStr">
        <is>
          <t>IMG_0115</t>
        </is>
      </c>
      <c r="C2416" s="5" t="inlineStr">
        <is>
          <t>CLASS O: TIMBER</t>
        </is>
      </c>
      <c r="D2416" s="5" t="inlineStr">
        <is>
          <t>03 HARDWOOD DECKING</t>
        </is>
      </c>
      <c r="E2416" s="5" t="inlineStr">
        <is>
          <t>Greenheart; wrought finish; Thickness 25-50 mm</t>
        </is>
      </c>
      <c r="F2416" s="5" t="inlineStr">
        <is>
          <t>150 x 50 mm</t>
        </is>
      </c>
      <c r="G2416" s="6" t="inlineStr">
        <is>
          <t>m2</t>
        </is>
      </c>
      <c r="H2416" s="7" t="n">
        <v>0.58</v>
      </c>
      <c r="I2416" s="8" t="n">
        <v>59.36</v>
      </c>
      <c r="J2416" s="8" t="n">
        <v>56.94</v>
      </c>
      <c r="K2416" s="8" t="n">
        <v>164.95</v>
      </c>
      <c r="L2416" s="8" t="n">
        <v>0</v>
      </c>
      <c r="M2416" s="9">
        <f>ROUND(SUM(I2416:L2416),2)</f>
        <v/>
      </c>
      <c r="N2416" s="10">
        <f>ROUND(I2416*'Irish Basis'!$C$6*'Irish Basis'!$C$5,2)</f>
        <v/>
      </c>
      <c r="O2416" s="10">
        <f>ROUND(J2416*'Irish Basis'!$C$7*'Irish Basis'!$C$5,2)</f>
        <v/>
      </c>
      <c r="P2416" s="10">
        <f>ROUND(K2416*'Irish Basis'!$C$8*'Irish Basis'!$C$5,2)</f>
        <v/>
      </c>
      <c r="Q2416" s="10">
        <f>ROUND(L2416*'Irish Basis'!$C$12*'Irish Basis'!$C$5,2)</f>
        <v/>
      </c>
      <c r="R2416" s="11">
        <f>ROUND(SUM(N2416:Q2416),2)</f>
        <v/>
      </c>
      <c r="S2416" s="5" t="inlineStr">
        <is>
          <t>Stated build-up</t>
        </is>
      </c>
      <c r="T2416" s="12" t="inlineStr">
        <is>
          <t>High</t>
        </is>
      </c>
      <c r="U2416" s="8" t="n">
        <v>281.25</v>
      </c>
      <c r="V2416" s="13">
        <f>IF(U2416="","",ROUND(M2416-U2416,2))</f>
        <v/>
      </c>
      <c r="W2416" s="5" t="n"/>
      <c r="X2416" s="5" t="inlineStr">
        <is>
          <t>Labour + plant + material as published; reconciles to the published rate.</t>
        </is>
      </c>
    </row>
    <row r="2417" ht="13" customHeight="1">
      <c r="A2417" s="4" t="n">
        <v>3664</v>
      </c>
      <c r="B2417" s="5" t="inlineStr">
        <is>
          <t>IMG_0115</t>
        </is>
      </c>
      <c r="C2417" s="5" t="inlineStr">
        <is>
          <t>CLASS O: TIMBER</t>
        </is>
      </c>
      <c r="D2417" s="5" t="inlineStr">
        <is>
          <t>03 HARDWOOD DECKING</t>
        </is>
      </c>
      <c r="E2417" s="5" t="inlineStr">
        <is>
          <t>Thickness 50-75 mm</t>
        </is>
      </c>
      <c r="F2417" s="5" t="inlineStr">
        <is>
          <t>200 x 75 mm</t>
        </is>
      </c>
      <c r="G2417" s="6" t="inlineStr">
        <is>
          <t>m2</t>
        </is>
      </c>
      <c r="H2417" s="7" t="n">
        <v>0.75</v>
      </c>
      <c r="I2417" s="8" t="n">
        <v>76.75</v>
      </c>
      <c r="J2417" s="8" t="n">
        <v>73.65000000000001</v>
      </c>
      <c r="K2417" s="8" t="n">
        <v>187.54</v>
      </c>
      <c r="L2417" s="8" t="n">
        <v>0</v>
      </c>
      <c r="M2417" s="9">
        <f>ROUND(SUM(I2417:L2417),2)</f>
        <v/>
      </c>
      <c r="N2417" s="10">
        <f>ROUND(I2417*'Irish Basis'!$C$6*'Irish Basis'!$C$5,2)</f>
        <v/>
      </c>
      <c r="O2417" s="10">
        <f>ROUND(J2417*'Irish Basis'!$C$7*'Irish Basis'!$C$5,2)</f>
        <v/>
      </c>
      <c r="P2417" s="10">
        <f>ROUND(K2417*'Irish Basis'!$C$8*'Irish Basis'!$C$5,2)</f>
        <v/>
      </c>
      <c r="Q2417" s="10">
        <f>ROUND(L2417*'Irish Basis'!$C$12*'Irish Basis'!$C$5,2)</f>
        <v/>
      </c>
      <c r="R2417" s="11">
        <f>ROUND(SUM(N2417:Q2417),2)</f>
        <v/>
      </c>
      <c r="S2417" s="5" t="inlineStr">
        <is>
          <t>Stated build-up</t>
        </is>
      </c>
      <c r="T2417" s="12" t="inlineStr">
        <is>
          <t>High</t>
        </is>
      </c>
      <c r="U2417" s="8" t="n">
        <v>337.94</v>
      </c>
      <c r="V2417" s="13">
        <f>IF(U2417="","",ROUND(M2417-U2417,2))</f>
        <v/>
      </c>
      <c r="W2417" s="5" t="n"/>
      <c r="X2417" s="5" t="inlineStr">
        <is>
          <t>Labour + plant + material as published; reconciles to the published rate.</t>
        </is>
      </c>
    </row>
    <row r="2418" ht="13" customHeight="1">
      <c r="A2418" s="4" t="n">
        <v>3666</v>
      </c>
      <c r="B2418" s="5" t="inlineStr">
        <is>
          <t>IMG_0115</t>
        </is>
      </c>
      <c r="C2418" s="5" t="inlineStr">
        <is>
          <t>CLASS O: TIMBER</t>
        </is>
      </c>
      <c r="D2418" s="5" t="inlineStr">
        <is>
          <t>03 HARDWOOD DECKING</t>
        </is>
      </c>
      <c r="E2418" s="5" t="inlineStr">
        <is>
          <t>Thickness 75-100 mm</t>
        </is>
      </c>
      <c r="F2418" s="5" t="inlineStr">
        <is>
          <t>250 x 100 mm</t>
        </is>
      </c>
      <c r="G2418" s="6" t="inlineStr">
        <is>
          <t>m2</t>
        </is>
      </c>
      <c r="H2418" s="7" t="n">
        <v>0.95</v>
      </c>
      <c r="I2418" s="8" t="n">
        <v>97.22</v>
      </c>
      <c r="J2418" s="8" t="n">
        <v>90.81999999999999</v>
      </c>
      <c r="K2418" s="8" t="n">
        <v>232.21</v>
      </c>
      <c r="L2418" s="8" t="n">
        <v>0</v>
      </c>
      <c r="M2418" s="9">
        <f>ROUND(SUM(I2418:L2418),2)</f>
        <v/>
      </c>
      <c r="N2418" s="10">
        <f>ROUND(I2418*'Irish Basis'!$C$6*'Irish Basis'!$C$5,2)</f>
        <v/>
      </c>
      <c r="O2418" s="10">
        <f>ROUND(J2418*'Irish Basis'!$C$7*'Irish Basis'!$C$5,2)</f>
        <v/>
      </c>
      <c r="P2418" s="10">
        <f>ROUND(K2418*'Irish Basis'!$C$8*'Irish Basis'!$C$5,2)</f>
        <v/>
      </c>
      <c r="Q2418" s="10">
        <f>ROUND(L2418*'Irish Basis'!$C$12*'Irish Basis'!$C$5,2)</f>
        <v/>
      </c>
      <c r="R2418" s="11">
        <f>ROUND(SUM(N2418:Q2418),2)</f>
        <v/>
      </c>
      <c r="S2418" s="5" t="inlineStr">
        <is>
          <t>Stated build-up</t>
        </is>
      </c>
      <c r="T2418" s="12" t="inlineStr">
        <is>
          <t>High</t>
        </is>
      </c>
      <c r="U2418" s="8" t="n">
        <v>420.25</v>
      </c>
      <c r="V2418" s="13">
        <f>IF(U2418="","",ROUND(M2418-U2418,2))</f>
        <v/>
      </c>
      <c r="W2418" s="5" t="n"/>
      <c r="X2418" s="5" t="inlineStr">
        <is>
          <t>Labour + plant + material as published; reconciles to the published rate.</t>
        </is>
      </c>
    </row>
    <row r="2419" ht="13" customHeight="1">
      <c r="A2419" s="4" t="n">
        <v>3669</v>
      </c>
      <c r="B2419" s="5" t="inlineStr">
        <is>
          <t>IMG_0115</t>
        </is>
      </c>
      <c r="C2419" s="5" t="inlineStr">
        <is>
          <t>CLASS O: TIMBER</t>
        </is>
      </c>
      <c r="D2419" s="5" t="inlineStr">
        <is>
          <t>04 SOFTWOOD DECKING</t>
        </is>
      </c>
      <c r="E2419" s="5" t="inlineStr">
        <is>
          <t>Douglas Fir; Thickness 25-50 mm</t>
        </is>
      </c>
      <c r="F2419" s="5" t="inlineStr">
        <is>
          <t>150 x 50 mm</t>
        </is>
      </c>
      <c r="G2419" s="6" t="inlineStr">
        <is>
          <t>m2</t>
        </is>
      </c>
      <c r="H2419" s="7" t="n">
        <v>0.39</v>
      </c>
      <c r="I2419" s="8" t="n">
        <v>39.91</v>
      </c>
      <c r="J2419" s="8" t="n">
        <v>38.31</v>
      </c>
      <c r="K2419" s="8" t="n">
        <v>63.8</v>
      </c>
      <c r="L2419" s="8" t="n">
        <v>0</v>
      </c>
      <c r="M2419" s="9">
        <f>ROUND(SUM(I2419:L2419),2)</f>
        <v/>
      </c>
      <c r="N2419" s="10">
        <f>ROUND(I2419*'Irish Basis'!$C$6*'Irish Basis'!$C$5,2)</f>
        <v/>
      </c>
      <c r="O2419" s="10">
        <f>ROUND(J2419*'Irish Basis'!$C$7*'Irish Basis'!$C$5,2)</f>
        <v/>
      </c>
      <c r="P2419" s="10">
        <f>ROUND(K2419*'Irish Basis'!$C$8*'Irish Basis'!$C$5,2)</f>
        <v/>
      </c>
      <c r="Q2419" s="10">
        <f>ROUND(L2419*'Irish Basis'!$C$12*'Irish Basis'!$C$5,2)</f>
        <v/>
      </c>
      <c r="R2419" s="11">
        <f>ROUND(SUM(N2419:Q2419),2)</f>
        <v/>
      </c>
      <c r="S2419" s="5" t="inlineStr">
        <is>
          <t>Stated build-up</t>
        </is>
      </c>
      <c r="T2419" s="12" t="inlineStr">
        <is>
          <t>High</t>
        </is>
      </c>
      <c r="U2419" s="8" t="n">
        <v>142.02</v>
      </c>
      <c r="V2419" s="13">
        <f>IF(U2419="","",ROUND(M2419-U2419,2))</f>
        <v/>
      </c>
      <c r="W2419" s="5" t="n"/>
      <c r="X2419" s="5" t="inlineStr">
        <is>
          <t>Labour + plant + material as published; reconciles to the published rate.</t>
        </is>
      </c>
    </row>
    <row r="2420" ht="13" customHeight="1">
      <c r="A2420" s="4" t="n">
        <v>3671</v>
      </c>
      <c r="B2420" s="5" t="inlineStr">
        <is>
          <t>IMG_0115</t>
        </is>
      </c>
      <c r="C2420" s="5" t="inlineStr">
        <is>
          <t>CLASS O: TIMBER</t>
        </is>
      </c>
      <c r="D2420" s="5" t="inlineStr">
        <is>
          <t>04 SOFTWOOD DECKING</t>
        </is>
      </c>
      <c r="E2420" s="5" t="inlineStr">
        <is>
          <t>Thickness 50-75 mm</t>
        </is>
      </c>
      <c r="F2420" s="5" t="inlineStr">
        <is>
          <t>200 x 75 mm</t>
        </is>
      </c>
      <c r="G2420" s="6" t="inlineStr">
        <is>
          <t>m2</t>
        </is>
      </c>
      <c r="H2420" s="7" t="n">
        <v>0.5</v>
      </c>
      <c r="I2420" s="8" t="n">
        <v>51.17</v>
      </c>
      <c r="J2420" s="8" t="n">
        <v>49.11</v>
      </c>
      <c r="K2420" s="8" t="n">
        <v>67.14</v>
      </c>
      <c r="L2420" s="8" t="n">
        <v>0</v>
      </c>
      <c r="M2420" s="9">
        <f>ROUND(SUM(I2420:L2420),2)</f>
        <v/>
      </c>
      <c r="N2420" s="10">
        <f>ROUND(I2420*'Irish Basis'!$C$6*'Irish Basis'!$C$5,2)</f>
        <v/>
      </c>
      <c r="O2420" s="10">
        <f>ROUND(J2420*'Irish Basis'!$C$7*'Irish Basis'!$C$5,2)</f>
        <v/>
      </c>
      <c r="P2420" s="10">
        <f>ROUND(K2420*'Irish Basis'!$C$8*'Irish Basis'!$C$5,2)</f>
        <v/>
      </c>
      <c r="Q2420" s="10">
        <f>ROUND(L2420*'Irish Basis'!$C$12*'Irish Basis'!$C$5,2)</f>
        <v/>
      </c>
      <c r="R2420" s="11">
        <f>ROUND(SUM(N2420:Q2420),2)</f>
        <v/>
      </c>
      <c r="S2420" s="5" t="inlineStr">
        <is>
          <t>Stated build-up</t>
        </is>
      </c>
      <c r="T2420" s="12" t="inlineStr">
        <is>
          <t>High</t>
        </is>
      </c>
      <c r="U2420" s="8" t="n">
        <v>167.43</v>
      </c>
      <c r="V2420" s="13">
        <f>IF(U2420="","",ROUND(M2420-U2420,2))</f>
        <v/>
      </c>
      <c r="W2420" s="5" t="n"/>
      <c r="X2420" s="5" t="inlineStr">
        <is>
          <t>Labour + plant + material as published; reconciles to the published rate.</t>
        </is>
      </c>
    </row>
    <row r="2421" ht="13" customHeight="1">
      <c r="A2421" s="4" t="n">
        <v>3673</v>
      </c>
      <c r="B2421" s="5" t="inlineStr">
        <is>
          <t>IMG_0115</t>
        </is>
      </c>
      <c r="C2421" s="5" t="inlineStr">
        <is>
          <t>CLASS O: TIMBER</t>
        </is>
      </c>
      <c r="D2421" s="5" t="inlineStr">
        <is>
          <t>04 SOFTWOOD DECKING</t>
        </is>
      </c>
      <c r="E2421" s="5" t="inlineStr">
        <is>
          <t>Thickness 75-100 mm</t>
        </is>
      </c>
      <c r="F2421" s="5" t="inlineStr">
        <is>
          <t>250 x 100 mm</t>
        </is>
      </c>
      <c r="G2421" s="6" t="inlineStr">
        <is>
          <t>m2</t>
        </is>
      </c>
      <c r="H2421" s="7" t="n">
        <v>0.65</v>
      </c>
      <c r="I2421" s="8" t="n">
        <v>66.52</v>
      </c>
      <c r="J2421" s="8" t="n">
        <v>82.95</v>
      </c>
      <c r="K2421" s="8" t="n">
        <v>74.20999999999999</v>
      </c>
      <c r="L2421" s="8" t="n">
        <v>0</v>
      </c>
      <c r="M2421" s="9">
        <f>ROUND(SUM(I2421:L2421),2)</f>
        <v/>
      </c>
      <c r="N2421" s="10">
        <f>ROUND(I2421*'Irish Basis'!$C$6*'Irish Basis'!$C$5,2)</f>
        <v/>
      </c>
      <c r="O2421" s="10">
        <f>ROUND(J2421*'Irish Basis'!$C$7*'Irish Basis'!$C$5,2)</f>
        <v/>
      </c>
      <c r="P2421" s="10">
        <f>ROUND(K2421*'Irish Basis'!$C$8*'Irish Basis'!$C$5,2)</f>
        <v/>
      </c>
      <c r="Q2421" s="10">
        <f>ROUND(L2421*'Irish Basis'!$C$12*'Irish Basis'!$C$5,2)</f>
        <v/>
      </c>
      <c r="R2421" s="11">
        <f>ROUND(SUM(N2421:Q2421),2)</f>
        <v/>
      </c>
      <c r="S2421" s="5" t="inlineStr">
        <is>
          <t>Stated build-up</t>
        </is>
      </c>
      <c r="T2421" s="12" t="inlineStr">
        <is>
          <t>High</t>
        </is>
      </c>
      <c r="U2421" s="8" t="n">
        <v>223.67</v>
      </c>
      <c r="V2421" s="13">
        <f>IF(U2421="","",ROUND(M2421-U2421,2))</f>
        <v/>
      </c>
      <c r="W2421" s="5" t="n"/>
      <c r="X2421" s="5" t="inlineStr">
        <is>
          <t>Labour + plant + material as published; reconciles to the published rate.</t>
        </is>
      </c>
    </row>
    <row r="2422" ht="13" customHeight="1">
      <c r="A2422" s="4" t="n">
        <v>3676</v>
      </c>
      <c r="B2422" s="5" t="inlineStr">
        <is>
          <t>IMG_0115</t>
        </is>
      </c>
      <c r="C2422" s="5" t="inlineStr">
        <is>
          <t>CLASS O: TIMBER</t>
        </is>
      </c>
      <c r="D2422" s="5" t="inlineStr">
        <is>
          <t>05 FITTINGS AND FASTENINGS</t>
        </is>
      </c>
      <c r="E2422" s="5" t="inlineStr">
        <is>
          <t>Metalwork; Spikes; mild steel material rosehead</t>
        </is>
      </c>
      <c r="F2422" s="5" t="inlineStr">
        <is>
          <t>14 x 14 x 275 mm long</t>
        </is>
      </c>
      <c r="G2422" s="6" t="inlineStr">
        <is>
          <t>nr</t>
        </is>
      </c>
      <c r="H2422" s="7" t="n">
        <v>0.13</v>
      </c>
      <c r="I2422" s="8" t="n">
        <v>7.45</v>
      </c>
      <c r="J2422" s="8" t="n">
        <v>0</v>
      </c>
      <c r="K2422" s="8" t="n">
        <v>1.88</v>
      </c>
      <c r="L2422" s="8" t="n">
        <v>0</v>
      </c>
      <c r="M2422" s="9">
        <f>ROUND(SUM(I2422:L2422),2)</f>
        <v/>
      </c>
      <c r="N2422" s="10">
        <f>ROUND(I2422*'Irish Basis'!$C$6*'Irish Basis'!$C$5,2)</f>
        <v/>
      </c>
      <c r="O2422" s="10">
        <f>ROUND(J2422*'Irish Basis'!$C$7*'Irish Basis'!$C$5,2)</f>
        <v/>
      </c>
      <c r="P2422" s="10">
        <f>ROUND(K2422*'Irish Basis'!$C$8*'Irish Basis'!$C$5,2)</f>
        <v/>
      </c>
      <c r="Q2422" s="10">
        <f>ROUND(L2422*'Irish Basis'!$C$12*'Irish Basis'!$C$5,2)</f>
        <v/>
      </c>
      <c r="R2422" s="11">
        <f>ROUND(SUM(N2422:Q2422),2)</f>
        <v/>
      </c>
      <c r="S2422" s="5" t="inlineStr">
        <is>
          <t>Stated build-up</t>
        </is>
      </c>
      <c r="T2422" s="12" t="inlineStr">
        <is>
          <t>High</t>
        </is>
      </c>
      <c r="U2422" s="8" t="n">
        <v>9.33</v>
      </c>
      <c r="V2422" s="13">
        <f>IF(U2422="","",ROUND(M2422-U2422,2))</f>
        <v/>
      </c>
      <c r="W2422" s="5" t="n"/>
      <c r="X2422" s="5" t="inlineStr">
        <is>
          <t>Labour + plant + material as published; reconciles to the published rate.</t>
        </is>
      </c>
    </row>
    <row r="2423" ht="13" customHeight="1">
      <c r="A2423" s="4" t="n">
        <v>3678</v>
      </c>
      <c r="B2423" s="5" t="inlineStr">
        <is>
          <t>IMG_0115</t>
        </is>
      </c>
      <c r="C2423" s="5" t="inlineStr">
        <is>
          <t>CLASS O: TIMBER</t>
        </is>
      </c>
      <c r="D2423" s="5" t="inlineStr">
        <is>
          <t>05 FITTINGS AND FASTENINGS</t>
        </is>
      </c>
      <c r="E2423" s="5" t="inlineStr">
        <is>
          <t>Metric mild steel bolts, nuts and washers</t>
        </is>
      </c>
      <c r="F2423" s="5" t="inlineStr">
        <is>
          <t>M6 x 25 mm long</t>
        </is>
      </c>
      <c r="G2423" s="6" t="inlineStr">
        <is>
          <t>nr</t>
        </is>
      </c>
      <c r="H2423" s="7" t="n">
        <v>0.05</v>
      </c>
      <c r="I2423" s="8" t="n">
        <v>2.87</v>
      </c>
      <c r="J2423" s="8" t="n">
        <v>0</v>
      </c>
      <c r="K2423" s="8" t="n">
        <v>0.31</v>
      </c>
      <c r="L2423" s="8" t="n">
        <v>0</v>
      </c>
      <c r="M2423" s="9">
        <f>ROUND(SUM(I2423:L2423),2)</f>
        <v/>
      </c>
      <c r="N2423" s="10">
        <f>ROUND(I2423*'Irish Basis'!$C$6*'Irish Basis'!$C$5,2)</f>
        <v/>
      </c>
      <c r="O2423" s="10">
        <f>ROUND(J2423*'Irish Basis'!$C$7*'Irish Basis'!$C$5,2)</f>
        <v/>
      </c>
      <c r="P2423" s="10">
        <f>ROUND(K2423*'Irish Basis'!$C$8*'Irish Basis'!$C$5,2)</f>
        <v/>
      </c>
      <c r="Q2423" s="10">
        <f>ROUND(L2423*'Irish Basis'!$C$12*'Irish Basis'!$C$5,2)</f>
        <v/>
      </c>
      <c r="R2423" s="11">
        <f>ROUND(SUM(N2423:Q2423),2)</f>
        <v/>
      </c>
      <c r="S2423" s="5" t="inlineStr">
        <is>
          <t>Stated build-up</t>
        </is>
      </c>
      <c r="T2423" s="12" t="inlineStr">
        <is>
          <t>High</t>
        </is>
      </c>
      <c r="U2423" s="8" t="n">
        <v>3.17</v>
      </c>
      <c r="V2423" s="13">
        <f>IF(U2423="","",ROUND(M2423-U2423,2))</f>
        <v/>
      </c>
      <c r="W2423" s="5" t="n"/>
      <c r="X2423" s="5" t="inlineStr">
        <is>
          <t>Labour + plant + material as published; reconciles to the published rate.</t>
        </is>
      </c>
    </row>
    <row r="2424" ht="13" customHeight="1">
      <c r="A2424" s="4" t="n">
        <v>3679</v>
      </c>
      <c r="B2424" s="5" t="inlineStr">
        <is>
          <t>IMG_0115</t>
        </is>
      </c>
      <c r="C2424" s="5" t="inlineStr">
        <is>
          <t>CLASS O: TIMBER</t>
        </is>
      </c>
      <c r="D2424" s="5" t="inlineStr">
        <is>
          <t>05 FITTINGS AND FASTENINGS</t>
        </is>
      </c>
      <c r="E2424" s="5" t="inlineStr">
        <is>
          <t>Metric mild steel bolts, nuts and washers</t>
        </is>
      </c>
      <c r="F2424" s="5" t="inlineStr">
        <is>
          <t>M6 x 50 mm long</t>
        </is>
      </c>
      <c r="G2424" s="6" t="inlineStr">
        <is>
          <t>nr</t>
        </is>
      </c>
      <c r="H2424" s="7" t="n">
        <v>0.05</v>
      </c>
      <c r="I2424" s="8" t="n">
        <v>2.87</v>
      </c>
      <c r="J2424" s="8" t="n">
        <v>0</v>
      </c>
      <c r="K2424" s="8" t="n">
        <v>0.33</v>
      </c>
      <c r="L2424" s="8" t="n">
        <v>0</v>
      </c>
      <c r="M2424" s="9">
        <f>ROUND(SUM(I2424:L2424),2)</f>
        <v/>
      </c>
      <c r="N2424" s="10">
        <f>ROUND(I2424*'Irish Basis'!$C$6*'Irish Basis'!$C$5,2)</f>
        <v/>
      </c>
      <c r="O2424" s="10">
        <f>ROUND(J2424*'Irish Basis'!$C$7*'Irish Basis'!$C$5,2)</f>
        <v/>
      </c>
      <c r="P2424" s="10">
        <f>ROUND(K2424*'Irish Basis'!$C$8*'Irish Basis'!$C$5,2)</f>
        <v/>
      </c>
      <c r="Q2424" s="10">
        <f>ROUND(L2424*'Irish Basis'!$C$12*'Irish Basis'!$C$5,2)</f>
        <v/>
      </c>
      <c r="R2424" s="11">
        <f>ROUND(SUM(N2424:Q2424),2)</f>
        <v/>
      </c>
      <c r="S2424" s="5" t="inlineStr">
        <is>
          <t>Stated build-up</t>
        </is>
      </c>
      <c r="T2424" s="12" t="inlineStr">
        <is>
          <t>High</t>
        </is>
      </c>
      <c r="U2424" s="8" t="n">
        <v>3.2</v>
      </c>
      <c r="V2424" s="13">
        <f>IF(U2424="","",ROUND(M2424-U2424,2))</f>
        <v/>
      </c>
      <c r="W2424" s="5" t="n"/>
      <c r="X2424" s="5" t="inlineStr">
        <is>
          <t>Labour + plant + material as published; reconciles to the published rate.</t>
        </is>
      </c>
    </row>
    <row r="2425" ht="13" customHeight="1">
      <c r="A2425" s="4" t="n">
        <v>3680</v>
      </c>
      <c r="B2425" s="5" t="inlineStr">
        <is>
          <t>IMG_0115</t>
        </is>
      </c>
      <c r="C2425" s="5" t="inlineStr">
        <is>
          <t>CLASS O: TIMBER</t>
        </is>
      </c>
      <c r="D2425" s="5" t="inlineStr">
        <is>
          <t>05 FITTINGS AND FASTENINGS</t>
        </is>
      </c>
      <c r="E2425" s="5" t="inlineStr">
        <is>
          <t>Metric mild steel bolts, nuts and washers</t>
        </is>
      </c>
      <c r="F2425" s="5" t="inlineStr">
        <is>
          <t>M6 x 75 mm long</t>
        </is>
      </c>
      <c r="G2425" s="6" t="inlineStr">
        <is>
          <t>nr</t>
        </is>
      </c>
      <c r="H2425" s="7" t="n">
        <v>0.05</v>
      </c>
      <c r="I2425" s="8" t="n">
        <v>2.87</v>
      </c>
      <c r="J2425" s="8" t="n">
        <v>0</v>
      </c>
      <c r="K2425" s="8" t="n">
        <v>0.39</v>
      </c>
      <c r="L2425" s="8" t="n">
        <v>0</v>
      </c>
      <c r="M2425" s="9">
        <f>ROUND(SUM(I2425:L2425),2)</f>
        <v/>
      </c>
      <c r="N2425" s="10">
        <f>ROUND(I2425*'Irish Basis'!$C$6*'Irish Basis'!$C$5,2)</f>
        <v/>
      </c>
      <c r="O2425" s="10">
        <f>ROUND(J2425*'Irish Basis'!$C$7*'Irish Basis'!$C$5,2)</f>
        <v/>
      </c>
      <c r="P2425" s="10">
        <f>ROUND(K2425*'Irish Basis'!$C$8*'Irish Basis'!$C$5,2)</f>
        <v/>
      </c>
      <c r="Q2425" s="10">
        <f>ROUND(L2425*'Irish Basis'!$C$12*'Irish Basis'!$C$5,2)</f>
        <v/>
      </c>
      <c r="R2425" s="11">
        <f>ROUND(SUM(N2425:Q2425),2)</f>
        <v/>
      </c>
      <c r="S2425" s="5" t="inlineStr">
        <is>
          <t>Stated build-up</t>
        </is>
      </c>
      <c r="T2425" s="12" t="inlineStr">
        <is>
          <t>High</t>
        </is>
      </c>
      <c r="U2425" s="8" t="n">
        <v>3.26</v>
      </c>
      <c r="V2425" s="13">
        <f>IF(U2425="","",ROUND(M2425-U2425,2))</f>
        <v/>
      </c>
      <c r="W2425" s="5" t="n"/>
      <c r="X2425" s="5" t="inlineStr">
        <is>
          <t>Labour + plant + material as published; reconciles to the published rate.</t>
        </is>
      </c>
    </row>
    <row r="2426" ht="13" customHeight="1">
      <c r="A2426" s="4" t="n">
        <v>3681</v>
      </c>
      <c r="B2426" s="5" t="inlineStr">
        <is>
          <t>IMG_0115</t>
        </is>
      </c>
      <c r="C2426" s="5" t="inlineStr">
        <is>
          <t>CLASS O: TIMBER</t>
        </is>
      </c>
      <c r="D2426" s="5" t="inlineStr">
        <is>
          <t>05 FITTINGS AND FASTENINGS</t>
        </is>
      </c>
      <c r="E2426" s="5" t="inlineStr">
        <is>
          <t>Metric mild steel bolts, nuts and washers</t>
        </is>
      </c>
      <c r="F2426" s="5" t="inlineStr">
        <is>
          <t>M6 x 100 mm long</t>
        </is>
      </c>
      <c r="G2426" s="6" t="inlineStr">
        <is>
          <t>nr</t>
        </is>
      </c>
      <c r="H2426" s="7" t="n">
        <v>0.06</v>
      </c>
      <c r="I2426" s="8" t="n">
        <v>3.44</v>
      </c>
      <c r="J2426" s="8" t="n">
        <v>0</v>
      </c>
      <c r="K2426" s="8" t="n">
        <v>0.42</v>
      </c>
      <c r="L2426" s="8" t="n">
        <v>0</v>
      </c>
      <c r="M2426" s="9">
        <f>ROUND(SUM(I2426:L2426),2)</f>
        <v/>
      </c>
      <c r="N2426" s="10">
        <f>ROUND(I2426*'Irish Basis'!$C$6*'Irish Basis'!$C$5,2)</f>
        <v/>
      </c>
      <c r="O2426" s="10">
        <f>ROUND(J2426*'Irish Basis'!$C$7*'Irish Basis'!$C$5,2)</f>
        <v/>
      </c>
      <c r="P2426" s="10">
        <f>ROUND(K2426*'Irish Basis'!$C$8*'Irish Basis'!$C$5,2)</f>
        <v/>
      </c>
      <c r="Q2426" s="10">
        <f>ROUND(L2426*'Irish Basis'!$C$12*'Irish Basis'!$C$5,2)</f>
        <v/>
      </c>
      <c r="R2426" s="11">
        <f>ROUND(SUM(N2426:Q2426),2)</f>
        <v/>
      </c>
      <c r="S2426" s="5" t="inlineStr">
        <is>
          <t>Stated build-up</t>
        </is>
      </c>
      <c r="T2426" s="12" t="inlineStr">
        <is>
          <t>High</t>
        </is>
      </c>
      <c r="U2426" s="8" t="n">
        <v>3.86</v>
      </c>
      <c r="V2426" s="13">
        <f>IF(U2426="","",ROUND(M2426-U2426,2))</f>
        <v/>
      </c>
      <c r="W2426" s="5" t="n"/>
      <c r="X2426" s="5" t="inlineStr">
        <is>
          <t>Labour + plant + material as published; reconciles to the published rate.</t>
        </is>
      </c>
    </row>
    <row r="2427" ht="13" customHeight="1">
      <c r="A2427" s="4" t="n">
        <v>3682</v>
      </c>
      <c r="B2427" s="5" t="inlineStr">
        <is>
          <t>IMG_0115</t>
        </is>
      </c>
      <c r="C2427" s="5" t="inlineStr">
        <is>
          <t>CLASS O: TIMBER</t>
        </is>
      </c>
      <c r="D2427" s="5" t="inlineStr">
        <is>
          <t>05 FITTINGS AND FASTENINGS</t>
        </is>
      </c>
      <c r="E2427" s="5" t="inlineStr">
        <is>
          <t>Metric mild steel bolts, nuts and washers</t>
        </is>
      </c>
      <c r="F2427" s="5" t="inlineStr">
        <is>
          <t>M6 x 120 mm long</t>
        </is>
      </c>
      <c r="G2427" s="6" t="inlineStr">
        <is>
          <t>nr</t>
        </is>
      </c>
      <c r="H2427" s="7" t="n">
        <v>0.06</v>
      </c>
      <c r="I2427" s="8" t="n">
        <v>3.44</v>
      </c>
      <c r="J2427" s="8" t="n">
        <v>0</v>
      </c>
      <c r="K2427" s="8" t="n">
        <v>0.62</v>
      </c>
      <c r="L2427" s="8" t="n">
        <v>0</v>
      </c>
      <c r="M2427" s="9">
        <f>ROUND(SUM(I2427:L2427),2)</f>
        <v/>
      </c>
      <c r="N2427" s="10">
        <f>ROUND(I2427*'Irish Basis'!$C$6*'Irish Basis'!$C$5,2)</f>
        <v/>
      </c>
      <c r="O2427" s="10">
        <f>ROUND(J2427*'Irish Basis'!$C$7*'Irish Basis'!$C$5,2)</f>
        <v/>
      </c>
      <c r="P2427" s="10">
        <f>ROUND(K2427*'Irish Basis'!$C$8*'Irish Basis'!$C$5,2)</f>
        <v/>
      </c>
      <c r="Q2427" s="10">
        <f>ROUND(L2427*'Irish Basis'!$C$12*'Irish Basis'!$C$5,2)</f>
        <v/>
      </c>
      <c r="R2427" s="11">
        <f>ROUND(SUM(N2427:Q2427),2)</f>
        <v/>
      </c>
      <c r="S2427" s="5" t="inlineStr">
        <is>
          <t>Stated build-up</t>
        </is>
      </c>
      <c r="T2427" s="12" t="inlineStr">
        <is>
          <t>High</t>
        </is>
      </c>
      <c r="U2427" s="8" t="n">
        <v>4.06</v>
      </c>
      <c r="V2427" s="13">
        <f>IF(U2427="","",ROUND(M2427-U2427,2))</f>
        <v/>
      </c>
      <c r="W2427" s="5" t="n"/>
      <c r="X2427" s="5" t="inlineStr">
        <is>
          <t>Labour + plant + material as published; reconciles to the published rate.</t>
        </is>
      </c>
    </row>
    <row r="2428" ht="13" customHeight="1">
      <c r="A2428" s="4" t="n">
        <v>3683</v>
      </c>
      <c r="B2428" s="5" t="inlineStr">
        <is>
          <t>IMG_0115</t>
        </is>
      </c>
      <c r="C2428" s="5" t="inlineStr">
        <is>
          <t>CLASS O: TIMBER</t>
        </is>
      </c>
      <c r="D2428" s="5" t="inlineStr">
        <is>
          <t>05 FITTINGS AND FASTENINGS</t>
        </is>
      </c>
      <c r="E2428" s="5" t="inlineStr">
        <is>
          <t>Metric mild steel bolts, nuts and washers</t>
        </is>
      </c>
      <c r="F2428" s="5" t="inlineStr">
        <is>
          <t>M6 x 150 mm long</t>
        </is>
      </c>
      <c r="G2428" s="6" t="inlineStr">
        <is>
          <t>nr</t>
        </is>
      </c>
      <c r="H2428" s="7" t="n">
        <v>0.06</v>
      </c>
      <c r="I2428" s="8" t="n">
        <v>3.44</v>
      </c>
      <c r="J2428" s="8" t="n">
        <v>0</v>
      </c>
      <c r="K2428" s="8" t="n">
        <v>0.73</v>
      </c>
      <c r="L2428" s="8" t="n">
        <v>0</v>
      </c>
      <c r="M2428" s="9">
        <f>ROUND(SUM(I2428:L2428),2)</f>
        <v/>
      </c>
      <c r="N2428" s="10">
        <f>ROUND(I2428*'Irish Basis'!$C$6*'Irish Basis'!$C$5,2)</f>
        <v/>
      </c>
      <c r="O2428" s="10">
        <f>ROUND(J2428*'Irish Basis'!$C$7*'Irish Basis'!$C$5,2)</f>
        <v/>
      </c>
      <c r="P2428" s="10">
        <f>ROUND(K2428*'Irish Basis'!$C$8*'Irish Basis'!$C$5,2)</f>
        <v/>
      </c>
      <c r="Q2428" s="10">
        <f>ROUND(L2428*'Irish Basis'!$C$12*'Irish Basis'!$C$5,2)</f>
        <v/>
      </c>
      <c r="R2428" s="11">
        <f>ROUND(SUM(N2428:Q2428),2)</f>
        <v/>
      </c>
      <c r="S2428" s="5" t="inlineStr">
        <is>
          <t>Stated build-up</t>
        </is>
      </c>
      <c r="T2428" s="12" t="inlineStr">
        <is>
          <t>High</t>
        </is>
      </c>
      <c r="U2428" s="8" t="n">
        <v>4.16</v>
      </c>
      <c r="V2428" s="13">
        <f>IF(U2428="","",ROUND(M2428-U2428,2))</f>
        <v/>
      </c>
      <c r="W2428" s="5" t="n"/>
      <c r="X2428" s="5" t="inlineStr">
        <is>
          <t>Labour + plant + material as published; reconciles to the published rate.</t>
        </is>
      </c>
    </row>
    <row r="2429" ht="13" customHeight="1">
      <c r="A2429" s="4" t="n">
        <v>3684</v>
      </c>
      <c r="B2429" s="5" t="inlineStr">
        <is>
          <t>IMG_0115</t>
        </is>
      </c>
      <c r="C2429" s="5" t="inlineStr">
        <is>
          <t>CLASS O: TIMBER</t>
        </is>
      </c>
      <c r="D2429" s="5" t="inlineStr">
        <is>
          <t>05 FITTINGS AND FASTENINGS</t>
        </is>
      </c>
      <c r="E2429" s="5" t="inlineStr">
        <is>
          <t>Metric mild steel bolts, nuts and washers</t>
        </is>
      </c>
      <c r="F2429" s="5" t="inlineStr">
        <is>
          <t>M8 x 25 mm long</t>
        </is>
      </c>
      <c r="G2429" s="6" t="inlineStr">
        <is>
          <t>nr</t>
        </is>
      </c>
      <c r="H2429" s="7" t="n">
        <v>0.05</v>
      </c>
      <c r="I2429" s="8" t="n">
        <v>2.87</v>
      </c>
      <c r="J2429" s="8" t="n">
        <v>0</v>
      </c>
      <c r="K2429" s="8" t="n">
        <v>0.31</v>
      </c>
      <c r="L2429" s="8" t="n">
        <v>0</v>
      </c>
      <c r="M2429" s="9">
        <f>ROUND(SUM(I2429:L2429),2)</f>
        <v/>
      </c>
      <c r="N2429" s="10">
        <f>ROUND(I2429*'Irish Basis'!$C$6*'Irish Basis'!$C$5,2)</f>
        <v/>
      </c>
      <c r="O2429" s="10">
        <f>ROUND(J2429*'Irish Basis'!$C$7*'Irish Basis'!$C$5,2)</f>
        <v/>
      </c>
      <c r="P2429" s="10">
        <f>ROUND(K2429*'Irish Basis'!$C$8*'Irish Basis'!$C$5,2)</f>
        <v/>
      </c>
      <c r="Q2429" s="10">
        <f>ROUND(L2429*'Irish Basis'!$C$12*'Irish Basis'!$C$5,2)</f>
        <v/>
      </c>
      <c r="R2429" s="11">
        <f>ROUND(SUM(N2429:Q2429),2)</f>
        <v/>
      </c>
      <c r="S2429" s="5" t="inlineStr">
        <is>
          <t>Stated build-up</t>
        </is>
      </c>
      <c r="T2429" s="12" t="inlineStr">
        <is>
          <t>High</t>
        </is>
      </c>
      <c r="U2429" s="8" t="n">
        <v>3.18</v>
      </c>
      <c r="V2429" s="13">
        <f>IF(U2429="","",ROUND(M2429-U2429,2))</f>
        <v/>
      </c>
      <c r="W2429" s="5" t="n"/>
      <c r="X2429" s="5" t="inlineStr">
        <is>
          <t>Labour + plant + material as published; reconciles to the published rate.</t>
        </is>
      </c>
    </row>
    <row r="2430" ht="13" customHeight="1">
      <c r="A2430" s="4" t="n">
        <v>3685</v>
      </c>
      <c r="B2430" s="5" t="inlineStr">
        <is>
          <t>IMG_0115</t>
        </is>
      </c>
      <c r="C2430" s="5" t="inlineStr">
        <is>
          <t>CLASS O: TIMBER</t>
        </is>
      </c>
      <c r="D2430" s="5" t="inlineStr">
        <is>
          <t>05 FITTINGS AND FASTENINGS</t>
        </is>
      </c>
      <c r="E2430" s="5" t="inlineStr">
        <is>
          <t>Metric mild steel bolts, nuts and washers</t>
        </is>
      </c>
      <c r="F2430" s="5" t="inlineStr">
        <is>
          <t>M8 x 50 mm long</t>
        </is>
      </c>
      <c r="G2430" s="6" t="inlineStr">
        <is>
          <t>nr</t>
        </is>
      </c>
      <c r="H2430" s="7" t="n">
        <v>0.05</v>
      </c>
      <c r="I2430" s="8" t="n">
        <v>2.87</v>
      </c>
      <c r="J2430" s="8" t="n">
        <v>0</v>
      </c>
      <c r="K2430" s="8" t="n">
        <v>0.36</v>
      </c>
      <c r="L2430" s="8" t="n">
        <v>0</v>
      </c>
      <c r="M2430" s="9">
        <f>ROUND(SUM(I2430:L2430),2)</f>
        <v/>
      </c>
      <c r="N2430" s="10">
        <f>ROUND(I2430*'Irish Basis'!$C$6*'Irish Basis'!$C$5,2)</f>
        <v/>
      </c>
      <c r="O2430" s="10">
        <f>ROUND(J2430*'Irish Basis'!$C$7*'Irish Basis'!$C$5,2)</f>
        <v/>
      </c>
      <c r="P2430" s="10">
        <f>ROUND(K2430*'Irish Basis'!$C$8*'Irish Basis'!$C$5,2)</f>
        <v/>
      </c>
      <c r="Q2430" s="10">
        <f>ROUND(L2430*'Irish Basis'!$C$12*'Irish Basis'!$C$5,2)</f>
        <v/>
      </c>
      <c r="R2430" s="11">
        <f>ROUND(SUM(N2430:Q2430),2)</f>
        <v/>
      </c>
      <c r="S2430" s="5" t="inlineStr">
        <is>
          <t>Stated build-up</t>
        </is>
      </c>
      <c r="T2430" s="12" t="inlineStr">
        <is>
          <t>High</t>
        </is>
      </c>
      <c r="U2430" s="8" t="n">
        <v>3.23</v>
      </c>
      <c r="V2430" s="13">
        <f>IF(U2430="","",ROUND(M2430-U2430,2))</f>
        <v/>
      </c>
      <c r="W2430" s="5" t="n"/>
      <c r="X2430" s="5" t="inlineStr">
        <is>
          <t>Labour + plant + material as published; reconciles to the published rate.</t>
        </is>
      </c>
    </row>
    <row r="2431" ht="13" customHeight="1">
      <c r="A2431" s="4" t="n">
        <v>3686</v>
      </c>
      <c r="B2431" s="5" t="inlineStr">
        <is>
          <t>IMG_0115</t>
        </is>
      </c>
      <c r="C2431" s="5" t="inlineStr">
        <is>
          <t>CLASS O: TIMBER</t>
        </is>
      </c>
      <c r="D2431" s="5" t="inlineStr">
        <is>
          <t>05 FITTINGS AND FASTENINGS</t>
        </is>
      </c>
      <c r="E2431" s="5" t="inlineStr">
        <is>
          <t>Metric mild steel bolts, nuts and washers</t>
        </is>
      </c>
      <c r="F2431" s="5" t="inlineStr">
        <is>
          <t>M8 x 75 mm long</t>
        </is>
      </c>
      <c r="G2431" s="6" t="inlineStr">
        <is>
          <t>nr</t>
        </is>
      </c>
      <c r="H2431" s="7" t="n">
        <v>0.06</v>
      </c>
      <c r="I2431" s="8" t="n">
        <v>3.44</v>
      </c>
      <c r="J2431" s="8" t="n">
        <v>0</v>
      </c>
      <c r="K2431" s="8" t="n">
        <v>0.44</v>
      </c>
      <c r="L2431" s="8" t="n">
        <v>0</v>
      </c>
      <c r="M2431" s="9">
        <f>ROUND(SUM(I2431:L2431),2)</f>
        <v/>
      </c>
      <c r="N2431" s="10">
        <f>ROUND(I2431*'Irish Basis'!$C$6*'Irish Basis'!$C$5,2)</f>
        <v/>
      </c>
      <c r="O2431" s="10">
        <f>ROUND(J2431*'Irish Basis'!$C$7*'Irish Basis'!$C$5,2)</f>
        <v/>
      </c>
      <c r="P2431" s="10">
        <f>ROUND(K2431*'Irish Basis'!$C$8*'Irish Basis'!$C$5,2)</f>
        <v/>
      </c>
      <c r="Q2431" s="10">
        <f>ROUND(L2431*'Irish Basis'!$C$12*'Irish Basis'!$C$5,2)</f>
        <v/>
      </c>
      <c r="R2431" s="11">
        <f>ROUND(SUM(N2431:Q2431),2)</f>
        <v/>
      </c>
      <c r="S2431" s="5" t="inlineStr">
        <is>
          <t>Stated build-up</t>
        </is>
      </c>
      <c r="T2431" s="12" t="inlineStr">
        <is>
          <t>High</t>
        </is>
      </c>
      <c r="U2431" s="8" t="n">
        <v>3.87</v>
      </c>
      <c r="V2431" s="13">
        <f>IF(U2431="","",ROUND(M2431-U2431,2))</f>
        <v/>
      </c>
      <c r="W2431" s="5" t="n"/>
      <c r="X2431" s="5" t="inlineStr">
        <is>
          <t>Labour + plant + material as published; reconciles to the published rate.</t>
        </is>
      </c>
    </row>
    <row r="2432" ht="13" customHeight="1">
      <c r="A2432" s="4" t="n">
        <v>3687</v>
      </c>
      <c r="B2432" s="5" t="inlineStr">
        <is>
          <t>IMG_0115</t>
        </is>
      </c>
      <c r="C2432" s="5" t="inlineStr">
        <is>
          <t>CLASS O: TIMBER</t>
        </is>
      </c>
      <c r="D2432" s="5" t="inlineStr">
        <is>
          <t>05 FITTINGS AND FASTENINGS</t>
        </is>
      </c>
      <c r="E2432" s="5" t="inlineStr">
        <is>
          <t>Metric mild steel bolts, nuts and washers</t>
        </is>
      </c>
      <c r="F2432" s="5" t="inlineStr">
        <is>
          <t>M8 x 100 mm long</t>
        </is>
      </c>
      <c r="G2432" s="6" t="inlineStr">
        <is>
          <t>nr</t>
        </is>
      </c>
      <c r="H2432" s="7" t="n">
        <v>0.06</v>
      </c>
      <c r="I2432" s="8" t="n">
        <v>3.44</v>
      </c>
      <c r="J2432" s="8" t="n">
        <v>0</v>
      </c>
      <c r="K2432" s="8" t="n">
        <v>0.5</v>
      </c>
      <c r="L2432" s="8" t="n">
        <v>0</v>
      </c>
      <c r="M2432" s="9">
        <f>ROUND(SUM(I2432:L2432),2)</f>
        <v/>
      </c>
      <c r="N2432" s="10">
        <f>ROUND(I2432*'Irish Basis'!$C$6*'Irish Basis'!$C$5,2)</f>
        <v/>
      </c>
      <c r="O2432" s="10">
        <f>ROUND(J2432*'Irish Basis'!$C$7*'Irish Basis'!$C$5,2)</f>
        <v/>
      </c>
      <c r="P2432" s="10">
        <f>ROUND(K2432*'Irish Basis'!$C$8*'Irish Basis'!$C$5,2)</f>
        <v/>
      </c>
      <c r="Q2432" s="10">
        <f>ROUND(L2432*'Irish Basis'!$C$12*'Irish Basis'!$C$5,2)</f>
        <v/>
      </c>
      <c r="R2432" s="11">
        <f>ROUND(SUM(N2432:Q2432),2)</f>
        <v/>
      </c>
      <c r="S2432" s="5" t="inlineStr">
        <is>
          <t>Stated build-up</t>
        </is>
      </c>
      <c r="T2432" s="12" t="inlineStr">
        <is>
          <t>High</t>
        </is>
      </c>
      <c r="U2432" s="8" t="n">
        <v>3.94</v>
      </c>
      <c r="V2432" s="13">
        <f>IF(U2432="","",ROUND(M2432-U2432,2))</f>
        <v/>
      </c>
      <c r="W2432" s="5" t="n"/>
      <c r="X2432" s="5" t="inlineStr">
        <is>
          <t>Labour + plant + material as published; reconciles to the published rate.</t>
        </is>
      </c>
    </row>
    <row r="2433" ht="13" customHeight="1">
      <c r="A2433" s="4" t="n">
        <v>3688</v>
      </c>
      <c r="B2433" s="5" t="inlineStr">
        <is>
          <t>IMG_0115</t>
        </is>
      </c>
      <c r="C2433" s="5" t="inlineStr">
        <is>
          <t>CLASS O: TIMBER</t>
        </is>
      </c>
      <c r="D2433" s="5" t="inlineStr">
        <is>
          <t>05 FITTINGS AND FASTENINGS</t>
        </is>
      </c>
      <c r="E2433" s="5" t="inlineStr">
        <is>
          <t>Metric mild steel bolts, nuts and washers</t>
        </is>
      </c>
      <c r="F2433" s="5" t="inlineStr">
        <is>
          <t>M8 x 120 mm long</t>
        </is>
      </c>
      <c r="G2433" s="6" t="inlineStr">
        <is>
          <t>nr</t>
        </is>
      </c>
      <c r="H2433" s="7" t="n">
        <v>0.07000000000000001</v>
      </c>
      <c r="I2433" s="8" t="n">
        <v>4.01</v>
      </c>
      <c r="J2433" s="8" t="n">
        <v>0</v>
      </c>
      <c r="K2433" s="8" t="n">
        <v>0.78</v>
      </c>
      <c r="L2433" s="8" t="n">
        <v>0</v>
      </c>
      <c r="M2433" s="9">
        <f>ROUND(SUM(I2433:L2433),2)</f>
        <v/>
      </c>
      <c r="N2433" s="10">
        <f>ROUND(I2433*'Irish Basis'!$C$6*'Irish Basis'!$C$5,2)</f>
        <v/>
      </c>
      <c r="O2433" s="10">
        <f>ROUND(J2433*'Irish Basis'!$C$7*'Irish Basis'!$C$5,2)</f>
        <v/>
      </c>
      <c r="P2433" s="10">
        <f>ROUND(K2433*'Irish Basis'!$C$8*'Irish Basis'!$C$5,2)</f>
        <v/>
      </c>
      <c r="Q2433" s="10">
        <f>ROUND(L2433*'Irish Basis'!$C$12*'Irish Basis'!$C$5,2)</f>
        <v/>
      </c>
      <c r="R2433" s="11">
        <f>ROUND(SUM(N2433:Q2433),2)</f>
        <v/>
      </c>
      <c r="S2433" s="5" t="inlineStr">
        <is>
          <t>Stated build-up</t>
        </is>
      </c>
      <c r="T2433" s="12" t="inlineStr">
        <is>
          <t>High</t>
        </is>
      </c>
      <c r="U2433" s="8" t="n">
        <v>4.79</v>
      </c>
      <c r="V2433" s="13">
        <f>IF(U2433="","",ROUND(M2433-U2433,2))</f>
        <v/>
      </c>
      <c r="W2433" s="5" t="n"/>
      <c r="X2433" s="5" t="inlineStr">
        <is>
          <t>Labour + plant + material as published; reconciles to the published rate.</t>
        </is>
      </c>
    </row>
    <row r="2434" ht="13" customHeight="1">
      <c r="A2434" s="4" t="n">
        <v>3689</v>
      </c>
      <c r="B2434" s="5" t="inlineStr">
        <is>
          <t>IMG_0115</t>
        </is>
      </c>
      <c r="C2434" s="5" t="inlineStr">
        <is>
          <t>CLASS O: TIMBER</t>
        </is>
      </c>
      <c r="D2434" s="5" t="inlineStr">
        <is>
          <t>05 FITTINGS AND FASTENINGS</t>
        </is>
      </c>
      <c r="E2434" s="5" t="inlineStr">
        <is>
          <t>Metric mild steel bolts, nuts and washers</t>
        </is>
      </c>
      <c r="F2434" s="5" t="inlineStr">
        <is>
          <t>M8 x 150 mm long</t>
        </is>
      </c>
      <c r="G2434" s="6" t="inlineStr">
        <is>
          <t>nr</t>
        </is>
      </c>
      <c r="H2434" s="7" t="n">
        <v>0.07000000000000001</v>
      </c>
      <c r="I2434" s="8" t="n">
        <v>4.01</v>
      </c>
      <c r="J2434" s="8" t="n">
        <v>0</v>
      </c>
      <c r="K2434" s="8" t="n">
        <v>0.93</v>
      </c>
      <c r="L2434" s="8" t="n">
        <v>0</v>
      </c>
      <c r="M2434" s="9">
        <f>ROUND(SUM(I2434:L2434),2)</f>
        <v/>
      </c>
      <c r="N2434" s="10">
        <f>ROUND(I2434*'Irish Basis'!$C$6*'Irish Basis'!$C$5,2)</f>
        <v/>
      </c>
      <c r="O2434" s="10">
        <f>ROUND(J2434*'Irish Basis'!$C$7*'Irish Basis'!$C$5,2)</f>
        <v/>
      </c>
      <c r="P2434" s="10">
        <f>ROUND(K2434*'Irish Basis'!$C$8*'Irish Basis'!$C$5,2)</f>
        <v/>
      </c>
      <c r="Q2434" s="10">
        <f>ROUND(L2434*'Irish Basis'!$C$12*'Irish Basis'!$C$5,2)</f>
        <v/>
      </c>
      <c r="R2434" s="11">
        <f>ROUND(SUM(N2434:Q2434),2)</f>
        <v/>
      </c>
      <c r="S2434" s="5" t="inlineStr">
        <is>
          <t>Stated build-up</t>
        </is>
      </c>
      <c r="T2434" s="12" t="inlineStr">
        <is>
          <t>High</t>
        </is>
      </c>
      <c r="U2434" s="8" t="n">
        <v>4.94</v>
      </c>
      <c r="V2434" s="13">
        <f>IF(U2434="","",ROUND(M2434-U2434,2))</f>
        <v/>
      </c>
      <c r="W2434" s="5" t="n"/>
      <c r="X2434" s="5" t="inlineStr">
        <is>
          <t>Labour + plant + material as published; reconciles to the published rate.</t>
        </is>
      </c>
    </row>
    <row r="2435" ht="13" customHeight="1">
      <c r="A2435" s="4" t="n">
        <v>3690</v>
      </c>
      <c r="B2435" s="5" t="inlineStr">
        <is>
          <t>IMG_0115</t>
        </is>
      </c>
      <c r="C2435" s="5" t="inlineStr">
        <is>
          <t>CLASS O: TIMBER</t>
        </is>
      </c>
      <c r="D2435" s="5" t="inlineStr">
        <is>
          <t>05 FITTINGS AND FASTENINGS</t>
        </is>
      </c>
      <c r="E2435" s="5" t="inlineStr">
        <is>
          <t>Metric mild steel bolts, nuts and washers</t>
        </is>
      </c>
      <c r="F2435" s="5" t="inlineStr">
        <is>
          <t>M10 x 25 mm long</t>
        </is>
      </c>
      <c r="G2435" s="6" t="inlineStr">
        <is>
          <t>nr</t>
        </is>
      </c>
      <c r="H2435" s="7" t="n">
        <v>0.05</v>
      </c>
      <c r="I2435" s="8" t="n">
        <v>2.87</v>
      </c>
      <c r="J2435" s="8" t="n">
        <v>0</v>
      </c>
      <c r="K2435" s="8" t="n">
        <v>0.63</v>
      </c>
      <c r="L2435" s="8" t="n">
        <v>0</v>
      </c>
      <c r="M2435" s="9">
        <f>ROUND(SUM(I2435:L2435),2)</f>
        <v/>
      </c>
      <c r="N2435" s="10">
        <f>ROUND(I2435*'Irish Basis'!$C$6*'Irish Basis'!$C$5,2)</f>
        <v/>
      </c>
      <c r="O2435" s="10">
        <f>ROUND(J2435*'Irish Basis'!$C$7*'Irish Basis'!$C$5,2)</f>
        <v/>
      </c>
      <c r="P2435" s="10">
        <f>ROUND(K2435*'Irish Basis'!$C$8*'Irish Basis'!$C$5,2)</f>
        <v/>
      </c>
      <c r="Q2435" s="10">
        <f>ROUND(L2435*'Irish Basis'!$C$12*'Irish Basis'!$C$5,2)</f>
        <v/>
      </c>
      <c r="R2435" s="11">
        <f>ROUND(SUM(N2435:Q2435),2)</f>
        <v/>
      </c>
      <c r="S2435" s="5" t="inlineStr">
        <is>
          <t>Stated build-up</t>
        </is>
      </c>
      <c r="T2435" s="12" t="inlineStr">
        <is>
          <t>High</t>
        </is>
      </c>
      <c r="U2435" s="8" t="n">
        <v>3.5</v>
      </c>
      <c r="V2435" s="13">
        <f>IF(U2435="","",ROUND(M2435-U2435,2))</f>
        <v/>
      </c>
      <c r="W2435" s="5" t="n"/>
      <c r="X2435" s="5" t="inlineStr">
        <is>
          <t>Labour + plant + material as published; reconciles to the published rate.</t>
        </is>
      </c>
    </row>
    <row r="2436" ht="13" customHeight="1">
      <c r="A2436" s="4" t="n">
        <v>3691</v>
      </c>
      <c r="B2436" s="5" t="inlineStr">
        <is>
          <t>IMG_0115</t>
        </is>
      </c>
      <c r="C2436" s="5" t="inlineStr">
        <is>
          <t>CLASS O: TIMBER</t>
        </is>
      </c>
      <c r="D2436" s="5" t="inlineStr">
        <is>
          <t>05 FITTINGS AND FASTENINGS</t>
        </is>
      </c>
      <c r="E2436" s="5" t="inlineStr">
        <is>
          <t>Metric mild steel bolts, nuts and washers</t>
        </is>
      </c>
      <c r="F2436" s="5" t="inlineStr">
        <is>
          <t>M10 x 50 mm long</t>
        </is>
      </c>
      <c r="G2436" s="6" t="inlineStr">
        <is>
          <t>nr</t>
        </is>
      </c>
      <c r="H2436" s="7" t="n">
        <v>0.06</v>
      </c>
      <c r="I2436" s="8" t="n">
        <v>3.44</v>
      </c>
      <c r="J2436" s="8" t="n">
        <v>0</v>
      </c>
      <c r="K2436" s="8" t="n">
        <v>0.6899999999999999</v>
      </c>
      <c r="L2436" s="8" t="n">
        <v>0</v>
      </c>
      <c r="M2436" s="9">
        <f>ROUND(SUM(I2436:L2436),2)</f>
        <v/>
      </c>
      <c r="N2436" s="10">
        <f>ROUND(I2436*'Irish Basis'!$C$6*'Irish Basis'!$C$5,2)</f>
        <v/>
      </c>
      <c r="O2436" s="10">
        <f>ROUND(J2436*'Irish Basis'!$C$7*'Irish Basis'!$C$5,2)</f>
        <v/>
      </c>
      <c r="P2436" s="10">
        <f>ROUND(K2436*'Irish Basis'!$C$8*'Irish Basis'!$C$5,2)</f>
        <v/>
      </c>
      <c r="Q2436" s="10">
        <f>ROUND(L2436*'Irish Basis'!$C$12*'Irish Basis'!$C$5,2)</f>
        <v/>
      </c>
      <c r="R2436" s="11">
        <f>ROUND(SUM(N2436:Q2436),2)</f>
        <v/>
      </c>
      <c r="S2436" s="5" t="inlineStr">
        <is>
          <t>Stated build-up</t>
        </is>
      </c>
      <c r="T2436" s="12" t="inlineStr">
        <is>
          <t>High</t>
        </is>
      </c>
      <c r="U2436" s="8" t="n">
        <v>4.13</v>
      </c>
      <c r="V2436" s="13">
        <f>IF(U2436="","",ROUND(M2436-U2436,2))</f>
        <v/>
      </c>
      <c r="W2436" s="5" t="n"/>
      <c r="X2436" s="5" t="inlineStr">
        <is>
          <t>Labour + plant + material as published; reconciles to the published rate.</t>
        </is>
      </c>
    </row>
    <row r="2437" ht="13" customHeight="1">
      <c r="A2437" s="4" t="n">
        <v>3692</v>
      </c>
      <c r="B2437" s="5" t="inlineStr">
        <is>
          <t>IMG_0115</t>
        </is>
      </c>
      <c r="C2437" s="5" t="inlineStr">
        <is>
          <t>CLASS O: TIMBER</t>
        </is>
      </c>
      <c r="D2437" s="5" t="inlineStr">
        <is>
          <t>05 FITTINGS AND FASTENINGS</t>
        </is>
      </c>
      <c r="E2437" s="5" t="inlineStr">
        <is>
          <t>Metric mild steel bolts, nuts and washers</t>
        </is>
      </c>
      <c r="F2437" s="5" t="inlineStr">
        <is>
          <t>M10 x 75 mm long</t>
        </is>
      </c>
      <c r="G2437" s="6" t="inlineStr">
        <is>
          <t>nr</t>
        </is>
      </c>
      <c r="H2437" s="7" t="n">
        <v>0.06</v>
      </c>
      <c r="I2437" s="8" t="n">
        <v>3.44</v>
      </c>
      <c r="J2437" s="8" t="n">
        <v>0</v>
      </c>
      <c r="K2437" s="8" t="n">
        <v>0.77</v>
      </c>
      <c r="L2437" s="8" t="n">
        <v>0</v>
      </c>
      <c r="M2437" s="9">
        <f>ROUND(SUM(I2437:L2437),2)</f>
        <v/>
      </c>
      <c r="N2437" s="10">
        <f>ROUND(I2437*'Irish Basis'!$C$6*'Irish Basis'!$C$5,2)</f>
        <v/>
      </c>
      <c r="O2437" s="10">
        <f>ROUND(J2437*'Irish Basis'!$C$7*'Irish Basis'!$C$5,2)</f>
        <v/>
      </c>
      <c r="P2437" s="10">
        <f>ROUND(K2437*'Irish Basis'!$C$8*'Irish Basis'!$C$5,2)</f>
        <v/>
      </c>
      <c r="Q2437" s="10">
        <f>ROUND(L2437*'Irish Basis'!$C$12*'Irish Basis'!$C$5,2)</f>
        <v/>
      </c>
      <c r="R2437" s="11">
        <f>ROUND(SUM(N2437:Q2437),2)</f>
        <v/>
      </c>
      <c r="S2437" s="5" t="inlineStr">
        <is>
          <t>Stated build-up</t>
        </is>
      </c>
      <c r="T2437" s="12" t="inlineStr">
        <is>
          <t>High</t>
        </is>
      </c>
      <c r="U2437" s="8" t="n">
        <v>4.21</v>
      </c>
      <c r="V2437" s="13">
        <f>IF(U2437="","",ROUND(M2437-U2437,2))</f>
        <v/>
      </c>
      <c r="W2437" s="5" t="n"/>
      <c r="X2437" s="5" t="inlineStr">
        <is>
          <t>Labour + plant + material as published; reconciles to the published rate.</t>
        </is>
      </c>
    </row>
    <row r="2438" ht="13" customHeight="1">
      <c r="A2438" s="4" t="n">
        <v>3693</v>
      </c>
      <c r="B2438" s="5" t="inlineStr">
        <is>
          <t>IMG_0115</t>
        </is>
      </c>
      <c r="C2438" s="5" t="inlineStr">
        <is>
          <t>CLASS O: TIMBER</t>
        </is>
      </c>
      <c r="D2438" s="5" t="inlineStr">
        <is>
          <t>05 FITTINGS AND FASTENINGS</t>
        </is>
      </c>
      <c r="E2438" s="5" t="inlineStr">
        <is>
          <t>Metric mild steel bolts, nuts and washers</t>
        </is>
      </c>
      <c r="F2438" s="5" t="inlineStr">
        <is>
          <t>M10 x 100 mm long</t>
        </is>
      </c>
      <c r="G2438" s="6" t="inlineStr">
        <is>
          <t>nr</t>
        </is>
      </c>
      <c r="H2438" s="7" t="n">
        <v>0.07000000000000001</v>
      </c>
      <c r="I2438" s="8" t="n">
        <v>4.01</v>
      </c>
      <c r="J2438" s="8" t="n">
        <v>0</v>
      </c>
      <c r="K2438" s="8" t="n">
        <v>0.89</v>
      </c>
      <c r="L2438" s="8" t="n">
        <v>0</v>
      </c>
      <c r="M2438" s="9">
        <f>ROUND(SUM(I2438:L2438),2)</f>
        <v/>
      </c>
      <c r="N2438" s="10">
        <f>ROUND(I2438*'Irish Basis'!$C$6*'Irish Basis'!$C$5,2)</f>
        <v/>
      </c>
      <c r="O2438" s="10">
        <f>ROUND(J2438*'Irish Basis'!$C$7*'Irish Basis'!$C$5,2)</f>
        <v/>
      </c>
      <c r="P2438" s="10">
        <f>ROUND(K2438*'Irish Basis'!$C$8*'Irish Basis'!$C$5,2)</f>
        <v/>
      </c>
      <c r="Q2438" s="10">
        <f>ROUND(L2438*'Irish Basis'!$C$12*'Irish Basis'!$C$5,2)</f>
        <v/>
      </c>
      <c r="R2438" s="11">
        <f>ROUND(SUM(N2438:Q2438),2)</f>
        <v/>
      </c>
      <c r="S2438" s="5" t="inlineStr">
        <is>
          <t>Stated build-up</t>
        </is>
      </c>
      <c r="T2438" s="12" t="inlineStr">
        <is>
          <t>High</t>
        </is>
      </c>
      <c r="U2438" s="8" t="n">
        <v>4.9</v>
      </c>
      <c r="V2438" s="13">
        <f>IF(U2438="","",ROUND(M2438-U2438,2))</f>
        <v/>
      </c>
      <c r="W2438" s="5" t="n"/>
      <c r="X2438" s="5" t="inlineStr">
        <is>
          <t>Labour + plant + material as published; reconciles to the published rate.</t>
        </is>
      </c>
    </row>
    <row r="2439" ht="13" customHeight="1">
      <c r="A2439" s="4" t="n">
        <v>3694</v>
      </c>
      <c r="B2439" s="5" t="inlineStr">
        <is>
          <t>IMG_0115</t>
        </is>
      </c>
      <c r="C2439" s="5" t="inlineStr">
        <is>
          <t>CLASS O: TIMBER</t>
        </is>
      </c>
      <c r="D2439" s="5" t="inlineStr">
        <is>
          <t>05 FITTINGS AND FASTENINGS</t>
        </is>
      </c>
      <c r="E2439" s="5" t="inlineStr">
        <is>
          <t>Metric mild steel bolts, nuts and washers</t>
        </is>
      </c>
      <c r="F2439" s="5" t="inlineStr">
        <is>
          <t>M10 x 120 mm long</t>
        </is>
      </c>
      <c r="G2439" s="6" t="inlineStr">
        <is>
          <t>nr</t>
        </is>
      </c>
      <c r="H2439" s="7" t="n">
        <v>0.07000000000000001</v>
      </c>
      <c r="I2439" s="8" t="n">
        <v>4.01</v>
      </c>
      <c r="J2439" s="8" t="n">
        <v>0</v>
      </c>
      <c r="K2439" s="8" t="n">
        <v>0.92</v>
      </c>
      <c r="L2439" s="8" t="n">
        <v>0</v>
      </c>
      <c r="M2439" s="9">
        <f>ROUND(SUM(I2439:L2439),2)</f>
        <v/>
      </c>
      <c r="N2439" s="10">
        <f>ROUND(I2439*'Irish Basis'!$C$6*'Irish Basis'!$C$5,2)</f>
        <v/>
      </c>
      <c r="O2439" s="10">
        <f>ROUND(J2439*'Irish Basis'!$C$7*'Irish Basis'!$C$5,2)</f>
        <v/>
      </c>
      <c r="P2439" s="10">
        <f>ROUND(K2439*'Irish Basis'!$C$8*'Irish Basis'!$C$5,2)</f>
        <v/>
      </c>
      <c r="Q2439" s="10">
        <f>ROUND(L2439*'Irish Basis'!$C$12*'Irish Basis'!$C$5,2)</f>
        <v/>
      </c>
      <c r="R2439" s="11">
        <f>ROUND(SUM(N2439:Q2439),2)</f>
        <v/>
      </c>
      <c r="S2439" s="5" t="inlineStr">
        <is>
          <t>Stated build-up</t>
        </is>
      </c>
      <c r="T2439" s="12" t="inlineStr">
        <is>
          <t>High</t>
        </is>
      </c>
      <c r="U2439" s="8" t="n">
        <v>4.94</v>
      </c>
      <c r="V2439" s="13">
        <f>IF(U2439="","",ROUND(M2439-U2439,2))</f>
        <v/>
      </c>
      <c r="W2439" s="5" t="n"/>
      <c r="X2439" s="5" t="inlineStr">
        <is>
          <t>Labour + plant + material as published; reconciles to the published rate.</t>
        </is>
      </c>
    </row>
    <row r="2440" ht="13" customHeight="1">
      <c r="A2440" s="4" t="n">
        <v>3695</v>
      </c>
      <c r="B2440" s="5" t="inlineStr">
        <is>
          <t>IMG_0115</t>
        </is>
      </c>
      <c r="C2440" s="5" t="inlineStr">
        <is>
          <t>CLASS O: TIMBER</t>
        </is>
      </c>
      <c r="D2440" s="5" t="inlineStr">
        <is>
          <t>05 FITTINGS AND FASTENINGS</t>
        </is>
      </c>
      <c r="E2440" s="5" t="inlineStr">
        <is>
          <t>Metric mild steel bolts, nuts and washers</t>
        </is>
      </c>
      <c r="F2440" s="5" t="inlineStr">
        <is>
          <t>M10 x 150 mm long</t>
        </is>
      </c>
      <c r="G2440" s="6" t="inlineStr">
        <is>
          <t>nr</t>
        </is>
      </c>
      <c r="H2440" s="7" t="n">
        <v>0.07000000000000001</v>
      </c>
      <c r="I2440" s="8" t="n">
        <v>4.01</v>
      </c>
      <c r="J2440" s="8" t="n">
        <v>0</v>
      </c>
      <c r="K2440" s="8" t="n">
        <v>1.49</v>
      </c>
      <c r="L2440" s="8" t="n">
        <v>0</v>
      </c>
      <c r="M2440" s="9">
        <f>ROUND(SUM(I2440:L2440),2)</f>
        <v/>
      </c>
      <c r="N2440" s="10">
        <f>ROUND(I2440*'Irish Basis'!$C$6*'Irish Basis'!$C$5,2)</f>
        <v/>
      </c>
      <c r="O2440" s="10">
        <f>ROUND(J2440*'Irish Basis'!$C$7*'Irish Basis'!$C$5,2)</f>
        <v/>
      </c>
      <c r="P2440" s="10">
        <f>ROUND(K2440*'Irish Basis'!$C$8*'Irish Basis'!$C$5,2)</f>
        <v/>
      </c>
      <c r="Q2440" s="10">
        <f>ROUND(L2440*'Irish Basis'!$C$12*'Irish Basis'!$C$5,2)</f>
        <v/>
      </c>
      <c r="R2440" s="11">
        <f>ROUND(SUM(N2440:Q2440),2)</f>
        <v/>
      </c>
      <c r="S2440" s="5" t="inlineStr">
        <is>
          <t>Stated build-up</t>
        </is>
      </c>
      <c r="T2440" s="12" t="inlineStr">
        <is>
          <t>High</t>
        </is>
      </c>
      <c r="U2440" s="8" t="n">
        <v>5.5</v>
      </c>
      <c r="V2440" s="13">
        <f>IF(U2440="","",ROUND(M2440-U2440,2))</f>
        <v/>
      </c>
      <c r="W2440" s="5" t="n"/>
      <c r="X2440" s="5" t="inlineStr">
        <is>
          <t>Labour + plant + material as published; reconciles to the published rate.</t>
        </is>
      </c>
    </row>
    <row r="2441" ht="13" customHeight="1">
      <c r="A2441" s="4" t="n">
        <v>3696</v>
      </c>
      <c r="B2441" s="5" t="inlineStr">
        <is>
          <t>IMG_0115</t>
        </is>
      </c>
      <c r="C2441" s="5" t="inlineStr">
        <is>
          <t>CLASS O: TIMBER</t>
        </is>
      </c>
      <c r="D2441" s="5" t="inlineStr">
        <is>
          <t>05 FITTINGS AND FASTENINGS</t>
        </is>
      </c>
      <c r="E2441" s="5" t="inlineStr">
        <is>
          <t>Metric mild steel bolts, nuts and washers</t>
        </is>
      </c>
      <c r="F2441" s="5" t="inlineStr">
        <is>
          <t>M10 x 200 mm long</t>
        </is>
      </c>
      <c r="G2441" s="6" t="inlineStr">
        <is>
          <t>nr</t>
        </is>
      </c>
      <c r="H2441" s="7" t="n">
        <v>0.08</v>
      </c>
      <c r="I2441" s="8" t="n">
        <v>4.58</v>
      </c>
      <c r="J2441" s="8" t="n">
        <v>0</v>
      </c>
      <c r="K2441" s="8" t="n">
        <v>2.46</v>
      </c>
      <c r="L2441" s="8" t="n">
        <v>0</v>
      </c>
      <c r="M2441" s="9">
        <f>ROUND(SUM(I2441:L2441),2)</f>
        <v/>
      </c>
      <c r="N2441" s="10">
        <f>ROUND(I2441*'Irish Basis'!$C$6*'Irish Basis'!$C$5,2)</f>
        <v/>
      </c>
      <c r="O2441" s="10">
        <f>ROUND(J2441*'Irish Basis'!$C$7*'Irish Basis'!$C$5,2)</f>
        <v/>
      </c>
      <c r="P2441" s="10">
        <f>ROUND(K2441*'Irish Basis'!$C$8*'Irish Basis'!$C$5,2)</f>
        <v/>
      </c>
      <c r="Q2441" s="10">
        <f>ROUND(L2441*'Irish Basis'!$C$12*'Irish Basis'!$C$5,2)</f>
        <v/>
      </c>
      <c r="R2441" s="11">
        <f>ROUND(SUM(N2441:Q2441),2)</f>
        <v/>
      </c>
      <c r="S2441" s="5" t="inlineStr">
        <is>
          <t>Stated build-up</t>
        </is>
      </c>
      <c r="T2441" s="12" t="inlineStr">
        <is>
          <t>High</t>
        </is>
      </c>
      <c r="U2441" s="8" t="n">
        <v>7.04</v>
      </c>
      <c r="V2441" s="13">
        <f>IF(U2441="","",ROUND(M2441-U2441,2))</f>
        <v/>
      </c>
      <c r="W2441" s="5" t="n"/>
      <c r="X2441" s="5" t="inlineStr">
        <is>
          <t>Labour + plant + material as published; reconciles to the published rate.</t>
        </is>
      </c>
    </row>
    <row r="2442" ht="13" customHeight="1">
      <c r="A2442" s="4" t="n">
        <v>3697</v>
      </c>
      <c r="B2442" s="5" t="inlineStr">
        <is>
          <t>IMG_0115</t>
        </is>
      </c>
      <c r="C2442" s="5" t="inlineStr">
        <is>
          <t>CLASS O: TIMBER</t>
        </is>
      </c>
      <c r="D2442" s="5" t="inlineStr">
        <is>
          <t>05 FITTINGS AND FASTENINGS</t>
        </is>
      </c>
      <c r="E2442" s="5" t="inlineStr">
        <is>
          <t>Metric mild steel bolts, nuts and washers</t>
        </is>
      </c>
      <c r="F2442" s="5" t="inlineStr">
        <is>
          <t>M12 x 25 mm long</t>
        </is>
      </c>
      <c r="G2442" s="6" t="inlineStr">
        <is>
          <t>nr</t>
        </is>
      </c>
      <c r="H2442" s="7" t="n">
        <v>0.06</v>
      </c>
      <c r="I2442" s="8" t="n">
        <v>3.44</v>
      </c>
      <c r="J2442" s="8" t="n">
        <v>0</v>
      </c>
      <c r="K2442" s="8" t="n">
        <v>0.73</v>
      </c>
      <c r="L2442" s="8" t="n">
        <v>0</v>
      </c>
      <c r="M2442" s="9">
        <f>ROUND(SUM(I2442:L2442),2)</f>
        <v/>
      </c>
      <c r="N2442" s="10">
        <f>ROUND(I2442*'Irish Basis'!$C$6*'Irish Basis'!$C$5,2)</f>
        <v/>
      </c>
      <c r="O2442" s="10">
        <f>ROUND(J2442*'Irish Basis'!$C$7*'Irish Basis'!$C$5,2)</f>
        <v/>
      </c>
      <c r="P2442" s="10">
        <f>ROUND(K2442*'Irish Basis'!$C$8*'Irish Basis'!$C$5,2)</f>
        <v/>
      </c>
      <c r="Q2442" s="10">
        <f>ROUND(L2442*'Irish Basis'!$C$12*'Irish Basis'!$C$5,2)</f>
        <v/>
      </c>
      <c r="R2442" s="11">
        <f>ROUND(SUM(N2442:Q2442),2)</f>
        <v/>
      </c>
      <c r="S2442" s="5" t="inlineStr">
        <is>
          <t>Stated build-up</t>
        </is>
      </c>
      <c r="T2442" s="12" t="inlineStr">
        <is>
          <t>High</t>
        </is>
      </c>
      <c r="U2442" s="8" t="n">
        <v>4.17</v>
      </c>
      <c r="V2442" s="13">
        <f>IF(U2442="","",ROUND(M2442-U2442,2))</f>
        <v/>
      </c>
      <c r="W2442" s="5" t="n"/>
      <c r="X2442" s="5" t="inlineStr">
        <is>
          <t>Labour + plant + material as published; reconciles to the published rate.</t>
        </is>
      </c>
    </row>
    <row r="2443" ht="13" customHeight="1">
      <c r="A2443" s="4" t="n">
        <v>3698</v>
      </c>
      <c r="B2443" s="5" t="inlineStr">
        <is>
          <t>IMG_0115</t>
        </is>
      </c>
      <c r="C2443" s="5" t="inlineStr">
        <is>
          <t>CLASS O: TIMBER</t>
        </is>
      </c>
      <c r="D2443" s="5" t="inlineStr">
        <is>
          <t>05 FITTINGS AND FASTENINGS</t>
        </is>
      </c>
      <c r="E2443" s="5" t="inlineStr">
        <is>
          <t>Metric mild steel bolts, nuts and washers</t>
        </is>
      </c>
      <c r="F2443" s="5" t="inlineStr">
        <is>
          <t>M12 x 50 mm long</t>
        </is>
      </c>
      <c r="G2443" s="6" t="inlineStr">
        <is>
          <t>nr</t>
        </is>
      </c>
      <c r="H2443" s="7" t="n">
        <v>0.06</v>
      </c>
      <c r="I2443" s="8" t="n">
        <v>3.44</v>
      </c>
      <c r="J2443" s="8" t="n">
        <v>0</v>
      </c>
      <c r="K2443" s="8" t="n">
        <v>0.8</v>
      </c>
      <c r="L2443" s="8" t="n">
        <v>0</v>
      </c>
      <c r="M2443" s="9">
        <f>ROUND(SUM(I2443:L2443),2)</f>
        <v/>
      </c>
      <c r="N2443" s="10">
        <f>ROUND(I2443*'Irish Basis'!$C$6*'Irish Basis'!$C$5,2)</f>
        <v/>
      </c>
      <c r="O2443" s="10">
        <f>ROUND(J2443*'Irish Basis'!$C$7*'Irish Basis'!$C$5,2)</f>
        <v/>
      </c>
      <c r="P2443" s="10">
        <f>ROUND(K2443*'Irish Basis'!$C$8*'Irish Basis'!$C$5,2)</f>
        <v/>
      </c>
      <c r="Q2443" s="10">
        <f>ROUND(L2443*'Irish Basis'!$C$12*'Irish Basis'!$C$5,2)</f>
        <v/>
      </c>
      <c r="R2443" s="11">
        <f>ROUND(SUM(N2443:Q2443),2)</f>
        <v/>
      </c>
      <c r="S2443" s="5" t="inlineStr">
        <is>
          <t>Stated build-up</t>
        </is>
      </c>
      <c r="T2443" s="12" t="inlineStr">
        <is>
          <t>High</t>
        </is>
      </c>
      <c r="U2443" s="8" t="n">
        <v>4.23</v>
      </c>
      <c r="V2443" s="13">
        <f>IF(U2443="","",ROUND(M2443-U2443,2))</f>
        <v/>
      </c>
      <c r="W2443" s="5" t="n"/>
      <c r="X2443" s="5" t="inlineStr">
        <is>
          <t>Labour + plant + material as published; reconciles to the published rate.</t>
        </is>
      </c>
    </row>
    <row r="2444" ht="13" customHeight="1">
      <c r="A2444" s="4" t="n">
        <v>3699</v>
      </c>
      <c r="B2444" s="5" t="inlineStr">
        <is>
          <t>IMG_0115</t>
        </is>
      </c>
      <c r="C2444" s="5" t="inlineStr">
        <is>
          <t>CLASS O: TIMBER</t>
        </is>
      </c>
      <c r="D2444" s="5" t="inlineStr">
        <is>
          <t>05 FITTINGS AND FASTENINGS</t>
        </is>
      </c>
      <c r="E2444" s="5" t="inlineStr">
        <is>
          <t>Metric mild steel bolts, nuts and washers</t>
        </is>
      </c>
      <c r="F2444" s="5" t="inlineStr">
        <is>
          <t>M12 x 75 mm long</t>
        </is>
      </c>
      <c r="G2444" s="6" t="inlineStr">
        <is>
          <t>nr</t>
        </is>
      </c>
      <c r="H2444" s="7" t="n">
        <v>0.07000000000000001</v>
      </c>
      <c r="I2444" s="8" t="n">
        <v>4.01</v>
      </c>
      <c r="J2444" s="8" t="n">
        <v>0</v>
      </c>
      <c r="K2444" s="8" t="n">
        <v>0.88</v>
      </c>
      <c r="L2444" s="8" t="n">
        <v>0</v>
      </c>
      <c r="M2444" s="9">
        <f>ROUND(SUM(I2444:L2444),2)</f>
        <v/>
      </c>
      <c r="N2444" s="10">
        <f>ROUND(I2444*'Irish Basis'!$C$6*'Irish Basis'!$C$5,2)</f>
        <v/>
      </c>
      <c r="O2444" s="10">
        <f>ROUND(J2444*'Irish Basis'!$C$7*'Irish Basis'!$C$5,2)</f>
        <v/>
      </c>
      <c r="P2444" s="10">
        <f>ROUND(K2444*'Irish Basis'!$C$8*'Irish Basis'!$C$5,2)</f>
        <v/>
      </c>
      <c r="Q2444" s="10">
        <f>ROUND(L2444*'Irish Basis'!$C$12*'Irish Basis'!$C$5,2)</f>
        <v/>
      </c>
      <c r="R2444" s="11">
        <f>ROUND(SUM(N2444:Q2444),2)</f>
        <v/>
      </c>
      <c r="S2444" s="5" t="inlineStr">
        <is>
          <t>Stated build-up</t>
        </is>
      </c>
      <c r="T2444" s="12" t="inlineStr">
        <is>
          <t>High</t>
        </is>
      </c>
      <c r="U2444" s="8" t="n">
        <v>4.89</v>
      </c>
      <c r="V2444" s="13">
        <f>IF(U2444="","",ROUND(M2444-U2444,2))</f>
        <v/>
      </c>
      <c r="W2444" s="5" t="n"/>
      <c r="X2444" s="5" t="inlineStr">
        <is>
          <t>Labour + plant + material as published; reconciles to the published rate.</t>
        </is>
      </c>
    </row>
    <row r="2445" ht="13" customHeight="1">
      <c r="A2445" s="4" t="n">
        <v>3700</v>
      </c>
      <c r="B2445" s="5" t="inlineStr">
        <is>
          <t>IMG_0115</t>
        </is>
      </c>
      <c r="C2445" s="5" t="inlineStr">
        <is>
          <t>CLASS O: TIMBER</t>
        </is>
      </c>
      <c r="D2445" s="5" t="inlineStr">
        <is>
          <t>05 FITTINGS AND FASTENINGS</t>
        </is>
      </c>
      <c r="E2445" s="5" t="inlineStr">
        <is>
          <t>Metric mild steel bolts, nuts and washers</t>
        </is>
      </c>
      <c r="F2445" s="5" t="inlineStr">
        <is>
          <t>M12 x 100 mm long</t>
        </is>
      </c>
      <c r="G2445" s="6" t="inlineStr">
        <is>
          <t>nr</t>
        </is>
      </c>
      <c r="H2445" s="7" t="n">
        <v>0.07000000000000001</v>
      </c>
      <c r="I2445" s="8" t="n">
        <v>4.01</v>
      </c>
      <c r="J2445" s="8" t="n">
        <v>0</v>
      </c>
      <c r="K2445" s="8" t="n">
        <v>1.03</v>
      </c>
      <c r="L2445" s="8" t="n">
        <v>0</v>
      </c>
      <c r="M2445" s="9">
        <f>ROUND(SUM(I2445:L2445),2)</f>
        <v/>
      </c>
      <c r="N2445" s="10">
        <f>ROUND(I2445*'Irish Basis'!$C$6*'Irish Basis'!$C$5,2)</f>
        <v/>
      </c>
      <c r="O2445" s="10">
        <f>ROUND(J2445*'Irish Basis'!$C$7*'Irish Basis'!$C$5,2)</f>
        <v/>
      </c>
      <c r="P2445" s="10">
        <f>ROUND(K2445*'Irish Basis'!$C$8*'Irish Basis'!$C$5,2)</f>
        <v/>
      </c>
      <c r="Q2445" s="10">
        <f>ROUND(L2445*'Irish Basis'!$C$12*'Irish Basis'!$C$5,2)</f>
        <v/>
      </c>
      <c r="R2445" s="11">
        <f>ROUND(SUM(N2445:Q2445),2)</f>
        <v/>
      </c>
      <c r="S2445" s="5" t="inlineStr">
        <is>
          <t>Stated build-up</t>
        </is>
      </c>
      <c r="T2445" s="12" t="inlineStr">
        <is>
          <t>High</t>
        </is>
      </c>
      <c r="U2445" s="8" t="n">
        <v>5.04</v>
      </c>
      <c r="V2445" s="13">
        <f>IF(U2445="","",ROUND(M2445-U2445,2))</f>
        <v/>
      </c>
      <c r="W2445" s="5" t="n"/>
      <c r="X2445" s="5" t="inlineStr">
        <is>
          <t>Labour + plant + material as published; reconciles to the published rate.</t>
        </is>
      </c>
    </row>
    <row r="2446" ht="13" customHeight="1">
      <c r="A2446" s="4" t="n">
        <v>3701</v>
      </c>
      <c r="B2446" s="5" t="inlineStr">
        <is>
          <t>IMG_0115</t>
        </is>
      </c>
      <c r="C2446" s="5" t="inlineStr">
        <is>
          <t>CLASS O: TIMBER</t>
        </is>
      </c>
      <c r="D2446" s="5" t="inlineStr">
        <is>
          <t>05 FITTINGS AND FASTENINGS</t>
        </is>
      </c>
      <c r="E2446" s="5" t="inlineStr">
        <is>
          <t>Metric mild steel bolts, nuts and washers</t>
        </is>
      </c>
      <c r="F2446" s="5" t="inlineStr">
        <is>
          <t>M12 x 120 mm long</t>
        </is>
      </c>
      <c r="G2446" s="6" t="inlineStr">
        <is>
          <t>nr</t>
        </is>
      </c>
      <c r="H2446" s="7" t="n">
        <v>0.08</v>
      </c>
      <c r="I2446" s="8" t="n">
        <v>4.58</v>
      </c>
      <c r="J2446" s="8" t="n">
        <v>0</v>
      </c>
      <c r="K2446" s="8" t="n">
        <v>1.13</v>
      </c>
      <c r="L2446" s="8" t="n">
        <v>0</v>
      </c>
      <c r="M2446" s="9">
        <f>ROUND(SUM(I2446:L2446),2)</f>
        <v/>
      </c>
      <c r="N2446" s="10">
        <f>ROUND(I2446*'Irish Basis'!$C$6*'Irish Basis'!$C$5,2)</f>
        <v/>
      </c>
      <c r="O2446" s="10">
        <f>ROUND(J2446*'Irish Basis'!$C$7*'Irish Basis'!$C$5,2)</f>
        <v/>
      </c>
      <c r="P2446" s="10">
        <f>ROUND(K2446*'Irish Basis'!$C$8*'Irish Basis'!$C$5,2)</f>
        <v/>
      </c>
      <c r="Q2446" s="10">
        <f>ROUND(L2446*'Irish Basis'!$C$12*'Irish Basis'!$C$5,2)</f>
        <v/>
      </c>
      <c r="R2446" s="11">
        <f>ROUND(SUM(N2446:Q2446),2)</f>
        <v/>
      </c>
      <c r="S2446" s="5" t="inlineStr">
        <is>
          <t>Stated build-up</t>
        </is>
      </c>
      <c r="T2446" s="12" t="inlineStr">
        <is>
          <t>High</t>
        </is>
      </c>
      <c r="U2446" s="8" t="n">
        <v>5.71</v>
      </c>
      <c r="V2446" s="13">
        <f>IF(U2446="","",ROUND(M2446-U2446,2))</f>
        <v/>
      </c>
      <c r="W2446" s="5" t="n"/>
      <c r="X2446" s="5" t="inlineStr">
        <is>
          <t>Labour + plant + material as published; reconciles to the published rate.</t>
        </is>
      </c>
    </row>
    <row r="2447" ht="13" customHeight="1">
      <c r="A2447" s="4" t="n">
        <v>3702</v>
      </c>
      <c r="B2447" s="5" t="inlineStr">
        <is>
          <t>IMG_0115</t>
        </is>
      </c>
      <c r="C2447" s="5" t="inlineStr">
        <is>
          <t>CLASS O: TIMBER</t>
        </is>
      </c>
      <c r="D2447" s="5" t="inlineStr">
        <is>
          <t>05 FITTINGS AND FASTENINGS</t>
        </is>
      </c>
      <c r="E2447" s="5" t="inlineStr">
        <is>
          <t>Metric mild steel bolts, nuts and washers</t>
        </is>
      </c>
      <c r="F2447" s="5" t="inlineStr">
        <is>
          <t>M12 x 150 mm long</t>
        </is>
      </c>
      <c r="G2447" s="6" t="inlineStr">
        <is>
          <t>nr</t>
        </is>
      </c>
      <c r="H2447" s="7" t="n">
        <v>0.08</v>
      </c>
      <c r="I2447" s="8" t="n">
        <v>4.58</v>
      </c>
      <c r="J2447" s="8" t="n">
        <v>0</v>
      </c>
      <c r="K2447" s="8" t="n">
        <v>1.48</v>
      </c>
      <c r="L2447" s="8" t="n">
        <v>0</v>
      </c>
      <c r="M2447" s="9">
        <f>ROUND(SUM(I2447:L2447),2)</f>
        <v/>
      </c>
      <c r="N2447" s="10">
        <f>ROUND(I2447*'Irish Basis'!$C$6*'Irish Basis'!$C$5,2)</f>
        <v/>
      </c>
      <c r="O2447" s="10">
        <f>ROUND(J2447*'Irish Basis'!$C$7*'Irish Basis'!$C$5,2)</f>
        <v/>
      </c>
      <c r="P2447" s="10">
        <f>ROUND(K2447*'Irish Basis'!$C$8*'Irish Basis'!$C$5,2)</f>
        <v/>
      </c>
      <c r="Q2447" s="10">
        <f>ROUND(L2447*'Irish Basis'!$C$12*'Irish Basis'!$C$5,2)</f>
        <v/>
      </c>
      <c r="R2447" s="11">
        <f>ROUND(SUM(N2447:Q2447),2)</f>
        <v/>
      </c>
      <c r="S2447" s="5" t="inlineStr">
        <is>
          <t>Stated build-up</t>
        </is>
      </c>
      <c r="T2447" s="12" t="inlineStr">
        <is>
          <t>High</t>
        </is>
      </c>
      <c r="U2447" s="8" t="n">
        <v>6.07</v>
      </c>
      <c r="V2447" s="13">
        <f>IF(U2447="","",ROUND(M2447-U2447,2))</f>
        <v/>
      </c>
      <c r="W2447" s="5" t="n"/>
      <c r="X2447" s="5" t="inlineStr">
        <is>
          <t>Labour + plant + material as published; reconciles to the published rate.</t>
        </is>
      </c>
    </row>
    <row r="2448" ht="13" customHeight="1">
      <c r="A2448" s="4" t="n">
        <v>3703</v>
      </c>
      <c r="B2448" s="5" t="inlineStr">
        <is>
          <t>IMG_0115</t>
        </is>
      </c>
      <c r="C2448" s="5" t="inlineStr">
        <is>
          <t>CLASS O: TIMBER</t>
        </is>
      </c>
      <c r="D2448" s="5" t="inlineStr">
        <is>
          <t>05 FITTINGS AND FASTENINGS</t>
        </is>
      </c>
      <c r="E2448" s="5" t="inlineStr">
        <is>
          <t>Metric mild steel bolts, nuts and washers</t>
        </is>
      </c>
      <c r="F2448" s="5" t="inlineStr">
        <is>
          <t>M12 x 200 mm long</t>
        </is>
      </c>
      <c r="G2448" s="6" t="inlineStr">
        <is>
          <t>nr</t>
        </is>
      </c>
      <c r="H2448" s="7" t="n">
        <v>0.08</v>
      </c>
      <c r="I2448" s="8" t="n">
        <v>4.58</v>
      </c>
      <c r="J2448" s="8" t="n">
        <v>0</v>
      </c>
      <c r="K2448" s="8" t="n">
        <v>2.07</v>
      </c>
      <c r="L2448" s="8" t="n">
        <v>0</v>
      </c>
      <c r="M2448" s="9">
        <f>ROUND(SUM(I2448:L2448),2)</f>
        <v/>
      </c>
      <c r="N2448" s="10">
        <f>ROUND(I2448*'Irish Basis'!$C$6*'Irish Basis'!$C$5,2)</f>
        <v/>
      </c>
      <c r="O2448" s="10">
        <f>ROUND(J2448*'Irish Basis'!$C$7*'Irish Basis'!$C$5,2)</f>
        <v/>
      </c>
      <c r="P2448" s="10">
        <f>ROUND(K2448*'Irish Basis'!$C$8*'Irish Basis'!$C$5,2)</f>
        <v/>
      </c>
      <c r="Q2448" s="10">
        <f>ROUND(L2448*'Irish Basis'!$C$12*'Irish Basis'!$C$5,2)</f>
        <v/>
      </c>
      <c r="R2448" s="11">
        <f>ROUND(SUM(N2448:Q2448),2)</f>
        <v/>
      </c>
      <c r="S2448" s="5" t="inlineStr">
        <is>
          <t>Stated build-up</t>
        </is>
      </c>
      <c r="T2448" s="12" t="inlineStr">
        <is>
          <t>High</t>
        </is>
      </c>
      <c r="U2448" s="8" t="n">
        <v>6.66</v>
      </c>
      <c r="V2448" s="13">
        <f>IF(U2448="","",ROUND(M2448-U2448,2))</f>
        <v/>
      </c>
      <c r="W2448" s="5" t="n"/>
      <c r="X2448" s="5" t="inlineStr">
        <is>
          <t>Labour + plant + material as published; reconciles to the published rate.</t>
        </is>
      </c>
    </row>
    <row r="2449" ht="13" customHeight="1">
      <c r="A2449" s="4" t="n">
        <v>3704</v>
      </c>
      <c r="B2449" s="5" t="inlineStr">
        <is>
          <t>IMG_0115</t>
        </is>
      </c>
      <c r="C2449" s="5" t="inlineStr">
        <is>
          <t>CLASS O: TIMBER</t>
        </is>
      </c>
      <c r="D2449" s="5" t="inlineStr">
        <is>
          <t>05 FITTINGS AND FASTENINGS</t>
        </is>
      </c>
      <c r="E2449" s="5" t="inlineStr">
        <is>
          <t>Metric mild steel bolts, nuts and washers</t>
        </is>
      </c>
      <c r="F2449" s="5" t="inlineStr">
        <is>
          <t>M12 x 240 mm long</t>
        </is>
      </c>
      <c r="G2449" s="6" t="inlineStr">
        <is>
          <t>nr</t>
        </is>
      </c>
      <c r="H2449" s="7" t="n">
        <v>0.09</v>
      </c>
      <c r="I2449" s="8" t="n">
        <v>5.16</v>
      </c>
      <c r="J2449" s="8" t="n">
        <v>0</v>
      </c>
      <c r="K2449" s="8" t="n">
        <v>3.13</v>
      </c>
      <c r="L2449" s="8" t="n">
        <v>0</v>
      </c>
      <c r="M2449" s="9">
        <f>ROUND(SUM(I2449:L2449),2)</f>
        <v/>
      </c>
      <c r="N2449" s="10">
        <f>ROUND(I2449*'Irish Basis'!$C$6*'Irish Basis'!$C$5,2)</f>
        <v/>
      </c>
      <c r="O2449" s="10">
        <f>ROUND(J2449*'Irish Basis'!$C$7*'Irish Basis'!$C$5,2)</f>
        <v/>
      </c>
      <c r="P2449" s="10">
        <f>ROUND(K2449*'Irish Basis'!$C$8*'Irish Basis'!$C$5,2)</f>
        <v/>
      </c>
      <c r="Q2449" s="10">
        <f>ROUND(L2449*'Irish Basis'!$C$12*'Irish Basis'!$C$5,2)</f>
        <v/>
      </c>
      <c r="R2449" s="11">
        <f>ROUND(SUM(N2449:Q2449),2)</f>
        <v/>
      </c>
      <c r="S2449" s="5" t="inlineStr">
        <is>
          <t>Stated build-up</t>
        </is>
      </c>
      <c r="T2449" s="12" t="inlineStr">
        <is>
          <t>High</t>
        </is>
      </c>
      <c r="U2449" s="8" t="n">
        <v>8.289999999999999</v>
      </c>
      <c r="V2449" s="13">
        <f>IF(U2449="","",ROUND(M2449-U2449,2))</f>
        <v/>
      </c>
      <c r="W2449" s="5" t="n"/>
      <c r="X2449" s="5" t="inlineStr">
        <is>
          <t>Labour + plant + material as published; reconciles to the published rate.</t>
        </is>
      </c>
    </row>
    <row r="2450" ht="13" customHeight="1">
      <c r="A2450" s="4" t="n">
        <v>3705</v>
      </c>
      <c r="B2450" s="5" t="inlineStr">
        <is>
          <t>IMG_0115</t>
        </is>
      </c>
      <c r="C2450" s="5" t="inlineStr">
        <is>
          <t>CLASS O: TIMBER</t>
        </is>
      </c>
      <c r="D2450" s="5" t="inlineStr">
        <is>
          <t>05 FITTINGS AND FASTENINGS</t>
        </is>
      </c>
      <c r="E2450" s="5" t="inlineStr">
        <is>
          <t>Metric mild steel bolts, nuts and washers</t>
        </is>
      </c>
      <c r="F2450" s="5" t="inlineStr">
        <is>
          <t>M12 x 300 mm long</t>
        </is>
      </c>
      <c r="G2450" s="6" t="inlineStr">
        <is>
          <t>nr</t>
        </is>
      </c>
      <c r="H2450" s="7" t="n">
        <v>0.1</v>
      </c>
      <c r="I2450" s="8" t="n">
        <v>5.73</v>
      </c>
      <c r="J2450" s="8" t="n">
        <v>0</v>
      </c>
      <c r="K2450" s="8" t="n">
        <v>3.19</v>
      </c>
      <c r="L2450" s="8" t="n">
        <v>0</v>
      </c>
      <c r="M2450" s="9">
        <f>ROUND(SUM(I2450:L2450),2)</f>
        <v/>
      </c>
      <c r="N2450" s="10">
        <f>ROUND(I2450*'Irish Basis'!$C$6*'Irish Basis'!$C$5,2)</f>
        <v/>
      </c>
      <c r="O2450" s="10">
        <f>ROUND(J2450*'Irish Basis'!$C$7*'Irish Basis'!$C$5,2)</f>
        <v/>
      </c>
      <c r="P2450" s="10">
        <f>ROUND(K2450*'Irish Basis'!$C$8*'Irish Basis'!$C$5,2)</f>
        <v/>
      </c>
      <c r="Q2450" s="10">
        <f>ROUND(L2450*'Irish Basis'!$C$12*'Irish Basis'!$C$5,2)</f>
        <v/>
      </c>
      <c r="R2450" s="11">
        <f>ROUND(SUM(N2450:Q2450),2)</f>
        <v/>
      </c>
      <c r="S2450" s="5" t="inlineStr">
        <is>
          <t>Stated build-up</t>
        </is>
      </c>
      <c r="T2450" s="12" t="inlineStr">
        <is>
          <t>High</t>
        </is>
      </c>
      <c r="U2450" s="8" t="n">
        <v>8.92</v>
      </c>
      <c r="V2450" s="13">
        <f>IF(U2450="","",ROUND(M2450-U2450,2))</f>
        <v/>
      </c>
      <c r="W2450" s="5" t="n"/>
      <c r="X2450" s="5" t="inlineStr">
        <is>
          <t>Labour + plant + material as published; reconciles to the published rate.</t>
        </is>
      </c>
    </row>
    <row r="2451" ht="13" customHeight="1">
      <c r="A2451" s="4" t="n">
        <v>3706</v>
      </c>
      <c r="B2451" s="5" t="inlineStr">
        <is>
          <t>IMG_0115</t>
        </is>
      </c>
      <c r="C2451" s="5" t="inlineStr">
        <is>
          <t>CLASS O: TIMBER</t>
        </is>
      </c>
      <c r="D2451" s="5" t="inlineStr">
        <is>
          <t>05 FITTINGS AND FASTENINGS</t>
        </is>
      </c>
      <c r="E2451" s="5" t="inlineStr">
        <is>
          <t>Metric mild steel bolts, nuts and washers</t>
        </is>
      </c>
      <c r="F2451" s="5" t="inlineStr">
        <is>
          <t>M16 x 50 mm long</t>
        </is>
      </c>
      <c r="G2451" s="6" t="inlineStr">
        <is>
          <t>nr</t>
        </is>
      </c>
      <c r="H2451" s="7" t="n">
        <v>0.07000000000000001</v>
      </c>
      <c r="I2451" s="8" t="n">
        <v>4.01</v>
      </c>
      <c r="J2451" s="8" t="n">
        <v>0</v>
      </c>
      <c r="K2451" s="8" t="n">
        <v>1.34</v>
      </c>
      <c r="L2451" s="8" t="n">
        <v>0</v>
      </c>
      <c r="M2451" s="9">
        <f>ROUND(SUM(I2451:L2451),2)</f>
        <v/>
      </c>
      <c r="N2451" s="10">
        <f>ROUND(I2451*'Irish Basis'!$C$6*'Irish Basis'!$C$5,2)</f>
        <v/>
      </c>
      <c r="O2451" s="10">
        <f>ROUND(J2451*'Irish Basis'!$C$7*'Irish Basis'!$C$5,2)</f>
        <v/>
      </c>
      <c r="P2451" s="10">
        <f>ROUND(K2451*'Irish Basis'!$C$8*'Irish Basis'!$C$5,2)</f>
        <v/>
      </c>
      <c r="Q2451" s="10">
        <f>ROUND(L2451*'Irish Basis'!$C$12*'Irish Basis'!$C$5,2)</f>
        <v/>
      </c>
      <c r="R2451" s="11">
        <f>ROUND(SUM(N2451:Q2451),2)</f>
        <v/>
      </c>
      <c r="S2451" s="5" t="inlineStr">
        <is>
          <t>Stated build-up</t>
        </is>
      </c>
      <c r="T2451" s="12" t="inlineStr">
        <is>
          <t>High</t>
        </is>
      </c>
      <c r="U2451" s="8" t="n">
        <v>5.35</v>
      </c>
      <c r="V2451" s="13">
        <f>IF(U2451="","",ROUND(M2451-U2451,2))</f>
        <v/>
      </c>
      <c r="W2451" s="5" t="n"/>
      <c r="X2451" s="5" t="inlineStr">
        <is>
          <t>Labour + plant + material as published; reconciles to the published rate.</t>
        </is>
      </c>
    </row>
    <row r="2452" ht="13" customHeight="1">
      <c r="A2452" s="4" t="n">
        <v>3707</v>
      </c>
      <c r="B2452" s="5" t="inlineStr">
        <is>
          <t>IMG_0115</t>
        </is>
      </c>
      <c r="C2452" s="5" t="inlineStr">
        <is>
          <t>CLASS O: TIMBER</t>
        </is>
      </c>
      <c r="D2452" s="5" t="inlineStr">
        <is>
          <t>05 FITTINGS AND FASTENINGS</t>
        </is>
      </c>
      <c r="E2452" s="5" t="inlineStr">
        <is>
          <t>Metric mild steel bolts, nuts and washers</t>
        </is>
      </c>
      <c r="F2452" s="5" t="inlineStr">
        <is>
          <t>M16 x 75 mm long</t>
        </is>
      </c>
      <c r="G2452" s="6" t="inlineStr">
        <is>
          <t>nr</t>
        </is>
      </c>
      <c r="H2452" s="7" t="n">
        <v>0.07000000000000001</v>
      </c>
      <c r="I2452" s="8" t="n">
        <v>4.01</v>
      </c>
      <c r="J2452" s="8" t="n">
        <v>0</v>
      </c>
      <c r="K2452" s="8" t="n">
        <v>1.49</v>
      </c>
      <c r="L2452" s="8" t="n">
        <v>0</v>
      </c>
      <c r="M2452" s="9">
        <f>ROUND(SUM(I2452:L2452),2)</f>
        <v/>
      </c>
      <c r="N2452" s="10">
        <f>ROUND(I2452*'Irish Basis'!$C$6*'Irish Basis'!$C$5,2)</f>
        <v/>
      </c>
      <c r="O2452" s="10">
        <f>ROUND(J2452*'Irish Basis'!$C$7*'Irish Basis'!$C$5,2)</f>
        <v/>
      </c>
      <c r="P2452" s="10">
        <f>ROUND(K2452*'Irish Basis'!$C$8*'Irish Basis'!$C$5,2)</f>
        <v/>
      </c>
      <c r="Q2452" s="10">
        <f>ROUND(L2452*'Irish Basis'!$C$12*'Irish Basis'!$C$5,2)</f>
        <v/>
      </c>
      <c r="R2452" s="11">
        <f>ROUND(SUM(N2452:Q2452),2)</f>
        <v/>
      </c>
      <c r="S2452" s="5" t="inlineStr">
        <is>
          <t>Stated build-up</t>
        </is>
      </c>
      <c r="T2452" s="12" t="inlineStr">
        <is>
          <t>High</t>
        </is>
      </c>
      <c r="U2452" s="8" t="n">
        <v>5.5</v>
      </c>
      <c r="V2452" s="13">
        <f>IF(U2452="","",ROUND(M2452-U2452,2))</f>
        <v/>
      </c>
      <c r="W2452" s="5" t="n"/>
      <c r="X2452" s="5" t="inlineStr">
        <is>
          <t>Labour + plant + material as published; reconciles to the published rate.</t>
        </is>
      </c>
    </row>
    <row r="2453" ht="13" customHeight="1">
      <c r="A2453" s="4" t="n">
        <v>3708</v>
      </c>
      <c r="B2453" s="5" t="inlineStr">
        <is>
          <t>IMG_0115</t>
        </is>
      </c>
      <c r="C2453" s="5" t="inlineStr">
        <is>
          <t>CLASS O: TIMBER</t>
        </is>
      </c>
      <c r="D2453" s="5" t="inlineStr">
        <is>
          <t>05 FITTINGS AND FASTENINGS</t>
        </is>
      </c>
      <c r="E2453" s="5" t="inlineStr">
        <is>
          <t>Metric mild steel bolts, nuts and washers</t>
        </is>
      </c>
      <c r="F2453" s="5" t="inlineStr">
        <is>
          <t>M16 x 100 mm long</t>
        </is>
      </c>
      <c r="G2453" s="6" t="inlineStr">
        <is>
          <t>nr</t>
        </is>
      </c>
      <c r="H2453" s="7" t="n">
        <v>0.08</v>
      </c>
      <c r="I2453" s="8" t="n">
        <v>4.58</v>
      </c>
      <c r="J2453" s="8" t="n">
        <v>0</v>
      </c>
      <c r="K2453" s="8" t="n">
        <v>1.68</v>
      </c>
      <c r="L2453" s="8" t="n">
        <v>0</v>
      </c>
      <c r="M2453" s="9">
        <f>ROUND(SUM(I2453:L2453),2)</f>
        <v/>
      </c>
      <c r="N2453" s="10">
        <f>ROUND(I2453*'Irish Basis'!$C$6*'Irish Basis'!$C$5,2)</f>
        <v/>
      </c>
      <c r="O2453" s="10">
        <f>ROUND(J2453*'Irish Basis'!$C$7*'Irish Basis'!$C$5,2)</f>
        <v/>
      </c>
      <c r="P2453" s="10">
        <f>ROUND(K2453*'Irish Basis'!$C$8*'Irish Basis'!$C$5,2)</f>
        <v/>
      </c>
      <c r="Q2453" s="10">
        <f>ROUND(L2453*'Irish Basis'!$C$12*'Irish Basis'!$C$5,2)</f>
        <v/>
      </c>
      <c r="R2453" s="11">
        <f>ROUND(SUM(N2453:Q2453),2)</f>
        <v/>
      </c>
      <c r="S2453" s="5" t="inlineStr">
        <is>
          <t>Stated build-up</t>
        </is>
      </c>
      <c r="T2453" s="12" t="inlineStr">
        <is>
          <t>High</t>
        </is>
      </c>
      <c r="U2453" s="8" t="n">
        <v>6.27</v>
      </c>
      <c r="V2453" s="13">
        <f>IF(U2453="","",ROUND(M2453-U2453,2))</f>
        <v/>
      </c>
      <c r="W2453" s="5" t="n"/>
      <c r="X2453" s="5" t="inlineStr">
        <is>
          <t>Labour + plant + material as published; reconciles to the published rate.</t>
        </is>
      </c>
    </row>
    <row r="2454" ht="13" customHeight="1">
      <c r="A2454" s="4" t="n">
        <v>3709</v>
      </c>
      <c r="B2454" s="5" t="inlineStr">
        <is>
          <t>IMG_0115</t>
        </is>
      </c>
      <c r="C2454" s="5" t="inlineStr">
        <is>
          <t>CLASS O: TIMBER</t>
        </is>
      </c>
      <c r="D2454" s="5" t="inlineStr">
        <is>
          <t>05 FITTINGS AND FASTENINGS</t>
        </is>
      </c>
      <c r="E2454" s="5" t="inlineStr">
        <is>
          <t>Metric mild steel bolts, nuts and washers</t>
        </is>
      </c>
      <c r="F2454" s="5" t="inlineStr">
        <is>
          <t>M16 x 120 mm long</t>
        </is>
      </c>
      <c r="G2454" s="6" t="inlineStr">
        <is>
          <t>nr</t>
        </is>
      </c>
      <c r="H2454" s="7" t="n">
        <v>0.08</v>
      </c>
      <c r="I2454" s="8" t="n">
        <v>4.58</v>
      </c>
      <c r="J2454" s="8" t="n">
        <v>0</v>
      </c>
      <c r="K2454" s="8" t="n">
        <v>1.96</v>
      </c>
      <c r="L2454" s="8" t="n">
        <v>0</v>
      </c>
      <c r="M2454" s="9">
        <f>ROUND(SUM(I2454:L2454),2)</f>
        <v/>
      </c>
      <c r="N2454" s="10">
        <f>ROUND(I2454*'Irish Basis'!$C$6*'Irish Basis'!$C$5,2)</f>
        <v/>
      </c>
      <c r="O2454" s="10">
        <f>ROUND(J2454*'Irish Basis'!$C$7*'Irish Basis'!$C$5,2)</f>
        <v/>
      </c>
      <c r="P2454" s="10">
        <f>ROUND(K2454*'Irish Basis'!$C$8*'Irish Basis'!$C$5,2)</f>
        <v/>
      </c>
      <c r="Q2454" s="10">
        <f>ROUND(L2454*'Irish Basis'!$C$12*'Irish Basis'!$C$5,2)</f>
        <v/>
      </c>
      <c r="R2454" s="11">
        <f>ROUND(SUM(N2454:Q2454),2)</f>
        <v/>
      </c>
      <c r="S2454" s="5" t="inlineStr">
        <is>
          <t>Stated build-up</t>
        </is>
      </c>
      <c r="T2454" s="12" t="inlineStr">
        <is>
          <t>High</t>
        </is>
      </c>
      <c r="U2454" s="8" t="n">
        <v>6.54</v>
      </c>
      <c r="V2454" s="13">
        <f>IF(U2454="","",ROUND(M2454-U2454,2))</f>
        <v/>
      </c>
      <c r="W2454" s="5" t="n"/>
      <c r="X2454" s="5" t="inlineStr">
        <is>
          <t>Labour + plant + material as published; reconciles to the published rate.</t>
        </is>
      </c>
    </row>
    <row r="2455" ht="13" customHeight="1">
      <c r="A2455" s="4" t="n">
        <v>3710</v>
      </c>
      <c r="B2455" s="5" t="inlineStr">
        <is>
          <t>IMG_0115</t>
        </is>
      </c>
      <c r="C2455" s="5" t="inlineStr">
        <is>
          <t>CLASS O: TIMBER</t>
        </is>
      </c>
      <c r="D2455" s="5" t="inlineStr">
        <is>
          <t>05 FITTINGS AND FASTENINGS</t>
        </is>
      </c>
      <c r="E2455" s="5" t="inlineStr">
        <is>
          <t>Metric mild steel bolts, nuts and washers</t>
        </is>
      </c>
      <c r="F2455" s="5" t="inlineStr">
        <is>
          <t>M16 x 150 mm long</t>
        </is>
      </c>
      <c r="G2455" s="6" t="inlineStr">
        <is>
          <t>nr</t>
        </is>
      </c>
      <c r="H2455" s="7" t="n">
        <v>0.09</v>
      </c>
      <c r="I2455" s="8" t="n">
        <v>5.16</v>
      </c>
      <c r="J2455" s="8" t="n">
        <v>0</v>
      </c>
      <c r="K2455" s="8" t="n">
        <v>2.19</v>
      </c>
      <c r="L2455" s="8" t="n">
        <v>0</v>
      </c>
      <c r="M2455" s="9">
        <f>ROUND(SUM(I2455:L2455),2)</f>
        <v/>
      </c>
      <c r="N2455" s="10">
        <f>ROUND(I2455*'Irish Basis'!$C$6*'Irish Basis'!$C$5,2)</f>
        <v/>
      </c>
      <c r="O2455" s="10">
        <f>ROUND(J2455*'Irish Basis'!$C$7*'Irish Basis'!$C$5,2)</f>
        <v/>
      </c>
      <c r="P2455" s="10">
        <f>ROUND(K2455*'Irish Basis'!$C$8*'Irish Basis'!$C$5,2)</f>
        <v/>
      </c>
      <c r="Q2455" s="10">
        <f>ROUND(L2455*'Irish Basis'!$C$12*'Irish Basis'!$C$5,2)</f>
        <v/>
      </c>
      <c r="R2455" s="11">
        <f>ROUND(SUM(N2455:Q2455),2)</f>
        <v/>
      </c>
      <c r="S2455" s="5" t="inlineStr">
        <is>
          <t>Stated build-up</t>
        </is>
      </c>
      <c r="T2455" s="12" t="inlineStr">
        <is>
          <t>High</t>
        </is>
      </c>
      <c r="U2455" s="8" t="n">
        <v>7.35</v>
      </c>
      <c r="V2455" s="13">
        <f>IF(U2455="","",ROUND(M2455-U2455,2))</f>
        <v/>
      </c>
      <c r="W2455" s="5" t="n"/>
      <c r="X2455" s="5" t="inlineStr">
        <is>
          <t>Labour + plant + material as published; reconciles to the published rate.</t>
        </is>
      </c>
    </row>
    <row r="2456" ht="13" customHeight="1">
      <c r="A2456" s="4" t="n">
        <v>3711</v>
      </c>
      <c r="B2456" s="5" t="inlineStr">
        <is>
          <t>IMG_0115</t>
        </is>
      </c>
      <c r="C2456" s="5" t="inlineStr">
        <is>
          <t>CLASS O: TIMBER</t>
        </is>
      </c>
      <c r="D2456" s="5" t="inlineStr">
        <is>
          <t>05 FITTINGS AND FASTENINGS</t>
        </is>
      </c>
      <c r="E2456" s="5" t="inlineStr">
        <is>
          <t>Metric mild steel bolts, nuts and washers</t>
        </is>
      </c>
      <c r="F2456" s="5" t="inlineStr">
        <is>
          <t>M16 x 200 mm long</t>
        </is>
      </c>
      <c r="G2456" s="6" t="inlineStr">
        <is>
          <t>nr</t>
        </is>
      </c>
      <c r="H2456" s="7" t="n">
        <v>0.09</v>
      </c>
      <c r="I2456" s="8" t="n">
        <v>5.16</v>
      </c>
      <c r="J2456" s="8" t="n">
        <v>0</v>
      </c>
      <c r="K2456" s="8" t="n">
        <v>3.04</v>
      </c>
      <c r="L2456" s="8" t="n">
        <v>0</v>
      </c>
      <c r="M2456" s="9">
        <f>ROUND(SUM(I2456:L2456),2)</f>
        <v/>
      </c>
      <c r="N2456" s="10">
        <f>ROUND(I2456*'Irish Basis'!$C$6*'Irish Basis'!$C$5,2)</f>
        <v/>
      </c>
      <c r="O2456" s="10">
        <f>ROUND(J2456*'Irish Basis'!$C$7*'Irish Basis'!$C$5,2)</f>
        <v/>
      </c>
      <c r="P2456" s="10">
        <f>ROUND(K2456*'Irish Basis'!$C$8*'Irish Basis'!$C$5,2)</f>
        <v/>
      </c>
      <c r="Q2456" s="10">
        <f>ROUND(L2456*'Irish Basis'!$C$12*'Irish Basis'!$C$5,2)</f>
        <v/>
      </c>
      <c r="R2456" s="11">
        <f>ROUND(SUM(N2456:Q2456),2)</f>
        <v/>
      </c>
      <c r="S2456" s="5" t="inlineStr">
        <is>
          <t>Stated build-up</t>
        </is>
      </c>
      <c r="T2456" s="12" t="inlineStr">
        <is>
          <t>High</t>
        </is>
      </c>
      <c r="U2456" s="8" t="n">
        <v>8.199999999999999</v>
      </c>
      <c r="V2456" s="13">
        <f>IF(U2456="","",ROUND(M2456-U2456,2))</f>
        <v/>
      </c>
      <c r="W2456" s="5" t="n"/>
      <c r="X2456" s="5" t="inlineStr">
        <is>
          <t>Labour + plant + material as published; reconciles to the published rate.</t>
        </is>
      </c>
    </row>
    <row r="2457" ht="13" customHeight="1">
      <c r="A2457" s="4" t="n">
        <v>3712</v>
      </c>
      <c r="B2457" s="5" t="inlineStr">
        <is>
          <t>IMG_0115</t>
        </is>
      </c>
      <c r="C2457" s="5" t="inlineStr">
        <is>
          <t>CLASS O: TIMBER</t>
        </is>
      </c>
      <c r="D2457" s="5" t="inlineStr">
        <is>
          <t>05 FITTINGS AND FASTENINGS</t>
        </is>
      </c>
      <c r="E2457" s="5" t="inlineStr">
        <is>
          <t>Metric mild steel bolts, nuts and washers</t>
        </is>
      </c>
      <c r="F2457" s="5" t="inlineStr">
        <is>
          <t>M16 x 240 mm long</t>
        </is>
      </c>
      <c r="G2457" s="6" t="inlineStr">
        <is>
          <t>nr</t>
        </is>
      </c>
      <c r="H2457" s="7" t="n">
        <v>0.1</v>
      </c>
      <c r="I2457" s="8" t="n">
        <v>5.73</v>
      </c>
      <c r="J2457" s="8" t="n">
        <v>0</v>
      </c>
      <c r="K2457" s="8" t="n">
        <v>4.38</v>
      </c>
      <c r="L2457" s="8" t="n">
        <v>0</v>
      </c>
      <c r="M2457" s="9">
        <f>ROUND(SUM(I2457:L2457),2)</f>
        <v/>
      </c>
      <c r="N2457" s="10">
        <f>ROUND(I2457*'Irish Basis'!$C$6*'Irish Basis'!$C$5,2)</f>
        <v/>
      </c>
      <c r="O2457" s="10">
        <f>ROUND(J2457*'Irish Basis'!$C$7*'Irish Basis'!$C$5,2)</f>
        <v/>
      </c>
      <c r="P2457" s="10">
        <f>ROUND(K2457*'Irish Basis'!$C$8*'Irish Basis'!$C$5,2)</f>
        <v/>
      </c>
      <c r="Q2457" s="10">
        <f>ROUND(L2457*'Irish Basis'!$C$12*'Irish Basis'!$C$5,2)</f>
        <v/>
      </c>
      <c r="R2457" s="11">
        <f>ROUND(SUM(N2457:Q2457),2)</f>
        <v/>
      </c>
      <c r="S2457" s="5" t="inlineStr">
        <is>
          <t>Stated build-up</t>
        </is>
      </c>
      <c r="T2457" s="12" t="inlineStr">
        <is>
          <t>High</t>
        </is>
      </c>
      <c r="U2457" s="8" t="n">
        <v>10.11</v>
      </c>
      <c r="V2457" s="13">
        <f>IF(U2457="","",ROUND(M2457-U2457,2))</f>
        <v/>
      </c>
      <c r="W2457" s="5" t="n"/>
      <c r="X2457" s="5" t="inlineStr">
        <is>
          <t>Labour + plant + material as published; reconciles to the published rate.</t>
        </is>
      </c>
    </row>
    <row r="2458" ht="13" customHeight="1">
      <c r="A2458" s="4" t="n">
        <v>3713</v>
      </c>
      <c r="B2458" s="5" t="inlineStr">
        <is>
          <t>IMG_0115</t>
        </is>
      </c>
      <c r="C2458" s="5" t="inlineStr">
        <is>
          <t>CLASS O: TIMBER</t>
        </is>
      </c>
      <c r="D2458" s="5" t="inlineStr">
        <is>
          <t>05 FITTINGS AND FASTENINGS</t>
        </is>
      </c>
      <c r="E2458" s="5" t="inlineStr">
        <is>
          <t>Metric mild steel bolts, nuts and washers</t>
        </is>
      </c>
      <c r="F2458" s="5" t="inlineStr">
        <is>
          <t>M16 x 300 mm long</t>
        </is>
      </c>
      <c r="G2458" s="6" t="inlineStr">
        <is>
          <t>nr</t>
        </is>
      </c>
      <c r="H2458" s="7" t="n">
        <v>0.1</v>
      </c>
      <c r="I2458" s="8" t="n">
        <v>5.73</v>
      </c>
      <c r="J2458" s="8" t="n">
        <v>0</v>
      </c>
      <c r="K2458" s="8" t="n">
        <v>4.76</v>
      </c>
      <c r="L2458" s="8" t="n">
        <v>0</v>
      </c>
      <c r="M2458" s="9">
        <f>ROUND(SUM(I2458:L2458),2)</f>
        <v/>
      </c>
      <c r="N2458" s="10">
        <f>ROUND(I2458*'Irish Basis'!$C$6*'Irish Basis'!$C$5,2)</f>
        <v/>
      </c>
      <c r="O2458" s="10">
        <f>ROUND(J2458*'Irish Basis'!$C$7*'Irish Basis'!$C$5,2)</f>
        <v/>
      </c>
      <c r="P2458" s="10">
        <f>ROUND(K2458*'Irish Basis'!$C$8*'Irish Basis'!$C$5,2)</f>
        <v/>
      </c>
      <c r="Q2458" s="10">
        <f>ROUND(L2458*'Irish Basis'!$C$12*'Irish Basis'!$C$5,2)</f>
        <v/>
      </c>
      <c r="R2458" s="11">
        <f>ROUND(SUM(N2458:Q2458),2)</f>
        <v/>
      </c>
      <c r="S2458" s="5" t="inlineStr">
        <is>
          <t>Stated build-up</t>
        </is>
      </c>
      <c r="T2458" s="12" t="inlineStr">
        <is>
          <t>High</t>
        </is>
      </c>
      <c r="U2458" s="8" t="n">
        <v>10.49</v>
      </c>
      <c r="V2458" s="13">
        <f>IF(U2458="","",ROUND(M2458-U2458,2))</f>
        <v/>
      </c>
      <c r="W2458" s="5" t="n"/>
      <c r="X2458" s="5" t="inlineStr">
        <is>
          <t>Labour + plant + material as published; reconciles to the published rate.</t>
        </is>
      </c>
    </row>
    <row r="2459" ht="13" customHeight="1">
      <c r="A2459" s="4" t="n">
        <v>3714</v>
      </c>
      <c r="B2459" s="5" t="inlineStr">
        <is>
          <t>IMG_0115</t>
        </is>
      </c>
      <c r="C2459" s="5" t="inlineStr">
        <is>
          <t>CLASS O: TIMBER</t>
        </is>
      </c>
      <c r="D2459" s="5" t="inlineStr">
        <is>
          <t>05 FITTINGS AND FASTENINGS</t>
        </is>
      </c>
      <c r="E2459" s="5" t="inlineStr">
        <is>
          <t>Metric mild steel bolts, nuts and washers</t>
        </is>
      </c>
      <c r="F2459" s="5" t="inlineStr">
        <is>
          <t>M20 x 50 mm long</t>
        </is>
      </c>
      <c r="G2459" s="6" t="inlineStr">
        <is>
          <t>nr</t>
        </is>
      </c>
      <c r="H2459" s="7" t="n">
        <v>0.07000000000000001</v>
      </c>
      <c r="I2459" s="8" t="n">
        <v>4.01</v>
      </c>
      <c r="J2459" s="8" t="n">
        <v>0</v>
      </c>
      <c r="K2459" s="8" t="n">
        <v>1.56</v>
      </c>
      <c r="L2459" s="8" t="n">
        <v>0</v>
      </c>
      <c r="M2459" s="9">
        <f>ROUND(SUM(I2459:L2459),2)</f>
        <v/>
      </c>
      <c r="N2459" s="10">
        <f>ROUND(I2459*'Irish Basis'!$C$6*'Irish Basis'!$C$5,2)</f>
        <v/>
      </c>
      <c r="O2459" s="10">
        <f>ROUND(J2459*'Irish Basis'!$C$7*'Irish Basis'!$C$5,2)</f>
        <v/>
      </c>
      <c r="P2459" s="10">
        <f>ROUND(K2459*'Irish Basis'!$C$8*'Irish Basis'!$C$5,2)</f>
        <v/>
      </c>
      <c r="Q2459" s="10">
        <f>ROUND(L2459*'Irish Basis'!$C$12*'Irish Basis'!$C$5,2)</f>
        <v/>
      </c>
      <c r="R2459" s="11">
        <f>ROUND(SUM(N2459:Q2459),2)</f>
        <v/>
      </c>
      <c r="S2459" s="5" t="inlineStr">
        <is>
          <t>Stated build-up</t>
        </is>
      </c>
      <c r="T2459" s="12" t="inlineStr">
        <is>
          <t>High</t>
        </is>
      </c>
      <c r="U2459" s="8" t="n">
        <v>5.57</v>
      </c>
      <c r="V2459" s="13">
        <f>IF(U2459="","",ROUND(M2459-U2459,2))</f>
        <v/>
      </c>
      <c r="W2459" s="5" t="n"/>
      <c r="X2459" s="5" t="inlineStr">
        <is>
          <t>Labour + plant + material as published; reconciles to the published rate.</t>
        </is>
      </c>
    </row>
    <row r="2460" ht="13" customHeight="1">
      <c r="A2460" s="4" t="n">
        <v>3715</v>
      </c>
      <c r="B2460" s="5" t="inlineStr">
        <is>
          <t>IMG_0115</t>
        </is>
      </c>
      <c r="C2460" s="5" t="inlineStr">
        <is>
          <t>CLASS O: TIMBER</t>
        </is>
      </c>
      <c r="D2460" s="5" t="inlineStr">
        <is>
          <t>05 FITTINGS AND FASTENINGS</t>
        </is>
      </c>
      <c r="E2460" s="5" t="inlineStr">
        <is>
          <t>Metric mild steel bolts, nuts and washers</t>
        </is>
      </c>
      <c r="F2460" s="5" t="inlineStr">
        <is>
          <t>M20 x 75 mm long</t>
        </is>
      </c>
      <c r="G2460" s="6" t="inlineStr">
        <is>
          <t>nr</t>
        </is>
      </c>
      <c r="H2460" s="7" t="n">
        <v>0.08</v>
      </c>
      <c r="I2460" s="8" t="n">
        <v>4.58</v>
      </c>
      <c r="J2460" s="8" t="n">
        <v>0</v>
      </c>
      <c r="K2460" s="8" t="n">
        <v>2.5</v>
      </c>
      <c r="L2460" s="8" t="n">
        <v>0</v>
      </c>
      <c r="M2460" s="9">
        <f>ROUND(SUM(I2460:L2460),2)</f>
        <v/>
      </c>
      <c r="N2460" s="10">
        <f>ROUND(I2460*'Irish Basis'!$C$6*'Irish Basis'!$C$5,2)</f>
        <v/>
      </c>
      <c r="O2460" s="10">
        <f>ROUND(J2460*'Irish Basis'!$C$7*'Irish Basis'!$C$5,2)</f>
        <v/>
      </c>
      <c r="P2460" s="10">
        <f>ROUND(K2460*'Irish Basis'!$C$8*'Irish Basis'!$C$5,2)</f>
        <v/>
      </c>
      <c r="Q2460" s="10">
        <f>ROUND(L2460*'Irish Basis'!$C$12*'Irish Basis'!$C$5,2)</f>
        <v/>
      </c>
      <c r="R2460" s="11">
        <f>ROUND(SUM(N2460:Q2460),2)</f>
        <v/>
      </c>
      <c r="S2460" s="5" t="inlineStr">
        <is>
          <t>Stated build-up</t>
        </is>
      </c>
      <c r="T2460" s="12" t="inlineStr">
        <is>
          <t>High</t>
        </is>
      </c>
      <c r="U2460" s="8" t="n">
        <v>7.09</v>
      </c>
      <c r="V2460" s="13">
        <f>IF(U2460="","",ROUND(M2460-U2460,2))</f>
        <v/>
      </c>
      <c r="W2460" s="5" t="n"/>
      <c r="X2460" s="5" t="inlineStr">
        <is>
          <t>Labour + plant + material as published; reconciles to the published rate.</t>
        </is>
      </c>
    </row>
    <row r="2461" ht="13" customHeight="1">
      <c r="A2461" s="4" t="n">
        <v>3716</v>
      </c>
      <c r="B2461" s="5" t="inlineStr">
        <is>
          <t>IMG_0115</t>
        </is>
      </c>
      <c r="C2461" s="5" t="inlineStr">
        <is>
          <t>CLASS O: TIMBER</t>
        </is>
      </c>
      <c r="D2461" s="5" t="inlineStr">
        <is>
          <t>05 FITTINGS AND FASTENINGS</t>
        </is>
      </c>
      <c r="E2461" s="5" t="inlineStr">
        <is>
          <t>Metric mild steel bolts, nuts and washers</t>
        </is>
      </c>
      <c r="F2461" s="5" t="inlineStr">
        <is>
          <t>M20 x 100 mm long</t>
        </is>
      </c>
      <c r="G2461" s="6" t="inlineStr">
        <is>
          <t>nr</t>
        </is>
      </c>
      <c r="H2461" s="7" t="n">
        <v>0.08</v>
      </c>
      <c r="I2461" s="8" t="n">
        <v>4.58</v>
      </c>
      <c r="J2461" s="8" t="n">
        <v>0</v>
      </c>
      <c r="K2461" s="8" t="n">
        <v>2.81</v>
      </c>
      <c r="L2461" s="8" t="n">
        <v>0</v>
      </c>
      <c r="M2461" s="9">
        <f>ROUND(SUM(I2461:L2461),2)</f>
        <v/>
      </c>
      <c r="N2461" s="10">
        <f>ROUND(I2461*'Irish Basis'!$C$6*'Irish Basis'!$C$5,2)</f>
        <v/>
      </c>
      <c r="O2461" s="10">
        <f>ROUND(J2461*'Irish Basis'!$C$7*'Irish Basis'!$C$5,2)</f>
        <v/>
      </c>
      <c r="P2461" s="10">
        <f>ROUND(K2461*'Irish Basis'!$C$8*'Irish Basis'!$C$5,2)</f>
        <v/>
      </c>
      <c r="Q2461" s="10">
        <f>ROUND(L2461*'Irish Basis'!$C$12*'Irish Basis'!$C$5,2)</f>
        <v/>
      </c>
      <c r="R2461" s="11">
        <f>ROUND(SUM(N2461:Q2461),2)</f>
        <v/>
      </c>
      <c r="S2461" s="5" t="inlineStr">
        <is>
          <t>Stated build-up</t>
        </is>
      </c>
      <c r="T2461" s="12" t="inlineStr">
        <is>
          <t>High</t>
        </is>
      </c>
      <c r="U2461" s="8" t="n">
        <v>7.39</v>
      </c>
      <c r="V2461" s="13">
        <f>IF(U2461="","",ROUND(M2461-U2461,2))</f>
        <v/>
      </c>
      <c r="W2461" s="5" t="n"/>
      <c r="X2461" s="5" t="inlineStr">
        <is>
          <t>Labour + plant + material as published; reconciles to the published rate.</t>
        </is>
      </c>
    </row>
    <row r="2462" ht="13" customHeight="1">
      <c r="A2462" s="4" t="n">
        <v>3717</v>
      </c>
      <c r="B2462" s="5" t="inlineStr">
        <is>
          <t>IMG_0115</t>
        </is>
      </c>
      <c r="C2462" s="5" t="inlineStr">
        <is>
          <t>CLASS O: TIMBER</t>
        </is>
      </c>
      <c r="D2462" s="5" t="inlineStr">
        <is>
          <t>05 FITTINGS AND FASTENINGS</t>
        </is>
      </c>
      <c r="E2462" s="5" t="inlineStr">
        <is>
          <t>Metric mild steel bolts, nuts and washers</t>
        </is>
      </c>
      <c r="F2462" s="5" t="inlineStr">
        <is>
          <t>M20 x 120 mm long</t>
        </is>
      </c>
      <c r="G2462" s="6" t="inlineStr">
        <is>
          <t>nr</t>
        </is>
      </c>
      <c r="H2462" s="7" t="n">
        <v>0.09</v>
      </c>
      <c r="I2462" s="8" t="n">
        <v>5.16</v>
      </c>
      <c r="J2462" s="8" t="n">
        <v>0</v>
      </c>
      <c r="K2462" s="8" t="n">
        <v>3.43</v>
      </c>
      <c r="L2462" s="8" t="n">
        <v>0</v>
      </c>
      <c r="M2462" s="9">
        <f>ROUND(SUM(I2462:L2462),2)</f>
        <v/>
      </c>
      <c r="N2462" s="10">
        <f>ROUND(I2462*'Irish Basis'!$C$6*'Irish Basis'!$C$5,2)</f>
        <v/>
      </c>
      <c r="O2462" s="10">
        <f>ROUND(J2462*'Irish Basis'!$C$7*'Irish Basis'!$C$5,2)</f>
        <v/>
      </c>
      <c r="P2462" s="10">
        <f>ROUND(K2462*'Irish Basis'!$C$8*'Irish Basis'!$C$5,2)</f>
        <v/>
      </c>
      <c r="Q2462" s="10">
        <f>ROUND(L2462*'Irish Basis'!$C$12*'Irish Basis'!$C$5,2)</f>
        <v/>
      </c>
      <c r="R2462" s="11">
        <f>ROUND(SUM(N2462:Q2462),2)</f>
        <v/>
      </c>
      <c r="S2462" s="5" t="inlineStr">
        <is>
          <t>Stated build-up</t>
        </is>
      </c>
      <c r="T2462" s="12" t="inlineStr">
        <is>
          <t>High</t>
        </is>
      </c>
      <c r="U2462" s="8" t="n">
        <v>8.58</v>
      </c>
      <c r="V2462" s="13">
        <f>IF(U2462="","",ROUND(M2462-U2462,2))</f>
        <v/>
      </c>
      <c r="W2462" s="5" t="n"/>
      <c r="X2462" s="5" t="inlineStr">
        <is>
          <t>Labour + plant + material as published; reconciles to the published rate.</t>
        </is>
      </c>
    </row>
    <row r="2463" ht="13" customHeight="1">
      <c r="A2463" s="4" t="n">
        <v>3718</v>
      </c>
      <c r="B2463" s="5" t="inlineStr">
        <is>
          <t>IMG_0115</t>
        </is>
      </c>
      <c r="C2463" s="5" t="inlineStr">
        <is>
          <t>CLASS O: TIMBER</t>
        </is>
      </c>
      <c r="D2463" s="5" t="inlineStr">
        <is>
          <t>05 FITTINGS AND FASTENINGS</t>
        </is>
      </c>
      <c r="E2463" s="5" t="inlineStr">
        <is>
          <t>Metric mild steel bolts, nuts and washers</t>
        </is>
      </c>
      <c r="F2463" s="5" t="inlineStr">
        <is>
          <t>M20 x 150 mm long</t>
        </is>
      </c>
      <c r="G2463" s="6" t="inlineStr">
        <is>
          <t>nr</t>
        </is>
      </c>
      <c r="H2463" s="7" t="n">
        <v>0.09</v>
      </c>
      <c r="I2463" s="8" t="n">
        <v>5.16</v>
      </c>
      <c r="J2463" s="8" t="n">
        <v>0</v>
      </c>
      <c r="K2463" s="8" t="n">
        <v>3.59</v>
      </c>
      <c r="L2463" s="8" t="n">
        <v>0</v>
      </c>
      <c r="M2463" s="9">
        <f>ROUND(SUM(I2463:L2463),2)</f>
        <v/>
      </c>
      <c r="N2463" s="10">
        <f>ROUND(I2463*'Irish Basis'!$C$6*'Irish Basis'!$C$5,2)</f>
        <v/>
      </c>
      <c r="O2463" s="10">
        <f>ROUND(J2463*'Irish Basis'!$C$7*'Irish Basis'!$C$5,2)</f>
        <v/>
      </c>
      <c r="P2463" s="10">
        <f>ROUND(K2463*'Irish Basis'!$C$8*'Irish Basis'!$C$5,2)</f>
        <v/>
      </c>
      <c r="Q2463" s="10">
        <f>ROUND(L2463*'Irish Basis'!$C$12*'Irish Basis'!$C$5,2)</f>
        <v/>
      </c>
      <c r="R2463" s="11">
        <f>ROUND(SUM(N2463:Q2463),2)</f>
        <v/>
      </c>
      <c r="S2463" s="5" t="inlineStr">
        <is>
          <t>Stated build-up</t>
        </is>
      </c>
      <c r="T2463" s="12" t="inlineStr">
        <is>
          <t>High</t>
        </is>
      </c>
      <c r="U2463" s="8" t="n">
        <v>8.75</v>
      </c>
      <c r="V2463" s="13">
        <f>IF(U2463="","",ROUND(M2463-U2463,2))</f>
        <v/>
      </c>
      <c r="W2463" s="5" t="n"/>
      <c r="X2463" s="5" t="inlineStr">
        <is>
          <t>Labour + plant + material as published; reconciles to the published rate.</t>
        </is>
      </c>
    </row>
    <row r="2464" ht="13" customHeight="1">
      <c r="A2464" s="4" t="n">
        <v>3719</v>
      </c>
      <c r="B2464" s="5" t="inlineStr">
        <is>
          <t>IMG_0115</t>
        </is>
      </c>
      <c r="C2464" s="5" t="inlineStr">
        <is>
          <t>CLASS O: TIMBER</t>
        </is>
      </c>
      <c r="D2464" s="5" t="inlineStr">
        <is>
          <t>05 FITTINGS AND FASTENINGS</t>
        </is>
      </c>
      <c r="E2464" s="5" t="inlineStr">
        <is>
          <t>Metric mild steel bolts, nuts and washers</t>
        </is>
      </c>
      <c r="F2464" s="5" t="inlineStr">
        <is>
          <t>M20 x 200 mm long</t>
        </is>
      </c>
      <c r="G2464" s="6" t="inlineStr">
        <is>
          <t>nr</t>
        </is>
      </c>
      <c r="H2464" s="7" t="n">
        <v>0.1</v>
      </c>
      <c r="I2464" s="8" t="n">
        <v>5.73</v>
      </c>
      <c r="J2464" s="8" t="n">
        <v>0</v>
      </c>
      <c r="K2464" s="8" t="n">
        <v>4.73</v>
      </c>
      <c r="L2464" s="8" t="n">
        <v>0</v>
      </c>
      <c r="M2464" s="9">
        <f>ROUND(SUM(I2464:L2464),2)</f>
        <v/>
      </c>
      <c r="N2464" s="10">
        <f>ROUND(I2464*'Irish Basis'!$C$6*'Irish Basis'!$C$5,2)</f>
        <v/>
      </c>
      <c r="O2464" s="10">
        <f>ROUND(J2464*'Irish Basis'!$C$7*'Irish Basis'!$C$5,2)</f>
        <v/>
      </c>
      <c r="P2464" s="10">
        <f>ROUND(K2464*'Irish Basis'!$C$8*'Irish Basis'!$C$5,2)</f>
        <v/>
      </c>
      <c r="Q2464" s="10">
        <f>ROUND(L2464*'Irish Basis'!$C$12*'Irish Basis'!$C$5,2)</f>
        <v/>
      </c>
      <c r="R2464" s="11">
        <f>ROUND(SUM(N2464:Q2464),2)</f>
        <v/>
      </c>
      <c r="S2464" s="5" t="inlineStr">
        <is>
          <t>Stated build-up</t>
        </is>
      </c>
      <c r="T2464" s="12" t="inlineStr">
        <is>
          <t>High</t>
        </is>
      </c>
      <c r="U2464" s="8" t="n">
        <v>10.47</v>
      </c>
      <c r="V2464" s="13">
        <f>IF(U2464="","",ROUND(M2464-U2464,2))</f>
        <v/>
      </c>
      <c r="W2464" s="5" t="n"/>
      <c r="X2464" s="5" t="inlineStr">
        <is>
          <t>Labour + plant + material as published; reconciles to the published rate.</t>
        </is>
      </c>
    </row>
    <row r="2465" ht="13" customHeight="1">
      <c r="A2465" s="4" t="n">
        <v>3720</v>
      </c>
      <c r="B2465" s="5" t="inlineStr">
        <is>
          <t>IMG_0115</t>
        </is>
      </c>
      <c r="C2465" s="5" t="inlineStr">
        <is>
          <t>CLASS O: TIMBER</t>
        </is>
      </c>
      <c r="D2465" s="5" t="inlineStr">
        <is>
          <t>05 FITTINGS AND FASTENINGS</t>
        </is>
      </c>
      <c r="E2465" s="5" t="inlineStr">
        <is>
          <t>Metric mild steel bolts, nuts and washers</t>
        </is>
      </c>
      <c r="F2465" s="5" t="inlineStr">
        <is>
          <t>M20 x 240 mm long</t>
        </is>
      </c>
      <c r="G2465" s="6" t="inlineStr">
        <is>
          <t>nr</t>
        </is>
      </c>
      <c r="H2465" s="7" t="n">
        <v>0.1</v>
      </c>
      <c r="I2465" s="8" t="n">
        <v>5.73</v>
      </c>
      <c r="J2465" s="8" t="n">
        <v>0</v>
      </c>
      <c r="K2465" s="8" t="n">
        <v>6.27</v>
      </c>
      <c r="L2465" s="8" t="n">
        <v>0</v>
      </c>
      <c r="M2465" s="9">
        <f>ROUND(SUM(I2465:L2465),2)</f>
        <v/>
      </c>
      <c r="N2465" s="10">
        <f>ROUND(I2465*'Irish Basis'!$C$6*'Irish Basis'!$C$5,2)</f>
        <v/>
      </c>
      <c r="O2465" s="10">
        <f>ROUND(J2465*'Irish Basis'!$C$7*'Irish Basis'!$C$5,2)</f>
        <v/>
      </c>
      <c r="P2465" s="10">
        <f>ROUND(K2465*'Irish Basis'!$C$8*'Irish Basis'!$C$5,2)</f>
        <v/>
      </c>
      <c r="Q2465" s="10">
        <f>ROUND(L2465*'Irish Basis'!$C$12*'Irish Basis'!$C$5,2)</f>
        <v/>
      </c>
      <c r="R2465" s="11">
        <f>ROUND(SUM(N2465:Q2465),2)</f>
        <v/>
      </c>
      <c r="S2465" s="5" t="inlineStr">
        <is>
          <t>Stated build-up</t>
        </is>
      </c>
      <c r="T2465" s="12" t="inlineStr">
        <is>
          <t>High</t>
        </is>
      </c>
      <c r="U2465" s="8" t="n">
        <v>12</v>
      </c>
      <c r="V2465" s="13">
        <f>IF(U2465="","",ROUND(M2465-U2465,2))</f>
        <v/>
      </c>
      <c r="W2465" s="5" t="n"/>
      <c r="X2465" s="5" t="inlineStr">
        <is>
          <t>Labour + plant + material as published; reconciles to the published rate.</t>
        </is>
      </c>
    </row>
    <row r="2466" ht="13" customHeight="1">
      <c r="A2466" s="4" t="n">
        <v>3721</v>
      </c>
      <c r="B2466" s="5" t="inlineStr">
        <is>
          <t>IMG_0115</t>
        </is>
      </c>
      <c r="C2466" s="5" t="inlineStr">
        <is>
          <t>CLASS O: TIMBER</t>
        </is>
      </c>
      <c r="D2466" s="5" t="inlineStr">
        <is>
          <t>05 FITTINGS AND FASTENINGS</t>
        </is>
      </c>
      <c r="E2466" s="5" t="inlineStr">
        <is>
          <t>Metric mild steel bolts, nuts and washers</t>
        </is>
      </c>
      <c r="F2466" s="5" t="inlineStr">
        <is>
          <t>M20 x 300 mm long</t>
        </is>
      </c>
      <c r="G2466" s="6" t="inlineStr">
        <is>
          <t>nr</t>
        </is>
      </c>
      <c r="H2466" s="7" t="n">
        <v>0.11</v>
      </c>
      <c r="I2466" s="8" t="n">
        <v>6.3</v>
      </c>
      <c r="J2466" s="8" t="n">
        <v>0</v>
      </c>
      <c r="K2466" s="8" t="n">
        <v>6.93</v>
      </c>
      <c r="L2466" s="8" t="n">
        <v>0</v>
      </c>
      <c r="M2466" s="9">
        <f>ROUND(SUM(I2466:L2466),2)</f>
        <v/>
      </c>
      <c r="N2466" s="10">
        <f>ROUND(I2466*'Irish Basis'!$C$6*'Irish Basis'!$C$5,2)</f>
        <v/>
      </c>
      <c r="O2466" s="10">
        <f>ROUND(J2466*'Irish Basis'!$C$7*'Irish Basis'!$C$5,2)</f>
        <v/>
      </c>
      <c r="P2466" s="10">
        <f>ROUND(K2466*'Irish Basis'!$C$8*'Irish Basis'!$C$5,2)</f>
        <v/>
      </c>
      <c r="Q2466" s="10">
        <f>ROUND(L2466*'Irish Basis'!$C$12*'Irish Basis'!$C$5,2)</f>
        <v/>
      </c>
      <c r="R2466" s="11">
        <f>ROUND(SUM(N2466:Q2466),2)</f>
        <v/>
      </c>
      <c r="S2466" s="5" t="inlineStr">
        <is>
          <t>Stated build-up</t>
        </is>
      </c>
      <c r="T2466" s="12" t="inlineStr">
        <is>
          <t>High</t>
        </is>
      </c>
      <c r="U2466" s="8" t="n">
        <v>13.24</v>
      </c>
      <c r="V2466" s="13">
        <f>IF(U2466="","",ROUND(M2466-U2466,2))</f>
        <v/>
      </c>
      <c r="W2466" s="5" t="n"/>
      <c r="X2466" s="5" t="inlineStr">
        <is>
          <t>Labour + plant + material as published; reconciles to the published rate.</t>
        </is>
      </c>
    </row>
    <row r="2467" ht="13" customHeight="1">
      <c r="A2467" s="4" t="n">
        <v>3722</v>
      </c>
      <c r="B2467" s="5" t="inlineStr">
        <is>
          <t>IMG_0115</t>
        </is>
      </c>
      <c r="C2467" s="5" t="inlineStr">
        <is>
          <t>CLASS O: TIMBER</t>
        </is>
      </c>
      <c r="D2467" s="5" t="inlineStr">
        <is>
          <t>05 FITTINGS AND FASTENINGS</t>
        </is>
      </c>
      <c r="E2467" s="5" t="inlineStr">
        <is>
          <t>Metric mild steel bolts, nuts and washers</t>
        </is>
      </c>
      <c r="F2467" s="5" t="inlineStr">
        <is>
          <t>M24 x 50 mm long</t>
        </is>
      </c>
      <c r="G2467" s="6" t="inlineStr">
        <is>
          <t>nr</t>
        </is>
      </c>
      <c r="H2467" s="7" t="n">
        <v>0.08</v>
      </c>
      <c r="I2467" s="8" t="n">
        <v>4.58</v>
      </c>
      <c r="J2467" s="8" t="n">
        <v>0</v>
      </c>
      <c r="K2467" s="8" t="n">
        <v>4.71</v>
      </c>
      <c r="L2467" s="8" t="n">
        <v>0</v>
      </c>
      <c r="M2467" s="9">
        <f>ROUND(SUM(I2467:L2467),2)</f>
        <v/>
      </c>
      <c r="N2467" s="10">
        <f>ROUND(I2467*'Irish Basis'!$C$6*'Irish Basis'!$C$5,2)</f>
        <v/>
      </c>
      <c r="O2467" s="10">
        <f>ROUND(J2467*'Irish Basis'!$C$7*'Irish Basis'!$C$5,2)</f>
        <v/>
      </c>
      <c r="P2467" s="10">
        <f>ROUND(K2467*'Irish Basis'!$C$8*'Irish Basis'!$C$5,2)</f>
        <v/>
      </c>
      <c r="Q2467" s="10">
        <f>ROUND(L2467*'Irish Basis'!$C$12*'Irish Basis'!$C$5,2)</f>
        <v/>
      </c>
      <c r="R2467" s="11">
        <f>ROUND(SUM(N2467:Q2467),2)</f>
        <v/>
      </c>
      <c r="S2467" s="5" t="inlineStr">
        <is>
          <t>Stated build-up</t>
        </is>
      </c>
      <c r="T2467" s="12" t="inlineStr">
        <is>
          <t>High</t>
        </is>
      </c>
      <c r="U2467" s="8" t="n">
        <v>9.300000000000001</v>
      </c>
      <c r="V2467" s="13">
        <f>IF(U2467="","",ROUND(M2467-U2467,2))</f>
        <v/>
      </c>
      <c r="W2467" s="5" t="n"/>
      <c r="X2467" s="5" t="inlineStr">
        <is>
          <t>Labour + plant + material as published; reconciles to the published rate.</t>
        </is>
      </c>
    </row>
    <row r="2468" ht="13" customHeight="1">
      <c r="A2468" s="4" t="n">
        <v>3723</v>
      </c>
      <c r="B2468" s="5" t="inlineStr">
        <is>
          <t>IMG_0115</t>
        </is>
      </c>
      <c r="C2468" s="5" t="inlineStr">
        <is>
          <t>CLASS O: TIMBER</t>
        </is>
      </c>
      <c r="D2468" s="5" t="inlineStr">
        <is>
          <t>05 FITTINGS AND FASTENINGS</t>
        </is>
      </c>
      <c r="E2468" s="5" t="inlineStr">
        <is>
          <t>Metric mild steel bolts, nuts and washers</t>
        </is>
      </c>
      <c r="F2468" s="5" t="inlineStr">
        <is>
          <t>M24 x 75 mm long</t>
        </is>
      </c>
      <c r="G2468" s="6" t="inlineStr">
        <is>
          <t>nr</t>
        </is>
      </c>
      <c r="H2468" s="7" t="n">
        <v>0.08</v>
      </c>
      <c r="I2468" s="8" t="n">
        <v>4.58</v>
      </c>
      <c r="J2468" s="8" t="n">
        <v>0</v>
      </c>
      <c r="K2468" s="8" t="n">
        <v>5.24</v>
      </c>
      <c r="L2468" s="8" t="n">
        <v>0</v>
      </c>
      <c r="M2468" s="9">
        <f>ROUND(SUM(I2468:L2468),2)</f>
        <v/>
      </c>
      <c r="N2468" s="10">
        <f>ROUND(I2468*'Irish Basis'!$C$6*'Irish Basis'!$C$5,2)</f>
        <v/>
      </c>
      <c r="O2468" s="10">
        <f>ROUND(J2468*'Irish Basis'!$C$7*'Irish Basis'!$C$5,2)</f>
        <v/>
      </c>
      <c r="P2468" s="10">
        <f>ROUND(K2468*'Irish Basis'!$C$8*'Irish Basis'!$C$5,2)</f>
        <v/>
      </c>
      <c r="Q2468" s="10">
        <f>ROUND(L2468*'Irish Basis'!$C$12*'Irish Basis'!$C$5,2)</f>
        <v/>
      </c>
      <c r="R2468" s="11">
        <f>ROUND(SUM(N2468:Q2468),2)</f>
        <v/>
      </c>
      <c r="S2468" s="5" t="inlineStr">
        <is>
          <t>Stated build-up</t>
        </is>
      </c>
      <c r="T2468" s="12" t="inlineStr">
        <is>
          <t>High</t>
        </is>
      </c>
      <c r="U2468" s="8" t="n">
        <v>9.83</v>
      </c>
      <c r="V2468" s="13">
        <f>IF(U2468="","",ROUND(M2468-U2468,2))</f>
        <v/>
      </c>
      <c r="W2468" s="5" t="n"/>
      <c r="X2468" s="5" t="inlineStr">
        <is>
          <t>Labour + plant + material as published; reconciles to the published rate.</t>
        </is>
      </c>
    </row>
    <row r="2469" ht="13" customHeight="1">
      <c r="A2469" s="4" t="n">
        <v>3724</v>
      </c>
      <c r="B2469" s="5" t="inlineStr">
        <is>
          <t>IMG_0115</t>
        </is>
      </c>
      <c r="C2469" s="5" t="inlineStr">
        <is>
          <t>CLASS O: TIMBER</t>
        </is>
      </c>
      <c r="D2469" s="5" t="inlineStr">
        <is>
          <t>05 FITTINGS AND FASTENINGS</t>
        </is>
      </c>
      <c r="E2469" s="5" t="inlineStr">
        <is>
          <t>Metric mild steel bolts, nuts and washers</t>
        </is>
      </c>
      <c r="F2469" s="5" t="inlineStr">
        <is>
          <t>M24 x 100 mm long</t>
        </is>
      </c>
      <c r="G2469" s="6" t="inlineStr">
        <is>
          <t>nr</t>
        </is>
      </c>
      <c r="H2469" s="7" t="n">
        <v>0.09</v>
      </c>
      <c r="I2469" s="8" t="n">
        <v>5.16</v>
      </c>
      <c r="J2469" s="8" t="n">
        <v>0</v>
      </c>
      <c r="K2469" s="8" t="n">
        <v>5.2</v>
      </c>
      <c r="L2469" s="8" t="n">
        <v>0</v>
      </c>
      <c r="M2469" s="9">
        <f>ROUND(SUM(I2469:L2469),2)</f>
        <v/>
      </c>
      <c r="N2469" s="10">
        <f>ROUND(I2469*'Irish Basis'!$C$6*'Irish Basis'!$C$5,2)</f>
        <v/>
      </c>
      <c r="O2469" s="10">
        <f>ROUND(J2469*'Irish Basis'!$C$7*'Irish Basis'!$C$5,2)</f>
        <v/>
      </c>
      <c r="P2469" s="10">
        <f>ROUND(K2469*'Irish Basis'!$C$8*'Irish Basis'!$C$5,2)</f>
        <v/>
      </c>
      <c r="Q2469" s="10">
        <f>ROUND(L2469*'Irish Basis'!$C$12*'Irish Basis'!$C$5,2)</f>
        <v/>
      </c>
      <c r="R2469" s="11">
        <f>ROUND(SUM(N2469:Q2469),2)</f>
        <v/>
      </c>
      <c r="S2469" s="5" t="inlineStr">
        <is>
          <t>Stated build-up</t>
        </is>
      </c>
      <c r="T2469" s="12" t="inlineStr">
        <is>
          <t>High</t>
        </is>
      </c>
      <c r="U2469" s="8" t="n">
        <v>10.36</v>
      </c>
      <c r="V2469" s="13">
        <f>IF(U2469="","",ROUND(M2469-U2469,2))</f>
        <v/>
      </c>
      <c r="W2469" s="5" t="n"/>
      <c r="X2469" s="5" t="inlineStr">
        <is>
          <t>Labour + plant + material as published; reconciles to the published rate.</t>
        </is>
      </c>
    </row>
    <row r="2470" ht="13" customHeight="1">
      <c r="A2470" s="4" t="n">
        <v>3725</v>
      </c>
      <c r="B2470" s="5" t="inlineStr">
        <is>
          <t>IMG_0115</t>
        </is>
      </c>
      <c r="C2470" s="5" t="inlineStr">
        <is>
          <t>CLASS O: TIMBER</t>
        </is>
      </c>
      <c r="D2470" s="5" t="inlineStr">
        <is>
          <t>05 FITTINGS AND FASTENINGS</t>
        </is>
      </c>
      <c r="E2470" s="5" t="inlineStr">
        <is>
          <t>Metric mild steel bolts, nuts and washers</t>
        </is>
      </c>
      <c r="F2470" s="5" t="inlineStr">
        <is>
          <t>M24 x 120 mm long</t>
        </is>
      </c>
      <c r="G2470" s="6" t="inlineStr">
        <is>
          <t>nr</t>
        </is>
      </c>
      <c r="H2470" s="7" t="n">
        <v>0.09</v>
      </c>
      <c r="I2470" s="8" t="n">
        <v>5.16</v>
      </c>
      <c r="J2470" s="8" t="n">
        <v>0</v>
      </c>
      <c r="K2470" s="8" t="n">
        <v>5.8</v>
      </c>
      <c r="L2470" s="8" t="n">
        <v>0</v>
      </c>
      <c r="M2470" s="9">
        <f>ROUND(SUM(I2470:L2470),2)</f>
        <v/>
      </c>
      <c r="N2470" s="10">
        <f>ROUND(I2470*'Irish Basis'!$C$6*'Irish Basis'!$C$5,2)</f>
        <v/>
      </c>
      <c r="O2470" s="10">
        <f>ROUND(J2470*'Irish Basis'!$C$7*'Irish Basis'!$C$5,2)</f>
        <v/>
      </c>
      <c r="P2470" s="10">
        <f>ROUND(K2470*'Irish Basis'!$C$8*'Irish Basis'!$C$5,2)</f>
        <v/>
      </c>
      <c r="Q2470" s="10">
        <f>ROUND(L2470*'Irish Basis'!$C$12*'Irish Basis'!$C$5,2)</f>
        <v/>
      </c>
      <c r="R2470" s="11">
        <f>ROUND(SUM(N2470:Q2470),2)</f>
        <v/>
      </c>
      <c r="S2470" s="5" t="inlineStr">
        <is>
          <t>Stated build-up</t>
        </is>
      </c>
      <c r="T2470" s="12" t="inlineStr">
        <is>
          <t>High</t>
        </is>
      </c>
      <c r="U2470" s="8" t="n">
        <v>10.96</v>
      </c>
      <c r="V2470" s="13">
        <f>IF(U2470="","",ROUND(M2470-U2470,2))</f>
        <v/>
      </c>
      <c r="W2470" s="5" t="n"/>
      <c r="X2470" s="5" t="inlineStr">
        <is>
          <t>Labour + plant + material as published; reconciles to the published rate.</t>
        </is>
      </c>
    </row>
    <row r="2471" ht="13" customHeight="1">
      <c r="A2471" s="4" t="n">
        <v>3726</v>
      </c>
      <c r="B2471" s="5" t="inlineStr">
        <is>
          <t>IMG_0115</t>
        </is>
      </c>
      <c r="C2471" s="5" t="inlineStr">
        <is>
          <t>CLASS O: TIMBER</t>
        </is>
      </c>
      <c r="D2471" s="5" t="inlineStr">
        <is>
          <t>05 FITTINGS AND FASTENINGS</t>
        </is>
      </c>
      <c r="E2471" s="5" t="inlineStr">
        <is>
          <t>Metric mild steel bolts, nuts and washers</t>
        </is>
      </c>
      <c r="F2471" s="5" t="inlineStr">
        <is>
          <t>M24 x 150 mm long</t>
        </is>
      </c>
      <c r="G2471" s="6" t="inlineStr">
        <is>
          <t>nr</t>
        </is>
      </c>
      <c r="H2471" s="7" t="n">
        <v>0.1</v>
      </c>
      <c r="I2471" s="8" t="n">
        <v>5.73</v>
      </c>
      <c r="J2471" s="8" t="n">
        <v>0</v>
      </c>
      <c r="K2471" s="8" t="n">
        <v>6.4</v>
      </c>
      <c r="L2471" s="8" t="n">
        <v>0</v>
      </c>
      <c r="M2471" s="9">
        <f>ROUND(SUM(I2471:L2471),2)</f>
        <v/>
      </c>
      <c r="N2471" s="10">
        <f>ROUND(I2471*'Irish Basis'!$C$6*'Irish Basis'!$C$5,2)</f>
        <v/>
      </c>
      <c r="O2471" s="10">
        <f>ROUND(J2471*'Irish Basis'!$C$7*'Irish Basis'!$C$5,2)</f>
        <v/>
      </c>
      <c r="P2471" s="10">
        <f>ROUND(K2471*'Irish Basis'!$C$8*'Irish Basis'!$C$5,2)</f>
        <v/>
      </c>
      <c r="Q2471" s="10">
        <f>ROUND(L2471*'Irish Basis'!$C$12*'Irish Basis'!$C$5,2)</f>
        <v/>
      </c>
      <c r="R2471" s="11">
        <f>ROUND(SUM(N2471:Q2471),2)</f>
        <v/>
      </c>
      <c r="S2471" s="5" t="inlineStr">
        <is>
          <t>Stated build-up</t>
        </is>
      </c>
      <c r="T2471" s="12" t="inlineStr">
        <is>
          <t>High</t>
        </is>
      </c>
      <c r="U2471" s="8" t="n">
        <v>12.13</v>
      </c>
      <c r="V2471" s="13">
        <f>IF(U2471="","",ROUND(M2471-U2471,2))</f>
        <v/>
      </c>
      <c r="W2471" s="5" t="n"/>
      <c r="X2471" s="5" t="inlineStr">
        <is>
          <t>Labour + plant + material as published; reconciles to the published rate.</t>
        </is>
      </c>
    </row>
    <row r="2472" ht="13" customHeight="1">
      <c r="A2472" s="4" t="n">
        <v>3727</v>
      </c>
      <c r="B2472" s="5" t="inlineStr">
        <is>
          <t>IMG_0115</t>
        </is>
      </c>
      <c r="C2472" s="5" t="inlineStr">
        <is>
          <t>CLASS O: TIMBER</t>
        </is>
      </c>
      <c r="D2472" s="5" t="inlineStr">
        <is>
          <t>05 FITTINGS AND FASTENINGS</t>
        </is>
      </c>
      <c r="E2472" s="5" t="inlineStr">
        <is>
          <t>Metric mild steel bolts, nuts and washers</t>
        </is>
      </c>
      <c r="F2472" s="5" t="inlineStr">
        <is>
          <t>M24 x 200 mm long</t>
        </is>
      </c>
      <c r="G2472" s="6" t="inlineStr">
        <is>
          <t>nr</t>
        </is>
      </c>
      <c r="H2472" s="7" t="n">
        <v>0.11</v>
      </c>
      <c r="I2472" s="8" t="n">
        <v>6.3</v>
      </c>
      <c r="J2472" s="8" t="n">
        <v>0</v>
      </c>
      <c r="K2472" s="8" t="n">
        <v>7.51</v>
      </c>
      <c r="L2472" s="8" t="n">
        <v>0</v>
      </c>
      <c r="M2472" s="9">
        <f>ROUND(SUM(I2472:L2472),2)</f>
        <v/>
      </c>
      <c r="N2472" s="10">
        <f>ROUND(I2472*'Irish Basis'!$C$6*'Irish Basis'!$C$5,2)</f>
        <v/>
      </c>
      <c r="O2472" s="10">
        <f>ROUND(J2472*'Irish Basis'!$C$7*'Irish Basis'!$C$5,2)</f>
        <v/>
      </c>
      <c r="P2472" s="10">
        <f>ROUND(K2472*'Irish Basis'!$C$8*'Irish Basis'!$C$5,2)</f>
        <v/>
      </c>
      <c r="Q2472" s="10">
        <f>ROUND(L2472*'Irish Basis'!$C$12*'Irish Basis'!$C$5,2)</f>
        <v/>
      </c>
      <c r="R2472" s="11">
        <f>ROUND(SUM(N2472:Q2472),2)</f>
        <v/>
      </c>
      <c r="S2472" s="5" t="inlineStr">
        <is>
          <t>Stated build-up</t>
        </is>
      </c>
      <c r="T2472" s="12" t="inlineStr">
        <is>
          <t>High</t>
        </is>
      </c>
      <c r="U2472" s="8" t="n">
        <v>13.81</v>
      </c>
      <c r="V2472" s="13">
        <f>IF(U2472="","",ROUND(M2472-U2472,2))</f>
        <v/>
      </c>
      <c r="W2472" s="5" t="n"/>
      <c r="X2472" s="5" t="inlineStr">
        <is>
          <t>Labour + plant + material as published; reconciles to the published rate.</t>
        </is>
      </c>
    </row>
    <row r="2473" ht="13" customHeight="1">
      <c r="A2473" s="4" t="n">
        <v>3728</v>
      </c>
      <c r="B2473" s="5" t="inlineStr">
        <is>
          <t>IMG_0115</t>
        </is>
      </c>
      <c r="C2473" s="5" t="inlineStr">
        <is>
          <t>CLASS O: TIMBER</t>
        </is>
      </c>
      <c r="D2473" s="5" t="inlineStr">
        <is>
          <t>05 FITTINGS AND FASTENINGS</t>
        </is>
      </c>
      <c r="E2473" s="5" t="inlineStr">
        <is>
          <t>Metric mild steel bolts, nuts and washers</t>
        </is>
      </c>
      <c r="F2473" s="5" t="inlineStr">
        <is>
          <t>M24 x 240 mm long</t>
        </is>
      </c>
      <c r="G2473" s="6" t="inlineStr">
        <is>
          <t>nr</t>
        </is>
      </c>
      <c r="H2473" s="7" t="n">
        <v>0.11</v>
      </c>
      <c r="I2473" s="8" t="n">
        <v>6.3</v>
      </c>
      <c r="J2473" s="8" t="n">
        <v>0</v>
      </c>
      <c r="K2473" s="8" t="n">
        <v>9.56</v>
      </c>
      <c r="L2473" s="8" t="n">
        <v>0</v>
      </c>
      <c r="M2473" s="9">
        <f>ROUND(SUM(I2473:L2473),2)</f>
        <v/>
      </c>
      <c r="N2473" s="10">
        <f>ROUND(I2473*'Irish Basis'!$C$6*'Irish Basis'!$C$5,2)</f>
        <v/>
      </c>
      <c r="O2473" s="10">
        <f>ROUND(J2473*'Irish Basis'!$C$7*'Irish Basis'!$C$5,2)</f>
        <v/>
      </c>
      <c r="P2473" s="10">
        <f>ROUND(K2473*'Irish Basis'!$C$8*'Irish Basis'!$C$5,2)</f>
        <v/>
      </c>
      <c r="Q2473" s="10">
        <f>ROUND(L2473*'Irish Basis'!$C$12*'Irish Basis'!$C$5,2)</f>
        <v/>
      </c>
      <c r="R2473" s="11">
        <f>ROUND(SUM(N2473:Q2473),2)</f>
        <v/>
      </c>
      <c r="S2473" s="5" t="inlineStr">
        <is>
          <t>Stated build-up</t>
        </is>
      </c>
      <c r="T2473" s="12" t="inlineStr">
        <is>
          <t>High</t>
        </is>
      </c>
      <c r="U2473" s="8" t="n">
        <v>15.87</v>
      </c>
      <c r="V2473" s="13">
        <f>IF(U2473="","",ROUND(M2473-U2473,2))</f>
        <v/>
      </c>
      <c r="W2473" s="5" t="n"/>
      <c r="X2473" s="5" t="inlineStr">
        <is>
          <t>Labour + plant + material as published; reconciles to the published rate.</t>
        </is>
      </c>
    </row>
    <row r="2474" ht="13" customHeight="1">
      <c r="A2474" s="4" t="n">
        <v>3729</v>
      </c>
      <c r="B2474" s="5" t="inlineStr">
        <is>
          <t>IMG_0115</t>
        </is>
      </c>
      <c r="C2474" s="5" t="inlineStr">
        <is>
          <t>CLASS O: TIMBER</t>
        </is>
      </c>
      <c r="D2474" s="5" t="inlineStr">
        <is>
          <t>05 FITTINGS AND FASTENINGS</t>
        </is>
      </c>
      <c r="E2474" s="5" t="inlineStr">
        <is>
          <t>Metric mild steel bolts, nuts and washers</t>
        </is>
      </c>
      <c r="F2474" s="5" t="inlineStr">
        <is>
          <t>M24 x 300 mm long</t>
        </is>
      </c>
      <c r="G2474" s="6" t="inlineStr">
        <is>
          <t>nr</t>
        </is>
      </c>
      <c r="H2474" s="7" t="n">
        <v>0.12</v>
      </c>
      <c r="I2474" s="8" t="n">
        <v>6.88</v>
      </c>
      <c r="J2474" s="8" t="n">
        <v>0</v>
      </c>
      <c r="K2474" s="8" t="n">
        <v>10.59</v>
      </c>
      <c r="L2474" s="8" t="n">
        <v>0</v>
      </c>
      <c r="M2474" s="9">
        <f>ROUND(SUM(I2474:L2474),2)</f>
        <v/>
      </c>
      <c r="N2474" s="10">
        <f>ROUND(I2474*'Irish Basis'!$C$6*'Irish Basis'!$C$5,2)</f>
        <v/>
      </c>
      <c r="O2474" s="10">
        <f>ROUND(J2474*'Irish Basis'!$C$7*'Irish Basis'!$C$5,2)</f>
        <v/>
      </c>
      <c r="P2474" s="10">
        <f>ROUND(K2474*'Irish Basis'!$C$8*'Irish Basis'!$C$5,2)</f>
        <v/>
      </c>
      <c r="Q2474" s="10">
        <f>ROUND(L2474*'Irish Basis'!$C$12*'Irish Basis'!$C$5,2)</f>
        <v/>
      </c>
      <c r="R2474" s="11">
        <f>ROUND(SUM(N2474:Q2474),2)</f>
        <v/>
      </c>
      <c r="S2474" s="5" t="inlineStr">
        <is>
          <t>Stated build-up</t>
        </is>
      </c>
      <c r="T2474" s="12" t="inlineStr">
        <is>
          <t>High</t>
        </is>
      </c>
      <c r="U2474" s="8" t="n">
        <v>17.47</v>
      </c>
      <c r="V2474" s="13">
        <f>IF(U2474="","",ROUND(M2474-U2474,2))</f>
        <v/>
      </c>
      <c r="W2474" s="5" t="n"/>
      <c r="X2474" s="5" t="inlineStr">
        <is>
          <t>Labour + plant + material as published; reconciles to the published rate.</t>
        </is>
      </c>
    </row>
    <row r="2475" ht="13" customHeight="1">
      <c r="A2475" s="4" t="n">
        <v>3730</v>
      </c>
      <c r="B2475" s="5" t="inlineStr">
        <is>
          <t>IMG_0115</t>
        </is>
      </c>
      <c r="C2475" s="5" t="inlineStr">
        <is>
          <t>CLASS O: TIMBER</t>
        </is>
      </c>
      <c r="D2475" s="5" t="inlineStr">
        <is>
          <t>05 FITTINGS AND FASTENINGS</t>
        </is>
      </c>
      <c r="E2475" s="5" t="inlineStr">
        <is>
          <t>Metric mild steel bolts, nuts and washers</t>
        </is>
      </c>
      <c r="F2475" s="5" t="inlineStr">
        <is>
          <t>M30 x 100 mm long</t>
        </is>
      </c>
      <c r="G2475" s="6" t="inlineStr">
        <is>
          <t>nr</t>
        </is>
      </c>
      <c r="H2475" s="7" t="n">
        <v>0.09</v>
      </c>
      <c r="I2475" s="8" t="n">
        <v>5.16</v>
      </c>
      <c r="J2475" s="8" t="n">
        <v>0</v>
      </c>
      <c r="K2475" s="8" t="n">
        <v>12.06</v>
      </c>
      <c r="L2475" s="8" t="n">
        <v>0</v>
      </c>
      <c r="M2475" s="9">
        <f>ROUND(SUM(I2475:L2475),2)</f>
        <v/>
      </c>
      <c r="N2475" s="10">
        <f>ROUND(I2475*'Irish Basis'!$C$6*'Irish Basis'!$C$5,2)</f>
        <v/>
      </c>
      <c r="O2475" s="10">
        <f>ROUND(J2475*'Irish Basis'!$C$7*'Irish Basis'!$C$5,2)</f>
        <v/>
      </c>
      <c r="P2475" s="10">
        <f>ROUND(K2475*'Irish Basis'!$C$8*'Irish Basis'!$C$5,2)</f>
        <v/>
      </c>
      <c r="Q2475" s="10">
        <f>ROUND(L2475*'Irish Basis'!$C$12*'Irish Basis'!$C$5,2)</f>
        <v/>
      </c>
      <c r="R2475" s="11">
        <f>ROUND(SUM(N2475:Q2475),2)</f>
        <v/>
      </c>
      <c r="S2475" s="5" t="inlineStr">
        <is>
          <t>Stated build-up</t>
        </is>
      </c>
      <c r="T2475" s="12" t="inlineStr">
        <is>
          <t>High</t>
        </is>
      </c>
      <c r="U2475" s="8" t="n">
        <v>17.22</v>
      </c>
      <c r="V2475" s="13">
        <f>IF(U2475="","",ROUND(M2475-U2475,2))</f>
        <v/>
      </c>
      <c r="W2475" s="5" t="n"/>
      <c r="X2475" s="5" t="inlineStr">
        <is>
          <t>Labour + plant + material as published; reconciles to the published rate.</t>
        </is>
      </c>
    </row>
    <row r="2476" ht="13" customHeight="1">
      <c r="A2476" s="4" t="n">
        <v>3731</v>
      </c>
      <c r="B2476" s="5" t="inlineStr">
        <is>
          <t>IMG_0115</t>
        </is>
      </c>
      <c r="C2476" s="5" t="inlineStr">
        <is>
          <t>CLASS O: TIMBER</t>
        </is>
      </c>
      <c r="D2476" s="5" t="inlineStr">
        <is>
          <t>05 FITTINGS AND FASTENINGS</t>
        </is>
      </c>
      <c r="E2476" s="5" t="inlineStr">
        <is>
          <t>Metric mild steel bolts, nuts and washers</t>
        </is>
      </c>
      <c r="F2476" s="5" t="inlineStr">
        <is>
          <t>M30 x 120 mm long</t>
        </is>
      </c>
      <c r="G2476" s="6" t="inlineStr">
        <is>
          <t>nr</t>
        </is>
      </c>
      <c r="H2476" s="7" t="n">
        <v>0.1</v>
      </c>
      <c r="I2476" s="8" t="n">
        <v>5.73</v>
      </c>
      <c r="J2476" s="8" t="n">
        <v>0</v>
      </c>
      <c r="K2476" s="8" t="n">
        <v>13.16</v>
      </c>
      <c r="L2476" s="8" t="n">
        <v>0</v>
      </c>
      <c r="M2476" s="9">
        <f>ROUND(SUM(I2476:L2476),2)</f>
        <v/>
      </c>
      <c r="N2476" s="10">
        <f>ROUND(I2476*'Irish Basis'!$C$6*'Irish Basis'!$C$5,2)</f>
        <v/>
      </c>
      <c r="O2476" s="10">
        <f>ROUND(J2476*'Irish Basis'!$C$7*'Irish Basis'!$C$5,2)</f>
        <v/>
      </c>
      <c r="P2476" s="10">
        <f>ROUND(K2476*'Irish Basis'!$C$8*'Irish Basis'!$C$5,2)</f>
        <v/>
      </c>
      <c r="Q2476" s="10">
        <f>ROUND(L2476*'Irish Basis'!$C$12*'Irish Basis'!$C$5,2)</f>
        <v/>
      </c>
      <c r="R2476" s="11">
        <f>ROUND(SUM(N2476:Q2476),2)</f>
        <v/>
      </c>
      <c r="S2476" s="5" t="inlineStr">
        <is>
          <t>Stated build-up</t>
        </is>
      </c>
      <c r="T2476" s="12" t="inlineStr">
        <is>
          <t>High</t>
        </is>
      </c>
      <c r="U2476" s="8" t="n">
        <v>18.89</v>
      </c>
      <c r="V2476" s="13">
        <f>IF(U2476="","",ROUND(M2476-U2476,2))</f>
        <v/>
      </c>
      <c r="W2476" s="5" t="n"/>
      <c r="X2476" s="5" t="inlineStr">
        <is>
          <t>Labour + plant + material as published; reconciles to the published rate.</t>
        </is>
      </c>
    </row>
    <row r="2477" ht="13" customHeight="1">
      <c r="A2477" s="4" t="n">
        <v>3732</v>
      </c>
      <c r="B2477" s="5" t="inlineStr">
        <is>
          <t>IMG_0115</t>
        </is>
      </c>
      <c r="C2477" s="5" t="inlineStr">
        <is>
          <t>CLASS O: TIMBER</t>
        </is>
      </c>
      <c r="D2477" s="5" t="inlineStr">
        <is>
          <t>05 FITTINGS AND FASTENINGS</t>
        </is>
      </c>
      <c r="E2477" s="5" t="inlineStr">
        <is>
          <t>Metric mild steel bolts, nuts and washers</t>
        </is>
      </c>
      <c r="F2477" s="5" t="inlineStr">
        <is>
          <t>M30 x 150 mm long</t>
        </is>
      </c>
      <c r="G2477" s="6" t="inlineStr">
        <is>
          <t>nr</t>
        </is>
      </c>
      <c r="H2477" s="7" t="n">
        <v>0.11</v>
      </c>
      <c r="I2477" s="8" t="n">
        <v>6.3</v>
      </c>
      <c r="J2477" s="8" t="n">
        <v>0</v>
      </c>
      <c r="K2477" s="8" t="n">
        <v>13.75</v>
      </c>
      <c r="L2477" s="8" t="n">
        <v>0</v>
      </c>
      <c r="M2477" s="9">
        <f>ROUND(SUM(I2477:L2477),2)</f>
        <v/>
      </c>
      <c r="N2477" s="10">
        <f>ROUND(I2477*'Irish Basis'!$C$6*'Irish Basis'!$C$5,2)</f>
        <v/>
      </c>
      <c r="O2477" s="10">
        <f>ROUND(J2477*'Irish Basis'!$C$7*'Irish Basis'!$C$5,2)</f>
        <v/>
      </c>
      <c r="P2477" s="10">
        <f>ROUND(K2477*'Irish Basis'!$C$8*'Irish Basis'!$C$5,2)</f>
        <v/>
      </c>
      <c r="Q2477" s="10">
        <f>ROUND(L2477*'Irish Basis'!$C$12*'Irish Basis'!$C$5,2)</f>
        <v/>
      </c>
      <c r="R2477" s="11">
        <f>ROUND(SUM(N2477:Q2477),2)</f>
        <v/>
      </c>
      <c r="S2477" s="5" t="inlineStr">
        <is>
          <t>Stated build-up</t>
        </is>
      </c>
      <c r="T2477" s="12" t="inlineStr">
        <is>
          <t>High</t>
        </is>
      </c>
      <c r="U2477" s="8" t="n">
        <v>20.06</v>
      </c>
      <c r="V2477" s="13">
        <f>IF(U2477="","",ROUND(M2477-U2477,2))</f>
        <v/>
      </c>
      <c r="W2477" s="5" t="n"/>
      <c r="X2477" s="5" t="inlineStr">
        <is>
          <t>Labour + plant + material as published; reconciles to the published rate.</t>
        </is>
      </c>
    </row>
    <row r="2478" ht="13" customHeight="1">
      <c r="A2478" s="4" t="n">
        <v>3733</v>
      </c>
      <c r="B2478" s="5" t="inlineStr">
        <is>
          <t>IMG_0115</t>
        </is>
      </c>
      <c r="C2478" s="5" t="inlineStr">
        <is>
          <t>CLASS O: TIMBER</t>
        </is>
      </c>
      <c r="D2478" s="5" t="inlineStr">
        <is>
          <t>05 FITTINGS AND FASTENINGS</t>
        </is>
      </c>
      <c r="E2478" s="5" t="inlineStr">
        <is>
          <t>Metric mild steel bolts, nuts and washers</t>
        </is>
      </c>
      <c r="F2478" s="5" t="inlineStr">
        <is>
          <t>M30 x 200 mm long</t>
        </is>
      </c>
      <c r="G2478" s="6" t="inlineStr">
        <is>
          <t>nr</t>
        </is>
      </c>
      <c r="H2478" s="7" t="n">
        <v>0.11</v>
      </c>
      <c r="I2478" s="8" t="n">
        <v>6.3</v>
      </c>
      <c r="J2478" s="8" t="n">
        <v>0</v>
      </c>
      <c r="K2478" s="8" t="n">
        <v>15.24</v>
      </c>
      <c r="L2478" s="8" t="n">
        <v>0</v>
      </c>
      <c r="M2478" s="9">
        <f>ROUND(SUM(I2478:L2478),2)</f>
        <v/>
      </c>
      <c r="N2478" s="10">
        <f>ROUND(I2478*'Irish Basis'!$C$6*'Irish Basis'!$C$5,2)</f>
        <v/>
      </c>
      <c r="O2478" s="10">
        <f>ROUND(J2478*'Irish Basis'!$C$7*'Irish Basis'!$C$5,2)</f>
        <v/>
      </c>
      <c r="P2478" s="10">
        <f>ROUND(K2478*'Irish Basis'!$C$8*'Irish Basis'!$C$5,2)</f>
        <v/>
      </c>
      <c r="Q2478" s="10">
        <f>ROUND(L2478*'Irish Basis'!$C$12*'Irish Basis'!$C$5,2)</f>
        <v/>
      </c>
      <c r="R2478" s="11">
        <f>ROUND(SUM(N2478:Q2478),2)</f>
        <v/>
      </c>
      <c r="S2478" s="5" t="inlineStr">
        <is>
          <t>Stated build-up</t>
        </is>
      </c>
      <c r="T2478" s="12" t="inlineStr">
        <is>
          <t>High</t>
        </is>
      </c>
      <c r="U2478" s="8" t="n">
        <v>21.55</v>
      </c>
      <c r="V2478" s="13">
        <f>IF(U2478="","",ROUND(M2478-U2478,2))</f>
        <v/>
      </c>
      <c r="W2478" s="5" t="n"/>
      <c r="X2478" s="5" t="inlineStr">
        <is>
          <t>Labour + plant + material as published; reconciles to the published rate.</t>
        </is>
      </c>
    </row>
    <row r="2479" ht="13" customHeight="1">
      <c r="A2479" s="4" t="n">
        <v>3735</v>
      </c>
      <c r="B2479" s="5" t="inlineStr">
        <is>
          <t>IMG_0115</t>
        </is>
      </c>
      <c r="C2479" s="5" t="inlineStr">
        <is>
          <t>CLASS O: TIMBER</t>
        </is>
      </c>
      <c r="D2479" s="5" t="inlineStr">
        <is>
          <t>05 FITTINGS AND FASTENINGS</t>
        </is>
      </c>
      <c r="E2479" s="5" t="inlineStr">
        <is>
          <t>Carriage bolts, nuts and washer</t>
        </is>
      </c>
      <c r="F2479" s="5" t="inlineStr">
        <is>
          <t>M6 x 25 mm long</t>
        </is>
      </c>
      <c r="G2479" s="6" t="inlineStr">
        <is>
          <t>nr</t>
        </is>
      </c>
      <c r="H2479" s="7" t="n">
        <v>0.05</v>
      </c>
      <c r="I2479" s="8" t="n">
        <v>2.87</v>
      </c>
      <c r="J2479" s="8" t="n">
        <v>0</v>
      </c>
      <c r="K2479" s="8" t="n">
        <v>1.6</v>
      </c>
      <c r="L2479" s="8" t="n">
        <v>0</v>
      </c>
      <c r="M2479" s="9">
        <f>ROUND(SUM(I2479:L2479),2)</f>
        <v/>
      </c>
      <c r="N2479" s="10">
        <f>ROUND(I2479*'Irish Basis'!$C$6*'Irish Basis'!$C$5,2)</f>
        <v/>
      </c>
      <c r="O2479" s="10">
        <f>ROUND(J2479*'Irish Basis'!$C$7*'Irish Basis'!$C$5,2)</f>
        <v/>
      </c>
      <c r="P2479" s="10">
        <f>ROUND(K2479*'Irish Basis'!$C$8*'Irish Basis'!$C$5,2)</f>
        <v/>
      </c>
      <c r="Q2479" s="10">
        <f>ROUND(L2479*'Irish Basis'!$C$12*'Irish Basis'!$C$5,2)</f>
        <v/>
      </c>
      <c r="R2479" s="11">
        <f>ROUND(SUM(N2479:Q2479),2)</f>
        <v/>
      </c>
      <c r="S2479" s="5" t="inlineStr">
        <is>
          <t>Stated build-up</t>
        </is>
      </c>
      <c r="T2479" s="12" t="inlineStr">
        <is>
          <t>High</t>
        </is>
      </c>
      <c r="U2479" s="8" t="n">
        <v>4.46</v>
      </c>
      <c r="V2479" s="13">
        <f>IF(U2479="","",ROUND(M2479-U2479,2))</f>
        <v/>
      </c>
      <c r="W2479" s="5" t="n"/>
      <c r="X2479" s="5" t="inlineStr">
        <is>
          <t>Labour + plant + material as published; reconciles to the published rate.</t>
        </is>
      </c>
    </row>
    <row r="2480" ht="13" customHeight="1">
      <c r="A2480" s="4" t="n">
        <v>3737</v>
      </c>
      <c r="B2480" s="5" t="inlineStr">
        <is>
          <t>IMG_0116</t>
        </is>
      </c>
      <c r="C2480" s="5" t="inlineStr">
        <is>
          <t>CLASS O: TIMBER</t>
        </is>
      </c>
      <c r="D2480" s="5" t="inlineStr">
        <is>
          <t>05 FITTINGS AND FASTENINGS</t>
        </is>
      </c>
      <c r="E2480" s="5" t="inlineStr">
        <is>
          <t>Carriage bolts, nuts and washer (continued)</t>
        </is>
      </c>
      <c r="F2480" s="5" t="inlineStr">
        <is>
          <t>M6 x 50 mm long</t>
        </is>
      </c>
      <c r="G2480" s="6" t="inlineStr">
        <is>
          <t>nr</t>
        </is>
      </c>
      <c r="H2480" s="7" t="n">
        <v>0.05</v>
      </c>
      <c r="I2480" s="8" t="n">
        <v>2.87</v>
      </c>
      <c r="J2480" s="8" t="n">
        <v>0</v>
      </c>
      <c r="K2480" s="8" t="n">
        <v>0.86</v>
      </c>
      <c r="L2480" s="8" t="n">
        <v>0</v>
      </c>
      <c r="M2480" s="9">
        <f>ROUND(SUM(I2480:L2480),2)</f>
        <v/>
      </c>
      <c r="N2480" s="10">
        <f>ROUND(I2480*'Irish Basis'!$C$6*'Irish Basis'!$C$5,2)</f>
        <v/>
      </c>
      <c r="O2480" s="10">
        <f>ROUND(J2480*'Irish Basis'!$C$7*'Irish Basis'!$C$5,2)</f>
        <v/>
      </c>
      <c r="P2480" s="10">
        <f>ROUND(K2480*'Irish Basis'!$C$8*'Irish Basis'!$C$5,2)</f>
        <v/>
      </c>
      <c r="Q2480" s="10">
        <f>ROUND(L2480*'Irish Basis'!$C$12*'Irish Basis'!$C$5,2)</f>
        <v/>
      </c>
      <c r="R2480" s="11">
        <f>ROUND(SUM(N2480:Q2480),2)</f>
        <v/>
      </c>
      <c r="S2480" s="5" t="inlineStr">
        <is>
          <t>Stated build-up</t>
        </is>
      </c>
      <c r="T2480" s="12" t="inlineStr">
        <is>
          <t>High</t>
        </is>
      </c>
      <c r="U2480" s="8" t="n">
        <v>3.73</v>
      </c>
      <c r="V2480" s="13">
        <f>IF(U2480="","",ROUND(M2480-U2480,2))</f>
        <v/>
      </c>
      <c r="W2480" s="5" t="n"/>
      <c r="X2480" s="5" t="inlineStr">
        <is>
          <t>Labour + plant + material as published; reconciles to the published rate.</t>
        </is>
      </c>
    </row>
    <row r="2481" ht="13" customHeight="1">
      <c r="A2481" s="4" t="n">
        <v>3738</v>
      </c>
      <c r="B2481" s="5" t="inlineStr">
        <is>
          <t>IMG_0116</t>
        </is>
      </c>
      <c r="C2481" s="5" t="inlineStr">
        <is>
          <t>CLASS O: TIMBER</t>
        </is>
      </c>
      <c r="D2481" s="5" t="inlineStr">
        <is>
          <t>05 FITTINGS AND FASTENINGS</t>
        </is>
      </c>
      <c r="E2481" s="5" t="inlineStr">
        <is>
          <t>Carriage bolts, nuts and washer (continued)</t>
        </is>
      </c>
      <c r="F2481" s="5" t="inlineStr">
        <is>
          <t>M6 x 75 mm long</t>
        </is>
      </c>
      <c r="G2481" s="6" t="inlineStr">
        <is>
          <t>nr</t>
        </is>
      </c>
      <c r="H2481" s="7" t="n">
        <v>0.05</v>
      </c>
      <c r="I2481" s="8" t="n">
        <v>2.87</v>
      </c>
      <c r="J2481" s="8" t="n">
        <v>0</v>
      </c>
      <c r="K2481" s="8" t="n">
        <v>0.92</v>
      </c>
      <c r="L2481" s="8" t="n">
        <v>0</v>
      </c>
      <c r="M2481" s="9">
        <f>ROUND(SUM(I2481:L2481),2)</f>
        <v/>
      </c>
      <c r="N2481" s="10">
        <f>ROUND(I2481*'Irish Basis'!$C$6*'Irish Basis'!$C$5,2)</f>
        <v/>
      </c>
      <c r="O2481" s="10">
        <f>ROUND(J2481*'Irish Basis'!$C$7*'Irish Basis'!$C$5,2)</f>
        <v/>
      </c>
      <c r="P2481" s="10">
        <f>ROUND(K2481*'Irish Basis'!$C$8*'Irish Basis'!$C$5,2)</f>
        <v/>
      </c>
      <c r="Q2481" s="10">
        <f>ROUND(L2481*'Irish Basis'!$C$12*'Irish Basis'!$C$5,2)</f>
        <v/>
      </c>
      <c r="R2481" s="11">
        <f>ROUND(SUM(N2481:Q2481),2)</f>
        <v/>
      </c>
      <c r="S2481" s="5" t="inlineStr">
        <is>
          <t>Stated build-up</t>
        </is>
      </c>
      <c r="T2481" s="12" t="inlineStr">
        <is>
          <t>High</t>
        </is>
      </c>
      <c r="U2481" s="8" t="n">
        <v>3.79</v>
      </c>
      <c r="V2481" s="13">
        <f>IF(U2481="","",ROUND(M2481-U2481,2))</f>
        <v/>
      </c>
      <c r="W2481" s="5" t="n"/>
      <c r="X2481" s="5" t="inlineStr">
        <is>
          <t>Labour + plant + material as published; reconciles to the published rate.</t>
        </is>
      </c>
    </row>
    <row r="2482" ht="13" customHeight="1">
      <c r="A2482" s="4" t="n">
        <v>3739</v>
      </c>
      <c r="B2482" s="5" t="inlineStr">
        <is>
          <t>IMG_0116</t>
        </is>
      </c>
      <c r="C2482" s="5" t="inlineStr">
        <is>
          <t>CLASS O: TIMBER</t>
        </is>
      </c>
      <c r="D2482" s="5" t="inlineStr">
        <is>
          <t>05 FITTINGS AND FASTENINGS</t>
        </is>
      </c>
      <c r="E2482" s="5" t="inlineStr">
        <is>
          <t>Carriage bolts, nuts and washer (continued)</t>
        </is>
      </c>
      <c r="F2482" s="5" t="inlineStr">
        <is>
          <t>M6 x 100 mm long</t>
        </is>
      </c>
      <c r="G2482" s="6" t="inlineStr">
        <is>
          <t>nr</t>
        </is>
      </c>
      <c r="H2482" s="7" t="n">
        <v>0.06</v>
      </c>
      <c r="I2482" s="8" t="n">
        <v>3.44</v>
      </c>
      <c r="J2482" s="8" t="n">
        <v>0</v>
      </c>
      <c r="K2482" s="8" t="n">
        <v>1.13</v>
      </c>
      <c r="L2482" s="8" t="n">
        <v>0</v>
      </c>
      <c r="M2482" s="9">
        <f>ROUND(SUM(I2482:L2482),2)</f>
        <v/>
      </c>
      <c r="N2482" s="10">
        <f>ROUND(I2482*'Irish Basis'!$C$6*'Irish Basis'!$C$5,2)</f>
        <v/>
      </c>
      <c r="O2482" s="10">
        <f>ROUND(J2482*'Irish Basis'!$C$7*'Irish Basis'!$C$5,2)</f>
        <v/>
      </c>
      <c r="P2482" s="10">
        <f>ROUND(K2482*'Irish Basis'!$C$8*'Irish Basis'!$C$5,2)</f>
        <v/>
      </c>
      <c r="Q2482" s="10">
        <f>ROUND(L2482*'Irish Basis'!$C$12*'Irish Basis'!$C$5,2)</f>
        <v/>
      </c>
      <c r="R2482" s="11">
        <f>ROUND(SUM(N2482:Q2482),2)</f>
        <v/>
      </c>
      <c r="S2482" s="5" t="inlineStr">
        <is>
          <t>Stated build-up</t>
        </is>
      </c>
      <c r="T2482" s="12" t="inlineStr">
        <is>
          <t>High</t>
        </is>
      </c>
      <c r="U2482" s="8" t="n">
        <v>4.57</v>
      </c>
      <c r="V2482" s="13">
        <f>IF(U2482="","",ROUND(M2482-U2482,2))</f>
        <v/>
      </c>
      <c r="W2482" s="5" t="n"/>
      <c r="X2482" s="5" t="inlineStr">
        <is>
          <t>Labour + plant + material as published; reconciles to the published rate.</t>
        </is>
      </c>
    </row>
    <row r="2483" ht="13" customHeight="1">
      <c r="A2483" s="4" t="n">
        <v>3740</v>
      </c>
      <c r="B2483" s="5" t="inlineStr">
        <is>
          <t>IMG_0116</t>
        </is>
      </c>
      <c r="C2483" s="5" t="inlineStr">
        <is>
          <t>CLASS O: TIMBER</t>
        </is>
      </c>
      <c r="D2483" s="5" t="inlineStr">
        <is>
          <t>05 FITTINGS AND FASTENINGS</t>
        </is>
      </c>
      <c r="E2483" s="5" t="inlineStr">
        <is>
          <t>Carriage bolts, nuts and washer (continued)</t>
        </is>
      </c>
      <c r="F2483" s="5" t="inlineStr">
        <is>
          <t>M6 x 150 mm long</t>
        </is>
      </c>
      <c r="G2483" s="6" t="inlineStr">
        <is>
          <t>nr</t>
        </is>
      </c>
      <c r="H2483" s="7" t="n">
        <v>0.06</v>
      </c>
      <c r="I2483" s="8" t="n">
        <v>3.44</v>
      </c>
      <c r="J2483" s="8" t="n">
        <v>0</v>
      </c>
      <c r="K2483" s="8" t="n">
        <v>1.43</v>
      </c>
      <c r="L2483" s="8" t="n">
        <v>0</v>
      </c>
      <c r="M2483" s="9">
        <f>ROUND(SUM(I2483:L2483),2)</f>
        <v/>
      </c>
      <c r="N2483" s="10">
        <f>ROUND(I2483*'Irish Basis'!$C$6*'Irish Basis'!$C$5,2)</f>
        <v/>
      </c>
      <c r="O2483" s="10">
        <f>ROUND(J2483*'Irish Basis'!$C$7*'Irish Basis'!$C$5,2)</f>
        <v/>
      </c>
      <c r="P2483" s="10">
        <f>ROUND(K2483*'Irish Basis'!$C$8*'Irish Basis'!$C$5,2)</f>
        <v/>
      </c>
      <c r="Q2483" s="10">
        <f>ROUND(L2483*'Irish Basis'!$C$12*'Irish Basis'!$C$5,2)</f>
        <v/>
      </c>
      <c r="R2483" s="11">
        <f>ROUND(SUM(N2483:Q2483),2)</f>
        <v/>
      </c>
      <c r="S2483" s="5" t="inlineStr">
        <is>
          <t>Stated build-up</t>
        </is>
      </c>
      <c r="T2483" s="12" t="inlineStr">
        <is>
          <t>High</t>
        </is>
      </c>
      <c r="U2483" s="8" t="n">
        <v>4.86</v>
      </c>
      <c r="V2483" s="13">
        <f>IF(U2483="","",ROUND(M2483-U2483,2))</f>
        <v/>
      </c>
      <c r="W2483" s="5" t="n"/>
      <c r="X2483" s="5" t="inlineStr">
        <is>
          <t>Labour + plant + material as published; reconciles to the published rate.</t>
        </is>
      </c>
    </row>
    <row r="2484" ht="13" customHeight="1">
      <c r="A2484" s="4" t="n">
        <v>3741</v>
      </c>
      <c r="B2484" s="5" t="inlineStr">
        <is>
          <t>IMG_0116</t>
        </is>
      </c>
      <c r="C2484" s="5" t="inlineStr">
        <is>
          <t>CLASS O: TIMBER</t>
        </is>
      </c>
      <c r="D2484" s="5" t="inlineStr">
        <is>
          <t>05 FITTINGS AND FASTENINGS</t>
        </is>
      </c>
      <c r="E2484" s="5" t="inlineStr">
        <is>
          <t>Carriage bolts, nuts and washer (continued)</t>
        </is>
      </c>
      <c r="F2484" s="5" t="inlineStr">
        <is>
          <t>M8 x 25 mm long</t>
        </is>
      </c>
      <c r="G2484" s="6" t="inlineStr">
        <is>
          <t>nr</t>
        </is>
      </c>
      <c r="H2484" s="7" t="n">
        <v>0.05</v>
      </c>
      <c r="I2484" s="8" t="n">
        <v>2.87</v>
      </c>
      <c r="J2484" s="8" t="n">
        <v>0</v>
      </c>
      <c r="K2484" s="8" t="n">
        <v>1.01</v>
      </c>
      <c r="L2484" s="8" t="n">
        <v>0</v>
      </c>
      <c r="M2484" s="9">
        <f>ROUND(SUM(I2484:L2484),2)</f>
        <v/>
      </c>
      <c r="N2484" s="10">
        <f>ROUND(I2484*'Irish Basis'!$C$6*'Irish Basis'!$C$5,2)</f>
        <v/>
      </c>
      <c r="O2484" s="10">
        <f>ROUND(J2484*'Irish Basis'!$C$7*'Irish Basis'!$C$5,2)</f>
        <v/>
      </c>
      <c r="P2484" s="10">
        <f>ROUND(K2484*'Irish Basis'!$C$8*'Irish Basis'!$C$5,2)</f>
        <v/>
      </c>
      <c r="Q2484" s="10">
        <f>ROUND(L2484*'Irish Basis'!$C$12*'Irish Basis'!$C$5,2)</f>
        <v/>
      </c>
      <c r="R2484" s="11">
        <f>ROUND(SUM(N2484:Q2484),2)</f>
        <v/>
      </c>
      <c r="S2484" s="5" t="inlineStr">
        <is>
          <t>Stated build-up</t>
        </is>
      </c>
      <c r="T2484" s="12" t="inlineStr">
        <is>
          <t>High</t>
        </is>
      </c>
      <c r="U2484" s="8" t="n">
        <v>3.88</v>
      </c>
      <c r="V2484" s="13">
        <f>IF(U2484="","",ROUND(M2484-U2484,2))</f>
        <v/>
      </c>
      <c r="W2484" s="5" t="n"/>
      <c r="X2484" s="5" t="inlineStr">
        <is>
          <t>Labour + plant + material as published; reconciles to the published rate.</t>
        </is>
      </c>
    </row>
    <row r="2485" ht="13" customHeight="1">
      <c r="A2485" s="4" t="n">
        <v>3742</v>
      </c>
      <c r="B2485" s="5" t="inlineStr">
        <is>
          <t>IMG_0116</t>
        </is>
      </c>
      <c r="C2485" s="5" t="inlineStr">
        <is>
          <t>CLASS O: TIMBER</t>
        </is>
      </c>
      <c r="D2485" s="5" t="inlineStr">
        <is>
          <t>05 FITTINGS AND FASTENINGS</t>
        </is>
      </c>
      <c r="E2485" s="5" t="inlineStr">
        <is>
          <t>Carriage bolts, nuts and washer (continued)</t>
        </is>
      </c>
      <c r="F2485" s="5" t="inlineStr">
        <is>
          <t>M8 x 50 mm long</t>
        </is>
      </c>
      <c r="G2485" s="6" t="inlineStr">
        <is>
          <t>nr</t>
        </is>
      </c>
      <c r="H2485" s="7" t="n">
        <v>0.05</v>
      </c>
      <c r="I2485" s="8" t="n">
        <v>2.87</v>
      </c>
      <c r="J2485" s="8" t="n">
        <v>0</v>
      </c>
      <c r="K2485" s="8" t="n">
        <v>1.07</v>
      </c>
      <c r="L2485" s="8" t="n">
        <v>0</v>
      </c>
      <c r="M2485" s="9">
        <f>ROUND(SUM(I2485:L2485),2)</f>
        <v/>
      </c>
      <c r="N2485" s="10">
        <f>ROUND(I2485*'Irish Basis'!$C$6*'Irish Basis'!$C$5,2)</f>
        <v/>
      </c>
      <c r="O2485" s="10">
        <f>ROUND(J2485*'Irish Basis'!$C$7*'Irish Basis'!$C$5,2)</f>
        <v/>
      </c>
      <c r="P2485" s="10">
        <f>ROUND(K2485*'Irish Basis'!$C$8*'Irish Basis'!$C$5,2)</f>
        <v/>
      </c>
      <c r="Q2485" s="10">
        <f>ROUND(L2485*'Irish Basis'!$C$12*'Irish Basis'!$C$5,2)</f>
        <v/>
      </c>
      <c r="R2485" s="11">
        <f>ROUND(SUM(N2485:Q2485),2)</f>
        <v/>
      </c>
      <c r="S2485" s="5" t="inlineStr">
        <is>
          <t>Stated build-up</t>
        </is>
      </c>
      <c r="T2485" s="12" t="inlineStr">
        <is>
          <t>High</t>
        </is>
      </c>
      <c r="U2485" s="8" t="n">
        <v>3.93</v>
      </c>
      <c r="V2485" s="13">
        <f>IF(U2485="","",ROUND(M2485-U2485,2))</f>
        <v/>
      </c>
      <c r="W2485" s="5" t="n"/>
      <c r="X2485" s="5" t="inlineStr">
        <is>
          <t>Labour + plant + material as published; reconciles to the published rate.</t>
        </is>
      </c>
    </row>
    <row r="2486" ht="13" customHeight="1">
      <c r="A2486" s="4" t="n">
        <v>3743</v>
      </c>
      <c r="B2486" s="5" t="inlineStr">
        <is>
          <t>IMG_0116</t>
        </is>
      </c>
      <c r="C2486" s="5" t="inlineStr">
        <is>
          <t>CLASS O: TIMBER</t>
        </is>
      </c>
      <c r="D2486" s="5" t="inlineStr">
        <is>
          <t>05 FITTINGS AND FASTENINGS</t>
        </is>
      </c>
      <c r="E2486" s="5" t="inlineStr">
        <is>
          <t>Carriage bolts, nuts and washer (continued)</t>
        </is>
      </c>
      <c r="F2486" s="5" t="inlineStr">
        <is>
          <t>M8 x 75 mm long</t>
        </is>
      </c>
      <c r="G2486" s="6" t="inlineStr">
        <is>
          <t>nr</t>
        </is>
      </c>
      <c r="H2486" s="7" t="n">
        <v>0.06</v>
      </c>
      <c r="I2486" s="8" t="n">
        <v>3.44</v>
      </c>
      <c r="J2486" s="8" t="n">
        <v>0</v>
      </c>
      <c r="K2486" s="8" t="n">
        <v>1.11</v>
      </c>
      <c r="L2486" s="8" t="n">
        <v>0</v>
      </c>
      <c r="M2486" s="9">
        <f>ROUND(SUM(I2486:L2486),2)</f>
        <v/>
      </c>
      <c r="N2486" s="10">
        <f>ROUND(I2486*'Irish Basis'!$C$6*'Irish Basis'!$C$5,2)</f>
        <v/>
      </c>
      <c r="O2486" s="10">
        <f>ROUND(J2486*'Irish Basis'!$C$7*'Irish Basis'!$C$5,2)</f>
        <v/>
      </c>
      <c r="P2486" s="10">
        <f>ROUND(K2486*'Irish Basis'!$C$8*'Irish Basis'!$C$5,2)</f>
        <v/>
      </c>
      <c r="Q2486" s="10">
        <f>ROUND(L2486*'Irish Basis'!$C$12*'Irish Basis'!$C$5,2)</f>
        <v/>
      </c>
      <c r="R2486" s="11">
        <f>ROUND(SUM(N2486:Q2486),2)</f>
        <v/>
      </c>
      <c r="S2486" s="5" t="inlineStr">
        <is>
          <t>Stated build-up</t>
        </is>
      </c>
      <c r="T2486" s="12" t="inlineStr">
        <is>
          <t>High</t>
        </is>
      </c>
      <c r="U2486" s="8" t="n">
        <v>4.54</v>
      </c>
      <c r="V2486" s="13">
        <f>IF(U2486="","",ROUND(M2486-U2486,2))</f>
        <v/>
      </c>
      <c r="W2486" s="5" t="n"/>
      <c r="X2486" s="5" t="inlineStr">
        <is>
          <t>Labour + plant + material as published; reconciles to the published rate.</t>
        </is>
      </c>
    </row>
    <row r="2487" ht="13" customHeight="1">
      <c r="A2487" s="4" t="n">
        <v>3744</v>
      </c>
      <c r="B2487" s="5" t="inlineStr">
        <is>
          <t>IMG_0116</t>
        </is>
      </c>
      <c r="C2487" s="5" t="inlineStr">
        <is>
          <t>CLASS O: TIMBER</t>
        </is>
      </c>
      <c r="D2487" s="5" t="inlineStr">
        <is>
          <t>05 FITTINGS AND FASTENINGS</t>
        </is>
      </c>
      <c r="E2487" s="5" t="inlineStr">
        <is>
          <t>Carriage bolts, nuts and washer (continued)</t>
        </is>
      </c>
      <c r="F2487" s="5" t="inlineStr">
        <is>
          <t>M8 x 100 mm long</t>
        </is>
      </c>
      <c r="G2487" s="6" t="inlineStr">
        <is>
          <t>nr</t>
        </is>
      </c>
      <c r="H2487" s="7" t="n">
        <v>0.06</v>
      </c>
      <c r="I2487" s="8" t="n">
        <v>3.44</v>
      </c>
      <c r="J2487" s="8" t="n">
        <v>0</v>
      </c>
      <c r="K2487" s="8" t="n">
        <v>1.2</v>
      </c>
      <c r="L2487" s="8" t="n">
        <v>0</v>
      </c>
      <c r="M2487" s="9">
        <f>ROUND(SUM(I2487:L2487),2)</f>
        <v/>
      </c>
      <c r="N2487" s="10">
        <f>ROUND(I2487*'Irish Basis'!$C$6*'Irish Basis'!$C$5,2)</f>
        <v/>
      </c>
      <c r="O2487" s="10">
        <f>ROUND(J2487*'Irish Basis'!$C$7*'Irish Basis'!$C$5,2)</f>
        <v/>
      </c>
      <c r="P2487" s="10">
        <f>ROUND(K2487*'Irish Basis'!$C$8*'Irish Basis'!$C$5,2)</f>
        <v/>
      </c>
      <c r="Q2487" s="10">
        <f>ROUND(L2487*'Irish Basis'!$C$12*'Irish Basis'!$C$5,2)</f>
        <v/>
      </c>
      <c r="R2487" s="11">
        <f>ROUND(SUM(N2487:Q2487),2)</f>
        <v/>
      </c>
      <c r="S2487" s="5" t="inlineStr">
        <is>
          <t>Stated build-up</t>
        </is>
      </c>
      <c r="T2487" s="12" t="inlineStr">
        <is>
          <t>High</t>
        </is>
      </c>
      <c r="U2487" s="8" t="n">
        <v>4.64</v>
      </c>
      <c r="V2487" s="13">
        <f>IF(U2487="","",ROUND(M2487-U2487,2))</f>
        <v/>
      </c>
      <c r="W2487" s="5" t="n"/>
      <c r="X2487" s="5" t="inlineStr">
        <is>
          <t>Labour + plant + material as published; reconciles to the published rate.</t>
        </is>
      </c>
    </row>
    <row r="2488" ht="13" customHeight="1">
      <c r="A2488" s="4" t="n">
        <v>3745</v>
      </c>
      <c r="B2488" s="5" t="inlineStr">
        <is>
          <t>IMG_0116</t>
        </is>
      </c>
      <c r="C2488" s="5" t="inlineStr">
        <is>
          <t>CLASS O: TIMBER</t>
        </is>
      </c>
      <c r="D2488" s="5" t="inlineStr">
        <is>
          <t>05 FITTINGS AND FASTENINGS</t>
        </is>
      </c>
      <c r="E2488" s="5" t="inlineStr">
        <is>
          <t>Carriage bolts, nuts and washer (continued)</t>
        </is>
      </c>
      <c r="F2488" s="5" t="inlineStr">
        <is>
          <t>M8 x 150 mm long</t>
        </is>
      </c>
      <c r="G2488" s="6" t="inlineStr">
        <is>
          <t>nr</t>
        </is>
      </c>
      <c r="H2488" s="7" t="n">
        <v>0.07000000000000001</v>
      </c>
      <c r="I2488" s="8" t="n">
        <v>4.01</v>
      </c>
      <c r="J2488" s="8" t="n">
        <v>0</v>
      </c>
      <c r="K2488" s="8" t="n">
        <v>1.23</v>
      </c>
      <c r="L2488" s="8" t="n">
        <v>0</v>
      </c>
      <c r="M2488" s="9">
        <f>ROUND(SUM(I2488:L2488),2)</f>
        <v/>
      </c>
      <c r="N2488" s="10">
        <f>ROUND(I2488*'Irish Basis'!$C$6*'Irish Basis'!$C$5,2)</f>
        <v/>
      </c>
      <c r="O2488" s="10">
        <f>ROUND(J2488*'Irish Basis'!$C$7*'Irish Basis'!$C$5,2)</f>
        <v/>
      </c>
      <c r="P2488" s="10">
        <f>ROUND(K2488*'Irish Basis'!$C$8*'Irish Basis'!$C$5,2)</f>
        <v/>
      </c>
      <c r="Q2488" s="10">
        <f>ROUND(L2488*'Irish Basis'!$C$12*'Irish Basis'!$C$5,2)</f>
        <v/>
      </c>
      <c r="R2488" s="11">
        <f>ROUND(SUM(N2488:Q2488),2)</f>
        <v/>
      </c>
      <c r="S2488" s="5" t="inlineStr">
        <is>
          <t>Stated build-up</t>
        </is>
      </c>
      <c r="T2488" s="12" t="inlineStr">
        <is>
          <t>High</t>
        </is>
      </c>
      <c r="U2488" s="8" t="n">
        <v>5.24</v>
      </c>
      <c r="V2488" s="13">
        <f>IF(U2488="","",ROUND(M2488-U2488,2))</f>
        <v/>
      </c>
      <c r="W2488" s="5" t="n"/>
      <c r="X2488" s="5" t="inlineStr">
        <is>
          <t>Labour + plant + material as published; reconciles to the published rate.</t>
        </is>
      </c>
    </row>
    <row r="2489" ht="13" customHeight="1">
      <c r="A2489" s="4" t="n">
        <v>3746</v>
      </c>
      <c r="B2489" s="5" t="inlineStr">
        <is>
          <t>IMG_0116</t>
        </is>
      </c>
      <c r="C2489" s="5" t="inlineStr">
        <is>
          <t>CLASS O: TIMBER</t>
        </is>
      </c>
      <c r="D2489" s="5" t="inlineStr">
        <is>
          <t>05 FITTINGS AND FASTENINGS</t>
        </is>
      </c>
      <c r="E2489" s="5" t="inlineStr">
        <is>
          <t>Carriage bolts, nuts and washer (continued)</t>
        </is>
      </c>
      <c r="F2489" s="5" t="inlineStr">
        <is>
          <t>M8 x 200 mm long</t>
        </is>
      </c>
      <c r="G2489" s="6" t="inlineStr">
        <is>
          <t>nr</t>
        </is>
      </c>
      <c r="H2489" s="7" t="n">
        <v>0.07000000000000001</v>
      </c>
      <c r="I2489" s="8" t="n">
        <v>4.01</v>
      </c>
      <c r="J2489" s="8" t="n">
        <v>0</v>
      </c>
      <c r="K2489" s="8" t="n">
        <v>1.93</v>
      </c>
      <c r="L2489" s="8" t="n">
        <v>0</v>
      </c>
      <c r="M2489" s="9">
        <f>ROUND(SUM(I2489:L2489),2)</f>
        <v/>
      </c>
      <c r="N2489" s="10">
        <f>ROUND(I2489*'Irish Basis'!$C$6*'Irish Basis'!$C$5,2)</f>
        <v/>
      </c>
      <c r="O2489" s="10">
        <f>ROUND(J2489*'Irish Basis'!$C$7*'Irish Basis'!$C$5,2)</f>
        <v/>
      </c>
      <c r="P2489" s="10">
        <f>ROUND(K2489*'Irish Basis'!$C$8*'Irish Basis'!$C$5,2)</f>
        <v/>
      </c>
      <c r="Q2489" s="10">
        <f>ROUND(L2489*'Irish Basis'!$C$12*'Irish Basis'!$C$5,2)</f>
        <v/>
      </c>
      <c r="R2489" s="11">
        <f>ROUND(SUM(N2489:Q2489),2)</f>
        <v/>
      </c>
      <c r="S2489" s="5" t="inlineStr">
        <is>
          <t>Stated build-up</t>
        </is>
      </c>
      <c r="T2489" s="12" t="inlineStr">
        <is>
          <t>High</t>
        </is>
      </c>
      <c r="U2489" s="8" t="n">
        <v>5.94</v>
      </c>
      <c r="V2489" s="13">
        <f>IF(U2489="","",ROUND(M2489-U2489,2))</f>
        <v/>
      </c>
      <c r="W2489" s="5" t="n"/>
      <c r="X2489" s="5" t="inlineStr">
        <is>
          <t>Labour + plant + material as published; reconciles to the published rate.</t>
        </is>
      </c>
    </row>
    <row r="2490" ht="13" customHeight="1">
      <c r="A2490" s="4" t="n">
        <v>3747</v>
      </c>
      <c r="B2490" s="5" t="inlineStr">
        <is>
          <t>IMG_0116</t>
        </is>
      </c>
      <c r="C2490" s="5" t="inlineStr">
        <is>
          <t>CLASS O: TIMBER</t>
        </is>
      </c>
      <c r="D2490" s="5" t="inlineStr">
        <is>
          <t>05 FITTINGS AND FASTENINGS</t>
        </is>
      </c>
      <c r="E2490" s="5" t="inlineStr">
        <is>
          <t>Carriage bolts, nuts and washer (continued)</t>
        </is>
      </c>
      <c r="F2490" s="5" t="inlineStr">
        <is>
          <t>M10 x 25 mm long</t>
        </is>
      </c>
      <c r="G2490" s="6" t="inlineStr">
        <is>
          <t>nr</t>
        </is>
      </c>
      <c r="H2490" s="7" t="n">
        <v>0.05</v>
      </c>
      <c r="I2490" s="8" t="n">
        <v>2.87</v>
      </c>
      <c r="J2490" s="8" t="n">
        <v>0</v>
      </c>
      <c r="K2490" s="8" t="n">
        <v>1.26</v>
      </c>
      <c r="L2490" s="8" t="n">
        <v>0</v>
      </c>
      <c r="M2490" s="9">
        <f>ROUND(SUM(I2490:L2490),2)</f>
        <v/>
      </c>
      <c r="N2490" s="10">
        <f>ROUND(I2490*'Irish Basis'!$C$6*'Irish Basis'!$C$5,2)</f>
        <v/>
      </c>
      <c r="O2490" s="10">
        <f>ROUND(J2490*'Irish Basis'!$C$7*'Irish Basis'!$C$5,2)</f>
        <v/>
      </c>
      <c r="P2490" s="10">
        <f>ROUND(K2490*'Irish Basis'!$C$8*'Irish Basis'!$C$5,2)</f>
        <v/>
      </c>
      <c r="Q2490" s="10">
        <f>ROUND(L2490*'Irish Basis'!$C$12*'Irish Basis'!$C$5,2)</f>
        <v/>
      </c>
      <c r="R2490" s="11">
        <f>ROUND(SUM(N2490:Q2490),2)</f>
        <v/>
      </c>
      <c r="S2490" s="5" t="inlineStr">
        <is>
          <t>Stated build-up</t>
        </is>
      </c>
      <c r="T2490" s="12" t="inlineStr">
        <is>
          <t>High</t>
        </is>
      </c>
      <c r="U2490" s="8" t="n">
        <v>4.12</v>
      </c>
      <c r="V2490" s="13">
        <f>IF(U2490="","",ROUND(M2490-U2490,2))</f>
        <v/>
      </c>
      <c r="W2490" s="5" t="n"/>
      <c r="X2490" s="5" t="inlineStr">
        <is>
          <t>Labour + plant + material as published; reconciles to the published rate.</t>
        </is>
      </c>
    </row>
    <row r="2491" ht="13" customHeight="1">
      <c r="A2491" s="4" t="n">
        <v>3748</v>
      </c>
      <c r="B2491" s="5" t="inlineStr">
        <is>
          <t>IMG_0116</t>
        </is>
      </c>
      <c r="C2491" s="5" t="inlineStr">
        <is>
          <t>CLASS O: TIMBER</t>
        </is>
      </c>
      <c r="D2491" s="5" t="inlineStr">
        <is>
          <t>05 FITTINGS AND FASTENINGS</t>
        </is>
      </c>
      <c r="E2491" s="5" t="inlineStr">
        <is>
          <t>Carriage bolts, nuts and washer (continued)</t>
        </is>
      </c>
      <c r="F2491" s="5" t="inlineStr">
        <is>
          <t>M10 x 50 mm long</t>
        </is>
      </c>
      <c r="G2491" s="6" t="inlineStr">
        <is>
          <t>nr</t>
        </is>
      </c>
      <c r="H2491" s="7" t="n">
        <v>0.06</v>
      </c>
      <c r="I2491" s="8" t="n">
        <v>3.44</v>
      </c>
      <c r="J2491" s="8" t="n">
        <v>0</v>
      </c>
      <c r="K2491" s="8" t="n">
        <v>1.2</v>
      </c>
      <c r="L2491" s="8" t="n">
        <v>0</v>
      </c>
      <c r="M2491" s="9">
        <f>ROUND(SUM(I2491:L2491),2)</f>
        <v/>
      </c>
      <c r="N2491" s="10">
        <f>ROUND(I2491*'Irish Basis'!$C$6*'Irish Basis'!$C$5,2)</f>
        <v/>
      </c>
      <c r="O2491" s="10">
        <f>ROUND(J2491*'Irish Basis'!$C$7*'Irish Basis'!$C$5,2)</f>
        <v/>
      </c>
      <c r="P2491" s="10">
        <f>ROUND(K2491*'Irish Basis'!$C$8*'Irish Basis'!$C$5,2)</f>
        <v/>
      </c>
      <c r="Q2491" s="10">
        <f>ROUND(L2491*'Irish Basis'!$C$12*'Irish Basis'!$C$5,2)</f>
        <v/>
      </c>
      <c r="R2491" s="11">
        <f>ROUND(SUM(N2491:Q2491),2)</f>
        <v/>
      </c>
      <c r="S2491" s="5" t="inlineStr">
        <is>
          <t>Stated build-up</t>
        </is>
      </c>
      <c r="T2491" s="12" t="inlineStr">
        <is>
          <t>High</t>
        </is>
      </c>
      <c r="U2491" s="8" t="n">
        <v>4.64</v>
      </c>
      <c r="V2491" s="13">
        <f>IF(U2491="","",ROUND(M2491-U2491,2))</f>
        <v/>
      </c>
      <c r="W2491" s="5" t="n"/>
      <c r="X2491" s="5" t="inlineStr">
        <is>
          <t>Labour + plant + material as published; reconciles to the published rate.</t>
        </is>
      </c>
    </row>
    <row r="2492" ht="13" customHeight="1">
      <c r="A2492" s="4" t="n">
        <v>3749</v>
      </c>
      <c r="B2492" s="5" t="inlineStr">
        <is>
          <t>IMG_0116</t>
        </is>
      </c>
      <c r="C2492" s="5" t="inlineStr">
        <is>
          <t>CLASS O: TIMBER</t>
        </is>
      </c>
      <c r="D2492" s="5" t="inlineStr">
        <is>
          <t>05 FITTINGS AND FASTENINGS</t>
        </is>
      </c>
      <c r="E2492" s="5" t="inlineStr">
        <is>
          <t>Carriage bolts, nuts and washer (continued)</t>
        </is>
      </c>
      <c r="F2492" s="5" t="inlineStr">
        <is>
          <t>M10 x 75 mm long</t>
        </is>
      </c>
      <c r="G2492" s="6" t="inlineStr">
        <is>
          <t>nr</t>
        </is>
      </c>
      <c r="H2492" s="7" t="n">
        <v>0.06</v>
      </c>
      <c r="I2492" s="8" t="n">
        <v>3.44</v>
      </c>
      <c r="J2492" s="8" t="n">
        <v>0</v>
      </c>
      <c r="K2492" s="8" t="n">
        <v>1.24</v>
      </c>
      <c r="L2492" s="8" t="n">
        <v>0</v>
      </c>
      <c r="M2492" s="9">
        <f>ROUND(SUM(I2492:L2492),2)</f>
        <v/>
      </c>
      <c r="N2492" s="10">
        <f>ROUND(I2492*'Irish Basis'!$C$6*'Irish Basis'!$C$5,2)</f>
        <v/>
      </c>
      <c r="O2492" s="10">
        <f>ROUND(J2492*'Irish Basis'!$C$7*'Irish Basis'!$C$5,2)</f>
        <v/>
      </c>
      <c r="P2492" s="10">
        <f>ROUND(K2492*'Irish Basis'!$C$8*'Irish Basis'!$C$5,2)</f>
        <v/>
      </c>
      <c r="Q2492" s="10">
        <f>ROUND(L2492*'Irish Basis'!$C$12*'Irish Basis'!$C$5,2)</f>
        <v/>
      </c>
      <c r="R2492" s="11">
        <f>ROUND(SUM(N2492:Q2492),2)</f>
        <v/>
      </c>
      <c r="S2492" s="5" t="inlineStr">
        <is>
          <t>Stated build-up</t>
        </is>
      </c>
      <c r="T2492" s="12" t="inlineStr">
        <is>
          <t>High</t>
        </is>
      </c>
      <c r="U2492" s="8" t="n">
        <v>4.68</v>
      </c>
      <c r="V2492" s="13">
        <f>IF(U2492="","",ROUND(M2492-U2492,2))</f>
        <v/>
      </c>
      <c r="W2492" s="5" t="n"/>
      <c r="X2492" s="5" t="inlineStr">
        <is>
          <t>Labour + plant + material as published; reconciles to the published rate.</t>
        </is>
      </c>
    </row>
    <row r="2493" ht="13" customHeight="1">
      <c r="A2493" s="4" t="n">
        <v>3750</v>
      </c>
      <c r="B2493" s="5" t="inlineStr">
        <is>
          <t>IMG_0116</t>
        </is>
      </c>
      <c r="C2493" s="5" t="inlineStr">
        <is>
          <t>CLASS O: TIMBER</t>
        </is>
      </c>
      <c r="D2493" s="5" t="inlineStr">
        <is>
          <t>05 FITTINGS AND FASTENINGS</t>
        </is>
      </c>
      <c r="E2493" s="5" t="inlineStr">
        <is>
          <t>Carriage bolts, nuts and washer (continued)</t>
        </is>
      </c>
      <c r="F2493" s="5" t="inlineStr">
        <is>
          <t>M10 x 100 mm long</t>
        </is>
      </c>
      <c r="G2493" s="6" t="inlineStr">
        <is>
          <t>nr</t>
        </is>
      </c>
      <c r="H2493" s="7" t="n">
        <v>0.07000000000000001</v>
      </c>
      <c r="I2493" s="8" t="n">
        <v>4.01</v>
      </c>
      <c r="J2493" s="8" t="n">
        <v>0</v>
      </c>
      <c r="K2493" s="8" t="n">
        <v>1.28</v>
      </c>
      <c r="L2493" s="8" t="n">
        <v>0</v>
      </c>
      <c r="M2493" s="9">
        <f>ROUND(SUM(I2493:L2493),2)</f>
        <v/>
      </c>
      <c r="N2493" s="10">
        <f>ROUND(I2493*'Irish Basis'!$C$6*'Irish Basis'!$C$5,2)</f>
        <v/>
      </c>
      <c r="O2493" s="10">
        <f>ROUND(J2493*'Irish Basis'!$C$7*'Irish Basis'!$C$5,2)</f>
        <v/>
      </c>
      <c r="P2493" s="10">
        <f>ROUND(K2493*'Irish Basis'!$C$8*'Irish Basis'!$C$5,2)</f>
        <v/>
      </c>
      <c r="Q2493" s="10">
        <f>ROUND(L2493*'Irish Basis'!$C$12*'Irish Basis'!$C$5,2)</f>
        <v/>
      </c>
      <c r="R2493" s="11">
        <f>ROUND(SUM(N2493:Q2493),2)</f>
        <v/>
      </c>
      <c r="S2493" s="5" t="inlineStr">
        <is>
          <t>Stated build-up</t>
        </is>
      </c>
      <c r="T2493" s="12" t="inlineStr">
        <is>
          <t>High</t>
        </is>
      </c>
      <c r="U2493" s="8" t="n">
        <v>5.29</v>
      </c>
      <c r="V2493" s="13">
        <f>IF(U2493="","",ROUND(M2493-U2493,2))</f>
        <v/>
      </c>
      <c r="W2493" s="5" t="n"/>
      <c r="X2493" s="5" t="inlineStr">
        <is>
          <t>Labour + plant + material as published; reconciles to the published rate.</t>
        </is>
      </c>
    </row>
    <row r="2494" ht="13" customHeight="1">
      <c r="A2494" s="4" t="n">
        <v>3751</v>
      </c>
      <c r="B2494" s="5" t="inlineStr">
        <is>
          <t>IMG_0116</t>
        </is>
      </c>
      <c r="C2494" s="5" t="inlineStr">
        <is>
          <t>CLASS O: TIMBER</t>
        </is>
      </c>
      <c r="D2494" s="5" t="inlineStr">
        <is>
          <t>05 FITTINGS AND FASTENINGS</t>
        </is>
      </c>
      <c r="E2494" s="5" t="inlineStr">
        <is>
          <t>Carriage bolts, nuts and washer (continued)</t>
        </is>
      </c>
      <c r="F2494" s="5" t="inlineStr">
        <is>
          <t>M10 x 150 mm long</t>
        </is>
      </c>
      <c r="G2494" s="6" t="inlineStr">
        <is>
          <t>nr</t>
        </is>
      </c>
      <c r="H2494" s="7" t="n">
        <v>0.07000000000000001</v>
      </c>
      <c r="I2494" s="8" t="n">
        <v>4.01</v>
      </c>
      <c r="J2494" s="8" t="n">
        <v>0</v>
      </c>
      <c r="K2494" s="8" t="n">
        <v>1.57</v>
      </c>
      <c r="L2494" s="8" t="n">
        <v>0</v>
      </c>
      <c r="M2494" s="9">
        <f>ROUND(SUM(I2494:L2494),2)</f>
        <v/>
      </c>
      <c r="N2494" s="10">
        <f>ROUND(I2494*'Irish Basis'!$C$6*'Irish Basis'!$C$5,2)</f>
        <v/>
      </c>
      <c r="O2494" s="10">
        <f>ROUND(J2494*'Irish Basis'!$C$7*'Irish Basis'!$C$5,2)</f>
        <v/>
      </c>
      <c r="P2494" s="10">
        <f>ROUND(K2494*'Irish Basis'!$C$8*'Irish Basis'!$C$5,2)</f>
        <v/>
      </c>
      <c r="Q2494" s="10">
        <f>ROUND(L2494*'Irish Basis'!$C$12*'Irish Basis'!$C$5,2)</f>
        <v/>
      </c>
      <c r="R2494" s="11">
        <f>ROUND(SUM(N2494:Q2494),2)</f>
        <v/>
      </c>
      <c r="S2494" s="5" t="inlineStr">
        <is>
          <t>Stated build-up</t>
        </is>
      </c>
      <c r="T2494" s="12" t="inlineStr">
        <is>
          <t>High</t>
        </is>
      </c>
      <c r="U2494" s="8" t="n">
        <v>5.58</v>
      </c>
      <c r="V2494" s="13">
        <f>IF(U2494="","",ROUND(M2494-U2494,2))</f>
        <v/>
      </c>
      <c r="W2494" s="5" t="n"/>
      <c r="X2494" s="5" t="inlineStr">
        <is>
          <t>Labour + plant + material as published; reconciles to the published rate.</t>
        </is>
      </c>
    </row>
    <row r="2495" ht="13" customHeight="1">
      <c r="A2495" s="4" t="n">
        <v>3752</v>
      </c>
      <c r="B2495" s="5" t="inlineStr">
        <is>
          <t>IMG_0116</t>
        </is>
      </c>
      <c r="C2495" s="5" t="inlineStr">
        <is>
          <t>CLASS O: TIMBER</t>
        </is>
      </c>
      <c r="D2495" s="5" t="inlineStr">
        <is>
          <t>05 FITTINGS AND FASTENINGS</t>
        </is>
      </c>
      <c r="E2495" s="5" t="inlineStr">
        <is>
          <t>Carriage bolts, nuts and washer (continued)</t>
        </is>
      </c>
      <c r="F2495" s="5" t="inlineStr">
        <is>
          <t>M10 x 200 mm long</t>
        </is>
      </c>
      <c r="G2495" s="6" t="inlineStr">
        <is>
          <t>nr</t>
        </is>
      </c>
      <c r="H2495" s="7" t="n">
        <v>0.08</v>
      </c>
      <c r="I2495" s="8" t="n">
        <v>4.58</v>
      </c>
      <c r="J2495" s="8" t="n">
        <v>0</v>
      </c>
      <c r="K2495" s="8" t="n">
        <v>2.13</v>
      </c>
      <c r="L2495" s="8" t="n">
        <v>0</v>
      </c>
      <c r="M2495" s="9">
        <f>ROUND(SUM(I2495:L2495),2)</f>
        <v/>
      </c>
      <c r="N2495" s="10">
        <f>ROUND(I2495*'Irish Basis'!$C$6*'Irish Basis'!$C$5,2)</f>
        <v/>
      </c>
      <c r="O2495" s="10">
        <f>ROUND(J2495*'Irish Basis'!$C$7*'Irish Basis'!$C$5,2)</f>
        <v/>
      </c>
      <c r="P2495" s="10">
        <f>ROUND(K2495*'Irish Basis'!$C$8*'Irish Basis'!$C$5,2)</f>
        <v/>
      </c>
      <c r="Q2495" s="10">
        <f>ROUND(L2495*'Irish Basis'!$C$12*'Irish Basis'!$C$5,2)</f>
        <v/>
      </c>
      <c r="R2495" s="11">
        <f>ROUND(SUM(N2495:Q2495),2)</f>
        <v/>
      </c>
      <c r="S2495" s="5" t="inlineStr">
        <is>
          <t>Stated build-up</t>
        </is>
      </c>
      <c r="T2495" s="12" t="inlineStr">
        <is>
          <t>High</t>
        </is>
      </c>
      <c r="U2495" s="8" t="n">
        <v>6.71</v>
      </c>
      <c r="V2495" s="13">
        <f>IF(U2495="","",ROUND(M2495-U2495,2))</f>
        <v/>
      </c>
      <c r="W2495" s="5" t="n"/>
      <c r="X2495" s="5" t="inlineStr">
        <is>
          <t>Labour + plant + material as published; reconciles to the published rate.</t>
        </is>
      </c>
    </row>
    <row r="2496" ht="13" customHeight="1">
      <c r="A2496" s="4" t="n">
        <v>3753</v>
      </c>
      <c r="B2496" s="5" t="inlineStr">
        <is>
          <t>IMG_0116</t>
        </is>
      </c>
      <c r="C2496" s="5" t="inlineStr">
        <is>
          <t>CLASS O: TIMBER</t>
        </is>
      </c>
      <c r="D2496" s="5" t="inlineStr">
        <is>
          <t>05 FITTINGS AND FASTENINGS</t>
        </is>
      </c>
      <c r="E2496" s="5" t="inlineStr">
        <is>
          <t>Carriage bolts, nuts and washer (continued)</t>
        </is>
      </c>
      <c r="F2496" s="5" t="inlineStr">
        <is>
          <t>M10 x 240 mm long</t>
        </is>
      </c>
      <c r="G2496" s="6" t="inlineStr">
        <is>
          <t>nr</t>
        </is>
      </c>
      <c r="H2496" s="7" t="n">
        <v>0.08</v>
      </c>
      <c r="I2496" s="8" t="n">
        <v>4.58</v>
      </c>
      <c r="J2496" s="8" t="n">
        <v>0</v>
      </c>
      <c r="K2496" s="8" t="n">
        <v>4.2</v>
      </c>
      <c r="L2496" s="8" t="n">
        <v>0</v>
      </c>
      <c r="M2496" s="9">
        <f>ROUND(SUM(I2496:L2496),2)</f>
        <v/>
      </c>
      <c r="N2496" s="10">
        <f>ROUND(I2496*'Irish Basis'!$C$6*'Irish Basis'!$C$5,2)</f>
        <v/>
      </c>
      <c r="O2496" s="10">
        <f>ROUND(J2496*'Irish Basis'!$C$7*'Irish Basis'!$C$5,2)</f>
        <v/>
      </c>
      <c r="P2496" s="10">
        <f>ROUND(K2496*'Irish Basis'!$C$8*'Irish Basis'!$C$5,2)</f>
        <v/>
      </c>
      <c r="Q2496" s="10">
        <f>ROUND(L2496*'Irish Basis'!$C$12*'Irish Basis'!$C$5,2)</f>
        <v/>
      </c>
      <c r="R2496" s="11">
        <f>ROUND(SUM(N2496:Q2496),2)</f>
        <v/>
      </c>
      <c r="S2496" s="5" t="inlineStr">
        <is>
          <t>Stated build-up</t>
        </is>
      </c>
      <c r="T2496" s="12" t="inlineStr">
        <is>
          <t>High</t>
        </is>
      </c>
      <c r="U2496" s="8" t="n">
        <v>8.779999999999999</v>
      </c>
      <c r="V2496" s="13">
        <f>IF(U2496="","",ROUND(M2496-U2496,2))</f>
        <v/>
      </c>
      <c r="W2496" s="5" t="n"/>
      <c r="X2496" s="5" t="inlineStr">
        <is>
          <t>Labour + plant + material as published; reconciles to the published rate.</t>
        </is>
      </c>
    </row>
    <row r="2497" ht="13" customHeight="1">
      <c r="A2497" s="4" t="n">
        <v>3754</v>
      </c>
      <c r="B2497" s="5" t="inlineStr">
        <is>
          <t>IMG_0116</t>
        </is>
      </c>
      <c r="C2497" s="5" t="inlineStr">
        <is>
          <t>CLASS O: TIMBER</t>
        </is>
      </c>
      <c r="D2497" s="5" t="inlineStr">
        <is>
          <t>05 FITTINGS AND FASTENINGS</t>
        </is>
      </c>
      <c r="E2497" s="5" t="inlineStr">
        <is>
          <t>Carriage bolts, nuts and washer (continued)</t>
        </is>
      </c>
      <c r="F2497" s="5" t="inlineStr">
        <is>
          <t>M10 x 300 mm long</t>
        </is>
      </c>
      <c r="G2497" s="6" t="inlineStr">
        <is>
          <t>nr</t>
        </is>
      </c>
      <c r="H2497" s="7" t="n">
        <v>0.09</v>
      </c>
      <c r="I2497" s="8" t="n">
        <v>5.16</v>
      </c>
      <c r="J2497" s="8" t="n">
        <v>0</v>
      </c>
      <c r="K2497" s="8" t="n">
        <v>4.55</v>
      </c>
      <c r="L2497" s="8" t="n">
        <v>0</v>
      </c>
      <c r="M2497" s="9">
        <f>ROUND(SUM(I2497:L2497),2)</f>
        <v/>
      </c>
      <c r="N2497" s="10">
        <f>ROUND(I2497*'Irish Basis'!$C$6*'Irish Basis'!$C$5,2)</f>
        <v/>
      </c>
      <c r="O2497" s="10">
        <f>ROUND(J2497*'Irish Basis'!$C$7*'Irish Basis'!$C$5,2)</f>
        <v/>
      </c>
      <c r="P2497" s="10">
        <f>ROUND(K2497*'Irish Basis'!$C$8*'Irish Basis'!$C$5,2)</f>
        <v/>
      </c>
      <c r="Q2497" s="10">
        <f>ROUND(L2497*'Irish Basis'!$C$12*'Irish Basis'!$C$5,2)</f>
        <v/>
      </c>
      <c r="R2497" s="11">
        <f>ROUND(SUM(N2497:Q2497),2)</f>
        <v/>
      </c>
      <c r="S2497" s="5" t="inlineStr">
        <is>
          <t>Stated build-up</t>
        </is>
      </c>
      <c r="T2497" s="12" t="inlineStr">
        <is>
          <t>High</t>
        </is>
      </c>
      <c r="U2497" s="8" t="n">
        <v>9.699999999999999</v>
      </c>
      <c r="V2497" s="13">
        <f>IF(U2497="","",ROUND(M2497-U2497,2))</f>
        <v/>
      </c>
      <c r="W2497" s="5" t="n"/>
      <c r="X2497" s="5" t="inlineStr">
        <is>
          <t>Labour + plant + material as published; reconciles to the published rate.</t>
        </is>
      </c>
    </row>
    <row r="2498" ht="13" customHeight="1">
      <c r="A2498" s="4" t="n">
        <v>3755</v>
      </c>
      <c r="B2498" s="5" t="inlineStr">
        <is>
          <t>IMG_0116</t>
        </is>
      </c>
      <c r="C2498" s="5" t="inlineStr">
        <is>
          <t>CLASS O: TIMBER</t>
        </is>
      </c>
      <c r="D2498" s="5" t="inlineStr">
        <is>
          <t>05 FITTINGS AND FASTENINGS</t>
        </is>
      </c>
      <c r="E2498" s="5" t="inlineStr">
        <is>
          <t>Carriage bolts, nuts and washer (continued)</t>
        </is>
      </c>
      <c r="F2498" s="5" t="inlineStr">
        <is>
          <t>M12 x 25 mm long</t>
        </is>
      </c>
      <c r="G2498" s="6" t="inlineStr">
        <is>
          <t>nr</t>
        </is>
      </c>
      <c r="H2498" s="7" t="n">
        <v>0.06</v>
      </c>
      <c r="I2498" s="8" t="n">
        <v>3.44</v>
      </c>
      <c r="J2498" s="8" t="n">
        <v>0</v>
      </c>
      <c r="K2498" s="8" t="n">
        <v>1.87</v>
      </c>
      <c r="L2498" s="8" t="n">
        <v>0</v>
      </c>
      <c r="M2498" s="9">
        <f>ROUND(SUM(I2498:L2498),2)</f>
        <v/>
      </c>
      <c r="N2498" s="10">
        <f>ROUND(I2498*'Irish Basis'!$C$6*'Irish Basis'!$C$5,2)</f>
        <v/>
      </c>
      <c r="O2498" s="10">
        <f>ROUND(J2498*'Irish Basis'!$C$7*'Irish Basis'!$C$5,2)</f>
        <v/>
      </c>
      <c r="P2498" s="10">
        <f>ROUND(K2498*'Irish Basis'!$C$8*'Irish Basis'!$C$5,2)</f>
        <v/>
      </c>
      <c r="Q2498" s="10">
        <f>ROUND(L2498*'Irish Basis'!$C$12*'Irish Basis'!$C$5,2)</f>
        <v/>
      </c>
      <c r="R2498" s="11">
        <f>ROUND(SUM(N2498:Q2498),2)</f>
        <v/>
      </c>
      <c r="S2498" s="5" t="inlineStr">
        <is>
          <t>Stated build-up</t>
        </is>
      </c>
      <c r="T2498" s="12" t="inlineStr">
        <is>
          <t>High</t>
        </is>
      </c>
      <c r="U2498" s="8" t="n">
        <v>5.3</v>
      </c>
      <c r="V2498" s="13">
        <f>IF(U2498="","",ROUND(M2498-U2498,2))</f>
        <v/>
      </c>
      <c r="W2498" s="5" t="n"/>
      <c r="X2498" s="5" t="inlineStr">
        <is>
          <t>Labour + plant + material as published; reconciles to the published rate.</t>
        </is>
      </c>
    </row>
    <row r="2499" ht="13" customHeight="1">
      <c r="A2499" s="4" t="n">
        <v>3756</v>
      </c>
      <c r="B2499" s="5" t="inlineStr">
        <is>
          <t>IMG_0116</t>
        </is>
      </c>
      <c r="C2499" s="5" t="inlineStr">
        <is>
          <t>CLASS O: TIMBER</t>
        </is>
      </c>
      <c r="D2499" s="5" t="inlineStr">
        <is>
          <t>05 FITTINGS AND FASTENINGS</t>
        </is>
      </c>
      <c r="E2499" s="5" t="inlineStr">
        <is>
          <t>Carriage bolts, nuts and washer (continued)</t>
        </is>
      </c>
      <c r="F2499" s="5" t="inlineStr">
        <is>
          <t>M12 x 50 mm long</t>
        </is>
      </c>
      <c r="G2499" s="6" t="inlineStr">
        <is>
          <t>nr</t>
        </is>
      </c>
      <c r="H2499" s="7" t="n">
        <v>0.06</v>
      </c>
      <c r="I2499" s="8" t="n">
        <v>3.44</v>
      </c>
      <c r="J2499" s="8" t="n">
        <v>0</v>
      </c>
      <c r="K2499" s="8" t="n">
        <v>2.34</v>
      </c>
      <c r="L2499" s="8" t="n">
        <v>0</v>
      </c>
      <c r="M2499" s="9">
        <f>ROUND(SUM(I2499:L2499),2)</f>
        <v/>
      </c>
      <c r="N2499" s="10">
        <f>ROUND(I2499*'Irish Basis'!$C$6*'Irish Basis'!$C$5,2)</f>
        <v/>
      </c>
      <c r="O2499" s="10">
        <f>ROUND(J2499*'Irish Basis'!$C$7*'Irish Basis'!$C$5,2)</f>
        <v/>
      </c>
      <c r="P2499" s="10">
        <f>ROUND(K2499*'Irish Basis'!$C$8*'Irish Basis'!$C$5,2)</f>
        <v/>
      </c>
      <c r="Q2499" s="10">
        <f>ROUND(L2499*'Irish Basis'!$C$12*'Irish Basis'!$C$5,2)</f>
        <v/>
      </c>
      <c r="R2499" s="11">
        <f>ROUND(SUM(N2499:Q2499),2)</f>
        <v/>
      </c>
      <c r="S2499" s="5" t="inlineStr">
        <is>
          <t>Stated build-up</t>
        </is>
      </c>
      <c r="T2499" s="12" t="inlineStr">
        <is>
          <t>High</t>
        </is>
      </c>
      <c r="U2499" s="8" t="n">
        <v>5.78</v>
      </c>
      <c r="V2499" s="13">
        <f>IF(U2499="","",ROUND(M2499-U2499,2))</f>
        <v/>
      </c>
      <c r="W2499" s="5" t="n"/>
      <c r="X2499" s="5" t="inlineStr">
        <is>
          <t>Labour + plant + material as published; reconciles to the published rate.</t>
        </is>
      </c>
    </row>
    <row r="2500" ht="13" customHeight="1">
      <c r="A2500" s="4" t="n">
        <v>3757</v>
      </c>
      <c r="B2500" s="5" t="inlineStr">
        <is>
          <t>IMG_0116</t>
        </is>
      </c>
      <c r="C2500" s="5" t="inlineStr">
        <is>
          <t>CLASS O: TIMBER</t>
        </is>
      </c>
      <c r="D2500" s="5" t="inlineStr">
        <is>
          <t>05 FITTINGS AND FASTENINGS</t>
        </is>
      </c>
      <c r="E2500" s="5" t="inlineStr">
        <is>
          <t>Carriage bolts, nuts and washer (continued)</t>
        </is>
      </c>
      <c r="F2500" s="5" t="inlineStr">
        <is>
          <t>M12 x 75 mm long</t>
        </is>
      </c>
      <c r="G2500" s="6" t="inlineStr">
        <is>
          <t>nr</t>
        </is>
      </c>
      <c r="H2500" s="7" t="n">
        <v>0.07000000000000001</v>
      </c>
      <c r="I2500" s="8" t="n">
        <v>4.01</v>
      </c>
      <c r="J2500" s="8" t="n">
        <v>0</v>
      </c>
      <c r="K2500" s="8" t="n">
        <v>2.54</v>
      </c>
      <c r="L2500" s="8" t="n">
        <v>0</v>
      </c>
      <c r="M2500" s="9">
        <f>ROUND(SUM(I2500:L2500),2)</f>
        <v/>
      </c>
      <c r="N2500" s="10">
        <f>ROUND(I2500*'Irish Basis'!$C$6*'Irish Basis'!$C$5,2)</f>
        <v/>
      </c>
      <c r="O2500" s="10">
        <f>ROUND(J2500*'Irish Basis'!$C$7*'Irish Basis'!$C$5,2)</f>
        <v/>
      </c>
      <c r="P2500" s="10">
        <f>ROUND(K2500*'Irish Basis'!$C$8*'Irish Basis'!$C$5,2)</f>
        <v/>
      </c>
      <c r="Q2500" s="10">
        <f>ROUND(L2500*'Irish Basis'!$C$12*'Irish Basis'!$C$5,2)</f>
        <v/>
      </c>
      <c r="R2500" s="11">
        <f>ROUND(SUM(N2500:Q2500),2)</f>
        <v/>
      </c>
      <c r="S2500" s="5" t="inlineStr">
        <is>
          <t>Stated build-up</t>
        </is>
      </c>
      <c r="T2500" s="12" t="inlineStr">
        <is>
          <t>High</t>
        </is>
      </c>
      <c r="U2500" s="8" t="n">
        <v>6.55</v>
      </c>
      <c r="V2500" s="13">
        <f>IF(U2500="","",ROUND(M2500-U2500,2))</f>
        <v/>
      </c>
      <c r="W2500" s="5" t="n"/>
      <c r="X2500" s="5" t="inlineStr">
        <is>
          <t>Labour + plant + material as published; reconciles to the published rate.</t>
        </is>
      </c>
    </row>
    <row r="2501" ht="13" customHeight="1">
      <c r="A2501" s="4" t="n">
        <v>3758</v>
      </c>
      <c r="B2501" s="5" t="inlineStr">
        <is>
          <t>IMG_0116</t>
        </is>
      </c>
      <c r="C2501" s="5" t="inlineStr">
        <is>
          <t>CLASS O: TIMBER</t>
        </is>
      </c>
      <c r="D2501" s="5" t="inlineStr">
        <is>
          <t>05 FITTINGS AND FASTENINGS</t>
        </is>
      </c>
      <c r="E2501" s="5" t="inlineStr">
        <is>
          <t>Carriage bolts, nuts and washer (continued)</t>
        </is>
      </c>
      <c r="F2501" s="5" t="inlineStr">
        <is>
          <t>M12 x 100 mm long</t>
        </is>
      </c>
      <c r="G2501" s="6" t="inlineStr">
        <is>
          <t>nr</t>
        </is>
      </c>
      <c r="H2501" s="7" t="n">
        <v>0.07000000000000001</v>
      </c>
      <c r="I2501" s="8" t="n">
        <v>4.01</v>
      </c>
      <c r="J2501" s="8" t="n">
        <v>0</v>
      </c>
      <c r="K2501" s="8" t="n">
        <v>2.64</v>
      </c>
      <c r="L2501" s="8" t="n">
        <v>0</v>
      </c>
      <c r="M2501" s="9">
        <f>ROUND(SUM(I2501:L2501),2)</f>
        <v/>
      </c>
      <c r="N2501" s="10">
        <f>ROUND(I2501*'Irish Basis'!$C$6*'Irish Basis'!$C$5,2)</f>
        <v/>
      </c>
      <c r="O2501" s="10">
        <f>ROUND(J2501*'Irish Basis'!$C$7*'Irish Basis'!$C$5,2)</f>
        <v/>
      </c>
      <c r="P2501" s="10">
        <f>ROUND(K2501*'Irish Basis'!$C$8*'Irish Basis'!$C$5,2)</f>
        <v/>
      </c>
      <c r="Q2501" s="10">
        <f>ROUND(L2501*'Irish Basis'!$C$12*'Irish Basis'!$C$5,2)</f>
        <v/>
      </c>
      <c r="R2501" s="11">
        <f>ROUND(SUM(N2501:Q2501),2)</f>
        <v/>
      </c>
      <c r="S2501" s="5" t="inlineStr">
        <is>
          <t>Stated build-up</t>
        </is>
      </c>
      <c r="T2501" s="12" t="inlineStr">
        <is>
          <t>High</t>
        </is>
      </c>
      <c r="U2501" s="8" t="n">
        <v>6.65</v>
      </c>
      <c r="V2501" s="13">
        <f>IF(U2501="","",ROUND(M2501-U2501,2))</f>
        <v/>
      </c>
      <c r="W2501" s="5" t="n"/>
      <c r="X2501" s="5" t="inlineStr">
        <is>
          <t>Labour + plant + material as published; reconciles to the published rate.</t>
        </is>
      </c>
    </row>
    <row r="2502" ht="13" customHeight="1">
      <c r="A2502" s="4" t="n">
        <v>3759</v>
      </c>
      <c r="B2502" s="5" t="inlineStr">
        <is>
          <t>IMG_0116</t>
        </is>
      </c>
      <c r="C2502" s="5" t="inlineStr">
        <is>
          <t>CLASS O: TIMBER</t>
        </is>
      </c>
      <c r="D2502" s="5" t="inlineStr">
        <is>
          <t>05 FITTINGS AND FASTENINGS</t>
        </is>
      </c>
      <c r="E2502" s="5" t="inlineStr">
        <is>
          <t>Carriage bolts, nuts and washer (continued)</t>
        </is>
      </c>
      <c r="F2502" s="5" t="inlineStr">
        <is>
          <t>M12 x 150 mm long</t>
        </is>
      </c>
      <c r="G2502" s="6" t="inlineStr">
        <is>
          <t>nr</t>
        </is>
      </c>
      <c r="H2502" s="7" t="n">
        <v>0.08</v>
      </c>
      <c r="I2502" s="8" t="n">
        <v>4.58</v>
      </c>
      <c r="J2502" s="8" t="n">
        <v>0</v>
      </c>
      <c r="K2502" s="8" t="n">
        <v>3.2</v>
      </c>
      <c r="L2502" s="8" t="n">
        <v>0</v>
      </c>
      <c r="M2502" s="9">
        <f>ROUND(SUM(I2502:L2502),2)</f>
        <v/>
      </c>
      <c r="N2502" s="10">
        <f>ROUND(I2502*'Irish Basis'!$C$6*'Irish Basis'!$C$5,2)</f>
        <v/>
      </c>
      <c r="O2502" s="10">
        <f>ROUND(J2502*'Irish Basis'!$C$7*'Irish Basis'!$C$5,2)</f>
        <v/>
      </c>
      <c r="P2502" s="10">
        <f>ROUND(K2502*'Irish Basis'!$C$8*'Irish Basis'!$C$5,2)</f>
        <v/>
      </c>
      <c r="Q2502" s="10">
        <f>ROUND(L2502*'Irish Basis'!$C$12*'Irish Basis'!$C$5,2)</f>
        <v/>
      </c>
      <c r="R2502" s="11">
        <f>ROUND(SUM(N2502:Q2502),2)</f>
        <v/>
      </c>
      <c r="S2502" s="5" t="inlineStr">
        <is>
          <t>Stated build-up</t>
        </is>
      </c>
      <c r="T2502" s="12" t="inlineStr">
        <is>
          <t>High</t>
        </is>
      </c>
      <c r="U2502" s="8" t="n">
        <v>7.78</v>
      </c>
      <c r="V2502" s="13">
        <f>IF(U2502="","",ROUND(M2502-U2502,2))</f>
        <v/>
      </c>
      <c r="W2502" s="5" t="n"/>
      <c r="X2502" s="5" t="inlineStr">
        <is>
          <t>Labour + plant + material as published; reconciles to the published rate.</t>
        </is>
      </c>
    </row>
    <row r="2503" ht="13" customHeight="1">
      <c r="A2503" s="4" t="n">
        <v>3760</v>
      </c>
      <c r="B2503" s="5" t="inlineStr">
        <is>
          <t>IMG_0116</t>
        </is>
      </c>
      <c r="C2503" s="5" t="inlineStr">
        <is>
          <t>CLASS O: TIMBER</t>
        </is>
      </c>
      <c r="D2503" s="5" t="inlineStr">
        <is>
          <t>05 FITTINGS AND FASTENINGS</t>
        </is>
      </c>
      <c r="E2503" s="5" t="inlineStr">
        <is>
          <t>Carriage bolts, nuts and washer (continued)</t>
        </is>
      </c>
      <c r="F2503" s="5" t="inlineStr">
        <is>
          <t>M12 x 200 mm long</t>
        </is>
      </c>
      <c r="G2503" s="6" t="inlineStr">
        <is>
          <t>nr</t>
        </is>
      </c>
      <c r="H2503" s="7" t="n">
        <v>0.08</v>
      </c>
      <c r="I2503" s="8" t="n">
        <v>4.58</v>
      </c>
      <c r="J2503" s="8" t="n">
        <v>0</v>
      </c>
      <c r="K2503" s="8" t="n">
        <v>3.97</v>
      </c>
      <c r="L2503" s="8" t="n">
        <v>0</v>
      </c>
      <c r="M2503" s="9">
        <f>ROUND(SUM(I2503:L2503),2)</f>
        <v/>
      </c>
      <c r="N2503" s="10">
        <f>ROUND(I2503*'Irish Basis'!$C$6*'Irish Basis'!$C$5,2)</f>
        <v/>
      </c>
      <c r="O2503" s="10">
        <f>ROUND(J2503*'Irish Basis'!$C$7*'Irish Basis'!$C$5,2)</f>
        <v/>
      </c>
      <c r="P2503" s="10">
        <f>ROUND(K2503*'Irish Basis'!$C$8*'Irish Basis'!$C$5,2)</f>
        <v/>
      </c>
      <c r="Q2503" s="10">
        <f>ROUND(L2503*'Irish Basis'!$C$12*'Irish Basis'!$C$5,2)</f>
        <v/>
      </c>
      <c r="R2503" s="11">
        <f>ROUND(SUM(N2503:Q2503),2)</f>
        <v/>
      </c>
      <c r="S2503" s="5" t="inlineStr">
        <is>
          <t>Stated build-up</t>
        </is>
      </c>
      <c r="T2503" s="12" t="inlineStr">
        <is>
          <t>High</t>
        </is>
      </c>
      <c r="U2503" s="8" t="n">
        <v>8.56</v>
      </c>
      <c r="V2503" s="13">
        <f>IF(U2503="","",ROUND(M2503-U2503,2))</f>
        <v/>
      </c>
      <c r="W2503" s="5" t="n"/>
      <c r="X2503" s="5" t="inlineStr">
        <is>
          <t>Labour + plant + material as published; reconciles to the published rate.</t>
        </is>
      </c>
    </row>
    <row r="2504" ht="13" customHeight="1">
      <c r="A2504" s="4" t="n">
        <v>3761</v>
      </c>
      <c r="B2504" s="5" t="inlineStr">
        <is>
          <t>IMG_0116</t>
        </is>
      </c>
      <c r="C2504" s="5" t="inlineStr">
        <is>
          <t>CLASS O: TIMBER</t>
        </is>
      </c>
      <c r="D2504" s="5" t="inlineStr">
        <is>
          <t>05 FITTINGS AND FASTENINGS</t>
        </is>
      </c>
      <c r="E2504" s="5" t="inlineStr">
        <is>
          <t>Carriage bolts, nuts and washer (continued)</t>
        </is>
      </c>
      <c r="F2504" s="5" t="inlineStr">
        <is>
          <t>M12 x 240 mm long</t>
        </is>
      </c>
      <c r="G2504" s="6" t="inlineStr">
        <is>
          <t>nr</t>
        </is>
      </c>
      <c r="H2504" s="7" t="n">
        <v>0.09</v>
      </c>
      <c r="I2504" s="8" t="n">
        <v>5.16</v>
      </c>
      <c r="J2504" s="8" t="n">
        <v>0</v>
      </c>
      <c r="K2504" s="8" t="n">
        <v>5.78</v>
      </c>
      <c r="L2504" s="8" t="n">
        <v>0</v>
      </c>
      <c r="M2504" s="9">
        <f>ROUND(SUM(I2504:L2504),2)</f>
        <v/>
      </c>
      <c r="N2504" s="10">
        <f>ROUND(I2504*'Irish Basis'!$C$6*'Irish Basis'!$C$5,2)</f>
        <v/>
      </c>
      <c r="O2504" s="10">
        <f>ROUND(J2504*'Irish Basis'!$C$7*'Irish Basis'!$C$5,2)</f>
        <v/>
      </c>
      <c r="P2504" s="10">
        <f>ROUND(K2504*'Irish Basis'!$C$8*'Irish Basis'!$C$5,2)</f>
        <v/>
      </c>
      <c r="Q2504" s="10">
        <f>ROUND(L2504*'Irish Basis'!$C$12*'Irish Basis'!$C$5,2)</f>
        <v/>
      </c>
      <c r="R2504" s="11">
        <f>ROUND(SUM(N2504:Q2504),2)</f>
        <v/>
      </c>
      <c r="S2504" s="5" t="inlineStr">
        <is>
          <t>Stated build-up</t>
        </is>
      </c>
      <c r="T2504" s="12" t="inlineStr">
        <is>
          <t>High</t>
        </is>
      </c>
      <c r="U2504" s="8" t="n">
        <v>10.93</v>
      </c>
      <c r="V2504" s="13">
        <f>IF(U2504="","",ROUND(M2504-U2504,2))</f>
        <v/>
      </c>
      <c r="W2504" s="5" t="n"/>
      <c r="X2504" s="5" t="inlineStr">
        <is>
          <t>Labour + plant + material as published; reconciles to the published rate.</t>
        </is>
      </c>
    </row>
    <row r="2505" ht="13" customHeight="1">
      <c r="A2505" s="4" t="n">
        <v>3762</v>
      </c>
      <c r="B2505" s="5" t="inlineStr">
        <is>
          <t>IMG_0116</t>
        </is>
      </c>
      <c r="C2505" s="5" t="inlineStr">
        <is>
          <t>CLASS O: TIMBER</t>
        </is>
      </c>
      <c r="D2505" s="5" t="inlineStr">
        <is>
          <t>05 FITTINGS AND FASTENINGS</t>
        </is>
      </c>
      <c r="E2505" s="5" t="inlineStr">
        <is>
          <t>Carriage bolts, nuts and washer (continued)</t>
        </is>
      </c>
      <c r="F2505" s="5" t="inlineStr">
        <is>
          <t>M12 x 300 mm long</t>
        </is>
      </c>
      <c r="G2505" s="6" t="inlineStr">
        <is>
          <t>nr</t>
        </is>
      </c>
      <c r="H2505" s="7" t="n">
        <v>0.1</v>
      </c>
      <c r="I2505" s="8" t="n">
        <v>5.73</v>
      </c>
      <c r="J2505" s="8" t="n">
        <v>0</v>
      </c>
      <c r="K2505" s="8" t="n">
        <v>6.14</v>
      </c>
      <c r="L2505" s="8" t="n">
        <v>0</v>
      </c>
      <c r="M2505" s="9">
        <f>ROUND(SUM(I2505:L2505),2)</f>
        <v/>
      </c>
      <c r="N2505" s="10">
        <f>ROUND(I2505*'Irish Basis'!$C$6*'Irish Basis'!$C$5,2)</f>
        <v/>
      </c>
      <c r="O2505" s="10">
        <f>ROUND(J2505*'Irish Basis'!$C$7*'Irish Basis'!$C$5,2)</f>
        <v/>
      </c>
      <c r="P2505" s="10">
        <f>ROUND(K2505*'Irish Basis'!$C$8*'Irish Basis'!$C$5,2)</f>
        <v/>
      </c>
      <c r="Q2505" s="10">
        <f>ROUND(L2505*'Irish Basis'!$C$12*'Irish Basis'!$C$5,2)</f>
        <v/>
      </c>
      <c r="R2505" s="11">
        <f>ROUND(SUM(N2505:Q2505),2)</f>
        <v/>
      </c>
      <c r="S2505" s="5" t="inlineStr">
        <is>
          <t>Stated build-up</t>
        </is>
      </c>
      <c r="T2505" s="12" t="inlineStr">
        <is>
          <t>High</t>
        </is>
      </c>
      <c r="U2505" s="8" t="n">
        <v>11.88</v>
      </c>
      <c r="V2505" s="13">
        <f>IF(U2505="","",ROUND(M2505-U2505,2))</f>
        <v/>
      </c>
      <c r="W2505" s="5" t="n"/>
      <c r="X2505" s="5" t="inlineStr">
        <is>
          <t>Labour + plant + material as published; reconciles to the published rate.</t>
        </is>
      </c>
    </row>
    <row r="2506" ht="13" customHeight="1">
      <c r="A2506" s="4" t="n">
        <v>3764</v>
      </c>
      <c r="B2506" s="5" t="inlineStr">
        <is>
          <t>IMG_0116</t>
        </is>
      </c>
      <c r="C2506" s="5" t="inlineStr">
        <is>
          <t>CLASS O: TIMBER</t>
        </is>
      </c>
      <c r="D2506" s="5" t="inlineStr">
        <is>
          <t>05 FITTINGS AND FASTENINGS</t>
        </is>
      </c>
      <c r="E2506" s="5" t="inlineStr">
        <is>
          <t>Galvanized steel; Straps</t>
        </is>
      </c>
      <c r="F2506" s="5" t="inlineStr">
        <is>
          <t>30 x 2.5 x 600 mm girth</t>
        </is>
      </c>
      <c r="G2506" s="6" t="inlineStr">
        <is>
          <t>nr</t>
        </is>
      </c>
      <c r="H2506" s="7" t="n">
        <v>0.13</v>
      </c>
      <c r="I2506" s="8" t="n">
        <v>7.45</v>
      </c>
      <c r="J2506" s="8" t="n">
        <v>0</v>
      </c>
      <c r="K2506" s="8" t="n">
        <v>3.09</v>
      </c>
      <c r="L2506" s="8" t="n">
        <v>0</v>
      </c>
      <c r="M2506" s="9">
        <f>ROUND(SUM(I2506:L2506),2)</f>
        <v/>
      </c>
      <c r="N2506" s="10">
        <f>ROUND(I2506*'Irish Basis'!$C$6*'Irish Basis'!$C$5,2)</f>
        <v/>
      </c>
      <c r="O2506" s="10">
        <f>ROUND(J2506*'Irish Basis'!$C$7*'Irish Basis'!$C$5,2)</f>
        <v/>
      </c>
      <c r="P2506" s="10">
        <f>ROUND(K2506*'Irish Basis'!$C$8*'Irish Basis'!$C$5,2)</f>
        <v/>
      </c>
      <c r="Q2506" s="10">
        <f>ROUND(L2506*'Irish Basis'!$C$12*'Irish Basis'!$C$5,2)</f>
        <v/>
      </c>
      <c r="R2506" s="11">
        <f>ROUND(SUM(N2506:Q2506),2)</f>
        <v/>
      </c>
      <c r="S2506" s="5" t="inlineStr">
        <is>
          <t>Stated build-up</t>
        </is>
      </c>
      <c r="T2506" s="12" t="inlineStr">
        <is>
          <t>High</t>
        </is>
      </c>
      <c r="U2506" s="8" t="n">
        <v>10.54</v>
      </c>
      <c r="V2506" s="13">
        <f>IF(U2506="","",ROUND(M2506-U2506,2))</f>
        <v/>
      </c>
      <c r="W2506" s="5" t="n"/>
      <c r="X2506" s="5" t="inlineStr">
        <is>
          <t>Labour + plant + material as published; reconciles to the published rate.</t>
        </is>
      </c>
    </row>
    <row r="2507" ht="13" customHeight="1">
      <c r="A2507" s="4" t="n">
        <v>3765</v>
      </c>
      <c r="B2507" s="5" t="inlineStr">
        <is>
          <t>IMG_0116</t>
        </is>
      </c>
      <c r="C2507" s="5" t="inlineStr">
        <is>
          <t>CLASS O: TIMBER</t>
        </is>
      </c>
      <c r="D2507" s="5" t="inlineStr">
        <is>
          <t>05 FITTINGS AND FASTENINGS</t>
        </is>
      </c>
      <c r="E2507" s="5" t="inlineStr">
        <is>
          <t>Galvanized steel; Straps</t>
        </is>
      </c>
      <c r="F2507" s="5" t="inlineStr">
        <is>
          <t>30 x 2.5 x 800 mm girth</t>
        </is>
      </c>
      <c r="G2507" s="6" t="inlineStr">
        <is>
          <t>nr</t>
        </is>
      </c>
      <c r="H2507" s="7" t="n">
        <v>0.13</v>
      </c>
      <c r="I2507" s="8" t="n">
        <v>7.45</v>
      </c>
      <c r="J2507" s="8" t="n">
        <v>0</v>
      </c>
      <c r="K2507" s="8" t="n">
        <v>4.07</v>
      </c>
      <c r="L2507" s="8" t="n">
        <v>0</v>
      </c>
      <c r="M2507" s="9">
        <f>ROUND(SUM(I2507:L2507),2)</f>
        <v/>
      </c>
      <c r="N2507" s="10">
        <f>ROUND(I2507*'Irish Basis'!$C$6*'Irish Basis'!$C$5,2)</f>
        <v/>
      </c>
      <c r="O2507" s="10">
        <f>ROUND(J2507*'Irish Basis'!$C$7*'Irish Basis'!$C$5,2)</f>
        <v/>
      </c>
      <c r="P2507" s="10">
        <f>ROUND(K2507*'Irish Basis'!$C$8*'Irish Basis'!$C$5,2)</f>
        <v/>
      </c>
      <c r="Q2507" s="10">
        <f>ROUND(L2507*'Irish Basis'!$C$12*'Irish Basis'!$C$5,2)</f>
        <v/>
      </c>
      <c r="R2507" s="11">
        <f>ROUND(SUM(N2507:Q2507),2)</f>
        <v/>
      </c>
      <c r="S2507" s="5" t="inlineStr">
        <is>
          <t>Stated build-up</t>
        </is>
      </c>
      <c r="T2507" s="12" t="inlineStr">
        <is>
          <t>High</t>
        </is>
      </c>
      <c r="U2507" s="8" t="n">
        <v>11.52</v>
      </c>
      <c r="V2507" s="13">
        <f>IF(U2507="","",ROUND(M2507-U2507,2))</f>
        <v/>
      </c>
      <c r="W2507" s="5" t="n"/>
      <c r="X2507" s="5" t="inlineStr">
        <is>
          <t>Labour + plant + material as published; reconciles to the published rate.</t>
        </is>
      </c>
    </row>
    <row r="2508" ht="13" customHeight="1">
      <c r="A2508" s="4" t="n">
        <v>3766</v>
      </c>
      <c r="B2508" s="5" t="inlineStr">
        <is>
          <t>IMG_0116</t>
        </is>
      </c>
      <c r="C2508" s="5" t="inlineStr">
        <is>
          <t>CLASS O: TIMBER</t>
        </is>
      </c>
      <c r="D2508" s="5" t="inlineStr">
        <is>
          <t>05 FITTINGS AND FASTENINGS</t>
        </is>
      </c>
      <c r="E2508" s="5" t="inlineStr">
        <is>
          <t>Galvanized steel; Straps</t>
        </is>
      </c>
      <c r="F2508" s="5" t="inlineStr">
        <is>
          <t>30 x 2.5 x 1000 mm girth</t>
        </is>
      </c>
      <c r="G2508" s="6" t="inlineStr">
        <is>
          <t>nr</t>
        </is>
      </c>
      <c r="H2508" s="7" t="n">
        <v>0.13</v>
      </c>
      <c r="I2508" s="8" t="n">
        <v>7.45</v>
      </c>
      <c r="J2508" s="8" t="n">
        <v>0</v>
      </c>
      <c r="K2508" s="8" t="n">
        <v>5.07</v>
      </c>
      <c r="L2508" s="8" t="n">
        <v>0</v>
      </c>
      <c r="M2508" s="9">
        <f>ROUND(SUM(I2508:L2508),2)</f>
        <v/>
      </c>
      <c r="N2508" s="10">
        <f>ROUND(I2508*'Irish Basis'!$C$6*'Irish Basis'!$C$5,2)</f>
        <v/>
      </c>
      <c r="O2508" s="10">
        <f>ROUND(J2508*'Irish Basis'!$C$7*'Irish Basis'!$C$5,2)</f>
        <v/>
      </c>
      <c r="P2508" s="10">
        <f>ROUND(K2508*'Irish Basis'!$C$8*'Irish Basis'!$C$5,2)</f>
        <v/>
      </c>
      <c r="Q2508" s="10">
        <f>ROUND(L2508*'Irish Basis'!$C$12*'Irish Basis'!$C$5,2)</f>
        <v/>
      </c>
      <c r="R2508" s="11">
        <f>ROUND(SUM(N2508:Q2508),2)</f>
        <v/>
      </c>
      <c r="S2508" s="5" t="inlineStr">
        <is>
          <t>Stated build-up</t>
        </is>
      </c>
      <c r="T2508" s="12" t="inlineStr">
        <is>
          <t>High</t>
        </is>
      </c>
      <c r="U2508" s="8" t="n">
        <v>12.52</v>
      </c>
      <c r="V2508" s="13">
        <f>IF(U2508="","",ROUND(M2508-U2508,2))</f>
        <v/>
      </c>
      <c r="W2508" s="5" t="n"/>
      <c r="X2508" s="5" t="inlineStr">
        <is>
          <t>Labour + plant + material as published; reconciles to the published rate.</t>
        </is>
      </c>
    </row>
    <row r="2509" ht="13" customHeight="1">
      <c r="A2509" s="4" t="n">
        <v>3767</v>
      </c>
      <c r="B2509" s="5" t="inlineStr">
        <is>
          <t>IMG_0116</t>
        </is>
      </c>
      <c r="C2509" s="5" t="inlineStr">
        <is>
          <t>CLASS O: TIMBER</t>
        </is>
      </c>
      <c r="D2509" s="5" t="inlineStr">
        <is>
          <t>05 FITTINGS AND FASTENINGS</t>
        </is>
      </c>
      <c r="E2509" s="5" t="inlineStr">
        <is>
          <t>Galvanized steel; Straps</t>
        </is>
      </c>
      <c r="F2509" s="5" t="inlineStr">
        <is>
          <t>30 x 2.5 x 1200 mm girth</t>
        </is>
      </c>
      <c r="G2509" s="6" t="inlineStr">
        <is>
          <t>nr</t>
        </is>
      </c>
      <c r="H2509" s="7" t="n">
        <v>0.15</v>
      </c>
      <c r="I2509" s="8" t="n">
        <v>8.6</v>
      </c>
      <c r="J2509" s="8" t="n">
        <v>0</v>
      </c>
      <c r="K2509" s="8" t="n">
        <v>6.1</v>
      </c>
      <c r="L2509" s="8" t="n">
        <v>0</v>
      </c>
      <c r="M2509" s="9">
        <f>ROUND(SUM(I2509:L2509),2)</f>
        <v/>
      </c>
      <c r="N2509" s="10">
        <f>ROUND(I2509*'Irish Basis'!$C$6*'Irish Basis'!$C$5,2)</f>
        <v/>
      </c>
      <c r="O2509" s="10">
        <f>ROUND(J2509*'Irish Basis'!$C$7*'Irish Basis'!$C$5,2)</f>
        <v/>
      </c>
      <c r="P2509" s="10">
        <f>ROUND(K2509*'Irish Basis'!$C$8*'Irish Basis'!$C$5,2)</f>
        <v/>
      </c>
      <c r="Q2509" s="10">
        <f>ROUND(L2509*'Irish Basis'!$C$12*'Irish Basis'!$C$5,2)</f>
        <v/>
      </c>
      <c r="R2509" s="11">
        <f>ROUND(SUM(N2509:Q2509),2)</f>
        <v/>
      </c>
      <c r="S2509" s="5" t="inlineStr">
        <is>
          <t>Stated build-up</t>
        </is>
      </c>
      <c r="T2509" s="12" t="inlineStr">
        <is>
          <t>High</t>
        </is>
      </c>
      <c r="U2509" s="8" t="n">
        <v>14.7</v>
      </c>
      <c r="V2509" s="13">
        <f>IF(U2509="","",ROUND(M2509-U2509,2))</f>
        <v/>
      </c>
      <c r="W2509" s="5" t="n"/>
      <c r="X2509" s="5" t="inlineStr">
        <is>
          <t>Labour + plant + material as published; reconciles to the published rate.</t>
        </is>
      </c>
    </row>
    <row r="2510" ht="13" customHeight="1">
      <c r="A2510" s="4" t="n">
        <v>3768</v>
      </c>
      <c r="B2510" s="5" t="inlineStr">
        <is>
          <t>IMG_0116</t>
        </is>
      </c>
      <c r="C2510" s="5" t="inlineStr">
        <is>
          <t>CLASS O: TIMBER</t>
        </is>
      </c>
      <c r="D2510" s="5" t="inlineStr">
        <is>
          <t>05 FITTINGS AND FASTENINGS</t>
        </is>
      </c>
      <c r="E2510" s="5" t="inlineStr">
        <is>
          <t>Galvanized steel; Straps</t>
        </is>
      </c>
      <c r="F2510" s="5" t="inlineStr">
        <is>
          <t>30 x 2.5 x 1400 mm girth</t>
        </is>
      </c>
      <c r="G2510" s="6" t="inlineStr">
        <is>
          <t>nr</t>
        </is>
      </c>
      <c r="H2510" s="7" t="n">
        <v>0.13</v>
      </c>
      <c r="I2510" s="8" t="n">
        <v>7.45</v>
      </c>
      <c r="J2510" s="8" t="n">
        <v>0</v>
      </c>
      <c r="K2510" s="8" t="n">
        <v>7.12</v>
      </c>
      <c r="L2510" s="8" t="n">
        <v>0</v>
      </c>
      <c r="M2510" s="9">
        <f>ROUND(SUM(I2510:L2510),2)</f>
        <v/>
      </c>
      <c r="N2510" s="10">
        <f>ROUND(I2510*'Irish Basis'!$C$6*'Irish Basis'!$C$5,2)</f>
        <v/>
      </c>
      <c r="O2510" s="10">
        <f>ROUND(J2510*'Irish Basis'!$C$7*'Irish Basis'!$C$5,2)</f>
        <v/>
      </c>
      <c r="P2510" s="10">
        <f>ROUND(K2510*'Irish Basis'!$C$8*'Irish Basis'!$C$5,2)</f>
        <v/>
      </c>
      <c r="Q2510" s="10">
        <f>ROUND(L2510*'Irish Basis'!$C$12*'Irish Basis'!$C$5,2)</f>
        <v/>
      </c>
      <c r="R2510" s="11">
        <f>ROUND(SUM(N2510:Q2510),2)</f>
        <v/>
      </c>
      <c r="S2510" s="5" t="inlineStr">
        <is>
          <t>Stated build-up</t>
        </is>
      </c>
      <c r="T2510" s="12" t="inlineStr">
        <is>
          <t>High</t>
        </is>
      </c>
      <c r="U2510" s="8" t="n">
        <v>14.57</v>
      </c>
      <c r="V2510" s="13">
        <f>IF(U2510="","",ROUND(M2510-U2510,2))</f>
        <v/>
      </c>
      <c r="W2510" s="5" t="n"/>
      <c r="X2510" s="5" t="inlineStr">
        <is>
          <t>Labour + plant + material as published; reconciles to the published rate.</t>
        </is>
      </c>
    </row>
    <row r="2511" ht="13" customHeight="1">
      <c r="A2511" s="4" t="n">
        <v>3769</v>
      </c>
      <c r="B2511" s="5" t="inlineStr">
        <is>
          <t>IMG_0116</t>
        </is>
      </c>
      <c r="C2511" s="5" t="inlineStr">
        <is>
          <t>CLASS O: TIMBER</t>
        </is>
      </c>
      <c r="D2511" s="5" t="inlineStr">
        <is>
          <t>05 FITTINGS AND FASTENINGS</t>
        </is>
      </c>
      <c r="E2511" s="5" t="inlineStr">
        <is>
          <t>Galvanized steel; Straps</t>
        </is>
      </c>
      <c r="F2511" s="5" t="inlineStr">
        <is>
          <t>30 x 2.5 x 1600 mm girth</t>
        </is>
      </c>
      <c r="G2511" s="6" t="inlineStr">
        <is>
          <t>nr</t>
        </is>
      </c>
      <c r="H2511" s="7" t="n">
        <v>0.15</v>
      </c>
      <c r="I2511" s="8" t="n">
        <v>8.6</v>
      </c>
      <c r="J2511" s="8" t="n">
        <v>0</v>
      </c>
      <c r="K2511" s="8" t="n">
        <v>8.140000000000001</v>
      </c>
      <c r="L2511" s="8" t="n">
        <v>0</v>
      </c>
      <c r="M2511" s="9">
        <f>ROUND(SUM(I2511:L2511),2)</f>
        <v/>
      </c>
      <c r="N2511" s="10">
        <f>ROUND(I2511*'Irish Basis'!$C$6*'Irish Basis'!$C$5,2)</f>
        <v/>
      </c>
      <c r="O2511" s="10">
        <f>ROUND(J2511*'Irish Basis'!$C$7*'Irish Basis'!$C$5,2)</f>
        <v/>
      </c>
      <c r="P2511" s="10">
        <f>ROUND(K2511*'Irish Basis'!$C$8*'Irish Basis'!$C$5,2)</f>
        <v/>
      </c>
      <c r="Q2511" s="10">
        <f>ROUND(L2511*'Irish Basis'!$C$12*'Irish Basis'!$C$5,2)</f>
        <v/>
      </c>
      <c r="R2511" s="11">
        <f>ROUND(SUM(N2511:Q2511),2)</f>
        <v/>
      </c>
      <c r="S2511" s="5" t="inlineStr">
        <is>
          <t>Stated build-up</t>
        </is>
      </c>
      <c r="T2511" s="12" t="inlineStr">
        <is>
          <t>High</t>
        </is>
      </c>
      <c r="U2511" s="8" t="n">
        <v>16.73</v>
      </c>
      <c r="V2511" s="13">
        <f>IF(U2511="","",ROUND(M2511-U2511,2))</f>
        <v/>
      </c>
      <c r="W2511" s="5" t="n"/>
      <c r="X2511" s="5" t="inlineStr">
        <is>
          <t>Labour + plant + material as published; reconciles to the published rate.</t>
        </is>
      </c>
    </row>
    <row r="2512" ht="13" customHeight="1">
      <c r="A2512" s="4" t="n">
        <v>3770</v>
      </c>
      <c r="B2512" s="5" t="inlineStr">
        <is>
          <t>IMG_0116</t>
        </is>
      </c>
      <c r="C2512" s="5" t="inlineStr">
        <is>
          <t>CLASS O: TIMBER</t>
        </is>
      </c>
      <c r="D2512" s="5" t="inlineStr">
        <is>
          <t>05 FITTINGS AND FASTENINGS</t>
        </is>
      </c>
      <c r="E2512" s="5" t="inlineStr">
        <is>
          <t>Galvanized steel; Straps</t>
        </is>
      </c>
      <c r="F2512" s="5" t="inlineStr">
        <is>
          <t>30 x 2.5 x 1800 mm girth</t>
        </is>
      </c>
      <c r="G2512" s="6" t="inlineStr">
        <is>
          <t>nr</t>
        </is>
      </c>
      <c r="H2512" s="7" t="n">
        <v>0.15</v>
      </c>
      <c r="I2512" s="8" t="n">
        <v>8.6</v>
      </c>
      <c r="J2512" s="8" t="n">
        <v>0</v>
      </c>
      <c r="K2512" s="8" t="n">
        <v>9.15</v>
      </c>
      <c r="L2512" s="8" t="n">
        <v>0</v>
      </c>
      <c r="M2512" s="9">
        <f>ROUND(SUM(I2512:L2512),2)</f>
        <v/>
      </c>
      <c r="N2512" s="10">
        <f>ROUND(I2512*'Irish Basis'!$C$6*'Irish Basis'!$C$5,2)</f>
        <v/>
      </c>
      <c r="O2512" s="10">
        <f>ROUND(J2512*'Irish Basis'!$C$7*'Irish Basis'!$C$5,2)</f>
        <v/>
      </c>
      <c r="P2512" s="10">
        <f>ROUND(K2512*'Irish Basis'!$C$8*'Irish Basis'!$C$5,2)</f>
        <v/>
      </c>
      <c r="Q2512" s="10">
        <f>ROUND(L2512*'Irish Basis'!$C$12*'Irish Basis'!$C$5,2)</f>
        <v/>
      </c>
      <c r="R2512" s="11">
        <f>ROUND(SUM(N2512:Q2512),2)</f>
        <v/>
      </c>
      <c r="S2512" s="5" t="inlineStr">
        <is>
          <t>Stated build-up</t>
        </is>
      </c>
      <c r="T2512" s="12" t="inlineStr">
        <is>
          <t>High</t>
        </is>
      </c>
      <c r="U2512" s="8" t="n">
        <v>17.75</v>
      </c>
      <c r="V2512" s="13">
        <f>IF(U2512="","",ROUND(M2512-U2512,2))</f>
        <v/>
      </c>
      <c r="W2512" s="5" t="n"/>
      <c r="X2512" s="5" t="inlineStr">
        <is>
          <t>Labour + plant + material as published; reconciles to the published rate.</t>
        </is>
      </c>
    </row>
    <row r="2513" ht="13" customHeight="1">
      <c r="A2513" s="4" t="n">
        <v>3771</v>
      </c>
      <c r="B2513" s="5" t="inlineStr">
        <is>
          <t>IMG_0116</t>
        </is>
      </c>
      <c r="C2513" s="5" t="inlineStr">
        <is>
          <t>CLASS O: TIMBER</t>
        </is>
      </c>
      <c r="D2513" s="5" t="inlineStr">
        <is>
          <t>05 FITTINGS AND FASTENINGS</t>
        </is>
      </c>
      <c r="E2513" s="5" t="inlineStr">
        <is>
          <t>Galvanized steel; Straps</t>
        </is>
      </c>
      <c r="F2513" s="5" t="inlineStr">
        <is>
          <t>30 x 5 x 600 mm girth</t>
        </is>
      </c>
      <c r="G2513" s="6" t="inlineStr">
        <is>
          <t>nr</t>
        </is>
      </c>
      <c r="H2513" s="7" t="n">
        <v>0.13</v>
      </c>
      <c r="I2513" s="8" t="n">
        <v>7.45</v>
      </c>
      <c r="J2513" s="8" t="n">
        <v>0</v>
      </c>
      <c r="K2513" s="8" t="n">
        <v>6.03</v>
      </c>
      <c r="L2513" s="8" t="n">
        <v>0</v>
      </c>
      <c r="M2513" s="9">
        <f>ROUND(SUM(I2513:L2513),2)</f>
        <v/>
      </c>
      <c r="N2513" s="10">
        <f>ROUND(I2513*'Irish Basis'!$C$6*'Irish Basis'!$C$5,2)</f>
        <v/>
      </c>
      <c r="O2513" s="10">
        <f>ROUND(J2513*'Irish Basis'!$C$7*'Irish Basis'!$C$5,2)</f>
        <v/>
      </c>
      <c r="P2513" s="10">
        <f>ROUND(K2513*'Irish Basis'!$C$8*'Irish Basis'!$C$5,2)</f>
        <v/>
      </c>
      <c r="Q2513" s="10">
        <f>ROUND(L2513*'Irish Basis'!$C$12*'Irish Basis'!$C$5,2)</f>
        <v/>
      </c>
      <c r="R2513" s="11">
        <f>ROUND(SUM(N2513:Q2513),2)</f>
        <v/>
      </c>
      <c r="S2513" s="5" t="inlineStr">
        <is>
          <t>Stated build-up</t>
        </is>
      </c>
      <c r="T2513" s="12" t="inlineStr">
        <is>
          <t>High</t>
        </is>
      </c>
      <c r="U2513" s="8" t="n">
        <v>13.48</v>
      </c>
      <c r="V2513" s="13">
        <f>IF(U2513="","",ROUND(M2513-U2513,2))</f>
        <v/>
      </c>
      <c r="W2513" s="5" t="n"/>
      <c r="X2513" s="5" t="inlineStr">
        <is>
          <t>Labour + plant + material as published; reconciles to the published rate.</t>
        </is>
      </c>
    </row>
    <row r="2514" ht="13" customHeight="1">
      <c r="A2514" s="4" t="n">
        <v>3772</v>
      </c>
      <c r="B2514" s="5" t="inlineStr">
        <is>
          <t>IMG_0116</t>
        </is>
      </c>
      <c r="C2514" s="5" t="inlineStr">
        <is>
          <t>CLASS O: TIMBER</t>
        </is>
      </c>
      <c r="D2514" s="5" t="inlineStr">
        <is>
          <t>05 FITTINGS AND FASTENINGS</t>
        </is>
      </c>
      <c r="E2514" s="5" t="inlineStr">
        <is>
          <t>Galvanized steel; Straps</t>
        </is>
      </c>
      <c r="F2514" s="5" t="inlineStr">
        <is>
          <t>30 x 5 x 800 mm girth</t>
        </is>
      </c>
      <c r="G2514" s="6" t="inlineStr">
        <is>
          <t>nr</t>
        </is>
      </c>
      <c r="H2514" s="7" t="n">
        <v>0.13</v>
      </c>
      <c r="I2514" s="8" t="n">
        <v>7.45</v>
      </c>
      <c r="J2514" s="8" t="n">
        <v>0</v>
      </c>
      <c r="K2514" s="8" t="n">
        <v>8.07</v>
      </c>
      <c r="L2514" s="8" t="n">
        <v>0</v>
      </c>
      <c r="M2514" s="9">
        <f>ROUND(SUM(I2514:L2514),2)</f>
        <v/>
      </c>
      <c r="N2514" s="10">
        <f>ROUND(I2514*'Irish Basis'!$C$6*'Irish Basis'!$C$5,2)</f>
        <v/>
      </c>
      <c r="O2514" s="10">
        <f>ROUND(J2514*'Irish Basis'!$C$7*'Irish Basis'!$C$5,2)</f>
        <v/>
      </c>
      <c r="P2514" s="10">
        <f>ROUND(K2514*'Irish Basis'!$C$8*'Irish Basis'!$C$5,2)</f>
        <v/>
      </c>
      <c r="Q2514" s="10">
        <f>ROUND(L2514*'Irish Basis'!$C$12*'Irish Basis'!$C$5,2)</f>
        <v/>
      </c>
      <c r="R2514" s="11">
        <f>ROUND(SUM(N2514:Q2514),2)</f>
        <v/>
      </c>
      <c r="S2514" s="5" t="inlineStr">
        <is>
          <t>Stated build-up</t>
        </is>
      </c>
      <c r="T2514" s="12" t="inlineStr">
        <is>
          <t>High</t>
        </is>
      </c>
      <c r="U2514" s="8" t="n">
        <v>15.52</v>
      </c>
      <c r="V2514" s="13">
        <f>IF(U2514="","",ROUND(M2514-U2514,2))</f>
        <v/>
      </c>
      <c r="W2514" s="5" t="n"/>
      <c r="X2514" s="5" t="inlineStr">
        <is>
          <t>Labour + plant + material as published; reconciles to the published rate.</t>
        </is>
      </c>
    </row>
    <row r="2515" ht="13" customHeight="1">
      <c r="A2515" s="4" t="n">
        <v>3773</v>
      </c>
      <c r="B2515" s="5" t="inlineStr">
        <is>
          <t>IMG_0116</t>
        </is>
      </c>
      <c r="C2515" s="5" t="inlineStr">
        <is>
          <t>CLASS O: TIMBER</t>
        </is>
      </c>
      <c r="D2515" s="5" t="inlineStr">
        <is>
          <t>05 FITTINGS AND FASTENINGS</t>
        </is>
      </c>
      <c r="E2515" s="5" t="inlineStr">
        <is>
          <t>Galvanized steel; Straps</t>
        </is>
      </c>
      <c r="F2515" s="5" t="inlineStr">
        <is>
          <t>30 x 5 x 1000 mm girth</t>
        </is>
      </c>
      <c r="G2515" s="6" t="inlineStr">
        <is>
          <t>nr</t>
        </is>
      </c>
      <c r="H2515" s="7" t="n">
        <v>0.13</v>
      </c>
      <c r="I2515" s="8" t="n">
        <v>7.45</v>
      </c>
      <c r="J2515" s="8" t="n">
        <v>0</v>
      </c>
      <c r="K2515" s="8" t="n">
        <v>10.23</v>
      </c>
      <c r="L2515" s="8" t="n">
        <v>0</v>
      </c>
      <c r="M2515" s="9">
        <f>ROUND(SUM(I2515:L2515),2)</f>
        <v/>
      </c>
      <c r="N2515" s="10">
        <f>ROUND(I2515*'Irish Basis'!$C$6*'Irish Basis'!$C$5,2)</f>
        <v/>
      </c>
      <c r="O2515" s="10">
        <f>ROUND(J2515*'Irish Basis'!$C$7*'Irish Basis'!$C$5,2)</f>
        <v/>
      </c>
      <c r="P2515" s="10">
        <f>ROUND(K2515*'Irish Basis'!$C$8*'Irish Basis'!$C$5,2)</f>
        <v/>
      </c>
      <c r="Q2515" s="10">
        <f>ROUND(L2515*'Irish Basis'!$C$12*'Irish Basis'!$C$5,2)</f>
        <v/>
      </c>
      <c r="R2515" s="11">
        <f>ROUND(SUM(N2515:Q2515),2)</f>
        <v/>
      </c>
      <c r="S2515" s="5" t="inlineStr">
        <is>
          <t>Stated build-up</t>
        </is>
      </c>
      <c r="T2515" s="12" t="inlineStr">
        <is>
          <t>High</t>
        </is>
      </c>
      <c r="U2515" s="8" t="n">
        <v>17.68</v>
      </c>
      <c r="V2515" s="13">
        <f>IF(U2515="","",ROUND(M2515-U2515,2))</f>
        <v/>
      </c>
      <c r="W2515" s="5" t="n"/>
      <c r="X2515" s="5" t="inlineStr">
        <is>
          <t>Labour + plant + material as published; reconciles to the published rate.</t>
        </is>
      </c>
    </row>
    <row r="2516" ht="13" customHeight="1">
      <c r="A2516" s="4" t="n">
        <v>3774</v>
      </c>
      <c r="B2516" s="5" t="inlineStr">
        <is>
          <t>IMG_0116</t>
        </is>
      </c>
      <c r="C2516" s="5" t="inlineStr">
        <is>
          <t>CLASS O: TIMBER</t>
        </is>
      </c>
      <c r="D2516" s="5" t="inlineStr">
        <is>
          <t>05 FITTINGS AND FASTENINGS</t>
        </is>
      </c>
      <c r="E2516" s="5" t="inlineStr">
        <is>
          <t>Galvanized steel; Straps</t>
        </is>
      </c>
      <c r="F2516" s="5" t="inlineStr">
        <is>
          <t>30 x 5 x 1200 mm girth</t>
        </is>
      </c>
      <c r="G2516" s="6" t="inlineStr">
        <is>
          <t>nr</t>
        </is>
      </c>
      <c r="H2516" s="7" t="n">
        <v>0.15</v>
      </c>
      <c r="I2516" s="8" t="n">
        <v>8.6</v>
      </c>
      <c r="J2516" s="8" t="n">
        <v>0</v>
      </c>
      <c r="K2516" s="8" t="n">
        <v>12.18</v>
      </c>
      <c r="L2516" s="8" t="n">
        <v>0</v>
      </c>
      <c r="M2516" s="9">
        <f>ROUND(SUM(I2516:L2516),2)</f>
        <v/>
      </c>
      <c r="N2516" s="10">
        <f>ROUND(I2516*'Irish Basis'!$C$6*'Irish Basis'!$C$5,2)</f>
        <v/>
      </c>
      <c r="O2516" s="10">
        <f>ROUND(J2516*'Irish Basis'!$C$7*'Irish Basis'!$C$5,2)</f>
        <v/>
      </c>
      <c r="P2516" s="10">
        <f>ROUND(K2516*'Irish Basis'!$C$8*'Irish Basis'!$C$5,2)</f>
        <v/>
      </c>
      <c r="Q2516" s="10">
        <f>ROUND(L2516*'Irish Basis'!$C$12*'Irish Basis'!$C$5,2)</f>
        <v/>
      </c>
      <c r="R2516" s="11">
        <f>ROUND(SUM(N2516:Q2516),2)</f>
        <v/>
      </c>
      <c r="S2516" s="5" t="inlineStr">
        <is>
          <t>Stated build-up</t>
        </is>
      </c>
      <c r="T2516" s="12" t="inlineStr">
        <is>
          <t>High</t>
        </is>
      </c>
      <c r="U2516" s="8" t="n">
        <v>20.77</v>
      </c>
      <c r="V2516" s="13">
        <f>IF(U2516="","",ROUND(M2516-U2516,2))</f>
        <v/>
      </c>
      <c r="W2516" s="5" t="n"/>
      <c r="X2516" s="5" t="inlineStr">
        <is>
          <t>Labour + plant + material as published; reconciles to the published rate.</t>
        </is>
      </c>
    </row>
    <row r="2517" ht="13" customHeight="1">
      <c r="A2517" s="4" t="n">
        <v>3775</v>
      </c>
      <c r="B2517" s="5" t="inlineStr">
        <is>
          <t>IMG_0116</t>
        </is>
      </c>
      <c r="C2517" s="5" t="inlineStr">
        <is>
          <t>CLASS O: TIMBER</t>
        </is>
      </c>
      <c r="D2517" s="5" t="inlineStr">
        <is>
          <t>05 FITTINGS AND FASTENINGS</t>
        </is>
      </c>
      <c r="E2517" s="5" t="inlineStr">
        <is>
          <t>Galvanized steel; Straps</t>
        </is>
      </c>
      <c r="F2517" s="5" t="inlineStr">
        <is>
          <t>30 x 5 x 1400 mm girth</t>
        </is>
      </c>
      <c r="G2517" s="6" t="inlineStr">
        <is>
          <t>nr</t>
        </is>
      </c>
      <c r="H2517" s="7" t="n">
        <v>0.13</v>
      </c>
      <c r="I2517" s="8" t="n">
        <v>7.45</v>
      </c>
      <c r="J2517" s="8" t="n">
        <v>0</v>
      </c>
      <c r="K2517" s="8" t="n">
        <v>14.27</v>
      </c>
      <c r="L2517" s="8" t="n">
        <v>0</v>
      </c>
      <c r="M2517" s="9">
        <f>ROUND(SUM(I2517:L2517),2)</f>
        <v/>
      </c>
      <c r="N2517" s="10">
        <f>ROUND(I2517*'Irish Basis'!$C$6*'Irish Basis'!$C$5,2)</f>
        <v/>
      </c>
      <c r="O2517" s="10">
        <f>ROUND(J2517*'Irish Basis'!$C$7*'Irish Basis'!$C$5,2)</f>
        <v/>
      </c>
      <c r="P2517" s="10">
        <f>ROUND(K2517*'Irish Basis'!$C$8*'Irish Basis'!$C$5,2)</f>
        <v/>
      </c>
      <c r="Q2517" s="10">
        <f>ROUND(L2517*'Irish Basis'!$C$12*'Irish Basis'!$C$5,2)</f>
        <v/>
      </c>
      <c r="R2517" s="11">
        <f>ROUND(SUM(N2517:Q2517),2)</f>
        <v/>
      </c>
      <c r="S2517" s="5" t="inlineStr">
        <is>
          <t>Stated build-up</t>
        </is>
      </c>
      <c r="T2517" s="12" t="inlineStr">
        <is>
          <t>High</t>
        </is>
      </c>
      <c r="U2517" s="8" t="n">
        <v>21.72</v>
      </c>
      <c r="V2517" s="13">
        <f>IF(U2517="","",ROUND(M2517-U2517,2))</f>
        <v/>
      </c>
      <c r="W2517" s="5" t="n"/>
      <c r="X2517" s="5" t="inlineStr">
        <is>
          <t>Labour + plant + material as published; reconciles to the published rate.</t>
        </is>
      </c>
    </row>
    <row r="2518" ht="13" customHeight="1">
      <c r="A2518" s="4" t="n">
        <v>3776</v>
      </c>
      <c r="B2518" s="5" t="inlineStr">
        <is>
          <t>IMG_0116</t>
        </is>
      </c>
      <c r="C2518" s="5" t="inlineStr">
        <is>
          <t>CLASS O: TIMBER</t>
        </is>
      </c>
      <c r="D2518" s="5" t="inlineStr">
        <is>
          <t>05 FITTINGS AND FASTENINGS</t>
        </is>
      </c>
      <c r="E2518" s="5" t="inlineStr">
        <is>
          <t>Galvanized steel; Straps</t>
        </is>
      </c>
      <c r="F2518" s="5" t="inlineStr">
        <is>
          <t>30 x 5 x 1600 mm girth</t>
        </is>
      </c>
      <c r="G2518" s="6" t="inlineStr">
        <is>
          <t>nr</t>
        </is>
      </c>
      <c r="H2518" s="7" t="n">
        <v>0.15</v>
      </c>
      <c r="I2518" s="8" t="n">
        <v>8.6</v>
      </c>
      <c r="J2518" s="8" t="n">
        <v>0</v>
      </c>
      <c r="K2518" s="8" t="n">
        <v>16.2</v>
      </c>
      <c r="L2518" s="8" t="n">
        <v>0</v>
      </c>
      <c r="M2518" s="9">
        <f>ROUND(SUM(I2518:L2518),2)</f>
        <v/>
      </c>
      <c r="N2518" s="10">
        <f>ROUND(I2518*'Irish Basis'!$C$6*'Irish Basis'!$C$5,2)</f>
        <v/>
      </c>
      <c r="O2518" s="10">
        <f>ROUND(J2518*'Irish Basis'!$C$7*'Irish Basis'!$C$5,2)</f>
        <v/>
      </c>
      <c r="P2518" s="10">
        <f>ROUND(K2518*'Irish Basis'!$C$8*'Irish Basis'!$C$5,2)</f>
        <v/>
      </c>
      <c r="Q2518" s="10">
        <f>ROUND(L2518*'Irish Basis'!$C$12*'Irish Basis'!$C$5,2)</f>
        <v/>
      </c>
      <c r="R2518" s="11">
        <f>ROUND(SUM(N2518:Q2518),2)</f>
        <v/>
      </c>
      <c r="S2518" s="5" t="inlineStr">
        <is>
          <t>Stated build-up</t>
        </is>
      </c>
      <c r="T2518" s="12" t="inlineStr">
        <is>
          <t>High</t>
        </is>
      </c>
      <c r="U2518" s="8" t="n">
        <v>24.8</v>
      </c>
      <c r="V2518" s="13">
        <f>IF(U2518="","",ROUND(M2518-U2518,2))</f>
        <v/>
      </c>
      <c r="W2518" s="5" t="n"/>
      <c r="X2518" s="5" t="inlineStr">
        <is>
          <t>Labour + plant + material as published; reconciles to the published rate.</t>
        </is>
      </c>
    </row>
    <row r="2519" ht="13" customHeight="1">
      <c r="A2519" s="4" t="n">
        <v>3777</v>
      </c>
      <c r="B2519" s="5" t="inlineStr">
        <is>
          <t>IMG_0116</t>
        </is>
      </c>
      <c r="C2519" s="5" t="inlineStr">
        <is>
          <t>CLASS O: TIMBER</t>
        </is>
      </c>
      <c r="D2519" s="5" t="inlineStr">
        <is>
          <t>05 FITTINGS AND FASTENINGS</t>
        </is>
      </c>
      <c r="E2519" s="5" t="inlineStr">
        <is>
          <t>Galvanized steel; Straps</t>
        </is>
      </c>
      <c r="F2519" s="5" t="inlineStr">
        <is>
          <t>30 x 5 x 1800 mm girth</t>
        </is>
      </c>
      <c r="G2519" s="6" t="inlineStr">
        <is>
          <t>nr</t>
        </is>
      </c>
      <c r="H2519" s="7" t="n">
        <v>0.15</v>
      </c>
      <c r="I2519" s="8" t="n">
        <v>8.6</v>
      </c>
      <c r="J2519" s="8" t="n">
        <v>0</v>
      </c>
      <c r="K2519" s="8" t="n">
        <v>18.21</v>
      </c>
      <c r="L2519" s="8" t="n">
        <v>0</v>
      </c>
      <c r="M2519" s="9">
        <f>ROUND(SUM(I2519:L2519),2)</f>
        <v/>
      </c>
      <c r="N2519" s="10">
        <f>ROUND(I2519*'Irish Basis'!$C$6*'Irish Basis'!$C$5,2)</f>
        <v/>
      </c>
      <c r="O2519" s="10">
        <f>ROUND(J2519*'Irish Basis'!$C$7*'Irish Basis'!$C$5,2)</f>
        <v/>
      </c>
      <c r="P2519" s="10">
        <f>ROUND(K2519*'Irish Basis'!$C$8*'Irish Basis'!$C$5,2)</f>
        <v/>
      </c>
      <c r="Q2519" s="10">
        <f>ROUND(L2519*'Irish Basis'!$C$12*'Irish Basis'!$C$5,2)</f>
        <v/>
      </c>
      <c r="R2519" s="11">
        <f>ROUND(SUM(N2519:Q2519),2)</f>
        <v/>
      </c>
      <c r="S2519" s="5" t="inlineStr">
        <is>
          <t>Stated build-up</t>
        </is>
      </c>
      <c r="T2519" s="12" t="inlineStr">
        <is>
          <t>High</t>
        </is>
      </c>
      <c r="U2519" s="8" t="n">
        <v>26.81</v>
      </c>
      <c r="V2519" s="13">
        <f>IF(U2519="","",ROUND(M2519-U2519,2))</f>
        <v/>
      </c>
      <c r="W2519" s="5" t="n"/>
      <c r="X2519" s="5" t="inlineStr">
        <is>
          <t>Labour + plant + material as published; reconciles to the published rate.</t>
        </is>
      </c>
    </row>
    <row r="2520" ht="13" customHeight="1">
      <c r="A2520" s="4" t="n">
        <v>3779</v>
      </c>
      <c r="B2520" s="5" t="inlineStr">
        <is>
          <t>IMG_0116</t>
        </is>
      </c>
      <c r="C2520" s="5" t="inlineStr">
        <is>
          <t>CLASS O: TIMBER</t>
        </is>
      </c>
      <c r="D2520" s="5" t="inlineStr">
        <is>
          <t>05 FITTINGS AND FASTENINGS</t>
        </is>
      </c>
      <c r="E2520" s="5" t="inlineStr">
        <is>
          <t>Timber connectors; round toothed plate, single sided for 10 mm or 12 mm bolts</t>
        </is>
      </c>
      <c r="F2520" s="5" t="inlineStr">
        <is>
          <t>38 mm dia.</t>
        </is>
      </c>
      <c r="G2520" s="6" t="inlineStr">
        <is>
          <t>nr</t>
        </is>
      </c>
      <c r="H2520" s="7" t="n">
        <v>0.01</v>
      </c>
      <c r="I2520" s="8" t="n">
        <v>0.29</v>
      </c>
      <c r="J2520" s="8" t="n">
        <v>0</v>
      </c>
      <c r="K2520" s="8" t="n">
        <v>2.77</v>
      </c>
      <c r="L2520" s="8" t="n">
        <v>0</v>
      </c>
      <c r="M2520" s="9">
        <f>ROUND(SUM(I2520:L2520),2)</f>
        <v/>
      </c>
      <c r="N2520" s="10">
        <f>ROUND(I2520*'Irish Basis'!$C$6*'Irish Basis'!$C$5,2)</f>
        <v/>
      </c>
      <c r="O2520" s="10">
        <f>ROUND(J2520*'Irish Basis'!$C$7*'Irish Basis'!$C$5,2)</f>
        <v/>
      </c>
      <c r="P2520" s="10">
        <f>ROUND(K2520*'Irish Basis'!$C$8*'Irish Basis'!$C$5,2)</f>
        <v/>
      </c>
      <c r="Q2520" s="10">
        <f>ROUND(L2520*'Irish Basis'!$C$12*'Irish Basis'!$C$5,2)</f>
        <v/>
      </c>
      <c r="R2520" s="11">
        <f>ROUND(SUM(N2520:Q2520),2)</f>
        <v/>
      </c>
      <c r="S2520" s="5" t="inlineStr">
        <is>
          <t>Stated build-up</t>
        </is>
      </c>
      <c r="T2520" s="12" t="inlineStr">
        <is>
          <t>High</t>
        </is>
      </c>
      <c r="U2520" s="8" t="n">
        <v>3.06</v>
      </c>
      <c r="V2520" s="13">
        <f>IF(U2520="","",ROUND(M2520-U2520,2))</f>
        <v/>
      </c>
      <c r="W2520" s="5" t="n"/>
      <c r="X2520" s="5" t="inlineStr">
        <is>
          <t>Labour + plant + material as published; reconciles to the published rate.</t>
        </is>
      </c>
    </row>
    <row r="2521" ht="13" customHeight="1">
      <c r="A2521" s="4" t="n">
        <v>3780</v>
      </c>
      <c r="B2521" s="5" t="inlineStr">
        <is>
          <t>IMG_0116</t>
        </is>
      </c>
      <c r="C2521" s="5" t="inlineStr">
        <is>
          <t>CLASS O: TIMBER</t>
        </is>
      </c>
      <c r="D2521" s="5" t="inlineStr">
        <is>
          <t>05 FITTINGS AND FASTENINGS</t>
        </is>
      </c>
      <c r="E2521" s="5" t="inlineStr">
        <is>
          <t>Timber connectors; round toothed plate, single sided for 10 mm or 12 mm bolts</t>
        </is>
      </c>
      <c r="F2521" s="5" t="inlineStr">
        <is>
          <t>50 mm dia.</t>
        </is>
      </c>
      <c r="G2521" s="6" t="inlineStr">
        <is>
          <t>nr</t>
        </is>
      </c>
      <c r="H2521" s="7" t="n">
        <v>0.01</v>
      </c>
      <c r="I2521" s="8" t="n">
        <v>0.29</v>
      </c>
      <c r="J2521" s="8" t="n">
        <v>0</v>
      </c>
      <c r="K2521" s="8" t="n">
        <v>2.92</v>
      </c>
      <c r="L2521" s="8" t="n">
        <v>0</v>
      </c>
      <c r="M2521" s="9">
        <f>ROUND(SUM(I2521:L2521),2)</f>
        <v/>
      </c>
      <c r="N2521" s="10">
        <f>ROUND(I2521*'Irish Basis'!$C$6*'Irish Basis'!$C$5,2)</f>
        <v/>
      </c>
      <c r="O2521" s="10">
        <f>ROUND(J2521*'Irish Basis'!$C$7*'Irish Basis'!$C$5,2)</f>
        <v/>
      </c>
      <c r="P2521" s="10">
        <f>ROUND(K2521*'Irish Basis'!$C$8*'Irish Basis'!$C$5,2)</f>
        <v/>
      </c>
      <c r="Q2521" s="10">
        <f>ROUND(L2521*'Irish Basis'!$C$12*'Irish Basis'!$C$5,2)</f>
        <v/>
      </c>
      <c r="R2521" s="11">
        <f>ROUND(SUM(N2521:Q2521),2)</f>
        <v/>
      </c>
      <c r="S2521" s="5" t="inlineStr">
        <is>
          <t>Stated build-up</t>
        </is>
      </c>
      <c r="T2521" s="12" t="inlineStr">
        <is>
          <t>High</t>
        </is>
      </c>
      <c r="U2521" s="8" t="n">
        <v>3.21</v>
      </c>
      <c r="V2521" s="13">
        <f>IF(U2521="","",ROUND(M2521-U2521,2))</f>
        <v/>
      </c>
      <c r="W2521" s="5" t="n"/>
      <c r="X2521" s="5" t="inlineStr">
        <is>
          <t>Labour + plant + material as published; reconciles to the published rate.</t>
        </is>
      </c>
    </row>
    <row r="2522" ht="13" customHeight="1">
      <c r="A2522" s="4" t="n">
        <v>3781</v>
      </c>
      <c r="B2522" s="5" t="inlineStr">
        <is>
          <t>IMG_0116</t>
        </is>
      </c>
      <c r="C2522" s="5" t="inlineStr">
        <is>
          <t>CLASS O: TIMBER</t>
        </is>
      </c>
      <c r="D2522" s="5" t="inlineStr">
        <is>
          <t>05 FITTINGS AND FASTENINGS</t>
        </is>
      </c>
      <c r="E2522" s="5" t="inlineStr">
        <is>
          <t>Timber connectors; round toothed plate, single sided for 10 mm or 12 mm bolts</t>
        </is>
      </c>
      <c r="F2522" s="5" t="inlineStr">
        <is>
          <t>63 mm dia.</t>
        </is>
      </c>
      <c r="G2522" s="6" t="inlineStr">
        <is>
          <t>nr</t>
        </is>
      </c>
      <c r="H2522" s="7" t="n">
        <v>0.01</v>
      </c>
      <c r="I2522" s="8" t="n">
        <v>0.46</v>
      </c>
      <c r="J2522" s="8" t="n">
        <v>0</v>
      </c>
      <c r="K2522" s="8" t="n">
        <v>3.17</v>
      </c>
      <c r="L2522" s="8" t="n">
        <v>0</v>
      </c>
      <c r="M2522" s="9">
        <f>ROUND(SUM(I2522:L2522),2)</f>
        <v/>
      </c>
      <c r="N2522" s="10">
        <f>ROUND(I2522*'Irish Basis'!$C$6*'Irish Basis'!$C$5,2)</f>
        <v/>
      </c>
      <c r="O2522" s="10">
        <f>ROUND(J2522*'Irish Basis'!$C$7*'Irish Basis'!$C$5,2)</f>
        <v/>
      </c>
      <c r="P2522" s="10">
        <f>ROUND(K2522*'Irish Basis'!$C$8*'Irish Basis'!$C$5,2)</f>
        <v/>
      </c>
      <c r="Q2522" s="10">
        <f>ROUND(L2522*'Irish Basis'!$C$12*'Irish Basis'!$C$5,2)</f>
        <v/>
      </c>
      <c r="R2522" s="11">
        <f>ROUND(SUM(N2522:Q2522),2)</f>
        <v/>
      </c>
      <c r="S2522" s="5" t="inlineStr">
        <is>
          <t>Stated build-up</t>
        </is>
      </c>
      <c r="T2522" s="12" t="inlineStr">
        <is>
          <t>High</t>
        </is>
      </c>
      <c r="U2522" s="8" t="n">
        <v>3.63</v>
      </c>
      <c r="V2522" s="13">
        <f>IF(U2522="","",ROUND(M2522-U2522,2))</f>
        <v/>
      </c>
      <c r="W2522" s="5" t="n"/>
      <c r="X2522" s="5" t="inlineStr">
        <is>
          <t>Labour + plant + material as published; reconciles to the published rate.</t>
        </is>
      </c>
    </row>
    <row r="2523" ht="13" customHeight="1">
      <c r="A2523" s="4" t="n">
        <v>3782</v>
      </c>
      <c r="B2523" s="5" t="inlineStr">
        <is>
          <t>IMG_0116</t>
        </is>
      </c>
      <c r="C2523" s="5" t="inlineStr">
        <is>
          <t>CLASS O: TIMBER</t>
        </is>
      </c>
      <c r="D2523" s="5" t="inlineStr">
        <is>
          <t>05 FITTINGS AND FASTENINGS</t>
        </is>
      </c>
      <c r="E2523" s="5" t="inlineStr">
        <is>
          <t>Timber connectors; round toothed plate, single sided for 10 mm or 12 mm bolts</t>
        </is>
      </c>
      <c r="F2523" s="5" t="inlineStr">
        <is>
          <t>75 mm dia.</t>
        </is>
      </c>
      <c r="G2523" s="6" t="inlineStr">
        <is>
          <t>nr</t>
        </is>
      </c>
      <c r="H2523" s="7" t="n">
        <v>0.01</v>
      </c>
      <c r="I2523" s="8" t="n">
        <v>0.46</v>
      </c>
      <c r="J2523" s="8" t="n">
        <v>0</v>
      </c>
      <c r="K2523" s="8" t="n">
        <v>3.48</v>
      </c>
      <c r="L2523" s="8" t="n">
        <v>0</v>
      </c>
      <c r="M2523" s="9">
        <f>ROUND(SUM(I2523:L2523),2)</f>
        <v/>
      </c>
      <c r="N2523" s="10">
        <f>ROUND(I2523*'Irish Basis'!$C$6*'Irish Basis'!$C$5,2)</f>
        <v/>
      </c>
      <c r="O2523" s="10">
        <f>ROUND(J2523*'Irish Basis'!$C$7*'Irish Basis'!$C$5,2)</f>
        <v/>
      </c>
      <c r="P2523" s="10">
        <f>ROUND(K2523*'Irish Basis'!$C$8*'Irish Basis'!$C$5,2)</f>
        <v/>
      </c>
      <c r="Q2523" s="10">
        <f>ROUND(L2523*'Irish Basis'!$C$12*'Irish Basis'!$C$5,2)</f>
        <v/>
      </c>
      <c r="R2523" s="11">
        <f>ROUND(SUM(N2523:Q2523),2)</f>
        <v/>
      </c>
      <c r="S2523" s="5" t="inlineStr">
        <is>
          <t>Stated build-up</t>
        </is>
      </c>
      <c r="T2523" s="12" t="inlineStr">
        <is>
          <t>High</t>
        </is>
      </c>
      <c r="U2523" s="8" t="n">
        <v>3.94</v>
      </c>
      <c r="V2523" s="13">
        <f>IF(U2523="","",ROUND(M2523-U2523,2))</f>
        <v/>
      </c>
      <c r="W2523" s="5" t="n"/>
      <c r="X2523" s="5" t="inlineStr">
        <is>
          <t>Labour + plant + material as published; reconciles to the published rate.</t>
        </is>
      </c>
    </row>
    <row r="2524" ht="13" customHeight="1">
      <c r="A2524" s="4" t="n">
        <v>3784</v>
      </c>
      <c r="B2524" s="5" t="inlineStr">
        <is>
          <t>IMG_0116</t>
        </is>
      </c>
      <c r="C2524" s="5" t="inlineStr">
        <is>
          <t>CLASS O: TIMBER</t>
        </is>
      </c>
      <c r="D2524" s="5" t="inlineStr">
        <is>
          <t>05 FITTINGS AND FASTENINGS</t>
        </is>
      </c>
      <c r="E2524" s="5" t="inlineStr">
        <is>
          <t>Timber connectors; round toothed plate, double sided for 10 mm or 12 mm bolts</t>
        </is>
      </c>
      <c r="F2524" s="5" t="inlineStr">
        <is>
          <t>38 mm dia.</t>
        </is>
      </c>
      <c r="G2524" s="6" t="inlineStr">
        <is>
          <t>nr</t>
        </is>
      </c>
      <c r="H2524" s="7" t="n">
        <v>0.01</v>
      </c>
      <c r="I2524" s="8" t="n">
        <v>0.29</v>
      </c>
      <c r="J2524" s="8" t="n">
        <v>0</v>
      </c>
      <c r="K2524" s="8" t="n">
        <v>2.81</v>
      </c>
      <c r="L2524" s="8" t="n">
        <v>0</v>
      </c>
      <c r="M2524" s="9">
        <f>ROUND(SUM(I2524:L2524),2)</f>
        <v/>
      </c>
      <c r="N2524" s="10">
        <f>ROUND(I2524*'Irish Basis'!$C$6*'Irish Basis'!$C$5,2)</f>
        <v/>
      </c>
      <c r="O2524" s="10">
        <f>ROUND(J2524*'Irish Basis'!$C$7*'Irish Basis'!$C$5,2)</f>
        <v/>
      </c>
      <c r="P2524" s="10">
        <f>ROUND(K2524*'Irish Basis'!$C$8*'Irish Basis'!$C$5,2)</f>
        <v/>
      </c>
      <c r="Q2524" s="10">
        <f>ROUND(L2524*'Irish Basis'!$C$12*'Irish Basis'!$C$5,2)</f>
        <v/>
      </c>
      <c r="R2524" s="11">
        <f>ROUND(SUM(N2524:Q2524),2)</f>
        <v/>
      </c>
      <c r="S2524" s="5" t="inlineStr">
        <is>
          <t>Stated build-up</t>
        </is>
      </c>
      <c r="T2524" s="12" t="inlineStr">
        <is>
          <t>High</t>
        </is>
      </c>
      <c r="U2524" s="8" t="n">
        <v>3.1</v>
      </c>
      <c r="V2524" s="13">
        <f>IF(U2524="","",ROUND(M2524-U2524,2))</f>
        <v/>
      </c>
      <c r="W2524" s="5" t="n"/>
      <c r="X2524" s="5" t="inlineStr">
        <is>
          <t>Labour + plant + material as published; reconciles to the published rate.</t>
        </is>
      </c>
    </row>
    <row r="2525" ht="13" customHeight="1">
      <c r="A2525" s="4" t="n">
        <v>3785</v>
      </c>
      <c r="B2525" s="5" t="inlineStr">
        <is>
          <t>IMG_0116</t>
        </is>
      </c>
      <c r="C2525" s="5" t="inlineStr">
        <is>
          <t>CLASS O: TIMBER</t>
        </is>
      </c>
      <c r="D2525" s="5" t="inlineStr">
        <is>
          <t>05 FITTINGS AND FASTENINGS</t>
        </is>
      </c>
      <c r="E2525" s="5" t="inlineStr">
        <is>
          <t>Timber connectors; round toothed plate, double sided for 10 mm or 12 mm bolts</t>
        </is>
      </c>
      <c r="F2525" s="5" t="inlineStr">
        <is>
          <t>50 mm dia.</t>
        </is>
      </c>
      <c r="G2525" s="6" t="inlineStr">
        <is>
          <t>nr</t>
        </is>
      </c>
      <c r="H2525" s="7" t="n">
        <v>0.01</v>
      </c>
      <c r="I2525" s="8" t="n">
        <v>0.29</v>
      </c>
      <c r="J2525" s="8" t="n">
        <v>0</v>
      </c>
      <c r="K2525" s="8" t="n">
        <v>3.09</v>
      </c>
      <c r="L2525" s="8" t="n">
        <v>0</v>
      </c>
      <c r="M2525" s="9">
        <f>ROUND(SUM(I2525:L2525),2)</f>
        <v/>
      </c>
      <c r="N2525" s="10">
        <f>ROUND(I2525*'Irish Basis'!$C$6*'Irish Basis'!$C$5,2)</f>
        <v/>
      </c>
      <c r="O2525" s="10">
        <f>ROUND(J2525*'Irish Basis'!$C$7*'Irish Basis'!$C$5,2)</f>
        <v/>
      </c>
      <c r="P2525" s="10">
        <f>ROUND(K2525*'Irish Basis'!$C$8*'Irish Basis'!$C$5,2)</f>
        <v/>
      </c>
      <c r="Q2525" s="10">
        <f>ROUND(L2525*'Irish Basis'!$C$12*'Irish Basis'!$C$5,2)</f>
        <v/>
      </c>
      <c r="R2525" s="11">
        <f>ROUND(SUM(N2525:Q2525),2)</f>
        <v/>
      </c>
      <c r="S2525" s="5" t="inlineStr">
        <is>
          <t>Stated build-up</t>
        </is>
      </c>
      <c r="T2525" s="12" t="inlineStr">
        <is>
          <t>High</t>
        </is>
      </c>
      <c r="U2525" s="8" t="n">
        <v>3.37</v>
      </c>
      <c r="V2525" s="13">
        <f>IF(U2525="","",ROUND(M2525-U2525,2))</f>
        <v/>
      </c>
      <c r="W2525" s="5" t="n"/>
      <c r="X2525" s="5" t="inlineStr">
        <is>
          <t>Labour + plant + material as published; reconciles to the published rate.</t>
        </is>
      </c>
    </row>
    <row r="2526" ht="13" customHeight="1">
      <c r="A2526" s="4" t="n">
        <v>3786</v>
      </c>
      <c r="B2526" s="5" t="inlineStr">
        <is>
          <t>IMG_0116</t>
        </is>
      </c>
      <c r="C2526" s="5" t="inlineStr">
        <is>
          <t>CLASS O: TIMBER</t>
        </is>
      </c>
      <c r="D2526" s="5" t="inlineStr">
        <is>
          <t>05 FITTINGS AND FASTENINGS</t>
        </is>
      </c>
      <c r="E2526" s="5" t="inlineStr">
        <is>
          <t>Timber connectors; round toothed plate, double sided for 10 mm or 12 mm bolts</t>
        </is>
      </c>
      <c r="F2526" s="5" t="inlineStr">
        <is>
          <t>63 mm dia.</t>
        </is>
      </c>
      <c r="G2526" s="6" t="inlineStr">
        <is>
          <t>nr</t>
        </is>
      </c>
      <c r="H2526" s="7" t="n">
        <v>0.01</v>
      </c>
      <c r="I2526" s="8" t="n">
        <v>0.46</v>
      </c>
      <c r="J2526" s="8" t="n">
        <v>0</v>
      </c>
      <c r="K2526" s="8" t="n">
        <v>3.17</v>
      </c>
      <c r="L2526" s="8" t="n">
        <v>0</v>
      </c>
      <c r="M2526" s="9">
        <f>ROUND(SUM(I2526:L2526),2)</f>
        <v/>
      </c>
      <c r="N2526" s="10">
        <f>ROUND(I2526*'Irish Basis'!$C$6*'Irish Basis'!$C$5,2)</f>
        <v/>
      </c>
      <c r="O2526" s="10">
        <f>ROUND(J2526*'Irish Basis'!$C$7*'Irish Basis'!$C$5,2)</f>
        <v/>
      </c>
      <c r="P2526" s="10">
        <f>ROUND(K2526*'Irish Basis'!$C$8*'Irish Basis'!$C$5,2)</f>
        <v/>
      </c>
      <c r="Q2526" s="10">
        <f>ROUND(L2526*'Irish Basis'!$C$12*'Irish Basis'!$C$5,2)</f>
        <v/>
      </c>
      <c r="R2526" s="11">
        <f>ROUND(SUM(N2526:Q2526),2)</f>
        <v/>
      </c>
      <c r="S2526" s="5" t="inlineStr">
        <is>
          <t>Stated build-up</t>
        </is>
      </c>
      <c r="T2526" s="12" t="inlineStr">
        <is>
          <t>High</t>
        </is>
      </c>
      <c r="U2526" s="8" t="n">
        <v>3.63</v>
      </c>
      <c r="V2526" s="13">
        <f>IF(U2526="","",ROUND(M2526-U2526,2))</f>
        <v/>
      </c>
      <c r="W2526" s="5" t="n"/>
      <c r="X2526" s="5" t="inlineStr">
        <is>
          <t>Labour + plant + material as published; reconciles to the published rate.</t>
        </is>
      </c>
    </row>
    <row r="2527" ht="13" customHeight="1">
      <c r="A2527" s="4" t="n">
        <v>3787</v>
      </c>
      <c r="B2527" s="5" t="inlineStr">
        <is>
          <t>IMG_0116</t>
        </is>
      </c>
      <c r="C2527" s="5" t="inlineStr">
        <is>
          <t>CLASS O: TIMBER</t>
        </is>
      </c>
      <c r="D2527" s="5" t="inlineStr">
        <is>
          <t>05 FITTINGS AND FASTENINGS</t>
        </is>
      </c>
      <c r="E2527" s="5" t="inlineStr">
        <is>
          <t>Timber connectors; round toothed plate, double sided for 10 mm or 12 mm bolts</t>
        </is>
      </c>
      <c r="F2527" s="5" t="inlineStr">
        <is>
          <t>75 mm dia.</t>
        </is>
      </c>
      <c r="G2527" s="6" t="inlineStr">
        <is>
          <t>nr</t>
        </is>
      </c>
      <c r="H2527" s="7" t="n">
        <v>0.01</v>
      </c>
      <c r="I2527" s="8" t="n">
        <v>0.46</v>
      </c>
      <c r="J2527" s="8" t="n">
        <v>0</v>
      </c>
      <c r="K2527" s="8" t="n">
        <v>3.48</v>
      </c>
      <c r="L2527" s="8" t="n">
        <v>0</v>
      </c>
      <c r="M2527" s="9">
        <f>ROUND(SUM(I2527:L2527),2)</f>
        <v/>
      </c>
      <c r="N2527" s="10">
        <f>ROUND(I2527*'Irish Basis'!$C$6*'Irish Basis'!$C$5,2)</f>
        <v/>
      </c>
      <c r="O2527" s="10">
        <f>ROUND(J2527*'Irish Basis'!$C$7*'Irish Basis'!$C$5,2)</f>
        <v/>
      </c>
      <c r="P2527" s="10">
        <f>ROUND(K2527*'Irish Basis'!$C$8*'Irish Basis'!$C$5,2)</f>
        <v/>
      </c>
      <c r="Q2527" s="10">
        <f>ROUND(L2527*'Irish Basis'!$C$12*'Irish Basis'!$C$5,2)</f>
        <v/>
      </c>
      <c r="R2527" s="11">
        <f>ROUND(SUM(N2527:Q2527),2)</f>
        <v/>
      </c>
      <c r="S2527" s="5" t="inlineStr">
        <is>
          <t>Stated build-up</t>
        </is>
      </c>
      <c r="T2527" s="12" t="inlineStr">
        <is>
          <t>High</t>
        </is>
      </c>
      <c r="U2527" s="8" t="n">
        <v>3.94</v>
      </c>
      <c r="V2527" s="13">
        <f>IF(U2527="","",ROUND(M2527-U2527,2))</f>
        <v/>
      </c>
      <c r="W2527" s="5" t="n"/>
      <c r="X2527" s="5" t="inlineStr">
        <is>
          <t>Labour + plant + material as published; reconciles to the published rate.</t>
        </is>
      </c>
    </row>
    <row r="2528" ht="13" customHeight="1">
      <c r="A2528" s="4" t="n">
        <v>3789</v>
      </c>
      <c r="B2528" s="5" t="inlineStr">
        <is>
          <t>IMG_0116</t>
        </is>
      </c>
      <c r="C2528" s="5" t="inlineStr">
        <is>
          <t>CLASS O: TIMBER</t>
        </is>
      </c>
      <c r="D2528" s="5" t="inlineStr">
        <is>
          <t>05 FITTINGS AND FASTENINGS</t>
        </is>
      </c>
      <c r="E2528" s="5" t="inlineStr">
        <is>
          <t>Split ring connectors</t>
        </is>
      </c>
      <c r="F2528" s="5" t="inlineStr">
        <is>
          <t>50 mm dia.</t>
        </is>
      </c>
      <c r="G2528" s="6" t="inlineStr">
        <is>
          <t>nr</t>
        </is>
      </c>
      <c r="H2528" s="7" t="n">
        <v>0.01</v>
      </c>
      <c r="I2528" s="8" t="n">
        <v>0.34</v>
      </c>
      <c r="J2528" s="8" t="n">
        <v>0</v>
      </c>
      <c r="K2528" s="8" t="n">
        <v>4.2</v>
      </c>
      <c r="L2528" s="8" t="n">
        <v>0</v>
      </c>
      <c r="M2528" s="9">
        <f>ROUND(SUM(I2528:L2528),2)</f>
        <v/>
      </c>
      <c r="N2528" s="10">
        <f>ROUND(I2528*'Irish Basis'!$C$6*'Irish Basis'!$C$5,2)</f>
        <v/>
      </c>
      <c r="O2528" s="10">
        <f>ROUND(J2528*'Irish Basis'!$C$7*'Irish Basis'!$C$5,2)</f>
        <v/>
      </c>
      <c r="P2528" s="10">
        <f>ROUND(K2528*'Irish Basis'!$C$8*'Irish Basis'!$C$5,2)</f>
        <v/>
      </c>
      <c r="Q2528" s="10">
        <f>ROUND(L2528*'Irish Basis'!$C$12*'Irish Basis'!$C$5,2)</f>
        <v/>
      </c>
      <c r="R2528" s="11">
        <f>ROUND(SUM(N2528:Q2528),2)</f>
        <v/>
      </c>
      <c r="S2528" s="5" t="inlineStr">
        <is>
          <t>Stated build-up</t>
        </is>
      </c>
      <c r="T2528" s="12" t="inlineStr">
        <is>
          <t>High</t>
        </is>
      </c>
      <c r="U2528" s="8" t="n">
        <v>4.54</v>
      </c>
      <c r="V2528" s="13">
        <f>IF(U2528="","",ROUND(M2528-U2528,2))</f>
        <v/>
      </c>
      <c r="W2528" s="5" t="n"/>
      <c r="X2528" s="5" t="inlineStr">
        <is>
          <t>Labour + plant + material as published; reconciles to the published rate.</t>
        </is>
      </c>
    </row>
    <row r="2529" ht="13" customHeight="1">
      <c r="A2529" s="4" t="n">
        <v>3790</v>
      </c>
      <c r="B2529" s="5" t="inlineStr">
        <is>
          <t>IMG_0116</t>
        </is>
      </c>
      <c r="C2529" s="5" t="inlineStr">
        <is>
          <t>CLASS O: TIMBER</t>
        </is>
      </c>
      <c r="D2529" s="5" t="inlineStr">
        <is>
          <t>05 FITTINGS AND FASTENINGS</t>
        </is>
      </c>
      <c r="E2529" s="5" t="inlineStr">
        <is>
          <t>Split ring connectors</t>
        </is>
      </c>
      <c r="F2529" s="5" t="inlineStr">
        <is>
          <t>63 mm dia.</t>
        </is>
      </c>
      <c r="G2529" s="6" t="inlineStr">
        <is>
          <t>nr</t>
        </is>
      </c>
      <c r="H2529" s="7" t="n">
        <v>0.01</v>
      </c>
      <c r="I2529" s="8" t="n">
        <v>0.34</v>
      </c>
      <c r="J2529" s="8" t="n">
        <v>0</v>
      </c>
      <c r="K2529" s="8" t="n">
        <v>4.33</v>
      </c>
      <c r="L2529" s="8" t="n">
        <v>0</v>
      </c>
      <c r="M2529" s="9">
        <f>ROUND(SUM(I2529:L2529),2)</f>
        <v/>
      </c>
      <c r="N2529" s="10">
        <f>ROUND(I2529*'Irish Basis'!$C$6*'Irish Basis'!$C$5,2)</f>
        <v/>
      </c>
      <c r="O2529" s="10">
        <f>ROUND(J2529*'Irish Basis'!$C$7*'Irish Basis'!$C$5,2)</f>
        <v/>
      </c>
      <c r="P2529" s="10">
        <f>ROUND(K2529*'Irish Basis'!$C$8*'Irish Basis'!$C$5,2)</f>
        <v/>
      </c>
      <c r="Q2529" s="10">
        <f>ROUND(L2529*'Irish Basis'!$C$12*'Irish Basis'!$C$5,2)</f>
        <v/>
      </c>
      <c r="R2529" s="11">
        <f>ROUND(SUM(N2529:Q2529),2)</f>
        <v/>
      </c>
      <c r="S2529" s="5" t="inlineStr">
        <is>
          <t>Stated build-up</t>
        </is>
      </c>
      <c r="T2529" s="12" t="inlineStr">
        <is>
          <t>High</t>
        </is>
      </c>
      <c r="U2529" s="8" t="n">
        <v>4.67</v>
      </c>
      <c r="V2529" s="13">
        <f>IF(U2529="","",ROUND(M2529-U2529,2))</f>
        <v/>
      </c>
      <c r="W2529" s="5" t="n"/>
      <c r="X2529" s="5" t="inlineStr">
        <is>
          <t>Labour + plant + material as published; reconciles to the published rate.</t>
        </is>
      </c>
    </row>
    <row r="2530" ht="13" customHeight="1">
      <c r="A2530" s="4" t="n">
        <v>3791</v>
      </c>
      <c r="B2530" s="5" t="inlineStr">
        <is>
          <t>IMG_0116</t>
        </is>
      </c>
      <c r="C2530" s="5" t="inlineStr">
        <is>
          <t>CLASS O: TIMBER</t>
        </is>
      </c>
      <c r="D2530" s="5" t="inlineStr">
        <is>
          <t>05 FITTINGS AND FASTENINGS</t>
        </is>
      </c>
      <c r="E2530" s="5" t="inlineStr">
        <is>
          <t>Split ring connectors</t>
        </is>
      </c>
      <c r="F2530" s="5" t="inlineStr">
        <is>
          <t>101 mm dia.</t>
        </is>
      </c>
      <c r="G2530" s="6" t="inlineStr">
        <is>
          <t>nr</t>
        </is>
      </c>
      <c r="H2530" s="7" t="n">
        <v>0.01</v>
      </c>
      <c r="I2530" s="8" t="n">
        <v>0.34</v>
      </c>
      <c r="J2530" s="8" t="n">
        <v>0</v>
      </c>
      <c r="K2530" s="8" t="n">
        <v>11.34</v>
      </c>
      <c r="L2530" s="8" t="n">
        <v>0</v>
      </c>
      <c r="M2530" s="9">
        <f>ROUND(SUM(I2530:L2530),2)</f>
        <v/>
      </c>
      <c r="N2530" s="10">
        <f>ROUND(I2530*'Irish Basis'!$C$6*'Irish Basis'!$C$5,2)</f>
        <v/>
      </c>
      <c r="O2530" s="10">
        <f>ROUND(J2530*'Irish Basis'!$C$7*'Irish Basis'!$C$5,2)</f>
        <v/>
      </c>
      <c r="P2530" s="10">
        <f>ROUND(K2530*'Irish Basis'!$C$8*'Irish Basis'!$C$5,2)</f>
        <v/>
      </c>
      <c r="Q2530" s="10">
        <f>ROUND(L2530*'Irish Basis'!$C$12*'Irish Basis'!$C$5,2)</f>
        <v/>
      </c>
      <c r="R2530" s="11">
        <f>ROUND(SUM(N2530:Q2530),2)</f>
        <v/>
      </c>
      <c r="S2530" s="5" t="inlineStr">
        <is>
          <t>Stated build-up</t>
        </is>
      </c>
      <c r="T2530" s="12" t="inlineStr">
        <is>
          <t>High</t>
        </is>
      </c>
      <c r="U2530" s="8" t="n">
        <v>11.68</v>
      </c>
      <c r="V2530" s="13">
        <f>IF(U2530="","",ROUND(M2530-U2530,2))</f>
        <v/>
      </c>
      <c r="W2530" s="5" t="n"/>
      <c r="X2530" s="5" t="inlineStr">
        <is>
          <t>Labour + plant + material as published; reconciles to the published rate.</t>
        </is>
      </c>
    </row>
    <row r="2531" ht="13" customHeight="1">
      <c r="A2531" s="4" t="n">
        <v>3793</v>
      </c>
      <c r="B2531" s="5" t="inlineStr">
        <is>
          <t>IMG_0116</t>
        </is>
      </c>
      <c r="C2531" s="5" t="inlineStr">
        <is>
          <t>CLASS O: TIMBER</t>
        </is>
      </c>
      <c r="D2531" s="5" t="inlineStr">
        <is>
          <t>05 FITTINGS AND FASTENINGS</t>
        </is>
      </c>
      <c r="E2531" s="5" t="inlineStr">
        <is>
          <t>Shear plate connectors</t>
        </is>
      </c>
      <c r="F2531" s="5" t="inlineStr">
        <is>
          <t>67 mm dia.</t>
        </is>
      </c>
      <c r="G2531" s="6" t="inlineStr">
        <is>
          <t>nr</t>
        </is>
      </c>
      <c r="H2531" s="7" t="n">
        <v>0.01</v>
      </c>
      <c r="I2531" s="8" t="n">
        <v>0.34</v>
      </c>
      <c r="J2531" s="8" t="n">
        <v>0</v>
      </c>
      <c r="K2531" s="8" t="n">
        <v>7</v>
      </c>
      <c r="L2531" s="8" t="n">
        <v>0</v>
      </c>
      <c r="M2531" s="9">
        <f>ROUND(SUM(I2531:L2531),2)</f>
        <v/>
      </c>
      <c r="N2531" s="10">
        <f>ROUND(I2531*'Irish Basis'!$C$6*'Irish Basis'!$C$5,2)</f>
        <v/>
      </c>
      <c r="O2531" s="10">
        <f>ROUND(J2531*'Irish Basis'!$C$7*'Irish Basis'!$C$5,2)</f>
        <v/>
      </c>
      <c r="P2531" s="10">
        <f>ROUND(K2531*'Irish Basis'!$C$8*'Irish Basis'!$C$5,2)</f>
        <v/>
      </c>
      <c r="Q2531" s="10">
        <f>ROUND(L2531*'Irish Basis'!$C$12*'Irish Basis'!$C$5,2)</f>
        <v/>
      </c>
      <c r="R2531" s="11">
        <f>ROUND(SUM(N2531:Q2531),2)</f>
        <v/>
      </c>
      <c r="S2531" s="5" t="inlineStr">
        <is>
          <t>Stated build-up</t>
        </is>
      </c>
      <c r="T2531" s="12" t="inlineStr">
        <is>
          <t>High</t>
        </is>
      </c>
      <c r="U2531" s="8" t="n">
        <v>7.34</v>
      </c>
      <c r="V2531" s="13">
        <f>IF(U2531="","",ROUND(M2531-U2531,2))</f>
        <v/>
      </c>
      <c r="W2531" s="5" t="n"/>
      <c r="X2531" s="5" t="inlineStr">
        <is>
          <t>Labour + plant + material as published; reconciles to the published rate.</t>
        </is>
      </c>
    </row>
    <row r="2532" ht="13" customHeight="1">
      <c r="A2532" s="4" t="n">
        <v>3794</v>
      </c>
      <c r="B2532" s="5" t="inlineStr">
        <is>
          <t>IMG_0116</t>
        </is>
      </c>
      <c r="C2532" s="5" t="inlineStr">
        <is>
          <t>CLASS O: TIMBER</t>
        </is>
      </c>
      <c r="D2532" s="5" t="inlineStr">
        <is>
          <t>05 FITTINGS AND FASTENINGS</t>
        </is>
      </c>
      <c r="E2532" s="5" t="inlineStr">
        <is>
          <t>Shear plate connectors</t>
        </is>
      </c>
      <c r="F2532" s="5" t="inlineStr">
        <is>
          <t>101 mm dia.</t>
        </is>
      </c>
      <c r="G2532" s="6" t="inlineStr">
        <is>
          <t>nr</t>
        </is>
      </c>
      <c r="H2532" s="7" t="n">
        <v>0.01</v>
      </c>
      <c r="I2532" s="8" t="n">
        <v>0.34</v>
      </c>
      <c r="J2532" s="8" t="n">
        <v>0</v>
      </c>
      <c r="K2532" s="8" t="n">
        <v>28.89</v>
      </c>
      <c r="L2532" s="8" t="n">
        <v>0</v>
      </c>
      <c r="M2532" s="9">
        <f>ROUND(SUM(I2532:L2532),2)</f>
        <v/>
      </c>
      <c r="N2532" s="10">
        <f>ROUND(I2532*'Irish Basis'!$C$6*'Irish Basis'!$C$5,2)</f>
        <v/>
      </c>
      <c r="O2532" s="10">
        <f>ROUND(J2532*'Irish Basis'!$C$7*'Irish Basis'!$C$5,2)</f>
        <v/>
      </c>
      <c r="P2532" s="10">
        <f>ROUND(K2532*'Irish Basis'!$C$8*'Irish Basis'!$C$5,2)</f>
        <v/>
      </c>
      <c r="Q2532" s="10">
        <f>ROUND(L2532*'Irish Basis'!$C$12*'Irish Basis'!$C$5,2)</f>
        <v/>
      </c>
      <c r="R2532" s="11">
        <f>ROUND(SUM(N2532:Q2532),2)</f>
        <v/>
      </c>
      <c r="S2532" s="5" t="inlineStr">
        <is>
          <t>Stated build-up</t>
        </is>
      </c>
      <c r="T2532" s="12" t="inlineStr">
        <is>
          <t>High</t>
        </is>
      </c>
      <c r="U2532" s="8" t="n">
        <v>29.23</v>
      </c>
      <c r="V2532" s="13">
        <f>IF(U2532="","",ROUND(M2532-U2532,2))</f>
        <v/>
      </c>
      <c r="W2532" s="5" t="n"/>
      <c r="X2532" s="5" t="inlineStr">
        <is>
          <t>Labour + plant + material as published; reconciles to the published rate.</t>
        </is>
      </c>
    </row>
    <row r="2533" ht="13" customHeight="1">
      <c r="A2533" s="4" t="n">
        <v>3796</v>
      </c>
      <c r="B2533" s="5" t="inlineStr">
        <is>
          <t>IMG_0116</t>
        </is>
      </c>
      <c r="C2533" s="5" t="inlineStr">
        <is>
          <t>CLASS O: TIMBER</t>
        </is>
      </c>
      <c r="D2533" s="5" t="inlineStr">
        <is>
          <t>05 FITTINGS AND FASTENINGS</t>
        </is>
      </c>
      <c r="E2533" s="5" t="inlineStr">
        <is>
          <t>Flitch plates</t>
        </is>
      </c>
      <c r="F2533" s="5" t="inlineStr">
        <is>
          <t>200 x 75 x 10 mm</t>
        </is>
      </c>
      <c r="G2533" s="6" t="inlineStr">
        <is>
          <t>nr</t>
        </is>
      </c>
      <c r="H2533" s="7" t="n">
        <v>0.07000000000000001</v>
      </c>
      <c r="I2533" s="8" t="n">
        <v>4.01</v>
      </c>
      <c r="J2533" s="8" t="n">
        <v>0</v>
      </c>
      <c r="K2533" s="8" t="n">
        <v>10.5</v>
      </c>
      <c r="L2533" s="8" t="n">
        <v>0</v>
      </c>
      <c r="M2533" s="9">
        <f>ROUND(SUM(I2533:L2533),2)</f>
        <v/>
      </c>
      <c r="N2533" s="10">
        <f>ROUND(I2533*'Irish Basis'!$C$6*'Irish Basis'!$C$5,2)</f>
        <v/>
      </c>
      <c r="O2533" s="10">
        <f>ROUND(J2533*'Irish Basis'!$C$7*'Irish Basis'!$C$5,2)</f>
        <v/>
      </c>
      <c r="P2533" s="10">
        <f>ROUND(K2533*'Irish Basis'!$C$8*'Irish Basis'!$C$5,2)</f>
        <v/>
      </c>
      <c r="Q2533" s="10">
        <f>ROUND(L2533*'Irish Basis'!$C$12*'Irish Basis'!$C$5,2)</f>
        <v/>
      </c>
      <c r="R2533" s="11">
        <f>ROUND(SUM(N2533:Q2533),2)</f>
        <v/>
      </c>
      <c r="S2533" s="5" t="inlineStr">
        <is>
          <t>Stated build-up</t>
        </is>
      </c>
      <c r="T2533" s="12" t="inlineStr">
        <is>
          <t>High</t>
        </is>
      </c>
      <c r="U2533" s="8" t="n">
        <v>14.51</v>
      </c>
      <c r="V2533" s="13">
        <f>IF(U2533="","",ROUND(M2533-U2533,2))</f>
        <v/>
      </c>
      <c r="W2533" s="5" t="n"/>
      <c r="X2533" s="5" t="inlineStr">
        <is>
          <t>Labour + plant + material as published; reconciles to the published rate.</t>
        </is>
      </c>
    </row>
    <row r="2534" ht="13" customHeight="1">
      <c r="A2534" s="4" t="n">
        <v>3797</v>
      </c>
      <c r="B2534" s="5" t="inlineStr">
        <is>
          <t>IMG_0116</t>
        </is>
      </c>
      <c r="C2534" s="5" t="inlineStr">
        <is>
          <t>CLASS O: TIMBER</t>
        </is>
      </c>
      <c r="D2534" s="5" t="inlineStr">
        <is>
          <t>05 FITTINGS AND FASTENINGS</t>
        </is>
      </c>
      <c r="E2534" s="5" t="inlineStr">
        <is>
          <t>Flitch plates</t>
        </is>
      </c>
      <c r="F2534" s="5" t="inlineStr">
        <is>
          <t>300 x 100 x 10 mm</t>
        </is>
      </c>
      <c r="G2534" s="6" t="inlineStr">
        <is>
          <t>nr</t>
        </is>
      </c>
      <c r="H2534" s="7" t="n">
        <v>0.09</v>
      </c>
      <c r="I2534" s="8" t="n">
        <v>5.16</v>
      </c>
      <c r="J2534" s="8" t="n">
        <v>0</v>
      </c>
      <c r="K2534" s="8" t="n">
        <v>20.75</v>
      </c>
      <c r="L2534" s="8" t="n">
        <v>0</v>
      </c>
      <c r="M2534" s="9">
        <f>ROUND(SUM(I2534:L2534),2)</f>
        <v/>
      </c>
      <c r="N2534" s="10">
        <f>ROUND(I2534*'Irish Basis'!$C$6*'Irish Basis'!$C$5,2)</f>
        <v/>
      </c>
      <c r="O2534" s="10">
        <f>ROUND(J2534*'Irish Basis'!$C$7*'Irish Basis'!$C$5,2)</f>
        <v/>
      </c>
      <c r="P2534" s="10">
        <f>ROUND(K2534*'Irish Basis'!$C$8*'Irish Basis'!$C$5,2)</f>
        <v/>
      </c>
      <c r="Q2534" s="10">
        <f>ROUND(L2534*'Irish Basis'!$C$12*'Irish Basis'!$C$5,2)</f>
        <v/>
      </c>
      <c r="R2534" s="11">
        <f>ROUND(SUM(N2534:Q2534),2)</f>
        <v/>
      </c>
      <c r="S2534" s="5" t="inlineStr">
        <is>
          <t>Stated build-up</t>
        </is>
      </c>
      <c r="T2534" s="12" t="inlineStr">
        <is>
          <t>High</t>
        </is>
      </c>
      <c r="U2534" s="8" t="n">
        <v>25.91</v>
      </c>
      <c r="V2534" s="13">
        <f>IF(U2534="","",ROUND(M2534-U2534,2))</f>
        <v/>
      </c>
      <c r="W2534" s="5" t="n"/>
      <c r="X2534" s="5" t="inlineStr">
        <is>
          <t>Labour + plant + material as published; reconciles to the published rate.</t>
        </is>
      </c>
    </row>
    <row r="2535" ht="13" customHeight="1">
      <c r="A2535" s="4" t="n">
        <v>3798</v>
      </c>
      <c r="B2535" s="5" t="inlineStr">
        <is>
          <t>IMG_0116</t>
        </is>
      </c>
      <c r="C2535" s="5" t="inlineStr">
        <is>
          <t>CLASS O: TIMBER</t>
        </is>
      </c>
      <c r="D2535" s="5" t="inlineStr">
        <is>
          <t>05 FITTINGS AND FASTENINGS</t>
        </is>
      </c>
      <c r="E2535" s="5" t="inlineStr">
        <is>
          <t>Flitch plates</t>
        </is>
      </c>
      <c r="F2535" s="5" t="inlineStr">
        <is>
          <t>450 x 150 x 12 mm</t>
        </is>
      </c>
      <c r="G2535" s="6" t="inlineStr">
        <is>
          <t>nr</t>
        </is>
      </c>
      <c r="H2535" s="7" t="n">
        <v>0.15</v>
      </c>
      <c r="I2535" s="8" t="n">
        <v>8.6</v>
      </c>
      <c r="J2535" s="8" t="n">
        <v>0</v>
      </c>
      <c r="K2535" s="8" t="n">
        <v>27.03</v>
      </c>
      <c r="L2535" s="8" t="n">
        <v>0</v>
      </c>
      <c r="M2535" s="9">
        <f>ROUND(SUM(I2535:L2535),2)</f>
        <v/>
      </c>
      <c r="N2535" s="10">
        <f>ROUND(I2535*'Irish Basis'!$C$6*'Irish Basis'!$C$5,2)</f>
        <v/>
      </c>
      <c r="O2535" s="10">
        <f>ROUND(J2535*'Irish Basis'!$C$7*'Irish Basis'!$C$5,2)</f>
        <v/>
      </c>
      <c r="P2535" s="10">
        <f>ROUND(K2535*'Irish Basis'!$C$8*'Irish Basis'!$C$5,2)</f>
        <v/>
      </c>
      <c r="Q2535" s="10">
        <f>ROUND(L2535*'Irish Basis'!$C$12*'Irish Basis'!$C$5,2)</f>
        <v/>
      </c>
      <c r="R2535" s="11">
        <f>ROUND(SUM(N2535:Q2535),2)</f>
        <v/>
      </c>
      <c r="S2535" s="5" t="inlineStr">
        <is>
          <t>Stated build-up</t>
        </is>
      </c>
      <c r="T2535" s="12" t="inlineStr">
        <is>
          <t>High</t>
        </is>
      </c>
      <c r="U2535" s="8" t="n">
        <v>35.62</v>
      </c>
      <c r="V2535" s="13">
        <f>IF(U2535="","",ROUND(M2535-U2535,2))</f>
        <v/>
      </c>
      <c r="W2535" s="5" t="n"/>
      <c r="X2535" s="5" t="inlineStr">
        <is>
          <t>Labour + plant + material as published; reconciles to the published rate.</t>
        </is>
      </c>
    </row>
    <row r="2536" ht="13" customHeight="1">
      <c r="A2536" s="4" t="n">
        <v>3800</v>
      </c>
      <c r="B2536" s="5" t="inlineStr">
        <is>
          <t>IMG_0116</t>
        </is>
      </c>
      <c r="C2536" s="5" t="inlineStr">
        <is>
          <t>CLASS O: TIMBER</t>
        </is>
      </c>
      <c r="D2536" s="5" t="inlineStr">
        <is>
          <t>05 FITTINGS AND FASTENINGS</t>
        </is>
      </c>
      <c r="E2536" s="5" t="inlineStr">
        <is>
          <t>Stainless steel; Straps</t>
        </is>
      </c>
      <c r="F2536" s="5" t="inlineStr">
        <is>
          <t>30 x 2.5 x 600 mm girth</t>
        </is>
      </c>
      <c r="G2536" s="6" t="inlineStr">
        <is>
          <t>nr</t>
        </is>
      </c>
      <c r="H2536" s="7" t="n">
        <v>0.13</v>
      </c>
      <c r="I2536" s="8" t="n">
        <v>7.45</v>
      </c>
      <c r="J2536" s="8" t="n">
        <v>0</v>
      </c>
      <c r="K2536" s="8" t="n">
        <v>6.6</v>
      </c>
      <c r="L2536" s="8" t="n">
        <v>0</v>
      </c>
      <c r="M2536" s="9">
        <f>ROUND(SUM(I2536:L2536),2)</f>
        <v/>
      </c>
      <c r="N2536" s="10">
        <f>ROUND(I2536*'Irish Basis'!$C$6*'Irish Basis'!$C$5,2)</f>
        <v/>
      </c>
      <c r="O2536" s="10">
        <f>ROUND(J2536*'Irish Basis'!$C$7*'Irish Basis'!$C$5,2)</f>
        <v/>
      </c>
      <c r="P2536" s="10">
        <f>ROUND(K2536*'Irish Basis'!$C$8*'Irish Basis'!$C$5,2)</f>
        <v/>
      </c>
      <c r="Q2536" s="10">
        <f>ROUND(L2536*'Irish Basis'!$C$12*'Irish Basis'!$C$5,2)</f>
        <v/>
      </c>
      <c r="R2536" s="11">
        <f>ROUND(SUM(N2536:Q2536),2)</f>
        <v/>
      </c>
      <c r="S2536" s="5" t="inlineStr">
        <is>
          <t>Stated build-up</t>
        </is>
      </c>
      <c r="T2536" s="12" t="inlineStr">
        <is>
          <t>High</t>
        </is>
      </c>
      <c r="U2536" s="8" t="n">
        <v>14.05</v>
      </c>
      <c r="V2536" s="13">
        <f>IF(U2536="","",ROUND(M2536-U2536,2))</f>
        <v/>
      </c>
      <c r="W2536" s="5" t="n"/>
      <c r="X2536" s="5" t="inlineStr">
        <is>
          <t>Labour + plant + material as published; reconciles to the published rate.</t>
        </is>
      </c>
    </row>
    <row r="2537" ht="13" customHeight="1">
      <c r="A2537" s="4" t="n">
        <v>3801</v>
      </c>
      <c r="B2537" s="5" t="inlineStr">
        <is>
          <t>IMG_0116</t>
        </is>
      </c>
      <c r="C2537" s="5" t="inlineStr">
        <is>
          <t>CLASS O: TIMBER</t>
        </is>
      </c>
      <c r="D2537" s="5" t="inlineStr">
        <is>
          <t>05 FITTINGS AND FASTENINGS</t>
        </is>
      </c>
      <c r="E2537" s="5" t="inlineStr">
        <is>
          <t>Stainless steel; Straps</t>
        </is>
      </c>
      <c r="F2537" s="5" t="inlineStr">
        <is>
          <t>30 x 2.5 x 800 mm girth</t>
        </is>
      </c>
      <c r="G2537" s="6" t="inlineStr">
        <is>
          <t>nr</t>
        </is>
      </c>
      <c r="H2537" s="7" t="n">
        <v>0.13</v>
      </c>
      <c r="I2537" s="8" t="n">
        <v>7.45</v>
      </c>
      <c r="J2537" s="8" t="n">
        <v>0</v>
      </c>
      <c r="K2537" s="8" t="n">
        <v>9.039999999999999</v>
      </c>
      <c r="L2537" s="8" t="n">
        <v>0</v>
      </c>
      <c r="M2537" s="9">
        <f>ROUND(SUM(I2537:L2537),2)</f>
        <v/>
      </c>
      <c r="N2537" s="10">
        <f>ROUND(I2537*'Irish Basis'!$C$6*'Irish Basis'!$C$5,2)</f>
        <v/>
      </c>
      <c r="O2537" s="10">
        <f>ROUND(J2537*'Irish Basis'!$C$7*'Irish Basis'!$C$5,2)</f>
        <v/>
      </c>
      <c r="P2537" s="10">
        <f>ROUND(K2537*'Irish Basis'!$C$8*'Irish Basis'!$C$5,2)</f>
        <v/>
      </c>
      <c r="Q2537" s="10">
        <f>ROUND(L2537*'Irish Basis'!$C$12*'Irish Basis'!$C$5,2)</f>
        <v/>
      </c>
      <c r="R2537" s="11">
        <f>ROUND(SUM(N2537:Q2537),2)</f>
        <v/>
      </c>
      <c r="S2537" s="5" t="inlineStr">
        <is>
          <t>Stated build-up</t>
        </is>
      </c>
      <c r="T2537" s="12" t="inlineStr">
        <is>
          <t>High</t>
        </is>
      </c>
      <c r="U2537" s="8" t="n">
        <v>16.49</v>
      </c>
      <c r="V2537" s="13">
        <f>IF(U2537="","",ROUND(M2537-U2537,2))</f>
        <v/>
      </c>
      <c r="W2537" s="5" t="n"/>
      <c r="X2537" s="5" t="inlineStr">
        <is>
          <t>Labour + plant + material as published; reconciles to the published rate.</t>
        </is>
      </c>
    </row>
    <row r="2538" ht="13" customHeight="1">
      <c r="A2538" s="4" t="n">
        <v>3802</v>
      </c>
      <c r="B2538" s="5" t="inlineStr">
        <is>
          <t>IMG_0116</t>
        </is>
      </c>
      <c r="C2538" s="5" t="inlineStr">
        <is>
          <t>CLASS O: TIMBER</t>
        </is>
      </c>
      <c r="D2538" s="5" t="inlineStr">
        <is>
          <t>05 FITTINGS AND FASTENINGS</t>
        </is>
      </c>
      <c r="E2538" s="5" t="inlineStr">
        <is>
          <t>Stainless steel; Straps</t>
        </is>
      </c>
      <c r="F2538" s="5" t="inlineStr">
        <is>
          <t>30 x 2.5 x 1000 mm girth</t>
        </is>
      </c>
      <c r="G2538" s="6" t="inlineStr">
        <is>
          <t>nr</t>
        </is>
      </c>
      <c r="H2538" s="7" t="n">
        <v>0.13</v>
      </c>
      <c r="I2538" s="8" t="n">
        <v>7.45</v>
      </c>
      <c r="J2538" s="8" t="n">
        <v>0</v>
      </c>
      <c r="K2538" s="8" t="n">
        <v>5.07</v>
      </c>
      <c r="L2538" s="8" t="n">
        <v>0</v>
      </c>
      <c r="M2538" s="9">
        <f>ROUND(SUM(I2538:L2538),2)</f>
        <v/>
      </c>
      <c r="N2538" s="10">
        <f>ROUND(I2538*'Irish Basis'!$C$6*'Irish Basis'!$C$5,2)</f>
        <v/>
      </c>
      <c r="O2538" s="10">
        <f>ROUND(J2538*'Irish Basis'!$C$7*'Irish Basis'!$C$5,2)</f>
        <v/>
      </c>
      <c r="P2538" s="10">
        <f>ROUND(K2538*'Irish Basis'!$C$8*'Irish Basis'!$C$5,2)</f>
        <v/>
      </c>
      <c r="Q2538" s="10">
        <f>ROUND(L2538*'Irish Basis'!$C$12*'Irish Basis'!$C$5,2)</f>
        <v/>
      </c>
      <c r="R2538" s="11">
        <f>ROUND(SUM(N2538:Q2538),2)</f>
        <v/>
      </c>
      <c r="S2538" s="5" t="inlineStr">
        <is>
          <t>Stated build-up</t>
        </is>
      </c>
      <c r="T2538" s="12" t="inlineStr">
        <is>
          <t>High</t>
        </is>
      </c>
      <c r="U2538" s="8" t="n">
        <v>12.52</v>
      </c>
      <c r="V2538" s="13">
        <f>IF(U2538="","",ROUND(M2538-U2538,2))</f>
        <v/>
      </c>
      <c r="W2538" s="5" t="n"/>
      <c r="X2538" s="5" t="inlineStr">
        <is>
          <t>Labour + plant + material as published; reconciles to the published rate.</t>
        </is>
      </c>
    </row>
    <row r="2539" ht="13" customHeight="1">
      <c r="A2539" s="4" t="n">
        <v>3803</v>
      </c>
      <c r="B2539" s="5" t="inlineStr">
        <is>
          <t>IMG_0116</t>
        </is>
      </c>
      <c r="C2539" s="5" t="inlineStr">
        <is>
          <t>CLASS O: TIMBER</t>
        </is>
      </c>
      <c r="D2539" s="5" t="inlineStr">
        <is>
          <t>05 FITTINGS AND FASTENINGS</t>
        </is>
      </c>
      <c r="E2539" s="5" t="inlineStr">
        <is>
          <t>Stainless steel; Straps</t>
        </is>
      </c>
      <c r="F2539" s="5" t="inlineStr">
        <is>
          <t>30 x 2.5 x 1200 mm girth</t>
        </is>
      </c>
      <c r="G2539" s="6" t="inlineStr">
        <is>
          <t>nr</t>
        </is>
      </c>
      <c r="H2539" s="7" t="n">
        <v>0.15</v>
      </c>
      <c r="I2539" s="8" t="n">
        <v>8.6</v>
      </c>
      <c r="J2539" s="8" t="n">
        <v>0</v>
      </c>
      <c r="K2539" s="8" t="n">
        <v>6.1</v>
      </c>
      <c r="L2539" s="8" t="n">
        <v>0</v>
      </c>
      <c r="M2539" s="9">
        <f>ROUND(SUM(I2539:L2539),2)</f>
        <v/>
      </c>
      <c r="N2539" s="10">
        <f>ROUND(I2539*'Irish Basis'!$C$6*'Irish Basis'!$C$5,2)</f>
        <v/>
      </c>
      <c r="O2539" s="10">
        <f>ROUND(J2539*'Irish Basis'!$C$7*'Irish Basis'!$C$5,2)</f>
        <v/>
      </c>
      <c r="P2539" s="10">
        <f>ROUND(K2539*'Irish Basis'!$C$8*'Irish Basis'!$C$5,2)</f>
        <v/>
      </c>
      <c r="Q2539" s="10">
        <f>ROUND(L2539*'Irish Basis'!$C$12*'Irish Basis'!$C$5,2)</f>
        <v/>
      </c>
      <c r="R2539" s="11">
        <f>ROUND(SUM(N2539:Q2539),2)</f>
        <v/>
      </c>
      <c r="S2539" s="5" t="inlineStr">
        <is>
          <t>Stated build-up</t>
        </is>
      </c>
      <c r="T2539" s="12" t="inlineStr">
        <is>
          <t>High</t>
        </is>
      </c>
      <c r="U2539" s="8" t="n">
        <v>14.7</v>
      </c>
      <c r="V2539" s="13">
        <f>IF(U2539="","",ROUND(M2539-U2539,2))</f>
        <v/>
      </c>
      <c r="W2539" s="5" t="n"/>
      <c r="X2539" s="5" t="inlineStr">
        <is>
          <t>Labour + plant + material as published; reconciles to the published rate.</t>
        </is>
      </c>
    </row>
    <row r="2540" ht="13" customHeight="1">
      <c r="A2540" s="4" t="n">
        <v>3804</v>
      </c>
      <c r="B2540" s="5" t="inlineStr">
        <is>
          <t>IMG_0116</t>
        </is>
      </c>
      <c r="C2540" s="5" t="inlineStr">
        <is>
          <t>CLASS O: TIMBER</t>
        </is>
      </c>
      <c r="D2540" s="5" t="inlineStr">
        <is>
          <t>05 FITTINGS AND FASTENINGS</t>
        </is>
      </c>
      <c r="E2540" s="5" t="inlineStr">
        <is>
          <t>Stainless steel; Straps</t>
        </is>
      </c>
      <c r="F2540" s="5" t="inlineStr">
        <is>
          <t>30 x 2.5 x 1400 mm girth</t>
        </is>
      </c>
      <c r="G2540" s="6" t="inlineStr">
        <is>
          <t>nr</t>
        </is>
      </c>
      <c r="H2540" s="7" t="n">
        <v>0.13</v>
      </c>
      <c r="I2540" s="8" t="n">
        <v>7.45</v>
      </c>
      <c r="J2540" s="8" t="n">
        <v>0</v>
      </c>
      <c r="K2540" s="8" t="n">
        <v>7.12</v>
      </c>
      <c r="L2540" s="8" t="n">
        <v>0</v>
      </c>
      <c r="M2540" s="9">
        <f>ROUND(SUM(I2540:L2540),2)</f>
        <v/>
      </c>
      <c r="N2540" s="10">
        <f>ROUND(I2540*'Irish Basis'!$C$6*'Irish Basis'!$C$5,2)</f>
        <v/>
      </c>
      <c r="O2540" s="10">
        <f>ROUND(J2540*'Irish Basis'!$C$7*'Irish Basis'!$C$5,2)</f>
        <v/>
      </c>
      <c r="P2540" s="10">
        <f>ROUND(K2540*'Irish Basis'!$C$8*'Irish Basis'!$C$5,2)</f>
        <v/>
      </c>
      <c r="Q2540" s="10">
        <f>ROUND(L2540*'Irish Basis'!$C$12*'Irish Basis'!$C$5,2)</f>
        <v/>
      </c>
      <c r="R2540" s="11">
        <f>ROUND(SUM(N2540:Q2540),2)</f>
        <v/>
      </c>
      <c r="S2540" s="5" t="inlineStr">
        <is>
          <t>Stated build-up</t>
        </is>
      </c>
      <c r="T2540" s="12" t="inlineStr">
        <is>
          <t>High</t>
        </is>
      </c>
      <c r="U2540" s="8" t="n">
        <v>14.57</v>
      </c>
      <c r="V2540" s="13">
        <f>IF(U2540="","",ROUND(M2540-U2540,2))</f>
        <v/>
      </c>
      <c r="W2540" s="5" t="n"/>
      <c r="X2540" s="5" t="inlineStr">
        <is>
          <t>Labour + plant + material as published; reconciles to the published rate.</t>
        </is>
      </c>
    </row>
    <row r="2541" ht="13" customHeight="1">
      <c r="A2541" s="4" t="n">
        <v>3805</v>
      </c>
      <c r="B2541" s="5" t="inlineStr">
        <is>
          <t>IMG_0116</t>
        </is>
      </c>
      <c r="C2541" s="5" t="inlineStr">
        <is>
          <t>CLASS O: TIMBER</t>
        </is>
      </c>
      <c r="D2541" s="5" t="inlineStr">
        <is>
          <t>05 FITTINGS AND FASTENINGS</t>
        </is>
      </c>
      <c r="E2541" s="5" t="inlineStr">
        <is>
          <t>Stainless steel; Straps</t>
        </is>
      </c>
      <c r="F2541" s="5" t="inlineStr">
        <is>
          <t>30 x 2.5 x 1600 mm girth</t>
        </is>
      </c>
      <c r="G2541" s="6" t="inlineStr">
        <is>
          <t>nr</t>
        </is>
      </c>
      <c r="H2541" s="7" t="n">
        <v>0.15</v>
      </c>
      <c r="I2541" s="8" t="n">
        <v>8.6</v>
      </c>
      <c r="J2541" s="8" t="n">
        <v>0</v>
      </c>
      <c r="K2541" s="8" t="n">
        <v>8.140000000000001</v>
      </c>
      <c r="L2541" s="8" t="n">
        <v>0</v>
      </c>
      <c r="M2541" s="9">
        <f>ROUND(SUM(I2541:L2541),2)</f>
        <v/>
      </c>
      <c r="N2541" s="10">
        <f>ROUND(I2541*'Irish Basis'!$C$6*'Irish Basis'!$C$5,2)</f>
        <v/>
      </c>
      <c r="O2541" s="10">
        <f>ROUND(J2541*'Irish Basis'!$C$7*'Irish Basis'!$C$5,2)</f>
        <v/>
      </c>
      <c r="P2541" s="10">
        <f>ROUND(K2541*'Irish Basis'!$C$8*'Irish Basis'!$C$5,2)</f>
        <v/>
      </c>
      <c r="Q2541" s="10">
        <f>ROUND(L2541*'Irish Basis'!$C$12*'Irish Basis'!$C$5,2)</f>
        <v/>
      </c>
      <c r="R2541" s="11">
        <f>ROUND(SUM(N2541:Q2541),2)</f>
        <v/>
      </c>
      <c r="S2541" s="5" t="inlineStr">
        <is>
          <t>Stated build-up</t>
        </is>
      </c>
      <c r="T2541" s="12" t="inlineStr">
        <is>
          <t>High</t>
        </is>
      </c>
      <c r="U2541" s="8" t="n">
        <v>16.73</v>
      </c>
      <c r="V2541" s="13">
        <f>IF(U2541="","",ROUND(M2541-U2541,2))</f>
        <v/>
      </c>
      <c r="W2541" s="5" t="n"/>
      <c r="X2541" s="5" t="inlineStr">
        <is>
          <t>Labour + plant + material as published; reconciles to the published rate.</t>
        </is>
      </c>
    </row>
    <row r="2542" ht="13" customHeight="1">
      <c r="A2542" s="4" t="n">
        <v>3806</v>
      </c>
      <c r="B2542" s="5" t="inlineStr">
        <is>
          <t>IMG_0116</t>
        </is>
      </c>
      <c r="C2542" s="5" t="inlineStr">
        <is>
          <t>CLASS O: TIMBER</t>
        </is>
      </c>
      <c r="D2542" s="5" t="inlineStr">
        <is>
          <t>05 FITTINGS AND FASTENINGS</t>
        </is>
      </c>
      <c r="E2542" s="5" t="inlineStr">
        <is>
          <t>Stainless steel; Straps</t>
        </is>
      </c>
      <c r="F2542" s="5" t="inlineStr">
        <is>
          <t>30 x 2.5 x 1800 mm girth</t>
        </is>
      </c>
      <c r="G2542" s="6" t="inlineStr">
        <is>
          <t>nr</t>
        </is>
      </c>
      <c r="H2542" s="7" t="n">
        <v>0.15</v>
      </c>
      <c r="I2542" s="8" t="n">
        <v>8.6</v>
      </c>
      <c r="J2542" s="8" t="n">
        <v>0</v>
      </c>
      <c r="K2542" s="8" t="n">
        <v>9.15</v>
      </c>
      <c r="L2542" s="8" t="n">
        <v>0</v>
      </c>
      <c r="M2542" s="9">
        <f>ROUND(SUM(I2542:L2542),2)</f>
        <v/>
      </c>
      <c r="N2542" s="10">
        <f>ROUND(I2542*'Irish Basis'!$C$6*'Irish Basis'!$C$5,2)</f>
        <v/>
      </c>
      <c r="O2542" s="10">
        <f>ROUND(J2542*'Irish Basis'!$C$7*'Irish Basis'!$C$5,2)</f>
        <v/>
      </c>
      <c r="P2542" s="10">
        <f>ROUND(K2542*'Irish Basis'!$C$8*'Irish Basis'!$C$5,2)</f>
        <v/>
      </c>
      <c r="Q2542" s="10">
        <f>ROUND(L2542*'Irish Basis'!$C$12*'Irish Basis'!$C$5,2)</f>
        <v/>
      </c>
      <c r="R2542" s="11">
        <f>ROUND(SUM(N2542:Q2542),2)</f>
        <v/>
      </c>
      <c r="S2542" s="5" t="inlineStr">
        <is>
          <t>Stated build-up</t>
        </is>
      </c>
      <c r="T2542" s="12" t="inlineStr">
        <is>
          <t>High</t>
        </is>
      </c>
      <c r="U2542" s="8" t="n">
        <v>17.75</v>
      </c>
      <c r="V2542" s="13">
        <f>IF(U2542="","",ROUND(M2542-U2542,2))</f>
        <v/>
      </c>
      <c r="W2542" s="5" t="n"/>
      <c r="X2542" s="5" t="inlineStr">
        <is>
          <t>Labour + plant + material as published; reconciles to the published rate.</t>
        </is>
      </c>
    </row>
    <row r="2543" ht="13" customHeight="1">
      <c r="A2543" s="4" t="n">
        <v>3807</v>
      </c>
      <c r="B2543" s="5" t="inlineStr">
        <is>
          <t>IMG_0116</t>
        </is>
      </c>
      <c r="C2543" s="5" t="inlineStr">
        <is>
          <t>CLASS O: TIMBER</t>
        </is>
      </c>
      <c r="D2543" s="5" t="inlineStr">
        <is>
          <t>05 FITTINGS AND FASTENINGS</t>
        </is>
      </c>
      <c r="E2543" s="5" t="inlineStr">
        <is>
          <t>Stainless steel; Straps</t>
        </is>
      </c>
      <c r="F2543" s="5" t="inlineStr">
        <is>
          <t>30 x 5 x 600 mm girth</t>
        </is>
      </c>
      <c r="G2543" s="6" t="inlineStr">
        <is>
          <t>nr</t>
        </is>
      </c>
      <c r="H2543" s="7" t="n">
        <v>0.13</v>
      </c>
      <c r="I2543" s="8" t="n">
        <v>7.45</v>
      </c>
      <c r="J2543" s="8" t="n">
        <v>0</v>
      </c>
      <c r="K2543" s="8" t="n">
        <v>10.61</v>
      </c>
      <c r="L2543" s="8" t="n">
        <v>0</v>
      </c>
      <c r="M2543" s="9">
        <f>ROUND(SUM(I2543:L2543),2)</f>
        <v/>
      </c>
      <c r="N2543" s="10">
        <f>ROUND(I2543*'Irish Basis'!$C$6*'Irish Basis'!$C$5,2)</f>
        <v/>
      </c>
      <c r="O2543" s="10">
        <f>ROUND(J2543*'Irish Basis'!$C$7*'Irish Basis'!$C$5,2)</f>
        <v/>
      </c>
      <c r="P2543" s="10">
        <f>ROUND(K2543*'Irish Basis'!$C$8*'Irish Basis'!$C$5,2)</f>
        <v/>
      </c>
      <c r="Q2543" s="10">
        <f>ROUND(L2543*'Irish Basis'!$C$12*'Irish Basis'!$C$5,2)</f>
        <v/>
      </c>
      <c r="R2543" s="11">
        <f>ROUND(SUM(N2543:Q2543),2)</f>
        <v/>
      </c>
      <c r="S2543" s="5" t="inlineStr">
        <is>
          <t>Stated build-up</t>
        </is>
      </c>
      <c r="T2543" s="12" t="inlineStr">
        <is>
          <t>High</t>
        </is>
      </c>
      <c r="U2543" s="8" t="n">
        <v>18.06</v>
      </c>
      <c r="V2543" s="13">
        <f>IF(U2543="","",ROUND(M2543-U2543,2))</f>
        <v/>
      </c>
      <c r="W2543" s="5" t="n"/>
      <c r="X2543" s="5" t="inlineStr">
        <is>
          <t>Labour + plant + material as published; reconciles to the published rate.</t>
        </is>
      </c>
    </row>
    <row r="2544" ht="13" customHeight="1">
      <c r="A2544" s="4" t="n">
        <v>3808</v>
      </c>
      <c r="B2544" s="5" t="inlineStr">
        <is>
          <t>IMG_0116</t>
        </is>
      </c>
      <c r="C2544" s="5" t="inlineStr">
        <is>
          <t>CLASS O: TIMBER</t>
        </is>
      </c>
      <c r="D2544" s="5" t="inlineStr">
        <is>
          <t>05 FITTINGS AND FASTENINGS</t>
        </is>
      </c>
      <c r="E2544" s="5" t="inlineStr">
        <is>
          <t>Stainless steel; Straps</t>
        </is>
      </c>
      <c r="F2544" s="5" t="inlineStr">
        <is>
          <t>30 x 5 x 800 mm girth</t>
        </is>
      </c>
      <c r="G2544" s="6" t="inlineStr">
        <is>
          <t>nr</t>
        </is>
      </c>
      <c r="H2544" s="7" t="n">
        <v>0.13</v>
      </c>
      <c r="I2544" s="8" t="n">
        <v>7.45</v>
      </c>
      <c r="J2544" s="8" t="n">
        <v>0</v>
      </c>
      <c r="K2544" s="8" t="n">
        <v>14.01</v>
      </c>
      <c r="L2544" s="8" t="n">
        <v>0</v>
      </c>
      <c r="M2544" s="9">
        <f>ROUND(SUM(I2544:L2544),2)</f>
        <v/>
      </c>
      <c r="N2544" s="10">
        <f>ROUND(I2544*'Irish Basis'!$C$6*'Irish Basis'!$C$5,2)</f>
        <v/>
      </c>
      <c r="O2544" s="10">
        <f>ROUND(J2544*'Irish Basis'!$C$7*'Irish Basis'!$C$5,2)</f>
        <v/>
      </c>
      <c r="P2544" s="10">
        <f>ROUND(K2544*'Irish Basis'!$C$8*'Irish Basis'!$C$5,2)</f>
        <v/>
      </c>
      <c r="Q2544" s="10">
        <f>ROUND(L2544*'Irish Basis'!$C$12*'Irish Basis'!$C$5,2)</f>
        <v/>
      </c>
      <c r="R2544" s="11">
        <f>ROUND(SUM(N2544:Q2544),2)</f>
        <v/>
      </c>
      <c r="S2544" s="5" t="inlineStr">
        <is>
          <t>Stated build-up</t>
        </is>
      </c>
      <c r="T2544" s="12" t="inlineStr">
        <is>
          <t>High</t>
        </is>
      </c>
      <c r="U2544" s="8" t="n">
        <v>21.46</v>
      </c>
      <c r="V2544" s="13">
        <f>IF(U2544="","",ROUND(M2544-U2544,2))</f>
        <v/>
      </c>
      <c r="W2544" s="5" t="n"/>
      <c r="X2544" s="5" t="inlineStr">
        <is>
          <t>Labour + plant + material as published; reconciles to the published rate.</t>
        </is>
      </c>
    </row>
    <row r="2545" ht="13" customHeight="1">
      <c r="A2545" s="4" t="n">
        <v>3809</v>
      </c>
      <c r="B2545" s="5" t="inlineStr">
        <is>
          <t>IMG_0116</t>
        </is>
      </c>
      <c r="C2545" s="5" t="inlineStr">
        <is>
          <t>CLASS O: TIMBER</t>
        </is>
      </c>
      <c r="D2545" s="5" t="inlineStr">
        <is>
          <t>05 FITTINGS AND FASTENINGS</t>
        </is>
      </c>
      <c r="E2545" s="5" t="inlineStr">
        <is>
          <t>Stainless steel; Straps</t>
        </is>
      </c>
      <c r="F2545" s="5" t="inlineStr">
        <is>
          <t>30 x 5 x 1000 mm girth</t>
        </is>
      </c>
      <c r="G2545" s="6" t="inlineStr">
        <is>
          <t>nr</t>
        </is>
      </c>
      <c r="H2545" s="7" t="n">
        <v>0.13</v>
      </c>
      <c r="I2545" s="8" t="n">
        <v>7.45</v>
      </c>
      <c r="J2545" s="8" t="n">
        <v>0</v>
      </c>
      <c r="K2545" s="8" t="n">
        <v>10.23</v>
      </c>
      <c r="L2545" s="8" t="n">
        <v>0</v>
      </c>
      <c r="M2545" s="9">
        <f>ROUND(SUM(I2545:L2545),2)</f>
        <v/>
      </c>
      <c r="N2545" s="10">
        <f>ROUND(I2545*'Irish Basis'!$C$6*'Irish Basis'!$C$5,2)</f>
        <v/>
      </c>
      <c r="O2545" s="10">
        <f>ROUND(J2545*'Irish Basis'!$C$7*'Irish Basis'!$C$5,2)</f>
        <v/>
      </c>
      <c r="P2545" s="10">
        <f>ROUND(K2545*'Irish Basis'!$C$8*'Irish Basis'!$C$5,2)</f>
        <v/>
      </c>
      <c r="Q2545" s="10">
        <f>ROUND(L2545*'Irish Basis'!$C$12*'Irish Basis'!$C$5,2)</f>
        <v/>
      </c>
      <c r="R2545" s="11">
        <f>ROUND(SUM(N2545:Q2545),2)</f>
        <v/>
      </c>
      <c r="S2545" s="5" t="inlineStr">
        <is>
          <t>Stated build-up</t>
        </is>
      </c>
      <c r="T2545" s="12" t="inlineStr">
        <is>
          <t>High</t>
        </is>
      </c>
      <c r="U2545" s="8" t="n">
        <v>17.68</v>
      </c>
      <c r="V2545" s="13">
        <f>IF(U2545="","",ROUND(M2545-U2545,2))</f>
        <v/>
      </c>
      <c r="W2545" s="5" t="n"/>
      <c r="X2545" s="5" t="inlineStr">
        <is>
          <t>Labour + plant + material as published; reconciles to the published rate.</t>
        </is>
      </c>
    </row>
    <row r="2546" ht="13" customHeight="1">
      <c r="A2546" s="4" t="n">
        <v>3810</v>
      </c>
      <c r="B2546" s="5" t="inlineStr">
        <is>
          <t>IMG_0116</t>
        </is>
      </c>
      <c r="C2546" s="5" t="inlineStr">
        <is>
          <t>CLASS O: TIMBER</t>
        </is>
      </c>
      <c r="D2546" s="5" t="inlineStr">
        <is>
          <t>05 FITTINGS AND FASTENINGS</t>
        </is>
      </c>
      <c r="E2546" s="5" t="inlineStr">
        <is>
          <t>Stainless steel; Straps</t>
        </is>
      </c>
      <c r="F2546" s="5" t="inlineStr">
        <is>
          <t>30 x 5 x 1200 mm girth</t>
        </is>
      </c>
      <c r="G2546" s="6" t="inlineStr">
        <is>
          <t>nr</t>
        </is>
      </c>
      <c r="H2546" s="7" t="n">
        <v>0.15</v>
      </c>
      <c r="I2546" s="8" t="n">
        <v>8.6</v>
      </c>
      <c r="J2546" s="8" t="n">
        <v>0</v>
      </c>
      <c r="K2546" s="8" t="n">
        <v>12.18</v>
      </c>
      <c r="L2546" s="8" t="n">
        <v>0</v>
      </c>
      <c r="M2546" s="9">
        <f>ROUND(SUM(I2546:L2546),2)</f>
        <v/>
      </c>
      <c r="N2546" s="10">
        <f>ROUND(I2546*'Irish Basis'!$C$6*'Irish Basis'!$C$5,2)</f>
        <v/>
      </c>
      <c r="O2546" s="10">
        <f>ROUND(J2546*'Irish Basis'!$C$7*'Irish Basis'!$C$5,2)</f>
        <v/>
      </c>
      <c r="P2546" s="10">
        <f>ROUND(K2546*'Irish Basis'!$C$8*'Irish Basis'!$C$5,2)</f>
        <v/>
      </c>
      <c r="Q2546" s="10">
        <f>ROUND(L2546*'Irish Basis'!$C$12*'Irish Basis'!$C$5,2)</f>
        <v/>
      </c>
      <c r="R2546" s="11">
        <f>ROUND(SUM(N2546:Q2546),2)</f>
        <v/>
      </c>
      <c r="S2546" s="5" t="inlineStr">
        <is>
          <t>Stated build-up</t>
        </is>
      </c>
      <c r="T2546" s="12" t="inlineStr">
        <is>
          <t>High</t>
        </is>
      </c>
      <c r="U2546" s="8" t="n">
        <v>20.77</v>
      </c>
      <c r="V2546" s="13">
        <f>IF(U2546="","",ROUND(M2546-U2546,2))</f>
        <v/>
      </c>
      <c r="W2546" s="5" t="n"/>
      <c r="X2546" s="5" t="inlineStr">
        <is>
          <t>Labour + plant + material as published; reconciles to the published rate.</t>
        </is>
      </c>
    </row>
    <row r="2547" ht="13" customHeight="1">
      <c r="A2547" s="4" t="n">
        <v>3811</v>
      </c>
      <c r="B2547" s="5" t="inlineStr">
        <is>
          <t>IMG_0116</t>
        </is>
      </c>
      <c r="C2547" s="5" t="inlineStr">
        <is>
          <t>CLASS O: TIMBER</t>
        </is>
      </c>
      <c r="D2547" s="5" t="inlineStr">
        <is>
          <t>05 FITTINGS AND FASTENINGS</t>
        </is>
      </c>
      <c r="E2547" s="5" t="inlineStr">
        <is>
          <t>Stainless steel; Straps</t>
        </is>
      </c>
      <c r="F2547" s="5" t="inlineStr">
        <is>
          <t>30 x 5 x 1400 mm girth</t>
        </is>
      </c>
      <c r="G2547" s="6" t="inlineStr">
        <is>
          <t>nr</t>
        </is>
      </c>
      <c r="H2547" s="7" t="n">
        <v>0.13</v>
      </c>
      <c r="I2547" s="8" t="n">
        <v>7.45</v>
      </c>
      <c r="J2547" s="8" t="n">
        <v>0</v>
      </c>
      <c r="K2547" s="8" t="n">
        <v>14.27</v>
      </c>
      <c r="L2547" s="8" t="n">
        <v>0</v>
      </c>
      <c r="M2547" s="9">
        <f>ROUND(SUM(I2547:L2547),2)</f>
        <v/>
      </c>
      <c r="N2547" s="10">
        <f>ROUND(I2547*'Irish Basis'!$C$6*'Irish Basis'!$C$5,2)</f>
        <v/>
      </c>
      <c r="O2547" s="10">
        <f>ROUND(J2547*'Irish Basis'!$C$7*'Irish Basis'!$C$5,2)</f>
        <v/>
      </c>
      <c r="P2547" s="10">
        <f>ROUND(K2547*'Irish Basis'!$C$8*'Irish Basis'!$C$5,2)</f>
        <v/>
      </c>
      <c r="Q2547" s="10">
        <f>ROUND(L2547*'Irish Basis'!$C$12*'Irish Basis'!$C$5,2)</f>
        <v/>
      </c>
      <c r="R2547" s="11">
        <f>ROUND(SUM(N2547:Q2547),2)</f>
        <v/>
      </c>
      <c r="S2547" s="5" t="inlineStr">
        <is>
          <t>Stated build-up</t>
        </is>
      </c>
      <c r="T2547" s="12" t="inlineStr">
        <is>
          <t>High</t>
        </is>
      </c>
      <c r="U2547" s="8" t="n">
        <v>21.72</v>
      </c>
      <c r="V2547" s="13">
        <f>IF(U2547="","",ROUND(M2547-U2547,2))</f>
        <v/>
      </c>
      <c r="W2547" s="5" t="n"/>
      <c r="X2547" s="5" t="inlineStr">
        <is>
          <t>Labour + plant + material as published; reconciles to the published rate.</t>
        </is>
      </c>
    </row>
    <row r="2548" ht="13" customHeight="1">
      <c r="A2548" s="4" t="n">
        <v>3812</v>
      </c>
      <c r="B2548" s="5" t="inlineStr">
        <is>
          <t>IMG_0116</t>
        </is>
      </c>
      <c r="C2548" s="5" t="inlineStr">
        <is>
          <t>CLASS O: TIMBER</t>
        </is>
      </c>
      <c r="D2548" s="5" t="inlineStr">
        <is>
          <t>05 FITTINGS AND FASTENINGS</t>
        </is>
      </c>
      <c r="E2548" s="5" t="inlineStr">
        <is>
          <t>Stainless steel; Straps</t>
        </is>
      </c>
      <c r="F2548" s="5" t="inlineStr">
        <is>
          <t>30 x 5 x 1600 mm girth</t>
        </is>
      </c>
      <c r="G2548" s="6" t="inlineStr">
        <is>
          <t>nr</t>
        </is>
      </c>
      <c r="H2548" s="7" t="n">
        <v>0.15</v>
      </c>
      <c r="I2548" s="8" t="n">
        <v>8.6</v>
      </c>
      <c r="J2548" s="8" t="n">
        <v>0</v>
      </c>
      <c r="K2548" s="8" t="n">
        <v>16.2</v>
      </c>
      <c r="L2548" s="8" t="n">
        <v>0</v>
      </c>
      <c r="M2548" s="9">
        <f>ROUND(SUM(I2548:L2548),2)</f>
        <v/>
      </c>
      <c r="N2548" s="10">
        <f>ROUND(I2548*'Irish Basis'!$C$6*'Irish Basis'!$C$5,2)</f>
        <v/>
      </c>
      <c r="O2548" s="10">
        <f>ROUND(J2548*'Irish Basis'!$C$7*'Irish Basis'!$C$5,2)</f>
        <v/>
      </c>
      <c r="P2548" s="10">
        <f>ROUND(K2548*'Irish Basis'!$C$8*'Irish Basis'!$C$5,2)</f>
        <v/>
      </c>
      <c r="Q2548" s="10">
        <f>ROUND(L2548*'Irish Basis'!$C$12*'Irish Basis'!$C$5,2)</f>
        <v/>
      </c>
      <c r="R2548" s="11">
        <f>ROUND(SUM(N2548:Q2548),2)</f>
        <v/>
      </c>
      <c r="S2548" s="5" t="inlineStr">
        <is>
          <t>Stated build-up</t>
        </is>
      </c>
      <c r="T2548" s="12" t="inlineStr">
        <is>
          <t>High</t>
        </is>
      </c>
      <c r="U2548" s="8" t="n">
        <v>24.8</v>
      </c>
      <c r="V2548" s="13">
        <f>IF(U2548="","",ROUND(M2548-U2548,2))</f>
        <v/>
      </c>
      <c r="W2548" s="5" t="n"/>
      <c r="X2548" s="5" t="inlineStr">
        <is>
          <t>Labour + plant + material as published; reconciles to the published rate.</t>
        </is>
      </c>
    </row>
    <row r="2549" ht="13" customHeight="1">
      <c r="A2549" s="4" t="n">
        <v>3813</v>
      </c>
      <c r="B2549" s="5" t="inlineStr">
        <is>
          <t>IMG_0116</t>
        </is>
      </c>
      <c r="C2549" s="5" t="inlineStr">
        <is>
          <t>CLASS O: TIMBER</t>
        </is>
      </c>
      <c r="D2549" s="5" t="inlineStr">
        <is>
          <t>05 FITTINGS AND FASTENINGS</t>
        </is>
      </c>
      <c r="E2549" s="5" t="inlineStr">
        <is>
          <t>Stainless steel; Straps</t>
        </is>
      </c>
      <c r="F2549" s="5" t="inlineStr">
        <is>
          <t>30 x 5 x 1800 mm girth</t>
        </is>
      </c>
      <c r="G2549" s="6" t="inlineStr">
        <is>
          <t>nr</t>
        </is>
      </c>
      <c r="H2549" s="7" t="n">
        <v>0.15</v>
      </c>
      <c r="I2549" s="8" t="n">
        <v>8.6</v>
      </c>
      <c r="J2549" s="8" t="n">
        <v>0</v>
      </c>
      <c r="K2549" s="8" t="n">
        <v>18.21</v>
      </c>
      <c r="L2549" s="8" t="n">
        <v>0</v>
      </c>
      <c r="M2549" s="9">
        <f>ROUND(SUM(I2549:L2549),2)</f>
        <v/>
      </c>
      <c r="N2549" s="10">
        <f>ROUND(I2549*'Irish Basis'!$C$6*'Irish Basis'!$C$5,2)</f>
        <v/>
      </c>
      <c r="O2549" s="10">
        <f>ROUND(J2549*'Irish Basis'!$C$7*'Irish Basis'!$C$5,2)</f>
        <v/>
      </c>
      <c r="P2549" s="10">
        <f>ROUND(K2549*'Irish Basis'!$C$8*'Irish Basis'!$C$5,2)</f>
        <v/>
      </c>
      <c r="Q2549" s="10">
        <f>ROUND(L2549*'Irish Basis'!$C$12*'Irish Basis'!$C$5,2)</f>
        <v/>
      </c>
      <c r="R2549" s="11">
        <f>ROUND(SUM(N2549:Q2549),2)</f>
        <v/>
      </c>
      <c r="S2549" s="5" t="inlineStr">
        <is>
          <t>Stated build-up</t>
        </is>
      </c>
      <c r="T2549" s="12" t="inlineStr">
        <is>
          <t>High</t>
        </is>
      </c>
      <c r="U2549" s="8" t="n">
        <v>26.81</v>
      </c>
      <c r="V2549" s="13">
        <f>IF(U2549="","",ROUND(M2549-U2549,2))</f>
        <v/>
      </c>
      <c r="W2549" s="5" t="n"/>
      <c r="X2549" s="5" t="inlineStr">
        <is>
          <t>Labour + plant + material as published; reconciles to the published rate.</t>
        </is>
      </c>
    </row>
    <row r="2550" ht="13" customHeight="1">
      <c r="A2550" s="4" t="n">
        <v>3815</v>
      </c>
      <c r="B2550" s="5" t="inlineStr">
        <is>
          <t>IMG_0116</t>
        </is>
      </c>
      <c r="C2550" s="5" t="inlineStr">
        <is>
          <t>CLASS O: TIMBER</t>
        </is>
      </c>
      <c r="D2550" s="5" t="inlineStr">
        <is>
          <t>05 FITTINGS AND FASTENINGS</t>
        </is>
      </c>
      <c r="E2550" s="5" t="inlineStr">
        <is>
          <t>Coach screws</t>
        </is>
      </c>
      <c r="F2550" s="5" t="inlineStr">
        <is>
          <t>5.0 mm dia. x 75 mm long</t>
        </is>
      </c>
      <c r="G2550" s="6" t="inlineStr">
        <is>
          <t>nr</t>
        </is>
      </c>
      <c r="H2550" s="7" t="n">
        <v>0.04</v>
      </c>
      <c r="I2550" s="8" t="n">
        <v>2.29</v>
      </c>
      <c r="J2550" s="8" t="n">
        <v>0</v>
      </c>
      <c r="K2550" s="8" t="n">
        <v>0</v>
      </c>
      <c r="L2550" s="8" t="n">
        <v>0</v>
      </c>
      <c r="M2550" s="9">
        <f>ROUND(SUM(I2550:L2550),2)</f>
        <v/>
      </c>
      <c r="N2550" s="10">
        <f>ROUND(I2550*'Irish Basis'!$C$6*'Irish Basis'!$C$5,2)</f>
        <v/>
      </c>
      <c r="O2550" s="10">
        <f>ROUND(J2550*'Irish Basis'!$C$7*'Irish Basis'!$C$5,2)</f>
        <v/>
      </c>
      <c r="P2550" s="10">
        <f>ROUND(K2550*'Irish Basis'!$C$8*'Irish Basis'!$C$5,2)</f>
        <v/>
      </c>
      <c r="Q2550" s="10">
        <f>ROUND(L2550*'Irish Basis'!$C$12*'Irish Basis'!$C$5,2)</f>
        <v/>
      </c>
      <c r="R2550" s="11">
        <f>ROUND(SUM(N2550:Q2550),2)</f>
        <v/>
      </c>
      <c r="S2550" s="5" t="inlineStr">
        <is>
          <t>Stated build-up</t>
        </is>
      </c>
      <c r="T2550" s="12" t="inlineStr">
        <is>
          <t>High</t>
        </is>
      </c>
      <c r="U2550" s="8" t="n">
        <v>2.3</v>
      </c>
      <c r="V2550" s="13">
        <f>IF(U2550="","",ROUND(M2550-U2550,2))</f>
        <v/>
      </c>
      <c r="W2550" s="5" t="n"/>
      <c r="X2550" s="5" t="inlineStr">
        <is>
          <t>Labour + plant + material as published; reconciles to the published rate.</t>
        </is>
      </c>
    </row>
    <row r="2551" ht="13" customHeight="1">
      <c r="A2551" s="4" t="n">
        <v>3816</v>
      </c>
      <c r="B2551" s="5" t="inlineStr">
        <is>
          <t>IMG_0116</t>
        </is>
      </c>
      <c r="C2551" s="5" t="inlineStr">
        <is>
          <t>CLASS O: TIMBER</t>
        </is>
      </c>
      <c r="D2551" s="5" t="inlineStr">
        <is>
          <t>05 FITTINGS AND FASTENINGS</t>
        </is>
      </c>
      <c r="E2551" s="5" t="inlineStr">
        <is>
          <t>Coach screws</t>
        </is>
      </c>
      <c r="F2551" s="5" t="inlineStr">
        <is>
          <t>7.0 mm dia. x 105 mm long</t>
        </is>
      </c>
      <c r="G2551" s="6" t="inlineStr">
        <is>
          <t>nr</t>
        </is>
      </c>
      <c r="H2551" s="7" t="n">
        <v>0.05</v>
      </c>
      <c r="I2551" s="8" t="n">
        <v>2.87</v>
      </c>
      <c r="J2551" s="8" t="n">
        <v>0</v>
      </c>
      <c r="K2551" s="8" t="n">
        <v>0</v>
      </c>
      <c r="L2551" s="8" t="n">
        <v>0</v>
      </c>
      <c r="M2551" s="9">
        <f>ROUND(SUM(I2551:L2551),2)</f>
        <v/>
      </c>
      <c r="N2551" s="10">
        <f>ROUND(I2551*'Irish Basis'!$C$6*'Irish Basis'!$C$5,2)</f>
        <v/>
      </c>
      <c r="O2551" s="10">
        <f>ROUND(J2551*'Irish Basis'!$C$7*'Irish Basis'!$C$5,2)</f>
        <v/>
      </c>
      <c r="P2551" s="10">
        <f>ROUND(K2551*'Irish Basis'!$C$8*'Irish Basis'!$C$5,2)</f>
        <v/>
      </c>
      <c r="Q2551" s="10">
        <f>ROUND(L2551*'Irish Basis'!$C$12*'Irish Basis'!$C$5,2)</f>
        <v/>
      </c>
      <c r="R2551" s="11">
        <f>ROUND(SUM(N2551:Q2551),2)</f>
        <v/>
      </c>
      <c r="S2551" s="5" t="inlineStr">
        <is>
          <t>Stated build-up</t>
        </is>
      </c>
      <c r="T2551" s="12" t="inlineStr">
        <is>
          <t>High</t>
        </is>
      </c>
      <c r="U2551" s="8" t="n">
        <v>2.87</v>
      </c>
      <c r="V2551" s="13">
        <f>IF(U2551="","",ROUND(M2551-U2551,2))</f>
        <v/>
      </c>
      <c r="W2551" s="5" t="n"/>
      <c r="X2551" s="5" t="inlineStr">
        <is>
          <t>Labour + plant + material as published; reconciles to the published rate.</t>
        </is>
      </c>
    </row>
    <row r="2552" ht="13" customHeight="1">
      <c r="A2552" s="4" t="n">
        <v>3817</v>
      </c>
      <c r="B2552" s="5" t="inlineStr">
        <is>
          <t>IMG_0116</t>
        </is>
      </c>
      <c r="C2552" s="5" t="inlineStr">
        <is>
          <t>CLASS O: TIMBER</t>
        </is>
      </c>
      <c r="D2552" s="5" t="inlineStr">
        <is>
          <t>05 FITTINGS AND FASTENINGS</t>
        </is>
      </c>
      <c r="E2552" s="5" t="inlineStr">
        <is>
          <t>Coach screws</t>
        </is>
      </c>
      <c r="F2552" s="5" t="inlineStr">
        <is>
          <t>7.0 mm dia. x 140 mm long</t>
        </is>
      </c>
      <c r="G2552" s="6" t="inlineStr">
        <is>
          <t>nr</t>
        </is>
      </c>
      <c r="H2552" s="7" t="n">
        <v>0.06</v>
      </c>
      <c r="I2552" s="8" t="n">
        <v>3.44</v>
      </c>
      <c r="J2552" s="8" t="n">
        <v>0</v>
      </c>
      <c r="K2552" s="8" t="n">
        <v>0</v>
      </c>
      <c r="L2552" s="8" t="n">
        <v>0</v>
      </c>
      <c r="M2552" s="9">
        <f>ROUND(SUM(I2552:L2552),2)</f>
        <v/>
      </c>
      <c r="N2552" s="10">
        <f>ROUND(I2552*'Irish Basis'!$C$6*'Irish Basis'!$C$5,2)</f>
        <v/>
      </c>
      <c r="O2552" s="10">
        <f>ROUND(J2552*'Irish Basis'!$C$7*'Irish Basis'!$C$5,2)</f>
        <v/>
      </c>
      <c r="P2552" s="10">
        <f>ROUND(K2552*'Irish Basis'!$C$8*'Irish Basis'!$C$5,2)</f>
        <v/>
      </c>
      <c r="Q2552" s="10">
        <f>ROUND(L2552*'Irish Basis'!$C$12*'Irish Basis'!$C$5,2)</f>
        <v/>
      </c>
      <c r="R2552" s="11">
        <f>ROUND(SUM(N2552:Q2552),2)</f>
        <v/>
      </c>
      <c r="S2552" s="5" t="inlineStr">
        <is>
          <t>Stated build-up</t>
        </is>
      </c>
      <c r="T2552" s="12" t="inlineStr">
        <is>
          <t>High</t>
        </is>
      </c>
      <c r="U2552" s="8" t="n">
        <v>3.44</v>
      </c>
      <c r="V2552" s="13">
        <f>IF(U2552="","",ROUND(M2552-U2552,2))</f>
        <v/>
      </c>
      <c r="W2552" s="5" t="n"/>
      <c r="X2552" s="5" t="inlineStr">
        <is>
          <t>Labour + plant + material as published; reconciles to the published rate.</t>
        </is>
      </c>
    </row>
    <row r="2553" ht="13" customHeight="1">
      <c r="A2553" s="4" t="n">
        <v>3818</v>
      </c>
      <c r="B2553" s="5" t="inlineStr">
        <is>
          <t>IMG_0116</t>
        </is>
      </c>
      <c r="C2553" s="5" t="inlineStr">
        <is>
          <t>CLASS O: TIMBER</t>
        </is>
      </c>
      <c r="D2553" s="5" t="inlineStr">
        <is>
          <t>05 FITTINGS AND FASTENINGS</t>
        </is>
      </c>
      <c r="E2553" s="5" t="inlineStr">
        <is>
          <t>Coach screws</t>
        </is>
      </c>
      <c r="F2553" s="5" t="inlineStr">
        <is>
          <t>10.0 mm dia. x 95 mm long</t>
        </is>
      </c>
      <c r="G2553" s="6" t="inlineStr">
        <is>
          <t>nr</t>
        </is>
      </c>
      <c r="H2553" s="7" t="n">
        <v>0.06</v>
      </c>
      <c r="I2553" s="8" t="n">
        <v>3.44</v>
      </c>
      <c r="J2553" s="8" t="n">
        <v>0</v>
      </c>
      <c r="K2553" s="8" t="n">
        <v>0.01</v>
      </c>
      <c r="L2553" s="8" t="n">
        <v>0</v>
      </c>
      <c r="M2553" s="9">
        <f>ROUND(SUM(I2553:L2553),2)</f>
        <v/>
      </c>
      <c r="N2553" s="10">
        <f>ROUND(I2553*'Irish Basis'!$C$6*'Irish Basis'!$C$5,2)</f>
        <v/>
      </c>
      <c r="O2553" s="10">
        <f>ROUND(J2553*'Irish Basis'!$C$7*'Irish Basis'!$C$5,2)</f>
        <v/>
      </c>
      <c r="P2553" s="10">
        <f>ROUND(K2553*'Irish Basis'!$C$8*'Irish Basis'!$C$5,2)</f>
        <v/>
      </c>
      <c r="Q2553" s="10">
        <f>ROUND(L2553*'Irish Basis'!$C$12*'Irish Basis'!$C$5,2)</f>
        <v/>
      </c>
      <c r="R2553" s="11">
        <f>ROUND(SUM(N2553:Q2553),2)</f>
        <v/>
      </c>
      <c r="S2553" s="5" t="inlineStr">
        <is>
          <t>Stated build-up</t>
        </is>
      </c>
      <c r="T2553" s="12" t="inlineStr">
        <is>
          <t>High</t>
        </is>
      </c>
      <c r="U2553" s="8" t="n">
        <v>3.45</v>
      </c>
      <c r="V2553" s="13">
        <f>IF(U2553="","",ROUND(M2553-U2553,2))</f>
        <v/>
      </c>
      <c r="W2553" s="5" t="n"/>
      <c r="X2553" s="5" t="inlineStr">
        <is>
          <t>Labour + plant + material as published; reconciles to the published rate.</t>
        </is>
      </c>
    </row>
    <row r="2554" ht="13" customHeight="1">
      <c r="A2554" s="4" t="n">
        <v>3819</v>
      </c>
      <c r="B2554" s="5" t="inlineStr">
        <is>
          <t>IMG_0116</t>
        </is>
      </c>
      <c r="C2554" s="5" t="inlineStr">
        <is>
          <t>CLASS O: TIMBER</t>
        </is>
      </c>
      <c r="D2554" s="5" t="inlineStr">
        <is>
          <t>05 FITTINGS AND FASTENINGS</t>
        </is>
      </c>
      <c r="E2554" s="5" t="inlineStr">
        <is>
          <t>Coach screws</t>
        </is>
      </c>
      <c r="F2554" s="5" t="inlineStr">
        <is>
          <t>10.0 mm dia. x 165 mm long</t>
        </is>
      </c>
      <c r="G2554" s="6" t="inlineStr">
        <is>
          <t>nr</t>
        </is>
      </c>
      <c r="H2554" s="7" t="n">
        <v>0.07000000000000001</v>
      </c>
      <c r="I2554" s="8" t="n">
        <v>4.01</v>
      </c>
      <c r="J2554" s="8" t="n">
        <v>0</v>
      </c>
      <c r="K2554" s="8" t="n">
        <v>0.01</v>
      </c>
      <c r="L2554" s="8" t="n">
        <v>0</v>
      </c>
      <c r="M2554" s="9">
        <f>ROUND(SUM(I2554:L2554),2)</f>
        <v/>
      </c>
      <c r="N2554" s="10">
        <f>ROUND(I2554*'Irish Basis'!$C$6*'Irish Basis'!$C$5,2)</f>
        <v/>
      </c>
      <c r="O2554" s="10">
        <f>ROUND(J2554*'Irish Basis'!$C$7*'Irish Basis'!$C$5,2)</f>
        <v/>
      </c>
      <c r="P2554" s="10">
        <f>ROUND(K2554*'Irish Basis'!$C$8*'Irish Basis'!$C$5,2)</f>
        <v/>
      </c>
      <c r="Q2554" s="10">
        <f>ROUND(L2554*'Irish Basis'!$C$12*'Irish Basis'!$C$5,2)</f>
        <v/>
      </c>
      <c r="R2554" s="11">
        <f>ROUND(SUM(N2554:Q2554),2)</f>
        <v/>
      </c>
      <c r="S2554" s="5" t="inlineStr">
        <is>
          <t>Stated build-up</t>
        </is>
      </c>
      <c r="T2554" s="12" t="inlineStr">
        <is>
          <t>High</t>
        </is>
      </c>
      <c r="U2554" s="8" t="n">
        <v>4.03</v>
      </c>
      <c r="V2554" s="13">
        <f>IF(U2554="","",ROUND(M2554-U2554,2))</f>
        <v/>
      </c>
      <c r="W2554" s="5" t="n"/>
      <c r="X2554" s="5" t="inlineStr">
        <is>
          <t>Labour + plant + material as published; reconciles to the published rate.</t>
        </is>
      </c>
    </row>
    <row r="2555" ht="13" customHeight="1">
      <c r="A2555" s="4" t="n">
        <v>3821</v>
      </c>
      <c r="B2555" s="5" t="inlineStr">
        <is>
          <t>IMG_0116</t>
        </is>
      </c>
      <c r="C2555" s="5" t="inlineStr">
        <is>
          <t>CLASS O: TIMBER</t>
        </is>
      </c>
      <c r="D2555" s="5" t="inlineStr">
        <is>
          <t>05 FITTINGS AND FASTENINGS</t>
        </is>
      </c>
      <c r="E2555" s="5" t="inlineStr">
        <is>
          <t>Timber connectors; round toothed plate, single sided for 10 mm or 12 mm bolts (stainless steel)</t>
        </is>
      </c>
      <c r="F2555" s="5" t="inlineStr">
        <is>
          <t>38 mm dia.</t>
        </is>
      </c>
      <c r="G2555" s="6" t="inlineStr">
        <is>
          <t>nr</t>
        </is>
      </c>
      <c r="H2555" s="7" t="n">
        <v>0.01</v>
      </c>
      <c r="I2555" s="8" t="n">
        <v>0.29</v>
      </c>
      <c r="J2555" s="8" t="n">
        <v>0</v>
      </c>
      <c r="K2555" s="8" t="n">
        <v>4.2</v>
      </c>
      <c r="L2555" s="8" t="n">
        <v>0</v>
      </c>
      <c r="M2555" s="9">
        <f>ROUND(SUM(I2555:L2555),2)</f>
        <v/>
      </c>
      <c r="N2555" s="10">
        <f>ROUND(I2555*'Irish Basis'!$C$6*'Irish Basis'!$C$5,2)</f>
        <v/>
      </c>
      <c r="O2555" s="10">
        <f>ROUND(J2555*'Irish Basis'!$C$7*'Irish Basis'!$C$5,2)</f>
        <v/>
      </c>
      <c r="P2555" s="10">
        <f>ROUND(K2555*'Irish Basis'!$C$8*'Irish Basis'!$C$5,2)</f>
        <v/>
      </c>
      <c r="Q2555" s="10">
        <f>ROUND(L2555*'Irish Basis'!$C$12*'Irish Basis'!$C$5,2)</f>
        <v/>
      </c>
      <c r="R2555" s="11">
        <f>ROUND(SUM(N2555:Q2555),2)</f>
        <v/>
      </c>
      <c r="S2555" s="5" t="inlineStr">
        <is>
          <t>Stated build-up</t>
        </is>
      </c>
      <c r="T2555" s="12" t="inlineStr">
        <is>
          <t>High</t>
        </is>
      </c>
      <c r="U2555" s="8" t="n">
        <v>4.48</v>
      </c>
      <c r="V2555" s="13">
        <f>IF(U2555="","",ROUND(M2555-U2555,2))</f>
        <v/>
      </c>
      <c r="W2555" s="5" t="n"/>
      <c r="X2555" s="5" t="inlineStr">
        <is>
          <t>Labour + plant + material as published; reconciles to the published rate.</t>
        </is>
      </c>
    </row>
    <row r="2556" ht="13" customHeight="1">
      <c r="A2556" s="4" t="n">
        <v>3822</v>
      </c>
      <c r="B2556" s="5" t="inlineStr">
        <is>
          <t>IMG_0116</t>
        </is>
      </c>
      <c r="C2556" s="5" t="inlineStr">
        <is>
          <t>CLASS O: TIMBER</t>
        </is>
      </c>
      <c r="D2556" s="5" t="inlineStr">
        <is>
          <t>05 FITTINGS AND FASTENINGS</t>
        </is>
      </c>
      <c r="E2556" s="5" t="inlineStr">
        <is>
          <t>Timber connectors; round toothed plate, single sided for 10 mm or 12 mm bolts (stainless steel)</t>
        </is>
      </c>
      <c r="F2556" s="5" t="inlineStr">
        <is>
          <t>50 mm dia.</t>
        </is>
      </c>
      <c r="G2556" s="6" t="inlineStr">
        <is>
          <t>nr</t>
        </is>
      </c>
      <c r="H2556" s="7" t="n">
        <v>0.01</v>
      </c>
      <c r="I2556" s="8" t="n">
        <v>0.29</v>
      </c>
      <c r="J2556" s="8" t="n">
        <v>0</v>
      </c>
      <c r="K2556" s="8" t="n">
        <v>4.37</v>
      </c>
      <c r="L2556" s="8" t="n">
        <v>0</v>
      </c>
      <c r="M2556" s="9">
        <f>ROUND(SUM(I2556:L2556),2)</f>
        <v/>
      </c>
      <c r="N2556" s="10">
        <f>ROUND(I2556*'Irish Basis'!$C$6*'Irish Basis'!$C$5,2)</f>
        <v/>
      </c>
      <c r="O2556" s="10">
        <f>ROUND(J2556*'Irish Basis'!$C$7*'Irish Basis'!$C$5,2)</f>
        <v/>
      </c>
      <c r="P2556" s="10">
        <f>ROUND(K2556*'Irish Basis'!$C$8*'Irish Basis'!$C$5,2)</f>
        <v/>
      </c>
      <c r="Q2556" s="10">
        <f>ROUND(L2556*'Irish Basis'!$C$12*'Irish Basis'!$C$5,2)</f>
        <v/>
      </c>
      <c r="R2556" s="11">
        <f>ROUND(SUM(N2556:Q2556),2)</f>
        <v/>
      </c>
      <c r="S2556" s="5" t="inlineStr">
        <is>
          <t>Stated build-up</t>
        </is>
      </c>
      <c r="T2556" s="12" t="inlineStr">
        <is>
          <t>High</t>
        </is>
      </c>
      <c r="U2556" s="8" t="n">
        <v>4.65</v>
      </c>
      <c r="V2556" s="13">
        <f>IF(U2556="","",ROUND(M2556-U2556,2))</f>
        <v/>
      </c>
      <c r="W2556" s="5" t="n"/>
      <c r="X2556" s="5" t="inlineStr">
        <is>
          <t>Labour + plant + material as published; reconciles to the published rate.</t>
        </is>
      </c>
    </row>
    <row r="2557" ht="13" customHeight="1">
      <c r="A2557" s="4" t="n">
        <v>3824</v>
      </c>
      <c r="B2557" s="5" t="inlineStr">
        <is>
          <t>IMG_0117</t>
        </is>
      </c>
      <c r="C2557" s="5" t="inlineStr">
        <is>
          <t>CLASS O: TIMBER</t>
        </is>
      </c>
      <c r="D2557" s="5" t="inlineStr">
        <is>
          <t>05 FITTINGS AND FASTENINGS</t>
        </is>
      </c>
      <c r="E2557" s="5" t="inlineStr">
        <is>
          <t>Stainless steel; Timber connectors; round toothed plate, single sided (continued)</t>
        </is>
      </c>
      <c r="F2557" s="5" t="inlineStr">
        <is>
          <t>63 mm dia.</t>
        </is>
      </c>
      <c r="G2557" s="6" t="inlineStr">
        <is>
          <t>nr</t>
        </is>
      </c>
      <c r="H2557" s="7" t="n">
        <v>0.01</v>
      </c>
      <c r="I2557" s="8" t="n">
        <v>0.46</v>
      </c>
      <c r="J2557" s="8" t="n">
        <v>0</v>
      </c>
      <c r="K2557" s="8" t="n">
        <v>5</v>
      </c>
      <c r="L2557" s="8" t="n">
        <v>0</v>
      </c>
      <c r="M2557" s="9">
        <f>ROUND(SUM(I2557:L2557),2)</f>
        <v/>
      </c>
      <c r="N2557" s="10">
        <f>ROUND(I2557*'Irish Basis'!$C$6*'Irish Basis'!$C$5,2)</f>
        <v/>
      </c>
      <c r="O2557" s="10">
        <f>ROUND(J2557*'Irish Basis'!$C$7*'Irish Basis'!$C$5,2)</f>
        <v/>
      </c>
      <c r="P2557" s="10">
        <f>ROUND(K2557*'Irish Basis'!$C$8*'Irish Basis'!$C$5,2)</f>
        <v/>
      </c>
      <c r="Q2557" s="10">
        <f>ROUND(L2557*'Irish Basis'!$C$12*'Irish Basis'!$C$5,2)</f>
        <v/>
      </c>
      <c r="R2557" s="11">
        <f>ROUND(SUM(N2557:Q2557),2)</f>
        <v/>
      </c>
      <c r="S2557" s="5" t="inlineStr">
        <is>
          <t>Stated build-up</t>
        </is>
      </c>
      <c r="T2557" s="12" t="inlineStr">
        <is>
          <t>High</t>
        </is>
      </c>
      <c r="U2557" s="8" t="n">
        <v>5.46</v>
      </c>
      <c r="V2557" s="13">
        <f>IF(U2557="","",ROUND(M2557-U2557,2))</f>
        <v/>
      </c>
      <c r="W2557" s="5" t="n"/>
      <c r="X2557" s="5" t="inlineStr">
        <is>
          <t>Labour + plant + material as published; reconciles to the published rate.</t>
        </is>
      </c>
    </row>
    <row r="2558" ht="13" customHeight="1">
      <c r="A2558" s="4" t="n">
        <v>3825</v>
      </c>
      <c r="B2558" s="5" t="inlineStr">
        <is>
          <t>IMG_0117</t>
        </is>
      </c>
      <c r="C2558" s="5" t="inlineStr">
        <is>
          <t>CLASS O: TIMBER</t>
        </is>
      </c>
      <c r="D2558" s="5" t="inlineStr">
        <is>
          <t>05 FITTINGS AND FASTENINGS</t>
        </is>
      </c>
      <c r="E2558" s="5" t="inlineStr">
        <is>
          <t>Stainless steel; Timber connectors; round toothed plate, single sided (continued)</t>
        </is>
      </c>
      <c r="F2558" s="5" t="inlineStr">
        <is>
          <t>75 mm dia.</t>
        </is>
      </c>
      <c r="G2558" s="6" t="inlineStr">
        <is>
          <t>nr</t>
        </is>
      </c>
      <c r="H2558" s="7" t="n">
        <v>0.01</v>
      </c>
      <c r="I2558" s="8" t="n">
        <v>0.46</v>
      </c>
      <c r="J2558" s="8" t="n">
        <v>0</v>
      </c>
      <c r="K2558" s="8" t="n">
        <v>5.55</v>
      </c>
      <c r="L2558" s="8" t="n">
        <v>0</v>
      </c>
      <c r="M2558" s="9">
        <f>ROUND(SUM(I2558:L2558),2)</f>
        <v/>
      </c>
      <c r="N2558" s="10">
        <f>ROUND(I2558*'Irish Basis'!$C$6*'Irish Basis'!$C$5,2)</f>
        <v/>
      </c>
      <c r="O2558" s="10">
        <f>ROUND(J2558*'Irish Basis'!$C$7*'Irish Basis'!$C$5,2)</f>
        <v/>
      </c>
      <c r="P2558" s="10">
        <f>ROUND(K2558*'Irish Basis'!$C$8*'Irish Basis'!$C$5,2)</f>
        <v/>
      </c>
      <c r="Q2558" s="10">
        <f>ROUND(L2558*'Irish Basis'!$C$12*'Irish Basis'!$C$5,2)</f>
        <v/>
      </c>
      <c r="R2558" s="11">
        <f>ROUND(SUM(N2558:Q2558),2)</f>
        <v/>
      </c>
      <c r="S2558" s="5" t="inlineStr">
        <is>
          <t>Stated build-up</t>
        </is>
      </c>
      <c r="T2558" s="12" t="inlineStr">
        <is>
          <t>High</t>
        </is>
      </c>
      <c r="U2558" s="8" t="n">
        <v>6.01</v>
      </c>
      <c r="V2558" s="13">
        <f>IF(U2558="","",ROUND(M2558-U2558,2))</f>
        <v/>
      </c>
      <c r="W2558" s="5" t="n"/>
      <c r="X2558" s="5" t="inlineStr">
        <is>
          <t>Labour + plant + material as published; reconciles to the published rate.</t>
        </is>
      </c>
    </row>
    <row r="2559" ht="13" customHeight="1">
      <c r="A2559" s="4" t="n">
        <v>3827</v>
      </c>
      <c r="B2559" s="5" t="inlineStr">
        <is>
          <t>IMG_0117</t>
        </is>
      </c>
      <c r="C2559" s="5" t="inlineStr">
        <is>
          <t>CLASS O: TIMBER</t>
        </is>
      </c>
      <c r="D2559" s="5" t="inlineStr">
        <is>
          <t>05 FITTINGS AND FASTENINGS</t>
        </is>
      </c>
      <c r="E2559" s="5" t="inlineStr">
        <is>
          <t>Timber connectors; round toothed plate, double sided for 10 mm or 12 mm bolts (stainless steel)</t>
        </is>
      </c>
      <c r="F2559" s="5" t="inlineStr">
        <is>
          <t>38 mm dia.</t>
        </is>
      </c>
      <c r="G2559" s="6" t="inlineStr">
        <is>
          <t>nr</t>
        </is>
      </c>
      <c r="H2559" s="7" t="n">
        <v>0.01</v>
      </c>
      <c r="I2559" s="8" t="n">
        <v>0.29</v>
      </c>
      <c r="J2559" s="8" t="n">
        <v>0</v>
      </c>
      <c r="K2559" s="8" t="n">
        <v>4.41</v>
      </c>
      <c r="L2559" s="8" t="n">
        <v>0</v>
      </c>
      <c r="M2559" s="9">
        <f>ROUND(SUM(I2559:L2559),2)</f>
        <v/>
      </c>
      <c r="N2559" s="10">
        <f>ROUND(I2559*'Irish Basis'!$C$6*'Irish Basis'!$C$5,2)</f>
        <v/>
      </c>
      <c r="O2559" s="10">
        <f>ROUND(J2559*'Irish Basis'!$C$7*'Irish Basis'!$C$5,2)</f>
        <v/>
      </c>
      <c r="P2559" s="10">
        <f>ROUND(K2559*'Irish Basis'!$C$8*'Irish Basis'!$C$5,2)</f>
        <v/>
      </c>
      <c r="Q2559" s="10">
        <f>ROUND(L2559*'Irish Basis'!$C$12*'Irish Basis'!$C$5,2)</f>
        <v/>
      </c>
      <c r="R2559" s="11">
        <f>ROUND(SUM(N2559:Q2559),2)</f>
        <v/>
      </c>
      <c r="S2559" s="5" t="inlineStr">
        <is>
          <t>Stated build-up</t>
        </is>
      </c>
      <c r="T2559" s="12" t="inlineStr">
        <is>
          <t>High</t>
        </is>
      </c>
      <c r="U2559" s="8" t="n">
        <v>4.7</v>
      </c>
      <c r="V2559" s="13">
        <f>IF(U2559="","",ROUND(M2559-U2559,2))</f>
        <v/>
      </c>
      <c r="W2559" s="5" t="n"/>
      <c r="X2559" s="5" t="inlineStr">
        <is>
          <t>Labour + plant + material as published; reconciles to the published rate.</t>
        </is>
      </c>
    </row>
    <row r="2560" ht="13" customHeight="1">
      <c r="A2560" s="4" t="n">
        <v>3828</v>
      </c>
      <c r="B2560" s="5" t="inlineStr">
        <is>
          <t>IMG_0117</t>
        </is>
      </c>
      <c r="C2560" s="5" t="inlineStr">
        <is>
          <t>CLASS O: TIMBER</t>
        </is>
      </c>
      <c r="D2560" s="5" t="inlineStr">
        <is>
          <t>05 FITTINGS AND FASTENINGS</t>
        </is>
      </c>
      <c r="E2560" s="5" t="inlineStr">
        <is>
          <t>Timber connectors; round toothed plate, double sided for 10 mm or 12 mm bolts (stainless steel)</t>
        </is>
      </c>
      <c r="F2560" s="5" t="inlineStr">
        <is>
          <t>50 mm dia.</t>
        </is>
      </c>
      <c r="G2560" s="6" t="inlineStr">
        <is>
          <t>nr</t>
        </is>
      </c>
      <c r="H2560" s="7" t="n">
        <v>0.01</v>
      </c>
      <c r="I2560" s="8" t="n">
        <v>0.29</v>
      </c>
      <c r="J2560" s="8" t="n">
        <v>0</v>
      </c>
      <c r="K2560" s="8" t="n">
        <v>4.37</v>
      </c>
      <c r="L2560" s="8" t="n">
        <v>0</v>
      </c>
      <c r="M2560" s="9">
        <f>ROUND(SUM(I2560:L2560),2)</f>
        <v/>
      </c>
      <c r="N2560" s="10">
        <f>ROUND(I2560*'Irish Basis'!$C$6*'Irish Basis'!$C$5,2)</f>
        <v/>
      </c>
      <c r="O2560" s="10">
        <f>ROUND(J2560*'Irish Basis'!$C$7*'Irish Basis'!$C$5,2)</f>
        <v/>
      </c>
      <c r="P2560" s="10">
        <f>ROUND(K2560*'Irish Basis'!$C$8*'Irish Basis'!$C$5,2)</f>
        <v/>
      </c>
      <c r="Q2560" s="10">
        <f>ROUND(L2560*'Irish Basis'!$C$12*'Irish Basis'!$C$5,2)</f>
        <v/>
      </c>
      <c r="R2560" s="11">
        <f>ROUND(SUM(N2560:Q2560),2)</f>
        <v/>
      </c>
      <c r="S2560" s="5" t="inlineStr">
        <is>
          <t>Stated build-up</t>
        </is>
      </c>
      <c r="T2560" s="12" t="inlineStr">
        <is>
          <t>High</t>
        </is>
      </c>
      <c r="U2560" s="8" t="n">
        <v>4.65</v>
      </c>
      <c r="V2560" s="13">
        <f>IF(U2560="","",ROUND(M2560-U2560,2))</f>
        <v/>
      </c>
      <c r="W2560" s="5" t="n"/>
      <c r="X2560" s="5" t="inlineStr">
        <is>
          <t>Labour + plant + material as published; reconciles to the published rate.</t>
        </is>
      </c>
    </row>
    <row r="2561" ht="13" customHeight="1">
      <c r="A2561" s="4" t="n">
        <v>3829</v>
      </c>
      <c r="B2561" s="5" t="inlineStr">
        <is>
          <t>IMG_0117</t>
        </is>
      </c>
      <c r="C2561" s="5" t="inlineStr">
        <is>
          <t>CLASS O: TIMBER</t>
        </is>
      </c>
      <c r="D2561" s="5" t="inlineStr">
        <is>
          <t>05 FITTINGS AND FASTENINGS</t>
        </is>
      </c>
      <c r="E2561" s="5" t="inlineStr">
        <is>
          <t>Timber connectors; round toothed plate, double sided for 10 mm or 12 mm bolts (stainless steel)</t>
        </is>
      </c>
      <c r="F2561" s="5" t="inlineStr">
        <is>
          <t>63 mm dia.</t>
        </is>
      </c>
      <c r="G2561" s="6" t="inlineStr">
        <is>
          <t>nr</t>
        </is>
      </c>
      <c r="H2561" s="7" t="n">
        <v>0.01</v>
      </c>
      <c r="I2561" s="8" t="n">
        <v>0.46</v>
      </c>
      <c r="J2561" s="8" t="n">
        <v>0</v>
      </c>
      <c r="K2561" s="8" t="n">
        <v>5</v>
      </c>
      <c r="L2561" s="8" t="n">
        <v>0</v>
      </c>
      <c r="M2561" s="9">
        <f>ROUND(SUM(I2561:L2561),2)</f>
        <v/>
      </c>
      <c r="N2561" s="10">
        <f>ROUND(I2561*'Irish Basis'!$C$6*'Irish Basis'!$C$5,2)</f>
        <v/>
      </c>
      <c r="O2561" s="10">
        <f>ROUND(J2561*'Irish Basis'!$C$7*'Irish Basis'!$C$5,2)</f>
        <v/>
      </c>
      <c r="P2561" s="10">
        <f>ROUND(K2561*'Irish Basis'!$C$8*'Irish Basis'!$C$5,2)</f>
        <v/>
      </c>
      <c r="Q2561" s="10">
        <f>ROUND(L2561*'Irish Basis'!$C$12*'Irish Basis'!$C$5,2)</f>
        <v/>
      </c>
      <c r="R2561" s="11">
        <f>ROUND(SUM(N2561:Q2561),2)</f>
        <v/>
      </c>
      <c r="S2561" s="5" t="inlineStr">
        <is>
          <t>Stated build-up</t>
        </is>
      </c>
      <c r="T2561" s="12" t="inlineStr">
        <is>
          <t>High</t>
        </is>
      </c>
      <c r="U2561" s="8" t="n">
        <v>5.46</v>
      </c>
      <c r="V2561" s="13">
        <f>IF(U2561="","",ROUND(M2561-U2561,2))</f>
        <v/>
      </c>
      <c r="W2561" s="5" t="n"/>
      <c r="X2561" s="5" t="inlineStr">
        <is>
          <t>Labour + plant + material as published; reconciles to the published rate.</t>
        </is>
      </c>
    </row>
    <row r="2562" ht="13" customHeight="1">
      <c r="A2562" s="4" t="n">
        <v>3830</v>
      </c>
      <c r="B2562" s="5" t="inlineStr">
        <is>
          <t>IMG_0117</t>
        </is>
      </c>
      <c r="C2562" s="5" t="inlineStr">
        <is>
          <t>CLASS O: TIMBER</t>
        </is>
      </c>
      <c r="D2562" s="5" t="inlineStr">
        <is>
          <t>05 FITTINGS AND FASTENINGS</t>
        </is>
      </c>
      <c r="E2562" s="5" t="inlineStr">
        <is>
          <t>Timber connectors; round toothed plate, double sided for 10 mm or 12 mm bolts (stainless steel)</t>
        </is>
      </c>
      <c r="F2562" s="5" t="inlineStr">
        <is>
          <t>75 mm dia.</t>
        </is>
      </c>
      <c r="G2562" s="6" t="inlineStr">
        <is>
          <t>nr</t>
        </is>
      </c>
      <c r="H2562" s="7" t="n">
        <v>0.01</v>
      </c>
      <c r="I2562" s="8" t="n">
        <v>0.46</v>
      </c>
      <c r="J2562" s="8" t="n">
        <v>0</v>
      </c>
      <c r="K2562" s="8" t="n">
        <v>5.55</v>
      </c>
      <c r="L2562" s="8" t="n">
        <v>0</v>
      </c>
      <c r="M2562" s="9">
        <f>ROUND(SUM(I2562:L2562),2)</f>
        <v/>
      </c>
      <c r="N2562" s="10">
        <f>ROUND(I2562*'Irish Basis'!$C$6*'Irish Basis'!$C$5,2)</f>
        <v/>
      </c>
      <c r="O2562" s="10">
        <f>ROUND(J2562*'Irish Basis'!$C$7*'Irish Basis'!$C$5,2)</f>
        <v/>
      </c>
      <c r="P2562" s="10">
        <f>ROUND(K2562*'Irish Basis'!$C$8*'Irish Basis'!$C$5,2)</f>
        <v/>
      </c>
      <c r="Q2562" s="10">
        <f>ROUND(L2562*'Irish Basis'!$C$12*'Irish Basis'!$C$5,2)</f>
        <v/>
      </c>
      <c r="R2562" s="11">
        <f>ROUND(SUM(N2562:Q2562),2)</f>
        <v/>
      </c>
      <c r="S2562" s="5" t="inlineStr">
        <is>
          <t>Stated build-up</t>
        </is>
      </c>
      <c r="T2562" s="12" t="inlineStr">
        <is>
          <t>High</t>
        </is>
      </c>
      <c r="U2562" s="8" t="n">
        <v>6.01</v>
      </c>
      <c r="V2562" s="13">
        <f>IF(U2562="","",ROUND(M2562-U2562,2))</f>
        <v/>
      </c>
      <c r="W2562" s="5" t="n"/>
      <c r="X2562" s="5" t="inlineStr">
        <is>
          <t>Labour + plant + material as published; reconciles to the published rate.</t>
        </is>
      </c>
    </row>
    <row r="2563" ht="13" customHeight="1">
      <c r="A2563" s="4" t="n">
        <v>3832</v>
      </c>
      <c r="B2563" s="5" t="inlineStr">
        <is>
          <t>IMG_0117</t>
        </is>
      </c>
      <c r="C2563" s="5" t="inlineStr">
        <is>
          <t>CLASS O: TIMBER</t>
        </is>
      </c>
      <c r="D2563" s="5" t="inlineStr">
        <is>
          <t>05 FITTINGS AND FASTENINGS</t>
        </is>
      </c>
      <c r="E2563" s="5" t="inlineStr">
        <is>
          <t>Split ring connectors (stainless steel)</t>
        </is>
      </c>
      <c r="F2563" s="5" t="inlineStr">
        <is>
          <t>63 mm dia.</t>
        </is>
      </c>
      <c r="G2563" s="6" t="inlineStr">
        <is>
          <t>nr</t>
        </is>
      </c>
      <c r="H2563" s="7" t="n">
        <v>0.06</v>
      </c>
      <c r="I2563" s="8" t="n">
        <v>3.44</v>
      </c>
      <c r="J2563" s="8" t="n">
        <v>0</v>
      </c>
      <c r="K2563" s="8" t="n">
        <v>19.3</v>
      </c>
      <c r="L2563" s="8" t="n">
        <v>0</v>
      </c>
      <c r="M2563" s="9">
        <f>ROUND(SUM(I2563:L2563),2)</f>
        <v/>
      </c>
      <c r="N2563" s="10">
        <f>ROUND(I2563*'Irish Basis'!$C$6*'Irish Basis'!$C$5,2)</f>
        <v/>
      </c>
      <c r="O2563" s="10">
        <f>ROUND(J2563*'Irish Basis'!$C$7*'Irish Basis'!$C$5,2)</f>
        <v/>
      </c>
      <c r="P2563" s="10">
        <f>ROUND(K2563*'Irish Basis'!$C$8*'Irish Basis'!$C$5,2)</f>
        <v/>
      </c>
      <c r="Q2563" s="10">
        <f>ROUND(L2563*'Irish Basis'!$C$12*'Irish Basis'!$C$5,2)</f>
        <v/>
      </c>
      <c r="R2563" s="11">
        <f>ROUND(SUM(N2563:Q2563),2)</f>
        <v/>
      </c>
      <c r="S2563" s="5" t="inlineStr">
        <is>
          <t>Stated build-up</t>
        </is>
      </c>
      <c r="T2563" s="12" t="inlineStr">
        <is>
          <t>High</t>
        </is>
      </c>
      <c r="U2563" s="8" t="n">
        <v>22.74</v>
      </c>
      <c r="V2563" s="13">
        <f>IF(U2563="","",ROUND(M2563-U2563,2))</f>
        <v/>
      </c>
      <c r="W2563" s="5" t="n"/>
      <c r="X2563" s="5" t="inlineStr">
        <is>
          <t>Labour + plant + material as published; reconciles to the published rate.</t>
        </is>
      </c>
    </row>
    <row r="2564" ht="13" customHeight="1">
      <c r="A2564" s="4" t="n">
        <v>3833</v>
      </c>
      <c r="B2564" s="5" t="inlineStr">
        <is>
          <t>IMG_0117</t>
        </is>
      </c>
      <c r="C2564" s="5" t="inlineStr">
        <is>
          <t>CLASS O: TIMBER</t>
        </is>
      </c>
      <c r="D2564" s="5" t="inlineStr">
        <is>
          <t>05 FITTINGS AND FASTENINGS</t>
        </is>
      </c>
      <c r="E2564" s="5" t="inlineStr">
        <is>
          <t>Split ring connectors (stainless steel)</t>
        </is>
      </c>
      <c r="F2564" s="5" t="inlineStr">
        <is>
          <t>101 mm dia.</t>
        </is>
      </c>
      <c r="G2564" s="6" t="inlineStr">
        <is>
          <t>nr</t>
        </is>
      </c>
      <c r="H2564" s="7" t="n">
        <v>0.06</v>
      </c>
      <c r="I2564" s="8" t="n">
        <v>3.44</v>
      </c>
      <c r="J2564" s="8" t="n">
        <v>0</v>
      </c>
      <c r="K2564" s="8" t="n">
        <v>37.78</v>
      </c>
      <c r="L2564" s="8" t="n">
        <v>0</v>
      </c>
      <c r="M2564" s="9">
        <f>ROUND(SUM(I2564:L2564),2)</f>
        <v/>
      </c>
      <c r="N2564" s="10">
        <f>ROUND(I2564*'Irish Basis'!$C$6*'Irish Basis'!$C$5,2)</f>
        <v/>
      </c>
      <c r="O2564" s="10">
        <f>ROUND(J2564*'Irish Basis'!$C$7*'Irish Basis'!$C$5,2)</f>
        <v/>
      </c>
      <c r="P2564" s="10">
        <f>ROUND(K2564*'Irish Basis'!$C$8*'Irish Basis'!$C$5,2)</f>
        <v/>
      </c>
      <c r="Q2564" s="10">
        <f>ROUND(L2564*'Irish Basis'!$C$12*'Irish Basis'!$C$5,2)</f>
        <v/>
      </c>
      <c r="R2564" s="11">
        <f>ROUND(SUM(N2564:Q2564),2)</f>
        <v/>
      </c>
      <c r="S2564" s="5" t="inlineStr">
        <is>
          <t>Stated build-up</t>
        </is>
      </c>
      <c r="T2564" s="12" t="inlineStr">
        <is>
          <t>High</t>
        </is>
      </c>
      <c r="U2564" s="8" t="n">
        <v>41.21</v>
      </c>
      <c r="V2564" s="13">
        <f>IF(U2564="","",ROUND(M2564-U2564,2))</f>
        <v/>
      </c>
      <c r="W2564" s="5" t="n"/>
      <c r="X2564" s="5" t="inlineStr">
        <is>
          <t>Labour + plant + material as published; reconciles to the published rate.</t>
        </is>
      </c>
    </row>
    <row r="2565" ht="13" customHeight="1">
      <c r="A2565" s="4" t="n">
        <v>3835</v>
      </c>
      <c r="B2565" s="5" t="inlineStr">
        <is>
          <t>IMG_0117</t>
        </is>
      </c>
      <c r="C2565" s="5" t="inlineStr">
        <is>
          <t>CLASS O: TIMBER</t>
        </is>
      </c>
      <c r="D2565" s="5" t="inlineStr">
        <is>
          <t>05 FITTINGS AND FASTENINGS</t>
        </is>
      </c>
      <c r="E2565" s="5" t="inlineStr">
        <is>
          <t>Shear plate connectors (stainless steel)</t>
        </is>
      </c>
      <c r="F2565" s="5" t="inlineStr">
        <is>
          <t>67 mm dia.</t>
        </is>
      </c>
      <c r="G2565" s="6" t="inlineStr">
        <is>
          <t>nr</t>
        </is>
      </c>
      <c r="H2565" s="7" t="n">
        <v>0.06</v>
      </c>
      <c r="I2565" s="8" t="n">
        <v>3.44</v>
      </c>
      <c r="J2565" s="8" t="n">
        <v>0</v>
      </c>
      <c r="K2565" s="8" t="n">
        <v>0.75</v>
      </c>
      <c r="L2565" s="8" t="n">
        <v>0</v>
      </c>
      <c r="M2565" s="9">
        <f>ROUND(SUM(I2565:L2565),2)</f>
        <v/>
      </c>
      <c r="N2565" s="10">
        <f>ROUND(I2565*'Irish Basis'!$C$6*'Irish Basis'!$C$5,2)</f>
        <v/>
      </c>
      <c r="O2565" s="10">
        <f>ROUND(J2565*'Irish Basis'!$C$7*'Irish Basis'!$C$5,2)</f>
        <v/>
      </c>
      <c r="P2565" s="10">
        <f>ROUND(K2565*'Irish Basis'!$C$8*'Irish Basis'!$C$5,2)</f>
        <v/>
      </c>
      <c r="Q2565" s="10">
        <f>ROUND(L2565*'Irish Basis'!$C$12*'Irish Basis'!$C$5,2)</f>
        <v/>
      </c>
      <c r="R2565" s="11">
        <f>ROUND(SUM(N2565:Q2565),2)</f>
        <v/>
      </c>
      <c r="S2565" s="5" t="inlineStr">
        <is>
          <t>Stated build-up</t>
        </is>
      </c>
      <c r="T2565" s="12" t="inlineStr">
        <is>
          <t>High</t>
        </is>
      </c>
      <c r="U2565" s="8" t="n">
        <v>4.19</v>
      </c>
      <c r="V2565" s="13">
        <f>IF(U2565="","",ROUND(M2565-U2565,2))</f>
        <v/>
      </c>
      <c r="W2565" s="5" t="n"/>
      <c r="X2565" s="5" t="inlineStr">
        <is>
          <t>Labour + plant + material as published; reconciles to the published rate.</t>
        </is>
      </c>
    </row>
    <row r="2566" ht="13" customHeight="1">
      <c r="A2566" s="4" t="n">
        <v>3836</v>
      </c>
      <c r="B2566" s="5" t="inlineStr">
        <is>
          <t>IMG_0117</t>
        </is>
      </c>
      <c r="C2566" s="5" t="inlineStr">
        <is>
          <t>CLASS O: TIMBER</t>
        </is>
      </c>
      <c r="D2566" s="5" t="inlineStr">
        <is>
          <t>05 FITTINGS AND FASTENINGS</t>
        </is>
      </c>
      <c r="E2566" s="5" t="inlineStr">
        <is>
          <t>Shear plate connectors (stainless steel)</t>
        </is>
      </c>
      <c r="F2566" s="5" t="inlineStr">
        <is>
          <t>101 mm dia.</t>
        </is>
      </c>
      <c r="G2566" s="6" t="inlineStr">
        <is>
          <t>nr</t>
        </is>
      </c>
      <c r="H2566" s="7" t="n">
        <v>0.06</v>
      </c>
      <c r="I2566" s="8" t="n">
        <v>3.44</v>
      </c>
      <c r="J2566" s="8" t="n">
        <v>0</v>
      </c>
      <c r="K2566" s="8" t="n">
        <v>1.6</v>
      </c>
      <c r="L2566" s="8" t="n">
        <v>0</v>
      </c>
      <c r="M2566" s="9">
        <f>ROUND(SUM(I2566:L2566),2)</f>
        <v/>
      </c>
      <c r="N2566" s="10">
        <f>ROUND(I2566*'Irish Basis'!$C$6*'Irish Basis'!$C$5,2)</f>
        <v/>
      </c>
      <c r="O2566" s="10">
        <f>ROUND(J2566*'Irish Basis'!$C$7*'Irish Basis'!$C$5,2)</f>
        <v/>
      </c>
      <c r="P2566" s="10">
        <f>ROUND(K2566*'Irish Basis'!$C$8*'Irish Basis'!$C$5,2)</f>
        <v/>
      </c>
      <c r="Q2566" s="10">
        <f>ROUND(L2566*'Irish Basis'!$C$12*'Irish Basis'!$C$5,2)</f>
        <v/>
      </c>
      <c r="R2566" s="11">
        <f>ROUND(SUM(N2566:Q2566),2)</f>
        <v/>
      </c>
      <c r="S2566" s="5" t="inlineStr">
        <is>
          <t>Stated build-up</t>
        </is>
      </c>
      <c r="T2566" s="12" t="inlineStr">
        <is>
          <t>High</t>
        </is>
      </c>
      <c r="U2566" s="8" t="n">
        <v>5.03</v>
      </c>
      <c r="V2566" s="13">
        <f>IF(U2566="","",ROUND(M2566-U2566,2))</f>
        <v/>
      </c>
      <c r="W2566" s="5" t="n"/>
      <c r="X2566" s="5" t="inlineStr">
        <is>
          <t>Labour + plant + material as published; reconciles to the published rate.</t>
        </is>
      </c>
    </row>
    <row r="2567" ht="13" customHeight="1">
      <c r="A2567" s="4" t="n">
        <v>3848</v>
      </c>
      <c r="B2567" s="5" t="inlineStr">
        <is>
          <t>IMG_0117</t>
        </is>
      </c>
      <c r="C2567" s="5" t="inlineStr">
        <is>
          <t>CLASS P: PILES</t>
        </is>
      </c>
      <c r="D2567" s="5" t="inlineStr">
        <is>
          <t>01 BORED CAST IN PLACE CONCRETE PILES</t>
        </is>
      </c>
      <c r="E2567" s="5" t="inlineStr">
        <is>
          <t>Disposal of material arising from pile bores; collection from around piling operations</t>
        </is>
      </c>
      <c r="F2567" s="5" t="inlineStr">
        <is>
          <t>storage on site; 100 m maximum distance; using 22.5 t ADT</t>
        </is>
      </c>
      <c r="G2567" s="6" t="inlineStr">
        <is>
          <t>m3</t>
        </is>
      </c>
      <c r="H2567" s="7" t="n">
        <v>0.05</v>
      </c>
      <c r="I2567" s="8" t="n">
        <v>2.24</v>
      </c>
      <c r="J2567" s="8" t="n">
        <v>6.11</v>
      </c>
      <c r="K2567" s="8" t="n">
        <v>0</v>
      </c>
      <c r="L2567" s="8" t="n">
        <v>0</v>
      </c>
      <c r="M2567" s="9">
        <f>ROUND(SUM(I2567:L2567),2)</f>
        <v/>
      </c>
      <c r="N2567" s="10">
        <f>ROUND(I2567*'Irish Basis'!$C$6*'Irish Basis'!$C$5,2)</f>
        <v/>
      </c>
      <c r="O2567" s="10">
        <f>ROUND(J2567*'Irish Basis'!$C$7*'Irish Basis'!$C$5,2)</f>
        <v/>
      </c>
      <c r="P2567" s="10">
        <f>ROUND(K2567*'Irish Basis'!$C$8*'Irish Basis'!$C$5,2)</f>
        <v/>
      </c>
      <c r="Q2567" s="10">
        <f>ROUND(L2567*'Irish Basis'!$C$12*'Irish Basis'!$C$5,2)</f>
        <v/>
      </c>
      <c r="R2567" s="11">
        <f>ROUND(SUM(N2567:Q2567),2)</f>
        <v/>
      </c>
      <c r="S2567" s="5" t="inlineStr">
        <is>
          <t>Stated build-up</t>
        </is>
      </c>
      <c r="T2567" s="12" t="inlineStr">
        <is>
          <t>High</t>
        </is>
      </c>
      <c r="U2567" s="8" t="n">
        <v>8.35</v>
      </c>
      <c r="V2567" s="13">
        <f>IF(U2567="","",ROUND(M2567-U2567,2))</f>
        <v/>
      </c>
      <c r="W2567" s="5" t="n"/>
      <c r="X2567" s="5" t="inlineStr">
        <is>
          <t>Labour + plant + material as published; reconciles to the published rate.</t>
        </is>
      </c>
    </row>
    <row r="2568" ht="13" customHeight="1">
      <c r="A2568" s="4" t="n">
        <v>3849</v>
      </c>
      <c r="B2568" s="5" t="inlineStr">
        <is>
          <t>IMG_0117</t>
        </is>
      </c>
      <c r="C2568" s="5" t="inlineStr">
        <is>
          <t>CLASS P: PILES</t>
        </is>
      </c>
      <c r="D2568" s="5" t="inlineStr">
        <is>
          <t>01 BORED CAST IN PLACE CONCRETE PILES</t>
        </is>
      </c>
      <c r="E2568" s="5" t="inlineStr">
        <is>
          <t>Disposal of material arising from pile bores; collection from around piling operations</t>
        </is>
      </c>
      <c r="F2568" s="5" t="inlineStr">
        <is>
          <t>removal; 5 km distance; using 20 t tipper</t>
        </is>
      </c>
      <c r="G2568" s="6" t="inlineStr">
        <is>
          <t>m3</t>
        </is>
      </c>
      <c r="H2568" s="7" t="n">
        <v>0.12</v>
      </c>
      <c r="I2568" s="8" t="n">
        <v>5.39</v>
      </c>
      <c r="J2568" s="8" t="n">
        <v>17.26</v>
      </c>
      <c r="K2568" s="8" t="n">
        <v>0</v>
      </c>
      <c r="L2568" s="8" t="n">
        <v>0</v>
      </c>
      <c r="M2568" s="9">
        <f>ROUND(SUM(I2568:L2568),2)</f>
        <v/>
      </c>
      <c r="N2568" s="10">
        <f>ROUND(I2568*'Irish Basis'!$C$6*'Irish Basis'!$C$5,2)</f>
        <v/>
      </c>
      <c r="O2568" s="10">
        <f>ROUND(J2568*'Irish Basis'!$C$7*'Irish Basis'!$C$5,2)</f>
        <v/>
      </c>
      <c r="P2568" s="10">
        <f>ROUND(K2568*'Irish Basis'!$C$8*'Irish Basis'!$C$5,2)</f>
        <v/>
      </c>
      <c r="Q2568" s="10">
        <f>ROUND(L2568*'Irish Basis'!$C$12*'Irish Basis'!$C$5,2)</f>
        <v/>
      </c>
      <c r="R2568" s="11">
        <f>ROUND(SUM(N2568:Q2568),2)</f>
        <v/>
      </c>
      <c r="S2568" s="5" t="inlineStr">
        <is>
          <t>Stated build-up</t>
        </is>
      </c>
      <c r="T2568" s="12" t="inlineStr">
        <is>
          <t>High</t>
        </is>
      </c>
      <c r="U2568" s="8" t="n">
        <v>22.65</v>
      </c>
      <c r="V2568" s="13">
        <f>IF(U2568="","",ROUND(M2568-U2568,2))</f>
        <v/>
      </c>
      <c r="W2568" s="5" t="n"/>
      <c r="X2568" s="5" t="inlineStr">
        <is>
          <t>Labour + plant + material as published; reconciles to the published rate.</t>
        </is>
      </c>
    </row>
    <row r="2569" ht="13" customHeight="1">
      <c r="A2569" s="4" t="n">
        <v>3850</v>
      </c>
      <c r="B2569" s="5" t="inlineStr">
        <is>
          <t>IMG_0117</t>
        </is>
      </c>
      <c r="C2569" s="5" t="inlineStr">
        <is>
          <t>CLASS P: PILES</t>
        </is>
      </c>
      <c r="D2569" s="5" t="inlineStr">
        <is>
          <t>01 BORED CAST IN PLACE CONCRETE PILES</t>
        </is>
      </c>
      <c r="E2569" s="5" t="inlineStr">
        <is>
          <t>Disposal of material arising from pile bores; collection from around piling operations</t>
        </is>
      </c>
      <c r="F2569" s="5" t="inlineStr">
        <is>
          <t>removal; 15 km distance; using 20 t tipper</t>
        </is>
      </c>
      <c r="G2569" s="6" t="inlineStr">
        <is>
          <t>m3</t>
        </is>
      </c>
      <c r="H2569" s="7" t="n">
        <v>0.22</v>
      </c>
      <c r="I2569" s="8" t="n">
        <v>9.880000000000001</v>
      </c>
      <c r="J2569" s="8" t="n">
        <v>31.65</v>
      </c>
      <c r="K2569" s="8" t="n">
        <v>0</v>
      </c>
      <c r="L2569" s="8" t="n">
        <v>0</v>
      </c>
      <c r="M2569" s="9">
        <f>ROUND(SUM(I2569:L2569),2)</f>
        <v/>
      </c>
      <c r="N2569" s="10">
        <f>ROUND(I2569*'Irish Basis'!$C$6*'Irish Basis'!$C$5,2)</f>
        <v/>
      </c>
      <c r="O2569" s="10">
        <f>ROUND(J2569*'Irish Basis'!$C$7*'Irish Basis'!$C$5,2)</f>
        <v/>
      </c>
      <c r="P2569" s="10">
        <f>ROUND(K2569*'Irish Basis'!$C$8*'Irish Basis'!$C$5,2)</f>
        <v/>
      </c>
      <c r="Q2569" s="10">
        <f>ROUND(L2569*'Irish Basis'!$C$12*'Irish Basis'!$C$5,2)</f>
        <v/>
      </c>
      <c r="R2569" s="11">
        <f>ROUND(SUM(N2569:Q2569),2)</f>
        <v/>
      </c>
      <c r="S2569" s="5" t="inlineStr">
        <is>
          <t>Stated build-up</t>
        </is>
      </c>
      <c r="T2569" s="12" t="inlineStr">
        <is>
          <t>High</t>
        </is>
      </c>
      <c r="U2569" s="8" t="n">
        <v>41.53</v>
      </c>
      <c r="V2569" s="13">
        <f>IF(U2569="","",ROUND(M2569-U2569,2))</f>
        <v/>
      </c>
      <c r="W2569" s="5" t="n"/>
      <c r="X2569" s="5" t="inlineStr">
        <is>
          <t>Labour + plant + material as published; reconciles to the published rate.</t>
        </is>
      </c>
    </row>
    <row r="2570" ht="13" customHeight="1">
      <c r="A2570" s="4" t="n">
        <v>3852</v>
      </c>
      <c r="B2570" s="5" t="inlineStr">
        <is>
          <t>IMG_0117</t>
        </is>
      </c>
      <c r="C2570" s="5" t="inlineStr">
        <is>
          <t>CLASS P: PILES</t>
        </is>
      </c>
      <c r="D2570" s="5" t="inlineStr">
        <is>
          <t>01 BORED CAST IN PLACE CONCRETE PILES</t>
        </is>
      </c>
      <c r="E2570" s="5" t="inlineStr">
        <is>
          <t>Add to the above rates where tipping charges apply (excluding Landfill Tax)</t>
        </is>
      </c>
      <c r="F2570" s="5" t="inlineStr">
        <is>
          <t>non-hazardous waste</t>
        </is>
      </c>
      <c r="G2570" s="6" t="inlineStr">
        <is>
          <t>m3</t>
        </is>
      </c>
      <c r="H2570" s="7" t="n"/>
      <c r="I2570" s="8" t="n">
        <v>0</v>
      </c>
      <c r="J2570" s="8" t="n">
        <v>0</v>
      </c>
      <c r="K2570" s="8" t="n">
        <v>0</v>
      </c>
      <c r="L2570" s="8" t="n">
        <v>69.91</v>
      </c>
      <c r="M2570" s="9">
        <f>ROUND(SUM(I2570:L2570),2)</f>
        <v/>
      </c>
      <c r="N2570" s="10">
        <f>ROUND(I2570*'Irish Basis'!$C$6*'Irish Basis'!$C$5,2)</f>
        <v/>
      </c>
      <c r="O2570" s="10">
        <f>ROUND(J2570*'Irish Basis'!$C$7*'Irish Basis'!$C$5,2)</f>
        <v/>
      </c>
      <c r="P2570" s="10">
        <f>ROUND(K2570*'Irish Basis'!$C$8*'Irish Basis'!$C$5,2)</f>
        <v/>
      </c>
      <c r="Q2570" s="10">
        <f>ROUND(L2570*'Irish Basis'!$C$12*'Irish Basis'!$C$5,2)</f>
        <v/>
      </c>
      <c r="R2570" s="11">
        <f>ROUND(SUM(N2570:Q2570),2)</f>
        <v/>
      </c>
      <c r="S2570" s="5" t="inlineStr">
        <is>
          <t>All-in specialist rate</t>
        </is>
      </c>
      <c r="T2570" s="14" t="inlineStr">
        <is>
          <t>All-in (not split)</t>
        </is>
      </c>
      <c r="U2570" s="8" t="n">
        <v>69.91</v>
      </c>
      <c r="V2570" s="13">
        <f>IF(U2570="","",ROUND(M2570-U2570,2))</f>
        <v/>
      </c>
      <c r="W2570" s="5" t="n"/>
      <c r="X2570" s="5" t="inlineStr">
        <is>
          <t>Source publishes a specialist/sub-contract all-in rate; no labour/plant/material build-up exists to derive from.</t>
        </is>
      </c>
    </row>
    <row r="2571" ht="13" customHeight="1">
      <c r="A2571" s="4" t="n">
        <v>3853</v>
      </c>
      <c r="B2571" s="5" t="inlineStr">
        <is>
          <t>IMG_0117</t>
        </is>
      </c>
      <c r="C2571" s="5" t="inlineStr">
        <is>
          <t>CLASS P: PILES</t>
        </is>
      </c>
      <c r="D2571" s="5" t="inlineStr">
        <is>
          <t>01 BORED CAST IN PLACE CONCRETE PILES</t>
        </is>
      </c>
      <c r="E2571" s="5" t="inlineStr">
        <is>
          <t>Add to the above rates where tipping charges apply (excluding Landfill Tax)</t>
        </is>
      </c>
      <c r="F2571" s="5" t="inlineStr">
        <is>
          <t>hazardous waste</t>
        </is>
      </c>
      <c r="G2571" s="6" t="inlineStr">
        <is>
          <t>m3</t>
        </is>
      </c>
      <c r="H2571" s="7" t="n"/>
      <c r="I2571" s="8" t="n">
        <v>0</v>
      </c>
      <c r="J2571" s="8" t="n">
        <v>0</v>
      </c>
      <c r="K2571" s="8" t="n">
        <v>0</v>
      </c>
      <c r="L2571" s="8" t="n">
        <v>209.67</v>
      </c>
      <c r="M2571" s="9">
        <f>ROUND(SUM(I2571:L2571),2)</f>
        <v/>
      </c>
      <c r="N2571" s="10">
        <f>ROUND(I2571*'Irish Basis'!$C$6*'Irish Basis'!$C$5,2)</f>
        <v/>
      </c>
      <c r="O2571" s="10">
        <f>ROUND(J2571*'Irish Basis'!$C$7*'Irish Basis'!$C$5,2)</f>
        <v/>
      </c>
      <c r="P2571" s="10">
        <f>ROUND(K2571*'Irish Basis'!$C$8*'Irish Basis'!$C$5,2)</f>
        <v/>
      </c>
      <c r="Q2571" s="10">
        <f>ROUND(L2571*'Irish Basis'!$C$12*'Irish Basis'!$C$5,2)</f>
        <v/>
      </c>
      <c r="R2571" s="11">
        <f>ROUND(SUM(N2571:Q2571),2)</f>
        <v/>
      </c>
      <c r="S2571" s="5" t="inlineStr">
        <is>
          <t>All-in specialist rate</t>
        </is>
      </c>
      <c r="T2571" s="14" t="inlineStr">
        <is>
          <t>All-in (not split)</t>
        </is>
      </c>
      <c r="U2571" s="8" t="n">
        <v>209.67</v>
      </c>
      <c r="V2571" s="13">
        <f>IF(U2571="","",ROUND(M2571-U2571,2))</f>
        <v/>
      </c>
      <c r="W2571" s="5" t="n"/>
      <c r="X2571" s="5" t="inlineStr">
        <is>
          <t>Source publishes a specialist/sub-contract all-in rate; no labour/plant/material build-up exists to derive from.</t>
        </is>
      </c>
    </row>
    <row r="2572" ht="13" customHeight="1">
      <c r="A2572" s="4" t="n">
        <v>3854</v>
      </c>
      <c r="B2572" s="5" t="inlineStr">
        <is>
          <t>IMG_0117</t>
        </is>
      </c>
      <c r="C2572" s="5" t="inlineStr">
        <is>
          <t>CLASS P: PILES</t>
        </is>
      </c>
      <c r="D2572" s="5" t="inlineStr">
        <is>
          <t>01 BORED CAST IN PLACE CONCRETE PILES</t>
        </is>
      </c>
      <c r="E2572" s="5" t="inlineStr">
        <is>
          <t>Add to the above rates where tipping charges apply (excluding Landfill Tax)</t>
        </is>
      </c>
      <c r="F2572" s="5" t="inlineStr">
        <is>
          <t>special waste</t>
        </is>
      </c>
      <c r="G2572" s="6" t="inlineStr">
        <is>
          <t>m3</t>
        </is>
      </c>
      <c r="H2572" s="7" t="n"/>
      <c r="I2572" s="8" t="n">
        <v>0</v>
      </c>
      <c r="J2572" s="8" t="n">
        <v>0</v>
      </c>
      <c r="K2572" s="8" t="n">
        <v>0</v>
      </c>
      <c r="L2572" s="8" t="n">
        <v>221.35</v>
      </c>
      <c r="M2572" s="9">
        <f>ROUND(SUM(I2572:L2572),2)</f>
        <v/>
      </c>
      <c r="N2572" s="10">
        <f>ROUND(I2572*'Irish Basis'!$C$6*'Irish Basis'!$C$5,2)</f>
        <v/>
      </c>
      <c r="O2572" s="10">
        <f>ROUND(J2572*'Irish Basis'!$C$7*'Irish Basis'!$C$5,2)</f>
        <v/>
      </c>
      <c r="P2572" s="10">
        <f>ROUND(K2572*'Irish Basis'!$C$8*'Irish Basis'!$C$5,2)</f>
        <v/>
      </c>
      <c r="Q2572" s="10">
        <f>ROUND(L2572*'Irish Basis'!$C$12*'Irish Basis'!$C$5,2)</f>
        <v/>
      </c>
      <c r="R2572" s="11">
        <f>ROUND(SUM(N2572:Q2572),2)</f>
        <v/>
      </c>
      <c r="S2572" s="5" t="inlineStr">
        <is>
          <t>All-in specialist rate</t>
        </is>
      </c>
      <c r="T2572" s="14" t="inlineStr">
        <is>
          <t>All-in (not split)</t>
        </is>
      </c>
      <c r="U2572" s="8" t="n">
        <v>221.35</v>
      </c>
      <c r="V2572" s="13">
        <f>IF(U2572="","",ROUND(M2572-U2572,2))</f>
        <v/>
      </c>
      <c r="W2572" s="5" t="n"/>
      <c r="X2572" s="5" t="inlineStr">
        <is>
          <t>Source publishes a specialist/sub-contract all-in rate; no labour/plant/material build-up exists to derive from.</t>
        </is>
      </c>
    </row>
    <row r="2573" ht="13" customHeight="1">
      <c r="A2573" s="4" t="n">
        <v>3855</v>
      </c>
      <c r="B2573" s="5" t="inlineStr">
        <is>
          <t>IMG_0117</t>
        </is>
      </c>
      <c r="C2573" s="5" t="inlineStr">
        <is>
          <t>CLASS P: PILES</t>
        </is>
      </c>
      <c r="D2573" s="5" t="inlineStr">
        <is>
          <t>01 BORED CAST IN PLACE CONCRETE PILES</t>
        </is>
      </c>
      <c r="E2573" s="5" t="inlineStr">
        <is>
          <t>Add to the above rates where tipping charges apply (excluding Landfill Tax)</t>
        </is>
      </c>
      <c r="F2573" s="5" t="inlineStr">
        <is>
          <t>contaminated liquid</t>
        </is>
      </c>
      <c r="G2573" s="6" t="inlineStr">
        <is>
          <t>m3</t>
        </is>
      </c>
      <c r="H2573" s="7" t="n"/>
      <c r="I2573" s="8" t="n">
        <v>0</v>
      </c>
      <c r="J2573" s="8" t="n">
        <v>0</v>
      </c>
      <c r="K2573" s="8" t="n">
        <v>0</v>
      </c>
      <c r="L2573" s="8" t="n">
        <v>279.56</v>
      </c>
      <c r="M2573" s="9">
        <f>ROUND(SUM(I2573:L2573),2)</f>
        <v/>
      </c>
      <c r="N2573" s="10">
        <f>ROUND(I2573*'Irish Basis'!$C$6*'Irish Basis'!$C$5,2)</f>
        <v/>
      </c>
      <c r="O2573" s="10">
        <f>ROUND(J2573*'Irish Basis'!$C$7*'Irish Basis'!$C$5,2)</f>
        <v/>
      </c>
      <c r="P2573" s="10">
        <f>ROUND(K2573*'Irish Basis'!$C$8*'Irish Basis'!$C$5,2)</f>
        <v/>
      </c>
      <c r="Q2573" s="10">
        <f>ROUND(L2573*'Irish Basis'!$C$12*'Irish Basis'!$C$5,2)</f>
        <v/>
      </c>
      <c r="R2573" s="11">
        <f>ROUND(SUM(N2573:Q2573),2)</f>
        <v/>
      </c>
      <c r="S2573" s="5" t="inlineStr">
        <is>
          <t>All-in specialist rate</t>
        </is>
      </c>
      <c r="T2573" s="14" t="inlineStr">
        <is>
          <t>All-in (not split)</t>
        </is>
      </c>
      <c r="U2573" s="8" t="n">
        <v>279.56</v>
      </c>
      <c r="V2573" s="13">
        <f>IF(U2573="","",ROUND(M2573-U2573,2))</f>
        <v/>
      </c>
      <c r="W2573" s="5" t="n"/>
      <c r="X2573" s="5" t="inlineStr">
        <is>
          <t>Source publishes a specialist/sub-contract all-in rate; no labour/plant/material build-up exists to derive from.</t>
        </is>
      </c>
    </row>
    <row r="2574" ht="13" customHeight="1">
      <c r="A2574" s="4" t="n">
        <v>3856</v>
      </c>
      <c r="B2574" s="5" t="inlineStr">
        <is>
          <t>IMG_0117</t>
        </is>
      </c>
      <c r="C2574" s="5" t="inlineStr">
        <is>
          <t>CLASS P: PILES</t>
        </is>
      </c>
      <c r="D2574" s="5" t="inlineStr">
        <is>
          <t>01 BORED CAST IN PLACE CONCRETE PILES</t>
        </is>
      </c>
      <c r="E2574" s="5" t="inlineStr">
        <is>
          <t>Add to the above rates where tipping charges apply (excluding Landfill Tax)</t>
        </is>
      </c>
      <c r="F2574" s="5" t="inlineStr">
        <is>
          <t>contaminated sludge</t>
        </is>
      </c>
      <c r="G2574" s="6" t="inlineStr">
        <is>
          <t>m3</t>
        </is>
      </c>
      <c r="H2574" s="7" t="n"/>
      <c r="I2574" s="8" t="n">
        <v>0</v>
      </c>
      <c r="J2574" s="8" t="n">
        <v>0</v>
      </c>
      <c r="K2574" s="8" t="n">
        <v>0</v>
      </c>
      <c r="L2574" s="8" t="n">
        <v>349.51</v>
      </c>
      <c r="M2574" s="9">
        <f>ROUND(SUM(I2574:L2574),2)</f>
        <v/>
      </c>
      <c r="N2574" s="10">
        <f>ROUND(I2574*'Irish Basis'!$C$6*'Irish Basis'!$C$5,2)</f>
        <v/>
      </c>
      <c r="O2574" s="10">
        <f>ROUND(J2574*'Irish Basis'!$C$7*'Irish Basis'!$C$5,2)</f>
        <v/>
      </c>
      <c r="P2574" s="10">
        <f>ROUND(K2574*'Irish Basis'!$C$8*'Irish Basis'!$C$5,2)</f>
        <v/>
      </c>
      <c r="Q2574" s="10">
        <f>ROUND(L2574*'Irish Basis'!$C$12*'Irish Basis'!$C$5,2)</f>
        <v/>
      </c>
      <c r="R2574" s="11">
        <f>ROUND(SUM(N2574:Q2574),2)</f>
        <v/>
      </c>
      <c r="S2574" s="5" t="inlineStr">
        <is>
          <t>All-in specialist rate</t>
        </is>
      </c>
      <c r="T2574" s="14" t="inlineStr">
        <is>
          <t>All-in (not split)</t>
        </is>
      </c>
      <c r="U2574" s="8" t="n">
        <v>349.51</v>
      </c>
      <c r="V2574" s="13">
        <f>IF(U2574="","",ROUND(M2574-U2574,2))</f>
        <v/>
      </c>
      <c r="W2574" s="5" t="n"/>
      <c r="X2574" s="5" t="inlineStr">
        <is>
          <t>Source publishes a specialist/sub-contract all-in rate; no labour/plant/material build-up exists to derive from.</t>
        </is>
      </c>
    </row>
    <row r="2575" ht="13" customHeight="1">
      <c r="A2575" s="4" t="n">
        <v>3858</v>
      </c>
      <c r="B2575" s="5" t="inlineStr">
        <is>
          <t>IMG_0117</t>
        </is>
      </c>
      <c r="C2575" s="5" t="inlineStr">
        <is>
          <t>CLASS P: PILES</t>
        </is>
      </c>
      <c r="D2575" s="5" t="inlineStr">
        <is>
          <t>01 BORED CAST IN PLACE CONCRETE PILES</t>
        </is>
      </c>
      <c r="E2575" s="5" t="inlineStr">
        <is>
          <t>Add to the above rates where Landfill Tax applies</t>
        </is>
      </c>
      <c r="F2575" s="5" t="inlineStr">
        <is>
          <t>inactive or inert waste material</t>
        </is>
      </c>
      <c r="G2575" s="6" t="inlineStr">
        <is>
          <t>m3</t>
        </is>
      </c>
      <c r="H2575" s="7" t="n"/>
      <c r="I2575" s="8" t="n">
        <v>0</v>
      </c>
      <c r="J2575" s="8" t="n">
        <v>0</v>
      </c>
      <c r="K2575" s="8" t="n">
        <v>0</v>
      </c>
      <c r="L2575" s="8" t="n">
        <v>6.08</v>
      </c>
      <c r="M2575" s="9">
        <f>ROUND(SUM(I2575:L2575),2)</f>
        <v/>
      </c>
      <c r="N2575" s="10">
        <f>ROUND(I2575*'Irish Basis'!$C$6*'Irish Basis'!$C$5,2)</f>
        <v/>
      </c>
      <c r="O2575" s="10">
        <f>ROUND(J2575*'Irish Basis'!$C$7*'Irish Basis'!$C$5,2)</f>
        <v/>
      </c>
      <c r="P2575" s="10">
        <f>ROUND(K2575*'Irish Basis'!$C$8*'Irish Basis'!$C$5,2)</f>
        <v/>
      </c>
      <c r="Q2575" s="10">
        <f>ROUND(L2575*'Irish Basis'!$C$12*'Irish Basis'!$C$5,2)</f>
        <v/>
      </c>
      <c r="R2575" s="11">
        <f>ROUND(SUM(N2575:Q2575),2)</f>
        <v/>
      </c>
      <c r="S2575" s="5" t="inlineStr">
        <is>
          <t>All-in specialist rate</t>
        </is>
      </c>
      <c r="T2575" s="14" t="inlineStr">
        <is>
          <t>All-in (not split)</t>
        </is>
      </c>
      <c r="U2575" s="8" t="n">
        <v>6.08</v>
      </c>
      <c r="V2575" s="13">
        <f>IF(U2575="","",ROUND(M2575-U2575,2))</f>
        <v/>
      </c>
      <c r="W2575" s="5" t="n"/>
      <c r="X2575" s="5" t="inlineStr">
        <is>
          <t>Source publishes a specialist/sub-contract all-in rate; no labour/plant/material build-up exists to derive from.</t>
        </is>
      </c>
    </row>
    <row r="2576" ht="13" customHeight="1">
      <c r="A2576" s="4" t="n">
        <v>3859</v>
      </c>
      <c r="B2576" s="5" t="inlineStr">
        <is>
          <t>IMG_0117</t>
        </is>
      </c>
      <c r="C2576" s="5" t="inlineStr">
        <is>
          <t>CLASS P: PILES</t>
        </is>
      </c>
      <c r="D2576" s="5" t="inlineStr">
        <is>
          <t>01 BORED CAST IN PLACE CONCRETE PILES</t>
        </is>
      </c>
      <c r="E2576" s="5" t="inlineStr">
        <is>
          <t>Add to the above rates where Landfill Tax applies</t>
        </is>
      </c>
      <c r="F2576" s="5" t="inlineStr">
        <is>
          <t>other taxable waste material</t>
        </is>
      </c>
      <c r="G2576" s="6" t="inlineStr">
        <is>
          <t>m3</t>
        </is>
      </c>
      <c r="H2576" s="7" t="n"/>
      <c r="I2576" s="8" t="n">
        <v>0</v>
      </c>
      <c r="J2576" s="8" t="n">
        <v>0</v>
      </c>
      <c r="K2576" s="8" t="n">
        <v>0</v>
      </c>
      <c r="L2576" s="8" t="n">
        <v>189.23</v>
      </c>
      <c r="M2576" s="9">
        <f>ROUND(SUM(I2576:L2576),2)</f>
        <v/>
      </c>
      <c r="N2576" s="10">
        <f>ROUND(I2576*'Irish Basis'!$C$6*'Irish Basis'!$C$5,2)</f>
        <v/>
      </c>
      <c r="O2576" s="10">
        <f>ROUND(J2576*'Irish Basis'!$C$7*'Irish Basis'!$C$5,2)</f>
        <v/>
      </c>
      <c r="P2576" s="10">
        <f>ROUND(K2576*'Irish Basis'!$C$8*'Irish Basis'!$C$5,2)</f>
        <v/>
      </c>
      <c r="Q2576" s="10">
        <f>ROUND(L2576*'Irish Basis'!$C$12*'Irish Basis'!$C$5,2)</f>
        <v/>
      </c>
      <c r="R2576" s="11">
        <f>ROUND(SUM(N2576:Q2576),2)</f>
        <v/>
      </c>
      <c r="S2576" s="5" t="inlineStr">
        <is>
          <t>All-in specialist rate</t>
        </is>
      </c>
      <c r="T2576" s="14" t="inlineStr">
        <is>
          <t>All-in (not split)</t>
        </is>
      </c>
      <c r="U2576" s="8" t="n">
        <v>189.23</v>
      </c>
      <c r="V2576" s="13">
        <f>IF(U2576="","",ROUND(M2576-U2576,2))</f>
        <v/>
      </c>
      <c r="W2576" s="5" t="n"/>
      <c r="X2576" s="5" t="inlineStr">
        <is>
          <t>Source publishes a specialist/sub-contract all-in rate; no labour/plant/material build-up exists to derive from.</t>
        </is>
      </c>
    </row>
    <row r="2577" ht="13" customHeight="1">
      <c r="A2577" s="4" t="n">
        <v>3864</v>
      </c>
      <c r="B2577" s="5" t="inlineStr">
        <is>
          <t>IMG_0117</t>
        </is>
      </c>
      <c r="C2577" s="5" t="inlineStr">
        <is>
          <t>CLASS P: PILES</t>
        </is>
      </c>
      <c r="D2577" s="5" t="inlineStr">
        <is>
          <t>01 BORED CAST IN PLACE CONCRETE PILES</t>
        </is>
      </c>
      <c r="E2577" s="5" t="inlineStr">
        <is>
          <t>Dia.: 300 mm</t>
        </is>
      </c>
      <c r="F2577" s="5" t="inlineStr">
        <is>
          <t>number of piles (see above)</t>
        </is>
      </c>
      <c r="G2577" s="6" t="inlineStr">
        <is>
          <t>nr</t>
        </is>
      </c>
      <c r="H2577" s="7" t="n"/>
      <c r="I2577" s="8" t="n">
        <v>0</v>
      </c>
      <c r="J2577" s="8" t="n">
        <v>0</v>
      </c>
      <c r="K2577" s="8" t="n">
        <v>0</v>
      </c>
      <c r="L2577" s="8" t="n">
        <v>431.32</v>
      </c>
      <c r="M2577" s="9">
        <f>ROUND(SUM(I2577:L2577),2)</f>
        <v/>
      </c>
      <c r="N2577" s="10">
        <f>ROUND(I2577*'Irish Basis'!$C$6*'Irish Basis'!$C$5,2)</f>
        <v/>
      </c>
      <c r="O2577" s="10">
        <f>ROUND(J2577*'Irish Basis'!$C$7*'Irish Basis'!$C$5,2)</f>
        <v/>
      </c>
      <c r="P2577" s="10">
        <f>ROUND(K2577*'Irish Basis'!$C$8*'Irish Basis'!$C$5,2)</f>
        <v/>
      </c>
      <c r="Q2577" s="10">
        <f>ROUND(L2577*'Irish Basis'!$C$12*'Irish Basis'!$C$5,2)</f>
        <v/>
      </c>
      <c r="R2577" s="11">
        <f>ROUND(SUM(N2577:Q2577),2)</f>
        <v/>
      </c>
      <c r="S2577" s="5" t="inlineStr">
        <is>
          <t>All-in specialist rate</t>
        </is>
      </c>
      <c r="T2577" s="14" t="inlineStr">
        <is>
          <t>All-in (not split)</t>
        </is>
      </c>
      <c r="U2577" s="8" t="n">
        <v>431.32</v>
      </c>
      <c r="V2577" s="13">
        <f>IF(U2577="","",ROUND(M2577-U2577,2))</f>
        <v/>
      </c>
      <c r="W2577" s="5" t="n"/>
      <c r="X2577" s="5" t="inlineStr">
        <is>
          <t>Source publishes a specialist/sub-contract all-in rate; no labour/plant/material build-up exists to derive from.</t>
        </is>
      </c>
    </row>
    <row r="2578" ht="13" customHeight="1">
      <c r="A2578" s="4" t="n">
        <v>3865</v>
      </c>
      <c r="B2578" s="5" t="inlineStr">
        <is>
          <t>IMG_0117</t>
        </is>
      </c>
      <c r="C2578" s="5" t="inlineStr">
        <is>
          <t>CLASS P: PILES</t>
        </is>
      </c>
      <c r="D2578" s="5" t="inlineStr">
        <is>
          <t>01 BORED CAST IN PLACE CONCRETE PILES</t>
        </is>
      </c>
      <c r="E2578" s="5" t="inlineStr">
        <is>
          <t>Dia.: 300 mm</t>
        </is>
      </c>
      <c r="F2578" s="5" t="inlineStr">
        <is>
          <t>concreted length</t>
        </is>
      </c>
      <c r="G2578" s="6" t="inlineStr">
        <is>
          <t>m</t>
        </is>
      </c>
      <c r="H2578" s="7" t="n"/>
      <c r="I2578" s="8" t="n">
        <v>0</v>
      </c>
      <c r="J2578" s="8" t="n">
        <v>0</v>
      </c>
      <c r="K2578" s="8" t="n">
        <v>0</v>
      </c>
      <c r="L2578" s="8" t="n">
        <v>19.64</v>
      </c>
      <c r="M2578" s="9">
        <f>ROUND(SUM(I2578:L2578),2)</f>
        <v/>
      </c>
      <c r="N2578" s="10">
        <f>ROUND(I2578*'Irish Basis'!$C$6*'Irish Basis'!$C$5,2)</f>
        <v/>
      </c>
      <c r="O2578" s="10">
        <f>ROUND(J2578*'Irish Basis'!$C$7*'Irish Basis'!$C$5,2)</f>
        <v/>
      </c>
      <c r="P2578" s="10">
        <f>ROUND(K2578*'Irish Basis'!$C$8*'Irish Basis'!$C$5,2)</f>
        <v/>
      </c>
      <c r="Q2578" s="10">
        <f>ROUND(L2578*'Irish Basis'!$C$12*'Irish Basis'!$C$5,2)</f>
        <v/>
      </c>
      <c r="R2578" s="11">
        <f>ROUND(SUM(N2578:Q2578),2)</f>
        <v/>
      </c>
      <c r="S2578" s="5" t="inlineStr">
        <is>
          <t>All-in specialist rate</t>
        </is>
      </c>
      <c r="T2578" s="14" t="inlineStr">
        <is>
          <t>All-in (not split)</t>
        </is>
      </c>
      <c r="U2578" s="8" t="n">
        <v>19.64</v>
      </c>
      <c r="V2578" s="13">
        <f>IF(U2578="","",ROUND(M2578-U2578,2))</f>
        <v/>
      </c>
      <c r="W2578" s="5" t="n"/>
      <c r="X2578" s="5" t="inlineStr">
        <is>
          <t>Source publishes a specialist/sub-contract all-in rate; no labour/plant/material build-up exists to derive from.</t>
        </is>
      </c>
    </row>
    <row r="2579" ht="13" customHeight="1">
      <c r="A2579" s="4" t="n">
        <v>3866</v>
      </c>
      <c r="B2579" s="5" t="inlineStr">
        <is>
          <t>IMG_0117</t>
        </is>
      </c>
      <c r="C2579" s="5" t="inlineStr">
        <is>
          <t>CLASS P: PILES</t>
        </is>
      </c>
      <c r="D2579" s="5" t="inlineStr">
        <is>
          <t>01 BORED CAST IN PLACE CONCRETE PILES</t>
        </is>
      </c>
      <c r="E2579" s="5" t="inlineStr">
        <is>
          <t>Dia.: 300 mm</t>
        </is>
      </c>
      <c r="F2579" s="5" t="inlineStr">
        <is>
          <t>depth bored to 10 m maximum depth</t>
        </is>
      </c>
      <c r="G2579" s="6" t="inlineStr">
        <is>
          <t>m</t>
        </is>
      </c>
      <c r="H2579" s="7" t="n"/>
      <c r="I2579" s="8" t="n">
        <v>0</v>
      </c>
      <c r="J2579" s="8" t="n">
        <v>0</v>
      </c>
      <c r="K2579" s="8" t="n">
        <v>0</v>
      </c>
      <c r="L2579" s="8" t="n">
        <v>60.82</v>
      </c>
      <c r="M2579" s="9">
        <f>ROUND(SUM(I2579:L2579),2)</f>
        <v/>
      </c>
      <c r="N2579" s="10">
        <f>ROUND(I2579*'Irish Basis'!$C$6*'Irish Basis'!$C$5,2)</f>
        <v/>
      </c>
      <c r="O2579" s="10">
        <f>ROUND(J2579*'Irish Basis'!$C$7*'Irish Basis'!$C$5,2)</f>
        <v/>
      </c>
      <c r="P2579" s="10">
        <f>ROUND(K2579*'Irish Basis'!$C$8*'Irish Basis'!$C$5,2)</f>
        <v/>
      </c>
      <c r="Q2579" s="10">
        <f>ROUND(L2579*'Irish Basis'!$C$12*'Irish Basis'!$C$5,2)</f>
        <v/>
      </c>
      <c r="R2579" s="11">
        <f>ROUND(SUM(N2579:Q2579),2)</f>
        <v/>
      </c>
      <c r="S2579" s="5" t="inlineStr">
        <is>
          <t>All-in specialist rate</t>
        </is>
      </c>
      <c r="T2579" s="14" t="inlineStr">
        <is>
          <t>All-in (not split)</t>
        </is>
      </c>
      <c r="U2579" s="8" t="n">
        <v>60.82</v>
      </c>
      <c r="V2579" s="13">
        <f>IF(U2579="","",ROUND(M2579-U2579,2))</f>
        <v/>
      </c>
      <c r="W2579" s="5" t="n"/>
      <c r="X2579" s="5" t="inlineStr">
        <is>
          <t>Source publishes a specialist/sub-contract all-in rate; no labour/plant/material build-up exists to derive from.</t>
        </is>
      </c>
    </row>
    <row r="2580" ht="13" customHeight="1">
      <c r="A2580" s="4" t="n">
        <v>3867</v>
      </c>
      <c r="B2580" s="5" t="inlineStr">
        <is>
          <t>IMG_0117</t>
        </is>
      </c>
      <c r="C2580" s="5" t="inlineStr">
        <is>
          <t>CLASS P: PILES</t>
        </is>
      </c>
      <c r="D2580" s="5" t="inlineStr">
        <is>
          <t>01 BORED CAST IN PLACE CONCRETE PILES</t>
        </is>
      </c>
      <c r="E2580" s="5" t="inlineStr">
        <is>
          <t>Dia.: 300 mm</t>
        </is>
      </c>
      <c r="F2580" s="5" t="inlineStr">
        <is>
          <t>depth bored to 15 m maximum depth</t>
        </is>
      </c>
      <c r="G2580" s="6" t="inlineStr">
        <is>
          <t>m</t>
        </is>
      </c>
      <c r="H2580" s="7" t="n"/>
      <c r="I2580" s="8" t="n">
        <v>0</v>
      </c>
      <c r="J2580" s="8" t="n">
        <v>0</v>
      </c>
      <c r="K2580" s="8" t="n">
        <v>0</v>
      </c>
      <c r="L2580" s="8" t="n">
        <v>60.82</v>
      </c>
      <c r="M2580" s="9">
        <f>ROUND(SUM(I2580:L2580),2)</f>
        <v/>
      </c>
      <c r="N2580" s="10">
        <f>ROUND(I2580*'Irish Basis'!$C$6*'Irish Basis'!$C$5,2)</f>
        <v/>
      </c>
      <c r="O2580" s="10">
        <f>ROUND(J2580*'Irish Basis'!$C$7*'Irish Basis'!$C$5,2)</f>
        <v/>
      </c>
      <c r="P2580" s="10">
        <f>ROUND(K2580*'Irish Basis'!$C$8*'Irish Basis'!$C$5,2)</f>
        <v/>
      </c>
      <c r="Q2580" s="10">
        <f>ROUND(L2580*'Irish Basis'!$C$12*'Irish Basis'!$C$5,2)</f>
        <v/>
      </c>
      <c r="R2580" s="11">
        <f>ROUND(SUM(N2580:Q2580),2)</f>
        <v/>
      </c>
      <c r="S2580" s="5" t="inlineStr">
        <is>
          <t>All-in specialist rate</t>
        </is>
      </c>
      <c r="T2580" s="14" t="inlineStr">
        <is>
          <t>All-in (not split)</t>
        </is>
      </c>
      <c r="U2580" s="8" t="n">
        <v>60.82</v>
      </c>
      <c r="V2580" s="13">
        <f>IF(U2580="","",ROUND(M2580-U2580,2))</f>
        <v/>
      </c>
      <c r="W2580" s="5" t="n"/>
      <c r="X2580" s="5" t="inlineStr">
        <is>
          <t>Source publishes a specialist/sub-contract all-in rate; no labour/plant/material build-up exists to derive from.</t>
        </is>
      </c>
    </row>
    <row r="2581" ht="13" customHeight="1">
      <c r="A2581" s="4" t="n">
        <v>3868</v>
      </c>
      <c r="B2581" s="5" t="inlineStr">
        <is>
          <t>IMG_0117</t>
        </is>
      </c>
      <c r="C2581" s="5" t="inlineStr">
        <is>
          <t>CLASS P: PILES</t>
        </is>
      </c>
      <c r="D2581" s="5" t="inlineStr">
        <is>
          <t>01 BORED CAST IN PLACE CONCRETE PILES</t>
        </is>
      </c>
      <c r="E2581" s="5" t="inlineStr">
        <is>
          <t>Dia.: 300 mm</t>
        </is>
      </c>
      <c r="F2581" s="5" t="inlineStr">
        <is>
          <t>depth bored to 20 m maximum depth</t>
        </is>
      </c>
      <c r="G2581" s="6" t="inlineStr">
        <is>
          <t>m</t>
        </is>
      </c>
      <c r="H2581" s="7" t="n"/>
      <c r="I2581" s="8" t="n">
        <v>0</v>
      </c>
      <c r="J2581" s="8" t="n">
        <v>0</v>
      </c>
      <c r="K2581" s="8" t="n">
        <v>0</v>
      </c>
      <c r="L2581" s="8" t="n">
        <v>60.82</v>
      </c>
      <c r="M2581" s="9">
        <f>ROUND(SUM(I2581:L2581),2)</f>
        <v/>
      </c>
      <c r="N2581" s="10">
        <f>ROUND(I2581*'Irish Basis'!$C$6*'Irish Basis'!$C$5,2)</f>
        <v/>
      </c>
      <c r="O2581" s="10">
        <f>ROUND(J2581*'Irish Basis'!$C$7*'Irish Basis'!$C$5,2)</f>
        <v/>
      </c>
      <c r="P2581" s="10">
        <f>ROUND(K2581*'Irish Basis'!$C$8*'Irish Basis'!$C$5,2)</f>
        <v/>
      </c>
      <c r="Q2581" s="10">
        <f>ROUND(L2581*'Irish Basis'!$C$12*'Irish Basis'!$C$5,2)</f>
        <v/>
      </c>
      <c r="R2581" s="11">
        <f>ROUND(SUM(N2581:Q2581),2)</f>
        <v/>
      </c>
      <c r="S2581" s="5" t="inlineStr">
        <is>
          <t>All-in specialist rate</t>
        </is>
      </c>
      <c r="T2581" s="14" t="inlineStr">
        <is>
          <t>All-in (not split)</t>
        </is>
      </c>
      <c r="U2581" s="8" t="n">
        <v>60.82</v>
      </c>
      <c r="V2581" s="13">
        <f>IF(U2581="","",ROUND(M2581-U2581,2))</f>
        <v/>
      </c>
      <c r="W2581" s="5" t="n"/>
      <c r="X2581" s="5" t="inlineStr">
        <is>
          <t>Source publishes a specialist/sub-contract all-in rate; no labour/plant/material build-up exists to derive from.</t>
        </is>
      </c>
    </row>
    <row r="2582" ht="13" customHeight="1">
      <c r="A2582" s="4" t="n">
        <v>3870</v>
      </c>
      <c r="B2582" s="5" t="inlineStr">
        <is>
          <t>IMG_0117</t>
        </is>
      </c>
      <c r="C2582" s="5" t="inlineStr">
        <is>
          <t>CLASS P: PILES</t>
        </is>
      </c>
      <c r="D2582" s="5" t="inlineStr">
        <is>
          <t>01 BORED CAST IN PLACE CONCRETE PILES</t>
        </is>
      </c>
      <c r="E2582" s="5" t="inlineStr">
        <is>
          <t>Dia.: 450 mm</t>
        </is>
      </c>
      <c r="F2582" s="5" t="inlineStr">
        <is>
          <t>number of piles (see above)</t>
        </is>
      </c>
      <c r="G2582" s="6" t="inlineStr">
        <is>
          <t>nr</t>
        </is>
      </c>
      <c r="H2582" s="7" t="n"/>
      <c r="I2582" s="8" t="n">
        <v>0</v>
      </c>
      <c r="J2582" s="8" t="n">
        <v>0</v>
      </c>
      <c r="K2582" s="8" t="n">
        <v>0</v>
      </c>
      <c r="L2582" s="8" t="n">
        <v>431.32</v>
      </c>
      <c r="M2582" s="9">
        <f>ROUND(SUM(I2582:L2582),2)</f>
        <v/>
      </c>
      <c r="N2582" s="10">
        <f>ROUND(I2582*'Irish Basis'!$C$6*'Irish Basis'!$C$5,2)</f>
        <v/>
      </c>
      <c r="O2582" s="10">
        <f>ROUND(J2582*'Irish Basis'!$C$7*'Irish Basis'!$C$5,2)</f>
        <v/>
      </c>
      <c r="P2582" s="10">
        <f>ROUND(K2582*'Irish Basis'!$C$8*'Irish Basis'!$C$5,2)</f>
        <v/>
      </c>
      <c r="Q2582" s="10">
        <f>ROUND(L2582*'Irish Basis'!$C$12*'Irish Basis'!$C$5,2)</f>
        <v/>
      </c>
      <c r="R2582" s="11">
        <f>ROUND(SUM(N2582:Q2582),2)</f>
        <v/>
      </c>
      <c r="S2582" s="5" t="inlineStr">
        <is>
          <t>All-in specialist rate</t>
        </is>
      </c>
      <c r="T2582" s="14" t="inlineStr">
        <is>
          <t>All-in (not split)</t>
        </is>
      </c>
      <c r="U2582" s="8" t="n">
        <v>431.32</v>
      </c>
      <c r="V2582" s="13">
        <f>IF(U2582="","",ROUND(M2582-U2582,2))</f>
        <v/>
      </c>
      <c r="W2582" s="5" t="n"/>
      <c r="X2582" s="5" t="inlineStr">
        <is>
          <t>Source publishes a specialist/sub-contract all-in rate; no labour/plant/material build-up exists to derive from.</t>
        </is>
      </c>
    </row>
    <row r="2583" ht="13" customHeight="1">
      <c r="A2583" s="4" t="n">
        <v>3871</v>
      </c>
      <c r="B2583" s="5" t="inlineStr">
        <is>
          <t>IMG_0117</t>
        </is>
      </c>
      <c r="C2583" s="5" t="inlineStr">
        <is>
          <t>CLASS P: PILES</t>
        </is>
      </c>
      <c r="D2583" s="5" t="inlineStr">
        <is>
          <t>01 BORED CAST IN PLACE CONCRETE PILES</t>
        </is>
      </c>
      <c r="E2583" s="5" t="inlineStr">
        <is>
          <t>Dia.: 450 mm</t>
        </is>
      </c>
      <c r="F2583" s="5" t="inlineStr">
        <is>
          <t>concreted length</t>
        </is>
      </c>
      <c r="G2583" s="6" t="inlineStr">
        <is>
          <t>m</t>
        </is>
      </c>
      <c r="H2583" s="7" t="n"/>
      <c r="I2583" s="8" t="n">
        <v>0</v>
      </c>
      <c r="J2583" s="8" t="n">
        <v>0</v>
      </c>
      <c r="K2583" s="8" t="n">
        <v>0</v>
      </c>
      <c r="L2583" s="8" t="n">
        <v>24.32</v>
      </c>
      <c r="M2583" s="9">
        <f>ROUND(SUM(I2583:L2583),2)</f>
        <v/>
      </c>
      <c r="N2583" s="10">
        <f>ROUND(I2583*'Irish Basis'!$C$6*'Irish Basis'!$C$5,2)</f>
        <v/>
      </c>
      <c r="O2583" s="10">
        <f>ROUND(J2583*'Irish Basis'!$C$7*'Irish Basis'!$C$5,2)</f>
        <v/>
      </c>
      <c r="P2583" s="10">
        <f>ROUND(K2583*'Irish Basis'!$C$8*'Irish Basis'!$C$5,2)</f>
        <v/>
      </c>
      <c r="Q2583" s="10">
        <f>ROUND(L2583*'Irish Basis'!$C$12*'Irish Basis'!$C$5,2)</f>
        <v/>
      </c>
      <c r="R2583" s="11">
        <f>ROUND(SUM(N2583:Q2583),2)</f>
        <v/>
      </c>
      <c r="S2583" s="5" t="inlineStr">
        <is>
          <t>All-in specialist rate</t>
        </is>
      </c>
      <c r="T2583" s="14" t="inlineStr">
        <is>
          <t>All-in (not split)</t>
        </is>
      </c>
      <c r="U2583" s="8" t="n">
        <v>24.32</v>
      </c>
      <c r="V2583" s="13">
        <f>IF(U2583="","",ROUND(M2583-U2583,2))</f>
        <v/>
      </c>
      <c r="W2583" s="5" t="n"/>
      <c r="X2583" s="5" t="inlineStr">
        <is>
          <t>Source publishes a specialist/sub-contract all-in rate; no labour/plant/material build-up exists to derive from.</t>
        </is>
      </c>
    </row>
    <row r="2584" ht="13" customHeight="1">
      <c r="A2584" s="4" t="n">
        <v>3872</v>
      </c>
      <c r="B2584" s="5" t="inlineStr">
        <is>
          <t>IMG_0117</t>
        </is>
      </c>
      <c r="C2584" s="5" t="inlineStr">
        <is>
          <t>CLASS P: PILES</t>
        </is>
      </c>
      <c r="D2584" s="5" t="inlineStr">
        <is>
          <t>01 BORED CAST IN PLACE CONCRETE PILES</t>
        </is>
      </c>
      <c r="E2584" s="5" t="inlineStr">
        <is>
          <t>Dia.: 450 mm</t>
        </is>
      </c>
      <c r="F2584" s="5" t="inlineStr">
        <is>
          <t>depth bored to 10 m maximum depth</t>
        </is>
      </c>
      <c r="G2584" s="6" t="inlineStr">
        <is>
          <t>m</t>
        </is>
      </c>
      <c r="H2584" s="7" t="n"/>
      <c r="I2584" s="8" t="n">
        <v>0</v>
      </c>
      <c r="J2584" s="8" t="n">
        <v>0</v>
      </c>
      <c r="K2584" s="8" t="n">
        <v>0</v>
      </c>
      <c r="L2584" s="8" t="n">
        <v>76.06999999999999</v>
      </c>
      <c r="M2584" s="9">
        <f>ROUND(SUM(I2584:L2584),2)</f>
        <v/>
      </c>
      <c r="N2584" s="10">
        <f>ROUND(I2584*'Irish Basis'!$C$6*'Irish Basis'!$C$5,2)</f>
        <v/>
      </c>
      <c r="O2584" s="10">
        <f>ROUND(J2584*'Irish Basis'!$C$7*'Irish Basis'!$C$5,2)</f>
        <v/>
      </c>
      <c r="P2584" s="10">
        <f>ROUND(K2584*'Irish Basis'!$C$8*'Irish Basis'!$C$5,2)</f>
        <v/>
      </c>
      <c r="Q2584" s="10">
        <f>ROUND(L2584*'Irish Basis'!$C$12*'Irish Basis'!$C$5,2)</f>
        <v/>
      </c>
      <c r="R2584" s="11">
        <f>ROUND(SUM(N2584:Q2584),2)</f>
        <v/>
      </c>
      <c r="S2584" s="5" t="inlineStr">
        <is>
          <t>All-in specialist rate</t>
        </is>
      </c>
      <c r="T2584" s="14" t="inlineStr">
        <is>
          <t>All-in (not split)</t>
        </is>
      </c>
      <c r="U2584" s="8" t="n">
        <v>76.06999999999999</v>
      </c>
      <c r="V2584" s="13">
        <f>IF(U2584="","",ROUND(M2584-U2584,2))</f>
        <v/>
      </c>
      <c r="W2584" s="5" t="n"/>
      <c r="X2584" s="5" t="inlineStr">
        <is>
          <t>Source publishes a specialist/sub-contract all-in rate; no labour/plant/material build-up exists to derive from.</t>
        </is>
      </c>
    </row>
    <row r="2585" ht="13" customHeight="1">
      <c r="A2585" s="4" t="n">
        <v>3873</v>
      </c>
      <c r="B2585" s="5" t="inlineStr">
        <is>
          <t>IMG_0117</t>
        </is>
      </c>
      <c r="C2585" s="5" t="inlineStr">
        <is>
          <t>CLASS P: PILES</t>
        </is>
      </c>
      <c r="D2585" s="5" t="inlineStr">
        <is>
          <t>01 BORED CAST IN PLACE CONCRETE PILES</t>
        </is>
      </c>
      <c r="E2585" s="5" t="inlineStr">
        <is>
          <t>Dia.: 450 mm</t>
        </is>
      </c>
      <c r="F2585" s="5" t="inlineStr">
        <is>
          <t>depth bored to 15 m maximum depth</t>
        </is>
      </c>
      <c r="G2585" s="6" t="inlineStr">
        <is>
          <t>m</t>
        </is>
      </c>
      <c r="H2585" s="7" t="n"/>
      <c r="I2585" s="8" t="n">
        <v>0</v>
      </c>
      <c r="J2585" s="8" t="n">
        <v>0</v>
      </c>
      <c r="K2585" s="8" t="n">
        <v>0</v>
      </c>
      <c r="L2585" s="8" t="n">
        <v>76.09</v>
      </c>
      <c r="M2585" s="9">
        <f>ROUND(SUM(I2585:L2585),2)</f>
        <v/>
      </c>
      <c r="N2585" s="10">
        <f>ROUND(I2585*'Irish Basis'!$C$6*'Irish Basis'!$C$5,2)</f>
        <v/>
      </c>
      <c r="O2585" s="10">
        <f>ROUND(J2585*'Irish Basis'!$C$7*'Irish Basis'!$C$5,2)</f>
        <v/>
      </c>
      <c r="P2585" s="10">
        <f>ROUND(K2585*'Irish Basis'!$C$8*'Irish Basis'!$C$5,2)</f>
        <v/>
      </c>
      <c r="Q2585" s="10">
        <f>ROUND(L2585*'Irish Basis'!$C$12*'Irish Basis'!$C$5,2)</f>
        <v/>
      </c>
      <c r="R2585" s="11">
        <f>ROUND(SUM(N2585:Q2585),2)</f>
        <v/>
      </c>
      <c r="S2585" s="5" t="inlineStr">
        <is>
          <t>All-in specialist rate</t>
        </is>
      </c>
      <c r="T2585" s="14" t="inlineStr">
        <is>
          <t>All-in (not split)</t>
        </is>
      </c>
      <c r="U2585" s="8" t="n">
        <v>76.09</v>
      </c>
      <c r="V2585" s="13">
        <f>IF(U2585="","",ROUND(M2585-U2585,2))</f>
        <v/>
      </c>
      <c r="W2585" s="5" t="n"/>
      <c r="X2585" s="5" t="inlineStr">
        <is>
          <t>Source publishes a specialist/sub-contract all-in rate; no labour/plant/material build-up exists to derive from.</t>
        </is>
      </c>
    </row>
    <row r="2586" ht="13" customHeight="1">
      <c r="A2586" s="4" t="n">
        <v>3874</v>
      </c>
      <c r="B2586" s="5" t="inlineStr">
        <is>
          <t>IMG_0117</t>
        </is>
      </c>
      <c r="C2586" s="5" t="inlineStr">
        <is>
          <t>CLASS P: PILES</t>
        </is>
      </c>
      <c r="D2586" s="5" t="inlineStr">
        <is>
          <t>01 BORED CAST IN PLACE CONCRETE PILES</t>
        </is>
      </c>
      <c r="E2586" s="5" t="inlineStr">
        <is>
          <t>Dia.: 450 mm</t>
        </is>
      </c>
      <c r="F2586" s="5" t="inlineStr">
        <is>
          <t>depth bored to 20 m maximum depth</t>
        </is>
      </c>
      <c r="G2586" s="6" t="inlineStr">
        <is>
          <t>m</t>
        </is>
      </c>
      <c r="H2586" s="7" t="n"/>
      <c r="I2586" s="8" t="n">
        <v>0</v>
      </c>
      <c r="J2586" s="8" t="n">
        <v>0</v>
      </c>
      <c r="K2586" s="8" t="n">
        <v>0</v>
      </c>
      <c r="L2586" s="8" t="n">
        <v>76.09</v>
      </c>
      <c r="M2586" s="9">
        <f>ROUND(SUM(I2586:L2586),2)</f>
        <v/>
      </c>
      <c r="N2586" s="10">
        <f>ROUND(I2586*'Irish Basis'!$C$6*'Irish Basis'!$C$5,2)</f>
        <v/>
      </c>
      <c r="O2586" s="10">
        <f>ROUND(J2586*'Irish Basis'!$C$7*'Irish Basis'!$C$5,2)</f>
        <v/>
      </c>
      <c r="P2586" s="10">
        <f>ROUND(K2586*'Irish Basis'!$C$8*'Irish Basis'!$C$5,2)</f>
        <v/>
      </c>
      <c r="Q2586" s="10">
        <f>ROUND(L2586*'Irish Basis'!$C$12*'Irish Basis'!$C$5,2)</f>
        <v/>
      </c>
      <c r="R2586" s="11">
        <f>ROUND(SUM(N2586:Q2586),2)</f>
        <v/>
      </c>
      <c r="S2586" s="5" t="inlineStr">
        <is>
          <t>All-in specialist rate</t>
        </is>
      </c>
      <c r="T2586" s="14" t="inlineStr">
        <is>
          <t>All-in (not split)</t>
        </is>
      </c>
      <c r="U2586" s="8" t="n">
        <v>76.09</v>
      </c>
      <c r="V2586" s="13">
        <f>IF(U2586="","",ROUND(M2586-U2586,2))</f>
        <v/>
      </c>
      <c r="W2586" s="5" t="n"/>
      <c r="X2586" s="5" t="inlineStr">
        <is>
          <t>Source publishes a specialist/sub-contract all-in rate; no labour/plant/material build-up exists to derive from.</t>
        </is>
      </c>
    </row>
    <row r="2587" ht="13" customHeight="1">
      <c r="A2587" s="4" t="n">
        <v>3876</v>
      </c>
      <c r="B2587" s="5" t="inlineStr">
        <is>
          <t>IMG_0117</t>
        </is>
      </c>
      <c r="C2587" s="5" t="inlineStr">
        <is>
          <t>CLASS P: PILES</t>
        </is>
      </c>
      <c r="D2587" s="5" t="inlineStr">
        <is>
          <t>01 BORED CAST IN PLACE CONCRETE PILES</t>
        </is>
      </c>
      <c r="E2587" s="5" t="inlineStr">
        <is>
          <t>Dia.: 600 mm</t>
        </is>
      </c>
      <c r="F2587" s="5" t="inlineStr">
        <is>
          <t>number of piles (see above)</t>
        </is>
      </c>
      <c r="G2587" s="6" t="inlineStr">
        <is>
          <t>nr</t>
        </is>
      </c>
      <c r="H2587" s="7" t="n"/>
      <c r="I2587" s="8" t="n">
        <v>0</v>
      </c>
      <c r="J2587" s="8" t="n">
        <v>0</v>
      </c>
      <c r="K2587" s="8" t="n">
        <v>0</v>
      </c>
      <c r="L2587" s="8" t="n">
        <v>431.32</v>
      </c>
      <c r="M2587" s="9">
        <f>ROUND(SUM(I2587:L2587),2)</f>
        <v/>
      </c>
      <c r="N2587" s="10">
        <f>ROUND(I2587*'Irish Basis'!$C$6*'Irish Basis'!$C$5,2)</f>
        <v/>
      </c>
      <c r="O2587" s="10">
        <f>ROUND(J2587*'Irish Basis'!$C$7*'Irish Basis'!$C$5,2)</f>
        <v/>
      </c>
      <c r="P2587" s="10">
        <f>ROUND(K2587*'Irish Basis'!$C$8*'Irish Basis'!$C$5,2)</f>
        <v/>
      </c>
      <c r="Q2587" s="10">
        <f>ROUND(L2587*'Irish Basis'!$C$12*'Irish Basis'!$C$5,2)</f>
        <v/>
      </c>
      <c r="R2587" s="11">
        <f>ROUND(SUM(N2587:Q2587),2)</f>
        <v/>
      </c>
      <c r="S2587" s="5" t="inlineStr">
        <is>
          <t>All-in specialist rate</t>
        </is>
      </c>
      <c r="T2587" s="14" t="inlineStr">
        <is>
          <t>All-in (not split)</t>
        </is>
      </c>
      <c r="U2587" s="8" t="n">
        <v>431.32</v>
      </c>
      <c r="V2587" s="13">
        <f>IF(U2587="","",ROUND(M2587-U2587,2))</f>
        <v/>
      </c>
      <c r="W2587" s="5" t="n"/>
      <c r="X2587" s="5" t="inlineStr">
        <is>
          <t>Source publishes a specialist/sub-contract all-in rate; no labour/plant/material build-up exists to derive from.</t>
        </is>
      </c>
    </row>
    <row r="2588" ht="13" customHeight="1">
      <c r="A2588" s="4" t="n">
        <v>3877</v>
      </c>
      <c r="B2588" s="5" t="inlineStr">
        <is>
          <t>IMG_0117</t>
        </is>
      </c>
      <c r="C2588" s="5" t="inlineStr">
        <is>
          <t>CLASS P: PILES</t>
        </is>
      </c>
      <c r="D2588" s="5" t="inlineStr">
        <is>
          <t>01 BORED CAST IN PLACE CONCRETE PILES</t>
        </is>
      </c>
      <c r="E2588" s="5" t="inlineStr">
        <is>
          <t>Dia.: 600 mm</t>
        </is>
      </c>
      <c r="F2588" s="5" t="inlineStr">
        <is>
          <t>concreted length</t>
        </is>
      </c>
      <c r="G2588" s="6" t="inlineStr">
        <is>
          <t>m</t>
        </is>
      </c>
      <c r="H2588" s="7" t="n"/>
      <c r="I2588" s="8" t="n">
        <v>0</v>
      </c>
      <c r="J2588" s="8" t="n">
        <v>0</v>
      </c>
      <c r="K2588" s="8" t="n">
        <v>0</v>
      </c>
      <c r="L2588" s="8" t="n">
        <v>62.29</v>
      </c>
      <c r="M2588" s="9">
        <f>ROUND(SUM(I2588:L2588),2)</f>
        <v/>
      </c>
      <c r="N2588" s="10">
        <f>ROUND(I2588*'Irish Basis'!$C$6*'Irish Basis'!$C$5,2)</f>
        <v/>
      </c>
      <c r="O2588" s="10">
        <f>ROUND(J2588*'Irish Basis'!$C$7*'Irish Basis'!$C$5,2)</f>
        <v/>
      </c>
      <c r="P2588" s="10">
        <f>ROUND(K2588*'Irish Basis'!$C$8*'Irish Basis'!$C$5,2)</f>
        <v/>
      </c>
      <c r="Q2588" s="10">
        <f>ROUND(L2588*'Irish Basis'!$C$12*'Irish Basis'!$C$5,2)</f>
        <v/>
      </c>
      <c r="R2588" s="11">
        <f>ROUND(SUM(N2588:Q2588),2)</f>
        <v/>
      </c>
      <c r="S2588" s="5" t="inlineStr">
        <is>
          <t>All-in specialist rate</t>
        </is>
      </c>
      <c r="T2588" s="14" t="inlineStr">
        <is>
          <t>All-in (not split)</t>
        </is>
      </c>
      <c r="U2588" s="8" t="n">
        <v>62.29</v>
      </c>
      <c r="V2588" s="13">
        <f>IF(U2588="","",ROUND(M2588-U2588,2))</f>
        <v/>
      </c>
      <c r="W2588" s="5" t="n"/>
      <c r="X2588" s="5" t="inlineStr">
        <is>
          <t>Source publishes a specialist/sub-contract all-in rate; no labour/plant/material build-up exists to derive from.</t>
        </is>
      </c>
    </row>
    <row r="2589" ht="13" customHeight="1">
      <c r="A2589" s="4" t="n">
        <v>3878</v>
      </c>
      <c r="B2589" s="5" t="inlineStr">
        <is>
          <t>IMG_0117</t>
        </is>
      </c>
      <c r="C2589" s="5" t="inlineStr">
        <is>
          <t>CLASS P: PILES</t>
        </is>
      </c>
      <c r="D2589" s="5" t="inlineStr">
        <is>
          <t>01 BORED CAST IN PLACE CONCRETE PILES</t>
        </is>
      </c>
      <c r="E2589" s="5" t="inlineStr">
        <is>
          <t>Dia.: 600 mm</t>
        </is>
      </c>
      <c r="F2589" s="5" t="inlineStr">
        <is>
          <t>depth bored to 10 m maximum depth</t>
        </is>
      </c>
      <c r="G2589" s="6" t="inlineStr">
        <is>
          <t>m</t>
        </is>
      </c>
      <c r="H2589" s="7" t="n"/>
      <c r="I2589" s="8" t="n">
        <v>0</v>
      </c>
      <c r="J2589" s="8" t="n">
        <v>0</v>
      </c>
      <c r="K2589" s="8" t="n">
        <v>0</v>
      </c>
      <c r="L2589" s="8" t="n">
        <v>135.02</v>
      </c>
      <c r="M2589" s="9">
        <f>ROUND(SUM(I2589:L2589),2)</f>
        <v/>
      </c>
      <c r="N2589" s="10">
        <f>ROUND(I2589*'Irish Basis'!$C$6*'Irish Basis'!$C$5,2)</f>
        <v/>
      </c>
      <c r="O2589" s="10">
        <f>ROUND(J2589*'Irish Basis'!$C$7*'Irish Basis'!$C$5,2)</f>
        <v/>
      </c>
      <c r="P2589" s="10">
        <f>ROUND(K2589*'Irish Basis'!$C$8*'Irish Basis'!$C$5,2)</f>
        <v/>
      </c>
      <c r="Q2589" s="10">
        <f>ROUND(L2589*'Irish Basis'!$C$12*'Irish Basis'!$C$5,2)</f>
        <v/>
      </c>
      <c r="R2589" s="11">
        <f>ROUND(SUM(N2589:Q2589),2)</f>
        <v/>
      </c>
      <c r="S2589" s="5" t="inlineStr">
        <is>
          <t>All-in specialist rate</t>
        </is>
      </c>
      <c r="T2589" s="14" t="inlineStr">
        <is>
          <t>All-in (not split)</t>
        </is>
      </c>
      <c r="U2589" s="8" t="n">
        <v>135.02</v>
      </c>
      <c r="V2589" s="13">
        <f>IF(U2589="","",ROUND(M2589-U2589,2))</f>
        <v/>
      </c>
      <c r="W2589" s="5" t="n"/>
      <c r="X2589" s="5" t="inlineStr">
        <is>
          <t>Source publishes a specialist/sub-contract all-in rate; no labour/plant/material build-up exists to derive from.</t>
        </is>
      </c>
    </row>
    <row r="2590" ht="13" customHeight="1">
      <c r="A2590" s="4" t="n">
        <v>3880</v>
      </c>
      <c r="B2590" s="5" t="inlineStr">
        <is>
          <t>IMG_0118</t>
        </is>
      </c>
      <c r="C2590" s="5" t="inlineStr">
        <is>
          <t>CLASS P: PILES</t>
        </is>
      </c>
      <c r="D2590" s="5" t="inlineStr">
        <is>
          <t>01 BORED CAST IN PLACE CONCRETE PILES</t>
        </is>
      </c>
      <c r="E2590" s="5" t="inlineStr">
        <is>
          <t>Concrete 35 N/mm2, 20 mm aggregate; installed by lorry/crawler-mounted rotary rig; Dia.: 600 mm (continued)</t>
        </is>
      </c>
      <c r="F2590" s="5" t="inlineStr">
        <is>
          <t>depth bored to 15 m maximum depth</t>
        </is>
      </c>
      <c r="G2590" s="6" t="inlineStr">
        <is>
          <t>m</t>
        </is>
      </c>
      <c r="H2590" s="7" t="n"/>
      <c r="I2590" s="8" t="n">
        <v>0</v>
      </c>
      <c r="J2590" s="8" t="n">
        <v>0</v>
      </c>
      <c r="K2590" s="8" t="n">
        <v>0</v>
      </c>
      <c r="L2590" s="8" t="n">
        <v>135.7</v>
      </c>
      <c r="M2590" s="9">
        <f>ROUND(SUM(I2590:L2590),2)</f>
        <v/>
      </c>
      <c r="N2590" s="10">
        <f>ROUND(I2590*'Irish Basis'!$C$6*'Irish Basis'!$C$5,2)</f>
        <v/>
      </c>
      <c r="O2590" s="10">
        <f>ROUND(J2590*'Irish Basis'!$C$7*'Irish Basis'!$C$5,2)</f>
        <v/>
      </c>
      <c r="P2590" s="10">
        <f>ROUND(K2590*'Irish Basis'!$C$8*'Irish Basis'!$C$5,2)</f>
        <v/>
      </c>
      <c r="Q2590" s="10">
        <f>ROUND(L2590*'Irish Basis'!$C$12*'Irish Basis'!$C$5,2)</f>
        <v/>
      </c>
      <c r="R2590" s="11">
        <f>ROUND(SUM(N2590:Q2590),2)</f>
        <v/>
      </c>
      <c r="S2590" s="5" t="inlineStr">
        <is>
          <t>All-in specialist rate</t>
        </is>
      </c>
      <c r="T2590" s="14" t="inlineStr">
        <is>
          <t>All-in (not split)</t>
        </is>
      </c>
      <c r="U2590" s="8" t="n">
        <v>135.7</v>
      </c>
      <c r="V2590" s="13">
        <f>IF(U2590="","",ROUND(M2590-U2590,2))</f>
        <v/>
      </c>
      <c r="W2590" s="5" t="n"/>
      <c r="X2590" s="5" t="inlineStr">
        <is>
          <t>Source publishes a specialist/sub-contract all-in rate; no labour/plant/material build-up exists to derive from.</t>
        </is>
      </c>
    </row>
    <row r="2591" ht="13" customHeight="1">
      <c r="A2591" s="4" t="n">
        <v>3881</v>
      </c>
      <c r="B2591" s="5" t="inlineStr">
        <is>
          <t>IMG_0118</t>
        </is>
      </c>
      <c r="C2591" s="5" t="inlineStr">
        <is>
          <t>CLASS P: PILES</t>
        </is>
      </c>
      <c r="D2591" s="5" t="inlineStr">
        <is>
          <t>01 BORED CAST IN PLACE CONCRETE PILES</t>
        </is>
      </c>
      <c r="E2591" s="5" t="inlineStr">
        <is>
          <t>Concrete 35 N/mm2, 20 mm aggregate; installed by lorry/crawler-mounted rotary rig; Dia.: 600 mm (continued)</t>
        </is>
      </c>
      <c r="F2591" s="5" t="inlineStr">
        <is>
          <t>depth bored to 20 m maximum depth</t>
        </is>
      </c>
      <c r="G2591" s="6" t="inlineStr">
        <is>
          <t>m</t>
        </is>
      </c>
      <c r="H2591" s="7" t="n"/>
      <c r="I2591" s="8" t="n">
        <v>0</v>
      </c>
      <c r="J2591" s="8" t="n">
        <v>0</v>
      </c>
      <c r="K2591" s="8" t="n">
        <v>0</v>
      </c>
      <c r="L2591" s="8" t="n">
        <v>135.7</v>
      </c>
      <c r="M2591" s="9">
        <f>ROUND(SUM(I2591:L2591),2)</f>
        <v/>
      </c>
      <c r="N2591" s="10">
        <f>ROUND(I2591*'Irish Basis'!$C$6*'Irish Basis'!$C$5,2)</f>
        <v/>
      </c>
      <c r="O2591" s="10">
        <f>ROUND(J2591*'Irish Basis'!$C$7*'Irish Basis'!$C$5,2)</f>
        <v/>
      </c>
      <c r="P2591" s="10">
        <f>ROUND(K2591*'Irish Basis'!$C$8*'Irish Basis'!$C$5,2)</f>
        <v/>
      </c>
      <c r="Q2591" s="10">
        <f>ROUND(L2591*'Irish Basis'!$C$12*'Irish Basis'!$C$5,2)</f>
        <v/>
      </c>
      <c r="R2591" s="11">
        <f>ROUND(SUM(N2591:Q2591),2)</f>
        <v/>
      </c>
      <c r="S2591" s="5" t="inlineStr">
        <is>
          <t>All-in specialist rate</t>
        </is>
      </c>
      <c r="T2591" s="14" t="inlineStr">
        <is>
          <t>All-in (not split)</t>
        </is>
      </c>
      <c r="U2591" s="8" t="n">
        <v>135.7</v>
      </c>
      <c r="V2591" s="13">
        <f>IF(U2591="","",ROUND(M2591-U2591,2))</f>
        <v/>
      </c>
      <c r="W2591" s="5" t="n"/>
      <c r="X2591" s="5" t="inlineStr">
        <is>
          <t>Source publishes a specialist/sub-contract all-in rate; no labour/plant/material build-up exists to derive from.</t>
        </is>
      </c>
    </row>
    <row r="2592" ht="13" customHeight="1">
      <c r="A2592" s="4" t="n">
        <v>3886</v>
      </c>
      <c r="B2592" s="5" t="inlineStr">
        <is>
          <t>IMG_0118</t>
        </is>
      </c>
      <c r="C2592" s="5" t="inlineStr">
        <is>
          <t>CLASS P: PILES</t>
        </is>
      </c>
      <c r="D2592" s="5" t="inlineStr">
        <is>
          <t>01 BORED CAST IN PLACE CONCRETE PILES</t>
        </is>
      </c>
      <c r="E2592" s="5" t="inlineStr">
        <is>
          <t>Dia.: 300 mm</t>
        </is>
      </c>
      <c r="F2592" s="5" t="inlineStr">
        <is>
          <t>number of piles</t>
        </is>
      </c>
      <c r="G2592" s="6" t="inlineStr">
        <is>
          <t>nr</t>
        </is>
      </c>
      <c r="H2592" s="7" t="n"/>
      <c r="I2592" s="8" t="n">
        <v>0</v>
      </c>
      <c r="J2592" s="8" t="n">
        <v>0</v>
      </c>
      <c r="K2592" s="8" t="n">
        <v>0</v>
      </c>
      <c r="L2592" s="8" t="n">
        <v>496.8</v>
      </c>
      <c r="M2592" s="9">
        <f>ROUND(SUM(I2592:L2592),2)</f>
        <v/>
      </c>
      <c r="N2592" s="10">
        <f>ROUND(I2592*'Irish Basis'!$C$6*'Irish Basis'!$C$5,2)</f>
        <v/>
      </c>
      <c r="O2592" s="10">
        <f>ROUND(J2592*'Irish Basis'!$C$7*'Irish Basis'!$C$5,2)</f>
        <v/>
      </c>
      <c r="P2592" s="10">
        <f>ROUND(K2592*'Irish Basis'!$C$8*'Irish Basis'!$C$5,2)</f>
        <v/>
      </c>
      <c r="Q2592" s="10">
        <f>ROUND(L2592*'Irish Basis'!$C$12*'Irish Basis'!$C$5,2)</f>
        <v/>
      </c>
      <c r="R2592" s="11">
        <f>ROUND(SUM(N2592:Q2592),2)</f>
        <v/>
      </c>
      <c r="S2592" s="5" t="inlineStr">
        <is>
          <t>All-in specialist rate</t>
        </is>
      </c>
      <c r="T2592" s="14" t="inlineStr">
        <is>
          <t>All-in (not split)</t>
        </is>
      </c>
      <c r="U2592" s="8" t="n">
        <v>496.8</v>
      </c>
      <c r="V2592" s="13">
        <f>IF(U2592="","",ROUND(M2592-U2592,2))</f>
        <v/>
      </c>
      <c r="W2592" s="5" t="n"/>
      <c r="X2592" s="5" t="inlineStr">
        <is>
          <t>Source publishes a specialist/sub-contract all-in rate; no labour/plant/material build-up exists to derive from.</t>
        </is>
      </c>
    </row>
    <row r="2593" ht="13" customHeight="1">
      <c r="A2593" s="4" t="n">
        <v>3887</v>
      </c>
      <c r="B2593" s="5" t="inlineStr">
        <is>
          <t>IMG_0118</t>
        </is>
      </c>
      <c r="C2593" s="5" t="inlineStr">
        <is>
          <t>CLASS P: PILES</t>
        </is>
      </c>
      <c r="D2593" s="5" t="inlineStr">
        <is>
          <t>01 BORED CAST IN PLACE CONCRETE PILES</t>
        </is>
      </c>
      <c r="E2593" s="5" t="inlineStr">
        <is>
          <t>Dia.: 300 mm</t>
        </is>
      </c>
      <c r="F2593" s="5" t="inlineStr">
        <is>
          <t>concreted length</t>
        </is>
      </c>
      <c r="G2593" s="6" t="inlineStr">
        <is>
          <t>m</t>
        </is>
      </c>
      <c r="H2593" s="7" t="n"/>
      <c r="I2593" s="8" t="n">
        <v>0</v>
      </c>
      <c r="J2593" s="8" t="n">
        <v>0</v>
      </c>
      <c r="K2593" s="8" t="n">
        <v>0</v>
      </c>
      <c r="L2593" s="8" t="n">
        <v>25.53</v>
      </c>
      <c r="M2593" s="9">
        <f>ROUND(SUM(I2593:L2593),2)</f>
        <v/>
      </c>
      <c r="N2593" s="10">
        <f>ROUND(I2593*'Irish Basis'!$C$6*'Irish Basis'!$C$5,2)</f>
        <v/>
      </c>
      <c r="O2593" s="10">
        <f>ROUND(J2593*'Irish Basis'!$C$7*'Irish Basis'!$C$5,2)</f>
        <v/>
      </c>
      <c r="P2593" s="10">
        <f>ROUND(K2593*'Irish Basis'!$C$8*'Irish Basis'!$C$5,2)</f>
        <v/>
      </c>
      <c r="Q2593" s="10">
        <f>ROUND(L2593*'Irish Basis'!$C$12*'Irish Basis'!$C$5,2)</f>
        <v/>
      </c>
      <c r="R2593" s="11">
        <f>ROUND(SUM(N2593:Q2593),2)</f>
        <v/>
      </c>
      <c r="S2593" s="5" t="inlineStr">
        <is>
          <t>All-in specialist rate</t>
        </is>
      </c>
      <c r="T2593" s="14" t="inlineStr">
        <is>
          <t>All-in (not split)</t>
        </is>
      </c>
      <c r="U2593" s="8" t="n">
        <v>25.53</v>
      </c>
      <c r="V2593" s="13">
        <f>IF(U2593="","",ROUND(M2593-U2593,2))</f>
        <v/>
      </c>
      <c r="W2593" s="5" t="n"/>
      <c r="X2593" s="5" t="inlineStr">
        <is>
          <t>Source publishes a specialist/sub-contract all-in rate; no labour/plant/material build-up exists to derive from.</t>
        </is>
      </c>
    </row>
    <row r="2594" ht="13" customHeight="1">
      <c r="A2594" s="4" t="n">
        <v>3888</v>
      </c>
      <c r="B2594" s="5" t="inlineStr">
        <is>
          <t>IMG_0118</t>
        </is>
      </c>
      <c r="C2594" s="5" t="inlineStr">
        <is>
          <t>CLASS P: PILES</t>
        </is>
      </c>
      <c r="D2594" s="5" t="inlineStr">
        <is>
          <t>01 BORED CAST IN PLACE CONCRETE PILES</t>
        </is>
      </c>
      <c r="E2594" s="5" t="inlineStr">
        <is>
          <t>Dia.: 300 mm</t>
        </is>
      </c>
      <c r="F2594" s="5" t="inlineStr">
        <is>
          <t>depth bored to 10 m maximum depth</t>
        </is>
      </c>
      <c r="G2594" s="6" t="inlineStr">
        <is>
          <t>nr</t>
        </is>
      </c>
      <c r="H2594" s="7" t="n"/>
      <c r="I2594" s="8" t="n">
        <v>0</v>
      </c>
      <c r="J2594" s="8" t="n">
        <v>0</v>
      </c>
      <c r="K2594" s="8" t="n">
        <v>0</v>
      </c>
      <c r="L2594" s="8" t="n">
        <v>30.41</v>
      </c>
      <c r="M2594" s="9">
        <f>ROUND(SUM(I2594:L2594),2)</f>
        <v/>
      </c>
      <c r="N2594" s="10">
        <f>ROUND(I2594*'Irish Basis'!$C$6*'Irish Basis'!$C$5,2)</f>
        <v/>
      </c>
      <c r="O2594" s="10">
        <f>ROUND(J2594*'Irish Basis'!$C$7*'Irish Basis'!$C$5,2)</f>
        <v/>
      </c>
      <c r="P2594" s="10">
        <f>ROUND(K2594*'Irish Basis'!$C$8*'Irish Basis'!$C$5,2)</f>
        <v/>
      </c>
      <c r="Q2594" s="10">
        <f>ROUND(L2594*'Irish Basis'!$C$12*'Irish Basis'!$C$5,2)</f>
        <v/>
      </c>
      <c r="R2594" s="11">
        <f>ROUND(SUM(N2594:Q2594),2)</f>
        <v/>
      </c>
      <c r="S2594" s="5" t="inlineStr">
        <is>
          <t>All-in specialist rate</t>
        </is>
      </c>
      <c r="T2594" s="14" t="inlineStr">
        <is>
          <t>All-in (not split)</t>
        </is>
      </c>
      <c r="U2594" s="8" t="n">
        <v>30.41</v>
      </c>
      <c r="V2594" s="13">
        <f>IF(U2594="","",ROUND(M2594-U2594,2))</f>
        <v/>
      </c>
      <c r="W2594" s="5" t="n"/>
      <c r="X2594" s="5" t="inlineStr">
        <is>
          <t>Source publishes a specialist/sub-contract all-in rate; no labour/plant/material build-up exists to derive from.</t>
        </is>
      </c>
    </row>
    <row r="2595" ht="13" customHeight="1">
      <c r="A2595" s="4" t="n">
        <v>3889</v>
      </c>
      <c r="B2595" s="5" t="inlineStr">
        <is>
          <t>IMG_0118</t>
        </is>
      </c>
      <c r="C2595" s="5" t="inlineStr">
        <is>
          <t>CLASS P: PILES</t>
        </is>
      </c>
      <c r="D2595" s="5" t="inlineStr">
        <is>
          <t>01 BORED CAST IN PLACE CONCRETE PILES</t>
        </is>
      </c>
      <c r="E2595" s="5" t="inlineStr">
        <is>
          <t>Dia.: 300 mm</t>
        </is>
      </c>
      <c r="F2595" s="5" t="inlineStr">
        <is>
          <t>depth bored to 15 m maximum depth</t>
        </is>
      </c>
      <c r="G2595" s="6" t="inlineStr">
        <is>
          <t>nr</t>
        </is>
      </c>
      <c r="H2595" s="7" t="n"/>
      <c r="I2595" s="8" t="n">
        <v>0</v>
      </c>
      <c r="J2595" s="8" t="n">
        <v>0</v>
      </c>
      <c r="K2595" s="8" t="n">
        <v>0</v>
      </c>
      <c r="L2595" s="8" t="n">
        <v>24.33</v>
      </c>
      <c r="M2595" s="9">
        <f>ROUND(SUM(I2595:L2595),2)</f>
        <v/>
      </c>
      <c r="N2595" s="10">
        <f>ROUND(I2595*'Irish Basis'!$C$6*'Irish Basis'!$C$5,2)</f>
        <v/>
      </c>
      <c r="O2595" s="10">
        <f>ROUND(J2595*'Irish Basis'!$C$7*'Irish Basis'!$C$5,2)</f>
        <v/>
      </c>
      <c r="P2595" s="10">
        <f>ROUND(K2595*'Irish Basis'!$C$8*'Irish Basis'!$C$5,2)</f>
        <v/>
      </c>
      <c r="Q2595" s="10">
        <f>ROUND(L2595*'Irish Basis'!$C$12*'Irish Basis'!$C$5,2)</f>
        <v/>
      </c>
      <c r="R2595" s="11">
        <f>ROUND(SUM(N2595:Q2595),2)</f>
        <v/>
      </c>
      <c r="S2595" s="5" t="inlineStr">
        <is>
          <t>All-in specialist rate</t>
        </is>
      </c>
      <c r="T2595" s="14" t="inlineStr">
        <is>
          <t>All-in (not split)</t>
        </is>
      </c>
      <c r="U2595" s="8" t="n">
        <v>24.33</v>
      </c>
      <c r="V2595" s="13">
        <f>IF(U2595="","",ROUND(M2595-U2595,2))</f>
        <v/>
      </c>
      <c r="W2595" s="5" t="n"/>
      <c r="X2595" s="5" t="inlineStr">
        <is>
          <t>Source publishes a specialist/sub-contract all-in rate; no labour/plant/material build-up exists to derive from.</t>
        </is>
      </c>
    </row>
    <row r="2596" ht="13" customHeight="1">
      <c r="A2596" s="4" t="n">
        <v>3890</v>
      </c>
      <c r="B2596" s="5" t="inlineStr">
        <is>
          <t>IMG_0118</t>
        </is>
      </c>
      <c r="C2596" s="5" t="inlineStr">
        <is>
          <t>CLASS P: PILES</t>
        </is>
      </c>
      <c r="D2596" s="5" t="inlineStr">
        <is>
          <t>01 BORED CAST IN PLACE CONCRETE PILES</t>
        </is>
      </c>
      <c r="E2596" s="5" t="inlineStr">
        <is>
          <t>Dia.: 300 mm</t>
        </is>
      </c>
      <c r="F2596" s="5" t="inlineStr">
        <is>
          <t>depth bored to 20 m maximum depth</t>
        </is>
      </c>
      <c r="G2596" s="6" t="inlineStr">
        <is>
          <t>nr</t>
        </is>
      </c>
      <c r="H2596" s="7" t="n"/>
      <c r="I2596" s="8" t="n">
        <v>0</v>
      </c>
      <c r="J2596" s="8" t="n">
        <v>0</v>
      </c>
      <c r="K2596" s="8" t="n">
        <v>0</v>
      </c>
      <c r="L2596" s="8" t="n">
        <v>24.33</v>
      </c>
      <c r="M2596" s="9">
        <f>ROUND(SUM(I2596:L2596),2)</f>
        <v/>
      </c>
      <c r="N2596" s="10">
        <f>ROUND(I2596*'Irish Basis'!$C$6*'Irish Basis'!$C$5,2)</f>
        <v/>
      </c>
      <c r="O2596" s="10">
        <f>ROUND(J2596*'Irish Basis'!$C$7*'Irish Basis'!$C$5,2)</f>
        <v/>
      </c>
      <c r="P2596" s="10">
        <f>ROUND(K2596*'Irish Basis'!$C$8*'Irish Basis'!$C$5,2)</f>
        <v/>
      </c>
      <c r="Q2596" s="10">
        <f>ROUND(L2596*'Irish Basis'!$C$12*'Irish Basis'!$C$5,2)</f>
        <v/>
      </c>
      <c r="R2596" s="11">
        <f>ROUND(SUM(N2596:Q2596),2)</f>
        <v/>
      </c>
      <c r="S2596" s="5" t="inlineStr">
        <is>
          <t>All-in specialist rate</t>
        </is>
      </c>
      <c r="T2596" s="14" t="inlineStr">
        <is>
          <t>All-in (not split)</t>
        </is>
      </c>
      <c r="U2596" s="8" t="n">
        <v>24.33</v>
      </c>
      <c r="V2596" s="13">
        <f>IF(U2596="","",ROUND(M2596-U2596,2))</f>
        <v/>
      </c>
      <c r="W2596" s="5" t="n"/>
      <c r="X2596" s="5" t="inlineStr">
        <is>
          <t>Source publishes a specialist/sub-contract all-in rate; no labour/plant/material build-up exists to derive from.</t>
        </is>
      </c>
    </row>
    <row r="2597" ht="13" customHeight="1">
      <c r="A2597" s="4" t="n">
        <v>3892</v>
      </c>
      <c r="B2597" s="5" t="inlineStr">
        <is>
          <t>IMG_0118</t>
        </is>
      </c>
      <c r="C2597" s="5" t="inlineStr">
        <is>
          <t>CLASS P: PILES</t>
        </is>
      </c>
      <c r="D2597" s="5" t="inlineStr">
        <is>
          <t>01 BORED CAST IN PLACE CONCRETE PILES</t>
        </is>
      </c>
      <c r="E2597" s="5" t="inlineStr">
        <is>
          <t>Dia.: 450 mm</t>
        </is>
      </c>
      <c r="F2597" s="5" t="inlineStr">
        <is>
          <t>number of piles</t>
        </is>
      </c>
      <c r="G2597" s="6" t="inlineStr">
        <is>
          <t>nr</t>
        </is>
      </c>
      <c r="H2597" s="7" t="n"/>
      <c r="I2597" s="8" t="n">
        <v>0</v>
      </c>
      <c r="J2597" s="8" t="n">
        <v>0</v>
      </c>
      <c r="K2597" s="8" t="n">
        <v>0</v>
      </c>
      <c r="L2597" s="8" t="n">
        <v>496.8</v>
      </c>
      <c r="M2597" s="9">
        <f>ROUND(SUM(I2597:L2597),2)</f>
        <v/>
      </c>
      <c r="N2597" s="10">
        <f>ROUND(I2597*'Irish Basis'!$C$6*'Irish Basis'!$C$5,2)</f>
        <v/>
      </c>
      <c r="O2597" s="10">
        <f>ROUND(J2597*'Irish Basis'!$C$7*'Irish Basis'!$C$5,2)</f>
        <v/>
      </c>
      <c r="P2597" s="10">
        <f>ROUND(K2597*'Irish Basis'!$C$8*'Irish Basis'!$C$5,2)</f>
        <v/>
      </c>
      <c r="Q2597" s="10">
        <f>ROUND(L2597*'Irish Basis'!$C$12*'Irish Basis'!$C$5,2)</f>
        <v/>
      </c>
      <c r="R2597" s="11">
        <f>ROUND(SUM(N2597:Q2597),2)</f>
        <v/>
      </c>
      <c r="S2597" s="5" t="inlineStr">
        <is>
          <t>All-in specialist rate</t>
        </is>
      </c>
      <c r="T2597" s="14" t="inlineStr">
        <is>
          <t>All-in (not split)</t>
        </is>
      </c>
      <c r="U2597" s="8" t="n">
        <v>496.8</v>
      </c>
      <c r="V2597" s="13">
        <f>IF(U2597="","",ROUND(M2597-U2597,2))</f>
        <v/>
      </c>
      <c r="W2597" s="5" t="n"/>
      <c r="X2597" s="5" t="inlineStr">
        <is>
          <t>Source publishes a specialist/sub-contract all-in rate; no labour/plant/material build-up exists to derive from.</t>
        </is>
      </c>
    </row>
    <row r="2598" ht="13" customHeight="1">
      <c r="A2598" s="4" t="n">
        <v>3893</v>
      </c>
      <c r="B2598" s="5" t="inlineStr">
        <is>
          <t>IMG_0118</t>
        </is>
      </c>
      <c r="C2598" s="5" t="inlineStr">
        <is>
          <t>CLASS P: PILES</t>
        </is>
      </c>
      <c r="D2598" s="5" t="inlineStr">
        <is>
          <t>01 BORED CAST IN PLACE CONCRETE PILES</t>
        </is>
      </c>
      <c r="E2598" s="5" t="inlineStr">
        <is>
          <t>Dia.: 450 mm</t>
        </is>
      </c>
      <c r="F2598" s="5" t="inlineStr">
        <is>
          <t>concreted length</t>
        </is>
      </c>
      <c r="G2598" s="6" t="inlineStr">
        <is>
          <t>m</t>
        </is>
      </c>
      <c r="H2598" s="7" t="n"/>
      <c r="I2598" s="8" t="n">
        <v>0</v>
      </c>
      <c r="J2598" s="8" t="n">
        <v>0</v>
      </c>
      <c r="K2598" s="8" t="n">
        <v>0</v>
      </c>
      <c r="L2598" s="8" t="n">
        <v>48.65</v>
      </c>
      <c r="M2598" s="9">
        <f>ROUND(SUM(I2598:L2598),2)</f>
        <v/>
      </c>
      <c r="N2598" s="10">
        <f>ROUND(I2598*'Irish Basis'!$C$6*'Irish Basis'!$C$5,2)</f>
        <v/>
      </c>
      <c r="O2598" s="10">
        <f>ROUND(J2598*'Irish Basis'!$C$7*'Irish Basis'!$C$5,2)</f>
        <v/>
      </c>
      <c r="P2598" s="10">
        <f>ROUND(K2598*'Irish Basis'!$C$8*'Irish Basis'!$C$5,2)</f>
        <v/>
      </c>
      <c r="Q2598" s="10">
        <f>ROUND(L2598*'Irish Basis'!$C$12*'Irish Basis'!$C$5,2)</f>
        <v/>
      </c>
      <c r="R2598" s="11">
        <f>ROUND(SUM(N2598:Q2598),2)</f>
        <v/>
      </c>
      <c r="S2598" s="5" t="inlineStr">
        <is>
          <t>All-in specialist rate</t>
        </is>
      </c>
      <c r="T2598" s="14" t="inlineStr">
        <is>
          <t>All-in (not split)</t>
        </is>
      </c>
      <c r="U2598" s="8" t="n">
        <v>48.65</v>
      </c>
      <c r="V2598" s="13">
        <f>IF(U2598="","",ROUND(M2598-U2598,2))</f>
        <v/>
      </c>
      <c r="W2598" s="5" t="n"/>
      <c r="X2598" s="5" t="inlineStr">
        <is>
          <t>Source publishes a specialist/sub-contract all-in rate; no labour/plant/material build-up exists to derive from.</t>
        </is>
      </c>
    </row>
    <row r="2599" ht="13" customHeight="1">
      <c r="A2599" s="4" t="n">
        <v>3894</v>
      </c>
      <c r="B2599" s="5" t="inlineStr">
        <is>
          <t>IMG_0118</t>
        </is>
      </c>
      <c r="C2599" s="5" t="inlineStr">
        <is>
          <t>CLASS P: PILES</t>
        </is>
      </c>
      <c r="D2599" s="5" t="inlineStr">
        <is>
          <t>01 BORED CAST IN PLACE CONCRETE PILES</t>
        </is>
      </c>
      <c r="E2599" s="5" t="inlineStr">
        <is>
          <t>Dia.: 450 mm</t>
        </is>
      </c>
      <c r="F2599" s="5" t="inlineStr">
        <is>
          <t>depth bored to 10 m maximum depth</t>
        </is>
      </c>
      <c r="G2599" s="6" t="inlineStr">
        <is>
          <t>nr</t>
        </is>
      </c>
      <c r="H2599" s="7" t="n"/>
      <c r="I2599" s="8" t="n">
        <v>0</v>
      </c>
      <c r="J2599" s="8" t="n">
        <v>0</v>
      </c>
      <c r="K2599" s="8" t="n">
        <v>0</v>
      </c>
      <c r="L2599" s="8" t="n">
        <v>30.43</v>
      </c>
      <c r="M2599" s="9">
        <f>ROUND(SUM(I2599:L2599),2)</f>
        <v/>
      </c>
      <c r="N2599" s="10">
        <f>ROUND(I2599*'Irish Basis'!$C$6*'Irish Basis'!$C$5,2)</f>
        <v/>
      </c>
      <c r="O2599" s="10">
        <f>ROUND(J2599*'Irish Basis'!$C$7*'Irish Basis'!$C$5,2)</f>
        <v/>
      </c>
      <c r="P2599" s="10">
        <f>ROUND(K2599*'Irish Basis'!$C$8*'Irish Basis'!$C$5,2)</f>
        <v/>
      </c>
      <c r="Q2599" s="10">
        <f>ROUND(L2599*'Irish Basis'!$C$12*'Irish Basis'!$C$5,2)</f>
        <v/>
      </c>
      <c r="R2599" s="11">
        <f>ROUND(SUM(N2599:Q2599),2)</f>
        <v/>
      </c>
      <c r="S2599" s="5" t="inlineStr">
        <is>
          <t>All-in specialist rate</t>
        </is>
      </c>
      <c r="T2599" s="14" t="inlineStr">
        <is>
          <t>All-in (not split)</t>
        </is>
      </c>
      <c r="U2599" s="8" t="n">
        <v>30.43</v>
      </c>
      <c r="V2599" s="13">
        <f>IF(U2599="","",ROUND(M2599-U2599,2))</f>
        <v/>
      </c>
      <c r="W2599" s="5" t="n"/>
      <c r="X2599" s="5" t="inlineStr">
        <is>
          <t>Source publishes a specialist/sub-contract all-in rate; no labour/plant/material build-up exists to derive from.</t>
        </is>
      </c>
    </row>
    <row r="2600" ht="13" customHeight="1">
      <c r="A2600" s="4" t="n">
        <v>3895</v>
      </c>
      <c r="B2600" s="5" t="inlineStr">
        <is>
          <t>IMG_0118</t>
        </is>
      </c>
      <c r="C2600" s="5" t="inlineStr">
        <is>
          <t>CLASS P: PILES</t>
        </is>
      </c>
      <c r="D2600" s="5" t="inlineStr">
        <is>
          <t>01 BORED CAST IN PLACE CONCRETE PILES</t>
        </is>
      </c>
      <c r="E2600" s="5" t="inlineStr">
        <is>
          <t>Dia.: 450 mm</t>
        </is>
      </c>
      <c r="F2600" s="5" t="inlineStr">
        <is>
          <t>depth bored to 15 m maximum depth</t>
        </is>
      </c>
      <c r="G2600" s="6" t="inlineStr">
        <is>
          <t>nr</t>
        </is>
      </c>
      <c r="H2600" s="7" t="n"/>
      <c r="I2600" s="8" t="n">
        <v>0</v>
      </c>
      <c r="J2600" s="8" t="n">
        <v>0</v>
      </c>
      <c r="K2600" s="8" t="n">
        <v>0</v>
      </c>
      <c r="L2600" s="8" t="n">
        <v>30.43</v>
      </c>
      <c r="M2600" s="9">
        <f>ROUND(SUM(I2600:L2600),2)</f>
        <v/>
      </c>
      <c r="N2600" s="10">
        <f>ROUND(I2600*'Irish Basis'!$C$6*'Irish Basis'!$C$5,2)</f>
        <v/>
      </c>
      <c r="O2600" s="10">
        <f>ROUND(J2600*'Irish Basis'!$C$7*'Irish Basis'!$C$5,2)</f>
        <v/>
      </c>
      <c r="P2600" s="10">
        <f>ROUND(K2600*'Irish Basis'!$C$8*'Irish Basis'!$C$5,2)</f>
        <v/>
      </c>
      <c r="Q2600" s="10">
        <f>ROUND(L2600*'Irish Basis'!$C$12*'Irish Basis'!$C$5,2)</f>
        <v/>
      </c>
      <c r="R2600" s="11">
        <f>ROUND(SUM(N2600:Q2600),2)</f>
        <v/>
      </c>
      <c r="S2600" s="5" t="inlineStr">
        <is>
          <t>All-in specialist rate</t>
        </is>
      </c>
      <c r="T2600" s="14" t="inlineStr">
        <is>
          <t>All-in (not split)</t>
        </is>
      </c>
      <c r="U2600" s="8" t="n">
        <v>30.43</v>
      </c>
      <c r="V2600" s="13">
        <f>IF(U2600="","",ROUND(M2600-U2600,2))</f>
        <v/>
      </c>
      <c r="W2600" s="5" t="n"/>
      <c r="X2600" s="5" t="inlineStr">
        <is>
          <t>Source publishes a specialist/sub-contract all-in rate; no labour/plant/material build-up exists to derive from.</t>
        </is>
      </c>
    </row>
    <row r="2601" ht="13" customHeight="1">
      <c r="A2601" s="4" t="n">
        <v>3896</v>
      </c>
      <c r="B2601" s="5" t="inlineStr">
        <is>
          <t>IMG_0118</t>
        </is>
      </c>
      <c r="C2601" s="5" t="inlineStr">
        <is>
          <t>CLASS P: PILES</t>
        </is>
      </c>
      <c r="D2601" s="5" t="inlineStr">
        <is>
          <t>01 BORED CAST IN PLACE CONCRETE PILES</t>
        </is>
      </c>
      <c r="E2601" s="5" t="inlineStr">
        <is>
          <t>Dia.: 450 mm</t>
        </is>
      </c>
      <c r="F2601" s="5" t="inlineStr">
        <is>
          <t>depth bored to 20 m maximum depth</t>
        </is>
      </c>
      <c r="G2601" s="6" t="inlineStr">
        <is>
          <t>nr</t>
        </is>
      </c>
      <c r="H2601" s="7" t="n"/>
      <c r="I2601" s="8" t="n">
        <v>0</v>
      </c>
      <c r="J2601" s="8" t="n">
        <v>0</v>
      </c>
      <c r="K2601" s="8" t="n">
        <v>0</v>
      </c>
      <c r="L2601" s="8" t="n">
        <v>38.04</v>
      </c>
      <c r="M2601" s="9">
        <f>ROUND(SUM(I2601:L2601),2)</f>
        <v/>
      </c>
      <c r="N2601" s="10">
        <f>ROUND(I2601*'Irish Basis'!$C$6*'Irish Basis'!$C$5,2)</f>
        <v/>
      </c>
      <c r="O2601" s="10">
        <f>ROUND(J2601*'Irish Basis'!$C$7*'Irish Basis'!$C$5,2)</f>
        <v/>
      </c>
      <c r="P2601" s="10">
        <f>ROUND(K2601*'Irish Basis'!$C$8*'Irish Basis'!$C$5,2)</f>
        <v/>
      </c>
      <c r="Q2601" s="10">
        <f>ROUND(L2601*'Irish Basis'!$C$12*'Irish Basis'!$C$5,2)</f>
        <v/>
      </c>
      <c r="R2601" s="11">
        <f>ROUND(SUM(N2601:Q2601),2)</f>
        <v/>
      </c>
      <c r="S2601" s="5" t="inlineStr">
        <is>
          <t>All-in specialist rate</t>
        </is>
      </c>
      <c r="T2601" s="14" t="inlineStr">
        <is>
          <t>All-in (not split)</t>
        </is>
      </c>
      <c r="U2601" s="8" t="n">
        <v>38.04</v>
      </c>
      <c r="V2601" s="13">
        <f>IF(U2601="","",ROUND(M2601-U2601,2))</f>
        <v/>
      </c>
      <c r="W2601" s="5" t="n"/>
      <c r="X2601" s="5" t="inlineStr">
        <is>
          <t>Source publishes a specialist/sub-contract all-in rate; no labour/plant/material build-up exists to derive from.</t>
        </is>
      </c>
    </row>
    <row r="2602" ht="13" customHeight="1">
      <c r="A2602" s="4" t="n">
        <v>3898</v>
      </c>
      <c r="B2602" s="5" t="inlineStr">
        <is>
          <t>IMG_0118</t>
        </is>
      </c>
      <c r="C2602" s="5" t="inlineStr">
        <is>
          <t>CLASS P: PILES</t>
        </is>
      </c>
      <c r="D2602" s="5" t="inlineStr">
        <is>
          <t>01 BORED CAST IN PLACE CONCRETE PILES</t>
        </is>
      </c>
      <c r="E2602" s="5" t="inlineStr">
        <is>
          <t>Dia.: 600 mm</t>
        </is>
      </c>
      <c r="F2602" s="5" t="inlineStr">
        <is>
          <t>number of piles</t>
        </is>
      </c>
      <c r="G2602" s="6" t="inlineStr">
        <is>
          <t>nr</t>
        </is>
      </c>
      <c r="H2602" s="7" t="n"/>
      <c r="I2602" s="8" t="n">
        <v>0</v>
      </c>
      <c r="J2602" s="8" t="n">
        <v>0</v>
      </c>
      <c r="K2602" s="8" t="n">
        <v>0</v>
      </c>
      <c r="L2602" s="8" t="n">
        <v>496.8</v>
      </c>
      <c r="M2602" s="9">
        <f>ROUND(SUM(I2602:L2602),2)</f>
        <v/>
      </c>
      <c r="N2602" s="10">
        <f>ROUND(I2602*'Irish Basis'!$C$6*'Irish Basis'!$C$5,2)</f>
        <v/>
      </c>
      <c r="O2602" s="10">
        <f>ROUND(J2602*'Irish Basis'!$C$7*'Irish Basis'!$C$5,2)</f>
        <v/>
      </c>
      <c r="P2602" s="10">
        <f>ROUND(K2602*'Irish Basis'!$C$8*'Irish Basis'!$C$5,2)</f>
        <v/>
      </c>
      <c r="Q2602" s="10">
        <f>ROUND(L2602*'Irish Basis'!$C$12*'Irish Basis'!$C$5,2)</f>
        <v/>
      </c>
      <c r="R2602" s="11">
        <f>ROUND(SUM(N2602:Q2602),2)</f>
        <v/>
      </c>
      <c r="S2602" s="5" t="inlineStr">
        <is>
          <t>All-in specialist rate</t>
        </is>
      </c>
      <c r="T2602" s="14" t="inlineStr">
        <is>
          <t>All-in (not split)</t>
        </is>
      </c>
      <c r="U2602" s="8" t="n">
        <v>496.8</v>
      </c>
      <c r="V2602" s="13">
        <f>IF(U2602="","",ROUND(M2602-U2602,2))</f>
        <v/>
      </c>
      <c r="W2602" s="5" t="n"/>
      <c r="X2602" s="5" t="inlineStr">
        <is>
          <t>Source publishes a specialist/sub-contract all-in rate; no labour/plant/material build-up exists to derive from.</t>
        </is>
      </c>
    </row>
    <row r="2603" ht="13" customHeight="1">
      <c r="A2603" s="4" t="n">
        <v>3899</v>
      </c>
      <c r="B2603" s="5" t="inlineStr">
        <is>
          <t>IMG_0118</t>
        </is>
      </c>
      <c r="C2603" s="5" t="inlineStr">
        <is>
          <t>CLASS P: PILES</t>
        </is>
      </c>
      <c r="D2603" s="5" t="inlineStr">
        <is>
          <t>01 BORED CAST IN PLACE CONCRETE PILES</t>
        </is>
      </c>
      <c r="E2603" s="5" t="inlineStr">
        <is>
          <t>Dia.: 600 mm</t>
        </is>
      </c>
      <c r="F2603" s="5" t="inlineStr">
        <is>
          <t>concreted length</t>
        </is>
      </c>
      <c r="G2603" s="6" t="inlineStr">
        <is>
          <t>m</t>
        </is>
      </c>
      <c r="H2603" s="7" t="n"/>
      <c r="I2603" s="8" t="n">
        <v>0</v>
      </c>
      <c r="J2603" s="8" t="n">
        <v>0</v>
      </c>
      <c r="K2603" s="8" t="n">
        <v>0</v>
      </c>
      <c r="L2603" s="8" t="n">
        <v>74.73999999999999</v>
      </c>
      <c r="M2603" s="9">
        <f>ROUND(SUM(I2603:L2603),2)</f>
        <v/>
      </c>
      <c r="N2603" s="10">
        <f>ROUND(I2603*'Irish Basis'!$C$6*'Irish Basis'!$C$5,2)</f>
        <v/>
      </c>
      <c r="O2603" s="10">
        <f>ROUND(J2603*'Irish Basis'!$C$7*'Irish Basis'!$C$5,2)</f>
        <v/>
      </c>
      <c r="P2603" s="10">
        <f>ROUND(K2603*'Irish Basis'!$C$8*'Irish Basis'!$C$5,2)</f>
        <v/>
      </c>
      <c r="Q2603" s="10">
        <f>ROUND(L2603*'Irish Basis'!$C$12*'Irish Basis'!$C$5,2)</f>
        <v/>
      </c>
      <c r="R2603" s="11">
        <f>ROUND(SUM(N2603:Q2603),2)</f>
        <v/>
      </c>
      <c r="S2603" s="5" t="inlineStr">
        <is>
          <t>All-in specialist rate</t>
        </is>
      </c>
      <c r="T2603" s="14" t="inlineStr">
        <is>
          <t>All-in (not split)</t>
        </is>
      </c>
      <c r="U2603" s="8" t="n">
        <v>74.73999999999999</v>
      </c>
      <c r="V2603" s="13">
        <f>IF(U2603="","",ROUND(M2603-U2603,2))</f>
        <v/>
      </c>
      <c r="W2603" s="5" t="n"/>
      <c r="X2603" s="5" t="inlineStr">
        <is>
          <t>Source publishes a specialist/sub-contract all-in rate; no labour/plant/material build-up exists to derive from.</t>
        </is>
      </c>
    </row>
    <row r="2604" ht="13" customHeight="1">
      <c r="A2604" s="4" t="n">
        <v>3900</v>
      </c>
      <c r="B2604" s="5" t="inlineStr">
        <is>
          <t>IMG_0118</t>
        </is>
      </c>
      <c r="C2604" s="5" t="inlineStr">
        <is>
          <t>CLASS P: PILES</t>
        </is>
      </c>
      <c r="D2604" s="5" t="inlineStr">
        <is>
          <t>01 BORED CAST IN PLACE CONCRETE PILES</t>
        </is>
      </c>
      <c r="E2604" s="5" t="inlineStr">
        <is>
          <t>Dia.: 600 mm</t>
        </is>
      </c>
      <c r="F2604" s="5" t="inlineStr">
        <is>
          <t>depth bored to 10 m maximum depth</t>
        </is>
      </c>
      <c r="G2604" s="6" t="inlineStr">
        <is>
          <t>nr</t>
        </is>
      </c>
      <c r="H2604" s="7" t="n"/>
      <c r="I2604" s="8" t="n">
        <v>0</v>
      </c>
      <c r="J2604" s="8" t="n">
        <v>0</v>
      </c>
      <c r="K2604" s="8" t="n">
        <v>0</v>
      </c>
      <c r="L2604" s="8" t="n">
        <v>40.51</v>
      </c>
      <c r="M2604" s="9">
        <f>ROUND(SUM(I2604:L2604),2)</f>
        <v/>
      </c>
      <c r="N2604" s="10">
        <f>ROUND(I2604*'Irish Basis'!$C$6*'Irish Basis'!$C$5,2)</f>
        <v/>
      </c>
      <c r="O2604" s="10">
        <f>ROUND(J2604*'Irish Basis'!$C$7*'Irish Basis'!$C$5,2)</f>
        <v/>
      </c>
      <c r="P2604" s="10">
        <f>ROUND(K2604*'Irish Basis'!$C$8*'Irish Basis'!$C$5,2)</f>
        <v/>
      </c>
      <c r="Q2604" s="10">
        <f>ROUND(L2604*'Irish Basis'!$C$12*'Irish Basis'!$C$5,2)</f>
        <v/>
      </c>
      <c r="R2604" s="11">
        <f>ROUND(SUM(N2604:Q2604),2)</f>
        <v/>
      </c>
      <c r="S2604" s="5" t="inlineStr">
        <is>
          <t>All-in specialist rate</t>
        </is>
      </c>
      <c r="T2604" s="14" t="inlineStr">
        <is>
          <t>All-in (not split)</t>
        </is>
      </c>
      <c r="U2604" s="8" t="n">
        <v>40.51</v>
      </c>
      <c r="V2604" s="13">
        <f>IF(U2604="","",ROUND(M2604-U2604,2))</f>
        <v/>
      </c>
      <c r="W2604" s="5" t="n"/>
      <c r="X2604" s="5" t="inlineStr">
        <is>
          <t>Source publishes a specialist/sub-contract all-in rate; no labour/plant/material build-up exists to derive from.</t>
        </is>
      </c>
    </row>
    <row r="2605" ht="13" customHeight="1">
      <c r="A2605" s="4" t="n">
        <v>3901</v>
      </c>
      <c r="B2605" s="5" t="inlineStr">
        <is>
          <t>IMG_0118</t>
        </is>
      </c>
      <c r="C2605" s="5" t="inlineStr">
        <is>
          <t>CLASS P: PILES</t>
        </is>
      </c>
      <c r="D2605" s="5" t="inlineStr">
        <is>
          <t>01 BORED CAST IN PLACE CONCRETE PILES</t>
        </is>
      </c>
      <c r="E2605" s="5" t="inlineStr">
        <is>
          <t>Dia.: 600 mm</t>
        </is>
      </c>
      <c r="F2605" s="5" t="inlineStr">
        <is>
          <t>depth bored to 15 m maximum depth</t>
        </is>
      </c>
      <c r="G2605" s="6" t="inlineStr">
        <is>
          <t>nr</t>
        </is>
      </c>
      <c r="H2605" s="7" t="n"/>
      <c r="I2605" s="8" t="n">
        <v>0</v>
      </c>
      <c r="J2605" s="8" t="n">
        <v>0</v>
      </c>
      <c r="K2605" s="8" t="n">
        <v>0</v>
      </c>
      <c r="L2605" s="8" t="n">
        <v>38</v>
      </c>
      <c r="M2605" s="9">
        <f>ROUND(SUM(I2605:L2605),2)</f>
        <v/>
      </c>
      <c r="N2605" s="10">
        <f>ROUND(I2605*'Irish Basis'!$C$6*'Irish Basis'!$C$5,2)</f>
        <v/>
      </c>
      <c r="O2605" s="10">
        <f>ROUND(J2605*'Irish Basis'!$C$7*'Irish Basis'!$C$5,2)</f>
        <v/>
      </c>
      <c r="P2605" s="10">
        <f>ROUND(K2605*'Irish Basis'!$C$8*'Irish Basis'!$C$5,2)</f>
        <v/>
      </c>
      <c r="Q2605" s="10">
        <f>ROUND(L2605*'Irish Basis'!$C$12*'Irish Basis'!$C$5,2)</f>
        <v/>
      </c>
      <c r="R2605" s="11">
        <f>ROUND(SUM(N2605:Q2605),2)</f>
        <v/>
      </c>
      <c r="S2605" s="5" t="inlineStr">
        <is>
          <t>All-in specialist rate</t>
        </is>
      </c>
      <c r="T2605" s="14" t="inlineStr">
        <is>
          <t>All-in (not split)</t>
        </is>
      </c>
      <c r="U2605" s="8" t="n">
        <v>38</v>
      </c>
      <c r="V2605" s="13">
        <f>IF(U2605="","",ROUND(M2605-U2605,2))</f>
        <v/>
      </c>
      <c r="W2605" s="5" t="n"/>
      <c r="X2605" s="5" t="inlineStr">
        <is>
          <t>Source publishes a specialist/sub-contract all-in rate; no labour/plant/material build-up exists to derive from.</t>
        </is>
      </c>
    </row>
    <row r="2606" ht="13" customHeight="1">
      <c r="A2606" s="4" t="n">
        <v>3902</v>
      </c>
      <c r="B2606" s="5" t="inlineStr">
        <is>
          <t>IMG_0118</t>
        </is>
      </c>
      <c r="C2606" s="5" t="inlineStr">
        <is>
          <t>CLASS P: PILES</t>
        </is>
      </c>
      <c r="D2606" s="5" t="inlineStr">
        <is>
          <t>01 BORED CAST IN PLACE CONCRETE PILES</t>
        </is>
      </c>
      <c r="E2606" s="5" t="inlineStr">
        <is>
          <t>Dia.: 600 mm</t>
        </is>
      </c>
      <c r="F2606" s="5" t="inlineStr">
        <is>
          <t>depth bored to 20 m maximum depth</t>
        </is>
      </c>
      <c r="G2606" s="6" t="inlineStr">
        <is>
          <t>nr</t>
        </is>
      </c>
      <c r="H2606" s="7" t="n"/>
      <c r="I2606" s="8" t="n">
        <v>0</v>
      </c>
      <c r="J2606" s="8" t="n">
        <v>0</v>
      </c>
      <c r="K2606" s="8" t="n">
        <v>0</v>
      </c>
      <c r="L2606" s="8" t="n">
        <v>33.92</v>
      </c>
      <c r="M2606" s="9">
        <f>ROUND(SUM(I2606:L2606),2)</f>
        <v/>
      </c>
      <c r="N2606" s="10">
        <f>ROUND(I2606*'Irish Basis'!$C$6*'Irish Basis'!$C$5,2)</f>
        <v/>
      </c>
      <c r="O2606" s="10">
        <f>ROUND(J2606*'Irish Basis'!$C$7*'Irish Basis'!$C$5,2)</f>
        <v/>
      </c>
      <c r="P2606" s="10">
        <f>ROUND(K2606*'Irish Basis'!$C$8*'Irish Basis'!$C$5,2)</f>
        <v/>
      </c>
      <c r="Q2606" s="10">
        <f>ROUND(L2606*'Irish Basis'!$C$12*'Irish Basis'!$C$5,2)</f>
        <v/>
      </c>
      <c r="R2606" s="11">
        <f>ROUND(SUM(N2606:Q2606),2)</f>
        <v/>
      </c>
      <c r="S2606" s="5" t="inlineStr">
        <is>
          <t>All-in specialist rate</t>
        </is>
      </c>
      <c r="T2606" s="14" t="inlineStr">
        <is>
          <t>All-in (not split)</t>
        </is>
      </c>
      <c r="U2606" s="8" t="n">
        <v>33.92</v>
      </c>
      <c r="V2606" s="13">
        <f>IF(U2606="","",ROUND(M2606-U2606,2))</f>
        <v/>
      </c>
      <c r="W2606" s="5" t="n"/>
      <c r="X2606" s="5" t="inlineStr">
        <is>
          <t>Source publishes a specialist/sub-contract all-in rate; no labour/plant/material build-up exists to derive from.</t>
        </is>
      </c>
    </row>
    <row r="2607" ht="13" customHeight="1">
      <c r="A2607" s="4" t="n">
        <v>3910</v>
      </c>
      <c r="B2607" s="5" t="inlineStr">
        <is>
          <t>IMG_0118</t>
        </is>
      </c>
      <c r="C2607" s="5" t="inlineStr">
        <is>
          <t>CLASS P: PILES</t>
        </is>
      </c>
      <c r="D2607" s="5" t="inlineStr">
        <is>
          <t>02 DRIVEN CAST IN PLACE CONCRETE PILES</t>
        </is>
      </c>
      <c r="E2607" s="5" t="inlineStr">
        <is>
          <t>Dia. 430 mm; drive shell and form pile</t>
        </is>
      </c>
      <c r="F2607" s="5" t="inlineStr">
        <is>
          <t>number of piles</t>
        </is>
      </c>
      <c r="G2607" s="6" t="inlineStr">
        <is>
          <t>nr</t>
        </is>
      </c>
      <c r="H2607" s="7" t="n"/>
      <c r="I2607" s="8" t="n">
        <v>0</v>
      </c>
      <c r="J2607" s="8" t="n">
        <v>0</v>
      </c>
      <c r="K2607" s="8" t="n">
        <v>0</v>
      </c>
      <c r="L2607" s="8" t="n">
        <v>359</v>
      </c>
      <c r="M2607" s="9">
        <f>ROUND(SUM(I2607:L2607),2)</f>
        <v/>
      </c>
      <c r="N2607" s="10">
        <f>ROUND(I2607*'Irish Basis'!$C$6*'Irish Basis'!$C$5,2)</f>
        <v/>
      </c>
      <c r="O2607" s="10">
        <f>ROUND(J2607*'Irish Basis'!$C$7*'Irish Basis'!$C$5,2)</f>
        <v/>
      </c>
      <c r="P2607" s="10">
        <f>ROUND(K2607*'Irish Basis'!$C$8*'Irish Basis'!$C$5,2)</f>
        <v/>
      </c>
      <c r="Q2607" s="10">
        <f>ROUND(L2607*'Irish Basis'!$C$12*'Irish Basis'!$C$5,2)</f>
        <v/>
      </c>
      <c r="R2607" s="11">
        <f>ROUND(SUM(N2607:Q2607),2)</f>
        <v/>
      </c>
      <c r="S2607" s="5" t="inlineStr">
        <is>
          <t>All-in specialist rate</t>
        </is>
      </c>
      <c r="T2607" s="14" t="inlineStr">
        <is>
          <t>All-in (not split)</t>
        </is>
      </c>
      <c r="U2607" s="8" t="n">
        <v>359</v>
      </c>
      <c r="V2607" s="13">
        <f>IF(U2607="","",ROUND(M2607-U2607,2))</f>
        <v/>
      </c>
      <c r="W2607" s="5" t="n"/>
      <c r="X2607" s="5" t="inlineStr">
        <is>
          <t>Source publishes a specialist/sub-contract all-in rate; no labour/plant/material build-up exists to derive from.</t>
        </is>
      </c>
    </row>
    <row r="2608" ht="13" customHeight="1">
      <c r="A2608" s="4" t="n">
        <v>3911</v>
      </c>
      <c r="B2608" s="5" t="inlineStr">
        <is>
          <t>IMG_0118</t>
        </is>
      </c>
      <c r="C2608" s="5" t="inlineStr">
        <is>
          <t>CLASS P: PILES</t>
        </is>
      </c>
      <c r="D2608" s="5" t="inlineStr">
        <is>
          <t>02 DRIVEN CAST IN PLACE CONCRETE PILES</t>
        </is>
      </c>
      <c r="E2608" s="5" t="inlineStr">
        <is>
          <t>Dia. 430 mm; drive shell and form pile</t>
        </is>
      </c>
      <c r="F2608" s="5" t="inlineStr">
        <is>
          <t>concreted length</t>
        </is>
      </c>
      <c r="G2608" s="6" t="inlineStr">
        <is>
          <t>m</t>
        </is>
      </c>
      <c r="H2608" s="7" t="n"/>
      <c r="I2608" s="8" t="n">
        <v>0</v>
      </c>
      <c r="J2608" s="8" t="n">
        <v>0</v>
      </c>
      <c r="K2608" s="8" t="n">
        <v>0</v>
      </c>
      <c r="L2608" s="8" t="n">
        <v>37.59</v>
      </c>
      <c r="M2608" s="9">
        <f>ROUND(SUM(I2608:L2608),2)</f>
        <v/>
      </c>
      <c r="N2608" s="10">
        <f>ROUND(I2608*'Irish Basis'!$C$6*'Irish Basis'!$C$5,2)</f>
        <v/>
      </c>
      <c r="O2608" s="10">
        <f>ROUND(J2608*'Irish Basis'!$C$7*'Irish Basis'!$C$5,2)</f>
        <v/>
      </c>
      <c r="P2608" s="10">
        <f>ROUND(K2608*'Irish Basis'!$C$8*'Irish Basis'!$C$5,2)</f>
        <v/>
      </c>
      <c r="Q2608" s="10">
        <f>ROUND(L2608*'Irish Basis'!$C$12*'Irish Basis'!$C$5,2)</f>
        <v/>
      </c>
      <c r="R2608" s="11">
        <f>ROUND(SUM(N2608:Q2608),2)</f>
        <v/>
      </c>
      <c r="S2608" s="5" t="inlineStr">
        <is>
          <t>All-in specialist rate</t>
        </is>
      </c>
      <c r="T2608" s="14" t="inlineStr">
        <is>
          <t>All-in (not split)</t>
        </is>
      </c>
      <c r="U2608" s="8" t="n">
        <v>37.59</v>
      </c>
      <c r="V2608" s="13">
        <f>IF(U2608="","",ROUND(M2608-U2608,2))</f>
        <v/>
      </c>
      <c r="W2608" s="5" t="n"/>
      <c r="X2608" s="5" t="inlineStr">
        <is>
          <t>Source publishes a specialist/sub-contract all-in rate; no labour/plant/material build-up exists to derive from.</t>
        </is>
      </c>
    </row>
    <row r="2609" ht="13" customHeight="1">
      <c r="A2609" s="4" t="n">
        <v>3912</v>
      </c>
      <c r="B2609" s="5" t="inlineStr">
        <is>
          <t>IMG_0118</t>
        </is>
      </c>
      <c r="C2609" s="5" t="inlineStr">
        <is>
          <t>CLASS P: PILES</t>
        </is>
      </c>
      <c r="D2609" s="5" t="inlineStr">
        <is>
          <t>02 DRIVEN CAST IN PLACE CONCRETE PILES</t>
        </is>
      </c>
      <c r="E2609" s="5" t="inlineStr">
        <is>
          <t>Dia. 430 mm; drive shell and form pile</t>
        </is>
      </c>
      <c r="F2609" s="5" t="inlineStr">
        <is>
          <t>depth driven; bottom-driven method</t>
        </is>
      </c>
      <c r="G2609" s="6" t="inlineStr">
        <is>
          <t>m</t>
        </is>
      </c>
      <c r="H2609" s="7" t="n"/>
      <c r="I2609" s="8" t="n">
        <v>0</v>
      </c>
      <c r="J2609" s="8" t="n">
        <v>0</v>
      </c>
      <c r="K2609" s="8" t="n">
        <v>0</v>
      </c>
      <c r="L2609" s="8" t="n">
        <v>9.43</v>
      </c>
      <c r="M2609" s="9">
        <f>ROUND(SUM(I2609:L2609),2)</f>
        <v/>
      </c>
      <c r="N2609" s="10">
        <f>ROUND(I2609*'Irish Basis'!$C$6*'Irish Basis'!$C$5,2)</f>
        <v/>
      </c>
      <c r="O2609" s="10">
        <f>ROUND(J2609*'Irish Basis'!$C$7*'Irish Basis'!$C$5,2)</f>
        <v/>
      </c>
      <c r="P2609" s="10">
        <f>ROUND(K2609*'Irish Basis'!$C$8*'Irish Basis'!$C$5,2)</f>
        <v/>
      </c>
      <c r="Q2609" s="10">
        <f>ROUND(L2609*'Irish Basis'!$C$12*'Irish Basis'!$C$5,2)</f>
        <v/>
      </c>
      <c r="R2609" s="11">
        <f>ROUND(SUM(N2609:Q2609),2)</f>
        <v/>
      </c>
      <c r="S2609" s="5" t="inlineStr">
        <is>
          <t>All-in specialist rate</t>
        </is>
      </c>
      <c r="T2609" s="14" t="inlineStr">
        <is>
          <t>All-in (not split)</t>
        </is>
      </c>
      <c r="U2609" s="8" t="n">
        <v>9.43</v>
      </c>
      <c r="V2609" s="13">
        <f>IF(U2609="","",ROUND(M2609-U2609,2))</f>
        <v/>
      </c>
      <c r="W2609" s="5" t="n"/>
      <c r="X2609" s="5" t="inlineStr">
        <is>
          <t>Source publishes a specialist/sub-contract all-in rate; no labour/plant/material build-up exists to derive from.</t>
        </is>
      </c>
    </row>
    <row r="2610" ht="13" customHeight="1">
      <c r="A2610" s="4" t="n">
        <v>3913</v>
      </c>
      <c r="B2610" s="5" t="inlineStr">
        <is>
          <t>IMG_0118</t>
        </is>
      </c>
      <c r="C2610" s="5" t="inlineStr">
        <is>
          <t>CLASS P: PILES</t>
        </is>
      </c>
      <c r="D2610" s="5" t="inlineStr">
        <is>
          <t>02 DRIVEN CAST IN PLACE CONCRETE PILES</t>
        </is>
      </c>
      <c r="E2610" s="5" t="inlineStr">
        <is>
          <t>Dia. 430 mm; drive shell and form pile</t>
        </is>
      </c>
      <c r="F2610" s="5" t="inlineStr">
        <is>
          <t>depth driven; top-driven method</t>
        </is>
      </c>
      <c r="G2610" s="6" t="inlineStr">
        <is>
          <t>m</t>
        </is>
      </c>
      <c r="H2610" s="7" t="n"/>
      <c r="I2610" s="8" t="n">
        <v>0</v>
      </c>
      <c r="J2610" s="8" t="n">
        <v>0</v>
      </c>
      <c r="K2610" s="8" t="n">
        <v>0</v>
      </c>
      <c r="L2610" s="8" t="n">
        <v>5.42</v>
      </c>
      <c r="M2610" s="9">
        <f>ROUND(SUM(I2610:L2610),2)</f>
        <v/>
      </c>
      <c r="N2610" s="10">
        <f>ROUND(I2610*'Irish Basis'!$C$6*'Irish Basis'!$C$5,2)</f>
        <v/>
      </c>
      <c r="O2610" s="10">
        <f>ROUND(J2610*'Irish Basis'!$C$7*'Irish Basis'!$C$5,2)</f>
        <v/>
      </c>
      <c r="P2610" s="10">
        <f>ROUND(K2610*'Irish Basis'!$C$8*'Irish Basis'!$C$5,2)</f>
        <v/>
      </c>
      <c r="Q2610" s="10">
        <f>ROUND(L2610*'Irish Basis'!$C$12*'Irish Basis'!$C$5,2)</f>
        <v/>
      </c>
      <c r="R2610" s="11">
        <f>ROUND(SUM(N2610:Q2610),2)</f>
        <v/>
      </c>
      <c r="S2610" s="5" t="inlineStr">
        <is>
          <t>All-in specialist rate</t>
        </is>
      </c>
      <c r="T2610" s="14" t="inlineStr">
        <is>
          <t>All-in (not split)</t>
        </is>
      </c>
      <c r="U2610" s="8" t="n">
        <v>5.42</v>
      </c>
      <c r="V2610" s="13">
        <f>IF(U2610="","",ROUND(M2610-U2610,2))</f>
        <v/>
      </c>
      <c r="W2610" s="5" t="n"/>
      <c r="X2610" s="5" t="inlineStr">
        <is>
          <t>Source publishes a specialist/sub-contract all-in rate; no labour/plant/material build-up exists to derive from.</t>
        </is>
      </c>
    </row>
    <row r="2611" ht="13" customHeight="1">
      <c r="A2611" s="4" t="n">
        <v>3918</v>
      </c>
      <c r="B2611" s="5" t="inlineStr">
        <is>
          <t>IMG_0118</t>
        </is>
      </c>
      <c r="C2611" s="5" t="inlineStr">
        <is>
          <t>CLASS P: PILES</t>
        </is>
      </c>
      <c r="D2611" s="5" t="inlineStr">
        <is>
          <t>02 DRIVEN CAST IN PLACE CONCRETE PILES</t>
        </is>
      </c>
      <c r="E2611" s="5" t="inlineStr">
        <is>
          <t>Dia. 620 mm</t>
        </is>
      </c>
      <c r="F2611" s="5" t="inlineStr">
        <is>
          <t>number of piles</t>
        </is>
      </c>
      <c r="G2611" s="6" t="inlineStr">
        <is>
          <t>nr</t>
        </is>
      </c>
      <c r="H2611" s="7" t="n"/>
      <c r="I2611" s="8" t="n">
        <v>0</v>
      </c>
      <c r="J2611" s="8" t="n">
        <v>0</v>
      </c>
      <c r="K2611" s="8" t="n">
        <v>0</v>
      </c>
      <c r="L2611" s="8" t="n">
        <v>212.7</v>
      </c>
      <c r="M2611" s="9">
        <f>ROUND(SUM(I2611:L2611),2)</f>
        <v/>
      </c>
      <c r="N2611" s="10">
        <f>ROUND(I2611*'Irish Basis'!$C$6*'Irish Basis'!$C$5,2)</f>
        <v/>
      </c>
      <c r="O2611" s="10">
        <f>ROUND(J2611*'Irish Basis'!$C$7*'Irish Basis'!$C$5,2)</f>
        <v/>
      </c>
      <c r="P2611" s="10">
        <f>ROUND(K2611*'Irish Basis'!$C$8*'Irish Basis'!$C$5,2)</f>
        <v/>
      </c>
      <c r="Q2611" s="10">
        <f>ROUND(L2611*'Irish Basis'!$C$12*'Irish Basis'!$C$5,2)</f>
        <v/>
      </c>
      <c r="R2611" s="11">
        <f>ROUND(SUM(N2611:Q2611),2)</f>
        <v/>
      </c>
      <c r="S2611" s="5" t="inlineStr">
        <is>
          <t>All-in specialist rate</t>
        </is>
      </c>
      <c r="T2611" s="14" t="inlineStr">
        <is>
          <t>All-in (not split)</t>
        </is>
      </c>
      <c r="U2611" s="8" t="n">
        <v>212.7</v>
      </c>
      <c r="V2611" s="13">
        <f>IF(U2611="","",ROUND(M2611-U2611,2))</f>
        <v/>
      </c>
      <c r="W2611" s="5" t="n"/>
      <c r="X2611" s="5" t="inlineStr">
        <is>
          <t>Source publishes a specialist/sub-contract all-in rate; no labour/plant/material build-up exists to derive from.</t>
        </is>
      </c>
    </row>
    <row r="2612" ht="13" customHeight="1">
      <c r="A2612" s="4" t="n">
        <v>3919</v>
      </c>
      <c r="B2612" s="5" t="inlineStr">
        <is>
          <t>IMG_0118</t>
        </is>
      </c>
      <c r="C2612" s="5" t="inlineStr">
        <is>
          <t>CLASS P: PILES</t>
        </is>
      </c>
      <c r="D2612" s="5" t="inlineStr">
        <is>
          <t>02 DRIVEN CAST IN PLACE CONCRETE PILES</t>
        </is>
      </c>
      <c r="E2612" s="5" t="inlineStr">
        <is>
          <t>Dia. 620 mm</t>
        </is>
      </c>
      <c r="F2612" s="5" t="inlineStr">
        <is>
          <t>concreted length</t>
        </is>
      </c>
      <c r="G2612" s="6" t="inlineStr">
        <is>
          <t>m</t>
        </is>
      </c>
      <c r="H2612" s="7" t="n"/>
      <c r="I2612" s="8" t="n">
        <v>0</v>
      </c>
      <c r="J2612" s="8" t="n">
        <v>0</v>
      </c>
      <c r="K2612" s="8" t="n">
        <v>0</v>
      </c>
      <c r="L2612" s="8" t="n">
        <v>245.87</v>
      </c>
      <c r="M2612" s="9">
        <f>ROUND(SUM(I2612:L2612),2)</f>
        <v/>
      </c>
      <c r="N2612" s="10">
        <f>ROUND(I2612*'Irish Basis'!$C$6*'Irish Basis'!$C$5,2)</f>
        <v/>
      </c>
      <c r="O2612" s="10">
        <f>ROUND(J2612*'Irish Basis'!$C$7*'Irish Basis'!$C$5,2)</f>
        <v/>
      </c>
      <c r="P2612" s="10">
        <f>ROUND(K2612*'Irish Basis'!$C$8*'Irish Basis'!$C$5,2)</f>
        <v/>
      </c>
      <c r="Q2612" s="10">
        <f>ROUND(L2612*'Irish Basis'!$C$12*'Irish Basis'!$C$5,2)</f>
        <v/>
      </c>
      <c r="R2612" s="11">
        <f>ROUND(SUM(N2612:Q2612),2)</f>
        <v/>
      </c>
      <c r="S2612" s="5" t="inlineStr">
        <is>
          <t>All-in specialist rate</t>
        </is>
      </c>
      <c r="T2612" s="14" t="inlineStr">
        <is>
          <t>All-in (not split)</t>
        </is>
      </c>
      <c r="U2612" s="8" t="n">
        <v>245.87</v>
      </c>
      <c r="V2612" s="13">
        <f>IF(U2612="","",ROUND(M2612-U2612,2))</f>
        <v/>
      </c>
      <c r="W2612" s="5" t="n"/>
      <c r="X2612" s="5" t="inlineStr">
        <is>
          <t>Source publishes a specialist/sub-contract all-in rate; no labour/plant/material build-up exists to derive from.</t>
        </is>
      </c>
    </row>
    <row r="2613" ht="13" customHeight="1">
      <c r="A2613" s="4" t="n">
        <v>3920</v>
      </c>
      <c r="B2613" s="5" t="inlineStr">
        <is>
          <t>IMG_0118</t>
        </is>
      </c>
      <c r="C2613" s="5" t="inlineStr">
        <is>
          <t>CLASS P: PILES</t>
        </is>
      </c>
      <c r="D2613" s="5" t="inlineStr">
        <is>
          <t>02 DRIVEN CAST IN PLACE CONCRETE PILES</t>
        </is>
      </c>
      <c r="E2613" s="5" t="inlineStr">
        <is>
          <t>Dia. 620 mm</t>
        </is>
      </c>
      <c r="F2613" s="5" t="inlineStr">
        <is>
          <t>depth bored or driven to 15 m maximum depth</t>
        </is>
      </c>
      <c r="G2613" s="6" t="inlineStr">
        <is>
          <t>m</t>
        </is>
      </c>
      <c r="H2613" s="7" t="n"/>
      <c r="I2613" s="8" t="n">
        <v>0</v>
      </c>
      <c r="J2613" s="8" t="n">
        <v>0</v>
      </c>
      <c r="K2613" s="8" t="n">
        <v>0</v>
      </c>
      <c r="L2613" s="8" t="n">
        <v>15.52</v>
      </c>
      <c r="M2613" s="9">
        <f>ROUND(SUM(I2613:L2613),2)</f>
        <v/>
      </c>
      <c r="N2613" s="10">
        <f>ROUND(I2613*'Irish Basis'!$C$6*'Irish Basis'!$C$5,2)</f>
        <v/>
      </c>
      <c r="O2613" s="10">
        <f>ROUND(J2613*'Irish Basis'!$C$7*'Irish Basis'!$C$5,2)</f>
        <v/>
      </c>
      <c r="P2613" s="10">
        <f>ROUND(K2613*'Irish Basis'!$C$8*'Irish Basis'!$C$5,2)</f>
        <v/>
      </c>
      <c r="Q2613" s="10">
        <f>ROUND(L2613*'Irish Basis'!$C$12*'Irish Basis'!$C$5,2)</f>
        <v/>
      </c>
      <c r="R2613" s="11">
        <f>ROUND(SUM(N2613:Q2613),2)</f>
        <v/>
      </c>
      <c r="S2613" s="5" t="inlineStr">
        <is>
          <t>All-in specialist rate</t>
        </is>
      </c>
      <c r="T2613" s="14" t="inlineStr">
        <is>
          <t>All-in (not split)</t>
        </is>
      </c>
      <c r="U2613" s="8" t="n">
        <v>15.52</v>
      </c>
      <c r="V2613" s="13">
        <f>IF(U2613="","",ROUND(M2613-U2613,2))</f>
        <v/>
      </c>
      <c r="W2613" s="5" t="n"/>
      <c r="X2613" s="5" t="inlineStr">
        <is>
          <t>Source publishes a specialist/sub-contract all-in rate; no labour/plant/material build-up exists to derive from.</t>
        </is>
      </c>
    </row>
    <row r="2614" ht="13" customHeight="1">
      <c r="A2614" s="4" t="n">
        <v>3922</v>
      </c>
      <c r="B2614" s="5" t="inlineStr">
        <is>
          <t>IMG_0118</t>
        </is>
      </c>
      <c r="C2614" s="5" t="inlineStr">
        <is>
          <t>CLASS P: PILES</t>
        </is>
      </c>
      <c r="D2614" s="5" t="inlineStr">
        <is>
          <t>02 DRIVEN CAST IN PLACE CONCRETE PILES</t>
        </is>
      </c>
      <c r="E2614" s="5" t="inlineStr">
        <is>
          <t>Dia. 1180 mm</t>
        </is>
      </c>
      <c r="F2614" s="5" t="inlineStr">
        <is>
          <t>number of piles</t>
        </is>
      </c>
      <c r="G2614" s="6" t="inlineStr">
        <is>
          <t>nr</t>
        </is>
      </c>
      <c r="H2614" s="7" t="n"/>
      <c r="I2614" s="8" t="n">
        <v>0</v>
      </c>
      <c r="J2614" s="8" t="n">
        <v>0</v>
      </c>
      <c r="K2614" s="8" t="n">
        <v>0</v>
      </c>
      <c r="L2614" s="8" t="n">
        <v>212.7</v>
      </c>
      <c r="M2614" s="9">
        <f>ROUND(SUM(I2614:L2614),2)</f>
        <v/>
      </c>
      <c r="N2614" s="10">
        <f>ROUND(I2614*'Irish Basis'!$C$6*'Irish Basis'!$C$5,2)</f>
        <v/>
      </c>
      <c r="O2614" s="10">
        <f>ROUND(J2614*'Irish Basis'!$C$7*'Irish Basis'!$C$5,2)</f>
        <v/>
      </c>
      <c r="P2614" s="10">
        <f>ROUND(K2614*'Irish Basis'!$C$8*'Irish Basis'!$C$5,2)</f>
        <v/>
      </c>
      <c r="Q2614" s="10">
        <f>ROUND(L2614*'Irish Basis'!$C$12*'Irish Basis'!$C$5,2)</f>
        <v/>
      </c>
      <c r="R2614" s="11">
        <f>ROUND(SUM(N2614:Q2614),2)</f>
        <v/>
      </c>
      <c r="S2614" s="5" t="inlineStr">
        <is>
          <t>All-in specialist rate</t>
        </is>
      </c>
      <c r="T2614" s="14" t="inlineStr">
        <is>
          <t>All-in (not split)</t>
        </is>
      </c>
      <c r="U2614" s="8" t="n">
        <v>212.7</v>
      </c>
      <c r="V2614" s="13">
        <f>IF(U2614="","",ROUND(M2614-U2614,2))</f>
        <v/>
      </c>
      <c r="W2614" s="5" t="n"/>
      <c r="X2614" s="5" t="inlineStr">
        <is>
          <t>Source publishes a specialist/sub-contract all-in rate; no labour/plant/material build-up exists to derive from.</t>
        </is>
      </c>
    </row>
    <row r="2615" ht="13" customHeight="1">
      <c r="A2615" s="4" t="n">
        <v>3923</v>
      </c>
      <c r="B2615" s="5" t="inlineStr">
        <is>
          <t>IMG_0118</t>
        </is>
      </c>
      <c r="C2615" s="5" t="inlineStr">
        <is>
          <t>CLASS P: PILES</t>
        </is>
      </c>
      <c r="D2615" s="5" t="inlineStr">
        <is>
          <t>02 DRIVEN CAST IN PLACE CONCRETE PILES</t>
        </is>
      </c>
      <c r="E2615" s="5" t="inlineStr">
        <is>
          <t>Dia. 1180 mm</t>
        </is>
      </c>
      <c r="F2615" s="5" t="inlineStr">
        <is>
          <t>concreted length</t>
        </is>
      </c>
      <c r="G2615" s="6" t="inlineStr">
        <is>
          <t>m</t>
        </is>
      </c>
      <c r="H2615" s="7" t="n"/>
      <c r="I2615" s="8" t="n">
        <v>0</v>
      </c>
      <c r="J2615" s="8" t="n">
        <v>0</v>
      </c>
      <c r="K2615" s="8" t="n">
        <v>0</v>
      </c>
      <c r="L2615" s="8" t="n">
        <v>269.52</v>
      </c>
      <c r="M2615" s="9">
        <f>ROUND(SUM(I2615:L2615),2)</f>
        <v/>
      </c>
      <c r="N2615" s="10">
        <f>ROUND(I2615*'Irish Basis'!$C$6*'Irish Basis'!$C$5,2)</f>
        <v/>
      </c>
      <c r="O2615" s="10">
        <f>ROUND(J2615*'Irish Basis'!$C$7*'Irish Basis'!$C$5,2)</f>
        <v/>
      </c>
      <c r="P2615" s="10">
        <f>ROUND(K2615*'Irish Basis'!$C$8*'Irish Basis'!$C$5,2)</f>
        <v/>
      </c>
      <c r="Q2615" s="10">
        <f>ROUND(L2615*'Irish Basis'!$C$12*'Irish Basis'!$C$5,2)</f>
        <v/>
      </c>
      <c r="R2615" s="11">
        <f>ROUND(SUM(N2615:Q2615),2)</f>
        <v/>
      </c>
      <c r="S2615" s="5" t="inlineStr">
        <is>
          <t>All-in specialist rate</t>
        </is>
      </c>
      <c r="T2615" s="14" t="inlineStr">
        <is>
          <t>All-in (not split)</t>
        </is>
      </c>
      <c r="U2615" s="8" t="n">
        <v>269.52</v>
      </c>
      <c r="V2615" s="13">
        <f>IF(U2615="","",ROUND(M2615-U2615,2))</f>
        <v/>
      </c>
      <c r="W2615" s="5" t="n"/>
      <c r="X2615" s="5" t="inlineStr">
        <is>
          <t>Source publishes a specialist/sub-contract all-in rate; no labour/plant/material build-up exists to derive from.</t>
        </is>
      </c>
    </row>
    <row r="2616" ht="13" customHeight="1">
      <c r="A2616" s="4" t="n">
        <v>3924</v>
      </c>
      <c r="B2616" s="5" t="inlineStr">
        <is>
          <t>IMG_0118</t>
        </is>
      </c>
      <c r="C2616" s="5" t="inlineStr">
        <is>
          <t>CLASS P: PILES</t>
        </is>
      </c>
      <c r="D2616" s="5" t="inlineStr">
        <is>
          <t>02 DRIVEN CAST IN PLACE CONCRETE PILES</t>
        </is>
      </c>
      <c r="E2616" s="5" t="inlineStr">
        <is>
          <t>Dia. 1180 mm</t>
        </is>
      </c>
      <c r="F2616" s="5" t="inlineStr">
        <is>
          <t>depth bored or driven to 15 m maximum depth</t>
        </is>
      </c>
      <c r="G2616" s="6" t="inlineStr">
        <is>
          <t>m</t>
        </is>
      </c>
      <c r="H2616" s="7" t="n"/>
      <c r="I2616" s="8" t="n">
        <v>0</v>
      </c>
      <c r="J2616" s="8" t="n">
        <v>0</v>
      </c>
      <c r="K2616" s="8" t="n">
        <v>0</v>
      </c>
      <c r="L2616" s="8" t="n">
        <v>24.52</v>
      </c>
      <c r="M2616" s="9">
        <f>ROUND(SUM(I2616:L2616),2)</f>
        <v/>
      </c>
      <c r="N2616" s="10">
        <f>ROUND(I2616*'Irish Basis'!$C$6*'Irish Basis'!$C$5,2)</f>
        <v/>
      </c>
      <c r="O2616" s="10">
        <f>ROUND(J2616*'Irish Basis'!$C$7*'Irish Basis'!$C$5,2)</f>
        <v/>
      </c>
      <c r="P2616" s="10">
        <f>ROUND(K2616*'Irish Basis'!$C$8*'Irish Basis'!$C$5,2)</f>
        <v/>
      </c>
      <c r="Q2616" s="10">
        <f>ROUND(L2616*'Irish Basis'!$C$12*'Irish Basis'!$C$5,2)</f>
        <v/>
      </c>
      <c r="R2616" s="11">
        <f>ROUND(SUM(N2616:Q2616),2)</f>
        <v/>
      </c>
      <c r="S2616" s="5" t="inlineStr">
        <is>
          <t>All-in specialist rate</t>
        </is>
      </c>
      <c r="T2616" s="14" t="inlineStr">
        <is>
          <t>All-in (not split)</t>
        </is>
      </c>
      <c r="U2616" s="8" t="n">
        <v>24.52</v>
      </c>
      <c r="V2616" s="13">
        <f>IF(U2616="","",ROUND(M2616-U2616,2))</f>
        <v/>
      </c>
      <c r="W2616" s="5" t="n"/>
      <c r="X2616" s="5" t="inlineStr">
        <is>
          <t>Source publishes a specialist/sub-contract all-in rate; no labour/plant/material build-up exists to derive from.</t>
        </is>
      </c>
    </row>
    <row r="2617" ht="13" customHeight="1">
      <c r="A2617" s="4" t="n">
        <v>3926</v>
      </c>
      <c r="B2617" s="5" t="inlineStr">
        <is>
          <t>IMG_0118</t>
        </is>
      </c>
      <c r="C2617" s="5" t="inlineStr">
        <is>
          <t>CLASS P: PILES</t>
        </is>
      </c>
      <c r="D2617" s="5" t="inlineStr">
        <is>
          <t>02 DRIVEN CAST IN PLACE CONCRETE PILES</t>
        </is>
      </c>
      <c r="E2617" s="5" t="inlineStr">
        <is>
          <t>Dia. 1500 mm</t>
        </is>
      </c>
      <c r="F2617" s="5" t="inlineStr">
        <is>
          <t>number of piles</t>
        </is>
      </c>
      <c r="G2617" s="6" t="inlineStr">
        <is>
          <t>nr</t>
        </is>
      </c>
      <c r="H2617" s="7" t="n"/>
      <c r="I2617" s="8" t="n">
        <v>0</v>
      </c>
      <c r="J2617" s="8" t="n">
        <v>0</v>
      </c>
      <c r="K2617" s="8" t="n">
        <v>0</v>
      </c>
      <c r="L2617" s="8" t="n">
        <v>212.7</v>
      </c>
      <c r="M2617" s="9">
        <f>ROUND(SUM(I2617:L2617),2)</f>
        <v/>
      </c>
      <c r="N2617" s="10">
        <f>ROUND(I2617*'Irish Basis'!$C$6*'Irish Basis'!$C$5,2)</f>
        <v/>
      </c>
      <c r="O2617" s="10">
        <f>ROUND(J2617*'Irish Basis'!$C$7*'Irish Basis'!$C$5,2)</f>
        <v/>
      </c>
      <c r="P2617" s="10">
        <f>ROUND(K2617*'Irish Basis'!$C$8*'Irish Basis'!$C$5,2)</f>
        <v/>
      </c>
      <c r="Q2617" s="10">
        <f>ROUND(L2617*'Irish Basis'!$C$12*'Irish Basis'!$C$5,2)</f>
        <v/>
      </c>
      <c r="R2617" s="11">
        <f>ROUND(SUM(N2617:Q2617),2)</f>
        <v/>
      </c>
      <c r="S2617" s="5" t="inlineStr">
        <is>
          <t>All-in specialist rate</t>
        </is>
      </c>
      <c r="T2617" s="14" t="inlineStr">
        <is>
          <t>All-in (not split)</t>
        </is>
      </c>
      <c r="U2617" s="8" t="n">
        <v>212.7</v>
      </c>
      <c r="V2617" s="13">
        <f>IF(U2617="","",ROUND(M2617-U2617,2))</f>
        <v/>
      </c>
      <c r="W2617" s="5" t="n"/>
      <c r="X2617" s="5" t="inlineStr">
        <is>
          <t>Source publishes a specialist/sub-contract all-in rate; no labour/plant/material build-up exists to derive from.</t>
        </is>
      </c>
    </row>
    <row r="2618" ht="13" customHeight="1">
      <c r="A2618" s="4" t="n">
        <v>3927</v>
      </c>
      <c r="B2618" s="5" t="inlineStr">
        <is>
          <t>IMG_0118</t>
        </is>
      </c>
      <c r="C2618" s="5" t="inlineStr">
        <is>
          <t>CLASS P: PILES</t>
        </is>
      </c>
      <c r="D2618" s="5" t="inlineStr">
        <is>
          <t>02 DRIVEN CAST IN PLACE CONCRETE PILES</t>
        </is>
      </c>
      <c r="E2618" s="5" t="inlineStr">
        <is>
          <t>Dia. 1500 mm</t>
        </is>
      </c>
      <c r="F2618" s="5" t="inlineStr">
        <is>
          <t>concreted length</t>
        </is>
      </c>
      <c r="G2618" s="6" t="inlineStr">
        <is>
          <t>m</t>
        </is>
      </c>
      <c r="H2618" s="7" t="n"/>
      <c r="I2618" s="8" t="n">
        <v>0</v>
      </c>
      <c r="J2618" s="8" t="n">
        <v>0</v>
      </c>
      <c r="K2618" s="8" t="n">
        <v>0</v>
      </c>
      <c r="L2618" s="8" t="n">
        <v>363.14</v>
      </c>
      <c r="M2618" s="9">
        <f>ROUND(SUM(I2618:L2618),2)</f>
        <v/>
      </c>
      <c r="N2618" s="10">
        <f>ROUND(I2618*'Irish Basis'!$C$6*'Irish Basis'!$C$5,2)</f>
        <v/>
      </c>
      <c r="O2618" s="10">
        <f>ROUND(J2618*'Irish Basis'!$C$7*'Irish Basis'!$C$5,2)</f>
        <v/>
      </c>
      <c r="P2618" s="10">
        <f>ROUND(K2618*'Irish Basis'!$C$8*'Irish Basis'!$C$5,2)</f>
        <v/>
      </c>
      <c r="Q2618" s="10">
        <f>ROUND(L2618*'Irish Basis'!$C$12*'Irish Basis'!$C$5,2)</f>
        <v/>
      </c>
      <c r="R2618" s="11">
        <f>ROUND(SUM(N2618:Q2618),2)</f>
        <v/>
      </c>
      <c r="S2618" s="5" t="inlineStr">
        <is>
          <t>All-in specialist rate</t>
        </is>
      </c>
      <c r="T2618" s="14" t="inlineStr">
        <is>
          <t>All-in (not split)</t>
        </is>
      </c>
      <c r="U2618" s="8" t="n">
        <v>363.14</v>
      </c>
      <c r="V2618" s="13">
        <f>IF(U2618="","",ROUND(M2618-U2618,2))</f>
        <v/>
      </c>
      <c r="W2618" s="5" t="n"/>
      <c r="X2618" s="5" t="inlineStr">
        <is>
          <t>Source publishes a specialist/sub-contract all-in rate; no labour/plant/material build-up exists to derive from.</t>
        </is>
      </c>
    </row>
    <row r="2619" ht="13" customHeight="1">
      <c r="A2619" s="4" t="n">
        <v>3928</v>
      </c>
      <c r="B2619" s="5" t="inlineStr">
        <is>
          <t>IMG_0118</t>
        </is>
      </c>
      <c r="C2619" s="5" t="inlineStr">
        <is>
          <t>CLASS P: PILES</t>
        </is>
      </c>
      <c r="D2619" s="5" t="inlineStr">
        <is>
          <t>02 DRIVEN CAST IN PLACE CONCRETE PILES</t>
        </is>
      </c>
      <c r="E2619" s="5" t="inlineStr">
        <is>
          <t>Dia. 1500 mm</t>
        </is>
      </c>
      <c r="F2619" s="5" t="inlineStr">
        <is>
          <t>depth bored or driven to 15 m maximum depth</t>
        </is>
      </c>
      <c r="G2619" s="6" t="inlineStr">
        <is>
          <t>m</t>
        </is>
      </c>
      <c r="H2619" s="7" t="n"/>
      <c r="I2619" s="8" t="n">
        <v>0</v>
      </c>
      <c r="J2619" s="8" t="n">
        <v>0</v>
      </c>
      <c r="K2619" s="8" t="n">
        <v>0</v>
      </c>
      <c r="L2619" s="8" t="n">
        <v>38.82</v>
      </c>
      <c r="M2619" s="9">
        <f>ROUND(SUM(I2619:L2619),2)</f>
        <v/>
      </c>
      <c r="N2619" s="10">
        <f>ROUND(I2619*'Irish Basis'!$C$6*'Irish Basis'!$C$5,2)</f>
        <v/>
      </c>
      <c r="O2619" s="10">
        <f>ROUND(J2619*'Irish Basis'!$C$7*'Irish Basis'!$C$5,2)</f>
        <v/>
      </c>
      <c r="P2619" s="10">
        <f>ROUND(K2619*'Irish Basis'!$C$8*'Irish Basis'!$C$5,2)</f>
        <v/>
      </c>
      <c r="Q2619" s="10">
        <f>ROUND(L2619*'Irish Basis'!$C$12*'Irish Basis'!$C$5,2)</f>
        <v/>
      </c>
      <c r="R2619" s="11">
        <f>ROUND(SUM(N2619:Q2619),2)</f>
        <v/>
      </c>
      <c r="S2619" s="5" t="inlineStr">
        <is>
          <t>All-in specialist rate</t>
        </is>
      </c>
      <c r="T2619" s="14" t="inlineStr">
        <is>
          <t>All-in (not split)</t>
        </is>
      </c>
      <c r="U2619" s="8" t="n">
        <v>38.82</v>
      </c>
      <c r="V2619" s="13">
        <f>IF(U2619="","",ROUND(M2619-U2619,2))</f>
        <v/>
      </c>
      <c r="W2619" s="5" t="n"/>
      <c r="X2619" s="5" t="inlineStr">
        <is>
          <t>Source publishes a specialist/sub-contract all-in rate; no labour/plant/material build-up exists to derive from.</t>
        </is>
      </c>
    </row>
    <row r="2620" ht="13" customHeight="1">
      <c r="A2620" s="4" t="n">
        <v>3940</v>
      </c>
      <c r="B2620" s="5" t="inlineStr">
        <is>
          <t>IMG_0119</t>
        </is>
      </c>
      <c r="C2620" s="5" t="inlineStr">
        <is>
          <t>CLASS P: PILES</t>
        </is>
      </c>
      <c r="D2620" s="5" t="inlineStr">
        <is>
          <t>03 PREFORMED CONCRETE PILES</t>
        </is>
      </c>
      <c r="E2620" s="5" t="inlineStr">
        <is>
          <t>Cross-sectional area: 0.05-0.1 m2; 235 x 235 mm</t>
        </is>
      </c>
      <c r="F2620" s="5" t="inlineStr">
        <is>
          <t>number of piles of 10 m length</t>
        </is>
      </c>
      <c r="G2620" s="6" t="inlineStr">
        <is>
          <t>nr</t>
        </is>
      </c>
      <c r="H2620" s="7" t="n"/>
      <c r="I2620" s="8" t="n">
        <v>0</v>
      </c>
      <c r="J2620" s="8" t="n">
        <v>0</v>
      </c>
      <c r="K2620" s="8" t="n">
        <v>0</v>
      </c>
      <c r="L2620" s="8" t="n">
        <v>555.35</v>
      </c>
      <c r="M2620" s="9">
        <f>ROUND(SUM(I2620:L2620),2)</f>
        <v/>
      </c>
      <c r="N2620" s="10">
        <f>ROUND(I2620*'Irish Basis'!$C$6*'Irish Basis'!$C$5,2)</f>
        <v/>
      </c>
      <c r="O2620" s="10">
        <f>ROUND(J2620*'Irish Basis'!$C$7*'Irish Basis'!$C$5,2)</f>
        <v/>
      </c>
      <c r="P2620" s="10">
        <f>ROUND(K2620*'Irish Basis'!$C$8*'Irish Basis'!$C$5,2)</f>
        <v/>
      </c>
      <c r="Q2620" s="10">
        <f>ROUND(L2620*'Irish Basis'!$C$12*'Irish Basis'!$C$5,2)</f>
        <v/>
      </c>
      <c r="R2620" s="11">
        <f>ROUND(SUM(N2620:Q2620),2)</f>
        <v/>
      </c>
      <c r="S2620" s="5" t="inlineStr">
        <is>
          <t>All-in specialist rate</t>
        </is>
      </c>
      <c r="T2620" s="14" t="inlineStr">
        <is>
          <t>All-in (not split)</t>
        </is>
      </c>
      <c r="U2620" s="8" t="n">
        <v>555.35</v>
      </c>
      <c r="V2620" s="13">
        <f>IF(U2620="","",ROUND(M2620-U2620,2))</f>
        <v/>
      </c>
      <c r="W2620" s="5" t="n"/>
      <c r="X2620" s="5" t="inlineStr">
        <is>
          <t>Source publishes a specialist/sub-contract all-in rate; no labour/plant/material build-up exists to derive from.</t>
        </is>
      </c>
    </row>
    <row r="2621" ht="13" customHeight="1">
      <c r="A2621" s="4" t="n">
        <v>3941</v>
      </c>
      <c r="B2621" s="5" t="inlineStr">
        <is>
          <t>IMG_0119</t>
        </is>
      </c>
      <c r="C2621" s="5" t="inlineStr">
        <is>
          <t>CLASS P: PILES</t>
        </is>
      </c>
      <c r="D2621" s="5" t="inlineStr">
        <is>
          <t>03 PREFORMED CONCRETE PILES</t>
        </is>
      </c>
      <c r="E2621" s="5" t="inlineStr">
        <is>
          <t>Cross-sectional area: 0.05-0.1 m2; 235 x 235 mm</t>
        </is>
      </c>
      <c r="F2621" s="5" t="inlineStr">
        <is>
          <t>number of piles of 15 m length</t>
        </is>
      </c>
      <c r="G2621" s="6" t="inlineStr">
        <is>
          <t>nr</t>
        </is>
      </c>
      <c r="H2621" s="7" t="n"/>
      <c r="I2621" s="8" t="n">
        <v>0</v>
      </c>
      <c r="J2621" s="8" t="n">
        <v>0</v>
      </c>
      <c r="K2621" s="8" t="n">
        <v>0</v>
      </c>
      <c r="L2621" s="8" t="n">
        <v>736.39</v>
      </c>
      <c r="M2621" s="9">
        <f>ROUND(SUM(I2621:L2621),2)</f>
        <v/>
      </c>
      <c r="N2621" s="10">
        <f>ROUND(I2621*'Irish Basis'!$C$6*'Irish Basis'!$C$5,2)</f>
        <v/>
      </c>
      <c r="O2621" s="10">
        <f>ROUND(J2621*'Irish Basis'!$C$7*'Irish Basis'!$C$5,2)</f>
        <v/>
      </c>
      <c r="P2621" s="10">
        <f>ROUND(K2621*'Irish Basis'!$C$8*'Irish Basis'!$C$5,2)</f>
        <v/>
      </c>
      <c r="Q2621" s="10">
        <f>ROUND(L2621*'Irish Basis'!$C$12*'Irish Basis'!$C$5,2)</f>
        <v/>
      </c>
      <c r="R2621" s="11">
        <f>ROUND(SUM(N2621:Q2621),2)</f>
        <v/>
      </c>
      <c r="S2621" s="5" t="inlineStr">
        <is>
          <t>All-in specialist rate</t>
        </is>
      </c>
      <c r="T2621" s="14" t="inlineStr">
        <is>
          <t>All-in (not split)</t>
        </is>
      </c>
      <c r="U2621" s="8" t="n">
        <v>736.39</v>
      </c>
      <c r="V2621" s="13">
        <f>IF(U2621="","",ROUND(M2621-U2621,2))</f>
        <v/>
      </c>
      <c r="W2621" s="5" t="n"/>
      <c r="X2621" s="5" t="inlineStr">
        <is>
          <t>Source publishes a specialist/sub-contract all-in rate; no labour/plant/material build-up exists to derive from.</t>
        </is>
      </c>
    </row>
    <row r="2622" ht="13" customHeight="1">
      <c r="A2622" s="4" t="n">
        <v>3942</v>
      </c>
      <c r="B2622" s="5" t="inlineStr">
        <is>
          <t>IMG_0119</t>
        </is>
      </c>
      <c r="C2622" s="5" t="inlineStr">
        <is>
          <t>CLASS P: PILES</t>
        </is>
      </c>
      <c r="D2622" s="5" t="inlineStr">
        <is>
          <t>03 PREFORMED CONCRETE PILES</t>
        </is>
      </c>
      <c r="E2622" s="5" t="inlineStr">
        <is>
          <t>Cross-sectional area: 0.05-0.1 m2; 235 x 235 mm</t>
        </is>
      </c>
      <c r="F2622" s="5" t="inlineStr">
        <is>
          <t>number of piles of 20 m length</t>
        </is>
      </c>
      <c r="G2622" s="6" t="inlineStr">
        <is>
          <t>nr</t>
        </is>
      </c>
      <c r="H2622" s="7" t="n"/>
      <c r="I2622" s="8" t="n">
        <v>0</v>
      </c>
      <c r="J2622" s="8" t="n">
        <v>0</v>
      </c>
      <c r="K2622" s="8" t="n">
        <v>0</v>
      </c>
      <c r="L2622" s="8" t="n">
        <v>917.4299999999999</v>
      </c>
      <c r="M2622" s="9">
        <f>ROUND(SUM(I2622:L2622),2)</f>
        <v/>
      </c>
      <c r="N2622" s="10">
        <f>ROUND(I2622*'Irish Basis'!$C$6*'Irish Basis'!$C$5,2)</f>
        <v/>
      </c>
      <c r="O2622" s="10">
        <f>ROUND(J2622*'Irish Basis'!$C$7*'Irish Basis'!$C$5,2)</f>
        <v/>
      </c>
      <c r="P2622" s="10">
        <f>ROUND(K2622*'Irish Basis'!$C$8*'Irish Basis'!$C$5,2)</f>
        <v/>
      </c>
      <c r="Q2622" s="10">
        <f>ROUND(L2622*'Irish Basis'!$C$12*'Irish Basis'!$C$5,2)</f>
        <v/>
      </c>
      <c r="R2622" s="11">
        <f>ROUND(SUM(N2622:Q2622),2)</f>
        <v/>
      </c>
      <c r="S2622" s="5" t="inlineStr">
        <is>
          <t>All-in specialist rate</t>
        </is>
      </c>
      <c r="T2622" s="14" t="inlineStr">
        <is>
          <t>All-in (not split)</t>
        </is>
      </c>
      <c r="U2622" s="8" t="n">
        <v>917.4299999999999</v>
      </c>
      <c r="V2622" s="13">
        <f>IF(U2622="","",ROUND(M2622-U2622,2))</f>
        <v/>
      </c>
      <c r="W2622" s="5" t="n"/>
      <c r="X2622" s="5" t="inlineStr">
        <is>
          <t>Source publishes a specialist/sub-contract all-in rate; no labour/plant/material build-up exists to derive from.</t>
        </is>
      </c>
    </row>
    <row r="2623" ht="13" customHeight="1">
      <c r="A2623" s="4" t="n">
        <v>3943</v>
      </c>
      <c r="B2623" s="5" t="inlineStr">
        <is>
          <t>IMG_0119</t>
        </is>
      </c>
      <c r="C2623" s="5" t="inlineStr">
        <is>
          <t>CLASS P: PILES</t>
        </is>
      </c>
      <c r="D2623" s="5" t="inlineStr">
        <is>
          <t>03 PREFORMED CONCRETE PILES</t>
        </is>
      </c>
      <c r="E2623" s="5" t="inlineStr">
        <is>
          <t>Cross-sectional area: 0.05-0.1 m2; 235 x 235 mm</t>
        </is>
      </c>
      <c r="F2623" s="5" t="inlineStr">
        <is>
          <t>number of piles of 25 m length</t>
        </is>
      </c>
      <c r="G2623" s="6" t="inlineStr">
        <is>
          <t>nr</t>
        </is>
      </c>
      <c r="H2623" s="7" t="n"/>
      <c r="I2623" s="8" t="n">
        <v>0</v>
      </c>
      <c r="J2623" s="8" t="n">
        <v>0</v>
      </c>
      <c r="K2623" s="8" t="n">
        <v>0</v>
      </c>
      <c r="L2623" s="8" t="n">
        <v>1098.47</v>
      </c>
      <c r="M2623" s="9">
        <f>ROUND(SUM(I2623:L2623),2)</f>
        <v/>
      </c>
      <c r="N2623" s="10">
        <f>ROUND(I2623*'Irish Basis'!$C$6*'Irish Basis'!$C$5,2)</f>
        <v/>
      </c>
      <c r="O2623" s="10">
        <f>ROUND(J2623*'Irish Basis'!$C$7*'Irish Basis'!$C$5,2)</f>
        <v/>
      </c>
      <c r="P2623" s="10">
        <f>ROUND(K2623*'Irish Basis'!$C$8*'Irish Basis'!$C$5,2)</f>
        <v/>
      </c>
      <c r="Q2623" s="10">
        <f>ROUND(L2623*'Irish Basis'!$C$12*'Irish Basis'!$C$5,2)</f>
        <v/>
      </c>
      <c r="R2623" s="11">
        <f>ROUND(SUM(N2623:Q2623),2)</f>
        <v/>
      </c>
      <c r="S2623" s="5" t="inlineStr">
        <is>
          <t>All-in specialist rate</t>
        </is>
      </c>
      <c r="T2623" s="14" t="inlineStr">
        <is>
          <t>All-in (not split)</t>
        </is>
      </c>
      <c r="U2623" s="8" t="n">
        <v>1098.47</v>
      </c>
      <c r="V2623" s="13">
        <f>IF(U2623="","",ROUND(M2623-U2623,2))</f>
        <v/>
      </c>
      <c r="W2623" s="5" t="n"/>
      <c r="X2623" s="5" t="inlineStr">
        <is>
          <t>Source publishes a specialist/sub-contract all-in rate; no labour/plant/material build-up exists to derive from.</t>
        </is>
      </c>
    </row>
    <row r="2624" ht="13" customHeight="1">
      <c r="A2624" s="4" t="n">
        <v>3944</v>
      </c>
      <c r="B2624" s="5" t="inlineStr">
        <is>
          <t>IMG_0119</t>
        </is>
      </c>
      <c r="C2624" s="5" t="inlineStr">
        <is>
          <t>CLASS P: PILES</t>
        </is>
      </c>
      <c r="D2624" s="5" t="inlineStr">
        <is>
          <t>03 PREFORMED CONCRETE PILES</t>
        </is>
      </c>
      <c r="E2624" s="5" t="inlineStr">
        <is>
          <t>Cross-sectional area: 0.05-0.1 m2; 235 x 235 mm</t>
        </is>
      </c>
      <c r="F2624" s="5" t="inlineStr">
        <is>
          <t>add for mechanical interlocking joint</t>
        </is>
      </c>
      <c r="G2624" s="6" t="inlineStr">
        <is>
          <t>nr</t>
        </is>
      </c>
      <c r="H2624" s="7" t="n"/>
      <c r="I2624" s="8" t="n">
        <v>0</v>
      </c>
      <c r="J2624" s="8" t="n">
        <v>0</v>
      </c>
      <c r="K2624" s="8" t="n">
        <v>0</v>
      </c>
      <c r="L2624" s="8" t="n">
        <v>102.18</v>
      </c>
      <c r="M2624" s="9">
        <f>ROUND(SUM(I2624:L2624),2)</f>
        <v/>
      </c>
      <c r="N2624" s="10">
        <f>ROUND(I2624*'Irish Basis'!$C$6*'Irish Basis'!$C$5,2)</f>
        <v/>
      </c>
      <c r="O2624" s="10">
        <f>ROUND(J2624*'Irish Basis'!$C$7*'Irish Basis'!$C$5,2)</f>
        <v/>
      </c>
      <c r="P2624" s="10">
        <f>ROUND(K2624*'Irish Basis'!$C$8*'Irish Basis'!$C$5,2)</f>
        <v/>
      </c>
      <c r="Q2624" s="10">
        <f>ROUND(L2624*'Irish Basis'!$C$12*'Irish Basis'!$C$5,2)</f>
        <v/>
      </c>
      <c r="R2624" s="11">
        <f>ROUND(SUM(N2624:Q2624),2)</f>
        <v/>
      </c>
      <c r="S2624" s="5" t="inlineStr">
        <is>
          <t>All-in specialist rate</t>
        </is>
      </c>
      <c r="T2624" s="14" t="inlineStr">
        <is>
          <t>All-in (not split)</t>
        </is>
      </c>
      <c r="U2624" s="8" t="n">
        <v>102.18</v>
      </c>
      <c r="V2624" s="13">
        <f>IF(U2624="","",ROUND(M2624-U2624,2))</f>
        <v/>
      </c>
      <c r="W2624" s="5" t="n"/>
      <c r="X2624" s="5" t="inlineStr">
        <is>
          <t>Source publishes a specialist/sub-contract all-in rate; no labour/plant/material build-up exists to derive from.</t>
        </is>
      </c>
    </row>
    <row r="2625" ht="13" customHeight="1">
      <c r="A2625" s="4" t="n">
        <v>3945</v>
      </c>
      <c r="B2625" s="5" t="inlineStr">
        <is>
          <t>IMG_0119</t>
        </is>
      </c>
      <c r="C2625" s="5" t="inlineStr">
        <is>
          <t>CLASS P: PILES</t>
        </is>
      </c>
      <c r="D2625" s="5" t="inlineStr">
        <is>
          <t>03 PREFORMED CONCRETE PILES</t>
        </is>
      </c>
      <c r="E2625" s="5" t="inlineStr">
        <is>
          <t>Cross-sectional area: 0.05-0.1 m2; 235 x 235 mm</t>
        </is>
      </c>
      <c r="F2625" s="5" t="inlineStr">
        <is>
          <t>depth driven</t>
        </is>
      </c>
      <c r="G2625" s="6" t="inlineStr">
        <is>
          <t>m</t>
        </is>
      </c>
      <c r="H2625" s="7" t="n"/>
      <c r="I2625" s="8" t="n">
        <v>0</v>
      </c>
      <c r="J2625" s="8" t="n">
        <v>0</v>
      </c>
      <c r="K2625" s="8" t="n">
        <v>0</v>
      </c>
      <c r="L2625" s="8" t="n">
        <v>4.67</v>
      </c>
      <c r="M2625" s="9">
        <f>ROUND(SUM(I2625:L2625),2)</f>
        <v/>
      </c>
      <c r="N2625" s="10">
        <f>ROUND(I2625*'Irish Basis'!$C$6*'Irish Basis'!$C$5,2)</f>
        <v/>
      </c>
      <c r="O2625" s="10">
        <f>ROUND(J2625*'Irish Basis'!$C$7*'Irish Basis'!$C$5,2)</f>
        <v/>
      </c>
      <c r="P2625" s="10">
        <f>ROUND(K2625*'Irish Basis'!$C$8*'Irish Basis'!$C$5,2)</f>
        <v/>
      </c>
      <c r="Q2625" s="10">
        <f>ROUND(L2625*'Irish Basis'!$C$12*'Irish Basis'!$C$5,2)</f>
        <v/>
      </c>
      <c r="R2625" s="11">
        <f>ROUND(SUM(N2625:Q2625),2)</f>
        <v/>
      </c>
      <c r="S2625" s="5" t="inlineStr">
        <is>
          <t>All-in specialist rate</t>
        </is>
      </c>
      <c r="T2625" s="14" t="inlineStr">
        <is>
          <t>All-in (not split)</t>
        </is>
      </c>
      <c r="U2625" s="8" t="n">
        <v>4.67</v>
      </c>
      <c r="V2625" s="13">
        <f>IF(U2625="","",ROUND(M2625-U2625,2))</f>
        <v/>
      </c>
      <c r="W2625" s="5" t="n"/>
      <c r="X2625" s="5" t="inlineStr">
        <is>
          <t>Source publishes a specialist/sub-contract all-in rate; no labour/plant/material build-up exists to derive from.</t>
        </is>
      </c>
    </row>
    <row r="2626" ht="13" customHeight="1">
      <c r="A2626" s="4" t="n">
        <v>3947</v>
      </c>
      <c r="B2626" s="5" t="inlineStr">
        <is>
          <t>IMG_0119</t>
        </is>
      </c>
      <c r="C2626" s="5" t="inlineStr">
        <is>
          <t>CLASS P: PILES</t>
        </is>
      </c>
      <c r="D2626" s="5" t="inlineStr">
        <is>
          <t>03 PREFORMED CONCRETE PILES</t>
        </is>
      </c>
      <c r="E2626" s="5" t="inlineStr">
        <is>
          <t>Cross-sectional area: 0.05-0.1 m2; 275 x 275 mm</t>
        </is>
      </c>
      <c r="F2626" s="5" t="inlineStr">
        <is>
          <t>number of piles of 10 m length</t>
        </is>
      </c>
      <c r="G2626" s="6" t="inlineStr">
        <is>
          <t>nr</t>
        </is>
      </c>
      <c r="H2626" s="7" t="n"/>
      <c r="I2626" s="8" t="n">
        <v>0</v>
      </c>
      <c r="J2626" s="8" t="n">
        <v>0</v>
      </c>
      <c r="K2626" s="8" t="n">
        <v>0</v>
      </c>
      <c r="L2626" s="8" t="n">
        <v>618.22</v>
      </c>
      <c r="M2626" s="9">
        <f>ROUND(SUM(I2626:L2626),2)</f>
        <v/>
      </c>
      <c r="N2626" s="10">
        <f>ROUND(I2626*'Irish Basis'!$C$6*'Irish Basis'!$C$5,2)</f>
        <v/>
      </c>
      <c r="O2626" s="10">
        <f>ROUND(J2626*'Irish Basis'!$C$7*'Irish Basis'!$C$5,2)</f>
        <v/>
      </c>
      <c r="P2626" s="10">
        <f>ROUND(K2626*'Irish Basis'!$C$8*'Irish Basis'!$C$5,2)</f>
        <v/>
      </c>
      <c r="Q2626" s="10">
        <f>ROUND(L2626*'Irish Basis'!$C$12*'Irish Basis'!$C$5,2)</f>
        <v/>
      </c>
      <c r="R2626" s="11">
        <f>ROUND(SUM(N2626:Q2626),2)</f>
        <v/>
      </c>
      <c r="S2626" s="5" t="inlineStr">
        <is>
          <t>All-in specialist rate</t>
        </is>
      </c>
      <c r="T2626" s="14" t="inlineStr">
        <is>
          <t>All-in (not split)</t>
        </is>
      </c>
      <c r="U2626" s="8" t="n">
        <v>618.22</v>
      </c>
      <c r="V2626" s="13">
        <f>IF(U2626="","",ROUND(M2626-U2626,2))</f>
        <v/>
      </c>
      <c r="W2626" s="5" t="n"/>
      <c r="X2626" s="5" t="inlineStr">
        <is>
          <t>Source publishes a specialist/sub-contract all-in rate; no labour/plant/material build-up exists to derive from.</t>
        </is>
      </c>
    </row>
    <row r="2627" ht="13" customHeight="1">
      <c r="A2627" s="4" t="n">
        <v>3948</v>
      </c>
      <c r="B2627" s="5" t="inlineStr">
        <is>
          <t>IMG_0119</t>
        </is>
      </c>
      <c r="C2627" s="5" t="inlineStr">
        <is>
          <t>CLASS P: PILES</t>
        </is>
      </c>
      <c r="D2627" s="5" t="inlineStr">
        <is>
          <t>03 PREFORMED CONCRETE PILES</t>
        </is>
      </c>
      <c r="E2627" s="5" t="inlineStr">
        <is>
          <t>Cross-sectional area: 0.05-0.1 m2; 275 x 275 mm</t>
        </is>
      </c>
      <c r="F2627" s="5" t="inlineStr">
        <is>
          <t>number of piles of 15 m length</t>
        </is>
      </c>
      <c r="G2627" s="6" t="inlineStr">
        <is>
          <t>nr</t>
        </is>
      </c>
      <c r="H2627" s="7" t="n"/>
      <c r="I2627" s="8" t="n">
        <v>0</v>
      </c>
      <c r="J2627" s="8" t="n">
        <v>0</v>
      </c>
      <c r="K2627" s="8" t="n">
        <v>0</v>
      </c>
      <c r="L2627" s="8" t="n">
        <v>830.7</v>
      </c>
      <c r="M2627" s="9">
        <f>ROUND(SUM(I2627:L2627),2)</f>
        <v/>
      </c>
      <c r="N2627" s="10">
        <f>ROUND(I2627*'Irish Basis'!$C$6*'Irish Basis'!$C$5,2)</f>
        <v/>
      </c>
      <c r="O2627" s="10">
        <f>ROUND(J2627*'Irish Basis'!$C$7*'Irish Basis'!$C$5,2)</f>
        <v/>
      </c>
      <c r="P2627" s="10">
        <f>ROUND(K2627*'Irish Basis'!$C$8*'Irish Basis'!$C$5,2)</f>
        <v/>
      </c>
      <c r="Q2627" s="10">
        <f>ROUND(L2627*'Irish Basis'!$C$12*'Irish Basis'!$C$5,2)</f>
        <v/>
      </c>
      <c r="R2627" s="11">
        <f>ROUND(SUM(N2627:Q2627),2)</f>
        <v/>
      </c>
      <c r="S2627" s="5" t="inlineStr">
        <is>
          <t>All-in specialist rate</t>
        </is>
      </c>
      <c r="T2627" s="14" t="inlineStr">
        <is>
          <t>All-in (not split)</t>
        </is>
      </c>
      <c r="U2627" s="8" t="n">
        <v>830.7</v>
      </c>
      <c r="V2627" s="13">
        <f>IF(U2627="","",ROUND(M2627-U2627,2))</f>
        <v/>
      </c>
      <c r="W2627" s="5" t="n"/>
      <c r="X2627" s="5" t="inlineStr">
        <is>
          <t>Source publishes a specialist/sub-contract all-in rate; no labour/plant/material build-up exists to derive from.</t>
        </is>
      </c>
    </row>
    <row r="2628" ht="13" customHeight="1">
      <c r="A2628" s="4" t="n">
        <v>3949</v>
      </c>
      <c r="B2628" s="5" t="inlineStr">
        <is>
          <t>IMG_0119</t>
        </is>
      </c>
      <c r="C2628" s="5" t="inlineStr">
        <is>
          <t>CLASS P: PILES</t>
        </is>
      </c>
      <c r="D2628" s="5" t="inlineStr">
        <is>
          <t>03 PREFORMED CONCRETE PILES</t>
        </is>
      </c>
      <c r="E2628" s="5" t="inlineStr">
        <is>
          <t>Cross-sectional area: 0.05-0.1 m2; 275 x 275 mm</t>
        </is>
      </c>
      <c r="F2628" s="5" t="inlineStr">
        <is>
          <t>number of piles of 20 m length</t>
        </is>
      </c>
      <c r="G2628" s="6" t="inlineStr">
        <is>
          <t>nr</t>
        </is>
      </c>
      <c r="H2628" s="7" t="n"/>
      <c r="I2628" s="8" t="n">
        <v>0</v>
      </c>
      <c r="J2628" s="8" t="n">
        <v>0</v>
      </c>
      <c r="K2628" s="8" t="n">
        <v>0</v>
      </c>
      <c r="L2628" s="8" t="n">
        <v>1043.17</v>
      </c>
      <c r="M2628" s="9">
        <f>ROUND(SUM(I2628:L2628),2)</f>
        <v/>
      </c>
      <c r="N2628" s="10">
        <f>ROUND(I2628*'Irish Basis'!$C$6*'Irish Basis'!$C$5,2)</f>
        <v/>
      </c>
      <c r="O2628" s="10">
        <f>ROUND(J2628*'Irish Basis'!$C$7*'Irish Basis'!$C$5,2)</f>
        <v/>
      </c>
      <c r="P2628" s="10">
        <f>ROUND(K2628*'Irish Basis'!$C$8*'Irish Basis'!$C$5,2)</f>
        <v/>
      </c>
      <c r="Q2628" s="10">
        <f>ROUND(L2628*'Irish Basis'!$C$12*'Irish Basis'!$C$5,2)</f>
        <v/>
      </c>
      <c r="R2628" s="11">
        <f>ROUND(SUM(N2628:Q2628),2)</f>
        <v/>
      </c>
      <c r="S2628" s="5" t="inlineStr">
        <is>
          <t>All-in specialist rate</t>
        </is>
      </c>
      <c r="T2628" s="14" t="inlineStr">
        <is>
          <t>All-in (not split)</t>
        </is>
      </c>
      <c r="U2628" s="8" t="n">
        <v>1043.17</v>
      </c>
      <c r="V2628" s="13">
        <f>IF(U2628="","",ROUND(M2628-U2628,2))</f>
        <v/>
      </c>
      <c r="W2628" s="5" t="n"/>
      <c r="X2628" s="5" t="inlineStr">
        <is>
          <t>Source publishes a specialist/sub-contract all-in rate; no labour/plant/material build-up exists to derive from.</t>
        </is>
      </c>
    </row>
    <row r="2629" ht="13" customHeight="1">
      <c r="A2629" s="4" t="n">
        <v>3950</v>
      </c>
      <c r="B2629" s="5" t="inlineStr">
        <is>
          <t>IMG_0119</t>
        </is>
      </c>
      <c r="C2629" s="5" t="inlineStr">
        <is>
          <t>CLASS P: PILES</t>
        </is>
      </c>
      <c r="D2629" s="5" t="inlineStr">
        <is>
          <t>03 PREFORMED CONCRETE PILES</t>
        </is>
      </c>
      <c r="E2629" s="5" t="inlineStr">
        <is>
          <t>Cross-sectional area: 0.05-0.1 m2; 275 x 275 mm</t>
        </is>
      </c>
      <c r="F2629" s="5" t="inlineStr">
        <is>
          <t>number of piles of 25 m length</t>
        </is>
      </c>
      <c r="G2629" s="6" t="inlineStr">
        <is>
          <t>nr</t>
        </is>
      </c>
      <c r="H2629" s="7" t="n"/>
      <c r="I2629" s="8" t="n">
        <v>0</v>
      </c>
      <c r="J2629" s="8" t="n">
        <v>0</v>
      </c>
      <c r="K2629" s="8" t="n">
        <v>0</v>
      </c>
      <c r="L2629" s="8" t="n">
        <v>1255.64</v>
      </c>
      <c r="M2629" s="9">
        <f>ROUND(SUM(I2629:L2629),2)</f>
        <v/>
      </c>
      <c r="N2629" s="10">
        <f>ROUND(I2629*'Irish Basis'!$C$6*'Irish Basis'!$C$5,2)</f>
        <v/>
      </c>
      <c r="O2629" s="10">
        <f>ROUND(J2629*'Irish Basis'!$C$7*'Irish Basis'!$C$5,2)</f>
        <v/>
      </c>
      <c r="P2629" s="10">
        <f>ROUND(K2629*'Irish Basis'!$C$8*'Irish Basis'!$C$5,2)</f>
        <v/>
      </c>
      <c r="Q2629" s="10">
        <f>ROUND(L2629*'Irish Basis'!$C$12*'Irish Basis'!$C$5,2)</f>
        <v/>
      </c>
      <c r="R2629" s="11">
        <f>ROUND(SUM(N2629:Q2629),2)</f>
        <v/>
      </c>
      <c r="S2629" s="5" t="inlineStr">
        <is>
          <t>All-in specialist rate</t>
        </is>
      </c>
      <c r="T2629" s="14" t="inlineStr">
        <is>
          <t>All-in (not split)</t>
        </is>
      </c>
      <c r="U2629" s="8" t="n">
        <v>1255.64</v>
      </c>
      <c r="V2629" s="13">
        <f>IF(U2629="","",ROUND(M2629-U2629,2))</f>
        <v/>
      </c>
      <c r="W2629" s="5" t="n"/>
      <c r="X2629" s="5" t="inlineStr">
        <is>
          <t>Source publishes a specialist/sub-contract all-in rate; no labour/plant/material build-up exists to derive from.</t>
        </is>
      </c>
    </row>
    <row r="2630" ht="13" customHeight="1">
      <c r="A2630" s="4" t="n">
        <v>3951</v>
      </c>
      <c r="B2630" s="5" t="inlineStr">
        <is>
          <t>IMG_0119</t>
        </is>
      </c>
      <c r="C2630" s="5" t="inlineStr">
        <is>
          <t>CLASS P: PILES</t>
        </is>
      </c>
      <c r="D2630" s="5" t="inlineStr">
        <is>
          <t>03 PREFORMED CONCRETE PILES</t>
        </is>
      </c>
      <c r="E2630" s="5" t="inlineStr">
        <is>
          <t>Cross-sectional area: 0.05-0.1 m2; 275 x 275 mm</t>
        </is>
      </c>
      <c r="F2630" s="5" t="inlineStr">
        <is>
          <t>add for mechanical interlocking joint</t>
        </is>
      </c>
      <c r="G2630" s="6" t="inlineStr">
        <is>
          <t>nr</t>
        </is>
      </c>
      <c r="H2630" s="7" t="n"/>
      <c r="I2630" s="8" t="n">
        <v>0</v>
      </c>
      <c r="J2630" s="8" t="n">
        <v>0</v>
      </c>
      <c r="K2630" s="8" t="n">
        <v>0</v>
      </c>
      <c r="L2630" s="8" t="n">
        <v>106.6</v>
      </c>
      <c r="M2630" s="9">
        <f>ROUND(SUM(I2630:L2630),2)</f>
        <v/>
      </c>
      <c r="N2630" s="10">
        <f>ROUND(I2630*'Irish Basis'!$C$6*'Irish Basis'!$C$5,2)</f>
        <v/>
      </c>
      <c r="O2630" s="10">
        <f>ROUND(J2630*'Irish Basis'!$C$7*'Irish Basis'!$C$5,2)</f>
        <v/>
      </c>
      <c r="P2630" s="10">
        <f>ROUND(K2630*'Irish Basis'!$C$8*'Irish Basis'!$C$5,2)</f>
        <v/>
      </c>
      <c r="Q2630" s="10">
        <f>ROUND(L2630*'Irish Basis'!$C$12*'Irish Basis'!$C$5,2)</f>
        <v/>
      </c>
      <c r="R2630" s="11">
        <f>ROUND(SUM(N2630:Q2630),2)</f>
        <v/>
      </c>
      <c r="S2630" s="5" t="inlineStr">
        <is>
          <t>All-in specialist rate</t>
        </is>
      </c>
      <c r="T2630" s="14" t="inlineStr">
        <is>
          <t>All-in (not split)</t>
        </is>
      </c>
      <c r="U2630" s="8" t="n">
        <v>106.6</v>
      </c>
      <c r="V2630" s="13">
        <f>IF(U2630="","",ROUND(M2630-U2630,2))</f>
        <v/>
      </c>
      <c r="W2630" s="5" t="n"/>
      <c r="X2630" s="5" t="inlineStr">
        <is>
          <t>Source publishes a specialist/sub-contract all-in rate; no labour/plant/material build-up exists to derive from.</t>
        </is>
      </c>
    </row>
    <row r="2631" ht="13" customHeight="1">
      <c r="A2631" s="4" t="n">
        <v>3952</v>
      </c>
      <c r="B2631" s="5" t="inlineStr">
        <is>
          <t>IMG_0119</t>
        </is>
      </c>
      <c r="C2631" s="5" t="inlineStr">
        <is>
          <t>CLASS P: PILES</t>
        </is>
      </c>
      <c r="D2631" s="5" t="inlineStr">
        <is>
          <t>03 PREFORMED CONCRETE PILES</t>
        </is>
      </c>
      <c r="E2631" s="5" t="inlineStr">
        <is>
          <t>Cross-sectional area: 0.05-0.1 m2; 275 x 275 mm</t>
        </is>
      </c>
      <c r="F2631" s="5" t="inlineStr">
        <is>
          <t>depth driven</t>
        </is>
      </c>
      <c r="G2631" s="6" t="inlineStr">
        <is>
          <t>m</t>
        </is>
      </c>
      <c r="H2631" s="7" t="n"/>
      <c r="I2631" s="8" t="n">
        <v>0</v>
      </c>
      <c r="J2631" s="8" t="n">
        <v>0</v>
      </c>
      <c r="K2631" s="8" t="n">
        <v>0</v>
      </c>
      <c r="L2631" s="8" t="n">
        <v>4.92</v>
      </c>
      <c r="M2631" s="9">
        <f>ROUND(SUM(I2631:L2631),2)</f>
        <v/>
      </c>
      <c r="N2631" s="10">
        <f>ROUND(I2631*'Irish Basis'!$C$6*'Irish Basis'!$C$5,2)</f>
        <v/>
      </c>
      <c r="O2631" s="10">
        <f>ROUND(J2631*'Irish Basis'!$C$7*'Irish Basis'!$C$5,2)</f>
        <v/>
      </c>
      <c r="P2631" s="10">
        <f>ROUND(K2631*'Irish Basis'!$C$8*'Irish Basis'!$C$5,2)</f>
        <v/>
      </c>
      <c r="Q2631" s="10">
        <f>ROUND(L2631*'Irish Basis'!$C$12*'Irish Basis'!$C$5,2)</f>
        <v/>
      </c>
      <c r="R2631" s="11">
        <f>ROUND(SUM(N2631:Q2631),2)</f>
        <v/>
      </c>
      <c r="S2631" s="5" t="inlineStr">
        <is>
          <t>All-in specialist rate</t>
        </is>
      </c>
      <c r="T2631" s="14" t="inlineStr">
        <is>
          <t>All-in (not split)</t>
        </is>
      </c>
      <c r="U2631" s="8" t="n">
        <v>4.92</v>
      </c>
      <c r="V2631" s="13">
        <f>IF(U2631="","",ROUND(M2631-U2631,2))</f>
        <v/>
      </c>
      <c r="W2631" s="5" t="n"/>
      <c r="X2631" s="5" t="inlineStr">
        <is>
          <t>Source publishes a specialist/sub-contract all-in rate; no labour/plant/material build-up exists to derive from.</t>
        </is>
      </c>
    </row>
    <row r="2632" ht="13" customHeight="1">
      <c r="A2632" s="4" t="n">
        <v>3954</v>
      </c>
      <c r="B2632" s="5" t="inlineStr">
        <is>
          <t>IMG_0119</t>
        </is>
      </c>
      <c r="C2632" s="5" t="inlineStr">
        <is>
          <t>CLASS P: PILES</t>
        </is>
      </c>
      <c r="D2632" s="5" t="inlineStr">
        <is>
          <t>03 PREFORMED CONCRETE PILES</t>
        </is>
      </c>
      <c r="E2632" s="5" t="inlineStr">
        <is>
          <t>Cross-sectional area: 0.1-0.15 m2; 350 x 350 mm</t>
        </is>
      </c>
      <c r="F2632" s="5" t="inlineStr">
        <is>
          <t>number of piles of 10 m length</t>
        </is>
      </c>
      <c r="G2632" s="6" t="inlineStr">
        <is>
          <t>nr</t>
        </is>
      </c>
      <c r="H2632" s="7" t="n"/>
      <c r="I2632" s="8" t="n">
        <v>0</v>
      </c>
      <c r="J2632" s="8" t="n">
        <v>0</v>
      </c>
      <c r="K2632" s="8" t="n">
        <v>0</v>
      </c>
      <c r="L2632" s="8" t="n">
        <v>953.35</v>
      </c>
      <c r="M2632" s="9">
        <f>ROUND(SUM(I2632:L2632),2)</f>
        <v/>
      </c>
      <c r="N2632" s="10">
        <f>ROUND(I2632*'Irish Basis'!$C$6*'Irish Basis'!$C$5,2)</f>
        <v/>
      </c>
      <c r="O2632" s="10">
        <f>ROUND(J2632*'Irish Basis'!$C$7*'Irish Basis'!$C$5,2)</f>
        <v/>
      </c>
      <c r="P2632" s="10">
        <f>ROUND(K2632*'Irish Basis'!$C$8*'Irish Basis'!$C$5,2)</f>
        <v/>
      </c>
      <c r="Q2632" s="10">
        <f>ROUND(L2632*'Irish Basis'!$C$12*'Irish Basis'!$C$5,2)</f>
        <v/>
      </c>
      <c r="R2632" s="11">
        <f>ROUND(SUM(N2632:Q2632),2)</f>
        <v/>
      </c>
      <c r="S2632" s="5" t="inlineStr">
        <is>
          <t>All-in specialist rate</t>
        </is>
      </c>
      <c r="T2632" s="14" t="inlineStr">
        <is>
          <t>All-in (not split)</t>
        </is>
      </c>
      <c r="U2632" s="8" t="n">
        <v>953.35</v>
      </c>
      <c r="V2632" s="13">
        <f>IF(U2632="","",ROUND(M2632-U2632,2))</f>
        <v/>
      </c>
      <c r="W2632" s="5" t="n"/>
      <c r="X2632" s="5" t="inlineStr">
        <is>
          <t>Source publishes a specialist/sub-contract all-in rate; no labour/plant/material build-up exists to derive from.</t>
        </is>
      </c>
    </row>
    <row r="2633" ht="13" customHeight="1">
      <c r="A2633" s="4" t="n">
        <v>3955</v>
      </c>
      <c r="B2633" s="5" t="inlineStr">
        <is>
          <t>IMG_0119</t>
        </is>
      </c>
      <c r="C2633" s="5" t="inlineStr">
        <is>
          <t>CLASS P: PILES</t>
        </is>
      </c>
      <c r="D2633" s="5" t="inlineStr">
        <is>
          <t>03 PREFORMED CONCRETE PILES</t>
        </is>
      </c>
      <c r="E2633" s="5" t="inlineStr">
        <is>
          <t>Cross-sectional area: 0.1-0.15 m2; 350 x 350 mm</t>
        </is>
      </c>
      <c r="F2633" s="5" t="inlineStr">
        <is>
          <t>number of piles of 15 m length</t>
        </is>
      </c>
      <c r="G2633" s="6" t="inlineStr">
        <is>
          <t>nr</t>
        </is>
      </c>
      <c r="H2633" s="7" t="n"/>
      <c r="I2633" s="8" t="n">
        <v>0</v>
      </c>
      <c r="J2633" s="8" t="n">
        <v>0</v>
      </c>
      <c r="K2633" s="8" t="n">
        <v>0</v>
      </c>
      <c r="L2633" s="8" t="n">
        <v>1288.25</v>
      </c>
      <c r="M2633" s="9">
        <f>ROUND(SUM(I2633:L2633),2)</f>
        <v/>
      </c>
      <c r="N2633" s="10">
        <f>ROUND(I2633*'Irish Basis'!$C$6*'Irish Basis'!$C$5,2)</f>
        <v/>
      </c>
      <c r="O2633" s="10">
        <f>ROUND(J2633*'Irish Basis'!$C$7*'Irish Basis'!$C$5,2)</f>
        <v/>
      </c>
      <c r="P2633" s="10">
        <f>ROUND(K2633*'Irish Basis'!$C$8*'Irish Basis'!$C$5,2)</f>
        <v/>
      </c>
      <c r="Q2633" s="10">
        <f>ROUND(L2633*'Irish Basis'!$C$12*'Irish Basis'!$C$5,2)</f>
        <v/>
      </c>
      <c r="R2633" s="11">
        <f>ROUND(SUM(N2633:Q2633),2)</f>
        <v/>
      </c>
      <c r="S2633" s="5" t="inlineStr">
        <is>
          <t>All-in specialist rate</t>
        </is>
      </c>
      <c r="T2633" s="14" t="inlineStr">
        <is>
          <t>All-in (not split)</t>
        </is>
      </c>
      <c r="U2633" s="8" t="n">
        <v>1288.25</v>
      </c>
      <c r="V2633" s="13">
        <f>IF(U2633="","",ROUND(M2633-U2633,2))</f>
        <v/>
      </c>
      <c r="W2633" s="5" t="n"/>
      <c r="X2633" s="5" t="inlineStr">
        <is>
          <t>Source publishes a specialist/sub-contract all-in rate; no labour/plant/material build-up exists to derive from.</t>
        </is>
      </c>
    </row>
    <row r="2634" ht="13" customHeight="1">
      <c r="A2634" s="4" t="n">
        <v>3956</v>
      </c>
      <c r="B2634" s="5" t="inlineStr">
        <is>
          <t>IMG_0119</t>
        </is>
      </c>
      <c r="C2634" s="5" t="inlineStr">
        <is>
          <t>CLASS P: PILES</t>
        </is>
      </c>
      <c r="D2634" s="5" t="inlineStr">
        <is>
          <t>03 PREFORMED CONCRETE PILES</t>
        </is>
      </c>
      <c r="E2634" s="5" t="inlineStr">
        <is>
          <t>Cross-sectional area: 0.1-0.15 m2; 350 x 350 mm</t>
        </is>
      </c>
      <c r="F2634" s="5" t="inlineStr">
        <is>
          <t>number of piles of 20 m length</t>
        </is>
      </c>
      <c r="G2634" s="6" t="inlineStr">
        <is>
          <t>nr</t>
        </is>
      </c>
      <c r="H2634" s="7" t="n"/>
      <c r="I2634" s="8" t="n">
        <v>0</v>
      </c>
      <c r="J2634" s="8" t="n">
        <v>0</v>
      </c>
      <c r="K2634" s="8" t="n">
        <v>0</v>
      </c>
      <c r="L2634" s="8" t="n">
        <v>1623.15</v>
      </c>
      <c r="M2634" s="9">
        <f>ROUND(SUM(I2634:L2634),2)</f>
        <v/>
      </c>
      <c r="N2634" s="10">
        <f>ROUND(I2634*'Irish Basis'!$C$6*'Irish Basis'!$C$5,2)</f>
        <v/>
      </c>
      <c r="O2634" s="10">
        <f>ROUND(J2634*'Irish Basis'!$C$7*'Irish Basis'!$C$5,2)</f>
        <v/>
      </c>
      <c r="P2634" s="10">
        <f>ROUND(K2634*'Irish Basis'!$C$8*'Irish Basis'!$C$5,2)</f>
        <v/>
      </c>
      <c r="Q2634" s="10">
        <f>ROUND(L2634*'Irish Basis'!$C$12*'Irish Basis'!$C$5,2)</f>
        <v/>
      </c>
      <c r="R2634" s="11">
        <f>ROUND(SUM(N2634:Q2634),2)</f>
        <v/>
      </c>
      <c r="S2634" s="5" t="inlineStr">
        <is>
          <t>All-in specialist rate</t>
        </is>
      </c>
      <c r="T2634" s="14" t="inlineStr">
        <is>
          <t>All-in (not split)</t>
        </is>
      </c>
      <c r="U2634" s="8" t="n">
        <v>1623.15</v>
      </c>
      <c r="V2634" s="13">
        <f>IF(U2634="","",ROUND(M2634-U2634,2))</f>
        <v/>
      </c>
      <c r="W2634" s="5" t="n"/>
      <c r="X2634" s="5" t="inlineStr">
        <is>
          <t>Source publishes a specialist/sub-contract all-in rate; no labour/plant/material build-up exists to derive from.</t>
        </is>
      </c>
    </row>
    <row r="2635" ht="13" customHeight="1">
      <c r="A2635" s="4" t="n">
        <v>3957</v>
      </c>
      <c r="B2635" s="5" t="inlineStr">
        <is>
          <t>IMG_0119</t>
        </is>
      </c>
      <c r="C2635" s="5" t="inlineStr">
        <is>
          <t>CLASS P: PILES</t>
        </is>
      </c>
      <c r="D2635" s="5" t="inlineStr">
        <is>
          <t>03 PREFORMED CONCRETE PILES</t>
        </is>
      </c>
      <c r="E2635" s="5" t="inlineStr">
        <is>
          <t>Cross-sectional area: 0.1-0.15 m2; 350 x 350 mm</t>
        </is>
      </c>
      <c r="F2635" s="5" t="inlineStr">
        <is>
          <t>number of piles of 25 m length</t>
        </is>
      </c>
      <c r="G2635" s="6" t="inlineStr">
        <is>
          <t>nr</t>
        </is>
      </c>
      <c r="H2635" s="7" t="n"/>
      <c r="I2635" s="8" t="n">
        <v>0</v>
      </c>
      <c r="J2635" s="8" t="n">
        <v>0</v>
      </c>
      <c r="K2635" s="8" t="n">
        <v>0</v>
      </c>
      <c r="L2635" s="8" t="n">
        <v>1958.04</v>
      </c>
      <c r="M2635" s="9">
        <f>ROUND(SUM(I2635:L2635),2)</f>
        <v/>
      </c>
      <c r="N2635" s="10">
        <f>ROUND(I2635*'Irish Basis'!$C$6*'Irish Basis'!$C$5,2)</f>
        <v/>
      </c>
      <c r="O2635" s="10">
        <f>ROUND(J2635*'Irish Basis'!$C$7*'Irish Basis'!$C$5,2)</f>
        <v/>
      </c>
      <c r="P2635" s="10">
        <f>ROUND(K2635*'Irish Basis'!$C$8*'Irish Basis'!$C$5,2)</f>
        <v/>
      </c>
      <c r="Q2635" s="10">
        <f>ROUND(L2635*'Irish Basis'!$C$12*'Irish Basis'!$C$5,2)</f>
        <v/>
      </c>
      <c r="R2635" s="11">
        <f>ROUND(SUM(N2635:Q2635),2)</f>
        <v/>
      </c>
      <c r="S2635" s="5" t="inlineStr">
        <is>
          <t>All-in specialist rate</t>
        </is>
      </c>
      <c r="T2635" s="14" t="inlineStr">
        <is>
          <t>All-in (not split)</t>
        </is>
      </c>
      <c r="U2635" s="8" t="n">
        <v>1958.04</v>
      </c>
      <c r="V2635" s="13">
        <f>IF(U2635="","",ROUND(M2635-U2635,2))</f>
        <v/>
      </c>
      <c r="W2635" s="5" t="n"/>
      <c r="X2635" s="5" t="inlineStr">
        <is>
          <t>Source publishes a specialist/sub-contract all-in rate; no labour/plant/material build-up exists to derive from.</t>
        </is>
      </c>
    </row>
    <row r="2636" ht="13" customHeight="1">
      <c r="A2636" s="4" t="n">
        <v>3958</v>
      </c>
      <c r="B2636" s="5" t="inlineStr">
        <is>
          <t>IMG_0119</t>
        </is>
      </c>
      <c r="C2636" s="5" t="inlineStr">
        <is>
          <t>CLASS P: PILES</t>
        </is>
      </c>
      <c r="D2636" s="5" t="inlineStr">
        <is>
          <t>03 PREFORMED CONCRETE PILES</t>
        </is>
      </c>
      <c r="E2636" s="5" t="inlineStr">
        <is>
          <t>Cross-sectional area: 0.1-0.15 m2; 350 x 350 mm</t>
        </is>
      </c>
      <c r="F2636" s="5" t="inlineStr">
        <is>
          <t>number of piles of 30 m length</t>
        </is>
      </c>
      <c r="G2636" s="6" t="inlineStr">
        <is>
          <t>nr</t>
        </is>
      </c>
      <c r="H2636" s="7" t="n"/>
      <c r="I2636" s="8" t="n">
        <v>0</v>
      </c>
      <c r="J2636" s="8" t="n">
        <v>0</v>
      </c>
      <c r="K2636" s="8" t="n">
        <v>0</v>
      </c>
      <c r="L2636" s="8" t="n">
        <v>2292.94</v>
      </c>
      <c r="M2636" s="9">
        <f>ROUND(SUM(I2636:L2636),2)</f>
        <v/>
      </c>
      <c r="N2636" s="10">
        <f>ROUND(I2636*'Irish Basis'!$C$6*'Irish Basis'!$C$5,2)</f>
        <v/>
      </c>
      <c r="O2636" s="10">
        <f>ROUND(J2636*'Irish Basis'!$C$7*'Irish Basis'!$C$5,2)</f>
        <v/>
      </c>
      <c r="P2636" s="10">
        <f>ROUND(K2636*'Irish Basis'!$C$8*'Irish Basis'!$C$5,2)</f>
        <v/>
      </c>
      <c r="Q2636" s="10">
        <f>ROUND(L2636*'Irish Basis'!$C$12*'Irish Basis'!$C$5,2)</f>
        <v/>
      </c>
      <c r="R2636" s="11">
        <f>ROUND(SUM(N2636:Q2636),2)</f>
        <v/>
      </c>
      <c r="S2636" s="5" t="inlineStr">
        <is>
          <t>All-in specialist rate</t>
        </is>
      </c>
      <c r="T2636" s="14" t="inlineStr">
        <is>
          <t>All-in (not split)</t>
        </is>
      </c>
      <c r="U2636" s="8" t="n">
        <v>2292.94</v>
      </c>
      <c r="V2636" s="13">
        <f>IF(U2636="","",ROUND(M2636-U2636,2))</f>
        <v/>
      </c>
      <c r="W2636" s="5" t="n"/>
      <c r="X2636" s="5" t="inlineStr">
        <is>
          <t>Source publishes a specialist/sub-contract all-in rate; no labour/plant/material build-up exists to derive from.</t>
        </is>
      </c>
    </row>
    <row r="2637" ht="13" customHeight="1">
      <c r="A2637" s="4" t="n">
        <v>3959</v>
      </c>
      <c r="B2637" s="5" t="inlineStr">
        <is>
          <t>IMG_0119</t>
        </is>
      </c>
      <c r="C2637" s="5" t="inlineStr">
        <is>
          <t>CLASS P: PILES</t>
        </is>
      </c>
      <c r="D2637" s="5" t="inlineStr">
        <is>
          <t>03 PREFORMED CONCRETE PILES</t>
        </is>
      </c>
      <c r="E2637" s="5" t="inlineStr">
        <is>
          <t>Cross-sectional area: 0.1-0.15 m2; 350 x 350 mm</t>
        </is>
      </c>
      <c r="F2637" s="5" t="inlineStr">
        <is>
          <t>add for mechanical interlocking joint</t>
        </is>
      </c>
      <c r="G2637" s="6" t="inlineStr">
        <is>
          <t>nr</t>
        </is>
      </c>
      <c r="H2637" s="7" t="n"/>
      <c r="I2637" s="8" t="n">
        <v>0</v>
      </c>
      <c r="J2637" s="8" t="n">
        <v>0</v>
      </c>
      <c r="K2637" s="8" t="n">
        <v>0</v>
      </c>
      <c r="L2637" s="8" t="n">
        <v>204.31</v>
      </c>
      <c r="M2637" s="9">
        <f>ROUND(SUM(I2637:L2637),2)</f>
        <v/>
      </c>
      <c r="N2637" s="10">
        <f>ROUND(I2637*'Irish Basis'!$C$6*'Irish Basis'!$C$5,2)</f>
        <v/>
      </c>
      <c r="O2637" s="10">
        <f>ROUND(J2637*'Irish Basis'!$C$7*'Irish Basis'!$C$5,2)</f>
        <v/>
      </c>
      <c r="P2637" s="10">
        <f>ROUND(K2637*'Irish Basis'!$C$8*'Irish Basis'!$C$5,2)</f>
        <v/>
      </c>
      <c r="Q2637" s="10">
        <f>ROUND(L2637*'Irish Basis'!$C$12*'Irish Basis'!$C$5,2)</f>
        <v/>
      </c>
      <c r="R2637" s="11">
        <f>ROUND(SUM(N2637:Q2637),2)</f>
        <v/>
      </c>
      <c r="S2637" s="5" t="inlineStr">
        <is>
          <t>All-in specialist rate</t>
        </is>
      </c>
      <c r="T2637" s="14" t="inlineStr">
        <is>
          <t>All-in (not split)</t>
        </is>
      </c>
      <c r="U2637" s="8" t="n">
        <v>204.31</v>
      </c>
      <c r="V2637" s="13">
        <f>IF(U2637="","",ROUND(M2637-U2637,2))</f>
        <v/>
      </c>
      <c r="W2637" s="5" t="n"/>
      <c r="X2637" s="5" t="inlineStr">
        <is>
          <t>Source publishes a specialist/sub-contract all-in rate; no labour/plant/material build-up exists to derive from.</t>
        </is>
      </c>
    </row>
    <row r="2638" ht="13" customHeight="1">
      <c r="A2638" s="4" t="n">
        <v>3960</v>
      </c>
      <c r="B2638" s="5" t="inlineStr">
        <is>
          <t>IMG_0119</t>
        </is>
      </c>
      <c r="C2638" s="5" t="inlineStr">
        <is>
          <t>CLASS P: PILES</t>
        </is>
      </c>
      <c r="D2638" s="5" t="inlineStr">
        <is>
          <t>03 PREFORMED CONCRETE PILES</t>
        </is>
      </c>
      <c r="E2638" s="5" t="inlineStr">
        <is>
          <t>Cross-sectional area: 0.1-0.15 m2; 350 x 350 mm</t>
        </is>
      </c>
      <c r="F2638" s="5" t="inlineStr">
        <is>
          <t>depth driven</t>
        </is>
      </c>
      <c r="G2638" s="6" t="inlineStr">
        <is>
          <t>m</t>
        </is>
      </c>
      <c r="H2638" s="7" t="n"/>
      <c r="I2638" s="8" t="n">
        <v>0</v>
      </c>
      <c r="J2638" s="8" t="n">
        <v>0</v>
      </c>
      <c r="K2638" s="8" t="n">
        <v>0</v>
      </c>
      <c r="L2638" s="8" t="n">
        <v>6.99</v>
      </c>
      <c r="M2638" s="9">
        <f>ROUND(SUM(I2638:L2638),2)</f>
        <v/>
      </c>
      <c r="N2638" s="10">
        <f>ROUND(I2638*'Irish Basis'!$C$6*'Irish Basis'!$C$5,2)</f>
        <v/>
      </c>
      <c r="O2638" s="10">
        <f>ROUND(J2638*'Irish Basis'!$C$7*'Irish Basis'!$C$5,2)</f>
        <v/>
      </c>
      <c r="P2638" s="10">
        <f>ROUND(K2638*'Irish Basis'!$C$8*'Irish Basis'!$C$5,2)</f>
        <v/>
      </c>
      <c r="Q2638" s="10">
        <f>ROUND(L2638*'Irish Basis'!$C$12*'Irish Basis'!$C$5,2)</f>
        <v/>
      </c>
      <c r="R2638" s="11">
        <f>ROUND(SUM(N2638:Q2638),2)</f>
        <v/>
      </c>
      <c r="S2638" s="5" t="inlineStr">
        <is>
          <t>All-in specialist rate</t>
        </is>
      </c>
      <c r="T2638" s="14" t="inlineStr">
        <is>
          <t>All-in (not split)</t>
        </is>
      </c>
      <c r="U2638" s="8" t="n">
        <v>6.99</v>
      </c>
      <c r="V2638" s="13">
        <f>IF(U2638="","",ROUND(M2638-U2638,2))</f>
        <v/>
      </c>
      <c r="W2638" s="5" t="n"/>
      <c r="X2638" s="5" t="inlineStr">
        <is>
          <t>Source publishes a specialist/sub-contract all-in rate; no labour/plant/material build-up exists to derive from.</t>
        </is>
      </c>
    </row>
    <row r="2639" ht="13" customHeight="1">
      <c r="A2639" s="4" t="n">
        <v>3968</v>
      </c>
      <c r="B2639" s="5" t="inlineStr">
        <is>
          <t>IMG_0119</t>
        </is>
      </c>
      <c r="C2639" s="5" t="inlineStr">
        <is>
          <t>CLASS P: PILES</t>
        </is>
      </c>
      <c r="D2639" s="5" t="inlineStr">
        <is>
          <t>05 TIMBER PILES</t>
        </is>
      </c>
      <c r="E2639" s="5" t="inlineStr">
        <is>
          <t>Cross-sectional area: 0.05-0.1 m2; 225 x 225 mm</t>
        </is>
      </c>
      <c r="F2639" s="5" t="inlineStr">
        <is>
          <t>number of piles of 10 m length</t>
        </is>
      </c>
      <c r="G2639" s="6" t="inlineStr">
        <is>
          <t>nr</t>
        </is>
      </c>
      <c r="H2639" s="7" t="n"/>
      <c r="I2639" s="8" t="n">
        <v>0</v>
      </c>
      <c r="J2639" s="8" t="n">
        <v>0</v>
      </c>
      <c r="K2639" s="8" t="n">
        <v>0</v>
      </c>
      <c r="L2639" s="8" t="n">
        <v>912.29</v>
      </c>
      <c r="M2639" s="9">
        <f>ROUND(SUM(I2639:L2639),2)</f>
        <v/>
      </c>
      <c r="N2639" s="10">
        <f>ROUND(I2639*'Irish Basis'!$C$6*'Irish Basis'!$C$5,2)</f>
        <v/>
      </c>
      <c r="O2639" s="10">
        <f>ROUND(J2639*'Irish Basis'!$C$7*'Irish Basis'!$C$5,2)</f>
        <v/>
      </c>
      <c r="P2639" s="10">
        <f>ROUND(K2639*'Irish Basis'!$C$8*'Irish Basis'!$C$5,2)</f>
        <v/>
      </c>
      <c r="Q2639" s="10">
        <f>ROUND(L2639*'Irish Basis'!$C$12*'Irish Basis'!$C$5,2)</f>
        <v/>
      </c>
      <c r="R2639" s="11">
        <f>ROUND(SUM(N2639:Q2639),2)</f>
        <v/>
      </c>
      <c r="S2639" s="5" t="inlineStr">
        <is>
          <t>All-in specialist rate</t>
        </is>
      </c>
      <c r="T2639" s="14" t="inlineStr">
        <is>
          <t>All-in (not split)</t>
        </is>
      </c>
      <c r="U2639" s="8" t="n">
        <v>912.29</v>
      </c>
      <c r="V2639" s="13">
        <f>IF(U2639="","",ROUND(M2639-U2639,2))</f>
        <v/>
      </c>
      <c r="W2639" s="5" t="n"/>
      <c r="X2639" s="5" t="inlineStr">
        <is>
          <t>Source publishes a specialist/sub-contract all-in rate; no labour/plant/material build-up exists to derive from.</t>
        </is>
      </c>
    </row>
    <row r="2640" ht="13" customHeight="1">
      <c r="A2640" s="4" t="n">
        <v>3969</v>
      </c>
      <c r="B2640" s="5" t="inlineStr">
        <is>
          <t>IMG_0119</t>
        </is>
      </c>
      <c r="C2640" s="5" t="inlineStr">
        <is>
          <t>CLASS P: PILES</t>
        </is>
      </c>
      <c r="D2640" s="5" t="inlineStr">
        <is>
          <t>05 TIMBER PILES</t>
        </is>
      </c>
      <c r="E2640" s="5" t="inlineStr">
        <is>
          <t>Cross-sectional area: 0.05-0.1 m2; 225 x 225 mm</t>
        </is>
      </c>
      <c r="F2640" s="5" t="inlineStr">
        <is>
          <t>number of piles of 15 m length</t>
        </is>
      </c>
      <c r="G2640" s="6" t="inlineStr">
        <is>
          <t>nr</t>
        </is>
      </c>
      <c r="H2640" s="7" t="n"/>
      <c r="I2640" s="8" t="n">
        <v>0</v>
      </c>
      <c r="J2640" s="8" t="n">
        <v>0</v>
      </c>
      <c r="K2640" s="8" t="n">
        <v>0</v>
      </c>
      <c r="L2640" s="8" t="n">
        <v>1231.39</v>
      </c>
      <c r="M2640" s="9">
        <f>ROUND(SUM(I2640:L2640),2)</f>
        <v/>
      </c>
      <c r="N2640" s="10">
        <f>ROUND(I2640*'Irish Basis'!$C$6*'Irish Basis'!$C$5,2)</f>
        <v/>
      </c>
      <c r="O2640" s="10">
        <f>ROUND(J2640*'Irish Basis'!$C$7*'Irish Basis'!$C$5,2)</f>
        <v/>
      </c>
      <c r="P2640" s="10">
        <f>ROUND(K2640*'Irish Basis'!$C$8*'Irish Basis'!$C$5,2)</f>
        <v/>
      </c>
      <c r="Q2640" s="10">
        <f>ROUND(L2640*'Irish Basis'!$C$12*'Irish Basis'!$C$5,2)</f>
        <v/>
      </c>
      <c r="R2640" s="11">
        <f>ROUND(SUM(N2640:Q2640),2)</f>
        <v/>
      </c>
      <c r="S2640" s="5" t="inlineStr">
        <is>
          <t>All-in specialist rate</t>
        </is>
      </c>
      <c r="T2640" s="14" t="inlineStr">
        <is>
          <t>All-in (not split)</t>
        </is>
      </c>
      <c r="U2640" s="8" t="n">
        <v>1231.39</v>
      </c>
      <c r="V2640" s="13">
        <f>IF(U2640="","",ROUND(M2640-U2640,2))</f>
        <v/>
      </c>
      <c r="W2640" s="5" t="n"/>
      <c r="X2640" s="5" t="inlineStr">
        <is>
          <t>Source publishes a specialist/sub-contract all-in rate; no labour/plant/material build-up exists to derive from.</t>
        </is>
      </c>
    </row>
    <row r="2641" ht="13" customHeight="1">
      <c r="A2641" s="4" t="n">
        <v>3970</v>
      </c>
      <c r="B2641" s="5" t="inlineStr">
        <is>
          <t>IMG_0119</t>
        </is>
      </c>
      <c r="C2641" s="5" t="inlineStr">
        <is>
          <t>CLASS P: PILES</t>
        </is>
      </c>
      <c r="D2641" s="5" t="inlineStr">
        <is>
          <t>05 TIMBER PILES</t>
        </is>
      </c>
      <c r="E2641" s="5" t="inlineStr">
        <is>
          <t>Cross-sectional area: 0.05-0.1 m2; 225 x 225 mm</t>
        </is>
      </c>
      <c r="F2641" s="5" t="inlineStr">
        <is>
          <t>number of piles of 20 m length</t>
        </is>
      </c>
      <c r="G2641" s="6" t="inlineStr">
        <is>
          <t>nr</t>
        </is>
      </c>
      <c r="H2641" s="7" t="n"/>
      <c r="I2641" s="8" t="n">
        <v>0</v>
      </c>
      <c r="J2641" s="8" t="n">
        <v>0</v>
      </c>
      <c r="K2641" s="8" t="n">
        <v>0</v>
      </c>
      <c r="L2641" s="8" t="n">
        <v>1550.48</v>
      </c>
      <c r="M2641" s="9">
        <f>ROUND(SUM(I2641:L2641),2)</f>
        <v/>
      </c>
      <c r="N2641" s="10">
        <f>ROUND(I2641*'Irish Basis'!$C$6*'Irish Basis'!$C$5,2)</f>
        <v/>
      </c>
      <c r="O2641" s="10">
        <f>ROUND(J2641*'Irish Basis'!$C$7*'Irish Basis'!$C$5,2)</f>
        <v/>
      </c>
      <c r="P2641" s="10">
        <f>ROUND(K2641*'Irish Basis'!$C$8*'Irish Basis'!$C$5,2)</f>
        <v/>
      </c>
      <c r="Q2641" s="10">
        <f>ROUND(L2641*'Irish Basis'!$C$12*'Irish Basis'!$C$5,2)</f>
        <v/>
      </c>
      <c r="R2641" s="11">
        <f>ROUND(SUM(N2641:Q2641),2)</f>
        <v/>
      </c>
      <c r="S2641" s="5" t="inlineStr">
        <is>
          <t>All-in specialist rate</t>
        </is>
      </c>
      <c r="T2641" s="14" t="inlineStr">
        <is>
          <t>All-in (not split)</t>
        </is>
      </c>
      <c r="U2641" s="8" t="n">
        <v>1550.48</v>
      </c>
      <c r="V2641" s="13">
        <f>IF(U2641="","",ROUND(M2641-U2641,2))</f>
        <v/>
      </c>
      <c r="W2641" s="5" t="n"/>
      <c r="X2641" s="5" t="inlineStr">
        <is>
          <t>Source publishes a specialist/sub-contract all-in rate; no labour/plant/material build-up exists to derive from.</t>
        </is>
      </c>
    </row>
    <row r="2642" ht="13" customHeight="1">
      <c r="A2642" s="4" t="n">
        <v>3971</v>
      </c>
      <c r="B2642" s="5" t="inlineStr">
        <is>
          <t>IMG_0119</t>
        </is>
      </c>
      <c r="C2642" s="5" t="inlineStr">
        <is>
          <t>CLASS P: PILES</t>
        </is>
      </c>
      <c r="D2642" s="5" t="inlineStr">
        <is>
          <t>05 TIMBER PILES</t>
        </is>
      </c>
      <c r="E2642" s="5" t="inlineStr">
        <is>
          <t>Cross-sectional area: 0.05-0.1 m2; 225 x 225 mm</t>
        </is>
      </c>
      <c r="F2642" s="5" t="inlineStr">
        <is>
          <t>depth driven</t>
        </is>
      </c>
      <c r="G2642" s="6" t="inlineStr">
        <is>
          <t>m</t>
        </is>
      </c>
      <c r="H2642" s="7" t="n"/>
      <c r="I2642" s="8" t="n">
        <v>0</v>
      </c>
      <c r="J2642" s="8" t="n">
        <v>0</v>
      </c>
      <c r="K2642" s="8" t="n">
        <v>0</v>
      </c>
      <c r="L2642" s="8" t="n">
        <v>6.45</v>
      </c>
      <c r="M2642" s="9">
        <f>ROUND(SUM(I2642:L2642),2)</f>
        <v/>
      </c>
      <c r="N2642" s="10">
        <f>ROUND(I2642*'Irish Basis'!$C$6*'Irish Basis'!$C$5,2)</f>
        <v/>
      </c>
      <c r="O2642" s="10">
        <f>ROUND(J2642*'Irish Basis'!$C$7*'Irish Basis'!$C$5,2)</f>
        <v/>
      </c>
      <c r="P2642" s="10">
        <f>ROUND(K2642*'Irish Basis'!$C$8*'Irish Basis'!$C$5,2)</f>
        <v/>
      </c>
      <c r="Q2642" s="10">
        <f>ROUND(L2642*'Irish Basis'!$C$12*'Irish Basis'!$C$5,2)</f>
        <v/>
      </c>
      <c r="R2642" s="11">
        <f>ROUND(SUM(N2642:Q2642),2)</f>
        <v/>
      </c>
      <c r="S2642" s="5" t="inlineStr">
        <is>
          <t>All-in specialist rate</t>
        </is>
      </c>
      <c r="T2642" s="14" t="inlineStr">
        <is>
          <t>All-in (not split)</t>
        </is>
      </c>
      <c r="U2642" s="8" t="n">
        <v>6.45</v>
      </c>
      <c r="V2642" s="13">
        <f>IF(U2642="","",ROUND(M2642-U2642,2))</f>
        <v/>
      </c>
      <c r="W2642" s="5" t="n"/>
      <c r="X2642" s="5" t="inlineStr">
        <is>
          <t>Source publishes a specialist/sub-contract all-in rate; no labour/plant/material build-up exists to derive from.</t>
        </is>
      </c>
    </row>
    <row r="2643" ht="13" customHeight="1">
      <c r="A2643" s="4" t="n">
        <v>3973</v>
      </c>
      <c r="B2643" s="5" t="inlineStr">
        <is>
          <t>IMG_0119</t>
        </is>
      </c>
      <c r="C2643" s="5" t="inlineStr">
        <is>
          <t>CLASS P: PILES</t>
        </is>
      </c>
      <c r="D2643" s="5" t="inlineStr">
        <is>
          <t>05 TIMBER PILES</t>
        </is>
      </c>
      <c r="E2643" s="5" t="inlineStr">
        <is>
          <t>Cross-sectional area: 0.05-0.1 m2; 300 x 300 mm</t>
        </is>
      </c>
      <c r="F2643" s="5" t="inlineStr">
        <is>
          <t>number of piles of 10 m length</t>
        </is>
      </c>
      <c r="G2643" s="6" t="inlineStr">
        <is>
          <t>nr</t>
        </is>
      </c>
      <c r="H2643" s="7" t="n"/>
      <c r="I2643" s="8" t="n">
        <v>0</v>
      </c>
      <c r="J2643" s="8" t="n">
        <v>0</v>
      </c>
      <c r="K2643" s="8" t="n">
        <v>0</v>
      </c>
      <c r="L2643" s="8" t="n">
        <v>1461.79</v>
      </c>
      <c r="M2643" s="9">
        <f>ROUND(SUM(I2643:L2643),2)</f>
        <v/>
      </c>
      <c r="N2643" s="10">
        <f>ROUND(I2643*'Irish Basis'!$C$6*'Irish Basis'!$C$5,2)</f>
        <v/>
      </c>
      <c r="O2643" s="10">
        <f>ROUND(J2643*'Irish Basis'!$C$7*'Irish Basis'!$C$5,2)</f>
        <v/>
      </c>
      <c r="P2643" s="10">
        <f>ROUND(K2643*'Irish Basis'!$C$8*'Irish Basis'!$C$5,2)</f>
        <v/>
      </c>
      <c r="Q2643" s="10">
        <f>ROUND(L2643*'Irish Basis'!$C$12*'Irish Basis'!$C$5,2)</f>
        <v/>
      </c>
      <c r="R2643" s="11">
        <f>ROUND(SUM(N2643:Q2643),2)</f>
        <v/>
      </c>
      <c r="S2643" s="5" t="inlineStr">
        <is>
          <t>All-in specialist rate</t>
        </is>
      </c>
      <c r="T2643" s="14" t="inlineStr">
        <is>
          <t>All-in (not split)</t>
        </is>
      </c>
      <c r="U2643" s="8" t="n">
        <v>1461.79</v>
      </c>
      <c r="V2643" s="13">
        <f>IF(U2643="","",ROUND(M2643-U2643,2))</f>
        <v/>
      </c>
      <c r="W2643" s="5" t="n"/>
      <c r="X2643" s="5" t="inlineStr">
        <is>
          <t>Source publishes a specialist/sub-contract all-in rate; no labour/plant/material build-up exists to derive from.</t>
        </is>
      </c>
    </row>
    <row r="2644" ht="13" customHeight="1">
      <c r="A2644" s="4" t="n">
        <v>3974</v>
      </c>
      <c r="B2644" s="5" t="inlineStr">
        <is>
          <t>IMG_0119</t>
        </is>
      </c>
      <c r="C2644" s="5" t="inlineStr">
        <is>
          <t>CLASS P: PILES</t>
        </is>
      </c>
      <c r="D2644" s="5" t="inlineStr">
        <is>
          <t>05 TIMBER PILES</t>
        </is>
      </c>
      <c r="E2644" s="5" t="inlineStr">
        <is>
          <t>Cross-sectional area: 0.05-0.1 m2; 300 x 300 mm</t>
        </is>
      </c>
      <c r="F2644" s="5" t="inlineStr">
        <is>
          <t>number of piles of 15 m length</t>
        </is>
      </c>
      <c r="G2644" s="6" t="inlineStr">
        <is>
          <t>nr</t>
        </is>
      </c>
      <c r="H2644" s="7" t="n"/>
      <c r="I2644" s="8" t="n">
        <v>0</v>
      </c>
      <c r="J2644" s="8" t="n">
        <v>0</v>
      </c>
      <c r="K2644" s="8" t="n">
        <v>0</v>
      </c>
      <c r="L2644" s="8" t="n">
        <v>1918.07</v>
      </c>
      <c r="M2644" s="9">
        <f>ROUND(SUM(I2644:L2644),2)</f>
        <v/>
      </c>
      <c r="N2644" s="10">
        <f>ROUND(I2644*'Irish Basis'!$C$6*'Irish Basis'!$C$5,2)</f>
        <v/>
      </c>
      <c r="O2644" s="10">
        <f>ROUND(J2644*'Irish Basis'!$C$7*'Irish Basis'!$C$5,2)</f>
        <v/>
      </c>
      <c r="P2644" s="10">
        <f>ROUND(K2644*'Irish Basis'!$C$8*'Irish Basis'!$C$5,2)</f>
        <v/>
      </c>
      <c r="Q2644" s="10">
        <f>ROUND(L2644*'Irish Basis'!$C$12*'Irish Basis'!$C$5,2)</f>
        <v/>
      </c>
      <c r="R2644" s="11">
        <f>ROUND(SUM(N2644:Q2644),2)</f>
        <v/>
      </c>
      <c r="S2644" s="5" t="inlineStr">
        <is>
          <t>All-in specialist rate</t>
        </is>
      </c>
      <c r="T2644" s="14" t="inlineStr">
        <is>
          <t>All-in (not split)</t>
        </is>
      </c>
      <c r="U2644" s="8" t="n">
        <v>1918.07</v>
      </c>
      <c r="V2644" s="13">
        <f>IF(U2644="","",ROUND(M2644-U2644,2))</f>
        <v/>
      </c>
      <c r="W2644" s="5" t="n"/>
      <c r="X2644" s="5" t="inlineStr">
        <is>
          <t>Source publishes a specialist/sub-contract all-in rate; no labour/plant/material build-up exists to derive from.</t>
        </is>
      </c>
    </row>
    <row r="2645" ht="13" customHeight="1">
      <c r="A2645" s="4" t="n">
        <v>3975</v>
      </c>
      <c r="B2645" s="5" t="inlineStr">
        <is>
          <t>IMG_0119</t>
        </is>
      </c>
      <c r="C2645" s="5" t="inlineStr">
        <is>
          <t>CLASS P: PILES</t>
        </is>
      </c>
      <c r="D2645" s="5" t="inlineStr">
        <is>
          <t>05 TIMBER PILES</t>
        </is>
      </c>
      <c r="E2645" s="5" t="inlineStr">
        <is>
          <t>Cross-sectional area: 0.05-0.1 m2; 300 x 300 mm</t>
        </is>
      </c>
      <c r="F2645" s="5" t="inlineStr">
        <is>
          <t>number of piles of 20 m length</t>
        </is>
      </c>
      <c r="G2645" s="6" t="inlineStr">
        <is>
          <t>nr</t>
        </is>
      </c>
      <c r="H2645" s="7" t="n"/>
      <c r="I2645" s="8" t="n">
        <v>0</v>
      </c>
      <c r="J2645" s="8" t="n">
        <v>0</v>
      </c>
      <c r="K2645" s="8" t="n">
        <v>0</v>
      </c>
      <c r="L2645" s="8" t="n">
        <v>2374.35</v>
      </c>
      <c r="M2645" s="9">
        <f>ROUND(SUM(I2645:L2645),2)</f>
        <v/>
      </c>
      <c r="N2645" s="10">
        <f>ROUND(I2645*'Irish Basis'!$C$6*'Irish Basis'!$C$5,2)</f>
        <v/>
      </c>
      <c r="O2645" s="10">
        <f>ROUND(J2645*'Irish Basis'!$C$7*'Irish Basis'!$C$5,2)</f>
        <v/>
      </c>
      <c r="P2645" s="10">
        <f>ROUND(K2645*'Irish Basis'!$C$8*'Irish Basis'!$C$5,2)</f>
        <v/>
      </c>
      <c r="Q2645" s="10">
        <f>ROUND(L2645*'Irish Basis'!$C$12*'Irish Basis'!$C$5,2)</f>
        <v/>
      </c>
      <c r="R2645" s="11">
        <f>ROUND(SUM(N2645:Q2645),2)</f>
        <v/>
      </c>
      <c r="S2645" s="5" t="inlineStr">
        <is>
          <t>All-in specialist rate</t>
        </is>
      </c>
      <c r="T2645" s="14" t="inlineStr">
        <is>
          <t>All-in (not split)</t>
        </is>
      </c>
      <c r="U2645" s="8" t="n">
        <v>2374.35</v>
      </c>
      <c r="V2645" s="13">
        <f>IF(U2645="","",ROUND(M2645-U2645,2))</f>
        <v/>
      </c>
      <c r="W2645" s="5" t="n"/>
      <c r="X2645" s="5" t="inlineStr">
        <is>
          <t>Source publishes a specialist/sub-contract all-in rate; no labour/plant/material build-up exists to derive from.</t>
        </is>
      </c>
    </row>
    <row r="2646" ht="13" customHeight="1">
      <c r="A2646" s="4" t="n">
        <v>3976</v>
      </c>
      <c r="B2646" s="5" t="inlineStr">
        <is>
          <t>IMG_0119</t>
        </is>
      </c>
      <c r="C2646" s="5" t="inlineStr">
        <is>
          <t>CLASS P: PILES</t>
        </is>
      </c>
      <c r="D2646" s="5" t="inlineStr">
        <is>
          <t>05 TIMBER PILES</t>
        </is>
      </c>
      <c r="E2646" s="5" t="inlineStr">
        <is>
          <t>Cross-sectional area: 0.05-0.1 m2; 300 x 300 mm</t>
        </is>
      </c>
      <c r="F2646" s="5" t="inlineStr">
        <is>
          <t>depth driven</t>
        </is>
      </c>
      <c r="G2646" s="6" t="inlineStr">
        <is>
          <t>m</t>
        </is>
      </c>
      <c r="H2646" s="7" t="n"/>
      <c r="I2646" s="8" t="n">
        <v>0</v>
      </c>
      <c r="J2646" s="8" t="n">
        <v>0</v>
      </c>
      <c r="K2646" s="8" t="n">
        <v>0</v>
      </c>
      <c r="L2646" s="8" t="n">
        <v>11.13</v>
      </c>
      <c r="M2646" s="9">
        <f>ROUND(SUM(I2646:L2646),2)</f>
        <v/>
      </c>
      <c r="N2646" s="10">
        <f>ROUND(I2646*'Irish Basis'!$C$6*'Irish Basis'!$C$5,2)</f>
        <v/>
      </c>
      <c r="O2646" s="10">
        <f>ROUND(J2646*'Irish Basis'!$C$7*'Irish Basis'!$C$5,2)</f>
        <v/>
      </c>
      <c r="P2646" s="10">
        <f>ROUND(K2646*'Irish Basis'!$C$8*'Irish Basis'!$C$5,2)</f>
        <v/>
      </c>
      <c r="Q2646" s="10">
        <f>ROUND(L2646*'Irish Basis'!$C$12*'Irish Basis'!$C$5,2)</f>
        <v/>
      </c>
      <c r="R2646" s="11">
        <f>ROUND(SUM(N2646:Q2646),2)</f>
        <v/>
      </c>
      <c r="S2646" s="5" t="inlineStr">
        <is>
          <t>All-in specialist rate</t>
        </is>
      </c>
      <c r="T2646" s="14" t="inlineStr">
        <is>
          <t>All-in (not split)</t>
        </is>
      </c>
      <c r="U2646" s="8" t="n">
        <v>11.13</v>
      </c>
      <c r="V2646" s="13">
        <f>IF(U2646="","",ROUND(M2646-U2646,2))</f>
        <v/>
      </c>
      <c r="W2646" s="5" t="n"/>
      <c r="X2646" s="5" t="inlineStr">
        <is>
          <t>Source publishes a specialist/sub-contract all-in rate; no labour/plant/material build-up exists to derive from.</t>
        </is>
      </c>
    </row>
    <row r="2647" ht="13" customHeight="1">
      <c r="A2647" s="4" t="n">
        <v>3978</v>
      </c>
      <c r="B2647" s="5" t="inlineStr">
        <is>
          <t>IMG_0119</t>
        </is>
      </c>
      <c r="C2647" s="5" t="inlineStr">
        <is>
          <t>CLASS P: PILES</t>
        </is>
      </c>
      <c r="D2647" s="5" t="inlineStr">
        <is>
          <t>05 TIMBER PILES</t>
        </is>
      </c>
      <c r="E2647" s="5" t="inlineStr">
        <is>
          <t>Cross-sectional area: 0.1-0.15 m2; 350 x 350 mm</t>
        </is>
      </c>
      <c r="F2647" s="5" t="inlineStr">
        <is>
          <t>number of piles of 10 m length</t>
        </is>
      </c>
      <c r="G2647" s="6" t="inlineStr">
        <is>
          <t>nr</t>
        </is>
      </c>
      <c r="H2647" s="7" t="n"/>
      <c r="I2647" s="8" t="n">
        <v>0</v>
      </c>
      <c r="J2647" s="8" t="n">
        <v>0</v>
      </c>
      <c r="K2647" s="8" t="n">
        <v>0</v>
      </c>
      <c r="L2647" s="8" t="n">
        <v>2028.56</v>
      </c>
      <c r="M2647" s="9">
        <f>ROUND(SUM(I2647:L2647),2)</f>
        <v/>
      </c>
      <c r="N2647" s="10">
        <f>ROUND(I2647*'Irish Basis'!$C$6*'Irish Basis'!$C$5,2)</f>
        <v/>
      </c>
      <c r="O2647" s="10">
        <f>ROUND(J2647*'Irish Basis'!$C$7*'Irish Basis'!$C$5,2)</f>
        <v/>
      </c>
      <c r="P2647" s="10">
        <f>ROUND(K2647*'Irish Basis'!$C$8*'Irish Basis'!$C$5,2)</f>
        <v/>
      </c>
      <c r="Q2647" s="10">
        <f>ROUND(L2647*'Irish Basis'!$C$12*'Irish Basis'!$C$5,2)</f>
        <v/>
      </c>
      <c r="R2647" s="11">
        <f>ROUND(SUM(N2647:Q2647),2)</f>
        <v/>
      </c>
      <c r="S2647" s="5" t="inlineStr">
        <is>
          <t>All-in specialist rate</t>
        </is>
      </c>
      <c r="T2647" s="14" t="inlineStr">
        <is>
          <t>All-in (not split)</t>
        </is>
      </c>
      <c r="U2647" s="8" t="n">
        <v>2028.56</v>
      </c>
      <c r="V2647" s="13">
        <f>IF(U2647="","",ROUND(M2647-U2647,2))</f>
        <v/>
      </c>
      <c r="W2647" s="5" t="n"/>
      <c r="X2647" s="5" t="inlineStr">
        <is>
          <t>Source publishes a specialist/sub-contract all-in rate; no labour/plant/material build-up exists to derive from.</t>
        </is>
      </c>
    </row>
    <row r="2648" ht="13" customHeight="1">
      <c r="A2648" s="4" t="n">
        <v>3979</v>
      </c>
      <c r="B2648" s="5" t="inlineStr">
        <is>
          <t>IMG_0119</t>
        </is>
      </c>
      <c r="C2648" s="5" t="inlineStr">
        <is>
          <t>CLASS P: PILES</t>
        </is>
      </c>
      <c r="D2648" s="5" t="inlineStr">
        <is>
          <t>05 TIMBER PILES</t>
        </is>
      </c>
      <c r="E2648" s="5" t="inlineStr">
        <is>
          <t>Cross-sectional area: 0.1-0.15 m2; 350 x 350 mm</t>
        </is>
      </c>
      <c r="F2648" s="5" t="inlineStr">
        <is>
          <t>number of piles of 15 m length</t>
        </is>
      </c>
      <c r="G2648" s="6" t="inlineStr">
        <is>
          <t>nr</t>
        </is>
      </c>
      <c r="H2648" s="7" t="n"/>
      <c r="I2648" s="8" t="n">
        <v>0</v>
      </c>
      <c r="J2648" s="8" t="n">
        <v>0</v>
      </c>
      <c r="K2648" s="8" t="n">
        <v>0</v>
      </c>
      <c r="L2648" s="8" t="n">
        <v>2815.81</v>
      </c>
      <c r="M2648" s="9">
        <f>ROUND(SUM(I2648:L2648),2)</f>
        <v/>
      </c>
      <c r="N2648" s="10">
        <f>ROUND(I2648*'Irish Basis'!$C$6*'Irish Basis'!$C$5,2)</f>
        <v/>
      </c>
      <c r="O2648" s="10">
        <f>ROUND(J2648*'Irish Basis'!$C$7*'Irish Basis'!$C$5,2)</f>
        <v/>
      </c>
      <c r="P2648" s="10">
        <f>ROUND(K2648*'Irish Basis'!$C$8*'Irish Basis'!$C$5,2)</f>
        <v/>
      </c>
      <c r="Q2648" s="10">
        <f>ROUND(L2648*'Irish Basis'!$C$12*'Irish Basis'!$C$5,2)</f>
        <v/>
      </c>
      <c r="R2648" s="11">
        <f>ROUND(SUM(N2648:Q2648),2)</f>
        <v/>
      </c>
      <c r="S2648" s="5" t="inlineStr">
        <is>
          <t>All-in specialist rate</t>
        </is>
      </c>
      <c r="T2648" s="14" t="inlineStr">
        <is>
          <t>All-in (not split)</t>
        </is>
      </c>
      <c r="U2648" s="8" t="n">
        <v>2815.81</v>
      </c>
      <c r="V2648" s="13">
        <f>IF(U2648="","",ROUND(M2648-U2648,2))</f>
        <v/>
      </c>
      <c r="W2648" s="5" t="n"/>
      <c r="X2648" s="5" t="inlineStr">
        <is>
          <t>Source publishes a specialist/sub-contract all-in rate; no labour/plant/material build-up exists to derive from.</t>
        </is>
      </c>
    </row>
    <row r="2649" ht="13" customHeight="1">
      <c r="A2649" s="4" t="n">
        <v>3980</v>
      </c>
      <c r="B2649" s="5" t="inlineStr">
        <is>
          <t>IMG_0119</t>
        </is>
      </c>
      <c r="C2649" s="5" t="inlineStr">
        <is>
          <t>CLASS P: PILES</t>
        </is>
      </c>
      <c r="D2649" s="5" t="inlineStr">
        <is>
          <t>05 TIMBER PILES</t>
        </is>
      </c>
      <c r="E2649" s="5" t="inlineStr">
        <is>
          <t>Cross-sectional area: 0.1-0.15 m2; 350 x 350 mm</t>
        </is>
      </c>
      <c r="F2649" s="5" t="inlineStr">
        <is>
          <t>number of piles of 20 m length</t>
        </is>
      </c>
      <c r="G2649" s="6" t="inlineStr">
        <is>
          <t>nr</t>
        </is>
      </c>
      <c r="H2649" s="7" t="n"/>
      <c r="I2649" s="8" t="n">
        <v>0</v>
      </c>
      <c r="J2649" s="8" t="n">
        <v>0</v>
      </c>
      <c r="K2649" s="8" t="n">
        <v>0</v>
      </c>
      <c r="L2649" s="8" t="n">
        <v>2957.58</v>
      </c>
      <c r="M2649" s="9">
        <f>ROUND(SUM(I2649:L2649),2)</f>
        <v/>
      </c>
      <c r="N2649" s="10">
        <f>ROUND(I2649*'Irish Basis'!$C$6*'Irish Basis'!$C$5,2)</f>
        <v/>
      </c>
      <c r="O2649" s="10">
        <f>ROUND(J2649*'Irish Basis'!$C$7*'Irish Basis'!$C$5,2)</f>
        <v/>
      </c>
      <c r="P2649" s="10">
        <f>ROUND(K2649*'Irish Basis'!$C$8*'Irish Basis'!$C$5,2)</f>
        <v/>
      </c>
      <c r="Q2649" s="10">
        <f>ROUND(L2649*'Irish Basis'!$C$12*'Irish Basis'!$C$5,2)</f>
        <v/>
      </c>
      <c r="R2649" s="11">
        <f>ROUND(SUM(N2649:Q2649),2)</f>
        <v/>
      </c>
      <c r="S2649" s="5" t="inlineStr">
        <is>
          <t>All-in specialist rate</t>
        </is>
      </c>
      <c r="T2649" s="14" t="inlineStr">
        <is>
          <t>All-in (not split)</t>
        </is>
      </c>
      <c r="U2649" s="8" t="n">
        <v>2957.58</v>
      </c>
      <c r="V2649" s="13">
        <f>IF(U2649="","",ROUND(M2649-U2649,2))</f>
        <v/>
      </c>
      <c r="W2649" s="5" t="n"/>
      <c r="X2649" s="5" t="inlineStr">
        <is>
          <t>Source publishes a specialist/sub-contract all-in rate; no labour/plant/material build-up exists to derive from.</t>
        </is>
      </c>
    </row>
    <row r="2650" ht="13" customHeight="1">
      <c r="A2650" s="4" t="n">
        <v>3981</v>
      </c>
      <c r="B2650" s="5" t="inlineStr">
        <is>
          <t>IMG_0119</t>
        </is>
      </c>
      <c r="C2650" s="5" t="inlineStr">
        <is>
          <t>CLASS P: PILES</t>
        </is>
      </c>
      <c r="D2650" s="5" t="inlineStr">
        <is>
          <t>05 TIMBER PILES</t>
        </is>
      </c>
      <c r="E2650" s="5" t="inlineStr">
        <is>
          <t>Cross-sectional area: 0.1-0.15 m2; 350 x 350 mm</t>
        </is>
      </c>
      <c r="F2650" s="5" t="inlineStr">
        <is>
          <t>depth driven</t>
        </is>
      </c>
      <c r="G2650" s="6" t="inlineStr">
        <is>
          <t>m</t>
        </is>
      </c>
      <c r="H2650" s="7" t="n"/>
      <c r="I2650" s="8" t="n">
        <v>0</v>
      </c>
      <c r="J2650" s="8" t="n">
        <v>0</v>
      </c>
      <c r="K2650" s="8" t="n">
        <v>0</v>
      </c>
      <c r="L2650" s="8" t="n">
        <v>7.41</v>
      </c>
      <c r="M2650" s="9">
        <f>ROUND(SUM(I2650:L2650),2)</f>
        <v/>
      </c>
      <c r="N2650" s="10">
        <f>ROUND(I2650*'Irish Basis'!$C$6*'Irish Basis'!$C$5,2)</f>
        <v/>
      </c>
      <c r="O2650" s="10">
        <f>ROUND(J2650*'Irish Basis'!$C$7*'Irish Basis'!$C$5,2)</f>
        <v/>
      </c>
      <c r="P2650" s="10">
        <f>ROUND(K2650*'Irish Basis'!$C$8*'Irish Basis'!$C$5,2)</f>
        <v/>
      </c>
      <c r="Q2650" s="10">
        <f>ROUND(L2650*'Irish Basis'!$C$12*'Irish Basis'!$C$5,2)</f>
        <v/>
      </c>
      <c r="R2650" s="11">
        <f>ROUND(SUM(N2650:Q2650),2)</f>
        <v/>
      </c>
      <c r="S2650" s="5" t="inlineStr">
        <is>
          <t>All-in specialist rate</t>
        </is>
      </c>
      <c r="T2650" s="14" t="inlineStr">
        <is>
          <t>All-in (not split)</t>
        </is>
      </c>
      <c r="U2650" s="8" t="n">
        <v>7.41</v>
      </c>
      <c r="V2650" s="13">
        <f>IF(U2650="","",ROUND(M2650-U2650,2))</f>
        <v/>
      </c>
      <c r="W2650" s="5" t="n"/>
      <c r="X2650" s="5" t="inlineStr">
        <is>
          <t>Source publishes a specialist/sub-contract all-in rate; no labour/plant/material build-up exists to derive from.</t>
        </is>
      </c>
    </row>
    <row r="2651" ht="13" customHeight="1">
      <c r="A2651" s="4" t="n">
        <v>3983</v>
      </c>
      <c r="B2651" s="5" t="inlineStr">
        <is>
          <t>IMG_0119</t>
        </is>
      </c>
      <c r="C2651" s="5" t="inlineStr">
        <is>
          <t>CLASS P: PILES</t>
        </is>
      </c>
      <c r="D2651" s="5" t="inlineStr">
        <is>
          <t>05 TIMBER PILES</t>
        </is>
      </c>
      <c r="E2651" s="5" t="inlineStr">
        <is>
          <t>Cross-sectional area: 0.15-0.25 m2; 450 x 450 mm</t>
        </is>
      </c>
      <c r="F2651" s="5" t="inlineStr">
        <is>
          <t>number of piles of 10 m length</t>
        </is>
      </c>
      <c r="G2651" s="6" t="inlineStr">
        <is>
          <t>nr</t>
        </is>
      </c>
      <c r="H2651" s="7" t="n"/>
      <c r="I2651" s="8" t="n">
        <v>0</v>
      </c>
      <c r="J2651" s="8" t="n">
        <v>0</v>
      </c>
      <c r="K2651" s="8" t="n">
        <v>0</v>
      </c>
      <c r="L2651" s="8" t="n">
        <v>2338.76</v>
      </c>
      <c r="M2651" s="9">
        <f>ROUND(SUM(I2651:L2651),2)</f>
        <v/>
      </c>
      <c r="N2651" s="10">
        <f>ROUND(I2651*'Irish Basis'!$C$6*'Irish Basis'!$C$5,2)</f>
        <v/>
      </c>
      <c r="O2651" s="10">
        <f>ROUND(J2651*'Irish Basis'!$C$7*'Irish Basis'!$C$5,2)</f>
        <v/>
      </c>
      <c r="P2651" s="10">
        <f>ROUND(K2651*'Irish Basis'!$C$8*'Irish Basis'!$C$5,2)</f>
        <v/>
      </c>
      <c r="Q2651" s="10">
        <f>ROUND(L2651*'Irish Basis'!$C$12*'Irish Basis'!$C$5,2)</f>
        <v/>
      </c>
      <c r="R2651" s="11">
        <f>ROUND(SUM(N2651:Q2651),2)</f>
        <v/>
      </c>
      <c r="S2651" s="5" t="inlineStr">
        <is>
          <t>All-in specialist rate</t>
        </is>
      </c>
      <c r="T2651" s="14" t="inlineStr">
        <is>
          <t>All-in (not split)</t>
        </is>
      </c>
      <c r="U2651" s="8" t="n">
        <v>2338.76</v>
      </c>
      <c r="V2651" s="13">
        <f>IF(U2651="","",ROUND(M2651-U2651,2))</f>
        <v/>
      </c>
      <c r="W2651" s="5" t="n"/>
      <c r="X2651" s="5" t="inlineStr">
        <is>
          <t>Source publishes a specialist/sub-contract all-in rate; no labour/plant/material build-up exists to derive from.</t>
        </is>
      </c>
    </row>
    <row r="2652" ht="13" customHeight="1">
      <c r="A2652" s="4" t="n">
        <v>3984</v>
      </c>
      <c r="B2652" s="5" t="inlineStr">
        <is>
          <t>IMG_0119</t>
        </is>
      </c>
      <c r="C2652" s="5" t="inlineStr">
        <is>
          <t>CLASS P: PILES</t>
        </is>
      </c>
      <c r="D2652" s="5" t="inlineStr">
        <is>
          <t>05 TIMBER PILES</t>
        </is>
      </c>
      <c r="E2652" s="5" t="inlineStr">
        <is>
          <t>Cross-sectional area: 0.15-0.25 m2; 450 x 450 mm</t>
        </is>
      </c>
      <c r="F2652" s="5" t="inlineStr">
        <is>
          <t>number of piles of 15 m length</t>
        </is>
      </c>
      <c r="G2652" s="6" t="inlineStr">
        <is>
          <t>nr</t>
        </is>
      </c>
      <c r="H2652" s="7" t="n"/>
      <c r="I2652" s="8" t="n">
        <v>0</v>
      </c>
      <c r="J2652" s="8" t="n">
        <v>0</v>
      </c>
      <c r="K2652" s="8" t="n">
        <v>0</v>
      </c>
      <c r="L2652" s="8" t="n">
        <v>3830.56</v>
      </c>
      <c r="M2652" s="9">
        <f>ROUND(SUM(I2652:L2652),2)</f>
        <v/>
      </c>
      <c r="N2652" s="10">
        <f>ROUND(I2652*'Irish Basis'!$C$6*'Irish Basis'!$C$5,2)</f>
        <v/>
      </c>
      <c r="O2652" s="10">
        <f>ROUND(J2652*'Irish Basis'!$C$7*'Irish Basis'!$C$5,2)</f>
        <v/>
      </c>
      <c r="P2652" s="10">
        <f>ROUND(K2652*'Irish Basis'!$C$8*'Irish Basis'!$C$5,2)</f>
        <v/>
      </c>
      <c r="Q2652" s="10">
        <f>ROUND(L2652*'Irish Basis'!$C$12*'Irish Basis'!$C$5,2)</f>
        <v/>
      </c>
      <c r="R2652" s="11">
        <f>ROUND(SUM(N2652:Q2652),2)</f>
        <v/>
      </c>
      <c r="S2652" s="5" t="inlineStr">
        <is>
          <t>All-in specialist rate</t>
        </is>
      </c>
      <c r="T2652" s="14" t="inlineStr">
        <is>
          <t>All-in (not split)</t>
        </is>
      </c>
      <c r="U2652" s="8" t="n">
        <v>3830.56</v>
      </c>
      <c r="V2652" s="13">
        <f>IF(U2652="","",ROUND(M2652-U2652,2))</f>
        <v/>
      </c>
      <c r="W2652" s="5" t="n"/>
      <c r="X2652" s="5" t="inlineStr">
        <is>
          <t>Source publishes a specialist/sub-contract all-in rate; no labour/plant/material build-up exists to derive from.</t>
        </is>
      </c>
    </row>
    <row r="2653" ht="13" customHeight="1">
      <c r="A2653" s="4" t="n">
        <v>3985</v>
      </c>
      <c r="B2653" s="5" t="inlineStr">
        <is>
          <t>IMG_0119</t>
        </is>
      </c>
      <c r="C2653" s="5" t="inlineStr">
        <is>
          <t>CLASS P: PILES</t>
        </is>
      </c>
      <c r="D2653" s="5" t="inlineStr">
        <is>
          <t>05 TIMBER PILES</t>
        </is>
      </c>
      <c r="E2653" s="5" t="inlineStr">
        <is>
          <t>Cross-sectional area: 0.15-0.25 m2; 450 x 450 mm</t>
        </is>
      </c>
      <c r="F2653" s="5" t="inlineStr">
        <is>
          <t>number of piles of 20 m length</t>
        </is>
      </c>
      <c r="G2653" s="6" t="inlineStr">
        <is>
          <t>nr</t>
        </is>
      </c>
      <c r="H2653" s="7" t="n"/>
      <c r="I2653" s="8" t="n">
        <v>0</v>
      </c>
      <c r="J2653" s="8" t="n">
        <v>0</v>
      </c>
      <c r="K2653" s="8" t="n">
        <v>0</v>
      </c>
      <c r="L2653" s="8" t="n">
        <v>4866.21</v>
      </c>
      <c r="M2653" s="9">
        <f>ROUND(SUM(I2653:L2653),2)</f>
        <v/>
      </c>
      <c r="N2653" s="10">
        <f>ROUND(I2653*'Irish Basis'!$C$6*'Irish Basis'!$C$5,2)</f>
        <v/>
      </c>
      <c r="O2653" s="10">
        <f>ROUND(J2653*'Irish Basis'!$C$7*'Irish Basis'!$C$5,2)</f>
        <v/>
      </c>
      <c r="P2653" s="10">
        <f>ROUND(K2653*'Irish Basis'!$C$8*'Irish Basis'!$C$5,2)</f>
        <v/>
      </c>
      <c r="Q2653" s="10">
        <f>ROUND(L2653*'Irish Basis'!$C$12*'Irish Basis'!$C$5,2)</f>
        <v/>
      </c>
      <c r="R2653" s="11">
        <f>ROUND(SUM(N2653:Q2653),2)</f>
        <v/>
      </c>
      <c r="S2653" s="5" t="inlineStr">
        <is>
          <t>All-in specialist rate</t>
        </is>
      </c>
      <c r="T2653" s="14" t="inlineStr">
        <is>
          <t>All-in (not split)</t>
        </is>
      </c>
      <c r="U2653" s="8" t="n">
        <v>4866.21</v>
      </c>
      <c r="V2653" s="13">
        <f>IF(U2653="","",ROUND(M2653-U2653,2))</f>
        <v/>
      </c>
      <c r="W2653" s="5" t="n"/>
      <c r="X2653" s="5" t="inlineStr">
        <is>
          <t>Source publishes a specialist/sub-contract all-in rate; no labour/plant/material build-up exists to derive from.</t>
        </is>
      </c>
    </row>
    <row r="2654" ht="13" customHeight="1">
      <c r="A2654" s="4" t="n">
        <v>3986</v>
      </c>
      <c r="B2654" s="5" t="inlineStr">
        <is>
          <t>IMG_0119</t>
        </is>
      </c>
      <c r="C2654" s="5" t="inlineStr">
        <is>
          <t>CLASS P: PILES</t>
        </is>
      </c>
      <c r="D2654" s="5" t="inlineStr">
        <is>
          <t>05 TIMBER PILES</t>
        </is>
      </c>
      <c r="E2654" s="5" t="inlineStr">
        <is>
          <t>Cross-sectional area: 0.15-0.25 m2; 450 x 450 mm</t>
        </is>
      </c>
      <c r="F2654" s="5" t="inlineStr">
        <is>
          <t>number of piles of 25 m length</t>
        </is>
      </c>
      <c r="G2654" s="6" t="inlineStr">
        <is>
          <t>nr</t>
        </is>
      </c>
      <c r="H2654" s="7" t="n"/>
      <c r="I2654" s="8" t="n">
        <v>0</v>
      </c>
      <c r="J2654" s="8" t="n">
        <v>0</v>
      </c>
      <c r="K2654" s="8" t="n">
        <v>0</v>
      </c>
      <c r="L2654" s="8" t="n">
        <v>6178.78</v>
      </c>
      <c r="M2654" s="9">
        <f>ROUND(SUM(I2654:L2654),2)</f>
        <v/>
      </c>
      <c r="N2654" s="10">
        <f>ROUND(I2654*'Irish Basis'!$C$6*'Irish Basis'!$C$5,2)</f>
        <v/>
      </c>
      <c r="O2654" s="10">
        <f>ROUND(J2654*'Irish Basis'!$C$7*'Irish Basis'!$C$5,2)</f>
        <v/>
      </c>
      <c r="P2654" s="10">
        <f>ROUND(K2654*'Irish Basis'!$C$8*'Irish Basis'!$C$5,2)</f>
        <v/>
      </c>
      <c r="Q2654" s="10">
        <f>ROUND(L2654*'Irish Basis'!$C$12*'Irish Basis'!$C$5,2)</f>
        <v/>
      </c>
      <c r="R2654" s="11">
        <f>ROUND(SUM(N2654:Q2654),2)</f>
        <v/>
      </c>
      <c r="S2654" s="5" t="inlineStr">
        <is>
          <t>All-in specialist rate</t>
        </is>
      </c>
      <c r="T2654" s="14" t="inlineStr">
        <is>
          <t>All-in (not split)</t>
        </is>
      </c>
      <c r="U2654" s="8" t="n">
        <v>6178.78</v>
      </c>
      <c r="V2654" s="13">
        <f>IF(U2654="","",ROUND(M2654-U2654,2))</f>
        <v/>
      </c>
      <c r="W2654" s="5" t="n"/>
      <c r="X2654" s="5" t="inlineStr">
        <is>
          <t>Source publishes a specialist/sub-contract all-in rate; no labour/plant/material build-up exists to derive from.</t>
        </is>
      </c>
    </row>
    <row r="2655" ht="13" customHeight="1">
      <c r="A2655" s="4" t="n">
        <v>3987</v>
      </c>
      <c r="B2655" s="5" t="inlineStr">
        <is>
          <t>IMG_0119</t>
        </is>
      </c>
      <c r="C2655" s="5" t="inlineStr">
        <is>
          <t>CLASS P: PILES</t>
        </is>
      </c>
      <c r="D2655" s="5" t="inlineStr">
        <is>
          <t>05 TIMBER PILES</t>
        </is>
      </c>
      <c r="E2655" s="5" t="inlineStr">
        <is>
          <t>Cross-sectional area: 0.15-0.25 m2; 450 x 450 mm</t>
        </is>
      </c>
      <c r="F2655" s="5" t="inlineStr">
        <is>
          <t>depth driven</t>
        </is>
      </c>
      <c r="G2655" s="6" t="inlineStr">
        <is>
          <t>m</t>
        </is>
      </c>
      <c r="H2655" s="7" t="n"/>
      <c r="I2655" s="8" t="n">
        <v>0</v>
      </c>
      <c r="J2655" s="8" t="n">
        <v>0</v>
      </c>
      <c r="K2655" s="8" t="n">
        <v>0</v>
      </c>
      <c r="L2655" s="8" t="n">
        <v>9.050000000000001</v>
      </c>
      <c r="M2655" s="9">
        <f>ROUND(SUM(I2655:L2655),2)</f>
        <v/>
      </c>
      <c r="N2655" s="10">
        <f>ROUND(I2655*'Irish Basis'!$C$6*'Irish Basis'!$C$5,2)</f>
        <v/>
      </c>
      <c r="O2655" s="10">
        <f>ROUND(J2655*'Irish Basis'!$C$7*'Irish Basis'!$C$5,2)</f>
        <v/>
      </c>
      <c r="P2655" s="10">
        <f>ROUND(K2655*'Irish Basis'!$C$8*'Irish Basis'!$C$5,2)</f>
        <v/>
      </c>
      <c r="Q2655" s="10">
        <f>ROUND(L2655*'Irish Basis'!$C$12*'Irish Basis'!$C$5,2)</f>
        <v/>
      </c>
      <c r="R2655" s="11">
        <f>ROUND(SUM(N2655:Q2655),2)</f>
        <v/>
      </c>
      <c r="S2655" s="5" t="inlineStr">
        <is>
          <t>All-in specialist rate</t>
        </is>
      </c>
      <c r="T2655" s="14" t="inlineStr">
        <is>
          <t>All-in (not split)</t>
        </is>
      </c>
      <c r="U2655" s="8" t="n">
        <v>9.050000000000001</v>
      </c>
      <c r="V2655" s="13">
        <f>IF(U2655="","",ROUND(M2655-U2655,2))</f>
        <v/>
      </c>
      <c r="W2655" s="5" t="n"/>
      <c r="X2655" s="5" t="inlineStr">
        <is>
          <t>Source publishes a specialist/sub-contract all-in rate; no labour/plant/material build-up exists to derive from.</t>
        </is>
      </c>
    </row>
    <row r="2656" ht="13" customHeight="1">
      <c r="A2656" s="4" t="n">
        <v>3991</v>
      </c>
      <c r="B2656" s="5" t="inlineStr">
        <is>
          <t>IMG_0119</t>
        </is>
      </c>
      <c r="C2656" s="5" t="inlineStr">
        <is>
          <t>CLASS P: PILES</t>
        </is>
      </c>
      <c r="D2656" s="5" t="inlineStr">
        <is>
          <t>05 TIMBER PILES</t>
        </is>
      </c>
      <c r="E2656" s="5" t="inlineStr">
        <is>
          <t>Cross-sectional area: 0.05-0.1 m2; 225 x 225 mm</t>
        </is>
      </c>
      <c r="F2656" s="5" t="inlineStr">
        <is>
          <t>number of piles of 10 m length</t>
        </is>
      </c>
      <c r="G2656" s="6" t="inlineStr">
        <is>
          <t>nr</t>
        </is>
      </c>
      <c r="H2656" s="7" t="n"/>
      <c r="I2656" s="8" t="n">
        <v>0</v>
      </c>
      <c r="J2656" s="8" t="n">
        <v>0</v>
      </c>
      <c r="K2656" s="8" t="n">
        <v>0</v>
      </c>
      <c r="L2656" s="8" t="n">
        <v>1513.19</v>
      </c>
      <c r="M2656" s="9">
        <f>ROUND(SUM(I2656:L2656),2)</f>
        <v/>
      </c>
      <c r="N2656" s="10">
        <f>ROUND(I2656*'Irish Basis'!$C$6*'Irish Basis'!$C$5,2)</f>
        <v/>
      </c>
      <c r="O2656" s="10">
        <f>ROUND(J2656*'Irish Basis'!$C$7*'Irish Basis'!$C$5,2)</f>
        <v/>
      </c>
      <c r="P2656" s="10">
        <f>ROUND(K2656*'Irish Basis'!$C$8*'Irish Basis'!$C$5,2)</f>
        <v/>
      </c>
      <c r="Q2656" s="10">
        <f>ROUND(L2656*'Irish Basis'!$C$12*'Irish Basis'!$C$5,2)</f>
        <v/>
      </c>
      <c r="R2656" s="11">
        <f>ROUND(SUM(N2656:Q2656),2)</f>
        <v/>
      </c>
      <c r="S2656" s="5" t="inlineStr">
        <is>
          <t>All-in specialist rate</t>
        </is>
      </c>
      <c r="T2656" s="14" t="inlineStr">
        <is>
          <t>All-in (not split)</t>
        </is>
      </c>
      <c r="U2656" s="8" t="n">
        <v>1513.19</v>
      </c>
      <c r="V2656" s="13">
        <f>IF(U2656="","",ROUND(M2656-U2656,2))</f>
        <v/>
      </c>
      <c r="W2656" s="5" t="n"/>
      <c r="X2656" s="5" t="inlineStr">
        <is>
          <t>Source publishes a specialist/sub-contract all-in rate; no labour/plant/material build-up exists to derive from.</t>
        </is>
      </c>
    </row>
    <row r="2657" ht="13" customHeight="1">
      <c r="A2657" s="4" t="n">
        <v>3992</v>
      </c>
      <c r="B2657" s="5" t="inlineStr">
        <is>
          <t>IMG_0119</t>
        </is>
      </c>
      <c r="C2657" s="5" t="inlineStr">
        <is>
          <t>CLASS P: PILES</t>
        </is>
      </c>
      <c r="D2657" s="5" t="inlineStr">
        <is>
          <t>05 TIMBER PILES</t>
        </is>
      </c>
      <c r="E2657" s="5" t="inlineStr">
        <is>
          <t>Cross-sectional area: 0.05-0.1 m2; 225 x 225 mm</t>
        </is>
      </c>
      <c r="F2657" s="5" t="inlineStr">
        <is>
          <t>number of piles of 15 m length</t>
        </is>
      </c>
      <c r="G2657" s="6" t="inlineStr">
        <is>
          <t>nr</t>
        </is>
      </c>
      <c r="H2657" s="7" t="n"/>
      <c r="I2657" s="8" t="n">
        <v>0</v>
      </c>
      <c r="J2657" s="8" t="n">
        <v>0</v>
      </c>
      <c r="K2657" s="8" t="n">
        <v>0</v>
      </c>
      <c r="L2657" s="8" t="n">
        <v>1810</v>
      </c>
      <c r="M2657" s="9">
        <f>ROUND(SUM(I2657:L2657),2)</f>
        <v/>
      </c>
      <c r="N2657" s="10">
        <f>ROUND(I2657*'Irish Basis'!$C$6*'Irish Basis'!$C$5,2)</f>
        <v/>
      </c>
      <c r="O2657" s="10">
        <f>ROUND(J2657*'Irish Basis'!$C$7*'Irish Basis'!$C$5,2)</f>
        <v/>
      </c>
      <c r="P2657" s="10">
        <f>ROUND(K2657*'Irish Basis'!$C$8*'Irish Basis'!$C$5,2)</f>
        <v/>
      </c>
      <c r="Q2657" s="10">
        <f>ROUND(L2657*'Irish Basis'!$C$12*'Irish Basis'!$C$5,2)</f>
        <v/>
      </c>
      <c r="R2657" s="11">
        <f>ROUND(SUM(N2657:Q2657),2)</f>
        <v/>
      </c>
      <c r="S2657" s="5" t="inlineStr">
        <is>
          <t>All-in specialist rate</t>
        </is>
      </c>
      <c r="T2657" s="14" t="inlineStr">
        <is>
          <t>All-in (not split)</t>
        </is>
      </c>
      <c r="U2657" s="8" t="n">
        <v>1810</v>
      </c>
      <c r="V2657" s="13">
        <f>IF(U2657="","",ROUND(M2657-U2657,2))</f>
        <v/>
      </c>
      <c r="W2657" s="5" t="n"/>
      <c r="X2657" s="5" t="inlineStr">
        <is>
          <t>Source publishes a specialist/sub-contract all-in rate; no labour/plant/material build-up exists to derive from.</t>
        </is>
      </c>
    </row>
    <row r="2658" ht="13" customHeight="1">
      <c r="A2658" s="4" t="n">
        <v>3993</v>
      </c>
      <c r="B2658" s="5" t="inlineStr">
        <is>
          <t>IMG_0119</t>
        </is>
      </c>
      <c r="C2658" s="5" t="inlineStr">
        <is>
          <t>CLASS P: PILES</t>
        </is>
      </c>
      <c r="D2658" s="5" t="inlineStr">
        <is>
          <t>05 TIMBER PILES</t>
        </is>
      </c>
      <c r="E2658" s="5" t="inlineStr">
        <is>
          <t>Cross-sectional area: 0.05-0.1 m2; 225 x 225 mm</t>
        </is>
      </c>
      <c r="F2658" s="5" t="inlineStr">
        <is>
          <t>number of piles of 20 m length</t>
        </is>
      </c>
      <c r="G2658" s="6" t="inlineStr">
        <is>
          <t>nr</t>
        </is>
      </c>
      <c r="H2658" s="7" t="n"/>
      <c r="I2658" s="8" t="n">
        <v>0</v>
      </c>
      <c r="J2658" s="8" t="n">
        <v>0</v>
      </c>
      <c r="K2658" s="8" t="n">
        <v>0</v>
      </c>
      <c r="L2658" s="8" t="n">
        <v>2106.8</v>
      </c>
      <c r="M2658" s="9">
        <f>ROUND(SUM(I2658:L2658),2)</f>
        <v/>
      </c>
      <c r="N2658" s="10">
        <f>ROUND(I2658*'Irish Basis'!$C$6*'Irish Basis'!$C$5,2)</f>
        <v/>
      </c>
      <c r="O2658" s="10">
        <f>ROUND(J2658*'Irish Basis'!$C$7*'Irish Basis'!$C$5,2)</f>
        <v/>
      </c>
      <c r="P2658" s="10">
        <f>ROUND(K2658*'Irish Basis'!$C$8*'Irish Basis'!$C$5,2)</f>
        <v/>
      </c>
      <c r="Q2658" s="10">
        <f>ROUND(L2658*'Irish Basis'!$C$12*'Irish Basis'!$C$5,2)</f>
        <v/>
      </c>
      <c r="R2658" s="11">
        <f>ROUND(SUM(N2658:Q2658),2)</f>
        <v/>
      </c>
      <c r="S2658" s="5" t="inlineStr">
        <is>
          <t>All-in specialist rate</t>
        </is>
      </c>
      <c r="T2658" s="14" t="inlineStr">
        <is>
          <t>All-in (not split)</t>
        </is>
      </c>
      <c r="U2658" s="8" t="n">
        <v>2106.8</v>
      </c>
      <c r="V2658" s="13">
        <f>IF(U2658="","",ROUND(M2658-U2658,2))</f>
        <v/>
      </c>
      <c r="W2658" s="5" t="n"/>
      <c r="X2658" s="5" t="inlineStr">
        <is>
          <t>Source publishes a specialist/sub-contract all-in rate; no labour/plant/material build-up exists to derive from.</t>
        </is>
      </c>
    </row>
    <row r="2659" ht="13" customHeight="1">
      <c r="A2659" s="4" t="n">
        <v>3994</v>
      </c>
      <c r="B2659" s="5" t="inlineStr">
        <is>
          <t>IMG_0119</t>
        </is>
      </c>
      <c r="C2659" s="5" t="inlineStr">
        <is>
          <t>CLASS P: PILES</t>
        </is>
      </c>
      <c r="D2659" s="5" t="inlineStr">
        <is>
          <t>05 TIMBER PILES</t>
        </is>
      </c>
      <c r="E2659" s="5" t="inlineStr">
        <is>
          <t>Cross-sectional area: 0.05-0.1 m2; 225 x 225 mm</t>
        </is>
      </c>
      <c r="F2659" s="5" t="inlineStr">
        <is>
          <t>depth driven</t>
        </is>
      </c>
      <c r="G2659" s="6" t="inlineStr">
        <is>
          <t>m</t>
        </is>
      </c>
      <c r="H2659" s="7" t="n"/>
      <c r="I2659" s="8" t="n">
        <v>0</v>
      </c>
      <c r="J2659" s="8" t="n">
        <v>0</v>
      </c>
      <c r="K2659" s="8" t="n">
        <v>0</v>
      </c>
      <c r="L2659" s="8" t="n">
        <v>5.37</v>
      </c>
      <c r="M2659" s="9">
        <f>ROUND(SUM(I2659:L2659),2)</f>
        <v/>
      </c>
      <c r="N2659" s="10">
        <f>ROUND(I2659*'Irish Basis'!$C$6*'Irish Basis'!$C$5,2)</f>
        <v/>
      </c>
      <c r="O2659" s="10">
        <f>ROUND(J2659*'Irish Basis'!$C$7*'Irish Basis'!$C$5,2)</f>
        <v/>
      </c>
      <c r="P2659" s="10">
        <f>ROUND(K2659*'Irish Basis'!$C$8*'Irish Basis'!$C$5,2)</f>
        <v/>
      </c>
      <c r="Q2659" s="10">
        <f>ROUND(L2659*'Irish Basis'!$C$12*'Irish Basis'!$C$5,2)</f>
        <v/>
      </c>
      <c r="R2659" s="11">
        <f>ROUND(SUM(N2659:Q2659),2)</f>
        <v/>
      </c>
      <c r="S2659" s="5" t="inlineStr">
        <is>
          <t>All-in specialist rate</t>
        </is>
      </c>
      <c r="T2659" s="14" t="inlineStr">
        <is>
          <t>All-in (not split)</t>
        </is>
      </c>
      <c r="U2659" s="8" t="n">
        <v>5.37</v>
      </c>
      <c r="V2659" s="13">
        <f>IF(U2659="","",ROUND(M2659-U2659,2))</f>
        <v/>
      </c>
      <c r="W2659" s="5" t="n"/>
      <c r="X2659" s="5" t="inlineStr">
        <is>
          <t>Source publishes a specialist/sub-contract all-in rate; no labour/plant/material build-up exists to derive from.</t>
        </is>
      </c>
    </row>
    <row r="2660" ht="13" customHeight="1">
      <c r="A2660" s="4" t="n">
        <v>3996</v>
      </c>
      <c r="B2660" s="5" t="inlineStr">
        <is>
          <t>IMG_0119</t>
        </is>
      </c>
      <c r="C2660" s="5" t="inlineStr">
        <is>
          <t>CLASS P: PILES</t>
        </is>
      </c>
      <c r="D2660" s="5" t="inlineStr">
        <is>
          <t>05 TIMBER PILES</t>
        </is>
      </c>
      <c r="E2660" s="5" t="inlineStr">
        <is>
          <t>Cross-sectional area: 0.05-0.1 m2; 300 x 300 mm</t>
        </is>
      </c>
      <c r="F2660" s="5" t="inlineStr">
        <is>
          <t>number of piles of 10 m length</t>
        </is>
      </c>
      <c r="G2660" s="6" t="inlineStr">
        <is>
          <t>nr</t>
        </is>
      </c>
      <c r="H2660" s="7" t="n"/>
      <c r="I2660" s="8" t="n">
        <v>0</v>
      </c>
      <c r="J2660" s="8" t="n">
        <v>0</v>
      </c>
      <c r="K2660" s="8" t="n">
        <v>0</v>
      </c>
      <c r="L2660" s="8" t="n">
        <v>1954.13</v>
      </c>
      <c r="M2660" s="9">
        <f>ROUND(SUM(I2660:L2660),2)</f>
        <v/>
      </c>
      <c r="N2660" s="10">
        <f>ROUND(I2660*'Irish Basis'!$C$6*'Irish Basis'!$C$5,2)</f>
        <v/>
      </c>
      <c r="O2660" s="10">
        <f>ROUND(J2660*'Irish Basis'!$C$7*'Irish Basis'!$C$5,2)</f>
        <v/>
      </c>
      <c r="P2660" s="10">
        <f>ROUND(K2660*'Irish Basis'!$C$8*'Irish Basis'!$C$5,2)</f>
        <v/>
      </c>
      <c r="Q2660" s="10">
        <f>ROUND(L2660*'Irish Basis'!$C$12*'Irish Basis'!$C$5,2)</f>
        <v/>
      </c>
      <c r="R2660" s="11">
        <f>ROUND(SUM(N2660:Q2660),2)</f>
        <v/>
      </c>
      <c r="S2660" s="5" t="inlineStr">
        <is>
          <t>All-in specialist rate</t>
        </is>
      </c>
      <c r="T2660" s="14" t="inlineStr">
        <is>
          <t>All-in (not split)</t>
        </is>
      </c>
      <c r="U2660" s="8" t="n">
        <v>1954.13</v>
      </c>
      <c r="V2660" s="13">
        <f>IF(U2660="","",ROUND(M2660-U2660,2))</f>
        <v/>
      </c>
      <c r="W2660" s="5" t="n"/>
      <c r="X2660" s="5" t="inlineStr">
        <is>
          <t>Source publishes a specialist/sub-contract all-in rate; no labour/plant/material build-up exists to derive from.</t>
        </is>
      </c>
    </row>
    <row r="2661" ht="13" customHeight="1">
      <c r="A2661" s="4" t="n">
        <v>3997</v>
      </c>
      <c r="B2661" s="5" t="inlineStr">
        <is>
          <t>IMG_0119</t>
        </is>
      </c>
      <c r="C2661" s="5" t="inlineStr">
        <is>
          <t>CLASS P: PILES</t>
        </is>
      </c>
      <c r="D2661" s="5" t="inlineStr">
        <is>
          <t>05 TIMBER PILES</t>
        </is>
      </c>
      <c r="E2661" s="5" t="inlineStr">
        <is>
          <t>Cross-sectional area: 0.05-0.1 m2; 300 x 300 mm</t>
        </is>
      </c>
      <c r="F2661" s="5" t="inlineStr">
        <is>
          <t>number of piles of 15 m length</t>
        </is>
      </c>
      <c r="G2661" s="6" t="inlineStr">
        <is>
          <t>nr</t>
        </is>
      </c>
      <c r="H2661" s="7" t="n"/>
      <c r="I2661" s="8" t="n">
        <v>0</v>
      </c>
      <c r="J2661" s="8" t="n">
        <v>0</v>
      </c>
      <c r="K2661" s="8" t="n">
        <v>0</v>
      </c>
      <c r="L2661" s="8" t="n">
        <v>2462.93</v>
      </c>
      <c r="M2661" s="9">
        <f>ROUND(SUM(I2661:L2661),2)</f>
        <v/>
      </c>
      <c r="N2661" s="10">
        <f>ROUND(I2661*'Irish Basis'!$C$6*'Irish Basis'!$C$5,2)</f>
        <v/>
      </c>
      <c r="O2661" s="10">
        <f>ROUND(J2661*'Irish Basis'!$C$7*'Irish Basis'!$C$5,2)</f>
        <v/>
      </c>
      <c r="P2661" s="10">
        <f>ROUND(K2661*'Irish Basis'!$C$8*'Irish Basis'!$C$5,2)</f>
        <v/>
      </c>
      <c r="Q2661" s="10">
        <f>ROUND(L2661*'Irish Basis'!$C$12*'Irish Basis'!$C$5,2)</f>
        <v/>
      </c>
      <c r="R2661" s="11">
        <f>ROUND(SUM(N2661:Q2661),2)</f>
        <v/>
      </c>
      <c r="S2661" s="5" t="inlineStr">
        <is>
          <t>All-in specialist rate</t>
        </is>
      </c>
      <c r="T2661" s="14" t="inlineStr">
        <is>
          <t>All-in (not split)</t>
        </is>
      </c>
      <c r="U2661" s="8" t="n">
        <v>2462.93</v>
      </c>
      <c r="V2661" s="13">
        <f>IF(U2661="","",ROUND(M2661-U2661,2))</f>
        <v/>
      </c>
      <c r="W2661" s="5" t="n"/>
      <c r="X2661" s="5" t="inlineStr">
        <is>
          <t>Source publishes a specialist/sub-contract all-in rate; no labour/plant/material build-up exists to derive from.</t>
        </is>
      </c>
    </row>
    <row r="2662" ht="13" customHeight="1">
      <c r="A2662" s="4" t="n">
        <v>3998</v>
      </c>
      <c r="B2662" s="5" t="inlineStr">
        <is>
          <t>IMG_0119</t>
        </is>
      </c>
      <c r="C2662" s="5" t="inlineStr">
        <is>
          <t>CLASS P: PILES</t>
        </is>
      </c>
      <c r="D2662" s="5" t="inlineStr">
        <is>
          <t>05 TIMBER PILES</t>
        </is>
      </c>
      <c r="E2662" s="5" t="inlineStr">
        <is>
          <t>Cross-sectional area: 0.05-0.1 m2; 300 x 300 mm</t>
        </is>
      </c>
      <c r="F2662" s="5" t="inlineStr">
        <is>
          <t>number of piles of 20 m length</t>
        </is>
      </c>
      <c r="G2662" s="6" t="inlineStr">
        <is>
          <t>nr</t>
        </is>
      </c>
      <c r="H2662" s="7" t="n"/>
      <c r="I2662" s="8" t="n">
        <v>0</v>
      </c>
      <c r="J2662" s="8" t="n">
        <v>0</v>
      </c>
      <c r="K2662" s="8" t="n">
        <v>0</v>
      </c>
      <c r="L2662" s="8" t="n">
        <v>3229.93</v>
      </c>
      <c r="M2662" s="9">
        <f>ROUND(SUM(I2662:L2662),2)</f>
        <v/>
      </c>
      <c r="N2662" s="10">
        <f>ROUND(I2662*'Irish Basis'!$C$6*'Irish Basis'!$C$5,2)</f>
        <v/>
      </c>
      <c r="O2662" s="10">
        <f>ROUND(J2662*'Irish Basis'!$C$7*'Irish Basis'!$C$5,2)</f>
        <v/>
      </c>
      <c r="P2662" s="10">
        <f>ROUND(K2662*'Irish Basis'!$C$8*'Irish Basis'!$C$5,2)</f>
        <v/>
      </c>
      <c r="Q2662" s="10">
        <f>ROUND(L2662*'Irish Basis'!$C$12*'Irish Basis'!$C$5,2)</f>
        <v/>
      </c>
      <c r="R2662" s="11">
        <f>ROUND(SUM(N2662:Q2662),2)</f>
        <v/>
      </c>
      <c r="S2662" s="5" t="inlineStr">
        <is>
          <t>All-in specialist rate</t>
        </is>
      </c>
      <c r="T2662" s="14" t="inlineStr">
        <is>
          <t>All-in (not split)</t>
        </is>
      </c>
      <c r="U2662" s="8" t="n">
        <v>3229.93</v>
      </c>
      <c r="V2662" s="13">
        <f>IF(U2662="","",ROUND(M2662-U2662,2))</f>
        <v/>
      </c>
      <c r="W2662" s="5" t="n"/>
      <c r="X2662" s="5" t="inlineStr">
        <is>
          <t>Source publishes a specialist/sub-contract all-in rate; no labour/plant/material build-up exists to derive from.</t>
        </is>
      </c>
    </row>
    <row r="2663" ht="13" customHeight="1">
      <c r="A2663" s="4" t="n">
        <v>3999</v>
      </c>
      <c r="B2663" s="5" t="inlineStr">
        <is>
          <t>IMG_0119</t>
        </is>
      </c>
      <c r="C2663" s="5" t="inlineStr">
        <is>
          <t>CLASS P: PILES</t>
        </is>
      </c>
      <c r="D2663" s="5" t="inlineStr">
        <is>
          <t>05 TIMBER PILES</t>
        </is>
      </c>
      <c r="E2663" s="5" t="inlineStr">
        <is>
          <t>Cross-sectional area: 0.05-0.1 m2; 300 x 300 mm</t>
        </is>
      </c>
      <c r="F2663" s="5" t="inlineStr">
        <is>
          <t>depth driven</t>
        </is>
      </c>
      <c r="G2663" s="6" t="inlineStr">
        <is>
          <t>m</t>
        </is>
      </c>
      <c r="H2663" s="7" t="n"/>
      <c r="I2663" s="8" t="n">
        <v>0</v>
      </c>
      <c r="J2663" s="8" t="n">
        <v>0</v>
      </c>
      <c r="K2663" s="8" t="n">
        <v>0</v>
      </c>
      <c r="L2663" s="8" t="n">
        <v>9.279999999999999</v>
      </c>
      <c r="M2663" s="9">
        <f>ROUND(SUM(I2663:L2663),2)</f>
        <v/>
      </c>
      <c r="N2663" s="10">
        <f>ROUND(I2663*'Irish Basis'!$C$6*'Irish Basis'!$C$5,2)</f>
        <v/>
      </c>
      <c r="O2663" s="10">
        <f>ROUND(J2663*'Irish Basis'!$C$7*'Irish Basis'!$C$5,2)</f>
        <v/>
      </c>
      <c r="P2663" s="10">
        <f>ROUND(K2663*'Irish Basis'!$C$8*'Irish Basis'!$C$5,2)</f>
        <v/>
      </c>
      <c r="Q2663" s="10">
        <f>ROUND(L2663*'Irish Basis'!$C$12*'Irish Basis'!$C$5,2)</f>
        <v/>
      </c>
      <c r="R2663" s="11">
        <f>ROUND(SUM(N2663:Q2663),2)</f>
        <v/>
      </c>
      <c r="S2663" s="5" t="inlineStr">
        <is>
          <t>All-in specialist rate</t>
        </is>
      </c>
      <c r="T2663" s="14" t="inlineStr">
        <is>
          <t>All-in (not split)</t>
        </is>
      </c>
      <c r="U2663" s="8" t="n">
        <v>9.279999999999999</v>
      </c>
      <c r="V2663" s="13">
        <f>IF(U2663="","",ROUND(M2663-U2663,2))</f>
        <v/>
      </c>
      <c r="W2663" s="5" t="n"/>
      <c r="X2663" s="5" t="inlineStr">
        <is>
          <t>Source publishes a specialist/sub-contract all-in rate; no labour/plant/material build-up exists to derive from.</t>
        </is>
      </c>
    </row>
    <row r="2664" ht="13" customHeight="1">
      <c r="A2664" s="4" t="n">
        <v>4001</v>
      </c>
      <c r="B2664" s="5" t="inlineStr">
        <is>
          <t>IMG_0119</t>
        </is>
      </c>
      <c r="C2664" s="5" t="inlineStr">
        <is>
          <t>CLASS P: PILES</t>
        </is>
      </c>
      <c r="D2664" s="5" t="inlineStr">
        <is>
          <t>05 TIMBER PILES</t>
        </is>
      </c>
      <c r="E2664" s="5" t="inlineStr">
        <is>
          <t>Cross-sectional area: 0.1-0.15 m2; 350 x 350 mm</t>
        </is>
      </c>
      <c r="F2664" s="5" t="inlineStr">
        <is>
          <t>number of piles of 10 m length</t>
        </is>
      </c>
      <c r="G2664" s="6" t="inlineStr">
        <is>
          <t>nr</t>
        </is>
      </c>
      <c r="H2664" s="7" t="n"/>
      <c r="I2664" s="8" t="n">
        <v>0</v>
      </c>
      <c r="J2664" s="8" t="n">
        <v>0</v>
      </c>
      <c r="K2664" s="8" t="n">
        <v>0</v>
      </c>
      <c r="L2664" s="8" t="n">
        <v>2714.68</v>
      </c>
      <c r="M2664" s="9">
        <f>ROUND(SUM(I2664:L2664),2)</f>
        <v/>
      </c>
      <c r="N2664" s="10">
        <f>ROUND(I2664*'Irish Basis'!$C$6*'Irish Basis'!$C$5,2)</f>
        <v/>
      </c>
      <c r="O2664" s="10">
        <f>ROUND(J2664*'Irish Basis'!$C$7*'Irish Basis'!$C$5,2)</f>
        <v/>
      </c>
      <c r="P2664" s="10">
        <f>ROUND(K2664*'Irish Basis'!$C$8*'Irish Basis'!$C$5,2)</f>
        <v/>
      </c>
      <c r="Q2664" s="10">
        <f>ROUND(L2664*'Irish Basis'!$C$12*'Irish Basis'!$C$5,2)</f>
        <v/>
      </c>
      <c r="R2664" s="11">
        <f>ROUND(SUM(N2664:Q2664),2)</f>
        <v/>
      </c>
      <c r="S2664" s="5" t="inlineStr">
        <is>
          <t>All-in specialist rate</t>
        </is>
      </c>
      <c r="T2664" s="14" t="inlineStr">
        <is>
          <t>All-in (not split)</t>
        </is>
      </c>
      <c r="U2664" s="8" t="n">
        <v>2714.68</v>
      </c>
      <c r="V2664" s="13">
        <f>IF(U2664="","",ROUND(M2664-U2664,2))</f>
        <v/>
      </c>
      <c r="W2664" s="5" t="n"/>
      <c r="X2664" s="5" t="inlineStr">
        <is>
          <t>Source publishes a specialist/sub-contract all-in rate; no labour/plant/material build-up exists to derive from.</t>
        </is>
      </c>
    </row>
    <row r="2665" ht="13" customHeight="1">
      <c r="A2665" s="4" t="n">
        <v>4002</v>
      </c>
      <c r="B2665" s="5" t="inlineStr">
        <is>
          <t>IMG_0119</t>
        </is>
      </c>
      <c r="C2665" s="5" t="inlineStr">
        <is>
          <t>CLASS P: PILES</t>
        </is>
      </c>
      <c r="D2665" s="5" t="inlineStr">
        <is>
          <t>05 TIMBER PILES</t>
        </is>
      </c>
      <c r="E2665" s="5" t="inlineStr">
        <is>
          <t>Cross-sectional area: 0.1-0.15 m2; 350 x 350 mm</t>
        </is>
      </c>
      <c r="F2665" s="5" t="inlineStr">
        <is>
          <t>number of piles of 15 m length</t>
        </is>
      </c>
      <c r="G2665" s="6" t="inlineStr">
        <is>
          <t>nr</t>
        </is>
      </c>
      <c r="H2665" s="7" t="n"/>
      <c r="I2665" s="8" t="n">
        <v>0</v>
      </c>
      <c r="J2665" s="8" t="n">
        <v>0</v>
      </c>
      <c r="K2665" s="8" t="n">
        <v>0</v>
      </c>
      <c r="L2665" s="8" t="n">
        <v>2876.78</v>
      </c>
      <c r="M2665" s="9">
        <f>ROUND(SUM(I2665:L2665),2)</f>
        <v/>
      </c>
      <c r="N2665" s="10">
        <f>ROUND(I2665*'Irish Basis'!$C$6*'Irish Basis'!$C$5,2)</f>
        <v/>
      </c>
      <c r="O2665" s="10">
        <f>ROUND(J2665*'Irish Basis'!$C$7*'Irish Basis'!$C$5,2)</f>
        <v/>
      </c>
      <c r="P2665" s="10">
        <f>ROUND(K2665*'Irish Basis'!$C$8*'Irish Basis'!$C$5,2)</f>
        <v/>
      </c>
      <c r="Q2665" s="10">
        <f>ROUND(L2665*'Irish Basis'!$C$12*'Irish Basis'!$C$5,2)</f>
        <v/>
      </c>
      <c r="R2665" s="11">
        <f>ROUND(SUM(N2665:Q2665),2)</f>
        <v/>
      </c>
      <c r="S2665" s="5" t="inlineStr">
        <is>
          <t>All-in specialist rate</t>
        </is>
      </c>
      <c r="T2665" s="14" t="inlineStr">
        <is>
          <t>All-in (not split)</t>
        </is>
      </c>
      <c r="U2665" s="8" t="n">
        <v>2876.78</v>
      </c>
      <c r="V2665" s="13">
        <f>IF(U2665="","",ROUND(M2665-U2665,2))</f>
        <v/>
      </c>
      <c r="W2665" s="5" t="n"/>
      <c r="X2665" s="5" t="inlineStr">
        <is>
          <t>Source publishes a specialist/sub-contract all-in rate; no labour/plant/material build-up exists to derive from.</t>
        </is>
      </c>
    </row>
    <row r="2666" ht="13" customHeight="1">
      <c r="A2666" s="4" t="n">
        <v>4003</v>
      </c>
      <c r="B2666" s="5" t="inlineStr">
        <is>
          <t>IMG_0119</t>
        </is>
      </c>
      <c r="C2666" s="5" t="inlineStr">
        <is>
          <t>CLASS P: PILES</t>
        </is>
      </c>
      <c r="D2666" s="5" t="inlineStr">
        <is>
          <t>05 TIMBER PILES</t>
        </is>
      </c>
      <c r="E2666" s="5" t="inlineStr">
        <is>
          <t>Cross-sectional area: 0.1-0.15 m2; 350 x 350 mm</t>
        </is>
      </c>
      <c r="F2666" s="5" t="inlineStr">
        <is>
          <t>number of piles of 20 m length</t>
        </is>
      </c>
      <c r="G2666" s="6" t="inlineStr">
        <is>
          <t>nr</t>
        </is>
      </c>
      <c r="H2666" s="7" t="n"/>
      <c r="I2666" s="8" t="n">
        <v>0</v>
      </c>
      <c r="J2666" s="8" t="n">
        <v>0</v>
      </c>
      <c r="K2666" s="8" t="n">
        <v>0</v>
      </c>
      <c r="L2666" s="8" t="n">
        <v>3167.97</v>
      </c>
      <c r="M2666" s="9">
        <f>ROUND(SUM(I2666:L2666),2)</f>
        <v/>
      </c>
      <c r="N2666" s="10">
        <f>ROUND(I2666*'Irish Basis'!$C$6*'Irish Basis'!$C$5,2)</f>
        <v/>
      </c>
      <c r="O2666" s="10">
        <f>ROUND(J2666*'Irish Basis'!$C$7*'Irish Basis'!$C$5,2)</f>
        <v/>
      </c>
      <c r="P2666" s="10">
        <f>ROUND(K2666*'Irish Basis'!$C$8*'Irish Basis'!$C$5,2)</f>
        <v/>
      </c>
      <c r="Q2666" s="10">
        <f>ROUND(L2666*'Irish Basis'!$C$12*'Irish Basis'!$C$5,2)</f>
        <v/>
      </c>
      <c r="R2666" s="11">
        <f>ROUND(SUM(N2666:Q2666),2)</f>
        <v/>
      </c>
      <c r="S2666" s="5" t="inlineStr">
        <is>
          <t>All-in specialist rate</t>
        </is>
      </c>
      <c r="T2666" s="14" t="inlineStr">
        <is>
          <t>All-in (not split)</t>
        </is>
      </c>
      <c r="U2666" s="8" t="n">
        <v>3167.97</v>
      </c>
      <c r="V2666" s="13">
        <f>IF(U2666="","",ROUND(M2666-U2666,2))</f>
        <v/>
      </c>
      <c r="W2666" s="5" t="n"/>
      <c r="X2666" s="5" t="inlineStr">
        <is>
          <t>Source publishes a specialist/sub-contract all-in rate; no labour/plant/material build-up exists to derive from.</t>
        </is>
      </c>
    </row>
    <row r="2667" ht="13" customHeight="1">
      <c r="A2667" s="4" t="n">
        <v>4004</v>
      </c>
      <c r="B2667" s="5" t="inlineStr">
        <is>
          <t>IMG_0119</t>
        </is>
      </c>
      <c r="C2667" s="5" t="inlineStr">
        <is>
          <t>CLASS P: PILES</t>
        </is>
      </c>
      <c r="D2667" s="5" t="inlineStr">
        <is>
          <t>05 TIMBER PILES</t>
        </is>
      </c>
      <c r="E2667" s="5" t="inlineStr">
        <is>
          <t>Cross-sectional area: 0.1-0.15 m2; 350 x 350 mm</t>
        </is>
      </c>
      <c r="F2667" s="5" t="inlineStr">
        <is>
          <t>depth driven</t>
        </is>
      </c>
      <c r="G2667" s="6" t="inlineStr">
        <is>
          <t>m</t>
        </is>
      </c>
      <c r="H2667" s="7" t="n"/>
      <c r="I2667" s="8" t="n">
        <v>0</v>
      </c>
      <c r="J2667" s="8" t="n">
        <v>0</v>
      </c>
      <c r="K2667" s="8" t="n">
        <v>0</v>
      </c>
      <c r="L2667" s="8" t="n">
        <v>7.41</v>
      </c>
      <c r="M2667" s="9">
        <f>ROUND(SUM(I2667:L2667),2)</f>
        <v/>
      </c>
      <c r="N2667" s="10">
        <f>ROUND(I2667*'Irish Basis'!$C$6*'Irish Basis'!$C$5,2)</f>
        <v/>
      </c>
      <c r="O2667" s="10">
        <f>ROUND(J2667*'Irish Basis'!$C$7*'Irish Basis'!$C$5,2)</f>
        <v/>
      </c>
      <c r="P2667" s="10">
        <f>ROUND(K2667*'Irish Basis'!$C$8*'Irish Basis'!$C$5,2)</f>
        <v/>
      </c>
      <c r="Q2667" s="10">
        <f>ROUND(L2667*'Irish Basis'!$C$12*'Irish Basis'!$C$5,2)</f>
        <v/>
      </c>
      <c r="R2667" s="11">
        <f>ROUND(SUM(N2667:Q2667),2)</f>
        <v/>
      </c>
      <c r="S2667" s="5" t="inlineStr">
        <is>
          <t>All-in specialist rate</t>
        </is>
      </c>
      <c r="T2667" s="14" t="inlineStr">
        <is>
          <t>All-in (not split)</t>
        </is>
      </c>
      <c r="U2667" s="8" t="n">
        <v>7.41</v>
      </c>
      <c r="V2667" s="13">
        <f>IF(U2667="","",ROUND(M2667-U2667,2))</f>
        <v/>
      </c>
      <c r="W2667" s="5" t="n"/>
      <c r="X2667" s="5" t="inlineStr">
        <is>
          <t>Source publishes a specialist/sub-contract all-in rate; no labour/plant/material build-up exists to derive from.</t>
        </is>
      </c>
    </row>
    <row r="2668" ht="13" customHeight="1">
      <c r="A2668" s="4" t="n">
        <v>4006</v>
      </c>
      <c r="B2668" s="5" t="inlineStr">
        <is>
          <t>IMG_0119</t>
        </is>
      </c>
      <c r="C2668" s="5" t="inlineStr">
        <is>
          <t>CLASS P: PILES</t>
        </is>
      </c>
      <c r="D2668" s="5" t="inlineStr">
        <is>
          <t>05 TIMBER PILES</t>
        </is>
      </c>
      <c r="E2668" s="5" t="inlineStr">
        <is>
          <t>Cross-sectional area: 0.15-0.25 m2; 450 x 450 mm</t>
        </is>
      </c>
      <c r="F2668" s="5" t="inlineStr">
        <is>
          <t>number of piles of 10 m length</t>
        </is>
      </c>
      <c r="G2668" s="6" t="inlineStr">
        <is>
          <t>nr</t>
        </is>
      </c>
      <c r="H2668" s="7" t="n"/>
      <c r="I2668" s="8" t="n">
        <v>0</v>
      </c>
      <c r="J2668" s="8" t="n">
        <v>0</v>
      </c>
      <c r="K2668" s="8" t="n">
        <v>0</v>
      </c>
      <c r="L2668" s="8" t="n">
        <v>3268.84</v>
      </c>
      <c r="M2668" s="9">
        <f>ROUND(SUM(I2668:L2668),2)</f>
        <v/>
      </c>
      <c r="N2668" s="10">
        <f>ROUND(I2668*'Irish Basis'!$C$6*'Irish Basis'!$C$5,2)</f>
        <v/>
      </c>
      <c r="O2668" s="10">
        <f>ROUND(J2668*'Irish Basis'!$C$7*'Irish Basis'!$C$5,2)</f>
        <v/>
      </c>
      <c r="P2668" s="10">
        <f>ROUND(K2668*'Irish Basis'!$C$8*'Irish Basis'!$C$5,2)</f>
        <v/>
      </c>
      <c r="Q2668" s="10">
        <f>ROUND(L2668*'Irish Basis'!$C$12*'Irish Basis'!$C$5,2)</f>
        <v/>
      </c>
      <c r="R2668" s="11">
        <f>ROUND(SUM(N2668:Q2668),2)</f>
        <v/>
      </c>
      <c r="S2668" s="5" t="inlineStr">
        <is>
          <t>All-in specialist rate</t>
        </is>
      </c>
      <c r="T2668" s="14" t="inlineStr">
        <is>
          <t>All-in (not split)</t>
        </is>
      </c>
      <c r="U2668" s="8" t="n">
        <v>3268.84</v>
      </c>
      <c r="V2668" s="13">
        <f>IF(U2668="","",ROUND(M2668-U2668,2))</f>
        <v/>
      </c>
      <c r="W2668" s="5" t="n"/>
      <c r="X2668" s="5" t="inlineStr">
        <is>
          <t>Source publishes a specialist/sub-contract all-in rate; no labour/plant/material build-up exists to derive from.</t>
        </is>
      </c>
    </row>
    <row r="2669" ht="13" customHeight="1">
      <c r="A2669" s="4" t="n">
        <v>4007</v>
      </c>
      <c r="B2669" s="5" t="inlineStr">
        <is>
          <t>IMG_0119</t>
        </is>
      </c>
      <c r="C2669" s="5" t="inlineStr">
        <is>
          <t>CLASS P: PILES</t>
        </is>
      </c>
      <c r="D2669" s="5" t="inlineStr">
        <is>
          <t>05 TIMBER PILES</t>
        </is>
      </c>
      <c r="E2669" s="5" t="inlineStr">
        <is>
          <t>Cross-sectional area: 0.15-0.25 m2; 450 x 450 mm</t>
        </is>
      </c>
      <c r="F2669" s="5" t="inlineStr">
        <is>
          <t>number of piles of 15 m length</t>
        </is>
      </c>
      <c r="G2669" s="6" t="inlineStr">
        <is>
          <t>nr</t>
        </is>
      </c>
      <c r="H2669" s="7" t="n"/>
      <c r="I2669" s="8" t="n">
        <v>0</v>
      </c>
      <c r="J2669" s="8" t="n">
        <v>0</v>
      </c>
      <c r="K2669" s="8" t="n">
        <v>0</v>
      </c>
      <c r="L2669" s="8" t="n">
        <v>4413.79</v>
      </c>
      <c r="M2669" s="9">
        <f>ROUND(SUM(I2669:L2669),2)</f>
        <v/>
      </c>
      <c r="N2669" s="10">
        <f>ROUND(I2669*'Irish Basis'!$C$6*'Irish Basis'!$C$5,2)</f>
        <v/>
      </c>
      <c r="O2669" s="10">
        <f>ROUND(J2669*'Irish Basis'!$C$7*'Irish Basis'!$C$5,2)</f>
        <v/>
      </c>
      <c r="P2669" s="10">
        <f>ROUND(K2669*'Irish Basis'!$C$8*'Irish Basis'!$C$5,2)</f>
        <v/>
      </c>
      <c r="Q2669" s="10">
        <f>ROUND(L2669*'Irish Basis'!$C$12*'Irish Basis'!$C$5,2)</f>
        <v/>
      </c>
      <c r="R2669" s="11">
        <f>ROUND(SUM(N2669:Q2669),2)</f>
        <v/>
      </c>
      <c r="S2669" s="5" t="inlineStr">
        <is>
          <t>All-in specialist rate</t>
        </is>
      </c>
      <c r="T2669" s="14" t="inlineStr">
        <is>
          <t>All-in (not split)</t>
        </is>
      </c>
      <c r="U2669" s="8" t="n">
        <v>4413.79</v>
      </c>
      <c r="V2669" s="13">
        <f>IF(U2669="","",ROUND(M2669-U2669,2))</f>
        <v/>
      </c>
      <c r="W2669" s="5" t="n"/>
      <c r="X2669" s="5" t="inlineStr">
        <is>
          <t>Source publishes a specialist/sub-contract all-in rate; no labour/plant/material build-up exists to derive from.</t>
        </is>
      </c>
    </row>
    <row r="2670" ht="13" customHeight="1">
      <c r="A2670" s="4" t="n">
        <v>4009</v>
      </c>
      <c r="B2670" s="5" t="inlineStr">
        <is>
          <t>IMG_0120</t>
        </is>
      </c>
      <c r="C2670" s="5" t="inlineStr">
        <is>
          <t>CLASS P: PILES</t>
        </is>
      </c>
      <c r="D2670" s="5" t="inlineStr">
        <is>
          <t>05 TIMBER PILES</t>
        </is>
      </c>
      <c r="E2670" s="5" t="inlineStr">
        <is>
          <t>Greenheart; Cross-sectional area: 0.15-0.25 m2; 450 x 450 mm (continued)</t>
        </is>
      </c>
      <c r="F2670" s="5" t="inlineStr">
        <is>
          <t>number of piles of 20 m length</t>
        </is>
      </c>
      <c r="G2670" s="6" t="inlineStr">
        <is>
          <t>nr</t>
        </is>
      </c>
      <c r="H2670" s="7" t="n"/>
      <c r="I2670" s="8" t="n">
        <v>0</v>
      </c>
      <c r="J2670" s="8" t="n">
        <v>0</v>
      </c>
      <c r="K2670" s="8" t="n">
        <v>0</v>
      </c>
      <c r="L2670" s="8" t="n">
        <v>5558.74</v>
      </c>
      <c r="M2670" s="9">
        <f>ROUND(SUM(I2670:L2670),2)</f>
        <v/>
      </c>
      <c r="N2670" s="10">
        <f>ROUND(I2670*'Irish Basis'!$C$6*'Irish Basis'!$C$5,2)</f>
        <v/>
      </c>
      <c r="O2670" s="10">
        <f>ROUND(J2670*'Irish Basis'!$C$7*'Irish Basis'!$C$5,2)</f>
        <v/>
      </c>
      <c r="P2670" s="10">
        <f>ROUND(K2670*'Irish Basis'!$C$8*'Irish Basis'!$C$5,2)</f>
        <v/>
      </c>
      <c r="Q2670" s="10">
        <f>ROUND(L2670*'Irish Basis'!$C$12*'Irish Basis'!$C$5,2)</f>
        <v/>
      </c>
      <c r="R2670" s="11">
        <f>ROUND(SUM(N2670:Q2670),2)</f>
        <v/>
      </c>
      <c r="S2670" s="5" t="inlineStr">
        <is>
          <t>All-in specialist rate</t>
        </is>
      </c>
      <c r="T2670" s="14" t="inlineStr">
        <is>
          <t>All-in (not split)</t>
        </is>
      </c>
      <c r="U2670" s="8" t="n">
        <v>5558.74</v>
      </c>
      <c r="V2670" s="13">
        <f>IF(U2670="","",ROUND(M2670-U2670,2))</f>
        <v/>
      </c>
      <c r="W2670" s="5" t="n"/>
      <c r="X2670" s="5" t="inlineStr">
        <is>
          <t>Source publishes a specialist/sub-contract all-in rate; no labour/plant/material build-up exists to derive from.</t>
        </is>
      </c>
    </row>
    <row r="2671" ht="13" customHeight="1">
      <c r="A2671" s="4" t="n">
        <v>4010</v>
      </c>
      <c r="B2671" s="5" t="inlineStr">
        <is>
          <t>IMG_0120</t>
        </is>
      </c>
      <c r="C2671" s="5" t="inlineStr">
        <is>
          <t>CLASS P: PILES</t>
        </is>
      </c>
      <c r="D2671" s="5" t="inlineStr">
        <is>
          <t>05 TIMBER PILES</t>
        </is>
      </c>
      <c r="E2671" s="5" t="inlineStr">
        <is>
          <t>Greenheart; Cross-sectional area: 0.15-0.25 m2; 450 x 450 mm (continued)</t>
        </is>
      </c>
      <c r="F2671" s="5" t="inlineStr">
        <is>
          <t>number of piles of 25 m length</t>
        </is>
      </c>
      <c r="G2671" s="6" t="inlineStr">
        <is>
          <t>nr</t>
        </is>
      </c>
      <c r="H2671" s="7" t="n"/>
      <c r="I2671" s="8" t="n">
        <v>0</v>
      </c>
      <c r="J2671" s="8" t="n">
        <v>0</v>
      </c>
      <c r="K2671" s="8" t="n">
        <v>0</v>
      </c>
      <c r="L2671" s="8" t="n">
        <v>6703.7</v>
      </c>
      <c r="M2671" s="9">
        <f>ROUND(SUM(I2671:L2671),2)</f>
        <v/>
      </c>
      <c r="N2671" s="10">
        <f>ROUND(I2671*'Irish Basis'!$C$6*'Irish Basis'!$C$5,2)</f>
        <v/>
      </c>
      <c r="O2671" s="10">
        <f>ROUND(J2671*'Irish Basis'!$C$7*'Irish Basis'!$C$5,2)</f>
        <v/>
      </c>
      <c r="P2671" s="10">
        <f>ROUND(K2671*'Irish Basis'!$C$8*'Irish Basis'!$C$5,2)</f>
        <v/>
      </c>
      <c r="Q2671" s="10">
        <f>ROUND(L2671*'Irish Basis'!$C$12*'Irish Basis'!$C$5,2)</f>
        <v/>
      </c>
      <c r="R2671" s="11">
        <f>ROUND(SUM(N2671:Q2671),2)</f>
        <v/>
      </c>
      <c r="S2671" s="5" t="inlineStr">
        <is>
          <t>All-in specialist rate</t>
        </is>
      </c>
      <c r="T2671" s="14" t="inlineStr">
        <is>
          <t>All-in (not split)</t>
        </is>
      </c>
      <c r="U2671" s="8" t="n">
        <v>6703.7</v>
      </c>
      <c r="V2671" s="13">
        <f>IF(U2671="","",ROUND(M2671-U2671,2))</f>
        <v/>
      </c>
      <c r="W2671" s="5" t="n"/>
      <c r="X2671" s="5" t="inlineStr">
        <is>
          <t>Source publishes a specialist/sub-contract all-in rate; no labour/plant/material build-up exists to derive from.</t>
        </is>
      </c>
    </row>
    <row r="2672" ht="13" customHeight="1">
      <c r="A2672" s="4" t="n">
        <v>4011</v>
      </c>
      <c r="B2672" s="5" t="inlineStr">
        <is>
          <t>IMG_0120</t>
        </is>
      </c>
      <c r="C2672" s="5" t="inlineStr">
        <is>
          <t>CLASS P: PILES</t>
        </is>
      </c>
      <c r="D2672" s="5" t="inlineStr">
        <is>
          <t>05 TIMBER PILES</t>
        </is>
      </c>
      <c r="E2672" s="5" t="inlineStr">
        <is>
          <t>Greenheart; Cross-sectional area: 0.15-0.25 m2; 450 x 450 mm (continued)</t>
        </is>
      </c>
      <c r="F2672" s="5" t="inlineStr">
        <is>
          <t>depth driven</t>
        </is>
      </c>
      <c r="G2672" s="6" t="inlineStr">
        <is>
          <t>m</t>
        </is>
      </c>
      <c r="H2672" s="7" t="n"/>
      <c r="I2672" s="8" t="n">
        <v>0</v>
      </c>
      <c r="J2672" s="8" t="n">
        <v>0</v>
      </c>
      <c r="K2672" s="8" t="n">
        <v>0</v>
      </c>
      <c r="L2672" s="8" t="n">
        <v>9.050000000000001</v>
      </c>
      <c r="M2672" s="9">
        <f>ROUND(SUM(I2672:L2672),2)</f>
        <v/>
      </c>
      <c r="N2672" s="10">
        <f>ROUND(I2672*'Irish Basis'!$C$6*'Irish Basis'!$C$5,2)</f>
        <v/>
      </c>
      <c r="O2672" s="10">
        <f>ROUND(J2672*'Irish Basis'!$C$7*'Irish Basis'!$C$5,2)</f>
        <v/>
      </c>
      <c r="P2672" s="10">
        <f>ROUND(K2672*'Irish Basis'!$C$8*'Irish Basis'!$C$5,2)</f>
        <v/>
      </c>
      <c r="Q2672" s="10">
        <f>ROUND(L2672*'Irish Basis'!$C$12*'Irish Basis'!$C$5,2)</f>
        <v/>
      </c>
      <c r="R2672" s="11">
        <f>ROUND(SUM(N2672:Q2672),2)</f>
        <v/>
      </c>
      <c r="S2672" s="5" t="inlineStr">
        <is>
          <t>All-in specialist rate</t>
        </is>
      </c>
      <c r="T2672" s="14" t="inlineStr">
        <is>
          <t>All-in (not split)</t>
        </is>
      </c>
      <c r="U2672" s="8" t="n">
        <v>9.050000000000001</v>
      </c>
      <c r="V2672" s="13">
        <f>IF(U2672="","",ROUND(M2672-U2672,2))</f>
        <v/>
      </c>
      <c r="W2672" s="5" t="n"/>
      <c r="X2672" s="5" t="inlineStr">
        <is>
          <t>Source publishes a specialist/sub-contract all-in rate; no labour/plant/material build-up exists to derive from.</t>
        </is>
      </c>
    </row>
    <row r="2673" ht="13" customHeight="1">
      <c r="A2673" s="4" t="n">
        <v>4018</v>
      </c>
      <c r="B2673" s="5" t="inlineStr">
        <is>
          <t>IMG_0120</t>
        </is>
      </c>
      <c r="C2673" s="5" t="inlineStr">
        <is>
          <t>CLASS P: PILES</t>
        </is>
      </c>
      <c r="D2673" s="5" t="inlineStr">
        <is>
          <t>06 ISOLATED STEEL PILES</t>
        </is>
      </c>
      <c r="E2673" s="5" t="inlineStr">
        <is>
          <t>Mass 45 kg/m; 203 x 203 mm</t>
        </is>
      </c>
      <c r="F2673" s="5" t="inlineStr">
        <is>
          <t>number of piles: length 10 m</t>
        </is>
      </c>
      <c r="G2673" s="6" t="inlineStr">
        <is>
          <t>nr</t>
        </is>
      </c>
      <c r="H2673" s="7" t="n"/>
      <c r="I2673" s="8" t="n">
        <v>0</v>
      </c>
      <c r="J2673" s="8" t="n">
        <v>862.55</v>
      </c>
      <c r="K2673" s="8" t="n">
        <v>0</v>
      </c>
      <c r="L2673" s="8" t="n">
        <v>8635.73</v>
      </c>
      <c r="M2673" s="9">
        <f>ROUND(SUM(I2673:L2673),2)</f>
        <v/>
      </c>
      <c r="N2673" s="10">
        <f>ROUND(I2673*'Irish Basis'!$C$6*'Irish Basis'!$C$5,2)</f>
        <v/>
      </c>
      <c r="O2673" s="10">
        <f>ROUND(J2673*'Irish Basis'!$C$7*'Irish Basis'!$C$5,2)</f>
        <v/>
      </c>
      <c r="P2673" s="10">
        <f>ROUND(K2673*'Irish Basis'!$C$8*'Irish Basis'!$C$5,2)</f>
        <v/>
      </c>
      <c r="Q2673" s="10">
        <f>ROUND(L2673*'Irish Basis'!$C$12*'Irish Basis'!$C$5,2)</f>
        <v/>
      </c>
      <c r="R2673" s="11">
        <f>ROUND(SUM(N2673:Q2673),2)</f>
        <v/>
      </c>
      <c r="S2673" s="5" t="inlineStr">
        <is>
          <t>Stated components + specialist balance</t>
        </is>
      </c>
      <c r="T2673" s="16" t="inlineStr">
        <is>
          <t>Medium</t>
        </is>
      </c>
      <c r="U2673" s="8" t="n">
        <v>9498.280000000001</v>
      </c>
      <c r="V2673" s="13">
        <f>IF(U2673="","",ROUND(M2673-U2673,2))</f>
        <v/>
      </c>
      <c r="W2673" s="15" t="inlineStr">
        <is>
          <t>Large unexplained balance</t>
        </is>
      </c>
      <c r="X2673" s="5" t="inlineStr">
        <is>
          <t>Published plant/labour retained; the £8,635.73 balance of the specialist all-in rate is not broken down in the source.</t>
        </is>
      </c>
    </row>
    <row r="2674" ht="13" customHeight="1">
      <c r="A2674" s="4" t="n">
        <v>4019</v>
      </c>
      <c r="B2674" s="5" t="inlineStr">
        <is>
          <t>IMG_0120</t>
        </is>
      </c>
      <c r="C2674" s="5" t="inlineStr">
        <is>
          <t>CLASS P: PILES</t>
        </is>
      </c>
      <c r="D2674" s="5" t="inlineStr">
        <is>
          <t>06 ISOLATED STEEL PILES</t>
        </is>
      </c>
      <c r="E2674" s="5" t="inlineStr">
        <is>
          <t>Mass 45 kg/m; 203 x 203 mm</t>
        </is>
      </c>
      <c r="F2674" s="5" t="inlineStr">
        <is>
          <t>number of piles: length 15 m</t>
        </is>
      </c>
      <c r="G2674" s="6" t="inlineStr">
        <is>
          <t>nr</t>
        </is>
      </c>
      <c r="H2674" s="7" t="n"/>
      <c r="I2674" s="8" t="n">
        <v>0</v>
      </c>
      <c r="J2674" s="8" t="n">
        <v>1379.81</v>
      </c>
      <c r="K2674" s="8" t="n">
        <v>0</v>
      </c>
      <c r="L2674" s="8" t="n">
        <v>8635.74</v>
      </c>
      <c r="M2674" s="9">
        <f>ROUND(SUM(I2674:L2674),2)</f>
        <v/>
      </c>
      <c r="N2674" s="10">
        <f>ROUND(I2674*'Irish Basis'!$C$6*'Irish Basis'!$C$5,2)</f>
        <v/>
      </c>
      <c r="O2674" s="10">
        <f>ROUND(J2674*'Irish Basis'!$C$7*'Irish Basis'!$C$5,2)</f>
        <v/>
      </c>
      <c r="P2674" s="10">
        <f>ROUND(K2674*'Irish Basis'!$C$8*'Irish Basis'!$C$5,2)</f>
        <v/>
      </c>
      <c r="Q2674" s="10">
        <f>ROUND(L2674*'Irish Basis'!$C$12*'Irish Basis'!$C$5,2)</f>
        <v/>
      </c>
      <c r="R2674" s="11">
        <f>ROUND(SUM(N2674:Q2674),2)</f>
        <v/>
      </c>
      <c r="S2674" s="5" t="inlineStr">
        <is>
          <t>Stated components + specialist balance</t>
        </is>
      </c>
      <c r="T2674" s="16" t="inlineStr">
        <is>
          <t>Medium</t>
        </is>
      </c>
      <c r="U2674" s="8" t="n">
        <v>10015.55</v>
      </c>
      <c r="V2674" s="13">
        <f>IF(U2674="","",ROUND(M2674-U2674,2))</f>
        <v/>
      </c>
      <c r="W2674" s="15" t="inlineStr">
        <is>
          <t>Large unexplained balance</t>
        </is>
      </c>
      <c r="X2674" s="5" t="inlineStr">
        <is>
          <t>Published plant/labour retained; the £8,635.74 balance of the specialist all-in rate is not broken down in the source.</t>
        </is>
      </c>
    </row>
    <row r="2675" ht="13" customHeight="1">
      <c r="A2675" s="4" t="n">
        <v>4020</v>
      </c>
      <c r="B2675" s="5" t="inlineStr">
        <is>
          <t>IMG_0120</t>
        </is>
      </c>
      <c r="C2675" s="5" t="inlineStr">
        <is>
          <t>CLASS P: PILES</t>
        </is>
      </c>
      <c r="D2675" s="5" t="inlineStr">
        <is>
          <t>06 ISOLATED STEEL PILES</t>
        </is>
      </c>
      <c r="E2675" s="5" t="inlineStr">
        <is>
          <t>Mass 45 kg/m; 203 x 203 mm</t>
        </is>
      </c>
      <c r="F2675" s="5" t="inlineStr">
        <is>
          <t>number of piles: length 20 m</t>
        </is>
      </c>
      <c r="G2675" s="6" t="inlineStr">
        <is>
          <t>nr</t>
        </is>
      </c>
      <c r="H2675" s="7" t="n"/>
      <c r="I2675" s="8" t="n">
        <v>0</v>
      </c>
      <c r="J2675" s="8" t="n">
        <v>1839.75</v>
      </c>
      <c r="K2675" s="8" t="n">
        <v>0</v>
      </c>
      <c r="L2675" s="8" t="n">
        <v>8635.73</v>
      </c>
      <c r="M2675" s="9">
        <f>ROUND(SUM(I2675:L2675),2)</f>
        <v/>
      </c>
      <c r="N2675" s="10">
        <f>ROUND(I2675*'Irish Basis'!$C$6*'Irish Basis'!$C$5,2)</f>
        <v/>
      </c>
      <c r="O2675" s="10">
        <f>ROUND(J2675*'Irish Basis'!$C$7*'Irish Basis'!$C$5,2)</f>
        <v/>
      </c>
      <c r="P2675" s="10">
        <f>ROUND(K2675*'Irish Basis'!$C$8*'Irish Basis'!$C$5,2)</f>
        <v/>
      </c>
      <c r="Q2675" s="10">
        <f>ROUND(L2675*'Irish Basis'!$C$12*'Irish Basis'!$C$5,2)</f>
        <v/>
      </c>
      <c r="R2675" s="11">
        <f>ROUND(SUM(N2675:Q2675),2)</f>
        <v/>
      </c>
      <c r="S2675" s="5" t="inlineStr">
        <is>
          <t>Stated components + specialist balance</t>
        </is>
      </c>
      <c r="T2675" s="16" t="inlineStr">
        <is>
          <t>Medium</t>
        </is>
      </c>
      <c r="U2675" s="8" t="n">
        <v>10475.48</v>
      </c>
      <c r="V2675" s="13">
        <f>IF(U2675="","",ROUND(M2675-U2675,2))</f>
        <v/>
      </c>
      <c r="W2675" s="15" t="inlineStr">
        <is>
          <t>Large unexplained balance</t>
        </is>
      </c>
      <c r="X2675" s="5" t="inlineStr">
        <is>
          <t>Published plant/labour retained; the £8,635.73 balance of the specialist all-in rate is not broken down in the source.</t>
        </is>
      </c>
    </row>
    <row r="2676" ht="13" customHeight="1">
      <c r="A2676" s="4" t="n">
        <v>4021</v>
      </c>
      <c r="B2676" s="5" t="inlineStr">
        <is>
          <t>IMG_0120</t>
        </is>
      </c>
      <c r="C2676" s="5" t="inlineStr">
        <is>
          <t>CLASS P: PILES</t>
        </is>
      </c>
      <c r="D2676" s="5" t="inlineStr">
        <is>
          <t>06 ISOLATED STEEL PILES</t>
        </is>
      </c>
      <c r="E2676" s="5" t="inlineStr">
        <is>
          <t>Mass 45 kg/m; 203 x 203 mm</t>
        </is>
      </c>
      <c r="F2676" s="5" t="inlineStr">
        <is>
          <t>depth driven; vertical</t>
        </is>
      </c>
      <c r="G2676" s="6" t="inlineStr">
        <is>
          <t>m</t>
        </is>
      </c>
      <c r="H2676" s="7" t="n"/>
      <c r="I2676" s="8" t="n">
        <v>0</v>
      </c>
      <c r="J2676" s="8" t="n">
        <v>0</v>
      </c>
      <c r="K2676" s="8" t="n">
        <v>0</v>
      </c>
      <c r="L2676" s="8" t="n">
        <v>6.23</v>
      </c>
      <c r="M2676" s="9">
        <f>ROUND(SUM(I2676:L2676),2)</f>
        <v/>
      </c>
      <c r="N2676" s="10">
        <f>ROUND(I2676*'Irish Basis'!$C$6*'Irish Basis'!$C$5,2)</f>
        <v/>
      </c>
      <c r="O2676" s="10">
        <f>ROUND(J2676*'Irish Basis'!$C$7*'Irish Basis'!$C$5,2)</f>
        <v/>
      </c>
      <c r="P2676" s="10">
        <f>ROUND(K2676*'Irish Basis'!$C$8*'Irish Basis'!$C$5,2)</f>
        <v/>
      </c>
      <c r="Q2676" s="10">
        <f>ROUND(L2676*'Irish Basis'!$C$12*'Irish Basis'!$C$5,2)</f>
        <v/>
      </c>
      <c r="R2676" s="11">
        <f>ROUND(SUM(N2676:Q2676),2)</f>
        <v/>
      </c>
      <c r="S2676" s="5" t="inlineStr">
        <is>
          <t>All-in specialist rate</t>
        </is>
      </c>
      <c r="T2676" s="14" t="inlineStr">
        <is>
          <t>All-in (not split)</t>
        </is>
      </c>
      <c r="U2676" s="8" t="n">
        <v>6.23</v>
      </c>
      <c r="V2676" s="13">
        <f>IF(U2676="","",ROUND(M2676-U2676,2))</f>
        <v/>
      </c>
      <c r="W2676" s="5" t="n"/>
      <c r="X2676" s="5" t="inlineStr">
        <is>
          <t>Source publishes a specialist/sub-contract all-in rate; no labour/plant/material build-up exists to derive from.</t>
        </is>
      </c>
    </row>
    <row r="2677" ht="13" customHeight="1">
      <c r="A2677" s="4" t="n">
        <v>4022</v>
      </c>
      <c r="B2677" s="5" t="inlineStr">
        <is>
          <t>IMG_0120</t>
        </is>
      </c>
      <c r="C2677" s="5" t="inlineStr">
        <is>
          <t>CLASS P: PILES</t>
        </is>
      </c>
      <c r="D2677" s="5" t="inlineStr">
        <is>
          <t>06 ISOLATED STEEL PILES</t>
        </is>
      </c>
      <c r="E2677" s="5" t="inlineStr">
        <is>
          <t>Mass 45 kg/m; 203 x 203 mm</t>
        </is>
      </c>
      <c r="F2677" s="5" t="inlineStr">
        <is>
          <t>depth driven; raking</t>
        </is>
      </c>
      <c r="G2677" s="6" t="inlineStr">
        <is>
          <t>m</t>
        </is>
      </c>
      <c r="H2677" s="7" t="n"/>
      <c r="I2677" s="8" t="n">
        <v>0</v>
      </c>
      <c r="J2677" s="8" t="n">
        <v>0</v>
      </c>
      <c r="K2677" s="8" t="n">
        <v>0</v>
      </c>
      <c r="L2677" s="8" t="n">
        <v>10.25</v>
      </c>
      <c r="M2677" s="9">
        <f>ROUND(SUM(I2677:L2677),2)</f>
        <v/>
      </c>
      <c r="N2677" s="10">
        <f>ROUND(I2677*'Irish Basis'!$C$6*'Irish Basis'!$C$5,2)</f>
        <v/>
      </c>
      <c r="O2677" s="10">
        <f>ROUND(J2677*'Irish Basis'!$C$7*'Irish Basis'!$C$5,2)</f>
        <v/>
      </c>
      <c r="P2677" s="10">
        <f>ROUND(K2677*'Irish Basis'!$C$8*'Irish Basis'!$C$5,2)</f>
        <v/>
      </c>
      <c r="Q2677" s="10">
        <f>ROUND(L2677*'Irish Basis'!$C$12*'Irish Basis'!$C$5,2)</f>
        <v/>
      </c>
      <c r="R2677" s="11">
        <f>ROUND(SUM(N2677:Q2677),2)</f>
        <v/>
      </c>
      <c r="S2677" s="5" t="inlineStr">
        <is>
          <t>All-in specialist rate</t>
        </is>
      </c>
      <c r="T2677" s="14" t="inlineStr">
        <is>
          <t>All-in (not split)</t>
        </is>
      </c>
      <c r="U2677" s="8" t="n">
        <v>10.25</v>
      </c>
      <c r="V2677" s="13">
        <f>IF(U2677="","",ROUND(M2677-U2677,2))</f>
        <v/>
      </c>
      <c r="W2677" s="5" t="n"/>
      <c r="X2677" s="5" t="inlineStr">
        <is>
          <t>Source publishes a specialist/sub-contract all-in rate; no labour/plant/material build-up exists to derive from.</t>
        </is>
      </c>
    </row>
    <row r="2678" ht="13" customHeight="1">
      <c r="A2678" s="4" t="n">
        <v>4024</v>
      </c>
      <c r="B2678" s="5" t="inlineStr">
        <is>
          <t>IMG_0120</t>
        </is>
      </c>
      <c r="C2678" s="5" t="inlineStr">
        <is>
          <t>CLASS P: PILES</t>
        </is>
      </c>
      <c r="D2678" s="5" t="inlineStr">
        <is>
          <t>06 ISOLATED STEEL PILES</t>
        </is>
      </c>
      <c r="E2678" s="5" t="inlineStr">
        <is>
          <t>Mass 54 kg/m; 203 x 203 mm</t>
        </is>
      </c>
      <c r="F2678" s="5" t="inlineStr">
        <is>
          <t>number of piles; length 10 m</t>
        </is>
      </c>
      <c r="G2678" s="6" t="inlineStr">
        <is>
          <t>nr</t>
        </is>
      </c>
      <c r="H2678" s="7" t="n"/>
      <c r="I2678" s="8" t="n">
        <v>0</v>
      </c>
      <c r="J2678" s="8" t="n">
        <v>1035.06</v>
      </c>
      <c r="K2678" s="8" t="n">
        <v>0</v>
      </c>
      <c r="L2678" s="8" t="n">
        <v>8635.73</v>
      </c>
      <c r="M2678" s="9">
        <f>ROUND(SUM(I2678:L2678),2)</f>
        <v/>
      </c>
      <c r="N2678" s="10">
        <f>ROUND(I2678*'Irish Basis'!$C$6*'Irish Basis'!$C$5,2)</f>
        <v/>
      </c>
      <c r="O2678" s="10">
        <f>ROUND(J2678*'Irish Basis'!$C$7*'Irish Basis'!$C$5,2)</f>
        <v/>
      </c>
      <c r="P2678" s="10">
        <f>ROUND(K2678*'Irish Basis'!$C$8*'Irish Basis'!$C$5,2)</f>
        <v/>
      </c>
      <c r="Q2678" s="10">
        <f>ROUND(L2678*'Irish Basis'!$C$12*'Irish Basis'!$C$5,2)</f>
        <v/>
      </c>
      <c r="R2678" s="11">
        <f>ROUND(SUM(N2678:Q2678),2)</f>
        <v/>
      </c>
      <c r="S2678" s="5" t="inlineStr">
        <is>
          <t>Stated components + specialist balance</t>
        </is>
      </c>
      <c r="T2678" s="16" t="inlineStr">
        <is>
          <t>Medium</t>
        </is>
      </c>
      <c r="U2678" s="8" t="n">
        <v>9670.790000000001</v>
      </c>
      <c r="V2678" s="13">
        <f>IF(U2678="","",ROUND(M2678-U2678,2))</f>
        <v/>
      </c>
      <c r="W2678" s="15" t="inlineStr">
        <is>
          <t>Large unexplained balance</t>
        </is>
      </c>
      <c r="X2678" s="5" t="inlineStr">
        <is>
          <t>Published plant/labour retained; the £8,635.73 balance of the specialist all-in rate is not broken down in the source.</t>
        </is>
      </c>
    </row>
    <row r="2679" ht="13" customHeight="1">
      <c r="A2679" s="4" t="n">
        <v>4025</v>
      </c>
      <c r="B2679" s="5" t="inlineStr">
        <is>
          <t>IMG_0120</t>
        </is>
      </c>
      <c r="C2679" s="5" t="inlineStr">
        <is>
          <t>CLASS P: PILES</t>
        </is>
      </c>
      <c r="D2679" s="5" t="inlineStr">
        <is>
          <t>06 ISOLATED STEEL PILES</t>
        </is>
      </c>
      <c r="E2679" s="5" t="inlineStr">
        <is>
          <t>Mass 54 kg/m; 203 x 203 mm</t>
        </is>
      </c>
      <c r="F2679" s="5" t="inlineStr">
        <is>
          <t>number of piles; length 15 m</t>
        </is>
      </c>
      <c r="G2679" s="6" t="inlineStr">
        <is>
          <t>nr</t>
        </is>
      </c>
      <c r="H2679" s="7" t="n"/>
      <c r="I2679" s="8" t="n">
        <v>0</v>
      </c>
      <c r="J2679" s="8" t="n">
        <v>1655.78</v>
      </c>
      <c r="K2679" s="8" t="n">
        <v>0</v>
      </c>
      <c r="L2679" s="8" t="n">
        <v>8635.73</v>
      </c>
      <c r="M2679" s="9">
        <f>ROUND(SUM(I2679:L2679),2)</f>
        <v/>
      </c>
      <c r="N2679" s="10">
        <f>ROUND(I2679*'Irish Basis'!$C$6*'Irish Basis'!$C$5,2)</f>
        <v/>
      </c>
      <c r="O2679" s="10">
        <f>ROUND(J2679*'Irish Basis'!$C$7*'Irish Basis'!$C$5,2)</f>
        <v/>
      </c>
      <c r="P2679" s="10">
        <f>ROUND(K2679*'Irish Basis'!$C$8*'Irish Basis'!$C$5,2)</f>
        <v/>
      </c>
      <c r="Q2679" s="10">
        <f>ROUND(L2679*'Irish Basis'!$C$12*'Irish Basis'!$C$5,2)</f>
        <v/>
      </c>
      <c r="R2679" s="11">
        <f>ROUND(SUM(N2679:Q2679),2)</f>
        <v/>
      </c>
      <c r="S2679" s="5" t="inlineStr">
        <is>
          <t>Stated components + specialist balance</t>
        </is>
      </c>
      <c r="T2679" s="16" t="inlineStr">
        <is>
          <t>Medium</t>
        </is>
      </c>
      <c r="U2679" s="8" t="n">
        <v>10291.51</v>
      </c>
      <c r="V2679" s="13">
        <f>IF(U2679="","",ROUND(M2679-U2679,2))</f>
        <v/>
      </c>
      <c r="W2679" s="15" t="inlineStr">
        <is>
          <t>Large unexplained balance</t>
        </is>
      </c>
      <c r="X2679" s="5" t="inlineStr">
        <is>
          <t>Published plant/labour retained; the £8,635.73 balance of the specialist all-in rate is not broken down in the source.</t>
        </is>
      </c>
    </row>
    <row r="2680" ht="13" customHeight="1">
      <c r="A2680" s="4" t="n">
        <v>4026</v>
      </c>
      <c r="B2680" s="5" t="inlineStr">
        <is>
          <t>IMG_0120</t>
        </is>
      </c>
      <c r="C2680" s="5" t="inlineStr">
        <is>
          <t>CLASS P: PILES</t>
        </is>
      </c>
      <c r="D2680" s="5" t="inlineStr">
        <is>
          <t>06 ISOLATED STEEL PILES</t>
        </is>
      </c>
      <c r="E2680" s="5" t="inlineStr">
        <is>
          <t>Mass 54 kg/m; 203 x 203 mm</t>
        </is>
      </c>
      <c r="F2680" s="5" t="inlineStr">
        <is>
          <t>number of piles; length 20 m</t>
        </is>
      </c>
      <c r="G2680" s="6" t="inlineStr">
        <is>
          <t>nr</t>
        </is>
      </c>
      <c r="H2680" s="7" t="n"/>
      <c r="I2680" s="8" t="n">
        <v>0</v>
      </c>
      <c r="J2680" s="8" t="n">
        <v>2207.7</v>
      </c>
      <c r="K2680" s="8" t="n">
        <v>0</v>
      </c>
      <c r="L2680" s="8" t="n">
        <v>7213.9</v>
      </c>
      <c r="M2680" s="9">
        <f>ROUND(SUM(I2680:L2680),2)</f>
        <v/>
      </c>
      <c r="N2680" s="10">
        <f>ROUND(I2680*'Irish Basis'!$C$6*'Irish Basis'!$C$5,2)</f>
        <v/>
      </c>
      <c r="O2680" s="10">
        <f>ROUND(J2680*'Irish Basis'!$C$7*'Irish Basis'!$C$5,2)</f>
        <v/>
      </c>
      <c r="P2680" s="10">
        <f>ROUND(K2680*'Irish Basis'!$C$8*'Irish Basis'!$C$5,2)</f>
        <v/>
      </c>
      <c r="Q2680" s="10">
        <f>ROUND(L2680*'Irish Basis'!$C$12*'Irish Basis'!$C$5,2)</f>
        <v/>
      </c>
      <c r="R2680" s="11">
        <f>ROUND(SUM(N2680:Q2680),2)</f>
        <v/>
      </c>
      <c r="S2680" s="5" t="inlineStr">
        <is>
          <t>Stated components + specialist balance</t>
        </is>
      </c>
      <c r="T2680" s="16" t="inlineStr">
        <is>
          <t>Medium</t>
        </is>
      </c>
      <c r="U2680" s="8" t="n">
        <v>9421.6</v>
      </c>
      <c r="V2680" s="13">
        <f>IF(U2680="","",ROUND(M2680-U2680,2))</f>
        <v/>
      </c>
      <c r="W2680" s="15" t="inlineStr">
        <is>
          <t>Large unexplained balance</t>
        </is>
      </c>
      <c r="X2680" s="5" t="inlineStr">
        <is>
          <t>Published plant/labour retained; the £7,213.90 balance of the specialist all-in rate is not broken down in the source.</t>
        </is>
      </c>
    </row>
    <row r="2681" ht="13" customHeight="1">
      <c r="A2681" s="4" t="n">
        <v>4027</v>
      </c>
      <c r="B2681" s="5" t="inlineStr">
        <is>
          <t>IMG_0120</t>
        </is>
      </c>
      <c r="C2681" s="5" t="inlineStr">
        <is>
          <t>CLASS P: PILES</t>
        </is>
      </c>
      <c r="D2681" s="5" t="inlineStr">
        <is>
          <t>06 ISOLATED STEEL PILES</t>
        </is>
      </c>
      <c r="E2681" s="5" t="inlineStr">
        <is>
          <t>Mass 54 kg/m; 203 x 203 mm</t>
        </is>
      </c>
      <c r="F2681" s="5" t="inlineStr">
        <is>
          <t>depth driven; vertical</t>
        </is>
      </c>
      <c r="G2681" s="6" t="inlineStr">
        <is>
          <t>m</t>
        </is>
      </c>
      <c r="H2681" s="7" t="n"/>
      <c r="I2681" s="8" t="n">
        <v>0</v>
      </c>
      <c r="J2681" s="8" t="n">
        <v>0</v>
      </c>
      <c r="K2681" s="8" t="n">
        <v>0</v>
      </c>
      <c r="L2681" s="8" t="n">
        <v>5.19</v>
      </c>
      <c r="M2681" s="9">
        <f>ROUND(SUM(I2681:L2681),2)</f>
        <v/>
      </c>
      <c r="N2681" s="10">
        <f>ROUND(I2681*'Irish Basis'!$C$6*'Irish Basis'!$C$5,2)</f>
        <v/>
      </c>
      <c r="O2681" s="10">
        <f>ROUND(J2681*'Irish Basis'!$C$7*'Irish Basis'!$C$5,2)</f>
        <v/>
      </c>
      <c r="P2681" s="10">
        <f>ROUND(K2681*'Irish Basis'!$C$8*'Irish Basis'!$C$5,2)</f>
        <v/>
      </c>
      <c r="Q2681" s="10">
        <f>ROUND(L2681*'Irish Basis'!$C$12*'Irish Basis'!$C$5,2)</f>
        <v/>
      </c>
      <c r="R2681" s="11">
        <f>ROUND(SUM(N2681:Q2681),2)</f>
        <v/>
      </c>
      <c r="S2681" s="5" t="inlineStr">
        <is>
          <t>All-in specialist rate</t>
        </is>
      </c>
      <c r="T2681" s="14" t="inlineStr">
        <is>
          <t>All-in (not split)</t>
        </is>
      </c>
      <c r="U2681" s="8" t="n">
        <v>5.19</v>
      </c>
      <c r="V2681" s="13">
        <f>IF(U2681="","",ROUND(M2681-U2681,2))</f>
        <v/>
      </c>
      <c r="W2681" s="5" t="n"/>
      <c r="X2681" s="5" t="inlineStr">
        <is>
          <t>Source publishes a specialist/sub-contract all-in rate; no labour/plant/material build-up exists to derive from.</t>
        </is>
      </c>
    </row>
    <row r="2682" ht="13" customHeight="1">
      <c r="A2682" s="4" t="n">
        <v>4028</v>
      </c>
      <c r="B2682" s="5" t="inlineStr">
        <is>
          <t>IMG_0120</t>
        </is>
      </c>
      <c r="C2682" s="5" t="inlineStr">
        <is>
          <t>CLASS P: PILES</t>
        </is>
      </c>
      <c r="D2682" s="5" t="inlineStr">
        <is>
          <t>06 ISOLATED STEEL PILES</t>
        </is>
      </c>
      <c r="E2682" s="5" t="inlineStr">
        <is>
          <t>Mass 54 kg/m; 203 x 203 mm</t>
        </is>
      </c>
      <c r="F2682" s="5" t="inlineStr">
        <is>
          <t>depth driven; raking</t>
        </is>
      </c>
      <c r="G2682" s="6" t="inlineStr">
        <is>
          <t>m</t>
        </is>
      </c>
      <c r="H2682" s="7" t="n"/>
      <c r="I2682" s="8" t="n">
        <v>0</v>
      </c>
      <c r="J2682" s="8" t="n">
        <v>0</v>
      </c>
      <c r="K2682" s="8" t="n">
        <v>0</v>
      </c>
      <c r="L2682" s="8" t="n">
        <v>8.539999999999999</v>
      </c>
      <c r="M2682" s="9">
        <f>ROUND(SUM(I2682:L2682),2)</f>
        <v/>
      </c>
      <c r="N2682" s="10">
        <f>ROUND(I2682*'Irish Basis'!$C$6*'Irish Basis'!$C$5,2)</f>
        <v/>
      </c>
      <c r="O2682" s="10">
        <f>ROUND(J2682*'Irish Basis'!$C$7*'Irish Basis'!$C$5,2)</f>
        <v/>
      </c>
      <c r="P2682" s="10">
        <f>ROUND(K2682*'Irish Basis'!$C$8*'Irish Basis'!$C$5,2)</f>
        <v/>
      </c>
      <c r="Q2682" s="10">
        <f>ROUND(L2682*'Irish Basis'!$C$12*'Irish Basis'!$C$5,2)</f>
        <v/>
      </c>
      <c r="R2682" s="11">
        <f>ROUND(SUM(N2682:Q2682),2)</f>
        <v/>
      </c>
      <c r="S2682" s="5" t="inlineStr">
        <is>
          <t>All-in specialist rate</t>
        </is>
      </c>
      <c r="T2682" s="14" t="inlineStr">
        <is>
          <t>All-in (not split)</t>
        </is>
      </c>
      <c r="U2682" s="8" t="n">
        <v>8.539999999999999</v>
      </c>
      <c r="V2682" s="13">
        <f>IF(U2682="","",ROUND(M2682-U2682,2))</f>
        <v/>
      </c>
      <c r="W2682" s="5" t="n"/>
      <c r="X2682" s="5" t="inlineStr">
        <is>
          <t>Source publishes a specialist/sub-contract all-in rate; no labour/plant/material build-up exists to derive from.</t>
        </is>
      </c>
    </row>
    <row r="2683" ht="13" customHeight="1">
      <c r="A2683" s="4" t="n">
        <v>4030</v>
      </c>
      <c r="B2683" s="5" t="inlineStr">
        <is>
          <t>IMG_0120</t>
        </is>
      </c>
      <c r="C2683" s="5" t="inlineStr">
        <is>
          <t>CLASS P: PILES</t>
        </is>
      </c>
      <c r="D2683" s="5" t="inlineStr">
        <is>
          <t>06 ISOLATED STEEL PILES</t>
        </is>
      </c>
      <c r="E2683" s="5" t="inlineStr">
        <is>
          <t>Mass 63 kg/m; 254 x 254 mm</t>
        </is>
      </c>
      <c r="F2683" s="5" t="inlineStr">
        <is>
          <t>number of piles; length 10 m</t>
        </is>
      </c>
      <c r="G2683" s="6" t="inlineStr">
        <is>
          <t>nr</t>
        </is>
      </c>
      <c r="H2683" s="7" t="n"/>
      <c r="I2683" s="8" t="n">
        <v>0</v>
      </c>
      <c r="J2683" s="8" t="n">
        <v>1207.57</v>
      </c>
      <c r="K2683" s="8" t="n">
        <v>0</v>
      </c>
      <c r="L2683" s="8" t="n">
        <v>7213.9</v>
      </c>
      <c r="M2683" s="9">
        <f>ROUND(SUM(I2683:L2683),2)</f>
        <v/>
      </c>
      <c r="N2683" s="10">
        <f>ROUND(I2683*'Irish Basis'!$C$6*'Irish Basis'!$C$5,2)</f>
        <v/>
      </c>
      <c r="O2683" s="10">
        <f>ROUND(J2683*'Irish Basis'!$C$7*'Irish Basis'!$C$5,2)</f>
        <v/>
      </c>
      <c r="P2683" s="10">
        <f>ROUND(K2683*'Irish Basis'!$C$8*'Irish Basis'!$C$5,2)</f>
        <v/>
      </c>
      <c r="Q2683" s="10">
        <f>ROUND(L2683*'Irish Basis'!$C$12*'Irish Basis'!$C$5,2)</f>
        <v/>
      </c>
      <c r="R2683" s="11">
        <f>ROUND(SUM(N2683:Q2683),2)</f>
        <v/>
      </c>
      <c r="S2683" s="5" t="inlineStr">
        <is>
          <t>Stated components + specialist balance</t>
        </is>
      </c>
      <c r="T2683" s="16" t="inlineStr">
        <is>
          <t>Medium</t>
        </is>
      </c>
      <c r="U2683" s="8" t="n">
        <v>8421.469999999999</v>
      </c>
      <c r="V2683" s="13">
        <f>IF(U2683="","",ROUND(M2683-U2683,2))</f>
        <v/>
      </c>
      <c r="W2683" s="15" t="inlineStr">
        <is>
          <t>Large unexplained balance</t>
        </is>
      </c>
      <c r="X2683" s="5" t="inlineStr">
        <is>
          <t>Published plant/labour retained; the £7,213.90 balance of the specialist all-in rate is not broken down in the source.</t>
        </is>
      </c>
    </row>
    <row r="2684" ht="13" customHeight="1">
      <c r="A2684" s="4" t="n">
        <v>4031</v>
      </c>
      <c r="B2684" s="5" t="inlineStr">
        <is>
          <t>IMG_0120</t>
        </is>
      </c>
      <c r="C2684" s="5" t="inlineStr">
        <is>
          <t>CLASS P: PILES</t>
        </is>
      </c>
      <c r="D2684" s="5" t="inlineStr">
        <is>
          <t>06 ISOLATED STEEL PILES</t>
        </is>
      </c>
      <c r="E2684" s="5" t="inlineStr">
        <is>
          <t>Mass 63 kg/m; 254 x 254 mm</t>
        </is>
      </c>
      <c r="F2684" s="5" t="inlineStr">
        <is>
          <t>number of piles; length 15 m</t>
        </is>
      </c>
      <c r="G2684" s="6" t="inlineStr">
        <is>
          <t>nr</t>
        </is>
      </c>
      <c r="H2684" s="7" t="n"/>
      <c r="I2684" s="8" t="n">
        <v>0</v>
      </c>
      <c r="J2684" s="8" t="n">
        <v>1931.74</v>
      </c>
      <c r="K2684" s="8" t="n">
        <v>0</v>
      </c>
      <c r="L2684" s="8" t="n">
        <v>7213.9</v>
      </c>
      <c r="M2684" s="9">
        <f>ROUND(SUM(I2684:L2684),2)</f>
        <v/>
      </c>
      <c r="N2684" s="10">
        <f>ROUND(I2684*'Irish Basis'!$C$6*'Irish Basis'!$C$5,2)</f>
        <v/>
      </c>
      <c r="O2684" s="10">
        <f>ROUND(J2684*'Irish Basis'!$C$7*'Irish Basis'!$C$5,2)</f>
        <v/>
      </c>
      <c r="P2684" s="10">
        <f>ROUND(K2684*'Irish Basis'!$C$8*'Irish Basis'!$C$5,2)</f>
        <v/>
      </c>
      <c r="Q2684" s="10">
        <f>ROUND(L2684*'Irish Basis'!$C$12*'Irish Basis'!$C$5,2)</f>
        <v/>
      </c>
      <c r="R2684" s="11">
        <f>ROUND(SUM(N2684:Q2684),2)</f>
        <v/>
      </c>
      <c r="S2684" s="5" t="inlineStr">
        <is>
          <t>Stated components + specialist balance</t>
        </is>
      </c>
      <c r="T2684" s="16" t="inlineStr">
        <is>
          <t>Medium</t>
        </is>
      </c>
      <c r="U2684" s="8" t="n">
        <v>9145.639999999999</v>
      </c>
      <c r="V2684" s="13">
        <f>IF(U2684="","",ROUND(M2684-U2684,2))</f>
        <v/>
      </c>
      <c r="W2684" s="15" t="inlineStr">
        <is>
          <t>Large unexplained balance</t>
        </is>
      </c>
      <c r="X2684" s="5" t="inlineStr">
        <is>
          <t>Published plant/labour retained; the £7,213.90 balance of the specialist all-in rate is not broken down in the source.</t>
        </is>
      </c>
    </row>
    <row r="2685" ht="13" customHeight="1">
      <c r="A2685" s="4" t="n">
        <v>4032</v>
      </c>
      <c r="B2685" s="5" t="inlineStr">
        <is>
          <t>IMG_0120</t>
        </is>
      </c>
      <c r="C2685" s="5" t="inlineStr">
        <is>
          <t>CLASS P: PILES</t>
        </is>
      </c>
      <c r="D2685" s="5" t="inlineStr">
        <is>
          <t>06 ISOLATED STEEL PILES</t>
        </is>
      </c>
      <c r="E2685" s="5" t="inlineStr">
        <is>
          <t>Mass 63 kg/m; 254 x 254 mm</t>
        </is>
      </c>
      <c r="F2685" s="5" t="inlineStr">
        <is>
          <t>number of piles; length 20 m</t>
        </is>
      </c>
      <c r="G2685" s="6" t="inlineStr">
        <is>
          <t>nr</t>
        </is>
      </c>
      <c r="H2685" s="7" t="n"/>
      <c r="I2685" s="8" t="n">
        <v>0</v>
      </c>
      <c r="J2685" s="8" t="n">
        <v>2575.65</v>
      </c>
      <c r="K2685" s="8" t="n">
        <v>0</v>
      </c>
      <c r="L2685" s="8" t="n">
        <v>7213.91</v>
      </c>
      <c r="M2685" s="9">
        <f>ROUND(SUM(I2685:L2685),2)</f>
        <v/>
      </c>
      <c r="N2685" s="10">
        <f>ROUND(I2685*'Irish Basis'!$C$6*'Irish Basis'!$C$5,2)</f>
        <v/>
      </c>
      <c r="O2685" s="10">
        <f>ROUND(J2685*'Irish Basis'!$C$7*'Irish Basis'!$C$5,2)</f>
        <v/>
      </c>
      <c r="P2685" s="10">
        <f>ROUND(K2685*'Irish Basis'!$C$8*'Irish Basis'!$C$5,2)</f>
        <v/>
      </c>
      <c r="Q2685" s="10">
        <f>ROUND(L2685*'Irish Basis'!$C$12*'Irish Basis'!$C$5,2)</f>
        <v/>
      </c>
      <c r="R2685" s="11">
        <f>ROUND(SUM(N2685:Q2685),2)</f>
        <v/>
      </c>
      <c r="S2685" s="5" t="inlineStr">
        <is>
          <t>Stated components + specialist balance</t>
        </is>
      </c>
      <c r="T2685" s="16" t="inlineStr">
        <is>
          <t>Medium</t>
        </is>
      </c>
      <c r="U2685" s="8" t="n">
        <v>9789.559999999999</v>
      </c>
      <c r="V2685" s="13">
        <f>IF(U2685="","",ROUND(M2685-U2685,2))</f>
        <v/>
      </c>
      <c r="W2685" s="5" t="n"/>
      <c r="X2685" s="5" t="inlineStr">
        <is>
          <t>Published plant/labour retained; the £7,213.91 balance of the specialist all-in rate is not broken down in the source.</t>
        </is>
      </c>
    </row>
    <row r="2686" ht="13" customHeight="1">
      <c r="A2686" s="4" t="n">
        <v>4033</v>
      </c>
      <c r="B2686" s="5" t="inlineStr">
        <is>
          <t>IMG_0120</t>
        </is>
      </c>
      <c r="C2686" s="5" t="inlineStr">
        <is>
          <t>CLASS P: PILES</t>
        </is>
      </c>
      <c r="D2686" s="5" t="inlineStr">
        <is>
          <t>06 ISOLATED STEEL PILES</t>
        </is>
      </c>
      <c r="E2686" s="5" t="inlineStr">
        <is>
          <t>Mass 63 kg/m; 254 x 254 mm</t>
        </is>
      </c>
      <c r="F2686" s="5" t="inlineStr">
        <is>
          <t>depth driven; vertical</t>
        </is>
      </c>
      <c r="G2686" s="6" t="inlineStr">
        <is>
          <t>m</t>
        </is>
      </c>
      <c r="H2686" s="7" t="n"/>
      <c r="I2686" s="8" t="n">
        <v>0</v>
      </c>
      <c r="J2686" s="8" t="n">
        <v>0</v>
      </c>
      <c r="K2686" s="8" t="n">
        <v>0</v>
      </c>
      <c r="L2686" s="8" t="n">
        <v>5.8</v>
      </c>
      <c r="M2686" s="9">
        <f>ROUND(SUM(I2686:L2686),2)</f>
        <v/>
      </c>
      <c r="N2686" s="10">
        <f>ROUND(I2686*'Irish Basis'!$C$6*'Irish Basis'!$C$5,2)</f>
        <v/>
      </c>
      <c r="O2686" s="10">
        <f>ROUND(J2686*'Irish Basis'!$C$7*'Irish Basis'!$C$5,2)</f>
        <v/>
      </c>
      <c r="P2686" s="10">
        <f>ROUND(K2686*'Irish Basis'!$C$8*'Irish Basis'!$C$5,2)</f>
        <v/>
      </c>
      <c r="Q2686" s="10">
        <f>ROUND(L2686*'Irish Basis'!$C$12*'Irish Basis'!$C$5,2)</f>
        <v/>
      </c>
      <c r="R2686" s="11">
        <f>ROUND(SUM(N2686:Q2686),2)</f>
        <v/>
      </c>
      <c r="S2686" s="5" t="inlineStr">
        <is>
          <t>All-in specialist rate</t>
        </is>
      </c>
      <c r="T2686" s="14" t="inlineStr">
        <is>
          <t>All-in (not split)</t>
        </is>
      </c>
      <c r="U2686" s="8" t="n">
        <v>5.8</v>
      </c>
      <c r="V2686" s="13">
        <f>IF(U2686="","",ROUND(M2686-U2686,2))</f>
        <v/>
      </c>
      <c r="W2686" s="5" t="n"/>
      <c r="X2686" s="5" t="inlineStr">
        <is>
          <t>Source publishes a specialist/sub-contract all-in rate; no labour/plant/material build-up exists to derive from.</t>
        </is>
      </c>
    </row>
    <row r="2687" ht="13" customHeight="1">
      <c r="A2687" s="4" t="n">
        <v>4034</v>
      </c>
      <c r="B2687" s="5" t="inlineStr">
        <is>
          <t>IMG_0120</t>
        </is>
      </c>
      <c r="C2687" s="5" t="inlineStr">
        <is>
          <t>CLASS P: PILES</t>
        </is>
      </c>
      <c r="D2687" s="5" t="inlineStr">
        <is>
          <t>06 ISOLATED STEEL PILES</t>
        </is>
      </c>
      <c r="E2687" s="5" t="inlineStr">
        <is>
          <t>Mass 63 kg/m; 254 x 254 mm</t>
        </is>
      </c>
      <c r="F2687" s="5" t="inlineStr">
        <is>
          <t>depth driven; raking</t>
        </is>
      </c>
      <c r="G2687" s="6" t="inlineStr">
        <is>
          <t>m</t>
        </is>
      </c>
      <c r="H2687" s="7" t="n"/>
      <c r="I2687" s="8" t="n">
        <v>0</v>
      </c>
      <c r="J2687" s="8" t="n">
        <v>0</v>
      </c>
      <c r="K2687" s="8" t="n">
        <v>0</v>
      </c>
      <c r="L2687" s="8" t="n">
        <v>8.890000000000001</v>
      </c>
      <c r="M2687" s="9">
        <f>ROUND(SUM(I2687:L2687),2)</f>
        <v/>
      </c>
      <c r="N2687" s="10">
        <f>ROUND(I2687*'Irish Basis'!$C$6*'Irish Basis'!$C$5,2)</f>
        <v/>
      </c>
      <c r="O2687" s="10">
        <f>ROUND(J2687*'Irish Basis'!$C$7*'Irish Basis'!$C$5,2)</f>
        <v/>
      </c>
      <c r="P2687" s="10">
        <f>ROUND(K2687*'Irish Basis'!$C$8*'Irish Basis'!$C$5,2)</f>
        <v/>
      </c>
      <c r="Q2687" s="10">
        <f>ROUND(L2687*'Irish Basis'!$C$12*'Irish Basis'!$C$5,2)</f>
        <v/>
      </c>
      <c r="R2687" s="11">
        <f>ROUND(SUM(N2687:Q2687),2)</f>
        <v/>
      </c>
      <c r="S2687" s="5" t="inlineStr">
        <is>
          <t>All-in specialist rate</t>
        </is>
      </c>
      <c r="T2687" s="14" t="inlineStr">
        <is>
          <t>All-in (not split)</t>
        </is>
      </c>
      <c r="U2687" s="8" t="n">
        <v>8.890000000000001</v>
      </c>
      <c r="V2687" s="13">
        <f>IF(U2687="","",ROUND(M2687-U2687,2))</f>
        <v/>
      </c>
      <c r="W2687" s="5" t="n"/>
      <c r="X2687" s="5" t="inlineStr">
        <is>
          <t>Source publishes a specialist/sub-contract all-in rate; no labour/plant/material build-up exists to derive from.</t>
        </is>
      </c>
    </row>
    <row r="2688" ht="13" customHeight="1">
      <c r="A2688" s="4" t="n">
        <v>4036</v>
      </c>
      <c r="B2688" s="5" t="inlineStr">
        <is>
          <t>IMG_0120</t>
        </is>
      </c>
      <c r="C2688" s="5" t="inlineStr">
        <is>
          <t>CLASS P: PILES</t>
        </is>
      </c>
      <c r="D2688" s="5" t="inlineStr">
        <is>
          <t>06 ISOLATED STEEL PILES</t>
        </is>
      </c>
      <c r="E2688" s="5" t="inlineStr">
        <is>
          <t>Mass 71 kg/m; 254 x 254 mm</t>
        </is>
      </c>
      <c r="F2688" s="5" t="inlineStr">
        <is>
          <t>number of piles; length 10 m</t>
        </is>
      </c>
      <c r="G2688" s="6" t="inlineStr">
        <is>
          <t>nr</t>
        </is>
      </c>
      <c r="H2688" s="7" t="n"/>
      <c r="I2688" s="8" t="n">
        <v>0</v>
      </c>
      <c r="J2688" s="8" t="n">
        <v>1360.91</v>
      </c>
      <c r="K2688" s="8" t="n">
        <v>0</v>
      </c>
      <c r="L2688" s="8" t="n">
        <v>7213.9</v>
      </c>
      <c r="M2688" s="9">
        <f>ROUND(SUM(I2688:L2688),2)</f>
        <v/>
      </c>
      <c r="N2688" s="10">
        <f>ROUND(I2688*'Irish Basis'!$C$6*'Irish Basis'!$C$5,2)</f>
        <v/>
      </c>
      <c r="O2688" s="10">
        <f>ROUND(J2688*'Irish Basis'!$C$7*'Irish Basis'!$C$5,2)</f>
        <v/>
      </c>
      <c r="P2688" s="10">
        <f>ROUND(K2688*'Irish Basis'!$C$8*'Irish Basis'!$C$5,2)</f>
        <v/>
      </c>
      <c r="Q2688" s="10">
        <f>ROUND(L2688*'Irish Basis'!$C$12*'Irish Basis'!$C$5,2)</f>
        <v/>
      </c>
      <c r="R2688" s="11">
        <f>ROUND(SUM(N2688:Q2688),2)</f>
        <v/>
      </c>
      <c r="S2688" s="5" t="inlineStr">
        <is>
          <t>Stated components + specialist balance</t>
        </is>
      </c>
      <c r="T2688" s="16" t="inlineStr">
        <is>
          <t>Medium</t>
        </is>
      </c>
      <c r="U2688" s="8" t="n">
        <v>8574.809999999999</v>
      </c>
      <c r="V2688" s="13">
        <f>IF(U2688="","",ROUND(M2688-U2688,2))</f>
        <v/>
      </c>
      <c r="W2688" s="15" t="inlineStr">
        <is>
          <t>Large unexplained balance</t>
        </is>
      </c>
      <c r="X2688" s="5" t="inlineStr">
        <is>
          <t>Published plant/labour retained; the £7,213.90 balance of the specialist all-in rate is not broken down in the source.</t>
        </is>
      </c>
    </row>
    <row r="2689" ht="13" customHeight="1">
      <c r="A2689" s="4" t="n">
        <v>4037</v>
      </c>
      <c r="B2689" s="5" t="inlineStr">
        <is>
          <t>IMG_0120</t>
        </is>
      </c>
      <c r="C2689" s="5" t="inlineStr">
        <is>
          <t>CLASS P: PILES</t>
        </is>
      </c>
      <c r="D2689" s="5" t="inlineStr">
        <is>
          <t>06 ISOLATED STEEL PILES</t>
        </is>
      </c>
      <c r="E2689" s="5" t="inlineStr">
        <is>
          <t>Mass 71 kg/m; 254 x 254 mm</t>
        </is>
      </c>
      <c r="F2689" s="5" t="inlineStr">
        <is>
          <t>number of piles; length 15 m</t>
        </is>
      </c>
      <c r="G2689" s="6" t="inlineStr">
        <is>
          <t>nr</t>
        </is>
      </c>
      <c r="H2689" s="7" t="n"/>
      <c r="I2689" s="8" t="n">
        <v>0</v>
      </c>
      <c r="J2689" s="8" t="n">
        <v>2177.04</v>
      </c>
      <c r="K2689" s="8" t="n">
        <v>0</v>
      </c>
      <c r="L2689" s="8" t="n">
        <v>7213.9</v>
      </c>
      <c r="M2689" s="9">
        <f>ROUND(SUM(I2689:L2689),2)</f>
        <v/>
      </c>
      <c r="N2689" s="10">
        <f>ROUND(I2689*'Irish Basis'!$C$6*'Irish Basis'!$C$5,2)</f>
        <v/>
      </c>
      <c r="O2689" s="10">
        <f>ROUND(J2689*'Irish Basis'!$C$7*'Irish Basis'!$C$5,2)</f>
        <v/>
      </c>
      <c r="P2689" s="10">
        <f>ROUND(K2689*'Irish Basis'!$C$8*'Irish Basis'!$C$5,2)</f>
        <v/>
      </c>
      <c r="Q2689" s="10">
        <f>ROUND(L2689*'Irish Basis'!$C$12*'Irish Basis'!$C$5,2)</f>
        <v/>
      </c>
      <c r="R2689" s="11">
        <f>ROUND(SUM(N2689:Q2689),2)</f>
        <v/>
      </c>
      <c r="S2689" s="5" t="inlineStr">
        <is>
          <t>Stated components + specialist balance</t>
        </is>
      </c>
      <c r="T2689" s="16" t="inlineStr">
        <is>
          <t>Medium</t>
        </is>
      </c>
      <c r="U2689" s="8" t="n">
        <v>9390.940000000001</v>
      </c>
      <c r="V2689" s="13">
        <f>IF(U2689="","",ROUND(M2689-U2689,2))</f>
        <v/>
      </c>
      <c r="W2689" s="15" t="inlineStr">
        <is>
          <t>Large unexplained balance</t>
        </is>
      </c>
      <c r="X2689" s="5" t="inlineStr">
        <is>
          <t>Published plant/labour retained; the £7,213.90 balance of the specialist all-in rate is not broken down in the source.</t>
        </is>
      </c>
    </row>
    <row r="2690" ht="13" customHeight="1">
      <c r="A2690" s="4" t="n">
        <v>4038</v>
      </c>
      <c r="B2690" s="5" t="inlineStr">
        <is>
          <t>IMG_0120</t>
        </is>
      </c>
      <c r="C2690" s="5" t="inlineStr">
        <is>
          <t>CLASS P: PILES</t>
        </is>
      </c>
      <c r="D2690" s="5" t="inlineStr">
        <is>
          <t>06 ISOLATED STEEL PILES</t>
        </is>
      </c>
      <c r="E2690" s="5" t="inlineStr">
        <is>
          <t>Mass 71 kg/m; 254 x 254 mm</t>
        </is>
      </c>
      <c r="F2690" s="5" t="inlineStr">
        <is>
          <t>number of piles; length 20 m</t>
        </is>
      </c>
      <c r="G2690" s="6" t="inlineStr">
        <is>
          <t>nr</t>
        </is>
      </c>
      <c r="H2690" s="7" t="n"/>
      <c r="I2690" s="8" t="n">
        <v>0</v>
      </c>
      <c r="J2690" s="8" t="n">
        <v>2902.72</v>
      </c>
      <c r="K2690" s="8" t="n">
        <v>0</v>
      </c>
      <c r="L2690" s="8" t="n">
        <v>7213.9</v>
      </c>
      <c r="M2690" s="9">
        <f>ROUND(SUM(I2690:L2690),2)</f>
        <v/>
      </c>
      <c r="N2690" s="10">
        <f>ROUND(I2690*'Irish Basis'!$C$6*'Irish Basis'!$C$5,2)</f>
        <v/>
      </c>
      <c r="O2690" s="10">
        <f>ROUND(J2690*'Irish Basis'!$C$7*'Irish Basis'!$C$5,2)</f>
        <v/>
      </c>
      <c r="P2690" s="10">
        <f>ROUND(K2690*'Irish Basis'!$C$8*'Irish Basis'!$C$5,2)</f>
        <v/>
      </c>
      <c r="Q2690" s="10">
        <f>ROUND(L2690*'Irish Basis'!$C$12*'Irish Basis'!$C$5,2)</f>
        <v/>
      </c>
      <c r="R2690" s="11">
        <f>ROUND(SUM(N2690:Q2690),2)</f>
        <v/>
      </c>
      <c r="S2690" s="5" t="inlineStr">
        <is>
          <t>Stated components + specialist balance</t>
        </is>
      </c>
      <c r="T2690" s="16" t="inlineStr">
        <is>
          <t>Medium</t>
        </is>
      </c>
      <c r="U2690" s="8" t="n">
        <v>10116.62</v>
      </c>
      <c r="V2690" s="13">
        <f>IF(U2690="","",ROUND(M2690-U2690,2))</f>
        <v/>
      </c>
      <c r="W2690" s="5" t="n"/>
      <c r="X2690" s="5" t="inlineStr">
        <is>
          <t>Published plant/labour retained; the £7,213.90 balance of the specialist all-in rate is not broken down in the source.</t>
        </is>
      </c>
    </row>
    <row r="2691" ht="13" customHeight="1">
      <c r="A2691" s="4" t="n">
        <v>4039</v>
      </c>
      <c r="B2691" s="5" t="inlineStr">
        <is>
          <t>IMG_0120</t>
        </is>
      </c>
      <c r="C2691" s="5" t="inlineStr">
        <is>
          <t>CLASS P: PILES</t>
        </is>
      </c>
      <c r="D2691" s="5" t="inlineStr">
        <is>
          <t>06 ISOLATED STEEL PILES</t>
        </is>
      </c>
      <c r="E2691" s="5" t="inlineStr">
        <is>
          <t>Mass 71 kg/m; 254 x 254 mm</t>
        </is>
      </c>
      <c r="F2691" s="5" t="inlineStr">
        <is>
          <t>depth driven; vertical</t>
        </is>
      </c>
      <c r="G2691" s="6" t="inlineStr">
        <is>
          <t>m</t>
        </is>
      </c>
      <c r="H2691" s="7" t="n"/>
      <c r="I2691" s="8" t="n">
        <v>0</v>
      </c>
      <c r="J2691" s="8" t="n">
        <v>0</v>
      </c>
      <c r="K2691" s="8" t="n">
        <v>0</v>
      </c>
      <c r="L2691" s="8" t="n">
        <v>5.8</v>
      </c>
      <c r="M2691" s="9">
        <f>ROUND(SUM(I2691:L2691),2)</f>
        <v/>
      </c>
      <c r="N2691" s="10">
        <f>ROUND(I2691*'Irish Basis'!$C$6*'Irish Basis'!$C$5,2)</f>
        <v/>
      </c>
      <c r="O2691" s="10">
        <f>ROUND(J2691*'Irish Basis'!$C$7*'Irish Basis'!$C$5,2)</f>
        <v/>
      </c>
      <c r="P2691" s="10">
        <f>ROUND(K2691*'Irish Basis'!$C$8*'Irish Basis'!$C$5,2)</f>
        <v/>
      </c>
      <c r="Q2691" s="10">
        <f>ROUND(L2691*'Irish Basis'!$C$12*'Irish Basis'!$C$5,2)</f>
        <v/>
      </c>
      <c r="R2691" s="11">
        <f>ROUND(SUM(N2691:Q2691),2)</f>
        <v/>
      </c>
      <c r="S2691" s="5" t="inlineStr">
        <is>
          <t>All-in specialist rate</t>
        </is>
      </c>
      <c r="T2691" s="14" t="inlineStr">
        <is>
          <t>All-in (not split)</t>
        </is>
      </c>
      <c r="U2691" s="8" t="n">
        <v>5.8</v>
      </c>
      <c r="V2691" s="13">
        <f>IF(U2691="","",ROUND(M2691-U2691,2))</f>
        <v/>
      </c>
      <c r="W2691" s="5" t="n"/>
      <c r="X2691" s="5" t="inlineStr">
        <is>
          <t>Source publishes a specialist/sub-contract all-in rate; no labour/plant/material build-up exists to derive from.</t>
        </is>
      </c>
    </row>
    <row r="2692" ht="13" customHeight="1">
      <c r="A2692" s="4" t="n">
        <v>4040</v>
      </c>
      <c r="B2692" s="5" t="inlineStr">
        <is>
          <t>IMG_0120</t>
        </is>
      </c>
      <c r="C2692" s="5" t="inlineStr">
        <is>
          <t>CLASS P: PILES</t>
        </is>
      </c>
      <c r="D2692" s="5" t="inlineStr">
        <is>
          <t>06 ISOLATED STEEL PILES</t>
        </is>
      </c>
      <c r="E2692" s="5" t="inlineStr">
        <is>
          <t>Mass 71 kg/m; 254 x 254 mm</t>
        </is>
      </c>
      <c r="F2692" s="5" t="inlineStr">
        <is>
          <t>depth driven; raking</t>
        </is>
      </c>
      <c r="G2692" s="6" t="inlineStr">
        <is>
          <t>m</t>
        </is>
      </c>
      <c r="H2692" s="7" t="n"/>
      <c r="I2692" s="8" t="n">
        <v>0</v>
      </c>
      <c r="J2692" s="8" t="n">
        <v>0</v>
      </c>
      <c r="K2692" s="8" t="n">
        <v>0</v>
      </c>
      <c r="L2692" s="8" t="n">
        <v>8.890000000000001</v>
      </c>
      <c r="M2692" s="9">
        <f>ROUND(SUM(I2692:L2692),2)</f>
        <v/>
      </c>
      <c r="N2692" s="10">
        <f>ROUND(I2692*'Irish Basis'!$C$6*'Irish Basis'!$C$5,2)</f>
        <v/>
      </c>
      <c r="O2692" s="10">
        <f>ROUND(J2692*'Irish Basis'!$C$7*'Irish Basis'!$C$5,2)</f>
        <v/>
      </c>
      <c r="P2692" s="10">
        <f>ROUND(K2692*'Irish Basis'!$C$8*'Irish Basis'!$C$5,2)</f>
        <v/>
      </c>
      <c r="Q2692" s="10">
        <f>ROUND(L2692*'Irish Basis'!$C$12*'Irish Basis'!$C$5,2)</f>
        <v/>
      </c>
      <c r="R2692" s="11">
        <f>ROUND(SUM(N2692:Q2692),2)</f>
        <v/>
      </c>
      <c r="S2692" s="5" t="inlineStr">
        <is>
          <t>All-in specialist rate</t>
        </is>
      </c>
      <c r="T2692" s="14" t="inlineStr">
        <is>
          <t>All-in (not split)</t>
        </is>
      </c>
      <c r="U2692" s="8" t="n">
        <v>8.890000000000001</v>
      </c>
      <c r="V2692" s="13">
        <f>IF(U2692="","",ROUND(M2692-U2692,2))</f>
        <v/>
      </c>
      <c r="W2692" s="5" t="n"/>
      <c r="X2692" s="5" t="inlineStr">
        <is>
          <t>Source publishes a specialist/sub-contract all-in rate; no labour/plant/material build-up exists to derive from.</t>
        </is>
      </c>
    </row>
    <row r="2693" ht="13" customHeight="1">
      <c r="A2693" s="4" t="n">
        <v>4042</v>
      </c>
      <c r="B2693" s="5" t="inlineStr">
        <is>
          <t>IMG_0120</t>
        </is>
      </c>
      <c r="C2693" s="5" t="inlineStr">
        <is>
          <t>CLASS P: PILES</t>
        </is>
      </c>
      <c r="D2693" s="5" t="inlineStr">
        <is>
          <t>06 ISOLATED STEEL PILES</t>
        </is>
      </c>
      <c r="E2693" s="5" t="inlineStr">
        <is>
          <t>Mass 85 kg/m; 254 x 254 mm</t>
        </is>
      </c>
      <c r="F2693" s="5" t="inlineStr">
        <is>
          <t>number of piles; length 10 m</t>
        </is>
      </c>
      <c r="G2693" s="6" t="inlineStr">
        <is>
          <t>nr</t>
        </is>
      </c>
      <c r="H2693" s="7" t="n"/>
      <c r="I2693" s="8" t="n">
        <v>0</v>
      </c>
      <c r="J2693" s="8" t="n">
        <v>1629.26</v>
      </c>
      <c r="K2693" s="8" t="n">
        <v>0</v>
      </c>
      <c r="L2693" s="8" t="n">
        <v>7213.9</v>
      </c>
      <c r="M2693" s="9">
        <f>ROUND(SUM(I2693:L2693),2)</f>
        <v/>
      </c>
      <c r="N2693" s="10">
        <f>ROUND(I2693*'Irish Basis'!$C$6*'Irish Basis'!$C$5,2)</f>
        <v/>
      </c>
      <c r="O2693" s="10">
        <f>ROUND(J2693*'Irish Basis'!$C$7*'Irish Basis'!$C$5,2)</f>
        <v/>
      </c>
      <c r="P2693" s="10">
        <f>ROUND(K2693*'Irish Basis'!$C$8*'Irish Basis'!$C$5,2)</f>
        <v/>
      </c>
      <c r="Q2693" s="10">
        <f>ROUND(L2693*'Irish Basis'!$C$12*'Irish Basis'!$C$5,2)</f>
        <v/>
      </c>
      <c r="R2693" s="11">
        <f>ROUND(SUM(N2693:Q2693),2)</f>
        <v/>
      </c>
      <c r="S2693" s="5" t="inlineStr">
        <is>
          <t>Stated components + specialist balance</t>
        </is>
      </c>
      <c r="T2693" s="16" t="inlineStr">
        <is>
          <t>Medium</t>
        </is>
      </c>
      <c r="U2693" s="8" t="n">
        <v>8843.16</v>
      </c>
      <c r="V2693" s="13">
        <f>IF(U2693="","",ROUND(M2693-U2693,2))</f>
        <v/>
      </c>
      <c r="W2693" s="15" t="inlineStr">
        <is>
          <t>Large unexplained balance</t>
        </is>
      </c>
      <c r="X2693" s="5" t="inlineStr">
        <is>
          <t>Published plant/labour retained; the £7,213.90 balance of the specialist all-in rate is not broken down in the source.</t>
        </is>
      </c>
    </row>
    <row r="2694" ht="13" customHeight="1">
      <c r="A2694" s="4" t="n">
        <v>4043</v>
      </c>
      <c r="B2694" s="5" t="inlineStr">
        <is>
          <t>IMG_0120</t>
        </is>
      </c>
      <c r="C2694" s="5" t="inlineStr">
        <is>
          <t>CLASS P: PILES</t>
        </is>
      </c>
      <c r="D2694" s="5" t="inlineStr">
        <is>
          <t>06 ISOLATED STEEL PILES</t>
        </is>
      </c>
      <c r="E2694" s="5" t="inlineStr">
        <is>
          <t>Mass 85 kg/m; 254 x 254 mm</t>
        </is>
      </c>
      <c r="F2694" s="5" t="inlineStr">
        <is>
          <t>number of piles; length 15 m</t>
        </is>
      </c>
      <c r="G2694" s="6" t="inlineStr">
        <is>
          <t>nr</t>
        </is>
      </c>
      <c r="H2694" s="7" t="n"/>
      <c r="I2694" s="8" t="n">
        <v>0</v>
      </c>
      <c r="J2694" s="8" t="n">
        <v>2606.32</v>
      </c>
      <c r="K2694" s="8" t="n">
        <v>0</v>
      </c>
      <c r="L2694" s="8" t="n">
        <v>7213.9</v>
      </c>
      <c r="M2694" s="9">
        <f>ROUND(SUM(I2694:L2694),2)</f>
        <v/>
      </c>
      <c r="N2694" s="10">
        <f>ROUND(I2694*'Irish Basis'!$C$6*'Irish Basis'!$C$5,2)</f>
        <v/>
      </c>
      <c r="O2694" s="10">
        <f>ROUND(J2694*'Irish Basis'!$C$7*'Irish Basis'!$C$5,2)</f>
        <v/>
      </c>
      <c r="P2694" s="10">
        <f>ROUND(K2694*'Irish Basis'!$C$8*'Irish Basis'!$C$5,2)</f>
        <v/>
      </c>
      <c r="Q2694" s="10">
        <f>ROUND(L2694*'Irish Basis'!$C$12*'Irish Basis'!$C$5,2)</f>
        <v/>
      </c>
      <c r="R2694" s="11">
        <f>ROUND(SUM(N2694:Q2694),2)</f>
        <v/>
      </c>
      <c r="S2694" s="5" t="inlineStr">
        <is>
          <t>Stated components + specialist balance</t>
        </is>
      </c>
      <c r="T2694" s="16" t="inlineStr">
        <is>
          <t>Medium</t>
        </is>
      </c>
      <c r="U2694" s="8" t="n">
        <v>9820.219999999999</v>
      </c>
      <c r="V2694" s="13">
        <f>IF(U2694="","",ROUND(M2694-U2694,2))</f>
        <v/>
      </c>
      <c r="W2694" s="5" t="n"/>
      <c r="X2694" s="5" t="inlineStr">
        <is>
          <t>Published plant/labour retained; the £7,213.90 balance of the specialist all-in rate is not broken down in the source.</t>
        </is>
      </c>
    </row>
    <row r="2695" ht="13" customHeight="1">
      <c r="A2695" s="4" t="n">
        <v>4044</v>
      </c>
      <c r="B2695" s="5" t="inlineStr">
        <is>
          <t>IMG_0120</t>
        </is>
      </c>
      <c r="C2695" s="5" t="inlineStr">
        <is>
          <t>CLASS P: PILES</t>
        </is>
      </c>
      <c r="D2695" s="5" t="inlineStr">
        <is>
          <t>06 ISOLATED STEEL PILES</t>
        </is>
      </c>
      <c r="E2695" s="5" t="inlineStr">
        <is>
          <t>Mass 85 kg/m; 254 x 254 mm</t>
        </is>
      </c>
      <c r="F2695" s="5" t="inlineStr">
        <is>
          <t>number of piles; length 20 m</t>
        </is>
      </c>
      <c r="G2695" s="6" t="inlineStr">
        <is>
          <t>nr</t>
        </is>
      </c>
      <c r="H2695" s="7" t="n"/>
      <c r="I2695" s="8" t="n">
        <v>0</v>
      </c>
      <c r="J2695" s="8" t="n">
        <v>3475.09</v>
      </c>
      <c r="K2695" s="8" t="n">
        <v>0</v>
      </c>
      <c r="L2695" s="8" t="n">
        <v>7213.9</v>
      </c>
      <c r="M2695" s="9">
        <f>ROUND(SUM(I2695:L2695),2)</f>
        <v/>
      </c>
      <c r="N2695" s="10">
        <f>ROUND(I2695*'Irish Basis'!$C$6*'Irish Basis'!$C$5,2)</f>
        <v/>
      </c>
      <c r="O2695" s="10">
        <f>ROUND(J2695*'Irish Basis'!$C$7*'Irish Basis'!$C$5,2)</f>
        <v/>
      </c>
      <c r="P2695" s="10">
        <f>ROUND(K2695*'Irish Basis'!$C$8*'Irish Basis'!$C$5,2)</f>
        <v/>
      </c>
      <c r="Q2695" s="10">
        <f>ROUND(L2695*'Irish Basis'!$C$12*'Irish Basis'!$C$5,2)</f>
        <v/>
      </c>
      <c r="R2695" s="11">
        <f>ROUND(SUM(N2695:Q2695),2)</f>
        <v/>
      </c>
      <c r="S2695" s="5" t="inlineStr">
        <is>
          <t>Stated components + specialist balance</t>
        </is>
      </c>
      <c r="T2695" s="16" t="inlineStr">
        <is>
          <t>Medium</t>
        </is>
      </c>
      <c r="U2695" s="8" t="n">
        <v>10688.99</v>
      </c>
      <c r="V2695" s="13">
        <f>IF(U2695="","",ROUND(M2695-U2695,2))</f>
        <v/>
      </c>
      <c r="W2695" s="5" t="n"/>
      <c r="X2695" s="5" t="inlineStr">
        <is>
          <t>Published plant/labour retained; the £7,213.90 balance of the specialist all-in rate is not broken down in the source.</t>
        </is>
      </c>
    </row>
    <row r="2696" ht="13" customHeight="1">
      <c r="A2696" s="4" t="n">
        <v>4045</v>
      </c>
      <c r="B2696" s="5" t="inlineStr">
        <is>
          <t>IMG_0120</t>
        </is>
      </c>
      <c r="C2696" s="5" t="inlineStr">
        <is>
          <t>CLASS P: PILES</t>
        </is>
      </c>
      <c r="D2696" s="5" t="inlineStr">
        <is>
          <t>06 ISOLATED STEEL PILES</t>
        </is>
      </c>
      <c r="E2696" s="5" t="inlineStr">
        <is>
          <t>Mass 85 kg/m; 254 x 254 mm</t>
        </is>
      </c>
      <c r="F2696" s="5" t="inlineStr">
        <is>
          <t>depth driven; vertical</t>
        </is>
      </c>
      <c r="G2696" s="6" t="inlineStr">
        <is>
          <t>m</t>
        </is>
      </c>
      <c r="H2696" s="7" t="n"/>
      <c r="I2696" s="8" t="n">
        <v>0</v>
      </c>
      <c r="J2696" s="8" t="n">
        <v>0</v>
      </c>
      <c r="K2696" s="8" t="n">
        <v>0</v>
      </c>
      <c r="L2696" s="8" t="n">
        <v>5.8</v>
      </c>
      <c r="M2696" s="9">
        <f>ROUND(SUM(I2696:L2696),2)</f>
        <v/>
      </c>
      <c r="N2696" s="10">
        <f>ROUND(I2696*'Irish Basis'!$C$6*'Irish Basis'!$C$5,2)</f>
        <v/>
      </c>
      <c r="O2696" s="10">
        <f>ROUND(J2696*'Irish Basis'!$C$7*'Irish Basis'!$C$5,2)</f>
        <v/>
      </c>
      <c r="P2696" s="10">
        <f>ROUND(K2696*'Irish Basis'!$C$8*'Irish Basis'!$C$5,2)</f>
        <v/>
      </c>
      <c r="Q2696" s="10">
        <f>ROUND(L2696*'Irish Basis'!$C$12*'Irish Basis'!$C$5,2)</f>
        <v/>
      </c>
      <c r="R2696" s="11">
        <f>ROUND(SUM(N2696:Q2696),2)</f>
        <v/>
      </c>
      <c r="S2696" s="5" t="inlineStr">
        <is>
          <t>All-in specialist rate</t>
        </is>
      </c>
      <c r="T2696" s="14" t="inlineStr">
        <is>
          <t>All-in (not split)</t>
        </is>
      </c>
      <c r="U2696" s="8" t="n">
        <v>5.8</v>
      </c>
      <c r="V2696" s="13">
        <f>IF(U2696="","",ROUND(M2696-U2696,2))</f>
        <v/>
      </c>
      <c r="W2696" s="5" t="n"/>
      <c r="X2696" s="5" t="inlineStr">
        <is>
          <t>Source publishes a specialist/sub-contract all-in rate; no labour/plant/material build-up exists to derive from.</t>
        </is>
      </c>
    </row>
    <row r="2697" ht="13" customHeight="1">
      <c r="A2697" s="4" t="n">
        <v>4046</v>
      </c>
      <c r="B2697" s="5" t="inlineStr">
        <is>
          <t>IMG_0120</t>
        </is>
      </c>
      <c r="C2697" s="5" t="inlineStr">
        <is>
          <t>CLASS P: PILES</t>
        </is>
      </c>
      <c r="D2697" s="5" t="inlineStr">
        <is>
          <t>06 ISOLATED STEEL PILES</t>
        </is>
      </c>
      <c r="E2697" s="5" t="inlineStr">
        <is>
          <t>Mass 85 kg/m; 254 x 254 mm</t>
        </is>
      </c>
      <c r="F2697" s="5" t="inlineStr">
        <is>
          <t>depth driven; raking</t>
        </is>
      </c>
      <c r="G2697" s="6" t="inlineStr">
        <is>
          <t>m</t>
        </is>
      </c>
      <c r="H2697" s="7" t="n"/>
      <c r="I2697" s="8" t="n">
        <v>0</v>
      </c>
      <c r="J2697" s="8" t="n">
        <v>0</v>
      </c>
      <c r="K2697" s="8" t="n">
        <v>0</v>
      </c>
      <c r="L2697" s="8" t="n">
        <v>8.890000000000001</v>
      </c>
      <c r="M2697" s="9">
        <f>ROUND(SUM(I2697:L2697),2)</f>
        <v/>
      </c>
      <c r="N2697" s="10">
        <f>ROUND(I2697*'Irish Basis'!$C$6*'Irish Basis'!$C$5,2)</f>
        <v/>
      </c>
      <c r="O2697" s="10">
        <f>ROUND(J2697*'Irish Basis'!$C$7*'Irish Basis'!$C$5,2)</f>
        <v/>
      </c>
      <c r="P2697" s="10">
        <f>ROUND(K2697*'Irish Basis'!$C$8*'Irish Basis'!$C$5,2)</f>
        <v/>
      </c>
      <c r="Q2697" s="10">
        <f>ROUND(L2697*'Irish Basis'!$C$12*'Irish Basis'!$C$5,2)</f>
        <v/>
      </c>
      <c r="R2697" s="11">
        <f>ROUND(SUM(N2697:Q2697),2)</f>
        <v/>
      </c>
      <c r="S2697" s="5" t="inlineStr">
        <is>
          <t>All-in specialist rate</t>
        </is>
      </c>
      <c r="T2697" s="14" t="inlineStr">
        <is>
          <t>All-in (not split)</t>
        </is>
      </c>
      <c r="U2697" s="8" t="n">
        <v>8.890000000000001</v>
      </c>
      <c r="V2697" s="13">
        <f>IF(U2697="","",ROUND(M2697-U2697,2))</f>
        <v/>
      </c>
      <c r="W2697" s="5" t="n"/>
      <c r="X2697" s="5" t="inlineStr">
        <is>
          <t>Source publishes a specialist/sub-contract all-in rate; no labour/plant/material build-up exists to derive from.</t>
        </is>
      </c>
    </row>
    <row r="2698" ht="13" customHeight="1">
      <c r="A2698" s="4" t="n">
        <v>4048</v>
      </c>
      <c r="B2698" s="5" t="inlineStr">
        <is>
          <t>IMG_0120</t>
        </is>
      </c>
      <c r="C2698" s="5" t="inlineStr">
        <is>
          <t>CLASS P: PILES</t>
        </is>
      </c>
      <c r="D2698" s="5" t="inlineStr">
        <is>
          <t>06 ISOLATED STEEL PILES</t>
        </is>
      </c>
      <c r="E2698" s="5" t="inlineStr">
        <is>
          <t>Mass 79 kg/m; 305 x 305 mm</t>
        </is>
      </c>
      <c r="F2698" s="5" t="inlineStr">
        <is>
          <t>number of piles; length 10 m</t>
        </is>
      </c>
      <c r="G2698" s="6" t="inlineStr">
        <is>
          <t>nr</t>
        </is>
      </c>
      <c r="H2698" s="7" t="n"/>
      <c r="I2698" s="8" t="n">
        <v>0</v>
      </c>
      <c r="J2698" s="8" t="n">
        <v>1514.25</v>
      </c>
      <c r="K2698" s="8" t="n">
        <v>0</v>
      </c>
      <c r="L2698" s="8" t="n">
        <v>8635.73</v>
      </c>
      <c r="M2698" s="9">
        <f>ROUND(SUM(I2698:L2698),2)</f>
        <v/>
      </c>
      <c r="N2698" s="10">
        <f>ROUND(I2698*'Irish Basis'!$C$6*'Irish Basis'!$C$5,2)</f>
        <v/>
      </c>
      <c r="O2698" s="10">
        <f>ROUND(J2698*'Irish Basis'!$C$7*'Irish Basis'!$C$5,2)</f>
        <v/>
      </c>
      <c r="P2698" s="10">
        <f>ROUND(K2698*'Irish Basis'!$C$8*'Irish Basis'!$C$5,2)</f>
        <v/>
      </c>
      <c r="Q2698" s="10">
        <f>ROUND(L2698*'Irish Basis'!$C$12*'Irish Basis'!$C$5,2)</f>
        <v/>
      </c>
      <c r="R2698" s="11">
        <f>ROUND(SUM(N2698:Q2698),2)</f>
        <v/>
      </c>
      <c r="S2698" s="5" t="inlineStr">
        <is>
          <t>Stated components + specialist balance</t>
        </is>
      </c>
      <c r="T2698" s="16" t="inlineStr">
        <is>
          <t>Medium</t>
        </is>
      </c>
      <c r="U2698" s="8" t="n">
        <v>10149.98</v>
      </c>
      <c r="V2698" s="13">
        <f>IF(U2698="","",ROUND(M2698-U2698,2))</f>
        <v/>
      </c>
      <c r="W2698" s="15" t="inlineStr">
        <is>
          <t>Large unexplained balance</t>
        </is>
      </c>
      <c r="X2698" s="5" t="inlineStr">
        <is>
          <t>Published plant/labour retained; the £8,635.73 balance of the specialist all-in rate is not broken down in the source.</t>
        </is>
      </c>
    </row>
    <row r="2699" ht="13" customHeight="1">
      <c r="A2699" s="4" t="n">
        <v>4049</v>
      </c>
      <c r="B2699" s="5" t="inlineStr">
        <is>
          <t>IMG_0120</t>
        </is>
      </c>
      <c r="C2699" s="5" t="inlineStr">
        <is>
          <t>CLASS P: PILES</t>
        </is>
      </c>
      <c r="D2699" s="5" t="inlineStr">
        <is>
          <t>06 ISOLATED STEEL PILES</t>
        </is>
      </c>
      <c r="E2699" s="5" t="inlineStr">
        <is>
          <t>Mass 79 kg/m; 305 x 305 mm</t>
        </is>
      </c>
      <c r="F2699" s="5" t="inlineStr">
        <is>
          <t>number of piles; length 15 m</t>
        </is>
      </c>
      <c r="G2699" s="6" t="inlineStr">
        <is>
          <t>nr</t>
        </is>
      </c>
      <c r="H2699" s="7" t="n"/>
      <c r="I2699" s="8" t="n">
        <v>0</v>
      </c>
      <c r="J2699" s="8" t="n">
        <v>2422.34</v>
      </c>
      <c r="K2699" s="8" t="n">
        <v>0</v>
      </c>
      <c r="L2699" s="8" t="n">
        <v>8635.73</v>
      </c>
      <c r="M2699" s="9">
        <f>ROUND(SUM(I2699:L2699),2)</f>
        <v/>
      </c>
      <c r="N2699" s="10">
        <f>ROUND(I2699*'Irish Basis'!$C$6*'Irish Basis'!$C$5,2)</f>
        <v/>
      </c>
      <c r="O2699" s="10">
        <f>ROUND(J2699*'Irish Basis'!$C$7*'Irish Basis'!$C$5,2)</f>
        <v/>
      </c>
      <c r="P2699" s="10">
        <f>ROUND(K2699*'Irish Basis'!$C$8*'Irish Basis'!$C$5,2)</f>
        <v/>
      </c>
      <c r="Q2699" s="10">
        <f>ROUND(L2699*'Irish Basis'!$C$12*'Irish Basis'!$C$5,2)</f>
        <v/>
      </c>
      <c r="R2699" s="11">
        <f>ROUND(SUM(N2699:Q2699),2)</f>
        <v/>
      </c>
      <c r="S2699" s="5" t="inlineStr">
        <is>
          <t>Stated components + specialist balance</t>
        </is>
      </c>
      <c r="T2699" s="16" t="inlineStr">
        <is>
          <t>Medium</t>
        </is>
      </c>
      <c r="U2699" s="8" t="n">
        <v>11058.07</v>
      </c>
      <c r="V2699" s="13">
        <f>IF(U2699="","",ROUND(M2699-U2699,2))</f>
        <v/>
      </c>
      <c r="W2699" s="15" t="inlineStr">
        <is>
          <t>Large unexplained balance</t>
        </is>
      </c>
      <c r="X2699" s="5" t="inlineStr">
        <is>
          <t>Published plant/labour retained; the £8,635.73 balance of the specialist all-in rate is not broken down in the source.</t>
        </is>
      </c>
    </row>
    <row r="2700" ht="13" customHeight="1">
      <c r="A2700" s="4" t="n">
        <v>4050</v>
      </c>
      <c r="B2700" s="5" t="inlineStr">
        <is>
          <t>IMG_0120</t>
        </is>
      </c>
      <c r="C2700" s="5" t="inlineStr">
        <is>
          <t>CLASS P: PILES</t>
        </is>
      </c>
      <c r="D2700" s="5" t="inlineStr">
        <is>
          <t>06 ISOLATED STEEL PILES</t>
        </is>
      </c>
      <c r="E2700" s="5" t="inlineStr">
        <is>
          <t>Mass 79 kg/m; 305 x 305 mm</t>
        </is>
      </c>
      <c r="F2700" s="5" t="inlineStr">
        <is>
          <t>number of piles; length 20 m</t>
        </is>
      </c>
      <c r="G2700" s="6" t="inlineStr">
        <is>
          <t>nr</t>
        </is>
      </c>
      <c r="H2700" s="7" t="n"/>
      <c r="I2700" s="8" t="n">
        <v>0</v>
      </c>
      <c r="J2700" s="8" t="n">
        <v>3229.79</v>
      </c>
      <c r="K2700" s="8" t="n">
        <v>0</v>
      </c>
      <c r="L2700" s="8" t="n">
        <v>8635.73</v>
      </c>
      <c r="M2700" s="9">
        <f>ROUND(SUM(I2700:L2700),2)</f>
        <v/>
      </c>
      <c r="N2700" s="10">
        <f>ROUND(I2700*'Irish Basis'!$C$6*'Irish Basis'!$C$5,2)</f>
        <v/>
      </c>
      <c r="O2700" s="10">
        <f>ROUND(J2700*'Irish Basis'!$C$7*'Irish Basis'!$C$5,2)</f>
        <v/>
      </c>
      <c r="P2700" s="10">
        <f>ROUND(K2700*'Irish Basis'!$C$8*'Irish Basis'!$C$5,2)</f>
        <v/>
      </c>
      <c r="Q2700" s="10">
        <f>ROUND(L2700*'Irish Basis'!$C$12*'Irish Basis'!$C$5,2)</f>
        <v/>
      </c>
      <c r="R2700" s="11">
        <f>ROUND(SUM(N2700:Q2700),2)</f>
        <v/>
      </c>
      <c r="S2700" s="5" t="inlineStr">
        <is>
          <t>Stated components + specialist balance</t>
        </is>
      </c>
      <c r="T2700" s="16" t="inlineStr">
        <is>
          <t>Medium</t>
        </is>
      </c>
      <c r="U2700" s="8" t="n">
        <v>11865.52</v>
      </c>
      <c r="V2700" s="13">
        <f>IF(U2700="","",ROUND(M2700-U2700,2))</f>
        <v/>
      </c>
      <c r="W2700" s="5" t="n"/>
      <c r="X2700" s="5" t="inlineStr">
        <is>
          <t>Published plant/labour retained; the £8,635.73 balance of the specialist all-in rate is not broken down in the source.</t>
        </is>
      </c>
    </row>
    <row r="2701" ht="13" customHeight="1">
      <c r="A2701" s="4" t="n">
        <v>4051</v>
      </c>
      <c r="B2701" s="5" t="inlineStr">
        <is>
          <t>IMG_0120</t>
        </is>
      </c>
      <c r="C2701" s="5" t="inlineStr">
        <is>
          <t>CLASS P: PILES</t>
        </is>
      </c>
      <c r="D2701" s="5" t="inlineStr">
        <is>
          <t>06 ISOLATED STEEL PILES</t>
        </is>
      </c>
      <c r="E2701" s="5" t="inlineStr">
        <is>
          <t>Mass 79 kg/m; 305 x 305 mm</t>
        </is>
      </c>
      <c r="F2701" s="5" t="inlineStr">
        <is>
          <t>depth driven; vertical</t>
        </is>
      </c>
      <c r="G2701" s="6" t="inlineStr">
        <is>
          <t>m</t>
        </is>
      </c>
      <c r="H2701" s="7" t="n"/>
      <c r="I2701" s="8" t="n">
        <v>0</v>
      </c>
      <c r="J2701" s="8" t="n">
        <v>0</v>
      </c>
      <c r="K2701" s="8" t="n">
        <v>0</v>
      </c>
      <c r="L2701" s="8" t="n">
        <v>6.96</v>
      </c>
      <c r="M2701" s="9">
        <f>ROUND(SUM(I2701:L2701),2)</f>
        <v/>
      </c>
      <c r="N2701" s="10">
        <f>ROUND(I2701*'Irish Basis'!$C$6*'Irish Basis'!$C$5,2)</f>
        <v/>
      </c>
      <c r="O2701" s="10">
        <f>ROUND(J2701*'Irish Basis'!$C$7*'Irish Basis'!$C$5,2)</f>
        <v/>
      </c>
      <c r="P2701" s="10">
        <f>ROUND(K2701*'Irish Basis'!$C$8*'Irish Basis'!$C$5,2)</f>
        <v/>
      </c>
      <c r="Q2701" s="10">
        <f>ROUND(L2701*'Irish Basis'!$C$12*'Irish Basis'!$C$5,2)</f>
        <v/>
      </c>
      <c r="R2701" s="11">
        <f>ROUND(SUM(N2701:Q2701),2)</f>
        <v/>
      </c>
      <c r="S2701" s="5" t="inlineStr">
        <is>
          <t>All-in specialist rate</t>
        </is>
      </c>
      <c r="T2701" s="14" t="inlineStr">
        <is>
          <t>All-in (not split)</t>
        </is>
      </c>
      <c r="U2701" s="8" t="n">
        <v>6.96</v>
      </c>
      <c r="V2701" s="13">
        <f>IF(U2701="","",ROUND(M2701-U2701,2))</f>
        <v/>
      </c>
      <c r="W2701" s="5" t="n"/>
      <c r="X2701" s="5" t="inlineStr">
        <is>
          <t>Source publishes a specialist/sub-contract all-in rate; no labour/plant/material build-up exists to derive from.</t>
        </is>
      </c>
    </row>
    <row r="2702" ht="13" customHeight="1">
      <c r="A2702" s="4" t="n">
        <v>4052</v>
      </c>
      <c r="B2702" s="5" t="inlineStr">
        <is>
          <t>IMG_0120</t>
        </is>
      </c>
      <c r="C2702" s="5" t="inlineStr">
        <is>
          <t>CLASS P: PILES</t>
        </is>
      </c>
      <c r="D2702" s="5" t="inlineStr">
        <is>
          <t>06 ISOLATED STEEL PILES</t>
        </is>
      </c>
      <c r="E2702" s="5" t="inlineStr">
        <is>
          <t>Mass 79 kg/m; 305 x 305 mm</t>
        </is>
      </c>
      <c r="F2702" s="5" t="inlineStr">
        <is>
          <t>depth driven; raking</t>
        </is>
      </c>
      <c r="G2702" s="6" t="inlineStr">
        <is>
          <t>m</t>
        </is>
      </c>
      <c r="H2702" s="7" t="n"/>
      <c r="I2702" s="8" t="n">
        <v>0</v>
      </c>
      <c r="J2702" s="8" t="n">
        <v>0</v>
      </c>
      <c r="K2702" s="8" t="n">
        <v>0</v>
      </c>
      <c r="L2702" s="8" t="n">
        <v>10.66</v>
      </c>
      <c r="M2702" s="9">
        <f>ROUND(SUM(I2702:L2702),2)</f>
        <v/>
      </c>
      <c r="N2702" s="10">
        <f>ROUND(I2702*'Irish Basis'!$C$6*'Irish Basis'!$C$5,2)</f>
        <v/>
      </c>
      <c r="O2702" s="10">
        <f>ROUND(J2702*'Irish Basis'!$C$7*'Irish Basis'!$C$5,2)</f>
        <v/>
      </c>
      <c r="P2702" s="10">
        <f>ROUND(K2702*'Irish Basis'!$C$8*'Irish Basis'!$C$5,2)</f>
        <v/>
      </c>
      <c r="Q2702" s="10">
        <f>ROUND(L2702*'Irish Basis'!$C$12*'Irish Basis'!$C$5,2)</f>
        <v/>
      </c>
      <c r="R2702" s="11">
        <f>ROUND(SUM(N2702:Q2702),2)</f>
        <v/>
      </c>
      <c r="S2702" s="5" t="inlineStr">
        <is>
          <t>All-in specialist rate</t>
        </is>
      </c>
      <c r="T2702" s="14" t="inlineStr">
        <is>
          <t>All-in (not split)</t>
        </is>
      </c>
      <c r="U2702" s="8" t="n">
        <v>10.66</v>
      </c>
      <c r="V2702" s="13">
        <f>IF(U2702="","",ROUND(M2702-U2702,2))</f>
        <v/>
      </c>
      <c r="W2702" s="5" t="n"/>
      <c r="X2702" s="5" t="inlineStr">
        <is>
          <t>Source publishes a specialist/sub-contract all-in rate; no labour/plant/material build-up exists to derive from.</t>
        </is>
      </c>
    </row>
    <row r="2703" ht="13" customHeight="1">
      <c r="A2703" s="4" t="n">
        <v>4054</v>
      </c>
      <c r="B2703" s="5" t="inlineStr">
        <is>
          <t>IMG_0120</t>
        </is>
      </c>
      <c r="C2703" s="5" t="inlineStr">
        <is>
          <t>CLASS P: PILES</t>
        </is>
      </c>
      <c r="D2703" s="5" t="inlineStr">
        <is>
          <t>06 ISOLATED STEEL PILES</t>
        </is>
      </c>
      <c r="E2703" s="5" t="inlineStr">
        <is>
          <t>Mass 95 kg/m; 305 x 305 mm</t>
        </is>
      </c>
      <c r="F2703" s="5" t="inlineStr">
        <is>
          <t>number of piles; length 10 m</t>
        </is>
      </c>
      <c r="G2703" s="6" t="inlineStr">
        <is>
          <t>nr</t>
        </is>
      </c>
      <c r="H2703" s="7" t="n"/>
      <c r="I2703" s="8" t="n">
        <v>0</v>
      </c>
      <c r="J2703" s="8" t="n">
        <v>1820.94</v>
      </c>
      <c r="K2703" s="8" t="n">
        <v>0</v>
      </c>
      <c r="L2703" s="8" t="n">
        <v>8635.73</v>
      </c>
      <c r="M2703" s="9">
        <f>ROUND(SUM(I2703:L2703),2)</f>
        <v/>
      </c>
      <c r="N2703" s="10">
        <f>ROUND(I2703*'Irish Basis'!$C$6*'Irish Basis'!$C$5,2)</f>
        <v/>
      </c>
      <c r="O2703" s="10">
        <f>ROUND(J2703*'Irish Basis'!$C$7*'Irish Basis'!$C$5,2)</f>
        <v/>
      </c>
      <c r="P2703" s="10">
        <f>ROUND(K2703*'Irish Basis'!$C$8*'Irish Basis'!$C$5,2)</f>
        <v/>
      </c>
      <c r="Q2703" s="10">
        <f>ROUND(L2703*'Irish Basis'!$C$12*'Irish Basis'!$C$5,2)</f>
        <v/>
      </c>
      <c r="R2703" s="11">
        <f>ROUND(SUM(N2703:Q2703),2)</f>
        <v/>
      </c>
      <c r="S2703" s="5" t="inlineStr">
        <is>
          <t>Stated components + specialist balance</t>
        </is>
      </c>
      <c r="T2703" s="16" t="inlineStr">
        <is>
          <t>Medium</t>
        </is>
      </c>
      <c r="U2703" s="8" t="n">
        <v>10456.67</v>
      </c>
      <c r="V2703" s="13">
        <f>IF(U2703="","",ROUND(M2703-U2703,2))</f>
        <v/>
      </c>
      <c r="W2703" s="15" t="inlineStr">
        <is>
          <t>Large unexplained balance</t>
        </is>
      </c>
      <c r="X2703" s="5" t="inlineStr">
        <is>
          <t>Published plant/labour retained; the £8,635.73 balance of the specialist all-in rate is not broken down in the source.</t>
        </is>
      </c>
    </row>
    <row r="2704" ht="13" customHeight="1">
      <c r="A2704" s="4" t="n">
        <v>4055</v>
      </c>
      <c r="B2704" s="5" t="inlineStr">
        <is>
          <t>IMG_0120</t>
        </is>
      </c>
      <c r="C2704" s="5" t="inlineStr">
        <is>
          <t>CLASS P: PILES</t>
        </is>
      </c>
      <c r="D2704" s="5" t="inlineStr">
        <is>
          <t>06 ISOLATED STEEL PILES</t>
        </is>
      </c>
      <c r="E2704" s="5" t="inlineStr">
        <is>
          <t>Mass 95 kg/m; 305 x 305 mm</t>
        </is>
      </c>
      <c r="F2704" s="5" t="inlineStr">
        <is>
          <t>number of piles; length 15 m</t>
        </is>
      </c>
      <c r="G2704" s="6" t="inlineStr">
        <is>
          <t>nr</t>
        </is>
      </c>
      <c r="H2704" s="7" t="n"/>
      <c r="I2704" s="8" t="n">
        <v>0</v>
      </c>
      <c r="J2704" s="8" t="n">
        <v>2912.94</v>
      </c>
      <c r="K2704" s="8" t="n">
        <v>0</v>
      </c>
      <c r="L2704" s="8" t="n">
        <v>8635.73</v>
      </c>
      <c r="M2704" s="9">
        <f>ROUND(SUM(I2704:L2704),2)</f>
        <v/>
      </c>
      <c r="N2704" s="10">
        <f>ROUND(I2704*'Irish Basis'!$C$6*'Irish Basis'!$C$5,2)</f>
        <v/>
      </c>
      <c r="O2704" s="10">
        <f>ROUND(J2704*'Irish Basis'!$C$7*'Irish Basis'!$C$5,2)</f>
        <v/>
      </c>
      <c r="P2704" s="10">
        <f>ROUND(K2704*'Irish Basis'!$C$8*'Irish Basis'!$C$5,2)</f>
        <v/>
      </c>
      <c r="Q2704" s="10">
        <f>ROUND(L2704*'Irish Basis'!$C$12*'Irish Basis'!$C$5,2)</f>
        <v/>
      </c>
      <c r="R2704" s="11">
        <f>ROUND(SUM(N2704:Q2704),2)</f>
        <v/>
      </c>
      <c r="S2704" s="5" t="inlineStr">
        <is>
          <t>Stated components + specialist balance</t>
        </is>
      </c>
      <c r="T2704" s="16" t="inlineStr">
        <is>
          <t>Medium</t>
        </is>
      </c>
      <c r="U2704" s="8" t="n">
        <v>11548.67</v>
      </c>
      <c r="V2704" s="13">
        <f>IF(U2704="","",ROUND(M2704-U2704,2))</f>
        <v/>
      </c>
      <c r="W2704" s="5" t="n"/>
      <c r="X2704" s="5" t="inlineStr">
        <is>
          <t>Published plant/labour retained; the £8,635.73 balance of the specialist all-in rate is not broken down in the source.</t>
        </is>
      </c>
    </row>
    <row r="2705" ht="13" customHeight="1">
      <c r="A2705" s="4" t="n">
        <v>4056</v>
      </c>
      <c r="B2705" s="5" t="inlineStr">
        <is>
          <t>IMG_0120</t>
        </is>
      </c>
      <c r="C2705" s="5" t="inlineStr">
        <is>
          <t>CLASS P: PILES</t>
        </is>
      </c>
      <c r="D2705" s="5" t="inlineStr">
        <is>
          <t>06 ISOLATED STEEL PILES</t>
        </is>
      </c>
      <c r="E2705" s="5" t="inlineStr">
        <is>
          <t>Mass 95 kg/m; 305 x 305 mm</t>
        </is>
      </c>
      <c r="F2705" s="5" t="inlineStr">
        <is>
          <t>number of piles; length 20 m</t>
        </is>
      </c>
      <c r="G2705" s="6" t="inlineStr">
        <is>
          <t>nr</t>
        </is>
      </c>
      <c r="H2705" s="7" t="n"/>
      <c r="I2705" s="8" t="n">
        <v>0</v>
      </c>
      <c r="J2705" s="8" t="n">
        <v>3883.92</v>
      </c>
      <c r="K2705" s="8" t="n">
        <v>0</v>
      </c>
      <c r="L2705" s="8" t="n">
        <v>8635.73</v>
      </c>
      <c r="M2705" s="9">
        <f>ROUND(SUM(I2705:L2705),2)</f>
        <v/>
      </c>
      <c r="N2705" s="10">
        <f>ROUND(I2705*'Irish Basis'!$C$6*'Irish Basis'!$C$5,2)</f>
        <v/>
      </c>
      <c r="O2705" s="10">
        <f>ROUND(J2705*'Irish Basis'!$C$7*'Irish Basis'!$C$5,2)</f>
        <v/>
      </c>
      <c r="P2705" s="10">
        <f>ROUND(K2705*'Irish Basis'!$C$8*'Irish Basis'!$C$5,2)</f>
        <v/>
      </c>
      <c r="Q2705" s="10">
        <f>ROUND(L2705*'Irish Basis'!$C$12*'Irish Basis'!$C$5,2)</f>
        <v/>
      </c>
      <c r="R2705" s="11">
        <f>ROUND(SUM(N2705:Q2705),2)</f>
        <v/>
      </c>
      <c r="S2705" s="5" t="inlineStr">
        <is>
          <t>Stated components + specialist balance</t>
        </is>
      </c>
      <c r="T2705" s="16" t="inlineStr">
        <is>
          <t>Medium</t>
        </is>
      </c>
      <c r="U2705" s="8" t="n">
        <v>12519.65</v>
      </c>
      <c r="V2705" s="13">
        <f>IF(U2705="","",ROUND(M2705-U2705,2))</f>
        <v/>
      </c>
      <c r="W2705" s="5" t="n"/>
      <c r="X2705" s="5" t="inlineStr">
        <is>
          <t>Published plant/labour retained; the £8,635.73 balance of the specialist all-in rate is not broken down in the source.</t>
        </is>
      </c>
    </row>
    <row r="2706" ht="13" customHeight="1">
      <c r="A2706" s="4" t="n">
        <v>4057</v>
      </c>
      <c r="B2706" s="5" t="inlineStr">
        <is>
          <t>IMG_0120</t>
        </is>
      </c>
      <c r="C2706" s="5" t="inlineStr">
        <is>
          <t>CLASS P: PILES</t>
        </is>
      </c>
      <c r="D2706" s="5" t="inlineStr">
        <is>
          <t>06 ISOLATED STEEL PILES</t>
        </is>
      </c>
      <c r="E2706" s="5" t="inlineStr">
        <is>
          <t>Mass 95 kg/m; 305 x 305 mm</t>
        </is>
      </c>
      <c r="F2706" s="5" t="inlineStr">
        <is>
          <t>depth driven; vertical</t>
        </is>
      </c>
      <c r="G2706" s="6" t="inlineStr">
        <is>
          <t>m</t>
        </is>
      </c>
      <c r="H2706" s="7" t="n"/>
      <c r="I2706" s="8" t="n">
        <v>0</v>
      </c>
      <c r="J2706" s="8" t="n">
        <v>0</v>
      </c>
      <c r="K2706" s="8" t="n">
        <v>0</v>
      </c>
      <c r="L2706" s="8" t="n">
        <v>7.49</v>
      </c>
      <c r="M2706" s="9">
        <f>ROUND(SUM(I2706:L2706),2)</f>
        <v/>
      </c>
      <c r="N2706" s="10">
        <f>ROUND(I2706*'Irish Basis'!$C$6*'Irish Basis'!$C$5,2)</f>
        <v/>
      </c>
      <c r="O2706" s="10">
        <f>ROUND(J2706*'Irish Basis'!$C$7*'Irish Basis'!$C$5,2)</f>
        <v/>
      </c>
      <c r="P2706" s="10">
        <f>ROUND(K2706*'Irish Basis'!$C$8*'Irish Basis'!$C$5,2)</f>
        <v/>
      </c>
      <c r="Q2706" s="10">
        <f>ROUND(L2706*'Irish Basis'!$C$12*'Irish Basis'!$C$5,2)</f>
        <v/>
      </c>
      <c r="R2706" s="11">
        <f>ROUND(SUM(N2706:Q2706),2)</f>
        <v/>
      </c>
      <c r="S2706" s="5" t="inlineStr">
        <is>
          <t>All-in specialist rate</t>
        </is>
      </c>
      <c r="T2706" s="14" t="inlineStr">
        <is>
          <t>All-in (not split)</t>
        </is>
      </c>
      <c r="U2706" s="8" t="n">
        <v>7.49</v>
      </c>
      <c r="V2706" s="13">
        <f>IF(U2706="","",ROUND(M2706-U2706,2))</f>
        <v/>
      </c>
      <c r="W2706" s="5" t="n"/>
      <c r="X2706" s="5" t="inlineStr">
        <is>
          <t>Source publishes a specialist/sub-contract all-in rate; no labour/plant/material build-up exists to derive from.</t>
        </is>
      </c>
    </row>
    <row r="2707" ht="13" customHeight="1">
      <c r="A2707" s="4" t="n">
        <v>4058</v>
      </c>
      <c r="B2707" s="5" t="inlineStr">
        <is>
          <t>IMG_0120</t>
        </is>
      </c>
      <c r="C2707" s="5" t="inlineStr">
        <is>
          <t>CLASS P: PILES</t>
        </is>
      </c>
      <c r="D2707" s="5" t="inlineStr">
        <is>
          <t>06 ISOLATED STEEL PILES</t>
        </is>
      </c>
      <c r="E2707" s="5" t="inlineStr">
        <is>
          <t>Mass 95 kg/m; 305 x 305 mm</t>
        </is>
      </c>
      <c r="F2707" s="5" t="inlineStr">
        <is>
          <t>depth driven; raking</t>
        </is>
      </c>
      <c r="G2707" s="6" t="inlineStr">
        <is>
          <t>m</t>
        </is>
      </c>
      <c r="H2707" s="7" t="n"/>
      <c r="I2707" s="8" t="n">
        <v>0</v>
      </c>
      <c r="J2707" s="8" t="n">
        <v>0</v>
      </c>
      <c r="K2707" s="8" t="n">
        <v>0</v>
      </c>
      <c r="L2707" s="8" t="n">
        <v>11.22</v>
      </c>
      <c r="M2707" s="9">
        <f>ROUND(SUM(I2707:L2707),2)</f>
        <v/>
      </c>
      <c r="N2707" s="10">
        <f>ROUND(I2707*'Irish Basis'!$C$6*'Irish Basis'!$C$5,2)</f>
        <v/>
      </c>
      <c r="O2707" s="10">
        <f>ROUND(J2707*'Irish Basis'!$C$7*'Irish Basis'!$C$5,2)</f>
        <v/>
      </c>
      <c r="P2707" s="10">
        <f>ROUND(K2707*'Irish Basis'!$C$8*'Irish Basis'!$C$5,2)</f>
        <v/>
      </c>
      <c r="Q2707" s="10">
        <f>ROUND(L2707*'Irish Basis'!$C$12*'Irish Basis'!$C$5,2)</f>
        <v/>
      </c>
      <c r="R2707" s="11">
        <f>ROUND(SUM(N2707:Q2707),2)</f>
        <v/>
      </c>
      <c r="S2707" s="5" t="inlineStr">
        <is>
          <t>All-in specialist rate</t>
        </is>
      </c>
      <c r="T2707" s="14" t="inlineStr">
        <is>
          <t>All-in (not split)</t>
        </is>
      </c>
      <c r="U2707" s="8" t="n">
        <v>11.22</v>
      </c>
      <c r="V2707" s="13">
        <f>IF(U2707="","",ROUND(M2707-U2707,2))</f>
        <v/>
      </c>
      <c r="W2707" s="5" t="n"/>
      <c r="X2707" s="5" t="inlineStr">
        <is>
          <t>Source publishes a specialist/sub-contract all-in rate; no labour/plant/material build-up exists to derive from.</t>
        </is>
      </c>
    </row>
    <row r="2708" ht="13" customHeight="1">
      <c r="A2708" s="4" t="n">
        <v>4060</v>
      </c>
      <c r="B2708" s="5" t="inlineStr">
        <is>
          <t>IMG_0120</t>
        </is>
      </c>
      <c r="C2708" s="5" t="inlineStr">
        <is>
          <t>CLASS P: PILES</t>
        </is>
      </c>
      <c r="D2708" s="5" t="inlineStr">
        <is>
          <t>06 ISOLATED STEEL PILES</t>
        </is>
      </c>
      <c r="E2708" s="5" t="inlineStr">
        <is>
          <t>Mass 110 kg/m; 305 x 305 mm</t>
        </is>
      </c>
      <c r="F2708" s="5" t="inlineStr">
        <is>
          <t>number of piles; length 10 m</t>
        </is>
      </c>
      <c r="G2708" s="6" t="inlineStr">
        <is>
          <t>nr</t>
        </is>
      </c>
      <c r="H2708" s="7" t="n"/>
      <c r="I2708" s="8" t="n">
        <v>0</v>
      </c>
      <c r="J2708" s="8" t="n">
        <v>2108.45</v>
      </c>
      <c r="K2708" s="8" t="n">
        <v>0</v>
      </c>
      <c r="L2708" s="8" t="n">
        <v>7213.9</v>
      </c>
      <c r="M2708" s="9">
        <f>ROUND(SUM(I2708:L2708),2)</f>
        <v/>
      </c>
      <c r="N2708" s="10">
        <f>ROUND(I2708*'Irish Basis'!$C$6*'Irish Basis'!$C$5,2)</f>
        <v/>
      </c>
      <c r="O2708" s="10">
        <f>ROUND(J2708*'Irish Basis'!$C$7*'Irish Basis'!$C$5,2)</f>
        <v/>
      </c>
      <c r="P2708" s="10">
        <f>ROUND(K2708*'Irish Basis'!$C$8*'Irish Basis'!$C$5,2)</f>
        <v/>
      </c>
      <c r="Q2708" s="10">
        <f>ROUND(L2708*'Irish Basis'!$C$12*'Irish Basis'!$C$5,2)</f>
        <v/>
      </c>
      <c r="R2708" s="11">
        <f>ROUND(SUM(N2708:Q2708),2)</f>
        <v/>
      </c>
      <c r="S2708" s="5" t="inlineStr">
        <is>
          <t>Stated components + specialist balance</t>
        </is>
      </c>
      <c r="T2708" s="16" t="inlineStr">
        <is>
          <t>Medium</t>
        </is>
      </c>
      <c r="U2708" s="8" t="n">
        <v>9322.35</v>
      </c>
      <c r="V2708" s="13">
        <f>IF(U2708="","",ROUND(M2708-U2708,2))</f>
        <v/>
      </c>
      <c r="W2708" s="15" t="inlineStr">
        <is>
          <t>Large unexplained balance</t>
        </is>
      </c>
      <c r="X2708" s="5" t="inlineStr">
        <is>
          <t>Published plant/labour retained; the £7,213.90 balance of the specialist all-in rate is not broken down in the source.</t>
        </is>
      </c>
    </row>
    <row r="2709" ht="13" customHeight="1">
      <c r="A2709" s="4" t="n">
        <v>4061</v>
      </c>
      <c r="B2709" s="5" t="inlineStr">
        <is>
          <t>IMG_0120</t>
        </is>
      </c>
      <c r="C2709" s="5" t="inlineStr">
        <is>
          <t>CLASS P: PILES</t>
        </is>
      </c>
      <c r="D2709" s="5" t="inlineStr">
        <is>
          <t>06 ISOLATED STEEL PILES</t>
        </is>
      </c>
      <c r="E2709" s="5" t="inlineStr">
        <is>
          <t>Mass 110 kg/m; 305 x 305 mm</t>
        </is>
      </c>
      <c r="F2709" s="5" t="inlineStr">
        <is>
          <t>number of piles; length 15 m</t>
        </is>
      </c>
      <c r="G2709" s="6" t="inlineStr">
        <is>
          <t>nr</t>
        </is>
      </c>
      <c r="H2709" s="7" t="n"/>
      <c r="I2709" s="8" t="n">
        <v>0</v>
      </c>
      <c r="J2709" s="8" t="n">
        <v>3372.88</v>
      </c>
      <c r="K2709" s="8" t="n">
        <v>0</v>
      </c>
      <c r="L2709" s="8" t="n">
        <v>7213.9</v>
      </c>
      <c r="M2709" s="9">
        <f>ROUND(SUM(I2709:L2709),2)</f>
        <v/>
      </c>
      <c r="N2709" s="10">
        <f>ROUND(I2709*'Irish Basis'!$C$6*'Irish Basis'!$C$5,2)</f>
        <v/>
      </c>
      <c r="O2709" s="10">
        <f>ROUND(J2709*'Irish Basis'!$C$7*'Irish Basis'!$C$5,2)</f>
        <v/>
      </c>
      <c r="P2709" s="10">
        <f>ROUND(K2709*'Irish Basis'!$C$8*'Irish Basis'!$C$5,2)</f>
        <v/>
      </c>
      <c r="Q2709" s="10">
        <f>ROUND(L2709*'Irish Basis'!$C$12*'Irish Basis'!$C$5,2)</f>
        <v/>
      </c>
      <c r="R2709" s="11">
        <f>ROUND(SUM(N2709:Q2709),2)</f>
        <v/>
      </c>
      <c r="S2709" s="5" t="inlineStr">
        <is>
          <t>Stated components + specialist balance</t>
        </is>
      </c>
      <c r="T2709" s="16" t="inlineStr">
        <is>
          <t>Medium</t>
        </is>
      </c>
      <c r="U2709" s="8" t="n">
        <v>10586.78</v>
      </c>
      <c r="V2709" s="13">
        <f>IF(U2709="","",ROUND(M2709-U2709,2))</f>
        <v/>
      </c>
      <c r="W2709" s="5" t="n"/>
      <c r="X2709" s="5" t="inlineStr">
        <is>
          <t>Published plant/labour retained; the £7,213.90 balance of the specialist all-in rate is not broken down in the source.</t>
        </is>
      </c>
    </row>
    <row r="2710" ht="13" customHeight="1">
      <c r="A2710" s="4" t="n">
        <v>4062</v>
      </c>
      <c r="B2710" s="5" t="inlineStr">
        <is>
          <t>IMG_0120</t>
        </is>
      </c>
      <c r="C2710" s="5" t="inlineStr">
        <is>
          <t>CLASS P: PILES</t>
        </is>
      </c>
      <c r="D2710" s="5" t="inlineStr">
        <is>
          <t>06 ISOLATED STEEL PILES</t>
        </is>
      </c>
      <c r="E2710" s="5" t="inlineStr">
        <is>
          <t>Mass 110 kg/m; 305 x 305 mm</t>
        </is>
      </c>
      <c r="F2710" s="5" t="inlineStr">
        <is>
          <t>number of piles; length 20 m</t>
        </is>
      </c>
      <c r="G2710" s="6" t="inlineStr">
        <is>
          <t>nr</t>
        </is>
      </c>
      <c r="H2710" s="7" t="n"/>
      <c r="I2710" s="8" t="n">
        <v>0</v>
      </c>
      <c r="J2710" s="8" t="n">
        <v>4497.17</v>
      </c>
      <c r="K2710" s="8" t="n">
        <v>0</v>
      </c>
      <c r="L2710" s="8" t="n">
        <v>7213.91</v>
      </c>
      <c r="M2710" s="9">
        <f>ROUND(SUM(I2710:L2710),2)</f>
        <v/>
      </c>
      <c r="N2710" s="10">
        <f>ROUND(I2710*'Irish Basis'!$C$6*'Irish Basis'!$C$5,2)</f>
        <v/>
      </c>
      <c r="O2710" s="10">
        <f>ROUND(J2710*'Irish Basis'!$C$7*'Irish Basis'!$C$5,2)</f>
        <v/>
      </c>
      <c r="P2710" s="10">
        <f>ROUND(K2710*'Irish Basis'!$C$8*'Irish Basis'!$C$5,2)</f>
        <v/>
      </c>
      <c r="Q2710" s="10">
        <f>ROUND(L2710*'Irish Basis'!$C$12*'Irish Basis'!$C$5,2)</f>
        <v/>
      </c>
      <c r="R2710" s="11">
        <f>ROUND(SUM(N2710:Q2710),2)</f>
        <v/>
      </c>
      <c r="S2710" s="5" t="inlineStr">
        <is>
          <t>Stated components + specialist balance</t>
        </is>
      </c>
      <c r="T2710" s="16" t="inlineStr">
        <is>
          <t>Medium</t>
        </is>
      </c>
      <c r="U2710" s="8" t="n">
        <v>11711.08</v>
      </c>
      <c r="V2710" s="13">
        <f>IF(U2710="","",ROUND(M2710-U2710,2))</f>
        <v/>
      </c>
      <c r="W2710" s="5" t="n"/>
      <c r="X2710" s="5" t="inlineStr">
        <is>
          <t>Published plant/labour retained; the £7,213.91 balance of the specialist all-in rate is not broken down in the source.</t>
        </is>
      </c>
    </row>
    <row r="2711" ht="13" customHeight="1">
      <c r="A2711" s="4" t="n">
        <v>4063</v>
      </c>
      <c r="B2711" s="5" t="inlineStr">
        <is>
          <t>IMG_0120</t>
        </is>
      </c>
      <c r="C2711" s="5" t="inlineStr">
        <is>
          <t>CLASS P: PILES</t>
        </is>
      </c>
      <c r="D2711" s="5" t="inlineStr">
        <is>
          <t>06 ISOLATED STEEL PILES</t>
        </is>
      </c>
      <c r="E2711" s="5" t="inlineStr">
        <is>
          <t>Mass 110 kg/m; 305 x 305 mm</t>
        </is>
      </c>
      <c r="F2711" s="5" t="inlineStr">
        <is>
          <t>depth driven; vertical</t>
        </is>
      </c>
      <c r="G2711" s="6" t="inlineStr">
        <is>
          <t>m</t>
        </is>
      </c>
      <c r="H2711" s="7" t="n"/>
      <c r="I2711" s="8" t="n">
        <v>0</v>
      </c>
      <c r="J2711" s="8" t="n">
        <v>0</v>
      </c>
      <c r="K2711" s="8" t="n">
        <v>0</v>
      </c>
      <c r="L2711" s="8" t="n">
        <v>6.24</v>
      </c>
      <c r="M2711" s="9">
        <f>ROUND(SUM(I2711:L2711),2)</f>
        <v/>
      </c>
      <c r="N2711" s="10">
        <f>ROUND(I2711*'Irish Basis'!$C$6*'Irish Basis'!$C$5,2)</f>
        <v/>
      </c>
      <c r="O2711" s="10">
        <f>ROUND(J2711*'Irish Basis'!$C$7*'Irish Basis'!$C$5,2)</f>
        <v/>
      </c>
      <c r="P2711" s="10">
        <f>ROUND(K2711*'Irish Basis'!$C$8*'Irish Basis'!$C$5,2)</f>
        <v/>
      </c>
      <c r="Q2711" s="10">
        <f>ROUND(L2711*'Irish Basis'!$C$12*'Irish Basis'!$C$5,2)</f>
        <v/>
      </c>
      <c r="R2711" s="11">
        <f>ROUND(SUM(N2711:Q2711),2)</f>
        <v/>
      </c>
      <c r="S2711" s="5" t="inlineStr">
        <is>
          <t>All-in specialist rate</t>
        </is>
      </c>
      <c r="T2711" s="14" t="inlineStr">
        <is>
          <t>All-in (not split)</t>
        </is>
      </c>
      <c r="U2711" s="8" t="n">
        <v>6.24</v>
      </c>
      <c r="V2711" s="13">
        <f>IF(U2711="","",ROUND(M2711-U2711,2))</f>
        <v/>
      </c>
      <c r="W2711" s="5" t="n"/>
      <c r="X2711" s="5" t="inlineStr">
        <is>
          <t>Source publishes a specialist/sub-contract all-in rate; no labour/plant/material build-up exists to derive from.</t>
        </is>
      </c>
    </row>
    <row r="2712" ht="13" customHeight="1">
      <c r="A2712" s="4" t="n">
        <v>4064</v>
      </c>
      <c r="B2712" s="5" t="inlineStr">
        <is>
          <t>IMG_0120</t>
        </is>
      </c>
      <c r="C2712" s="5" t="inlineStr">
        <is>
          <t>CLASS P: PILES</t>
        </is>
      </c>
      <c r="D2712" s="5" t="inlineStr">
        <is>
          <t>06 ISOLATED STEEL PILES</t>
        </is>
      </c>
      <c r="E2712" s="5" t="inlineStr">
        <is>
          <t>Mass 110 kg/m; 305 x 305 mm</t>
        </is>
      </c>
      <c r="F2712" s="5" t="inlineStr">
        <is>
          <t>depth driven; raking</t>
        </is>
      </c>
      <c r="G2712" s="6" t="inlineStr">
        <is>
          <t>m</t>
        </is>
      </c>
      <c r="H2712" s="7" t="n"/>
      <c r="I2712" s="8" t="n">
        <v>0</v>
      </c>
      <c r="J2712" s="8" t="n">
        <v>0</v>
      </c>
      <c r="K2712" s="8" t="n">
        <v>0</v>
      </c>
      <c r="L2712" s="8" t="n">
        <v>9.35</v>
      </c>
      <c r="M2712" s="9">
        <f>ROUND(SUM(I2712:L2712),2)</f>
        <v/>
      </c>
      <c r="N2712" s="10">
        <f>ROUND(I2712*'Irish Basis'!$C$6*'Irish Basis'!$C$5,2)</f>
        <v/>
      </c>
      <c r="O2712" s="10">
        <f>ROUND(J2712*'Irish Basis'!$C$7*'Irish Basis'!$C$5,2)</f>
        <v/>
      </c>
      <c r="P2712" s="10">
        <f>ROUND(K2712*'Irish Basis'!$C$8*'Irish Basis'!$C$5,2)</f>
        <v/>
      </c>
      <c r="Q2712" s="10">
        <f>ROUND(L2712*'Irish Basis'!$C$12*'Irish Basis'!$C$5,2)</f>
        <v/>
      </c>
      <c r="R2712" s="11">
        <f>ROUND(SUM(N2712:Q2712),2)</f>
        <v/>
      </c>
      <c r="S2712" s="5" t="inlineStr">
        <is>
          <t>All-in specialist rate</t>
        </is>
      </c>
      <c r="T2712" s="14" t="inlineStr">
        <is>
          <t>All-in (not split)</t>
        </is>
      </c>
      <c r="U2712" s="8" t="n">
        <v>9.35</v>
      </c>
      <c r="V2712" s="13">
        <f>IF(U2712="","",ROUND(M2712-U2712,2))</f>
        <v/>
      </c>
      <c r="W2712" s="5" t="n"/>
      <c r="X2712" s="5" t="inlineStr">
        <is>
          <t>Source publishes a specialist/sub-contract all-in rate; no labour/plant/material build-up exists to derive from.</t>
        </is>
      </c>
    </row>
    <row r="2713" ht="13" customHeight="1">
      <c r="A2713" s="4" t="n">
        <v>4066</v>
      </c>
      <c r="B2713" s="5" t="inlineStr">
        <is>
          <t>IMG_0120</t>
        </is>
      </c>
      <c r="C2713" s="5" t="inlineStr">
        <is>
          <t>CLASS P: PILES</t>
        </is>
      </c>
      <c r="D2713" s="5" t="inlineStr">
        <is>
          <t>06 ISOLATED STEEL PILES</t>
        </is>
      </c>
      <c r="E2713" s="5" t="inlineStr">
        <is>
          <t>Mass 126 kg/m; 305 x 305 mm</t>
        </is>
      </c>
      <c r="F2713" s="5" t="inlineStr">
        <is>
          <t>number of piles; length 10 m</t>
        </is>
      </c>
      <c r="G2713" s="6" t="inlineStr">
        <is>
          <t>nr</t>
        </is>
      </c>
      <c r="H2713" s="7" t="n"/>
      <c r="I2713" s="8" t="n">
        <v>0</v>
      </c>
      <c r="J2713" s="8" t="n">
        <v>2415.14</v>
      </c>
      <c r="K2713" s="8" t="n">
        <v>0</v>
      </c>
      <c r="L2713" s="8" t="n">
        <v>7213.9</v>
      </c>
      <c r="M2713" s="9">
        <f>ROUND(SUM(I2713:L2713),2)</f>
        <v/>
      </c>
      <c r="N2713" s="10">
        <f>ROUND(I2713*'Irish Basis'!$C$6*'Irish Basis'!$C$5,2)</f>
        <v/>
      </c>
      <c r="O2713" s="10">
        <f>ROUND(J2713*'Irish Basis'!$C$7*'Irish Basis'!$C$5,2)</f>
        <v/>
      </c>
      <c r="P2713" s="10">
        <f>ROUND(K2713*'Irish Basis'!$C$8*'Irish Basis'!$C$5,2)</f>
        <v/>
      </c>
      <c r="Q2713" s="10">
        <f>ROUND(L2713*'Irish Basis'!$C$12*'Irish Basis'!$C$5,2)</f>
        <v/>
      </c>
      <c r="R2713" s="11">
        <f>ROUND(SUM(N2713:Q2713),2)</f>
        <v/>
      </c>
      <c r="S2713" s="5" t="inlineStr">
        <is>
          <t>Stated components + specialist balance</t>
        </is>
      </c>
      <c r="T2713" s="16" t="inlineStr">
        <is>
          <t>Medium</t>
        </is>
      </c>
      <c r="U2713" s="8" t="n">
        <v>9629.040000000001</v>
      </c>
      <c r="V2713" s="13">
        <f>IF(U2713="","",ROUND(M2713-U2713,2))</f>
        <v/>
      </c>
      <c r="W2713" s="5" t="n"/>
      <c r="X2713" s="5" t="inlineStr">
        <is>
          <t>Published plant/labour retained; the £7,213.90 balance of the specialist all-in rate is not broken down in the source.</t>
        </is>
      </c>
    </row>
    <row r="2714" ht="13" customHeight="1">
      <c r="A2714" s="4" t="n">
        <v>4067</v>
      </c>
      <c r="B2714" s="5" t="inlineStr">
        <is>
          <t>IMG_0120</t>
        </is>
      </c>
      <c r="C2714" s="5" t="inlineStr">
        <is>
          <t>CLASS P: PILES</t>
        </is>
      </c>
      <c r="D2714" s="5" t="inlineStr">
        <is>
          <t>06 ISOLATED STEEL PILES</t>
        </is>
      </c>
      <c r="E2714" s="5" t="inlineStr">
        <is>
          <t>Mass 126 kg/m; 305 x 305 mm</t>
        </is>
      </c>
      <c r="F2714" s="5" t="inlineStr">
        <is>
          <t>number of piles; length 15 m</t>
        </is>
      </c>
      <c r="G2714" s="6" t="inlineStr">
        <is>
          <t>nr</t>
        </is>
      </c>
      <c r="H2714" s="7" t="n"/>
      <c r="I2714" s="8" t="n">
        <v>0</v>
      </c>
      <c r="J2714" s="8" t="n">
        <v>3863.48</v>
      </c>
      <c r="K2714" s="8" t="n">
        <v>0</v>
      </c>
      <c r="L2714" s="8" t="n">
        <v>7213.9</v>
      </c>
      <c r="M2714" s="9">
        <f>ROUND(SUM(I2714:L2714),2)</f>
        <v/>
      </c>
      <c r="N2714" s="10">
        <f>ROUND(I2714*'Irish Basis'!$C$6*'Irish Basis'!$C$5,2)</f>
        <v/>
      </c>
      <c r="O2714" s="10">
        <f>ROUND(J2714*'Irish Basis'!$C$7*'Irish Basis'!$C$5,2)</f>
        <v/>
      </c>
      <c r="P2714" s="10">
        <f>ROUND(K2714*'Irish Basis'!$C$8*'Irish Basis'!$C$5,2)</f>
        <v/>
      </c>
      <c r="Q2714" s="10">
        <f>ROUND(L2714*'Irish Basis'!$C$12*'Irish Basis'!$C$5,2)</f>
        <v/>
      </c>
      <c r="R2714" s="11">
        <f>ROUND(SUM(N2714:Q2714),2)</f>
        <v/>
      </c>
      <c r="S2714" s="5" t="inlineStr">
        <is>
          <t>Stated components + specialist balance</t>
        </is>
      </c>
      <c r="T2714" s="16" t="inlineStr">
        <is>
          <t>Medium</t>
        </is>
      </c>
      <c r="U2714" s="8" t="n">
        <v>11077.38</v>
      </c>
      <c r="V2714" s="13">
        <f>IF(U2714="","",ROUND(M2714-U2714,2))</f>
        <v/>
      </c>
      <c r="W2714" s="5" t="n"/>
      <c r="X2714" s="5" t="inlineStr">
        <is>
          <t>Published plant/labour retained; the £7,213.90 balance of the specialist all-in rate is not broken down in the source.</t>
        </is>
      </c>
    </row>
    <row r="2715" ht="13" customHeight="1">
      <c r="A2715" s="4" t="n">
        <v>4068</v>
      </c>
      <c r="B2715" s="5" t="inlineStr">
        <is>
          <t>IMG_0120</t>
        </is>
      </c>
      <c r="C2715" s="5" t="inlineStr">
        <is>
          <t>CLASS P: PILES</t>
        </is>
      </c>
      <c r="D2715" s="5" t="inlineStr">
        <is>
          <t>06 ISOLATED STEEL PILES</t>
        </is>
      </c>
      <c r="E2715" s="5" t="inlineStr">
        <is>
          <t>Mass 126 kg/m; 305 x 305 mm</t>
        </is>
      </c>
      <c r="F2715" s="5" t="inlineStr">
        <is>
          <t>number of piles; length 20 m</t>
        </is>
      </c>
      <c r="G2715" s="6" t="inlineStr">
        <is>
          <t>nr</t>
        </is>
      </c>
      <c r="H2715" s="7" t="n"/>
      <c r="I2715" s="8" t="n">
        <v>0</v>
      </c>
      <c r="J2715" s="8" t="n">
        <v>5151.31</v>
      </c>
      <c r="K2715" s="8" t="n">
        <v>0</v>
      </c>
      <c r="L2715" s="8" t="n">
        <v>7213.9</v>
      </c>
      <c r="M2715" s="9">
        <f>ROUND(SUM(I2715:L2715),2)</f>
        <v/>
      </c>
      <c r="N2715" s="10">
        <f>ROUND(I2715*'Irish Basis'!$C$6*'Irish Basis'!$C$5,2)</f>
        <v/>
      </c>
      <c r="O2715" s="10">
        <f>ROUND(J2715*'Irish Basis'!$C$7*'Irish Basis'!$C$5,2)</f>
        <v/>
      </c>
      <c r="P2715" s="10">
        <f>ROUND(K2715*'Irish Basis'!$C$8*'Irish Basis'!$C$5,2)</f>
        <v/>
      </c>
      <c r="Q2715" s="10">
        <f>ROUND(L2715*'Irish Basis'!$C$12*'Irish Basis'!$C$5,2)</f>
        <v/>
      </c>
      <c r="R2715" s="11">
        <f>ROUND(SUM(N2715:Q2715),2)</f>
        <v/>
      </c>
      <c r="S2715" s="5" t="inlineStr">
        <is>
          <t>Stated components + specialist balance</t>
        </is>
      </c>
      <c r="T2715" s="16" t="inlineStr">
        <is>
          <t>Medium</t>
        </is>
      </c>
      <c r="U2715" s="8" t="n">
        <v>12365.21</v>
      </c>
      <c r="V2715" s="13">
        <f>IF(U2715="","",ROUND(M2715-U2715,2))</f>
        <v/>
      </c>
      <c r="W2715" s="5" t="n"/>
      <c r="X2715" s="5" t="inlineStr">
        <is>
          <t>Published plant/labour retained; the £7,213.90 balance of the specialist all-in rate is not broken down in the source.</t>
        </is>
      </c>
    </row>
    <row r="2716" ht="13" customHeight="1">
      <c r="A2716" s="4" t="n">
        <v>4069</v>
      </c>
      <c r="B2716" s="5" t="inlineStr">
        <is>
          <t>IMG_0120</t>
        </is>
      </c>
      <c r="C2716" s="5" t="inlineStr">
        <is>
          <t>CLASS P: PILES</t>
        </is>
      </c>
      <c r="D2716" s="5" t="inlineStr">
        <is>
          <t>06 ISOLATED STEEL PILES</t>
        </is>
      </c>
      <c r="E2716" s="5" t="inlineStr">
        <is>
          <t>Mass 126 kg/m; 305 x 305 mm</t>
        </is>
      </c>
      <c r="F2716" s="5" t="inlineStr">
        <is>
          <t>driving piles; vertical</t>
        </is>
      </c>
      <c r="G2716" s="6" t="inlineStr">
        <is>
          <t>m</t>
        </is>
      </c>
      <c r="H2716" s="7" t="n"/>
      <c r="I2716" s="8" t="n">
        <v>0</v>
      </c>
      <c r="J2716" s="8" t="n">
        <v>0</v>
      </c>
      <c r="K2716" s="8" t="n">
        <v>0</v>
      </c>
      <c r="L2716" s="8" t="n">
        <v>6.63</v>
      </c>
      <c r="M2716" s="9">
        <f>ROUND(SUM(I2716:L2716),2)</f>
        <v/>
      </c>
      <c r="N2716" s="10">
        <f>ROUND(I2716*'Irish Basis'!$C$6*'Irish Basis'!$C$5,2)</f>
        <v/>
      </c>
      <c r="O2716" s="10">
        <f>ROUND(J2716*'Irish Basis'!$C$7*'Irish Basis'!$C$5,2)</f>
        <v/>
      </c>
      <c r="P2716" s="10">
        <f>ROUND(K2716*'Irish Basis'!$C$8*'Irish Basis'!$C$5,2)</f>
        <v/>
      </c>
      <c r="Q2716" s="10">
        <f>ROUND(L2716*'Irish Basis'!$C$12*'Irish Basis'!$C$5,2)</f>
        <v/>
      </c>
      <c r="R2716" s="11">
        <f>ROUND(SUM(N2716:Q2716),2)</f>
        <v/>
      </c>
      <c r="S2716" s="5" t="inlineStr">
        <is>
          <t>All-in specialist rate</t>
        </is>
      </c>
      <c r="T2716" s="14" t="inlineStr">
        <is>
          <t>All-in (not split)</t>
        </is>
      </c>
      <c r="U2716" s="8" t="n">
        <v>6.63</v>
      </c>
      <c r="V2716" s="13">
        <f>IF(U2716="","",ROUND(M2716-U2716,2))</f>
        <v/>
      </c>
      <c r="W2716" s="5" t="n"/>
      <c r="X2716" s="5" t="inlineStr">
        <is>
          <t>Source publishes a specialist/sub-contract all-in rate; no labour/plant/material build-up exists to derive from.</t>
        </is>
      </c>
    </row>
    <row r="2717" ht="13" customHeight="1">
      <c r="A2717" s="4" t="n">
        <v>4070</v>
      </c>
      <c r="B2717" s="5" t="inlineStr">
        <is>
          <t>IMG_0120</t>
        </is>
      </c>
      <c r="C2717" s="5" t="inlineStr">
        <is>
          <t>CLASS P: PILES</t>
        </is>
      </c>
      <c r="D2717" s="5" t="inlineStr">
        <is>
          <t>06 ISOLATED STEEL PILES</t>
        </is>
      </c>
      <c r="E2717" s="5" t="inlineStr">
        <is>
          <t>Mass 126 kg/m; 305 x 305 mm</t>
        </is>
      </c>
      <c r="F2717" s="5" t="inlineStr">
        <is>
          <t>driving piles; raking</t>
        </is>
      </c>
      <c r="G2717" s="6" t="inlineStr">
        <is>
          <t>m</t>
        </is>
      </c>
      <c r="H2717" s="7" t="n"/>
      <c r="I2717" s="8" t="n">
        <v>0</v>
      </c>
      <c r="J2717" s="8" t="n">
        <v>0</v>
      </c>
      <c r="K2717" s="8" t="n">
        <v>0</v>
      </c>
      <c r="L2717" s="8" t="n">
        <v>10.22</v>
      </c>
      <c r="M2717" s="9">
        <f>ROUND(SUM(I2717:L2717),2)</f>
        <v/>
      </c>
      <c r="N2717" s="10">
        <f>ROUND(I2717*'Irish Basis'!$C$6*'Irish Basis'!$C$5,2)</f>
        <v/>
      </c>
      <c r="O2717" s="10">
        <f>ROUND(J2717*'Irish Basis'!$C$7*'Irish Basis'!$C$5,2)</f>
        <v/>
      </c>
      <c r="P2717" s="10">
        <f>ROUND(K2717*'Irish Basis'!$C$8*'Irish Basis'!$C$5,2)</f>
        <v/>
      </c>
      <c r="Q2717" s="10">
        <f>ROUND(L2717*'Irish Basis'!$C$12*'Irish Basis'!$C$5,2)</f>
        <v/>
      </c>
      <c r="R2717" s="11">
        <f>ROUND(SUM(N2717:Q2717),2)</f>
        <v/>
      </c>
      <c r="S2717" s="5" t="inlineStr">
        <is>
          <t>All-in specialist rate</t>
        </is>
      </c>
      <c r="T2717" s="14" t="inlineStr">
        <is>
          <t>All-in (not split)</t>
        </is>
      </c>
      <c r="U2717" s="8" t="n">
        <v>10.22</v>
      </c>
      <c r="V2717" s="13">
        <f>IF(U2717="","",ROUND(M2717-U2717,2))</f>
        <v/>
      </c>
      <c r="W2717" s="5" t="n"/>
      <c r="X2717" s="5" t="inlineStr">
        <is>
          <t>Source publishes a specialist/sub-contract all-in rate; no labour/plant/material build-up exists to derive from.</t>
        </is>
      </c>
    </row>
    <row r="2718" ht="13" customHeight="1">
      <c r="A2718" s="4" t="n">
        <v>4072</v>
      </c>
      <c r="B2718" s="5" t="inlineStr">
        <is>
          <t>IMG_0120</t>
        </is>
      </c>
      <c r="C2718" s="5" t="inlineStr">
        <is>
          <t>CLASS P: PILES</t>
        </is>
      </c>
      <c r="D2718" s="5" t="inlineStr">
        <is>
          <t>06 ISOLATED STEEL PILES</t>
        </is>
      </c>
      <c r="E2718" s="5" t="inlineStr">
        <is>
          <t>Mass 149 kg/m; 305 x 305 mm</t>
        </is>
      </c>
      <c r="F2718" s="5" t="inlineStr">
        <is>
          <t>number of piles; length 10 m</t>
        </is>
      </c>
      <c r="G2718" s="6" t="inlineStr">
        <is>
          <t>nr</t>
        </is>
      </c>
      <c r="H2718" s="7" t="n"/>
      <c r="I2718" s="8" t="n">
        <v>0</v>
      </c>
      <c r="J2718" s="8" t="n">
        <v>2856</v>
      </c>
      <c r="K2718" s="8" t="n">
        <v>0</v>
      </c>
      <c r="L2718" s="8" t="n">
        <v>7213.9</v>
      </c>
      <c r="M2718" s="9">
        <f>ROUND(SUM(I2718:L2718),2)</f>
        <v/>
      </c>
      <c r="N2718" s="10">
        <f>ROUND(I2718*'Irish Basis'!$C$6*'Irish Basis'!$C$5,2)</f>
        <v/>
      </c>
      <c r="O2718" s="10">
        <f>ROUND(J2718*'Irish Basis'!$C$7*'Irish Basis'!$C$5,2)</f>
        <v/>
      </c>
      <c r="P2718" s="10">
        <f>ROUND(K2718*'Irish Basis'!$C$8*'Irish Basis'!$C$5,2)</f>
        <v/>
      </c>
      <c r="Q2718" s="10">
        <f>ROUND(L2718*'Irish Basis'!$C$12*'Irish Basis'!$C$5,2)</f>
        <v/>
      </c>
      <c r="R2718" s="11">
        <f>ROUND(SUM(N2718:Q2718),2)</f>
        <v/>
      </c>
      <c r="S2718" s="5" t="inlineStr">
        <is>
          <t>Stated components + specialist balance</t>
        </is>
      </c>
      <c r="T2718" s="16" t="inlineStr">
        <is>
          <t>Medium</t>
        </is>
      </c>
      <c r="U2718" s="8" t="n">
        <v>10069.9</v>
      </c>
      <c r="V2718" s="13">
        <f>IF(U2718="","",ROUND(M2718-U2718,2))</f>
        <v/>
      </c>
      <c r="W2718" s="5" t="n"/>
      <c r="X2718" s="5" t="inlineStr">
        <is>
          <t>Published plant/labour retained; the £7,213.90 balance of the specialist all-in rate is not broken down in the source.</t>
        </is>
      </c>
    </row>
    <row r="2719" ht="13" customHeight="1">
      <c r="A2719" s="4" t="n">
        <v>4073</v>
      </c>
      <c r="B2719" s="5" t="inlineStr">
        <is>
          <t>IMG_0120</t>
        </is>
      </c>
      <c r="C2719" s="5" t="inlineStr">
        <is>
          <t>CLASS P: PILES</t>
        </is>
      </c>
      <c r="D2719" s="5" t="inlineStr">
        <is>
          <t>06 ISOLATED STEEL PILES</t>
        </is>
      </c>
      <c r="E2719" s="5" t="inlineStr">
        <is>
          <t>Mass 149 kg/m; 305 x 305 mm</t>
        </is>
      </c>
      <c r="F2719" s="5" t="inlineStr">
        <is>
          <t>number of piles; length 15 m</t>
        </is>
      </c>
      <c r="G2719" s="6" t="inlineStr">
        <is>
          <t>nr</t>
        </is>
      </c>
      <c r="H2719" s="7" t="n"/>
      <c r="I2719" s="8" t="n">
        <v>0</v>
      </c>
      <c r="J2719" s="8" t="n">
        <v>4568.72</v>
      </c>
      <c r="K2719" s="8" t="n">
        <v>0</v>
      </c>
      <c r="L2719" s="8" t="n">
        <v>7213.9</v>
      </c>
      <c r="M2719" s="9">
        <f>ROUND(SUM(I2719:L2719),2)</f>
        <v/>
      </c>
      <c r="N2719" s="10">
        <f>ROUND(I2719*'Irish Basis'!$C$6*'Irish Basis'!$C$5,2)</f>
        <v/>
      </c>
      <c r="O2719" s="10">
        <f>ROUND(J2719*'Irish Basis'!$C$7*'Irish Basis'!$C$5,2)</f>
        <v/>
      </c>
      <c r="P2719" s="10">
        <f>ROUND(K2719*'Irish Basis'!$C$8*'Irish Basis'!$C$5,2)</f>
        <v/>
      </c>
      <c r="Q2719" s="10">
        <f>ROUND(L2719*'Irish Basis'!$C$12*'Irish Basis'!$C$5,2)</f>
        <v/>
      </c>
      <c r="R2719" s="11">
        <f>ROUND(SUM(N2719:Q2719),2)</f>
        <v/>
      </c>
      <c r="S2719" s="5" t="inlineStr">
        <is>
          <t>Stated components + specialist balance</t>
        </is>
      </c>
      <c r="T2719" s="16" t="inlineStr">
        <is>
          <t>Medium</t>
        </is>
      </c>
      <c r="U2719" s="8" t="n">
        <v>11782.62</v>
      </c>
      <c r="V2719" s="13">
        <f>IF(U2719="","",ROUND(M2719-U2719,2))</f>
        <v/>
      </c>
      <c r="W2719" s="5" t="n"/>
      <c r="X2719" s="5" t="inlineStr">
        <is>
          <t>Published plant/labour retained; the £7,213.90 balance of the specialist all-in rate is not broken down in the source.</t>
        </is>
      </c>
    </row>
    <row r="2720" ht="13" customHeight="1">
      <c r="A2720" s="4" t="n">
        <v>4074</v>
      </c>
      <c r="B2720" s="5" t="inlineStr">
        <is>
          <t>IMG_0120</t>
        </is>
      </c>
      <c r="C2720" s="5" t="inlineStr">
        <is>
          <t>CLASS P: PILES</t>
        </is>
      </c>
      <c r="D2720" s="5" t="inlineStr">
        <is>
          <t>06 ISOLATED STEEL PILES</t>
        </is>
      </c>
      <c r="E2720" s="5" t="inlineStr">
        <is>
          <t>Mass 149 kg/m; 305 x 305 mm</t>
        </is>
      </c>
      <c r="F2720" s="5" t="inlineStr">
        <is>
          <t>number of piles; length 20 m</t>
        </is>
      </c>
      <c r="G2720" s="6" t="inlineStr">
        <is>
          <t>nr</t>
        </is>
      </c>
      <c r="H2720" s="7" t="n"/>
      <c r="I2720" s="8" t="n">
        <v>0</v>
      </c>
      <c r="J2720" s="8" t="n">
        <v>6091.63</v>
      </c>
      <c r="K2720" s="8" t="n">
        <v>0</v>
      </c>
      <c r="L2720" s="8" t="n">
        <v>7213.9</v>
      </c>
      <c r="M2720" s="9">
        <f>ROUND(SUM(I2720:L2720),2)</f>
        <v/>
      </c>
      <c r="N2720" s="10">
        <f>ROUND(I2720*'Irish Basis'!$C$6*'Irish Basis'!$C$5,2)</f>
        <v/>
      </c>
      <c r="O2720" s="10">
        <f>ROUND(J2720*'Irish Basis'!$C$7*'Irish Basis'!$C$5,2)</f>
        <v/>
      </c>
      <c r="P2720" s="10">
        <f>ROUND(K2720*'Irish Basis'!$C$8*'Irish Basis'!$C$5,2)</f>
        <v/>
      </c>
      <c r="Q2720" s="10">
        <f>ROUND(L2720*'Irish Basis'!$C$12*'Irish Basis'!$C$5,2)</f>
        <v/>
      </c>
      <c r="R2720" s="11">
        <f>ROUND(SUM(N2720:Q2720),2)</f>
        <v/>
      </c>
      <c r="S2720" s="5" t="inlineStr">
        <is>
          <t>Stated components + specialist balance</t>
        </is>
      </c>
      <c r="T2720" s="16" t="inlineStr">
        <is>
          <t>Medium</t>
        </is>
      </c>
      <c r="U2720" s="8" t="n">
        <v>13305.53</v>
      </c>
      <c r="V2720" s="13">
        <f>IF(U2720="","",ROUND(M2720-U2720,2))</f>
        <v/>
      </c>
      <c r="W2720" s="5" t="n"/>
      <c r="X2720" s="5" t="inlineStr">
        <is>
          <t>Published plant/labour retained; the £7,213.90 balance of the specialist all-in rate is not broken down in the source.</t>
        </is>
      </c>
    </row>
    <row r="2721" ht="13" customHeight="1">
      <c r="A2721" s="4" t="n">
        <v>4075</v>
      </c>
      <c r="B2721" s="5" t="inlineStr">
        <is>
          <t>IMG_0120</t>
        </is>
      </c>
      <c r="C2721" s="5" t="inlineStr">
        <is>
          <t>CLASS P: PILES</t>
        </is>
      </c>
      <c r="D2721" s="5" t="inlineStr">
        <is>
          <t>06 ISOLATED STEEL PILES</t>
        </is>
      </c>
      <c r="E2721" s="5" t="inlineStr">
        <is>
          <t>Mass 149 kg/m; 305 x 305 mm</t>
        </is>
      </c>
      <c r="F2721" s="5" t="inlineStr">
        <is>
          <t>driving piles; vertical</t>
        </is>
      </c>
      <c r="G2721" s="6" t="inlineStr">
        <is>
          <t>m</t>
        </is>
      </c>
      <c r="H2721" s="7" t="n"/>
      <c r="I2721" s="8" t="n">
        <v>0</v>
      </c>
      <c r="J2721" s="8" t="n">
        <v>0</v>
      </c>
      <c r="K2721" s="8" t="n">
        <v>0</v>
      </c>
      <c r="L2721" s="8" t="n">
        <v>6.63</v>
      </c>
      <c r="M2721" s="9">
        <f>ROUND(SUM(I2721:L2721),2)</f>
        <v/>
      </c>
      <c r="N2721" s="10">
        <f>ROUND(I2721*'Irish Basis'!$C$6*'Irish Basis'!$C$5,2)</f>
        <v/>
      </c>
      <c r="O2721" s="10">
        <f>ROUND(J2721*'Irish Basis'!$C$7*'Irish Basis'!$C$5,2)</f>
        <v/>
      </c>
      <c r="P2721" s="10">
        <f>ROUND(K2721*'Irish Basis'!$C$8*'Irish Basis'!$C$5,2)</f>
        <v/>
      </c>
      <c r="Q2721" s="10">
        <f>ROUND(L2721*'Irish Basis'!$C$12*'Irish Basis'!$C$5,2)</f>
        <v/>
      </c>
      <c r="R2721" s="11">
        <f>ROUND(SUM(N2721:Q2721),2)</f>
        <v/>
      </c>
      <c r="S2721" s="5" t="inlineStr">
        <is>
          <t>All-in specialist rate</t>
        </is>
      </c>
      <c r="T2721" s="14" t="inlineStr">
        <is>
          <t>All-in (not split)</t>
        </is>
      </c>
      <c r="U2721" s="8" t="n">
        <v>6.63</v>
      </c>
      <c r="V2721" s="13">
        <f>IF(U2721="","",ROUND(M2721-U2721,2))</f>
        <v/>
      </c>
      <c r="W2721" s="5" t="n"/>
      <c r="X2721" s="5" t="inlineStr">
        <is>
          <t>Source publishes a specialist/sub-contract all-in rate; no labour/plant/material build-up exists to derive from.</t>
        </is>
      </c>
    </row>
    <row r="2722" ht="13" customHeight="1">
      <c r="A2722" s="4" t="n">
        <v>4076</v>
      </c>
      <c r="B2722" s="5" t="inlineStr">
        <is>
          <t>IMG_0120</t>
        </is>
      </c>
      <c r="C2722" s="5" t="inlineStr">
        <is>
          <t>CLASS P: PILES</t>
        </is>
      </c>
      <c r="D2722" s="5" t="inlineStr">
        <is>
          <t>06 ISOLATED STEEL PILES</t>
        </is>
      </c>
      <c r="E2722" s="5" t="inlineStr">
        <is>
          <t>Mass 149 kg/m; 305 x 305 mm</t>
        </is>
      </c>
      <c r="F2722" s="5" t="inlineStr">
        <is>
          <t>driving piles; raking</t>
        </is>
      </c>
      <c r="G2722" s="6" t="inlineStr">
        <is>
          <t>m</t>
        </is>
      </c>
      <c r="H2722" s="7" t="n"/>
      <c r="I2722" s="8" t="n">
        <v>0</v>
      </c>
      <c r="J2722" s="8" t="n">
        <v>0</v>
      </c>
      <c r="K2722" s="8" t="n">
        <v>0</v>
      </c>
      <c r="L2722" s="8" t="n">
        <v>10.22</v>
      </c>
      <c r="M2722" s="9">
        <f>ROUND(SUM(I2722:L2722),2)</f>
        <v/>
      </c>
      <c r="N2722" s="10">
        <f>ROUND(I2722*'Irish Basis'!$C$6*'Irish Basis'!$C$5,2)</f>
        <v/>
      </c>
      <c r="O2722" s="10">
        <f>ROUND(J2722*'Irish Basis'!$C$7*'Irish Basis'!$C$5,2)</f>
        <v/>
      </c>
      <c r="P2722" s="10">
        <f>ROUND(K2722*'Irish Basis'!$C$8*'Irish Basis'!$C$5,2)</f>
        <v/>
      </c>
      <c r="Q2722" s="10">
        <f>ROUND(L2722*'Irish Basis'!$C$12*'Irish Basis'!$C$5,2)</f>
        <v/>
      </c>
      <c r="R2722" s="11">
        <f>ROUND(SUM(N2722:Q2722),2)</f>
        <v/>
      </c>
      <c r="S2722" s="5" t="inlineStr">
        <is>
          <t>All-in specialist rate</t>
        </is>
      </c>
      <c r="T2722" s="14" t="inlineStr">
        <is>
          <t>All-in (not split)</t>
        </is>
      </c>
      <c r="U2722" s="8" t="n">
        <v>10.22</v>
      </c>
      <c r="V2722" s="13">
        <f>IF(U2722="","",ROUND(M2722-U2722,2))</f>
        <v/>
      </c>
      <c r="W2722" s="5" t="n"/>
      <c r="X2722" s="5" t="inlineStr">
        <is>
          <t>Source publishes a specialist/sub-contract all-in rate; no labour/plant/material build-up exists to derive from.</t>
        </is>
      </c>
    </row>
    <row r="2723" ht="13" customHeight="1">
      <c r="A2723" s="4" t="n">
        <v>4078</v>
      </c>
      <c r="B2723" s="5" t="inlineStr">
        <is>
          <t>IMG_0120</t>
        </is>
      </c>
      <c r="C2723" s="5" t="inlineStr">
        <is>
          <t>CLASS P: PILES</t>
        </is>
      </c>
      <c r="D2723" s="5" t="inlineStr">
        <is>
          <t>06 ISOLATED STEEL PILES</t>
        </is>
      </c>
      <c r="E2723" s="5" t="inlineStr">
        <is>
          <t>Mass 186 kg/m; 305 x 305 mm</t>
        </is>
      </c>
      <c r="F2723" s="5" t="inlineStr">
        <is>
          <t>number of piles; length 10 m</t>
        </is>
      </c>
      <c r="G2723" s="6" t="inlineStr">
        <is>
          <t>nr</t>
        </is>
      </c>
      <c r="H2723" s="7" t="n"/>
      <c r="I2723" s="8" t="n">
        <v>0</v>
      </c>
      <c r="J2723" s="8" t="n">
        <v>3565.2</v>
      </c>
      <c r="K2723" s="8" t="n">
        <v>0</v>
      </c>
      <c r="L2723" s="8" t="n">
        <v>7213.9</v>
      </c>
      <c r="M2723" s="9">
        <f>ROUND(SUM(I2723:L2723),2)</f>
        <v/>
      </c>
      <c r="N2723" s="10">
        <f>ROUND(I2723*'Irish Basis'!$C$6*'Irish Basis'!$C$5,2)</f>
        <v/>
      </c>
      <c r="O2723" s="10">
        <f>ROUND(J2723*'Irish Basis'!$C$7*'Irish Basis'!$C$5,2)</f>
        <v/>
      </c>
      <c r="P2723" s="10">
        <f>ROUND(K2723*'Irish Basis'!$C$8*'Irish Basis'!$C$5,2)</f>
        <v/>
      </c>
      <c r="Q2723" s="10">
        <f>ROUND(L2723*'Irish Basis'!$C$12*'Irish Basis'!$C$5,2)</f>
        <v/>
      </c>
      <c r="R2723" s="11">
        <f>ROUND(SUM(N2723:Q2723),2)</f>
        <v/>
      </c>
      <c r="S2723" s="5" t="inlineStr">
        <is>
          <t>Stated components + specialist balance</t>
        </is>
      </c>
      <c r="T2723" s="16" t="inlineStr">
        <is>
          <t>Medium</t>
        </is>
      </c>
      <c r="U2723" s="8" t="n">
        <v>10779.1</v>
      </c>
      <c r="V2723" s="13">
        <f>IF(U2723="","",ROUND(M2723-U2723,2))</f>
        <v/>
      </c>
      <c r="W2723" s="5" t="n"/>
      <c r="X2723" s="5" t="inlineStr">
        <is>
          <t>Published plant/labour retained; the £7,213.90 balance of the specialist all-in rate is not broken down in the source.</t>
        </is>
      </c>
    </row>
    <row r="2724" ht="13" customHeight="1">
      <c r="A2724" s="4" t="n">
        <v>4079</v>
      </c>
      <c r="B2724" s="5" t="inlineStr">
        <is>
          <t>IMG_0120</t>
        </is>
      </c>
      <c r="C2724" s="5" t="inlineStr">
        <is>
          <t>CLASS P: PILES</t>
        </is>
      </c>
      <c r="D2724" s="5" t="inlineStr">
        <is>
          <t>06 ISOLATED STEEL PILES</t>
        </is>
      </c>
      <c r="E2724" s="5" t="inlineStr">
        <is>
          <t>Mass 186 kg/m; 305 x 305 mm</t>
        </is>
      </c>
      <c r="F2724" s="5" t="inlineStr">
        <is>
          <t>number of piles; length 15 m</t>
        </is>
      </c>
      <c r="G2724" s="6" t="inlineStr">
        <is>
          <t>nr</t>
        </is>
      </c>
      <c r="H2724" s="7" t="n"/>
      <c r="I2724" s="8" t="n">
        <v>0</v>
      </c>
      <c r="J2724" s="8" t="n">
        <v>5703.23</v>
      </c>
      <c r="K2724" s="8" t="n">
        <v>0</v>
      </c>
      <c r="L2724" s="8" t="n">
        <v>7213.91</v>
      </c>
      <c r="M2724" s="9">
        <f>ROUND(SUM(I2724:L2724),2)</f>
        <v/>
      </c>
      <c r="N2724" s="10">
        <f>ROUND(I2724*'Irish Basis'!$C$6*'Irish Basis'!$C$5,2)</f>
        <v/>
      </c>
      <c r="O2724" s="10">
        <f>ROUND(J2724*'Irish Basis'!$C$7*'Irish Basis'!$C$5,2)</f>
        <v/>
      </c>
      <c r="P2724" s="10">
        <f>ROUND(K2724*'Irish Basis'!$C$8*'Irish Basis'!$C$5,2)</f>
        <v/>
      </c>
      <c r="Q2724" s="10">
        <f>ROUND(L2724*'Irish Basis'!$C$12*'Irish Basis'!$C$5,2)</f>
        <v/>
      </c>
      <c r="R2724" s="11">
        <f>ROUND(SUM(N2724:Q2724),2)</f>
        <v/>
      </c>
      <c r="S2724" s="5" t="inlineStr">
        <is>
          <t>Stated components + specialist balance</t>
        </is>
      </c>
      <c r="T2724" s="16" t="inlineStr">
        <is>
          <t>Medium</t>
        </is>
      </c>
      <c r="U2724" s="8" t="n">
        <v>12917.14</v>
      </c>
      <c r="V2724" s="13">
        <f>IF(U2724="","",ROUND(M2724-U2724,2))</f>
        <v/>
      </c>
      <c r="W2724" s="5" t="n"/>
      <c r="X2724" s="5" t="inlineStr">
        <is>
          <t>Published plant/labour retained; the £7,213.91 balance of the specialist all-in rate is not broken down in the source.</t>
        </is>
      </c>
    </row>
    <row r="2725" ht="13" customHeight="1">
      <c r="A2725" s="4" t="n">
        <v>4080</v>
      </c>
      <c r="B2725" s="5" t="inlineStr">
        <is>
          <t>IMG_0120</t>
        </is>
      </c>
      <c r="C2725" s="5" t="inlineStr">
        <is>
          <t>CLASS P: PILES</t>
        </is>
      </c>
      <c r="D2725" s="5" t="inlineStr">
        <is>
          <t>06 ISOLATED STEEL PILES</t>
        </is>
      </c>
      <c r="E2725" s="5" t="inlineStr">
        <is>
          <t>Mass 186 kg/m; 305 x 305 mm</t>
        </is>
      </c>
      <c r="F2725" s="5" t="inlineStr">
        <is>
          <t>number of piles; length 20 m</t>
        </is>
      </c>
      <c r="G2725" s="6" t="inlineStr">
        <is>
          <t>nr</t>
        </is>
      </c>
      <c r="H2725" s="7" t="n"/>
      <c r="I2725" s="8" t="n">
        <v>0</v>
      </c>
      <c r="J2725" s="8" t="n">
        <v>7604.31</v>
      </c>
      <c r="K2725" s="8" t="n">
        <v>0</v>
      </c>
      <c r="L2725" s="8" t="n">
        <v>7213.9</v>
      </c>
      <c r="M2725" s="9">
        <f>ROUND(SUM(I2725:L2725),2)</f>
        <v/>
      </c>
      <c r="N2725" s="10">
        <f>ROUND(I2725*'Irish Basis'!$C$6*'Irish Basis'!$C$5,2)</f>
        <v/>
      </c>
      <c r="O2725" s="10">
        <f>ROUND(J2725*'Irish Basis'!$C$7*'Irish Basis'!$C$5,2)</f>
        <v/>
      </c>
      <c r="P2725" s="10">
        <f>ROUND(K2725*'Irish Basis'!$C$8*'Irish Basis'!$C$5,2)</f>
        <v/>
      </c>
      <c r="Q2725" s="10">
        <f>ROUND(L2725*'Irish Basis'!$C$12*'Irish Basis'!$C$5,2)</f>
        <v/>
      </c>
      <c r="R2725" s="11">
        <f>ROUND(SUM(N2725:Q2725),2)</f>
        <v/>
      </c>
      <c r="S2725" s="5" t="inlineStr">
        <is>
          <t>Stated components + specialist balance</t>
        </is>
      </c>
      <c r="T2725" s="16" t="inlineStr">
        <is>
          <t>Medium</t>
        </is>
      </c>
      <c r="U2725" s="8" t="n">
        <v>14818.21</v>
      </c>
      <c r="V2725" s="13">
        <f>IF(U2725="","",ROUND(M2725-U2725,2))</f>
        <v/>
      </c>
      <c r="W2725" s="5" t="n"/>
      <c r="X2725" s="5" t="inlineStr">
        <is>
          <t>Published plant/labour retained; the £7,213.90 balance of the specialist all-in rate is not broken down in the source.</t>
        </is>
      </c>
    </row>
    <row r="2726" ht="13" customHeight="1">
      <c r="A2726" s="4" t="n">
        <v>4081</v>
      </c>
      <c r="B2726" s="5" t="inlineStr">
        <is>
          <t>IMG_0120</t>
        </is>
      </c>
      <c r="C2726" s="5" t="inlineStr">
        <is>
          <t>CLASS P: PILES</t>
        </is>
      </c>
      <c r="D2726" s="5" t="inlineStr">
        <is>
          <t>06 ISOLATED STEEL PILES</t>
        </is>
      </c>
      <c r="E2726" s="5" t="inlineStr">
        <is>
          <t>Mass 186 kg/m; 305 x 305 mm</t>
        </is>
      </c>
      <c r="F2726" s="5" t="inlineStr">
        <is>
          <t>driving piles; vertical</t>
        </is>
      </c>
      <c r="G2726" s="6" t="inlineStr">
        <is>
          <t>m</t>
        </is>
      </c>
      <c r="H2726" s="7" t="n"/>
      <c r="I2726" s="8" t="n">
        <v>0</v>
      </c>
      <c r="J2726" s="8" t="n">
        <v>0</v>
      </c>
      <c r="K2726" s="8" t="n">
        <v>0</v>
      </c>
      <c r="L2726" s="8" t="n">
        <v>7.76</v>
      </c>
      <c r="M2726" s="9">
        <f>ROUND(SUM(I2726:L2726),2)</f>
        <v/>
      </c>
      <c r="N2726" s="10">
        <f>ROUND(I2726*'Irish Basis'!$C$6*'Irish Basis'!$C$5,2)</f>
        <v/>
      </c>
      <c r="O2726" s="10">
        <f>ROUND(J2726*'Irish Basis'!$C$7*'Irish Basis'!$C$5,2)</f>
        <v/>
      </c>
      <c r="P2726" s="10">
        <f>ROUND(K2726*'Irish Basis'!$C$8*'Irish Basis'!$C$5,2)</f>
        <v/>
      </c>
      <c r="Q2726" s="10">
        <f>ROUND(L2726*'Irish Basis'!$C$12*'Irish Basis'!$C$5,2)</f>
        <v/>
      </c>
      <c r="R2726" s="11">
        <f>ROUND(SUM(N2726:Q2726),2)</f>
        <v/>
      </c>
      <c r="S2726" s="5" t="inlineStr">
        <is>
          <t>All-in specialist rate</t>
        </is>
      </c>
      <c r="T2726" s="14" t="inlineStr">
        <is>
          <t>All-in (not split)</t>
        </is>
      </c>
      <c r="U2726" s="8" t="n">
        <v>7.76</v>
      </c>
      <c r="V2726" s="13">
        <f>IF(U2726="","",ROUND(M2726-U2726,2))</f>
        <v/>
      </c>
      <c r="W2726" s="5" t="n"/>
      <c r="X2726" s="5" t="inlineStr">
        <is>
          <t>Source publishes a specialist/sub-contract all-in rate; no labour/plant/material build-up exists to derive from.</t>
        </is>
      </c>
    </row>
    <row r="2727" ht="13" customHeight="1">
      <c r="A2727" s="4" t="n">
        <v>4082</v>
      </c>
      <c r="B2727" s="5" t="inlineStr">
        <is>
          <t>IMG_0120</t>
        </is>
      </c>
      <c r="C2727" s="5" t="inlineStr">
        <is>
          <t>CLASS P: PILES</t>
        </is>
      </c>
      <c r="D2727" s="5" t="inlineStr">
        <is>
          <t>06 ISOLATED STEEL PILES</t>
        </is>
      </c>
      <c r="E2727" s="5" t="inlineStr">
        <is>
          <t>Mass 186 kg/m; 305 x 305 mm</t>
        </is>
      </c>
      <c r="F2727" s="5" t="inlineStr">
        <is>
          <t>drive piles; raking</t>
        </is>
      </c>
      <c r="G2727" s="6" t="inlineStr">
        <is>
          <t>m</t>
        </is>
      </c>
      <c r="H2727" s="7" t="n"/>
      <c r="I2727" s="8" t="n">
        <v>0</v>
      </c>
      <c r="J2727" s="8" t="n">
        <v>0</v>
      </c>
      <c r="K2727" s="8" t="n">
        <v>0</v>
      </c>
      <c r="L2727" s="8" t="n">
        <v>11</v>
      </c>
      <c r="M2727" s="9">
        <f>ROUND(SUM(I2727:L2727),2)</f>
        <v/>
      </c>
      <c r="N2727" s="10">
        <f>ROUND(I2727*'Irish Basis'!$C$6*'Irish Basis'!$C$5,2)</f>
        <v/>
      </c>
      <c r="O2727" s="10">
        <f>ROUND(J2727*'Irish Basis'!$C$7*'Irish Basis'!$C$5,2)</f>
        <v/>
      </c>
      <c r="P2727" s="10">
        <f>ROUND(K2727*'Irish Basis'!$C$8*'Irish Basis'!$C$5,2)</f>
        <v/>
      </c>
      <c r="Q2727" s="10">
        <f>ROUND(L2727*'Irish Basis'!$C$12*'Irish Basis'!$C$5,2)</f>
        <v/>
      </c>
      <c r="R2727" s="11">
        <f>ROUND(SUM(N2727:Q2727),2)</f>
        <v/>
      </c>
      <c r="S2727" s="5" t="inlineStr">
        <is>
          <t>All-in specialist rate</t>
        </is>
      </c>
      <c r="T2727" s="14" t="inlineStr">
        <is>
          <t>All-in (not split)</t>
        </is>
      </c>
      <c r="U2727" s="8" t="n">
        <v>11</v>
      </c>
      <c r="V2727" s="13">
        <f>IF(U2727="","",ROUND(M2727-U2727,2))</f>
        <v/>
      </c>
      <c r="W2727" s="5" t="n"/>
      <c r="X2727" s="5" t="inlineStr">
        <is>
          <t>Source publishes a specialist/sub-contract all-in rate; no labour/plant/material build-up exists to derive from.</t>
        </is>
      </c>
    </row>
    <row r="2728" ht="13" customHeight="1">
      <c r="A2728" s="4" t="n">
        <v>4084</v>
      </c>
      <c r="B2728" s="5" t="inlineStr">
        <is>
          <t>IMG_0120</t>
        </is>
      </c>
      <c r="C2728" s="5" t="inlineStr">
        <is>
          <t>CLASS P: PILES</t>
        </is>
      </c>
      <c r="D2728" s="5" t="inlineStr">
        <is>
          <t>06 ISOLATED STEEL PILES</t>
        </is>
      </c>
      <c r="E2728" s="5" t="inlineStr">
        <is>
          <t>Mass 223 kg/m; 305 x 305 mm</t>
        </is>
      </c>
      <c r="F2728" s="5" t="inlineStr">
        <is>
          <t>number of piles; length 10 m</t>
        </is>
      </c>
      <c r="G2728" s="6" t="inlineStr">
        <is>
          <t>nr</t>
        </is>
      </c>
      <c r="H2728" s="7" t="n"/>
      <c r="I2728" s="8" t="n">
        <v>0</v>
      </c>
      <c r="J2728" s="8" t="n">
        <v>4274.41</v>
      </c>
      <c r="K2728" s="8" t="n">
        <v>0</v>
      </c>
      <c r="L2728" s="8" t="n">
        <v>7213.9</v>
      </c>
      <c r="M2728" s="9">
        <f>ROUND(SUM(I2728:L2728),2)</f>
        <v/>
      </c>
      <c r="N2728" s="10">
        <f>ROUND(I2728*'Irish Basis'!$C$6*'Irish Basis'!$C$5,2)</f>
        <v/>
      </c>
      <c r="O2728" s="10">
        <f>ROUND(J2728*'Irish Basis'!$C$7*'Irish Basis'!$C$5,2)</f>
        <v/>
      </c>
      <c r="P2728" s="10">
        <f>ROUND(K2728*'Irish Basis'!$C$8*'Irish Basis'!$C$5,2)</f>
        <v/>
      </c>
      <c r="Q2728" s="10">
        <f>ROUND(L2728*'Irish Basis'!$C$12*'Irish Basis'!$C$5,2)</f>
        <v/>
      </c>
      <c r="R2728" s="11">
        <f>ROUND(SUM(N2728:Q2728),2)</f>
        <v/>
      </c>
      <c r="S2728" s="5" t="inlineStr">
        <is>
          <t>Stated components + specialist balance</t>
        </is>
      </c>
      <c r="T2728" s="16" t="inlineStr">
        <is>
          <t>Medium</t>
        </is>
      </c>
      <c r="U2728" s="8" t="n">
        <v>11488.31</v>
      </c>
      <c r="V2728" s="13">
        <f>IF(U2728="","",ROUND(M2728-U2728,2))</f>
        <v/>
      </c>
      <c r="W2728" s="5" t="n"/>
      <c r="X2728" s="5" t="inlineStr">
        <is>
          <t>Published plant/labour retained; the £7,213.90 balance of the specialist all-in rate is not broken down in the source.</t>
        </is>
      </c>
    </row>
    <row r="2729" ht="13" customHeight="1">
      <c r="A2729" s="4" t="n">
        <v>4085</v>
      </c>
      <c r="B2729" s="5" t="inlineStr">
        <is>
          <t>IMG_0120</t>
        </is>
      </c>
      <c r="C2729" s="5" t="inlineStr">
        <is>
          <t>CLASS P: PILES</t>
        </is>
      </c>
      <c r="D2729" s="5" t="inlineStr">
        <is>
          <t>06 ISOLATED STEEL PILES</t>
        </is>
      </c>
      <c r="E2729" s="5" t="inlineStr">
        <is>
          <t>Mass 223 kg/m; 305 x 305 mm</t>
        </is>
      </c>
      <c r="F2729" s="5" t="inlineStr">
        <is>
          <t>number of piles; length 15 m</t>
        </is>
      </c>
      <c r="G2729" s="6" t="inlineStr">
        <is>
          <t>nr</t>
        </is>
      </c>
      <c r="H2729" s="7" t="n"/>
      <c r="I2729" s="8" t="n">
        <v>0</v>
      </c>
      <c r="J2729" s="8" t="n">
        <v>6837.75</v>
      </c>
      <c r="K2729" s="8" t="n">
        <v>0</v>
      </c>
      <c r="L2729" s="8" t="n">
        <v>7213.9</v>
      </c>
      <c r="M2729" s="9">
        <f>ROUND(SUM(I2729:L2729),2)</f>
        <v/>
      </c>
      <c r="N2729" s="10">
        <f>ROUND(I2729*'Irish Basis'!$C$6*'Irish Basis'!$C$5,2)</f>
        <v/>
      </c>
      <c r="O2729" s="10">
        <f>ROUND(J2729*'Irish Basis'!$C$7*'Irish Basis'!$C$5,2)</f>
        <v/>
      </c>
      <c r="P2729" s="10">
        <f>ROUND(K2729*'Irish Basis'!$C$8*'Irish Basis'!$C$5,2)</f>
        <v/>
      </c>
      <c r="Q2729" s="10">
        <f>ROUND(L2729*'Irish Basis'!$C$12*'Irish Basis'!$C$5,2)</f>
        <v/>
      </c>
      <c r="R2729" s="11">
        <f>ROUND(SUM(N2729:Q2729),2)</f>
        <v/>
      </c>
      <c r="S2729" s="5" t="inlineStr">
        <is>
          <t>Stated components + specialist balance</t>
        </is>
      </c>
      <c r="T2729" s="16" t="inlineStr">
        <is>
          <t>Medium</t>
        </is>
      </c>
      <c r="U2729" s="8" t="n">
        <v>14051.65</v>
      </c>
      <c r="V2729" s="13">
        <f>IF(U2729="","",ROUND(M2729-U2729,2))</f>
        <v/>
      </c>
      <c r="W2729" s="5" t="n"/>
      <c r="X2729" s="5" t="inlineStr">
        <is>
          <t>Published plant/labour retained; the £7,213.90 balance of the specialist all-in rate is not broken down in the source.</t>
        </is>
      </c>
    </row>
    <row r="2730" ht="13" customHeight="1">
      <c r="A2730" s="4" t="n">
        <v>4086</v>
      </c>
      <c r="B2730" s="5" t="inlineStr">
        <is>
          <t>IMG_0120</t>
        </is>
      </c>
      <c r="C2730" s="5" t="inlineStr">
        <is>
          <t>CLASS P: PILES</t>
        </is>
      </c>
      <c r="D2730" s="5" t="inlineStr">
        <is>
          <t>06 ISOLATED STEEL PILES</t>
        </is>
      </c>
      <c r="E2730" s="5" t="inlineStr">
        <is>
          <t>Mass 223 kg/m; 305 x 305 mm</t>
        </is>
      </c>
      <c r="F2730" s="5" t="inlineStr">
        <is>
          <t>number of piles; length 20 m</t>
        </is>
      </c>
      <c r="G2730" s="6" t="inlineStr">
        <is>
          <t>nr</t>
        </is>
      </c>
      <c r="H2730" s="7" t="n"/>
      <c r="I2730" s="8" t="n">
        <v>0</v>
      </c>
      <c r="J2730" s="8" t="n">
        <v>9117</v>
      </c>
      <c r="K2730" s="8" t="n">
        <v>0</v>
      </c>
      <c r="L2730" s="8" t="n">
        <v>7213.9</v>
      </c>
      <c r="M2730" s="9">
        <f>ROUND(SUM(I2730:L2730),2)</f>
        <v/>
      </c>
      <c r="N2730" s="10">
        <f>ROUND(I2730*'Irish Basis'!$C$6*'Irish Basis'!$C$5,2)</f>
        <v/>
      </c>
      <c r="O2730" s="10">
        <f>ROUND(J2730*'Irish Basis'!$C$7*'Irish Basis'!$C$5,2)</f>
        <v/>
      </c>
      <c r="P2730" s="10">
        <f>ROUND(K2730*'Irish Basis'!$C$8*'Irish Basis'!$C$5,2)</f>
        <v/>
      </c>
      <c r="Q2730" s="10">
        <f>ROUND(L2730*'Irish Basis'!$C$12*'Irish Basis'!$C$5,2)</f>
        <v/>
      </c>
      <c r="R2730" s="11">
        <f>ROUND(SUM(N2730:Q2730),2)</f>
        <v/>
      </c>
      <c r="S2730" s="5" t="inlineStr">
        <is>
          <t>Stated components + specialist balance</t>
        </is>
      </c>
      <c r="T2730" s="16" t="inlineStr">
        <is>
          <t>Medium</t>
        </is>
      </c>
      <c r="U2730" s="8" t="n">
        <v>16330.9</v>
      </c>
      <c r="V2730" s="13">
        <f>IF(U2730="","",ROUND(M2730-U2730,2))</f>
        <v/>
      </c>
      <c r="W2730" s="5" t="n"/>
      <c r="X2730" s="5" t="inlineStr">
        <is>
          <t>Published plant/labour retained; the £7,213.90 balance of the specialist all-in rate is not broken down in the source.</t>
        </is>
      </c>
    </row>
    <row r="2731" ht="13" customHeight="1">
      <c r="A2731" s="4" t="n">
        <v>4087</v>
      </c>
      <c r="B2731" s="5" t="inlineStr">
        <is>
          <t>IMG_0120</t>
        </is>
      </c>
      <c r="C2731" s="5" t="inlineStr">
        <is>
          <t>CLASS P: PILES</t>
        </is>
      </c>
      <c r="D2731" s="5" t="inlineStr">
        <is>
          <t>06 ISOLATED STEEL PILES</t>
        </is>
      </c>
      <c r="E2731" s="5" t="inlineStr">
        <is>
          <t>Mass 223 kg/m; 305 x 305 mm</t>
        </is>
      </c>
      <c r="F2731" s="5" t="inlineStr">
        <is>
          <t>driving piles; vertical</t>
        </is>
      </c>
      <c r="G2731" s="6" t="inlineStr">
        <is>
          <t>m</t>
        </is>
      </c>
      <c r="H2731" s="7" t="n"/>
      <c r="I2731" s="8" t="n">
        <v>0</v>
      </c>
      <c r="J2731" s="8" t="n">
        <v>0</v>
      </c>
      <c r="K2731" s="8" t="n">
        <v>0</v>
      </c>
      <c r="L2731" s="8" t="n">
        <v>8.220000000000001</v>
      </c>
      <c r="M2731" s="9">
        <f>ROUND(SUM(I2731:L2731),2)</f>
        <v/>
      </c>
      <c r="N2731" s="10">
        <f>ROUND(I2731*'Irish Basis'!$C$6*'Irish Basis'!$C$5,2)</f>
        <v/>
      </c>
      <c r="O2731" s="10">
        <f>ROUND(J2731*'Irish Basis'!$C$7*'Irish Basis'!$C$5,2)</f>
        <v/>
      </c>
      <c r="P2731" s="10">
        <f>ROUND(K2731*'Irish Basis'!$C$8*'Irish Basis'!$C$5,2)</f>
        <v/>
      </c>
      <c r="Q2731" s="10">
        <f>ROUND(L2731*'Irish Basis'!$C$12*'Irish Basis'!$C$5,2)</f>
        <v/>
      </c>
      <c r="R2731" s="11">
        <f>ROUND(SUM(N2731:Q2731),2)</f>
        <v/>
      </c>
      <c r="S2731" s="5" t="inlineStr">
        <is>
          <t>All-in specialist rate</t>
        </is>
      </c>
      <c r="T2731" s="14" t="inlineStr">
        <is>
          <t>All-in (not split)</t>
        </is>
      </c>
      <c r="U2731" s="8" t="n">
        <v>8.220000000000001</v>
      </c>
      <c r="V2731" s="13">
        <f>IF(U2731="","",ROUND(M2731-U2731,2))</f>
        <v/>
      </c>
      <c r="W2731" s="5" t="n"/>
      <c r="X2731" s="5" t="inlineStr">
        <is>
          <t>Source publishes a specialist/sub-contract all-in rate; no labour/plant/material build-up exists to derive from.</t>
        </is>
      </c>
    </row>
    <row r="2732" ht="13" customHeight="1">
      <c r="A2732" s="4" t="n">
        <v>4088</v>
      </c>
      <c r="B2732" s="5" t="inlineStr">
        <is>
          <t>IMG_0120</t>
        </is>
      </c>
      <c r="C2732" s="5" t="inlineStr">
        <is>
          <t>CLASS P: PILES</t>
        </is>
      </c>
      <c r="D2732" s="5" t="inlineStr">
        <is>
          <t>06 ISOLATED STEEL PILES</t>
        </is>
      </c>
      <c r="E2732" s="5" t="inlineStr">
        <is>
          <t>Mass 223 kg/m; 305 x 305 mm</t>
        </is>
      </c>
      <c r="F2732" s="5" t="inlineStr">
        <is>
          <t>driving piles; raking</t>
        </is>
      </c>
      <c r="G2732" s="6" t="inlineStr">
        <is>
          <t>m</t>
        </is>
      </c>
      <c r="H2732" s="7" t="n"/>
      <c r="I2732" s="8" t="n">
        <v>0</v>
      </c>
      <c r="J2732" s="8" t="n">
        <v>0</v>
      </c>
      <c r="K2732" s="8" t="n">
        <v>0</v>
      </c>
      <c r="L2732" s="8" t="n">
        <v>11.36</v>
      </c>
      <c r="M2732" s="9">
        <f>ROUND(SUM(I2732:L2732),2)</f>
        <v/>
      </c>
      <c r="N2732" s="10">
        <f>ROUND(I2732*'Irish Basis'!$C$6*'Irish Basis'!$C$5,2)</f>
        <v/>
      </c>
      <c r="O2732" s="10">
        <f>ROUND(J2732*'Irish Basis'!$C$7*'Irish Basis'!$C$5,2)</f>
        <v/>
      </c>
      <c r="P2732" s="10">
        <f>ROUND(K2732*'Irish Basis'!$C$8*'Irish Basis'!$C$5,2)</f>
        <v/>
      </c>
      <c r="Q2732" s="10">
        <f>ROUND(L2732*'Irish Basis'!$C$12*'Irish Basis'!$C$5,2)</f>
        <v/>
      </c>
      <c r="R2732" s="11">
        <f>ROUND(SUM(N2732:Q2732),2)</f>
        <v/>
      </c>
      <c r="S2732" s="5" t="inlineStr">
        <is>
          <t>All-in specialist rate</t>
        </is>
      </c>
      <c r="T2732" s="14" t="inlineStr">
        <is>
          <t>All-in (not split)</t>
        </is>
      </c>
      <c r="U2732" s="8" t="n">
        <v>11.36</v>
      </c>
      <c r="V2732" s="13">
        <f>IF(U2732="","",ROUND(M2732-U2732,2))</f>
        <v/>
      </c>
      <c r="W2732" s="5" t="n"/>
      <c r="X2732" s="5" t="inlineStr">
        <is>
          <t>Source publishes a specialist/sub-contract all-in rate; no labour/plant/material build-up exists to derive from.</t>
        </is>
      </c>
    </row>
    <row r="2733" ht="13" customHeight="1">
      <c r="A2733" s="4" t="n">
        <v>4091</v>
      </c>
      <c r="B2733" s="5" t="inlineStr">
        <is>
          <t>IMG_0121</t>
        </is>
      </c>
      <c r="C2733" s="5" t="inlineStr">
        <is>
          <t>CLASS P: PILES</t>
        </is>
      </c>
      <c r="D2733" s="5" t="inlineStr">
        <is>
          <t>06 ISOLATED STEEL PILES</t>
        </is>
      </c>
      <c r="E2733" s="5" t="inlineStr">
        <is>
          <t>Mass 109 kg/m; 356 x 368 mm (continued)</t>
        </is>
      </c>
      <c r="F2733" s="5" t="inlineStr">
        <is>
          <t>number of piles; length 10 m</t>
        </is>
      </c>
      <c r="G2733" s="6" t="inlineStr">
        <is>
          <t>nr</t>
        </is>
      </c>
      <c r="H2733" s="7" t="n"/>
      <c r="I2733" s="8" t="n">
        <v>0</v>
      </c>
      <c r="J2733" s="8" t="n">
        <v>2120.87</v>
      </c>
      <c r="K2733" s="8" t="n">
        <v>0</v>
      </c>
      <c r="L2733" s="8" t="n">
        <v>7213.9</v>
      </c>
      <c r="M2733" s="9">
        <f>ROUND(SUM(I2733:L2733),2)</f>
        <v/>
      </c>
      <c r="N2733" s="10">
        <f>ROUND(I2733*'Irish Basis'!$C$6*'Irish Basis'!$C$5,2)</f>
        <v/>
      </c>
      <c r="O2733" s="10">
        <f>ROUND(J2733*'Irish Basis'!$C$7*'Irish Basis'!$C$5,2)</f>
        <v/>
      </c>
      <c r="P2733" s="10">
        <f>ROUND(K2733*'Irish Basis'!$C$8*'Irish Basis'!$C$5,2)</f>
        <v/>
      </c>
      <c r="Q2733" s="10">
        <f>ROUND(L2733*'Irish Basis'!$C$12*'Irish Basis'!$C$5,2)</f>
        <v/>
      </c>
      <c r="R2733" s="11">
        <f>ROUND(SUM(N2733:Q2733),2)</f>
        <v/>
      </c>
      <c r="S2733" s="5" t="inlineStr">
        <is>
          <t>Stated components + specialist balance</t>
        </is>
      </c>
      <c r="T2733" s="16" t="inlineStr">
        <is>
          <t>Medium</t>
        </is>
      </c>
      <c r="U2733" s="8" t="n">
        <v>9334.77</v>
      </c>
      <c r="V2733" s="13">
        <f>IF(U2733="","",ROUND(M2733-U2733,2))</f>
        <v/>
      </c>
      <c r="W2733" s="15" t="inlineStr">
        <is>
          <t>Large unexplained balance</t>
        </is>
      </c>
      <c r="X2733" s="5" t="inlineStr">
        <is>
          <t>Published plant/labour retained; the £7,213.90 balance of the specialist all-in rate is not broken down in the source.</t>
        </is>
      </c>
    </row>
    <row r="2734" ht="13" customHeight="1">
      <c r="A2734" s="4" t="n">
        <v>4092</v>
      </c>
      <c r="B2734" s="5" t="inlineStr">
        <is>
          <t>IMG_0121</t>
        </is>
      </c>
      <c r="C2734" s="5" t="inlineStr">
        <is>
          <t>CLASS P: PILES</t>
        </is>
      </c>
      <c r="D2734" s="5" t="inlineStr">
        <is>
          <t>06 ISOLATED STEEL PILES</t>
        </is>
      </c>
      <c r="E2734" s="5" t="inlineStr">
        <is>
          <t>Mass 109 kg/m; 356 x 368 mm (continued)</t>
        </is>
      </c>
      <c r="F2734" s="5" t="inlineStr">
        <is>
          <t>number of piles; length 15 m</t>
        </is>
      </c>
      <c r="G2734" s="6" t="inlineStr">
        <is>
          <t>nr</t>
        </is>
      </c>
      <c r="H2734" s="7" t="n"/>
      <c r="I2734" s="8" t="n">
        <v>0</v>
      </c>
      <c r="J2734" s="8" t="n">
        <v>3389.59</v>
      </c>
      <c r="K2734" s="8" t="n">
        <v>0</v>
      </c>
      <c r="L2734" s="8" t="n">
        <v>7213.9</v>
      </c>
      <c r="M2734" s="9">
        <f>ROUND(SUM(I2734:L2734),2)</f>
        <v/>
      </c>
      <c r="N2734" s="10">
        <f>ROUND(I2734*'Irish Basis'!$C$6*'Irish Basis'!$C$5,2)</f>
        <v/>
      </c>
      <c r="O2734" s="10">
        <f>ROUND(J2734*'Irish Basis'!$C$7*'Irish Basis'!$C$5,2)</f>
        <v/>
      </c>
      <c r="P2734" s="10">
        <f>ROUND(K2734*'Irish Basis'!$C$8*'Irish Basis'!$C$5,2)</f>
        <v/>
      </c>
      <c r="Q2734" s="10">
        <f>ROUND(L2734*'Irish Basis'!$C$12*'Irish Basis'!$C$5,2)</f>
        <v/>
      </c>
      <c r="R2734" s="11">
        <f>ROUND(SUM(N2734:Q2734),2)</f>
        <v/>
      </c>
      <c r="S2734" s="5" t="inlineStr">
        <is>
          <t>Stated components + specialist balance</t>
        </is>
      </c>
      <c r="T2734" s="16" t="inlineStr">
        <is>
          <t>Medium</t>
        </is>
      </c>
      <c r="U2734" s="8" t="n">
        <v>10603.49</v>
      </c>
      <c r="V2734" s="13">
        <f>IF(U2734="","",ROUND(M2734-U2734,2))</f>
        <v/>
      </c>
      <c r="W2734" s="5" t="n"/>
      <c r="X2734" s="5" t="inlineStr">
        <is>
          <t>Published plant/labour retained; the £7,213.90 balance of the specialist all-in rate is not broken down in the source.</t>
        </is>
      </c>
    </row>
    <row r="2735" ht="13" customHeight="1">
      <c r="A2735" s="4" t="n">
        <v>4093</v>
      </c>
      <c r="B2735" s="5" t="inlineStr">
        <is>
          <t>IMG_0121</t>
        </is>
      </c>
      <c r="C2735" s="5" t="inlineStr">
        <is>
          <t>CLASS P: PILES</t>
        </is>
      </c>
      <c r="D2735" s="5" t="inlineStr">
        <is>
          <t>06 ISOLATED STEEL PILES</t>
        </is>
      </c>
      <c r="E2735" s="5" t="inlineStr">
        <is>
          <t>Mass 109 kg/m; 356 x 368 mm (continued)</t>
        </is>
      </c>
      <c r="F2735" s="5" t="inlineStr">
        <is>
          <t>number of piles; length 20 m</t>
        </is>
      </c>
      <c r="G2735" s="6" t="inlineStr">
        <is>
          <t>nr</t>
        </is>
      </c>
      <c r="H2735" s="7" t="n"/>
      <c r="I2735" s="8" t="n">
        <v>0</v>
      </c>
      <c r="J2735" s="8" t="n">
        <v>4519.45</v>
      </c>
      <c r="K2735" s="8" t="n">
        <v>0</v>
      </c>
      <c r="L2735" s="8" t="n">
        <v>7213.9</v>
      </c>
      <c r="M2735" s="9">
        <f>ROUND(SUM(I2735:L2735),2)</f>
        <v/>
      </c>
      <c r="N2735" s="10">
        <f>ROUND(I2735*'Irish Basis'!$C$6*'Irish Basis'!$C$5,2)</f>
        <v/>
      </c>
      <c r="O2735" s="10">
        <f>ROUND(J2735*'Irish Basis'!$C$7*'Irish Basis'!$C$5,2)</f>
        <v/>
      </c>
      <c r="P2735" s="10">
        <f>ROUND(K2735*'Irish Basis'!$C$8*'Irish Basis'!$C$5,2)</f>
        <v/>
      </c>
      <c r="Q2735" s="10">
        <f>ROUND(L2735*'Irish Basis'!$C$12*'Irish Basis'!$C$5,2)</f>
        <v/>
      </c>
      <c r="R2735" s="11">
        <f>ROUND(SUM(N2735:Q2735),2)</f>
        <v/>
      </c>
      <c r="S2735" s="5" t="inlineStr">
        <is>
          <t>Stated components + specialist balance</t>
        </is>
      </c>
      <c r="T2735" s="16" t="inlineStr">
        <is>
          <t>Medium</t>
        </is>
      </c>
      <c r="U2735" s="8" t="n">
        <v>11733.35</v>
      </c>
      <c r="V2735" s="13">
        <f>IF(U2735="","",ROUND(M2735-U2735,2))</f>
        <v/>
      </c>
      <c r="W2735" s="5" t="n"/>
      <c r="X2735" s="5" t="inlineStr">
        <is>
          <t>Published plant/labour retained; the £7,213.90 balance of the specialist all-in rate is not broken down in the source.</t>
        </is>
      </c>
    </row>
    <row r="2736" ht="13" customHeight="1">
      <c r="A2736" s="4" t="n">
        <v>4094</v>
      </c>
      <c r="B2736" s="5" t="inlineStr">
        <is>
          <t>IMG_0121</t>
        </is>
      </c>
      <c r="C2736" s="5" t="inlineStr">
        <is>
          <t>CLASS P: PILES</t>
        </is>
      </c>
      <c r="D2736" s="5" t="inlineStr">
        <is>
          <t>06 ISOLATED STEEL PILES</t>
        </is>
      </c>
      <c r="E2736" s="5" t="inlineStr">
        <is>
          <t>Mass 109 kg/m; 356 x 368 mm (continued)</t>
        </is>
      </c>
      <c r="F2736" s="5" t="inlineStr">
        <is>
          <t>depth driven; vertical</t>
        </is>
      </c>
      <c r="G2736" s="6" t="inlineStr">
        <is>
          <t>m</t>
        </is>
      </c>
      <c r="H2736" s="7" t="n"/>
      <c r="I2736" s="8" t="n">
        <v>0</v>
      </c>
      <c r="J2736" s="8" t="n">
        <v>0</v>
      </c>
      <c r="K2736" s="8" t="n">
        <v>0</v>
      </c>
      <c r="L2736" s="8" t="n">
        <v>6.24</v>
      </c>
      <c r="M2736" s="9">
        <f>ROUND(SUM(I2736:L2736),2)</f>
        <v/>
      </c>
      <c r="N2736" s="10">
        <f>ROUND(I2736*'Irish Basis'!$C$6*'Irish Basis'!$C$5,2)</f>
        <v/>
      </c>
      <c r="O2736" s="10">
        <f>ROUND(J2736*'Irish Basis'!$C$7*'Irish Basis'!$C$5,2)</f>
        <v/>
      </c>
      <c r="P2736" s="10">
        <f>ROUND(K2736*'Irish Basis'!$C$8*'Irish Basis'!$C$5,2)</f>
        <v/>
      </c>
      <c r="Q2736" s="10">
        <f>ROUND(L2736*'Irish Basis'!$C$12*'Irish Basis'!$C$5,2)</f>
        <v/>
      </c>
      <c r="R2736" s="11">
        <f>ROUND(SUM(N2736:Q2736),2)</f>
        <v/>
      </c>
      <c r="S2736" s="5" t="inlineStr">
        <is>
          <t>All-in specialist rate</t>
        </is>
      </c>
      <c r="T2736" s="14" t="inlineStr">
        <is>
          <t>All-in (not split)</t>
        </is>
      </c>
      <c r="U2736" s="8" t="n">
        <v>6.24</v>
      </c>
      <c r="V2736" s="13">
        <f>IF(U2736="","",ROUND(M2736-U2736,2))</f>
        <v/>
      </c>
      <c r="W2736" s="5" t="n"/>
      <c r="X2736" s="5" t="inlineStr">
        <is>
          <t>Source publishes a specialist/sub-contract all-in rate; no labour/plant/material build-up exists to derive from.</t>
        </is>
      </c>
    </row>
    <row r="2737" ht="13" customHeight="1">
      <c r="A2737" s="4" t="n">
        <v>4095</v>
      </c>
      <c r="B2737" s="5" t="inlineStr">
        <is>
          <t>IMG_0121</t>
        </is>
      </c>
      <c r="C2737" s="5" t="inlineStr">
        <is>
          <t>CLASS P: PILES</t>
        </is>
      </c>
      <c r="D2737" s="5" t="inlineStr">
        <is>
          <t>06 ISOLATED STEEL PILES</t>
        </is>
      </c>
      <c r="E2737" s="5" t="inlineStr">
        <is>
          <t>Mass 109 kg/m; 356 x 368 mm (continued)</t>
        </is>
      </c>
      <c r="F2737" s="5" t="inlineStr">
        <is>
          <t>depth driven; raking</t>
        </is>
      </c>
      <c r="G2737" s="6" t="inlineStr">
        <is>
          <t>m</t>
        </is>
      </c>
      <c r="H2737" s="7" t="n"/>
      <c r="I2737" s="8" t="n">
        <v>0</v>
      </c>
      <c r="J2737" s="8" t="n">
        <v>0</v>
      </c>
      <c r="K2737" s="8" t="n">
        <v>0</v>
      </c>
      <c r="L2737" s="8" t="n">
        <v>9.35</v>
      </c>
      <c r="M2737" s="9">
        <f>ROUND(SUM(I2737:L2737),2)</f>
        <v/>
      </c>
      <c r="N2737" s="10">
        <f>ROUND(I2737*'Irish Basis'!$C$6*'Irish Basis'!$C$5,2)</f>
        <v/>
      </c>
      <c r="O2737" s="10">
        <f>ROUND(J2737*'Irish Basis'!$C$7*'Irish Basis'!$C$5,2)</f>
        <v/>
      </c>
      <c r="P2737" s="10">
        <f>ROUND(K2737*'Irish Basis'!$C$8*'Irish Basis'!$C$5,2)</f>
        <v/>
      </c>
      <c r="Q2737" s="10">
        <f>ROUND(L2737*'Irish Basis'!$C$12*'Irish Basis'!$C$5,2)</f>
        <v/>
      </c>
      <c r="R2737" s="11">
        <f>ROUND(SUM(N2737:Q2737),2)</f>
        <v/>
      </c>
      <c r="S2737" s="5" t="inlineStr">
        <is>
          <t>All-in specialist rate</t>
        </is>
      </c>
      <c r="T2737" s="14" t="inlineStr">
        <is>
          <t>All-in (not split)</t>
        </is>
      </c>
      <c r="U2737" s="8" t="n">
        <v>9.35</v>
      </c>
      <c r="V2737" s="13">
        <f>IF(U2737="","",ROUND(M2737-U2737,2))</f>
        <v/>
      </c>
      <c r="W2737" s="5" t="n"/>
      <c r="X2737" s="5" t="inlineStr">
        <is>
          <t>Source publishes a specialist/sub-contract all-in rate; no labour/plant/material build-up exists to derive from.</t>
        </is>
      </c>
    </row>
    <row r="2738" ht="13" customHeight="1">
      <c r="A2738" s="4" t="n">
        <v>4097</v>
      </c>
      <c r="B2738" s="5" t="inlineStr">
        <is>
          <t>IMG_0121</t>
        </is>
      </c>
      <c r="C2738" s="5" t="inlineStr">
        <is>
          <t>CLASS P: PILES</t>
        </is>
      </c>
      <c r="D2738" s="5" t="inlineStr">
        <is>
          <t>06 ISOLATED STEEL PILES</t>
        </is>
      </c>
      <c r="E2738" s="5" t="inlineStr">
        <is>
          <t>Mass 133 kg/m; 356 x 368 mm</t>
        </is>
      </c>
      <c r="F2738" s="5" t="inlineStr">
        <is>
          <t>number of piles; length 10 m</t>
        </is>
      </c>
      <c r="G2738" s="6" t="inlineStr">
        <is>
          <t>nr</t>
        </is>
      </c>
      <c r="H2738" s="7" t="n"/>
      <c r="I2738" s="8" t="n">
        <v>0</v>
      </c>
      <c r="J2738" s="8" t="n">
        <v>2587.85</v>
      </c>
      <c r="K2738" s="8" t="n">
        <v>0</v>
      </c>
      <c r="L2738" s="8" t="n">
        <v>7213.9</v>
      </c>
      <c r="M2738" s="9">
        <f>ROUND(SUM(I2738:L2738),2)</f>
        <v/>
      </c>
      <c r="N2738" s="10">
        <f>ROUND(I2738*'Irish Basis'!$C$6*'Irish Basis'!$C$5,2)</f>
        <v/>
      </c>
      <c r="O2738" s="10">
        <f>ROUND(J2738*'Irish Basis'!$C$7*'Irish Basis'!$C$5,2)</f>
        <v/>
      </c>
      <c r="P2738" s="10">
        <f>ROUND(K2738*'Irish Basis'!$C$8*'Irish Basis'!$C$5,2)</f>
        <v/>
      </c>
      <c r="Q2738" s="10">
        <f>ROUND(L2738*'Irish Basis'!$C$12*'Irish Basis'!$C$5,2)</f>
        <v/>
      </c>
      <c r="R2738" s="11">
        <f>ROUND(SUM(N2738:Q2738),2)</f>
        <v/>
      </c>
      <c r="S2738" s="5" t="inlineStr">
        <is>
          <t>Stated components + specialist balance</t>
        </is>
      </c>
      <c r="T2738" s="16" t="inlineStr">
        <is>
          <t>Medium</t>
        </is>
      </c>
      <c r="U2738" s="8" t="n">
        <v>9801.75</v>
      </c>
      <c r="V2738" s="13">
        <f>IF(U2738="","",ROUND(M2738-U2738,2))</f>
        <v/>
      </c>
      <c r="W2738" s="5" t="n"/>
      <c r="X2738" s="5" t="inlineStr">
        <is>
          <t>Published plant/labour retained; the £7,213.90 balance of the specialist all-in rate is not broken down in the source.</t>
        </is>
      </c>
    </row>
    <row r="2739" ht="13" customHeight="1">
      <c r="A2739" s="4" t="n">
        <v>4098</v>
      </c>
      <c r="B2739" s="5" t="inlineStr">
        <is>
          <t>IMG_0121</t>
        </is>
      </c>
      <c r="C2739" s="5" t="inlineStr">
        <is>
          <t>CLASS P: PILES</t>
        </is>
      </c>
      <c r="D2739" s="5" t="inlineStr">
        <is>
          <t>06 ISOLATED STEEL PILES</t>
        </is>
      </c>
      <c r="E2739" s="5" t="inlineStr">
        <is>
          <t>Mass 133 kg/m; 356 x 368 mm</t>
        </is>
      </c>
      <c r="F2739" s="5" t="inlineStr">
        <is>
          <t>number of piles; length 15 m</t>
        </is>
      </c>
      <c r="G2739" s="6" t="inlineStr">
        <is>
          <t>nr</t>
        </is>
      </c>
      <c r="H2739" s="7" t="n"/>
      <c r="I2739" s="8" t="n">
        <v>0</v>
      </c>
      <c r="J2739" s="8" t="n">
        <v>4135.92</v>
      </c>
      <c r="K2739" s="8" t="n">
        <v>0</v>
      </c>
      <c r="L2739" s="8" t="n">
        <v>7213.9</v>
      </c>
      <c r="M2739" s="9">
        <f>ROUND(SUM(I2739:L2739),2)</f>
        <v/>
      </c>
      <c r="N2739" s="10">
        <f>ROUND(I2739*'Irish Basis'!$C$6*'Irish Basis'!$C$5,2)</f>
        <v/>
      </c>
      <c r="O2739" s="10">
        <f>ROUND(J2739*'Irish Basis'!$C$7*'Irish Basis'!$C$5,2)</f>
        <v/>
      </c>
      <c r="P2739" s="10">
        <f>ROUND(K2739*'Irish Basis'!$C$8*'Irish Basis'!$C$5,2)</f>
        <v/>
      </c>
      <c r="Q2739" s="10">
        <f>ROUND(L2739*'Irish Basis'!$C$12*'Irish Basis'!$C$5,2)</f>
        <v/>
      </c>
      <c r="R2739" s="11">
        <f>ROUND(SUM(N2739:Q2739),2)</f>
        <v/>
      </c>
      <c r="S2739" s="5" t="inlineStr">
        <is>
          <t>Stated components + specialist balance</t>
        </is>
      </c>
      <c r="T2739" s="16" t="inlineStr">
        <is>
          <t>Medium</t>
        </is>
      </c>
      <c r="U2739" s="8" t="n">
        <v>11349.82</v>
      </c>
      <c r="V2739" s="13">
        <f>IF(U2739="","",ROUND(M2739-U2739,2))</f>
        <v/>
      </c>
      <c r="W2739" s="5" t="n"/>
      <c r="X2739" s="5" t="inlineStr">
        <is>
          <t>Published plant/labour retained; the £7,213.90 balance of the specialist all-in rate is not broken down in the source.</t>
        </is>
      </c>
    </row>
    <row r="2740" ht="13" customHeight="1">
      <c r="A2740" s="4" t="n">
        <v>4099</v>
      </c>
      <c r="B2740" s="5" t="inlineStr">
        <is>
          <t>IMG_0121</t>
        </is>
      </c>
      <c r="C2740" s="5" t="inlineStr">
        <is>
          <t>CLASS P: PILES</t>
        </is>
      </c>
      <c r="D2740" s="5" t="inlineStr">
        <is>
          <t>06 ISOLATED STEEL PILES</t>
        </is>
      </c>
      <c r="E2740" s="5" t="inlineStr">
        <is>
          <t>Mass 133 kg/m; 356 x 368 mm</t>
        </is>
      </c>
      <c r="F2740" s="5" t="inlineStr">
        <is>
          <t>number of piles; length 20 m</t>
        </is>
      </c>
      <c r="G2740" s="6" t="inlineStr">
        <is>
          <t>nr</t>
        </is>
      </c>
      <c r="H2740" s="7" t="n"/>
      <c r="I2740" s="8" t="n">
        <v>0</v>
      </c>
      <c r="J2740" s="8" t="n">
        <v>5514.56</v>
      </c>
      <c r="K2740" s="8" t="n">
        <v>0</v>
      </c>
      <c r="L2740" s="8" t="n">
        <v>7213.9</v>
      </c>
      <c r="M2740" s="9">
        <f>ROUND(SUM(I2740:L2740),2)</f>
        <v/>
      </c>
      <c r="N2740" s="10">
        <f>ROUND(I2740*'Irish Basis'!$C$6*'Irish Basis'!$C$5,2)</f>
        <v/>
      </c>
      <c r="O2740" s="10">
        <f>ROUND(J2740*'Irish Basis'!$C$7*'Irish Basis'!$C$5,2)</f>
        <v/>
      </c>
      <c r="P2740" s="10">
        <f>ROUND(K2740*'Irish Basis'!$C$8*'Irish Basis'!$C$5,2)</f>
        <v/>
      </c>
      <c r="Q2740" s="10">
        <f>ROUND(L2740*'Irish Basis'!$C$12*'Irish Basis'!$C$5,2)</f>
        <v/>
      </c>
      <c r="R2740" s="11">
        <f>ROUND(SUM(N2740:Q2740),2)</f>
        <v/>
      </c>
      <c r="S2740" s="5" t="inlineStr">
        <is>
          <t>Stated components + specialist balance</t>
        </is>
      </c>
      <c r="T2740" s="16" t="inlineStr">
        <is>
          <t>Medium</t>
        </is>
      </c>
      <c r="U2740" s="8" t="n">
        <v>12728.46</v>
      </c>
      <c r="V2740" s="13">
        <f>IF(U2740="","",ROUND(M2740-U2740,2))</f>
        <v/>
      </c>
      <c r="W2740" s="5" t="n"/>
      <c r="X2740" s="5" t="inlineStr">
        <is>
          <t>Published plant/labour retained; the £7,213.90 balance of the specialist all-in rate is not broken down in the source.</t>
        </is>
      </c>
    </row>
    <row r="2741" ht="13" customHeight="1">
      <c r="A2741" s="4" t="n">
        <v>4100</v>
      </c>
      <c r="B2741" s="5" t="inlineStr">
        <is>
          <t>IMG_0121</t>
        </is>
      </c>
      <c r="C2741" s="5" t="inlineStr">
        <is>
          <t>CLASS P: PILES</t>
        </is>
      </c>
      <c r="D2741" s="5" t="inlineStr">
        <is>
          <t>06 ISOLATED STEEL PILES</t>
        </is>
      </c>
      <c r="E2741" s="5" t="inlineStr">
        <is>
          <t>Mass 133 kg/m; 356 x 368 mm</t>
        </is>
      </c>
      <c r="F2741" s="5" t="inlineStr">
        <is>
          <t>driving piles; vertical</t>
        </is>
      </c>
      <c r="G2741" s="6" t="inlineStr">
        <is>
          <t>m</t>
        </is>
      </c>
      <c r="H2741" s="7" t="n"/>
      <c r="I2741" s="8" t="n">
        <v>0</v>
      </c>
      <c r="J2741" s="8" t="n">
        <v>0</v>
      </c>
      <c r="K2741" s="8" t="n">
        <v>0</v>
      </c>
      <c r="L2741" s="8" t="n">
        <v>6.63</v>
      </c>
      <c r="M2741" s="9">
        <f>ROUND(SUM(I2741:L2741),2)</f>
        <v/>
      </c>
      <c r="N2741" s="10">
        <f>ROUND(I2741*'Irish Basis'!$C$6*'Irish Basis'!$C$5,2)</f>
        <v/>
      </c>
      <c r="O2741" s="10">
        <f>ROUND(J2741*'Irish Basis'!$C$7*'Irish Basis'!$C$5,2)</f>
        <v/>
      </c>
      <c r="P2741" s="10">
        <f>ROUND(K2741*'Irish Basis'!$C$8*'Irish Basis'!$C$5,2)</f>
        <v/>
      </c>
      <c r="Q2741" s="10">
        <f>ROUND(L2741*'Irish Basis'!$C$12*'Irish Basis'!$C$5,2)</f>
        <v/>
      </c>
      <c r="R2741" s="11">
        <f>ROUND(SUM(N2741:Q2741),2)</f>
        <v/>
      </c>
      <c r="S2741" s="5" t="inlineStr">
        <is>
          <t>All-in specialist rate</t>
        </is>
      </c>
      <c r="T2741" s="14" t="inlineStr">
        <is>
          <t>All-in (not split)</t>
        </is>
      </c>
      <c r="U2741" s="8" t="n">
        <v>6.63</v>
      </c>
      <c r="V2741" s="13">
        <f>IF(U2741="","",ROUND(M2741-U2741,2))</f>
        <v/>
      </c>
      <c r="W2741" s="5" t="n"/>
      <c r="X2741" s="5" t="inlineStr">
        <is>
          <t>Source publishes a specialist/sub-contract all-in rate; no labour/plant/material build-up exists to derive from.</t>
        </is>
      </c>
    </row>
    <row r="2742" ht="13" customHeight="1">
      <c r="A2742" s="4" t="n">
        <v>4101</v>
      </c>
      <c r="B2742" s="5" t="inlineStr">
        <is>
          <t>IMG_0121</t>
        </is>
      </c>
      <c r="C2742" s="5" t="inlineStr">
        <is>
          <t>CLASS P: PILES</t>
        </is>
      </c>
      <c r="D2742" s="5" t="inlineStr">
        <is>
          <t>06 ISOLATED STEEL PILES</t>
        </is>
      </c>
      <c r="E2742" s="5" t="inlineStr">
        <is>
          <t>Mass 133 kg/m; 356 x 368 mm</t>
        </is>
      </c>
      <c r="F2742" s="5" t="inlineStr">
        <is>
          <t>driving piles; raking</t>
        </is>
      </c>
      <c r="G2742" s="6" t="inlineStr">
        <is>
          <t>m</t>
        </is>
      </c>
      <c r="H2742" s="7" t="n"/>
      <c r="I2742" s="8" t="n">
        <v>0</v>
      </c>
      <c r="J2742" s="8" t="n">
        <v>0</v>
      </c>
      <c r="K2742" s="8" t="n">
        <v>0</v>
      </c>
      <c r="L2742" s="8" t="n">
        <v>10.22</v>
      </c>
      <c r="M2742" s="9">
        <f>ROUND(SUM(I2742:L2742),2)</f>
        <v/>
      </c>
      <c r="N2742" s="10">
        <f>ROUND(I2742*'Irish Basis'!$C$6*'Irish Basis'!$C$5,2)</f>
        <v/>
      </c>
      <c r="O2742" s="10">
        <f>ROUND(J2742*'Irish Basis'!$C$7*'Irish Basis'!$C$5,2)</f>
        <v/>
      </c>
      <c r="P2742" s="10">
        <f>ROUND(K2742*'Irish Basis'!$C$8*'Irish Basis'!$C$5,2)</f>
        <v/>
      </c>
      <c r="Q2742" s="10">
        <f>ROUND(L2742*'Irish Basis'!$C$12*'Irish Basis'!$C$5,2)</f>
        <v/>
      </c>
      <c r="R2742" s="11">
        <f>ROUND(SUM(N2742:Q2742),2)</f>
        <v/>
      </c>
      <c r="S2742" s="5" t="inlineStr">
        <is>
          <t>All-in specialist rate</t>
        </is>
      </c>
      <c r="T2742" s="14" t="inlineStr">
        <is>
          <t>All-in (not split)</t>
        </is>
      </c>
      <c r="U2742" s="8" t="n">
        <v>10.22</v>
      </c>
      <c r="V2742" s="13">
        <f>IF(U2742="","",ROUND(M2742-U2742,2))</f>
        <v/>
      </c>
      <c r="W2742" s="5" t="n"/>
      <c r="X2742" s="5" t="inlineStr">
        <is>
          <t>Source publishes a specialist/sub-contract all-in rate; no labour/plant/material build-up exists to derive from.</t>
        </is>
      </c>
    </row>
    <row r="2743" ht="13" customHeight="1">
      <c r="A2743" s="4" t="n">
        <v>4103</v>
      </c>
      <c r="B2743" s="5" t="inlineStr">
        <is>
          <t>IMG_0121</t>
        </is>
      </c>
      <c r="C2743" s="5" t="inlineStr">
        <is>
          <t>CLASS P: PILES</t>
        </is>
      </c>
      <c r="D2743" s="5" t="inlineStr">
        <is>
          <t>06 ISOLATED STEEL PILES</t>
        </is>
      </c>
      <c r="E2743" s="5" t="inlineStr">
        <is>
          <t>Mass 152 kg/m; 356 x 368 mm</t>
        </is>
      </c>
      <c r="F2743" s="5" t="inlineStr">
        <is>
          <t>number of piles; length 10 m</t>
        </is>
      </c>
      <c r="G2743" s="6" t="inlineStr">
        <is>
          <t>nr</t>
        </is>
      </c>
      <c r="H2743" s="7" t="n"/>
      <c r="I2743" s="8" t="n">
        <v>0</v>
      </c>
      <c r="J2743" s="8" t="n">
        <v>2957.54</v>
      </c>
      <c r="K2743" s="8" t="n">
        <v>0</v>
      </c>
      <c r="L2743" s="8" t="n">
        <v>7213.9</v>
      </c>
      <c r="M2743" s="9">
        <f>ROUND(SUM(I2743:L2743),2)</f>
        <v/>
      </c>
      <c r="N2743" s="10">
        <f>ROUND(I2743*'Irish Basis'!$C$6*'Irish Basis'!$C$5,2)</f>
        <v/>
      </c>
      <c r="O2743" s="10">
        <f>ROUND(J2743*'Irish Basis'!$C$7*'Irish Basis'!$C$5,2)</f>
        <v/>
      </c>
      <c r="P2743" s="10">
        <f>ROUND(K2743*'Irish Basis'!$C$8*'Irish Basis'!$C$5,2)</f>
        <v/>
      </c>
      <c r="Q2743" s="10">
        <f>ROUND(L2743*'Irish Basis'!$C$12*'Irish Basis'!$C$5,2)</f>
        <v/>
      </c>
      <c r="R2743" s="11">
        <f>ROUND(SUM(N2743:Q2743),2)</f>
        <v/>
      </c>
      <c r="S2743" s="5" t="inlineStr">
        <is>
          <t>Stated components + specialist balance</t>
        </is>
      </c>
      <c r="T2743" s="16" t="inlineStr">
        <is>
          <t>Medium</t>
        </is>
      </c>
      <c r="U2743" s="8" t="n">
        <v>10171.44</v>
      </c>
      <c r="V2743" s="13">
        <f>IF(U2743="","",ROUND(M2743-U2743,2))</f>
        <v/>
      </c>
      <c r="W2743" s="5" t="n"/>
      <c r="X2743" s="5" t="inlineStr">
        <is>
          <t>Published plant/labour retained; the £7,213.90 balance of the specialist all-in rate is not broken down in the source.</t>
        </is>
      </c>
    </row>
    <row r="2744" ht="13" customHeight="1">
      <c r="A2744" s="4" t="n">
        <v>4104</v>
      </c>
      <c r="B2744" s="5" t="inlineStr">
        <is>
          <t>IMG_0121</t>
        </is>
      </c>
      <c r="C2744" s="5" t="inlineStr">
        <is>
          <t>CLASS P: PILES</t>
        </is>
      </c>
      <c r="D2744" s="5" t="inlineStr">
        <is>
          <t>06 ISOLATED STEEL PILES</t>
        </is>
      </c>
      <c r="E2744" s="5" t="inlineStr">
        <is>
          <t>Mass 152 kg/m; 356 x 368 mm</t>
        </is>
      </c>
      <c r="F2744" s="5" t="inlineStr">
        <is>
          <t>number of piles; length 15 m</t>
        </is>
      </c>
      <c r="G2744" s="6" t="inlineStr">
        <is>
          <t>nr</t>
        </is>
      </c>
      <c r="H2744" s="7" t="n"/>
      <c r="I2744" s="8" t="n">
        <v>0</v>
      </c>
      <c r="J2744" s="8" t="n">
        <v>4726.77</v>
      </c>
      <c r="K2744" s="8" t="n">
        <v>0</v>
      </c>
      <c r="L2744" s="8" t="n">
        <v>7213.9</v>
      </c>
      <c r="M2744" s="9">
        <f>ROUND(SUM(I2744:L2744),2)</f>
        <v/>
      </c>
      <c r="N2744" s="10">
        <f>ROUND(I2744*'Irish Basis'!$C$6*'Irish Basis'!$C$5,2)</f>
        <v/>
      </c>
      <c r="O2744" s="10">
        <f>ROUND(J2744*'Irish Basis'!$C$7*'Irish Basis'!$C$5,2)</f>
        <v/>
      </c>
      <c r="P2744" s="10">
        <f>ROUND(K2744*'Irish Basis'!$C$8*'Irish Basis'!$C$5,2)</f>
        <v/>
      </c>
      <c r="Q2744" s="10">
        <f>ROUND(L2744*'Irish Basis'!$C$12*'Irish Basis'!$C$5,2)</f>
        <v/>
      </c>
      <c r="R2744" s="11">
        <f>ROUND(SUM(N2744:Q2744),2)</f>
        <v/>
      </c>
      <c r="S2744" s="5" t="inlineStr">
        <is>
          <t>Stated components + specialist balance</t>
        </is>
      </c>
      <c r="T2744" s="16" t="inlineStr">
        <is>
          <t>Medium</t>
        </is>
      </c>
      <c r="U2744" s="8" t="n">
        <v>11940.67</v>
      </c>
      <c r="V2744" s="13">
        <f>IF(U2744="","",ROUND(M2744-U2744,2))</f>
        <v/>
      </c>
      <c r="W2744" s="5" t="n"/>
      <c r="X2744" s="5" t="inlineStr">
        <is>
          <t>Published plant/labour retained; the £7,213.90 balance of the specialist all-in rate is not broken down in the source.</t>
        </is>
      </c>
    </row>
    <row r="2745" ht="13" customHeight="1">
      <c r="A2745" s="4" t="n">
        <v>4105</v>
      </c>
      <c r="B2745" s="5" t="inlineStr">
        <is>
          <t>IMG_0121</t>
        </is>
      </c>
      <c r="C2745" s="5" t="inlineStr">
        <is>
          <t>CLASS P: PILES</t>
        </is>
      </c>
      <c r="D2745" s="5" t="inlineStr">
        <is>
          <t>06 ISOLATED STEEL PILES</t>
        </is>
      </c>
      <c r="E2745" s="5" t="inlineStr">
        <is>
          <t>Mass 152 kg/m; 356 x 368 mm</t>
        </is>
      </c>
      <c r="F2745" s="5" t="inlineStr">
        <is>
          <t>number of piles; length 20 m</t>
        </is>
      </c>
      <c r="G2745" s="6" t="inlineStr">
        <is>
          <t>nr</t>
        </is>
      </c>
      <c r="H2745" s="7" t="n"/>
      <c r="I2745" s="8" t="n">
        <v>0</v>
      </c>
      <c r="J2745" s="8" t="n">
        <v>6302.36</v>
      </c>
      <c r="K2745" s="8" t="n">
        <v>0</v>
      </c>
      <c r="L2745" s="8" t="n">
        <v>7213.9</v>
      </c>
      <c r="M2745" s="9">
        <f>ROUND(SUM(I2745:L2745),2)</f>
        <v/>
      </c>
      <c r="N2745" s="10">
        <f>ROUND(I2745*'Irish Basis'!$C$6*'Irish Basis'!$C$5,2)</f>
        <v/>
      </c>
      <c r="O2745" s="10">
        <f>ROUND(J2745*'Irish Basis'!$C$7*'Irish Basis'!$C$5,2)</f>
        <v/>
      </c>
      <c r="P2745" s="10">
        <f>ROUND(K2745*'Irish Basis'!$C$8*'Irish Basis'!$C$5,2)</f>
        <v/>
      </c>
      <c r="Q2745" s="10">
        <f>ROUND(L2745*'Irish Basis'!$C$12*'Irish Basis'!$C$5,2)</f>
        <v/>
      </c>
      <c r="R2745" s="11">
        <f>ROUND(SUM(N2745:Q2745),2)</f>
        <v/>
      </c>
      <c r="S2745" s="5" t="inlineStr">
        <is>
          <t>Stated components + specialist balance</t>
        </is>
      </c>
      <c r="T2745" s="16" t="inlineStr">
        <is>
          <t>Medium</t>
        </is>
      </c>
      <c r="U2745" s="8" t="n">
        <v>13516.26</v>
      </c>
      <c r="V2745" s="13">
        <f>IF(U2745="","",ROUND(M2745-U2745,2))</f>
        <v/>
      </c>
      <c r="W2745" s="5" t="n"/>
      <c r="X2745" s="5" t="inlineStr">
        <is>
          <t>Published plant/labour retained; the £7,213.90 balance of the specialist all-in rate is not broken down in the source.</t>
        </is>
      </c>
    </row>
    <row r="2746" ht="13" customHeight="1">
      <c r="A2746" s="4" t="n">
        <v>4106</v>
      </c>
      <c r="B2746" s="5" t="inlineStr">
        <is>
          <t>IMG_0121</t>
        </is>
      </c>
      <c r="C2746" s="5" t="inlineStr">
        <is>
          <t>CLASS P: PILES</t>
        </is>
      </c>
      <c r="D2746" s="5" t="inlineStr">
        <is>
          <t>06 ISOLATED STEEL PILES</t>
        </is>
      </c>
      <c r="E2746" s="5" t="inlineStr">
        <is>
          <t>Mass 152 kg/m; 356 x 368 mm</t>
        </is>
      </c>
      <c r="F2746" s="5" t="inlineStr">
        <is>
          <t>driving piles; vertical</t>
        </is>
      </c>
      <c r="G2746" s="6" t="inlineStr">
        <is>
          <t>m</t>
        </is>
      </c>
      <c r="H2746" s="7" t="n"/>
      <c r="I2746" s="8" t="n">
        <v>0</v>
      </c>
      <c r="J2746" s="8" t="n">
        <v>0</v>
      </c>
      <c r="K2746" s="8" t="n">
        <v>0</v>
      </c>
      <c r="L2746" s="8" t="n">
        <v>7.45</v>
      </c>
      <c r="M2746" s="9">
        <f>ROUND(SUM(I2746:L2746),2)</f>
        <v/>
      </c>
      <c r="N2746" s="10">
        <f>ROUND(I2746*'Irish Basis'!$C$6*'Irish Basis'!$C$5,2)</f>
        <v/>
      </c>
      <c r="O2746" s="10">
        <f>ROUND(J2746*'Irish Basis'!$C$7*'Irish Basis'!$C$5,2)</f>
        <v/>
      </c>
      <c r="P2746" s="10">
        <f>ROUND(K2746*'Irish Basis'!$C$8*'Irish Basis'!$C$5,2)</f>
        <v/>
      </c>
      <c r="Q2746" s="10">
        <f>ROUND(L2746*'Irish Basis'!$C$12*'Irish Basis'!$C$5,2)</f>
        <v/>
      </c>
      <c r="R2746" s="11">
        <f>ROUND(SUM(N2746:Q2746),2)</f>
        <v/>
      </c>
      <c r="S2746" s="5" t="inlineStr">
        <is>
          <t>All-in specialist rate</t>
        </is>
      </c>
      <c r="T2746" s="14" t="inlineStr">
        <is>
          <t>All-in (not split)</t>
        </is>
      </c>
      <c r="U2746" s="8" t="n">
        <v>7.45</v>
      </c>
      <c r="V2746" s="13">
        <f>IF(U2746="","",ROUND(M2746-U2746,2))</f>
        <v/>
      </c>
      <c r="W2746" s="5" t="n"/>
      <c r="X2746" s="5" t="inlineStr">
        <is>
          <t>Source publishes a specialist/sub-contract all-in rate; no labour/plant/material build-up exists to derive from.</t>
        </is>
      </c>
    </row>
    <row r="2747" ht="13" customHeight="1">
      <c r="A2747" s="4" t="n">
        <v>4107</v>
      </c>
      <c r="B2747" s="5" t="inlineStr">
        <is>
          <t>IMG_0121</t>
        </is>
      </c>
      <c r="C2747" s="5" t="inlineStr">
        <is>
          <t>CLASS P: PILES</t>
        </is>
      </c>
      <c r="D2747" s="5" t="inlineStr">
        <is>
          <t>06 ISOLATED STEEL PILES</t>
        </is>
      </c>
      <c r="E2747" s="5" t="inlineStr">
        <is>
          <t>Mass 152 kg/m; 356 x 368 mm</t>
        </is>
      </c>
      <c r="F2747" s="5" t="inlineStr">
        <is>
          <t>driving piles; raking</t>
        </is>
      </c>
      <c r="G2747" s="6" t="inlineStr">
        <is>
          <t>m</t>
        </is>
      </c>
      <c r="H2747" s="7" t="n"/>
      <c r="I2747" s="8" t="n">
        <v>0</v>
      </c>
      <c r="J2747" s="8" t="n">
        <v>0</v>
      </c>
      <c r="K2747" s="8" t="n">
        <v>0</v>
      </c>
      <c r="L2747" s="8" t="n">
        <v>10.38</v>
      </c>
      <c r="M2747" s="9">
        <f>ROUND(SUM(I2747:L2747),2)</f>
        <v/>
      </c>
      <c r="N2747" s="10">
        <f>ROUND(I2747*'Irish Basis'!$C$6*'Irish Basis'!$C$5,2)</f>
        <v/>
      </c>
      <c r="O2747" s="10">
        <f>ROUND(J2747*'Irish Basis'!$C$7*'Irish Basis'!$C$5,2)</f>
        <v/>
      </c>
      <c r="P2747" s="10">
        <f>ROUND(K2747*'Irish Basis'!$C$8*'Irish Basis'!$C$5,2)</f>
        <v/>
      </c>
      <c r="Q2747" s="10">
        <f>ROUND(L2747*'Irish Basis'!$C$12*'Irish Basis'!$C$5,2)</f>
        <v/>
      </c>
      <c r="R2747" s="11">
        <f>ROUND(SUM(N2747:Q2747),2)</f>
        <v/>
      </c>
      <c r="S2747" s="5" t="inlineStr">
        <is>
          <t>All-in specialist rate</t>
        </is>
      </c>
      <c r="T2747" s="14" t="inlineStr">
        <is>
          <t>All-in (not split)</t>
        </is>
      </c>
      <c r="U2747" s="8" t="n">
        <v>10.38</v>
      </c>
      <c r="V2747" s="13">
        <f>IF(U2747="","",ROUND(M2747-U2747,2))</f>
        <v/>
      </c>
      <c r="W2747" s="5" t="n"/>
      <c r="X2747" s="5" t="inlineStr">
        <is>
          <t>Source publishes a specialist/sub-contract all-in rate; no labour/plant/material build-up exists to derive from.</t>
        </is>
      </c>
    </row>
    <row r="2748" ht="13" customHeight="1">
      <c r="A2748" s="4" t="n">
        <v>4109</v>
      </c>
      <c r="B2748" s="5" t="inlineStr">
        <is>
          <t>IMG_0121</t>
        </is>
      </c>
      <c r="C2748" s="5" t="inlineStr">
        <is>
          <t>CLASS P: PILES</t>
        </is>
      </c>
      <c r="D2748" s="5" t="inlineStr">
        <is>
          <t>06 ISOLATED STEEL PILES</t>
        </is>
      </c>
      <c r="E2748" s="5" t="inlineStr">
        <is>
          <t>Mass 174 kg/m; 356 x 368 mm</t>
        </is>
      </c>
      <c r="F2748" s="5" t="inlineStr">
        <is>
          <t>number of piles; length 10 m</t>
        </is>
      </c>
      <c r="G2748" s="6" t="inlineStr">
        <is>
          <t>nr</t>
        </is>
      </c>
      <c r="H2748" s="7" t="n"/>
      <c r="I2748" s="8" t="n">
        <v>0</v>
      </c>
      <c r="J2748" s="8" t="n">
        <v>3385.6</v>
      </c>
      <c r="K2748" s="8" t="n">
        <v>0</v>
      </c>
      <c r="L2748" s="8" t="n">
        <v>7213.91</v>
      </c>
      <c r="M2748" s="9">
        <f>ROUND(SUM(I2748:L2748),2)</f>
        <v/>
      </c>
      <c r="N2748" s="10">
        <f>ROUND(I2748*'Irish Basis'!$C$6*'Irish Basis'!$C$5,2)</f>
        <v/>
      </c>
      <c r="O2748" s="10">
        <f>ROUND(J2748*'Irish Basis'!$C$7*'Irish Basis'!$C$5,2)</f>
        <v/>
      </c>
      <c r="P2748" s="10">
        <f>ROUND(K2748*'Irish Basis'!$C$8*'Irish Basis'!$C$5,2)</f>
        <v/>
      </c>
      <c r="Q2748" s="10">
        <f>ROUND(L2748*'Irish Basis'!$C$12*'Irish Basis'!$C$5,2)</f>
        <v/>
      </c>
      <c r="R2748" s="11">
        <f>ROUND(SUM(N2748:Q2748),2)</f>
        <v/>
      </c>
      <c r="S2748" s="5" t="inlineStr">
        <is>
          <t>Stated components + specialist balance</t>
        </is>
      </c>
      <c r="T2748" s="16" t="inlineStr">
        <is>
          <t>Medium</t>
        </is>
      </c>
      <c r="U2748" s="8" t="n">
        <v>10599.51</v>
      </c>
      <c r="V2748" s="13">
        <f>IF(U2748="","",ROUND(M2748-U2748,2))</f>
        <v/>
      </c>
      <c r="W2748" s="5" t="n"/>
      <c r="X2748" s="5" t="inlineStr">
        <is>
          <t>Published plant/labour retained; the £7,213.91 balance of the specialist all-in rate is not broken down in the source.</t>
        </is>
      </c>
    </row>
    <row r="2749" ht="13" customHeight="1">
      <c r="A2749" s="4" t="n">
        <v>4110</v>
      </c>
      <c r="B2749" s="5" t="inlineStr">
        <is>
          <t>IMG_0121</t>
        </is>
      </c>
      <c r="C2749" s="5" t="inlineStr">
        <is>
          <t>CLASS P: PILES</t>
        </is>
      </c>
      <c r="D2749" s="5" t="inlineStr">
        <is>
          <t>06 ISOLATED STEEL PILES</t>
        </is>
      </c>
      <c r="E2749" s="5" t="inlineStr">
        <is>
          <t>Mass 174 kg/m; 356 x 368 mm</t>
        </is>
      </c>
      <c r="F2749" s="5" t="inlineStr">
        <is>
          <t>number of piles; length 15 m</t>
        </is>
      </c>
      <c r="G2749" s="6" t="inlineStr">
        <is>
          <t>nr</t>
        </is>
      </c>
      <c r="H2749" s="7" t="n"/>
      <c r="I2749" s="8" t="n">
        <v>0</v>
      </c>
      <c r="J2749" s="8" t="n">
        <v>5410.91</v>
      </c>
      <c r="K2749" s="8" t="n">
        <v>0</v>
      </c>
      <c r="L2749" s="8" t="n">
        <v>7213.9</v>
      </c>
      <c r="M2749" s="9">
        <f>ROUND(SUM(I2749:L2749),2)</f>
        <v/>
      </c>
      <c r="N2749" s="10">
        <f>ROUND(I2749*'Irish Basis'!$C$6*'Irish Basis'!$C$5,2)</f>
        <v/>
      </c>
      <c r="O2749" s="10">
        <f>ROUND(J2749*'Irish Basis'!$C$7*'Irish Basis'!$C$5,2)</f>
        <v/>
      </c>
      <c r="P2749" s="10">
        <f>ROUND(K2749*'Irish Basis'!$C$8*'Irish Basis'!$C$5,2)</f>
        <v/>
      </c>
      <c r="Q2749" s="10">
        <f>ROUND(L2749*'Irish Basis'!$C$12*'Irish Basis'!$C$5,2)</f>
        <v/>
      </c>
      <c r="R2749" s="11">
        <f>ROUND(SUM(N2749:Q2749),2)</f>
        <v/>
      </c>
      <c r="S2749" s="5" t="inlineStr">
        <is>
          <t>Stated components + specialist balance</t>
        </is>
      </c>
      <c r="T2749" s="16" t="inlineStr">
        <is>
          <t>Medium</t>
        </is>
      </c>
      <c r="U2749" s="8" t="n">
        <v>12624.81</v>
      </c>
      <c r="V2749" s="13">
        <f>IF(U2749="","",ROUND(M2749-U2749,2))</f>
        <v/>
      </c>
      <c r="W2749" s="5" t="n"/>
      <c r="X2749" s="5" t="inlineStr">
        <is>
          <t>Published plant/labour retained; the £7,213.90 balance of the specialist all-in rate is not broken down in the source.</t>
        </is>
      </c>
    </row>
    <row r="2750" ht="13" customHeight="1">
      <c r="A2750" s="4" t="n">
        <v>4111</v>
      </c>
      <c r="B2750" s="5" t="inlineStr">
        <is>
          <t>IMG_0121</t>
        </is>
      </c>
      <c r="C2750" s="5" t="inlineStr">
        <is>
          <t>CLASS P: PILES</t>
        </is>
      </c>
      <c r="D2750" s="5" t="inlineStr">
        <is>
          <t>06 ISOLATED STEEL PILES</t>
        </is>
      </c>
      <c r="E2750" s="5" t="inlineStr">
        <is>
          <t>Mass 174 kg/m; 356 x 368 mm</t>
        </is>
      </c>
      <c r="F2750" s="5" t="inlineStr">
        <is>
          <t>number of piles; length 20 m</t>
        </is>
      </c>
      <c r="G2750" s="6" t="inlineStr">
        <is>
          <t>nr</t>
        </is>
      </c>
      <c r="H2750" s="7" t="n"/>
      <c r="I2750" s="8" t="n">
        <v>0</v>
      </c>
      <c r="J2750" s="8" t="n">
        <v>7214.54</v>
      </c>
      <c r="K2750" s="8" t="n">
        <v>0</v>
      </c>
      <c r="L2750" s="8" t="n">
        <v>7213.9</v>
      </c>
      <c r="M2750" s="9">
        <f>ROUND(SUM(I2750:L2750),2)</f>
        <v/>
      </c>
      <c r="N2750" s="10">
        <f>ROUND(I2750*'Irish Basis'!$C$6*'Irish Basis'!$C$5,2)</f>
        <v/>
      </c>
      <c r="O2750" s="10">
        <f>ROUND(J2750*'Irish Basis'!$C$7*'Irish Basis'!$C$5,2)</f>
        <v/>
      </c>
      <c r="P2750" s="10">
        <f>ROUND(K2750*'Irish Basis'!$C$8*'Irish Basis'!$C$5,2)</f>
        <v/>
      </c>
      <c r="Q2750" s="10">
        <f>ROUND(L2750*'Irish Basis'!$C$12*'Irish Basis'!$C$5,2)</f>
        <v/>
      </c>
      <c r="R2750" s="11">
        <f>ROUND(SUM(N2750:Q2750),2)</f>
        <v/>
      </c>
      <c r="S2750" s="5" t="inlineStr">
        <is>
          <t>Stated components + specialist balance</t>
        </is>
      </c>
      <c r="T2750" s="16" t="inlineStr">
        <is>
          <t>Medium</t>
        </is>
      </c>
      <c r="U2750" s="8" t="n">
        <v>14428.44</v>
      </c>
      <c r="V2750" s="13">
        <f>IF(U2750="","",ROUND(M2750-U2750,2))</f>
        <v/>
      </c>
      <c r="W2750" s="5" t="n"/>
      <c r="X2750" s="5" t="inlineStr">
        <is>
          <t>Published plant/labour retained; the £7,213.90 balance of the specialist all-in rate is not broken down in the source.</t>
        </is>
      </c>
    </row>
    <row r="2751" ht="13" customHeight="1">
      <c r="A2751" s="4" t="n">
        <v>4112</v>
      </c>
      <c r="B2751" s="5" t="inlineStr">
        <is>
          <t>IMG_0121</t>
        </is>
      </c>
      <c r="C2751" s="5" t="inlineStr">
        <is>
          <t>CLASS P: PILES</t>
        </is>
      </c>
      <c r="D2751" s="5" t="inlineStr">
        <is>
          <t>06 ISOLATED STEEL PILES</t>
        </is>
      </c>
      <c r="E2751" s="5" t="inlineStr">
        <is>
          <t>Mass 174 kg/m; 356 x 368 mm</t>
        </is>
      </c>
      <c r="F2751" s="5" t="inlineStr">
        <is>
          <t>driving piles; vertical</t>
        </is>
      </c>
      <c r="G2751" s="6" t="inlineStr">
        <is>
          <t>m</t>
        </is>
      </c>
      <c r="H2751" s="7" t="n"/>
      <c r="I2751" s="8" t="n">
        <v>0</v>
      </c>
      <c r="J2751" s="8" t="n">
        <v>0</v>
      </c>
      <c r="K2751" s="8" t="n">
        <v>0</v>
      </c>
      <c r="L2751" s="8" t="n">
        <v>7.45</v>
      </c>
      <c r="M2751" s="9">
        <f>ROUND(SUM(I2751:L2751),2)</f>
        <v/>
      </c>
      <c r="N2751" s="10">
        <f>ROUND(I2751*'Irish Basis'!$C$6*'Irish Basis'!$C$5,2)</f>
        <v/>
      </c>
      <c r="O2751" s="10">
        <f>ROUND(J2751*'Irish Basis'!$C$7*'Irish Basis'!$C$5,2)</f>
        <v/>
      </c>
      <c r="P2751" s="10">
        <f>ROUND(K2751*'Irish Basis'!$C$8*'Irish Basis'!$C$5,2)</f>
        <v/>
      </c>
      <c r="Q2751" s="10">
        <f>ROUND(L2751*'Irish Basis'!$C$12*'Irish Basis'!$C$5,2)</f>
        <v/>
      </c>
      <c r="R2751" s="11">
        <f>ROUND(SUM(N2751:Q2751),2)</f>
        <v/>
      </c>
      <c r="S2751" s="5" t="inlineStr">
        <is>
          <t>All-in specialist rate</t>
        </is>
      </c>
      <c r="T2751" s="14" t="inlineStr">
        <is>
          <t>All-in (not split)</t>
        </is>
      </c>
      <c r="U2751" s="8" t="n">
        <v>7.45</v>
      </c>
      <c r="V2751" s="13">
        <f>IF(U2751="","",ROUND(M2751-U2751,2))</f>
        <v/>
      </c>
      <c r="W2751" s="5" t="n"/>
      <c r="X2751" s="5" t="inlineStr">
        <is>
          <t>Source publishes a specialist/sub-contract all-in rate; no labour/plant/material build-up exists to derive from.</t>
        </is>
      </c>
    </row>
    <row r="2752" ht="13" customHeight="1">
      <c r="A2752" s="4" t="n">
        <v>4113</v>
      </c>
      <c r="B2752" s="5" t="inlineStr">
        <is>
          <t>IMG_0121</t>
        </is>
      </c>
      <c r="C2752" s="5" t="inlineStr">
        <is>
          <t>CLASS P: PILES</t>
        </is>
      </c>
      <c r="D2752" s="5" t="inlineStr">
        <is>
          <t>06 ISOLATED STEEL PILES</t>
        </is>
      </c>
      <c r="E2752" s="5" t="inlineStr">
        <is>
          <t>Mass 174 kg/m; 356 x 368 mm</t>
        </is>
      </c>
      <c r="F2752" s="5" t="inlineStr">
        <is>
          <t>driving piles; raking</t>
        </is>
      </c>
      <c r="G2752" s="6" t="inlineStr">
        <is>
          <t>m</t>
        </is>
      </c>
      <c r="H2752" s="7" t="n"/>
      <c r="I2752" s="8" t="n">
        <v>0</v>
      </c>
      <c r="J2752" s="8" t="n">
        <v>0</v>
      </c>
      <c r="K2752" s="8" t="n">
        <v>0</v>
      </c>
      <c r="L2752" s="8" t="n">
        <v>10.38</v>
      </c>
      <c r="M2752" s="9">
        <f>ROUND(SUM(I2752:L2752),2)</f>
        <v/>
      </c>
      <c r="N2752" s="10">
        <f>ROUND(I2752*'Irish Basis'!$C$6*'Irish Basis'!$C$5,2)</f>
        <v/>
      </c>
      <c r="O2752" s="10">
        <f>ROUND(J2752*'Irish Basis'!$C$7*'Irish Basis'!$C$5,2)</f>
        <v/>
      </c>
      <c r="P2752" s="10">
        <f>ROUND(K2752*'Irish Basis'!$C$8*'Irish Basis'!$C$5,2)</f>
        <v/>
      </c>
      <c r="Q2752" s="10">
        <f>ROUND(L2752*'Irish Basis'!$C$12*'Irish Basis'!$C$5,2)</f>
        <v/>
      </c>
      <c r="R2752" s="11">
        <f>ROUND(SUM(N2752:Q2752),2)</f>
        <v/>
      </c>
      <c r="S2752" s="5" t="inlineStr">
        <is>
          <t>All-in specialist rate</t>
        </is>
      </c>
      <c r="T2752" s="14" t="inlineStr">
        <is>
          <t>All-in (not split)</t>
        </is>
      </c>
      <c r="U2752" s="8" t="n">
        <v>10.38</v>
      </c>
      <c r="V2752" s="13">
        <f>IF(U2752="","",ROUND(M2752-U2752,2))</f>
        <v/>
      </c>
      <c r="W2752" s="5" t="n"/>
      <c r="X2752" s="5" t="inlineStr">
        <is>
          <t>Source publishes a specialist/sub-contract all-in rate; no labour/plant/material build-up exists to derive from.</t>
        </is>
      </c>
    </row>
    <row r="2753" ht="13" customHeight="1">
      <c r="A2753" s="4" t="n">
        <v>4122</v>
      </c>
      <c r="B2753" s="5" t="inlineStr">
        <is>
          <t>IMG_0121</t>
        </is>
      </c>
      <c r="C2753" s="5" t="inlineStr">
        <is>
          <t>CLASS P: PILES</t>
        </is>
      </c>
      <c r="D2753" s="5" t="inlineStr">
        <is>
          <t>07 INTERLOCKING STEEL PILES</t>
        </is>
      </c>
      <c r="E2753" s="5" t="inlineStr">
        <is>
          <t>Provision of all plant, equipment and labour including transport to and from the site and establishing and dismantling for</t>
        </is>
      </c>
      <c r="F2753" s="5" t="inlineStr">
        <is>
          <t>driving of sheet piling</t>
        </is>
      </c>
      <c r="G2753" s="6" t="inlineStr">
        <is>
          <t>item</t>
        </is>
      </c>
      <c r="H2753" s="7" t="n"/>
      <c r="I2753" s="8" t="n">
        <v>0</v>
      </c>
      <c r="J2753" s="8" t="n">
        <v>0</v>
      </c>
      <c r="K2753" s="8" t="n">
        <v>0</v>
      </c>
      <c r="L2753" s="8" t="n">
        <v>11453.72</v>
      </c>
      <c r="M2753" s="9">
        <f>ROUND(SUM(I2753:L2753),2)</f>
        <v/>
      </c>
      <c r="N2753" s="10">
        <f>ROUND(I2753*'Irish Basis'!$C$6*'Irish Basis'!$C$5,2)</f>
        <v/>
      </c>
      <c r="O2753" s="10">
        <f>ROUND(J2753*'Irish Basis'!$C$7*'Irish Basis'!$C$5,2)</f>
        <v/>
      </c>
      <c r="P2753" s="10">
        <f>ROUND(K2753*'Irish Basis'!$C$8*'Irish Basis'!$C$5,2)</f>
        <v/>
      </c>
      <c r="Q2753" s="10">
        <f>ROUND(L2753*'Irish Basis'!$C$12*'Irish Basis'!$C$5,2)</f>
        <v/>
      </c>
      <c r="R2753" s="11">
        <f>ROUND(SUM(N2753:Q2753),2)</f>
        <v/>
      </c>
      <c r="S2753" s="5" t="inlineStr">
        <is>
          <t>All-in specialist rate</t>
        </is>
      </c>
      <c r="T2753" s="14" t="inlineStr">
        <is>
          <t>All-in (not split)</t>
        </is>
      </c>
      <c r="U2753" s="8" t="n">
        <v>11453.72</v>
      </c>
      <c r="V2753" s="13">
        <f>IF(U2753="","",ROUND(M2753-U2753,2))</f>
        <v/>
      </c>
      <c r="W2753" s="5" t="n"/>
      <c r="X2753" s="5" t="inlineStr">
        <is>
          <t>Source publishes a specialist/sub-contract all-in rate; no labour/plant/material build-up exists to derive from.</t>
        </is>
      </c>
    </row>
    <row r="2754" ht="13" customHeight="1">
      <c r="A2754" s="4" t="n">
        <v>4123</v>
      </c>
      <c r="B2754" s="5" t="inlineStr">
        <is>
          <t>IMG_0121</t>
        </is>
      </c>
      <c r="C2754" s="5" t="inlineStr">
        <is>
          <t>CLASS P: PILES</t>
        </is>
      </c>
      <c r="D2754" s="5" t="inlineStr">
        <is>
          <t>07 INTERLOCKING STEEL PILES</t>
        </is>
      </c>
      <c r="E2754" s="5" t="inlineStr">
        <is>
          <t>Provision of all plant, equipment and labour including transport to and from the site and establishing and dismantling for</t>
        </is>
      </c>
      <c r="F2754" s="5" t="inlineStr">
        <is>
          <t>extraction of sheet piling</t>
        </is>
      </c>
      <c r="G2754" s="6" t="inlineStr">
        <is>
          <t>item</t>
        </is>
      </c>
      <c r="H2754" s="7" t="n"/>
      <c r="I2754" s="8" t="n">
        <v>0</v>
      </c>
      <c r="J2754" s="8" t="n">
        <v>0</v>
      </c>
      <c r="K2754" s="8" t="n">
        <v>0</v>
      </c>
      <c r="L2754" s="8" t="n">
        <v>3083.69</v>
      </c>
      <c r="M2754" s="9">
        <f>ROUND(SUM(I2754:L2754),2)</f>
        <v/>
      </c>
      <c r="N2754" s="10">
        <f>ROUND(I2754*'Irish Basis'!$C$6*'Irish Basis'!$C$5,2)</f>
        <v/>
      </c>
      <c r="O2754" s="10">
        <f>ROUND(J2754*'Irish Basis'!$C$7*'Irish Basis'!$C$5,2)</f>
        <v/>
      </c>
      <c r="P2754" s="10">
        <f>ROUND(K2754*'Irish Basis'!$C$8*'Irish Basis'!$C$5,2)</f>
        <v/>
      </c>
      <c r="Q2754" s="10">
        <f>ROUND(L2754*'Irish Basis'!$C$12*'Irish Basis'!$C$5,2)</f>
        <v/>
      </c>
      <c r="R2754" s="11">
        <f>ROUND(SUM(N2754:Q2754),2)</f>
        <v/>
      </c>
      <c r="S2754" s="5" t="inlineStr">
        <is>
          <t>All-in specialist rate</t>
        </is>
      </c>
      <c r="T2754" s="14" t="inlineStr">
        <is>
          <t>All-in (not split)</t>
        </is>
      </c>
      <c r="U2754" s="8" t="n">
        <v>3083.69</v>
      </c>
      <c r="V2754" s="13">
        <f>IF(U2754="","",ROUND(M2754-U2754,2))</f>
        <v/>
      </c>
      <c r="W2754" s="5" t="n"/>
      <c r="X2754" s="5" t="inlineStr">
        <is>
          <t>Source publishes a specialist/sub-contract all-in rate; no labour/plant/material build-up exists to derive from.</t>
        </is>
      </c>
    </row>
    <row r="2755" ht="13" customHeight="1">
      <c r="A2755" s="4" t="n">
        <v>4124</v>
      </c>
      <c r="B2755" s="5" t="inlineStr">
        <is>
          <t>IMG_0121</t>
        </is>
      </c>
      <c r="C2755" s="5" t="inlineStr">
        <is>
          <t>CLASS P: PILES</t>
        </is>
      </c>
      <c r="D2755" s="5" t="inlineStr">
        <is>
          <t>07 INTERLOCKING STEEL PILES</t>
        </is>
      </c>
      <c r="E2755" s="5" t="inlineStr">
        <is>
          <t>Provision of all plant, equipment and labour including transport to and from the site and establishing and dismantling for</t>
        </is>
      </c>
      <c r="F2755" s="5" t="inlineStr">
        <is>
          <t>Standing time</t>
        </is>
      </c>
      <c r="G2755" s="6" t="inlineStr">
        <is>
          <t>hr</t>
        </is>
      </c>
      <c r="H2755" s="7" t="n"/>
      <c r="I2755" s="8" t="n">
        <v>0</v>
      </c>
      <c r="J2755" s="8" t="n">
        <v>0</v>
      </c>
      <c r="K2755" s="8" t="n">
        <v>0</v>
      </c>
      <c r="L2755" s="8" t="n">
        <v>615.52</v>
      </c>
      <c r="M2755" s="9">
        <f>ROUND(SUM(I2755:L2755),2)</f>
        <v/>
      </c>
      <c r="N2755" s="10">
        <f>ROUND(I2755*'Irish Basis'!$C$6*'Irish Basis'!$C$5,2)</f>
        <v/>
      </c>
      <c r="O2755" s="10">
        <f>ROUND(J2755*'Irish Basis'!$C$7*'Irish Basis'!$C$5,2)</f>
        <v/>
      </c>
      <c r="P2755" s="10">
        <f>ROUND(K2755*'Irish Basis'!$C$8*'Irish Basis'!$C$5,2)</f>
        <v/>
      </c>
      <c r="Q2755" s="10">
        <f>ROUND(L2755*'Irish Basis'!$C$12*'Irish Basis'!$C$5,2)</f>
        <v/>
      </c>
      <c r="R2755" s="11">
        <f>ROUND(SUM(N2755:Q2755),2)</f>
        <v/>
      </c>
      <c r="S2755" s="5" t="inlineStr">
        <is>
          <t>All-in specialist rate</t>
        </is>
      </c>
      <c r="T2755" s="14" t="inlineStr">
        <is>
          <t>All-in (not split)</t>
        </is>
      </c>
      <c r="U2755" s="8" t="n">
        <v>615.52</v>
      </c>
      <c r="V2755" s="13">
        <f>IF(U2755="","",ROUND(M2755-U2755,2))</f>
        <v/>
      </c>
      <c r="W2755" s="5" t="n"/>
      <c r="X2755" s="5" t="inlineStr">
        <is>
          <t>Source publishes a specialist/sub-contract all-in rate; no labour/plant/material build-up exists to derive from.</t>
        </is>
      </c>
    </row>
    <row r="2756" ht="13" customHeight="1">
      <c r="A2756" s="4" t="n">
        <v>4126</v>
      </c>
      <c r="B2756" s="5" t="inlineStr">
        <is>
          <t>IMG_0121</t>
        </is>
      </c>
      <c r="C2756" s="5" t="inlineStr">
        <is>
          <t>CLASS P: PILES</t>
        </is>
      </c>
      <c r="D2756" s="5" t="inlineStr">
        <is>
          <t>07 INTERLOCKING STEEL PILES</t>
        </is>
      </c>
      <c r="E2756" s="5" t="inlineStr">
        <is>
          <t>Section modulus 800-1200 cm3/m; section reference AZ 12; mass 98.7 kg/m2, sectional modulus 1200 cm3/m; EN 10248 grade S270GP steel</t>
        </is>
      </c>
      <c r="F2756" s="5" t="inlineStr">
        <is>
          <t>length of welded corner piles</t>
        </is>
      </c>
      <c r="G2756" s="6" t="inlineStr">
        <is>
          <t>m</t>
        </is>
      </c>
      <c r="H2756" s="7" t="n"/>
      <c r="I2756" s="8" t="n">
        <v>0</v>
      </c>
      <c r="J2756" s="8" t="n">
        <v>0</v>
      </c>
      <c r="K2756" s="8" t="n">
        <v>0</v>
      </c>
      <c r="L2756" s="8" t="n">
        <v>166.87</v>
      </c>
      <c r="M2756" s="9">
        <f>ROUND(SUM(I2756:L2756),2)</f>
        <v/>
      </c>
      <c r="N2756" s="10">
        <f>ROUND(I2756*'Irish Basis'!$C$6*'Irish Basis'!$C$5,2)</f>
        <v/>
      </c>
      <c r="O2756" s="10">
        <f>ROUND(J2756*'Irish Basis'!$C$7*'Irish Basis'!$C$5,2)</f>
        <v/>
      </c>
      <c r="P2756" s="10">
        <f>ROUND(K2756*'Irish Basis'!$C$8*'Irish Basis'!$C$5,2)</f>
        <v/>
      </c>
      <c r="Q2756" s="10">
        <f>ROUND(L2756*'Irish Basis'!$C$12*'Irish Basis'!$C$5,2)</f>
        <v/>
      </c>
      <c r="R2756" s="11">
        <f>ROUND(SUM(N2756:Q2756),2)</f>
        <v/>
      </c>
      <c r="S2756" s="5" t="inlineStr">
        <is>
          <t>All-in specialist rate</t>
        </is>
      </c>
      <c r="T2756" s="14" t="inlineStr">
        <is>
          <t>All-in (not split)</t>
        </is>
      </c>
      <c r="U2756" s="8" t="n">
        <v>166.87</v>
      </c>
      <c r="V2756" s="13">
        <f>IF(U2756="","",ROUND(M2756-U2756,2))</f>
        <v/>
      </c>
      <c r="W2756" s="5" t="n"/>
      <c r="X2756" s="5" t="inlineStr">
        <is>
          <t>Source publishes a specialist/sub-contract all-in rate; no labour/plant/material build-up exists to derive from.</t>
        </is>
      </c>
    </row>
    <row r="2757" ht="13" customHeight="1">
      <c r="A2757" s="4" t="n">
        <v>4127</v>
      </c>
      <c r="B2757" s="5" t="inlineStr">
        <is>
          <t>IMG_0121</t>
        </is>
      </c>
      <c r="C2757" s="5" t="inlineStr">
        <is>
          <t>CLASS P: PILES</t>
        </is>
      </c>
      <c r="D2757" s="5" t="inlineStr">
        <is>
          <t>07 INTERLOCKING STEEL PILES</t>
        </is>
      </c>
      <c r="E2757" s="5" t="inlineStr">
        <is>
          <t>Section modulus 800-1200 cm3/m; section reference AZ 12; mass 98.7 kg/m2, sectional modulus 1200 cm3/m; EN 10248 grade S270GP steel</t>
        </is>
      </c>
      <c r="F2757" s="5" t="inlineStr">
        <is>
          <t>length of welded junction piles</t>
        </is>
      </c>
      <c r="G2757" s="6" t="inlineStr">
        <is>
          <t>m</t>
        </is>
      </c>
      <c r="H2757" s="7" t="n"/>
      <c r="I2757" s="8" t="n">
        <v>0</v>
      </c>
      <c r="J2757" s="8" t="n">
        <v>0</v>
      </c>
      <c r="K2757" s="8" t="n">
        <v>0</v>
      </c>
      <c r="L2757" s="8" t="n">
        <v>262.42</v>
      </c>
      <c r="M2757" s="9">
        <f>ROUND(SUM(I2757:L2757),2)</f>
        <v/>
      </c>
      <c r="N2757" s="10">
        <f>ROUND(I2757*'Irish Basis'!$C$6*'Irish Basis'!$C$5,2)</f>
        <v/>
      </c>
      <c r="O2757" s="10">
        <f>ROUND(J2757*'Irish Basis'!$C$7*'Irish Basis'!$C$5,2)</f>
        <v/>
      </c>
      <c r="P2757" s="10">
        <f>ROUND(K2757*'Irish Basis'!$C$8*'Irish Basis'!$C$5,2)</f>
        <v/>
      </c>
      <c r="Q2757" s="10">
        <f>ROUND(L2757*'Irish Basis'!$C$12*'Irish Basis'!$C$5,2)</f>
        <v/>
      </c>
      <c r="R2757" s="11">
        <f>ROUND(SUM(N2757:Q2757),2)</f>
        <v/>
      </c>
      <c r="S2757" s="5" t="inlineStr">
        <is>
          <t>All-in specialist rate</t>
        </is>
      </c>
      <c r="T2757" s="14" t="inlineStr">
        <is>
          <t>All-in (not split)</t>
        </is>
      </c>
      <c r="U2757" s="8" t="n">
        <v>262.42</v>
      </c>
      <c r="V2757" s="13">
        <f>IF(U2757="","",ROUND(M2757-U2757,2))</f>
        <v/>
      </c>
      <c r="W2757" s="5" t="n"/>
      <c r="X2757" s="5" t="inlineStr">
        <is>
          <t>Source publishes a specialist/sub-contract all-in rate; no labour/plant/material build-up exists to derive from.</t>
        </is>
      </c>
    </row>
    <row r="2758" ht="13" customHeight="1">
      <c r="A2758" s="4" t="n">
        <v>4128</v>
      </c>
      <c r="B2758" s="5" t="inlineStr">
        <is>
          <t>IMG_0121</t>
        </is>
      </c>
      <c r="C2758" s="5" t="inlineStr">
        <is>
          <t>CLASS P: PILES</t>
        </is>
      </c>
      <c r="D2758" s="5" t="inlineStr">
        <is>
          <t>07 INTERLOCKING STEEL PILES</t>
        </is>
      </c>
      <c r="E2758" s="5" t="inlineStr">
        <is>
          <t>Section modulus 800-1200 cm3/m; section reference AZ 12; mass 98.7 kg/m2, sectional modulus 1200 cm3/m; EN 10248 grade S270GP steel</t>
        </is>
      </c>
      <c r="F2758" s="5" t="inlineStr">
        <is>
          <t>driven area</t>
        </is>
      </c>
      <c r="G2758" s="6" t="inlineStr">
        <is>
          <t>m2</t>
        </is>
      </c>
      <c r="H2758" s="7" t="n"/>
      <c r="I2758" s="8" t="n">
        <v>0</v>
      </c>
      <c r="J2758" s="8" t="n">
        <v>0</v>
      </c>
      <c r="K2758" s="8" t="n">
        <v>0</v>
      </c>
      <c r="L2758" s="8" t="n">
        <v>73.86</v>
      </c>
      <c r="M2758" s="9">
        <f>ROUND(SUM(I2758:L2758),2)</f>
        <v/>
      </c>
      <c r="N2758" s="10">
        <f>ROUND(I2758*'Irish Basis'!$C$6*'Irish Basis'!$C$5,2)</f>
        <v/>
      </c>
      <c r="O2758" s="10">
        <f>ROUND(J2758*'Irish Basis'!$C$7*'Irish Basis'!$C$5,2)</f>
        <v/>
      </c>
      <c r="P2758" s="10">
        <f>ROUND(K2758*'Irish Basis'!$C$8*'Irish Basis'!$C$5,2)</f>
        <v/>
      </c>
      <c r="Q2758" s="10">
        <f>ROUND(L2758*'Irish Basis'!$C$12*'Irish Basis'!$C$5,2)</f>
        <v/>
      </c>
      <c r="R2758" s="11">
        <f>ROUND(SUM(N2758:Q2758),2)</f>
        <v/>
      </c>
      <c r="S2758" s="5" t="inlineStr">
        <is>
          <t>All-in specialist rate</t>
        </is>
      </c>
      <c r="T2758" s="14" t="inlineStr">
        <is>
          <t>All-in (not split)</t>
        </is>
      </c>
      <c r="U2758" s="8" t="n">
        <v>73.86</v>
      </c>
      <c r="V2758" s="13">
        <f>IF(U2758="","",ROUND(M2758-U2758,2))</f>
        <v/>
      </c>
      <c r="W2758" s="5" t="n"/>
      <c r="X2758" s="5" t="inlineStr">
        <is>
          <t>Source publishes a specialist/sub-contract all-in rate; no labour/plant/material build-up exists to derive from.</t>
        </is>
      </c>
    </row>
    <row r="2759" ht="13" customHeight="1">
      <c r="A2759" s="4" t="n">
        <v>4129</v>
      </c>
      <c r="B2759" s="5" t="inlineStr">
        <is>
          <t>IMG_0121</t>
        </is>
      </c>
      <c r="C2759" s="5" t="inlineStr">
        <is>
          <t>CLASS P: PILES</t>
        </is>
      </c>
      <c r="D2759" s="5" t="inlineStr">
        <is>
          <t>07 INTERLOCKING STEEL PILES</t>
        </is>
      </c>
      <c r="E2759" s="5" t="inlineStr">
        <is>
          <t>Section modulus 800-1200 cm3/m; section reference AZ 12; mass 98.7 kg/m2, sectional modulus 1200 cm3/m; EN 10248 grade S270GP steel</t>
        </is>
      </c>
      <c r="F2759" s="5" t="inlineStr">
        <is>
          <t>area of piles of length not exceeding 14 m</t>
        </is>
      </c>
      <c r="G2759" s="6" t="inlineStr">
        <is>
          <t>m2</t>
        </is>
      </c>
      <c r="H2759" s="7" t="n"/>
      <c r="I2759" s="8" t="n">
        <v>0</v>
      </c>
      <c r="J2759" s="8" t="n">
        <v>0</v>
      </c>
      <c r="K2759" s="8" t="n">
        <v>0</v>
      </c>
      <c r="L2759" s="8" t="n">
        <v>167.17</v>
      </c>
      <c r="M2759" s="9">
        <f>ROUND(SUM(I2759:L2759),2)</f>
        <v/>
      </c>
      <c r="N2759" s="10">
        <f>ROUND(I2759*'Irish Basis'!$C$6*'Irish Basis'!$C$5,2)</f>
        <v/>
      </c>
      <c r="O2759" s="10">
        <f>ROUND(J2759*'Irish Basis'!$C$7*'Irish Basis'!$C$5,2)</f>
        <v/>
      </c>
      <c r="P2759" s="10">
        <f>ROUND(K2759*'Irish Basis'!$C$8*'Irish Basis'!$C$5,2)</f>
        <v/>
      </c>
      <c r="Q2759" s="10">
        <f>ROUND(L2759*'Irish Basis'!$C$12*'Irish Basis'!$C$5,2)</f>
        <v/>
      </c>
      <c r="R2759" s="11">
        <f>ROUND(SUM(N2759:Q2759),2)</f>
        <v/>
      </c>
      <c r="S2759" s="5" t="inlineStr">
        <is>
          <t>All-in specialist rate</t>
        </is>
      </c>
      <c r="T2759" s="14" t="inlineStr">
        <is>
          <t>All-in (not split)</t>
        </is>
      </c>
      <c r="U2759" s="8" t="n">
        <v>167.17</v>
      </c>
      <c r="V2759" s="13">
        <f>IF(U2759="","",ROUND(M2759-U2759,2))</f>
        <v/>
      </c>
      <c r="W2759" s="5" t="n"/>
      <c r="X2759" s="5" t="inlineStr">
        <is>
          <t>Source publishes a specialist/sub-contract all-in rate; no labour/plant/material build-up exists to derive from.</t>
        </is>
      </c>
    </row>
    <row r="2760" ht="13" customHeight="1">
      <c r="A2760" s="4" t="n">
        <v>4130</v>
      </c>
      <c r="B2760" s="5" t="inlineStr">
        <is>
          <t>IMG_0121</t>
        </is>
      </c>
      <c r="C2760" s="5" t="inlineStr">
        <is>
          <t>CLASS P: PILES</t>
        </is>
      </c>
      <c r="D2760" s="5" t="inlineStr">
        <is>
          <t>07 INTERLOCKING STEEL PILES</t>
        </is>
      </c>
      <c r="E2760" s="5" t="inlineStr">
        <is>
          <t>Section modulus 800-1200 cm3/m; section reference AZ 12; mass 98.7 kg/m2, sectional modulus 1200 cm3/m; EN 10248 grade S270GP steel</t>
        </is>
      </c>
      <c r="F2760" s="5" t="inlineStr">
        <is>
          <t>length 14-24 m</t>
        </is>
      </c>
      <c r="G2760" s="6" t="inlineStr">
        <is>
          <t>m2</t>
        </is>
      </c>
      <c r="H2760" s="7" t="n"/>
      <c r="I2760" s="8" t="n">
        <v>0</v>
      </c>
      <c r="J2760" s="8" t="n">
        <v>0</v>
      </c>
      <c r="K2760" s="8" t="n">
        <v>0</v>
      </c>
      <c r="L2760" s="8" t="n">
        <v>157.32</v>
      </c>
      <c r="M2760" s="9">
        <f>ROUND(SUM(I2760:L2760),2)</f>
        <v/>
      </c>
      <c r="N2760" s="10">
        <f>ROUND(I2760*'Irish Basis'!$C$6*'Irish Basis'!$C$5,2)</f>
        <v/>
      </c>
      <c r="O2760" s="10">
        <f>ROUND(J2760*'Irish Basis'!$C$7*'Irish Basis'!$C$5,2)</f>
        <v/>
      </c>
      <c r="P2760" s="10">
        <f>ROUND(K2760*'Irish Basis'!$C$8*'Irish Basis'!$C$5,2)</f>
        <v/>
      </c>
      <c r="Q2760" s="10">
        <f>ROUND(L2760*'Irish Basis'!$C$12*'Irish Basis'!$C$5,2)</f>
        <v/>
      </c>
      <c r="R2760" s="11">
        <f>ROUND(SUM(N2760:Q2760),2)</f>
        <v/>
      </c>
      <c r="S2760" s="5" t="inlineStr">
        <is>
          <t>All-in specialist rate</t>
        </is>
      </c>
      <c r="T2760" s="14" t="inlineStr">
        <is>
          <t>All-in (not split)</t>
        </is>
      </c>
      <c r="U2760" s="8" t="n">
        <v>157.32</v>
      </c>
      <c r="V2760" s="13">
        <f>IF(U2760="","",ROUND(M2760-U2760,2))</f>
        <v/>
      </c>
      <c r="W2760" s="5" t="n"/>
      <c r="X2760" s="5" t="inlineStr">
        <is>
          <t>Source publishes a specialist/sub-contract all-in rate; no labour/plant/material build-up exists to derive from.</t>
        </is>
      </c>
    </row>
    <row r="2761" ht="13" customHeight="1">
      <c r="A2761" s="4" t="n">
        <v>4131</v>
      </c>
      <c r="B2761" s="5" t="inlineStr">
        <is>
          <t>IMG_0121</t>
        </is>
      </c>
      <c r="C2761" s="5" t="inlineStr">
        <is>
          <t>CLASS P: PILES</t>
        </is>
      </c>
      <c r="D2761" s="5" t="inlineStr">
        <is>
          <t>07 INTERLOCKING STEEL PILES</t>
        </is>
      </c>
      <c r="E2761" s="5" t="inlineStr">
        <is>
          <t>Section modulus 800-1200 cm3/m; section reference AZ 12; mass 98.7 kg/m2, sectional modulus 1200 cm3/m; EN 10248 grade S270GP steel</t>
        </is>
      </c>
      <c r="F2761" s="5" t="inlineStr">
        <is>
          <t>area of piles of length exceeding 24 m</t>
        </is>
      </c>
      <c r="G2761" s="6" t="inlineStr">
        <is>
          <t>m2</t>
        </is>
      </c>
      <c r="H2761" s="7" t="n"/>
      <c r="I2761" s="8" t="n">
        <v>0</v>
      </c>
      <c r="J2761" s="8" t="n">
        <v>0</v>
      </c>
      <c r="K2761" s="8" t="n">
        <v>0</v>
      </c>
      <c r="L2761" s="8" t="n">
        <v>167.64</v>
      </c>
      <c r="M2761" s="9">
        <f>ROUND(SUM(I2761:L2761),2)</f>
        <v/>
      </c>
      <c r="N2761" s="10">
        <f>ROUND(I2761*'Irish Basis'!$C$6*'Irish Basis'!$C$5,2)</f>
        <v/>
      </c>
      <c r="O2761" s="10">
        <f>ROUND(J2761*'Irish Basis'!$C$7*'Irish Basis'!$C$5,2)</f>
        <v/>
      </c>
      <c r="P2761" s="10">
        <f>ROUND(K2761*'Irish Basis'!$C$8*'Irish Basis'!$C$5,2)</f>
        <v/>
      </c>
      <c r="Q2761" s="10">
        <f>ROUND(L2761*'Irish Basis'!$C$12*'Irish Basis'!$C$5,2)</f>
        <v/>
      </c>
      <c r="R2761" s="11">
        <f>ROUND(SUM(N2761:Q2761),2)</f>
        <v/>
      </c>
      <c r="S2761" s="5" t="inlineStr">
        <is>
          <t>All-in specialist rate</t>
        </is>
      </c>
      <c r="T2761" s="14" t="inlineStr">
        <is>
          <t>All-in (not split)</t>
        </is>
      </c>
      <c r="U2761" s="8" t="n">
        <v>167.64</v>
      </c>
      <c r="V2761" s="13">
        <f>IF(U2761="","",ROUND(M2761-U2761,2))</f>
        <v/>
      </c>
      <c r="W2761" s="5" t="n"/>
      <c r="X2761" s="5" t="inlineStr">
        <is>
          <t>Source publishes a specialist/sub-contract all-in rate; no labour/plant/material build-up exists to derive from.</t>
        </is>
      </c>
    </row>
    <row r="2762" ht="13" customHeight="1">
      <c r="A2762" s="4" t="n">
        <v>4133</v>
      </c>
      <c r="B2762" s="5" t="inlineStr">
        <is>
          <t>IMG_0121</t>
        </is>
      </c>
      <c r="C2762" s="5" t="inlineStr">
        <is>
          <t>CLASS P: PILES</t>
        </is>
      </c>
      <c r="D2762" s="5" t="inlineStr">
        <is>
          <t>07 INTERLOCKING STEEL PILES</t>
        </is>
      </c>
      <c r="E2762" s="5" t="inlineStr">
        <is>
          <t>Section modulus 1200-2000 cm3/m; section reference AZ 17; mass 108.6 kg/m2; sectional modulus 1665 cm3/m; EN 10248 grade S270GP steel</t>
        </is>
      </c>
      <c r="F2762" s="5" t="inlineStr">
        <is>
          <t>length of welded corner piles</t>
        </is>
      </c>
      <c r="G2762" s="6" t="inlineStr">
        <is>
          <t>m</t>
        </is>
      </c>
      <c r="H2762" s="7" t="n"/>
      <c r="I2762" s="8" t="n">
        <v>0</v>
      </c>
      <c r="J2762" s="8" t="n">
        <v>0</v>
      </c>
      <c r="K2762" s="8" t="n">
        <v>0</v>
      </c>
      <c r="L2762" s="8" t="n">
        <v>177.99</v>
      </c>
      <c r="M2762" s="9">
        <f>ROUND(SUM(I2762:L2762),2)</f>
        <v/>
      </c>
      <c r="N2762" s="10">
        <f>ROUND(I2762*'Irish Basis'!$C$6*'Irish Basis'!$C$5,2)</f>
        <v/>
      </c>
      <c r="O2762" s="10">
        <f>ROUND(J2762*'Irish Basis'!$C$7*'Irish Basis'!$C$5,2)</f>
        <v/>
      </c>
      <c r="P2762" s="10">
        <f>ROUND(K2762*'Irish Basis'!$C$8*'Irish Basis'!$C$5,2)</f>
        <v/>
      </c>
      <c r="Q2762" s="10">
        <f>ROUND(L2762*'Irish Basis'!$C$12*'Irish Basis'!$C$5,2)</f>
        <v/>
      </c>
      <c r="R2762" s="11">
        <f>ROUND(SUM(N2762:Q2762),2)</f>
        <v/>
      </c>
      <c r="S2762" s="5" t="inlineStr">
        <is>
          <t>All-in specialist rate</t>
        </is>
      </c>
      <c r="T2762" s="14" t="inlineStr">
        <is>
          <t>All-in (not split)</t>
        </is>
      </c>
      <c r="U2762" s="8" t="n">
        <v>177.99</v>
      </c>
      <c r="V2762" s="13">
        <f>IF(U2762="","",ROUND(M2762-U2762,2))</f>
        <v/>
      </c>
      <c r="W2762" s="5" t="n"/>
      <c r="X2762" s="5" t="inlineStr">
        <is>
          <t>Source publishes a specialist/sub-contract all-in rate; no labour/plant/material build-up exists to derive from.</t>
        </is>
      </c>
    </row>
    <row r="2763" ht="13" customHeight="1">
      <c r="A2763" s="4" t="n">
        <v>4134</v>
      </c>
      <c r="B2763" s="5" t="inlineStr">
        <is>
          <t>IMG_0121</t>
        </is>
      </c>
      <c r="C2763" s="5" t="inlineStr">
        <is>
          <t>CLASS P: PILES</t>
        </is>
      </c>
      <c r="D2763" s="5" t="inlineStr">
        <is>
          <t>07 INTERLOCKING STEEL PILES</t>
        </is>
      </c>
      <c r="E2763" s="5" t="inlineStr">
        <is>
          <t>Section modulus 1200-2000 cm3/m; section reference AZ 17; mass 108.6 kg/m2; sectional modulus 1665 cm3/m; EN 10248 grade S270GP steel</t>
        </is>
      </c>
      <c r="F2763" s="5" t="inlineStr">
        <is>
          <t>length of welded junction piles</t>
        </is>
      </c>
      <c r="G2763" s="6" t="inlineStr">
        <is>
          <t>m</t>
        </is>
      </c>
      <c r="H2763" s="7" t="n"/>
      <c r="I2763" s="8" t="n">
        <v>0</v>
      </c>
      <c r="J2763" s="8" t="n">
        <v>0</v>
      </c>
      <c r="K2763" s="8" t="n">
        <v>0</v>
      </c>
      <c r="L2763" s="8" t="n">
        <v>262.42</v>
      </c>
      <c r="M2763" s="9">
        <f>ROUND(SUM(I2763:L2763),2)</f>
        <v/>
      </c>
      <c r="N2763" s="10">
        <f>ROUND(I2763*'Irish Basis'!$C$6*'Irish Basis'!$C$5,2)</f>
        <v/>
      </c>
      <c r="O2763" s="10">
        <f>ROUND(J2763*'Irish Basis'!$C$7*'Irish Basis'!$C$5,2)</f>
        <v/>
      </c>
      <c r="P2763" s="10">
        <f>ROUND(K2763*'Irish Basis'!$C$8*'Irish Basis'!$C$5,2)</f>
        <v/>
      </c>
      <c r="Q2763" s="10">
        <f>ROUND(L2763*'Irish Basis'!$C$12*'Irish Basis'!$C$5,2)</f>
        <v/>
      </c>
      <c r="R2763" s="11">
        <f>ROUND(SUM(N2763:Q2763),2)</f>
        <v/>
      </c>
      <c r="S2763" s="5" t="inlineStr">
        <is>
          <t>All-in specialist rate</t>
        </is>
      </c>
      <c r="T2763" s="14" t="inlineStr">
        <is>
          <t>All-in (not split)</t>
        </is>
      </c>
      <c r="U2763" s="8" t="n">
        <v>262.42</v>
      </c>
      <c r="V2763" s="13">
        <f>IF(U2763="","",ROUND(M2763-U2763,2))</f>
        <v/>
      </c>
      <c r="W2763" s="5" t="n"/>
      <c r="X2763" s="5" t="inlineStr">
        <is>
          <t>Source publishes a specialist/sub-contract all-in rate; no labour/plant/material build-up exists to derive from.</t>
        </is>
      </c>
    </row>
    <row r="2764" ht="13" customHeight="1">
      <c r="A2764" s="4" t="n">
        <v>4135</v>
      </c>
      <c r="B2764" s="5" t="inlineStr">
        <is>
          <t>IMG_0121</t>
        </is>
      </c>
      <c r="C2764" s="5" t="inlineStr">
        <is>
          <t>CLASS P: PILES</t>
        </is>
      </c>
      <c r="D2764" s="5" t="inlineStr">
        <is>
          <t>07 INTERLOCKING STEEL PILES</t>
        </is>
      </c>
      <c r="E2764" s="5" t="inlineStr">
        <is>
          <t>Section modulus 1200-2000 cm3/m; section reference AZ 17; mass 108.6 kg/m2; sectional modulus 1665 cm3/m; EN 10248 grade S270GP steel</t>
        </is>
      </c>
      <c r="F2764" s="5" t="inlineStr">
        <is>
          <t>driven area</t>
        </is>
      </c>
      <c r="G2764" s="6" t="inlineStr">
        <is>
          <t>m2</t>
        </is>
      </c>
      <c r="H2764" s="7" t="n"/>
      <c r="I2764" s="8" t="n">
        <v>0</v>
      </c>
      <c r="J2764" s="8" t="n">
        <v>0</v>
      </c>
      <c r="K2764" s="8" t="n">
        <v>0</v>
      </c>
      <c r="L2764" s="8" t="n">
        <v>73.56</v>
      </c>
      <c r="M2764" s="9">
        <f>ROUND(SUM(I2764:L2764),2)</f>
        <v/>
      </c>
      <c r="N2764" s="10">
        <f>ROUND(I2764*'Irish Basis'!$C$6*'Irish Basis'!$C$5,2)</f>
        <v/>
      </c>
      <c r="O2764" s="10">
        <f>ROUND(J2764*'Irish Basis'!$C$7*'Irish Basis'!$C$5,2)</f>
        <v/>
      </c>
      <c r="P2764" s="10">
        <f>ROUND(K2764*'Irish Basis'!$C$8*'Irish Basis'!$C$5,2)</f>
        <v/>
      </c>
      <c r="Q2764" s="10">
        <f>ROUND(L2764*'Irish Basis'!$C$12*'Irish Basis'!$C$5,2)</f>
        <v/>
      </c>
      <c r="R2764" s="11">
        <f>ROUND(SUM(N2764:Q2764),2)</f>
        <v/>
      </c>
      <c r="S2764" s="5" t="inlineStr">
        <is>
          <t>All-in specialist rate</t>
        </is>
      </c>
      <c r="T2764" s="14" t="inlineStr">
        <is>
          <t>All-in (not split)</t>
        </is>
      </c>
      <c r="U2764" s="8" t="n">
        <v>73.56</v>
      </c>
      <c r="V2764" s="13">
        <f>IF(U2764="","",ROUND(M2764-U2764,2))</f>
        <v/>
      </c>
      <c r="W2764" s="5" t="n"/>
      <c r="X2764" s="5" t="inlineStr">
        <is>
          <t>Source publishes a specialist/sub-contract all-in rate; no labour/plant/material build-up exists to derive from.</t>
        </is>
      </c>
    </row>
    <row r="2765" ht="13" customHeight="1">
      <c r="A2765" s="4" t="n">
        <v>4136</v>
      </c>
      <c r="B2765" s="5" t="inlineStr">
        <is>
          <t>IMG_0121</t>
        </is>
      </c>
      <c r="C2765" s="5" t="inlineStr">
        <is>
          <t>CLASS P: PILES</t>
        </is>
      </c>
      <c r="D2765" s="5" t="inlineStr">
        <is>
          <t>07 INTERLOCKING STEEL PILES</t>
        </is>
      </c>
      <c r="E2765" s="5" t="inlineStr">
        <is>
          <t>Section modulus 1200-2000 cm3/m; section reference AZ 17; mass 108.6 kg/m2; sectional modulus 1665 cm3/m; EN 10248 grade S270GP steel</t>
        </is>
      </c>
      <c r="F2765" s="5" t="inlineStr">
        <is>
          <t>area of piles of length not exceeding 14 m</t>
        </is>
      </c>
      <c r="G2765" s="6" t="inlineStr">
        <is>
          <t>m2</t>
        </is>
      </c>
      <c r="H2765" s="7" t="n"/>
      <c r="I2765" s="8" t="n">
        <v>0</v>
      </c>
      <c r="J2765" s="8" t="n">
        <v>0</v>
      </c>
      <c r="K2765" s="8" t="n">
        <v>0</v>
      </c>
      <c r="L2765" s="8" t="n">
        <v>195.03</v>
      </c>
      <c r="M2765" s="9">
        <f>ROUND(SUM(I2765:L2765),2)</f>
        <v/>
      </c>
      <c r="N2765" s="10">
        <f>ROUND(I2765*'Irish Basis'!$C$6*'Irish Basis'!$C$5,2)</f>
        <v/>
      </c>
      <c r="O2765" s="10">
        <f>ROUND(J2765*'Irish Basis'!$C$7*'Irish Basis'!$C$5,2)</f>
        <v/>
      </c>
      <c r="P2765" s="10">
        <f>ROUND(K2765*'Irish Basis'!$C$8*'Irish Basis'!$C$5,2)</f>
        <v/>
      </c>
      <c r="Q2765" s="10">
        <f>ROUND(L2765*'Irish Basis'!$C$12*'Irish Basis'!$C$5,2)</f>
        <v/>
      </c>
      <c r="R2765" s="11">
        <f>ROUND(SUM(N2765:Q2765),2)</f>
        <v/>
      </c>
      <c r="S2765" s="5" t="inlineStr">
        <is>
          <t>All-in specialist rate</t>
        </is>
      </c>
      <c r="T2765" s="14" t="inlineStr">
        <is>
          <t>All-in (not split)</t>
        </is>
      </c>
      <c r="U2765" s="8" t="n">
        <v>195.03</v>
      </c>
      <c r="V2765" s="13">
        <f>IF(U2765="","",ROUND(M2765-U2765,2))</f>
        <v/>
      </c>
      <c r="W2765" s="5" t="n"/>
      <c r="X2765" s="5" t="inlineStr">
        <is>
          <t>Source publishes a specialist/sub-contract all-in rate; no labour/plant/material build-up exists to derive from.</t>
        </is>
      </c>
    </row>
    <row r="2766" ht="13" customHeight="1">
      <c r="A2766" s="4" t="n">
        <v>4137</v>
      </c>
      <c r="B2766" s="5" t="inlineStr">
        <is>
          <t>IMG_0121</t>
        </is>
      </c>
      <c r="C2766" s="5" t="inlineStr">
        <is>
          <t>CLASS P: PILES</t>
        </is>
      </c>
      <c r="D2766" s="5" t="inlineStr">
        <is>
          <t>07 INTERLOCKING STEEL PILES</t>
        </is>
      </c>
      <c r="E2766" s="5" t="inlineStr">
        <is>
          <t>Section modulus 1200-2000 cm3/m; section reference AZ 17; mass 108.6 kg/m2; sectional modulus 1665 cm3/m; EN 10248 grade S270GP steel</t>
        </is>
      </c>
      <c r="F2766" s="5" t="inlineStr">
        <is>
          <t>length 14-24 m</t>
        </is>
      </c>
      <c r="G2766" s="6" t="inlineStr">
        <is>
          <t>m2</t>
        </is>
      </c>
      <c r="H2766" s="7" t="n"/>
      <c r="I2766" s="8" t="n">
        <v>0</v>
      </c>
      <c r="J2766" s="8" t="n">
        <v>0</v>
      </c>
      <c r="K2766" s="8" t="n">
        <v>0</v>
      </c>
      <c r="L2766" s="8" t="n">
        <v>145.22</v>
      </c>
      <c r="M2766" s="9">
        <f>ROUND(SUM(I2766:L2766),2)</f>
        <v/>
      </c>
      <c r="N2766" s="10">
        <f>ROUND(I2766*'Irish Basis'!$C$6*'Irish Basis'!$C$5,2)</f>
        <v/>
      </c>
      <c r="O2766" s="10">
        <f>ROUND(J2766*'Irish Basis'!$C$7*'Irish Basis'!$C$5,2)</f>
        <v/>
      </c>
      <c r="P2766" s="10">
        <f>ROUND(K2766*'Irish Basis'!$C$8*'Irish Basis'!$C$5,2)</f>
        <v/>
      </c>
      <c r="Q2766" s="10">
        <f>ROUND(L2766*'Irish Basis'!$C$12*'Irish Basis'!$C$5,2)</f>
        <v/>
      </c>
      <c r="R2766" s="11">
        <f>ROUND(SUM(N2766:Q2766),2)</f>
        <v/>
      </c>
      <c r="S2766" s="5" t="inlineStr">
        <is>
          <t>All-in specialist rate</t>
        </is>
      </c>
      <c r="T2766" s="14" t="inlineStr">
        <is>
          <t>All-in (not split)</t>
        </is>
      </c>
      <c r="U2766" s="8" t="n">
        <v>145.22</v>
      </c>
      <c r="V2766" s="13">
        <f>IF(U2766="","",ROUND(M2766-U2766,2))</f>
        <v/>
      </c>
      <c r="W2766" s="5" t="n"/>
      <c r="X2766" s="5" t="inlineStr">
        <is>
          <t>Source publishes a specialist/sub-contract all-in rate; no labour/plant/material build-up exists to derive from.</t>
        </is>
      </c>
    </row>
    <row r="2767" ht="13" customHeight="1">
      <c r="A2767" s="4" t="n">
        <v>4138</v>
      </c>
      <c r="B2767" s="5" t="inlineStr">
        <is>
          <t>IMG_0121</t>
        </is>
      </c>
      <c r="C2767" s="5" t="inlineStr">
        <is>
          <t>CLASS P: PILES</t>
        </is>
      </c>
      <c r="D2767" s="5" t="inlineStr">
        <is>
          <t>07 INTERLOCKING STEEL PILES</t>
        </is>
      </c>
      <c r="E2767" s="5" t="inlineStr">
        <is>
          <t>Section modulus 1200-2000 cm3/m; section reference AZ 17; mass 108.6 kg/m2; sectional modulus 1665 cm3/m; EN 10248 grade S270GP steel</t>
        </is>
      </c>
      <c r="F2767" s="5" t="inlineStr">
        <is>
          <t>area of piles of length exceeding 24 m</t>
        </is>
      </c>
      <c r="G2767" s="6" t="inlineStr">
        <is>
          <t>m2</t>
        </is>
      </c>
      <c r="H2767" s="7" t="n"/>
      <c r="I2767" s="8" t="n">
        <v>0</v>
      </c>
      <c r="J2767" s="8" t="n">
        <v>0</v>
      </c>
      <c r="K2767" s="8" t="n">
        <v>0</v>
      </c>
      <c r="L2767" s="8" t="n">
        <v>154.74</v>
      </c>
      <c r="M2767" s="9">
        <f>ROUND(SUM(I2767:L2767),2)</f>
        <v/>
      </c>
      <c r="N2767" s="10">
        <f>ROUND(I2767*'Irish Basis'!$C$6*'Irish Basis'!$C$5,2)</f>
        <v/>
      </c>
      <c r="O2767" s="10">
        <f>ROUND(J2767*'Irish Basis'!$C$7*'Irish Basis'!$C$5,2)</f>
        <v/>
      </c>
      <c r="P2767" s="10">
        <f>ROUND(K2767*'Irish Basis'!$C$8*'Irish Basis'!$C$5,2)</f>
        <v/>
      </c>
      <c r="Q2767" s="10">
        <f>ROUND(L2767*'Irish Basis'!$C$12*'Irish Basis'!$C$5,2)</f>
        <v/>
      </c>
      <c r="R2767" s="11">
        <f>ROUND(SUM(N2767:Q2767),2)</f>
        <v/>
      </c>
      <c r="S2767" s="5" t="inlineStr">
        <is>
          <t>All-in specialist rate</t>
        </is>
      </c>
      <c r="T2767" s="14" t="inlineStr">
        <is>
          <t>All-in (not split)</t>
        </is>
      </c>
      <c r="U2767" s="8" t="n">
        <v>154.74</v>
      </c>
      <c r="V2767" s="13">
        <f>IF(U2767="","",ROUND(M2767-U2767,2))</f>
        <v/>
      </c>
      <c r="W2767" s="5" t="n"/>
      <c r="X2767" s="5" t="inlineStr">
        <is>
          <t>Source publishes a specialist/sub-contract all-in rate; no labour/plant/material build-up exists to derive from.</t>
        </is>
      </c>
    </row>
    <row r="2768" ht="13" customHeight="1">
      <c r="A2768" s="4" t="n">
        <v>4140</v>
      </c>
      <c r="B2768" s="5" t="inlineStr">
        <is>
          <t>IMG_0121</t>
        </is>
      </c>
      <c r="C2768" s="5" t="inlineStr">
        <is>
          <t>CLASS P: PILES</t>
        </is>
      </c>
      <c r="D2768" s="5" t="inlineStr">
        <is>
          <t>07 INTERLOCKING STEEL PILES</t>
        </is>
      </c>
      <c r="E2768" s="5" t="inlineStr">
        <is>
          <t>Section modulus 2000-3000 cm3/m; section reference AZ 26; mass 155.2 kg/m2; sectional modulus 2600 cm3/m; EN 10248 grade S270GP steel</t>
        </is>
      </c>
      <c r="F2768" s="5" t="inlineStr">
        <is>
          <t>driven area</t>
        </is>
      </c>
      <c r="G2768" s="6" t="inlineStr">
        <is>
          <t>m2</t>
        </is>
      </c>
      <c r="H2768" s="7" t="n"/>
      <c r="I2768" s="8" t="n">
        <v>0</v>
      </c>
      <c r="J2768" s="8" t="n">
        <v>0</v>
      </c>
      <c r="K2768" s="8" t="n">
        <v>0</v>
      </c>
      <c r="L2768" s="8" t="n">
        <v>59.59</v>
      </c>
      <c r="M2768" s="9">
        <f>ROUND(SUM(I2768:L2768),2)</f>
        <v/>
      </c>
      <c r="N2768" s="10">
        <f>ROUND(I2768*'Irish Basis'!$C$6*'Irish Basis'!$C$5,2)</f>
        <v/>
      </c>
      <c r="O2768" s="10">
        <f>ROUND(J2768*'Irish Basis'!$C$7*'Irish Basis'!$C$5,2)</f>
        <v/>
      </c>
      <c r="P2768" s="10">
        <f>ROUND(K2768*'Irish Basis'!$C$8*'Irish Basis'!$C$5,2)</f>
        <v/>
      </c>
      <c r="Q2768" s="10">
        <f>ROUND(L2768*'Irish Basis'!$C$12*'Irish Basis'!$C$5,2)</f>
        <v/>
      </c>
      <c r="R2768" s="11">
        <f>ROUND(SUM(N2768:Q2768),2)</f>
        <v/>
      </c>
      <c r="S2768" s="5" t="inlineStr">
        <is>
          <t>All-in specialist rate</t>
        </is>
      </c>
      <c r="T2768" s="14" t="inlineStr">
        <is>
          <t>All-in (not split)</t>
        </is>
      </c>
      <c r="U2768" s="8" t="n">
        <v>59.59</v>
      </c>
      <c r="V2768" s="13">
        <f>IF(U2768="","",ROUND(M2768-U2768,2))</f>
        <v/>
      </c>
      <c r="W2768" s="5" t="n"/>
      <c r="X2768" s="5" t="inlineStr">
        <is>
          <t>Source publishes a specialist/sub-contract all-in rate; no labour/plant/material build-up exists to derive from.</t>
        </is>
      </c>
    </row>
    <row r="2769" ht="13" customHeight="1">
      <c r="A2769" s="4" t="n">
        <v>4141</v>
      </c>
      <c r="B2769" s="5" t="inlineStr">
        <is>
          <t>IMG_0121</t>
        </is>
      </c>
      <c r="C2769" s="5" t="inlineStr">
        <is>
          <t>CLASS P: PILES</t>
        </is>
      </c>
      <c r="D2769" s="5" t="inlineStr">
        <is>
          <t>07 INTERLOCKING STEEL PILES</t>
        </is>
      </c>
      <c r="E2769" s="5" t="inlineStr">
        <is>
          <t>Section modulus 2000-3000 cm3/m; section reference AZ 26; mass 155.2 kg/m2; sectional modulus 2600 cm3/m; EN 10248 grade S270GP steel</t>
        </is>
      </c>
      <c r="F2769" s="5" t="inlineStr">
        <is>
          <t>area of piles of length 6-18 m</t>
        </is>
      </c>
      <c r="G2769" s="6" t="inlineStr">
        <is>
          <t>m2</t>
        </is>
      </c>
      <c r="H2769" s="7" t="n"/>
      <c r="I2769" s="8" t="n">
        <v>0</v>
      </c>
      <c r="J2769" s="8" t="n">
        <v>0</v>
      </c>
      <c r="K2769" s="8" t="n">
        <v>0</v>
      </c>
      <c r="L2769" s="8" t="n">
        <v>113.4</v>
      </c>
      <c r="M2769" s="9">
        <f>ROUND(SUM(I2769:L2769),2)</f>
        <v/>
      </c>
      <c r="N2769" s="10">
        <f>ROUND(I2769*'Irish Basis'!$C$6*'Irish Basis'!$C$5,2)</f>
        <v/>
      </c>
      <c r="O2769" s="10">
        <f>ROUND(J2769*'Irish Basis'!$C$7*'Irish Basis'!$C$5,2)</f>
        <v/>
      </c>
      <c r="P2769" s="10">
        <f>ROUND(K2769*'Irish Basis'!$C$8*'Irish Basis'!$C$5,2)</f>
        <v/>
      </c>
      <c r="Q2769" s="10">
        <f>ROUND(L2769*'Irish Basis'!$C$12*'Irish Basis'!$C$5,2)</f>
        <v/>
      </c>
      <c r="R2769" s="11">
        <f>ROUND(SUM(N2769:Q2769),2)</f>
        <v/>
      </c>
      <c r="S2769" s="5" t="inlineStr">
        <is>
          <t>All-in specialist rate</t>
        </is>
      </c>
      <c r="T2769" s="14" t="inlineStr">
        <is>
          <t>All-in (not split)</t>
        </is>
      </c>
      <c r="U2769" s="8" t="n">
        <v>113.4</v>
      </c>
      <c r="V2769" s="13">
        <f>IF(U2769="","",ROUND(M2769-U2769,2))</f>
        <v/>
      </c>
      <c r="W2769" s="5" t="n"/>
      <c r="X2769" s="5" t="inlineStr">
        <is>
          <t>Source publishes a specialist/sub-contract all-in rate; no labour/plant/material build-up exists to derive from.</t>
        </is>
      </c>
    </row>
    <row r="2770" ht="13" customHeight="1">
      <c r="A2770" s="4" t="n">
        <v>4142</v>
      </c>
      <c r="B2770" s="5" t="inlineStr">
        <is>
          <t>IMG_0121</t>
        </is>
      </c>
      <c r="C2770" s="5" t="inlineStr">
        <is>
          <t>CLASS P: PILES</t>
        </is>
      </c>
      <c r="D2770" s="5" t="inlineStr">
        <is>
          <t>07 INTERLOCKING STEEL PILES</t>
        </is>
      </c>
      <c r="E2770" s="5" t="inlineStr">
        <is>
          <t>Section modulus 2000-3000 cm3/m; section reference AZ 26; mass 155.2 kg/m2; sectional modulus 2600 cm3/m; EN 10248 grade S270GP steel</t>
        </is>
      </c>
      <c r="F2770" s="5" t="inlineStr">
        <is>
          <t>area of piles of length 18-24 m</t>
        </is>
      </c>
      <c r="G2770" s="6" t="inlineStr">
        <is>
          <t>m2</t>
        </is>
      </c>
      <c r="H2770" s="7" t="n"/>
      <c r="I2770" s="8" t="n">
        <v>0</v>
      </c>
      <c r="J2770" s="8" t="n">
        <v>0</v>
      </c>
      <c r="K2770" s="8" t="n">
        <v>0</v>
      </c>
      <c r="L2770" s="8" t="n">
        <v>114.95</v>
      </c>
      <c r="M2770" s="9">
        <f>ROUND(SUM(I2770:L2770),2)</f>
        <v/>
      </c>
      <c r="N2770" s="10">
        <f>ROUND(I2770*'Irish Basis'!$C$6*'Irish Basis'!$C$5,2)</f>
        <v/>
      </c>
      <c r="O2770" s="10">
        <f>ROUND(J2770*'Irish Basis'!$C$7*'Irish Basis'!$C$5,2)</f>
        <v/>
      </c>
      <c r="P2770" s="10">
        <f>ROUND(K2770*'Irish Basis'!$C$8*'Irish Basis'!$C$5,2)</f>
        <v/>
      </c>
      <c r="Q2770" s="10">
        <f>ROUND(L2770*'Irish Basis'!$C$12*'Irish Basis'!$C$5,2)</f>
        <v/>
      </c>
      <c r="R2770" s="11">
        <f>ROUND(SUM(N2770:Q2770),2)</f>
        <v/>
      </c>
      <c r="S2770" s="5" t="inlineStr">
        <is>
          <t>All-in specialist rate</t>
        </is>
      </c>
      <c r="T2770" s="14" t="inlineStr">
        <is>
          <t>All-in (not split)</t>
        </is>
      </c>
      <c r="U2770" s="8" t="n">
        <v>114.95</v>
      </c>
      <c r="V2770" s="13">
        <f>IF(U2770="","",ROUND(M2770-U2770,2))</f>
        <v/>
      </c>
      <c r="W2770" s="5" t="n"/>
      <c r="X2770" s="5" t="inlineStr">
        <is>
          <t>Source publishes a specialist/sub-contract all-in rate; no labour/plant/material build-up exists to derive from.</t>
        </is>
      </c>
    </row>
    <row r="2771" ht="13" customHeight="1">
      <c r="A2771" s="4" t="n">
        <v>4144</v>
      </c>
      <c r="B2771" s="5" t="inlineStr">
        <is>
          <t>IMG_0121</t>
        </is>
      </c>
      <c r="C2771" s="5" t="inlineStr">
        <is>
          <t>CLASS P: PILES</t>
        </is>
      </c>
      <c r="D2771" s="5" t="inlineStr">
        <is>
          <t>07 INTERLOCKING STEEL PILES</t>
        </is>
      </c>
      <c r="E2771" s="5" t="inlineStr">
        <is>
          <t>Section modulus 3000-4000 cm3/m; section reference AZ 36; mass 194.0 kg/m2; sectional modulus 3600 cm3/m; EN 10248 grade S270GP steel</t>
        </is>
      </c>
      <c r="F2771" s="5" t="inlineStr">
        <is>
          <t>driven area</t>
        </is>
      </c>
      <c r="G2771" s="6" t="inlineStr">
        <is>
          <t>m2</t>
        </is>
      </c>
      <c r="H2771" s="7" t="n"/>
      <c r="I2771" s="8" t="n">
        <v>0</v>
      </c>
      <c r="J2771" s="8" t="n">
        <v>0</v>
      </c>
      <c r="K2771" s="8" t="n">
        <v>0</v>
      </c>
      <c r="L2771" s="8" t="n">
        <v>60.57</v>
      </c>
      <c r="M2771" s="9">
        <f>ROUND(SUM(I2771:L2771),2)</f>
        <v/>
      </c>
      <c r="N2771" s="10">
        <f>ROUND(I2771*'Irish Basis'!$C$6*'Irish Basis'!$C$5,2)</f>
        <v/>
      </c>
      <c r="O2771" s="10">
        <f>ROUND(J2771*'Irish Basis'!$C$7*'Irish Basis'!$C$5,2)</f>
        <v/>
      </c>
      <c r="P2771" s="10">
        <f>ROUND(K2771*'Irish Basis'!$C$8*'Irish Basis'!$C$5,2)</f>
        <v/>
      </c>
      <c r="Q2771" s="10">
        <f>ROUND(L2771*'Irish Basis'!$C$12*'Irish Basis'!$C$5,2)</f>
        <v/>
      </c>
      <c r="R2771" s="11">
        <f>ROUND(SUM(N2771:Q2771),2)</f>
        <v/>
      </c>
      <c r="S2771" s="5" t="inlineStr">
        <is>
          <t>All-in specialist rate</t>
        </is>
      </c>
      <c r="T2771" s="14" t="inlineStr">
        <is>
          <t>All-in (not split)</t>
        </is>
      </c>
      <c r="U2771" s="8" t="n">
        <v>60.57</v>
      </c>
      <c r="V2771" s="13">
        <f>IF(U2771="","",ROUND(M2771-U2771,2))</f>
        <v/>
      </c>
      <c r="W2771" s="5" t="n"/>
      <c r="X2771" s="5" t="inlineStr">
        <is>
          <t>Source publishes a specialist/sub-contract all-in rate; no labour/plant/material build-up exists to derive from.</t>
        </is>
      </c>
    </row>
    <row r="2772" ht="13" customHeight="1">
      <c r="A2772" s="4" t="n">
        <v>4145</v>
      </c>
      <c r="B2772" s="5" t="inlineStr">
        <is>
          <t>IMG_0121</t>
        </is>
      </c>
      <c r="C2772" s="5" t="inlineStr">
        <is>
          <t>CLASS P: PILES</t>
        </is>
      </c>
      <c r="D2772" s="5" t="inlineStr">
        <is>
          <t>07 INTERLOCKING STEEL PILES</t>
        </is>
      </c>
      <c r="E2772" s="5" t="inlineStr">
        <is>
          <t>Section modulus 3000-4000 cm3/m; section reference AZ 36; mass 194.0 kg/m2; sectional modulus 3600 cm3/m; EN 10248 grade S270GP steel</t>
        </is>
      </c>
      <c r="F2772" s="5" t="inlineStr">
        <is>
          <t>area of piles of length 6-18 m</t>
        </is>
      </c>
      <c r="G2772" s="6" t="inlineStr">
        <is>
          <t>m2</t>
        </is>
      </c>
      <c r="H2772" s="7" t="n"/>
      <c r="I2772" s="8" t="n">
        <v>0</v>
      </c>
      <c r="J2772" s="8" t="n">
        <v>0</v>
      </c>
      <c r="K2772" s="8" t="n">
        <v>0</v>
      </c>
      <c r="L2772" s="8" t="n">
        <v>226.8</v>
      </c>
      <c r="M2772" s="9">
        <f>ROUND(SUM(I2772:L2772),2)</f>
        <v/>
      </c>
      <c r="N2772" s="10">
        <f>ROUND(I2772*'Irish Basis'!$C$6*'Irish Basis'!$C$5,2)</f>
        <v/>
      </c>
      <c r="O2772" s="10">
        <f>ROUND(J2772*'Irish Basis'!$C$7*'Irish Basis'!$C$5,2)</f>
        <v/>
      </c>
      <c r="P2772" s="10">
        <f>ROUND(K2772*'Irish Basis'!$C$8*'Irish Basis'!$C$5,2)</f>
        <v/>
      </c>
      <c r="Q2772" s="10">
        <f>ROUND(L2772*'Irish Basis'!$C$12*'Irish Basis'!$C$5,2)</f>
        <v/>
      </c>
      <c r="R2772" s="11">
        <f>ROUND(SUM(N2772:Q2772),2)</f>
        <v/>
      </c>
      <c r="S2772" s="5" t="inlineStr">
        <is>
          <t>All-in specialist rate</t>
        </is>
      </c>
      <c r="T2772" s="14" t="inlineStr">
        <is>
          <t>All-in (not split)</t>
        </is>
      </c>
      <c r="U2772" s="8" t="n">
        <v>226.8</v>
      </c>
      <c r="V2772" s="13">
        <f>IF(U2772="","",ROUND(M2772-U2772,2))</f>
        <v/>
      </c>
      <c r="W2772" s="5" t="n"/>
      <c r="X2772" s="5" t="inlineStr">
        <is>
          <t>Source publishes a specialist/sub-contract all-in rate; no labour/plant/material build-up exists to derive from.</t>
        </is>
      </c>
    </row>
    <row r="2773" ht="13" customHeight="1">
      <c r="A2773" s="4" t="n">
        <v>4146</v>
      </c>
      <c r="B2773" s="5" t="inlineStr">
        <is>
          <t>IMG_0121</t>
        </is>
      </c>
      <c r="C2773" s="5" t="inlineStr">
        <is>
          <t>CLASS P: PILES</t>
        </is>
      </c>
      <c r="D2773" s="5" t="inlineStr">
        <is>
          <t>07 INTERLOCKING STEEL PILES</t>
        </is>
      </c>
      <c r="E2773" s="5" t="inlineStr">
        <is>
          <t>Section modulus 3000-4000 cm3/m; section reference AZ 36; mass 194.0 kg/m2; sectional modulus 3600 cm3/m; EN 10248 grade S270GP steel</t>
        </is>
      </c>
      <c r="F2773" s="5" t="inlineStr">
        <is>
          <t>area of piles of length 18-24 m</t>
        </is>
      </c>
      <c r="G2773" s="6" t="inlineStr">
        <is>
          <t>m2</t>
        </is>
      </c>
      <c r="H2773" s="7" t="n"/>
      <c r="I2773" s="8" t="n">
        <v>0</v>
      </c>
      <c r="J2773" s="8" t="n">
        <v>0</v>
      </c>
      <c r="K2773" s="8" t="n">
        <v>0</v>
      </c>
      <c r="L2773" s="8" t="n">
        <v>229.9</v>
      </c>
      <c r="M2773" s="9">
        <f>ROUND(SUM(I2773:L2773),2)</f>
        <v/>
      </c>
      <c r="N2773" s="10">
        <f>ROUND(I2773*'Irish Basis'!$C$6*'Irish Basis'!$C$5,2)</f>
        <v/>
      </c>
      <c r="O2773" s="10">
        <f>ROUND(J2773*'Irish Basis'!$C$7*'Irish Basis'!$C$5,2)</f>
        <v/>
      </c>
      <c r="P2773" s="10">
        <f>ROUND(K2773*'Irish Basis'!$C$8*'Irish Basis'!$C$5,2)</f>
        <v/>
      </c>
      <c r="Q2773" s="10">
        <f>ROUND(L2773*'Irish Basis'!$C$12*'Irish Basis'!$C$5,2)</f>
        <v/>
      </c>
      <c r="R2773" s="11">
        <f>ROUND(SUM(N2773:Q2773),2)</f>
        <v/>
      </c>
      <c r="S2773" s="5" t="inlineStr">
        <is>
          <t>All-in specialist rate</t>
        </is>
      </c>
      <c r="T2773" s="14" t="inlineStr">
        <is>
          <t>All-in (not split)</t>
        </is>
      </c>
      <c r="U2773" s="8" t="n">
        <v>229.9</v>
      </c>
      <c r="V2773" s="13">
        <f>IF(U2773="","",ROUND(M2773-U2773,2))</f>
        <v/>
      </c>
      <c r="W2773" s="5" t="n"/>
      <c r="X2773" s="5" t="inlineStr">
        <is>
          <t>Source publishes a specialist/sub-contract all-in rate; no labour/plant/material build-up exists to derive from.</t>
        </is>
      </c>
    </row>
    <row r="2774" ht="13" customHeight="1">
      <c r="A2774" s="4" t="n">
        <v>4148</v>
      </c>
      <c r="B2774" s="5" t="inlineStr">
        <is>
          <t>IMG_0121</t>
        </is>
      </c>
      <c r="C2774" s="5" t="inlineStr">
        <is>
          <t>CLASS P: PILES</t>
        </is>
      </c>
      <c r="D2774" s="5" t="inlineStr">
        <is>
          <t>07 INTERLOCKING STEEL PILES</t>
        </is>
      </c>
      <c r="E2774" s="5" t="inlineStr">
        <is>
          <t>Straight section modulus ne 500 cm3/m; section reference AS 500-12 mass 149 kg/m2; sectional modulus 51 cm3/m; EN 10248 grade S270GP steel</t>
        </is>
      </c>
      <c r="F2774" s="5" t="inlineStr">
        <is>
          <t>driven area</t>
        </is>
      </c>
      <c r="G2774" s="6" t="inlineStr">
        <is>
          <t>m2</t>
        </is>
      </c>
      <c r="H2774" s="7" t="n"/>
      <c r="I2774" s="8" t="n">
        <v>0</v>
      </c>
      <c r="J2774" s="8" t="n">
        <v>0</v>
      </c>
      <c r="K2774" s="8" t="n">
        <v>0</v>
      </c>
      <c r="L2774" s="8" t="n">
        <v>45.26</v>
      </c>
      <c r="M2774" s="9">
        <f>ROUND(SUM(I2774:L2774),2)</f>
        <v/>
      </c>
      <c r="N2774" s="10">
        <f>ROUND(I2774*'Irish Basis'!$C$6*'Irish Basis'!$C$5,2)</f>
        <v/>
      </c>
      <c r="O2774" s="10">
        <f>ROUND(J2774*'Irish Basis'!$C$7*'Irish Basis'!$C$5,2)</f>
        <v/>
      </c>
      <c r="P2774" s="10">
        <f>ROUND(K2774*'Irish Basis'!$C$8*'Irish Basis'!$C$5,2)</f>
        <v/>
      </c>
      <c r="Q2774" s="10">
        <f>ROUND(L2774*'Irish Basis'!$C$12*'Irish Basis'!$C$5,2)</f>
        <v/>
      </c>
      <c r="R2774" s="11">
        <f>ROUND(SUM(N2774:Q2774),2)</f>
        <v/>
      </c>
      <c r="S2774" s="5" t="inlineStr">
        <is>
          <t>All-in specialist rate</t>
        </is>
      </c>
      <c r="T2774" s="14" t="inlineStr">
        <is>
          <t>All-in (not split)</t>
        </is>
      </c>
      <c r="U2774" s="8" t="n">
        <v>45.26</v>
      </c>
      <c r="V2774" s="13">
        <f>IF(U2774="","",ROUND(M2774-U2774,2))</f>
        <v/>
      </c>
      <c r="W2774" s="5" t="n"/>
      <c r="X2774" s="5" t="inlineStr">
        <is>
          <t>Source publishes a specialist/sub-contract all-in rate; no labour/plant/material build-up exists to derive from.</t>
        </is>
      </c>
    </row>
    <row r="2775" ht="13" customHeight="1">
      <c r="A2775" s="4" t="n">
        <v>4149</v>
      </c>
      <c r="B2775" s="5" t="inlineStr">
        <is>
          <t>IMG_0121</t>
        </is>
      </c>
      <c r="C2775" s="5" t="inlineStr">
        <is>
          <t>CLASS P: PILES</t>
        </is>
      </c>
      <c r="D2775" s="5" t="inlineStr">
        <is>
          <t>07 INTERLOCKING STEEL PILES</t>
        </is>
      </c>
      <c r="E2775" s="5" t="inlineStr">
        <is>
          <t>Straight section modulus ne 500 cm3/m; section reference AS 500-12 mass 149 kg/m2; sectional modulus 51 cm3/m; EN 10248 grade S270GP steel</t>
        </is>
      </c>
      <c r="F2775" s="5" t="inlineStr">
        <is>
          <t>area of piles of length 6-18 m</t>
        </is>
      </c>
      <c r="G2775" s="6" t="inlineStr">
        <is>
          <t>m2</t>
        </is>
      </c>
      <c r="H2775" s="7" t="n"/>
      <c r="I2775" s="8" t="n">
        <v>0</v>
      </c>
      <c r="J2775" s="8" t="n">
        <v>0</v>
      </c>
      <c r="K2775" s="8" t="n">
        <v>0</v>
      </c>
      <c r="L2775" s="8" t="n">
        <v>249.48</v>
      </c>
      <c r="M2775" s="9">
        <f>ROUND(SUM(I2775:L2775),2)</f>
        <v/>
      </c>
      <c r="N2775" s="10">
        <f>ROUND(I2775*'Irish Basis'!$C$6*'Irish Basis'!$C$5,2)</f>
        <v/>
      </c>
      <c r="O2775" s="10">
        <f>ROUND(J2775*'Irish Basis'!$C$7*'Irish Basis'!$C$5,2)</f>
        <v/>
      </c>
      <c r="P2775" s="10">
        <f>ROUND(K2775*'Irish Basis'!$C$8*'Irish Basis'!$C$5,2)</f>
        <v/>
      </c>
      <c r="Q2775" s="10">
        <f>ROUND(L2775*'Irish Basis'!$C$12*'Irish Basis'!$C$5,2)</f>
        <v/>
      </c>
      <c r="R2775" s="11">
        <f>ROUND(SUM(N2775:Q2775),2)</f>
        <v/>
      </c>
      <c r="S2775" s="5" t="inlineStr">
        <is>
          <t>All-in specialist rate</t>
        </is>
      </c>
      <c r="T2775" s="14" t="inlineStr">
        <is>
          <t>All-in (not split)</t>
        </is>
      </c>
      <c r="U2775" s="8" t="n">
        <v>249.48</v>
      </c>
      <c r="V2775" s="13">
        <f>IF(U2775="","",ROUND(M2775-U2775,2))</f>
        <v/>
      </c>
      <c r="W2775" s="5" t="n"/>
      <c r="X2775" s="5" t="inlineStr">
        <is>
          <t>Source publishes a specialist/sub-contract all-in rate; no labour/plant/material build-up exists to derive from.</t>
        </is>
      </c>
    </row>
    <row r="2776" ht="13" customHeight="1">
      <c r="A2776" s="4" t="n">
        <v>4150</v>
      </c>
      <c r="B2776" s="5" t="inlineStr">
        <is>
          <t>IMG_0121</t>
        </is>
      </c>
      <c r="C2776" s="5" t="inlineStr">
        <is>
          <t>CLASS P: PILES</t>
        </is>
      </c>
      <c r="D2776" s="5" t="inlineStr">
        <is>
          <t>07 INTERLOCKING STEEL PILES</t>
        </is>
      </c>
      <c r="E2776" s="5" t="inlineStr">
        <is>
          <t>Straight section modulus ne 500 cm3/m; section reference AS 500-12 mass 149 kg/m2; sectional modulus 51 cm3/m; EN 10248 grade S270GP steel</t>
        </is>
      </c>
      <c r="F2776" s="5" t="inlineStr">
        <is>
          <t>area of piles of length 18-24 m</t>
        </is>
      </c>
      <c r="G2776" s="6" t="inlineStr">
        <is>
          <t>m2</t>
        </is>
      </c>
      <c r="H2776" s="7" t="n"/>
      <c r="I2776" s="8" t="n">
        <v>0</v>
      </c>
      <c r="J2776" s="8" t="n">
        <v>0</v>
      </c>
      <c r="K2776" s="8" t="n">
        <v>0</v>
      </c>
      <c r="L2776" s="8" t="n">
        <v>264.39</v>
      </c>
      <c r="M2776" s="9">
        <f>ROUND(SUM(I2776:L2776),2)</f>
        <v/>
      </c>
      <c r="N2776" s="10">
        <f>ROUND(I2776*'Irish Basis'!$C$6*'Irish Basis'!$C$5,2)</f>
        <v/>
      </c>
      <c r="O2776" s="10">
        <f>ROUND(J2776*'Irish Basis'!$C$7*'Irish Basis'!$C$5,2)</f>
        <v/>
      </c>
      <c r="P2776" s="10">
        <f>ROUND(K2776*'Irish Basis'!$C$8*'Irish Basis'!$C$5,2)</f>
        <v/>
      </c>
      <c r="Q2776" s="10">
        <f>ROUND(L2776*'Irish Basis'!$C$12*'Irish Basis'!$C$5,2)</f>
        <v/>
      </c>
      <c r="R2776" s="11">
        <f>ROUND(SUM(N2776:Q2776),2)</f>
        <v/>
      </c>
      <c r="S2776" s="5" t="inlineStr">
        <is>
          <t>All-in specialist rate</t>
        </is>
      </c>
      <c r="T2776" s="14" t="inlineStr">
        <is>
          <t>All-in (not split)</t>
        </is>
      </c>
      <c r="U2776" s="8" t="n">
        <v>264.39</v>
      </c>
      <c r="V2776" s="13">
        <f>IF(U2776="","",ROUND(M2776-U2776,2))</f>
        <v/>
      </c>
      <c r="W2776" s="5" t="n"/>
      <c r="X2776" s="5" t="inlineStr">
        <is>
          <t>Source publishes a specialist/sub-contract all-in rate; no labour/plant/material build-up exists to derive from.</t>
        </is>
      </c>
    </row>
    <row r="2777" ht="13" customHeight="1">
      <c r="A2777" s="4" t="n">
        <v>4152</v>
      </c>
      <c r="B2777" s="5" t="inlineStr">
        <is>
          <t>IMG_0121</t>
        </is>
      </c>
      <c r="C2777" s="5" t="inlineStr">
        <is>
          <t>CLASS P: PILES</t>
        </is>
      </c>
      <c r="D2777" s="5" t="inlineStr">
        <is>
          <t>07 INTERLOCKING STEEL PILES</t>
        </is>
      </c>
      <c r="E2777" s="5" t="inlineStr">
        <is>
          <t>One coat black tar vinyl (PC1) protective treatment applied all surfaces at shop to minimum dry film thickness up to 150 microns to steel piles</t>
        </is>
      </c>
      <c r="F2777" s="5" t="inlineStr">
        <is>
          <t>section reference AZ 12; pile area</t>
        </is>
      </c>
      <c r="G2777" s="6" t="inlineStr">
        <is>
          <t>m2</t>
        </is>
      </c>
      <c r="H2777" s="7" t="n"/>
      <c r="I2777" s="8" t="n">
        <v>0</v>
      </c>
      <c r="J2777" s="8" t="n">
        <v>0</v>
      </c>
      <c r="K2777" s="8" t="n">
        <v>0</v>
      </c>
      <c r="L2777" s="8" t="n">
        <v>26.18</v>
      </c>
      <c r="M2777" s="9">
        <f>ROUND(SUM(I2777:L2777),2)</f>
        <v/>
      </c>
      <c r="N2777" s="10">
        <f>ROUND(I2777*'Irish Basis'!$C$6*'Irish Basis'!$C$5,2)</f>
        <v/>
      </c>
      <c r="O2777" s="10">
        <f>ROUND(J2777*'Irish Basis'!$C$7*'Irish Basis'!$C$5,2)</f>
        <v/>
      </c>
      <c r="P2777" s="10">
        <f>ROUND(K2777*'Irish Basis'!$C$8*'Irish Basis'!$C$5,2)</f>
        <v/>
      </c>
      <c r="Q2777" s="10">
        <f>ROUND(L2777*'Irish Basis'!$C$12*'Irish Basis'!$C$5,2)</f>
        <v/>
      </c>
      <c r="R2777" s="11">
        <f>ROUND(SUM(N2777:Q2777),2)</f>
        <v/>
      </c>
      <c r="S2777" s="5" t="inlineStr">
        <is>
          <t>All-in specialist rate</t>
        </is>
      </c>
      <c r="T2777" s="14" t="inlineStr">
        <is>
          <t>All-in (not split)</t>
        </is>
      </c>
      <c r="U2777" s="8" t="n">
        <v>26.18</v>
      </c>
      <c r="V2777" s="13">
        <f>IF(U2777="","",ROUND(M2777-U2777,2))</f>
        <v/>
      </c>
      <c r="W2777" s="5" t="n"/>
      <c r="X2777" s="5" t="inlineStr">
        <is>
          <t>Source publishes a specialist/sub-contract all-in rate; no labour/plant/material build-up exists to derive from.</t>
        </is>
      </c>
    </row>
    <row r="2778" ht="13" customHeight="1">
      <c r="A2778" s="4" t="n">
        <v>4153</v>
      </c>
      <c r="B2778" s="5" t="inlineStr">
        <is>
          <t>IMG_0121</t>
        </is>
      </c>
      <c r="C2778" s="5" t="inlineStr">
        <is>
          <t>CLASS P: PILES</t>
        </is>
      </c>
      <c r="D2778" s="5" t="inlineStr">
        <is>
          <t>07 INTERLOCKING STEEL PILES</t>
        </is>
      </c>
      <c r="E2778" s="5" t="inlineStr">
        <is>
          <t>One coat black tar vinyl (PC1) protective treatment applied all surfaces at shop to minimum dry film thickness up to 150 microns to steel piles</t>
        </is>
      </c>
      <c r="F2778" s="5" t="inlineStr">
        <is>
          <t>section reference AZ 17; pile area</t>
        </is>
      </c>
      <c r="G2778" s="6" t="inlineStr">
        <is>
          <t>m2</t>
        </is>
      </c>
      <c r="H2778" s="7" t="n"/>
      <c r="I2778" s="8" t="n">
        <v>0</v>
      </c>
      <c r="J2778" s="8" t="n">
        <v>0</v>
      </c>
      <c r="K2778" s="8" t="n">
        <v>0</v>
      </c>
      <c r="L2778" s="8" t="n">
        <v>17.1</v>
      </c>
      <c r="M2778" s="9">
        <f>ROUND(SUM(I2778:L2778),2)</f>
        <v/>
      </c>
      <c r="N2778" s="10">
        <f>ROUND(I2778*'Irish Basis'!$C$6*'Irish Basis'!$C$5,2)</f>
        <v/>
      </c>
      <c r="O2778" s="10">
        <f>ROUND(J2778*'Irish Basis'!$C$7*'Irish Basis'!$C$5,2)</f>
        <v/>
      </c>
      <c r="P2778" s="10">
        <f>ROUND(K2778*'Irish Basis'!$C$8*'Irish Basis'!$C$5,2)</f>
        <v/>
      </c>
      <c r="Q2778" s="10">
        <f>ROUND(L2778*'Irish Basis'!$C$12*'Irish Basis'!$C$5,2)</f>
        <v/>
      </c>
      <c r="R2778" s="11">
        <f>ROUND(SUM(N2778:Q2778),2)</f>
        <v/>
      </c>
      <c r="S2778" s="5" t="inlineStr">
        <is>
          <t>All-in specialist rate</t>
        </is>
      </c>
      <c r="T2778" s="14" t="inlineStr">
        <is>
          <t>All-in (not split)</t>
        </is>
      </c>
      <c r="U2778" s="8" t="n">
        <v>17.1</v>
      </c>
      <c r="V2778" s="13">
        <f>IF(U2778="","",ROUND(M2778-U2778,2))</f>
        <v/>
      </c>
      <c r="W2778" s="5" t="n"/>
      <c r="X2778" s="5" t="inlineStr">
        <is>
          <t>Source publishes a specialist/sub-contract all-in rate; no labour/plant/material build-up exists to derive from.</t>
        </is>
      </c>
    </row>
    <row r="2779" ht="13" customHeight="1">
      <c r="A2779" s="4" t="n">
        <v>4154</v>
      </c>
      <c r="B2779" s="5" t="inlineStr">
        <is>
          <t>IMG_0121</t>
        </is>
      </c>
      <c r="C2779" s="5" t="inlineStr">
        <is>
          <t>CLASS P: PILES</t>
        </is>
      </c>
      <c r="D2779" s="5" t="inlineStr">
        <is>
          <t>07 INTERLOCKING STEEL PILES</t>
        </is>
      </c>
      <c r="E2779" s="5" t="inlineStr">
        <is>
          <t>One coat black tar vinyl (PC1) protective treatment applied all surfaces at shop to minimum dry film thickness up to 150 microns to steel piles</t>
        </is>
      </c>
      <c r="F2779" s="5" t="inlineStr">
        <is>
          <t>section reference AZ 26; pile area</t>
        </is>
      </c>
      <c r="G2779" s="6" t="inlineStr">
        <is>
          <t>m2</t>
        </is>
      </c>
      <c r="H2779" s="7" t="n"/>
      <c r="I2779" s="8" t="n">
        <v>0</v>
      </c>
      <c r="J2779" s="8" t="n">
        <v>0</v>
      </c>
      <c r="K2779" s="8" t="n">
        <v>0</v>
      </c>
      <c r="L2779" s="8" t="n">
        <v>18.62</v>
      </c>
      <c r="M2779" s="9">
        <f>ROUND(SUM(I2779:L2779),2)</f>
        <v/>
      </c>
      <c r="N2779" s="10">
        <f>ROUND(I2779*'Irish Basis'!$C$6*'Irish Basis'!$C$5,2)</f>
        <v/>
      </c>
      <c r="O2779" s="10">
        <f>ROUND(J2779*'Irish Basis'!$C$7*'Irish Basis'!$C$5,2)</f>
        <v/>
      </c>
      <c r="P2779" s="10">
        <f>ROUND(K2779*'Irish Basis'!$C$8*'Irish Basis'!$C$5,2)</f>
        <v/>
      </c>
      <c r="Q2779" s="10">
        <f>ROUND(L2779*'Irish Basis'!$C$12*'Irish Basis'!$C$5,2)</f>
        <v/>
      </c>
      <c r="R2779" s="11">
        <f>ROUND(SUM(N2779:Q2779),2)</f>
        <v/>
      </c>
      <c r="S2779" s="5" t="inlineStr">
        <is>
          <t>All-in specialist rate</t>
        </is>
      </c>
      <c r="T2779" s="14" t="inlineStr">
        <is>
          <t>All-in (not split)</t>
        </is>
      </c>
      <c r="U2779" s="8" t="n">
        <v>18.62</v>
      </c>
      <c r="V2779" s="13">
        <f>IF(U2779="","",ROUND(M2779-U2779,2))</f>
        <v/>
      </c>
      <c r="W2779" s="5" t="n"/>
      <c r="X2779" s="5" t="inlineStr">
        <is>
          <t>Source publishes a specialist/sub-contract all-in rate; no labour/plant/material build-up exists to derive from.</t>
        </is>
      </c>
    </row>
    <row r="2780" ht="13" customHeight="1">
      <c r="A2780" s="4" t="n">
        <v>4155</v>
      </c>
      <c r="B2780" s="5" t="inlineStr">
        <is>
          <t>IMG_0121</t>
        </is>
      </c>
      <c r="C2780" s="5" t="inlineStr">
        <is>
          <t>CLASS P: PILES</t>
        </is>
      </c>
      <c r="D2780" s="5" t="inlineStr">
        <is>
          <t>07 INTERLOCKING STEEL PILES</t>
        </is>
      </c>
      <c r="E2780" s="5" t="inlineStr">
        <is>
          <t>One coat black tar vinyl (PC1) protective treatment applied all surfaces at shop to minimum dry film thickness up to 150 microns to steel piles</t>
        </is>
      </c>
      <c r="F2780" s="5" t="inlineStr">
        <is>
          <t>section reference AZ 36; pile area</t>
        </is>
      </c>
      <c r="G2780" s="6" t="inlineStr">
        <is>
          <t>m2</t>
        </is>
      </c>
      <c r="H2780" s="7" t="n"/>
      <c r="I2780" s="8" t="n">
        <v>0</v>
      </c>
      <c r="J2780" s="8" t="n">
        <v>0</v>
      </c>
      <c r="K2780" s="8" t="n">
        <v>0</v>
      </c>
      <c r="L2780" s="8" t="n">
        <v>19.84</v>
      </c>
      <c r="M2780" s="9">
        <f>ROUND(SUM(I2780:L2780),2)</f>
        <v/>
      </c>
      <c r="N2780" s="10">
        <f>ROUND(I2780*'Irish Basis'!$C$6*'Irish Basis'!$C$5,2)</f>
        <v/>
      </c>
      <c r="O2780" s="10">
        <f>ROUND(J2780*'Irish Basis'!$C$7*'Irish Basis'!$C$5,2)</f>
        <v/>
      </c>
      <c r="P2780" s="10">
        <f>ROUND(K2780*'Irish Basis'!$C$8*'Irish Basis'!$C$5,2)</f>
        <v/>
      </c>
      <c r="Q2780" s="10">
        <f>ROUND(L2780*'Irish Basis'!$C$12*'Irish Basis'!$C$5,2)</f>
        <v/>
      </c>
      <c r="R2780" s="11">
        <f>ROUND(SUM(N2780:Q2780),2)</f>
        <v/>
      </c>
      <c r="S2780" s="5" t="inlineStr">
        <is>
          <t>All-in specialist rate</t>
        </is>
      </c>
      <c r="T2780" s="14" t="inlineStr">
        <is>
          <t>All-in (not split)</t>
        </is>
      </c>
      <c r="U2780" s="8" t="n">
        <v>19.84</v>
      </c>
      <c r="V2780" s="13">
        <f>IF(U2780="","",ROUND(M2780-U2780,2))</f>
        <v/>
      </c>
      <c r="W2780" s="5" t="n"/>
      <c r="X2780" s="5" t="inlineStr">
        <is>
          <t>Source publishes a specialist/sub-contract all-in rate; no labour/plant/material build-up exists to derive from.</t>
        </is>
      </c>
    </row>
    <row r="2781" ht="13" customHeight="1">
      <c r="A2781" s="4" t="n">
        <v>4156</v>
      </c>
      <c r="B2781" s="5" t="inlineStr">
        <is>
          <t>IMG_0121</t>
        </is>
      </c>
      <c r="C2781" s="5" t="inlineStr">
        <is>
          <t>CLASS P: PILES</t>
        </is>
      </c>
      <c r="D2781" s="5" t="inlineStr">
        <is>
          <t>07 INTERLOCKING STEEL PILES</t>
        </is>
      </c>
      <c r="E2781" s="5" t="inlineStr">
        <is>
          <t>One coat black tar vinyl (PC1) protective treatment applied all surfaces at shop to minimum dry film thickness up to 150 microns to steel piles</t>
        </is>
      </c>
      <c r="F2781" s="5" t="inlineStr">
        <is>
          <t>section reference AS 500-12; pile area</t>
        </is>
      </c>
      <c r="G2781" s="6" t="inlineStr">
        <is>
          <t>m2</t>
        </is>
      </c>
      <c r="H2781" s="7" t="n"/>
      <c r="I2781" s="8" t="n">
        <v>0</v>
      </c>
      <c r="J2781" s="8" t="n">
        <v>0</v>
      </c>
      <c r="K2781" s="8" t="n">
        <v>0</v>
      </c>
      <c r="L2781" s="8" t="n">
        <v>32.44</v>
      </c>
      <c r="M2781" s="9">
        <f>ROUND(SUM(I2781:L2781),2)</f>
        <v/>
      </c>
      <c r="N2781" s="10">
        <f>ROUND(I2781*'Irish Basis'!$C$6*'Irish Basis'!$C$5,2)</f>
        <v/>
      </c>
      <c r="O2781" s="10">
        <f>ROUND(J2781*'Irish Basis'!$C$7*'Irish Basis'!$C$5,2)</f>
        <v/>
      </c>
      <c r="P2781" s="10">
        <f>ROUND(K2781*'Irish Basis'!$C$8*'Irish Basis'!$C$5,2)</f>
        <v/>
      </c>
      <c r="Q2781" s="10">
        <f>ROUND(L2781*'Irish Basis'!$C$12*'Irish Basis'!$C$5,2)</f>
        <v/>
      </c>
      <c r="R2781" s="11">
        <f>ROUND(SUM(N2781:Q2781),2)</f>
        <v/>
      </c>
      <c r="S2781" s="5" t="inlineStr">
        <is>
          <t>All-in specialist rate</t>
        </is>
      </c>
      <c r="T2781" s="14" t="inlineStr">
        <is>
          <t>All-in (not split)</t>
        </is>
      </c>
      <c r="U2781" s="8" t="n">
        <v>32.44</v>
      </c>
      <c r="V2781" s="13">
        <f>IF(U2781="","",ROUND(M2781-U2781,2))</f>
        <v/>
      </c>
      <c r="W2781" s="5" t="n"/>
      <c r="X2781" s="5" t="inlineStr">
        <is>
          <t>Source publishes a specialist/sub-contract all-in rate; no labour/plant/material build-up exists to derive from.</t>
        </is>
      </c>
    </row>
    <row r="2782" ht="13" customHeight="1">
      <c r="A2782" s="4" t="n">
        <v>4158</v>
      </c>
      <c r="B2782" s="5" t="inlineStr">
        <is>
          <t>IMG_0121</t>
        </is>
      </c>
      <c r="C2782" s="5" t="inlineStr">
        <is>
          <t>CLASS P: PILES</t>
        </is>
      </c>
      <c r="D2782" s="5" t="inlineStr">
        <is>
          <t>07 INTERLOCKING STEEL PILES</t>
        </is>
      </c>
      <c r="E2782" s="5" t="inlineStr">
        <is>
          <t>One coat black high build isocyanate cured epoxy pitch (PC2) protective treatment applied all surfaces at shop to minimum dry film thickness up to 450 microns to steel piles</t>
        </is>
      </c>
      <c r="F2782" s="5" t="inlineStr">
        <is>
          <t>section reference AZ 12; pile area</t>
        </is>
      </c>
      <c r="G2782" s="6" t="inlineStr">
        <is>
          <t>m2</t>
        </is>
      </c>
      <c r="H2782" s="7" t="n"/>
      <c r="I2782" s="8" t="n">
        <v>0</v>
      </c>
      <c r="J2782" s="8" t="n">
        <v>0</v>
      </c>
      <c r="K2782" s="8" t="n">
        <v>0</v>
      </c>
      <c r="L2782" s="8" t="n">
        <v>26.18</v>
      </c>
      <c r="M2782" s="9">
        <f>ROUND(SUM(I2782:L2782),2)</f>
        <v/>
      </c>
      <c r="N2782" s="10">
        <f>ROUND(I2782*'Irish Basis'!$C$6*'Irish Basis'!$C$5,2)</f>
        <v/>
      </c>
      <c r="O2782" s="10">
        <f>ROUND(J2782*'Irish Basis'!$C$7*'Irish Basis'!$C$5,2)</f>
        <v/>
      </c>
      <c r="P2782" s="10">
        <f>ROUND(K2782*'Irish Basis'!$C$8*'Irish Basis'!$C$5,2)</f>
        <v/>
      </c>
      <c r="Q2782" s="10">
        <f>ROUND(L2782*'Irish Basis'!$C$12*'Irish Basis'!$C$5,2)</f>
        <v/>
      </c>
      <c r="R2782" s="11">
        <f>ROUND(SUM(N2782:Q2782),2)</f>
        <v/>
      </c>
      <c r="S2782" s="5" t="inlineStr">
        <is>
          <t>All-in specialist rate</t>
        </is>
      </c>
      <c r="T2782" s="14" t="inlineStr">
        <is>
          <t>All-in (not split)</t>
        </is>
      </c>
      <c r="U2782" s="8" t="n">
        <v>26.18</v>
      </c>
      <c r="V2782" s="13">
        <f>IF(U2782="","",ROUND(M2782-U2782,2))</f>
        <v/>
      </c>
      <c r="W2782" s="5" t="n"/>
      <c r="X2782" s="5" t="inlineStr">
        <is>
          <t>Source publishes a specialist/sub-contract all-in rate; no labour/plant/material build-up exists to derive from.</t>
        </is>
      </c>
    </row>
    <row r="2783" ht="13" customHeight="1">
      <c r="A2783" s="4" t="n">
        <v>4159</v>
      </c>
      <c r="B2783" s="5" t="inlineStr">
        <is>
          <t>IMG_0121</t>
        </is>
      </c>
      <c r="C2783" s="5" t="inlineStr">
        <is>
          <t>CLASS P: PILES</t>
        </is>
      </c>
      <c r="D2783" s="5" t="inlineStr">
        <is>
          <t>07 INTERLOCKING STEEL PILES</t>
        </is>
      </c>
      <c r="E2783" s="5" t="inlineStr">
        <is>
          <t>One coat black high build isocyanate cured epoxy pitch (PC2) protective treatment applied all surfaces at shop to minimum dry film thickness up to 450 microns to steel piles</t>
        </is>
      </c>
      <c r="F2783" s="5" t="inlineStr">
        <is>
          <t>section reference AZ 17; pile area</t>
        </is>
      </c>
      <c r="G2783" s="6" t="inlineStr">
        <is>
          <t>m2</t>
        </is>
      </c>
      <c r="H2783" s="7" t="n"/>
      <c r="I2783" s="8" t="n">
        <v>0</v>
      </c>
      <c r="J2783" s="8" t="n">
        <v>0</v>
      </c>
      <c r="K2783" s="8" t="n">
        <v>0</v>
      </c>
      <c r="L2783" s="8" t="n">
        <v>17.1</v>
      </c>
      <c r="M2783" s="9">
        <f>ROUND(SUM(I2783:L2783),2)</f>
        <v/>
      </c>
      <c r="N2783" s="10">
        <f>ROUND(I2783*'Irish Basis'!$C$6*'Irish Basis'!$C$5,2)</f>
        <v/>
      </c>
      <c r="O2783" s="10">
        <f>ROUND(J2783*'Irish Basis'!$C$7*'Irish Basis'!$C$5,2)</f>
        <v/>
      </c>
      <c r="P2783" s="10">
        <f>ROUND(K2783*'Irish Basis'!$C$8*'Irish Basis'!$C$5,2)</f>
        <v/>
      </c>
      <c r="Q2783" s="10">
        <f>ROUND(L2783*'Irish Basis'!$C$12*'Irish Basis'!$C$5,2)</f>
        <v/>
      </c>
      <c r="R2783" s="11">
        <f>ROUND(SUM(N2783:Q2783),2)</f>
        <v/>
      </c>
      <c r="S2783" s="5" t="inlineStr">
        <is>
          <t>All-in specialist rate</t>
        </is>
      </c>
      <c r="T2783" s="14" t="inlineStr">
        <is>
          <t>All-in (not split)</t>
        </is>
      </c>
      <c r="U2783" s="8" t="n">
        <v>17.1</v>
      </c>
      <c r="V2783" s="13">
        <f>IF(U2783="","",ROUND(M2783-U2783,2))</f>
        <v/>
      </c>
      <c r="W2783" s="5" t="n"/>
      <c r="X2783" s="5" t="inlineStr">
        <is>
          <t>Source publishes a specialist/sub-contract all-in rate; no labour/plant/material build-up exists to derive from.</t>
        </is>
      </c>
    </row>
    <row r="2784" ht="13" customHeight="1">
      <c r="A2784" s="4" t="n">
        <v>4160</v>
      </c>
      <c r="B2784" s="5" t="inlineStr">
        <is>
          <t>IMG_0121</t>
        </is>
      </c>
      <c r="C2784" s="5" t="inlineStr">
        <is>
          <t>CLASS P: PILES</t>
        </is>
      </c>
      <c r="D2784" s="5" t="inlineStr">
        <is>
          <t>07 INTERLOCKING STEEL PILES</t>
        </is>
      </c>
      <c r="E2784" s="5" t="inlineStr">
        <is>
          <t>One coat black high build isocyanate cured epoxy pitch (PC2) protective treatment applied all surfaces at shop to minimum dry film thickness up to 450 microns to steel piles</t>
        </is>
      </c>
      <c r="F2784" s="5" t="inlineStr">
        <is>
          <t>section reference AZ 26; pile area</t>
        </is>
      </c>
      <c r="G2784" s="6" t="inlineStr">
        <is>
          <t>m2</t>
        </is>
      </c>
      <c r="H2784" s="7" t="n"/>
      <c r="I2784" s="8" t="n">
        <v>0</v>
      </c>
      <c r="J2784" s="8" t="n">
        <v>0</v>
      </c>
      <c r="K2784" s="8" t="n">
        <v>0</v>
      </c>
      <c r="L2784" s="8" t="n">
        <v>18.62</v>
      </c>
      <c r="M2784" s="9">
        <f>ROUND(SUM(I2784:L2784),2)</f>
        <v/>
      </c>
      <c r="N2784" s="10">
        <f>ROUND(I2784*'Irish Basis'!$C$6*'Irish Basis'!$C$5,2)</f>
        <v/>
      </c>
      <c r="O2784" s="10">
        <f>ROUND(J2784*'Irish Basis'!$C$7*'Irish Basis'!$C$5,2)</f>
        <v/>
      </c>
      <c r="P2784" s="10">
        <f>ROUND(K2784*'Irish Basis'!$C$8*'Irish Basis'!$C$5,2)</f>
        <v/>
      </c>
      <c r="Q2784" s="10">
        <f>ROUND(L2784*'Irish Basis'!$C$12*'Irish Basis'!$C$5,2)</f>
        <v/>
      </c>
      <c r="R2784" s="11">
        <f>ROUND(SUM(N2784:Q2784),2)</f>
        <v/>
      </c>
      <c r="S2784" s="5" t="inlineStr">
        <is>
          <t>All-in specialist rate</t>
        </is>
      </c>
      <c r="T2784" s="14" t="inlineStr">
        <is>
          <t>All-in (not split)</t>
        </is>
      </c>
      <c r="U2784" s="8" t="n">
        <v>18.62</v>
      </c>
      <c r="V2784" s="13">
        <f>IF(U2784="","",ROUND(M2784-U2784,2))</f>
        <v/>
      </c>
      <c r="W2784" s="5" t="n"/>
      <c r="X2784" s="5" t="inlineStr">
        <is>
          <t>Source publishes a specialist/sub-contract all-in rate; no labour/plant/material build-up exists to derive from.</t>
        </is>
      </c>
    </row>
    <row r="2785" ht="13" customHeight="1">
      <c r="A2785" s="4" t="n">
        <v>4161</v>
      </c>
      <c r="B2785" s="5" t="inlineStr">
        <is>
          <t>IMG_0121</t>
        </is>
      </c>
      <c r="C2785" s="5" t="inlineStr">
        <is>
          <t>CLASS P: PILES</t>
        </is>
      </c>
      <c r="D2785" s="5" t="inlineStr">
        <is>
          <t>07 INTERLOCKING STEEL PILES</t>
        </is>
      </c>
      <c r="E2785" s="5" t="inlineStr">
        <is>
          <t>One coat black high build isocyanate cured epoxy pitch (PC2) protective treatment applied all surfaces at shop to minimum dry film thickness up to 450 microns to steel piles</t>
        </is>
      </c>
      <c r="F2785" s="5" t="inlineStr">
        <is>
          <t>section reference AZ 36; pile area</t>
        </is>
      </c>
      <c r="G2785" s="6" t="inlineStr">
        <is>
          <t>m2</t>
        </is>
      </c>
      <c r="H2785" s="7" t="n"/>
      <c r="I2785" s="8" t="n">
        <v>0</v>
      </c>
      <c r="J2785" s="8" t="n">
        <v>0</v>
      </c>
      <c r="K2785" s="8" t="n">
        <v>0</v>
      </c>
      <c r="L2785" s="8" t="n">
        <v>19.84</v>
      </c>
      <c r="M2785" s="9">
        <f>ROUND(SUM(I2785:L2785),2)</f>
        <v/>
      </c>
      <c r="N2785" s="10">
        <f>ROUND(I2785*'Irish Basis'!$C$6*'Irish Basis'!$C$5,2)</f>
        <v/>
      </c>
      <c r="O2785" s="10">
        <f>ROUND(J2785*'Irish Basis'!$C$7*'Irish Basis'!$C$5,2)</f>
        <v/>
      </c>
      <c r="P2785" s="10">
        <f>ROUND(K2785*'Irish Basis'!$C$8*'Irish Basis'!$C$5,2)</f>
        <v/>
      </c>
      <c r="Q2785" s="10">
        <f>ROUND(L2785*'Irish Basis'!$C$12*'Irish Basis'!$C$5,2)</f>
        <v/>
      </c>
      <c r="R2785" s="11">
        <f>ROUND(SUM(N2785:Q2785),2)</f>
        <v/>
      </c>
      <c r="S2785" s="5" t="inlineStr">
        <is>
          <t>All-in specialist rate</t>
        </is>
      </c>
      <c r="T2785" s="14" t="inlineStr">
        <is>
          <t>All-in (not split)</t>
        </is>
      </c>
      <c r="U2785" s="8" t="n">
        <v>19.84</v>
      </c>
      <c r="V2785" s="13">
        <f>IF(U2785="","",ROUND(M2785-U2785,2))</f>
        <v/>
      </c>
      <c r="W2785" s="5" t="n"/>
      <c r="X2785" s="5" t="inlineStr">
        <is>
          <t>Source publishes a specialist/sub-contract all-in rate; no labour/plant/material build-up exists to derive from.</t>
        </is>
      </c>
    </row>
    <row r="2786" ht="13" customHeight="1">
      <c r="A2786" s="4" t="n">
        <v>4162</v>
      </c>
      <c r="B2786" s="5" t="inlineStr">
        <is>
          <t>IMG_0121</t>
        </is>
      </c>
      <c r="C2786" s="5" t="inlineStr">
        <is>
          <t>CLASS P: PILES</t>
        </is>
      </c>
      <c r="D2786" s="5" t="inlineStr">
        <is>
          <t>07 INTERLOCKING STEEL PILES</t>
        </is>
      </c>
      <c r="E2786" s="5" t="inlineStr">
        <is>
          <t>One coat black high build isocyanate cured epoxy pitch (PC2) protective treatment applied all surfaces at shop to minimum dry film thickness up to 450 microns to steel piles</t>
        </is>
      </c>
      <c r="F2786" s="5" t="inlineStr">
        <is>
          <t>section reference AS 500-12; pile area</t>
        </is>
      </c>
      <c r="G2786" s="6" t="inlineStr">
        <is>
          <t>m2</t>
        </is>
      </c>
      <c r="H2786" s="7" t="n"/>
      <c r="I2786" s="8" t="n">
        <v>0</v>
      </c>
      <c r="J2786" s="8" t="n">
        <v>0</v>
      </c>
      <c r="K2786" s="8" t="n">
        <v>0</v>
      </c>
      <c r="L2786" s="8" t="n">
        <v>32.44</v>
      </c>
      <c r="M2786" s="9">
        <f>ROUND(SUM(I2786:L2786),2)</f>
        <v/>
      </c>
      <c r="N2786" s="10">
        <f>ROUND(I2786*'Irish Basis'!$C$6*'Irish Basis'!$C$5,2)</f>
        <v/>
      </c>
      <c r="O2786" s="10">
        <f>ROUND(J2786*'Irish Basis'!$C$7*'Irish Basis'!$C$5,2)</f>
        <v/>
      </c>
      <c r="P2786" s="10">
        <f>ROUND(K2786*'Irish Basis'!$C$8*'Irish Basis'!$C$5,2)</f>
        <v/>
      </c>
      <c r="Q2786" s="10">
        <f>ROUND(L2786*'Irish Basis'!$C$12*'Irish Basis'!$C$5,2)</f>
        <v/>
      </c>
      <c r="R2786" s="11">
        <f>ROUND(SUM(N2786:Q2786),2)</f>
        <v/>
      </c>
      <c r="S2786" s="5" t="inlineStr">
        <is>
          <t>All-in specialist rate</t>
        </is>
      </c>
      <c r="T2786" s="14" t="inlineStr">
        <is>
          <t>All-in (not split)</t>
        </is>
      </c>
      <c r="U2786" s="8" t="n">
        <v>32.44</v>
      </c>
      <c r="V2786" s="13">
        <f>IF(U2786="","",ROUND(M2786-U2786,2))</f>
        <v/>
      </c>
      <c r="W2786" s="5" t="n"/>
      <c r="X2786" s="5" t="inlineStr">
        <is>
          <t>Source publishes a specialist/sub-contract all-in rate; no labour/plant/material build-up exists to derive from.</t>
        </is>
      </c>
    </row>
    <row r="2787" ht="13" customHeight="1">
      <c r="A2787" s="4" t="n">
        <v>4165</v>
      </c>
      <c r="B2787" s="5" t="inlineStr">
        <is>
          <t>IMG_0122</t>
        </is>
      </c>
      <c r="C2787" s="5" t="inlineStr">
        <is>
          <t>CLASS P: PILES</t>
        </is>
      </c>
      <c r="D2787" s="5" t="inlineStr">
        <is>
          <t>07 INTERLOCKING STEEL PILES</t>
        </is>
      </c>
      <c r="E2787" s="5" t="inlineStr">
        <is>
          <t>Arcelor Mittal U section steel piles; EN 10248 grade S270GP steel</t>
        </is>
      </c>
      <c r="F2787" s="5" t="inlineStr">
        <is>
          <t>driving of sheet piling</t>
        </is>
      </c>
      <c r="G2787" s="6" t="inlineStr">
        <is>
          <t>item</t>
        </is>
      </c>
      <c r="H2787" s="7" t="n"/>
      <c r="I2787" s="8" t="n">
        <v>0</v>
      </c>
      <c r="J2787" s="8" t="n">
        <v>0</v>
      </c>
      <c r="K2787" s="8" t="n">
        <v>0</v>
      </c>
      <c r="L2787" s="8" t="n">
        <v>11453.72</v>
      </c>
      <c r="M2787" s="9">
        <f>ROUND(SUM(I2787:L2787),2)</f>
        <v/>
      </c>
      <c r="N2787" s="10">
        <f>ROUND(I2787*'Irish Basis'!$C$6*'Irish Basis'!$C$5,2)</f>
        <v/>
      </c>
      <c r="O2787" s="10">
        <f>ROUND(J2787*'Irish Basis'!$C$7*'Irish Basis'!$C$5,2)</f>
        <v/>
      </c>
      <c r="P2787" s="10">
        <f>ROUND(K2787*'Irish Basis'!$C$8*'Irish Basis'!$C$5,2)</f>
        <v/>
      </c>
      <c r="Q2787" s="10">
        <f>ROUND(L2787*'Irish Basis'!$C$12*'Irish Basis'!$C$5,2)</f>
        <v/>
      </c>
      <c r="R2787" s="11">
        <f>ROUND(SUM(N2787:Q2787),2)</f>
        <v/>
      </c>
      <c r="S2787" s="5" t="inlineStr">
        <is>
          <t>All-in specialist rate</t>
        </is>
      </c>
      <c r="T2787" s="14" t="inlineStr">
        <is>
          <t>All-in (not split)</t>
        </is>
      </c>
      <c r="U2787" s="8" t="n">
        <v>11453.72</v>
      </c>
      <c r="V2787" s="13">
        <f>IF(U2787="","",ROUND(M2787-U2787,2))</f>
        <v/>
      </c>
      <c r="W2787" s="5" t="n"/>
      <c r="X2787" s="5" t="inlineStr">
        <is>
          <t>Source publishes a specialist/sub-contract all-in rate; no labour/plant/material build-up exists to derive from.</t>
        </is>
      </c>
    </row>
    <row r="2788" ht="13" customHeight="1">
      <c r="A2788" s="4" t="n">
        <v>4166</v>
      </c>
      <c r="B2788" s="5" t="inlineStr">
        <is>
          <t>IMG_0122</t>
        </is>
      </c>
      <c r="C2788" s="5" t="inlineStr">
        <is>
          <t>CLASS P: PILES</t>
        </is>
      </c>
      <c r="D2788" s="5" t="inlineStr">
        <is>
          <t>07 INTERLOCKING STEEL PILES</t>
        </is>
      </c>
      <c r="E2788" s="5" t="inlineStr">
        <is>
          <t>Arcelor Mittal U section steel piles; EN 10248 grade S270GP steel</t>
        </is>
      </c>
      <c r="F2788" s="5" t="inlineStr">
        <is>
          <t>extraction of sheet piling</t>
        </is>
      </c>
      <c r="G2788" s="6" t="inlineStr">
        <is>
          <t>item</t>
        </is>
      </c>
      <c r="H2788" s="7" t="n"/>
      <c r="I2788" s="8" t="n">
        <v>0</v>
      </c>
      <c r="J2788" s="8" t="n">
        <v>0</v>
      </c>
      <c r="K2788" s="8" t="n">
        <v>0</v>
      </c>
      <c r="L2788" s="8" t="n">
        <v>3083.69</v>
      </c>
      <c r="M2788" s="9">
        <f>ROUND(SUM(I2788:L2788),2)</f>
        <v/>
      </c>
      <c r="N2788" s="10">
        <f>ROUND(I2788*'Irish Basis'!$C$6*'Irish Basis'!$C$5,2)</f>
        <v/>
      </c>
      <c r="O2788" s="10">
        <f>ROUND(J2788*'Irish Basis'!$C$7*'Irish Basis'!$C$5,2)</f>
        <v/>
      </c>
      <c r="P2788" s="10">
        <f>ROUND(K2788*'Irish Basis'!$C$8*'Irish Basis'!$C$5,2)</f>
        <v/>
      </c>
      <c r="Q2788" s="10">
        <f>ROUND(L2788*'Irish Basis'!$C$12*'Irish Basis'!$C$5,2)</f>
        <v/>
      </c>
      <c r="R2788" s="11">
        <f>ROUND(SUM(N2788:Q2788),2)</f>
        <v/>
      </c>
      <c r="S2788" s="5" t="inlineStr">
        <is>
          <t>All-in specialist rate</t>
        </is>
      </c>
      <c r="T2788" s="14" t="inlineStr">
        <is>
          <t>All-in (not split)</t>
        </is>
      </c>
      <c r="U2788" s="8" t="n">
        <v>3083.69</v>
      </c>
      <c r="V2788" s="13">
        <f>IF(U2788="","",ROUND(M2788-U2788,2))</f>
        <v/>
      </c>
      <c r="W2788" s="5" t="n"/>
      <c r="X2788" s="5" t="inlineStr">
        <is>
          <t>Source publishes a specialist/sub-contract all-in rate; no labour/plant/material build-up exists to derive from.</t>
        </is>
      </c>
    </row>
    <row r="2789" ht="13" customHeight="1">
      <c r="A2789" s="4" t="n">
        <v>4167</v>
      </c>
      <c r="B2789" s="5" t="inlineStr">
        <is>
          <t>IMG_0122</t>
        </is>
      </c>
      <c r="C2789" s="5" t="inlineStr">
        <is>
          <t>CLASS P: PILES</t>
        </is>
      </c>
      <c r="D2789" s="5" t="inlineStr">
        <is>
          <t>07 INTERLOCKING STEEL PILES</t>
        </is>
      </c>
      <c r="E2789" s="5" t="inlineStr">
        <is>
          <t>Arcelor Mittal U section steel piles; EN 10248 grade S270GP steel</t>
        </is>
      </c>
      <c r="F2789" s="5" t="inlineStr">
        <is>
          <t>Standing time</t>
        </is>
      </c>
      <c r="G2789" s="6" t="inlineStr">
        <is>
          <t>hr</t>
        </is>
      </c>
      <c r="H2789" s="7" t="n"/>
      <c r="I2789" s="8" t="n">
        <v>0</v>
      </c>
      <c r="J2789" s="8" t="n">
        <v>0</v>
      </c>
      <c r="K2789" s="8" t="n">
        <v>0</v>
      </c>
      <c r="L2789" s="8" t="n">
        <v>543.73</v>
      </c>
      <c r="M2789" s="9">
        <f>ROUND(SUM(I2789:L2789),2)</f>
        <v/>
      </c>
      <c r="N2789" s="10">
        <f>ROUND(I2789*'Irish Basis'!$C$6*'Irish Basis'!$C$5,2)</f>
        <v/>
      </c>
      <c r="O2789" s="10">
        <f>ROUND(J2789*'Irish Basis'!$C$7*'Irish Basis'!$C$5,2)</f>
        <v/>
      </c>
      <c r="P2789" s="10">
        <f>ROUND(K2789*'Irish Basis'!$C$8*'Irish Basis'!$C$5,2)</f>
        <v/>
      </c>
      <c r="Q2789" s="10">
        <f>ROUND(L2789*'Irish Basis'!$C$12*'Irish Basis'!$C$5,2)</f>
        <v/>
      </c>
      <c r="R2789" s="11">
        <f>ROUND(SUM(N2789:Q2789),2)</f>
        <v/>
      </c>
      <c r="S2789" s="5" t="inlineStr">
        <is>
          <t>All-in specialist rate</t>
        </is>
      </c>
      <c r="T2789" s="14" t="inlineStr">
        <is>
          <t>All-in (not split)</t>
        </is>
      </c>
      <c r="U2789" s="8" t="n">
        <v>543.73</v>
      </c>
      <c r="V2789" s="13">
        <f>IF(U2789="","",ROUND(M2789-U2789,2))</f>
        <v/>
      </c>
      <c r="W2789" s="5" t="n"/>
      <c r="X2789" s="5" t="inlineStr">
        <is>
          <t>Source publishes a specialist/sub-contract all-in rate; no labour/plant/material build-up exists to derive from.</t>
        </is>
      </c>
    </row>
    <row r="2790" ht="13" customHeight="1">
      <c r="A2790" s="4" t="n">
        <v>4169</v>
      </c>
      <c r="B2790" s="5" t="inlineStr">
        <is>
          <t>IMG_0122</t>
        </is>
      </c>
      <c r="C2790" s="5" t="inlineStr">
        <is>
          <t>CLASS P: PILES</t>
        </is>
      </c>
      <c r="D2790" s="5" t="inlineStr">
        <is>
          <t>07 INTERLOCKING STEEL PILES</t>
        </is>
      </c>
      <c r="E2790" s="5" t="inlineStr">
        <is>
          <t>Section modulus 500-800 cm3/m; section reference PU 6; mass 76.0 kg/m2; sectional modulus 600 cm3/m</t>
        </is>
      </c>
      <c r="F2790" s="5" t="inlineStr">
        <is>
          <t>driven area</t>
        </is>
      </c>
      <c r="G2790" s="6" t="inlineStr">
        <is>
          <t>m2</t>
        </is>
      </c>
      <c r="H2790" s="7" t="n"/>
      <c r="I2790" s="8" t="n">
        <v>0</v>
      </c>
      <c r="J2790" s="8" t="n">
        <v>0</v>
      </c>
      <c r="K2790" s="8" t="n">
        <v>0</v>
      </c>
      <c r="L2790" s="8" t="n">
        <v>77.66</v>
      </c>
      <c r="M2790" s="9">
        <f>ROUND(SUM(I2790:L2790),2)</f>
        <v/>
      </c>
      <c r="N2790" s="10">
        <f>ROUND(I2790*'Irish Basis'!$C$6*'Irish Basis'!$C$5,2)</f>
        <v/>
      </c>
      <c r="O2790" s="10">
        <f>ROUND(J2790*'Irish Basis'!$C$7*'Irish Basis'!$C$5,2)</f>
        <v/>
      </c>
      <c r="P2790" s="10">
        <f>ROUND(K2790*'Irish Basis'!$C$8*'Irish Basis'!$C$5,2)</f>
        <v/>
      </c>
      <c r="Q2790" s="10">
        <f>ROUND(L2790*'Irish Basis'!$C$12*'Irish Basis'!$C$5,2)</f>
        <v/>
      </c>
      <c r="R2790" s="11">
        <f>ROUND(SUM(N2790:Q2790),2)</f>
        <v/>
      </c>
      <c r="S2790" s="5" t="inlineStr">
        <is>
          <t>All-in specialist rate</t>
        </is>
      </c>
      <c r="T2790" s="14" t="inlineStr">
        <is>
          <t>All-in (not split)</t>
        </is>
      </c>
      <c r="U2790" s="8" t="n">
        <v>77.66</v>
      </c>
      <c r="V2790" s="13">
        <f>IF(U2790="","",ROUND(M2790-U2790,2))</f>
        <v/>
      </c>
      <c r="W2790" s="5" t="n"/>
      <c r="X2790" s="5" t="inlineStr">
        <is>
          <t>Source publishes a specialist/sub-contract all-in rate; no labour/plant/material build-up exists to derive from.</t>
        </is>
      </c>
    </row>
    <row r="2791" ht="13" customHeight="1">
      <c r="A2791" s="4" t="n">
        <v>4170</v>
      </c>
      <c r="B2791" s="5" t="inlineStr">
        <is>
          <t>IMG_0122</t>
        </is>
      </c>
      <c r="C2791" s="5" t="inlineStr">
        <is>
          <t>CLASS P: PILES</t>
        </is>
      </c>
      <c r="D2791" s="5" t="inlineStr">
        <is>
          <t>07 INTERLOCKING STEEL PILES</t>
        </is>
      </c>
      <c r="E2791" s="5" t="inlineStr">
        <is>
          <t>Section modulus 500-800 cm3/m; section reference PU 6; mass 76.0 kg/m2; sectional modulus 600 cm3/m</t>
        </is>
      </c>
      <c r="F2791" s="5" t="inlineStr">
        <is>
          <t>area of piles of length 6-18 m</t>
        </is>
      </c>
      <c r="G2791" s="6" t="inlineStr">
        <is>
          <t>m2</t>
        </is>
      </c>
      <c r="H2791" s="7" t="n"/>
      <c r="I2791" s="8" t="n">
        <v>0</v>
      </c>
      <c r="J2791" s="8" t="n">
        <v>0</v>
      </c>
      <c r="K2791" s="8" t="n">
        <v>0</v>
      </c>
      <c r="L2791" s="8" t="n">
        <v>113.4</v>
      </c>
      <c r="M2791" s="9">
        <f>ROUND(SUM(I2791:L2791),2)</f>
        <v/>
      </c>
      <c r="N2791" s="10">
        <f>ROUND(I2791*'Irish Basis'!$C$6*'Irish Basis'!$C$5,2)</f>
        <v/>
      </c>
      <c r="O2791" s="10">
        <f>ROUND(J2791*'Irish Basis'!$C$7*'Irish Basis'!$C$5,2)</f>
        <v/>
      </c>
      <c r="P2791" s="10">
        <f>ROUND(K2791*'Irish Basis'!$C$8*'Irish Basis'!$C$5,2)</f>
        <v/>
      </c>
      <c r="Q2791" s="10">
        <f>ROUND(L2791*'Irish Basis'!$C$12*'Irish Basis'!$C$5,2)</f>
        <v/>
      </c>
      <c r="R2791" s="11">
        <f>ROUND(SUM(N2791:Q2791),2)</f>
        <v/>
      </c>
      <c r="S2791" s="5" t="inlineStr">
        <is>
          <t>All-in specialist rate</t>
        </is>
      </c>
      <c r="T2791" s="14" t="inlineStr">
        <is>
          <t>All-in (not split)</t>
        </is>
      </c>
      <c r="U2791" s="8" t="n">
        <v>113.4</v>
      </c>
      <c r="V2791" s="13">
        <f>IF(U2791="","",ROUND(M2791-U2791,2))</f>
        <v/>
      </c>
      <c r="W2791" s="5" t="n"/>
      <c r="X2791" s="5" t="inlineStr">
        <is>
          <t>Source publishes a specialist/sub-contract all-in rate; no labour/plant/material build-up exists to derive from.</t>
        </is>
      </c>
    </row>
    <row r="2792" ht="13" customHeight="1">
      <c r="A2792" s="4" t="n">
        <v>4171</v>
      </c>
      <c r="B2792" s="5" t="inlineStr">
        <is>
          <t>IMG_0122</t>
        </is>
      </c>
      <c r="C2792" s="5" t="inlineStr">
        <is>
          <t>CLASS P: PILES</t>
        </is>
      </c>
      <c r="D2792" s="5" t="inlineStr">
        <is>
          <t>07 INTERLOCKING STEEL PILES</t>
        </is>
      </c>
      <c r="E2792" s="5" t="inlineStr">
        <is>
          <t>Section modulus 500-800 cm3/m; section reference PU 6; mass 76.0 kg/m2; sectional modulus 600 cm3/m</t>
        </is>
      </c>
      <c r="F2792" s="5" t="inlineStr">
        <is>
          <t>area of piles of length 18-24 m</t>
        </is>
      </c>
      <c r="G2792" s="6" t="inlineStr">
        <is>
          <t>m2</t>
        </is>
      </c>
      <c r="H2792" s="7" t="n"/>
      <c r="I2792" s="8" t="n">
        <v>0</v>
      </c>
      <c r="J2792" s="8" t="n">
        <v>0</v>
      </c>
      <c r="K2792" s="8" t="n">
        <v>0</v>
      </c>
      <c r="L2792" s="8" t="n">
        <v>114.95</v>
      </c>
      <c r="M2792" s="9">
        <f>ROUND(SUM(I2792:L2792),2)</f>
        <v/>
      </c>
      <c r="N2792" s="10">
        <f>ROUND(I2792*'Irish Basis'!$C$6*'Irish Basis'!$C$5,2)</f>
        <v/>
      </c>
      <c r="O2792" s="10">
        <f>ROUND(J2792*'Irish Basis'!$C$7*'Irish Basis'!$C$5,2)</f>
        <v/>
      </c>
      <c r="P2792" s="10">
        <f>ROUND(K2792*'Irish Basis'!$C$8*'Irish Basis'!$C$5,2)</f>
        <v/>
      </c>
      <c r="Q2792" s="10">
        <f>ROUND(L2792*'Irish Basis'!$C$12*'Irish Basis'!$C$5,2)</f>
        <v/>
      </c>
      <c r="R2792" s="11">
        <f>ROUND(SUM(N2792:Q2792),2)</f>
        <v/>
      </c>
      <c r="S2792" s="5" t="inlineStr">
        <is>
          <t>All-in specialist rate</t>
        </is>
      </c>
      <c r="T2792" s="14" t="inlineStr">
        <is>
          <t>All-in (not split)</t>
        </is>
      </c>
      <c r="U2792" s="8" t="n">
        <v>114.95</v>
      </c>
      <c r="V2792" s="13">
        <f>IF(U2792="","",ROUND(M2792-U2792,2))</f>
        <v/>
      </c>
      <c r="W2792" s="5" t="n"/>
      <c r="X2792" s="5" t="inlineStr">
        <is>
          <t>Source publishes a specialist/sub-contract all-in rate; no labour/plant/material build-up exists to derive from.</t>
        </is>
      </c>
    </row>
    <row r="2793" ht="13" customHeight="1">
      <c r="A2793" s="4" t="n">
        <v>4173</v>
      </c>
      <c r="B2793" s="5" t="inlineStr">
        <is>
          <t>IMG_0122</t>
        </is>
      </c>
      <c r="C2793" s="5" t="inlineStr">
        <is>
          <t>CLASS P: PILES</t>
        </is>
      </c>
      <c r="D2793" s="5" t="inlineStr">
        <is>
          <t>07 INTERLOCKING STEEL PILES</t>
        </is>
      </c>
      <c r="E2793" s="5" t="inlineStr">
        <is>
          <t>Section modulus 800-1200 cm3/m; section reference PU 8; mass 90.9 kg/m2; sectional modulus 830 cm3/m</t>
        </is>
      </c>
      <c r="F2793" s="5" t="inlineStr">
        <is>
          <t>driven area</t>
        </is>
      </c>
      <c r="G2793" s="6" t="inlineStr">
        <is>
          <t>m2</t>
        </is>
      </c>
      <c r="H2793" s="7" t="n"/>
      <c r="I2793" s="8" t="n">
        <v>0</v>
      </c>
      <c r="J2793" s="8" t="n">
        <v>0</v>
      </c>
      <c r="K2793" s="8" t="n">
        <v>0</v>
      </c>
      <c r="L2793" s="8" t="n">
        <v>69.87</v>
      </c>
      <c r="M2793" s="9">
        <f>ROUND(SUM(I2793:L2793),2)</f>
        <v/>
      </c>
      <c r="N2793" s="10">
        <f>ROUND(I2793*'Irish Basis'!$C$6*'Irish Basis'!$C$5,2)</f>
        <v/>
      </c>
      <c r="O2793" s="10">
        <f>ROUND(J2793*'Irish Basis'!$C$7*'Irish Basis'!$C$5,2)</f>
        <v/>
      </c>
      <c r="P2793" s="10">
        <f>ROUND(K2793*'Irish Basis'!$C$8*'Irish Basis'!$C$5,2)</f>
        <v/>
      </c>
      <c r="Q2793" s="10">
        <f>ROUND(L2793*'Irish Basis'!$C$12*'Irish Basis'!$C$5,2)</f>
        <v/>
      </c>
      <c r="R2793" s="11">
        <f>ROUND(SUM(N2793:Q2793),2)</f>
        <v/>
      </c>
      <c r="S2793" s="5" t="inlineStr">
        <is>
          <t>All-in specialist rate</t>
        </is>
      </c>
      <c r="T2793" s="14" t="inlineStr">
        <is>
          <t>All-in (not split)</t>
        </is>
      </c>
      <c r="U2793" s="8" t="n">
        <v>69.87</v>
      </c>
      <c r="V2793" s="13">
        <f>IF(U2793="","",ROUND(M2793-U2793,2))</f>
        <v/>
      </c>
      <c r="W2793" s="5" t="n"/>
      <c r="X2793" s="5" t="inlineStr">
        <is>
          <t>Source publishes a specialist/sub-contract all-in rate; no labour/plant/material build-up exists to derive from.</t>
        </is>
      </c>
    </row>
    <row r="2794" ht="13" customHeight="1">
      <c r="A2794" s="4" t="n">
        <v>4174</v>
      </c>
      <c r="B2794" s="5" t="inlineStr">
        <is>
          <t>IMG_0122</t>
        </is>
      </c>
      <c r="C2794" s="5" t="inlineStr">
        <is>
          <t>CLASS P: PILES</t>
        </is>
      </c>
      <c r="D2794" s="5" t="inlineStr">
        <is>
          <t>07 INTERLOCKING STEEL PILES</t>
        </is>
      </c>
      <c r="E2794" s="5" t="inlineStr">
        <is>
          <t>Section modulus 800-1200 cm3/m; section reference PU 8; mass 90.9 kg/m2; sectional modulus 830 cm3/m</t>
        </is>
      </c>
      <c r="F2794" s="5" t="inlineStr">
        <is>
          <t>area of piles of length 6-18 m</t>
        </is>
      </c>
      <c r="G2794" s="6" t="inlineStr">
        <is>
          <t>m2</t>
        </is>
      </c>
      <c r="H2794" s="7" t="n"/>
      <c r="I2794" s="8" t="n">
        <v>0</v>
      </c>
      <c r="J2794" s="8" t="n">
        <v>0</v>
      </c>
      <c r="K2794" s="8" t="n">
        <v>0</v>
      </c>
      <c r="L2794" s="8" t="n">
        <v>113.4</v>
      </c>
      <c r="M2794" s="9">
        <f>ROUND(SUM(I2794:L2794),2)</f>
        <v/>
      </c>
      <c r="N2794" s="10">
        <f>ROUND(I2794*'Irish Basis'!$C$6*'Irish Basis'!$C$5,2)</f>
        <v/>
      </c>
      <c r="O2794" s="10">
        <f>ROUND(J2794*'Irish Basis'!$C$7*'Irish Basis'!$C$5,2)</f>
        <v/>
      </c>
      <c r="P2794" s="10">
        <f>ROUND(K2794*'Irish Basis'!$C$8*'Irish Basis'!$C$5,2)</f>
        <v/>
      </c>
      <c r="Q2794" s="10">
        <f>ROUND(L2794*'Irish Basis'!$C$12*'Irish Basis'!$C$5,2)</f>
        <v/>
      </c>
      <c r="R2794" s="11">
        <f>ROUND(SUM(N2794:Q2794),2)</f>
        <v/>
      </c>
      <c r="S2794" s="5" t="inlineStr">
        <is>
          <t>All-in specialist rate</t>
        </is>
      </c>
      <c r="T2794" s="14" t="inlineStr">
        <is>
          <t>All-in (not split)</t>
        </is>
      </c>
      <c r="U2794" s="8" t="n">
        <v>113.4</v>
      </c>
      <c r="V2794" s="13">
        <f>IF(U2794="","",ROUND(M2794-U2794,2))</f>
        <v/>
      </c>
      <c r="W2794" s="5" t="n"/>
      <c r="X2794" s="5" t="inlineStr">
        <is>
          <t>Source publishes a specialist/sub-contract all-in rate; no labour/plant/material build-up exists to derive from.</t>
        </is>
      </c>
    </row>
    <row r="2795" ht="13" customHeight="1">
      <c r="A2795" s="4" t="n">
        <v>4175</v>
      </c>
      <c r="B2795" s="5" t="inlineStr">
        <is>
          <t>IMG_0122</t>
        </is>
      </c>
      <c r="C2795" s="5" t="inlineStr">
        <is>
          <t>CLASS P: PILES</t>
        </is>
      </c>
      <c r="D2795" s="5" t="inlineStr">
        <is>
          <t>07 INTERLOCKING STEEL PILES</t>
        </is>
      </c>
      <c r="E2795" s="5" t="inlineStr">
        <is>
          <t>Section modulus 800-1200 cm3/m; section reference PU 8; mass 90.9 kg/m2; sectional modulus 830 cm3/m</t>
        </is>
      </c>
      <c r="F2795" s="5" t="inlineStr">
        <is>
          <t>area of piles of length 18-24 m</t>
        </is>
      </c>
      <c r="G2795" s="6" t="inlineStr">
        <is>
          <t>m2</t>
        </is>
      </c>
      <c r="H2795" s="7" t="n"/>
      <c r="I2795" s="8" t="n">
        <v>0</v>
      </c>
      <c r="J2795" s="8" t="n">
        <v>0</v>
      </c>
      <c r="K2795" s="8" t="n">
        <v>0</v>
      </c>
      <c r="L2795" s="8" t="n">
        <v>114.95</v>
      </c>
      <c r="M2795" s="9">
        <f>ROUND(SUM(I2795:L2795),2)</f>
        <v/>
      </c>
      <c r="N2795" s="10">
        <f>ROUND(I2795*'Irish Basis'!$C$6*'Irish Basis'!$C$5,2)</f>
        <v/>
      </c>
      <c r="O2795" s="10">
        <f>ROUND(J2795*'Irish Basis'!$C$7*'Irish Basis'!$C$5,2)</f>
        <v/>
      </c>
      <c r="P2795" s="10">
        <f>ROUND(K2795*'Irish Basis'!$C$8*'Irish Basis'!$C$5,2)</f>
        <v/>
      </c>
      <c r="Q2795" s="10">
        <f>ROUND(L2795*'Irish Basis'!$C$12*'Irish Basis'!$C$5,2)</f>
        <v/>
      </c>
      <c r="R2795" s="11">
        <f>ROUND(SUM(N2795:Q2795),2)</f>
        <v/>
      </c>
      <c r="S2795" s="5" t="inlineStr">
        <is>
          <t>All-in specialist rate</t>
        </is>
      </c>
      <c r="T2795" s="14" t="inlineStr">
        <is>
          <t>All-in (not split)</t>
        </is>
      </c>
      <c r="U2795" s="8" t="n">
        <v>114.95</v>
      </c>
      <c r="V2795" s="13">
        <f>IF(U2795="","",ROUND(M2795-U2795,2))</f>
        <v/>
      </c>
      <c r="W2795" s="5" t="n"/>
      <c r="X2795" s="5" t="inlineStr">
        <is>
          <t>Source publishes a specialist/sub-contract all-in rate; no labour/plant/material build-up exists to derive from.</t>
        </is>
      </c>
    </row>
    <row r="2796" ht="13" customHeight="1">
      <c r="A2796" s="4" t="n">
        <v>4176</v>
      </c>
      <c r="B2796" s="5" t="inlineStr">
        <is>
          <t>IMG_0122</t>
        </is>
      </c>
      <c r="C2796" s="5" t="inlineStr">
        <is>
          <t>CLASS P: PILES</t>
        </is>
      </c>
      <c r="D2796" s="5" t="inlineStr">
        <is>
          <t>07 INTERLOCKING STEEL PILES</t>
        </is>
      </c>
      <c r="E2796" s="5" t="inlineStr">
        <is>
          <t>Section modulus 800-1200 cm3/m; section reference PU 8; mass 90.9 kg/m2; sectional modulus 830 cm3/m</t>
        </is>
      </c>
      <c r="F2796" s="5" t="inlineStr">
        <is>
          <t>area of piles of length 18-24 m</t>
        </is>
      </c>
      <c r="G2796" s="6" t="inlineStr">
        <is>
          <t>m2</t>
        </is>
      </c>
      <c r="H2796" s="7" t="n"/>
      <c r="I2796" s="8" t="n">
        <v>0</v>
      </c>
      <c r="J2796" s="8" t="n">
        <v>0</v>
      </c>
      <c r="K2796" s="8" t="n">
        <v>0</v>
      </c>
      <c r="L2796" s="8" t="n">
        <v>114.95</v>
      </c>
      <c r="M2796" s="9">
        <f>ROUND(SUM(I2796:L2796),2)</f>
        <v/>
      </c>
      <c r="N2796" s="10">
        <f>ROUND(I2796*'Irish Basis'!$C$6*'Irish Basis'!$C$5,2)</f>
        <v/>
      </c>
      <c r="O2796" s="10">
        <f>ROUND(J2796*'Irish Basis'!$C$7*'Irish Basis'!$C$5,2)</f>
        <v/>
      </c>
      <c r="P2796" s="10">
        <f>ROUND(K2796*'Irish Basis'!$C$8*'Irish Basis'!$C$5,2)</f>
        <v/>
      </c>
      <c r="Q2796" s="10">
        <f>ROUND(L2796*'Irish Basis'!$C$12*'Irish Basis'!$C$5,2)</f>
        <v/>
      </c>
      <c r="R2796" s="11">
        <f>ROUND(SUM(N2796:Q2796),2)</f>
        <v/>
      </c>
      <c r="S2796" s="5" t="inlineStr">
        <is>
          <t>All-in specialist rate</t>
        </is>
      </c>
      <c r="T2796" s="14" t="inlineStr">
        <is>
          <t>All-in (not split)</t>
        </is>
      </c>
      <c r="U2796" s="8" t="n">
        <v>114.95</v>
      </c>
      <c r="V2796" s="13">
        <f>IF(U2796="","",ROUND(M2796-U2796,2))</f>
        <v/>
      </c>
      <c r="W2796" s="5" t="n"/>
      <c r="X2796" s="5" t="inlineStr">
        <is>
          <t>Source publishes a specialist/sub-contract all-in rate; no labour/plant/material build-up exists to derive from.</t>
        </is>
      </c>
    </row>
    <row r="2797" ht="13" customHeight="1">
      <c r="A2797" s="4" t="n">
        <v>4178</v>
      </c>
      <c r="B2797" s="5" t="inlineStr">
        <is>
          <t>IMG_0122</t>
        </is>
      </c>
      <c r="C2797" s="5" t="inlineStr">
        <is>
          <t>CLASS P: PILES</t>
        </is>
      </c>
      <c r="D2797" s="5" t="inlineStr">
        <is>
          <t>07 INTERLOCKING STEEL PILES</t>
        </is>
      </c>
      <c r="E2797" s="5" t="inlineStr">
        <is>
          <t>Section modulus 1200-2000 cm3/m; section reference PU 12; mass 110.1 kg/m2; sectional modulus 1200 cm3/m</t>
        </is>
      </c>
      <c r="F2797" s="5" t="inlineStr">
        <is>
          <t>driven area</t>
        </is>
      </c>
      <c r="G2797" s="6" t="inlineStr">
        <is>
          <t>m2</t>
        </is>
      </c>
      <c r="H2797" s="7" t="n"/>
      <c r="I2797" s="8" t="n">
        <v>0</v>
      </c>
      <c r="J2797" s="8" t="n">
        <v>0</v>
      </c>
      <c r="K2797" s="8" t="n">
        <v>0</v>
      </c>
      <c r="L2797" s="8" t="n">
        <v>59.81</v>
      </c>
      <c r="M2797" s="9">
        <f>ROUND(SUM(I2797:L2797),2)</f>
        <v/>
      </c>
      <c r="N2797" s="10">
        <f>ROUND(I2797*'Irish Basis'!$C$6*'Irish Basis'!$C$5,2)</f>
        <v/>
      </c>
      <c r="O2797" s="10">
        <f>ROUND(J2797*'Irish Basis'!$C$7*'Irish Basis'!$C$5,2)</f>
        <v/>
      </c>
      <c r="P2797" s="10">
        <f>ROUND(K2797*'Irish Basis'!$C$8*'Irish Basis'!$C$5,2)</f>
        <v/>
      </c>
      <c r="Q2797" s="10">
        <f>ROUND(L2797*'Irish Basis'!$C$12*'Irish Basis'!$C$5,2)</f>
        <v/>
      </c>
      <c r="R2797" s="11">
        <f>ROUND(SUM(N2797:Q2797),2)</f>
        <v/>
      </c>
      <c r="S2797" s="5" t="inlineStr">
        <is>
          <t>All-in specialist rate</t>
        </is>
      </c>
      <c r="T2797" s="14" t="inlineStr">
        <is>
          <t>All-in (not split)</t>
        </is>
      </c>
      <c r="U2797" s="8" t="n">
        <v>59.81</v>
      </c>
      <c r="V2797" s="13">
        <f>IF(U2797="","",ROUND(M2797-U2797,2))</f>
        <v/>
      </c>
      <c r="W2797" s="5" t="n"/>
      <c r="X2797" s="5" t="inlineStr">
        <is>
          <t>Source publishes a specialist/sub-contract all-in rate; no labour/plant/material build-up exists to derive from.</t>
        </is>
      </c>
    </row>
    <row r="2798" ht="13" customHeight="1">
      <c r="A2798" s="4" t="n">
        <v>4179</v>
      </c>
      <c r="B2798" s="5" t="inlineStr">
        <is>
          <t>IMG_0122</t>
        </is>
      </c>
      <c r="C2798" s="5" t="inlineStr">
        <is>
          <t>CLASS P: PILES</t>
        </is>
      </c>
      <c r="D2798" s="5" t="inlineStr">
        <is>
          <t>07 INTERLOCKING STEEL PILES</t>
        </is>
      </c>
      <c r="E2798" s="5" t="inlineStr">
        <is>
          <t>Section modulus 1200-2000 cm3/m; section reference PU 12; mass 110.1 kg/m2; sectional modulus 1200 cm3/m</t>
        </is>
      </c>
      <c r="F2798" s="5" t="inlineStr">
        <is>
          <t>area of piles of length 6-18 m</t>
        </is>
      </c>
      <c r="G2798" s="6" t="inlineStr">
        <is>
          <t>m2</t>
        </is>
      </c>
      <c r="H2798" s="7" t="n"/>
      <c r="I2798" s="8" t="n">
        <v>0</v>
      </c>
      <c r="J2798" s="8" t="n">
        <v>0</v>
      </c>
      <c r="K2798" s="8" t="n">
        <v>0</v>
      </c>
      <c r="L2798" s="8" t="n">
        <v>113.4</v>
      </c>
      <c r="M2798" s="9">
        <f>ROUND(SUM(I2798:L2798),2)</f>
        <v/>
      </c>
      <c r="N2798" s="10">
        <f>ROUND(I2798*'Irish Basis'!$C$6*'Irish Basis'!$C$5,2)</f>
        <v/>
      </c>
      <c r="O2798" s="10">
        <f>ROUND(J2798*'Irish Basis'!$C$7*'Irish Basis'!$C$5,2)</f>
        <v/>
      </c>
      <c r="P2798" s="10">
        <f>ROUND(K2798*'Irish Basis'!$C$8*'Irish Basis'!$C$5,2)</f>
        <v/>
      </c>
      <c r="Q2798" s="10">
        <f>ROUND(L2798*'Irish Basis'!$C$12*'Irish Basis'!$C$5,2)</f>
        <v/>
      </c>
      <c r="R2798" s="11">
        <f>ROUND(SUM(N2798:Q2798),2)</f>
        <v/>
      </c>
      <c r="S2798" s="5" t="inlineStr">
        <is>
          <t>All-in specialist rate</t>
        </is>
      </c>
      <c r="T2798" s="14" t="inlineStr">
        <is>
          <t>All-in (not split)</t>
        </is>
      </c>
      <c r="U2798" s="8" t="n">
        <v>113.4</v>
      </c>
      <c r="V2798" s="13">
        <f>IF(U2798="","",ROUND(M2798-U2798,2))</f>
        <v/>
      </c>
      <c r="W2798" s="5" t="n"/>
      <c r="X2798" s="5" t="inlineStr">
        <is>
          <t>Source publishes a specialist/sub-contract all-in rate; no labour/plant/material build-up exists to derive from.</t>
        </is>
      </c>
    </row>
    <row r="2799" ht="13" customHeight="1">
      <c r="A2799" s="4" t="n">
        <v>4180</v>
      </c>
      <c r="B2799" s="5" t="inlineStr">
        <is>
          <t>IMG_0122</t>
        </is>
      </c>
      <c r="C2799" s="5" t="inlineStr">
        <is>
          <t>CLASS P: PILES</t>
        </is>
      </c>
      <c r="D2799" s="5" t="inlineStr">
        <is>
          <t>07 INTERLOCKING STEEL PILES</t>
        </is>
      </c>
      <c r="E2799" s="5" t="inlineStr">
        <is>
          <t>Section modulus 1200-2000 cm3/m; section reference PU 12; mass 110.1 kg/m2; sectional modulus 1200 cm3/m</t>
        </is>
      </c>
      <c r="F2799" s="5" t="inlineStr">
        <is>
          <t>area of piles of length 18-24 m</t>
        </is>
      </c>
      <c r="G2799" s="6" t="inlineStr">
        <is>
          <t>m2</t>
        </is>
      </c>
      <c r="H2799" s="7" t="n"/>
      <c r="I2799" s="8" t="n">
        <v>0</v>
      </c>
      <c r="J2799" s="8" t="n">
        <v>0</v>
      </c>
      <c r="K2799" s="8" t="n">
        <v>0</v>
      </c>
      <c r="L2799" s="8" t="n">
        <v>114.95</v>
      </c>
      <c r="M2799" s="9">
        <f>ROUND(SUM(I2799:L2799),2)</f>
        <v/>
      </c>
      <c r="N2799" s="10">
        <f>ROUND(I2799*'Irish Basis'!$C$6*'Irish Basis'!$C$5,2)</f>
        <v/>
      </c>
      <c r="O2799" s="10">
        <f>ROUND(J2799*'Irish Basis'!$C$7*'Irish Basis'!$C$5,2)</f>
        <v/>
      </c>
      <c r="P2799" s="10">
        <f>ROUND(K2799*'Irish Basis'!$C$8*'Irish Basis'!$C$5,2)</f>
        <v/>
      </c>
      <c r="Q2799" s="10">
        <f>ROUND(L2799*'Irish Basis'!$C$12*'Irish Basis'!$C$5,2)</f>
        <v/>
      </c>
      <c r="R2799" s="11">
        <f>ROUND(SUM(N2799:Q2799),2)</f>
        <v/>
      </c>
      <c r="S2799" s="5" t="inlineStr">
        <is>
          <t>All-in specialist rate</t>
        </is>
      </c>
      <c r="T2799" s="14" t="inlineStr">
        <is>
          <t>All-in (not split)</t>
        </is>
      </c>
      <c r="U2799" s="8" t="n">
        <v>114.95</v>
      </c>
      <c r="V2799" s="13">
        <f>IF(U2799="","",ROUND(M2799-U2799,2))</f>
        <v/>
      </c>
      <c r="W2799" s="5" t="n"/>
      <c r="X2799" s="5" t="inlineStr">
        <is>
          <t>Source publishes a specialist/sub-contract all-in rate; no labour/plant/material build-up exists to derive from.</t>
        </is>
      </c>
    </row>
    <row r="2800" ht="13" customHeight="1">
      <c r="A2800" s="4" t="n">
        <v>4182</v>
      </c>
      <c r="B2800" s="5" t="inlineStr">
        <is>
          <t>IMG_0122</t>
        </is>
      </c>
      <c r="C2800" s="5" t="inlineStr">
        <is>
          <t>CLASS P: PILES</t>
        </is>
      </c>
      <c r="D2800" s="5" t="inlineStr">
        <is>
          <t>07 INTERLOCKING STEEL PILES</t>
        </is>
      </c>
      <c r="E2800" s="5" t="inlineStr">
        <is>
          <t>Section modulus 1200-2000 cm3/m; section reference PU 18; mass 128.2 kg/m2; sectional modulus 1800 cm3/m</t>
        </is>
      </c>
      <c r="F2800" s="5" t="inlineStr">
        <is>
          <t>driven area</t>
        </is>
      </c>
      <c r="G2800" s="6" t="inlineStr">
        <is>
          <t>m2</t>
        </is>
      </c>
      <c r="H2800" s="7" t="n"/>
      <c r="I2800" s="8" t="n">
        <v>0</v>
      </c>
      <c r="J2800" s="8" t="n">
        <v>0</v>
      </c>
      <c r="K2800" s="8" t="n">
        <v>0</v>
      </c>
      <c r="L2800" s="8" t="n">
        <v>54.38</v>
      </c>
      <c r="M2800" s="9">
        <f>ROUND(SUM(I2800:L2800),2)</f>
        <v/>
      </c>
      <c r="N2800" s="10">
        <f>ROUND(I2800*'Irish Basis'!$C$6*'Irish Basis'!$C$5,2)</f>
        <v/>
      </c>
      <c r="O2800" s="10">
        <f>ROUND(J2800*'Irish Basis'!$C$7*'Irish Basis'!$C$5,2)</f>
        <v/>
      </c>
      <c r="P2800" s="10">
        <f>ROUND(K2800*'Irish Basis'!$C$8*'Irish Basis'!$C$5,2)</f>
        <v/>
      </c>
      <c r="Q2800" s="10">
        <f>ROUND(L2800*'Irish Basis'!$C$12*'Irish Basis'!$C$5,2)</f>
        <v/>
      </c>
      <c r="R2800" s="11">
        <f>ROUND(SUM(N2800:Q2800),2)</f>
        <v/>
      </c>
      <c r="S2800" s="5" t="inlineStr">
        <is>
          <t>All-in specialist rate</t>
        </is>
      </c>
      <c r="T2800" s="14" t="inlineStr">
        <is>
          <t>All-in (not split)</t>
        </is>
      </c>
      <c r="U2800" s="8" t="n">
        <v>54.38</v>
      </c>
      <c r="V2800" s="13">
        <f>IF(U2800="","",ROUND(M2800-U2800,2))</f>
        <v/>
      </c>
      <c r="W2800" s="5" t="n"/>
      <c r="X2800" s="5" t="inlineStr">
        <is>
          <t>Source publishes a specialist/sub-contract all-in rate; no labour/plant/material build-up exists to derive from.</t>
        </is>
      </c>
    </row>
    <row r="2801" ht="13" customHeight="1">
      <c r="A2801" s="4" t="n">
        <v>4183</v>
      </c>
      <c r="B2801" s="5" t="inlineStr">
        <is>
          <t>IMG_0122</t>
        </is>
      </c>
      <c r="C2801" s="5" t="inlineStr">
        <is>
          <t>CLASS P: PILES</t>
        </is>
      </c>
      <c r="D2801" s="5" t="inlineStr">
        <is>
          <t>07 INTERLOCKING STEEL PILES</t>
        </is>
      </c>
      <c r="E2801" s="5" t="inlineStr">
        <is>
          <t>Section modulus 1200-2000 cm3/m; section reference PU 18; mass 128.2 kg/m2; sectional modulus 1800 cm3/m</t>
        </is>
      </c>
      <c r="F2801" s="5" t="inlineStr">
        <is>
          <t>area of piles of length 6-18 m</t>
        </is>
      </c>
      <c r="G2801" s="6" t="inlineStr">
        <is>
          <t>m2</t>
        </is>
      </c>
      <c r="H2801" s="7" t="n"/>
      <c r="I2801" s="8" t="n">
        <v>0</v>
      </c>
      <c r="J2801" s="8" t="n">
        <v>0</v>
      </c>
      <c r="K2801" s="8" t="n">
        <v>0</v>
      </c>
      <c r="L2801" s="8" t="n">
        <v>113.4</v>
      </c>
      <c r="M2801" s="9">
        <f>ROUND(SUM(I2801:L2801),2)</f>
        <v/>
      </c>
      <c r="N2801" s="10">
        <f>ROUND(I2801*'Irish Basis'!$C$6*'Irish Basis'!$C$5,2)</f>
        <v/>
      </c>
      <c r="O2801" s="10">
        <f>ROUND(J2801*'Irish Basis'!$C$7*'Irish Basis'!$C$5,2)</f>
        <v/>
      </c>
      <c r="P2801" s="10">
        <f>ROUND(K2801*'Irish Basis'!$C$8*'Irish Basis'!$C$5,2)</f>
        <v/>
      </c>
      <c r="Q2801" s="10">
        <f>ROUND(L2801*'Irish Basis'!$C$12*'Irish Basis'!$C$5,2)</f>
        <v/>
      </c>
      <c r="R2801" s="11">
        <f>ROUND(SUM(N2801:Q2801),2)</f>
        <v/>
      </c>
      <c r="S2801" s="5" t="inlineStr">
        <is>
          <t>All-in specialist rate</t>
        </is>
      </c>
      <c r="T2801" s="14" t="inlineStr">
        <is>
          <t>All-in (not split)</t>
        </is>
      </c>
      <c r="U2801" s="8" t="n">
        <v>113.4</v>
      </c>
      <c r="V2801" s="13">
        <f>IF(U2801="","",ROUND(M2801-U2801,2))</f>
        <v/>
      </c>
      <c r="W2801" s="5" t="n"/>
      <c r="X2801" s="5" t="inlineStr">
        <is>
          <t>Source publishes a specialist/sub-contract all-in rate; no labour/plant/material build-up exists to derive from.</t>
        </is>
      </c>
    </row>
    <row r="2802" ht="13" customHeight="1">
      <c r="A2802" s="4" t="n">
        <v>4184</v>
      </c>
      <c r="B2802" s="5" t="inlineStr">
        <is>
          <t>IMG_0122</t>
        </is>
      </c>
      <c r="C2802" s="5" t="inlineStr">
        <is>
          <t>CLASS P: PILES</t>
        </is>
      </c>
      <c r="D2802" s="5" t="inlineStr">
        <is>
          <t>07 INTERLOCKING STEEL PILES</t>
        </is>
      </c>
      <c r="E2802" s="5" t="inlineStr">
        <is>
          <t>Section modulus 1200-2000 cm3/m; section reference PU 18; mass 128.2 kg/m2; sectional modulus 1800 cm3/m</t>
        </is>
      </c>
      <c r="F2802" s="5" t="inlineStr">
        <is>
          <t>area of piles of length 18-24 m</t>
        </is>
      </c>
      <c r="G2802" s="6" t="inlineStr">
        <is>
          <t>m2</t>
        </is>
      </c>
      <c r="H2802" s="7" t="n"/>
      <c r="I2802" s="8" t="n">
        <v>0</v>
      </c>
      <c r="J2802" s="8" t="n">
        <v>0</v>
      </c>
      <c r="K2802" s="8" t="n">
        <v>0</v>
      </c>
      <c r="L2802" s="8" t="n">
        <v>114.95</v>
      </c>
      <c r="M2802" s="9">
        <f>ROUND(SUM(I2802:L2802),2)</f>
        <v/>
      </c>
      <c r="N2802" s="10">
        <f>ROUND(I2802*'Irish Basis'!$C$6*'Irish Basis'!$C$5,2)</f>
        <v/>
      </c>
      <c r="O2802" s="10">
        <f>ROUND(J2802*'Irish Basis'!$C$7*'Irish Basis'!$C$5,2)</f>
        <v/>
      </c>
      <c r="P2802" s="10">
        <f>ROUND(K2802*'Irish Basis'!$C$8*'Irish Basis'!$C$5,2)</f>
        <v/>
      </c>
      <c r="Q2802" s="10">
        <f>ROUND(L2802*'Irish Basis'!$C$12*'Irish Basis'!$C$5,2)</f>
        <v/>
      </c>
      <c r="R2802" s="11">
        <f>ROUND(SUM(N2802:Q2802),2)</f>
        <v/>
      </c>
      <c r="S2802" s="5" t="inlineStr">
        <is>
          <t>All-in specialist rate</t>
        </is>
      </c>
      <c r="T2802" s="14" t="inlineStr">
        <is>
          <t>All-in (not split)</t>
        </is>
      </c>
      <c r="U2802" s="8" t="n">
        <v>114.95</v>
      </c>
      <c r="V2802" s="13">
        <f>IF(U2802="","",ROUND(M2802-U2802,2))</f>
        <v/>
      </c>
      <c r="W2802" s="5" t="n"/>
      <c r="X2802" s="5" t="inlineStr">
        <is>
          <t>Source publishes a specialist/sub-contract all-in rate; no labour/plant/material build-up exists to derive from.</t>
        </is>
      </c>
    </row>
    <row r="2803" ht="13" customHeight="1">
      <c r="A2803" s="4" t="n">
        <v>4186</v>
      </c>
      <c r="B2803" s="5" t="inlineStr">
        <is>
          <t>IMG_0122</t>
        </is>
      </c>
      <c r="C2803" s="5" t="inlineStr">
        <is>
          <t>CLASS P: PILES</t>
        </is>
      </c>
      <c r="D2803" s="5" t="inlineStr">
        <is>
          <t>07 INTERLOCKING STEEL PILES</t>
        </is>
      </c>
      <c r="E2803" s="5" t="inlineStr">
        <is>
          <t>Section modulus 2000-3000 cm3/m; section reference PU 22; mass 143.6 kg/m2; sectional modulus 2200 cm3/m</t>
        </is>
      </c>
      <c r="F2803" s="5" t="inlineStr">
        <is>
          <t>driven area</t>
        </is>
      </c>
      <c r="G2803" s="6" t="inlineStr">
        <is>
          <t>m2</t>
        </is>
      </c>
      <c r="H2803" s="7" t="n"/>
      <c r="I2803" s="8" t="n">
        <v>0</v>
      </c>
      <c r="J2803" s="8" t="n">
        <v>0</v>
      </c>
      <c r="K2803" s="8" t="n">
        <v>0</v>
      </c>
      <c r="L2803" s="8" t="n">
        <v>48.94</v>
      </c>
      <c r="M2803" s="9">
        <f>ROUND(SUM(I2803:L2803),2)</f>
        <v/>
      </c>
      <c r="N2803" s="10">
        <f>ROUND(I2803*'Irish Basis'!$C$6*'Irish Basis'!$C$5,2)</f>
        <v/>
      </c>
      <c r="O2803" s="10">
        <f>ROUND(J2803*'Irish Basis'!$C$7*'Irish Basis'!$C$5,2)</f>
        <v/>
      </c>
      <c r="P2803" s="10">
        <f>ROUND(K2803*'Irish Basis'!$C$8*'Irish Basis'!$C$5,2)</f>
        <v/>
      </c>
      <c r="Q2803" s="10">
        <f>ROUND(L2803*'Irish Basis'!$C$12*'Irish Basis'!$C$5,2)</f>
        <v/>
      </c>
      <c r="R2803" s="11">
        <f>ROUND(SUM(N2803:Q2803),2)</f>
        <v/>
      </c>
      <c r="S2803" s="5" t="inlineStr">
        <is>
          <t>All-in specialist rate</t>
        </is>
      </c>
      <c r="T2803" s="14" t="inlineStr">
        <is>
          <t>All-in (not split)</t>
        </is>
      </c>
      <c r="U2803" s="8" t="n">
        <v>48.94</v>
      </c>
      <c r="V2803" s="13">
        <f>IF(U2803="","",ROUND(M2803-U2803,2))</f>
        <v/>
      </c>
      <c r="W2803" s="5" t="n"/>
      <c r="X2803" s="5" t="inlineStr">
        <is>
          <t>Source publishes a specialist/sub-contract all-in rate; no labour/plant/material build-up exists to derive from.</t>
        </is>
      </c>
    </row>
    <row r="2804" ht="13" customHeight="1">
      <c r="A2804" s="4" t="n">
        <v>4187</v>
      </c>
      <c r="B2804" s="5" t="inlineStr">
        <is>
          <t>IMG_0122</t>
        </is>
      </c>
      <c r="C2804" s="5" t="inlineStr">
        <is>
          <t>CLASS P: PILES</t>
        </is>
      </c>
      <c r="D2804" s="5" t="inlineStr">
        <is>
          <t>07 INTERLOCKING STEEL PILES</t>
        </is>
      </c>
      <c r="E2804" s="5" t="inlineStr">
        <is>
          <t>Section modulus 2000-3000 cm3/m; section reference PU 22; mass 143.6 kg/m2; sectional modulus 2200 cm3/m</t>
        </is>
      </c>
      <c r="F2804" s="5" t="inlineStr">
        <is>
          <t>area of piles of length 6-18 m</t>
        </is>
      </c>
      <c r="G2804" s="6" t="inlineStr">
        <is>
          <t>m2</t>
        </is>
      </c>
      <c r="H2804" s="7" t="n"/>
      <c r="I2804" s="8" t="n">
        <v>0</v>
      </c>
      <c r="J2804" s="8" t="n">
        <v>0</v>
      </c>
      <c r="K2804" s="8" t="n">
        <v>0</v>
      </c>
      <c r="L2804" s="8" t="n">
        <v>113.4</v>
      </c>
      <c r="M2804" s="9">
        <f>ROUND(SUM(I2804:L2804),2)</f>
        <v/>
      </c>
      <c r="N2804" s="10">
        <f>ROUND(I2804*'Irish Basis'!$C$6*'Irish Basis'!$C$5,2)</f>
        <v/>
      </c>
      <c r="O2804" s="10">
        <f>ROUND(J2804*'Irish Basis'!$C$7*'Irish Basis'!$C$5,2)</f>
        <v/>
      </c>
      <c r="P2804" s="10">
        <f>ROUND(K2804*'Irish Basis'!$C$8*'Irish Basis'!$C$5,2)</f>
        <v/>
      </c>
      <c r="Q2804" s="10">
        <f>ROUND(L2804*'Irish Basis'!$C$12*'Irish Basis'!$C$5,2)</f>
        <v/>
      </c>
      <c r="R2804" s="11">
        <f>ROUND(SUM(N2804:Q2804),2)</f>
        <v/>
      </c>
      <c r="S2804" s="5" t="inlineStr">
        <is>
          <t>All-in specialist rate</t>
        </is>
      </c>
      <c r="T2804" s="14" t="inlineStr">
        <is>
          <t>All-in (not split)</t>
        </is>
      </c>
      <c r="U2804" s="8" t="n">
        <v>113.4</v>
      </c>
      <c r="V2804" s="13">
        <f>IF(U2804="","",ROUND(M2804-U2804,2))</f>
        <v/>
      </c>
      <c r="W2804" s="5" t="n"/>
      <c r="X2804" s="5" t="inlineStr">
        <is>
          <t>Source publishes a specialist/sub-contract all-in rate; no labour/plant/material build-up exists to derive from.</t>
        </is>
      </c>
    </row>
    <row r="2805" ht="13" customHeight="1">
      <c r="A2805" s="4" t="n">
        <v>4188</v>
      </c>
      <c r="B2805" s="5" t="inlineStr">
        <is>
          <t>IMG_0122</t>
        </is>
      </c>
      <c r="C2805" s="5" t="inlineStr">
        <is>
          <t>CLASS P: PILES</t>
        </is>
      </c>
      <c r="D2805" s="5" t="inlineStr">
        <is>
          <t>07 INTERLOCKING STEEL PILES</t>
        </is>
      </c>
      <c r="E2805" s="5" t="inlineStr">
        <is>
          <t>Section modulus 2000-3000 cm3/m; section reference PU 22; mass 143.6 kg/m2; sectional modulus 2200 cm3/m</t>
        </is>
      </c>
      <c r="F2805" s="5" t="inlineStr">
        <is>
          <t>area of piles of length 18-24 m</t>
        </is>
      </c>
      <c r="G2805" s="6" t="inlineStr">
        <is>
          <t>m2</t>
        </is>
      </c>
      <c r="H2805" s="7" t="n"/>
      <c r="I2805" s="8" t="n">
        <v>0</v>
      </c>
      <c r="J2805" s="8" t="n">
        <v>0</v>
      </c>
      <c r="K2805" s="8" t="n">
        <v>0</v>
      </c>
      <c r="L2805" s="8" t="n">
        <v>114.95</v>
      </c>
      <c r="M2805" s="9">
        <f>ROUND(SUM(I2805:L2805),2)</f>
        <v/>
      </c>
      <c r="N2805" s="10">
        <f>ROUND(I2805*'Irish Basis'!$C$6*'Irish Basis'!$C$5,2)</f>
        <v/>
      </c>
      <c r="O2805" s="10">
        <f>ROUND(J2805*'Irish Basis'!$C$7*'Irish Basis'!$C$5,2)</f>
        <v/>
      </c>
      <c r="P2805" s="10">
        <f>ROUND(K2805*'Irish Basis'!$C$8*'Irish Basis'!$C$5,2)</f>
        <v/>
      </c>
      <c r="Q2805" s="10">
        <f>ROUND(L2805*'Irish Basis'!$C$12*'Irish Basis'!$C$5,2)</f>
        <v/>
      </c>
      <c r="R2805" s="11">
        <f>ROUND(SUM(N2805:Q2805),2)</f>
        <v/>
      </c>
      <c r="S2805" s="5" t="inlineStr">
        <is>
          <t>All-in specialist rate</t>
        </is>
      </c>
      <c r="T2805" s="14" t="inlineStr">
        <is>
          <t>All-in (not split)</t>
        </is>
      </c>
      <c r="U2805" s="8" t="n">
        <v>114.95</v>
      </c>
      <c r="V2805" s="13">
        <f>IF(U2805="","",ROUND(M2805-U2805,2))</f>
        <v/>
      </c>
      <c r="W2805" s="5" t="n"/>
      <c r="X2805" s="5" t="inlineStr">
        <is>
          <t>Source publishes a specialist/sub-contract all-in rate; no labour/plant/material build-up exists to derive from.</t>
        </is>
      </c>
    </row>
    <row r="2806" ht="13" customHeight="1">
      <c r="A2806" s="4" t="n">
        <v>4190</v>
      </c>
      <c r="B2806" s="5" t="inlineStr">
        <is>
          <t>IMG_0122</t>
        </is>
      </c>
      <c r="C2806" s="5" t="inlineStr">
        <is>
          <t>CLASS P: PILES</t>
        </is>
      </c>
      <c r="D2806" s="5" t="inlineStr">
        <is>
          <t>07 INTERLOCKING STEEL PILES</t>
        </is>
      </c>
      <c r="E2806" s="5" t="inlineStr">
        <is>
          <t>Section modulus 3000-4000 cm3/m; section reference PU 32; mass 190.2 kg/m2; sectional modulus 3200 cm3/m</t>
        </is>
      </c>
      <c r="F2806" s="5" t="inlineStr">
        <is>
          <t>driven area</t>
        </is>
      </c>
      <c r="G2806" s="6" t="inlineStr">
        <is>
          <t>m2</t>
        </is>
      </c>
      <c r="H2806" s="7" t="n"/>
      <c r="I2806" s="8" t="n">
        <v>0</v>
      </c>
      <c r="J2806" s="8" t="n">
        <v>0</v>
      </c>
      <c r="K2806" s="8" t="n">
        <v>0</v>
      </c>
      <c r="L2806" s="8" t="n">
        <v>42.6</v>
      </c>
      <c r="M2806" s="9">
        <f>ROUND(SUM(I2806:L2806),2)</f>
        <v/>
      </c>
      <c r="N2806" s="10">
        <f>ROUND(I2806*'Irish Basis'!$C$6*'Irish Basis'!$C$5,2)</f>
        <v/>
      </c>
      <c r="O2806" s="10">
        <f>ROUND(J2806*'Irish Basis'!$C$7*'Irish Basis'!$C$5,2)</f>
        <v/>
      </c>
      <c r="P2806" s="10">
        <f>ROUND(K2806*'Irish Basis'!$C$8*'Irish Basis'!$C$5,2)</f>
        <v/>
      </c>
      <c r="Q2806" s="10">
        <f>ROUND(L2806*'Irish Basis'!$C$12*'Irish Basis'!$C$5,2)</f>
        <v/>
      </c>
      <c r="R2806" s="11">
        <f>ROUND(SUM(N2806:Q2806),2)</f>
        <v/>
      </c>
      <c r="S2806" s="5" t="inlineStr">
        <is>
          <t>All-in specialist rate</t>
        </is>
      </c>
      <c r="T2806" s="14" t="inlineStr">
        <is>
          <t>All-in (not split)</t>
        </is>
      </c>
      <c r="U2806" s="8" t="n">
        <v>42.6</v>
      </c>
      <c r="V2806" s="13">
        <f>IF(U2806="","",ROUND(M2806-U2806,2))</f>
        <v/>
      </c>
      <c r="W2806" s="5" t="n"/>
      <c r="X2806" s="5" t="inlineStr">
        <is>
          <t>Source publishes a specialist/sub-contract all-in rate; no labour/plant/material build-up exists to derive from.</t>
        </is>
      </c>
    </row>
    <row r="2807" ht="13" customHeight="1">
      <c r="A2807" s="4" t="n">
        <v>4191</v>
      </c>
      <c r="B2807" s="5" t="inlineStr">
        <is>
          <t>IMG_0122</t>
        </is>
      </c>
      <c r="C2807" s="5" t="inlineStr">
        <is>
          <t>CLASS P: PILES</t>
        </is>
      </c>
      <c r="D2807" s="5" t="inlineStr">
        <is>
          <t>07 INTERLOCKING STEEL PILES</t>
        </is>
      </c>
      <c r="E2807" s="5" t="inlineStr">
        <is>
          <t>Section modulus 3000-4000 cm3/m; section reference PU 32; mass 190.2 kg/m2; sectional modulus 3200 cm3/m</t>
        </is>
      </c>
      <c r="F2807" s="5" t="inlineStr">
        <is>
          <t>area of piles of length 6-18 m</t>
        </is>
      </c>
      <c r="G2807" s="6" t="inlineStr">
        <is>
          <t>m2</t>
        </is>
      </c>
      <c r="H2807" s="7" t="n"/>
      <c r="I2807" s="8" t="n">
        <v>0</v>
      </c>
      <c r="J2807" s="8" t="n">
        <v>0</v>
      </c>
      <c r="K2807" s="8" t="n">
        <v>0</v>
      </c>
      <c r="L2807" s="8" t="n">
        <v>113.4</v>
      </c>
      <c r="M2807" s="9">
        <f>ROUND(SUM(I2807:L2807),2)</f>
        <v/>
      </c>
      <c r="N2807" s="10">
        <f>ROUND(I2807*'Irish Basis'!$C$6*'Irish Basis'!$C$5,2)</f>
        <v/>
      </c>
      <c r="O2807" s="10">
        <f>ROUND(J2807*'Irish Basis'!$C$7*'Irish Basis'!$C$5,2)</f>
        <v/>
      </c>
      <c r="P2807" s="10">
        <f>ROUND(K2807*'Irish Basis'!$C$8*'Irish Basis'!$C$5,2)</f>
        <v/>
      </c>
      <c r="Q2807" s="10">
        <f>ROUND(L2807*'Irish Basis'!$C$12*'Irish Basis'!$C$5,2)</f>
        <v/>
      </c>
      <c r="R2807" s="11">
        <f>ROUND(SUM(N2807:Q2807),2)</f>
        <v/>
      </c>
      <c r="S2807" s="5" t="inlineStr">
        <is>
          <t>All-in specialist rate</t>
        </is>
      </c>
      <c r="T2807" s="14" t="inlineStr">
        <is>
          <t>All-in (not split)</t>
        </is>
      </c>
      <c r="U2807" s="8" t="n">
        <v>113.4</v>
      </c>
      <c r="V2807" s="13">
        <f>IF(U2807="","",ROUND(M2807-U2807,2))</f>
        <v/>
      </c>
      <c r="W2807" s="5" t="n"/>
      <c r="X2807" s="5" t="inlineStr">
        <is>
          <t>Source publishes a specialist/sub-contract all-in rate; no labour/plant/material build-up exists to derive from.</t>
        </is>
      </c>
    </row>
    <row r="2808" ht="13" customHeight="1">
      <c r="A2808" s="4" t="n">
        <v>4192</v>
      </c>
      <c r="B2808" s="5" t="inlineStr">
        <is>
          <t>IMG_0122</t>
        </is>
      </c>
      <c r="C2808" s="5" t="inlineStr">
        <is>
          <t>CLASS P: PILES</t>
        </is>
      </c>
      <c r="D2808" s="5" t="inlineStr">
        <is>
          <t>07 INTERLOCKING STEEL PILES</t>
        </is>
      </c>
      <c r="E2808" s="5" t="inlineStr">
        <is>
          <t>Section modulus 3000-4000 cm3/m; section reference PU 32; mass 190.2 kg/m2; sectional modulus 3200 cm3/m</t>
        </is>
      </c>
      <c r="F2808" s="5" t="inlineStr">
        <is>
          <t>area of piles of length 18-24 m</t>
        </is>
      </c>
      <c r="G2808" s="6" t="inlineStr">
        <is>
          <t>m2</t>
        </is>
      </c>
      <c r="H2808" s="7" t="n"/>
      <c r="I2808" s="8" t="n">
        <v>0</v>
      </c>
      <c r="J2808" s="8" t="n">
        <v>0</v>
      </c>
      <c r="K2808" s="8" t="n">
        <v>0</v>
      </c>
      <c r="L2808" s="8" t="n">
        <v>114.95</v>
      </c>
      <c r="M2808" s="9">
        <f>ROUND(SUM(I2808:L2808),2)</f>
        <v/>
      </c>
      <c r="N2808" s="10">
        <f>ROUND(I2808*'Irish Basis'!$C$6*'Irish Basis'!$C$5,2)</f>
        <v/>
      </c>
      <c r="O2808" s="10">
        <f>ROUND(J2808*'Irish Basis'!$C$7*'Irish Basis'!$C$5,2)</f>
        <v/>
      </c>
      <c r="P2808" s="10">
        <f>ROUND(K2808*'Irish Basis'!$C$8*'Irish Basis'!$C$5,2)</f>
        <v/>
      </c>
      <c r="Q2808" s="10">
        <f>ROUND(L2808*'Irish Basis'!$C$12*'Irish Basis'!$C$5,2)</f>
        <v/>
      </c>
      <c r="R2808" s="11">
        <f>ROUND(SUM(N2808:Q2808),2)</f>
        <v/>
      </c>
      <c r="S2808" s="5" t="inlineStr">
        <is>
          <t>All-in specialist rate</t>
        </is>
      </c>
      <c r="T2808" s="14" t="inlineStr">
        <is>
          <t>All-in (not split)</t>
        </is>
      </c>
      <c r="U2808" s="8" t="n">
        <v>114.95</v>
      </c>
      <c r="V2808" s="13">
        <f>IF(U2808="","",ROUND(M2808-U2808,2))</f>
        <v/>
      </c>
      <c r="W2808" s="5" t="n"/>
      <c r="X2808" s="5" t="inlineStr">
        <is>
          <t>Source publishes a specialist/sub-contract all-in rate; no labour/plant/material build-up exists to derive from.</t>
        </is>
      </c>
    </row>
    <row r="2809" ht="13" customHeight="1">
      <c r="A2809" s="4" t="n">
        <v>4194</v>
      </c>
      <c r="B2809" s="5" t="inlineStr">
        <is>
          <t>IMG_0122</t>
        </is>
      </c>
      <c r="C2809" s="5" t="inlineStr">
        <is>
          <t>CLASS P: PILES</t>
        </is>
      </c>
      <c r="D2809" s="5" t="inlineStr">
        <is>
          <t>07 INTERLOCKING STEEL PILES</t>
        </is>
      </c>
      <c r="E2809" s="5" t="inlineStr">
        <is>
          <t>One coat black tar vinyl (PC1) protective treatment applied all surfaces at shop to minimum dry film thickness up to 150 microns to steel piles</t>
        </is>
      </c>
      <c r="F2809" s="5" t="inlineStr">
        <is>
          <t>section reference PU 6; pile area</t>
        </is>
      </c>
      <c r="G2809" s="6" t="inlineStr">
        <is>
          <t>m2</t>
        </is>
      </c>
      <c r="H2809" s="7" t="n"/>
      <c r="I2809" s="8" t="n">
        <v>0</v>
      </c>
      <c r="J2809" s="8" t="n">
        <v>0</v>
      </c>
      <c r="K2809" s="8" t="n">
        <v>0</v>
      </c>
      <c r="L2809" s="8" t="n">
        <v>24.29</v>
      </c>
      <c r="M2809" s="9">
        <f>ROUND(SUM(I2809:L2809),2)</f>
        <v/>
      </c>
      <c r="N2809" s="10">
        <f>ROUND(I2809*'Irish Basis'!$C$6*'Irish Basis'!$C$5,2)</f>
        <v/>
      </c>
      <c r="O2809" s="10">
        <f>ROUND(J2809*'Irish Basis'!$C$7*'Irish Basis'!$C$5,2)</f>
        <v/>
      </c>
      <c r="P2809" s="10">
        <f>ROUND(K2809*'Irish Basis'!$C$8*'Irish Basis'!$C$5,2)</f>
        <v/>
      </c>
      <c r="Q2809" s="10">
        <f>ROUND(L2809*'Irish Basis'!$C$12*'Irish Basis'!$C$5,2)</f>
        <v/>
      </c>
      <c r="R2809" s="11">
        <f>ROUND(SUM(N2809:Q2809),2)</f>
        <v/>
      </c>
      <c r="S2809" s="5" t="inlineStr">
        <is>
          <t>All-in specialist rate</t>
        </is>
      </c>
      <c r="T2809" s="14" t="inlineStr">
        <is>
          <t>All-in (not split)</t>
        </is>
      </c>
      <c r="U2809" s="8" t="n">
        <v>24.29</v>
      </c>
      <c r="V2809" s="13">
        <f>IF(U2809="","",ROUND(M2809-U2809,2))</f>
        <v/>
      </c>
      <c r="W2809" s="5" t="n"/>
      <c r="X2809" s="5" t="inlineStr">
        <is>
          <t>Source publishes a specialist/sub-contract all-in rate; no labour/plant/material build-up exists to derive from.</t>
        </is>
      </c>
    </row>
    <row r="2810" ht="13" customHeight="1">
      <c r="A2810" s="4" t="n">
        <v>4195</v>
      </c>
      <c r="B2810" s="5" t="inlineStr">
        <is>
          <t>IMG_0122</t>
        </is>
      </c>
      <c r="C2810" s="5" t="inlineStr">
        <is>
          <t>CLASS P: PILES</t>
        </is>
      </c>
      <c r="D2810" s="5" t="inlineStr">
        <is>
          <t>07 INTERLOCKING STEEL PILES</t>
        </is>
      </c>
      <c r="E2810" s="5" t="inlineStr">
        <is>
          <t>One coat black tar vinyl (PC1) protective treatment applied all surfaces at shop to minimum dry film thickness up to 150 microns to steel piles</t>
        </is>
      </c>
      <c r="F2810" s="5" t="inlineStr">
        <is>
          <t>section reference PU 8; pile area</t>
        </is>
      </c>
      <c r="G2810" s="6" t="inlineStr">
        <is>
          <t>m2</t>
        </is>
      </c>
      <c r="H2810" s="7" t="n"/>
      <c r="I2810" s="8" t="n">
        <v>0</v>
      </c>
      <c r="J2810" s="8" t="n">
        <v>0</v>
      </c>
      <c r="K2810" s="8" t="n">
        <v>0</v>
      </c>
      <c r="L2810" s="8" t="n">
        <v>16.4</v>
      </c>
      <c r="M2810" s="9">
        <f>ROUND(SUM(I2810:L2810),2)</f>
        <v/>
      </c>
      <c r="N2810" s="10">
        <f>ROUND(I2810*'Irish Basis'!$C$6*'Irish Basis'!$C$5,2)</f>
        <v/>
      </c>
      <c r="O2810" s="10">
        <f>ROUND(J2810*'Irish Basis'!$C$7*'Irish Basis'!$C$5,2)</f>
        <v/>
      </c>
      <c r="P2810" s="10">
        <f>ROUND(K2810*'Irish Basis'!$C$8*'Irish Basis'!$C$5,2)</f>
        <v/>
      </c>
      <c r="Q2810" s="10">
        <f>ROUND(L2810*'Irish Basis'!$C$12*'Irish Basis'!$C$5,2)</f>
        <v/>
      </c>
      <c r="R2810" s="11">
        <f>ROUND(SUM(N2810:Q2810),2)</f>
        <v/>
      </c>
      <c r="S2810" s="5" t="inlineStr">
        <is>
          <t>All-in specialist rate</t>
        </is>
      </c>
      <c r="T2810" s="14" t="inlineStr">
        <is>
          <t>All-in (not split)</t>
        </is>
      </c>
      <c r="U2810" s="8" t="n">
        <v>16.4</v>
      </c>
      <c r="V2810" s="13">
        <f>IF(U2810="","",ROUND(M2810-U2810,2))</f>
        <v/>
      </c>
      <c r="W2810" s="5" t="n"/>
      <c r="X2810" s="5" t="inlineStr">
        <is>
          <t>Source publishes a specialist/sub-contract all-in rate; no labour/plant/material build-up exists to derive from.</t>
        </is>
      </c>
    </row>
    <row r="2811" ht="13" customHeight="1">
      <c r="A2811" s="4" t="n">
        <v>4196</v>
      </c>
      <c r="B2811" s="5" t="inlineStr">
        <is>
          <t>IMG_0122</t>
        </is>
      </c>
      <c r="C2811" s="5" t="inlineStr">
        <is>
          <t>CLASS P: PILES</t>
        </is>
      </c>
      <c r="D2811" s="5" t="inlineStr">
        <is>
          <t>07 INTERLOCKING STEEL PILES</t>
        </is>
      </c>
      <c r="E2811" s="5" t="inlineStr">
        <is>
          <t>One coat black tar vinyl (PC1) protective treatment applied all surfaces at shop to minimum dry film thickness up to 150 microns to steel piles</t>
        </is>
      </c>
      <c r="F2811" s="5" t="inlineStr">
        <is>
          <t>section reference PU 12; pile area</t>
        </is>
      </c>
      <c r="G2811" s="6" t="inlineStr">
        <is>
          <t>m2</t>
        </is>
      </c>
      <c r="H2811" s="7" t="n"/>
      <c r="I2811" s="8" t="n">
        <v>0</v>
      </c>
      <c r="J2811" s="8" t="n">
        <v>0</v>
      </c>
      <c r="K2811" s="8" t="n">
        <v>0</v>
      </c>
      <c r="L2811" s="8" t="n">
        <v>16.4</v>
      </c>
      <c r="M2811" s="9">
        <f>ROUND(SUM(I2811:L2811),2)</f>
        <v/>
      </c>
      <c r="N2811" s="10">
        <f>ROUND(I2811*'Irish Basis'!$C$6*'Irish Basis'!$C$5,2)</f>
        <v/>
      </c>
      <c r="O2811" s="10">
        <f>ROUND(J2811*'Irish Basis'!$C$7*'Irish Basis'!$C$5,2)</f>
        <v/>
      </c>
      <c r="P2811" s="10">
        <f>ROUND(K2811*'Irish Basis'!$C$8*'Irish Basis'!$C$5,2)</f>
        <v/>
      </c>
      <c r="Q2811" s="10">
        <f>ROUND(L2811*'Irish Basis'!$C$12*'Irish Basis'!$C$5,2)</f>
        <v/>
      </c>
      <c r="R2811" s="11">
        <f>ROUND(SUM(N2811:Q2811),2)</f>
        <v/>
      </c>
      <c r="S2811" s="5" t="inlineStr">
        <is>
          <t>All-in specialist rate</t>
        </is>
      </c>
      <c r="T2811" s="14" t="inlineStr">
        <is>
          <t>All-in (not split)</t>
        </is>
      </c>
      <c r="U2811" s="8" t="n">
        <v>16.4</v>
      </c>
      <c r="V2811" s="13">
        <f>IF(U2811="","",ROUND(M2811-U2811,2))</f>
        <v/>
      </c>
      <c r="W2811" s="5" t="n"/>
      <c r="X2811" s="5" t="inlineStr">
        <is>
          <t>Source publishes a specialist/sub-contract all-in rate; no labour/plant/material build-up exists to derive from.</t>
        </is>
      </c>
    </row>
    <row r="2812" ht="13" customHeight="1">
      <c r="A2812" s="4" t="n">
        <v>4197</v>
      </c>
      <c r="B2812" s="5" t="inlineStr">
        <is>
          <t>IMG_0122</t>
        </is>
      </c>
      <c r="C2812" s="5" t="inlineStr">
        <is>
          <t>CLASS P: PILES</t>
        </is>
      </c>
      <c r="D2812" s="5" t="inlineStr">
        <is>
          <t>07 INTERLOCKING STEEL PILES</t>
        </is>
      </c>
      <c r="E2812" s="5" t="inlineStr">
        <is>
          <t>One coat black tar vinyl (PC1) protective treatment applied all surfaces at shop to minimum dry film thickness up to 150 microns to steel piles</t>
        </is>
      </c>
      <c r="F2812" s="5" t="inlineStr">
        <is>
          <t>section reference PU 18; pile area</t>
        </is>
      </c>
      <c r="G2812" s="6" t="inlineStr">
        <is>
          <t>m2</t>
        </is>
      </c>
      <c r="H2812" s="7" t="n"/>
      <c r="I2812" s="8" t="n">
        <v>0</v>
      </c>
      <c r="J2812" s="8" t="n">
        <v>0</v>
      </c>
      <c r="K2812" s="8" t="n">
        <v>0</v>
      </c>
      <c r="L2812" s="8" t="n">
        <v>27.77</v>
      </c>
      <c r="M2812" s="9">
        <f>ROUND(SUM(I2812:L2812),2)</f>
        <v/>
      </c>
      <c r="N2812" s="10">
        <f>ROUND(I2812*'Irish Basis'!$C$6*'Irish Basis'!$C$5,2)</f>
        <v/>
      </c>
      <c r="O2812" s="10">
        <f>ROUND(J2812*'Irish Basis'!$C$7*'Irish Basis'!$C$5,2)</f>
        <v/>
      </c>
      <c r="P2812" s="10">
        <f>ROUND(K2812*'Irish Basis'!$C$8*'Irish Basis'!$C$5,2)</f>
        <v/>
      </c>
      <c r="Q2812" s="10">
        <f>ROUND(L2812*'Irish Basis'!$C$12*'Irish Basis'!$C$5,2)</f>
        <v/>
      </c>
      <c r="R2812" s="11">
        <f>ROUND(SUM(N2812:Q2812),2)</f>
        <v/>
      </c>
      <c r="S2812" s="5" t="inlineStr">
        <is>
          <t>All-in specialist rate</t>
        </is>
      </c>
      <c r="T2812" s="14" t="inlineStr">
        <is>
          <t>All-in (not split)</t>
        </is>
      </c>
      <c r="U2812" s="8" t="n">
        <v>27.77</v>
      </c>
      <c r="V2812" s="13">
        <f>IF(U2812="","",ROUND(M2812-U2812,2))</f>
        <v/>
      </c>
      <c r="W2812" s="5" t="n"/>
      <c r="X2812" s="5" t="inlineStr">
        <is>
          <t>Source publishes a specialist/sub-contract all-in rate; no labour/plant/material build-up exists to derive from.</t>
        </is>
      </c>
    </row>
    <row r="2813" ht="13" customHeight="1">
      <c r="A2813" s="4" t="n">
        <v>4198</v>
      </c>
      <c r="B2813" s="5" t="inlineStr">
        <is>
          <t>IMG_0122</t>
        </is>
      </c>
      <c r="C2813" s="5" t="inlineStr">
        <is>
          <t>CLASS P: PILES</t>
        </is>
      </c>
      <c r="D2813" s="5" t="inlineStr">
        <is>
          <t>07 INTERLOCKING STEEL PILES</t>
        </is>
      </c>
      <c r="E2813" s="5" t="inlineStr">
        <is>
          <t>One coat black tar vinyl (PC1) protective treatment applied all surfaces at shop to minimum dry film thickness up to 150 microns to steel piles</t>
        </is>
      </c>
      <c r="F2813" s="5" t="inlineStr">
        <is>
          <t>section reference PU 22; pile area</t>
        </is>
      </c>
      <c r="G2813" s="6" t="inlineStr">
        <is>
          <t>m2</t>
        </is>
      </c>
      <c r="H2813" s="7" t="n"/>
      <c r="I2813" s="8" t="n">
        <v>0</v>
      </c>
      <c r="J2813" s="8" t="n">
        <v>0</v>
      </c>
      <c r="K2813" s="8" t="n">
        <v>0</v>
      </c>
      <c r="L2813" s="8" t="n">
        <v>28.8</v>
      </c>
      <c r="M2813" s="9">
        <f>ROUND(SUM(I2813:L2813),2)</f>
        <v/>
      </c>
      <c r="N2813" s="10">
        <f>ROUND(I2813*'Irish Basis'!$C$6*'Irish Basis'!$C$5,2)</f>
        <v/>
      </c>
      <c r="O2813" s="10">
        <f>ROUND(J2813*'Irish Basis'!$C$7*'Irish Basis'!$C$5,2)</f>
        <v/>
      </c>
      <c r="P2813" s="10">
        <f>ROUND(K2813*'Irish Basis'!$C$8*'Irish Basis'!$C$5,2)</f>
        <v/>
      </c>
      <c r="Q2813" s="10">
        <f>ROUND(L2813*'Irish Basis'!$C$12*'Irish Basis'!$C$5,2)</f>
        <v/>
      </c>
      <c r="R2813" s="11">
        <f>ROUND(SUM(N2813:Q2813),2)</f>
        <v/>
      </c>
      <c r="S2813" s="5" t="inlineStr">
        <is>
          <t>All-in specialist rate</t>
        </is>
      </c>
      <c r="T2813" s="14" t="inlineStr">
        <is>
          <t>All-in (not split)</t>
        </is>
      </c>
      <c r="U2813" s="8" t="n">
        <v>28.8</v>
      </c>
      <c r="V2813" s="13">
        <f>IF(U2813="","",ROUND(M2813-U2813,2))</f>
        <v/>
      </c>
      <c r="W2813" s="5" t="n"/>
      <c r="X2813" s="5" t="inlineStr">
        <is>
          <t>Source publishes a specialist/sub-contract all-in rate; no labour/plant/material build-up exists to derive from.</t>
        </is>
      </c>
    </row>
    <row r="2814" ht="13" customHeight="1">
      <c r="A2814" s="4" t="n">
        <v>4199</v>
      </c>
      <c r="B2814" s="5" t="inlineStr">
        <is>
          <t>IMG_0122</t>
        </is>
      </c>
      <c r="C2814" s="5" t="inlineStr">
        <is>
          <t>CLASS P: PILES</t>
        </is>
      </c>
      <c r="D2814" s="5" t="inlineStr">
        <is>
          <t>07 INTERLOCKING STEEL PILES</t>
        </is>
      </c>
      <c r="E2814" s="5" t="inlineStr">
        <is>
          <t>One coat black tar vinyl (PC1) protective treatment applied all surfaces at shop to minimum dry film thickness up to 150 microns to steel piles</t>
        </is>
      </c>
      <c r="F2814" s="5" t="inlineStr">
        <is>
          <t>section reference PU 32; pile area</t>
        </is>
      </c>
      <c r="G2814" s="6" t="inlineStr">
        <is>
          <t>m2</t>
        </is>
      </c>
      <c r="H2814" s="7" t="n"/>
      <c r="I2814" s="8" t="n">
        <v>0</v>
      </c>
      <c r="J2814" s="8" t="n">
        <v>0</v>
      </c>
      <c r="K2814" s="8" t="n">
        <v>0</v>
      </c>
      <c r="L2814" s="8" t="n">
        <v>29.21</v>
      </c>
      <c r="M2814" s="9">
        <f>ROUND(SUM(I2814:L2814),2)</f>
        <v/>
      </c>
      <c r="N2814" s="10">
        <f>ROUND(I2814*'Irish Basis'!$C$6*'Irish Basis'!$C$5,2)</f>
        <v/>
      </c>
      <c r="O2814" s="10">
        <f>ROUND(J2814*'Irish Basis'!$C$7*'Irish Basis'!$C$5,2)</f>
        <v/>
      </c>
      <c r="P2814" s="10">
        <f>ROUND(K2814*'Irish Basis'!$C$8*'Irish Basis'!$C$5,2)</f>
        <v/>
      </c>
      <c r="Q2814" s="10">
        <f>ROUND(L2814*'Irish Basis'!$C$12*'Irish Basis'!$C$5,2)</f>
        <v/>
      </c>
      <c r="R2814" s="11">
        <f>ROUND(SUM(N2814:Q2814),2)</f>
        <v/>
      </c>
      <c r="S2814" s="5" t="inlineStr">
        <is>
          <t>All-in specialist rate</t>
        </is>
      </c>
      <c r="T2814" s="14" t="inlineStr">
        <is>
          <t>All-in (not split)</t>
        </is>
      </c>
      <c r="U2814" s="8" t="n">
        <v>29.21</v>
      </c>
      <c r="V2814" s="13">
        <f>IF(U2814="","",ROUND(M2814-U2814,2))</f>
        <v/>
      </c>
      <c r="W2814" s="5" t="n"/>
      <c r="X2814" s="5" t="inlineStr">
        <is>
          <t>Source publishes a specialist/sub-contract all-in rate; no labour/plant/material build-up exists to derive from.</t>
        </is>
      </c>
    </row>
    <row r="2815" ht="13" customHeight="1">
      <c r="A2815" s="4" t="n">
        <v>4201</v>
      </c>
      <c r="B2815" s="5" t="inlineStr">
        <is>
          <t>IMG_0122</t>
        </is>
      </c>
      <c r="C2815" s="5" t="inlineStr">
        <is>
          <t>CLASS P: PILES</t>
        </is>
      </c>
      <c r="D2815" s="5" t="inlineStr">
        <is>
          <t>07 INTERLOCKING STEEL PILES</t>
        </is>
      </c>
      <c r="E2815" s="5" t="inlineStr">
        <is>
          <t>One coat black high build isocyanate cured epoxy pitch (PC2) protective treatment applied all surfaces at shop to minimum dry film thickness up to 450 microns to steel piles</t>
        </is>
      </c>
      <c r="F2815" s="5" t="inlineStr">
        <is>
          <t>section reference PU 6; pile area</t>
        </is>
      </c>
      <c r="G2815" s="6" t="inlineStr">
        <is>
          <t>m2</t>
        </is>
      </c>
      <c r="H2815" s="7" t="n"/>
      <c r="I2815" s="8" t="n">
        <v>0</v>
      </c>
      <c r="J2815" s="8" t="n">
        <v>0</v>
      </c>
      <c r="K2815" s="8" t="n">
        <v>0</v>
      </c>
      <c r="L2815" s="8" t="n">
        <v>24.29</v>
      </c>
      <c r="M2815" s="9">
        <f>ROUND(SUM(I2815:L2815),2)</f>
        <v/>
      </c>
      <c r="N2815" s="10">
        <f>ROUND(I2815*'Irish Basis'!$C$6*'Irish Basis'!$C$5,2)</f>
        <v/>
      </c>
      <c r="O2815" s="10">
        <f>ROUND(J2815*'Irish Basis'!$C$7*'Irish Basis'!$C$5,2)</f>
        <v/>
      </c>
      <c r="P2815" s="10">
        <f>ROUND(K2815*'Irish Basis'!$C$8*'Irish Basis'!$C$5,2)</f>
        <v/>
      </c>
      <c r="Q2815" s="10">
        <f>ROUND(L2815*'Irish Basis'!$C$12*'Irish Basis'!$C$5,2)</f>
        <v/>
      </c>
      <c r="R2815" s="11">
        <f>ROUND(SUM(N2815:Q2815),2)</f>
        <v/>
      </c>
      <c r="S2815" s="5" t="inlineStr">
        <is>
          <t>All-in specialist rate</t>
        </is>
      </c>
      <c r="T2815" s="14" t="inlineStr">
        <is>
          <t>All-in (not split)</t>
        </is>
      </c>
      <c r="U2815" s="8" t="n">
        <v>24.29</v>
      </c>
      <c r="V2815" s="13">
        <f>IF(U2815="","",ROUND(M2815-U2815,2))</f>
        <v/>
      </c>
      <c r="W2815" s="5" t="n"/>
      <c r="X2815" s="5" t="inlineStr">
        <is>
          <t>Source publishes a specialist/sub-contract all-in rate; no labour/plant/material build-up exists to derive from.</t>
        </is>
      </c>
    </row>
    <row r="2816" ht="13" customHeight="1">
      <c r="A2816" s="4" t="n">
        <v>4202</v>
      </c>
      <c r="B2816" s="5" t="inlineStr">
        <is>
          <t>IMG_0122</t>
        </is>
      </c>
      <c r="C2816" s="5" t="inlineStr">
        <is>
          <t>CLASS P: PILES</t>
        </is>
      </c>
      <c r="D2816" s="5" t="inlineStr">
        <is>
          <t>07 INTERLOCKING STEEL PILES</t>
        </is>
      </c>
      <c r="E2816" s="5" t="inlineStr">
        <is>
          <t>One coat black high build isocyanate cured epoxy pitch (PC2) protective treatment applied all surfaces at shop to minimum dry film thickness up to 450 microns to steel piles</t>
        </is>
      </c>
      <c r="F2816" s="5" t="inlineStr">
        <is>
          <t>section reference PU 8; pile area</t>
        </is>
      </c>
      <c r="G2816" s="6" t="inlineStr">
        <is>
          <t>m2</t>
        </is>
      </c>
      <c r="H2816" s="7" t="n"/>
      <c r="I2816" s="8" t="n">
        <v>0</v>
      </c>
      <c r="J2816" s="8" t="n">
        <v>0</v>
      </c>
      <c r="K2816" s="8" t="n">
        <v>0</v>
      </c>
      <c r="L2816" s="8" t="n">
        <v>16.4</v>
      </c>
      <c r="M2816" s="9">
        <f>ROUND(SUM(I2816:L2816),2)</f>
        <v/>
      </c>
      <c r="N2816" s="10">
        <f>ROUND(I2816*'Irish Basis'!$C$6*'Irish Basis'!$C$5,2)</f>
        <v/>
      </c>
      <c r="O2816" s="10">
        <f>ROUND(J2816*'Irish Basis'!$C$7*'Irish Basis'!$C$5,2)</f>
        <v/>
      </c>
      <c r="P2816" s="10">
        <f>ROUND(K2816*'Irish Basis'!$C$8*'Irish Basis'!$C$5,2)</f>
        <v/>
      </c>
      <c r="Q2816" s="10">
        <f>ROUND(L2816*'Irish Basis'!$C$12*'Irish Basis'!$C$5,2)</f>
        <v/>
      </c>
      <c r="R2816" s="11">
        <f>ROUND(SUM(N2816:Q2816),2)</f>
        <v/>
      </c>
      <c r="S2816" s="5" t="inlineStr">
        <is>
          <t>All-in specialist rate</t>
        </is>
      </c>
      <c r="T2816" s="14" t="inlineStr">
        <is>
          <t>All-in (not split)</t>
        </is>
      </c>
      <c r="U2816" s="8" t="n">
        <v>16.4</v>
      </c>
      <c r="V2816" s="13">
        <f>IF(U2816="","",ROUND(M2816-U2816,2))</f>
        <v/>
      </c>
      <c r="W2816" s="5" t="n"/>
      <c r="X2816" s="5" t="inlineStr">
        <is>
          <t>Source publishes a specialist/sub-contract all-in rate; no labour/plant/material build-up exists to derive from.</t>
        </is>
      </c>
    </row>
    <row r="2817" ht="13" customHeight="1">
      <c r="A2817" s="4" t="n">
        <v>4203</v>
      </c>
      <c r="B2817" s="5" t="inlineStr">
        <is>
          <t>IMG_0122</t>
        </is>
      </c>
      <c r="C2817" s="5" t="inlineStr">
        <is>
          <t>CLASS P: PILES</t>
        </is>
      </c>
      <c r="D2817" s="5" t="inlineStr">
        <is>
          <t>07 INTERLOCKING STEEL PILES</t>
        </is>
      </c>
      <c r="E2817" s="5" t="inlineStr">
        <is>
          <t>One coat black high build isocyanate cured epoxy pitch (PC2) protective treatment applied all surfaces at shop to minimum dry film thickness up to 450 microns to steel piles</t>
        </is>
      </c>
      <c r="F2817" s="5" t="inlineStr">
        <is>
          <t>section reference PU 12; pile area</t>
        </is>
      </c>
      <c r="G2817" s="6" t="inlineStr">
        <is>
          <t>m2</t>
        </is>
      </c>
      <c r="H2817" s="7" t="n"/>
      <c r="I2817" s="8" t="n">
        <v>0</v>
      </c>
      <c r="J2817" s="8" t="n">
        <v>0</v>
      </c>
      <c r="K2817" s="8" t="n">
        <v>0</v>
      </c>
      <c r="L2817" s="8" t="n">
        <v>16.4</v>
      </c>
      <c r="M2817" s="9">
        <f>ROUND(SUM(I2817:L2817),2)</f>
        <v/>
      </c>
      <c r="N2817" s="10">
        <f>ROUND(I2817*'Irish Basis'!$C$6*'Irish Basis'!$C$5,2)</f>
        <v/>
      </c>
      <c r="O2817" s="10">
        <f>ROUND(J2817*'Irish Basis'!$C$7*'Irish Basis'!$C$5,2)</f>
        <v/>
      </c>
      <c r="P2817" s="10">
        <f>ROUND(K2817*'Irish Basis'!$C$8*'Irish Basis'!$C$5,2)</f>
        <v/>
      </c>
      <c r="Q2817" s="10">
        <f>ROUND(L2817*'Irish Basis'!$C$12*'Irish Basis'!$C$5,2)</f>
        <v/>
      </c>
      <c r="R2817" s="11">
        <f>ROUND(SUM(N2817:Q2817),2)</f>
        <v/>
      </c>
      <c r="S2817" s="5" t="inlineStr">
        <is>
          <t>All-in specialist rate</t>
        </is>
      </c>
      <c r="T2817" s="14" t="inlineStr">
        <is>
          <t>All-in (not split)</t>
        </is>
      </c>
      <c r="U2817" s="8" t="n">
        <v>16.4</v>
      </c>
      <c r="V2817" s="13">
        <f>IF(U2817="","",ROUND(M2817-U2817,2))</f>
        <v/>
      </c>
      <c r="W2817" s="5" t="n"/>
      <c r="X2817" s="5" t="inlineStr">
        <is>
          <t>Source publishes a specialist/sub-contract all-in rate; no labour/plant/material build-up exists to derive from.</t>
        </is>
      </c>
    </row>
    <row r="2818" ht="13" customHeight="1">
      <c r="A2818" s="4" t="n">
        <v>4204</v>
      </c>
      <c r="B2818" s="5" t="inlineStr">
        <is>
          <t>IMG_0122</t>
        </is>
      </c>
      <c r="C2818" s="5" t="inlineStr">
        <is>
          <t>CLASS P: PILES</t>
        </is>
      </c>
      <c r="D2818" s="5" t="inlineStr">
        <is>
          <t>07 INTERLOCKING STEEL PILES</t>
        </is>
      </c>
      <c r="E2818" s="5" t="inlineStr">
        <is>
          <t>One coat black high build isocyanate cured epoxy pitch (PC2) protective treatment applied all surfaces at shop to minimum dry film thickness up to 450 microns to steel piles</t>
        </is>
      </c>
      <c r="F2818" s="5" t="inlineStr">
        <is>
          <t>section reference PU 18; pile area</t>
        </is>
      </c>
      <c r="G2818" s="6" t="inlineStr">
        <is>
          <t>m2</t>
        </is>
      </c>
      <c r="H2818" s="7" t="n"/>
      <c r="I2818" s="8" t="n">
        <v>0</v>
      </c>
      <c r="J2818" s="8" t="n">
        <v>0</v>
      </c>
      <c r="K2818" s="8" t="n">
        <v>0</v>
      </c>
      <c r="L2818" s="8" t="n">
        <v>27.77</v>
      </c>
      <c r="M2818" s="9">
        <f>ROUND(SUM(I2818:L2818),2)</f>
        <v/>
      </c>
      <c r="N2818" s="10">
        <f>ROUND(I2818*'Irish Basis'!$C$6*'Irish Basis'!$C$5,2)</f>
        <v/>
      </c>
      <c r="O2818" s="10">
        <f>ROUND(J2818*'Irish Basis'!$C$7*'Irish Basis'!$C$5,2)</f>
        <v/>
      </c>
      <c r="P2818" s="10">
        <f>ROUND(K2818*'Irish Basis'!$C$8*'Irish Basis'!$C$5,2)</f>
        <v/>
      </c>
      <c r="Q2818" s="10">
        <f>ROUND(L2818*'Irish Basis'!$C$12*'Irish Basis'!$C$5,2)</f>
        <v/>
      </c>
      <c r="R2818" s="11">
        <f>ROUND(SUM(N2818:Q2818),2)</f>
        <v/>
      </c>
      <c r="S2818" s="5" t="inlineStr">
        <is>
          <t>All-in specialist rate</t>
        </is>
      </c>
      <c r="T2818" s="14" t="inlineStr">
        <is>
          <t>All-in (not split)</t>
        </is>
      </c>
      <c r="U2818" s="8" t="n">
        <v>27.77</v>
      </c>
      <c r="V2818" s="13">
        <f>IF(U2818="","",ROUND(M2818-U2818,2))</f>
        <v/>
      </c>
      <c r="W2818" s="5" t="n"/>
      <c r="X2818" s="5" t="inlineStr">
        <is>
          <t>Source publishes a specialist/sub-contract all-in rate; no labour/plant/material build-up exists to derive from.</t>
        </is>
      </c>
    </row>
    <row r="2819" ht="13" customHeight="1">
      <c r="A2819" s="4" t="n">
        <v>4205</v>
      </c>
      <c r="B2819" s="5" t="inlineStr">
        <is>
          <t>IMG_0122</t>
        </is>
      </c>
      <c r="C2819" s="5" t="inlineStr">
        <is>
          <t>CLASS P: PILES</t>
        </is>
      </c>
      <c r="D2819" s="5" t="inlineStr">
        <is>
          <t>07 INTERLOCKING STEEL PILES</t>
        </is>
      </c>
      <c r="E2819" s="5" t="inlineStr">
        <is>
          <t>One coat black high build isocyanate cured epoxy pitch (PC2) protective treatment applied all surfaces at shop to minimum dry film thickness up to 450 microns to steel piles</t>
        </is>
      </c>
      <c r="F2819" s="5" t="inlineStr">
        <is>
          <t>section reference PU 22; pile area</t>
        </is>
      </c>
      <c r="G2819" s="6" t="inlineStr">
        <is>
          <t>m2</t>
        </is>
      </c>
      <c r="H2819" s="7" t="n"/>
      <c r="I2819" s="8" t="n">
        <v>0</v>
      </c>
      <c r="J2819" s="8" t="n">
        <v>0</v>
      </c>
      <c r="K2819" s="8" t="n">
        <v>0</v>
      </c>
      <c r="L2819" s="8" t="n">
        <v>28.8</v>
      </c>
      <c r="M2819" s="9">
        <f>ROUND(SUM(I2819:L2819),2)</f>
        <v/>
      </c>
      <c r="N2819" s="10">
        <f>ROUND(I2819*'Irish Basis'!$C$6*'Irish Basis'!$C$5,2)</f>
        <v/>
      </c>
      <c r="O2819" s="10">
        <f>ROUND(J2819*'Irish Basis'!$C$7*'Irish Basis'!$C$5,2)</f>
        <v/>
      </c>
      <c r="P2819" s="10">
        <f>ROUND(K2819*'Irish Basis'!$C$8*'Irish Basis'!$C$5,2)</f>
        <v/>
      </c>
      <c r="Q2819" s="10">
        <f>ROUND(L2819*'Irish Basis'!$C$12*'Irish Basis'!$C$5,2)</f>
        <v/>
      </c>
      <c r="R2819" s="11">
        <f>ROUND(SUM(N2819:Q2819),2)</f>
        <v/>
      </c>
      <c r="S2819" s="5" t="inlineStr">
        <is>
          <t>All-in specialist rate</t>
        </is>
      </c>
      <c r="T2819" s="14" t="inlineStr">
        <is>
          <t>All-in (not split)</t>
        </is>
      </c>
      <c r="U2819" s="8" t="n">
        <v>28.8</v>
      </c>
      <c r="V2819" s="13">
        <f>IF(U2819="","",ROUND(M2819-U2819,2))</f>
        <v/>
      </c>
      <c r="W2819" s="5" t="n"/>
      <c r="X2819" s="5" t="inlineStr">
        <is>
          <t>Source publishes a specialist/sub-contract all-in rate; no labour/plant/material build-up exists to derive from.</t>
        </is>
      </c>
    </row>
    <row r="2820" ht="13" customHeight="1">
      <c r="A2820" s="4" t="n">
        <v>4206</v>
      </c>
      <c r="B2820" s="5" t="inlineStr">
        <is>
          <t>IMG_0122</t>
        </is>
      </c>
      <c r="C2820" s="5" t="inlineStr">
        <is>
          <t>CLASS P: PILES</t>
        </is>
      </c>
      <c r="D2820" s="5" t="inlineStr">
        <is>
          <t>07 INTERLOCKING STEEL PILES</t>
        </is>
      </c>
      <c r="E2820" s="5" t="inlineStr">
        <is>
          <t>One coat black high build isocyanate cured epoxy pitch (PC2) protective treatment applied all surfaces at shop to minimum dry film thickness up to 450 microns to steel piles</t>
        </is>
      </c>
      <c r="F2820" s="5" t="inlineStr">
        <is>
          <t>section reference PU 32; pile area</t>
        </is>
      </c>
      <c r="G2820" s="6" t="inlineStr">
        <is>
          <t>m2</t>
        </is>
      </c>
      <c r="H2820" s="7" t="n"/>
      <c r="I2820" s="8" t="n">
        <v>0</v>
      </c>
      <c r="J2820" s="8" t="n">
        <v>0</v>
      </c>
      <c r="K2820" s="8" t="n">
        <v>0</v>
      </c>
      <c r="L2820" s="8" t="n">
        <v>29.21</v>
      </c>
      <c r="M2820" s="9">
        <f>ROUND(SUM(I2820:L2820),2)</f>
        <v/>
      </c>
      <c r="N2820" s="10">
        <f>ROUND(I2820*'Irish Basis'!$C$6*'Irish Basis'!$C$5,2)</f>
        <v/>
      </c>
      <c r="O2820" s="10">
        <f>ROUND(J2820*'Irish Basis'!$C$7*'Irish Basis'!$C$5,2)</f>
        <v/>
      </c>
      <c r="P2820" s="10">
        <f>ROUND(K2820*'Irish Basis'!$C$8*'Irish Basis'!$C$5,2)</f>
        <v/>
      </c>
      <c r="Q2820" s="10">
        <f>ROUND(L2820*'Irish Basis'!$C$12*'Irish Basis'!$C$5,2)</f>
        <v/>
      </c>
      <c r="R2820" s="11">
        <f>ROUND(SUM(N2820:Q2820),2)</f>
        <v/>
      </c>
      <c r="S2820" s="5" t="inlineStr">
        <is>
          <t>All-in specialist rate</t>
        </is>
      </c>
      <c r="T2820" s="14" t="inlineStr">
        <is>
          <t>All-in (not split)</t>
        </is>
      </c>
      <c r="U2820" s="8" t="n">
        <v>29.21</v>
      </c>
      <c r="V2820" s="13">
        <f>IF(U2820="","",ROUND(M2820-U2820,2))</f>
        <v/>
      </c>
      <c r="W2820" s="5" t="n"/>
      <c r="X2820" s="5" t="inlineStr">
        <is>
          <t>Source publishes a specialist/sub-contract all-in rate; no labour/plant/material build-up exists to derive from.</t>
        </is>
      </c>
    </row>
    <row r="2821" ht="13" customHeight="1">
      <c r="A2821" s="4" t="n">
        <v>4210</v>
      </c>
      <c r="B2821" s="5" t="inlineStr">
        <is>
          <t>IMG_0122</t>
        </is>
      </c>
      <c r="C2821" s="5" t="inlineStr">
        <is>
          <t>CLASS Q: PILING ANCILLARIES</t>
        </is>
      </c>
      <c r="D2821" s="5" t="inlineStr">
        <is>
          <t>01 CAST IN PLACE CONCRETE PILES</t>
        </is>
      </c>
      <c r="E2821" s="5" t="inlineStr">
        <is>
          <t>Bored; lorry/crawler mounted rotary rig</t>
        </is>
      </c>
      <c r="F2821" s="5" t="inlineStr">
        <is>
          <t>Backfilling empty bore with selected excavated material dia. 500 mm</t>
        </is>
      </c>
      <c r="G2821" s="6" t="inlineStr">
        <is>
          <t>m</t>
        </is>
      </c>
      <c r="H2821" s="7" t="n"/>
      <c r="I2821" s="8" t="n">
        <v>2.69</v>
      </c>
      <c r="J2821" s="8" t="n">
        <v>0.36</v>
      </c>
      <c r="K2821" s="8" t="n">
        <v>3.19</v>
      </c>
      <c r="L2821" s="8" t="n">
        <v>0</v>
      </c>
      <c r="M2821" s="9">
        <f>ROUND(SUM(I2821:L2821),2)</f>
        <v/>
      </c>
      <c r="N2821" s="10">
        <f>ROUND(I2821*'Irish Basis'!$C$6*'Irish Basis'!$C$5,2)</f>
        <v/>
      </c>
      <c r="O2821" s="10">
        <f>ROUND(J2821*'Irish Basis'!$C$7*'Irish Basis'!$C$5,2)</f>
        <v/>
      </c>
      <c r="P2821" s="10">
        <f>ROUND(K2821*'Irish Basis'!$C$8*'Irish Basis'!$C$5,2)</f>
        <v/>
      </c>
      <c r="Q2821" s="10">
        <f>ROUND(L2821*'Irish Basis'!$C$12*'Irish Basis'!$C$5,2)</f>
        <v/>
      </c>
      <c r="R2821" s="11">
        <f>ROUND(SUM(N2821:Q2821),2)</f>
        <v/>
      </c>
      <c r="S2821" s="5" t="inlineStr">
        <is>
          <t>Apportioned (section)</t>
        </is>
      </c>
      <c r="T2821" s="16" t="inlineStr">
        <is>
          <t>Medium</t>
        </is>
      </c>
      <c r="U2821" s="8" t="n">
        <v>6.24</v>
      </c>
      <c r="V2821" s="13">
        <f>IF(U2821="","",ROUND(M2821-U2821,2))</f>
        <v/>
      </c>
      <c r="W2821" s="5" t="n"/>
      <c r="X2821" s="5" t="inlineStr">
        <is>
          <t>Split from published rate using median L/P/M shares of 37 comparable build-ups at section level (43/6/51).</t>
        </is>
      </c>
    </row>
    <row r="2822" ht="13" customHeight="1">
      <c r="A2822" s="4" t="n">
        <v>4211</v>
      </c>
      <c r="B2822" s="5" t="inlineStr">
        <is>
          <t>IMG_0122</t>
        </is>
      </c>
      <c r="C2822" s="5" t="inlineStr">
        <is>
          <t>CLASS Q: PILING ANCILLARIES</t>
        </is>
      </c>
      <c r="D2822" s="5" t="inlineStr">
        <is>
          <t>01 CAST IN PLACE CONCRETE PILES</t>
        </is>
      </c>
      <c r="E2822" s="5" t="inlineStr">
        <is>
          <t>Bored; lorry/crawler mounted rotary rig</t>
        </is>
      </c>
      <c r="F2822" s="5" t="inlineStr">
        <is>
          <t>Permanent casings; each length not exceeding 13 m dia. 500 mm</t>
        </is>
      </c>
      <c r="G2822" s="6" t="inlineStr">
        <is>
          <t>m</t>
        </is>
      </c>
      <c r="H2822" s="7" t="n"/>
      <c r="I2822" s="8" t="n">
        <v>62.49</v>
      </c>
      <c r="J2822" s="8" t="n">
        <v>8.35</v>
      </c>
      <c r="K2822" s="8" t="n">
        <v>74.01000000000001</v>
      </c>
      <c r="L2822" s="8" t="n">
        <v>0</v>
      </c>
      <c r="M2822" s="9">
        <f>ROUND(SUM(I2822:L2822),2)</f>
        <v/>
      </c>
      <c r="N2822" s="10">
        <f>ROUND(I2822*'Irish Basis'!$C$6*'Irish Basis'!$C$5,2)</f>
        <v/>
      </c>
      <c r="O2822" s="10">
        <f>ROUND(J2822*'Irish Basis'!$C$7*'Irish Basis'!$C$5,2)</f>
        <v/>
      </c>
      <c r="P2822" s="10">
        <f>ROUND(K2822*'Irish Basis'!$C$8*'Irish Basis'!$C$5,2)</f>
        <v/>
      </c>
      <c r="Q2822" s="10">
        <f>ROUND(L2822*'Irish Basis'!$C$12*'Irish Basis'!$C$5,2)</f>
        <v/>
      </c>
      <c r="R2822" s="11">
        <f>ROUND(SUM(N2822:Q2822),2)</f>
        <v/>
      </c>
      <c r="S2822" s="5" t="inlineStr">
        <is>
          <t>Apportioned (section)</t>
        </is>
      </c>
      <c r="T2822" s="16" t="inlineStr">
        <is>
          <t>Medium</t>
        </is>
      </c>
      <c r="U2822" s="8" t="n">
        <v>144.85</v>
      </c>
      <c r="V2822" s="13">
        <f>IF(U2822="","",ROUND(M2822-U2822,2))</f>
        <v/>
      </c>
      <c r="W2822" s="5" t="n"/>
      <c r="X2822" s="5" t="inlineStr">
        <is>
          <t>Split from published rate using median L/P/M shares of 37 comparable build-ups at section level (43/6/51).</t>
        </is>
      </c>
    </row>
    <row r="2823" ht="13" customHeight="1">
      <c r="A2823" s="4" t="n">
        <v>4212</v>
      </c>
      <c r="B2823" s="5" t="inlineStr">
        <is>
          <t>IMG_0122</t>
        </is>
      </c>
      <c r="C2823" s="5" t="inlineStr">
        <is>
          <t>CLASS Q: PILING ANCILLARIES</t>
        </is>
      </c>
      <c r="D2823" s="5" t="inlineStr">
        <is>
          <t>01 CAST IN PLACE CONCRETE PILES</t>
        </is>
      </c>
      <c r="E2823" s="5" t="inlineStr">
        <is>
          <t>Bored; lorry/crawler mounted rotary rig</t>
        </is>
      </c>
      <c r="F2823" s="5" t="inlineStr">
        <is>
          <t>Permanent casings; each length exceeding 13 m dia. 500 mm</t>
        </is>
      </c>
      <c r="G2823" s="6" t="inlineStr">
        <is>
          <t>m</t>
        </is>
      </c>
      <c r="H2823" s="7" t="n"/>
      <c r="I2823" s="8" t="n">
        <v>66.67</v>
      </c>
      <c r="J2823" s="8" t="n">
        <v>8.91</v>
      </c>
      <c r="K2823" s="8" t="n">
        <v>78.95999999999999</v>
      </c>
      <c r="L2823" s="8" t="n">
        <v>0</v>
      </c>
      <c r="M2823" s="9">
        <f>ROUND(SUM(I2823:L2823),2)</f>
        <v/>
      </c>
      <c r="N2823" s="10">
        <f>ROUND(I2823*'Irish Basis'!$C$6*'Irish Basis'!$C$5,2)</f>
        <v/>
      </c>
      <c r="O2823" s="10">
        <f>ROUND(J2823*'Irish Basis'!$C$7*'Irish Basis'!$C$5,2)</f>
        <v/>
      </c>
      <c r="P2823" s="10">
        <f>ROUND(K2823*'Irish Basis'!$C$8*'Irish Basis'!$C$5,2)</f>
        <v/>
      </c>
      <c r="Q2823" s="10">
        <f>ROUND(L2823*'Irish Basis'!$C$12*'Irish Basis'!$C$5,2)</f>
        <v/>
      </c>
      <c r="R2823" s="11">
        <f>ROUND(SUM(N2823:Q2823),2)</f>
        <v/>
      </c>
      <c r="S2823" s="5" t="inlineStr">
        <is>
          <t>Apportioned (section)</t>
        </is>
      </c>
      <c r="T2823" s="16" t="inlineStr">
        <is>
          <t>Medium</t>
        </is>
      </c>
      <c r="U2823" s="8" t="n">
        <v>154.54</v>
      </c>
      <c r="V2823" s="13">
        <f>IF(U2823="","",ROUND(M2823-U2823,2))</f>
        <v/>
      </c>
      <c r="W2823" s="5" t="n"/>
      <c r="X2823" s="5" t="inlineStr">
        <is>
          <t>Split from published rate using median L/P/M shares of 37 comparable build-ups at section level (43/6/51).</t>
        </is>
      </c>
    </row>
    <row r="2824" ht="13" customHeight="1">
      <c r="A2824" s="4" t="n">
        <v>4213</v>
      </c>
      <c r="B2824" s="5" t="inlineStr">
        <is>
          <t>IMG_0122</t>
        </is>
      </c>
      <c r="C2824" s="5" t="inlineStr">
        <is>
          <t>CLASS Q: PILING ANCILLARIES</t>
        </is>
      </c>
      <c r="D2824" s="5" t="inlineStr">
        <is>
          <t>01 CAST IN PLACE CONCRETE PILES</t>
        </is>
      </c>
      <c r="E2824" s="5" t="inlineStr">
        <is>
          <t>Bored; lorry/crawler mounted rotary rig</t>
        </is>
      </c>
      <c r="F2824" s="5" t="inlineStr">
        <is>
          <t>Enlarged bases dia. 1500 mm; to 500 mm dia. pile</t>
        </is>
      </c>
      <c r="G2824" s="6" t="inlineStr">
        <is>
          <t>nr</t>
        </is>
      </c>
      <c r="H2824" s="7" t="n"/>
      <c r="I2824" s="8" t="n">
        <v>208.33</v>
      </c>
      <c r="J2824" s="8" t="n">
        <v>27.84</v>
      </c>
      <c r="K2824" s="8" t="n">
        <v>246.74</v>
      </c>
      <c r="L2824" s="8" t="n">
        <v>0</v>
      </c>
      <c r="M2824" s="9">
        <f>ROUND(SUM(I2824:L2824),2)</f>
        <v/>
      </c>
      <c r="N2824" s="10">
        <f>ROUND(I2824*'Irish Basis'!$C$6*'Irish Basis'!$C$5,2)</f>
        <v/>
      </c>
      <c r="O2824" s="10">
        <f>ROUND(J2824*'Irish Basis'!$C$7*'Irish Basis'!$C$5,2)</f>
        <v/>
      </c>
      <c r="P2824" s="10">
        <f>ROUND(K2824*'Irish Basis'!$C$8*'Irish Basis'!$C$5,2)</f>
        <v/>
      </c>
      <c r="Q2824" s="10">
        <f>ROUND(L2824*'Irish Basis'!$C$12*'Irish Basis'!$C$5,2)</f>
        <v/>
      </c>
      <c r="R2824" s="11">
        <f>ROUND(SUM(N2824:Q2824),2)</f>
        <v/>
      </c>
      <c r="S2824" s="5" t="inlineStr">
        <is>
          <t>Apportioned (section)</t>
        </is>
      </c>
      <c r="T2824" s="16" t="inlineStr">
        <is>
          <t>Medium</t>
        </is>
      </c>
      <c r="U2824" s="8" t="n">
        <v>482.91</v>
      </c>
      <c r="V2824" s="13">
        <f>IF(U2824="","",ROUND(M2824-U2824,2))</f>
        <v/>
      </c>
      <c r="W2824" s="5" t="n"/>
      <c r="X2824" s="5" t="inlineStr">
        <is>
          <t>Split from published rate using median L/P/M shares of 37 comparable build-ups at section level (43/6/51).</t>
        </is>
      </c>
    </row>
    <row r="2825" ht="13" customHeight="1">
      <c r="A2825" s="4" t="n">
        <v>4214</v>
      </c>
      <c r="B2825" s="5" t="inlineStr">
        <is>
          <t>IMG_0122</t>
        </is>
      </c>
      <c r="C2825" s="5" t="inlineStr">
        <is>
          <t>CLASS Q: PILING ANCILLARIES</t>
        </is>
      </c>
      <c r="D2825" s="5" t="inlineStr">
        <is>
          <t>01 CAST IN PLACE CONCRETE PILES</t>
        </is>
      </c>
      <c r="E2825" s="5" t="inlineStr">
        <is>
          <t>Bored; lorry/crawler mounted rotary rig</t>
        </is>
      </c>
      <c r="F2825" s="5" t="inlineStr">
        <is>
          <t>Cutting off surplus lengths dia. 500 mm</t>
        </is>
      </c>
      <c r="G2825" s="6" t="inlineStr">
        <is>
          <t>m</t>
        </is>
      </c>
      <c r="H2825" s="7" t="n"/>
      <c r="I2825" s="8" t="n">
        <v>20.5</v>
      </c>
      <c r="J2825" s="8" t="n">
        <v>2.74</v>
      </c>
      <c r="K2825" s="8" t="n">
        <v>24.29</v>
      </c>
      <c r="L2825" s="8" t="n">
        <v>0</v>
      </c>
      <c r="M2825" s="9">
        <f>ROUND(SUM(I2825:L2825),2)</f>
        <v/>
      </c>
      <c r="N2825" s="10">
        <f>ROUND(I2825*'Irish Basis'!$C$6*'Irish Basis'!$C$5,2)</f>
        <v/>
      </c>
      <c r="O2825" s="10">
        <f>ROUND(J2825*'Irish Basis'!$C$7*'Irish Basis'!$C$5,2)</f>
        <v/>
      </c>
      <c r="P2825" s="10">
        <f>ROUND(K2825*'Irish Basis'!$C$8*'Irish Basis'!$C$5,2)</f>
        <v/>
      </c>
      <c r="Q2825" s="10">
        <f>ROUND(L2825*'Irish Basis'!$C$12*'Irish Basis'!$C$5,2)</f>
        <v/>
      </c>
      <c r="R2825" s="11">
        <f>ROUND(SUM(N2825:Q2825),2)</f>
        <v/>
      </c>
      <c r="S2825" s="5" t="inlineStr">
        <is>
          <t>Apportioned (section)</t>
        </is>
      </c>
      <c r="T2825" s="16" t="inlineStr">
        <is>
          <t>Medium</t>
        </is>
      </c>
      <c r="U2825" s="8" t="n">
        <v>47.53</v>
      </c>
      <c r="V2825" s="13">
        <f>IF(U2825="","",ROUND(M2825-U2825,2))</f>
        <v/>
      </c>
      <c r="W2825" s="5" t="n"/>
      <c r="X2825" s="5" t="inlineStr">
        <is>
          <t>Split from published rate using median L/P/M shares of 37 comparable build-ups at section level (43/6/51).</t>
        </is>
      </c>
    </row>
    <row r="2826" ht="13" customHeight="1">
      <c r="A2826" s="4" t="n">
        <v>4215</v>
      </c>
      <c r="B2826" s="5" t="inlineStr">
        <is>
          <t>IMG_0122</t>
        </is>
      </c>
      <c r="C2826" s="5" t="inlineStr">
        <is>
          <t>CLASS Q: PILING ANCILLARIES</t>
        </is>
      </c>
      <c r="D2826" s="5" t="inlineStr">
        <is>
          <t>01 CAST IN PLACE CONCRETE PILES</t>
        </is>
      </c>
      <c r="E2826" s="5" t="inlineStr">
        <is>
          <t>Bored; lorry/crawler mounted rotary rig</t>
        </is>
      </c>
      <c r="F2826" s="5" t="inlineStr">
        <is>
          <t>Preparing heads 500 mm dia.</t>
        </is>
      </c>
      <c r="G2826" s="6" t="inlineStr">
        <is>
          <t>nr</t>
        </is>
      </c>
      <c r="H2826" s="7" t="n"/>
      <c r="I2826" s="8" t="n">
        <v>29.84</v>
      </c>
      <c r="J2826" s="8" t="n">
        <v>3.99</v>
      </c>
      <c r="K2826" s="8" t="n">
        <v>35.34</v>
      </c>
      <c r="L2826" s="8" t="n">
        <v>0</v>
      </c>
      <c r="M2826" s="9">
        <f>ROUND(SUM(I2826:L2826),2)</f>
        <v/>
      </c>
      <c r="N2826" s="10">
        <f>ROUND(I2826*'Irish Basis'!$C$6*'Irish Basis'!$C$5,2)</f>
        <v/>
      </c>
      <c r="O2826" s="10">
        <f>ROUND(J2826*'Irish Basis'!$C$7*'Irish Basis'!$C$5,2)</f>
        <v/>
      </c>
      <c r="P2826" s="10">
        <f>ROUND(K2826*'Irish Basis'!$C$8*'Irish Basis'!$C$5,2)</f>
        <v/>
      </c>
      <c r="Q2826" s="10">
        <f>ROUND(L2826*'Irish Basis'!$C$12*'Irish Basis'!$C$5,2)</f>
        <v/>
      </c>
      <c r="R2826" s="11">
        <f>ROUND(SUM(N2826:Q2826),2)</f>
        <v/>
      </c>
      <c r="S2826" s="5" t="inlineStr">
        <is>
          <t>Apportioned (section)</t>
        </is>
      </c>
      <c r="T2826" s="16" t="inlineStr">
        <is>
          <t>Medium</t>
        </is>
      </c>
      <c r="U2826" s="8" t="n">
        <v>69.17</v>
      </c>
      <c r="V2826" s="13">
        <f>IF(U2826="","",ROUND(M2826-U2826,2))</f>
        <v/>
      </c>
      <c r="W2826" s="5" t="n"/>
      <c r="X2826" s="5" t="inlineStr">
        <is>
          <t>Split from published rate using median L/P/M shares of 37 comparable build-ups at section level (43/6/51).</t>
        </is>
      </c>
    </row>
    <row r="2827" ht="13" customHeight="1">
      <c r="A2827" s="4" t="n">
        <v>4217</v>
      </c>
      <c r="B2827" s="5" t="inlineStr">
        <is>
          <t>IMG_0122</t>
        </is>
      </c>
      <c r="C2827" s="5" t="inlineStr">
        <is>
          <t>CLASS Q: PILING ANCILLARIES</t>
        </is>
      </c>
      <c r="D2827" s="5" t="inlineStr">
        <is>
          <t>01 CAST IN PLACE CONCRETE PILES</t>
        </is>
      </c>
      <c r="E2827" s="5" t="inlineStr">
        <is>
          <t>Bored; continuous flight auger; Backfilling empty bore with selected excavated material</t>
        </is>
      </c>
      <c r="F2827" s="5" t="inlineStr">
        <is>
          <t>450 mm dia. piles</t>
        </is>
      </c>
      <c r="G2827" s="6" t="inlineStr">
        <is>
          <t>m</t>
        </is>
      </c>
      <c r="H2827" s="7" t="n"/>
      <c r="I2827" s="8" t="n">
        <v>2.12</v>
      </c>
      <c r="J2827" s="8" t="n">
        <v>0.28</v>
      </c>
      <c r="K2827" s="8" t="n">
        <v>2.51</v>
      </c>
      <c r="L2827" s="8" t="n">
        <v>0</v>
      </c>
      <c r="M2827" s="9">
        <f>ROUND(SUM(I2827:L2827),2)</f>
        <v/>
      </c>
      <c r="N2827" s="10">
        <f>ROUND(I2827*'Irish Basis'!$C$6*'Irish Basis'!$C$5,2)</f>
        <v/>
      </c>
      <c r="O2827" s="10">
        <f>ROUND(J2827*'Irish Basis'!$C$7*'Irish Basis'!$C$5,2)</f>
        <v/>
      </c>
      <c r="P2827" s="10">
        <f>ROUND(K2827*'Irish Basis'!$C$8*'Irish Basis'!$C$5,2)</f>
        <v/>
      </c>
      <c r="Q2827" s="10">
        <f>ROUND(L2827*'Irish Basis'!$C$12*'Irish Basis'!$C$5,2)</f>
        <v/>
      </c>
      <c r="R2827" s="11">
        <f>ROUND(SUM(N2827:Q2827),2)</f>
        <v/>
      </c>
      <c r="S2827" s="5" t="inlineStr">
        <is>
          <t>Apportioned (section)</t>
        </is>
      </c>
      <c r="T2827" s="16" t="inlineStr">
        <is>
          <t>Medium</t>
        </is>
      </c>
      <c r="U2827" s="8" t="n">
        <v>4.92</v>
      </c>
      <c r="V2827" s="13">
        <f>IF(U2827="","",ROUND(M2827-U2827,2))</f>
        <v/>
      </c>
      <c r="W2827" s="5" t="n"/>
      <c r="X2827" s="5" t="inlineStr">
        <is>
          <t>Split from published rate using median L/P/M shares of 37 comparable build-ups at section level (43/6/51).</t>
        </is>
      </c>
    </row>
    <row r="2828" ht="13" customHeight="1">
      <c r="A2828" s="4" t="n">
        <v>4218</v>
      </c>
      <c r="B2828" s="5" t="inlineStr">
        <is>
          <t>IMG_0122</t>
        </is>
      </c>
      <c r="C2828" s="5" t="inlineStr">
        <is>
          <t>CLASS Q: PILING ANCILLARIES</t>
        </is>
      </c>
      <c r="D2828" s="5" t="inlineStr">
        <is>
          <t>01 CAST IN PLACE CONCRETE PILES</t>
        </is>
      </c>
      <c r="E2828" s="5" t="inlineStr">
        <is>
          <t>Bored; continuous flight auger; Backfilling empty bore with selected excavated material</t>
        </is>
      </c>
      <c r="F2828" s="5" t="inlineStr">
        <is>
          <t>600 mm dia. piles</t>
        </is>
      </c>
      <c r="G2828" s="6" t="inlineStr">
        <is>
          <t>m</t>
        </is>
      </c>
      <c r="H2828" s="7" t="n"/>
      <c r="I2828" s="8" t="n">
        <v>2.9</v>
      </c>
      <c r="J2828" s="8" t="n">
        <v>0.39</v>
      </c>
      <c r="K2828" s="8" t="n">
        <v>3.43</v>
      </c>
      <c r="L2828" s="8" t="n">
        <v>0</v>
      </c>
      <c r="M2828" s="9">
        <f>ROUND(SUM(I2828:L2828),2)</f>
        <v/>
      </c>
      <c r="N2828" s="10">
        <f>ROUND(I2828*'Irish Basis'!$C$6*'Irish Basis'!$C$5,2)</f>
        <v/>
      </c>
      <c r="O2828" s="10">
        <f>ROUND(J2828*'Irish Basis'!$C$7*'Irish Basis'!$C$5,2)</f>
        <v/>
      </c>
      <c r="P2828" s="10">
        <f>ROUND(K2828*'Irish Basis'!$C$8*'Irish Basis'!$C$5,2)</f>
        <v/>
      </c>
      <c r="Q2828" s="10">
        <f>ROUND(L2828*'Irish Basis'!$C$12*'Irish Basis'!$C$5,2)</f>
        <v/>
      </c>
      <c r="R2828" s="11">
        <f>ROUND(SUM(N2828:Q2828),2)</f>
        <v/>
      </c>
      <c r="S2828" s="5" t="inlineStr">
        <is>
          <t>Apportioned (section)</t>
        </is>
      </c>
      <c r="T2828" s="16" t="inlineStr">
        <is>
          <t>Medium</t>
        </is>
      </c>
      <c r="U2828" s="8" t="n">
        <v>6.72</v>
      </c>
      <c r="V2828" s="13">
        <f>IF(U2828="","",ROUND(M2828-U2828,2))</f>
        <v/>
      </c>
      <c r="W2828" s="5" t="n"/>
      <c r="X2828" s="5" t="inlineStr">
        <is>
          <t>Split from published rate using median L/P/M shares of 37 comparable build-ups at section level (43/6/51).</t>
        </is>
      </c>
    </row>
    <row r="2829" ht="13" customHeight="1">
      <c r="A2829" s="4" t="n">
        <v>4219</v>
      </c>
      <c r="B2829" s="5" t="inlineStr">
        <is>
          <t>IMG_0122</t>
        </is>
      </c>
      <c r="C2829" s="5" t="inlineStr">
        <is>
          <t>CLASS Q: PILING ANCILLARIES</t>
        </is>
      </c>
      <c r="D2829" s="5" t="inlineStr">
        <is>
          <t>01 CAST IN PLACE CONCRETE PILES</t>
        </is>
      </c>
      <c r="E2829" s="5" t="inlineStr">
        <is>
          <t>Bored; continuous flight auger; Backfilling empty bore with selected excavated material</t>
        </is>
      </c>
      <c r="F2829" s="5" t="inlineStr">
        <is>
          <t>750 mm dia. piles</t>
        </is>
      </c>
      <c r="G2829" s="6" t="inlineStr">
        <is>
          <t>m</t>
        </is>
      </c>
      <c r="H2829" s="7" t="n"/>
      <c r="I2829" s="8" t="n">
        <v>3.16</v>
      </c>
      <c r="J2829" s="8" t="n">
        <v>0.42</v>
      </c>
      <c r="K2829" s="8" t="n">
        <v>3.75</v>
      </c>
      <c r="L2829" s="8" t="n">
        <v>0</v>
      </c>
      <c r="M2829" s="9">
        <f>ROUND(SUM(I2829:L2829),2)</f>
        <v/>
      </c>
      <c r="N2829" s="10">
        <f>ROUND(I2829*'Irish Basis'!$C$6*'Irish Basis'!$C$5,2)</f>
        <v/>
      </c>
      <c r="O2829" s="10">
        <f>ROUND(J2829*'Irish Basis'!$C$7*'Irish Basis'!$C$5,2)</f>
        <v/>
      </c>
      <c r="P2829" s="10">
        <f>ROUND(K2829*'Irish Basis'!$C$8*'Irish Basis'!$C$5,2)</f>
        <v/>
      </c>
      <c r="Q2829" s="10">
        <f>ROUND(L2829*'Irish Basis'!$C$12*'Irish Basis'!$C$5,2)</f>
        <v/>
      </c>
      <c r="R2829" s="11">
        <f>ROUND(SUM(N2829:Q2829),2)</f>
        <v/>
      </c>
      <c r="S2829" s="5" t="inlineStr">
        <is>
          <t>Apportioned (section)</t>
        </is>
      </c>
      <c r="T2829" s="16" t="inlineStr">
        <is>
          <t>Medium</t>
        </is>
      </c>
      <c r="U2829" s="8" t="n">
        <v>7.33</v>
      </c>
      <c r="V2829" s="13">
        <f>IF(U2829="","",ROUND(M2829-U2829,2))</f>
        <v/>
      </c>
      <c r="W2829" s="5" t="n"/>
      <c r="X2829" s="5" t="inlineStr">
        <is>
          <t>Split from published rate using median L/P/M shares of 37 comparable build-ups at section level (43/6/51).</t>
        </is>
      </c>
    </row>
    <row r="2830" ht="13" customHeight="1">
      <c r="A2830" s="4" t="n">
        <v>4221</v>
      </c>
      <c r="B2830" s="5" t="inlineStr">
        <is>
          <t>IMG_0122</t>
        </is>
      </c>
      <c r="C2830" s="5" t="inlineStr">
        <is>
          <t>CLASS Q: PILING ANCILLARIES</t>
        </is>
      </c>
      <c r="D2830" s="5" t="inlineStr">
        <is>
          <t>01 CAST IN PLACE CONCRETE PILES</t>
        </is>
      </c>
      <c r="E2830" s="5" t="inlineStr">
        <is>
          <t>Permanent casings; each length not exceeding 13 m</t>
        </is>
      </c>
      <c r="F2830" s="5" t="inlineStr">
        <is>
          <t>450 mm dia. piles</t>
        </is>
      </c>
      <c r="G2830" s="6" t="inlineStr">
        <is>
          <t>m</t>
        </is>
      </c>
      <c r="H2830" s="7" t="n"/>
      <c r="I2830" s="8" t="n">
        <v>55.12</v>
      </c>
      <c r="J2830" s="8" t="n">
        <v>7.37</v>
      </c>
      <c r="K2830" s="8" t="n">
        <v>65.28</v>
      </c>
      <c r="L2830" s="8" t="n">
        <v>0</v>
      </c>
      <c r="M2830" s="9">
        <f>ROUND(SUM(I2830:L2830),2)</f>
        <v/>
      </c>
      <c r="N2830" s="10">
        <f>ROUND(I2830*'Irish Basis'!$C$6*'Irish Basis'!$C$5,2)</f>
        <v/>
      </c>
      <c r="O2830" s="10">
        <f>ROUND(J2830*'Irish Basis'!$C$7*'Irish Basis'!$C$5,2)</f>
        <v/>
      </c>
      <c r="P2830" s="10">
        <f>ROUND(K2830*'Irish Basis'!$C$8*'Irish Basis'!$C$5,2)</f>
        <v/>
      </c>
      <c r="Q2830" s="10">
        <f>ROUND(L2830*'Irish Basis'!$C$12*'Irish Basis'!$C$5,2)</f>
        <v/>
      </c>
      <c r="R2830" s="11">
        <f>ROUND(SUM(N2830:Q2830),2)</f>
        <v/>
      </c>
      <c r="S2830" s="5" t="inlineStr">
        <is>
          <t>Apportioned (section)</t>
        </is>
      </c>
      <c r="T2830" s="16" t="inlineStr">
        <is>
          <t>Medium</t>
        </is>
      </c>
      <c r="U2830" s="8" t="n">
        <v>127.77</v>
      </c>
      <c r="V2830" s="13">
        <f>IF(U2830="","",ROUND(M2830-U2830,2))</f>
        <v/>
      </c>
      <c r="W2830" s="5" t="n"/>
      <c r="X2830" s="5" t="inlineStr">
        <is>
          <t>Split from published rate using median L/P/M shares of 37 comparable build-ups at section level (43/6/51).</t>
        </is>
      </c>
    </row>
    <row r="2831" ht="13" customHeight="1">
      <c r="A2831" s="4" t="n">
        <v>4222</v>
      </c>
      <c r="B2831" s="5" t="inlineStr">
        <is>
          <t>IMG_0122</t>
        </is>
      </c>
      <c r="C2831" s="5" t="inlineStr">
        <is>
          <t>CLASS Q: PILING ANCILLARIES</t>
        </is>
      </c>
      <c r="D2831" s="5" t="inlineStr">
        <is>
          <t>01 CAST IN PLACE CONCRETE PILES</t>
        </is>
      </c>
      <c r="E2831" s="5" t="inlineStr">
        <is>
          <t>Permanent casings; each length not exceeding 13 m</t>
        </is>
      </c>
      <c r="F2831" s="5" t="inlineStr">
        <is>
          <t>600 mm dia. piles</t>
        </is>
      </c>
      <c r="G2831" s="6" t="inlineStr">
        <is>
          <t>m</t>
        </is>
      </c>
      <c r="H2831" s="7" t="n"/>
      <c r="I2831" s="8" t="n">
        <v>74.98999999999999</v>
      </c>
      <c r="J2831" s="8" t="n">
        <v>10.02</v>
      </c>
      <c r="K2831" s="8" t="n">
        <v>88.81999999999999</v>
      </c>
      <c r="L2831" s="8" t="n">
        <v>0</v>
      </c>
      <c r="M2831" s="9">
        <f>ROUND(SUM(I2831:L2831),2)</f>
        <v/>
      </c>
      <c r="N2831" s="10">
        <f>ROUND(I2831*'Irish Basis'!$C$6*'Irish Basis'!$C$5,2)</f>
        <v/>
      </c>
      <c r="O2831" s="10">
        <f>ROUND(J2831*'Irish Basis'!$C$7*'Irish Basis'!$C$5,2)</f>
        <v/>
      </c>
      <c r="P2831" s="10">
        <f>ROUND(K2831*'Irish Basis'!$C$8*'Irish Basis'!$C$5,2)</f>
        <v/>
      </c>
      <c r="Q2831" s="10">
        <f>ROUND(L2831*'Irish Basis'!$C$12*'Irish Basis'!$C$5,2)</f>
        <v/>
      </c>
      <c r="R2831" s="11">
        <f>ROUND(SUM(N2831:Q2831),2)</f>
        <v/>
      </c>
      <c r="S2831" s="5" t="inlineStr">
        <is>
          <t>Apportioned (section)</t>
        </is>
      </c>
      <c r="T2831" s="16" t="inlineStr">
        <is>
          <t>Medium</t>
        </is>
      </c>
      <c r="U2831" s="8" t="n">
        <v>173.83</v>
      </c>
      <c r="V2831" s="13">
        <f>IF(U2831="","",ROUND(M2831-U2831,2))</f>
        <v/>
      </c>
      <c r="W2831" s="5" t="n"/>
      <c r="X2831" s="5" t="inlineStr">
        <is>
          <t>Split from published rate using median L/P/M shares of 37 comparable build-ups at section level (43/6/51).</t>
        </is>
      </c>
    </row>
    <row r="2832" ht="13" customHeight="1">
      <c r="A2832" s="4" t="n">
        <v>4223</v>
      </c>
      <c r="B2832" s="5" t="inlineStr">
        <is>
          <t>IMG_0122</t>
        </is>
      </c>
      <c r="C2832" s="5" t="inlineStr">
        <is>
          <t>CLASS Q: PILING ANCILLARIES</t>
        </is>
      </c>
      <c r="D2832" s="5" t="inlineStr">
        <is>
          <t>01 CAST IN PLACE CONCRETE PILES</t>
        </is>
      </c>
      <c r="E2832" s="5" t="inlineStr">
        <is>
          <t>Permanent casings; each length not exceeding 13 m</t>
        </is>
      </c>
      <c r="F2832" s="5" t="inlineStr">
        <is>
          <t>750 mm dia. piles</t>
        </is>
      </c>
      <c r="G2832" s="6" t="inlineStr">
        <is>
          <t>m</t>
        </is>
      </c>
      <c r="H2832" s="7" t="n"/>
      <c r="I2832" s="8" t="n">
        <v>95.84</v>
      </c>
      <c r="J2832" s="8" t="n">
        <v>12.81</v>
      </c>
      <c r="K2832" s="8" t="n">
        <v>113.51</v>
      </c>
      <c r="L2832" s="8" t="n">
        <v>0</v>
      </c>
      <c r="M2832" s="9">
        <f>ROUND(SUM(I2832:L2832),2)</f>
        <v/>
      </c>
      <c r="N2832" s="10">
        <f>ROUND(I2832*'Irish Basis'!$C$6*'Irish Basis'!$C$5,2)</f>
        <v/>
      </c>
      <c r="O2832" s="10">
        <f>ROUND(J2832*'Irish Basis'!$C$7*'Irish Basis'!$C$5,2)</f>
        <v/>
      </c>
      <c r="P2832" s="10">
        <f>ROUND(K2832*'Irish Basis'!$C$8*'Irish Basis'!$C$5,2)</f>
        <v/>
      </c>
      <c r="Q2832" s="10">
        <f>ROUND(L2832*'Irish Basis'!$C$12*'Irish Basis'!$C$5,2)</f>
        <v/>
      </c>
      <c r="R2832" s="11">
        <f>ROUND(SUM(N2832:Q2832),2)</f>
        <v/>
      </c>
      <c r="S2832" s="5" t="inlineStr">
        <is>
          <t>Apportioned (section)</t>
        </is>
      </c>
      <c r="T2832" s="16" t="inlineStr">
        <is>
          <t>Medium</t>
        </is>
      </c>
      <c r="U2832" s="8" t="n">
        <v>222.16</v>
      </c>
      <c r="V2832" s="13">
        <f>IF(U2832="","",ROUND(M2832-U2832,2))</f>
        <v/>
      </c>
      <c r="W2832" s="5" t="n"/>
      <c r="X2832" s="5" t="inlineStr">
        <is>
          <t>Split from published rate using median L/P/M shares of 37 comparable build-ups at section level (43/6/51).</t>
        </is>
      </c>
    </row>
    <row r="2833" ht="13" customHeight="1">
      <c r="A2833" s="4" t="n">
        <v>4225</v>
      </c>
      <c r="B2833" s="5" t="inlineStr">
        <is>
          <t>IMG_0122</t>
        </is>
      </c>
      <c r="C2833" s="5" t="inlineStr">
        <is>
          <t>CLASS Q: PILING ANCILLARIES</t>
        </is>
      </c>
      <c r="D2833" s="5" t="inlineStr">
        <is>
          <t>01 CAST IN PLACE CONCRETE PILES</t>
        </is>
      </c>
      <c r="E2833" s="5" t="inlineStr">
        <is>
          <t>Permanent casings; each length exceeding 13 m</t>
        </is>
      </c>
      <c r="F2833" s="5" t="inlineStr">
        <is>
          <t>450 mm dia. piles</t>
        </is>
      </c>
      <c r="G2833" s="6" t="inlineStr">
        <is>
          <t>m</t>
        </is>
      </c>
      <c r="H2833" s="7" t="n"/>
      <c r="I2833" s="8" t="n">
        <v>54.15</v>
      </c>
      <c r="J2833" s="8" t="n">
        <v>7.24</v>
      </c>
      <c r="K2833" s="8" t="n">
        <v>64.14</v>
      </c>
      <c r="L2833" s="8" t="n">
        <v>0</v>
      </c>
      <c r="M2833" s="9">
        <f>ROUND(SUM(I2833:L2833),2)</f>
        <v/>
      </c>
      <c r="N2833" s="10">
        <f>ROUND(I2833*'Irish Basis'!$C$6*'Irish Basis'!$C$5,2)</f>
        <v/>
      </c>
      <c r="O2833" s="10">
        <f>ROUND(J2833*'Irish Basis'!$C$7*'Irish Basis'!$C$5,2)</f>
        <v/>
      </c>
      <c r="P2833" s="10">
        <f>ROUND(K2833*'Irish Basis'!$C$8*'Irish Basis'!$C$5,2)</f>
        <v/>
      </c>
      <c r="Q2833" s="10">
        <f>ROUND(L2833*'Irish Basis'!$C$12*'Irish Basis'!$C$5,2)</f>
        <v/>
      </c>
      <c r="R2833" s="11">
        <f>ROUND(SUM(N2833:Q2833),2)</f>
        <v/>
      </c>
      <c r="S2833" s="5" t="inlineStr">
        <is>
          <t>Apportioned (section)</t>
        </is>
      </c>
      <c r="T2833" s="16" t="inlineStr">
        <is>
          <t>Medium</t>
        </is>
      </c>
      <c r="U2833" s="8" t="n">
        <v>125.53</v>
      </c>
      <c r="V2833" s="13">
        <f>IF(U2833="","",ROUND(M2833-U2833,2))</f>
        <v/>
      </c>
      <c r="W2833" s="5" t="n"/>
      <c r="X2833" s="5" t="inlineStr">
        <is>
          <t>Split from published rate using median L/P/M shares of 37 comparable build-ups at section level (43/6/51).</t>
        </is>
      </c>
    </row>
    <row r="2834" ht="13" customHeight="1">
      <c r="A2834" s="4" t="n">
        <v>4226</v>
      </c>
      <c r="B2834" s="5" t="inlineStr">
        <is>
          <t>IMG_0122</t>
        </is>
      </c>
      <c r="C2834" s="5" t="inlineStr">
        <is>
          <t>CLASS Q: PILING ANCILLARIES</t>
        </is>
      </c>
      <c r="D2834" s="5" t="inlineStr">
        <is>
          <t>01 CAST IN PLACE CONCRETE PILES</t>
        </is>
      </c>
      <c r="E2834" s="5" t="inlineStr">
        <is>
          <t>Permanent casings; each length exceeding 13 m</t>
        </is>
      </c>
      <c r="F2834" s="5" t="inlineStr">
        <is>
          <t>600 mm dia. piles</t>
        </is>
      </c>
      <c r="G2834" s="6" t="inlineStr">
        <is>
          <t>m</t>
        </is>
      </c>
      <c r="H2834" s="7" t="n"/>
      <c r="I2834" s="8" t="n">
        <v>79.56999999999999</v>
      </c>
      <c r="J2834" s="8" t="n">
        <v>10.63</v>
      </c>
      <c r="K2834" s="8" t="n">
        <v>94.23999999999999</v>
      </c>
      <c r="L2834" s="8" t="n">
        <v>0</v>
      </c>
      <c r="M2834" s="9">
        <f>ROUND(SUM(I2834:L2834),2)</f>
        <v/>
      </c>
      <c r="N2834" s="10">
        <f>ROUND(I2834*'Irish Basis'!$C$6*'Irish Basis'!$C$5,2)</f>
        <v/>
      </c>
      <c r="O2834" s="10">
        <f>ROUND(J2834*'Irish Basis'!$C$7*'Irish Basis'!$C$5,2)</f>
        <v/>
      </c>
      <c r="P2834" s="10">
        <f>ROUND(K2834*'Irish Basis'!$C$8*'Irish Basis'!$C$5,2)</f>
        <v/>
      </c>
      <c r="Q2834" s="10">
        <f>ROUND(L2834*'Irish Basis'!$C$12*'Irish Basis'!$C$5,2)</f>
        <v/>
      </c>
      <c r="R2834" s="11">
        <f>ROUND(SUM(N2834:Q2834),2)</f>
        <v/>
      </c>
      <c r="S2834" s="5" t="inlineStr">
        <is>
          <t>Apportioned (section)</t>
        </is>
      </c>
      <c r="T2834" s="16" t="inlineStr">
        <is>
          <t>Medium</t>
        </is>
      </c>
      <c r="U2834" s="8" t="n">
        <v>184.44</v>
      </c>
      <c r="V2834" s="13">
        <f>IF(U2834="","",ROUND(M2834-U2834,2))</f>
        <v/>
      </c>
      <c r="W2834" s="5" t="n"/>
      <c r="X2834" s="5" t="inlineStr">
        <is>
          <t>Split from published rate using median L/P/M shares of 37 comparable build-ups at section level (43/6/51).</t>
        </is>
      </c>
    </row>
    <row r="2835" ht="13" customHeight="1">
      <c r="A2835" s="4" t="n">
        <v>4227</v>
      </c>
      <c r="B2835" s="5" t="inlineStr">
        <is>
          <t>IMG_0122</t>
        </is>
      </c>
      <c r="C2835" s="5" t="inlineStr">
        <is>
          <t>CLASS Q: PILING ANCILLARIES</t>
        </is>
      </c>
      <c r="D2835" s="5" t="inlineStr">
        <is>
          <t>01 CAST IN PLACE CONCRETE PILES</t>
        </is>
      </c>
      <c r="E2835" s="5" t="inlineStr">
        <is>
          <t>Permanent casings; each length exceeding 13 m</t>
        </is>
      </c>
      <c r="F2835" s="5" t="inlineStr">
        <is>
          <t>750 mm dia. piles</t>
        </is>
      </c>
      <c r="G2835" s="6" t="inlineStr">
        <is>
          <t>m</t>
        </is>
      </c>
      <c r="H2835" s="7" t="n"/>
      <c r="I2835" s="8" t="n">
        <v>95.84</v>
      </c>
      <c r="J2835" s="8" t="n">
        <v>12.81</v>
      </c>
      <c r="K2835" s="8" t="n">
        <v>113.51</v>
      </c>
      <c r="L2835" s="8" t="n">
        <v>0</v>
      </c>
      <c r="M2835" s="9">
        <f>ROUND(SUM(I2835:L2835),2)</f>
        <v/>
      </c>
      <c r="N2835" s="10">
        <f>ROUND(I2835*'Irish Basis'!$C$6*'Irish Basis'!$C$5,2)</f>
        <v/>
      </c>
      <c r="O2835" s="10">
        <f>ROUND(J2835*'Irish Basis'!$C$7*'Irish Basis'!$C$5,2)</f>
        <v/>
      </c>
      <c r="P2835" s="10">
        <f>ROUND(K2835*'Irish Basis'!$C$8*'Irish Basis'!$C$5,2)</f>
        <v/>
      </c>
      <c r="Q2835" s="10">
        <f>ROUND(L2835*'Irish Basis'!$C$12*'Irish Basis'!$C$5,2)</f>
        <v/>
      </c>
      <c r="R2835" s="11">
        <f>ROUND(SUM(N2835:Q2835),2)</f>
        <v/>
      </c>
      <c r="S2835" s="5" t="inlineStr">
        <is>
          <t>Apportioned (section)</t>
        </is>
      </c>
      <c r="T2835" s="16" t="inlineStr">
        <is>
          <t>Medium</t>
        </is>
      </c>
      <c r="U2835" s="8" t="n">
        <v>222.15</v>
      </c>
      <c r="V2835" s="13">
        <f>IF(U2835="","",ROUND(M2835-U2835,2))</f>
        <v/>
      </c>
      <c r="W2835" s="5" t="n"/>
      <c r="X2835" s="5" t="inlineStr">
        <is>
          <t>Split from published rate using median L/P/M shares of 37 comparable build-ups at section level (43/6/51).</t>
        </is>
      </c>
    </row>
    <row r="2836" ht="13" customHeight="1">
      <c r="A2836" s="4" t="n">
        <v>4229</v>
      </c>
      <c r="B2836" s="5" t="inlineStr">
        <is>
          <t>IMG_0122</t>
        </is>
      </c>
      <c r="C2836" s="5" t="inlineStr">
        <is>
          <t>CLASS Q: PILING ANCILLARIES</t>
        </is>
      </c>
      <c r="D2836" s="5" t="inlineStr">
        <is>
          <t>01 CAST IN PLACE CONCRETE PILES</t>
        </is>
      </c>
      <c r="E2836" s="5" t="inlineStr">
        <is>
          <t>Enlarged bases</t>
        </is>
      </c>
      <c r="F2836" s="5" t="inlineStr">
        <is>
          <t>dia. 1400 mm; to 450 mm dia. piles</t>
        </is>
      </c>
      <c r="G2836" s="6" t="inlineStr">
        <is>
          <t>nr</t>
        </is>
      </c>
      <c r="H2836" s="7" t="n"/>
      <c r="I2836" s="8" t="n">
        <v>191.65</v>
      </c>
      <c r="J2836" s="8" t="n">
        <v>25.61</v>
      </c>
      <c r="K2836" s="8" t="n">
        <v>226.99</v>
      </c>
      <c r="L2836" s="8" t="n">
        <v>0</v>
      </c>
      <c r="M2836" s="9">
        <f>ROUND(SUM(I2836:L2836),2)</f>
        <v/>
      </c>
      <c r="N2836" s="10">
        <f>ROUND(I2836*'Irish Basis'!$C$6*'Irish Basis'!$C$5,2)</f>
        <v/>
      </c>
      <c r="O2836" s="10">
        <f>ROUND(J2836*'Irish Basis'!$C$7*'Irish Basis'!$C$5,2)</f>
        <v/>
      </c>
      <c r="P2836" s="10">
        <f>ROUND(K2836*'Irish Basis'!$C$8*'Irish Basis'!$C$5,2)</f>
        <v/>
      </c>
      <c r="Q2836" s="10">
        <f>ROUND(L2836*'Irish Basis'!$C$12*'Irish Basis'!$C$5,2)</f>
        <v/>
      </c>
      <c r="R2836" s="11">
        <f>ROUND(SUM(N2836:Q2836),2)</f>
        <v/>
      </c>
      <c r="S2836" s="5" t="inlineStr">
        <is>
          <t>Apportioned (section)</t>
        </is>
      </c>
      <c r="T2836" s="16" t="inlineStr">
        <is>
          <t>Medium</t>
        </is>
      </c>
      <c r="U2836" s="8" t="n">
        <v>444.25</v>
      </c>
      <c r="V2836" s="13">
        <f>IF(U2836="","",ROUND(M2836-U2836,2))</f>
        <v/>
      </c>
      <c r="W2836" s="5" t="n"/>
      <c r="X2836" s="5" t="inlineStr">
        <is>
          <t>Split from published rate using median L/P/M shares of 37 comparable build-ups at section level (43/6/51).</t>
        </is>
      </c>
    </row>
    <row r="2837" ht="13" customHeight="1">
      <c r="A2837" s="4" t="n">
        <v>4230</v>
      </c>
      <c r="B2837" s="5" t="inlineStr">
        <is>
          <t>IMG_0122</t>
        </is>
      </c>
      <c r="C2837" s="5" t="inlineStr">
        <is>
          <t>CLASS Q: PILING ANCILLARIES</t>
        </is>
      </c>
      <c r="D2837" s="5" t="inlineStr">
        <is>
          <t>01 CAST IN PLACE CONCRETE PILES</t>
        </is>
      </c>
      <c r="E2837" s="5" t="inlineStr">
        <is>
          <t>Enlarged bases</t>
        </is>
      </c>
      <c r="F2837" s="5" t="inlineStr">
        <is>
          <t>dia. 1800 mm; to 600 mm dia. piles</t>
        </is>
      </c>
      <c r="G2837" s="6" t="inlineStr">
        <is>
          <t>nr</t>
        </is>
      </c>
      <c r="H2837" s="7" t="n"/>
      <c r="I2837" s="8" t="n">
        <v>233.32</v>
      </c>
      <c r="J2837" s="8" t="n">
        <v>31.18</v>
      </c>
      <c r="K2837" s="8" t="n">
        <v>276.34</v>
      </c>
      <c r="L2837" s="8" t="n">
        <v>0</v>
      </c>
      <c r="M2837" s="9">
        <f>ROUND(SUM(I2837:L2837),2)</f>
        <v/>
      </c>
      <c r="N2837" s="10">
        <f>ROUND(I2837*'Irish Basis'!$C$6*'Irish Basis'!$C$5,2)</f>
        <v/>
      </c>
      <c r="O2837" s="10">
        <f>ROUND(J2837*'Irish Basis'!$C$7*'Irish Basis'!$C$5,2)</f>
        <v/>
      </c>
      <c r="P2837" s="10">
        <f>ROUND(K2837*'Irish Basis'!$C$8*'Irish Basis'!$C$5,2)</f>
        <v/>
      </c>
      <c r="Q2837" s="10">
        <f>ROUND(L2837*'Irish Basis'!$C$12*'Irish Basis'!$C$5,2)</f>
        <v/>
      </c>
      <c r="R2837" s="11">
        <f>ROUND(SUM(N2837:Q2837),2)</f>
        <v/>
      </c>
      <c r="S2837" s="5" t="inlineStr">
        <is>
          <t>Apportioned (section)</t>
        </is>
      </c>
      <c r="T2837" s="16" t="inlineStr">
        <is>
          <t>Medium</t>
        </is>
      </c>
      <c r="U2837" s="8" t="n">
        <v>540.84</v>
      </c>
      <c r="V2837" s="13">
        <f>IF(U2837="","",ROUND(M2837-U2837,2))</f>
        <v/>
      </c>
      <c r="W2837" s="5" t="n"/>
      <c r="X2837" s="5" t="inlineStr">
        <is>
          <t>Split from published rate using median L/P/M shares of 37 comparable build-ups at section level (43/6/51).</t>
        </is>
      </c>
    </row>
    <row r="2838" ht="13" customHeight="1">
      <c r="A2838" s="4" t="n">
        <v>4231</v>
      </c>
      <c r="B2838" s="5" t="inlineStr">
        <is>
          <t>IMG_0122</t>
        </is>
      </c>
      <c r="C2838" s="5" t="inlineStr">
        <is>
          <t>CLASS Q: PILING ANCILLARIES</t>
        </is>
      </c>
      <c r="D2838" s="5" t="inlineStr">
        <is>
          <t>01 CAST IN PLACE CONCRETE PILES</t>
        </is>
      </c>
      <c r="E2838" s="5" t="inlineStr">
        <is>
          <t>Enlarged bases</t>
        </is>
      </c>
      <c r="F2838" s="5" t="inlineStr">
        <is>
          <t>dia. 2100 mm; to 750 mm dia. piles</t>
        </is>
      </c>
      <c r="G2838" s="6" t="inlineStr">
        <is>
          <t>nr</t>
        </is>
      </c>
      <c r="H2838" s="7" t="n"/>
      <c r="I2838" s="8" t="n">
        <v>262.49</v>
      </c>
      <c r="J2838" s="8" t="n">
        <v>35.08</v>
      </c>
      <c r="K2838" s="8" t="n">
        <v>310.88</v>
      </c>
      <c r="L2838" s="8" t="n">
        <v>0</v>
      </c>
      <c r="M2838" s="9">
        <f>ROUND(SUM(I2838:L2838),2)</f>
        <v/>
      </c>
      <c r="N2838" s="10">
        <f>ROUND(I2838*'Irish Basis'!$C$6*'Irish Basis'!$C$5,2)</f>
        <v/>
      </c>
      <c r="O2838" s="10">
        <f>ROUND(J2838*'Irish Basis'!$C$7*'Irish Basis'!$C$5,2)</f>
        <v/>
      </c>
      <c r="P2838" s="10">
        <f>ROUND(K2838*'Irish Basis'!$C$8*'Irish Basis'!$C$5,2)</f>
        <v/>
      </c>
      <c r="Q2838" s="10">
        <f>ROUND(L2838*'Irish Basis'!$C$12*'Irish Basis'!$C$5,2)</f>
        <v/>
      </c>
      <c r="R2838" s="11">
        <f>ROUND(SUM(N2838:Q2838),2)</f>
        <v/>
      </c>
      <c r="S2838" s="5" t="inlineStr">
        <is>
          <t>Apportioned (section)</t>
        </is>
      </c>
      <c r="T2838" s="16" t="inlineStr">
        <is>
          <t>Medium</t>
        </is>
      </c>
      <c r="U2838" s="8" t="n">
        <v>608.45</v>
      </c>
      <c r="V2838" s="13">
        <f>IF(U2838="","",ROUND(M2838-U2838,2))</f>
        <v/>
      </c>
      <c r="W2838" s="5" t="n"/>
      <c r="X2838" s="5" t="inlineStr">
        <is>
          <t>Split from published rate using median L/P/M shares of 37 comparable build-ups at section level (43/6/51).</t>
        </is>
      </c>
    </row>
    <row r="2839" ht="13" customHeight="1">
      <c r="A2839" s="4" t="n">
        <v>4233</v>
      </c>
      <c r="B2839" s="5" t="inlineStr">
        <is>
          <t>IMG_0123</t>
        </is>
      </c>
      <c r="C2839" s="5" t="inlineStr">
        <is>
          <t>CLASS Q: PILING ANCILLARIES</t>
        </is>
      </c>
      <c r="D2839" s="5" t="inlineStr">
        <is>
          <t>01 CAST IN PLACE CONCRETE PILES</t>
        </is>
      </c>
      <c r="E2839" s="5" t="inlineStr">
        <is>
          <t>Bored; continuous flight auger; Cutting off surplus lengths</t>
        </is>
      </c>
      <c r="F2839" s="5" t="inlineStr">
        <is>
          <t>450 mm dia. piles</t>
        </is>
      </c>
      <c r="G2839" s="6" t="inlineStr">
        <is>
          <t>m</t>
        </is>
      </c>
      <c r="H2839" s="7" t="n"/>
      <c r="I2839" s="8" t="n">
        <v>17.9</v>
      </c>
      <c r="J2839" s="8" t="n">
        <v>2.39</v>
      </c>
      <c r="K2839" s="8" t="n">
        <v>21.2</v>
      </c>
      <c r="L2839" s="8" t="n">
        <v>0</v>
      </c>
      <c r="M2839" s="9">
        <f>ROUND(SUM(I2839:L2839),2)</f>
        <v/>
      </c>
      <c r="N2839" s="10">
        <f>ROUND(I2839*'Irish Basis'!$C$6*'Irish Basis'!$C$5,2)</f>
        <v/>
      </c>
      <c r="O2839" s="10">
        <f>ROUND(J2839*'Irish Basis'!$C$7*'Irish Basis'!$C$5,2)</f>
        <v/>
      </c>
      <c r="P2839" s="10">
        <f>ROUND(K2839*'Irish Basis'!$C$8*'Irish Basis'!$C$5,2)</f>
        <v/>
      </c>
      <c r="Q2839" s="10">
        <f>ROUND(L2839*'Irish Basis'!$C$12*'Irish Basis'!$C$5,2)</f>
        <v/>
      </c>
      <c r="R2839" s="11">
        <f>ROUND(SUM(N2839:Q2839),2)</f>
        <v/>
      </c>
      <c r="S2839" s="5" t="inlineStr">
        <is>
          <t>Apportioned (section)</t>
        </is>
      </c>
      <c r="T2839" s="16" t="inlineStr">
        <is>
          <t>Medium</t>
        </is>
      </c>
      <c r="U2839" s="8" t="n">
        <v>41.5</v>
      </c>
      <c r="V2839" s="13">
        <f>IF(U2839="","",ROUND(M2839-U2839,2))</f>
        <v/>
      </c>
      <c r="W2839" s="5" t="n"/>
      <c r="X2839" s="5" t="inlineStr">
        <is>
          <t>Split from published rate using median L/P/M shares of 37 comparable build-ups at section level (43/6/51).</t>
        </is>
      </c>
    </row>
    <row r="2840" ht="13" customHeight="1">
      <c r="A2840" s="4" t="n">
        <v>4234</v>
      </c>
      <c r="B2840" s="5" t="inlineStr">
        <is>
          <t>IMG_0123</t>
        </is>
      </c>
      <c r="C2840" s="5" t="inlineStr">
        <is>
          <t>CLASS Q: PILING ANCILLARIES</t>
        </is>
      </c>
      <c r="D2840" s="5" t="inlineStr">
        <is>
          <t>01 CAST IN PLACE CONCRETE PILES</t>
        </is>
      </c>
      <c r="E2840" s="5" t="inlineStr">
        <is>
          <t>Bored; continuous flight auger; Cutting off surplus lengths</t>
        </is>
      </c>
      <c r="F2840" s="5" t="inlineStr">
        <is>
          <t>600 mm dia. piles</t>
        </is>
      </c>
      <c r="G2840" s="6" t="inlineStr">
        <is>
          <t>m</t>
        </is>
      </c>
      <c r="H2840" s="7" t="n"/>
      <c r="I2840" s="8" t="n">
        <v>25.37</v>
      </c>
      <c r="J2840" s="8" t="n">
        <v>3.39</v>
      </c>
      <c r="K2840" s="8" t="n">
        <v>30.04</v>
      </c>
      <c r="L2840" s="8" t="n">
        <v>0</v>
      </c>
      <c r="M2840" s="9">
        <f>ROUND(SUM(I2840:L2840),2)</f>
        <v/>
      </c>
      <c r="N2840" s="10">
        <f>ROUND(I2840*'Irish Basis'!$C$6*'Irish Basis'!$C$5,2)</f>
        <v/>
      </c>
      <c r="O2840" s="10">
        <f>ROUND(J2840*'Irish Basis'!$C$7*'Irish Basis'!$C$5,2)</f>
        <v/>
      </c>
      <c r="P2840" s="10">
        <f>ROUND(K2840*'Irish Basis'!$C$8*'Irish Basis'!$C$5,2)</f>
        <v/>
      </c>
      <c r="Q2840" s="10">
        <f>ROUND(L2840*'Irish Basis'!$C$12*'Irish Basis'!$C$5,2)</f>
        <v/>
      </c>
      <c r="R2840" s="11">
        <f>ROUND(SUM(N2840:Q2840),2)</f>
        <v/>
      </c>
      <c r="S2840" s="5" t="inlineStr">
        <is>
          <t>Apportioned (section)</t>
        </is>
      </c>
      <c r="T2840" s="16" t="inlineStr">
        <is>
          <t>Medium</t>
        </is>
      </c>
      <c r="U2840" s="8" t="n">
        <v>58.8</v>
      </c>
      <c r="V2840" s="13">
        <f>IF(U2840="","",ROUND(M2840-U2840,2))</f>
        <v/>
      </c>
      <c r="W2840" s="5" t="n"/>
      <c r="X2840" s="5" t="inlineStr">
        <is>
          <t>Split from published rate using median L/P/M shares of 37 comparable build-ups at section level (43/6/51).</t>
        </is>
      </c>
    </row>
    <row r="2841" ht="13" customHeight="1">
      <c r="A2841" s="4" t="n">
        <v>4235</v>
      </c>
      <c r="B2841" s="5" t="inlineStr">
        <is>
          <t>IMG_0123</t>
        </is>
      </c>
      <c r="C2841" s="5" t="inlineStr">
        <is>
          <t>CLASS Q: PILING ANCILLARIES</t>
        </is>
      </c>
      <c r="D2841" s="5" t="inlineStr">
        <is>
          <t>01 CAST IN PLACE CONCRETE PILES</t>
        </is>
      </c>
      <c r="E2841" s="5" t="inlineStr">
        <is>
          <t>Bored; continuous flight auger; Cutting off surplus lengths</t>
        </is>
      </c>
      <c r="F2841" s="5" t="inlineStr">
        <is>
          <t>750 mm dia. piles</t>
        </is>
      </c>
      <c r="G2841" s="6" t="inlineStr">
        <is>
          <t>m</t>
        </is>
      </c>
      <c r="H2841" s="7" t="n"/>
      <c r="I2841" s="8" t="n">
        <v>30.21</v>
      </c>
      <c r="J2841" s="8" t="n">
        <v>4.04</v>
      </c>
      <c r="K2841" s="8" t="n">
        <v>35.78</v>
      </c>
      <c r="L2841" s="8" t="n">
        <v>0</v>
      </c>
      <c r="M2841" s="9">
        <f>ROUND(SUM(I2841:L2841),2)</f>
        <v/>
      </c>
      <c r="N2841" s="10">
        <f>ROUND(I2841*'Irish Basis'!$C$6*'Irish Basis'!$C$5,2)</f>
        <v/>
      </c>
      <c r="O2841" s="10">
        <f>ROUND(J2841*'Irish Basis'!$C$7*'Irish Basis'!$C$5,2)</f>
        <v/>
      </c>
      <c r="P2841" s="10">
        <f>ROUND(K2841*'Irish Basis'!$C$8*'Irish Basis'!$C$5,2)</f>
        <v/>
      </c>
      <c r="Q2841" s="10">
        <f>ROUND(L2841*'Irish Basis'!$C$12*'Irish Basis'!$C$5,2)</f>
        <v/>
      </c>
      <c r="R2841" s="11">
        <f>ROUND(SUM(N2841:Q2841),2)</f>
        <v/>
      </c>
      <c r="S2841" s="5" t="inlineStr">
        <is>
          <t>Apportioned (section)</t>
        </is>
      </c>
      <c r="T2841" s="16" t="inlineStr">
        <is>
          <t>Medium</t>
        </is>
      </c>
      <c r="U2841" s="8" t="n">
        <v>70.03</v>
      </c>
      <c r="V2841" s="13">
        <f>IF(U2841="","",ROUND(M2841-U2841,2))</f>
        <v/>
      </c>
      <c r="W2841" s="5" t="n"/>
      <c r="X2841" s="5" t="inlineStr">
        <is>
          <t>Split from published rate using median L/P/M shares of 37 comparable build-ups at section level (43/6/51).</t>
        </is>
      </c>
    </row>
    <row r="2842" ht="13" customHeight="1">
      <c r="A2842" s="4" t="n">
        <v>4237</v>
      </c>
      <c r="B2842" s="5" t="inlineStr">
        <is>
          <t>IMG_0123</t>
        </is>
      </c>
      <c r="C2842" s="5" t="inlineStr">
        <is>
          <t>CLASS Q: PILING ANCILLARIES</t>
        </is>
      </c>
      <c r="D2842" s="5" t="inlineStr">
        <is>
          <t>01 CAST IN PLACE CONCRETE PILES</t>
        </is>
      </c>
      <c r="E2842" s="5" t="inlineStr">
        <is>
          <t>Preparing heads</t>
        </is>
      </c>
      <c r="F2842" s="5" t="inlineStr">
        <is>
          <t>450 mm dia. piles</t>
        </is>
      </c>
      <c r="G2842" s="6" t="inlineStr">
        <is>
          <t>nr</t>
        </is>
      </c>
      <c r="H2842" s="7" t="n"/>
      <c r="I2842" s="8" t="n">
        <v>19.02</v>
      </c>
      <c r="J2842" s="8" t="n">
        <v>2.54</v>
      </c>
      <c r="K2842" s="8" t="n">
        <v>22.53</v>
      </c>
      <c r="L2842" s="8" t="n">
        <v>0</v>
      </c>
      <c r="M2842" s="9">
        <f>ROUND(SUM(I2842:L2842),2)</f>
        <v/>
      </c>
      <c r="N2842" s="10">
        <f>ROUND(I2842*'Irish Basis'!$C$6*'Irish Basis'!$C$5,2)</f>
        <v/>
      </c>
      <c r="O2842" s="10">
        <f>ROUND(J2842*'Irish Basis'!$C$7*'Irish Basis'!$C$5,2)</f>
        <v/>
      </c>
      <c r="P2842" s="10">
        <f>ROUND(K2842*'Irish Basis'!$C$8*'Irish Basis'!$C$5,2)</f>
        <v/>
      </c>
      <c r="Q2842" s="10">
        <f>ROUND(L2842*'Irish Basis'!$C$12*'Irish Basis'!$C$5,2)</f>
        <v/>
      </c>
      <c r="R2842" s="11">
        <f>ROUND(SUM(N2842:Q2842),2)</f>
        <v/>
      </c>
      <c r="S2842" s="5" t="inlineStr">
        <is>
          <t>Apportioned (section)</t>
        </is>
      </c>
      <c r="T2842" s="16" t="inlineStr">
        <is>
          <t>Medium</t>
        </is>
      </c>
      <c r="U2842" s="8" t="n">
        <v>44.1</v>
      </c>
      <c r="V2842" s="13">
        <f>IF(U2842="","",ROUND(M2842-U2842,2))</f>
        <v/>
      </c>
      <c r="W2842" s="5" t="n"/>
      <c r="X2842" s="5" t="inlineStr">
        <is>
          <t>Split from published rate using median L/P/M shares of 37 comparable build-ups at section level (43/6/51).</t>
        </is>
      </c>
    </row>
    <row r="2843" ht="13" customHeight="1">
      <c r="A2843" s="4" t="n">
        <v>4238</v>
      </c>
      <c r="B2843" s="5" t="inlineStr">
        <is>
          <t>IMG_0123</t>
        </is>
      </c>
      <c r="C2843" s="5" t="inlineStr">
        <is>
          <t>CLASS Q: PILING ANCILLARIES</t>
        </is>
      </c>
      <c r="D2843" s="5" t="inlineStr">
        <is>
          <t>01 CAST IN PLACE CONCRETE PILES</t>
        </is>
      </c>
      <c r="E2843" s="5" t="inlineStr">
        <is>
          <t>Preparing heads</t>
        </is>
      </c>
      <c r="F2843" s="5" t="inlineStr">
        <is>
          <t>600 mm dia. piles</t>
        </is>
      </c>
      <c r="G2843" s="6" t="inlineStr">
        <is>
          <t>nr</t>
        </is>
      </c>
      <c r="H2843" s="7" t="n"/>
      <c r="I2843" s="8" t="n">
        <v>33.56</v>
      </c>
      <c r="J2843" s="8" t="n">
        <v>4.48</v>
      </c>
      <c r="K2843" s="8" t="n">
        <v>39.75</v>
      </c>
      <c r="L2843" s="8" t="n">
        <v>0</v>
      </c>
      <c r="M2843" s="9">
        <f>ROUND(SUM(I2843:L2843),2)</f>
        <v/>
      </c>
      <c r="N2843" s="10">
        <f>ROUND(I2843*'Irish Basis'!$C$6*'Irish Basis'!$C$5,2)</f>
        <v/>
      </c>
      <c r="O2843" s="10">
        <f>ROUND(J2843*'Irish Basis'!$C$7*'Irish Basis'!$C$5,2)</f>
        <v/>
      </c>
      <c r="P2843" s="10">
        <f>ROUND(K2843*'Irish Basis'!$C$8*'Irish Basis'!$C$5,2)</f>
        <v/>
      </c>
      <c r="Q2843" s="10">
        <f>ROUND(L2843*'Irish Basis'!$C$12*'Irish Basis'!$C$5,2)</f>
        <v/>
      </c>
      <c r="R2843" s="11">
        <f>ROUND(SUM(N2843:Q2843),2)</f>
        <v/>
      </c>
      <c r="S2843" s="5" t="inlineStr">
        <is>
          <t>Apportioned (section)</t>
        </is>
      </c>
      <c r="T2843" s="16" t="inlineStr">
        <is>
          <t>Medium</t>
        </is>
      </c>
      <c r="U2843" s="8" t="n">
        <v>77.79000000000001</v>
      </c>
      <c r="V2843" s="13">
        <f>IF(U2843="","",ROUND(M2843-U2843,2))</f>
        <v/>
      </c>
      <c r="W2843" s="5" t="n"/>
      <c r="X2843" s="5" t="inlineStr">
        <is>
          <t>Split from published rate using median L/P/M shares of 37 comparable build-ups at section level (43/6/51).</t>
        </is>
      </c>
    </row>
    <row r="2844" ht="13" customHeight="1">
      <c r="A2844" s="4" t="n">
        <v>4239</v>
      </c>
      <c r="B2844" s="5" t="inlineStr">
        <is>
          <t>IMG_0123</t>
        </is>
      </c>
      <c r="C2844" s="5" t="inlineStr">
        <is>
          <t>CLASS Q: PILING ANCILLARIES</t>
        </is>
      </c>
      <c r="D2844" s="5" t="inlineStr">
        <is>
          <t>01 CAST IN PLACE CONCRETE PILES</t>
        </is>
      </c>
      <c r="E2844" s="5" t="inlineStr">
        <is>
          <t>Preparing heads</t>
        </is>
      </c>
      <c r="F2844" s="5" t="inlineStr">
        <is>
          <t>750 mm dia. piles</t>
        </is>
      </c>
      <c r="G2844" s="6" t="inlineStr">
        <is>
          <t>nr</t>
        </is>
      </c>
      <c r="H2844" s="7" t="n"/>
      <c r="I2844" s="8" t="n">
        <v>45.5</v>
      </c>
      <c r="J2844" s="8" t="n">
        <v>6.08</v>
      </c>
      <c r="K2844" s="8" t="n">
        <v>53.89</v>
      </c>
      <c r="L2844" s="8" t="n">
        <v>0</v>
      </c>
      <c r="M2844" s="9">
        <f>ROUND(SUM(I2844:L2844),2)</f>
        <v/>
      </c>
      <c r="N2844" s="10">
        <f>ROUND(I2844*'Irish Basis'!$C$6*'Irish Basis'!$C$5,2)</f>
        <v/>
      </c>
      <c r="O2844" s="10">
        <f>ROUND(J2844*'Irish Basis'!$C$7*'Irish Basis'!$C$5,2)</f>
        <v/>
      </c>
      <c r="P2844" s="10">
        <f>ROUND(K2844*'Irish Basis'!$C$8*'Irish Basis'!$C$5,2)</f>
        <v/>
      </c>
      <c r="Q2844" s="10">
        <f>ROUND(L2844*'Irish Basis'!$C$12*'Irish Basis'!$C$5,2)</f>
        <v/>
      </c>
      <c r="R2844" s="11">
        <f>ROUND(SUM(N2844:Q2844),2)</f>
        <v/>
      </c>
      <c r="S2844" s="5" t="inlineStr">
        <is>
          <t>Apportioned (section)</t>
        </is>
      </c>
      <c r="T2844" s="16" t="inlineStr">
        <is>
          <t>Medium</t>
        </is>
      </c>
      <c r="U2844" s="8" t="n">
        <v>105.48</v>
      </c>
      <c r="V2844" s="13">
        <f>IF(U2844="","",ROUND(M2844-U2844,2))</f>
        <v/>
      </c>
      <c r="W2844" s="5" t="n"/>
      <c r="X2844" s="5" t="inlineStr">
        <is>
          <t>Split from published rate using median L/P/M shares of 37 comparable build-ups at section level (43/6/51).</t>
        </is>
      </c>
    </row>
    <row r="2845" ht="13" customHeight="1">
      <c r="A2845" s="4" t="n">
        <v>4240</v>
      </c>
      <c r="B2845" s="5" t="inlineStr">
        <is>
          <t>IMG_0123</t>
        </is>
      </c>
      <c r="C2845" s="5" t="inlineStr">
        <is>
          <t>CLASS Q: PILING ANCILLARIES</t>
        </is>
      </c>
      <c r="D2845" s="5" t="inlineStr">
        <is>
          <t>01 CAST IN PLACE CONCRETE PILES</t>
        </is>
      </c>
      <c r="E2845" s="5" t="inlineStr">
        <is>
          <t>Preparing heads</t>
        </is>
      </c>
      <c r="F2845" s="5" t="inlineStr">
        <is>
          <t>Collection from around pile heads of spoil accruing from piling operations and depositing in spoil heaps (For final disposal see Class E - Excavation Ancillaries)</t>
        </is>
      </c>
      <c r="G2845" s="6" t="inlineStr">
        <is>
          <t>m3</t>
        </is>
      </c>
      <c r="H2845" s="7" t="n"/>
      <c r="I2845" s="8" t="n">
        <v>2.23</v>
      </c>
      <c r="J2845" s="8" t="n">
        <v>0.3</v>
      </c>
      <c r="K2845" s="8" t="n">
        <v>2.64</v>
      </c>
      <c r="L2845" s="8" t="n">
        <v>0</v>
      </c>
      <c r="M2845" s="9">
        <f>ROUND(SUM(I2845:L2845),2)</f>
        <v/>
      </c>
      <c r="N2845" s="10">
        <f>ROUND(I2845*'Irish Basis'!$C$6*'Irish Basis'!$C$5,2)</f>
        <v/>
      </c>
      <c r="O2845" s="10">
        <f>ROUND(J2845*'Irish Basis'!$C$7*'Irish Basis'!$C$5,2)</f>
        <v/>
      </c>
      <c r="P2845" s="10">
        <f>ROUND(K2845*'Irish Basis'!$C$8*'Irish Basis'!$C$5,2)</f>
        <v/>
      </c>
      <c r="Q2845" s="10">
        <f>ROUND(L2845*'Irish Basis'!$C$12*'Irish Basis'!$C$5,2)</f>
        <v/>
      </c>
      <c r="R2845" s="11">
        <f>ROUND(SUM(N2845:Q2845),2)</f>
        <v/>
      </c>
      <c r="S2845" s="5" t="inlineStr">
        <is>
          <t>Apportioned (section)</t>
        </is>
      </c>
      <c r="T2845" s="16" t="inlineStr">
        <is>
          <t>Medium</t>
        </is>
      </c>
      <c r="U2845" s="8" t="n">
        <v>5.16</v>
      </c>
      <c r="V2845" s="13">
        <f>IF(U2845="","",ROUND(M2845-U2845,2))</f>
        <v/>
      </c>
      <c r="W2845" s="5" t="n"/>
      <c r="X2845" s="5" t="inlineStr">
        <is>
          <t>Split from published rate using median L/P/M shares of 37 comparable build-ups at section level (43/6/51).</t>
        </is>
      </c>
    </row>
    <row r="2846" ht="13" customHeight="1">
      <c r="A2846" s="4" t="n">
        <v>4243</v>
      </c>
      <c r="B2846" s="5" t="inlineStr">
        <is>
          <t>IMG_0123</t>
        </is>
      </c>
      <c r="C2846" s="5" t="inlineStr">
        <is>
          <t>CLASS Q: PILING ANCILLARIES</t>
        </is>
      </c>
      <c r="D2846" s="5" t="inlineStr">
        <is>
          <t>01 CAST IN PLACE CONCRETE PILES</t>
        </is>
      </c>
      <c r="E2846" s="5" t="inlineStr">
        <is>
          <t>Plain round mild steel bars to BS 4449; Bars; supplied in straight lengths</t>
        </is>
      </c>
      <c r="F2846" s="5" t="inlineStr">
        <is>
          <t>6 mm nominal size</t>
        </is>
      </c>
      <c r="G2846" s="6" t="inlineStr">
        <is>
          <t>tonne</t>
        </is>
      </c>
      <c r="H2846" s="7" t="n">
        <v>8</v>
      </c>
      <c r="I2846" s="8" t="n">
        <v>1348.71</v>
      </c>
      <c r="J2846" s="8" t="n">
        <v>194.3</v>
      </c>
      <c r="K2846" s="8" t="n">
        <v>1016.98</v>
      </c>
      <c r="L2846" s="8" t="n">
        <v>0</v>
      </c>
      <c r="M2846" s="9">
        <f>ROUND(SUM(I2846:L2846),2)</f>
        <v/>
      </c>
      <c r="N2846" s="10">
        <f>ROUND(I2846*'Irish Basis'!$C$6*'Irish Basis'!$C$5,2)</f>
        <v/>
      </c>
      <c r="O2846" s="10">
        <f>ROUND(J2846*'Irish Basis'!$C$7*'Irish Basis'!$C$5,2)</f>
        <v/>
      </c>
      <c r="P2846" s="10">
        <f>ROUND(K2846*'Irish Basis'!$C$8*'Irish Basis'!$C$5,2)</f>
        <v/>
      </c>
      <c r="Q2846" s="10">
        <f>ROUND(L2846*'Irish Basis'!$C$12*'Irish Basis'!$C$5,2)</f>
        <v/>
      </c>
      <c r="R2846" s="11">
        <f>ROUND(SUM(N2846:Q2846),2)</f>
        <v/>
      </c>
      <c r="S2846" s="5" t="inlineStr">
        <is>
          <t>Stated build-up</t>
        </is>
      </c>
      <c r="T2846" s="12" t="inlineStr">
        <is>
          <t>High</t>
        </is>
      </c>
      <c r="U2846" s="8" t="n">
        <v>2559.99</v>
      </c>
      <c r="V2846" s="13">
        <f>IF(U2846="","",ROUND(M2846-U2846,2))</f>
        <v/>
      </c>
      <c r="W2846" s="5" t="n"/>
      <c r="X2846" s="5" t="inlineStr">
        <is>
          <t>Labour + plant + material as published; reconciles to the published rate.</t>
        </is>
      </c>
    </row>
    <row r="2847" ht="13" customHeight="1">
      <c r="A2847" s="4" t="n">
        <v>4244</v>
      </c>
      <c r="B2847" s="5" t="inlineStr">
        <is>
          <t>IMG_0123</t>
        </is>
      </c>
      <c r="C2847" s="5" t="inlineStr">
        <is>
          <t>CLASS Q: PILING ANCILLARIES</t>
        </is>
      </c>
      <c r="D2847" s="5" t="inlineStr">
        <is>
          <t>01 CAST IN PLACE CONCRETE PILES</t>
        </is>
      </c>
      <c r="E2847" s="5" t="inlineStr">
        <is>
          <t>Plain round mild steel bars to BS 4449; Bars; supplied in straight lengths</t>
        </is>
      </c>
      <c r="F2847" s="5" t="inlineStr">
        <is>
          <t>8 mm nominal size</t>
        </is>
      </c>
      <c r="G2847" s="6" t="inlineStr">
        <is>
          <t>tonne</t>
        </is>
      </c>
      <c r="H2847" s="7" t="n">
        <v>6.74</v>
      </c>
      <c r="I2847" s="8" t="n">
        <v>1136.29</v>
      </c>
      <c r="J2847" s="8" t="n">
        <v>163.7</v>
      </c>
      <c r="K2847" s="8" t="n">
        <v>1016.98</v>
      </c>
      <c r="L2847" s="8" t="n">
        <v>0</v>
      </c>
      <c r="M2847" s="9">
        <f>ROUND(SUM(I2847:L2847),2)</f>
        <v/>
      </c>
      <c r="N2847" s="10">
        <f>ROUND(I2847*'Irish Basis'!$C$6*'Irish Basis'!$C$5,2)</f>
        <v/>
      </c>
      <c r="O2847" s="10">
        <f>ROUND(J2847*'Irish Basis'!$C$7*'Irish Basis'!$C$5,2)</f>
        <v/>
      </c>
      <c r="P2847" s="10">
        <f>ROUND(K2847*'Irish Basis'!$C$8*'Irish Basis'!$C$5,2)</f>
        <v/>
      </c>
      <c r="Q2847" s="10">
        <f>ROUND(L2847*'Irish Basis'!$C$12*'Irish Basis'!$C$5,2)</f>
        <v/>
      </c>
      <c r="R2847" s="11">
        <f>ROUND(SUM(N2847:Q2847),2)</f>
        <v/>
      </c>
      <c r="S2847" s="5" t="inlineStr">
        <is>
          <t>Stated build-up</t>
        </is>
      </c>
      <c r="T2847" s="12" t="inlineStr">
        <is>
          <t>High</t>
        </is>
      </c>
      <c r="U2847" s="8" t="n">
        <v>2316.97</v>
      </c>
      <c r="V2847" s="13">
        <f>IF(U2847="","",ROUND(M2847-U2847,2))</f>
        <v/>
      </c>
      <c r="W2847" s="5" t="n"/>
      <c r="X2847" s="5" t="inlineStr">
        <is>
          <t>Labour + plant + material as published; reconciles to the published rate.</t>
        </is>
      </c>
    </row>
    <row r="2848" ht="13" customHeight="1">
      <c r="A2848" s="4" t="n">
        <v>4245</v>
      </c>
      <c r="B2848" s="5" t="inlineStr">
        <is>
          <t>IMG_0123</t>
        </is>
      </c>
      <c r="C2848" s="5" t="inlineStr">
        <is>
          <t>CLASS Q: PILING ANCILLARIES</t>
        </is>
      </c>
      <c r="D2848" s="5" t="inlineStr">
        <is>
          <t>01 CAST IN PLACE CONCRETE PILES</t>
        </is>
      </c>
      <c r="E2848" s="5" t="inlineStr">
        <is>
          <t>Plain round mild steel bars to BS 4449; Bars; supplied in straight lengths</t>
        </is>
      </c>
      <c r="F2848" s="5" t="inlineStr">
        <is>
          <t>10 mm nominal size</t>
        </is>
      </c>
      <c r="G2848" s="6" t="inlineStr">
        <is>
          <t>tonne</t>
        </is>
      </c>
      <c r="H2848" s="7" t="n">
        <v>6.74</v>
      </c>
      <c r="I2848" s="8" t="n">
        <v>1136.29</v>
      </c>
      <c r="J2848" s="8" t="n">
        <v>163.7</v>
      </c>
      <c r="K2848" s="8" t="n">
        <v>1016.95</v>
      </c>
      <c r="L2848" s="8" t="n">
        <v>0</v>
      </c>
      <c r="M2848" s="9">
        <f>ROUND(SUM(I2848:L2848),2)</f>
        <v/>
      </c>
      <c r="N2848" s="10">
        <f>ROUND(I2848*'Irish Basis'!$C$6*'Irish Basis'!$C$5,2)</f>
        <v/>
      </c>
      <c r="O2848" s="10">
        <f>ROUND(J2848*'Irish Basis'!$C$7*'Irish Basis'!$C$5,2)</f>
        <v/>
      </c>
      <c r="P2848" s="10">
        <f>ROUND(K2848*'Irish Basis'!$C$8*'Irish Basis'!$C$5,2)</f>
        <v/>
      </c>
      <c r="Q2848" s="10">
        <f>ROUND(L2848*'Irish Basis'!$C$12*'Irish Basis'!$C$5,2)</f>
        <v/>
      </c>
      <c r="R2848" s="11">
        <f>ROUND(SUM(N2848:Q2848),2)</f>
        <v/>
      </c>
      <c r="S2848" s="5" t="inlineStr">
        <is>
          <t>Stated build-up</t>
        </is>
      </c>
      <c r="T2848" s="12" t="inlineStr">
        <is>
          <t>High</t>
        </is>
      </c>
      <c r="U2848" s="8" t="n">
        <v>2316.93</v>
      </c>
      <c r="V2848" s="13">
        <f>IF(U2848="","",ROUND(M2848-U2848,2))</f>
        <v/>
      </c>
      <c r="W2848" s="5" t="n"/>
      <c r="X2848" s="5" t="inlineStr">
        <is>
          <t>Labour + plant + material as published; reconciles to the published rate.</t>
        </is>
      </c>
    </row>
    <row r="2849" ht="13" customHeight="1">
      <c r="A2849" s="4" t="n">
        <v>4246</v>
      </c>
      <c r="B2849" s="5" t="inlineStr">
        <is>
          <t>IMG_0123</t>
        </is>
      </c>
      <c r="C2849" s="5" t="inlineStr">
        <is>
          <t>CLASS Q: PILING ANCILLARIES</t>
        </is>
      </c>
      <c r="D2849" s="5" t="inlineStr">
        <is>
          <t>01 CAST IN PLACE CONCRETE PILES</t>
        </is>
      </c>
      <c r="E2849" s="5" t="inlineStr">
        <is>
          <t>Plain round mild steel bars to BS 4449; Bars; supplied in straight lengths</t>
        </is>
      </c>
      <c r="F2849" s="5" t="inlineStr">
        <is>
          <t>12 mm nominal size</t>
        </is>
      </c>
      <c r="G2849" s="6" t="inlineStr">
        <is>
          <t>tonne</t>
        </is>
      </c>
      <c r="H2849" s="7" t="n">
        <v>6.74</v>
      </c>
      <c r="I2849" s="8" t="n">
        <v>1136.29</v>
      </c>
      <c r="J2849" s="8" t="n">
        <v>163.7</v>
      </c>
      <c r="K2849" s="8" t="n">
        <v>1016.95</v>
      </c>
      <c r="L2849" s="8" t="n">
        <v>0</v>
      </c>
      <c r="M2849" s="9">
        <f>ROUND(SUM(I2849:L2849),2)</f>
        <v/>
      </c>
      <c r="N2849" s="10">
        <f>ROUND(I2849*'Irish Basis'!$C$6*'Irish Basis'!$C$5,2)</f>
        <v/>
      </c>
      <c r="O2849" s="10">
        <f>ROUND(J2849*'Irish Basis'!$C$7*'Irish Basis'!$C$5,2)</f>
        <v/>
      </c>
      <c r="P2849" s="10">
        <f>ROUND(K2849*'Irish Basis'!$C$8*'Irish Basis'!$C$5,2)</f>
        <v/>
      </c>
      <c r="Q2849" s="10">
        <f>ROUND(L2849*'Irish Basis'!$C$12*'Irish Basis'!$C$5,2)</f>
        <v/>
      </c>
      <c r="R2849" s="11">
        <f>ROUND(SUM(N2849:Q2849),2)</f>
        <v/>
      </c>
      <c r="S2849" s="5" t="inlineStr">
        <is>
          <t>Stated build-up</t>
        </is>
      </c>
      <c r="T2849" s="12" t="inlineStr">
        <is>
          <t>High</t>
        </is>
      </c>
      <c r="U2849" s="8" t="n">
        <v>2316.93</v>
      </c>
      <c r="V2849" s="13">
        <f>IF(U2849="","",ROUND(M2849-U2849,2))</f>
        <v/>
      </c>
      <c r="W2849" s="5" t="n"/>
      <c r="X2849" s="5" t="inlineStr">
        <is>
          <t>Labour + plant + material as published; reconciles to the published rate.</t>
        </is>
      </c>
    </row>
    <row r="2850" ht="13" customHeight="1">
      <c r="A2850" s="4" t="n">
        <v>4247</v>
      </c>
      <c r="B2850" s="5" t="inlineStr">
        <is>
          <t>IMG_0123</t>
        </is>
      </c>
      <c r="C2850" s="5" t="inlineStr">
        <is>
          <t>CLASS Q: PILING ANCILLARIES</t>
        </is>
      </c>
      <c r="D2850" s="5" t="inlineStr">
        <is>
          <t>01 CAST IN PLACE CONCRETE PILES</t>
        </is>
      </c>
      <c r="E2850" s="5" t="inlineStr">
        <is>
          <t>Plain round mild steel bars to BS 4449; Bars; supplied in straight lengths</t>
        </is>
      </c>
      <c r="F2850" s="5" t="inlineStr">
        <is>
          <t>16 mm nominal size</t>
        </is>
      </c>
      <c r="G2850" s="6" t="inlineStr">
        <is>
          <t>tonne</t>
        </is>
      </c>
      <c r="H2850" s="7" t="n">
        <v>6.15</v>
      </c>
      <c r="I2850" s="8" t="n">
        <v>1036.82</v>
      </c>
      <c r="J2850" s="8" t="n">
        <v>149.38</v>
      </c>
      <c r="K2850" s="8" t="n">
        <v>1016.95</v>
      </c>
      <c r="L2850" s="8" t="n">
        <v>0</v>
      </c>
      <c r="M2850" s="9">
        <f>ROUND(SUM(I2850:L2850),2)</f>
        <v/>
      </c>
      <c r="N2850" s="10">
        <f>ROUND(I2850*'Irish Basis'!$C$6*'Irish Basis'!$C$5,2)</f>
        <v/>
      </c>
      <c r="O2850" s="10">
        <f>ROUND(J2850*'Irish Basis'!$C$7*'Irish Basis'!$C$5,2)</f>
        <v/>
      </c>
      <c r="P2850" s="10">
        <f>ROUND(K2850*'Irish Basis'!$C$8*'Irish Basis'!$C$5,2)</f>
        <v/>
      </c>
      <c r="Q2850" s="10">
        <f>ROUND(L2850*'Irish Basis'!$C$12*'Irish Basis'!$C$5,2)</f>
        <v/>
      </c>
      <c r="R2850" s="11">
        <f>ROUND(SUM(N2850:Q2850),2)</f>
        <v/>
      </c>
      <c r="S2850" s="5" t="inlineStr">
        <is>
          <t>Stated build-up</t>
        </is>
      </c>
      <c r="T2850" s="12" t="inlineStr">
        <is>
          <t>High</t>
        </is>
      </c>
      <c r="U2850" s="8" t="n">
        <v>2203.15</v>
      </c>
      <c r="V2850" s="13">
        <f>IF(U2850="","",ROUND(M2850-U2850,2))</f>
        <v/>
      </c>
      <c r="W2850" s="5" t="n"/>
      <c r="X2850" s="5" t="inlineStr">
        <is>
          <t>Labour + plant + material as published; reconciles to the published rate.</t>
        </is>
      </c>
    </row>
    <row r="2851" ht="13" customHeight="1">
      <c r="A2851" s="4" t="n">
        <v>4248</v>
      </c>
      <c r="B2851" s="5" t="inlineStr">
        <is>
          <t>IMG_0123</t>
        </is>
      </c>
      <c r="C2851" s="5" t="inlineStr">
        <is>
          <t>CLASS Q: PILING ANCILLARIES</t>
        </is>
      </c>
      <c r="D2851" s="5" t="inlineStr">
        <is>
          <t>01 CAST IN PLACE CONCRETE PILES</t>
        </is>
      </c>
      <c r="E2851" s="5" t="inlineStr">
        <is>
          <t>Plain round mild steel bars to BS 4449; Bars; supplied in straight lengths</t>
        </is>
      </c>
      <c r="F2851" s="5" t="inlineStr">
        <is>
          <t>20 mm nominal size</t>
        </is>
      </c>
      <c r="G2851" s="6" t="inlineStr">
        <is>
          <t>tonne</t>
        </is>
      </c>
      <c r="H2851" s="7" t="n">
        <v>4.44</v>
      </c>
      <c r="I2851" s="8" t="n">
        <v>748.53</v>
      </c>
      <c r="J2851" s="8" t="n">
        <v>107.84</v>
      </c>
      <c r="K2851" s="8" t="n">
        <v>1016.95</v>
      </c>
      <c r="L2851" s="8" t="n">
        <v>0</v>
      </c>
      <c r="M2851" s="9">
        <f>ROUND(SUM(I2851:L2851),2)</f>
        <v/>
      </c>
      <c r="N2851" s="10">
        <f>ROUND(I2851*'Irish Basis'!$C$6*'Irish Basis'!$C$5,2)</f>
        <v/>
      </c>
      <c r="O2851" s="10">
        <f>ROUND(J2851*'Irish Basis'!$C$7*'Irish Basis'!$C$5,2)</f>
        <v/>
      </c>
      <c r="P2851" s="10">
        <f>ROUND(K2851*'Irish Basis'!$C$8*'Irish Basis'!$C$5,2)</f>
        <v/>
      </c>
      <c r="Q2851" s="10">
        <f>ROUND(L2851*'Irish Basis'!$C$12*'Irish Basis'!$C$5,2)</f>
        <v/>
      </c>
      <c r="R2851" s="11">
        <f>ROUND(SUM(N2851:Q2851),2)</f>
        <v/>
      </c>
      <c r="S2851" s="5" t="inlineStr">
        <is>
          <t>Stated build-up</t>
        </is>
      </c>
      <c r="T2851" s="12" t="inlineStr">
        <is>
          <t>High</t>
        </is>
      </c>
      <c r="U2851" s="8" t="n">
        <v>1873.32</v>
      </c>
      <c r="V2851" s="13">
        <f>IF(U2851="","",ROUND(M2851-U2851,2))</f>
        <v/>
      </c>
      <c r="W2851" s="5" t="n"/>
      <c r="X2851" s="5" t="inlineStr">
        <is>
          <t>Labour + plant + material as published; reconciles to the published rate.</t>
        </is>
      </c>
    </row>
    <row r="2852" ht="13" customHeight="1">
      <c r="A2852" s="4" t="n">
        <v>4249</v>
      </c>
      <c r="B2852" s="5" t="inlineStr">
        <is>
          <t>IMG_0123</t>
        </is>
      </c>
      <c r="C2852" s="5" t="inlineStr">
        <is>
          <t>CLASS Q: PILING ANCILLARIES</t>
        </is>
      </c>
      <c r="D2852" s="5" t="inlineStr">
        <is>
          <t>01 CAST IN PLACE CONCRETE PILES</t>
        </is>
      </c>
      <c r="E2852" s="5" t="inlineStr">
        <is>
          <t>Plain round mild steel bars to BS 4449; Bars; supplied in straight lengths</t>
        </is>
      </c>
      <c r="F2852" s="5" t="inlineStr">
        <is>
          <t>25 mm nominal size</t>
        </is>
      </c>
      <c r="G2852" s="6" t="inlineStr">
        <is>
          <t>tonne</t>
        </is>
      </c>
      <c r="H2852" s="7" t="n">
        <v>4.44</v>
      </c>
      <c r="I2852" s="8" t="n">
        <v>748.53</v>
      </c>
      <c r="J2852" s="8" t="n">
        <v>107.84</v>
      </c>
      <c r="K2852" s="8" t="n">
        <v>1016.95</v>
      </c>
      <c r="L2852" s="8" t="n">
        <v>0</v>
      </c>
      <c r="M2852" s="9">
        <f>ROUND(SUM(I2852:L2852),2)</f>
        <v/>
      </c>
      <c r="N2852" s="10">
        <f>ROUND(I2852*'Irish Basis'!$C$6*'Irish Basis'!$C$5,2)</f>
        <v/>
      </c>
      <c r="O2852" s="10">
        <f>ROUND(J2852*'Irish Basis'!$C$7*'Irish Basis'!$C$5,2)</f>
        <v/>
      </c>
      <c r="P2852" s="10">
        <f>ROUND(K2852*'Irish Basis'!$C$8*'Irish Basis'!$C$5,2)</f>
        <v/>
      </c>
      <c r="Q2852" s="10">
        <f>ROUND(L2852*'Irish Basis'!$C$12*'Irish Basis'!$C$5,2)</f>
        <v/>
      </c>
      <c r="R2852" s="11">
        <f>ROUND(SUM(N2852:Q2852),2)</f>
        <v/>
      </c>
      <c r="S2852" s="5" t="inlineStr">
        <is>
          <t>Stated build-up</t>
        </is>
      </c>
      <c r="T2852" s="12" t="inlineStr">
        <is>
          <t>High</t>
        </is>
      </c>
      <c r="U2852" s="8" t="n">
        <v>1873.32</v>
      </c>
      <c r="V2852" s="13">
        <f>IF(U2852="","",ROUND(M2852-U2852,2))</f>
        <v/>
      </c>
      <c r="W2852" s="5" t="n"/>
      <c r="X2852" s="5" t="inlineStr">
        <is>
          <t>Labour + plant + material as published; reconciles to the published rate.</t>
        </is>
      </c>
    </row>
    <row r="2853" ht="13" customHeight="1">
      <c r="A2853" s="4" t="n">
        <v>4250</v>
      </c>
      <c r="B2853" s="5" t="inlineStr">
        <is>
          <t>IMG_0123</t>
        </is>
      </c>
      <c r="C2853" s="5" t="inlineStr">
        <is>
          <t>CLASS Q: PILING ANCILLARIES</t>
        </is>
      </c>
      <c r="D2853" s="5" t="inlineStr">
        <is>
          <t>01 CAST IN PLACE CONCRETE PILES</t>
        </is>
      </c>
      <c r="E2853" s="5" t="inlineStr">
        <is>
          <t>Plain round mild steel bars to BS 4449; Bars; supplied in straight lengths</t>
        </is>
      </c>
      <c r="F2853" s="5" t="inlineStr">
        <is>
          <t>32 mm nominal size</t>
        </is>
      </c>
      <c r="G2853" s="6" t="inlineStr">
        <is>
          <t>tonne</t>
        </is>
      </c>
      <c r="H2853" s="7" t="n">
        <v>4.44</v>
      </c>
      <c r="I2853" s="8" t="n">
        <v>748.53</v>
      </c>
      <c r="J2853" s="8" t="n">
        <v>107.84</v>
      </c>
      <c r="K2853" s="8" t="n">
        <v>1016.95</v>
      </c>
      <c r="L2853" s="8" t="n">
        <v>0</v>
      </c>
      <c r="M2853" s="9">
        <f>ROUND(SUM(I2853:L2853),2)</f>
        <v/>
      </c>
      <c r="N2853" s="10">
        <f>ROUND(I2853*'Irish Basis'!$C$6*'Irish Basis'!$C$5,2)</f>
        <v/>
      </c>
      <c r="O2853" s="10">
        <f>ROUND(J2853*'Irish Basis'!$C$7*'Irish Basis'!$C$5,2)</f>
        <v/>
      </c>
      <c r="P2853" s="10">
        <f>ROUND(K2853*'Irish Basis'!$C$8*'Irish Basis'!$C$5,2)</f>
        <v/>
      </c>
      <c r="Q2853" s="10">
        <f>ROUND(L2853*'Irish Basis'!$C$12*'Irish Basis'!$C$5,2)</f>
        <v/>
      </c>
      <c r="R2853" s="11">
        <f>ROUND(SUM(N2853:Q2853),2)</f>
        <v/>
      </c>
      <c r="S2853" s="5" t="inlineStr">
        <is>
          <t>Stated build-up</t>
        </is>
      </c>
      <c r="T2853" s="12" t="inlineStr">
        <is>
          <t>High</t>
        </is>
      </c>
      <c r="U2853" s="8" t="n">
        <v>1873.32</v>
      </c>
      <c r="V2853" s="13">
        <f>IF(U2853="","",ROUND(M2853-U2853,2))</f>
        <v/>
      </c>
      <c r="W2853" s="5" t="n"/>
      <c r="X2853" s="5" t="inlineStr">
        <is>
          <t>Labour + plant + material as published; reconciles to the published rate.</t>
        </is>
      </c>
    </row>
    <row r="2854" ht="13" customHeight="1">
      <c r="A2854" s="4" t="n">
        <v>4251</v>
      </c>
      <c r="B2854" s="5" t="inlineStr">
        <is>
          <t>IMG_0123</t>
        </is>
      </c>
      <c r="C2854" s="5" t="inlineStr">
        <is>
          <t>CLASS Q: PILING ANCILLARIES</t>
        </is>
      </c>
      <c r="D2854" s="5" t="inlineStr">
        <is>
          <t>01 CAST IN PLACE CONCRETE PILES</t>
        </is>
      </c>
      <c r="E2854" s="5" t="inlineStr">
        <is>
          <t>Plain round mild steel bars to BS 4449; Bars; supplied in straight lengths</t>
        </is>
      </c>
      <c r="F2854" s="5" t="inlineStr">
        <is>
          <t>40 mm nominal size</t>
        </is>
      </c>
      <c r="G2854" s="6" t="inlineStr">
        <is>
          <t>tonne</t>
        </is>
      </c>
      <c r="H2854" s="7" t="n">
        <v>4.44</v>
      </c>
      <c r="I2854" s="8" t="n">
        <v>748.53</v>
      </c>
      <c r="J2854" s="8" t="n">
        <v>107.84</v>
      </c>
      <c r="K2854" s="8" t="n">
        <v>1016.95</v>
      </c>
      <c r="L2854" s="8" t="n">
        <v>0</v>
      </c>
      <c r="M2854" s="9">
        <f>ROUND(SUM(I2854:L2854),2)</f>
        <v/>
      </c>
      <c r="N2854" s="10">
        <f>ROUND(I2854*'Irish Basis'!$C$6*'Irish Basis'!$C$5,2)</f>
        <v/>
      </c>
      <c r="O2854" s="10">
        <f>ROUND(J2854*'Irish Basis'!$C$7*'Irish Basis'!$C$5,2)</f>
        <v/>
      </c>
      <c r="P2854" s="10">
        <f>ROUND(K2854*'Irish Basis'!$C$8*'Irish Basis'!$C$5,2)</f>
        <v/>
      </c>
      <c r="Q2854" s="10">
        <f>ROUND(L2854*'Irish Basis'!$C$12*'Irish Basis'!$C$5,2)</f>
        <v/>
      </c>
      <c r="R2854" s="11">
        <f>ROUND(SUM(N2854:Q2854),2)</f>
        <v/>
      </c>
      <c r="S2854" s="5" t="inlineStr">
        <is>
          <t>Stated build-up</t>
        </is>
      </c>
      <c r="T2854" s="12" t="inlineStr">
        <is>
          <t>High</t>
        </is>
      </c>
      <c r="U2854" s="8" t="n">
        <v>1873.32</v>
      </c>
      <c r="V2854" s="13">
        <f>IF(U2854="","",ROUND(M2854-U2854,2))</f>
        <v/>
      </c>
      <c r="W2854" s="5" t="n"/>
      <c r="X2854" s="5" t="inlineStr">
        <is>
          <t>Labour + plant + material as published; reconciles to the published rate.</t>
        </is>
      </c>
    </row>
    <row r="2855" ht="13" customHeight="1">
      <c r="A2855" s="4" t="n">
        <v>4253</v>
      </c>
      <c r="B2855" s="5" t="inlineStr">
        <is>
          <t>IMG_0123</t>
        </is>
      </c>
      <c r="C2855" s="5" t="inlineStr">
        <is>
          <t>CLASS Q: PILING ANCILLARIES</t>
        </is>
      </c>
      <c r="D2855" s="5" t="inlineStr">
        <is>
          <t>01 CAST IN PLACE CONCRETE PILES</t>
        </is>
      </c>
      <c r="E2855" s="5" t="inlineStr">
        <is>
          <t>Helical bars, nominal size</t>
        </is>
      </c>
      <c r="F2855" s="5" t="inlineStr">
        <is>
          <t>6 mm</t>
        </is>
      </c>
      <c r="G2855" s="6" t="inlineStr">
        <is>
          <t>t</t>
        </is>
      </c>
      <c r="H2855" s="7" t="n">
        <v>8</v>
      </c>
      <c r="I2855" s="8" t="n">
        <v>1348.71</v>
      </c>
      <c r="J2855" s="8" t="n">
        <v>194.3</v>
      </c>
      <c r="K2855" s="8" t="n">
        <v>1076.92</v>
      </c>
      <c r="L2855" s="8" t="n">
        <v>0</v>
      </c>
      <c r="M2855" s="9">
        <f>ROUND(SUM(I2855:L2855),2)</f>
        <v/>
      </c>
      <c r="N2855" s="10">
        <f>ROUND(I2855*'Irish Basis'!$C$6*'Irish Basis'!$C$5,2)</f>
        <v/>
      </c>
      <c r="O2855" s="10">
        <f>ROUND(J2855*'Irish Basis'!$C$7*'Irish Basis'!$C$5,2)</f>
        <v/>
      </c>
      <c r="P2855" s="10">
        <f>ROUND(K2855*'Irish Basis'!$C$8*'Irish Basis'!$C$5,2)</f>
        <v/>
      </c>
      <c r="Q2855" s="10">
        <f>ROUND(L2855*'Irish Basis'!$C$12*'Irish Basis'!$C$5,2)</f>
        <v/>
      </c>
      <c r="R2855" s="11">
        <f>ROUND(SUM(N2855:Q2855),2)</f>
        <v/>
      </c>
      <c r="S2855" s="5" t="inlineStr">
        <is>
          <t>Stated build-up</t>
        </is>
      </c>
      <c r="T2855" s="12" t="inlineStr">
        <is>
          <t>High</t>
        </is>
      </c>
      <c r="U2855" s="8" t="n">
        <v>2619.93</v>
      </c>
      <c r="V2855" s="13">
        <f>IF(U2855="","",ROUND(M2855-U2855,2))</f>
        <v/>
      </c>
      <c r="W2855" s="5" t="n"/>
      <c r="X2855" s="5" t="inlineStr">
        <is>
          <t>Labour + plant + material as published; reconciles to the published rate.</t>
        </is>
      </c>
    </row>
    <row r="2856" ht="13" customHeight="1">
      <c r="A2856" s="4" t="n">
        <v>4254</v>
      </c>
      <c r="B2856" s="5" t="inlineStr">
        <is>
          <t>IMG_0123</t>
        </is>
      </c>
      <c r="C2856" s="5" t="inlineStr">
        <is>
          <t>CLASS Q: PILING ANCILLARIES</t>
        </is>
      </c>
      <c r="D2856" s="5" t="inlineStr">
        <is>
          <t>01 CAST IN PLACE CONCRETE PILES</t>
        </is>
      </c>
      <c r="E2856" s="5" t="inlineStr">
        <is>
          <t>Helical bars, nominal size</t>
        </is>
      </c>
      <c r="F2856" s="5" t="inlineStr">
        <is>
          <t>8 mm</t>
        </is>
      </c>
      <c r="G2856" s="6" t="inlineStr">
        <is>
          <t>t</t>
        </is>
      </c>
      <c r="H2856" s="7" t="n">
        <v>6.74</v>
      </c>
      <c r="I2856" s="8" t="n">
        <v>1136.29</v>
      </c>
      <c r="J2856" s="8" t="n">
        <v>163.7</v>
      </c>
      <c r="K2856" s="8" t="n">
        <v>1076.92</v>
      </c>
      <c r="L2856" s="8" t="n">
        <v>0</v>
      </c>
      <c r="M2856" s="9">
        <f>ROUND(SUM(I2856:L2856),2)</f>
        <v/>
      </c>
      <c r="N2856" s="10">
        <f>ROUND(I2856*'Irish Basis'!$C$6*'Irish Basis'!$C$5,2)</f>
        <v/>
      </c>
      <c r="O2856" s="10">
        <f>ROUND(J2856*'Irish Basis'!$C$7*'Irish Basis'!$C$5,2)</f>
        <v/>
      </c>
      <c r="P2856" s="10">
        <f>ROUND(K2856*'Irish Basis'!$C$8*'Irish Basis'!$C$5,2)</f>
        <v/>
      </c>
      <c r="Q2856" s="10">
        <f>ROUND(L2856*'Irish Basis'!$C$12*'Irish Basis'!$C$5,2)</f>
        <v/>
      </c>
      <c r="R2856" s="11">
        <f>ROUND(SUM(N2856:Q2856),2)</f>
        <v/>
      </c>
      <c r="S2856" s="5" t="inlineStr">
        <is>
          <t>Stated build-up</t>
        </is>
      </c>
      <c r="T2856" s="12" t="inlineStr">
        <is>
          <t>High</t>
        </is>
      </c>
      <c r="U2856" s="8" t="n">
        <v>2376.91</v>
      </c>
      <c r="V2856" s="13">
        <f>IF(U2856="","",ROUND(M2856-U2856,2))</f>
        <v/>
      </c>
      <c r="W2856" s="5" t="n"/>
      <c r="X2856" s="5" t="inlineStr">
        <is>
          <t>Labour + plant + material as published; reconciles to the published rate.</t>
        </is>
      </c>
    </row>
    <row r="2857" ht="13" customHeight="1">
      <c r="A2857" s="4" t="n">
        <v>4255</v>
      </c>
      <c r="B2857" s="5" t="inlineStr">
        <is>
          <t>IMG_0123</t>
        </is>
      </c>
      <c r="C2857" s="5" t="inlineStr">
        <is>
          <t>CLASS Q: PILING ANCILLARIES</t>
        </is>
      </c>
      <c r="D2857" s="5" t="inlineStr">
        <is>
          <t>01 CAST IN PLACE CONCRETE PILES</t>
        </is>
      </c>
      <c r="E2857" s="5" t="inlineStr">
        <is>
          <t>Helical bars, nominal size</t>
        </is>
      </c>
      <c r="F2857" s="5" t="inlineStr">
        <is>
          <t>10 mm</t>
        </is>
      </c>
      <c r="G2857" s="6" t="inlineStr">
        <is>
          <t>t</t>
        </is>
      </c>
      <c r="H2857" s="7" t="n">
        <v>6.74</v>
      </c>
      <c r="I2857" s="8" t="n">
        <v>1136.29</v>
      </c>
      <c r="J2857" s="8" t="n">
        <v>163.7</v>
      </c>
      <c r="K2857" s="8" t="n">
        <v>1076.27</v>
      </c>
      <c r="L2857" s="8" t="n">
        <v>0</v>
      </c>
      <c r="M2857" s="9">
        <f>ROUND(SUM(I2857:L2857),2)</f>
        <v/>
      </c>
      <c r="N2857" s="10">
        <f>ROUND(I2857*'Irish Basis'!$C$6*'Irish Basis'!$C$5,2)</f>
        <v/>
      </c>
      <c r="O2857" s="10">
        <f>ROUND(J2857*'Irish Basis'!$C$7*'Irish Basis'!$C$5,2)</f>
        <v/>
      </c>
      <c r="P2857" s="10">
        <f>ROUND(K2857*'Irish Basis'!$C$8*'Irish Basis'!$C$5,2)</f>
        <v/>
      </c>
      <c r="Q2857" s="10">
        <f>ROUND(L2857*'Irish Basis'!$C$12*'Irish Basis'!$C$5,2)</f>
        <v/>
      </c>
      <c r="R2857" s="11">
        <f>ROUND(SUM(N2857:Q2857),2)</f>
        <v/>
      </c>
      <c r="S2857" s="5" t="inlineStr">
        <is>
          <t>Stated build-up</t>
        </is>
      </c>
      <c r="T2857" s="12" t="inlineStr">
        <is>
          <t>High</t>
        </is>
      </c>
      <c r="U2857" s="8" t="n">
        <v>2376.25</v>
      </c>
      <c r="V2857" s="13">
        <f>IF(U2857="","",ROUND(M2857-U2857,2))</f>
        <v/>
      </c>
      <c r="W2857" s="5" t="n"/>
      <c r="X2857" s="5" t="inlineStr">
        <is>
          <t>Labour + plant + material as published; reconciles to the published rate.</t>
        </is>
      </c>
    </row>
    <row r="2858" ht="13" customHeight="1">
      <c r="A2858" s="4" t="n">
        <v>4256</v>
      </c>
      <c r="B2858" s="5" t="inlineStr">
        <is>
          <t>IMG_0123</t>
        </is>
      </c>
      <c r="C2858" s="5" t="inlineStr">
        <is>
          <t>CLASS Q: PILING ANCILLARIES</t>
        </is>
      </c>
      <c r="D2858" s="5" t="inlineStr">
        <is>
          <t>01 CAST IN PLACE CONCRETE PILES</t>
        </is>
      </c>
      <c r="E2858" s="5" t="inlineStr">
        <is>
          <t>Helical bars, nominal size</t>
        </is>
      </c>
      <c r="F2858" s="5" t="inlineStr">
        <is>
          <t>12 mm</t>
        </is>
      </c>
      <c r="G2858" s="6" t="inlineStr">
        <is>
          <t>t</t>
        </is>
      </c>
      <c r="H2858" s="7" t="n">
        <v>6.74</v>
      </c>
      <c r="I2858" s="8" t="n">
        <v>1136.29</v>
      </c>
      <c r="J2858" s="8" t="n">
        <v>163.7</v>
      </c>
      <c r="K2858" s="8" t="n">
        <v>1076.92</v>
      </c>
      <c r="L2858" s="8" t="n">
        <v>0</v>
      </c>
      <c r="M2858" s="9">
        <f>ROUND(SUM(I2858:L2858),2)</f>
        <v/>
      </c>
      <c r="N2858" s="10">
        <f>ROUND(I2858*'Irish Basis'!$C$6*'Irish Basis'!$C$5,2)</f>
        <v/>
      </c>
      <c r="O2858" s="10">
        <f>ROUND(J2858*'Irish Basis'!$C$7*'Irish Basis'!$C$5,2)</f>
        <v/>
      </c>
      <c r="P2858" s="10">
        <f>ROUND(K2858*'Irish Basis'!$C$8*'Irish Basis'!$C$5,2)</f>
        <v/>
      </c>
      <c r="Q2858" s="10">
        <f>ROUND(L2858*'Irish Basis'!$C$12*'Irish Basis'!$C$5,2)</f>
        <v/>
      </c>
      <c r="R2858" s="11">
        <f>ROUND(SUM(N2858:Q2858),2)</f>
        <v/>
      </c>
      <c r="S2858" s="5" t="inlineStr">
        <is>
          <t>Stated build-up</t>
        </is>
      </c>
      <c r="T2858" s="12" t="inlineStr">
        <is>
          <t>High</t>
        </is>
      </c>
      <c r="U2858" s="8" t="n">
        <v>2376.91</v>
      </c>
      <c r="V2858" s="13">
        <f>IF(U2858="","",ROUND(M2858-U2858,2))</f>
        <v/>
      </c>
      <c r="W2858" s="5" t="n"/>
      <c r="X2858" s="5" t="inlineStr">
        <is>
          <t>Labour + plant + material as published; reconciles to the published rate.</t>
        </is>
      </c>
    </row>
    <row r="2859" ht="13" customHeight="1">
      <c r="A2859" s="4" t="n">
        <v>4258</v>
      </c>
      <c r="B2859" s="5" t="inlineStr">
        <is>
          <t>IMG_0123</t>
        </is>
      </c>
      <c r="C2859" s="5" t="inlineStr">
        <is>
          <t>CLASS Q: PILING ANCILLARIES</t>
        </is>
      </c>
      <c r="D2859" s="5" t="inlineStr">
        <is>
          <t>01 CAST IN PLACE CONCRETE PILES</t>
        </is>
      </c>
      <c r="E2859" s="5" t="inlineStr">
        <is>
          <t>Reinforcement; high tensile steel; Straight bars, nominal size</t>
        </is>
      </c>
      <c r="F2859" s="5" t="inlineStr">
        <is>
          <t>6 mm</t>
        </is>
      </c>
      <c r="G2859" s="6" t="inlineStr">
        <is>
          <t>t</t>
        </is>
      </c>
      <c r="H2859" s="7" t="n">
        <v>8.4</v>
      </c>
      <c r="I2859" s="8" t="n">
        <v>1416.14</v>
      </c>
      <c r="J2859" s="8" t="n">
        <v>194.3</v>
      </c>
      <c r="K2859" s="8" t="n">
        <v>1150.73</v>
      </c>
      <c r="L2859" s="8" t="n">
        <v>0</v>
      </c>
      <c r="M2859" s="9">
        <f>ROUND(SUM(I2859:L2859),2)</f>
        <v/>
      </c>
      <c r="N2859" s="10">
        <f>ROUND(I2859*'Irish Basis'!$C$6*'Irish Basis'!$C$5,2)</f>
        <v/>
      </c>
      <c r="O2859" s="10">
        <f>ROUND(J2859*'Irish Basis'!$C$7*'Irish Basis'!$C$5,2)</f>
        <v/>
      </c>
      <c r="P2859" s="10">
        <f>ROUND(K2859*'Irish Basis'!$C$8*'Irish Basis'!$C$5,2)</f>
        <v/>
      </c>
      <c r="Q2859" s="10">
        <f>ROUND(L2859*'Irish Basis'!$C$12*'Irish Basis'!$C$5,2)</f>
        <v/>
      </c>
      <c r="R2859" s="11">
        <f>ROUND(SUM(N2859:Q2859),2)</f>
        <v/>
      </c>
      <c r="S2859" s="5" t="inlineStr">
        <is>
          <t>Stated build-up</t>
        </is>
      </c>
      <c r="T2859" s="12" t="inlineStr">
        <is>
          <t>High</t>
        </is>
      </c>
      <c r="U2859" s="8" t="n">
        <v>2761.18</v>
      </c>
      <c r="V2859" s="13">
        <f>IF(U2859="","",ROUND(M2859-U2859,2))</f>
        <v/>
      </c>
      <c r="W2859" s="5" t="n"/>
      <c r="X2859" s="5" t="inlineStr">
        <is>
          <t>Labour + plant + material as published; reconciles to the published rate.</t>
        </is>
      </c>
    </row>
    <row r="2860" ht="13" customHeight="1">
      <c r="A2860" s="4" t="n">
        <v>4259</v>
      </c>
      <c r="B2860" s="5" t="inlineStr">
        <is>
          <t>IMG_0123</t>
        </is>
      </c>
      <c r="C2860" s="5" t="inlineStr">
        <is>
          <t>CLASS Q: PILING ANCILLARIES</t>
        </is>
      </c>
      <c r="D2860" s="5" t="inlineStr">
        <is>
          <t>01 CAST IN PLACE CONCRETE PILES</t>
        </is>
      </c>
      <c r="E2860" s="5" t="inlineStr">
        <is>
          <t>Reinforcement; high tensile steel; Straight bars, nominal size</t>
        </is>
      </c>
      <c r="F2860" s="5" t="inlineStr">
        <is>
          <t>8 mm</t>
        </is>
      </c>
      <c r="G2860" s="6" t="inlineStr">
        <is>
          <t>t</t>
        </is>
      </c>
      <c r="H2860" s="7" t="n">
        <v>7.08</v>
      </c>
      <c r="I2860" s="8" t="n">
        <v>1193.1</v>
      </c>
      <c r="J2860" s="8" t="n">
        <v>163.7</v>
      </c>
      <c r="K2860" s="8" t="n">
        <v>1150.72</v>
      </c>
      <c r="L2860" s="8" t="n">
        <v>0</v>
      </c>
      <c r="M2860" s="9">
        <f>ROUND(SUM(I2860:L2860),2)</f>
        <v/>
      </c>
      <c r="N2860" s="10">
        <f>ROUND(I2860*'Irish Basis'!$C$6*'Irish Basis'!$C$5,2)</f>
        <v/>
      </c>
      <c r="O2860" s="10">
        <f>ROUND(J2860*'Irish Basis'!$C$7*'Irish Basis'!$C$5,2)</f>
        <v/>
      </c>
      <c r="P2860" s="10">
        <f>ROUND(K2860*'Irish Basis'!$C$8*'Irish Basis'!$C$5,2)</f>
        <v/>
      </c>
      <c r="Q2860" s="10">
        <f>ROUND(L2860*'Irish Basis'!$C$12*'Irish Basis'!$C$5,2)</f>
        <v/>
      </c>
      <c r="R2860" s="11">
        <f>ROUND(SUM(N2860:Q2860),2)</f>
        <v/>
      </c>
      <c r="S2860" s="5" t="inlineStr">
        <is>
          <t>Stated build-up</t>
        </is>
      </c>
      <c r="T2860" s="12" t="inlineStr">
        <is>
          <t>High</t>
        </is>
      </c>
      <c r="U2860" s="8" t="n">
        <v>2507.52</v>
      </c>
      <c r="V2860" s="13">
        <f>IF(U2860="","",ROUND(M2860-U2860,2))</f>
        <v/>
      </c>
      <c r="W2860" s="5" t="n"/>
      <c r="X2860" s="5" t="inlineStr">
        <is>
          <t>Labour + plant + material as published; reconciles to the published rate.</t>
        </is>
      </c>
    </row>
    <row r="2861" ht="13" customHeight="1">
      <c r="A2861" s="4" t="n">
        <v>4260</v>
      </c>
      <c r="B2861" s="5" t="inlineStr">
        <is>
          <t>IMG_0123</t>
        </is>
      </c>
      <c r="C2861" s="5" t="inlineStr">
        <is>
          <t>CLASS Q: PILING ANCILLARIES</t>
        </is>
      </c>
      <c r="D2861" s="5" t="inlineStr">
        <is>
          <t>01 CAST IN PLACE CONCRETE PILES</t>
        </is>
      </c>
      <c r="E2861" s="5" t="inlineStr">
        <is>
          <t>Reinforcement; high tensile steel; Straight bars, nominal size</t>
        </is>
      </c>
      <c r="F2861" s="5" t="inlineStr">
        <is>
          <t>10 mm</t>
        </is>
      </c>
      <c r="G2861" s="6" t="inlineStr">
        <is>
          <t>t</t>
        </is>
      </c>
      <c r="H2861" s="7" t="n">
        <v>7.08</v>
      </c>
      <c r="I2861" s="8" t="n">
        <v>1193.1</v>
      </c>
      <c r="J2861" s="8" t="n">
        <v>163.7</v>
      </c>
      <c r="K2861" s="8" t="n">
        <v>1150.73</v>
      </c>
      <c r="L2861" s="8" t="n">
        <v>0</v>
      </c>
      <c r="M2861" s="9">
        <f>ROUND(SUM(I2861:L2861),2)</f>
        <v/>
      </c>
      <c r="N2861" s="10">
        <f>ROUND(I2861*'Irish Basis'!$C$6*'Irish Basis'!$C$5,2)</f>
        <v/>
      </c>
      <c r="O2861" s="10">
        <f>ROUND(J2861*'Irish Basis'!$C$7*'Irish Basis'!$C$5,2)</f>
        <v/>
      </c>
      <c r="P2861" s="10">
        <f>ROUND(K2861*'Irish Basis'!$C$8*'Irish Basis'!$C$5,2)</f>
        <v/>
      </c>
      <c r="Q2861" s="10">
        <f>ROUND(L2861*'Irish Basis'!$C$12*'Irish Basis'!$C$5,2)</f>
        <v/>
      </c>
      <c r="R2861" s="11">
        <f>ROUND(SUM(N2861:Q2861),2)</f>
        <v/>
      </c>
      <c r="S2861" s="5" t="inlineStr">
        <is>
          <t>Stated build-up</t>
        </is>
      </c>
      <c r="T2861" s="12" t="inlineStr">
        <is>
          <t>High</t>
        </is>
      </c>
      <c r="U2861" s="8" t="n">
        <v>2507.53</v>
      </c>
      <c r="V2861" s="13">
        <f>IF(U2861="","",ROUND(M2861-U2861,2))</f>
        <v/>
      </c>
      <c r="W2861" s="5" t="n"/>
      <c r="X2861" s="5" t="inlineStr">
        <is>
          <t>Labour + plant + material as published; reconciles to the published rate.</t>
        </is>
      </c>
    </row>
    <row r="2862" ht="13" customHeight="1">
      <c r="A2862" s="4" t="n">
        <v>4261</v>
      </c>
      <c r="B2862" s="5" t="inlineStr">
        <is>
          <t>IMG_0123</t>
        </is>
      </c>
      <c r="C2862" s="5" t="inlineStr">
        <is>
          <t>CLASS Q: PILING ANCILLARIES</t>
        </is>
      </c>
      <c r="D2862" s="5" t="inlineStr">
        <is>
          <t>01 CAST IN PLACE CONCRETE PILES</t>
        </is>
      </c>
      <c r="E2862" s="5" t="inlineStr">
        <is>
          <t>Reinforcement; high tensile steel; Straight bars, nominal size</t>
        </is>
      </c>
      <c r="F2862" s="5" t="inlineStr">
        <is>
          <t>12 mm</t>
        </is>
      </c>
      <c r="G2862" s="6" t="inlineStr">
        <is>
          <t>t</t>
        </is>
      </c>
      <c r="H2862" s="7" t="n">
        <v>7.08</v>
      </c>
      <c r="I2862" s="8" t="n">
        <v>1193.1</v>
      </c>
      <c r="J2862" s="8" t="n">
        <v>163.7</v>
      </c>
      <c r="K2862" s="8" t="n">
        <v>1150.73</v>
      </c>
      <c r="L2862" s="8" t="n">
        <v>0</v>
      </c>
      <c r="M2862" s="9">
        <f>ROUND(SUM(I2862:L2862),2)</f>
        <v/>
      </c>
      <c r="N2862" s="10">
        <f>ROUND(I2862*'Irish Basis'!$C$6*'Irish Basis'!$C$5,2)</f>
        <v/>
      </c>
      <c r="O2862" s="10">
        <f>ROUND(J2862*'Irish Basis'!$C$7*'Irish Basis'!$C$5,2)</f>
        <v/>
      </c>
      <c r="P2862" s="10">
        <f>ROUND(K2862*'Irish Basis'!$C$8*'Irish Basis'!$C$5,2)</f>
        <v/>
      </c>
      <c r="Q2862" s="10">
        <f>ROUND(L2862*'Irish Basis'!$C$12*'Irish Basis'!$C$5,2)</f>
        <v/>
      </c>
      <c r="R2862" s="11">
        <f>ROUND(SUM(N2862:Q2862),2)</f>
        <v/>
      </c>
      <c r="S2862" s="5" t="inlineStr">
        <is>
          <t>Stated build-up</t>
        </is>
      </c>
      <c r="T2862" s="12" t="inlineStr">
        <is>
          <t>High</t>
        </is>
      </c>
      <c r="U2862" s="8" t="n">
        <v>2507.53</v>
      </c>
      <c r="V2862" s="13">
        <f>IF(U2862="","",ROUND(M2862-U2862,2))</f>
        <v/>
      </c>
      <c r="W2862" s="5" t="n"/>
      <c r="X2862" s="5" t="inlineStr">
        <is>
          <t>Labour + plant + material as published; reconciles to the published rate.</t>
        </is>
      </c>
    </row>
    <row r="2863" ht="13" customHeight="1">
      <c r="A2863" s="4" t="n">
        <v>4262</v>
      </c>
      <c r="B2863" s="5" t="inlineStr">
        <is>
          <t>IMG_0123</t>
        </is>
      </c>
      <c r="C2863" s="5" t="inlineStr">
        <is>
          <t>CLASS Q: PILING ANCILLARIES</t>
        </is>
      </c>
      <c r="D2863" s="5" t="inlineStr">
        <is>
          <t>01 CAST IN PLACE CONCRETE PILES</t>
        </is>
      </c>
      <c r="E2863" s="5" t="inlineStr">
        <is>
          <t>Reinforcement; high tensile steel; Straight bars, nominal size</t>
        </is>
      </c>
      <c r="F2863" s="5" t="inlineStr">
        <is>
          <t>16 mm</t>
        </is>
      </c>
      <c r="G2863" s="6" t="inlineStr">
        <is>
          <t>t</t>
        </is>
      </c>
      <c r="H2863" s="7" t="n">
        <v>4.66</v>
      </c>
      <c r="I2863" s="8" t="n">
        <v>785.96</v>
      </c>
      <c r="J2863" s="8" t="n">
        <v>107.84</v>
      </c>
      <c r="K2863" s="8" t="n">
        <v>1150.73</v>
      </c>
      <c r="L2863" s="8" t="n">
        <v>0</v>
      </c>
      <c r="M2863" s="9">
        <f>ROUND(SUM(I2863:L2863),2)</f>
        <v/>
      </c>
      <c r="N2863" s="10">
        <f>ROUND(I2863*'Irish Basis'!$C$6*'Irish Basis'!$C$5,2)</f>
        <v/>
      </c>
      <c r="O2863" s="10">
        <f>ROUND(J2863*'Irish Basis'!$C$7*'Irish Basis'!$C$5,2)</f>
        <v/>
      </c>
      <c r="P2863" s="10">
        <f>ROUND(K2863*'Irish Basis'!$C$8*'Irish Basis'!$C$5,2)</f>
        <v/>
      </c>
      <c r="Q2863" s="10">
        <f>ROUND(L2863*'Irish Basis'!$C$12*'Irish Basis'!$C$5,2)</f>
        <v/>
      </c>
      <c r="R2863" s="11">
        <f>ROUND(SUM(N2863:Q2863),2)</f>
        <v/>
      </c>
      <c r="S2863" s="5" t="inlineStr">
        <is>
          <t>Stated build-up</t>
        </is>
      </c>
      <c r="T2863" s="12" t="inlineStr">
        <is>
          <t>High</t>
        </is>
      </c>
      <c r="U2863" s="8" t="n">
        <v>2044.53</v>
      </c>
      <c r="V2863" s="13">
        <f>IF(U2863="","",ROUND(M2863-U2863,2))</f>
        <v/>
      </c>
      <c r="W2863" s="5" t="n"/>
      <c r="X2863" s="5" t="inlineStr">
        <is>
          <t>Labour + plant + material as published; reconciles to the published rate.</t>
        </is>
      </c>
    </row>
    <row r="2864" ht="13" customHeight="1">
      <c r="A2864" s="4" t="n">
        <v>4263</v>
      </c>
      <c r="B2864" s="5" t="inlineStr">
        <is>
          <t>IMG_0123</t>
        </is>
      </c>
      <c r="C2864" s="5" t="inlineStr">
        <is>
          <t>CLASS Q: PILING ANCILLARIES</t>
        </is>
      </c>
      <c r="D2864" s="5" t="inlineStr">
        <is>
          <t>01 CAST IN PLACE CONCRETE PILES</t>
        </is>
      </c>
      <c r="E2864" s="5" t="inlineStr">
        <is>
          <t>Reinforcement; high tensile steel; Straight bars, nominal size</t>
        </is>
      </c>
      <c r="F2864" s="5" t="inlineStr">
        <is>
          <t>25 mm</t>
        </is>
      </c>
      <c r="G2864" s="6" t="inlineStr">
        <is>
          <t>t</t>
        </is>
      </c>
      <c r="H2864" s="7" t="n">
        <v>4.66</v>
      </c>
      <c r="I2864" s="8" t="n">
        <v>785.96</v>
      </c>
      <c r="J2864" s="8" t="n">
        <v>107.84</v>
      </c>
      <c r="K2864" s="8" t="n">
        <v>1150.73</v>
      </c>
      <c r="L2864" s="8" t="n">
        <v>0</v>
      </c>
      <c r="M2864" s="9">
        <f>ROUND(SUM(I2864:L2864),2)</f>
        <v/>
      </c>
      <c r="N2864" s="10">
        <f>ROUND(I2864*'Irish Basis'!$C$6*'Irish Basis'!$C$5,2)</f>
        <v/>
      </c>
      <c r="O2864" s="10">
        <f>ROUND(J2864*'Irish Basis'!$C$7*'Irish Basis'!$C$5,2)</f>
        <v/>
      </c>
      <c r="P2864" s="10">
        <f>ROUND(K2864*'Irish Basis'!$C$8*'Irish Basis'!$C$5,2)</f>
        <v/>
      </c>
      <c r="Q2864" s="10">
        <f>ROUND(L2864*'Irish Basis'!$C$12*'Irish Basis'!$C$5,2)</f>
        <v/>
      </c>
      <c r="R2864" s="11">
        <f>ROUND(SUM(N2864:Q2864),2)</f>
        <v/>
      </c>
      <c r="S2864" s="5" t="inlineStr">
        <is>
          <t>Stated build-up</t>
        </is>
      </c>
      <c r="T2864" s="12" t="inlineStr">
        <is>
          <t>High</t>
        </is>
      </c>
      <c r="U2864" s="8" t="n">
        <v>2044.53</v>
      </c>
      <c r="V2864" s="13">
        <f>IF(U2864="","",ROUND(M2864-U2864,2))</f>
        <v/>
      </c>
      <c r="W2864" s="5" t="n"/>
      <c r="X2864" s="5" t="inlineStr">
        <is>
          <t>Labour + plant + material as published; reconciles to the published rate.</t>
        </is>
      </c>
    </row>
    <row r="2865" ht="13" customHeight="1">
      <c r="A2865" s="4" t="n">
        <v>4264</v>
      </c>
      <c r="B2865" s="5" t="inlineStr">
        <is>
          <t>IMG_0123</t>
        </is>
      </c>
      <c r="C2865" s="5" t="inlineStr">
        <is>
          <t>CLASS Q: PILING ANCILLARIES</t>
        </is>
      </c>
      <c r="D2865" s="5" t="inlineStr">
        <is>
          <t>01 CAST IN PLACE CONCRETE PILES</t>
        </is>
      </c>
      <c r="E2865" s="5" t="inlineStr">
        <is>
          <t>Reinforcement; high tensile steel; Straight bars, nominal size</t>
        </is>
      </c>
      <c r="F2865" s="5" t="inlineStr">
        <is>
          <t>32 mm</t>
        </is>
      </c>
      <c r="G2865" s="6" t="inlineStr">
        <is>
          <t>t</t>
        </is>
      </c>
      <c r="H2865" s="7" t="n">
        <v>4.66</v>
      </c>
      <c r="I2865" s="8" t="n">
        <v>785.96</v>
      </c>
      <c r="J2865" s="8" t="n">
        <v>107.84</v>
      </c>
      <c r="K2865" s="8" t="n">
        <v>1150.73</v>
      </c>
      <c r="L2865" s="8" t="n">
        <v>0</v>
      </c>
      <c r="M2865" s="9">
        <f>ROUND(SUM(I2865:L2865),2)</f>
        <v/>
      </c>
      <c r="N2865" s="10">
        <f>ROUND(I2865*'Irish Basis'!$C$6*'Irish Basis'!$C$5,2)</f>
        <v/>
      </c>
      <c r="O2865" s="10">
        <f>ROUND(J2865*'Irish Basis'!$C$7*'Irish Basis'!$C$5,2)</f>
        <v/>
      </c>
      <c r="P2865" s="10">
        <f>ROUND(K2865*'Irish Basis'!$C$8*'Irish Basis'!$C$5,2)</f>
        <v/>
      </c>
      <c r="Q2865" s="10">
        <f>ROUND(L2865*'Irish Basis'!$C$12*'Irish Basis'!$C$5,2)</f>
        <v/>
      </c>
      <c r="R2865" s="11">
        <f>ROUND(SUM(N2865:Q2865),2)</f>
        <v/>
      </c>
      <c r="S2865" s="5" t="inlineStr">
        <is>
          <t>Stated build-up</t>
        </is>
      </c>
      <c r="T2865" s="12" t="inlineStr">
        <is>
          <t>High</t>
        </is>
      </c>
      <c r="U2865" s="8" t="n">
        <v>2044.53</v>
      </c>
      <c r="V2865" s="13">
        <f>IF(U2865="","",ROUND(M2865-U2865,2))</f>
        <v/>
      </c>
      <c r="W2865" s="5" t="n"/>
      <c r="X2865" s="5" t="inlineStr">
        <is>
          <t>Labour + plant + material as published; reconciles to the published rate.</t>
        </is>
      </c>
    </row>
    <row r="2866" ht="13" customHeight="1">
      <c r="A2866" s="4" t="n">
        <v>4265</v>
      </c>
      <c r="B2866" s="5" t="inlineStr">
        <is>
          <t>IMG_0123</t>
        </is>
      </c>
      <c r="C2866" s="5" t="inlineStr">
        <is>
          <t>CLASS Q: PILING ANCILLARIES</t>
        </is>
      </c>
      <c r="D2866" s="5" t="inlineStr">
        <is>
          <t>01 CAST IN PLACE CONCRETE PILES</t>
        </is>
      </c>
      <c r="E2866" s="5" t="inlineStr">
        <is>
          <t>Reinforcement; high tensile steel; Straight bars, nominal size</t>
        </is>
      </c>
      <c r="F2866" s="5" t="inlineStr">
        <is>
          <t>50 mm</t>
        </is>
      </c>
      <c r="G2866" s="6" t="inlineStr">
        <is>
          <t>t</t>
        </is>
      </c>
      <c r="H2866" s="7" t="n">
        <v>4.66</v>
      </c>
      <c r="I2866" s="8" t="n">
        <v>785.96</v>
      </c>
      <c r="J2866" s="8" t="n">
        <v>107.84</v>
      </c>
      <c r="K2866" s="8" t="n">
        <v>1150.73</v>
      </c>
      <c r="L2866" s="8" t="n">
        <v>0</v>
      </c>
      <c r="M2866" s="9">
        <f>ROUND(SUM(I2866:L2866),2)</f>
        <v/>
      </c>
      <c r="N2866" s="10">
        <f>ROUND(I2866*'Irish Basis'!$C$6*'Irish Basis'!$C$5,2)</f>
        <v/>
      </c>
      <c r="O2866" s="10">
        <f>ROUND(J2866*'Irish Basis'!$C$7*'Irish Basis'!$C$5,2)</f>
        <v/>
      </c>
      <c r="P2866" s="10">
        <f>ROUND(K2866*'Irish Basis'!$C$8*'Irish Basis'!$C$5,2)</f>
        <v/>
      </c>
      <c r="Q2866" s="10">
        <f>ROUND(L2866*'Irish Basis'!$C$12*'Irish Basis'!$C$5,2)</f>
        <v/>
      </c>
      <c r="R2866" s="11">
        <f>ROUND(SUM(N2866:Q2866),2)</f>
        <v/>
      </c>
      <c r="S2866" s="5" t="inlineStr">
        <is>
          <t>Stated build-up</t>
        </is>
      </c>
      <c r="T2866" s="12" t="inlineStr">
        <is>
          <t>High</t>
        </is>
      </c>
      <c r="U2866" s="8" t="n">
        <v>2044.53</v>
      </c>
      <c r="V2866" s="13">
        <f>IF(U2866="","",ROUND(M2866-U2866,2))</f>
        <v/>
      </c>
      <c r="W2866" s="5" t="n"/>
      <c r="X2866" s="5" t="inlineStr">
        <is>
          <t>Labour + plant + material as published; reconciles to the published rate.</t>
        </is>
      </c>
    </row>
    <row r="2867" ht="13" customHeight="1">
      <c r="A2867" s="4" t="n">
        <v>4267</v>
      </c>
      <c r="B2867" s="5" t="inlineStr">
        <is>
          <t>IMG_0123</t>
        </is>
      </c>
      <c r="C2867" s="5" t="inlineStr">
        <is>
          <t>CLASS Q: PILING ANCILLARIES</t>
        </is>
      </c>
      <c r="D2867" s="5" t="inlineStr">
        <is>
          <t>01 CAST IN PLACE CONCRETE PILES</t>
        </is>
      </c>
      <c r="E2867" s="5" t="inlineStr">
        <is>
          <t>Helical bars, nominal size (high tensile steel)</t>
        </is>
      </c>
      <c r="F2867" s="5" t="inlineStr">
        <is>
          <t>6 mm</t>
        </is>
      </c>
      <c r="G2867" s="6" t="inlineStr">
        <is>
          <t>t</t>
        </is>
      </c>
      <c r="H2867" s="7" t="n">
        <v>8.4</v>
      </c>
      <c r="I2867" s="8" t="n">
        <v>1416.14</v>
      </c>
      <c r="J2867" s="8" t="n">
        <v>194.3</v>
      </c>
      <c r="K2867" s="8" t="n">
        <v>1290.19</v>
      </c>
      <c r="L2867" s="8" t="n">
        <v>0</v>
      </c>
      <c r="M2867" s="9">
        <f>ROUND(SUM(I2867:L2867),2)</f>
        <v/>
      </c>
      <c r="N2867" s="10">
        <f>ROUND(I2867*'Irish Basis'!$C$6*'Irish Basis'!$C$5,2)</f>
        <v/>
      </c>
      <c r="O2867" s="10">
        <f>ROUND(J2867*'Irish Basis'!$C$7*'Irish Basis'!$C$5,2)</f>
        <v/>
      </c>
      <c r="P2867" s="10">
        <f>ROUND(K2867*'Irish Basis'!$C$8*'Irish Basis'!$C$5,2)</f>
        <v/>
      </c>
      <c r="Q2867" s="10">
        <f>ROUND(L2867*'Irish Basis'!$C$12*'Irish Basis'!$C$5,2)</f>
        <v/>
      </c>
      <c r="R2867" s="11">
        <f>ROUND(SUM(N2867:Q2867),2)</f>
        <v/>
      </c>
      <c r="S2867" s="5" t="inlineStr">
        <is>
          <t>Stated build-up</t>
        </is>
      </c>
      <c r="T2867" s="12" t="inlineStr">
        <is>
          <t>High</t>
        </is>
      </c>
      <c r="U2867" s="8" t="n">
        <v>2900.63</v>
      </c>
      <c r="V2867" s="13">
        <f>IF(U2867="","",ROUND(M2867-U2867,2))</f>
        <v/>
      </c>
      <c r="W2867" s="5" t="n"/>
      <c r="X2867" s="5" t="inlineStr">
        <is>
          <t>Labour + plant + material as published; reconciles to the published rate.</t>
        </is>
      </c>
    </row>
    <row r="2868" ht="13" customHeight="1">
      <c r="A2868" s="4" t="n">
        <v>4268</v>
      </c>
      <c r="B2868" s="5" t="inlineStr">
        <is>
          <t>IMG_0123</t>
        </is>
      </c>
      <c r="C2868" s="5" t="inlineStr">
        <is>
          <t>CLASS Q: PILING ANCILLARIES</t>
        </is>
      </c>
      <c r="D2868" s="5" t="inlineStr">
        <is>
          <t>01 CAST IN PLACE CONCRETE PILES</t>
        </is>
      </c>
      <c r="E2868" s="5" t="inlineStr">
        <is>
          <t>Helical bars, nominal size (high tensile steel)</t>
        </is>
      </c>
      <c r="F2868" s="5" t="inlineStr">
        <is>
          <t>8 mm</t>
        </is>
      </c>
      <c r="G2868" s="6" t="inlineStr">
        <is>
          <t>t</t>
        </is>
      </c>
      <c r="H2868" s="7" t="n">
        <v>7.08</v>
      </c>
      <c r="I2868" s="8" t="n">
        <v>1193.1</v>
      </c>
      <c r="J2868" s="8" t="n">
        <v>163.7</v>
      </c>
      <c r="K2868" s="8" t="n">
        <v>1413.06</v>
      </c>
      <c r="L2868" s="8" t="n">
        <v>0</v>
      </c>
      <c r="M2868" s="9">
        <f>ROUND(SUM(I2868:L2868),2)</f>
        <v/>
      </c>
      <c r="N2868" s="10">
        <f>ROUND(I2868*'Irish Basis'!$C$6*'Irish Basis'!$C$5,2)</f>
        <v/>
      </c>
      <c r="O2868" s="10">
        <f>ROUND(J2868*'Irish Basis'!$C$7*'Irish Basis'!$C$5,2)</f>
        <v/>
      </c>
      <c r="P2868" s="10">
        <f>ROUND(K2868*'Irish Basis'!$C$8*'Irish Basis'!$C$5,2)</f>
        <v/>
      </c>
      <c r="Q2868" s="10">
        <f>ROUND(L2868*'Irish Basis'!$C$12*'Irish Basis'!$C$5,2)</f>
        <v/>
      </c>
      <c r="R2868" s="11">
        <f>ROUND(SUM(N2868:Q2868),2)</f>
        <v/>
      </c>
      <c r="S2868" s="5" t="inlineStr">
        <is>
          <t>Stated build-up</t>
        </is>
      </c>
      <c r="T2868" s="12" t="inlineStr">
        <is>
          <t>High</t>
        </is>
      </c>
      <c r="U2868" s="8" t="n">
        <v>2769.86</v>
      </c>
      <c r="V2868" s="13">
        <f>IF(U2868="","",ROUND(M2868-U2868,2))</f>
        <v/>
      </c>
      <c r="W2868" s="5" t="n"/>
      <c r="X2868" s="5" t="inlineStr">
        <is>
          <t>Labour + plant + material as published; reconciles to the published rate.</t>
        </is>
      </c>
    </row>
    <row r="2869" ht="13" customHeight="1">
      <c r="A2869" s="4" t="n">
        <v>4269</v>
      </c>
      <c r="B2869" s="5" t="inlineStr">
        <is>
          <t>IMG_0123</t>
        </is>
      </c>
      <c r="C2869" s="5" t="inlineStr">
        <is>
          <t>CLASS Q: PILING ANCILLARIES</t>
        </is>
      </c>
      <c r="D2869" s="5" t="inlineStr">
        <is>
          <t>01 CAST IN PLACE CONCRETE PILES</t>
        </is>
      </c>
      <c r="E2869" s="5" t="inlineStr">
        <is>
          <t>Helical bars, nominal size (high tensile steel)</t>
        </is>
      </c>
      <c r="F2869" s="5" t="inlineStr">
        <is>
          <t>10 mm</t>
        </is>
      </c>
      <c r="G2869" s="6" t="inlineStr">
        <is>
          <t>t</t>
        </is>
      </c>
      <c r="H2869" s="7" t="n">
        <v>7.08</v>
      </c>
      <c r="I2869" s="8" t="n">
        <v>1193.1</v>
      </c>
      <c r="J2869" s="8" t="n">
        <v>163.7</v>
      </c>
      <c r="K2869" s="8" t="n">
        <v>1413.06</v>
      </c>
      <c r="L2869" s="8" t="n">
        <v>0</v>
      </c>
      <c r="M2869" s="9">
        <f>ROUND(SUM(I2869:L2869),2)</f>
        <v/>
      </c>
      <c r="N2869" s="10">
        <f>ROUND(I2869*'Irish Basis'!$C$6*'Irish Basis'!$C$5,2)</f>
        <v/>
      </c>
      <c r="O2869" s="10">
        <f>ROUND(J2869*'Irish Basis'!$C$7*'Irish Basis'!$C$5,2)</f>
        <v/>
      </c>
      <c r="P2869" s="10">
        <f>ROUND(K2869*'Irish Basis'!$C$8*'Irish Basis'!$C$5,2)</f>
        <v/>
      </c>
      <c r="Q2869" s="10">
        <f>ROUND(L2869*'Irish Basis'!$C$12*'Irish Basis'!$C$5,2)</f>
        <v/>
      </c>
      <c r="R2869" s="11">
        <f>ROUND(SUM(N2869:Q2869),2)</f>
        <v/>
      </c>
      <c r="S2869" s="5" t="inlineStr">
        <is>
          <t>Stated build-up</t>
        </is>
      </c>
      <c r="T2869" s="12" t="inlineStr">
        <is>
          <t>High</t>
        </is>
      </c>
      <c r="U2869" s="8" t="n">
        <v>2769.86</v>
      </c>
      <c r="V2869" s="13">
        <f>IF(U2869="","",ROUND(M2869-U2869,2))</f>
        <v/>
      </c>
      <c r="W2869" s="5" t="n"/>
      <c r="X2869" s="5" t="inlineStr">
        <is>
          <t>Labour + plant + material as published; reconciles to the published rate.</t>
        </is>
      </c>
    </row>
    <row r="2870" ht="13" customHeight="1">
      <c r="A2870" s="4" t="n">
        <v>4270</v>
      </c>
      <c r="B2870" s="5" t="inlineStr">
        <is>
          <t>IMG_0123</t>
        </is>
      </c>
      <c r="C2870" s="5" t="inlineStr">
        <is>
          <t>CLASS Q: PILING ANCILLARIES</t>
        </is>
      </c>
      <c r="D2870" s="5" t="inlineStr">
        <is>
          <t>01 CAST IN PLACE CONCRETE PILES</t>
        </is>
      </c>
      <c r="E2870" s="5" t="inlineStr">
        <is>
          <t>Helical bars, nominal size (high tensile steel)</t>
        </is>
      </c>
      <c r="F2870" s="5" t="inlineStr">
        <is>
          <t>12 mm</t>
        </is>
      </c>
      <c r="G2870" s="6" t="inlineStr">
        <is>
          <t>t</t>
        </is>
      </c>
      <c r="H2870" s="7" t="n">
        <v>7.08</v>
      </c>
      <c r="I2870" s="8" t="n">
        <v>1193.1</v>
      </c>
      <c r="J2870" s="8" t="n">
        <v>163.7</v>
      </c>
      <c r="K2870" s="8" t="n">
        <v>1413.08</v>
      </c>
      <c r="L2870" s="8" t="n">
        <v>0</v>
      </c>
      <c r="M2870" s="9">
        <f>ROUND(SUM(I2870:L2870),2)</f>
        <v/>
      </c>
      <c r="N2870" s="10">
        <f>ROUND(I2870*'Irish Basis'!$C$6*'Irish Basis'!$C$5,2)</f>
        <v/>
      </c>
      <c r="O2870" s="10">
        <f>ROUND(J2870*'Irish Basis'!$C$7*'Irish Basis'!$C$5,2)</f>
        <v/>
      </c>
      <c r="P2870" s="10">
        <f>ROUND(K2870*'Irish Basis'!$C$8*'Irish Basis'!$C$5,2)</f>
        <v/>
      </c>
      <c r="Q2870" s="10">
        <f>ROUND(L2870*'Irish Basis'!$C$12*'Irish Basis'!$C$5,2)</f>
        <v/>
      </c>
      <c r="R2870" s="11">
        <f>ROUND(SUM(N2870:Q2870),2)</f>
        <v/>
      </c>
      <c r="S2870" s="5" t="inlineStr">
        <is>
          <t>Stated build-up</t>
        </is>
      </c>
      <c r="T2870" s="12" t="inlineStr">
        <is>
          <t>High</t>
        </is>
      </c>
      <c r="U2870" s="8" t="n">
        <v>2769.88</v>
      </c>
      <c r="V2870" s="13">
        <f>IF(U2870="","",ROUND(M2870-U2870,2))</f>
        <v/>
      </c>
      <c r="W2870" s="5" t="n"/>
      <c r="X2870" s="5" t="inlineStr">
        <is>
          <t>Labour + plant + material as published; reconciles to the published rate.</t>
        </is>
      </c>
    </row>
    <row r="2871" ht="13" customHeight="1">
      <c r="A2871" s="4" t="n">
        <v>4272</v>
      </c>
      <c r="B2871" s="5" t="inlineStr">
        <is>
          <t>IMG_0123</t>
        </is>
      </c>
      <c r="C2871" s="5" t="inlineStr">
        <is>
          <t>CLASS Q: PILING ANCILLARIES</t>
        </is>
      </c>
      <c r="D2871" s="5" t="inlineStr">
        <is>
          <t>01 CAST IN PLACE CONCRETE PILES</t>
        </is>
      </c>
      <c r="E2871" s="5" t="inlineStr">
        <is>
          <t>Couplers; Lenton type A; threaded ends on reinforcing bars</t>
        </is>
      </c>
      <c r="F2871" s="5" t="inlineStr">
        <is>
          <t>12 mm</t>
        </is>
      </c>
      <c r="G2871" s="6" t="inlineStr">
        <is>
          <t>nr</t>
        </is>
      </c>
      <c r="H2871" s="7" t="n">
        <v>0.1</v>
      </c>
      <c r="I2871" s="8" t="n">
        <v>16.86</v>
      </c>
      <c r="J2871" s="8" t="n">
        <v>0</v>
      </c>
      <c r="K2871" s="8" t="n">
        <v>14.03</v>
      </c>
      <c r="L2871" s="8" t="n">
        <v>0</v>
      </c>
      <c r="M2871" s="9">
        <f>ROUND(SUM(I2871:L2871),2)</f>
        <v/>
      </c>
      <c r="N2871" s="10">
        <f>ROUND(I2871*'Irish Basis'!$C$6*'Irish Basis'!$C$5,2)</f>
        <v/>
      </c>
      <c r="O2871" s="10">
        <f>ROUND(J2871*'Irish Basis'!$C$7*'Irish Basis'!$C$5,2)</f>
        <v/>
      </c>
      <c r="P2871" s="10">
        <f>ROUND(K2871*'Irish Basis'!$C$8*'Irish Basis'!$C$5,2)</f>
        <v/>
      </c>
      <c r="Q2871" s="10">
        <f>ROUND(L2871*'Irish Basis'!$C$12*'Irish Basis'!$C$5,2)</f>
        <v/>
      </c>
      <c r="R2871" s="11">
        <f>ROUND(SUM(N2871:Q2871),2)</f>
        <v/>
      </c>
      <c r="S2871" s="5" t="inlineStr">
        <is>
          <t>Stated build-up</t>
        </is>
      </c>
      <c r="T2871" s="12" t="inlineStr">
        <is>
          <t>High</t>
        </is>
      </c>
      <c r="U2871" s="8" t="n">
        <v>30.88</v>
      </c>
      <c r="V2871" s="13">
        <f>IF(U2871="","",ROUND(M2871-U2871,2))</f>
        <v/>
      </c>
      <c r="W2871" s="5" t="n"/>
      <c r="X2871" s="5" t="inlineStr">
        <is>
          <t>Labour + plant + material as published; reconciles to the published rate.</t>
        </is>
      </c>
    </row>
    <row r="2872" ht="13" customHeight="1">
      <c r="A2872" s="4" t="n">
        <v>4273</v>
      </c>
      <c r="B2872" s="5" t="inlineStr">
        <is>
          <t>IMG_0123</t>
        </is>
      </c>
      <c r="C2872" s="5" t="inlineStr">
        <is>
          <t>CLASS Q: PILING ANCILLARIES</t>
        </is>
      </c>
      <c r="D2872" s="5" t="inlineStr">
        <is>
          <t>01 CAST IN PLACE CONCRETE PILES</t>
        </is>
      </c>
      <c r="E2872" s="5" t="inlineStr">
        <is>
          <t>Couplers; Lenton type A; threaded ends on reinforcing bars</t>
        </is>
      </c>
      <c r="F2872" s="5" t="inlineStr">
        <is>
          <t>16 mm</t>
        </is>
      </c>
      <c r="G2872" s="6" t="inlineStr">
        <is>
          <t>nr</t>
        </is>
      </c>
      <c r="H2872" s="7" t="n">
        <v>0.1</v>
      </c>
      <c r="I2872" s="8" t="n">
        <v>16.86</v>
      </c>
      <c r="J2872" s="8" t="n">
        <v>0</v>
      </c>
      <c r="K2872" s="8" t="n">
        <v>16.58</v>
      </c>
      <c r="L2872" s="8" t="n">
        <v>0</v>
      </c>
      <c r="M2872" s="9">
        <f>ROUND(SUM(I2872:L2872),2)</f>
        <v/>
      </c>
      <c r="N2872" s="10">
        <f>ROUND(I2872*'Irish Basis'!$C$6*'Irish Basis'!$C$5,2)</f>
        <v/>
      </c>
      <c r="O2872" s="10">
        <f>ROUND(J2872*'Irish Basis'!$C$7*'Irish Basis'!$C$5,2)</f>
        <v/>
      </c>
      <c r="P2872" s="10">
        <f>ROUND(K2872*'Irish Basis'!$C$8*'Irish Basis'!$C$5,2)</f>
        <v/>
      </c>
      <c r="Q2872" s="10">
        <f>ROUND(L2872*'Irish Basis'!$C$12*'Irish Basis'!$C$5,2)</f>
        <v/>
      </c>
      <c r="R2872" s="11">
        <f>ROUND(SUM(N2872:Q2872),2)</f>
        <v/>
      </c>
      <c r="S2872" s="5" t="inlineStr">
        <is>
          <t>Stated build-up</t>
        </is>
      </c>
      <c r="T2872" s="12" t="inlineStr">
        <is>
          <t>High</t>
        </is>
      </c>
      <c r="U2872" s="8" t="n">
        <v>33.44</v>
      </c>
      <c r="V2872" s="13">
        <f>IF(U2872="","",ROUND(M2872-U2872,2))</f>
        <v/>
      </c>
      <c r="W2872" s="5" t="n"/>
      <c r="X2872" s="5" t="inlineStr">
        <is>
          <t>Labour + plant + material as published; reconciles to the published rate.</t>
        </is>
      </c>
    </row>
    <row r="2873" ht="13" customHeight="1">
      <c r="A2873" s="4" t="n">
        <v>4274</v>
      </c>
      <c r="B2873" s="5" t="inlineStr">
        <is>
          <t>IMG_0123</t>
        </is>
      </c>
      <c r="C2873" s="5" t="inlineStr">
        <is>
          <t>CLASS Q: PILING ANCILLARIES</t>
        </is>
      </c>
      <c r="D2873" s="5" t="inlineStr">
        <is>
          <t>01 CAST IN PLACE CONCRETE PILES</t>
        </is>
      </c>
      <c r="E2873" s="5" t="inlineStr">
        <is>
          <t>Couplers; Lenton type A; threaded ends on reinforcing bars</t>
        </is>
      </c>
      <c r="F2873" s="5" t="inlineStr">
        <is>
          <t>20 mm</t>
        </is>
      </c>
      <c r="G2873" s="6" t="inlineStr">
        <is>
          <t>nr</t>
        </is>
      </c>
      <c r="H2873" s="7" t="n">
        <v>0.1</v>
      </c>
      <c r="I2873" s="8" t="n">
        <v>16.86</v>
      </c>
      <c r="J2873" s="8" t="n">
        <v>0</v>
      </c>
      <c r="K2873" s="8" t="n">
        <v>24.57</v>
      </c>
      <c r="L2873" s="8" t="n">
        <v>0</v>
      </c>
      <c r="M2873" s="9">
        <f>ROUND(SUM(I2873:L2873),2)</f>
        <v/>
      </c>
      <c r="N2873" s="10">
        <f>ROUND(I2873*'Irish Basis'!$C$6*'Irish Basis'!$C$5,2)</f>
        <v/>
      </c>
      <c r="O2873" s="10">
        <f>ROUND(J2873*'Irish Basis'!$C$7*'Irish Basis'!$C$5,2)</f>
        <v/>
      </c>
      <c r="P2873" s="10">
        <f>ROUND(K2873*'Irish Basis'!$C$8*'Irish Basis'!$C$5,2)</f>
        <v/>
      </c>
      <c r="Q2873" s="10">
        <f>ROUND(L2873*'Irish Basis'!$C$12*'Irish Basis'!$C$5,2)</f>
        <v/>
      </c>
      <c r="R2873" s="11">
        <f>ROUND(SUM(N2873:Q2873),2)</f>
        <v/>
      </c>
      <c r="S2873" s="5" t="inlineStr">
        <is>
          <t>Stated build-up</t>
        </is>
      </c>
      <c r="T2873" s="12" t="inlineStr">
        <is>
          <t>High</t>
        </is>
      </c>
      <c r="U2873" s="8" t="n">
        <v>41.43</v>
      </c>
      <c r="V2873" s="13">
        <f>IF(U2873="","",ROUND(M2873-U2873,2))</f>
        <v/>
      </c>
      <c r="W2873" s="5" t="n"/>
      <c r="X2873" s="5" t="inlineStr">
        <is>
          <t>Labour + plant + material as published; reconciles to the published rate.</t>
        </is>
      </c>
    </row>
    <row r="2874" ht="13" customHeight="1">
      <c r="A2874" s="4" t="n">
        <v>4275</v>
      </c>
      <c r="B2874" s="5" t="inlineStr">
        <is>
          <t>IMG_0123</t>
        </is>
      </c>
      <c r="C2874" s="5" t="inlineStr">
        <is>
          <t>CLASS Q: PILING ANCILLARIES</t>
        </is>
      </c>
      <c r="D2874" s="5" t="inlineStr">
        <is>
          <t>01 CAST IN PLACE CONCRETE PILES</t>
        </is>
      </c>
      <c r="E2874" s="5" t="inlineStr">
        <is>
          <t>Couplers; Lenton type A; threaded ends on reinforcing bars</t>
        </is>
      </c>
      <c r="F2874" s="5" t="inlineStr">
        <is>
          <t>25 mm</t>
        </is>
      </c>
      <c r="G2874" s="6" t="inlineStr">
        <is>
          <t>nr</t>
        </is>
      </c>
      <c r="H2874" s="7" t="n">
        <v>0.1</v>
      </c>
      <c r="I2874" s="8" t="n">
        <v>16.86</v>
      </c>
      <c r="J2874" s="8" t="n">
        <v>0</v>
      </c>
      <c r="K2874" s="8" t="n">
        <v>33.9</v>
      </c>
      <c r="L2874" s="8" t="n">
        <v>0</v>
      </c>
      <c r="M2874" s="9">
        <f>ROUND(SUM(I2874:L2874),2)</f>
        <v/>
      </c>
      <c r="N2874" s="10">
        <f>ROUND(I2874*'Irish Basis'!$C$6*'Irish Basis'!$C$5,2)</f>
        <v/>
      </c>
      <c r="O2874" s="10">
        <f>ROUND(J2874*'Irish Basis'!$C$7*'Irish Basis'!$C$5,2)</f>
        <v/>
      </c>
      <c r="P2874" s="10">
        <f>ROUND(K2874*'Irish Basis'!$C$8*'Irish Basis'!$C$5,2)</f>
        <v/>
      </c>
      <c r="Q2874" s="10">
        <f>ROUND(L2874*'Irish Basis'!$C$12*'Irish Basis'!$C$5,2)</f>
        <v/>
      </c>
      <c r="R2874" s="11">
        <f>ROUND(SUM(N2874:Q2874),2)</f>
        <v/>
      </c>
      <c r="S2874" s="5" t="inlineStr">
        <is>
          <t>Stated build-up</t>
        </is>
      </c>
      <c r="T2874" s="12" t="inlineStr">
        <is>
          <t>High</t>
        </is>
      </c>
      <c r="U2874" s="8" t="n">
        <v>50.76</v>
      </c>
      <c r="V2874" s="13">
        <f>IF(U2874="","",ROUND(M2874-U2874,2))</f>
        <v/>
      </c>
      <c r="W2874" s="5" t="n"/>
      <c r="X2874" s="5" t="inlineStr">
        <is>
          <t>Labour + plant + material as published; reconciles to the published rate.</t>
        </is>
      </c>
    </row>
    <row r="2875" ht="13" customHeight="1">
      <c r="A2875" s="4" t="n">
        <v>4276</v>
      </c>
      <c r="B2875" s="5" t="inlineStr">
        <is>
          <t>IMG_0123</t>
        </is>
      </c>
      <c r="C2875" s="5" t="inlineStr">
        <is>
          <t>CLASS Q: PILING ANCILLARIES</t>
        </is>
      </c>
      <c r="D2875" s="5" t="inlineStr">
        <is>
          <t>01 CAST IN PLACE CONCRETE PILES</t>
        </is>
      </c>
      <c r="E2875" s="5" t="inlineStr">
        <is>
          <t>Couplers; Lenton type A; threaded ends on reinforcing bars</t>
        </is>
      </c>
      <c r="F2875" s="5" t="inlineStr">
        <is>
          <t>32 mm</t>
        </is>
      </c>
      <c r="G2875" s="6" t="inlineStr">
        <is>
          <t>nr</t>
        </is>
      </c>
      <c r="H2875" s="7" t="n">
        <v>0.1</v>
      </c>
      <c r="I2875" s="8" t="n">
        <v>16.86</v>
      </c>
      <c r="J2875" s="8" t="n">
        <v>0</v>
      </c>
      <c r="K2875" s="8" t="n">
        <v>45.7</v>
      </c>
      <c r="L2875" s="8" t="n">
        <v>0</v>
      </c>
      <c r="M2875" s="9">
        <f>ROUND(SUM(I2875:L2875),2)</f>
        <v/>
      </c>
      <c r="N2875" s="10">
        <f>ROUND(I2875*'Irish Basis'!$C$6*'Irish Basis'!$C$5,2)</f>
        <v/>
      </c>
      <c r="O2875" s="10">
        <f>ROUND(J2875*'Irish Basis'!$C$7*'Irish Basis'!$C$5,2)</f>
        <v/>
      </c>
      <c r="P2875" s="10">
        <f>ROUND(K2875*'Irish Basis'!$C$8*'Irish Basis'!$C$5,2)</f>
        <v/>
      </c>
      <c r="Q2875" s="10">
        <f>ROUND(L2875*'Irish Basis'!$C$12*'Irish Basis'!$C$5,2)</f>
        <v/>
      </c>
      <c r="R2875" s="11">
        <f>ROUND(SUM(N2875:Q2875),2)</f>
        <v/>
      </c>
      <c r="S2875" s="5" t="inlineStr">
        <is>
          <t>Stated build-up</t>
        </is>
      </c>
      <c r="T2875" s="12" t="inlineStr">
        <is>
          <t>High</t>
        </is>
      </c>
      <c r="U2875" s="8" t="n">
        <v>62.56</v>
      </c>
      <c r="V2875" s="13">
        <f>IF(U2875="","",ROUND(M2875-U2875,2))</f>
        <v/>
      </c>
      <c r="W2875" s="5" t="n"/>
      <c r="X2875" s="5" t="inlineStr">
        <is>
          <t>Labour + plant + material as published; reconciles to the published rate.</t>
        </is>
      </c>
    </row>
    <row r="2876" ht="13" customHeight="1">
      <c r="A2876" s="4" t="n">
        <v>4277</v>
      </c>
      <c r="B2876" s="5" t="inlineStr">
        <is>
          <t>IMG_0123</t>
        </is>
      </c>
      <c r="C2876" s="5" t="inlineStr">
        <is>
          <t>CLASS Q: PILING ANCILLARIES</t>
        </is>
      </c>
      <c r="D2876" s="5" t="inlineStr">
        <is>
          <t>01 CAST IN PLACE CONCRETE PILES</t>
        </is>
      </c>
      <c r="E2876" s="5" t="inlineStr">
        <is>
          <t>Couplers; Lenton type A; threaded ends on reinforcing bars</t>
        </is>
      </c>
      <c r="F2876" s="5" t="inlineStr">
        <is>
          <t>40 mm</t>
        </is>
      </c>
      <c r="G2876" s="6" t="inlineStr">
        <is>
          <t>nr</t>
        </is>
      </c>
      <c r="H2876" s="7" t="n">
        <v>0.1</v>
      </c>
      <c r="I2876" s="8" t="n">
        <v>16.86</v>
      </c>
      <c r="J2876" s="8" t="n">
        <v>0</v>
      </c>
      <c r="K2876" s="8" t="n">
        <v>63.5</v>
      </c>
      <c r="L2876" s="8" t="n">
        <v>0</v>
      </c>
      <c r="M2876" s="9">
        <f>ROUND(SUM(I2876:L2876),2)</f>
        <v/>
      </c>
      <c r="N2876" s="10">
        <f>ROUND(I2876*'Irish Basis'!$C$6*'Irish Basis'!$C$5,2)</f>
        <v/>
      </c>
      <c r="O2876" s="10">
        <f>ROUND(J2876*'Irish Basis'!$C$7*'Irish Basis'!$C$5,2)</f>
        <v/>
      </c>
      <c r="P2876" s="10">
        <f>ROUND(K2876*'Irish Basis'!$C$8*'Irish Basis'!$C$5,2)</f>
        <v/>
      </c>
      <c r="Q2876" s="10">
        <f>ROUND(L2876*'Irish Basis'!$C$12*'Irish Basis'!$C$5,2)</f>
        <v/>
      </c>
      <c r="R2876" s="11">
        <f>ROUND(SUM(N2876:Q2876),2)</f>
        <v/>
      </c>
      <c r="S2876" s="5" t="inlineStr">
        <is>
          <t>Stated build-up</t>
        </is>
      </c>
      <c r="T2876" s="12" t="inlineStr">
        <is>
          <t>High</t>
        </is>
      </c>
      <c r="U2876" s="8" t="n">
        <v>80.36</v>
      </c>
      <c r="V2876" s="13">
        <f>IF(U2876="","",ROUND(M2876-U2876,2))</f>
        <v/>
      </c>
      <c r="W2876" s="5" t="n"/>
      <c r="X2876" s="5" t="inlineStr">
        <is>
          <t>Labour + plant + material as published; reconciles to the published rate.</t>
        </is>
      </c>
    </row>
    <row r="2877" ht="13" customHeight="1">
      <c r="A2877" s="4" t="n">
        <v>4279</v>
      </c>
      <c r="B2877" s="5" t="inlineStr">
        <is>
          <t>IMG_0123</t>
        </is>
      </c>
      <c r="C2877" s="5" t="inlineStr">
        <is>
          <t>CLASS Q: PILING ANCILLARIES</t>
        </is>
      </c>
      <c r="D2877" s="5" t="inlineStr">
        <is>
          <t>01 CAST IN PLACE CONCRETE PILES</t>
        </is>
      </c>
      <c r="E2877" s="5" t="inlineStr">
        <is>
          <t>Couplers; Lenton type B; threaded ends on reinforcing bars</t>
        </is>
      </c>
      <c r="F2877" s="5" t="inlineStr">
        <is>
          <t>12 mm</t>
        </is>
      </c>
      <c r="G2877" s="6" t="inlineStr">
        <is>
          <t>nr</t>
        </is>
      </c>
      <c r="H2877" s="7" t="n">
        <v>0.1</v>
      </c>
      <c r="I2877" s="8" t="n">
        <v>16.86</v>
      </c>
      <c r="J2877" s="8" t="n">
        <v>0</v>
      </c>
      <c r="K2877" s="8" t="n">
        <v>44.36</v>
      </c>
      <c r="L2877" s="8" t="n">
        <v>0</v>
      </c>
      <c r="M2877" s="9">
        <f>ROUND(SUM(I2877:L2877),2)</f>
        <v/>
      </c>
      <c r="N2877" s="10">
        <f>ROUND(I2877*'Irish Basis'!$C$6*'Irish Basis'!$C$5,2)</f>
        <v/>
      </c>
      <c r="O2877" s="10">
        <f>ROUND(J2877*'Irish Basis'!$C$7*'Irish Basis'!$C$5,2)</f>
        <v/>
      </c>
      <c r="P2877" s="10">
        <f>ROUND(K2877*'Irish Basis'!$C$8*'Irish Basis'!$C$5,2)</f>
        <v/>
      </c>
      <c r="Q2877" s="10">
        <f>ROUND(L2877*'Irish Basis'!$C$12*'Irish Basis'!$C$5,2)</f>
        <v/>
      </c>
      <c r="R2877" s="11">
        <f>ROUND(SUM(N2877:Q2877),2)</f>
        <v/>
      </c>
      <c r="S2877" s="5" t="inlineStr">
        <is>
          <t>Stated build-up</t>
        </is>
      </c>
      <c r="T2877" s="12" t="inlineStr">
        <is>
          <t>High</t>
        </is>
      </c>
      <c r="U2877" s="8" t="n">
        <v>61.22</v>
      </c>
      <c r="V2877" s="13">
        <f>IF(U2877="","",ROUND(M2877-U2877,2))</f>
        <v/>
      </c>
      <c r="W2877" s="5" t="n"/>
      <c r="X2877" s="5" t="inlineStr">
        <is>
          <t>Labour + plant + material as published; reconciles to the published rate.</t>
        </is>
      </c>
    </row>
    <row r="2878" ht="13" customHeight="1">
      <c r="A2878" s="4" t="n">
        <v>4280</v>
      </c>
      <c r="B2878" s="5" t="inlineStr">
        <is>
          <t>IMG_0123</t>
        </is>
      </c>
      <c r="C2878" s="5" t="inlineStr">
        <is>
          <t>CLASS Q: PILING ANCILLARIES</t>
        </is>
      </c>
      <c r="D2878" s="5" t="inlineStr">
        <is>
          <t>01 CAST IN PLACE CONCRETE PILES</t>
        </is>
      </c>
      <c r="E2878" s="5" t="inlineStr">
        <is>
          <t>Couplers; Lenton type B; threaded ends on reinforcing bars</t>
        </is>
      </c>
      <c r="F2878" s="5" t="inlineStr">
        <is>
          <t>16 mm</t>
        </is>
      </c>
      <c r="G2878" s="6" t="inlineStr">
        <is>
          <t>nr</t>
        </is>
      </c>
      <c r="H2878" s="7" t="n">
        <v>0.1</v>
      </c>
      <c r="I2878" s="8" t="n">
        <v>16.86</v>
      </c>
      <c r="J2878" s="8" t="n">
        <v>0</v>
      </c>
      <c r="K2878" s="8" t="n">
        <v>51.59</v>
      </c>
      <c r="L2878" s="8" t="n">
        <v>0</v>
      </c>
      <c r="M2878" s="9">
        <f>ROUND(SUM(I2878:L2878),2)</f>
        <v/>
      </c>
      <c r="N2878" s="10">
        <f>ROUND(I2878*'Irish Basis'!$C$6*'Irish Basis'!$C$5,2)</f>
        <v/>
      </c>
      <c r="O2878" s="10">
        <f>ROUND(J2878*'Irish Basis'!$C$7*'Irish Basis'!$C$5,2)</f>
        <v/>
      </c>
      <c r="P2878" s="10">
        <f>ROUND(K2878*'Irish Basis'!$C$8*'Irish Basis'!$C$5,2)</f>
        <v/>
      </c>
      <c r="Q2878" s="10">
        <f>ROUND(L2878*'Irish Basis'!$C$12*'Irish Basis'!$C$5,2)</f>
        <v/>
      </c>
      <c r="R2878" s="11">
        <f>ROUND(SUM(N2878:Q2878),2)</f>
        <v/>
      </c>
      <c r="S2878" s="5" t="inlineStr">
        <is>
          <t>Stated build-up</t>
        </is>
      </c>
      <c r="T2878" s="12" t="inlineStr">
        <is>
          <t>High</t>
        </is>
      </c>
      <c r="U2878" s="8" t="n">
        <v>68.45</v>
      </c>
      <c r="V2878" s="13">
        <f>IF(U2878="","",ROUND(M2878-U2878,2))</f>
        <v/>
      </c>
      <c r="W2878" s="5" t="n"/>
      <c r="X2878" s="5" t="inlineStr">
        <is>
          <t>Labour + plant + material as published; reconciles to the published rate.</t>
        </is>
      </c>
    </row>
    <row r="2879" ht="13" customHeight="1">
      <c r="A2879" s="4" t="n">
        <v>4281</v>
      </c>
      <c r="B2879" s="5" t="inlineStr">
        <is>
          <t>IMG_0123</t>
        </is>
      </c>
      <c r="C2879" s="5" t="inlineStr">
        <is>
          <t>CLASS Q: PILING ANCILLARIES</t>
        </is>
      </c>
      <c r="D2879" s="5" t="inlineStr">
        <is>
          <t>01 CAST IN PLACE CONCRETE PILES</t>
        </is>
      </c>
      <c r="E2879" s="5" t="inlineStr">
        <is>
          <t>Couplers; Lenton type B; threaded ends on reinforcing bars</t>
        </is>
      </c>
      <c r="F2879" s="5" t="inlineStr">
        <is>
          <t>20 mm</t>
        </is>
      </c>
      <c r="G2879" s="6" t="inlineStr">
        <is>
          <t>nr</t>
        </is>
      </c>
      <c r="H2879" s="7" t="n">
        <v>0.1</v>
      </c>
      <c r="I2879" s="8" t="n">
        <v>16.86</v>
      </c>
      <c r="J2879" s="8" t="n">
        <v>0</v>
      </c>
      <c r="K2879" s="8" t="n">
        <v>56.2</v>
      </c>
      <c r="L2879" s="8" t="n">
        <v>0</v>
      </c>
      <c r="M2879" s="9">
        <f>ROUND(SUM(I2879:L2879),2)</f>
        <v/>
      </c>
      <c r="N2879" s="10">
        <f>ROUND(I2879*'Irish Basis'!$C$6*'Irish Basis'!$C$5,2)</f>
        <v/>
      </c>
      <c r="O2879" s="10">
        <f>ROUND(J2879*'Irish Basis'!$C$7*'Irish Basis'!$C$5,2)</f>
        <v/>
      </c>
      <c r="P2879" s="10">
        <f>ROUND(K2879*'Irish Basis'!$C$8*'Irish Basis'!$C$5,2)</f>
        <v/>
      </c>
      <c r="Q2879" s="10">
        <f>ROUND(L2879*'Irish Basis'!$C$12*'Irish Basis'!$C$5,2)</f>
        <v/>
      </c>
      <c r="R2879" s="11">
        <f>ROUND(SUM(N2879:Q2879),2)</f>
        <v/>
      </c>
      <c r="S2879" s="5" t="inlineStr">
        <is>
          <t>Stated build-up</t>
        </is>
      </c>
      <c r="T2879" s="12" t="inlineStr">
        <is>
          <t>High</t>
        </is>
      </c>
      <c r="U2879" s="8" t="n">
        <v>73.06</v>
      </c>
      <c r="V2879" s="13">
        <f>IF(U2879="","",ROUND(M2879-U2879,2))</f>
        <v/>
      </c>
      <c r="W2879" s="5" t="n"/>
      <c r="X2879" s="5" t="inlineStr">
        <is>
          <t>Labour + plant + material as published; reconciles to the published rate.</t>
        </is>
      </c>
    </row>
    <row r="2880" ht="13" customHeight="1">
      <c r="A2880" s="4" t="n">
        <v>4282</v>
      </c>
      <c r="B2880" s="5" t="inlineStr">
        <is>
          <t>IMG_0123</t>
        </is>
      </c>
      <c r="C2880" s="5" t="inlineStr">
        <is>
          <t>CLASS Q: PILING ANCILLARIES</t>
        </is>
      </c>
      <c r="D2880" s="5" t="inlineStr">
        <is>
          <t>01 CAST IN PLACE CONCRETE PILES</t>
        </is>
      </c>
      <c r="E2880" s="5" t="inlineStr">
        <is>
          <t>Couplers; Lenton type B; threaded ends on reinforcing bars</t>
        </is>
      </c>
      <c r="F2880" s="5" t="inlineStr">
        <is>
          <t>25 mm</t>
        </is>
      </c>
      <c r="G2880" s="6" t="inlineStr">
        <is>
          <t>nr</t>
        </is>
      </c>
      <c r="H2880" s="7" t="n">
        <v>0.1</v>
      </c>
      <c r="I2880" s="8" t="n">
        <v>16.86</v>
      </c>
      <c r="J2880" s="8" t="n">
        <v>0</v>
      </c>
      <c r="K2880" s="8" t="n">
        <v>65.98999999999999</v>
      </c>
      <c r="L2880" s="8" t="n">
        <v>0</v>
      </c>
      <c r="M2880" s="9">
        <f>ROUND(SUM(I2880:L2880),2)</f>
        <v/>
      </c>
      <c r="N2880" s="10">
        <f>ROUND(I2880*'Irish Basis'!$C$6*'Irish Basis'!$C$5,2)</f>
        <v/>
      </c>
      <c r="O2880" s="10">
        <f>ROUND(J2880*'Irish Basis'!$C$7*'Irish Basis'!$C$5,2)</f>
        <v/>
      </c>
      <c r="P2880" s="10">
        <f>ROUND(K2880*'Irish Basis'!$C$8*'Irish Basis'!$C$5,2)</f>
        <v/>
      </c>
      <c r="Q2880" s="10">
        <f>ROUND(L2880*'Irish Basis'!$C$12*'Irish Basis'!$C$5,2)</f>
        <v/>
      </c>
      <c r="R2880" s="11">
        <f>ROUND(SUM(N2880:Q2880),2)</f>
        <v/>
      </c>
      <c r="S2880" s="5" t="inlineStr">
        <is>
          <t>Stated build-up</t>
        </is>
      </c>
      <c r="T2880" s="12" t="inlineStr">
        <is>
          <t>High</t>
        </is>
      </c>
      <c r="U2880" s="8" t="n">
        <v>82.84999999999999</v>
      </c>
      <c r="V2880" s="13">
        <f>IF(U2880="","",ROUND(M2880-U2880,2))</f>
        <v/>
      </c>
      <c r="W2880" s="5" t="n"/>
      <c r="X2880" s="5" t="inlineStr">
        <is>
          <t>Labour + plant + material as published; reconciles to the published rate.</t>
        </is>
      </c>
    </row>
    <row r="2881" ht="13" customHeight="1">
      <c r="A2881" s="4" t="n">
        <v>4283</v>
      </c>
      <c r="B2881" s="5" t="inlineStr">
        <is>
          <t>IMG_0123</t>
        </is>
      </c>
      <c r="C2881" s="5" t="inlineStr">
        <is>
          <t>CLASS Q: PILING ANCILLARIES</t>
        </is>
      </c>
      <c r="D2881" s="5" t="inlineStr">
        <is>
          <t>01 CAST IN PLACE CONCRETE PILES</t>
        </is>
      </c>
      <c r="E2881" s="5" t="inlineStr">
        <is>
          <t>Couplers; Lenton type B; threaded ends on reinforcing bars</t>
        </is>
      </c>
      <c r="F2881" s="5" t="inlineStr">
        <is>
          <t>32 mm</t>
        </is>
      </c>
      <c r="G2881" s="6" t="inlineStr">
        <is>
          <t>nr</t>
        </is>
      </c>
      <c r="H2881" s="7" t="n">
        <v>0.1</v>
      </c>
      <c r="I2881" s="8" t="n">
        <v>16.86</v>
      </c>
      <c r="J2881" s="8" t="n">
        <v>0</v>
      </c>
      <c r="K2881" s="8" t="n">
        <v>88.72</v>
      </c>
      <c r="L2881" s="8" t="n">
        <v>0</v>
      </c>
      <c r="M2881" s="9">
        <f>ROUND(SUM(I2881:L2881),2)</f>
        <v/>
      </c>
      <c r="N2881" s="10">
        <f>ROUND(I2881*'Irish Basis'!$C$6*'Irish Basis'!$C$5,2)</f>
        <v/>
      </c>
      <c r="O2881" s="10">
        <f>ROUND(J2881*'Irish Basis'!$C$7*'Irish Basis'!$C$5,2)</f>
        <v/>
      </c>
      <c r="P2881" s="10">
        <f>ROUND(K2881*'Irish Basis'!$C$8*'Irish Basis'!$C$5,2)</f>
        <v/>
      </c>
      <c r="Q2881" s="10">
        <f>ROUND(L2881*'Irish Basis'!$C$12*'Irish Basis'!$C$5,2)</f>
        <v/>
      </c>
      <c r="R2881" s="11">
        <f>ROUND(SUM(N2881:Q2881),2)</f>
        <v/>
      </c>
      <c r="S2881" s="5" t="inlineStr">
        <is>
          <t>Stated build-up</t>
        </is>
      </c>
      <c r="T2881" s="12" t="inlineStr">
        <is>
          <t>High</t>
        </is>
      </c>
      <c r="U2881" s="8" t="n">
        <v>105.58</v>
      </c>
      <c r="V2881" s="13">
        <f>IF(U2881="","",ROUND(M2881-U2881,2))</f>
        <v/>
      </c>
      <c r="W2881" s="5" t="n"/>
      <c r="X2881" s="5" t="inlineStr">
        <is>
          <t>Labour + plant + material as published; reconciles to the published rate.</t>
        </is>
      </c>
    </row>
    <row r="2882" ht="13" customHeight="1">
      <c r="A2882" s="4" t="n">
        <v>4284</v>
      </c>
      <c r="B2882" s="5" t="inlineStr">
        <is>
          <t>IMG_0123</t>
        </is>
      </c>
      <c r="C2882" s="5" t="inlineStr">
        <is>
          <t>CLASS Q: PILING ANCILLARIES</t>
        </is>
      </c>
      <c r="D2882" s="5" t="inlineStr">
        <is>
          <t>01 CAST IN PLACE CONCRETE PILES</t>
        </is>
      </c>
      <c r="E2882" s="5" t="inlineStr">
        <is>
          <t>Couplers; Lenton type B; threaded ends on reinforcing bars</t>
        </is>
      </c>
      <c r="F2882" s="5" t="inlineStr">
        <is>
          <t>40 mm</t>
        </is>
      </c>
      <c r="G2882" s="6" t="inlineStr">
        <is>
          <t>nr</t>
        </is>
      </c>
      <c r="H2882" s="7" t="n">
        <v>0.09</v>
      </c>
      <c r="I2882" s="8" t="n">
        <v>15.17</v>
      </c>
      <c r="J2882" s="8" t="n">
        <v>0</v>
      </c>
      <c r="K2882" s="8" t="n">
        <v>130.86</v>
      </c>
      <c r="L2882" s="8" t="n">
        <v>0</v>
      </c>
      <c r="M2882" s="9">
        <f>ROUND(SUM(I2882:L2882),2)</f>
        <v/>
      </c>
      <c r="N2882" s="10">
        <f>ROUND(I2882*'Irish Basis'!$C$6*'Irish Basis'!$C$5,2)</f>
        <v/>
      </c>
      <c r="O2882" s="10">
        <f>ROUND(J2882*'Irish Basis'!$C$7*'Irish Basis'!$C$5,2)</f>
        <v/>
      </c>
      <c r="P2882" s="10">
        <f>ROUND(K2882*'Irish Basis'!$C$8*'Irish Basis'!$C$5,2)</f>
        <v/>
      </c>
      <c r="Q2882" s="10">
        <f>ROUND(L2882*'Irish Basis'!$C$12*'Irish Basis'!$C$5,2)</f>
        <v/>
      </c>
      <c r="R2882" s="11">
        <f>ROUND(SUM(N2882:Q2882),2)</f>
        <v/>
      </c>
      <c r="S2882" s="5" t="inlineStr">
        <is>
          <t>Stated build-up</t>
        </is>
      </c>
      <c r="T2882" s="12" t="inlineStr">
        <is>
          <t>High</t>
        </is>
      </c>
      <c r="U2882" s="8" t="n">
        <v>146.04</v>
      </c>
      <c r="V2882" s="13">
        <f>IF(U2882="","",ROUND(M2882-U2882,2))</f>
        <v/>
      </c>
      <c r="W2882" s="5" t="n"/>
      <c r="X2882" s="5" t="inlineStr">
        <is>
          <t>Labour + plant + material as published; reconciles to the published rate.</t>
        </is>
      </c>
    </row>
    <row r="2883" ht="13" customHeight="1">
      <c r="A2883" s="4" t="n">
        <v>4287</v>
      </c>
      <c r="B2883" s="5" t="inlineStr">
        <is>
          <t>IMG_0123</t>
        </is>
      </c>
      <c r="C2883" s="5" t="inlineStr">
        <is>
          <t>CLASS Q: PILING ANCILLARIES</t>
        </is>
      </c>
      <c r="D2883" s="5" t="inlineStr">
        <is>
          <t>03 PREFORMED CONCRETE PILES</t>
        </is>
      </c>
      <c r="E2883" s="5" t="inlineStr">
        <is>
          <t>General; Preparing heads</t>
        </is>
      </c>
      <c r="F2883" s="5" t="inlineStr">
        <is>
          <t>235 x 235 mm piles</t>
        </is>
      </c>
      <c r="G2883" s="6" t="inlineStr">
        <is>
          <t>nr</t>
        </is>
      </c>
      <c r="H2883" s="7" t="n"/>
      <c r="I2883" s="8" t="n">
        <v>14.61</v>
      </c>
      <c r="J2883" s="8" t="n">
        <v>5.07</v>
      </c>
      <c r="K2883" s="8" t="n">
        <v>29.91</v>
      </c>
      <c r="L2883" s="8" t="n">
        <v>0</v>
      </c>
      <c r="M2883" s="9">
        <f>ROUND(SUM(I2883:L2883),2)</f>
        <v/>
      </c>
      <c r="N2883" s="10">
        <f>ROUND(I2883*'Irish Basis'!$C$6*'Irish Basis'!$C$5,2)</f>
        <v/>
      </c>
      <c r="O2883" s="10">
        <f>ROUND(J2883*'Irish Basis'!$C$7*'Irish Basis'!$C$5,2)</f>
        <v/>
      </c>
      <c r="P2883" s="10">
        <f>ROUND(K2883*'Irish Basis'!$C$8*'Irish Basis'!$C$5,2)</f>
        <v/>
      </c>
      <c r="Q2883" s="10">
        <f>ROUND(L2883*'Irish Basis'!$C$12*'Irish Basis'!$C$5,2)</f>
        <v/>
      </c>
      <c r="R2883" s="11">
        <f>ROUND(SUM(N2883:Q2883),2)</f>
        <v/>
      </c>
      <c r="S2883" s="5" t="inlineStr">
        <is>
          <t>Apportioned (class)</t>
        </is>
      </c>
      <c r="T2883" s="17" t="inlineStr">
        <is>
          <t>Low</t>
        </is>
      </c>
      <c r="U2883" s="8" t="n">
        <v>49.59</v>
      </c>
      <c r="V2883" s="13">
        <f>IF(U2883="","",ROUND(M2883-U2883,2))</f>
        <v/>
      </c>
      <c r="W2883" s="15" t="inlineStr">
        <is>
          <t>Apportioned at class level</t>
        </is>
      </c>
      <c r="X2883" s="5" t="inlineStr">
        <is>
          <t>Split from published rate using median L/P/M shares of 69 comparable build-ups at class level (29/10/60).</t>
        </is>
      </c>
    </row>
    <row r="2884" ht="13" customHeight="1">
      <c r="A2884" s="4" t="n">
        <v>4288</v>
      </c>
      <c r="B2884" s="5" t="inlineStr">
        <is>
          <t>IMG_0123</t>
        </is>
      </c>
      <c r="C2884" s="5" t="inlineStr">
        <is>
          <t>CLASS Q: PILING ANCILLARIES</t>
        </is>
      </c>
      <c r="D2884" s="5" t="inlineStr">
        <is>
          <t>03 PREFORMED CONCRETE PILES</t>
        </is>
      </c>
      <c r="E2884" s="5" t="inlineStr">
        <is>
          <t>General; Preparing heads</t>
        </is>
      </c>
      <c r="F2884" s="5" t="inlineStr">
        <is>
          <t>275 x 275 mm piles</t>
        </is>
      </c>
      <c r="G2884" s="6" t="inlineStr">
        <is>
          <t>nr</t>
        </is>
      </c>
      <c r="H2884" s="7" t="n"/>
      <c r="I2884" s="8" t="n">
        <v>19.96</v>
      </c>
      <c r="J2884" s="8" t="n">
        <v>6.93</v>
      </c>
      <c r="K2884" s="8" t="n">
        <v>40.88</v>
      </c>
      <c r="L2884" s="8" t="n">
        <v>0</v>
      </c>
      <c r="M2884" s="9">
        <f>ROUND(SUM(I2884:L2884),2)</f>
        <v/>
      </c>
      <c r="N2884" s="10">
        <f>ROUND(I2884*'Irish Basis'!$C$6*'Irish Basis'!$C$5,2)</f>
        <v/>
      </c>
      <c r="O2884" s="10">
        <f>ROUND(J2884*'Irish Basis'!$C$7*'Irish Basis'!$C$5,2)</f>
        <v/>
      </c>
      <c r="P2884" s="10">
        <f>ROUND(K2884*'Irish Basis'!$C$8*'Irish Basis'!$C$5,2)</f>
        <v/>
      </c>
      <c r="Q2884" s="10">
        <f>ROUND(L2884*'Irish Basis'!$C$12*'Irish Basis'!$C$5,2)</f>
        <v/>
      </c>
      <c r="R2884" s="11">
        <f>ROUND(SUM(N2884:Q2884),2)</f>
        <v/>
      </c>
      <c r="S2884" s="5" t="inlineStr">
        <is>
          <t>Apportioned (class)</t>
        </is>
      </c>
      <c r="T2884" s="17" t="inlineStr">
        <is>
          <t>Low</t>
        </is>
      </c>
      <c r="U2884" s="8" t="n">
        <v>67.78</v>
      </c>
      <c r="V2884" s="13">
        <f>IF(U2884="","",ROUND(M2884-U2884,2))</f>
        <v/>
      </c>
      <c r="W2884" s="15" t="inlineStr">
        <is>
          <t>Apportioned at class level</t>
        </is>
      </c>
      <c r="X2884" s="5" t="inlineStr">
        <is>
          <t>Split from published rate using median L/P/M shares of 69 comparable build-ups at class level (29/10/60).</t>
        </is>
      </c>
    </row>
    <row r="2885" ht="13" customHeight="1">
      <c r="A2885" s="4" t="n">
        <v>4289</v>
      </c>
      <c r="B2885" s="5" t="inlineStr">
        <is>
          <t>IMG_0123</t>
        </is>
      </c>
      <c r="C2885" s="5" t="inlineStr">
        <is>
          <t>CLASS Q: PILING ANCILLARIES</t>
        </is>
      </c>
      <c r="D2885" s="5" t="inlineStr">
        <is>
          <t>03 PREFORMED CONCRETE PILES</t>
        </is>
      </c>
      <c r="E2885" s="5" t="inlineStr">
        <is>
          <t>General; Preparing heads</t>
        </is>
      </c>
      <c r="F2885" s="5" t="inlineStr">
        <is>
          <t>350 x 350 mm piles</t>
        </is>
      </c>
      <c r="G2885" s="6" t="inlineStr">
        <is>
          <t>nr</t>
        </is>
      </c>
      <c r="H2885" s="7" t="n"/>
      <c r="I2885" s="8" t="n">
        <v>30.91</v>
      </c>
      <c r="J2885" s="8" t="n">
        <v>10.73</v>
      </c>
      <c r="K2885" s="8" t="n">
        <v>63.31</v>
      </c>
      <c r="L2885" s="8" t="n">
        <v>0</v>
      </c>
      <c r="M2885" s="9">
        <f>ROUND(SUM(I2885:L2885),2)</f>
        <v/>
      </c>
      <c r="N2885" s="10">
        <f>ROUND(I2885*'Irish Basis'!$C$6*'Irish Basis'!$C$5,2)</f>
        <v/>
      </c>
      <c r="O2885" s="10">
        <f>ROUND(J2885*'Irish Basis'!$C$7*'Irish Basis'!$C$5,2)</f>
        <v/>
      </c>
      <c r="P2885" s="10">
        <f>ROUND(K2885*'Irish Basis'!$C$8*'Irish Basis'!$C$5,2)</f>
        <v/>
      </c>
      <c r="Q2885" s="10">
        <f>ROUND(L2885*'Irish Basis'!$C$12*'Irish Basis'!$C$5,2)</f>
        <v/>
      </c>
      <c r="R2885" s="11">
        <f>ROUND(SUM(N2885:Q2885),2)</f>
        <v/>
      </c>
      <c r="S2885" s="5" t="inlineStr">
        <is>
          <t>Apportioned (class)</t>
        </is>
      </c>
      <c r="T2885" s="17" t="inlineStr">
        <is>
          <t>Low</t>
        </is>
      </c>
      <c r="U2885" s="8" t="n">
        <v>104.96</v>
      </c>
      <c r="V2885" s="13">
        <f>IF(U2885="","",ROUND(M2885-U2885,2))</f>
        <v/>
      </c>
      <c r="W2885" s="15" t="inlineStr">
        <is>
          <t>Apportioned at class level</t>
        </is>
      </c>
      <c r="X2885" s="5" t="inlineStr">
        <is>
          <t>Split from published rate using median L/P/M shares of 69 comparable build-ups at class level (29/10/60).</t>
        </is>
      </c>
    </row>
    <row r="2886" ht="13" customHeight="1">
      <c r="A2886" s="4" t="n">
        <v>4292</v>
      </c>
      <c r="B2886" s="5" t="inlineStr">
        <is>
          <t>IMG_0123</t>
        </is>
      </c>
      <c r="C2886" s="5" t="inlineStr">
        <is>
          <t>CLASS Q: PILING ANCILLARIES</t>
        </is>
      </c>
      <c r="D2886" s="5" t="inlineStr">
        <is>
          <t>04 TIMBER PILES</t>
        </is>
      </c>
      <c r="E2886" s="5" t="inlineStr">
        <is>
          <t>Douglas Fir; Cutting off surplus lengths</t>
        </is>
      </c>
      <c r="F2886" s="5" t="inlineStr">
        <is>
          <t>cross-sectional area: 0.025-0.05 m2</t>
        </is>
      </c>
      <c r="G2886" s="6" t="inlineStr">
        <is>
          <t>nr</t>
        </is>
      </c>
      <c r="H2886" s="7" t="n"/>
      <c r="I2886" s="8" t="n">
        <v>1.34</v>
      </c>
      <c r="J2886" s="8" t="n">
        <v>0.46</v>
      </c>
      <c r="K2886" s="8" t="n">
        <v>2.74</v>
      </c>
      <c r="L2886" s="8" t="n">
        <v>0</v>
      </c>
      <c r="M2886" s="9">
        <f>ROUND(SUM(I2886:L2886),2)</f>
        <v/>
      </c>
      <c r="N2886" s="10">
        <f>ROUND(I2886*'Irish Basis'!$C$6*'Irish Basis'!$C$5,2)</f>
        <v/>
      </c>
      <c r="O2886" s="10">
        <f>ROUND(J2886*'Irish Basis'!$C$7*'Irish Basis'!$C$5,2)</f>
        <v/>
      </c>
      <c r="P2886" s="10">
        <f>ROUND(K2886*'Irish Basis'!$C$8*'Irish Basis'!$C$5,2)</f>
        <v/>
      </c>
      <c r="Q2886" s="10">
        <f>ROUND(L2886*'Irish Basis'!$C$12*'Irish Basis'!$C$5,2)</f>
        <v/>
      </c>
      <c r="R2886" s="11">
        <f>ROUND(SUM(N2886:Q2886),2)</f>
        <v/>
      </c>
      <c r="S2886" s="5" t="inlineStr">
        <is>
          <t>Apportioned (class)</t>
        </is>
      </c>
      <c r="T2886" s="17" t="inlineStr">
        <is>
          <t>Low</t>
        </is>
      </c>
      <c r="U2886" s="8" t="n">
        <v>4.54</v>
      </c>
      <c r="V2886" s="13">
        <f>IF(U2886="","",ROUND(M2886-U2886,2))</f>
        <v/>
      </c>
      <c r="W2886" s="15" t="inlineStr">
        <is>
          <t>Apportioned at class level</t>
        </is>
      </c>
      <c r="X2886" s="5" t="inlineStr">
        <is>
          <t>Split from published rate using median L/P/M shares of 69 comparable build-ups at class level (29/10/60).</t>
        </is>
      </c>
    </row>
    <row r="2887" ht="13" customHeight="1">
      <c r="A2887" s="4" t="n">
        <v>4293</v>
      </c>
      <c r="B2887" s="5" t="inlineStr">
        <is>
          <t>IMG_0123</t>
        </is>
      </c>
      <c r="C2887" s="5" t="inlineStr">
        <is>
          <t>CLASS Q: PILING ANCILLARIES</t>
        </is>
      </c>
      <c r="D2887" s="5" t="inlineStr">
        <is>
          <t>04 TIMBER PILES</t>
        </is>
      </c>
      <c r="E2887" s="5" t="inlineStr">
        <is>
          <t>Douglas Fir; Cutting off surplus lengths</t>
        </is>
      </c>
      <c r="F2887" s="5" t="inlineStr">
        <is>
          <t>cross-sectional area: 0.05-0.1 m2</t>
        </is>
      </c>
      <c r="G2887" s="6" t="inlineStr">
        <is>
          <t>nr</t>
        </is>
      </c>
      <c r="H2887" s="7" t="n"/>
      <c r="I2887" s="8" t="n">
        <v>2.3</v>
      </c>
      <c r="J2887" s="8" t="n">
        <v>0.8</v>
      </c>
      <c r="K2887" s="8" t="n">
        <v>4.72</v>
      </c>
      <c r="L2887" s="8" t="n">
        <v>0</v>
      </c>
      <c r="M2887" s="9">
        <f>ROUND(SUM(I2887:L2887),2)</f>
        <v/>
      </c>
      <c r="N2887" s="10">
        <f>ROUND(I2887*'Irish Basis'!$C$6*'Irish Basis'!$C$5,2)</f>
        <v/>
      </c>
      <c r="O2887" s="10">
        <f>ROUND(J2887*'Irish Basis'!$C$7*'Irish Basis'!$C$5,2)</f>
        <v/>
      </c>
      <c r="P2887" s="10">
        <f>ROUND(K2887*'Irish Basis'!$C$8*'Irish Basis'!$C$5,2)</f>
        <v/>
      </c>
      <c r="Q2887" s="10">
        <f>ROUND(L2887*'Irish Basis'!$C$12*'Irish Basis'!$C$5,2)</f>
        <v/>
      </c>
      <c r="R2887" s="11">
        <f>ROUND(SUM(N2887:Q2887),2)</f>
        <v/>
      </c>
      <c r="S2887" s="5" t="inlineStr">
        <is>
          <t>Apportioned (class)</t>
        </is>
      </c>
      <c r="T2887" s="17" t="inlineStr">
        <is>
          <t>Low</t>
        </is>
      </c>
      <c r="U2887" s="8" t="n">
        <v>7.82</v>
      </c>
      <c r="V2887" s="13">
        <f>IF(U2887="","",ROUND(M2887-U2887,2))</f>
        <v/>
      </c>
      <c r="W2887" s="15" t="inlineStr">
        <is>
          <t>Apportioned at class level</t>
        </is>
      </c>
      <c r="X2887" s="5" t="inlineStr">
        <is>
          <t>Split from published rate using median L/P/M shares of 69 comparable build-ups at class level (29/10/60).</t>
        </is>
      </c>
    </row>
    <row r="2888" ht="13" customHeight="1">
      <c r="A2888" s="4" t="n">
        <v>4294</v>
      </c>
      <c r="B2888" s="5" t="inlineStr">
        <is>
          <t>IMG_0123</t>
        </is>
      </c>
      <c r="C2888" s="5" t="inlineStr">
        <is>
          <t>CLASS Q: PILING ANCILLARIES</t>
        </is>
      </c>
      <c r="D2888" s="5" t="inlineStr">
        <is>
          <t>04 TIMBER PILES</t>
        </is>
      </c>
      <c r="E2888" s="5" t="inlineStr">
        <is>
          <t>Douglas Fir; Cutting off surplus lengths</t>
        </is>
      </c>
      <c r="F2888" s="5" t="inlineStr">
        <is>
          <t>cross-sectional area: 0.1-0.15 m2</t>
        </is>
      </c>
      <c r="G2888" s="6" t="inlineStr">
        <is>
          <t>nr</t>
        </is>
      </c>
      <c r="H2888" s="7" t="n"/>
      <c r="I2888" s="8" t="n">
        <v>2.98</v>
      </c>
      <c r="J2888" s="8" t="n">
        <v>1.03</v>
      </c>
      <c r="K2888" s="8" t="n">
        <v>6.1</v>
      </c>
      <c r="L2888" s="8" t="n">
        <v>0</v>
      </c>
      <c r="M2888" s="9">
        <f>ROUND(SUM(I2888:L2888),2)</f>
        <v/>
      </c>
      <c r="N2888" s="10">
        <f>ROUND(I2888*'Irish Basis'!$C$6*'Irish Basis'!$C$5,2)</f>
        <v/>
      </c>
      <c r="O2888" s="10">
        <f>ROUND(J2888*'Irish Basis'!$C$7*'Irish Basis'!$C$5,2)</f>
        <v/>
      </c>
      <c r="P2888" s="10">
        <f>ROUND(K2888*'Irish Basis'!$C$8*'Irish Basis'!$C$5,2)</f>
        <v/>
      </c>
      <c r="Q2888" s="10">
        <f>ROUND(L2888*'Irish Basis'!$C$12*'Irish Basis'!$C$5,2)</f>
        <v/>
      </c>
      <c r="R2888" s="11">
        <f>ROUND(SUM(N2888:Q2888),2)</f>
        <v/>
      </c>
      <c r="S2888" s="5" t="inlineStr">
        <is>
          <t>Apportioned (class)</t>
        </is>
      </c>
      <c r="T2888" s="17" t="inlineStr">
        <is>
          <t>Low</t>
        </is>
      </c>
      <c r="U2888" s="8" t="n">
        <v>10.12</v>
      </c>
      <c r="V2888" s="13">
        <f>IF(U2888="","",ROUND(M2888-U2888,2))</f>
        <v/>
      </c>
      <c r="W2888" s="15" t="inlineStr">
        <is>
          <t>Apportioned at class level</t>
        </is>
      </c>
      <c r="X2888" s="5" t="inlineStr">
        <is>
          <t>Split from published rate using median L/P/M shares of 69 comparable build-ups at class level (29/10/60).</t>
        </is>
      </c>
    </row>
    <row r="2889" ht="13" customHeight="1">
      <c r="A2889" s="4" t="n">
        <v>4295</v>
      </c>
      <c r="B2889" s="5" t="inlineStr">
        <is>
          <t>IMG_0123</t>
        </is>
      </c>
      <c r="C2889" s="5" t="inlineStr">
        <is>
          <t>CLASS Q: PILING ANCILLARIES</t>
        </is>
      </c>
      <c r="D2889" s="5" t="inlineStr">
        <is>
          <t>04 TIMBER PILES</t>
        </is>
      </c>
      <c r="E2889" s="5" t="inlineStr">
        <is>
          <t>Douglas Fir; Cutting off surplus lengths</t>
        </is>
      </c>
      <c r="F2889" s="5" t="inlineStr">
        <is>
          <t>cross-sectional area: 0.15-0.25 m2</t>
        </is>
      </c>
      <c r="G2889" s="6" t="inlineStr">
        <is>
          <t>nr</t>
        </is>
      </c>
      <c r="H2889" s="7" t="n"/>
      <c r="I2889" s="8" t="n">
        <v>5.82</v>
      </c>
      <c r="J2889" s="8" t="n">
        <v>2.02</v>
      </c>
      <c r="K2889" s="8" t="n">
        <v>11.92</v>
      </c>
      <c r="L2889" s="8" t="n">
        <v>0</v>
      </c>
      <c r="M2889" s="9">
        <f>ROUND(SUM(I2889:L2889),2)</f>
        <v/>
      </c>
      <c r="N2889" s="10">
        <f>ROUND(I2889*'Irish Basis'!$C$6*'Irish Basis'!$C$5,2)</f>
        <v/>
      </c>
      <c r="O2889" s="10">
        <f>ROUND(J2889*'Irish Basis'!$C$7*'Irish Basis'!$C$5,2)</f>
        <v/>
      </c>
      <c r="P2889" s="10">
        <f>ROUND(K2889*'Irish Basis'!$C$8*'Irish Basis'!$C$5,2)</f>
        <v/>
      </c>
      <c r="Q2889" s="10">
        <f>ROUND(L2889*'Irish Basis'!$C$12*'Irish Basis'!$C$5,2)</f>
        <v/>
      </c>
      <c r="R2889" s="11">
        <f>ROUND(SUM(N2889:Q2889),2)</f>
        <v/>
      </c>
      <c r="S2889" s="5" t="inlineStr">
        <is>
          <t>Apportioned (class)</t>
        </is>
      </c>
      <c r="T2889" s="17" t="inlineStr">
        <is>
          <t>Low</t>
        </is>
      </c>
      <c r="U2889" s="8" t="n">
        <v>19.76</v>
      </c>
      <c r="V2889" s="13">
        <f>IF(U2889="","",ROUND(M2889-U2889,2))</f>
        <v/>
      </c>
      <c r="W2889" s="15" t="inlineStr">
        <is>
          <t>Apportioned at class level</t>
        </is>
      </c>
      <c r="X2889" s="5" t="inlineStr">
        <is>
          <t>Split from published rate using median L/P/M shares of 69 comparable build-ups at class level (29/10/60).</t>
        </is>
      </c>
    </row>
    <row r="2890" ht="13" customHeight="1">
      <c r="A2890" s="4" t="n">
        <v>4297</v>
      </c>
      <c r="B2890" s="5" t="inlineStr">
        <is>
          <t>IMG_0123</t>
        </is>
      </c>
      <c r="C2890" s="5" t="inlineStr">
        <is>
          <t>CLASS Q: PILING ANCILLARIES</t>
        </is>
      </c>
      <c r="D2890" s="5" t="inlineStr">
        <is>
          <t>04 TIMBER PILES</t>
        </is>
      </c>
      <c r="E2890" s="5" t="inlineStr">
        <is>
          <t>Douglas Fir; Preparing heads</t>
        </is>
      </c>
      <c r="F2890" s="5" t="inlineStr">
        <is>
          <t>cross-sectional area: 0.025-0.05 m2</t>
        </is>
      </c>
      <c r="G2890" s="6" t="inlineStr">
        <is>
          <t>nr</t>
        </is>
      </c>
      <c r="H2890" s="7" t="n"/>
      <c r="I2890" s="8" t="n">
        <v>1.34</v>
      </c>
      <c r="J2890" s="8" t="n">
        <v>0.46</v>
      </c>
      <c r="K2890" s="8" t="n">
        <v>2.74</v>
      </c>
      <c r="L2890" s="8" t="n">
        <v>0</v>
      </c>
      <c r="M2890" s="9">
        <f>ROUND(SUM(I2890:L2890),2)</f>
        <v/>
      </c>
      <c r="N2890" s="10">
        <f>ROUND(I2890*'Irish Basis'!$C$6*'Irish Basis'!$C$5,2)</f>
        <v/>
      </c>
      <c r="O2890" s="10">
        <f>ROUND(J2890*'Irish Basis'!$C$7*'Irish Basis'!$C$5,2)</f>
        <v/>
      </c>
      <c r="P2890" s="10">
        <f>ROUND(K2890*'Irish Basis'!$C$8*'Irish Basis'!$C$5,2)</f>
        <v/>
      </c>
      <c r="Q2890" s="10">
        <f>ROUND(L2890*'Irish Basis'!$C$12*'Irish Basis'!$C$5,2)</f>
        <v/>
      </c>
      <c r="R2890" s="11">
        <f>ROUND(SUM(N2890:Q2890),2)</f>
        <v/>
      </c>
      <c r="S2890" s="5" t="inlineStr">
        <is>
          <t>Apportioned (class)</t>
        </is>
      </c>
      <c r="T2890" s="17" t="inlineStr">
        <is>
          <t>Low</t>
        </is>
      </c>
      <c r="U2890" s="8" t="n">
        <v>4.54</v>
      </c>
      <c r="V2890" s="13">
        <f>IF(U2890="","",ROUND(M2890-U2890,2))</f>
        <v/>
      </c>
      <c r="W2890" s="15" t="inlineStr">
        <is>
          <t>Apportioned at class level</t>
        </is>
      </c>
      <c r="X2890" s="5" t="inlineStr">
        <is>
          <t>Split from published rate using median L/P/M shares of 69 comparable build-ups at class level (29/10/60).</t>
        </is>
      </c>
    </row>
    <row r="2891" ht="13" customHeight="1">
      <c r="A2891" s="4" t="n">
        <v>4298</v>
      </c>
      <c r="B2891" s="5" t="inlineStr">
        <is>
          <t>IMG_0123</t>
        </is>
      </c>
      <c r="C2891" s="5" t="inlineStr">
        <is>
          <t>CLASS Q: PILING ANCILLARIES</t>
        </is>
      </c>
      <c r="D2891" s="5" t="inlineStr">
        <is>
          <t>04 TIMBER PILES</t>
        </is>
      </c>
      <c r="E2891" s="5" t="inlineStr">
        <is>
          <t>Douglas Fir; Preparing heads</t>
        </is>
      </c>
      <c r="F2891" s="5" t="inlineStr">
        <is>
          <t>cross-sectional area: 0.05-0.1 m2</t>
        </is>
      </c>
      <c r="G2891" s="6" t="inlineStr">
        <is>
          <t>nr</t>
        </is>
      </c>
      <c r="H2891" s="7" t="n"/>
      <c r="I2891" s="8" t="n">
        <v>2.3</v>
      </c>
      <c r="J2891" s="8" t="n">
        <v>0.8</v>
      </c>
      <c r="K2891" s="8" t="n">
        <v>4.72</v>
      </c>
      <c r="L2891" s="8" t="n">
        <v>0</v>
      </c>
      <c r="M2891" s="9">
        <f>ROUND(SUM(I2891:L2891),2)</f>
        <v/>
      </c>
      <c r="N2891" s="10">
        <f>ROUND(I2891*'Irish Basis'!$C$6*'Irish Basis'!$C$5,2)</f>
        <v/>
      </c>
      <c r="O2891" s="10">
        <f>ROUND(J2891*'Irish Basis'!$C$7*'Irish Basis'!$C$5,2)</f>
        <v/>
      </c>
      <c r="P2891" s="10">
        <f>ROUND(K2891*'Irish Basis'!$C$8*'Irish Basis'!$C$5,2)</f>
        <v/>
      </c>
      <c r="Q2891" s="10">
        <f>ROUND(L2891*'Irish Basis'!$C$12*'Irish Basis'!$C$5,2)</f>
        <v/>
      </c>
      <c r="R2891" s="11">
        <f>ROUND(SUM(N2891:Q2891),2)</f>
        <v/>
      </c>
      <c r="S2891" s="5" t="inlineStr">
        <is>
          <t>Apportioned (class)</t>
        </is>
      </c>
      <c r="T2891" s="17" t="inlineStr">
        <is>
          <t>Low</t>
        </is>
      </c>
      <c r="U2891" s="8" t="n">
        <v>7.82</v>
      </c>
      <c r="V2891" s="13">
        <f>IF(U2891="","",ROUND(M2891-U2891,2))</f>
        <v/>
      </c>
      <c r="W2891" s="15" t="inlineStr">
        <is>
          <t>Apportioned at class level</t>
        </is>
      </c>
      <c r="X2891" s="5" t="inlineStr">
        <is>
          <t>Split from published rate using median L/P/M shares of 69 comparable build-ups at class level (29/10/60).</t>
        </is>
      </c>
    </row>
    <row r="2892" ht="13" customHeight="1">
      <c r="A2892" s="4" t="n">
        <v>4299</v>
      </c>
      <c r="B2892" s="5" t="inlineStr">
        <is>
          <t>IMG_0123</t>
        </is>
      </c>
      <c r="C2892" s="5" t="inlineStr">
        <is>
          <t>CLASS Q: PILING ANCILLARIES</t>
        </is>
      </c>
      <c r="D2892" s="5" t="inlineStr">
        <is>
          <t>04 TIMBER PILES</t>
        </is>
      </c>
      <c r="E2892" s="5" t="inlineStr">
        <is>
          <t>Douglas Fir; Preparing heads</t>
        </is>
      </c>
      <c r="F2892" s="5" t="inlineStr">
        <is>
          <t>cross-sectional area: 0.1-0.15 m2</t>
        </is>
      </c>
      <c r="G2892" s="6" t="inlineStr">
        <is>
          <t>nr</t>
        </is>
      </c>
      <c r="H2892" s="7" t="n"/>
      <c r="I2892" s="8" t="n">
        <v>2.98</v>
      </c>
      <c r="J2892" s="8" t="n">
        <v>1.03</v>
      </c>
      <c r="K2892" s="8" t="n">
        <v>6.1</v>
      </c>
      <c r="L2892" s="8" t="n">
        <v>0</v>
      </c>
      <c r="M2892" s="9">
        <f>ROUND(SUM(I2892:L2892),2)</f>
        <v/>
      </c>
      <c r="N2892" s="10">
        <f>ROUND(I2892*'Irish Basis'!$C$6*'Irish Basis'!$C$5,2)</f>
        <v/>
      </c>
      <c r="O2892" s="10">
        <f>ROUND(J2892*'Irish Basis'!$C$7*'Irish Basis'!$C$5,2)</f>
        <v/>
      </c>
      <c r="P2892" s="10">
        <f>ROUND(K2892*'Irish Basis'!$C$8*'Irish Basis'!$C$5,2)</f>
        <v/>
      </c>
      <c r="Q2892" s="10">
        <f>ROUND(L2892*'Irish Basis'!$C$12*'Irish Basis'!$C$5,2)</f>
        <v/>
      </c>
      <c r="R2892" s="11">
        <f>ROUND(SUM(N2892:Q2892),2)</f>
        <v/>
      </c>
      <c r="S2892" s="5" t="inlineStr">
        <is>
          <t>Apportioned (class)</t>
        </is>
      </c>
      <c r="T2892" s="17" t="inlineStr">
        <is>
          <t>Low</t>
        </is>
      </c>
      <c r="U2892" s="8" t="n">
        <v>10.12</v>
      </c>
      <c r="V2892" s="13">
        <f>IF(U2892="","",ROUND(M2892-U2892,2))</f>
        <v/>
      </c>
      <c r="W2892" s="15" t="inlineStr">
        <is>
          <t>Apportioned at class level</t>
        </is>
      </c>
      <c r="X2892" s="5" t="inlineStr">
        <is>
          <t>Split from published rate using median L/P/M shares of 69 comparable build-ups at class level (29/10/60).</t>
        </is>
      </c>
    </row>
    <row r="2893" ht="13" customHeight="1">
      <c r="A2893" s="4" t="n">
        <v>4300</v>
      </c>
      <c r="B2893" s="5" t="inlineStr">
        <is>
          <t>IMG_0123</t>
        </is>
      </c>
      <c r="C2893" s="5" t="inlineStr">
        <is>
          <t>CLASS Q: PILING ANCILLARIES</t>
        </is>
      </c>
      <c r="D2893" s="5" t="inlineStr">
        <is>
          <t>04 TIMBER PILES</t>
        </is>
      </c>
      <c r="E2893" s="5" t="inlineStr">
        <is>
          <t>Douglas Fir; Preparing heads</t>
        </is>
      </c>
      <c r="F2893" s="5" t="inlineStr">
        <is>
          <t>cross-sectional area: 0.15-0.25 m2</t>
        </is>
      </c>
      <c r="G2893" s="6" t="inlineStr">
        <is>
          <t>nr</t>
        </is>
      </c>
      <c r="H2893" s="7" t="n"/>
      <c r="I2893" s="8" t="n">
        <v>5.82</v>
      </c>
      <c r="J2893" s="8" t="n">
        <v>2.02</v>
      </c>
      <c r="K2893" s="8" t="n">
        <v>11.92</v>
      </c>
      <c r="L2893" s="8" t="n">
        <v>0</v>
      </c>
      <c r="M2893" s="9">
        <f>ROUND(SUM(I2893:L2893),2)</f>
        <v/>
      </c>
      <c r="N2893" s="10">
        <f>ROUND(I2893*'Irish Basis'!$C$6*'Irish Basis'!$C$5,2)</f>
        <v/>
      </c>
      <c r="O2893" s="10">
        <f>ROUND(J2893*'Irish Basis'!$C$7*'Irish Basis'!$C$5,2)</f>
        <v/>
      </c>
      <c r="P2893" s="10">
        <f>ROUND(K2893*'Irish Basis'!$C$8*'Irish Basis'!$C$5,2)</f>
        <v/>
      </c>
      <c r="Q2893" s="10">
        <f>ROUND(L2893*'Irish Basis'!$C$12*'Irish Basis'!$C$5,2)</f>
        <v/>
      </c>
      <c r="R2893" s="11">
        <f>ROUND(SUM(N2893:Q2893),2)</f>
        <v/>
      </c>
      <c r="S2893" s="5" t="inlineStr">
        <is>
          <t>Apportioned (class)</t>
        </is>
      </c>
      <c r="T2893" s="17" t="inlineStr">
        <is>
          <t>Low</t>
        </is>
      </c>
      <c r="U2893" s="8" t="n">
        <v>19.76</v>
      </c>
      <c r="V2893" s="13">
        <f>IF(U2893="","",ROUND(M2893-U2893,2))</f>
        <v/>
      </c>
      <c r="W2893" s="15" t="inlineStr">
        <is>
          <t>Apportioned at class level</t>
        </is>
      </c>
      <c r="X2893" s="5" t="inlineStr">
        <is>
          <t>Split from published rate using median L/P/M shares of 69 comparable build-ups at class level (29/10/60).</t>
        </is>
      </c>
    </row>
    <row r="2894" ht="13" customHeight="1">
      <c r="A2894" s="4" t="n">
        <v>4302</v>
      </c>
      <c r="B2894" s="5" t="inlineStr">
        <is>
          <t>IMG_0123</t>
        </is>
      </c>
      <c r="C2894" s="5" t="inlineStr">
        <is>
          <t>CLASS Q: PILING ANCILLARIES</t>
        </is>
      </c>
      <c r="D2894" s="5" t="inlineStr">
        <is>
          <t>04 TIMBER PILES</t>
        </is>
      </c>
      <c r="E2894" s="5" t="inlineStr">
        <is>
          <t>Greenheart; Cutting off surplus lengths</t>
        </is>
      </c>
      <c r="F2894" s="5" t="inlineStr">
        <is>
          <t>cross-sectional area: 0.025-0.05 m2</t>
        </is>
      </c>
      <c r="G2894" s="6" t="inlineStr">
        <is>
          <t>nr</t>
        </is>
      </c>
      <c r="H2894" s="7" t="n"/>
      <c r="I2894" s="8" t="n">
        <v>4.85</v>
      </c>
      <c r="J2894" s="8" t="n">
        <v>1.68</v>
      </c>
      <c r="K2894" s="8" t="n">
        <v>9.93</v>
      </c>
      <c r="L2894" s="8" t="n">
        <v>0</v>
      </c>
      <c r="M2894" s="9">
        <f>ROUND(SUM(I2894:L2894),2)</f>
        <v/>
      </c>
      <c r="N2894" s="10">
        <f>ROUND(I2894*'Irish Basis'!$C$6*'Irish Basis'!$C$5,2)</f>
        <v/>
      </c>
      <c r="O2894" s="10">
        <f>ROUND(J2894*'Irish Basis'!$C$7*'Irish Basis'!$C$5,2)</f>
        <v/>
      </c>
      <c r="P2894" s="10">
        <f>ROUND(K2894*'Irish Basis'!$C$8*'Irish Basis'!$C$5,2)</f>
        <v/>
      </c>
      <c r="Q2894" s="10">
        <f>ROUND(L2894*'Irish Basis'!$C$12*'Irish Basis'!$C$5,2)</f>
        <v/>
      </c>
      <c r="R2894" s="11">
        <f>ROUND(SUM(N2894:Q2894),2)</f>
        <v/>
      </c>
      <c r="S2894" s="5" t="inlineStr">
        <is>
          <t>Apportioned (class)</t>
        </is>
      </c>
      <c r="T2894" s="17" t="inlineStr">
        <is>
          <t>Low</t>
        </is>
      </c>
      <c r="U2894" s="8" t="n">
        <v>16.47</v>
      </c>
      <c r="V2894" s="13">
        <f>IF(U2894="","",ROUND(M2894-U2894,2))</f>
        <v/>
      </c>
      <c r="W2894" s="15" t="inlineStr">
        <is>
          <t>Apportioned at class level</t>
        </is>
      </c>
      <c r="X2894" s="5" t="inlineStr">
        <is>
          <t>Split from published rate using median L/P/M shares of 69 comparable build-ups at class level (29/10/60).</t>
        </is>
      </c>
    </row>
    <row r="2895" ht="13" customHeight="1">
      <c r="A2895" s="4" t="n">
        <v>4303</v>
      </c>
      <c r="B2895" s="5" t="inlineStr">
        <is>
          <t>IMG_0123</t>
        </is>
      </c>
      <c r="C2895" s="5" t="inlineStr">
        <is>
          <t>CLASS Q: PILING ANCILLARIES</t>
        </is>
      </c>
      <c r="D2895" s="5" t="inlineStr">
        <is>
          <t>04 TIMBER PILES</t>
        </is>
      </c>
      <c r="E2895" s="5" t="inlineStr">
        <is>
          <t>Greenheart; Cutting off surplus lengths</t>
        </is>
      </c>
      <c r="F2895" s="5" t="inlineStr">
        <is>
          <t>cross-sectional area: 0.05-0.1 m2</t>
        </is>
      </c>
      <c r="G2895" s="6" t="inlineStr">
        <is>
          <t>nr</t>
        </is>
      </c>
      <c r="H2895" s="7" t="n"/>
      <c r="I2895" s="8" t="n">
        <v>4.85</v>
      </c>
      <c r="J2895" s="8" t="n">
        <v>1.68</v>
      </c>
      <c r="K2895" s="8" t="n">
        <v>9.93</v>
      </c>
      <c r="L2895" s="8" t="n">
        <v>0</v>
      </c>
      <c r="M2895" s="9">
        <f>ROUND(SUM(I2895:L2895),2)</f>
        <v/>
      </c>
      <c r="N2895" s="10">
        <f>ROUND(I2895*'Irish Basis'!$C$6*'Irish Basis'!$C$5,2)</f>
        <v/>
      </c>
      <c r="O2895" s="10">
        <f>ROUND(J2895*'Irish Basis'!$C$7*'Irish Basis'!$C$5,2)</f>
        <v/>
      </c>
      <c r="P2895" s="10">
        <f>ROUND(K2895*'Irish Basis'!$C$8*'Irish Basis'!$C$5,2)</f>
        <v/>
      </c>
      <c r="Q2895" s="10">
        <f>ROUND(L2895*'Irish Basis'!$C$12*'Irish Basis'!$C$5,2)</f>
        <v/>
      </c>
      <c r="R2895" s="11">
        <f>ROUND(SUM(N2895:Q2895),2)</f>
        <v/>
      </c>
      <c r="S2895" s="5" t="inlineStr">
        <is>
          <t>Apportioned (class)</t>
        </is>
      </c>
      <c r="T2895" s="17" t="inlineStr">
        <is>
          <t>Low</t>
        </is>
      </c>
      <c r="U2895" s="8" t="n">
        <v>16.47</v>
      </c>
      <c r="V2895" s="13">
        <f>IF(U2895="","",ROUND(M2895-U2895,2))</f>
        <v/>
      </c>
      <c r="W2895" s="15" t="inlineStr">
        <is>
          <t>Apportioned at class level</t>
        </is>
      </c>
      <c r="X2895" s="5" t="inlineStr">
        <is>
          <t>Split from published rate using median L/P/M shares of 69 comparable build-ups at class level (29/10/60).</t>
        </is>
      </c>
    </row>
    <row r="2896" ht="13" customHeight="1">
      <c r="A2896" s="4" t="n">
        <v>4304</v>
      </c>
      <c r="B2896" s="5" t="inlineStr">
        <is>
          <t>IMG_0123</t>
        </is>
      </c>
      <c r="C2896" s="5" t="inlineStr">
        <is>
          <t>CLASS Q: PILING ANCILLARIES</t>
        </is>
      </c>
      <c r="D2896" s="5" t="inlineStr">
        <is>
          <t>04 TIMBER PILES</t>
        </is>
      </c>
      <c r="E2896" s="5" t="inlineStr">
        <is>
          <t>Greenheart; Cutting off surplus lengths</t>
        </is>
      </c>
      <c r="F2896" s="5" t="inlineStr">
        <is>
          <t>cross-sectional area: 0.1-0.15 m2</t>
        </is>
      </c>
      <c r="G2896" s="6" t="inlineStr">
        <is>
          <t>nr</t>
        </is>
      </c>
      <c r="H2896" s="7" t="n"/>
      <c r="I2896" s="8" t="n">
        <v>6.07</v>
      </c>
      <c r="J2896" s="8" t="n">
        <v>2.11</v>
      </c>
      <c r="K2896" s="8" t="n">
        <v>12.43</v>
      </c>
      <c r="L2896" s="8" t="n">
        <v>0</v>
      </c>
      <c r="M2896" s="9">
        <f>ROUND(SUM(I2896:L2896),2)</f>
        <v/>
      </c>
      <c r="N2896" s="10">
        <f>ROUND(I2896*'Irish Basis'!$C$6*'Irish Basis'!$C$5,2)</f>
        <v/>
      </c>
      <c r="O2896" s="10">
        <f>ROUND(J2896*'Irish Basis'!$C$7*'Irish Basis'!$C$5,2)</f>
        <v/>
      </c>
      <c r="P2896" s="10">
        <f>ROUND(K2896*'Irish Basis'!$C$8*'Irish Basis'!$C$5,2)</f>
        <v/>
      </c>
      <c r="Q2896" s="10">
        <f>ROUND(L2896*'Irish Basis'!$C$12*'Irish Basis'!$C$5,2)</f>
        <v/>
      </c>
      <c r="R2896" s="11">
        <f>ROUND(SUM(N2896:Q2896),2)</f>
        <v/>
      </c>
      <c r="S2896" s="5" t="inlineStr">
        <is>
          <t>Apportioned (class)</t>
        </is>
      </c>
      <c r="T2896" s="17" t="inlineStr">
        <is>
          <t>Low</t>
        </is>
      </c>
      <c r="U2896" s="8" t="n">
        <v>20.61</v>
      </c>
      <c r="V2896" s="13">
        <f>IF(U2896="","",ROUND(M2896-U2896,2))</f>
        <v/>
      </c>
      <c r="W2896" s="15" t="inlineStr">
        <is>
          <t>Apportioned at class level</t>
        </is>
      </c>
      <c r="X2896" s="5" t="inlineStr">
        <is>
          <t>Split from published rate using median L/P/M shares of 69 comparable build-ups at class level (29/10/60).</t>
        </is>
      </c>
    </row>
    <row r="2897" ht="13" customHeight="1">
      <c r="A2897" s="4" t="n">
        <v>4305</v>
      </c>
      <c r="B2897" s="5" t="inlineStr">
        <is>
          <t>IMG_0123</t>
        </is>
      </c>
      <c r="C2897" s="5" t="inlineStr">
        <is>
          <t>CLASS Q: PILING ANCILLARIES</t>
        </is>
      </c>
      <c r="D2897" s="5" t="inlineStr">
        <is>
          <t>04 TIMBER PILES</t>
        </is>
      </c>
      <c r="E2897" s="5" t="inlineStr">
        <is>
          <t>Greenheart; Cutting off surplus lengths</t>
        </is>
      </c>
      <c r="F2897" s="5" t="inlineStr">
        <is>
          <t>cross-sectional area: 0.15-0.25 m2</t>
        </is>
      </c>
      <c r="G2897" s="6" t="inlineStr">
        <is>
          <t>nr</t>
        </is>
      </c>
      <c r="H2897" s="7" t="n"/>
      <c r="I2897" s="8" t="n">
        <v>10.92</v>
      </c>
      <c r="J2897" s="8" t="n">
        <v>3.79</v>
      </c>
      <c r="K2897" s="8" t="n">
        <v>22.37</v>
      </c>
      <c r="L2897" s="8" t="n">
        <v>0</v>
      </c>
      <c r="M2897" s="9">
        <f>ROUND(SUM(I2897:L2897),2)</f>
        <v/>
      </c>
      <c r="N2897" s="10">
        <f>ROUND(I2897*'Irish Basis'!$C$6*'Irish Basis'!$C$5,2)</f>
        <v/>
      </c>
      <c r="O2897" s="10">
        <f>ROUND(J2897*'Irish Basis'!$C$7*'Irish Basis'!$C$5,2)</f>
        <v/>
      </c>
      <c r="P2897" s="10">
        <f>ROUND(K2897*'Irish Basis'!$C$8*'Irish Basis'!$C$5,2)</f>
        <v/>
      </c>
      <c r="Q2897" s="10">
        <f>ROUND(L2897*'Irish Basis'!$C$12*'Irish Basis'!$C$5,2)</f>
        <v/>
      </c>
      <c r="R2897" s="11">
        <f>ROUND(SUM(N2897:Q2897),2)</f>
        <v/>
      </c>
      <c r="S2897" s="5" t="inlineStr">
        <is>
          <t>Apportioned (class)</t>
        </is>
      </c>
      <c r="T2897" s="17" t="inlineStr">
        <is>
          <t>Low</t>
        </is>
      </c>
      <c r="U2897" s="8" t="n">
        <v>37.08</v>
      </c>
      <c r="V2897" s="13">
        <f>IF(U2897="","",ROUND(M2897-U2897,2))</f>
        <v/>
      </c>
      <c r="W2897" s="15" t="inlineStr">
        <is>
          <t>Apportioned at class level</t>
        </is>
      </c>
      <c r="X2897" s="5" t="inlineStr">
        <is>
          <t>Split from published rate using median L/P/M shares of 69 comparable build-ups at class level (29/10/60).</t>
        </is>
      </c>
    </row>
    <row r="2898" ht="13" customHeight="1">
      <c r="A2898" s="4" t="n">
        <v>4307</v>
      </c>
      <c r="B2898" s="5" t="inlineStr">
        <is>
          <t>IMG_0123</t>
        </is>
      </c>
      <c r="C2898" s="5" t="inlineStr">
        <is>
          <t>CLASS Q: PILING ANCILLARIES</t>
        </is>
      </c>
      <c r="D2898" s="5" t="inlineStr">
        <is>
          <t>04 TIMBER PILES</t>
        </is>
      </c>
      <c r="E2898" s="5" t="inlineStr">
        <is>
          <t>Greenheart; Preparing heads</t>
        </is>
      </c>
      <c r="F2898" s="5" t="inlineStr">
        <is>
          <t>cross-sectional area: 0.025-0.05 m2</t>
        </is>
      </c>
      <c r="G2898" s="6" t="inlineStr">
        <is>
          <t>nr</t>
        </is>
      </c>
      <c r="H2898" s="7" t="n"/>
      <c r="I2898" s="8" t="n">
        <v>4.85</v>
      </c>
      <c r="J2898" s="8" t="n">
        <v>1.68</v>
      </c>
      <c r="K2898" s="8" t="n">
        <v>9.93</v>
      </c>
      <c r="L2898" s="8" t="n">
        <v>0</v>
      </c>
      <c r="M2898" s="9">
        <f>ROUND(SUM(I2898:L2898),2)</f>
        <v/>
      </c>
      <c r="N2898" s="10">
        <f>ROUND(I2898*'Irish Basis'!$C$6*'Irish Basis'!$C$5,2)</f>
        <v/>
      </c>
      <c r="O2898" s="10">
        <f>ROUND(J2898*'Irish Basis'!$C$7*'Irish Basis'!$C$5,2)</f>
        <v/>
      </c>
      <c r="P2898" s="10">
        <f>ROUND(K2898*'Irish Basis'!$C$8*'Irish Basis'!$C$5,2)</f>
        <v/>
      </c>
      <c r="Q2898" s="10">
        <f>ROUND(L2898*'Irish Basis'!$C$12*'Irish Basis'!$C$5,2)</f>
        <v/>
      </c>
      <c r="R2898" s="11">
        <f>ROUND(SUM(N2898:Q2898),2)</f>
        <v/>
      </c>
      <c r="S2898" s="5" t="inlineStr">
        <is>
          <t>Apportioned (class)</t>
        </is>
      </c>
      <c r="T2898" s="17" t="inlineStr">
        <is>
          <t>Low</t>
        </is>
      </c>
      <c r="U2898" s="8" t="n">
        <v>16.47</v>
      </c>
      <c r="V2898" s="13">
        <f>IF(U2898="","",ROUND(M2898-U2898,2))</f>
        <v/>
      </c>
      <c r="W2898" s="15" t="inlineStr">
        <is>
          <t>Apportioned at class level</t>
        </is>
      </c>
      <c r="X2898" s="5" t="inlineStr">
        <is>
          <t>Split from published rate using median L/P/M shares of 69 comparable build-ups at class level (29/10/60).</t>
        </is>
      </c>
    </row>
    <row r="2899" ht="13" customHeight="1">
      <c r="A2899" s="4" t="n">
        <v>4308</v>
      </c>
      <c r="B2899" s="5" t="inlineStr">
        <is>
          <t>IMG_0123</t>
        </is>
      </c>
      <c r="C2899" s="5" t="inlineStr">
        <is>
          <t>CLASS Q: PILING ANCILLARIES</t>
        </is>
      </c>
      <c r="D2899" s="5" t="inlineStr">
        <is>
          <t>04 TIMBER PILES</t>
        </is>
      </c>
      <c r="E2899" s="5" t="inlineStr">
        <is>
          <t>Greenheart; Preparing heads</t>
        </is>
      </c>
      <c r="F2899" s="5" t="inlineStr">
        <is>
          <t>cross-sectional area: 0.05-0.1 m2</t>
        </is>
      </c>
      <c r="G2899" s="6" t="inlineStr">
        <is>
          <t>nr</t>
        </is>
      </c>
      <c r="H2899" s="7" t="n"/>
      <c r="I2899" s="8" t="n">
        <v>4.85</v>
      </c>
      <c r="J2899" s="8" t="n">
        <v>1.68</v>
      </c>
      <c r="K2899" s="8" t="n">
        <v>9.93</v>
      </c>
      <c r="L2899" s="8" t="n">
        <v>0</v>
      </c>
      <c r="M2899" s="9">
        <f>ROUND(SUM(I2899:L2899),2)</f>
        <v/>
      </c>
      <c r="N2899" s="10">
        <f>ROUND(I2899*'Irish Basis'!$C$6*'Irish Basis'!$C$5,2)</f>
        <v/>
      </c>
      <c r="O2899" s="10">
        <f>ROUND(J2899*'Irish Basis'!$C$7*'Irish Basis'!$C$5,2)</f>
        <v/>
      </c>
      <c r="P2899" s="10">
        <f>ROUND(K2899*'Irish Basis'!$C$8*'Irish Basis'!$C$5,2)</f>
        <v/>
      </c>
      <c r="Q2899" s="10">
        <f>ROUND(L2899*'Irish Basis'!$C$12*'Irish Basis'!$C$5,2)</f>
        <v/>
      </c>
      <c r="R2899" s="11">
        <f>ROUND(SUM(N2899:Q2899),2)</f>
        <v/>
      </c>
      <c r="S2899" s="5" t="inlineStr">
        <is>
          <t>Apportioned (class)</t>
        </is>
      </c>
      <c r="T2899" s="17" t="inlineStr">
        <is>
          <t>Low</t>
        </is>
      </c>
      <c r="U2899" s="8" t="n">
        <v>16.47</v>
      </c>
      <c r="V2899" s="13">
        <f>IF(U2899="","",ROUND(M2899-U2899,2))</f>
        <v/>
      </c>
      <c r="W2899" s="15" t="inlineStr">
        <is>
          <t>Apportioned at class level</t>
        </is>
      </c>
      <c r="X2899" s="5" t="inlineStr">
        <is>
          <t>Split from published rate using median L/P/M shares of 69 comparable build-ups at class level (29/10/60).</t>
        </is>
      </c>
    </row>
    <row r="2900" ht="13" customHeight="1">
      <c r="A2900" s="4" t="n">
        <v>4309</v>
      </c>
      <c r="B2900" s="5" t="inlineStr">
        <is>
          <t>IMG_0123</t>
        </is>
      </c>
      <c r="C2900" s="5" t="inlineStr">
        <is>
          <t>CLASS Q: PILING ANCILLARIES</t>
        </is>
      </c>
      <c r="D2900" s="5" t="inlineStr">
        <is>
          <t>04 TIMBER PILES</t>
        </is>
      </c>
      <c r="E2900" s="5" t="inlineStr">
        <is>
          <t>Greenheart; Preparing heads</t>
        </is>
      </c>
      <c r="F2900" s="5" t="inlineStr">
        <is>
          <t>cross-sectional area: 0.1-0.15 m2</t>
        </is>
      </c>
      <c r="G2900" s="6" t="inlineStr">
        <is>
          <t>nr</t>
        </is>
      </c>
      <c r="H2900" s="7" t="n"/>
      <c r="I2900" s="8" t="n">
        <v>6.07</v>
      </c>
      <c r="J2900" s="8" t="n">
        <v>2.11</v>
      </c>
      <c r="K2900" s="8" t="n">
        <v>12.43</v>
      </c>
      <c r="L2900" s="8" t="n">
        <v>0</v>
      </c>
      <c r="M2900" s="9">
        <f>ROUND(SUM(I2900:L2900),2)</f>
        <v/>
      </c>
      <c r="N2900" s="10">
        <f>ROUND(I2900*'Irish Basis'!$C$6*'Irish Basis'!$C$5,2)</f>
        <v/>
      </c>
      <c r="O2900" s="10">
        <f>ROUND(J2900*'Irish Basis'!$C$7*'Irish Basis'!$C$5,2)</f>
        <v/>
      </c>
      <c r="P2900" s="10">
        <f>ROUND(K2900*'Irish Basis'!$C$8*'Irish Basis'!$C$5,2)</f>
        <v/>
      </c>
      <c r="Q2900" s="10">
        <f>ROUND(L2900*'Irish Basis'!$C$12*'Irish Basis'!$C$5,2)</f>
        <v/>
      </c>
      <c r="R2900" s="11">
        <f>ROUND(SUM(N2900:Q2900),2)</f>
        <v/>
      </c>
      <c r="S2900" s="5" t="inlineStr">
        <is>
          <t>Apportioned (class)</t>
        </is>
      </c>
      <c r="T2900" s="17" t="inlineStr">
        <is>
          <t>Low</t>
        </is>
      </c>
      <c r="U2900" s="8" t="n">
        <v>20.61</v>
      </c>
      <c r="V2900" s="13">
        <f>IF(U2900="","",ROUND(M2900-U2900,2))</f>
        <v/>
      </c>
      <c r="W2900" s="15" t="inlineStr">
        <is>
          <t>Apportioned at class level</t>
        </is>
      </c>
      <c r="X2900" s="5" t="inlineStr">
        <is>
          <t>Split from published rate using median L/P/M shares of 69 comparable build-ups at class level (29/10/60).</t>
        </is>
      </c>
    </row>
    <row r="2901" ht="13" customHeight="1">
      <c r="A2901" s="4" t="n">
        <v>4310</v>
      </c>
      <c r="B2901" s="5" t="inlineStr">
        <is>
          <t>IMG_0123</t>
        </is>
      </c>
      <c r="C2901" s="5" t="inlineStr">
        <is>
          <t>CLASS Q: PILING ANCILLARIES</t>
        </is>
      </c>
      <c r="D2901" s="5" t="inlineStr">
        <is>
          <t>04 TIMBER PILES</t>
        </is>
      </c>
      <c r="E2901" s="5" t="inlineStr">
        <is>
          <t>Greenheart; Preparing heads</t>
        </is>
      </c>
      <c r="F2901" s="5" t="inlineStr">
        <is>
          <t>cross-sectional area: 0.15-0.25 m2</t>
        </is>
      </c>
      <c r="G2901" s="6" t="inlineStr">
        <is>
          <t>nr</t>
        </is>
      </c>
      <c r="H2901" s="7" t="n"/>
      <c r="I2901" s="8" t="n">
        <v>10.92</v>
      </c>
      <c r="J2901" s="8" t="n">
        <v>3.79</v>
      </c>
      <c r="K2901" s="8" t="n">
        <v>22.37</v>
      </c>
      <c r="L2901" s="8" t="n">
        <v>0</v>
      </c>
      <c r="M2901" s="9">
        <f>ROUND(SUM(I2901:L2901),2)</f>
        <v/>
      </c>
      <c r="N2901" s="10">
        <f>ROUND(I2901*'Irish Basis'!$C$6*'Irish Basis'!$C$5,2)</f>
        <v/>
      </c>
      <c r="O2901" s="10">
        <f>ROUND(J2901*'Irish Basis'!$C$7*'Irish Basis'!$C$5,2)</f>
        <v/>
      </c>
      <c r="P2901" s="10">
        <f>ROUND(K2901*'Irish Basis'!$C$8*'Irish Basis'!$C$5,2)</f>
        <v/>
      </c>
      <c r="Q2901" s="10">
        <f>ROUND(L2901*'Irish Basis'!$C$12*'Irish Basis'!$C$5,2)</f>
        <v/>
      </c>
      <c r="R2901" s="11">
        <f>ROUND(SUM(N2901:Q2901),2)</f>
        <v/>
      </c>
      <c r="S2901" s="5" t="inlineStr">
        <is>
          <t>Apportioned (class)</t>
        </is>
      </c>
      <c r="T2901" s="17" t="inlineStr">
        <is>
          <t>Low</t>
        </is>
      </c>
      <c r="U2901" s="8" t="n">
        <v>37.08</v>
      </c>
      <c r="V2901" s="13">
        <f>IF(U2901="","",ROUND(M2901-U2901,2))</f>
        <v/>
      </c>
      <c r="W2901" s="15" t="inlineStr">
        <is>
          <t>Apportioned at class level</t>
        </is>
      </c>
      <c r="X2901" s="5" t="inlineStr">
        <is>
          <t>Split from published rate using median L/P/M shares of 69 comparable build-ups at class level (29/10/60).</t>
        </is>
      </c>
    </row>
    <row r="2902" ht="13" customHeight="1">
      <c r="A2902" s="4" t="n">
        <v>4316</v>
      </c>
      <c r="B2902" s="5" t="inlineStr">
        <is>
          <t>IMG_0124</t>
        </is>
      </c>
      <c r="C2902" s="5" t="inlineStr">
        <is>
          <t>CLASS Q: PILING ANCILLARIES</t>
        </is>
      </c>
      <c r="D2902" s="5" t="inlineStr">
        <is>
          <t>05 ISOLATED STEEL PILES</t>
        </is>
      </c>
      <c r="E2902" s="5" t="inlineStr">
        <is>
          <t>Number of pile extensions</t>
        </is>
      </c>
      <c r="F2902" s="5" t="inlineStr">
        <is>
          <t>at each position</t>
        </is>
      </c>
      <c r="G2902" s="6" t="inlineStr">
        <is>
          <t>nr</t>
        </is>
      </c>
      <c r="H2902" s="7" t="n"/>
      <c r="I2902" s="8" t="n">
        <v>0</v>
      </c>
      <c r="J2902" s="8" t="n">
        <v>104.75</v>
      </c>
      <c r="K2902" s="8" t="n">
        <v>0</v>
      </c>
      <c r="L2902" s="8" t="n">
        <v>0</v>
      </c>
      <c r="M2902" s="9">
        <f>ROUND(SUM(I2902:L2902),2)</f>
        <v/>
      </c>
      <c r="N2902" s="10">
        <f>ROUND(I2902*'Irish Basis'!$C$6*'Irish Basis'!$C$5,2)</f>
        <v/>
      </c>
      <c r="O2902" s="10">
        <f>ROUND(J2902*'Irish Basis'!$C$7*'Irish Basis'!$C$5,2)</f>
        <v/>
      </c>
      <c r="P2902" s="10">
        <f>ROUND(K2902*'Irish Basis'!$C$8*'Irish Basis'!$C$5,2)</f>
        <v/>
      </c>
      <c r="Q2902" s="10">
        <f>ROUND(L2902*'Irish Basis'!$C$12*'Irish Basis'!$C$5,2)</f>
        <v/>
      </c>
      <c r="R2902" s="11">
        <f>ROUND(SUM(N2902:Q2902),2)</f>
        <v/>
      </c>
      <c r="S2902" s="5" t="inlineStr">
        <is>
          <t>Apportioned (section)</t>
        </is>
      </c>
      <c r="T2902" s="16" t="inlineStr">
        <is>
          <t>Medium</t>
        </is>
      </c>
      <c r="U2902" s="8" t="n">
        <v>104.75</v>
      </c>
      <c r="V2902" s="13">
        <f>IF(U2902="","",ROUND(M2902-U2902,2))</f>
        <v/>
      </c>
      <c r="W2902" s="5" t="n"/>
      <c r="X2902" s="5" t="inlineStr">
        <is>
          <t>Split from published rate using median L/P/M shares of 32 comparable build-ups at section level (0/100/0).</t>
        </is>
      </c>
    </row>
    <row r="2903" ht="13" customHeight="1">
      <c r="A2903" s="4" t="n">
        <v>4318</v>
      </c>
      <c r="B2903" s="5" t="inlineStr">
        <is>
          <t>IMG_0124</t>
        </is>
      </c>
      <c r="C2903" s="5" t="inlineStr">
        <is>
          <t>CLASS Q: PILING ANCILLARIES</t>
        </is>
      </c>
      <c r="D2903" s="5" t="inlineStr">
        <is>
          <t>05 ISOLATED STEEL PILES</t>
        </is>
      </c>
      <c r="E2903" s="5" t="inlineStr">
        <is>
          <t>Length of pile extensions, each length not exceeding 3 m; steel EN 10025 grade S275</t>
        </is>
      </c>
      <c r="F2903" s="5" t="inlineStr">
        <is>
          <t>mass 45 kg/m</t>
        </is>
      </c>
      <c r="G2903" s="6" t="inlineStr">
        <is>
          <t>m</t>
        </is>
      </c>
      <c r="H2903" s="7" t="n"/>
      <c r="I2903" s="8" t="n">
        <v>0</v>
      </c>
      <c r="J2903" s="8" t="n">
        <v>91.98999999999999</v>
      </c>
      <c r="K2903" s="8" t="n">
        <v>0</v>
      </c>
      <c r="L2903" s="8" t="n">
        <v>0</v>
      </c>
      <c r="M2903" s="9">
        <f>ROUND(SUM(I2903:L2903),2)</f>
        <v/>
      </c>
      <c r="N2903" s="10">
        <f>ROUND(I2903*'Irish Basis'!$C$6*'Irish Basis'!$C$5,2)</f>
        <v/>
      </c>
      <c r="O2903" s="10">
        <f>ROUND(J2903*'Irish Basis'!$C$7*'Irish Basis'!$C$5,2)</f>
        <v/>
      </c>
      <c r="P2903" s="10">
        <f>ROUND(K2903*'Irish Basis'!$C$8*'Irish Basis'!$C$5,2)</f>
        <v/>
      </c>
      <c r="Q2903" s="10">
        <f>ROUND(L2903*'Irish Basis'!$C$12*'Irish Basis'!$C$5,2)</f>
        <v/>
      </c>
      <c r="R2903" s="11">
        <f>ROUND(SUM(N2903:Q2903),2)</f>
        <v/>
      </c>
      <c r="S2903" s="5" t="inlineStr">
        <is>
          <t>Stated build-up</t>
        </is>
      </c>
      <c r="T2903" s="12" t="inlineStr">
        <is>
          <t>High</t>
        </is>
      </c>
      <c r="U2903" s="8" t="n">
        <v>91.98999999999999</v>
      </c>
      <c r="V2903" s="13">
        <f>IF(U2903="","",ROUND(M2903-U2903,2))</f>
        <v/>
      </c>
      <c r="W2903" s="5" t="n"/>
      <c r="X2903" s="5" t="inlineStr">
        <is>
          <t>Labour + plant + material as published; reconciles to the published rate.</t>
        </is>
      </c>
    </row>
    <row r="2904" ht="13" customHeight="1">
      <c r="A2904" s="4" t="n">
        <v>4319</v>
      </c>
      <c r="B2904" s="5" t="inlineStr">
        <is>
          <t>IMG_0124</t>
        </is>
      </c>
      <c r="C2904" s="5" t="inlineStr">
        <is>
          <t>CLASS Q: PILING ANCILLARIES</t>
        </is>
      </c>
      <c r="D2904" s="5" t="inlineStr">
        <is>
          <t>05 ISOLATED STEEL PILES</t>
        </is>
      </c>
      <c r="E2904" s="5" t="inlineStr">
        <is>
          <t>Length of pile extensions, each length not exceeding 3 m; steel EN 10025 grade S275</t>
        </is>
      </c>
      <c r="F2904" s="5" t="inlineStr">
        <is>
          <t>mass 54 kg/m</t>
        </is>
      </c>
      <c r="G2904" s="6" t="inlineStr">
        <is>
          <t>m</t>
        </is>
      </c>
      <c r="H2904" s="7" t="n"/>
      <c r="I2904" s="8" t="n">
        <v>0</v>
      </c>
      <c r="J2904" s="8" t="n">
        <v>110.39</v>
      </c>
      <c r="K2904" s="8" t="n">
        <v>0</v>
      </c>
      <c r="L2904" s="8" t="n">
        <v>0</v>
      </c>
      <c r="M2904" s="9">
        <f>ROUND(SUM(I2904:L2904),2)</f>
        <v/>
      </c>
      <c r="N2904" s="10">
        <f>ROUND(I2904*'Irish Basis'!$C$6*'Irish Basis'!$C$5,2)</f>
        <v/>
      </c>
      <c r="O2904" s="10">
        <f>ROUND(J2904*'Irish Basis'!$C$7*'Irish Basis'!$C$5,2)</f>
        <v/>
      </c>
      <c r="P2904" s="10">
        <f>ROUND(K2904*'Irish Basis'!$C$8*'Irish Basis'!$C$5,2)</f>
        <v/>
      </c>
      <c r="Q2904" s="10">
        <f>ROUND(L2904*'Irish Basis'!$C$12*'Irish Basis'!$C$5,2)</f>
        <v/>
      </c>
      <c r="R2904" s="11">
        <f>ROUND(SUM(N2904:Q2904),2)</f>
        <v/>
      </c>
      <c r="S2904" s="5" t="inlineStr">
        <is>
          <t>Stated build-up</t>
        </is>
      </c>
      <c r="T2904" s="12" t="inlineStr">
        <is>
          <t>High</t>
        </is>
      </c>
      <c r="U2904" s="8" t="n">
        <v>110.39</v>
      </c>
      <c r="V2904" s="13">
        <f>IF(U2904="","",ROUND(M2904-U2904,2))</f>
        <v/>
      </c>
      <c r="W2904" s="5" t="n"/>
      <c r="X2904" s="5" t="inlineStr">
        <is>
          <t>Labour + plant + material as published; reconciles to the published rate.</t>
        </is>
      </c>
    </row>
    <row r="2905" ht="13" customHeight="1">
      <c r="A2905" s="4" t="n">
        <v>4320</v>
      </c>
      <c r="B2905" s="5" t="inlineStr">
        <is>
          <t>IMG_0124</t>
        </is>
      </c>
      <c r="C2905" s="5" t="inlineStr">
        <is>
          <t>CLASS Q: PILING ANCILLARIES</t>
        </is>
      </c>
      <c r="D2905" s="5" t="inlineStr">
        <is>
          <t>05 ISOLATED STEEL PILES</t>
        </is>
      </c>
      <c r="E2905" s="5" t="inlineStr">
        <is>
          <t>Length of pile extensions, each length not exceeding 3 m; steel EN 10025 grade S275</t>
        </is>
      </c>
      <c r="F2905" s="5" t="inlineStr">
        <is>
          <t>mass 63 kg/m</t>
        </is>
      </c>
      <c r="G2905" s="6" t="inlineStr">
        <is>
          <t>m</t>
        </is>
      </c>
      <c r="H2905" s="7" t="n"/>
      <c r="I2905" s="8" t="n">
        <v>0</v>
      </c>
      <c r="J2905" s="8" t="n">
        <v>128.78</v>
      </c>
      <c r="K2905" s="8" t="n">
        <v>0</v>
      </c>
      <c r="L2905" s="8" t="n">
        <v>0</v>
      </c>
      <c r="M2905" s="9">
        <f>ROUND(SUM(I2905:L2905),2)</f>
        <v/>
      </c>
      <c r="N2905" s="10">
        <f>ROUND(I2905*'Irish Basis'!$C$6*'Irish Basis'!$C$5,2)</f>
        <v/>
      </c>
      <c r="O2905" s="10">
        <f>ROUND(J2905*'Irish Basis'!$C$7*'Irish Basis'!$C$5,2)</f>
        <v/>
      </c>
      <c r="P2905" s="10">
        <f>ROUND(K2905*'Irish Basis'!$C$8*'Irish Basis'!$C$5,2)</f>
        <v/>
      </c>
      <c r="Q2905" s="10">
        <f>ROUND(L2905*'Irish Basis'!$C$12*'Irish Basis'!$C$5,2)</f>
        <v/>
      </c>
      <c r="R2905" s="11">
        <f>ROUND(SUM(N2905:Q2905),2)</f>
        <v/>
      </c>
      <c r="S2905" s="5" t="inlineStr">
        <is>
          <t>Stated build-up</t>
        </is>
      </c>
      <c r="T2905" s="12" t="inlineStr">
        <is>
          <t>High</t>
        </is>
      </c>
      <c r="U2905" s="8" t="n">
        <v>128.78</v>
      </c>
      <c r="V2905" s="13">
        <f>IF(U2905="","",ROUND(M2905-U2905,2))</f>
        <v/>
      </c>
      <c r="W2905" s="5" t="n"/>
      <c r="X2905" s="5" t="inlineStr">
        <is>
          <t>Labour + plant + material as published; reconciles to the published rate.</t>
        </is>
      </c>
    </row>
    <row r="2906" ht="13" customHeight="1">
      <c r="A2906" s="4" t="n">
        <v>4321</v>
      </c>
      <c r="B2906" s="5" t="inlineStr">
        <is>
          <t>IMG_0124</t>
        </is>
      </c>
      <c r="C2906" s="5" t="inlineStr">
        <is>
          <t>CLASS Q: PILING ANCILLARIES</t>
        </is>
      </c>
      <c r="D2906" s="5" t="inlineStr">
        <is>
          <t>05 ISOLATED STEEL PILES</t>
        </is>
      </c>
      <c r="E2906" s="5" t="inlineStr">
        <is>
          <t>Length of pile extensions, each length not exceeding 3 m; steel EN 10025 grade S275</t>
        </is>
      </c>
      <c r="F2906" s="5" t="inlineStr">
        <is>
          <t>mass 71 kg/m</t>
        </is>
      </c>
      <c r="G2906" s="6" t="inlineStr">
        <is>
          <t>m</t>
        </is>
      </c>
      <c r="H2906" s="7" t="n"/>
      <c r="I2906" s="8" t="n">
        <v>0</v>
      </c>
      <c r="J2906" s="8" t="n">
        <v>145.14</v>
      </c>
      <c r="K2906" s="8" t="n">
        <v>0</v>
      </c>
      <c r="L2906" s="8" t="n">
        <v>0</v>
      </c>
      <c r="M2906" s="9">
        <f>ROUND(SUM(I2906:L2906),2)</f>
        <v/>
      </c>
      <c r="N2906" s="10">
        <f>ROUND(I2906*'Irish Basis'!$C$6*'Irish Basis'!$C$5,2)</f>
        <v/>
      </c>
      <c r="O2906" s="10">
        <f>ROUND(J2906*'Irish Basis'!$C$7*'Irish Basis'!$C$5,2)</f>
        <v/>
      </c>
      <c r="P2906" s="10">
        <f>ROUND(K2906*'Irish Basis'!$C$8*'Irish Basis'!$C$5,2)</f>
        <v/>
      </c>
      <c r="Q2906" s="10">
        <f>ROUND(L2906*'Irish Basis'!$C$12*'Irish Basis'!$C$5,2)</f>
        <v/>
      </c>
      <c r="R2906" s="11">
        <f>ROUND(SUM(N2906:Q2906),2)</f>
        <v/>
      </c>
      <c r="S2906" s="5" t="inlineStr">
        <is>
          <t>Stated build-up</t>
        </is>
      </c>
      <c r="T2906" s="12" t="inlineStr">
        <is>
          <t>High</t>
        </is>
      </c>
      <c r="U2906" s="8" t="n">
        <v>145.14</v>
      </c>
      <c r="V2906" s="13">
        <f>IF(U2906="","",ROUND(M2906-U2906,2))</f>
        <v/>
      </c>
      <c r="W2906" s="5" t="n"/>
      <c r="X2906" s="5" t="inlineStr">
        <is>
          <t>Labour + plant + material as published; reconciles to the published rate.</t>
        </is>
      </c>
    </row>
    <row r="2907" ht="13" customHeight="1">
      <c r="A2907" s="4" t="n">
        <v>4322</v>
      </c>
      <c r="B2907" s="5" t="inlineStr">
        <is>
          <t>IMG_0124</t>
        </is>
      </c>
      <c r="C2907" s="5" t="inlineStr">
        <is>
          <t>CLASS Q: PILING ANCILLARIES</t>
        </is>
      </c>
      <c r="D2907" s="5" t="inlineStr">
        <is>
          <t>05 ISOLATED STEEL PILES</t>
        </is>
      </c>
      <c r="E2907" s="5" t="inlineStr">
        <is>
          <t>Length of pile extensions, each length not exceeding 3 m; steel EN 10025 grade S275</t>
        </is>
      </c>
      <c r="F2907" s="5" t="inlineStr">
        <is>
          <t>mass 79 kg/m</t>
        </is>
      </c>
      <c r="G2907" s="6" t="inlineStr">
        <is>
          <t>m</t>
        </is>
      </c>
      <c r="H2907" s="7" t="n"/>
      <c r="I2907" s="8" t="n">
        <v>0</v>
      </c>
      <c r="J2907" s="8" t="n">
        <v>161.49</v>
      </c>
      <c r="K2907" s="8" t="n">
        <v>0</v>
      </c>
      <c r="L2907" s="8" t="n">
        <v>0</v>
      </c>
      <c r="M2907" s="9">
        <f>ROUND(SUM(I2907:L2907),2)</f>
        <v/>
      </c>
      <c r="N2907" s="10">
        <f>ROUND(I2907*'Irish Basis'!$C$6*'Irish Basis'!$C$5,2)</f>
        <v/>
      </c>
      <c r="O2907" s="10">
        <f>ROUND(J2907*'Irish Basis'!$C$7*'Irish Basis'!$C$5,2)</f>
        <v/>
      </c>
      <c r="P2907" s="10">
        <f>ROUND(K2907*'Irish Basis'!$C$8*'Irish Basis'!$C$5,2)</f>
        <v/>
      </c>
      <c r="Q2907" s="10">
        <f>ROUND(L2907*'Irish Basis'!$C$12*'Irish Basis'!$C$5,2)</f>
        <v/>
      </c>
      <c r="R2907" s="11">
        <f>ROUND(SUM(N2907:Q2907),2)</f>
        <v/>
      </c>
      <c r="S2907" s="5" t="inlineStr">
        <is>
          <t>Stated build-up</t>
        </is>
      </c>
      <c r="T2907" s="12" t="inlineStr">
        <is>
          <t>High</t>
        </is>
      </c>
      <c r="U2907" s="8" t="n">
        <v>161.49</v>
      </c>
      <c r="V2907" s="13">
        <f>IF(U2907="","",ROUND(M2907-U2907,2))</f>
        <v/>
      </c>
      <c r="W2907" s="5" t="n"/>
      <c r="X2907" s="5" t="inlineStr">
        <is>
          <t>Labour + plant + material as published; reconciles to the published rate.</t>
        </is>
      </c>
    </row>
    <row r="2908" ht="13" customHeight="1">
      <c r="A2908" s="4" t="n">
        <v>4323</v>
      </c>
      <c r="B2908" s="5" t="inlineStr">
        <is>
          <t>IMG_0124</t>
        </is>
      </c>
      <c r="C2908" s="5" t="inlineStr">
        <is>
          <t>CLASS Q: PILING ANCILLARIES</t>
        </is>
      </c>
      <c r="D2908" s="5" t="inlineStr">
        <is>
          <t>05 ISOLATED STEEL PILES</t>
        </is>
      </c>
      <c r="E2908" s="5" t="inlineStr">
        <is>
          <t>Length of pile extensions, each length not exceeding 3 m; steel EN 10025 grade S275</t>
        </is>
      </c>
      <c r="F2908" s="5" t="inlineStr">
        <is>
          <t>mass 85 kg/m</t>
        </is>
      </c>
      <c r="G2908" s="6" t="inlineStr">
        <is>
          <t>m</t>
        </is>
      </c>
      <c r="H2908" s="7" t="n"/>
      <c r="I2908" s="8" t="n">
        <v>0</v>
      </c>
      <c r="J2908" s="8" t="n">
        <v>173.75</v>
      </c>
      <c r="K2908" s="8" t="n">
        <v>0</v>
      </c>
      <c r="L2908" s="8" t="n">
        <v>0</v>
      </c>
      <c r="M2908" s="9">
        <f>ROUND(SUM(I2908:L2908),2)</f>
        <v/>
      </c>
      <c r="N2908" s="10">
        <f>ROUND(I2908*'Irish Basis'!$C$6*'Irish Basis'!$C$5,2)</f>
        <v/>
      </c>
      <c r="O2908" s="10">
        <f>ROUND(J2908*'Irish Basis'!$C$7*'Irish Basis'!$C$5,2)</f>
        <v/>
      </c>
      <c r="P2908" s="10">
        <f>ROUND(K2908*'Irish Basis'!$C$8*'Irish Basis'!$C$5,2)</f>
        <v/>
      </c>
      <c r="Q2908" s="10">
        <f>ROUND(L2908*'Irish Basis'!$C$12*'Irish Basis'!$C$5,2)</f>
        <v/>
      </c>
      <c r="R2908" s="11">
        <f>ROUND(SUM(N2908:Q2908),2)</f>
        <v/>
      </c>
      <c r="S2908" s="5" t="inlineStr">
        <is>
          <t>Stated build-up</t>
        </is>
      </c>
      <c r="T2908" s="12" t="inlineStr">
        <is>
          <t>High</t>
        </is>
      </c>
      <c r="U2908" s="8" t="n">
        <v>173.75</v>
      </c>
      <c r="V2908" s="13">
        <f>IF(U2908="","",ROUND(M2908-U2908,2))</f>
        <v/>
      </c>
      <c r="W2908" s="5" t="n"/>
      <c r="X2908" s="5" t="inlineStr">
        <is>
          <t>Labour + plant + material as published; reconciles to the published rate.</t>
        </is>
      </c>
    </row>
    <row r="2909" ht="13" customHeight="1">
      <c r="A2909" s="4" t="n">
        <v>4324</v>
      </c>
      <c r="B2909" s="5" t="inlineStr">
        <is>
          <t>IMG_0124</t>
        </is>
      </c>
      <c r="C2909" s="5" t="inlineStr">
        <is>
          <t>CLASS Q: PILING ANCILLARIES</t>
        </is>
      </c>
      <c r="D2909" s="5" t="inlineStr">
        <is>
          <t>05 ISOLATED STEEL PILES</t>
        </is>
      </c>
      <c r="E2909" s="5" t="inlineStr">
        <is>
          <t>Length of pile extensions, each length not exceeding 3 m; steel EN 10025 grade S275</t>
        </is>
      </c>
      <c r="F2909" s="5" t="inlineStr">
        <is>
          <t>mass 95 kg/m</t>
        </is>
      </c>
      <c r="G2909" s="6" t="inlineStr">
        <is>
          <t>m</t>
        </is>
      </c>
      <c r="H2909" s="7" t="n"/>
      <c r="I2909" s="8" t="n">
        <v>0</v>
      </c>
      <c r="J2909" s="8" t="n">
        <v>194.2</v>
      </c>
      <c r="K2909" s="8" t="n">
        <v>0</v>
      </c>
      <c r="L2909" s="8" t="n">
        <v>0</v>
      </c>
      <c r="M2909" s="9">
        <f>ROUND(SUM(I2909:L2909),2)</f>
        <v/>
      </c>
      <c r="N2909" s="10">
        <f>ROUND(I2909*'Irish Basis'!$C$6*'Irish Basis'!$C$5,2)</f>
        <v/>
      </c>
      <c r="O2909" s="10">
        <f>ROUND(J2909*'Irish Basis'!$C$7*'Irish Basis'!$C$5,2)</f>
        <v/>
      </c>
      <c r="P2909" s="10">
        <f>ROUND(K2909*'Irish Basis'!$C$8*'Irish Basis'!$C$5,2)</f>
        <v/>
      </c>
      <c r="Q2909" s="10">
        <f>ROUND(L2909*'Irish Basis'!$C$12*'Irish Basis'!$C$5,2)</f>
        <v/>
      </c>
      <c r="R2909" s="11">
        <f>ROUND(SUM(N2909:Q2909),2)</f>
        <v/>
      </c>
      <c r="S2909" s="5" t="inlineStr">
        <is>
          <t>Stated build-up</t>
        </is>
      </c>
      <c r="T2909" s="12" t="inlineStr">
        <is>
          <t>High</t>
        </is>
      </c>
      <c r="U2909" s="8" t="n">
        <v>194.2</v>
      </c>
      <c r="V2909" s="13">
        <f>IF(U2909="","",ROUND(M2909-U2909,2))</f>
        <v/>
      </c>
      <c r="W2909" s="5" t="n"/>
      <c r="X2909" s="5" t="inlineStr">
        <is>
          <t>Labour + plant + material as published; reconciles to the published rate.</t>
        </is>
      </c>
    </row>
    <row r="2910" ht="13" customHeight="1">
      <c r="A2910" s="4" t="n">
        <v>4325</v>
      </c>
      <c r="B2910" s="5" t="inlineStr">
        <is>
          <t>IMG_0124</t>
        </is>
      </c>
      <c r="C2910" s="5" t="inlineStr">
        <is>
          <t>CLASS Q: PILING ANCILLARIES</t>
        </is>
      </c>
      <c r="D2910" s="5" t="inlineStr">
        <is>
          <t>05 ISOLATED STEEL PILES</t>
        </is>
      </c>
      <c r="E2910" s="5" t="inlineStr">
        <is>
          <t>Length of pile extensions, each length not exceeding 3 m; steel EN 10025 grade S275</t>
        </is>
      </c>
      <c r="F2910" s="5" t="inlineStr">
        <is>
          <t>mass 109 kg/m</t>
        </is>
      </c>
      <c r="G2910" s="6" t="inlineStr">
        <is>
          <t>m</t>
        </is>
      </c>
      <c r="H2910" s="7" t="n"/>
      <c r="I2910" s="8" t="n">
        <v>0</v>
      </c>
      <c r="J2910" s="8" t="n">
        <v>225.97</v>
      </c>
      <c r="K2910" s="8" t="n">
        <v>0</v>
      </c>
      <c r="L2910" s="8" t="n">
        <v>0</v>
      </c>
      <c r="M2910" s="9">
        <f>ROUND(SUM(I2910:L2910),2)</f>
        <v/>
      </c>
      <c r="N2910" s="10">
        <f>ROUND(I2910*'Irish Basis'!$C$6*'Irish Basis'!$C$5,2)</f>
        <v/>
      </c>
      <c r="O2910" s="10">
        <f>ROUND(J2910*'Irish Basis'!$C$7*'Irish Basis'!$C$5,2)</f>
        <v/>
      </c>
      <c r="P2910" s="10">
        <f>ROUND(K2910*'Irish Basis'!$C$8*'Irish Basis'!$C$5,2)</f>
        <v/>
      </c>
      <c r="Q2910" s="10">
        <f>ROUND(L2910*'Irish Basis'!$C$12*'Irish Basis'!$C$5,2)</f>
        <v/>
      </c>
      <c r="R2910" s="11">
        <f>ROUND(SUM(N2910:Q2910),2)</f>
        <v/>
      </c>
      <c r="S2910" s="5" t="inlineStr">
        <is>
          <t>Stated build-up</t>
        </is>
      </c>
      <c r="T2910" s="12" t="inlineStr">
        <is>
          <t>High</t>
        </is>
      </c>
      <c r="U2910" s="8" t="n">
        <v>225.97</v>
      </c>
      <c r="V2910" s="13">
        <f>IF(U2910="","",ROUND(M2910-U2910,2))</f>
        <v/>
      </c>
      <c r="W2910" s="5" t="n"/>
      <c r="X2910" s="5" t="inlineStr">
        <is>
          <t>Labour + plant + material as published; reconciles to the published rate.</t>
        </is>
      </c>
    </row>
    <row r="2911" ht="13" customHeight="1">
      <c r="A2911" s="4" t="n">
        <v>4326</v>
      </c>
      <c r="B2911" s="5" t="inlineStr">
        <is>
          <t>IMG_0124</t>
        </is>
      </c>
      <c r="C2911" s="5" t="inlineStr">
        <is>
          <t>CLASS Q: PILING ANCILLARIES</t>
        </is>
      </c>
      <c r="D2911" s="5" t="inlineStr">
        <is>
          <t>05 ISOLATED STEEL PILES</t>
        </is>
      </c>
      <c r="E2911" s="5" t="inlineStr">
        <is>
          <t>Length of pile extensions, each length not exceeding 3 m; steel EN 10025 grade S275</t>
        </is>
      </c>
      <c r="F2911" s="5" t="inlineStr">
        <is>
          <t>mass 110 kg/m</t>
        </is>
      </c>
      <c r="G2911" s="6" t="inlineStr">
        <is>
          <t>m</t>
        </is>
      </c>
      <c r="H2911" s="7" t="n"/>
      <c r="I2911" s="8" t="n">
        <v>0</v>
      </c>
      <c r="J2911" s="8" t="n">
        <v>224.86</v>
      </c>
      <c r="K2911" s="8" t="n">
        <v>0</v>
      </c>
      <c r="L2911" s="8" t="n">
        <v>0</v>
      </c>
      <c r="M2911" s="9">
        <f>ROUND(SUM(I2911:L2911),2)</f>
        <v/>
      </c>
      <c r="N2911" s="10">
        <f>ROUND(I2911*'Irish Basis'!$C$6*'Irish Basis'!$C$5,2)</f>
        <v/>
      </c>
      <c r="O2911" s="10">
        <f>ROUND(J2911*'Irish Basis'!$C$7*'Irish Basis'!$C$5,2)</f>
        <v/>
      </c>
      <c r="P2911" s="10">
        <f>ROUND(K2911*'Irish Basis'!$C$8*'Irish Basis'!$C$5,2)</f>
        <v/>
      </c>
      <c r="Q2911" s="10">
        <f>ROUND(L2911*'Irish Basis'!$C$12*'Irish Basis'!$C$5,2)</f>
        <v/>
      </c>
      <c r="R2911" s="11">
        <f>ROUND(SUM(N2911:Q2911),2)</f>
        <v/>
      </c>
      <c r="S2911" s="5" t="inlineStr">
        <is>
          <t>Stated build-up</t>
        </is>
      </c>
      <c r="T2911" s="12" t="inlineStr">
        <is>
          <t>High</t>
        </is>
      </c>
      <c r="U2911" s="8" t="n">
        <v>224.86</v>
      </c>
      <c r="V2911" s="13">
        <f>IF(U2911="","",ROUND(M2911-U2911,2))</f>
        <v/>
      </c>
      <c r="W2911" s="5" t="n"/>
      <c r="X2911" s="5" t="inlineStr">
        <is>
          <t>Labour + plant + material as published; reconciles to the published rate.</t>
        </is>
      </c>
    </row>
    <row r="2912" ht="13" customHeight="1">
      <c r="A2912" s="4" t="n">
        <v>4327</v>
      </c>
      <c r="B2912" s="5" t="inlineStr">
        <is>
          <t>IMG_0124</t>
        </is>
      </c>
      <c r="C2912" s="5" t="inlineStr">
        <is>
          <t>CLASS Q: PILING ANCILLARIES</t>
        </is>
      </c>
      <c r="D2912" s="5" t="inlineStr">
        <is>
          <t>05 ISOLATED STEEL PILES</t>
        </is>
      </c>
      <c r="E2912" s="5" t="inlineStr">
        <is>
          <t>Length of pile extensions, each length not exceeding 3 m; steel EN 10025 grade S275</t>
        </is>
      </c>
      <c r="F2912" s="5" t="inlineStr">
        <is>
          <t>mass 126 kg/m</t>
        </is>
      </c>
      <c r="G2912" s="6" t="inlineStr">
        <is>
          <t>m</t>
        </is>
      </c>
      <c r="H2912" s="7" t="n"/>
      <c r="I2912" s="8" t="n">
        <v>0</v>
      </c>
      <c r="J2912" s="8" t="n">
        <v>257.57</v>
      </c>
      <c r="K2912" s="8" t="n">
        <v>0</v>
      </c>
      <c r="L2912" s="8" t="n">
        <v>0</v>
      </c>
      <c r="M2912" s="9">
        <f>ROUND(SUM(I2912:L2912),2)</f>
        <v/>
      </c>
      <c r="N2912" s="10">
        <f>ROUND(I2912*'Irish Basis'!$C$6*'Irish Basis'!$C$5,2)</f>
        <v/>
      </c>
      <c r="O2912" s="10">
        <f>ROUND(J2912*'Irish Basis'!$C$7*'Irish Basis'!$C$5,2)</f>
        <v/>
      </c>
      <c r="P2912" s="10">
        <f>ROUND(K2912*'Irish Basis'!$C$8*'Irish Basis'!$C$5,2)</f>
        <v/>
      </c>
      <c r="Q2912" s="10">
        <f>ROUND(L2912*'Irish Basis'!$C$12*'Irish Basis'!$C$5,2)</f>
        <v/>
      </c>
      <c r="R2912" s="11">
        <f>ROUND(SUM(N2912:Q2912),2)</f>
        <v/>
      </c>
      <c r="S2912" s="5" t="inlineStr">
        <is>
          <t>Stated build-up</t>
        </is>
      </c>
      <c r="T2912" s="12" t="inlineStr">
        <is>
          <t>High</t>
        </is>
      </c>
      <c r="U2912" s="8" t="n">
        <v>257.57</v>
      </c>
      <c r="V2912" s="13">
        <f>IF(U2912="","",ROUND(M2912-U2912,2))</f>
        <v/>
      </c>
      <c r="W2912" s="5" t="n"/>
      <c r="X2912" s="5" t="inlineStr">
        <is>
          <t>Labour + plant + material as published; reconciles to the published rate.</t>
        </is>
      </c>
    </row>
    <row r="2913" ht="13" customHeight="1">
      <c r="A2913" s="4" t="n">
        <v>4328</v>
      </c>
      <c r="B2913" s="5" t="inlineStr">
        <is>
          <t>IMG_0124</t>
        </is>
      </c>
      <c r="C2913" s="5" t="inlineStr">
        <is>
          <t>CLASS Q: PILING ANCILLARIES</t>
        </is>
      </c>
      <c r="D2913" s="5" t="inlineStr">
        <is>
          <t>05 ISOLATED STEEL PILES</t>
        </is>
      </c>
      <c r="E2913" s="5" t="inlineStr">
        <is>
          <t>Length of pile extensions, each length not exceeding 3 m; steel EN 10025 grade S275</t>
        </is>
      </c>
      <c r="F2913" s="5" t="inlineStr">
        <is>
          <t>mass 133 kg/m</t>
        </is>
      </c>
      <c r="G2913" s="6" t="inlineStr">
        <is>
          <t>m</t>
        </is>
      </c>
      <c r="H2913" s="7" t="n"/>
      <c r="I2913" s="8" t="n">
        <v>0</v>
      </c>
      <c r="J2913" s="8" t="n">
        <v>275.73</v>
      </c>
      <c r="K2913" s="8" t="n">
        <v>0</v>
      </c>
      <c r="L2913" s="8" t="n">
        <v>0</v>
      </c>
      <c r="M2913" s="9">
        <f>ROUND(SUM(I2913:L2913),2)</f>
        <v/>
      </c>
      <c r="N2913" s="10">
        <f>ROUND(I2913*'Irish Basis'!$C$6*'Irish Basis'!$C$5,2)</f>
        <v/>
      </c>
      <c r="O2913" s="10">
        <f>ROUND(J2913*'Irish Basis'!$C$7*'Irish Basis'!$C$5,2)</f>
        <v/>
      </c>
      <c r="P2913" s="10">
        <f>ROUND(K2913*'Irish Basis'!$C$8*'Irish Basis'!$C$5,2)</f>
        <v/>
      </c>
      <c r="Q2913" s="10">
        <f>ROUND(L2913*'Irish Basis'!$C$12*'Irish Basis'!$C$5,2)</f>
        <v/>
      </c>
      <c r="R2913" s="11">
        <f>ROUND(SUM(N2913:Q2913),2)</f>
        <v/>
      </c>
      <c r="S2913" s="5" t="inlineStr">
        <is>
          <t>Stated build-up</t>
        </is>
      </c>
      <c r="T2913" s="12" t="inlineStr">
        <is>
          <t>High</t>
        </is>
      </c>
      <c r="U2913" s="8" t="n">
        <v>275.73</v>
      </c>
      <c r="V2913" s="13">
        <f>IF(U2913="","",ROUND(M2913-U2913,2))</f>
        <v/>
      </c>
      <c r="W2913" s="5" t="n"/>
      <c r="X2913" s="5" t="inlineStr">
        <is>
          <t>Labour + plant + material as published; reconciles to the published rate.</t>
        </is>
      </c>
    </row>
    <row r="2914" ht="13" customHeight="1">
      <c r="A2914" s="4" t="n">
        <v>4329</v>
      </c>
      <c r="B2914" s="5" t="inlineStr">
        <is>
          <t>IMG_0124</t>
        </is>
      </c>
      <c r="C2914" s="5" t="inlineStr">
        <is>
          <t>CLASS Q: PILING ANCILLARIES</t>
        </is>
      </c>
      <c r="D2914" s="5" t="inlineStr">
        <is>
          <t>05 ISOLATED STEEL PILES</t>
        </is>
      </c>
      <c r="E2914" s="5" t="inlineStr">
        <is>
          <t>Length of pile extensions, each length not exceeding 3 m; steel EN 10025 grade S275</t>
        </is>
      </c>
      <c r="F2914" s="5" t="inlineStr">
        <is>
          <t>mass 149 kg/m</t>
        </is>
      </c>
      <c r="G2914" s="6" t="inlineStr">
        <is>
          <t>m</t>
        </is>
      </c>
      <c r="H2914" s="7" t="n"/>
      <c r="I2914" s="8" t="n">
        <v>0</v>
      </c>
      <c r="J2914" s="8" t="n">
        <v>304.58</v>
      </c>
      <c r="K2914" s="8" t="n">
        <v>0</v>
      </c>
      <c r="L2914" s="8" t="n">
        <v>0</v>
      </c>
      <c r="M2914" s="9">
        <f>ROUND(SUM(I2914:L2914),2)</f>
        <v/>
      </c>
      <c r="N2914" s="10">
        <f>ROUND(I2914*'Irish Basis'!$C$6*'Irish Basis'!$C$5,2)</f>
        <v/>
      </c>
      <c r="O2914" s="10">
        <f>ROUND(J2914*'Irish Basis'!$C$7*'Irish Basis'!$C$5,2)</f>
        <v/>
      </c>
      <c r="P2914" s="10">
        <f>ROUND(K2914*'Irish Basis'!$C$8*'Irish Basis'!$C$5,2)</f>
        <v/>
      </c>
      <c r="Q2914" s="10">
        <f>ROUND(L2914*'Irish Basis'!$C$12*'Irish Basis'!$C$5,2)</f>
        <v/>
      </c>
      <c r="R2914" s="11">
        <f>ROUND(SUM(N2914:Q2914),2)</f>
        <v/>
      </c>
      <c r="S2914" s="5" t="inlineStr">
        <is>
          <t>Stated build-up</t>
        </is>
      </c>
      <c r="T2914" s="12" t="inlineStr">
        <is>
          <t>High</t>
        </is>
      </c>
      <c r="U2914" s="8" t="n">
        <v>304.58</v>
      </c>
      <c r="V2914" s="13">
        <f>IF(U2914="","",ROUND(M2914-U2914,2))</f>
        <v/>
      </c>
      <c r="W2914" s="5" t="n"/>
      <c r="X2914" s="5" t="inlineStr">
        <is>
          <t>Labour + plant + material as published; reconciles to the published rate.</t>
        </is>
      </c>
    </row>
    <row r="2915" ht="13" customHeight="1">
      <c r="A2915" s="4" t="n">
        <v>4330</v>
      </c>
      <c r="B2915" s="5" t="inlineStr">
        <is>
          <t>IMG_0124</t>
        </is>
      </c>
      <c r="C2915" s="5" t="inlineStr">
        <is>
          <t>CLASS Q: PILING ANCILLARIES</t>
        </is>
      </c>
      <c r="D2915" s="5" t="inlineStr">
        <is>
          <t>05 ISOLATED STEEL PILES</t>
        </is>
      </c>
      <c r="E2915" s="5" t="inlineStr">
        <is>
          <t>Length of pile extensions, each length not exceeding 3 m; steel EN 10025 grade S275</t>
        </is>
      </c>
      <c r="F2915" s="5" t="inlineStr">
        <is>
          <t>mass 152 kg/m</t>
        </is>
      </c>
      <c r="G2915" s="6" t="inlineStr">
        <is>
          <t>m</t>
        </is>
      </c>
      <c r="H2915" s="7" t="n"/>
      <c r="I2915" s="8" t="n">
        <v>0</v>
      </c>
      <c r="J2915" s="8" t="n">
        <v>315.12</v>
      </c>
      <c r="K2915" s="8" t="n">
        <v>0</v>
      </c>
      <c r="L2915" s="8" t="n">
        <v>0</v>
      </c>
      <c r="M2915" s="9">
        <f>ROUND(SUM(I2915:L2915),2)</f>
        <v/>
      </c>
      <c r="N2915" s="10">
        <f>ROUND(I2915*'Irish Basis'!$C$6*'Irish Basis'!$C$5,2)</f>
        <v/>
      </c>
      <c r="O2915" s="10">
        <f>ROUND(J2915*'Irish Basis'!$C$7*'Irish Basis'!$C$5,2)</f>
        <v/>
      </c>
      <c r="P2915" s="10">
        <f>ROUND(K2915*'Irish Basis'!$C$8*'Irish Basis'!$C$5,2)</f>
        <v/>
      </c>
      <c r="Q2915" s="10">
        <f>ROUND(L2915*'Irish Basis'!$C$12*'Irish Basis'!$C$5,2)</f>
        <v/>
      </c>
      <c r="R2915" s="11">
        <f>ROUND(SUM(N2915:Q2915),2)</f>
        <v/>
      </c>
      <c r="S2915" s="5" t="inlineStr">
        <is>
          <t>Stated build-up</t>
        </is>
      </c>
      <c r="T2915" s="12" t="inlineStr">
        <is>
          <t>High</t>
        </is>
      </c>
      <c r="U2915" s="8" t="n">
        <v>315.12</v>
      </c>
      <c r="V2915" s="13">
        <f>IF(U2915="","",ROUND(M2915-U2915,2))</f>
        <v/>
      </c>
      <c r="W2915" s="5" t="n"/>
      <c r="X2915" s="5" t="inlineStr">
        <is>
          <t>Labour + plant + material as published; reconciles to the published rate.</t>
        </is>
      </c>
    </row>
    <row r="2916" ht="13" customHeight="1">
      <c r="A2916" s="4" t="n">
        <v>4331</v>
      </c>
      <c r="B2916" s="5" t="inlineStr">
        <is>
          <t>IMG_0124</t>
        </is>
      </c>
      <c r="C2916" s="5" t="inlineStr">
        <is>
          <t>CLASS Q: PILING ANCILLARIES</t>
        </is>
      </c>
      <c r="D2916" s="5" t="inlineStr">
        <is>
          <t>05 ISOLATED STEEL PILES</t>
        </is>
      </c>
      <c r="E2916" s="5" t="inlineStr">
        <is>
          <t>Length of pile extensions, each length not exceeding 3 m; steel EN 10025 grade S275</t>
        </is>
      </c>
      <c r="F2916" s="5" t="inlineStr">
        <is>
          <t>mass 174 kg/m</t>
        </is>
      </c>
      <c r="G2916" s="6" t="inlineStr">
        <is>
          <t>m</t>
        </is>
      </c>
      <c r="H2916" s="7" t="n"/>
      <c r="I2916" s="8" t="n">
        <v>0</v>
      </c>
      <c r="J2916" s="8" t="n">
        <v>360.73</v>
      </c>
      <c r="K2916" s="8" t="n">
        <v>0</v>
      </c>
      <c r="L2916" s="8" t="n">
        <v>0</v>
      </c>
      <c r="M2916" s="9">
        <f>ROUND(SUM(I2916:L2916),2)</f>
        <v/>
      </c>
      <c r="N2916" s="10">
        <f>ROUND(I2916*'Irish Basis'!$C$6*'Irish Basis'!$C$5,2)</f>
        <v/>
      </c>
      <c r="O2916" s="10">
        <f>ROUND(J2916*'Irish Basis'!$C$7*'Irish Basis'!$C$5,2)</f>
        <v/>
      </c>
      <c r="P2916" s="10">
        <f>ROUND(K2916*'Irish Basis'!$C$8*'Irish Basis'!$C$5,2)</f>
        <v/>
      </c>
      <c r="Q2916" s="10">
        <f>ROUND(L2916*'Irish Basis'!$C$12*'Irish Basis'!$C$5,2)</f>
        <v/>
      </c>
      <c r="R2916" s="11">
        <f>ROUND(SUM(N2916:Q2916),2)</f>
        <v/>
      </c>
      <c r="S2916" s="5" t="inlineStr">
        <is>
          <t>Stated build-up</t>
        </is>
      </c>
      <c r="T2916" s="12" t="inlineStr">
        <is>
          <t>High</t>
        </is>
      </c>
      <c r="U2916" s="8" t="n">
        <v>360.73</v>
      </c>
      <c r="V2916" s="13">
        <f>IF(U2916="","",ROUND(M2916-U2916,2))</f>
        <v/>
      </c>
      <c r="W2916" s="5" t="n"/>
      <c r="X2916" s="5" t="inlineStr">
        <is>
          <t>Labour + plant + material as published; reconciles to the published rate.</t>
        </is>
      </c>
    </row>
    <row r="2917" ht="13" customHeight="1">
      <c r="A2917" s="4" t="n">
        <v>4332</v>
      </c>
      <c r="B2917" s="5" t="inlineStr">
        <is>
          <t>IMG_0124</t>
        </is>
      </c>
      <c r="C2917" s="5" t="inlineStr">
        <is>
          <t>CLASS Q: PILING ANCILLARIES</t>
        </is>
      </c>
      <c r="D2917" s="5" t="inlineStr">
        <is>
          <t>05 ISOLATED STEEL PILES</t>
        </is>
      </c>
      <c r="E2917" s="5" t="inlineStr">
        <is>
          <t>Length of pile extensions, each length not exceeding 3 m; steel EN 10025 grade S275</t>
        </is>
      </c>
      <c r="F2917" s="5" t="inlineStr">
        <is>
          <t>mass 186 kg/m</t>
        </is>
      </c>
      <c r="G2917" s="6" t="inlineStr">
        <is>
          <t>m</t>
        </is>
      </c>
      <c r="H2917" s="7" t="n"/>
      <c r="I2917" s="8" t="n">
        <v>0</v>
      </c>
      <c r="J2917" s="8" t="n">
        <v>380.22</v>
      </c>
      <c r="K2917" s="8" t="n">
        <v>0</v>
      </c>
      <c r="L2917" s="8" t="n">
        <v>0</v>
      </c>
      <c r="M2917" s="9">
        <f>ROUND(SUM(I2917:L2917),2)</f>
        <v/>
      </c>
      <c r="N2917" s="10">
        <f>ROUND(I2917*'Irish Basis'!$C$6*'Irish Basis'!$C$5,2)</f>
        <v/>
      </c>
      <c r="O2917" s="10">
        <f>ROUND(J2917*'Irish Basis'!$C$7*'Irish Basis'!$C$5,2)</f>
        <v/>
      </c>
      <c r="P2917" s="10">
        <f>ROUND(K2917*'Irish Basis'!$C$8*'Irish Basis'!$C$5,2)</f>
        <v/>
      </c>
      <c r="Q2917" s="10">
        <f>ROUND(L2917*'Irish Basis'!$C$12*'Irish Basis'!$C$5,2)</f>
        <v/>
      </c>
      <c r="R2917" s="11">
        <f>ROUND(SUM(N2917:Q2917),2)</f>
        <v/>
      </c>
      <c r="S2917" s="5" t="inlineStr">
        <is>
          <t>Stated build-up</t>
        </is>
      </c>
      <c r="T2917" s="12" t="inlineStr">
        <is>
          <t>High</t>
        </is>
      </c>
      <c r="U2917" s="8" t="n">
        <v>380.22</v>
      </c>
      <c r="V2917" s="13">
        <f>IF(U2917="","",ROUND(M2917-U2917,2))</f>
        <v/>
      </c>
      <c r="W2917" s="5" t="n"/>
      <c r="X2917" s="5" t="inlineStr">
        <is>
          <t>Labour + plant + material as published; reconciles to the published rate.</t>
        </is>
      </c>
    </row>
    <row r="2918" ht="13" customHeight="1">
      <c r="A2918" s="4" t="n">
        <v>4333</v>
      </c>
      <c r="B2918" s="5" t="inlineStr">
        <is>
          <t>IMG_0124</t>
        </is>
      </c>
      <c r="C2918" s="5" t="inlineStr">
        <is>
          <t>CLASS Q: PILING ANCILLARIES</t>
        </is>
      </c>
      <c r="D2918" s="5" t="inlineStr">
        <is>
          <t>05 ISOLATED STEEL PILES</t>
        </is>
      </c>
      <c r="E2918" s="5" t="inlineStr">
        <is>
          <t>Length of pile extensions, each length not exceeding 3 m; steel EN 10025 grade S275</t>
        </is>
      </c>
      <c r="F2918" s="5" t="inlineStr">
        <is>
          <t>mass 223 kg/m</t>
        </is>
      </c>
      <c r="G2918" s="6" t="inlineStr">
        <is>
          <t>m</t>
        </is>
      </c>
      <c r="H2918" s="7" t="n"/>
      <c r="I2918" s="8" t="n">
        <v>0</v>
      </c>
      <c r="J2918" s="8" t="n">
        <v>455.85</v>
      </c>
      <c r="K2918" s="8" t="n">
        <v>0</v>
      </c>
      <c r="L2918" s="8" t="n">
        <v>0</v>
      </c>
      <c r="M2918" s="9">
        <f>ROUND(SUM(I2918:L2918),2)</f>
        <v/>
      </c>
      <c r="N2918" s="10">
        <f>ROUND(I2918*'Irish Basis'!$C$6*'Irish Basis'!$C$5,2)</f>
        <v/>
      </c>
      <c r="O2918" s="10">
        <f>ROUND(J2918*'Irish Basis'!$C$7*'Irish Basis'!$C$5,2)</f>
        <v/>
      </c>
      <c r="P2918" s="10">
        <f>ROUND(K2918*'Irish Basis'!$C$8*'Irish Basis'!$C$5,2)</f>
        <v/>
      </c>
      <c r="Q2918" s="10">
        <f>ROUND(L2918*'Irish Basis'!$C$12*'Irish Basis'!$C$5,2)</f>
        <v/>
      </c>
      <c r="R2918" s="11">
        <f>ROUND(SUM(N2918:Q2918),2)</f>
        <v/>
      </c>
      <c r="S2918" s="5" t="inlineStr">
        <is>
          <t>Stated build-up</t>
        </is>
      </c>
      <c r="T2918" s="12" t="inlineStr">
        <is>
          <t>High</t>
        </is>
      </c>
      <c r="U2918" s="8" t="n">
        <v>455.85</v>
      </c>
      <c r="V2918" s="13">
        <f>IF(U2918="","",ROUND(M2918-U2918,2))</f>
        <v/>
      </c>
      <c r="W2918" s="5" t="n"/>
      <c r="X2918" s="5" t="inlineStr">
        <is>
          <t>Labour + plant + material as published; reconciles to the published rate.</t>
        </is>
      </c>
    </row>
    <row r="2919" ht="13" customHeight="1">
      <c r="A2919" s="4" t="n">
        <v>4335</v>
      </c>
      <c r="B2919" s="5" t="inlineStr">
        <is>
          <t>IMG_0124</t>
        </is>
      </c>
      <c r="C2919" s="5" t="inlineStr">
        <is>
          <t>CLASS Q: PILING ANCILLARIES</t>
        </is>
      </c>
      <c r="D2919" s="5" t="inlineStr">
        <is>
          <t>05 ISOLATED STEEL PILES</t>
        </is>
      </c>
      <c r="E2919" s="5" t="inlineStr">
        <is>
          <t>Length of pile extensions, each length exceeding 3 m; steel EN 10025 grade S275</t>
        </is>
      </c>
      <c r="F2919" s="5" t="inlineStr">
        <is>
          <t>mass 45 kg/m</t>
        </is>
      </c>
      <c r="G2919" s="6" t="inlineStr">
        <is>
          <t>m</t>
        </is>
      </c>
      <c r="H2919" s="7" t="n"/>
      <c r="I2919" s="8" t="n">
        <v>0</v>
      </c>
      <c r="J2919" s="8" t="n">
        <v>91.98999999999999</v>
      </c>
      <c r="K2919" s="8" t="n">
        <v>0</v>
      </c>
      <c r="L2919" s="8" t="n">
        <v>0</v>
      </c>
      <c r="M2919" s="9">
        <f>ROUND(SUM(I2919:L2919),2)</f>
        <v/>
      </c>
      <c r="N2919" s="10">
        <f>ROUND(I2919*'Irish Basis'!$C$6*'Irish Basis'!$C$5,2)</f>
        <v/>
      </c>
      <c r="O2919" s="10">
        <f>ROUND(J2919*'Irish Basis'!$C$7*'Irish Basis'!$C$5,2)</f>
        <v/>
      </c>
      <c r="P2919" s="10">
        <f>ROUND(K2919*'Irish Basis'!$C$8*'Irish Basis'!$C$5,2)</f>
        <v/>
      </c>
      <c r="Q2919" s="10">
        <f>ROUND(L2919*'Irish Basis'!$C$12*'Irish Basis'!$C$5,2)</f>
        <v/>
      </c>
      <c r="R2919" s="11">
        <f>ROUND(SUM(N2919:Q2919),2)</f>
        <v/>
      </c>
      <c r="S2919" s="5" t="inlineStr">
        <is>
          <t>Stated build-up</t>
        </is>
      </c>
      <c r="T2919" s="12" t="inlineStr">
        <is>
          <t>High</t>
        </is>
      </c>
      <c r="U2919" s="8" t="n">
        <v>91.98999999999999</v>
      </c>
      <c r="V2919" s="13">
        <f>IF(U2919="","",ROUND(M2919-U2919,2))</f>
        <v/>
      </c>
      <c r="W2919" s="5" t="n"/>
      <c r="X2919" s="5" t="inlineStr">
        <is>
          <t>Labour + plant + material as published; reconciles to the published rate.</t>
        </is>
      </c>
    </row>
    <row r="2920" ht="13" customHeight="1">
      <c r="A2920" s="4" t="n">
        <v>4336</v>
      </c>
      <c r="B2920" s="5" t="inlineStr">
        <is>
          <t>IMG_0124</t>
        </is>
      </c>
      <c r="C2920" s="5" t="inlineStr">
        <is>
          <t>CLASS Q: PILING ANCILLARIES</t>
        </is>
      </c>
      <c r="D2920" s="5" t="inlineStr">
        <is>
          <t>05 ISOLATED STEEL PILES</t>
        </is>
      </c>
      <c r="E2920" s="5" t="inlineStr">
        <is>
          <t>Length of pile extensions, each length exceeding 3 m; steel EN 10025 grade S275</t>
        </is>
      </c>
      <c r="F2920" s="5" t="inlineStr">
        <is>
          <t>mass 54 kg/m</t>
        </is>
      </c>
      <c r="G2920" s="6" t="inlineStr">
        <is>
          <t>m</t>
        </is>
      </c>
      <c r="H2920" s="7" t="n"/>
      <c r="I2920" s="8" t="n">
        <v>0</v>
      </c>
      <c r="J2920" s="8" t="n">
        <v>110.39</v>
      </c>
      <c r="K2920" s="8" t="n">
        <v>0</v>
      </c>
      <c r="L2920" s="8" t="n">
        <v>0</v>
      </c>
      <c r="M2920" s="9">
        <f>ROUND(SUM(I2920:L2920),2)</f>
        <v/>
      </c>
      <c r="N2920" s="10">
        <f>ROUND(I2920*'Irish Basis'!$C$6*'Irish Basis'!$C$5,2)</f>
        <v/>
      </c>
      <c r="O2920" s="10">
        <f>ROUND(J2920*'Irish Basis'!$C$7*'Irish Basis'!$C$5,2)</f>
        <v/>
      </c>
      <c r="P2920" s="10">
        <f>ROUND(K2920*'Irish Basis'!$C$8*'Irish Basis'!$C$5,2)</f>
        <v/>
      </c>
      <c r="Q2920" s="10">
        <f>ROUND(L2920*'Irish Basis'!$C$12*'Irish Basis'!$C$5,2)</f>
        <v/>
      </c>
      <c r="R2920" s="11">
        <f>ROUND(SUM(N2920:Q2920),2)</f>
        <v/>
      </c>
      <c r="S2920" s="5" t="inlineStr">
        <is>
          <t>Stated build-up</t>
        </is>
      </c>
      <c r="T2920" s="12" t="inlineStr">
        <is>
          <t>High</t>
        </is>
      </c>
      <c r="U2920" s="8" t="n">
        <v>110.39</v>
      </c>
      <c r="V2920" s="13">
        <f>IF(U2920="","",ROUND(M2920-U2920,2))</f>
        <v/>
      </c>
      <c r="W2920" s="5" t="n"/>
      <c r="X2920" s="5" t="inlineStr">
        <is>
          <t>Labour + plant + material as published; reconciles to the published rate.</t>
        </is>
      </c>
    </row>
    <row r="2921" ht="13" customHeight="1">
      <c r="A2921" s="4" t="n">
        <v>4337</v>
      </c>
      <c r="B2921" s="5" t="inlineStr">
        <is>
          <t>IMG_0124</t>
        </is>
      </c>
      <c r="C2921" s="5" t="inlineStr">
        <is>
          <t>CLASS Q: PILING ANCILLARIES</t>
        </is>
      </c>
      <c r="D2921" s="5" t="inlineStr">
        <is>
          <t>05 ISOLATED STEEL PILES</t>
        </is>
      </c>
      <c r="E2921" s="5" t="inlineStr">
        <is>
          <t>Length of pile extensions, each length exceeding 3 m; steel EN 10025 grade S275</t>
        </is>
      </c>
      <c r="F2921" s="5" t="inlineStr">
        <is>
          <t>mass 63 kg/m</t>
        </is>
      </c>
      <c r="G2921" s="6" t="inlineStr">
        <is>
          <t>m</t>
        </is>
      </c>
      <c r="H2921" s="7" t="n"/>
      <c r="I2921" s="8" t="n">
        <v>0</v>
      </c>
      <c r="J2921" s="8" t="n">
        <v>128.78</v>
      </c>
      <c r="K2921" s="8" t="n">
        <v>0</v>
      </c>
      <c r="L2921" s="8" t="n">
        <v>0</v>
      </c>
      <c r="M2921" s="9">
        <f>ROUND(SUM(I2921:L2921),2)</f>
        <v/>
      </c>
      <c r="N2921" s="10">
        <f>ROUND(I2921*'Irish Basis'!$C$6*'Irish Basis'!$C$5,2)</f>
        <v/>
      </c>
      <c r="O2921" s="10">
        <f>ROUND(J2921*'Irish Basis'!$C$7*'Irish Basis'!$C$5,2)</f>
        <v/>
      </c>
      <c r="P2921" s="10">
        <f>ROUND(K2921*'Irish Basis'!$C$8*'Irish Basis'!$C$5,2)</f>
        <v/>
      </c>
      <c r="Q2921" s="10">
        <f>ROUND(L2921*'Irish Basis'!$C$12*'Irish Basis'!$C$5,2)</f>
        <v/>
      </c>
      <c r="R2921" s="11">
        <f>ROUND(SUM(N2921:Q2921),2)</f>
        <v/>
      </c>
      <c r="S2921" s="5" t="inlineStr">
        <is>
          <t>Stated build-up</t>
        </is>
      </c>
      <c r="T2921" s="12" t="inlineStr">
        <is>
          <t>High</t>
        </is>
      </c>
      <c r="U2921" s="8" t="n">
        <v>128.78</v>
      </c>
      <c r="V2921" s="13">
        <f>IF(U2921="","",ROUND(M2921-U2921,2))</f>
        <v/>
      </c>
      <c r="W2921" s="5" t="n"/>
      <c r="X2921" s="5" t="inlineStr">
        <is>
          <t>Labour + plant + material as published; reconciles to the published rate.</t>
        </is>
      </c>
    </row>
    <row r="2922" ht="13" customHeight="1">
      <c r="A2922" s="4" t="n">
        <v>4338</v>
      </c>
      <c r="B2922" s="5" t="inlineStr">
        <is>
          <t>IMG_0124</t>
        </is>
      </c>
      <c r="C2922" s="5" t="inlineStr">
        <is>
          <t>CLASS Q: PILING ANCILLARIES</t>
        </is>
      </c>
      <c r="D2922" s="5" t="inlineStr">
        <is>
          <t>05 ISOLATED STEEL PILES</t>
        </is>
      </c>
      <c r="E2922" s="5" t="inlineStr">
        <is>
          <t>Length of pile extensions, each length exceeding 3 m; steel EN 10025 grade S275</t>
        </is>
      </c>
      <c r="F2922" s="5" t="inlineStr">
        <is>
          <t>mass 71 kg/m</t>
        </is>
      </c>
      <c r="G2922" s="6" t="inlineStr">
        <is>
          <t>m</t>
        </is>
      </c>
      <c r="H2922" s="7" t="n"/>
      <c r="I2922" s="8" t="n">
        <v>0</v>
      </c>
      <c r="J2922" s="8" t="n">
        <v>145.14</v>
      </c>
      <c r="K2922" s="8" t="n">
        <v>0</v>
      </c>
      <c r="L2922" s="8" t="n">
        <v>0</v>
      </c>
      <c r="M2922" s="9">
        <f>ROUND(SUM(I2922:L2922),2)</f>
        <v/>
      </c>
      <c r="N2922" s="10">
        <f>ROUND(I2922*'Irish Basis'!$C$6*'Irish Basis'!$C$5,2)</f>
        <v/>
      </c>
      <c r="O2922" s="10">
        <f>ROUND(J2922*'Irish Basis'!$C$7*'Irish Basis'!$C$5,2)</f>
        <v/>
      </c>
      <c r="P2922" s="10">
        <f>ROUND(K2922*'Irish Basis'!$C$8*'Irish Basis'!$C$5,2)</f>
        <v/>
      </c>
      <c r="Q2922" s="10">
        <f>ROUND(L2922*'Irish Basis'!$C$12*'Irish Basis'!$C$5,2)</f>
        <v/>
      </c>
      <c r="R2922" s="11">
        <f>ROUND(SUM(N2922:Q2922),2)</f>
        <v/>
      </c>
      <c r="S2922" s="5" t="inlineStr">
        <is>
          <t>Stated build-up</t>
        </is>
      </c>
      <c r="T2922" s="12" t="inlineStr">
        <is>
          <t>High</t>
        </is>
      </c>
      <c r="U2922" s="8" t="n">
        <v>145.14</v>
      </c>
      <c r="V2922" s="13">
        <f>IF(U2922="","",ROUND(M2922-U2922,2))</f>
        <v/>
      </c>
      <c r="W2922" s="5" t="n"/>
      <c r="X2922" s="5" t="inlineStr">
        <is>
          <t>Labour + plant + material as published; reconciles to the published rate.</t>
        </is>
      </c>
    </row>
    <row r="2923" ht="13" customHeight="1">
      <c r="A2923" s="4" t="n">
        <v>4339</v>
      </c>
      <c r="B2923" s="5" t="inlineStr">
        <is>
          <t>IMG_0124</t>
        </is>
      </c>
      <c r="C2923" s="5" t="inlineStr">
        <is>
          <t>CLASS Q: PILING ANCILLARIES</t>
        </is>
      </c>
      <c r="D2923" s="5" t="inlineStr">
        <is>
          <t>05 ISOLATED STEEL PILES</t>
        </is>
      </c>
      <c r="E2923" s="5" t="inlineStr">
        <is>
          <t>Length of pile extensions, each length exceeding 3 m; steel EN 10025 grade S275</t>
        </is>
      </c>
      <c r="F2923" s="5" t="inlineStr">
        <is>
          <t>mass 79 kg/m</t>
        </is>
      </c>
      <c r="G2923" s="6" t="inlineStr">
        <is>
          <t>m</t>
        </is>
      </c>
      <c r="H2923" s="7" t="n"/>
      <c r="I2923" s="8" t="n">
        <v>0</v>
      </c>
      <c r="J2923" s="8" t="n">
        <v>161.49</v>
      </c>
      <c r="K2923" s="8" t="n">
        <v>0</v>
      </c>
      <c r="L2923" s="8" t="n">
        <v>0</v>
      </c>
      <c r="M2923" s="9">
        <f>ROUND(SUM(I2923:L2923),2)</f>
        <v/>
      </c>
      <c r="N2923" s="10">
        <f>ROUND(I2923*'Irish Basis'!$C$6*'Irish Basis'!$C$5,2)</f>
        <v/>
      </c>
      <c r="O2923" s="10">
        <f>ROUND(J2923*'Irish Basis'!$C$7*'Irish Basis'!$C$5,2)</f>
        <v/>
      </c>
      <c r="P2923" s="10">
        <f>ROUND(K2923*'Irish Basis'!$C$8*'Irish Basis'!$C$5,2)</f>
        <v/>
      </c>
      <c r="Q2923" s="10">
        <f>ROUND(L2923*'Irish Basis'!$C$12*'Irish Basis'!$C$5,2)</f>
        <v/>
      </c>
      <c r="R2923" s="11">
        <f>ROUND(SUM(N2923:Q2923),2)</f>
        <v/>
      </c>
      <c r="S2923" s="5" t="inlineStr">
        <is>
          <t>Stated build-up</t>
        </is>
      </c>
      <c r="T2923" s="12" t="inlineStr">
        <is>
          <t>High</t>
        </is>
      </c>
      <c r="U2923" s="8" t="n">
        <v>161.49</v>
      </c>
      <c r="V2923" s="13">
        <f>IF(U2923="","",ROUND(M2923-U2923,2))</f>
        <v/>
      </c>
      <c r="W2923" s="5" t="n"/>
      <c r="X2923" s="5" t="inlineStr">
        <is>
          <t>Labour + plant + material as published; reconciles to the published rate.</t>
        </is>
      </c>
    </row>
    <row r="2924" ht="13" customHeight="1">
      <c r="A2924" s="4" t="n">
        <v>4340</v>
      </c>
      <c r="B2924" s="5" t="inlineStr">
        <is>
          <t>IMG_0124</t>
        </is>
      </c>
      <c r="C2924" s="5" t="inlineStr">
        <is>
          <t>CLASS Q: PILING ANCILLARIES</t>
        </is>
      </c>
      <c r="D2924" s="5" t="inlineStr">
        <is>
          <t>05 ISOLATED STEEL PILES</t>
        </is>
      </c>
      <c r="E2924" s="5" t="inlineStr">
        <is>
          <t>Length of pile extensions, each length exceeding 3 m; steel EN 10025 grade S275</t>
        </is>
      </c>
      <c r="F2924" s="5" t="inlineStr">
        <is>
          <t>mass 85 kg/m</t>
        </is>
      </c>
      <c r="G2924" s="6" t="inlineStr">
        <is>
          <t>m</t>
        </is>
      </c>
      <c r="H2924" s="7" t="n"/>
      <c r="I2924" s="8" t="n">
        <v>0</v>
      </c>
      <c r="J2924" s="8" t="n">
        <v>173.75</v>
      </c>
      <c r="K2924" s="8" t="n">
        <v>0</v>
      </c>
      <c r="L2924" s="8" t="n">
        <v>0</v>
      </c>
      <c r="M2924" s="9">
        <f>ROUND(SUM(I2924:L2924),2)</f>
        <v/>
      </c>
      <c r="N2924" s="10">
        <f>ROUND(I2924*'Irish Basis'!$C$6*'Irish Basis'!$C$5,2)</f>
        <v/>
      </c>
      <c r="O2924" s="10">
        <f>ROUND(J2924*'Irish Basis'!$C$7*'Irish Basis'!$C$5,2)</f>
        <v/>
      </c>
      <c r="P2924" s="10">
        <f>ROUND(K2924*'Irish Basis'!$C$8*'Irish Basis'!$C$5,2)</f>
        <v/>
      </c>
      <c r="Q2924" s="10">
        <f>ROUND(L2924*'Irish Basis'!$C$12*'Irish Basis'!$C$5,2)</f>
        <v/>
      </c>
      <c r="R2924" s="11">
        <f>ROUND(SUM(N2924:Q2924),2)</f>
        <v/>
      </c>
      <c r="S2924" s="5" t="inlineStr">
        <is>
          <t>Stated build-up</t>
        </is>
      </c>
      <c r="T2924" s="12" t="inlineStr">
        <is>
          <t>High</t>
        </is>
      </c>
      <c r="U2924" s="8" t="n">
        <v>173.75</v>
      </c>
      <c r="V2924" s="13">
        <f>IF(U2924="","",ROUND(M2924-U2924,2))</f>
        <v/>
      </c>
      <c r="W2924" s="5" t="n"/>
      <c r="X2924" s="5" t="inlineStr">
        <is>
          <t>Labour + plant + material as published; reconciles to the published rate.</t>
        </is>
      </c>
    </row>
    <row r="2925" ht="13" customHeight="1">
      <c r="A2925" s="4" t="n">
        <v>4341</v>
      </c>
      <c r="B2925" s="5" t="inlineStr">
        <is>
          <t>IMG_0124</t>
        </is>
      </c>
      <c r="C2925" s="5" t="inlineStr">
        <is>
          <t>CLASS Q: PILING ANCILLARIES</t>
        </is>
      </c>
      <c r="D2925" s="5" t="inlineStr">
        <is>
          <t>05 ISOLATED STEEL PILES</t>
        </is>
      </c>
      <c r="E2925" s="5" t="inlineStr">
        <is>
          <t>Length of pile extensions, each length exceeding 3 m; steel EN 10025 grade S275</t>
        </is>
      </c>
      <c r="F2925" s="5" t="inlineStr">
        <is>
          <t>mass 95 kg/m</t>
        </is>
      </c>
      <c r="G2925" s="6" t="inlineStr">
        <is>
          <t>m</t>
        </is>
      </c>
      <c r="H2925" s="7" t="n"/>
      <c r="I2925" s="8" t="n">
        <v>0</v>
      </c>
      <c r="J2925" s="8" t="n">
        <v>194.2</v>
      </c>
      <c r="K2925" s="8" t="n">
        <v>0</v>
      </c>
      <c r="L2925" s="8" t="n">
        <v>0</v>
      </c>
      <c r="M2925" s="9">
        <f>ROUND(SUM(I2925:L2925),2)</f>
        <v/>
      </c>
      <c r="N2925" s="10">
        <f>ROUND(I2925*'Irish Basis'!$C$6*'Irish Basis'!$C$5,2)</f>
        <v/>
      </c>
      <c r="O2925" s="10">
        <f>ROUND(J2925*'Irish Basis'!$C$7*'Irish Basis'!$C$5,2)</f>
        <v/>
      </c>
      <c r="P2925" s="10">
        <f>ROUND(K2925*'Irish Basis'!$C$8*'Irish Basis'!$C$5,2)</f>
        <v/>
      </c>
      <c r="Q2925" s="10">
        <f>ROUND(L2925*'Irish Basis'!$C$12*'Irish Basis'!$C$5,2)</f>
        <v/>
      </c>
      <c r="R2925" s="11">
        <f>ROUND(SUM(N2925:Q2925),2)</f>
        <v/>
      </c>
      <c r="S2925" s="5" t="inlineStr">
        <is>
          <t>Stated build-up</t>
        </is>
      </c>
      <c r="T2925" s="12" t="inlineStr">
        <is>
          <t>High</t>
        </is>
      </c>
      <c r="U2925" s="8" t="n">
        <v>194.2</v>
      </c>
      <c r="V2925" s="13">
        <f>IF(U2925="","",ROUND(M2925-U2925,2))</f>
        <v/>
      </c>
      <c r="W2925" s="5" t="n"/>
      <c r="X2925" s="5" t="inlineStr">
        <is>
          <t>Labour + plant + material as published; reconciles to the published rate.</t>
        </is>
      </c>
    </row>
    <row r="2926" ht="13" customHeight="1">
      <c r="A2926" s="4" t="n">
        <v>4342</v>
      </c>
      <c r="B2926" s="5" t="inlineStr">
        <is>
          <t>IMG_0124</t>
        </is>
      </c>
      <c r="C2926" s="5" t="inlineStr">
        <is>
          <t>CLASS Q: PILING ANCILLARIES</t>
        </is>
      </c>
      <c r="D2926" s="5" t="inlineStr">
        <is>
          <t>05 ISOLATED STEEL PILES</t>
        </is>
      </c>
      <c r="E2926" s="5" t="inlineStr">
        <is>
          <t>Length of pile extensions, each length exceeding 3 m; steel EN 10025 grade S275</t>
        </is>
      </c>
      <c r="F2926" s="5" t="inlineStr">
        <is>
          <t>mass 109 kg/m</t>
        </is>
      </c>
      <c r="G2926" s="6" t="inlineStr">
        <is>
          <t>m</t>
        </is>
      </c>
      <c r="H2926" s="7" t="n"/>
      <c r="I2926" s="8" t="n">
        <v>0</v>
      </c>
      <c r="J2926" s="8" t="n">
        <v>225.97</v>
      </c>
      <c r="K2926" s="8" t="n">
        <v>0</v>
      </c>
      <c r="L2926" s="8" t="n">
        <v>0</v>
      </c>
      <c r="M2926" s="9">
        <f>ROUND(SUM(I2926:L2926),2)</f>
        <v/>
      </c>
      <c r="N2926" s="10">
        <f>ROUND(I2926*'Irish Basis'!$C$6*'Irish Basis'!$C$5,2)</f>
        <v/>
      </c>
      <c r="O2926" s="10">
        <f>ROUND(J2926*'Irish Basis'!$C$7*'Irish Basis'!$C$5,2)</f>
        <v/>
      </c>
      <c r="P2926" s="10">
        <f>ROUND(K2926*'Irish Basis'!$C$8*'Irish Basis'!$C$5,2)</f>
        <v/>
      </c>
      <c r="Q2926" s="10">
        <f>ROUND(L2926*'Irish Basis'!$C$12*'Irish Basis'!$C$5,2)</f>
        <v/>
      </c>
      <c r="R2926" s="11">
        <f>ROUND(SUM(N2926:Q2926),2)</f>
        <v/>
      </c>
      <c r="S2926" s="5" t="inlineStr">
        <is>
          <t>Stated build-up</t>
        </is>
      </c>
      <c r="T2926" s="12" t="inlineStr">
        <is>
          <t>High</t>
        </is>
      </c>
      <c r="U2926" s="8" t="n">
        <v>225.97</v>
      </c>
      <c r="V2926" s="13">
        <f>IF(U2926="","",ROUND(M2926-U2926,2))</f>
        <v/>
      </c>
      <c r="W2926" s="5" t="n"/>
      <c r="X2926" s="5" t="inlineStr">
        <is>
          <t>Labour + plant + material as published; reconciles to the published rate.</t>
        </is>
      </c>
    </row>
    <row r="2927" ht="13" customHeight="1">
      <c r="A2927" s="4" t="n">
        <v>4343</v>
      </c>
      <c r="B2927" s="5" t="inlineStr">
        <is>
          <t>IMG_0124</t>
        </is>
      </c>
      <c r="C2927" s="5" t="inlineStr">
        <is>
          <t>CLASS Q: PILING ANCILLARIES</t>
        </is>
      </c>
      <c r="D2927" s="5" t="inlineStr">
        <is>
          <t>05 ISOLATED STEEL PILES</t>
        </is>
      </c>
      <c r="E2927" s="5" t="inlineStr">
        <is>
          <t>Length of pile extensions, each length exceeding 3 m; steel EN 10025 grade S275</t>
        </is>
      </c>
      <c r="F2927" s="5" t="inlineStr">
        <is>
          <t>mass 110 kg/m</t>
        </is>
      </c>
      <c r="G2927" s="6" t="inlineStr">
        <is>
          <t>m</t>
        </is>
      </c>
      <c r="H2927" s="7" t="n"/>
      <c r="I2927" s="8" t="n">
        <v>0</v>
      </c>
      <c r="J2927" s="8" t="n">
        <v>224.86</v>
      </c>
      <c r="K2927" s="8" t="n">
        <v>0</v>
      </c>
      <c r="L2927" s="8" t="n">
        <v>0</v>
      </c>
      <c r="M2927" s="9">
        <f>ROUND(SUM(I2927:L2927),2)</f>
        <v/>
      </c>
      <c r="N2927" s="10">
        <f>ROUND(I2927*'Irish Basis'!$C$6*'Irish Basis'!$C$5,2)</f>
        <v/>
      </c>
      <c r="O2927" s="10">
        <f>ROUND(J2927*'Irish Basis'!$C$7*'Irish Basis'!$C$5,2)</f>
        <v/>
      </c>
      <c r="P2927" s="10">
        <f>ROUND(K2927*'Irish Basis'!$C$8*'Irish Basis'!$C$5,2)</f>
        <v/>
      </c>
      <c r="Q2927" s="10">
        <f>ROUND(L2927*'Irish Basis'!$C$12*'Irish Basis'!$C$5,2)</f>
        <v/>
      </c>
      <c r="R2927" s="11">
        <f>ROUND(SUM(N2927:Q2927),2)</f>
        <v/>
      </c>
      <c r="S2927" s="5" t="inlineStr">
        <is>
          <t>Stated build-up</t>
        </is>
      </c>
      <c r="T2927" s="12" t="inlineStr">
        <is>
          <t>High</t>
        </is>
      </c>
      <c r="U2927" s="8" t="n">
        <v>224.86</v>
      </c>
      <c r="V2927" s="13">
        <f>IF(U2927="","",ROUND(M2927-U2927,2))</f>
        <v/>
      </c>
      <c r="W2927" s="5" t="n"/>
      <c r="X2927" s="5" t="inlineStr">
        <is>
          <t>Labour + plant + material as published; reconciles to the published rate.</t>
        </is>
      </c>
    </row>
    <row r="2928" ht="13" customHeight="1">
      <c r="A2928" s="4" t="n">
        <v>4344</v>
      </c>
      <c r="B2928" s="5" t="inlineStr">
        <is>
          <t>IMG_0124</t>
        </is>
      </c>
      <c r="C2928" s="5" t="inlineStr">
        <is>
          <t>CLASS Q: PILING ANCILLARIES</t>
        </is>
      </c>
      <c r="D2928" s="5" t="inlineStr">
        <is>
          <t>05 ISOLATED STEEL PILES</t>
        </is>
      </c>
      <c r="E2928" s="5" t="inlineStr">
        <is>
          <t>Length of pile extensions, each length exceeding 3 m; steel EN 10025 grade S275</t>
        </is>
      </c>
      <c r="F2928" s="5" t="inlineStr">
        <is>
          <t>mass 126 kg/m</t>
        </is>
      </c>
      <c r="G2928" s="6" t="inlineStr">
        <is>
          <t>m</t>
        </is>
      </c>
      <c r="H2928" s="7" t="n"/>
      <c r="I2928" s="8" t="n">
        <v>0</v>
      </c>
      <c r="J2928" s="8" t="n">
        <v>257.57</v>
      </c>
      <c r="K2928" s="8" t="n">
        <v>0</v>
      </c>
      <c r="L2928" s="8" t="n">
        <v>0</v>
      </c>
      <c r="M2928" s="9">
        <f>ROUND(SUM(I2928:L2928),2)</f>
        <v/>
      </c>
      <c r="N2928" s="10">
        <f>ROUND(I2928*'Irish Basis'!$C$6*'Irish Basis'!$C$5,2)</f>
        <v/>
      </c>
      <c r="O2928" s="10">
        <f>ROUND(J2928*'Irish Basis'!$C$7*'Irish Basis'!$C$5,2)</f>
        <v/>
      </c>
      <c r="P2928" s="10">
        <f>ROUND(K2928*'Irish Basis'!$C$8*'Irish Basis'!$C$5,2)</f>
        <v/>
      </c>
      <c r="Q2928" s="10">
        <f>ROUND(L2928*'Irish Basis'!$C$12*'Irish Basis'!$C$5,2)</f>
        <v/>
      </c>
      <c r="R2928" s="11">
        <f>ROUND(SUM(N2928:Q2928),2)</f>
        <v/>
      </c>
      <c r="S2928" s="5" t="inlineStr">
        <is>
          <t>Stated build-up</t>
        </is>
      </c>
      <c r="T2928" s="12" t="inlineStr">
        <is>
          <t>High</t>
        </is>
      </c>
      <c r="U2928" s="8" t="n">
        <v>257.57</v>
      </c>
      <c r="V2928" s="13">
        <f>IF(U2928="","",ROUND(M2928-U2928,2))</f>
        <v/>
      </c>
      <c r="W2928" s="5" t="n"/>
      <c r="X2928" s="5" t="inlineStr">
        <is>
          <t>Labour + plant + material as published; reconciles to the published rate.</t>
        </is>
      </c>
    </row>
    <row r="2929" ht="13" customHeight="1">
      <c r="A2929" s="4" t="n">
        <v>4345</v>
      </c>
      <c r="B2929" s="5" t="inlineStr">
        <is>
          <t>IMG_0124</t>
        </is>
      </c>
      <c r="C2929" s="5" t="inlineStr">
        <is>
          <t>CLASS Q: PILING ANCILLARIES</t>
        </is>
      </c>
      <c r="D2929" s="5" t="inlineStr">
        <is>
          <t>05 ISOLATED STEEL PILES</t>
        </is>
      </c>
      <c r="E2929" s="5" t="inlineStr">
        <is>
          <t>Length of pile extensions, each length exceeding 3 m; steel EN 10025 grade S275</t>
        </is>
      </c>
      <c r="F2929" s="5" t="inlineStr">
        <is>
          <t>mass 133 kg/m</t>
        </is>
      </c>
      <c r="G2929" s="6" t="inlineStr">
        <is>
          <t>m</t>
        </is>
      </c>
      <c r="H2929" s="7" t="n"/>
      <c r="I2929" s="8" t="n">
        <v>0</v>
      </c>
      <c r="J2929" s="8" t="n">
        <v>275.73</v>
      </c>
      <c r="K2929" s="8" t="n">
        <v>0</v>
      </c>
      <c r="L2929" s="8" t="n">
        <v>0</v>
      </c>
      <c r="M2929" s="9">
        <f>ROUND(SUM(I2929:L2929),2)</f>
        <v/>
      </c>
      <c r="N2929" s="10">
        <f>ROUND(I2929*'Irish Basis'!$C$6*'Irish Basis'!$C$5,2)</f>
        <v/>
      </c>
      <c r="O2929" s="10">
        <f>ROUND(J2929*'Irish Basis'!$C$7*'Irish Basis'!$C$5,2)</f>
        <v/>
      </c>
      <c r="P2929" s="10">
        <f>ROUND(K2929*'Irish Basis'!$C$8*'Irish Basis'!$C$5,2)</f>
        <v/>
      </c>
      <c r="Q2929" s="10">
        <f>ROUND(L2929*'Irish Basis'!$C$12*'Irish Basis'!$C$5,2)</f>
        <v/>
      </c>
      <c r="R2929" s="11">
        <f>ROUND(SUM(N2929:Q2929),2)</f>
        <v/>
      </c>
      <c r="S2929" s="5" t="inlineStr">
        <is>
          <t>Stated build-up</t>
        </is>
      </c>
      <c r="T2929" s="12" t="inlineStr">
        <is>
          <t>High</t>
        </is>
      </c>
      <c r="U2929" s="8" t="n">
        <v>275.73</v>
      </c>
      <c r="V2929" s="13">
        <f>IF(U2929="","",ROUND(M2929-U2929,2))</f>
        <v/>
      </c>
      <c r="W2929" s="5" t="n"/>
      <c r="X2929" s="5" t="inlineStr">
        <is>
          <t>Labour + plant + material as published; reconciles to the published rate.</t>
        </is>
      </c>
    </row>
    <row r="2930" ht="13" customHeight="1">
      <c r="A2930" s="4" t="n">
        <v>4346</v>
      </c>
      <c r="B2930" s="5" t="inlineStr">
        <is>
          <t>IMG_0124</t>
        </is>
      </c>
      <c r="C2930" s="5" t="inlineStr">
        <is>
          <t>CLASS Q: PILING ANCILLARIES</t>
        </is>
      </c>
      <c r="D2930" s="5" t="inlineStr">
        <is>
          <t>05 ISOLATED STEEL PILES</t>
        </is>
      </c>
      <c r="E2930" s="5" t="inlineStr">
        <is>
          <t>Length of pile extensions, each length exceeding 3 m; steel EN 10025 grade S275</t>
        </is>
      </c>
      <c r="F2930" s="5" t="inlineStr">
        <is>
          <t>mass 149 kg/m</t>
        </is>
      </c>
      <c r="G2930" s="6" t="inlineStr">
        <is>
          <t>m</t>
        </is>
      </c>
      <c r="H2930" s="7" t="n"/>
      <c r="I2930" s="8" t="n">
        <v>0</v>
      </c>
      <c r="J2930" s="8" t="n">
        <v>304.58</v>
      </c>
      <c r="K2930" s="8" t="n">
        <v>0</v>
      </c>
      <c r="L2930" s="8" t="n">
        <v>0</v>
      </c>
      <c r="M2930" s="9">
        <f>ROUND(SUM(I2930:L2930),2)</f>
        <v/>
      </c>
      <c r="N2930" s="10">
        <f>ROUND(I2930*'Irish Basis'!$C$6*'Irish Basis'!$C$5,2)</f>
        <v/>
      </c>
      <c r="O2930" s="10">
        <f>ROUND(J2930*'Irish Basis'!$C$7*'Irish Basis'!$C$5,2)</f>
        <v/>
      </c>
      <c r="P2930" s="10">
        <f>ROUND(K2930*'Irish Basis'!$C$8*'Irish Basis'!$C$5,2)</f>
        <v/>
      </c>
      <c r="Q2930" s="10">
        <f>ROUND(L2930*'Irish Basis'!$C$12*'Irish Basis'!$C$5,2)</f>
        <v/>
      </c>
      <c r="R2930" s="11">
        <f>ROUND(SUM(N2930:Q2930),2)</f>
        <v/>
      </c>
      <c r="S2930" s="5" t="inlineStr">
        <is>
          <t>Stated build-up</t>
        </is>
      </c>
      <c r="T2930" s="12" t="inlineStr">
        <is>
          <t>High</t>
        </is>
      </c>
      <c r="U2930" s="8" t="n">
        <v>304.58</v>
      </c>
      <c r="V2930" s="13">
        <f>IF(U2930="","",ROUND(M2930-U2930,2))</f>
        <v/>
      </c>
      <c r="W2930" s="5" t="n"/>
      <c r="X2930" s="5" t="inlineStr">
        <is>
          <t>Labour + plant + material as published; reconciles to the published rate.</t>
        </is>
      </c>
    </row>
    <row r="2931" ht="13" customHeight="1">
      <c r="A2931" s="4" t="n">
        <v>4347</v>
      </c>
      <c r="B2931" s="5" t="inlineStr">
        <is>
          <t>IMG_0124</t>
        </is>
      </c>
      <c r="C2931" s="5" t="inlineStr">
        <is>
          <t>CLASS Q: PILING ANCILLARIES</t>
        </is>
      </c>
      <c r="D2931" s="5" t="inlineStr">
        <is>
          <t>05 ISOLATED STEEL PILES</t>
        </is>
      </c>
      <c r="E2931" s="5" t="inlineStr">
        <is>
          <t>Length of pile extensions, each length exceeding 3 m; steel EN 10025 grade S275</t>
        </is>
      </c>
      <c r="F2931" s="5" t="inlineStr">
        <is>
          <t>mass 152 kg/m</t>
        </is>
      </c>
      <c r="G2931" s="6" t="inlineStr">
        <is>
          <t>m</t>
        </is>
      </c>
      <c r="H2931" s="7" t="n"/>
      <c r="I2931" s="8" t="n">
        <v>0</v>
      </c>
      <c r="J2931" s="8" t="n">
        <v>315.12</v>
      </c>
      <c r="K2931" s="8" t="n">
        <v>0</v>
      </c>
      <c r="L2931" s="8" t="n">
        <v>0</v>
      </c>
      <c r="M2931" s="9">
        <f>ROUND(SUM(I2931:L2931),2)</f>
        <v/>
      </c>
      <c r="N2931" s="10">
        <f>ROUND(I2931*'Irish Basis'!$C$6*'Irish Basis'!$C$5,2)</f>
        <v/>
      </c>
      <c r="O2931" s="10">
        <f>ROUND(J2931*'Irish Basis'!$C$7*'Irish Basis'!$C$5,2)</f>
        <v/>
      </c>
      <c r="P2931" s="10">
        <f>ROUND(K2931*'Irish Basis'!$C$8*'Irish Basis'!$C$5,2)</f>
        <v/>
      </c>
      <c r="Q2931" s="10">
        <f>ROUND(L2931*'Irish Basis'!$C$12*'Irish Basis'!$C$5,2)</f>
        <v/>
      </c>
      <c r="R2931" s="11">
        <f>ROUND(SUM(N2931:Q2931),2)</f>
        <v/>
      </c>
      <c r="S2931" s="5" t="inlineStr">
        <is>
          <t>Stated build-up</t>
        </is>
      </c>
      <c r="T2931" s="12" t="inlineStr">
        <is>
          <t>High</t>
        </is>
      </c>
      <c r="U2931" s="8" t="n">
        <v>315.12</v>
      </c>
      <c r="V2931" s="13">
        <f>IF(U2931="","",ROUND(M2931-U2931,2))</f>
        <v/>
      </c>
      <c r="W2931" s="5" t="n"/>
      <c r="X2931" s="5" t="inlineStr">
        <is>
          <t>Labour + plant + material as published; reconciles to the published rate.</t>
        </is>
      </c>
    </row>
    <row r="2932" ht="13" customHeight="1">
      <c r="A2932" s="4" t="n">
        <v>4348</v>
      </c>
      <c r="B2932" s="5" t="inlineStr">
        <is>
          <t>IMG_0124</t>
        </is>
      </c>
      <c r="C2932" s="5" t="inlineStr">
        <is>
          <t>CLASS Q: PILING ANCILLARIES</t>
        </is>
      </c>
      <c r="D2932" s="5" t="inlineStr">
        <is>
          <t>05 ISOLATED STEEL PILES</t>
        </is>
      </c>
      <c r="E2932" s="5" t="inlineStr">
        <is>
          <t>Length of pile extensions, each length exceeding 3 m; steel EN 10025 grade S275</t>
        </is>
      </c>
      <c r="F2932" s="5" t="inlineStr">
        <is>
          <t>mass 174 kg/m</t>
        </is>
      </c>
      <c r="G2932" s="6" t="inlineStr">
        <is>
          <t>m</t>
        </is>
      </c>
      <c r="H2932" s="7" t="n"/>
      <c r="I2932" s="8" t="n">
        <v>0</v>
      </c>
      <c r="J2932" s="8" t="n">
        <v>360.73</v>
      </c>
      <c r="K2932" s="8" t="n">
        <v>0</v>
      </c>
      <c r="L2932" s="8" t="n">
        <v>0</v>
      </c>
      <c r="M2932" s="9">
        <f>ROUND(SUM(I2932:L2932),2)</f>
        <v/>
      </c>
      <c r="N2932" s="10">
        <f>ROUND(I2932*'Irish Basis'!$C$6*'Irish Basis'!$C$5,2)</f>
        <v/>
      </c>
      <c r="O2932" s="10">
        <f>ROUND(J2932*'Irish Basis'!$C$7*'Irish Basis'!$C$5,2)</f>
        <v/>
      </c>
      <c r="P2932" s="10">
        <f>ROUND(K2932*'Irish Basis'!$C$8*'Irish Basis'!$C$5,2)</f>
        <v/>
      </c>
      <c r="Q2932" s="10">
        <f>ROUND(L2932*'Irish Basis'!$C$12*'Irish Basis'!$C$5,2)</f>
        <v/>
      </c>
      <c r="R2932" s="11">
        <f>ROUND(SUM(N2932:Q2932),2)</f>
        <v/>
      </c>
      <c r="S2932" s="5" t="inlineStr">
        <is>
          <t>Stated build-up</t>
        </is>
      </c>
      <c r="T2932" s="12" t="inlineStr">
        <is>
          <t>High</t>
        </is>
      </c>
      <c r="U2932" s="8" t="n">
        <v>360.73</v>
      </c>
      <c r="V2932" s="13">
        <f>IF(U2932="","",ROUND(M2932-U2932,2))</f>
        <v/>
      </c>
      <c r="W2932" s="5" t="n"/>
      <c r="X2932" s="5" t="inlineStr">
        <is>
          <t>Labour + plant + material as published; reconciles to the published rate.</t>
        </is>
      </c>
    </row>
    <row r="2933" ht="13" customHeight="1">
      <c r="A2933" s="4" t="n">
        <v>4349</v>
      </c>
      <c r="B2933" s="5" t="inlineStr">
        <is>
          <t>IMG_0124</t>
        </is>
      </c>
      <c r="C2933" s="5" t="inlineStr">
        <is>
          <t>CLASS Q: PILING ANCILLARIES</t>
        </is>
      </c>
      <c r="D2933" s="5" t="inlineStr">
        <is>
          <t>05 ISOLATED STEEL PILES</t>
        </is>
      </c>
      <c r="E2933" s="5" t="inlineStr">
        <is>
          <t>Length of pile extensions, each length exceeding 3 m; steel EN 10025 grade S275</t>
        </is>
      </c>
      <c r="F2933" s="5" t="inlineStr">
        <is>
          <t>mass 186 kg/m</t>
        </is>
      </c>
      <c r="G2933" s="6" t="inlineStr">
        <is>
          <t>m</t>
        </is>
      </c>
      <c r="H2933" s="7" t="n"/>
      <c r="I2933" s="8" t="n">
        <v>0</v>
      </c>
      <c r="J2933" s="8" t="n">
        <v>380.22</v>
      </c>
      <c r="K2933" s="8" t="n">
        <v>0</v>
      </c>
      <c r="L2933" s="8" t="n">
        <v>0</v>
      </c>
      <c r="M2933" s="9">
        <f>ROUND(SUM(I2933:L2933),2)</f>
        <v/>
      </c>
      <c r="N2933" s="10">
        <f>ROUND(I2933*'Irish Basis'!$C$6*'Irish Basis'!$C$5,2)</f>
        <v/>
      </c>
      <c r="O2933" s="10">
        <f>ROUND(J2933*'Irish Basis'!$C$7*'Irish Basis'!$C$5,2)</f>
        <v/>
      </c>
      <c r="P2933" s="10">
        <f>ROUND(K2933*'Irish Basis'!$C$8*'Irish Basis'!$C$5,2)</f>
        <v/>
      </c>
      <c r="Q2933" s="10">
        <f>ROUND(L2933*'Irish Basis'!$C$12*'Irish Basis'!$C$5,2)</f>
        <v/>
      </c>
      <c r="R2933" s="11">
        <f>ROUND(SUM(N2933:Q2933),2)</f>
        <v/>
      </c>
      <c r="S2933" s="5" t="inlineStr">
        <is>
          <t>Stated build-up</t>
        </is>
      </c>
      <c r="T2933" s="12" t="inlineStr">
        <is>
          <t>High</t>
        </is>
      </c>
      <c r="U2933" s="8" t="n">
        <v>380.22</v>
      </c>
      <c r="V2933" s="13">
        <f>IF(U2933="","",ROUND(M2933-U2933,2))</f>
        <v/>
      </c>
      <c r="W2933" s="5" t="n"/>
      <c r="X2933" s="5" t="inlineStr">
        <is>
          <t>Labour + plant + material as published; reconciles to the published rate.</t>
        </is>
      </c>
    </row>
    <row r="2934" ht="13" customHeight="1">
      <c r="A2934" s="4" t="n">
        <v>4350</v>
      </c>
      <c r="B2934" s="5" t="inlineStr">
        <is>
          <t>IMG_0124</t>
        </is>
      </c>
      <c r="C2934" s="5" t="inlineStr">
        <is>
          <t>CLASS Q: PILING ANCILLARIES</t>
        </is>
      </c>
      <c r="D2934" s="5" t="inlineStr">
        <is>
          <t>05 ISOLATED STEEL PILES</t>
        </is>
      </c>
      <c r="E2934" s="5" t="inlineStr">
        <is>
          <t>Length of pile extensions, each length exceeding 3 m; steel EN 10025 grade S275</t>
        </is>
      </c>
      <c r="F2934" s="5" t="inlineStr">
        <is>
          <t>mass 223 kg/m</t>
        </is>
      </c>
      <c r="G2934" s="6" t="inlineStr">
        <is>
          <t>m</t>
        </is>
      </c>
      <c r="H2934" s="7" t="n"/>
      <c r="I2934" s="8" t="n">
        <v>0</v>
      </c>
      <c r="J2934" s="8" t="n">
        <v>455.85</v>
      </c>
      <c r="K2934" s="8" t="n">
        <v>0</v>
      </c>
      <c r="L2934" s="8" t="n">
        <v>0</v>
      </c>
      <c r="M2934" s="9">
        <f>ROUND(SUM(I2934:L2934),2)</f>
        <v/>
      </c>
      <c r="N2934" s="10">
        <f>ROUND(I2934*'Irish Basis'!$C$6*'Irish Basis'!$C$5,2)</f>
        <v/>
      </c>
      <c r="O2934" s="10">
        <f>ROUND(J2934*'Irish Basis'!$C$7*'Irish Basis'!$C$5,2)</f>
        <v/>
      </c>
      <c r="P2934" s="10">
        <f>ROUND(K2934*'Irish Basis'!$C$8*'Irish Basis'!$C$5,2)</f>
        <v/>
      </c>
      <c r="Q2934" s="10">
        <f>ROUND(L2934*'Irish Basis'!$C$12*'Irish Basis'!$C$5,2)</f>
        <v/>
      </c>
      <c r="R2934" s="11">
        <f>ROUND(SUM(N2934:Q2934),2)</f>
        <v/>
      </c>
      <c r="S2934" s="5" t="inlineStr">
        <is>
          <t>Stated build-up</t>
        </is>
      </c>
      <c r="T2934" s="12" t="inlineStr">
        <is>
          <t>High</t>
        </is>
      </c>
      <c r="U2934" s="8" t="n">
        <v>455.85</v>
      </c>
      <c r="V2934" s="13">
        <f>IF(U2934="","",ROUND(M2934-U2934,2))</f>
        <v/>
      </c>
      <c r="W2934" s="5" t="n"/>
      <c r="X2934" s="5" t="inlineStr">
        <is>
          <t>Labour + plant + material as published; reconciles to the published rate.</t>
        </is>
      </c>
    </row>
    <row r="2935" ht="13" customHeight="1">
      <c r="A2935" s="4" t="n">
        <v>4352</v>
      </c>
      <c r="B2935" s="5" t="inlineStr">
        <is>
          <t>IMG_0124</t>
        </is>
      </c>
      <c r="C2935" s="5" t="inlineStr">
        <is>
          <t>CLASS Q: PILING ANCILLARIES</t>
        </is>
      </c>
      <c r="D2935" s="5" t="inlineStr">
        <is>
          <t>05 ISOLATED STEEL PILES</t>
        </is>
      </c>
      <c r="E2935" s="5" t="inlineStr">
        <is>
          <t>Number of pile extensions</t>
        </is>
      </c>
      <c r="F2935" s="5" t="inlineStr">
        <is>
          <t>section size 203 x 203 x any kg/m</t>
        </is>
      </c>
      <c r="G2935" s="6" t="inlineStr">
        <is>
          <t>nr</t>
        </is>
      </c>
      <c r="H2935" s="7" t="n"/>
      <c r="I2935" s="8" t="n">
        <v>0</v>
      </c>
      <c r="J2935" s="8" t="n">
        <v>357.73</v>
      </c>
      <c r="K2935" s="8" t="n">
        <v>0</v>
      </c>
      <c r="L2935" s="8" t="n">
        <v>0</v>
      </c>
      <c r="M2935" s="9">
        <f>ROUND(SUM(I2935:L2935),2)</f>
        <v/>
      </c>
      <c r="N2935" s="10">
        <f>ROUND(I2935*'Irish Basis'!$C$6*'Irish Basis'!$C$5,2)</f>
        <v/>
      </c>
      <c r="O2935" s="10">
        <f>ROUND(J2935*'Irish Basis'!$C$7*'Irish Basis'!$C$5,2)</f>
        <v/>
      </c>
      <c r="P2935" s="10">
        <f>ROUND(K2935*'Irish Basis'!$C$8*'Irish Basis'!$C$5,2)</f>
        <v/>
      </c>
      <c r="Q2935" s="10">
        <f>ROUND(L2935*'Irish Basis'!$C$12*'Irish Basis'!$C$5,2)</f>
        <v/>
      </c>
      <c r="R2935" s="11">
        <f>ROUND(SUM(N2935:Q2935),2)</f>
        <v/>
      </c>
      <c r="S2935" s="5" t="inlineStr">
        <is>
          <t>Apportioned (section)</t>
        </is>
      </c>
      <c r="T2935" s="16" t="inlineStr">
        <is>
          <t>Medium</t>
        </is>
      </c>
      <c r="U2935" s="8" t="n">
        <v>357.73</v>
      </c>
      <c r="V2935" s="13">
        <f>IF(U2935="","",ROUND(M2935-U2935,2))</f>
        <v/>
      </c>
      <c r="W2935" s="5" t="n"/>
      <c r="X2935" s="5" t="inlineStr">
        <is>
          <t>Split from published rate using median L/P/M shares of 32 comparable build-ups at section level (0/100/0).</t>
        </is>
      </c>
    </row>
    <row r="2936" ht="13" customHeight="1">
      <c r="A2936" s="4" t="n">
        <v>4353</v>
      </c>
      <c r="B2936" s="5" t="inlineStr">
        <is>
          <t>IMG_0124</t>
        </is>
      </c>
      <c r="C2936" s="5" t="inlineStr">
        <is>
          <t>CLASS Q: PILING ANCILLARIES</t>
        </is>
      </c>
      <c r="D2936" s="5" t="inlineStr">
        <is>
          <t>05 ISOLATED STEEL PILES</t>
        </is>
      </c>
      <c r="E2936" s="5" t="inlineStr">
        <is>
          <t>Number of pile extensions</t>
        </is>
      </c>
      <c r="F2936" s="5" t="inlineStr">
        <is>
          <t>section size 254 x 254 x any kg/m</t>
        </is>
      </c>
      <c r="G2936" s="6" t="inlineStr">
        <is>
          <t>nr</t>
        </is>
      </c>
      <c r="H2936" s="7" t="n"/>
      <c r="I2936" s="8" t="n">
        <v>0</v>
      </c>
      <c r="J2936" s="8" t="n">
        <v>423.64</v>
      </c>
      <c r="K2936" s="8" t="n">
        <v>0</v>
      </c>
      <c r="L2936" s="8" t="n">
        <v>0</v>
      </c>
      <c r="M2936" s="9">
        <f>ROUND(SUM(I2936:L2936),2)</f>
        <v/>
      </c>
      <c r="N2936" s="10">
        <f>ROUND(I2936*'Irish Basis'!$C$6*'Irish Basis'!$C$5,2)</f>
        <v/>
      </c>
      <c r="O2936" s="10">
        <f>ROUND(J2936*'Irish Basis'!$C$7*'Irish Basis'!$C$5,2)</f>
        <v/>
      </c>
      <c r="P2936" s="10">
        <f>ROUND(K2936*'Irish Basis'!$C$8*'Irish Basis'!$C$5,2)</f>
        <v/>
      </c>
      <c r="Q2936" s="10">
        <f>ROUND(L2936*'Irish Basis'!$C$12*'Irish Basis'!$C$5,2)</f>
        <v/>
      </c>
      <c r="R2936" s="11">
        <f>ROUND(SUM(N2936:Q2936),2)</f>
        <v/>
      </c>
      <c r="S2936" s="5" t="inlineStr">
        <is>
          <t>Apportioned (section)</t>
        </is>
      </c>
      <c r="T2936" s="16" t="inlineStr">
        <is>
          <t>Medium</t>
        </is>
      </c>
      <c r="U2936" s="8" t="n">
        <v>423.64</v>
      </c>
      <c r="V2936" s="13">
        <f>IF(U2936="","",ROUND(M2936-U2936,2))</f>
        <v/>
      </c>
      <c r="W2936" s="5" t="n"/>
      <c r="X2936" s="5" t="inlineStr">
        <is>
          <t>Split from published rate using median L/P/M shares of 32 comparable build-ups at section level (0/100/0).</t>
        </is>
      </c>
    </row>
    <row r="2937" ht="13" customHeight="1">
      <c r="A2937" s="4" t="n">
        <v>4354</v>
      </c>
      <c r="B2937" s="5" t="inlineStr">
        <is>
          <t>IMG_0124</t>
        </is>
      </c>
      <c r="C2937" s="5" t="inlineStr">
        <is>
          <t>CLASS Q: PILING ANCILLARIES</t>
        </is>
      </c>
      <c r="D2937" s="5" t="inlineStr">
        <is>
          <t>05 ISOLATED STEEL PILES</t>
        </is>
      </c>
      <c r="E2937" s="5" t="inlineStr">
        <is>
          <t>Number of pile extensions</t>
        </is>
      </c>
      <c r="F2937" s="5" t="inlineStr">
        <is>
          <t>section size 305 x 305 x any kg/m</t>
        </is>
      </c>
      <c r="G2937" s="6" t="inlineStr">
        <is>
          <t>nr</t>
        </is>
      </c>
      <c r="H2937" s="7" t="n"/>
      <c r="I2937" s="8" t="n">
        <v>0</v>
      </c>
      <c r="J2937" s="8" t="n">
        <v>490.07</v>
      </c>
      <c r="K2937" s="8" t="n">
        <v>0</v>
      </c>
      <c r="L2937" s="8" t="n">
        <v>0</v>
      </c>
      <c r="M2937" s="9">
        <f>ROUND(SUM(I2937:L2937),2)</f>
        <v/>
      </c>
      <c r="N2937" s="10">
        <f>ROUND(I2937*'Irish Basis'!$C$6*'Irish Basis'!$C$5,2)</f>
        <v/>
      </c>
      <c r="O2937" s="10">
        <f>ROUND(J2937*'Irish Basis'!$C$7*'Irish Basis'!$C$5,2)</f>
        <v/>
      </c>
      <c r="P2937" s="10">
        <f>ROUND(K2937*'Irish Basis'!$C$8*'Irish Basis'!$C$5,2)</f>
        <v/>
      </c>
      <c r="Q2937" s="10">
        <f>ROUND(L2937*'Irish Basis'!$C$12*'Irish Basis'!$C$5,2)</f>
        <v/>
      </c>
      <c r="R2937" s="11">
        <f>ROUND(SUM(N2937:Q2937),2)</f>
        <v/>
      </c>
      <c r="S2937" s="5" t="inlineStr">
        <is>
          <t>Apportioned (section)</t>
        </is>
      </c>
      <c r="T2937" s="16" t="inlineStr">
        <is>
          <t>Medium</t>
        </is>
      </c>
      <c r="U2937" s="8" t="n">
        <v>490.07</v>
      </c>
      <c r="V2937" s="13">
        <f>IF(U2937="","",ROUND(M2937-U2937,2))</f>
        <v/>
      </c>
      <c r="W2937" s="5" t="n"/>
      <c r="X2937" s="5" t="inlineStr">
        <is>
          <t>Split from published rate using median L/P/M shares of 32 comparable build-ups at section level (0/100/0).</t>
        </is>
      </c>
    </row>
    <row r="2938" ht="13" customHeight="1">
      <c r="A2938" s="4" t="n">
        <v>4355</v>
      </c>
      <c r="B2938" s="5" t="inlineStr">
        <is>
          <t>IMG_0124</t>
        </is>
      </c>
      <c r="C2938" s="5" t="inlineStr">
        <is>
          <t>CLASS Q: PILING ANCILLARIES</t>
        </is>
      </c>
      <c r="D2938" s="5" t="inlineStr">
        <is>
          <t>05 ISOLATED STEEL PILES</t>
        </is>
      </c>
      <c r="E2938" s="5" t="inlineStr">
        <is>
          <t>Number of pile extensions</t>
        </is>
      </c>
      <c r="F2938" s="5" t="inlineStr">
        <is>
          <t>section size 356 x 368 x any kg/m</t>
        </is>
      </c>
      <c r="G2938" s="6" t="inlineStr">
        <is>
          <t>nr</t>
        </is>
      </c>
      <c r="H2938" s="7" t="n"/>
      <c r="I2938" s="8" t="n">
        <v>0</v>
      </c>
      <c r="J2938" s="8" t="n">
        <v>539.89</v>
      </c>
      <c r="K2938" s="8" t="n">
        <v>0</v>
      </c>
      <c r="L2938" s="8" t="n">
        <v>0</v>
      </c>
      <c r="M2938" s="9">
        <f>ROUND(SUM(I2938:L2938),2)</f>
        <v/>
      </c>
      <c r="N2938" s="10">
        <f>ROUND(I2938*'Irish Basis'!$C$6*'Irish Basis'!$C$5,2)</f>
        <v/>
      </c>
      <c r="O2938" s="10">
        <f>ROUND(J2938*'Irish Basis'!$C$7*'Irish Basis'!$C$5,2)</f>
        <v/>
      </c>
      <c r="P2938" s="10">
        <f>ROUND(K2938*'Irish Basis'!$C$8*'Irish Basis'!$C$5,2)</f>
        <v/>
      </c>
      <c r="Q2938" s="10">
        <f>ROUND(L2938*'Irish Basis'!$C$12*'Irish Basis'!$C$5,2)</f>
        <v/>
      </c>
      <c r="R2938" s="11">
        <f>ROUND(SUM(N2938:Q2938),2)</f>
        <v/>
      </c>
      <c r="S2938" s="5" t="inlineStr">
        <is>
          <t>Apportioned (section)</t>
        </is>
      </c>
      <c r="T2938" s="16" t="inlineStr">
        <is>
          <t>Medium</t>
        </is>
      </c>
      <c r="U2938" s="8" t="n">
        <v>539.89</v>
      </c>
      <c r="V2938" s="13">
        <f>IF(U2938="","",ROUND(M2938-U2938,2))</f>
        <v/>
      </c>
      <c r="W2938" s="5" t="n"/>
      <c r="X2938" s="5" t="inlineStr">
        <is>
          <t>Split from published rate using median L/P/M shares of 32 comparable build-ups at section level (0/100/0).</t>
        </is>
      </c>
    </row>
    <row r="2939" ht="13" customHeight="1">
      <c r="A2939" s="4" t="n">
        <v>4357</v>
      </c>
      <c r="B2939" s="5" t="inlineStr">
        <is>
          <t>IMG_0124</t>
        </is>
      </c>
      <c r="C2939" s="5" t="inlineStr">
        <is>
          <t>CLASS Q: PILING ANCILLARIES</t>
        </is>
      </c>
      <c r="D2939" s="5" t="inlineStr">
        <is>
          <t>05 ISOLATED STEEL PILES</t>
        </is>
      </c>
      <c r="E2939" s="5" t="inlineStr">
        <is>
          <t>Cutting off surplus lengths</t>
        </is>
      </c>
      <c r="F2939" s="5" t="inlineStr">
        <is>
          <t>mass 30-60 kg/m</t>
        </is>
      </c>
      <c r="G2939" s="6" t="inlineStr">
        <is>
          <t>nr</t>
        </is>
      </c>
      <c r="H2939" s="7" t="n"/>
      <c r="I2939" s="8" t="n">
        <v>0</v>
      </c>
      <c r="J2939" s="8" t="n">
        <v>124.59</v>
      </c>
      <c r="K2939" s="8" t="n">
        <v>0</v>
      </c>
      <c r="L2939" s="8" t="n">
        <v>0</v>
      </c>
      <c r="M2939" s="9">
        <f>ROUND(SUM(I2939:L2939),2)</f>
        <v/>
      </c>
      <c r="N2939" s="10">
        <f>ROUND(I2939*'Irish Basis'!$C$6*'Irish Basis'!$C$5,2)</f>
        <v/>
      </c>
      <c r="O2939" s="10">
        <f>ROUND(J2939*'Irish Basis'!$C$7*'Irish Basis'!$C$5,2)</f>
        <v/>
      </c>
      <c r="P2939" s="10">
        <f>ROUND(K2939*'Irish Basis'!$C$8*'Irish Basis'!$C$5,2)</f>
        <v/>
      </c>
      <c r="Q2939" s="10">
        <f>ROUND(L2939*'Irish Basis'!$C$12*'Irish Basis'!$C$5,2)</f>
        <v/>
      </c>
      <c r="R2939" s="11">
        <f>ROUND(SUM(N2939:Q2939),2)</f>
        <v/>
      </c>
      <c r="S2939" s="5" t="inlineStr">
        <is>
          <t>Apportioned (section)</t>
        </is>
      </c>
      <c r="T2939" s="16" t="inlineStr">
        <is>
          <t>Medium</t>
        </is>
      </c>
      <c r="U2939" s="8" t="n">
        <v>124.59</v>
      </c>
      <c r="V2939" s="13">
        <f>IF(U2939="","",ROUND(M2939-U2939,2))</f>
        <v/>
      </c>
      <c r="W2939" s="5" t="n"/>
      <c r="X2939" s="5" t="inlineStr">
        <is>
          <t>Split from published rate using median L/P/M shares of 32 comparable build-ups at section level (0/100/0).</t>
        </is>
      </c>
    </row>
    <row r="2940" ht="13" customHeight="1">
      <c r="A2940" s="4" t="n">
        <v>4358</v>
      </c>
      <c r="B2940" s="5" t="inlineStr">
        <is>
          <t>IMG_0124</t>
        </is>
      </c>
      <c r="C2940" s="5" t="inlineStr">
        <is>
          <t>CLASS Q: PILING ANCILLARIES</t>
        </is>
      </c>
      <c r="D2940" s="5" t="inlineStr">
        <is>
          <t>05 ISOLATED STEEL PILES</t>
        </is>
      </c>
      <c r="E2940" s="5" t="inlineStr">
        <is>
          <t>Cutting off surplus lengths</t>
        </is>
      </c>
      <c r="F2940" s="5" t="inlineStr">
        <is>
          <t>mass 60-120 kg/m</t>
        </is>
      </c>
      <c r="G2940" s="6" t="inlineStr">
        <is>
          <t>nr</t>
        </is>
      </c>
      <c r="H2940" s="7" t="n"/>
      <c r="I2940" s="8" t="n">
        <v>0</v>
      </c>
      <c r="J2940" s="8" t="n">
        <v>174.42</v>
      </c>
      <c r="K2940" s="8" t="n">
        <v>0</v>
      </c>
      <c r="L2940" s="8" t="n">
        <v>0</v>
      </c>
      <c r="M2940" s="9">
        <f>ROUND(SUM(I2940:L2940),2)</f>
        <v/>
      </c>
      <c r="N2940" s="10">
        <f>ROUND(I2940*'Irish Basis'!$C$6*'Irish Basis'!$C$5,2)</f>
        <v/>
      </c>
      <c r="O2940" s="10">
        <f>ROUND(J2940*'Irish Basis'!$C$7*'Irish Basis'!$C$5,2)</f>
        <v/>
      </c>
      <c r="P2940" s="10">
        <f>ROUND(K2940*'Irish Basis'!$C$8*'Irish Basis'!$C$5,2)</f>
        <v/>
      </c>
      <c r="Q2940" s="10">
        <f>ROUND(L2940*'Irish Basis'!$C$12*'Irish Basis'!$C$5,2)</f>
        <v/>
      </c>
      <c r="R2940" s="11">
        <f>ROUND(SUM(N2940:Q2940),2)</f>
        <v/>
      </c>
      <c r="S2940" s="5" t="inlineStr">
        <is>
          <t>Apportioned (section)</t>
        </is>
      </c>
      <c r="T2940" s="16" t="inlineStr">
        <is>
          <t>Medium</t>
        </is>
      </c>
      <c r="U2940" s="8" t="n">
        <v>174.42</v>
      </c>
      <c r="V2940" s="13">
        <f>IF(U2940="","",ROUND(M2940-U2940,2))</f>
        <v/>
      </c>
      <c r="W2940" s="5" t="n"/>
      <c r="X2940" s="5" t="inlineStr">
        <is>
          <t>Split from published rate using median L/P/M shares of 32 comparable build-ups at section level (0/100/0).</t>
        </is>
      </c>
    </row>
    <row r="2941" ht="13" customHeight="1">
      <c r="A2941" s="4" t="n">
        <v>4359</v>
      </c>
      <c r="B2941" s="5" t="inlineStr">
        <is>
          <t>IMG_0124</t>
        </is>
      </c>
      <c r="C2941" s="5" t="inlineStr">
        <is>
          <t>CLASS Q: PILING ANCILLARIES</t>
        </is>
      </c>
      <c r="D2941" s="5" t="inlineStr">
        <is>
          <t>05 ISOLATED STEEL PILES</t>
        </is>
      </c>
      <c r="E2941" s="5" t="inlineStr">
        <is>
          <t>Cutting off surplus lengths</t>
        </is>
      </c>
      <c r="F2941" s="5" t="inlineStr">
        <is>
          <t>mass 120-250 kg/m</t>
        </is>
      </c>
      <c r="G2941" s="6" t="inlineStr">
        <is>
          <t>nr</t>
        </is>
      </c>
      <c r="H2941" s="7" t="n"/>
      <c r="I2941" s="8" t="n">
        <v>0</v>
      </c>
      <c r="J2941" s="8" t="n">
        <v>240.89</v>
      </c>
      <c r="K2941" s="8" t="n">
        <v>0</v>
      </c>
      <c r="L2941" s="8" t="n">
        <v>0</v>
      </c>
      <c r="M2941" s="9">
        <f>ROUND(SUM(I2941:L2941),2)</f>
        <v/>
      </c>
      <c r="N2941" s="10">
        <f>ROUND(I2941*'Irish Basis'!$C$6*'Irish Basis'!$C$5,2)</f>
        <v/>
      </c>
      <c r="O2941" s="10">
        <f>ROUND(J2941*'Irish Basis'!$C$7*'Irish Basis'!$C$5,2)</f>
        <v/>
      </c>
      <c r="P2941" s="10">
        <f>ROUND(K2941*'Irish Basis'!$C$8*'Irish Basis'!$C$5,2)</f>
        <v/>
      </c>
      <c r="Q2941" s="10">
        <f>ROUND(L2941*'Irish Basis'!$C$12*'Irish Basis'!$C$5,2)</f>
        <v/>
      </c>
      <c r="R2941" s="11">
        <f>ROUND(SUM(N2941:Q2941),2)</f>
        <v/>
      </c>
      <c r="S2941" s="5" t="inlineStr">
        <is>
          <t>Apportioned (section)</t>
        </is>
      </c>
      <c r="T2941" s="16" t="inlineStr">
        <is>
          <t>Medium</t>
        </is>
      </c>
      <c r="U2941" s="8" t="n">
        <v>240.89</v>
      </c>
      <c r="V2941" s="13">
        <f>IF(U2941="","",ROUND(M2941-U2941,2))</f>
        <v/>
      </c>
      <c r="W2941" s="5" t="n"/>
      <c r="X2941" s="5" t="inlineStr">
        <is>
          <t>Split from published rate using median L/P/M shares of 32 comparable build-ups at section level (0/100/0).</t>
        </is>
      </c>
    </row>
    <row r="2942" ht="13" customHeight="1">
      <c r="A2942" s="4" t="n">
        <v>4361</v>
      </c>
      <c r="B2942" s="5" t="inlineStr">
        <is>
          <t>IMG_0124</t>
        </is>
      </c>
      <c r="C2942" s="5" t="inlineStr">
        <is>
          <t>CLASS Q: PILING ANCILLARIES</t>
        </is>
      </c>
      <c r="D2942" s="5" t="inlineStr">
        <is>
          <t>05 ISOLATED STEEL PILES</t>
        </is>
      </c>
      <c r="E2942" s="5" t="inlineStr">
        <is>
          <t>Burning off tops of piles to level</t>
        </is>
      </c>
      <c r="F2942" s="5" t="inlineStr">
        <is>
          <t>mass 30-60 kg/m</t>
        </is>
      </c>
      <c r="G2942" s="6" t="inlineStr">
        <is>
          <t>nr</t>
        </is>
      </c>
      <c r="H2942" s="7" t="n"/>
      <c r="I2942" s="8" t="n">
        <v>0</v>
      </c>
      <c r="J2942" s="8" t="n">
        <v>124.59</v>
      </c>
      <c r="K2942" s="8" t="n">
        <v>0</v>
      </c>
      <c r="L2942" s="8" t="n">
        <v>0</v>
      </c>
      <c r="M2942" s="9">
        <f>ROUND(SUM(I2942:L2942),2)</f>
        <v/>
      </c>
      <c r="N2942" s="10">
        <f>ROUND(I2942*'Irish Basis'!$C$6*'Irish Basis'!$C$5,2)</f>
        <v/>
      </c>
      <c r="O2942" s="10">
        <f>ROUND(J2942*'Irish Basis'!$C$7*'Irish Basis'!$C$5,2)</f>
        <v/>
      </c>
      <c r="P2942" s="10">
        <f>ROUND(K2942*'Irish Basis'!$C$8*'Irish Basis'!$C$5,2)</f>
        <v/>
      </c>
      <c r="Q2942" s="10">
        <f>ROUND(L2942*'Irish Basis'!$C$12*'Irish Basis'!$C$5,2)</f>
        <v/>
      </c>
      <c r="R2942" s="11">
        <f>ROUND(SUM(N2942:Q2942),2)</f>
        <v/>
      </c>
      <c r="S2942" s="5" t="inlineStr">
        <is>
          <t>Apportioned (section)</t>
        </is>
      </c>
      <c r="T2942" s="16" t="inlineStr">
        <is>
          <t>Medium</t>
        </is>
      </c>
      <c r="U2942" s="8" t="n">
        <v>124.59</v>
      </c>
      <c r="V2942" s="13">
        <f>IF(U2942="","",ROUND(M2942-U2942,2))</f>
        <v/>
      </c>
      <c r="W2942" s="5" t="n"/>
      <c r="X2942" s="5" t="inlineStr">
        <is>
          <t>Split from published rate using median L/P/M shares of 32 comparable build-ups at section level (0/100/0).</t>
        </is>
      </c>
    </row>
    <row r="2943" ht="13" customHeight="1">
      <c r="A2943" s="4" t="n">
        <v>4362</v>
      </c>
      <c r="B2943" s="5" t="inlineStr">
        <is>
          <t>IMG_0124</t>
        </is>
      </c>
      <c r="C2943" s="5" t="inlineStr">
        <is>
          <t>CLASS Q: PILING ANCILLARIES</t>
        </is>
      </c>
      <c r="D2943" s="5" t="inlineStr">
        <is>
          <t>05 ISOLATED STEEL PILES</t>
        </is>
      </c>
      <c r="E2943" s="5" t="inlineStr">
        <is>
          <t>Burning off tops of piles to level</t>
        </is>
      </c>
      <c r="F2943" s="5" t="inlineStr">
        <is>
          <t>mass 60-120 kg/m</t>
        </is>
      </c>
      <c r="G2943" s="6" t="inlineStr">
        <is>
          <t>nr</t>
        </is>
      </c>
      <c r="H2943" s="7" t="n"/>
      <c r="I2943" s="8" t="n">
        <v>0</v>
      </c>
      <c r="J2943" s="8" t="n">
        <v>174.42</v>
      </c>
      <c r="K2943" s="8" t="n">
        <v>0</v>
      </c>
      <c r="L2943" s="8" t="n">
        <v>0</v>
      </c>
      <c r="M2943" s="9">
        <f>ROUND(SUM(I2943:L2943),2)</f>
        <v/>
      </c>
      <c r="N2943" s="10">
        <f>ROUND(I2943*'Irish Basis'!$C$6*'Irish Basis'!$C$5,2)</f>
        <v/>
      </c>
      <c r="O2943" s="10">
        <f>ROUND(J2943*'Irish Basis'!$C$7*'Irish Basis'!$C$5,2)</f>
        <v/>
      </c>
      <c r="P2943" s="10">
        <f>ROUND(K2943*'Irish Basis'!$C$8*'Irish Basis'!$C$5,2)</f>
        <v/>
      </c>
      <c r="Q2943" s="10">
        <f>ROUND(L2943*'Irish Basis'!$C$12*'Irish Basis'!$C$5,2)</f>
        <v/>
      </c>
      <c r="R2943" s="11">
        <f>ROUND(SUM(N2943:Q2943),2)</f>
        <v/>
      </c>
      <c r="S2943" s="5" t="inlineStr">
        <is>
          <t>Apportioned (section)</t>
        </is>
      </c>
      <c r="T2943" s="16" t="inlineStr">
        <is>
          <t>Medium</t>
        </is>
      </c>
      <c r="U2943" s="8" t="n">
        <v>174.42</v>
      </c>
      <c r="V2943" s="13">
        <f>IF(U2943="","",ROUND(M2943-U2943,2))</f>
        <v/>
      </c>
      <c r="W2943" s="5" t="n"/>
      <c r="X2943" s="5" t="inlineStr">
        <is>
          <t>Split from published rate using median L/P/M shares of 32 comparable build-ups at section level (0/100/0).</t>
        </is>
      </c>
    </row>
    <row r="2944" ht="13" customHeight="1">
      <c r="A2944" s="4" t="n">
        <v>4363</v>
      </c>
      <c r="B2944" s="5" t="inlineStr">
        <is>
          <t>IMG_0124</t>
        </is>
      </c>
      <c r="C2944" s="5" t="inlineStr">
        <is>
          <t>CLASS Q: PILING ANCILLARIES</t>
        </is>
      </c>
      <c r="D2944" s="5" t="inlineStr">
        <is>
          <t>05 ISOLATED STEEL PILES</t>
        </is>
      </c>
      <c r="E2944" s="5" t="inlineStr">
        <is>
          <t>Burning off tops of piles to level</t>
        </is>
      </c>
      <c r="F2944" s="5" t="inlineStr">
        <is>
          <t>mass 120-250 kg/m</t>
        </is>
      </c>
      <c r="G2944" s="6" t="inlineStr">
        <is>
          <t>nr</t>
        </is>
      </c>
      <c r="H2944" s="7" t="n"/>
      <c r="I2944" s="8" t="n">
        <v>0</v>
      </c>
      <c r="J2944" s="8" t="n">
        <v>240.89</v>
      </c>
      <c r="K2944" s="8" t="n">
        <v>0</v>
      </c>
      <c r="L2944" s="8" t="n">
        <v>0</v>
      </c>
      <c r="M2944" s="9">
        <f>ROUND(SUM(I2944:L2944),2)</f>
        <v/>
      </c>
      <c r="N2944" s="10">
        <f>ROUND(I2944*'Irish Basis'!$C$6*'Irish Basis'!$C$5,2)</f>
        <v/>
      </c>
      <c r="O2944" s="10">
        <f>ROUND(J2944*'Irish Basis'!$C$7*'Irish Basis'!$C$5,2)</f>
        <v/>
      </c>
      <c r="P2944" s="10">
        <f>ROUND(K2944*'Irish Basis'!$C$8*'Irish Basis'!$C$5,2)</f>
        <v/>
      </c>
      <c r="Q2944" s="10">
        <f>ROUND(L2944*'Irish Basis'!$C$12*'Irish Basis'!$C$5,2)</f>
        <v/>
      </c>
      <c r="R2944" s="11">
        <f>ROUND(SUM(N2944:Q2944),2)</f>
        <v/>
      </c>
      <c r="S2944" s="5" t="inlineStr">
        <is>
          <t>Apportioned (section)</t>
        </is>
      </c>
      <c r="T2944" s="16" t="inlineStr">
        <is>
          <t>Medium</t>
        </is>
      </c>
      <c r="U2944" s="8" t="n">
        <v>240.89</v>
      </c>
      <c r="V2944" s="13">
        <f>IF(U2944="","",ROUND(M2944-U2944,2))</f>
        <v/>
      </c>
      <c r="W2944" s="5" t="n"/>
      <c r="X2944" s="5" t="inlineStr">
        <is>
          <t>Split from published rate using median L/P/M shares of 32 comparable build-ups at section level (0/100/0).</t>
        </is>
      </c>
    </row>
    <row r="2945" ht="13" customHeight="1">
      <c r="A2945" s="4" t="n">
        <v>4369</v>
      </c>
      <c r="B2945" s="5" t="inlineStr">
        <is>
          <t>IMG_0124</t>
        </is>
      </c>
      <c r="C2945" s="5" t="inlineStr">
        <is>
          <t>CLASS Q: PILING ANCILLARIES</t>
        </is>
      </c>
      <c r="D2945" s="5" t="inlineStr">
        <is>
          <t>06 INTERLOCKING STEEL PILES</t>
        </is>
      </c>
      <c r="E2945" s="5" t="inlineStr">
        <is>
          <t>Number of pile extensions; Cutting off surplus lengths</t>
        </is>
      </c>
      <c r="F2945" s="5" t="inlineStr">
        <is>
          <t>section modulus 500-800 cm3/m</t>
        </is>
      </c>
      <c r="G2945" s="6" t="inlineStr">
        <is>
          <t>m</t>
        </is>
      </c>
      <c r="H2945" s="7" t="n"/>
      <c r="I2945" s="8" t="n">
        <v>11.28</v>
      </c>
      <c r="J2945" s="8" t="n">
        <v>3.92</v>
      </c>
      <c r="K2945" s="8" t="n">
        <v>23.11</v>
      </c>
      <c r="L2945" s="8" t="n">
        <v>0</v>
      </c>
      <c r="M2945" s="9">
        <f>ROUND(SUM(I2945:L2945),2)</f>
        <v/>
      </c>
      <c r="N2945" s="10">
        <f>ROUND(I2945*'Irish Basis'!$C$6*'Irish Basis'!$C$5,2)</f>
        <v/>
      </c>
      <c r="O2945" s="10">
        <f>ROUND(J2945*'Irish Basis'!$C$7*'Irish Basis'!$C$5,2)</f>
        <v/>
      </c>
      <c r="P2945" s="10">
        <f>ROUND(K2945*'Irish Basis'!$C$8*'Irish Basis'!$C$5,2)</f>
        <v/>
      </c>
      <c r="Q2945" s="10">
        <f>ROUND(L2945*'Irish Basis'!$C$12*'Irish Basis'!$C$5,2)</f>
        <v/>
      </c>
      <c r="R2945" s="11">
        <f>ROUND(SUM(N2945:Q2945),2)</f>
        <v/>
      </c>
      <c r="S2945" s="5" t="inlineStr">
        <is>
          <t>Apportioned (class)</t>
        </is>
      </c>
      <c r="T2945" s="17" t="inlineStr">
        <is>
          <t>Low</t>
        </is>
      </c>
      <c r="U2945" s="8" t="n">
        <v>38.31</v>
      </c>
      <c r="V2945" s="13">
        <f>IF(U2945="","",ROUND(M2945-U2945,2))</f>
        <v/>
      </c>
      <c r="W2945" s="15" t="inlineStr">
        <is>
          <t>Apportioned at class level</t>
        </is>
      </c>
      <c r="X2945" s="5" t="inlineStr">
        <is>
          <t>Split from published rate using median L/P/M shares of 69 comparable build-ups at class level (29/10/60).</t>
        </is>
      </c>
    </row>
    <row r="2946" ht="13" customHeight="1">
      <c r="A2946" s="4" t="n">
        <v>4370</v>
      </c>
      <c r="B2946" s="5" t="inlineStr">
        <is>
          <t>IMG_0124</t>
        </is>
      </c>
      <c r="C2946" s="5" t="inlineStr">
        <is>
          <t>CLASS Q: PILING ANCILLARIES</t>
        </is>
      </c>
      <c r="D2946" s="5" t="inlineStr">
        <is>
          <t>06 INTERLOCKING STEEL PILES</t>
        </is>
      </c>
      <c r="E2946" s="5" t="inlineStr">
        <is>
          <t>Number of pile extensions; Cutting off surplus lengths</t>
        </is>
      </c>
      <c r="F2946" s="5" t="inlineStr">
        <is>
          <t>section modulus 800-1200 cm3/m</t>
        </is>
      </c>
      <c r="G2946" s="6" t="inlineStr">
        <is>
          <t>m</t>
        </is>
      </c>
      <c r="H2946" s="7" t="n"/>
      <c r="I2946" s="8" t="n">
        <v>11.51</v>
      </c>
      <c r="J2946" s="8" t="n">
        <v>4</v>
      </c>
      <c r="K2946" s="8" t="n">
        <v>23.57</v>
      </c>
      <c r="L2946" s="8" t="n">
        <v>0</v>
      </c>
      <c r="M2946" s="9">
        <f>ROUND(SUM(I2946:L2946),2)</f>
        <v/>
      </c>
      <c r="N2946" s="10">
        <f>ROUND(I2946*'Irish Basis'!$C$6*'Irish Basis'!$C$5,2)</f>
        <v/>
      </c>
      <c r="O2946" s="10">
        <f>ROUND(J2946*'Irish Basis'!$C$7*'Irish Basis'!$C$5,2)</f>
        <v/>
      </c>
      <c r="P2946" s="10">
        <f>ROUND(K2946*'Irish Basis'!$C$8*'Irish Basis'!$C$5,2)</f>
        <v/>
      </c>
      <c r="Q2946" s="10">
        <f>ROUND(L2946*'Irish Basis'!$C$12*'Irish Basis'!$C$5,2)</f>
        <v/>
      </c>
      <c r="R2946" s="11">
        <f>ROUND(SUM(N2946:Q2946),2)</f>
        <v/>
      </c>
      <c r="S2946" s="5" t="inlineStr">
        <is>
          <t>Apportioned (class)</t>
        </is>
      </c>
      <c r="T2946" s="17" t="inlineStr">
        <is>
          <t>Low</t>
        </is>
      </c>
      <c r="U2946" s="8" t="n">
        <v>39.08</v>
      </c>
      <c r="V2946" s="13">
        <f>IF(U2946="","",ROUND(M2946-U2946,2))</f>
        <v/>
      </c>
      <c r="W2946" s="15" t="inlineStr">
        <is>
          <t>Apportioned at class level</t>
        </is>
      </c>
      <c r="X2946" s="5" t="inlineStr">
        <is>
          <t>Split from published rate using median L/P/M shares of 69 comparable build-ups at class level (29/10/60).</t>
        </is>
      </c>
    </row>
    <row r="2947" ht="13" customHeight="1">
      <c r="A2947" s="4" t="n">
        <v>4371</v>
      </c>
      <c r="B2947" s="5" t="inlineStr">
        <is>
          <t>IMG_0124</t>
        </is>
      </c>
      <c r="C2947" s="5" t="inlineStr">
        <is>
          <t>CLASS Q: PILING ANCILLARIES</t>
        </is>
      </c>
      <c r="D2947" s="5" t="inlineStr">
        <is>
          <t>06 INTERLOCKING STEEL PILES</t>
        </is>
      </c>
      <c r="E2947" s="5" t="inlineStr">
        <is>
          <t>Number of pile extensions; Cutting off surplus lengths</t>
        </is>
      </c>
      <c r="F2947" s="5" t="inlineStr">
        <is>
          <t>section modulus 1200-2000 cm3/m</t>
        </is>
      </c>
      <c r="G2947" s="6" t="inlineStr">
        <is>
          <t>m</t>
        </is>
      </c>
      <c r="H2947" s="7" t="n"/>
      <c r="I2947" s="8" t="n">
        <v>11.28</v>
      </c>
      <c r="J2947" s="8" t="n">
        <v>3.92</v>
      </c>
      <c r="K2947" s="8" t="n">
        <v>23.11</v>
      </c>
      <c r="L2947" s="8" t="n">
        <v>0</v>
      </c>
      <c r="M2947" s="9">
        <f>ROUND(SUM(I2947:L2947),2)</f>
        <v/>
      </c>
      <c r="N2947" s="10">
        <f>ROUND(I2947*'Irish Basis'!$C$6*'Irish Basis'!$C$5,2)</f>
        <v/>
      </c>
      <c r="O2947" s="10">
        <f>ROUND(J2947*'Irish Basis'!$C$7*'Irish Basis'!$C$5,2)</f>
        <v/>
      </c>
      <c r="P2947" s="10">
        <f>ROUND(K2947*'Irish Basis'!$C$8*'Irish Basis'!$C$5,2)</f>
        <v/>
      </c>
      <c r="Q2947" s="10">
        <f>ROUND(L2947*'Irish Basis'!$C$12*'Irish Basis'!$C$5,2)</f>
        <v/>
      </c>
      <c r="R2947" s="11">
        <f>ROUND(SUM(N2947:Q2947),2)</f>
        <v/>
      </c>
      <c r="S2947" s="5" t="inlineStr">
        <is>
          <t>Apportioned (class)</t>
        </is>
      </c>
      <c r="T2947" s="17" t="inlineStr">
        <is>
          <t>Low</t>
        </is>
      </c>
      <c r="U2947" s="8" t="n">
        <v>38.31</v>
      </c>
      <c r="V2947" s="13">
        <f>IF(U2947="","",ROUND(M2947-U2947,2))</f>
        <v/>
      </c>
      <c r="W2947" s="15" t="inlineStr">
        <is>
          <t>Apportioned at class level</t>
        </is>
      </c>
      <c r="X2947" s="5" t="inlineStr">
        <is>
          <t>Split from published rate using median L/P/M shares of 69 comparable build-ups at class level (29/10/60).</t>
        </is>
      </c>
    </row>
    <row r="2948" ht="13" customHeight="1">
      <c r="A2948" s="4" t="n">
        <v>4372</v>
      </c>
      <c r="B2948" s="5" t="inlineStr">
        <is>
          <t>IMG_0124</t>
        </is>
      </c>
      <c r="C2948" s="5" t="inlineStr">
        <is>
          <t>CLASS Q: PILING ANCILLARIES</t>
        </is>
      </c>
      <c r="D2948" s="5" t="inlineStr">
        <is>
          <t>06 INTERLOCKING STEEL PILES</t>
        </is>
      </c>
      <c r="E2948" s="5" t="inlineStr">
        <is>
          <t>Number of pile extensions; Cutting off surplus lengths</t>
        </is>
      </c>
      <c r="F2948" s="5" t="inlineStr">
        <is>
          <t>section modulus 2000-3000 cm3/m</t>
        </is>
      </c>
      <c r="G2948" s="6" t="inlineStr">
        <is>
          <t>m</t>
        </is>
      </c>
      <c r="H2948" s="7" t="n"/>
      <c r="I2948" s="8" t="n">
        <v>11.28</v>
      </c>
      <c r="J2948" s="8" t="n">
        <v>3.92</v>
      </c>
      <c r="K2948" s="8" t="n">
        <v>23.11</v>
      </c>
      <c r="L2948" s="8" t="n">
        <v>0</v>
      </c>
      <c r="M2948" s="9">
        <f>ROUND(SUM(I2948:L2948),2)</f>
        <v/>
      </c>
      <c r="N2948" s="10">
        <f>ROUND(I2948*'Irish Basis'!$C$6*'Irish Basis'!$C$5,2)</f>
        <v/>
      </c>
      <c r="O2948" s="10">
        <f>ROUND(J2948*'Irish Basis'!$C$7*'Irish Basis'!$C$5,2)</f>
        <v/>
      </c>
      <c r="P2948" s="10">
        <f>ROUND(K2948*'Irish Basis'!$C$8*'Irish Basis'!$C$5,2)</f>
        <v/>
      </c>
      <c r="Q2948" s="10">
        <f>ROUND(L2948*'Irish Basis'!$C$12*'Irish Basis'!$C$5,2)</f>
        <v/>
      </c>
      <c r="R2948" s="11">
        <f>ROUND(SUM(N2948:Q2948),2)</f>
        <v/>
      </c>
      <c r="S2948" s="5" t="inlineStr">
        <is>
          <t>Apportioned (class)</t>
        </is>
      </c>
      <c r="T2948" s="17" t="inlineStr">
        <is>
          <t>Low</t>
        </is>
      </c>
      <c r="U2948" s="8" t="n">
        <v>38.31</v>
      </c>
      <c r="V2948" s="13">
        <f>IF(U2948="","",ROUND(M2948-U2948,2))</f>
        <v/>
      </c>
      <c r="W2948" s="15" t="inlineStr">
        <is>
          <t>Apportioned at class level</t>
        </is>
      </c>
      <c r="X2948" s="5" t="inlineStr">
        <is>
          <t>Split from published rate using median L/P/M shares of 69 comparable build-ups at class level (29/10/60).</t>
        </is>
      </c>
    </row>
    <row r="2949" ht="13" customHeight="1">
      <c r="A2949" s="4" t="n">
        <v>4373</v>
      </c>
      <c r="B2949" s="5" t="inlineStr">
        <is>
          <t>IMG_0124</t>
        </is>
      </c>
      <c r="C2949" s="5" t="inlineStr">
        <is>
          <t>CLASS Q: PILING ANCILLARIES</t>
        </is>
      </c>
      <c r="D2949" s="5" t="inlineStr">
        <is>
          <t>06 INTERLOCKING STEEL PILES</t>
        </is>
      </c>
      <c r="E2949" s="5" t="inlineStr">
        <is>
          <t>Number of pile extensions; Cutting off surplus lengths</t>
        </is>
      </c>
      <c r="F2949" s="5" t="inlineStr">
        <is>
          <t>section modulus 3000-4000 cm3/m</t>
        </is>
      </c>
      <c r="G2949" s="6" t="inlineStr">
        <is>
          <t>m</t>
        </is>
      </c>
      <c r="H2949" s="7" t="n"/>
      <c r="I2949" s="8" t="n">
        <v>11.28</v>
      </c>
      <c r="J2949" s="8" t="n">
        <v>3.92</v>
      </c>
      <c r="K2949" s="8" t="n">
        <v>23.11</v>
      </c>
      <c r="L2949" s="8" t="n">
        <v>0</v>
      </c>
      <c r="M2949" s="9">
        <f>ROUND(SUM(I2949:L2949),2)</f>
        <v/>
      </c>
      <c r="N2949" s="10">
        <f>ROUND(I2949*'Irish Basis'!$C$6*'Irish Basis'!$C$5,2)</f>
        <v/>
      </c>
      <c r="O2949" s="10">
        <f>ROUND(J2949*'Irish Basis'!$C$7*'Irish Basis'!$C$5,2)</f>
        <v/>
      </c>
      <c r="P2949" s="10">
        <f>ROUND(K2949*'Irish Basis'!$C$8*'Irish Basis'!$C$5,2)</f>
        <v/>
      </c>
      <c r="Q2949" s="10">
        <f>ROUND(L2949*'Irish Basis'!$C$12*'Irish Basis'!$C$5,2)</f>
        <v/>
      </c>
      <c r="R2949" s="11">
        <f>ROUND(SUM(N2949:Q2949),2)</f>
        <v/>
      </c>
      <c r="S2949" s="5" t="inlineStr">
        <is>
          <t>Apportioned (class)</t>
        </is>
      </c>
      <c r="T2949" s="17" t="inlineStr">
        <is>
          <t>Low</t>
        </is>
      </c>
      <c r="U2949" s="8" t="n">
        <v>38.31</v>
      </c>
      <c r="V2949" s="13">
        <f>IF(U2949="","",ROUND(M2949-U2949,2))</f>
        <v/>
      </c>
      <c r="W2949" s="15" t="inlineStr">
        <is>
          <t>Apportioned at class level</t>
        </is>
      </c>
      <c r="X2949" s="5" t="inlineStr">
        <is>
          <t>Split from published rate using median L/P/M shares of 69 comparable build-ups at class level (29/10/60).</t>
        </is>
      </c>
    </row>
    <row r="2950" ht="13" customHeight="1">
      <c r="A2950" s="4" t="n">
        <v>4375</v>
      </c>
      <c r="B2950" s="5" t="inlineStr">
        <is>
          <t>IMG_0124</t>
        </is>
      </c>
      <c r="C2950" s="5" t="inlineStr">
        <is>
          <t>CLASS Q: PILING ANCILLARIES</t>
        </is>
      </c>
      <c r="D2950" s="5" t="inlineStr">
        <is>
          <t>06 INTERLOCKING STEEL PILES</t>
        </is>
      </c>
      <c r="E2950" s="5" t="inlineStr">
        <is>
          <t>Extract piling and stacking on site</t>
        </is>
      </c>
      <c r="F2950" s="5" t="inlineStr">
        <is>
          <t>section modulus 500-800 cm3/m</t>
        </is>
      </c>
      <c r="G2950" s="6" t="inlineStr">
        <is>
          <t>m2</t>
        </is>
      </c>
      <c r="H2950" s="7" t="n"/>
      <c r="I2950" s="8" t="n">
        <v>17.77</v>
      </c>
      <c r="J2950" s="8" t="n">
        <v>6.17</v>
      </c>
      <c r="K2950" s="8" t="n">
        <v>36.38</v>
      </c>
      <c r="L2950" s="8" t="n">
        <v>0</v>
      </c>
      <c r="M2950" s="9">
        <f>ROUND(SUM(I2950:L2950),2)</f>
        <v/>
      </c>
      <c r="N2950" s="10">
        <f>ROUND(I2950*'Irish Basis'!$C$6*'Irish Basis'!$C$5,2)</f>
        <v/>
      </c>
      <c r="O2950" s="10">
        <f>ROUND(J2950*'Irish Basis'!$C$7*'Irish Basis'!$C$5,2)</f>
        <v/>
      </c>
      <c r="P2950" s="10">
        <f>ROUND(K2950*'Irish Basis'!$C$8*'Irish Basis'!$C$5,2)</f>
        <v/>
      </c>
      <c r="Q2950" s="10">
        <f>ROUND(L2950*'Irish Basis'!$C$12*'Irish Basis'!$C$5,2)</f>
        <v/>
      </c>
      <c r="R2950" s="11">
        <f>ROUND(SUM(N2950:Q2950),2)</f>
        <v/>
      </c>
      <c r="S2950" s="5" t="inlineStr">
        <is>
          <t>Apportioned (class)</t>
        </is>
      </c>
      <c r="T2950" s="17" t="inlineStr">
        <is>
          <t>Low</t>
        </is>
      </c>
      <c r="U2950" s="8" t="n">
        <v>60.32</v>
      </c>
      <c r="V2950" s="13">
        <f>IF(U2950="","",ROUND(M2950-U2950,2))</f>
        <v/>
      </c>
      <c r="W2950" s="15" t="inlineStr">
        <is>
          <t>Apportioned at class level</t>
        </is>
      </c>
      <c r="X2950" s="5" t="inlineStr">
        <is>
          <t>Split from published rate using median L/P/M shares of 69 comparable build-ups at class level (29/10/60).</t>
        </is>
      </c>
    </row>
    <row r="2951" ht="13" customHeight="1">
      <c r="A2951" s="4" t="n">
        <v>4376</v>
      </c>
      <c r="B2951" s="5" t="inlineStr">
        <is>
          <t>IMG_0124</t>
        </is>
      </c>
      <c r="C2951" s="5" t="inlineStr">
        <is>
          <t>CLASS Q: PILING ANCILLARIES</t>
        </is>
      </c>
      <c r="D2951" s="5" t="inlineStr">
        <is>
          <t>06 INTERLOCKING STEEL PILES</t>
        </is>
      </c>
      <c r="E2951" s="5" t="inlineStr">
        <is>
          <t>Extract piling and stacking on site</t>
        </is>
      </c>
      <c r="F2951" s="5" t="inlineStr">
        <is>
          <t>section modulus 800-1200 cm3/m</t>
        </is>
      </c>
      <c r="G2951" s="6" t="inlineStr">
        <is>
          <t>m2</t>
        </is>
      </c>
      <c r="H2951" s="7" t="n"/>
      <c r="I2951" s="8" t="n">
        <v>8.880000000000001</v>
      </c>
      <c r="J2951" s="8" t="n">
        <v>3.08</v>
      </c>
      <c r="K2951" s="8" t="n">
        <v>18.19</v>
      </c>
      <c r="L2951" s="8" t="n">
        <v>0</v>
      </c>
      <c r="M2951" s="9">
        <f>ROUND(SUM(I2951:L2951),2)</f>
        <v/>
      </c>
      <c r="N2951" s="10">
        <f>ROUND(I2951*'Irish Basis'!$C$6*'Irish Basis'!$C$5,2)</f>
        <v/>
      </c>
      <c r="O2951" s="10">
        <f>ROUND(J2951*'Irish Basis'!$C$7*'Irish Basis'!$C$5,2)</f>
        <v/>
      </c>
      <c r="P2951" s="10">
        <f>ROUND(K2951*'Irish Basis'!$C$8*'Irish Basis'!$C$5,2)</f>
        <v/>
      </c>
      <c r="Q2951" s="10">
        <f>ROUND(L2951*'Irish Basis'!$C$12*'Irish Basis'!$C$5,2)</f>
        <v/>
      </c>
      <c r="R2951" s="11">
        <f>ROUND(SUM(N2951:Q2951),2)</f>
        <v/>
      </c>
      <c r="S2951" s="5" t="inlineStr">
        <is>
          <t>Apportioned (class)</t>
        </is>
      </c>
      <c r="T2951" s="17" t="inlineStr">
        <is>
          <t>Low</t>
        </is>
      </c>
      <c r="U2951" s="8" t="n">
        <v>30.16</v>
      </c>
      <c r="V2951" s="13">
        <f>IF(U2951="","",ROUND(M2951-U2951,2))</f>
        <v/>
      </c>
      <c r="W2951" s="15" t="inlineStr">
        <is>
          <t>Apportioned at class level</t>
        </is>
      </c>
      <c r="X2951" s="5" t="inlineStr">
        <is>
          <t>Split from published rate using median L/P/M shares of 69 comparable build-ups at class level (29/10/60).</t>
        </is>
      </c>
    </row>
    <row r="2952" ht="13" customHeight="1">
      <c r="A2952" s="4" t="n">
        <v>4377</v>
      </c>
      <c r="B2952" s="5" t="inlineStr">
        <is>
          <t>IMG_0124</t>
        </is>
      </c>
      <c r="C2952" s="5" t="inlineStr">
        <is>
          <t>CLASS Q: PILING ANCILLARIES</t>
        </is>
      </c>
      <c r="D2952" s="5" t="inlineStr">
        <is>
          <t>06 INTERLOCKING STEEL PILES</t>
        </is>
      </c>
      <c r="E2952" s="5" t="inlineStr">
        <is>
          <t>Extract piling and stacking on site</t>
        </is>
      </c>
      <c r="F2952" s="5" t="inlineStr">
        <is>
          <t>section modulus 1200-2000 cm3/m</t>
        </is>
      </c>
      <c r="G2952" s="6" t="inlineStr">
        <is>
          <t>m2</t>
        </is>
      </c>
      <c r="H2952" s="7" t="n"/>
      <c r="I2952" s="8" t="n">
        <v>8.880000000000001</v>
      </c>
      <c r="J2952" s="8" t="n">
        <v>3.08</v>
      </c>
      <c r="K2952" s="8" t="n">
        <v>18.19</v>
      </c>
      <c r="L2952" s="8" t="n">
        <v>0</v>
      </c>
      <c r="M2952" s="9">
        <f>ROUND(SUM(I2952:L2952),2)</f>
        <v/>
      </c>
      <c r="N2952" s="10">
        <f>ROUND(I2952*'Irish Basis'!$C$6*'Irish Basis'!$C$5,2)</f>
        <v/>
      </c>
      <c r="O2952" s="10">
        <f>ROUND(J2952*'Irish Basis'!$C$7*'Irish Basis'!$C$5,2)</f>
        <v/>
      </c>
      <c r="P2952" s="10">
        <f>ROUND(K2952*'Irish Basis'!$C$8*'Irish Basis'!$C$5,2)</f>
        <v/>
      </c>
      <c r="Q2952" s="10">
        <f>ROUND(L2952*'Irish Basis'!$C$12*'Irish Basis'!$C$5,2)</f>
        <v/>
      </c>
      <c r="R2952" s="11">
        <f>ROUND(SUM(N2952:Q2952),2)</f>
        <v/>
      </c>
      <c r="S2952" s="5" t="inlineStr">
        <is>
          <t>Apportioned (class)</t>
        </is>
      </c>
      <c r="T2952" s="17" t="inlineStr">
        <is>
          <t>Low</t>
        </is>
      </c>
      <c r="U2952" s="8" t="n">
        <v>30.16</v>
      </c>
      <c r="V2952" s="13">
        <f>IF(U2952="","",ROUND(M2952-U2952,2))</f>
        <v/>
      </c>
      <c r="W2952" s="15" t="inlineStr">
        <is>
          <t>Apportioned at class level</t>
        </is>
      </c>
      <c r="X2952" s="5" t="inlineStr">
        <is>
          <t>Split from published rate using median L/P/M shares of 69 comparable build-ups at class level (29/10/60).</t>
        </is>
      </c>
    </row>
    <row r="2953" ht="13" customHeight="1">
      <c r="A2953" s="4" t="n">
        <v>4378</v>
      </c>
      <c r="B2953" s="5" t="inlineStr">
        <is>
          <t>IMG_0124</t>
        </is>
      </c>
      <c r="C2953" s="5" t="inlineStr">
        <is>
          <t>CLASS Q: PILING ANCILLARIES</t>
        </is>
      </c>
      <c r="D2953" s="5" t="inlineStr">
        <is>
          <t>06 INTERLOCKING STEEL PILES</t>
        </is>
      </c>
      <c r="E2953" s="5" t="inlineStr">
        <is>
          <t>Extract piling and stacking on site</t>
        </is>
      </c>
      <c r="F2953" s="5" t="inlineStr">
        <is>
          <t>section modulus 2000-3000 cm3/m</t>
        </is>
      </c>
      <c r="G2953" s="6" t="inlineStr">
        <is>
          <t>m2</t>
        </is>
      </c>
      <c r="H2953" s="7" t="n"/>
      <c r="I2953" s="8" t="n">
        <v>8.880000000000001</v>
      </c>
      <c r="J2953" s="8" t="n">
        <v>3.08</v>
      </c>
      <c r="K2953" s="8" t="n">
        <v>18.19</v>
      </c>
      <c r="L2953" s="8" t="n">
        <v>0</v>
      </c>
      <c r="M2953" s="9">
        <f>ROUND(SUM(I2953:L2953),2)</f>
        <v/>
      </c>
      <c r="N2953" s="10">
        <f>ROUND(I2953*'Irish Basis'!$C$6*'Irish Basis'!$C$5,2)</f>
        <v/>
      </c>
      <c r="O2953" s="10">
        <f>ROUND(J2953*'Irish Basis'!$C$7*'Irish Basis'!$C$5,2)</f>
        <v/>
      </c>
      <c r="P2953" s="10">
        <f>ROUND(K2953*'Irish Basis'!$C$8*'Irish Basis'!$C$5,2)</f>
        <v/>
      </c>
      <c r="Q2953" s="10">
        <f>ROUND(L2953*'Irish Basis'!$C$12*'Irish Basis'!$C$5,2)</f>
        <v/>
      </c>
      <c r="R2953" s="11">
        <f>ROUND(SUM(N2953:Q2953),2)</f>
        <v/>
      </c>
      <c r="S2953" s="5" t="inlineStr">
        <is>
          <t>Apportioned (class)</t>
        </is>
      </c>
      <c r="T2953" s="17" t="inlineStr">
        <is>
          <t>Low</t>
        </is>
      </c>
      <c r="U2953" s="8" t="n">
        <v>30.16</v>
      </c>
      <c r="V2953" s="13">
        <f>IF(U2953="","",ROUND(M2953-U2953,2))</f>
        <v/>
      </c>
      <c r="W2953" s="15" t="inlineStr">
        <is>
          <t>Apportioned at class level</t>
        </is>
      </c>
      <c r="X2953" s="5" t="inlineStr">
        <is>
          <t>Split from published rate using median L/P/M shares of 69 comparable build-ups at class level (29/10/60).</t>
        </is>
      </c>
    </row>
    <row r="2954" ht="13" customHeight="1">
      <c r="A2954" s="4" t="n">
        <v>4379</v>
      </c>
      <c r="B2954" s="5" t="inlineStr">
        <is>
          <t>IMG_0124</t>
        </is>
      </c>
      <c r="C2954" s="5" t="inlineStr">
        <is>
          <t>CLASS Q: PILING ANCILLARIES</t>
        </is>
      </c>
      <c r="D2954" s="5" t="inlineStr">
        <is>
          <t>06 INTERLOCKING STEEL PILES</t>
        </is>
      </c>
      <c r="E2954" s="5" t="inlineStr">
        <is>
          <t>Extract piling and stacking on site</t>
        </is>
      </c>
      <c r="F2954" s="5" t="inlineStr">
        <is>
          <t>section modulus 3000-4000 cm3/m</t>
        </is>
      </c>
      <c r="G2954" s="6" t="inlineStr">
        <is>
          <t>m2</t>
        </is>
      </c>
      <c r="H2954" s="7" t="n"/>
      <c r="I2954" s="8" t="n">
        <v>8.880000000000001</v>
      </c>
      <c r="J2954" s="8" t="n">
        <v>3.08</v>
      </c>
      <c r="K2954" s="8" t="n">
        <v>18.19</v>
      </c>
      <c r="L2954" s="8" t="n">
        <v>0</v>
      </c>
      <c r="M2954" s="9">
        <f>ROUND(SUM(I2954:L2954),2)</f>
        <v/>
      </c>
      <c r="N2954" s="10">
        <f>ROUND(I2954*'Irish Basis'!$C$6*'Irish Basis'!$C$5,2)</f>
        <v/>
      </c>
      <c r="O2954" s="10">
        <f>ROUND(J2954*'Irish Basis'!$C$7*'Irish Basis'!$C$5,2)</f>
        <v/>
      </c>
      <c r="P2954" s="10">
        <f>ROUND(K2954*'Irish Basis'!$C$8*'Irish Basis'!$C$5,2)</f>
        <v/>
      </c>
      <c r="Q2954" s="10">
        <f>ROUND(L2954*'Irish Basis'!$C$12*'Irish Basis'!$C$5,2)</f>
        <v/>
      </c>
      <c r="R2954" s="11">
        <f>ROUND(SUM(N2954:Q2954),2)</f>
        <v/>
      </c>
      <c r="S2954" s="5" t="inlineStr">
        <is>
          <t>Apportioned (class)</t>
        </is>
      </c>
      <c r="T2954" s="17" t="inlineStr">
        <is>
          <t>Low</t>
        </is>
      </c>
      <c r="U2954" s="8" t="n">
        <v>30.16</v>
      </c>
      <c r="V2954" s="13">
        <f>IF(U2954="","",ROUND(M2954-U2954,2))</f>
        <v/>
      </c>
      <c r="W2954" s="15" t="inlineStr">
        <is>
          <t>Apportioned at class level</t>
        </is>
      </c>
      <c r="X2954" s="5" t="inlineStr">
        <is>
          <t>Split from published rate using median L/P/M shares of 69 comparable build-ups at class level (29/10/60).</t>
        </is>
      </c>
    </row>
    <row r="2955" ht="13" customHeight="1">
      <c r="A2955" s="4" t="n">
        <v>4385</v>
      </c>
      <c r="B2955" s="5" t="inlineStr">
        <is>
          <t>IMG_0125</t>
        </is>
      </c>
      <c r="C2955" s="5" t="inlineStr">
        <is>
          <t>CLASS Q: PILING ANCILLARIES</t>
        </is>
      </c>
      <c r="D2955" s="5" t="inlineStr">
        <is>
          <t>06 INTERLOCKING STEEL PILES</t>
        </is>
      </c>
      <c r="E2955" s="5" t="inlineStr">
        <is>
          <t>Arcelor Mittal U section steel piles; Cutting off surplus lengths</t>
        </is>
      </c>
      <c r="F2955" s="5" t="inlineStr">
        <is>
          <t>section modulus 500-800 cm3/m</t>
        </is>
      </c>
      <c r="G2955" s="6" t="inlineStr">
        <is>
          <t>m</t>
        </is>
      </c>
      <c r="H2955" s="7" t="n"/>
      <c r="I2955" s="8" t="n">
        <v>11.28</v>
      </c>
      <c r="J2955" s="8" t="n">
        <v>3.92</v>
      </c>
      <c r="K2955" s="8" t="n">
        <v>23.11</v>
      </c>
      <c r="L2955" s="8" t="n">
        <v>0</v>
      </c>
      <c r="M2955" s="9">
        <f>ROUND(SUM(I2955:L2955),2)</f>
        <v/>
      </c>
      <c r="N2955" s="10">
        <f>ROUND(I2955*'Irish Basis'!$C$6*'Irish Basis'!$C$5,2)</f>
        <v/>
      </c>
      <c r="O2955" s="10">
        <f>ROUND(J2955*'Irish Basis'!$C$7*'Irish Basis'!$C$5,2)</f>
        <v/>
      </c>
      <c r="P2955" s="10">
        <f>ROUND(K2955*'Irish Basis'!$C$8*'Irish Basis'!$C$5,2)</f>
        <v/>
      </c>
      <c r="Q2955" s="10">
        <f>ROUND(L2955*'Irish Basis'!$C$12*'Irish Basis'!$C$5,2)</f>
        <v/>
      </c>
      <c r="R2955" s="11">
        <f>ROUND(SUM(N2955:Q2955),2)</f>
        <v/>
      </c>
      <c r="S2955" s="5" t="inlineStr">
        <is>
          <t>Apportioned (class)</t>
        </is>
      </c>
      <c r="T2955" s="17" t="inlineStr">
        <is>
          <t>Low</t>
        </is>
      </c>
      <c r="U2955" s="8" t="n">
        <v>38.31</v>
      </c>
      <c r="V2955" s="13">
        <f>IF(U2955="","",ROUND(M2955-U2955,2))</f>
        <v/>
      </c>
      <c r="W2955" s="15" t="inlineStr">
        <is>
          <t>Apportioned at class level</t>
        </is>
      </c>
      <c r="X2955" s="5" t="inlineStr">
        <is>
          <t>Split from published rate using median L/P/M shares of 69 comparable build-ups at class level (29/10/60).</t>
        </is>
      </c>
    </row>
    <row r="2956" ht="13" customHeight="1">
      <c r="A2956" s="4" t="n">
        <v>4386</v>
      </c>
      <c r="B2956" s="5" t="inlineStr">
        <is>
          <t>IMG_0125</t>
        </is>
      </c>
      <c r="C2956" s="5" t="inlineStr">
        <is>
          <t>CLASS Q: PILING ANCILLARIES</t>
        </is>
      </c>
      <c r="D2956" s="5" t="inlineStr">
        <is>
          <t>06 INTERLOCKING STEEL PILES</t>
        </is>
      </c>
      <c r="E2956" s="5" t="inlineStr">
        <is>
          <t>Arcelor Mittal U section steel piles; Cutting off surplus lengths</t>
        </is>
      </c>
      <c r="F2956" s="5" t="inlineStr">
        <is>
          <t>section modulus 800-1200 cm3/m</t>
        </is>
      </c>
      <c r="G2956" s="6" t="inlineStr">
        <is>
          <t>m</t>
        </is>
      </c>
      <c r="H2956" s="7" t="n"/>
      <c r="I2956" s="8" t="n">
        <v>11.51</v>
      </c>
      <c r="J2956" s="8" t="n">
        <v>4</v>
      </c>
      <c r="K2956" s="8" t="n">
        <v>23.57</v>
      </c>
      <c r="L2956" s="8" t="n">
        <v>0</v>
      </c>
      <c r="M2956" s="9">
        <f>ROUND(SUM(I2956:L2956),2)</f>
        <v/>
      </c>
      <c r="N2956" s="10">
        <f>ROUND(I2956*'Irish Basis'!$C$6*'Irish Basis'!$C$5,2)</f>
        <v/>
      </c>
      <c r="O2956" s="10">
        <f>ROUND(J2956*'Irish Basis'!$C$7*'Irish Basis'!$C$5,2)</f>
        <v/>
      </c>
      <c r="P2956" s="10">
        <f>ROUND(K2956*'Irish Basis'!$C$8*'Irish Basis'!$C$5,2)</f>
        <v/>
      </c>
      <c r="Q2956" s="10">
        <f>ROUND(L2956*'Irish Basis'!$C$12*'Irish Basis'!$C$5,2)</f>
        <v/>
      </c>
      <c r="R2956" s="11">
        <f>ROUND(SUM(N2956:Q2956),2)</f>
        <v/>
      </c>
      <c r="S2956" s="5" t="inlineStr">
        <is>
          <t>Apportioned (class)</t>
        </is>
      </c>
      <c r="T2956" s="17" t="inlineStr">
        <is>
          <t>Low</t>
        </is>
      </c>
      <c r="U2956" s="8" t="n">
        <v>39.08</v>
      </c>
      <c r="V2956" s="13">
        <f>IF(U2956="","",ROUND(M2956-U2956,2))</f>
        <v/>
      </c>
      <c r="W2956" s="15" t="inlineStr">
        <is>
          <t>Apportioned at class level</t>
        </is>
      </c>
      <c r="X2956" s="5" t="inlineStr">
        <is>
          <t>Split from published rate using median L/P/M shares of 69 comparable build-ups at class level (29/10/60).</t>
        </is>
      </c>
    </row>
    <row r="2957" ht="13" customHeight="1">
      <c r="A2957" s="4" t="n">
        <v>4387</v>
      </c>
      <c r="B2957" s="5" t="inlineStr">
        <is>
          <t>IMG_0125</t>
        </is>
      </c>
      <c r="C2957" s="5" t="inlineStr">
        <is>
          <t>CLASS Q: PILING ANCILLARIES</t>
        </is>
      </c>
      <c r="D2957" s="5" t="inlineStr">
        <is>
          <t>06 INTERLOCKING STEEL PILES</t>
        </is>
      </c>
      <c r="E2957" s="5" t="inlineStr">
        <is>
          <t>Arcelor Mittal U section steel piles; Cutting off surplus lengths</t>
        </is>
      </c>
      <c r="F2957" s="5" t="inlineStr">
        <is>
          <t>section modulus 1200-2000 cm3/m</t>
        </is>
      </c>
      <c r="G2957" s="6" t="inlineStr">
        <is>
          <t>m</t>
        </is>
      </c>
      <c r="H2957" s="7" t="n"/>
      <c r="I2957" s="8" t="n">
        <v>11.28</v>
      </c>
      <c r="J2957" s="8" t="n">
        <v>3.92</v>
      </c>
      <c r="K2957" s="8" t="n">
        <v>23.11</v>
      </c>
      <c r="L2957" s="8" t="n">
        <v>0</v>
      </c>
      <c r="M2957" s="9">
        <f>ROUND(SUM(I2957:L2957),2)</f>
        <v/>
      </c>
      <c r="N2957" s="10">
        <f>ROUND(I2957*'Irish Basis'!$C$6*'Irish Basis'!$C$5,2)</f>
        <v/>
      </c>
      <c r="O2957" s="10">
        <f>ROUND(J2957*'Irish Basis'!$C$7*'Irish Basis'!$C$5,2)</f>
        <v/>
      </c>
      <c r="P2957" s="10">
        <f>ROUND(K2957*'Irish Basis'!$C$8*'Irish Basis'!$C$5,2)</f>
        <v/>
      </c>
      <c r="Q2957" s="10">
        <f>ROUND(L2957*'Irish Basis'!$C$12*'Irish Basis'!$C$5,2)</f>
        <v/>
      </c>
      <c r="R2957" s="11">
        <f>ROUND(SUM(N2957:Q2957),2)</f>
        <v/>
      </c>
      <c r="S2957" s="5" t="inlineStr">
        <is>
          <t>Apportioned (class)</t>
        </is>
      </c>
      <c r="T2957" s="17" t="inlineStr">
        <is>
          <t>Low</t>
        </is>
      </c>
      <c r="U2957" s="8" t="n">
        <v>38.31</v>
      </c>
      <c r="V2957" s="13">
        <f>IF(U2957="","",ROUND(M2957-U2957,2))</f>
        <v/>
      </c>
      <c r="W2957" s="15" t="inlineStr">
        <is>
          <t>Apportioned at class level</t>
        </is>
      </c>
      <c r="X2957" s="5" t="inlineStr">
        <is>
          <t>Split from published rate using median L/P/M shares of 69 comparable build-ups at class level (29/10/60).</t>
        </is>
      </c>
    </row>
    <row r="2958" ht="13" customHeight="1">
      <c r="A2958" s="4" t="n">
        <v>4388</v>
      </c>
      <c r="B2958" s="5" t="inlineStr">
        <is>
          <t>IMG_0125</t>
        </is>
      </c>
      <c r="C2958" s="5" t="inlineStr">
        <is>
          <t>CLASS Q: PILING ANCILLARIES</t>
        </is>
      </c>
      <c r="D2958" s="5" t="inlineStr">
        <is>
          <t>06 INTERLOCKING STEEL PILES</t>
        </is>
      </c>
      <c r="E2958" s="5" t="inlineStr">
        <is>
          <t>Arcelor Mittal U section steel piles; Cutting off surplus lengths</t>
        </is>
      </c>
      <c r="F2958" s="5" t="inlineStr">
        <is>
          <t>section modulus 2000-3000 cm3/m</t>
        </is>
      </c>
      <c r="G2958" s="6" t="inlineStr">
        <is>
          <t>m</t>
        </is>
      </c>
      <c r="H2958" s="7" t="n"/>
      <c r="I2958" s="8" t="n">
        <v>11.28</v>
      </c>
      <c r="J2958" s="8" t="n">
        <v>3.92</v>
      </c>
      <c r="K2958" s="8" t="n">
        <v>23.11</v>
      </c>
      <c r="L2958" s="8" t="n">
        <v>0</v>
      </c>
      <c r="M2958" s="9">
        <f>ROUND(SUM(I2958:L2958),2)</f>
        <v/>
      </c>
      <c r="N2958" s="10">
        <f>ROUND(I2958*'Irish Basis'!$C$6*'Irish Basis'!$C$5,2)</f>
        <v/>
      </c>
      <c r="O2958" s="10">
        <f>ROUND(J2958*'Irish Basis'!$C$7*'Irish Basis'!$C$5,2)</f>
        <v/>
      </c>
      <c r="P2958" s="10">
        <f>ROUND(K2958*'Irish Basis'!$C$8*'Irish Basis'!$C$5,2)</f>
        <v/>
      </c>
      <c r="Q2958" s="10">
        <f>ROUND(L2958*'Irish Basis'!$C$12*'Irish Basis'!$C$5,2)</f>
        <v/>
      </c>
      <c r="R2958" s="11">
        <f>ROUND(SUM(N2958:Q2958),2)</f>
        <v/>
      </c>
      <c r="S2958" s="5" t="inlineStr">
        <is>
          <t>Apportioned (class)</t>
        </is>
      </c>
      <c r="T2958" s="17" t="inlineStr">
        <is>
          <t>Low</t>
        </is>
      </c>
      <c r="U2958" s="8" t="n">
        <v>38.31</v>
      </c>
      <c r="V2958" s="13">
        <f>IF(U2958="","",ROUND(M2958-U2958,2))</f>
        <v/>
      </c>
      <c r="W2958" s="15" t="inlineStr">
        <is>
          <t>Apportioned at class level</t>
        </is>
      </c>
      <c r="X2958" s="5" t="inlineStr">
        <is>
          <t>Split from published rate using median L/P/M shares of 69 comparable build-ups at class level (29/10/60).</t>
        </is>
      </c>
    </row>
    <row r="2959" ht="13" customHeight="1">
      <c r="A2959" s="4" t="n">
        <v>4389</v>
      </c>
      <c r="B2959" s="5" t="inlineStr">
        <is>
          <t>IMG_0125</t>
        </is>
      </c>
      <c r="C2959" s="5" t="inlineStr">
        <is>
          <t>CLASS Q: PILING ANCILLARIES</t>
        </is>
      </c>
      <c r="D2959" s="5" t="inlineStr">
        <is>
          <t>06 INTERLOCKING STEEL PILES</t>
        </is>
      </c>
      <c r="E2959" s="5" t="inlineStr">
        <is>
          <t>Arcelor Mittal U section steel piles; Cutting off surplus lengths</t>
        </is>
      </c>
      <c r="F2959" s="5" t="inlineStr">
        <is>
          <t>section modulus 3000-4000 cm3/m</t>
        </is>
      </c>
      <c r="G2959" s="6" t="inlineStr">
        <is>
          <t>m</t>
        </is>
      </c>
      <c r="H2959" s="7" t="n"/>
      <c r="I2959" s="8" t="n">
        <v>11.28</v>
      </c>
      <c r="J2959" s="8" t="n">
        <v>3.92</v>
      </c>
      <c r="K2959" s="8" t="n">
        <v>23.11</v>
      </c>
      <c r="L2959" s="8" t="n">
        <v>0</v>
      </c>
      <c r="M2959" s="9">
        <f>ROUND(SUM(I2959:L2959),2)</f>
        <v/>
      </c>
      <c r="N2959" s="10">
        <f>ROUND(I2959*'Irish Basis'!$C$6*'Irish Basis'!$C$5,2)</f>
        <v/>
      </c>
      <c r="O2959" s="10">
        <f>ROUND(J2959*'Irish Basis'!$C$7*'Irish Basis'!$C$5,2)</f>
        <v/>
      </c>
      <c r="P2959" s="10">
        <f>ROUND(K2959*'Irish Basis'!$C$8*'Irish Basis'!$C$5,2)</f>
        <v/>
      </c>
      <c r="Q2959" s="10">
        <f>ROUND(L2959*'Irish Basis'!$C$12*'Irish Basis'!$C$5,2)</f>
        <v/>
      </c>
      <c r="R2959" s="11">
        <f>ROUND(SUM(N2959:Q2959),2)</f>
        <v/>
      </c>
      <c r="S2959" s="5" t="inlineStr">
        <is>
          <t>Apportioned (class)</t>
        </is>
      </c>
      <c r="T2959" s="17" t="inlineStr">
        <is>
          <t>Low</t>
        </is>
      </c>
      <c r="U2959" s="8" t="n">
        <v>38.31</v>
      </c>
      <c r="V2959" s="13">
        <f>IF(U2959="","",ROUND(M2959-U2959,2))</f>
        <v/>
      </c>
      <c r="W2959" s="15" t="inlineStr">
        <is>
          <t>Apportioned at class level</t>
        </is>
      </c>
      <c r="X2959" s="5" t="inlineStr">
        <is>
          <t>Split from published rate using median L/P/M shares of 69 comparable build-ups at class level (29/10/60).</t>
        </is>
      </c>
    </row>
    <row r="2960" ht="13" customHeight="1">
      <c r="A2960" s="4" t="n">
        <v>4391</v>
      </c>
      <c r="B2960" s="5" t="inlineStr">
        <is>
          <t>IMG_0125</t>
        </is>
      </c>
      <c r="C2960" s="5" t="inlineStr">
        <is>
          <t>CLASS Q: PILING ANCILLARIES</t>
        </is>
      </c>
      <c r="D2960" s="5" t="inlineStr">
        <is>
          <t>06 INTERLOCKING STEEL PILES</t>
        </is>
      </c>
      <c r="E2960" s="5" t="inlineStr">
        <is>
          <t>Extract piling and stack on site</t>
        </is>
      </c>
      <c r="F2960" s="5" t="inlineStr">
        <is>
          <t>section modulus 500-800 cm3/m</t>
        </is>
      </c>
      <c r="G2960" s="6" t="inlineStr">
        <is>
          <t>m2</t>
        </is>
      </c>
      <c r="H2960" s="7" t="n"/>
      <c r="I2960" s="8" t="n">
        <v>8.880000000000001</v>
      </c>
      <c r="J2960" s="8" t="n">
        <v>3.08</v>
      </c>
      <c r="K2960" s="8" t="n">
        <v>18.19</v>
      </c>
      <c r="L2960" s="8" t="n">
        <v>0</v>
      </c>
      <c r="M2960" s="9">
        <f>ROUND(SUM(I2960:L2960),2)</f>
        <v/>
      </c>
      <c r="N2960" s="10">
        <f>ROUND(I2960*'Irish Basis'!$C$6*'Irish Basis'!$C$5,2)</f>
        <v/>
      </c>
      <c r="O2960" s="10">
        <f>ROUND(J2960*'Irish Basis'!$C$7*'Irish Basis'!$C$5,2)</f>
        <v/>
      </c>
      <c r="P2960" s="10">
        <f>ROUND(K2960*'Irish Basis'!$C$8*'Irish Basis'!$C$5,2)</f>
        <v/>
      </c>
      <c r="Q2960" s="10">
        <f>ROUND(L2960*'Irish Basis'!$C$12*'Irish Basis'!$C$5,2)</f>
        <v/>
      </c>
      <c r="R2960" s="11">
        <f>ROUND(SUM(N2960:Q2960),2)</f>
        <v/>
      </c>
      <c r="S2960" s="5" t="inlineStr">
        <is>
          <t>Apportioned (class)</t>
        </is>
      </c>
      <c r="T2960" s="17" t="inlineStr">
        <is>
          <t>Low</t>
        </is>
      </c>
      <c r="U2960" s="8" t="n">
        <v>30.16</v>
      </c>
      <c r="V2960" s="13">
        <f>IF(U2960="","",ROUND(M2960-U2960,2))</f>
        <v/>
      </c>
      <c r="W2960" s="15" t="inlineStr">
        <is>
          <t>Apportioned at class level</t>
        </is>
      </c>
      <c r="X2960" s="5" t="inlineStr">
        <is>
          <t>Split from published rate using median L/P/M shares of 69 comparable build-ups at class level (29/10/60).</t>
        </is>
      </c>
    </row>
    <row r="2961" ht="13" customHeight="1">
      <c r="A2961" s="4" t="n">
        <v>4392</v>
      </c>
      <c r="B2961" s="5" t="inlineStr">
        <is>
          <t>IMG_0125</t>
        </is>
      </c>
      <c r="C2961" s="5" t="inlineStr">
        <is>
          <t>CLASS Q: PILING ANCILLARIES</t>
        </is>
      </c>
      <c r="D2961" s="5" t="inlineStr">
        <is>
          <t>06 INTERLOCKING STEEL PILES</t>
        </is>
      </c>
      <c r="E2961" s="5" t="inlineStr">
        <is>
          <t>Extract piling and stack on site</t>
        </is>
      </c>
      <c r="F2961" s="5" t="inlineStr">
        <is>
          <t>section modulus 800-1200 cm3/m</t>
        </is>
      </c>
      <c r="G2961" s="6" t="inlineStr">
        <is>
          <t>m2</t>
        </is>
      </c>
      <c r="H2961" s="7" t="n"/>
      <c r="I2961" s="8" t="n">
        <v>8.880000000000001</v>
      </c>
      <c r="J2961" s="8" t="n">
        <v>3.08</v>
      </c>
      <c r="K2961" s="8" t="n">
        <v>18.19</v>
      </c>
      <c r="L2961" s="8" t="n">
        <v>0</v>
      </c>
      <c r="M2961" s="9">
        <f>ROUND(SUM(I2961:L2961),2)</f>
        <v/>
      </c>
      <c r="N2961" s="10">
        <f>ROUND(I2961*'Irish Basis'!$C$6*'Irish Basis'!$C$5,2)</f>
        <v/>
      </c>
      <c r="O2961" s="10">
        <f>ROUND(J2961*'Irish Basis'!$C$7*'Irish Basis'!$C$5,2)</f>
        <v/>
      </c>
      <c r="P2961" s="10">
        <f>ROUND(K2961*'Irish Basis'!$C$8*'Irish Basis'!$C$5,2)</f>
        <v/>
      </c>
      <c r="Q2961" s="10">
        <f>ROUND(L2961*'Irish Basis'!$C$12*'Irish Basis'!$C$5,2)</f>
        <v/>
      </c>
      <c r="R2961" s="11">
        <f>ROUND(SUM(N2961:Q2961),2)</f>
        <v/>
      </c>
      <c r="S2961" s="5" t="inlineStr">
        <is>
          <t>Apportioned (class)</t>
        </is>
      </c>
      <c r="T2961" s="17" t="inlineStr">
        <is>
          <t>Low</t>
        </is>
      </c>
      <c r="U2961" s="8" t="n">
        <v>30.16</v>
      </c>
      <c r="V2961" s="13">
        <f>IF(U2961="","",ROUND(M2961-U2961,2))</f>
        <v/>
      </c>
      <c r="W2961" s="15" t="inlineStr">
        <is>
          <t>Apportioned at class level</t>
        </is>
      </c>
      <c r="X2961" s="5" t="inlineStr">
        <is>
          <t>Split from published rate using median L/P/M shares of 69 comparable build-ups at class level (29/10/60).</t>
        </is>
      </c>
    </row>
    <row r="2962" ht="13" customHeight="1">
      <c r="A2962" s="4" t="n">
        <v>4393</v>
      </c>
      <c r="B2962" s="5" t="inlineStr">
        <is>
          <t>IMG_0125</t>
        </is>
      </c>
      <c r="C2962" s="5" t="inlineStr">
        <is>
          <t>CLASS Q: PILING ANCILLARIES</t>
        </is>
      </c>
      <c r="D2962" s="5" t="inlineStr">
        <is>
          <t>06 INTERLOCKING STEEL PILES</t>
        </is>
      </c>
      <c r="E2962" s="5" t="inlineStr">
        <is>
          <t>Extract piling and stack on site</t>
        </is>
      </c>
      <c r="F2962" s="5" t="inlineStr">
        <is>
          <t>section modulus 800-1200 cm3/m PU12</t>
        </is>
      </c>
      <c r="G2962" s="6" t="inlineStr">
        <is>
          <t>m2</t>
        </is>
      </c>
      <c r="H2962" s="7" t="n"/>
      <c r="I2962" s="8" t="n">
        <v>8.880000000000001</v>
      </c>
      <c r="J2962" s="8" t="n">
        <v>3.08</v>
      </c>
      <c r="K2962" s="8" t="n">
        <v>18.19</v>
      </c>
      <c r="L2962" s="8" t="n">
        <v>0</v>
      </c>
      <c r="M2962" s="9">
        <f>ROUND(SUM(I2962:L2962),2)</f>
        <v/>
      </c>
      <c r="N2962" s="10">
        <f>ROUND(I2962*'Irish Basis'!$C$6*'Irish Basis'!$C$5,2)</f>
        <v/>
      </c>
      <c r="O2962" s="10">
        <f>ROUND(J2962*'Irish Basis'!$C$7*'Irish Basis'!$C$5,2)</f>
        <v/>
      </c>
      <c r="P2962" s="10">
        <f>ROUND(K2962*'Irish Basis'!$C$8*'Irish Basis'!$C$5,2)</f>
        <v/>
      </c>
      <c r="Q2962" s="10">
        <f>ROUND(L2962*'Irish Basis'!$C$12*'Irish Basis'!$C$5,2)</f>
        <v/>
      </c>
      <c r="R2962" s="11">
        <f>ROUND(SUM(N2962:Q2962),2)</f>
        <v/>
      </c>
      <c r="S2962" s="5" t="inlineStr">
        <is>
          <t>Apportioned (class)</t>
        </is>
      </c>
      <c r="T2962" s="17" t="inlineStr">
        <is>
          <t>Low</t>
        </is>
      </c>
      <c r="U2962" s="8" t="n">
        <v>30.16</v>
      </c>
      <c r="V2962" s="13">
        <f>IF(U2962="","",ROUND(M2962-U2962,2))</f>
        <v/>
      </c>
      <c r="W2962" s="15" t="inlineStr">
        <is>
          <t>Apportioned at class level</t>
        </is>
      </c>
      <c r="X2962" s="5" t="inlineStr">
        <is>
          <t>Split from published rate using median L/P/M shares of 69 comparable build-ups at class level (29/10/60).</t>
        </is>
      </c>
    </row>
    <row r="2963" ht="13" customHeight="1">
      <c r="A2963" s="4" t="n">
        <v>4394</v>
      </c>
      <c r="B2963" s="5" t="inlineStr">
        <is>
          <t>IMG_0125</t>
        </is>
      </c>
      <c r="C2963" s="5" t="inlineStr">
        <is>
          <t>CLASS Q: PILING ANCILLARIES</t>
        </is>
      </c>
      <c r="D2963" s="5" t="inlineStr">
        <is>
          <t>06 INTERLOCKING STEEL PILES</t>
        </is>
      </c>
      <c r="E2963" s="5" t="inlineStr">
        <is>
          <t>Extract piling and stack on site</t>
        </is>
      </c>
      <c r="F2963" s="5" t="inlineStr">
        <is>
          <t>section modulus 800-1200 cm3/m PU18</t>
        </is>
      </c>
      <c r="G2963" s="6" t="inlineStr">
        <is>
          <t>m2</t>
        </is>
      </c>
      <c r="H2963" s="7" t="n"/>
      <c r="I2963" s="8" t="n">
        <v>8.880000000000001</v>
      </c>
      <c r="J2963" s="8" t="n">
        <v>3.08</v>
      </c>
      <c r="K2963" s="8" t="n">
        <v>18.19</v>
      </c>
      <c r="L2963" s="8" t="n">
        <v>0</v>
      </c>
      <c r="M2963" s="9">
        <f>ROUND(SUM(I2963:L2963),2)</f>
        <v/>
      </c>
      <c r="N2963" s="10">
        <f>ROUND(I2963*'Irish Basis'!$C$6*'Irish Basis'!$C$5,2)</f>
        <v/>
      </c>
      <c r="O2963" s="10">
        <f>ROUND(J2963*'Irish Basis'!$C$7*'Irish Basis'!$C$5,2)</f>
        <v/>
      </c>
      <c r="P2963" s="10">
        <f>ROUND(K2963*'Irish Basis'!$C$8*'Irish Basis'!$C$5,2)</f>
        <v/>
      </c>
      <c r="Q2963" s="10">
        <f>ROUND(L2963*'Irish Basis'!$C$12*'Irish Basis'!$C$5,2)</f>
        <v/>
      </c>
      <c r="R2963" s="11">
        <f>ROUND(SUM(N2963:Q2963),2)</f>
        <v/>
      </c>
      <c r="S2963" s="5" t="inlineStr">
        <is>
          <t>Apportioned (class)</t>
        </is>
      </c>
      <c r="T2963" s="17" t="inlineStr">
        <is>
          <t>Low</t>
        </is>
      </c>
      <c r="U2963" s="8" t="n">
        <v>30.16</v>
      </c>
      <c r="V2963" s="13">
        <f>IF(U2963="","",ROUND(M2963-U2963,2))</f>
        <v/>
      </c>
      <c r="W2963" s="15" t="inlineStr">
        <is>
          <t>Apportioned at class level</t>
        </is>
      </c>
      <c r="X2963" s="5" t="inlineStr">
        <is>
          <t>Split from published rate using median L/P/M shares of 69 comparable build-ups at class level (29/10/60).</t>
        </is>
      </c>
    </row>
    <row r="2964" ht="13" customHeight="1">
      <c r="A2964" s="4" t="n">
        <v>4395</v>
      </c>
      <c r="B2964" s="5" t="inlineStr">
        <is>
          <t>IMG_0125</t>
        </is>
      </c>
      <c r="C2964" s="5" t="inlineStr">
        <is>
          <t>CLASS Q: PILING ANCILLARIES</t>
        </is>
      </c>
      <c r="D2964" s="5" t="inlineStr">
        <is>
          <t>06 INTERLOCKING STEEL PILES</t>
        </is>
      </c>
      <c r="E2964" s="5" t="inlineStr">
        <is>
          <t>Extract piling and stack on site</t>
        </is>
      </c>
      <c r="F2964" s="5" t="inlineStr">
        <is>
          <t>section modulus 2000-3000 cm3/m</t>
        </is>
      </c>
      <c r="G2964" s="6" t="inlineStr">
        <is>
          <t>m2</t>
        </is>
      </c>
      <c r="H2964" s="7" t="n"/>
      <c r="I2964" s="8" t="n">
        <v>8.880000000000001</v>
      </c>
      <c r="J2964" s="8" t="n">
        <v>3.08</v>
      </c>
      <c r="K2964" s="8" t="n">
        <v>18.19</v>
      </c>
      <c r="L2964" s="8" t="n">
        <v>0</v>
      </c>
      <c r="M2964" s="9">
        <f>ROUND(SUM(I2964:L2964),2)</f>
        <v/>
      </c>
      <c r="N2964" s="10">
        <f>ROUND(I2964*'Irish Basis'!$C$6*'Irish Basis'!$C$5,2)</f>
        <v/>
      </c>
      <c r="O2964" s="10">
        <f>ROUND(J2964*'Irish Basis'!$C$7*'Irish Basis'!$C$5,2)</f>
        <v/>
      </c>
      <c r="P2964" s="10">
        <f>ROUND(K2964*'Irish Basis'!$C$8*'Irish Basis'!$C$5,2)</f>
        <v/>
      </c>
      <c r="Q2964" s="10">
        <f>ROUND(L2964*'Irish Basis'!$C$12*'Irish Basis'!$C$5,2)</f>
        <v/>
      </c>
      <c r="R2964" s="11">
        <f>ROUND(SUM(N2964:Q2964),2)</f>
        <v/>
      </c>
      <c r="S2964" s="5" t="inlineStr">
        <is>
          <t>Apportioned (class)</t>
        </is>
      </c>
      <c r="T2964" s="17" t="inlineStr">
        <is>
          <t>Low</t>
        </is>
      </c>
      <c r="U2964" s="8" t="n">
        <v>30.16</v>
      </c>
      <c r="V2964" s="13">
        <f>IF(U2964="","",ROUND(M2964-U2964,2))</f>
        <v/>
      </c>
      <c r="W2964" s="15" t="inlineStr">
        <is>
          <t>Apportioned at class level</t>
        </is>
      </c>
      <c r="X2964" s="5" t="inlineStr">
        <is>
          <t>Split from published rate using median L/P/M shares of 69 comparable build-ups at class level (29/10/60).</t>
        </is>
      </c>
    </row>
    <row r="2965" ht="13" customHeight="1">
      <c r="A2965" s="4" t="n">
        <v>4396</v>
      </c>
      <c r="B2965" s="5" t="inlineStr">
        <is>
          <t>IMG_0125</t>
        </is>
      </c>
      <c r="C2965" s="5" t="inlineStr">
        <is>
          <t>CLASS Q: PILING ANCILLARIES</t>
        </is>
      </c>
      <c r="D2965" s="5" t="inlineStr">
        <is>
          <t>06 INTERLOCKING STEEL PILES</t>
        </is>
      </c>
      <c r="E2965" s="5" t="inlineStr">
        <is>
          <t>Extract piling and stack on site</t>
        </is>
      </c>
      <c r="F2965" s="5" t="inlineStr">
        <is>
          <t>section modulus 3000-4000 cm3/m</t>
        </is>
      </c>
      <c r="G2965" s="6" t="inlineStr">
        <is>
          <t>m2</t>
        </is>
      </c>
      <c r="H2965" s="7" t="n"/>
      <c r="I2965" s="8" t="n">
        <v>8.880000000000001</v>
      </c>
      <c r="J2965" s="8" t="n">
        <v>3.08</v>
      </c>
      <c r="K2965" s="8" t="n">
        <v>18.19</v>
      </c>
      <c r="L2965" s="8" t="n">
        <v>0</v>
      </c>
      <c r="M2965" s="9">
        <f>ROUND(SUM(I2965:L2965),2)</f>
        <v/>
      </c>
      <c r="N2965" s="10">
        <f>ROUND(I2965*'Irish Basis'!$C$6*'Irish Basis'!$C$5,2)</f>
        <v/>
      </c>
      <c r="O2965" s="10">
        <f>ROUND(J2965*'Irish Basis'!$C$7*'Irish Basis'!$C$5,2)</f>
        <v/>
      </c>
      <c r="P2965" s="10">
        <f>ROUND(K2965*'Irish Basis'!$C$8*'Irish Basis'!$C$5,2)</f>
        <v/>
      </c>
      <c r="Q2965" s="10">
        <f>ROUND(L2965*'Irish Basis'!$C$12*'Irish Basis'!$C$5,2)</f>
        <v/>
      </c>
      <c r="R2965" s="11">
        <f>ROUND(SUM(N2965:Q2965),2)</f>
        <v/>
      </c>
      <c r="S2965" s="5" t="inlineStr">
        <is>
          <t>Apportioned (class)</t>
        </is>
      </c>
      <c r="T2965" s="17" t="inlineStr">
        <is>
          <t>Low</t>
        </is>
      </c>
      <c r="U2965" s="8" t="n">
        <v>30.16</v>
      </c>
      <c r="V2965" s="13">
        <f>IF(U2965="","",ROUND(M2965-U2965,2))</f>
        <v/>
      </c>
      <c r="W2965" s="15" t="inlineStr">
        <is>
          <t>Apportioned at class level</t>
        </is>
      </c>
      <c r="X2965" s="5" t="inlineStr">
        <is>
          <t>Split from published rate using median L/P/M shares of 69 comparable build-ups at class level (29/10/60).</t>
        </is>
      </c>
    </row>
    <row r="2966" ht="13" customHeight="1">
      <c r="A2966" s="4" t="n">
        <v>4399</v>
      </c>
      <c r="B2966" s="5" t="inlineStr">
        <is>
          <t>IMG_0125</t>
        </is>
      </c>
      <c r="C2966" s="5" t="inlineStr">
        <is>
          <t>CLASS Q: PILING ANCILLARIES</t>
        </is>
      </c>
      <c r="D2966" s="5" t="inlineStr">
        <is>
          <t>07 OBSTRUCTIONS</t>
        </is>
      </c>
      <c r="E2966" s="5" t="inlineStr">
        <is>
          <t>General</t>
        </is>
      </c>
      <c r="F2966" s="5" t="inlineStr">
        <is>
          <t>Obstructions</t>
        </is>
      </c>
      <c r="G2966" s="6" t="inlineStr">
        <is>
          <t>hr</t>
        </is>
      </c>
      <c r="H2966" s="7" t="n"/>
      <c r="I2966" s="8" t="n">
        <v>48.39</v>
      </c>
      <c r="J2966" s="8" t="n">
        <v>16.8</v>
      </c>
      <c r="K2966" s="8" t="n">
        <v>99.09</v>
      </c>
      <c r="L2966" s="8" t="n">
        <v>0</v>
      </c>
      <c r="M2966" s="9">
        <f>ROUND(SUM(I2966:L2966),2)</f>
        <v/>
      </c>
      <c r="N2966" s="10">
        <f>ROUND(I2966*'Irish Basis'!$C$6*'Irish Basis'!$C$5,2)</f>
        <v/>
      </c>
      <c r="O2966" s="10">
        <f>ROUND(J2966*'Irish Basis'!$C$7*'Irish Basis'!$C$5,2)</f>
        <v/>
      </c>
      <c r="P2966" s="10">
        <f>ROUND(K2966*'Irish Basis'!$C$8*'Irish Basis'!$C$5,2)</f>
        <v/>
      </c>
      <c r="Q2966" s="10">
        <f>ROUND(L2966*'Irish Basis'!$C$12*'Irish Basis'!$C$5,2)</f>
        <v/>
      </c>
      <c r="R2966" s="11">
        <f>ROUND(SUM(N2966:Q2966),2)</f>
        <v/>
      </c>
      <c r="S2966" s="5" t="inlineStr">
        <is>
          <t>Apportioned (class)</t>
        </is>
      </c>
      <c r="T2966" s="17" t="inlineStr">
        <is>
          <t>Low</t>
        </is>
      </c>
      <c r="U2966" s="8" t="n">
        <v>164.28</v>
      </c>
      <c r="V2966" s="13">
        <f>IF(U2966="","",ROUND(M2966-U2966,2))</f>
        <v/>
      </c>
      <c r="W2966" s="15" t="inlineStr">
        <is>
          <t>Apportioned at class level</t>
        </is>
      </c>
      <c r="X2966" s="5" t="inlineStr">
        <is>
          <t>Split from published rate using median L/P/M shares of 69 comparable build-ups at class level (29/10/60).</t>
        </is>
      </c>
    </row>
    <row r="2967" ht="13" customHeight="1">
      <c r="A2967" s="4" t="n">
        <v>4402</v>
      </c>
      <c r="B2967" s="5" t="inlineStr">
        <is>
          <t>IMG_0125</t>
        </is>
      </c>
      <c r="C2967" s="5" t="inlineStr">
        <is>
          <t>CLASS Q: PILING ANCILLARIES</t>
        </is>
      </c>
      <c r="D2967" s="5" t="inlineStr">
        <is>
          <t>08 PILE TESTS</t>
        </is>
      </c>
      <c r="E2967" s="5" t="inlineStr">
        <is>
          <t>Cast in place; Pile tests; 500 mm dia. working pile; maximum test load of 600kN using non-working tension piles as reaction tripod</t>
        </is>
      </c>
      <c r="F2967" s="5" t="inlineStr">
        <is>
          <t>first pile</t>
        </is>
      </c>
      <c r="G2967" s="6" t="inlineStr">
        <is>
          <t>nr</t>
        </is>
      </c>
      <c r="H2967" s="7" t="n"/>
      <c r="I2967" s="8" t="n">
        <v>0</v>
      </c>
      <c r="J2967" s="8" t="n">
        <v>0</v>
      </c>
      <c r="K2967" s="8" t="n">
        <v>0</v>
      </c>
      <c r="L2967" s="8" t="n">
        <v>8548.450000000001</v>
      </c>
      <c r="M2967" s="9">
        <f>ROUND(SUM(I2967:L2967),2)</f>
        <v/>
      </c>
      <c r="N2967" s="10">
        <f>ROUND(I2967*'Irish Basis'!$C$6*'Irish Basis'!$C$5,2)</f>
        <v/>
      </c>
      <c r="O2967" s="10">
        <f>ROUND(J2967*'Irish Basis'!$C$7*'Irish Basis'!$C$5,2)</f>
        <v/>
      </c>
      <c r="P2967" s="10">
        <f>ROUND(K2967*'Irish Basis'!$C$8*'Irish Basis'!$C$5,2)</f>
        <v/>
      </c>
      <c r="Q2967" s="10">
        <f>ROUND(L2967*'Irish Basis'!$C$12*'Irish Basis'!$C$5,2)</f>
        <v/>
      </c>
      <c r="R2967" s="11">
        <f>ROUND(SUM(N2967:Q2967),2)</f>
        <v/>
      </c>
      <c r="S2967" s="5" t="inlineStr">
        <is>
          <t>All-in specialist rate</t>
        </is>
      </c>
      <c r="T2967" s="14" t="inlineStr">
        <is>
          <t>All-in (not split)</t>
        </is>
      </c>
      <c r="U2967" s="8" t="n">
        <v>8548.450000000001</v>
      </c>
      <c r="V2967" s="13">
        <f>IF(U2967="","",ROUND(M2967-U2967,2))</f>
        <v/>
      </c>
      <c r="W2967" s="5" t="n"/>
      <c r="X2967" s="5" t="inlineStr">
        <is>
          <t>Source publishes a specialist/sub-contract all-in rate; no labour/plant/material build-up exists to derive from.</t>
        </is>
      </c>
    </row>
    <row r="2968" ht="13" customHeight="1">
      <c r="A2968" s="4" t="n">
        <v>4403</v>
      </c>
      <c r="B2968" s="5" t="inlineStr">
        <is>
          <t>IMG_0125</t>
        </is>
      </c>
      <c r="C2968" s="5" t="inlineStr">
        <is>
          <t>CLASS Q: PILING ANCILLARIES</t>
        </is>
      </c>
      <c r="D2968" s="5" t="inlineStr">
        <is>
          <t>08 PILE TESTS</t>
        </is>
      </c>
      <c r="E2968" s="5" t="inlineStr">
        <is>
          <t>Cast in place; Pile tests; 500 mm dia. working pile; maximum test load of 600kN using non-working tension piles as reaction tripod</t>
        </is>
      </c>
      <c r="F2968" s="5" t="inlineStr">
        <is>
          <t>subsequent pile</t>
        </is>
      </c>
      <c r="G2968" s="6" t="inlineStr">
        <is>
          <t>nr</t>
        </is>
      </c>
      <c r="H2968" s="7" t="n"/>
      <c r="I2968" s="8" t="n">
        <v>0</v>
      </c>
      <c r="J2968" s="8" t="n">
        <v>0</v>
      </c>
      <c r="K2968" s="8" t="n">
        <v>0</v>
      </c>
      <c r="L2968" s="8" t="n">
        <v>6487.86</v>
      </c>
      <c r="M2968" s="9">
        <f>ROUND(SUM(I2968:L2968),2)</f>
        <v/>
      </c>
      <c r="N2968" s="10">
        <f>ROUND(I2968*'Irish Basis'!$C$6*'Irish Basis'!$C$5,2)</f>
        <v/>
      </c>
      <c r="O2968" s="10">
        <f>ROUND(J2968*'Irish Basis'!$C$7*'Irish Basis'!$C$5,2)</f>
        <v/>
      </c>
      <c r="P2968" s="10">
        <f>ROUND(K2968*'Irish Basis'!$C$8*'Irish Basis'!$C$5,2)</f>
        <v/>
      </c>
      <c r="Q2968" s="10">
        <f>ROUND(L2968*'Irish Basis'!$C$12*'Irish Basis'!$C$5,2)</f>
        <v/>
      </c>
      <c r="R2968" s="11">
        <f>ROUND(SUM(N2968:Q2968),2)</f>
        <v/>
      </c>
      <c r="S2968" s="5" t="inlineStr">
        <is>
          <t>All-in specialist rate</t>
        </is>
      </c>
      <c r="T2968" s="14" t="inlineStr">
        <is>
          <t>All-in (not split)</t>
        </is>
      </c>
      <c r="U2968" s="8" t="n">
        <v>6487.86</v>
      </c>
      <c r="V2968" s="13">
        <f>IF(U2968="","",ROUND(M2968-U2968,2))</f>
        <v/>
      </c>
      <c r="W2968" s="5" t="n"/>
      <c r="X2968" s="5" t="inlineStr">
        <is>
          <t>Source publishes a specialist/sub-contract all-in rate; no labour/plant/material build-up exists to derive from.</t>
        </is>
      </c>
    </row>
    <row r="2969" ht="13" customHeight="1">
      <c r="A2969" s="4" t="n">
        <v>4404</v>
      </c>
      <c r="B2969" s="5" t="inlineStr">
        <is>
          <t>IMG_0125</t>
        </is>
      </c>
      <c r="C2969" s="5" t="inlineStr">
        <is>
          <t>CLASS Q: PILING ANCILLARIES</t>
        </is>
      </c>
      <c r="D2969" s="5" t="inlineStr">
        <is>
          <t>08 PILE TESTS</t>
        </is>
      </c>
      <c r="E2969" s="5" t="inlineStr">
        <is>
          <t>Cast in place; Pile tests; 500 mm dia. working pile; maximum test load of 600kN using non-working tension piles as reaction tripod</t>
        </is>
      </c>
      <c r="F2969" s="5" t="inlineStr">
        <is>
          <t>Take and test undisturbed soil samples; tripod</t>
        </is>
      </c>
      <c r="G2969" s="6" t="inlineStr">
        <is>
          <t>nr</t>
        </is>
      </c>
      <c r="H2969" s="7" t="n"/>
      <c r="I2969" s="8" t="n">
        <v>0</v>
      </c>
      <c r="J2969" s="8" t="n">
        <v>0</v>
      </c>
      <c r="K2969" s="8" t="n">
        <v>0</v>
      </c>
      <c r="L2969" s="8" t="n">
        <v>293.93</v>
      </c>
      <c r="M2969" s="9">
        <f>ROUND(SUM(I2969:L2969),2)</f>
        <v/>
      </c>
      <c r="N2969" s="10">
        <f>ROUND(I2969*'Irish Basis'!$C$6*'Irish Basis'!$C$5,2)</f>
        <v/>
      </c>
      <c r="O2969" s="10">
        <f>ROUND(J2969*'Irish Basis'!$C$7*'Irish Basis'!$C$5,2)</f>
        <v/>
      </c>
      <c r="P2969" s="10">
        <f>ROUND(K2969*'Irish Basis'!$C$8*'Irish Basis'!$C$5,2)</f>
        <v/>
      </c>
      <c r="Q2969" s="10">
        <f>ROUND(L2969*'Irish Basis'!$C$12*'Irish Basis'!$C$5,2)</f>
        <v/>
      </c>
      <c r="R2969" s="11">
        <f>ROUND(SUM(N2969:Q2969),2)</f>
        <v/>
      </c>
      <c r="S2969" s="5" t="inlineStr">
        <is>
          <t>All-in specialist rate</t>
        </is>
      </c>
      <c r="T2969" s="14" t="inlineStr">
        <is>
          <t>All-in (not split)</t>
        </is>
      </c>
      <c r="U2969" s="8" t="n">
        <v>293.93</v>
      </c>
      <c r="V2969" s="13">
        <f>IF(U2969="","",ROUND(M2969-U2969,2))</f>
        <v/>
      </c>
      <c r="W2969" s="5" t="n"/>
      <c r="X2969" s="5" t="inlineStr">
        <is>
          <t>Source publishes a specialist/sub-contract all-in rate; no labour/plant/material build-up exists to derive from.</t>
        </is>
      </c>
    </row>
    <row r="2970" ht="13" customHeight="1">
      <c r="A2970" s="4" t="n">
        <v>4405</v>
      </c>
      <c r="B2970" s="5" t="inlineStr">
        <is>
          <t>IMG_0125</t>
        </is>
      </c>
      <c r="C2970" s="5" t="inlineStr">
        <is>
          <t>CLASS Q: PILING ANCILLARIES</t>
        </is>
      </c>
      <c r="D2970" s="5" t="inlineStr">
        <is>
          <t>08 PILE TESTS</t>
        </is>
      </c>
      <c r="E2970" s="5" t="inlineStr">
        <is>
          <t>Cast in place; Pile tests; 500 mm dia. working pile; maximum test load of 600kN using non-working tension piles as reaction tripod</t>
        </is>
      </c>
      <c r="F2970" s="5" t="inlineStr">
        <is>
          <t>Make, cure and test concrete cubes; tripod</t>
        </is>
      </c>
      <c r="G2970" s="6" t="inlineStr">
        <is>
          <t>nr</t>
        </is>
      </c>
      <c r="H2970" s="7" t="n"/>
      <c r="I2970" s="8" t="n">
        <v>0</v>
      </c>
      <c r="J2970" s="8" t="n">
        <v>0</v>
      </c>
      <c r="K2970" s="8" t="n">
        <v>0</v>
      </c>
      <c r="L2970" s="8" t="n">
        <v>21.63</v>
      </c>
      <c r="M2970" s="9">
        <f>ROUND(SUM(I2970:L2970),2)</f>
        <v/>
      </c>
      <c r="N2970" s="10">
        <f>ROUND(I2970*'Irish Basis'!$C$6*'Irish Basis'!$C$5,2)</f>
        <v/>
      </c>
      <c r="O2970" s="10">
        <f>ROUND(J2970*'Irish Basis'!$C$7*'Irish Basis'!$C$5,2)</f>
        <v/>
      </c>
      <c r="P2970" s="10">
        <f>ROUND(K2970*'Irish Basis'!$C$8*'Irish Basis'!$C$5,2)</f>
        <v/>
      </c>
      <c r="Q2970" s="10">
        <f>ROUND(L2970*'Irish Basis'!$C$12*'Irish Basis'!$C$5,2)</f>
        <v/>
      </c>
      <c r="R2970" s="11">
        <f>ROUND(SUM(N2970:Q2970),2)</f>
        <v/>
      </c>
      <c r="S2970" s="5" t="inlineStr">
        <is>
          <t>All-in specialist rate</t>
        </is>
      </c>
      <c r="T2970" s="14" t="inlineStr">
        <is>
          <t>All-in (not split)</t>
        </is>
      </c>
      <c r="U2970" s="8" t="n">
        <v>21.63</v>
      </c>
      <c r="V2970" s="13">
        <f>IF(U2970="","",ROUND(M2970-U2970,2))</f>
        <v/>
      </c>
      <c r="W2970" s="15" t="inlineStr">
        <is>
          <t>Outlier vs comparable items</t>
        </is>
      </c>
      <c r="X2970" s="5" t="inlineStr">
        <is>
          <t>Source publishes a specialist/sub-contract all-in rate; no labour/plant/material build-up exists to derive from. Derived cost is far from the median of comparable items in this group (£3,390.89) — check the source figure.</t>
        </is>
      </c>
    </row>
    <row r="2971" ht="13" customHeight="1">
      <c r="A2971" s="4" t="n">
        <v>4407</v>
      </c>
      <c r="B2971" s="5" t="inlineStr">
        <is>
          <t>IMG_0125</t>
        </is>
      </c>
      <c r="C2971" s="5" t="inlineStr">
        <is>
          <t>CLASS Q: PILING ANCILLARIES</t>
        </is>
      </c>
      <c r="D2971" s="5" t="inlineStr">
        <is>
          <t>08 PILE TESTS</t>
        </is>
      </c>
      <c r="E2971" s="5" t="inlineStr">
        <is>
          <t>Pile tests; working pile; maximum test load of 1.5 times working load; first pile</t>
        </is>
      </c>
      <c r="F2971" s="5" t="inlineStr">
        <is>
          <t>450 mm / 650kN</t>
        </is>
      </c>
      <c r="G2971" s="6" t="inlineStr">
        <is>
          <t>nr</t>
        </is>
      </c>
      <c r="H2971" s="7" t="n"/>
      <c r="I2971" s="8" t="n">
        <v>0</v>
      </c>
      <c r="J2971" s="8" t="n">
        <v>0</v>
      </c>
      <c r="K2971" s="8" t="n">
        <v>0</v>
      </c>
      <c r="L2971" s="8" t="n">
        <v>4157.75</v>
      </c>
      <c r="M2971" s="9">
        <f>ROUND(SUM(I2971:L2971),2)</f>
        <v/>
      </c>
      <c r="N2971" s="10">
        <f>ROUND(I2971*'Irish Basis'!$C$6*'Irish Basis'!$C$5,2)</f>
        <v/>
      </c>
      <c r="O2971" s="10">
        <f>ROUND(J2971*'Irish Basis'!$C$7*'Irish Basis'!$C$5,2)</f>
        <v/>
      </c>
      <c r="P2971" s="10">
        <f>ROUND(K2971*'Irish Basis'!$C$8*'Irish Basis'!$C$5,2)</f>
        <v/>
      </c>
      <c r="Q2971" s="10">
        <f>ROUND(L2971*'Irish Basis'!$C$12*'Irish Basis'!$C$5,2)</f>
        <v/>
      </c>
      <c r="R2971" s="11">
        <f>ROUND(SUM(N2971:Q2971),2)</f>
        <v/>
      </c>
      <c r="S2971" s="5" t="inlineStr">
        <is>
          <t>All-in specialist rate</t>
        </is>
      </c>
      <c r="T2971" s="14" t="inlineStr">
        <is>
          <t>All-in (not split)</t>
        </is>
      </c>
      <c r="U2971" s="8" t="n">
        <v>4157.75</v>
      </c>
      <c r="V2971" s="13">
        <f>IF(U2971="","",ROUND(M2971-U2971,2))</f>
        <v/>
      </c>
      <c r="W2971" s="5" t="n"/>
      <c r="X2971" s="5" t="inlineStr">
        <is>
          <t>Source publishes a specialist/sub-contract all-in rate; no labour/plant/material build-up exists to derive from.</t>
        </is>
      </c>
    </row>
    <row r="2972" ht="13" customHeight="1">
      <c r="A2972" s="4" t="n">
        <v>4408</v>
      </c>
      <c r="B2972" s="5" t="inlineStr">
        <is>
          <t>IMG_0125</t>
        </is>
      </c>
      <c r="C2972" s="5" t="inlineStr">
        <is>
          <t>CLASS Q: PILING ANCILLARIES</t>
        </is>
      </c>
      <c r="D2972" s="5" t="inlineStr">
        <is>
          <t>08 PILE TESTS</t>
        </is>
      </c>
      <c r="E2972" s="5" t="inlineStr">
        <is>
          <t>Pile tests; working pile; maximum test load of 1.5 times working load; first pile</t>
        </is>
      </c>
      <c r="F2972" s="5" t="inlineStr">
        <is>
          <t>600 mm / 1400kN</t>
        </is>
      </c>
      <c r="G2972" s="6" t="inlineStr">
        <is>
          <t>nr</t>
        </is>
      </c>
      <c r="H2972" s="7" t="n"/>
      <c r="I2972" s="8" t="n">
        <v>0</v>
      </c>
      <c r="J2972" s="8" t="n">
        <v>0</v>
      </c>
      <c r="K2972" s="8" t="n">
        <v>0</v>
      </c>
      <c r="L2972" s="8" t="n">
        <v>8719.190000000001</v>
      </c>
      <c r="M2972" s="9">
        <f>ROUND(SUM(I2972:L2972),2)</f>
        <v/>
      </c>
      <c r="N2972" s="10">
        <f>ROUND(I2972*'Irish Basis'!$C$6*'Irish Basis'!$C$5,2)</f>
        <v/>
      </c>
      <c r="O2972" s="10">
        <f>ROUND(J2972*'Irish Basis'!$C$7*'Irish Basis'!$C$5,2)</f>
        <v/>
      </c>
      <c r="P2972" s="10">
        <f>ROUND(K2972*'Irish Basis'!$C$8*'Irish Basis'!$C$5,2)</f>
        <v/>
      </c>
      <c r="Q2972" s="10">
        <f>ROUND(L2972*'Irish Basis'!$C$12*'Irish Basis'!$C$5,2)</f>
        <v/>
      </c>
      <c r="R2972" s="11">
        <f>ROUND(SUM(N2972:Q2972),2)</f>
        <v/>
      </c>
      <c r="S2972" s="5" t="inlineStr">
        <is>
          <t>All-in specialist rate</t>
        </is>
      </c>
      <c r="T2972" s="14" t="inlineStr">
        <is>
          <t>All-in (not split)</t>
        </is>
      </c>
      <c r="U2972" s="8" t="n">
        <v>8719.190000000001</v>
      </c>
      <c r="V2972" s="13">
        <f>IF(U2972="","",ROUND(M2972-U2972,2))</f>
        <v/>
      </c>
      <c r="W2972" s="5" t="n"/>
      <c r="X2972" s="5" t="inlineStr">
        <is>
          <t>Source publishes a specialist/sub-contract all-in rate; no labour/plant/material build-up exists to derive from.</t>
        </is>
      </c>
    </row>
    <row r="2973" ht="13" customHeight="1">
      <c r="A2973" s="4" t="n">
        <v>4409</v>
      </c>
      <c r="B2973" s="5" t="inlineStr">
        <is>
          <t>IMG_0125</t>
        </is>
      </c>
      <c r="C2973" s="5" t="inlineStr">
        <is>
          <t>CLASS Q: PILING ANCILLARIES</t>
        </is>
      </c>
      <c r="D2973" s="5" t="inlineStr">
        <is>
          <t>08 PILE TESTS</t>
        </is>
      </c>
      <c r="E2973" s="5" t="inlineStr">
        <is>
          <t>Pile tests; working pile; maximum test load of 1.5 times working load; first pile</t>
        </is>
      </c>
      <c r="F2973" s="5" t="inlineStr">
        <is>
          <t>750 mm / 2200kN</t>
        </is>
      </c>
      <c r="G2973" s="6" t="inlineStr">
        <is>
          <t>nr</t>
        </is>
      </c>
      <c r="H2973" s="7" t="n"/>
      <c r="I2973" s="8" t="n">
        <v>0</v>
      </c>
      <c r="J2973" s="8" t="n">
        <v>0</v>
      </c>
      <c r="K2973" s="8" t="n">
        <v>0</v>
      </c>
      <c r="L2973" s="8" t="n">
        <v>15722.36</v>
      </c>
      <c r="M2973" s="9">
        <f>ROUND(SUM(I2973:L2973),2)</f>
        <v/>
      </c>
      <c r="N2973" s="10">
        <f>ROUND(I2973*'Irish Basis'!$C$6*'Irish Basis'!$C$5,2)</f>
        <v/>
      </c>
      <c r="O2973" s="10">
        <f>ROUND(J2973*'Irish Basis'!$C$7*'Irish Basis'!$C$5,2)</f>
        <v/>
      </c>
      <c r="P2973" s="10">
        <f>ROUND(K2973*'Irish Basis'!$C$8*'Irish Basis'!$C$5,2)</f>
        <v/>
      </c>
      <c r="Q2973" s="10">
        <f>ROUND(L2973*'Irish Basis'!$C$12*'Irish Basis'!$C$5,2)</f>
        <v/>
      </c>
      <c r="R2973" s="11">
        <f>ROUND(SUM(N2973:Q2973),2)</f>
        <v/>
      </c>
      <c r="S2973" s="5" t="inlineStr">
        <is>
          <t>All-in specialist rate</t>
        </is>
      </c>
      <c r="T2973" s="14" t="inlineStr">
        <is>
          <t>All-in (not split)</t>
        </is>
      </c>
      <c r="U2973" s="8" t="n">
        <v>15722.36</v>
      </c>
      <c r="V2973" s="13">
        <f>IF(U2973="","",ROUND(M2973-U2973,2))</f>
        <v/>
      </c>
      <c r="W2973" s="5" t="n"/>
      <c r="X2973" s="5" t="inlineStr">
        <is>
          <t>Source publishes a specialist/sub-contract all-in rate; no labour/plant/material build-up exists to derive from.</t>
        </is>
      </c>
    </row>
    <row r="2974" ht="13" customHeight="1">
      <c r="A2974" s="4" t="n">
        <v>4411</v>
      </c>
      <c r="B2974" s="5" t="inlineStr">
        <is>
          <t>IMG_0125</t>
        </is>
      </c>
      <c r="C2974" s="5" t="inlineStr">
        <is>
          <t>CLASS Q: PILING ANCILLARIES</t>
        </is>
      </c>
      <c r="D2974" s="5" t="inlineStr">
        <is>
          <t>08 PILE TESTS</t>
        </is>
      </c>
      <c r="E2974" s="5" t="inlineStr">
        <is>
          <t>Pile tests; working pile; maximum test load of 1.5 times working load; second and subsequent piles</t>
        </is>
      </c>
      <c r="F2974" s="5" t="inlineStr">
        <is>
          <t>450 mm / 650kN</t>
        </is>
      </c>
      <c r="G2974" s="6" t="inlineStr">
        <is>
          <t>nr</t>
        </is>
      </c>
      <c r="H2974" s="7" t="n"/>
      <c r="I2974" s="8" t="n">
        <v>0</v>
      </c>
      <c r="J2974" s="8" t="n">
        <v>0</v>
      </c>
      <c r="K2974" s="8" t="n">
        <v>0</v>
      </c>
      <c r="L2974" s="8" t="n">
        <v>3875.18</v>
      </c>
      <c r="M2974" s="9">
        <f>ROUND(SUM(I2974:L2974),2)</f>
        <v/>
      </c>
      <c r="N2974" s="10">
        <f>ROUND(I2974*'Irish Basis'!$C$6*'Irish Basis'!$C$5,2)</f>
        <v/>
      </c>
      <c r="O2974" s="10">
        <f>ROUND(J2974*'Irish Basis'!$C$7*'Irish Basis'!$C$5,2)</f>
        <v/>
      </c>
      <c r="P2974" s="10">
        <f>ROUND(K2974*'Irish Basis'!$C$8*'Irish Basis'!$C$5,2)</f>
        <v/>
      </c>
      <c r="Q2974" s="10">
        <f>ROUND(L2974*'Irish Basis'!$C$12*'Irish Basis'!$C$5,2)</f>
        <v/>
      </c>
      <c r="R2974" s="11">
        <f>ROUND(SUM(N2974:Q2974),2)</f>
        <v/>
      </c>
      <c r="S2974" s="5" t="inlineStr">
        <is>
          <t>All-in specialist rate</t>
        </is>
      </c>
      <c r="T2974" s="14" t="inlineStr">
        <is>
          <t>All-in (not split)</t>
        </is>
      </c>
      <c r="U2974" s="8" t="n">
        <v>3875.18</v>
      </c>
      <c r="V2974" s="13">
        <f>IF(U2974="","",ROUND(M2974-U2974,2))</f>
        <v/>
      </c>
      <c r="W2974" s="5" t="n"/>
      <c r="X2974" s="5" t="inlineStr">
        <is>
          <t>Source publishes a specialist/sub-contract all-in rate; no labour/plant/material build-up exists to derive from.</t>
        </is>
      </c>
    </row>
    <row r="2975" ht="13" customHeight="1">
      <c r="A2975" s="4" t="n">
        <v>4412</v>
      </c>
      <c r="B2975" s="5" t="inlineStr">
        <is>
          <t>IMG_0125</t>
        </is>
      </c>
      <c r="C2975" s="5" t="inlineStr">
        <is>
          <t>CLASS Q: PILING ANCILLARIES</t>
        </is>
      </c>
      <c r="D2975" s="5" t="inlineStr">
        <is>
          <t>08 PILE TESTS</t>
        </is>
      </c>
      <c r="E2975" s="5" t="inlineStr">
        <is>
          <t>Pile tests; working pile; maximum test load of 1.5 times working load; second and subsequent piles</t>
        </is>
      </c>
      <c r="F2975" s="5" t="inlineStr">
        <is>
          <t>600 mm / 1400kN</t>
        </is>
      </c>
      <c r="G2975" s="6" t="inlineStr">
        <is>
          <t>nr</t>
        </is>
      </c>
      <c r="H2975" s="7" t="n"/>
      <c r="I2975" s="8" t="n">
        <v>0</v>
      </c>
      <c r="J2975" s="8" t="n">
        <v>0</v>
      </c>
      <c r="K2975" s="8" t="n">
        <v>0</v>
      </c>
      <c r="L2975" s="8" t="n">
        <v>8396.24</v>
      </c>
      <c r="M2975" s="9">
        <f>ROUND(SUM(I2975:L2975),2)</f>
        <v/>
      </c>
      <c r="N2975" s="10">
        <f>ROUND(I2975*'Irish Basis'!$C$6*'Irish Basis'!$C$5,2)</f>
        <v/>
      </c>
      <c r="O2975" s="10">
        <f>ROUND(J2975*'Irish Basis'!$C$7*'Irish Basis'!$C$5,2)</f>
        <v/>
      </c>
      <c r="P2975" s="10">
        <f>ROUND(K2975*'Irish Basis'!$C$8*'Irish Basis'!$C$5,2)</f>
        <v/>
      </c>
      <c r="Q2975" s="10">
        <f>ROUND(L2975*'Irish Basis'!$C$12*'Irish Basis'!$C$5,2)</f>
        <v/>
      </c>
      <c r="R2975" s="11">
        <f>ROUND(SUM(N2975:Q2975),2)</f>
        <v/>
      </c>
      <c r="S2975" s="5" t="inlineStr">
        <is>
          <t>All-in specialist rate</t>
        </is>
      </c>
      <c r="T2975" s="14" t="inlineStr">
        <is>
          <t>All-in (not split)</t>
        </is>
      </c>
      <c r="U2975" s="8" t="n">
        <v>8396.24</v>
      </c>
      <c r="V2975" s="13">
        <f>IF(U2975="","",ROUND(M2975-U2975,2))</f>
        <v/>
      </c>
      <c r="W2975" s="5" t="n"/>
      <c r="X2975" s="5" t="inlineStr">
        <is>
          <t>Source publishes a specialist/sub-contract all-in rate; no labour/plant/material build-up exists to derive from.</t>
        </is>
      </c>
    </row>
    <row r="2976" ht="13" customHeight="1">
      <c r="A2976" s="4" t="n">
        <v>4413</v>
      </c>
      <c r="B2976" s="5" t="inlineStr">
        <is>
          <t>IMG_0125</t>
        </is>
      </c>
      <c r="C2976" s="5" t="inlineStr">
        <is>
          <t>CLASS Q: PILING ANCILLARIES</t>
        </is>
      </c>
      <c r="D2976" s="5" t="inlineStr">
        <is>
          <t>08 PILE TESTS</t>
        </is>
      </c>
      <c r="E2976" s="5" t="inlineStr">
        <is>
          <t>Pile tests; working pile; maximum test load of 1.5 times working load; second and subsequent piles</t>
        </is>
      </c>
      <c r="F2976" s="5" t="inlineStr">
        <is>
          <t>750 mm / 2200kN</t>
        </is>
      </c>
      <c r="G2976" s="6" t="inlineStr">
        <is>
          <t>nr</t>
        </is>
      </c>
      <c r="H2976" s="7" t="n"/>
      <c r="I2976" s="8" t="n">
        <v>0</v>
      </c>
      <c r="J2976" s="8" t="n">
        <v>0</v>
      </c>
      <c r="K2976" s="8" t="n">
        <v>0</v>
      </c>
      <c r="L2976" s="8" t="n">
        <v>15129.2</v>
      </c>
      <c r="M2976" s="9">
        <f>ROUND(SUM(I2976:L2976),2)</f>
        <v/>
      </c>
      <c r="N2976" s="10">
        <f>ROUND(I2976*'Irish Basis'!$C$6*'Irish Basis'!$C$5,2)</f>
        <v/>
      </c>
      <c r="O2976" s="10">
        <f>ROUND(J2976*'Irish Basis'!$C$7*'Irish Basis'!$C$5,2)</f>
        <v/>
      </c>
      <c r="P2976" s="10">
        <f>ROUND(K2976*'Irish Basis'!$C$8*'Irish Basis'!$C$5,2)</f>
        <v/>
      </c>
      <c r="Q2976" s="10">
        <f>ROUND(L2976*'Irish Basis'!$C$12*'Irish Basis'!$C$5,2)</f>
        <v/>
      </c>
      <c r="R2976" s="11">
        <f>ROUND(SUM(N2976:Q2976),2)</f>
        <v/>
      </c>
      <c r="S2976" s="5" t="inlineStr">
        <is>
          <t>All-in specialist rate</t>
        </is>
      </c>
      <c r="T2976" s="14" t="inlineStr">
        <is>
          <t>All-in (not split)</t>
        </is>
      </c>
      <c r="U2976" s="8" t="n">
        <v>15129.2</v>
      </c>
      <c r="V2976" s="13">
        <f>IF(U2976="","",ROUND(M2976-U2976,2))</f>
        <v/>
      </c>
      <c r="W2976" s="5" t="n"/>
      <c r="X2976" s="5" t="inlineStr">
        <is>
          <t>Source publishes a specialist/sub-contract all-in rate; no labour/plant/material build-up exists to derive from.</t>
        </is>
      </c>
    </row>
    <row r="2977" ht="13" customHeight="1">
      <c r="A2977" s="4" t="n">
        <v>4414</v>
      </c>
      <c r="B2977" s="5" t="inlineStr">
        <is>
          <t>IMG_0125</t>
        </is>
      </c>
      <c r="C2977" s="5" t="inlineStr">
        <is>
          <t>CLASS Q: PILING ANCILLARIES</t>
        </is>
      </c>
      <c r="D2977" s="5" t="inlineStr">
        <is>
          <t>08 PILE TESTS</t>
        </is>
      </c>
      <c r="E2977" s="5" t="inlineStr">
        <is>
          <t>Pile tests; working pile; maximum test load of 1.5 times working load; second and subsequent piles</t>
        </is>
      </c>
      <c r="F2977" s="5" t="inlineStr">
        <is>
          <t>Pile tests; working pile; electronic integrity testing; each pile (minimum 40 piles per visit)</t>
        </is>
      </c>
      <c r="G2977" s="6" t="inlineStr">
        <is>
          <t>nr</t>
        </is>
      </c>
      <c r="H2977" s="7" t="n"/>
      <c r="I2977" s="8" t="n">
        <v>0</v>
      </c>
      <c r="J2977" s="8" t="n">
        <v>0</v>
      </c>
      <c r="K2977" s="8" t="n">
        <v>0</v>
      </c>
      <c r="L2977" s="8" t="n">
        <v>1914.12</v>
      </c>
      <c r="M2977" s="9">
        <f>ROUND(SUM(I2977:L2977),2)</f>
        <v/>
      </c>
      <c r="N2977" s="10">
        <f>ROUND(I2977*'Irish Basis'!$C$6*'Irish Basis'!$C$5,2)</f>
        <v/>
      </c>
      <c r="O2977" s="10">
        <f>ROUND(J2977*'Irish Basis'!$C$7*'Irish Basis'!$C$5,2)</f>
        <v/>
      </c>
      <c r="P2977" s="10">
        <f>ROUND(K2977*'Irish Basis'!$C$8*'Irish Basis'!$C$5,2)</f>
        <v/>
      </c>
      <c r="Q2977" s="10">
        <f>ROUND(L2977*'Irish Basis'!$C$12*'Irish Basis'!$C$5,2)</f>
        <v/>
      </c>
      <c r="R2977" s="11">
        <f>ROUND(SUM(N2977:Q2977),2)</f>
        <v/>
      </c>
      <c r="S2977" s="5" t="inlineStr">
        <is>
          <t>All-in specialist rate</t>
        </is>
      </c>
      <c r="T2977" s="14" t="inlineStr">
        <is>
          <t>All-in (not split)</t>
        </is>
      </c>
      <c r="U2977" s="8" t="n">
        <v>1914.12</v>
      </c>
      <c r="V2977" s="13">
        <f>IF(U2977="","",ROUND(M2977-U2977,2))</f>
        <v/>
      </c>
      <c r="W2977" s="5" t="n"/>
      <c r="X2977" s="5" t="inlineStr">
        <is>
          <t>Source publishes a specialist/sub-contract all-in rate; no labour/plant/material build-up exists to derive from.</t>
        </is>
      </c>
    </row>
    <row r="2978" ht="13" customHeight="1">
      <c r="A2978" s="4" t="n">
        <v>4415</v>
      </c>
      <c r="B2978" s="5" t="inlineStr">
        <is>
          <t>IMG_0125</t>
        </is>
      </c>
      <c r="C2978" s="5" t="inlineStr">
        <is>
          <t>CLASS Q: PILING ANCILLARIES</t>
        </is>
      </c>
      <c r="D2978" s="5" t="inlineStr">
        <is>
          <t>08 PILE TESTS</t>
        </is>
      </c>
      <c r="E2978" s="5" t="inlineStr">
        <is>
          <t>Pile tests; working pile; maximum test load of 1.5 times working load; second and subsequent piles</t>
        </is>
      </c>
      <c r="F2978" s="5" t="inlineStr">
        <is>
          <t>Make, cure and test concrete cubes</t>
        </is>
      </c>
      <c r="G2978" s="6" t="inlineStr">
        <is>
          <t>nr</t>
        </is>
      </c>
      <c r="H2978" s="7" t="n"/>
      <c r="I2978" s="8" t="n">
        <v>0</v>
      </c>
      <c r="J2978" s="8" t="n">
        <v>0</v>
      </c>
      <c r="K2978" s="8" t="n">
        <v>0</v>
      </c>
      <c r="L2978" s="8" t="n">
        <v>36.58</v>
      </c>
      <c r="M2978" s="9">
        <f>ROUND(SUM(I2978:L2978),2)</f>
        <v/>
      </c>
      <c r="N2978" s="10">
        <f>ROUND(I2978*'Irish Basis'!$C$6*'Irish Basis'!$C$5,2)</f>
        <v/>
      </c>
      <c r="O2978" s="10">
        <f>ROUND(J2978*'Irish Basis'!$C$7*'Irish Basis'!$C$5,2)</f>
        <v/>
      </c>
      <c r="P2978" s="10">
        <f>ROUND(K2978*'Irish Basis'!$C$8*'Irish Basis'!$C$5,2)</f>
        <v/>
      </c>
      <c r="Q2978" s="10">
        <f>ROUND(L2978*'Irish Basis'!$C$12*'Irish Basis'!$C$5,2)</f>
        <v/>
      </c>
      <c r="R2978" s="11">
        <f>ROUND(SUM(N2978:Q2978),2)</f>
        <v/>
      </c>
      <c r="S2978" s="5" t="inlineStr">
        <is>
          <t>All-in specialist rate</t>
        </is>
      </c>
      <c r="T2978" s="14" t="inlineStr">
        <is>
          <t>All-in (not split)</t>
        </is>
      </c>
      <c r="U2978" s="8" t="n">
        <v>36.58</v>
      </c>
      <c r="V2978" s="13">
        <f>IF(U2978="","",ROUND(M2978-U2978,2))</f>
        <v/>
      </c>
      <c r="W2978" s="15" t="inlineStr">
        <is>
          <t>Outlier vs comparable items</t>
        </is>
      </c>
      <c r="X2978" s="5" t="inlineStr">
        <is>
          <t>Source publishes a specialist/sub-contract all-in rate; no labour/plant/material build-up exists to derive from. Derived cost is far from the median of comparable items in this group (£3,875.18) — check the source figure.</t>
        </is>
      </c>
    </row>
    <row r="2979" ht="13" customHeight="1">
      <c r="A2979" s="4" t="n">
        <v>4417</v>
      </c>
      <c r="B2979" s="5" t="inlineStr">
        <is>
          <t>IMG_0125</t>
        </is>
      </c>
      <c r="C2979" s="5" t="inlineStr">
        <is>
          <t>CLASS Q: PILING ANCILLARIES</t>
        </is>
      </c>
      <c r="D2979" s="5" t="inlineStr">
        <is>
          <t>08 PILE TESTS</t>
        </is>
      </c>
      <c r="E2979" s="5" t="inlineStr">
        <is>
          <t>Preformed</t>
        </is>
      </c>
      <c r="F2979" s="5" t="inlineStr">
        <is>
          <t>Pile tests; working pile; maximum test load of 1.5 times working load</t>
        </is>
      </c>
      <c r="G2979" s="6" t="inlineStr">
        <is>
          <t>nr</t>
        </is>
      </c>
      <c r="H2979" s="7" t="n"/>
      <c r="I2979" s="8" t="n">
        <v>0</v>
      </c>
      <c r="J2979" s="8" t="n">
        <v>0</v>
      </c>
      <c r="K2979" s="8" t="n">
        <v>0</v>
      </c>
      <c r="L2979" s="8" t="n">
        <v>6943.35</v>
      </c>
      <c r="M2979" s="9">
        <f>ROUND(SUM(I2979:L2979),2)</f>
        <v/>
      </c>
      <c r="N2979" s="10">
        <f>ROUND(I2979*'Irish Basis'!$C$6*'Irish Basis'!$C$5,2)</f>
        <v/>
      </c>
      <c r="O2979" s="10">
        <f>ROUND(J2979*'Irish Basis'!$C$7*'Irish Basis'!$C$5,2)</f>
        <v/>
      </c>
      <c r="P2979" s="10">
        <f>ROUND(K2979*'Irish Basis'!$C$8*'Irish Basis'!$C$5,2)</f>
        <v/>
      </c>
      <c r="Q2979" s="10">
        <f>ROUND(L2979*'Irish Basis'!$C$12*'Irish Basis'!$C$5,2)</f>
        <v/>
      </c>
      <c r="R2979" s="11">
        <f>ROUND(SUM(N2979:Q2979),2)</f>
        <v/>
      </c>
      <c r="S2979" s="5" t="inlineStr">
        <is>
          <t>All-in specialist rate</t>
        </is>
      </c>
      <c r="T2979" s="14" t="inlineStr">
        <is>
          <t>All-in (not split)</t>
        </is>
      </c>
      <c r="U2979" s="8" t="n">
        <v>6943.35</v>
      </c>
      <c r="V2979" s="13">
        <f>IF(U2979="","",ROUND(M2979-U2979,2))</f>
        <v/>
      </c>
      <c r="W2979" s="5" t="n"/>
      <c r="X2979" s="5" t="inlineStr">
        <is>
          <t>Source publishes a specialist/sub-contract all-in rate; no labour/plant/material build-up exists to derive from.</t>
        </is>
      </c>
    </row>
    <row r="2980" ht="13" customHeight="1">
      <c r="A2980" s="4" t="n">
        <v>4418</v>
      </c>
      <c r="B2980" s="5" t="inlineStr">
        <is>
          <t>IMG_0125</t>
        </is>
      </c>
      <c r="C2980" s="5" t="inlineStr">
        <is>
          <t>CLASS Q: PILING ANCILLARIES</t>
        </is>
      </c>
      <c r="D2980" s="5" t="inlineStr">
        <is>
          <t>08 PILE TESTS</t>
        </is>
      </c>
      <c r="E2980" s="5" t="inlineStr">
        <is>
          <t>Preformed</t>
        </is>
      </c>
      <c r="F2980" s="5" t="inlineStr">
        <is>
          <t>Pile tests; working pile; dynamic testing with piling hammer</t>
        </is>
      </c>
      <c r="G2980" s="6" t="inlineStr">
        <is>
          <t>nr</t>
        </is>
      </c>
      <c r="H2980" s="7" t="n"/>
      <c r="I2980" s="8" t="n">
        <v>0</v>
      </c>
      <c r="J2980" s="8" t="n">
        <v>0</v>
      </c>
      <c r="K2980" s="8" t="n">
        <v>0</v>
      </c>
      <c r="L2980" s="8" t="n">
        <v>462.9</v>
      </c>
      <c r="M2980" s="9">
        <f>ROUND(SUM(I2980:L2980),2)</f>
        <v/>
      </c>
      <c r="N2980" s="10">
        <f>ROUND(I2980*'Irish Basis'!$C$6*'Irish Basis'!$C$5,2)</f>
        <v/>
      </c>
      <c r="O2980" s="10">
        <f>ROUND(J2980*'Irish Basis'!$C$7*'Irish Basis'!$C$5,2)</f>
        <v/>
      </c>
      <c r="P2980" s="10">
        <f>ROUND(K2980*'Irish Basis'!$C$8*'Irish Basis'!$C$5,2)</f>
        <v/>
      </c>
      <c r="Q2980" s="10">
        <f>ROUND(L2980*'Irish Basis'!$C$12*'Irish Basis'!$C$5,2)</f>
        <v/>
      </c>
      <c r="R2980" s="11">
        <f>ROUND(SUM(N2980:Q2980),2)</f>
        <v/>
      </c>
      <c r="S2980" s="5" t="inlineStr">
        <is>
          <t>All-in specialist rate</t>
        </is>
      </c>
      <c r="T2980" s="14" t="inlineStr">
        <is>
          <t>All-in (not split)</t>
        </is>
      </c>
      <c r="U2980" s="8" t="n">
        <v>462.9</v>
      </c>
      <c r="V2980" s="13">
        <f>IF(U2980="","",ROUND(M2980-U2980,2))</f>
        <v/>
      </c>
      <c r="W2980" s="5" t="n"/>
      <c r="X2980" s="5" t="inlineStr">
        <is>
          <t>Source publishes a specialist/sub-contract all-in rate; no labour/plant/material build-up exists to derive from.</t>
        </is>
      </c>
    </row>
    <row r="2981" ht="13" customHeight="1">
      <c r="A2981" s="4" t="n">
        <v>4422</v>
      </c>
      <c r="B2981" s="5" t="inlineStr">
        <is>
          <t>IMG_0125</t>
        </is>
      </c>
      <c r="C2981" s="5" t="inlineStr">
        <is>
          <t>CLASS Q: PILING ANCILLARIES</t>
        </is>
      </c>
      <c r="D2981" s="5" t="inlineStr">
        <is>
          <t>08 PILE TESTS</t>
        </is>
      </c>
      <c r="E2981" s="5" t="inlineStr">
        <is>
          <t>Steel bearing piles</t>
        </is>
      </c>
      <c r="F2981" s="5" t="inlineStr">
        <is>
          <t>Establishment of pile testing equipment on site preliminary to any piling operation</t>
        </is>
      </c>
      <c r="G2981" s="6" t="inlineStr">
        <is>
          <t>item</t>
        </is>
      </c>
      <c r="H2981" s="7" t="n"/>
      <c r="I2981" s="8" t="n">
        <v>0</v>
      </c>
      <c r="J2981" s="8" t="n">
        <v>0</v>
      </c>
      <c r="K2981" s="8" t="n">
        <v>0</v>
      </c>
      <c r="L2981" s="8" t="n">
        <v>2373.28</v>
      </c>
      <c r="M2981" s="9">
        <f>ROUND(SUM(I2981:L2981),2)</f>
        <v/>
      </c>
      <c r="N2981" s="10">
        <f>ROUND(I2981*'Irish Basis'!$C$6*'Irish Basis'!$C$5,2)</f>
        <v/>
      </c>
      <c r="O2981" s="10">
        <f>ROUND(J2981*'Irish Basis'!$C$7*'Irish Basis'!$C$5,2)</f>
        <v/>
      </c>
      <c r="P2981" s="10">
        <f>ROUND(K2981*'Irish Basis'!$C$8*'Irish Basis'!$C$5,2)</f>
        <v/>
      </c>
      <c r="Q2981" s="10">
        <f>ROUND(L2981*'Irish Basis'!$C$12*'Irish Basis'!$C$5,2)</f>
        <v/>
      </c>
      <c r="R2981" s="11">
        <f>ROUND(SUM(N2981:Q2981),2)</f>
        <v/>
      </c>
      <c r="S2981" s="5" t="inlineStr">
        <is>
          <t>All-in specialist rate</t>
        </is>
      </c>
      <c r="T2981" s="14" t="inlineStr">
        <is>
          <t>All-in (not split)</t>
        </is>
      </c>
      <c r="U2981" s="8" t="n">
        <v>2373.28</v>
      </c>
      <c r="V2981" s="13">
        <f>IF(U2981="","",ROUND(M2981-U2981,2))</f>
        <v/>
      </c>
      <c r="W2981" s="5" t="n"/>
      <c r="X2981" s="5" t="inlineStr">
        <is>
          <t>Source publishes a specialist/sub-contract all-in rate; no labour/plant/material build-up exists to derive from.</t>
        </is>
      </c>
    </row>
    <row r="2982" ht="13" customHeight="1">
      <c r="A2982" s="4" t="n">
        <v>4423</v>
      </c>
      <c r="B2982" s="5" t="inlineStr">
        <is>
          <t>IMG_0125</t>
        </is>
      </c>
      <c r="C2982" s="5" t="inlineStr">
        <is>
          <t>CLASS Q: PILING ANCILLARIES</t>
        </is>
      </c>
      <c r="D2982" s="5" t="inlineStr">
        <is>
          <t>08 PILE TESTS</t>
        </is>
      </c>
      <c r="E2982" s="5" t="inlineStr">
        <is>
          <t>Steel bearing piles</t>
        </is>
      </c>
      <c r="F2982" s="5" t="inlineStr">
        <is>
          <t>Carry out pile test on bearing piles irrespective of section using pile testing equipment on site up to 108 t load</t>
        </is>
      </c>
      <c r="G2982" s="6" t="inlineStr">
        <is>
          <t>nr</t>
        </is>
      </c>
      <c r="H2982" s="7" t="n"/>
      <c r="I2982" s="8" t="n">
        <v>0</v>
      </c>
      <c r="J2982" s="8" t="n">
        <v>0</v>
      </c>
      <c r="K2982" s="8" t="n">
        <v>0</v>
      </c>
      <c r="L2982" s="8" t="n">
        <v>7752.73</v>
      </c>
      <c r="M2982" s="9">
        <f>ROUND(SUM(I2982:L2982),2)</f>
        <v/>
      </c>
      <c r="N2982" s="10">
        <f>ROUND(I2982*'Irish Basis'!$C$6*'Irish Basis'!$C$5,2)</f>
        <v/>
      </c>
      <c r="O2982" s="10">
        <f>ROUND(J2982*'Irish Basis'!$C$7*'Irish Basis'!$C$5,2)</f>
        <v/>
      </c>
      <c r="P2982" s="10">
        <f>ROUND(K2982*'Irish Basis'!$C$8*'Irish Basis'!$C$5,2)</f>
        <v/>
      </c>
      <c r="Q2982" s="10">
        <f>ROUND(L2982*'Irish Basis'!$C$12*'Irish Basis'!$C$5,2)</f>
        <v/>
      </c>
      <c r="R2982" s="11">
        <f>ROUND(SUM(N2982:Q2982),2)</f>
        <v/>
      </c>
      <c r="S2982" s="5" t="inlineStr">
        <is>
          <t>All-in specialist rate</t>
        </is>
      </c>
      <c r="T2982" s="14" t="inlineStr">
        <is>
          <t>All-in (not split)</t>
        </is>
      </c>
      <c r="U2982" s="8" t="n">
        <v>7752.73</v>
      </c>
      <c r="V2982" s="13">
        <f>IF(U2982="","",ROUND(M2982-U2982,2))</f>
        <v/>
      </c>
      <c r="W2982" s="5" t="n"/>
      <c r="X2982" s="5" t="inlineStr">
        <is>
          <t>Source publishes a specialist/sub-contract all-in rate; no labour/plant/material build-up exists to derive from.</t>
        </is>
      </c>
    </row>
    <row r="2983" ht="13" customHeight="1">
      <c r="A2983" s="4" t="n">
        <v>4425</v>
      </c>
      <c r="B2983" s="5" t="inlineStr">
        <is>
          <t>IMG_0125</t>
        </is>
      </c>
      <c r="C2983" s="5" t="inlineStr">
        <is>
          <t>CLASS Q: PILING ANCILLARIES</t>
        </is>
      </c>
      <c r="D2983" s="5" t="inlineStr">
        <is>
          <t>08 PILE TESTS</t>
        </is>
      </c>
      <c r="E2983" s="5" t="inlineStr">
        <is>
          <t>Driven-temporary casing; Pile tests; 430 mm dia. working pile; maximum test load of 1125kN using non-working tension piles as reaction; first piles</t>
        </is>
      </c>
      <c r="F2983" s="5" t="inlineStr">
        <is>
          <t>bottom driven</t>
        </is>
      </c>
      <c r="G2983" s="6" t="inlineStr">
        <is>
          <t>nr</t>
        </is>
      </c>
      <c r="H2983" s="7" t="n"/>
      <c r="I2983" s="8" t="n">
        <v>0</v>
      </c>
      <c r="J2983" s="8" t="n">
        <v>0</v>
      </c>
      <c r="K2983" s="8" t="n">
        <v>0</v>
      </c>
      <c r="L2983" s="8" t="n">
        <v>5551.34</v>
      </c>
      <c r="M2983" s="9">
        <f>ROUND(SUM(I2983:L2983),2)</f>
        <v/>
      </c>
      <c r="N2983" s="10">
        <f>ROUND(I2983*'Irish Basis'!$C$6*'Irish Basis'!$C$5,2)</f>
        <v/>
      </c>
      <c r="O2983" s="10">
        <f>ROUND(J2983*'Irish Basis'!$C$7*'Irish Basis'!$C$5,2)</f>
        <v/>
      </c>
      <c r="P2983" s="10">
        <f>ROUND(K2983*'Irish Basis'!$C$8*'Irish Basis'!$C$5,2)</f>
        <v/>
      </c>
      <c r="Q2983" s="10">
        <f>ROUND(L2983*'Irish Basis'!$C$12*'Irish Basis'!$C$5,2)</f>
        <v/>
      </c>
      <c r="R2983" s="11">
        <f>ROUND(SUM(N2983:Q2983),2)</f>
        <v/>
      </c>
      <c r="S2983" s="5" t="inlineStr">
        <is>
          <t>All-in specialist rate</t>
        </is>
      </c>
      <c r="T2983" s="14" t="inlineStr">
        <is>
          <t>All-in (not split)</t>
        </is>
      </c>
      <c r="U2983" s="8" t="n">
        <v>5551.34</v>
      </c>
      <c r="V2983" s="13">
        <f>IF(U2983="","",ROUND(M2983-U2983,2))</f>
        <v/>
      </c>
      <c r="W2983" s="5" t="n"/>
      <c r="X2983" s="5" t="inlineStr">
        <is>
          <t>Source publishes a specialist/sub-contract all-in rate; no labour/plant/material build-up exists to derive from.</t>
        </is>
      </c>
    </row>
    <row r="2984" ht="13" customHeight="1">
      <c r="A2984" s="4" t="n">
        <v>4426</v>
      </c>
      <c r="B2984" s="5" t="inlineStr">
        <is>
          <t>IMG_0125</t>
        </is>
      </c>
      <c r="C2984" s="5" t="inlineStr">
        <is>
          <t>CLASS Q: PILING ANCILLARIES</t>
        </is>
      </c>
      <c r="D2984" s="5" t="inlineStr">
        <is>
          <t>08 PILE TESTS</t>
        </is>
      </c>
      <c r="E2984" s="5" t="inlineStr">
        <is>
          <t>Driven-temporary casing; Pile tests; 430 mm dia. working pile; maximum test load of 1125kN using non-working tension piles as reaction; first piles</t>
        </is>
      </c>
      <c r="F2984" s="5" t="inlineStr">
        <is>
          <t>top driven</t>
        </is>
      </c>
      <c r="G2984" s="6" t="inlineStr">
        <is>
          <t>nr</t>
        </is>
      </c>
      <c r="H2984" s="7" t="n"/>
      <c r="I2984" s="8" t="n">
        <v>0</v>
      </c>
      <c r="J2984" s="8" t="n">
        <v>0</v>
      </c>
      <c r="K2984" s="8" t="n">
        <v>0</v>
      </c>
      <c r="L2984" s="8" t="n">
        <v>4487.47</v>
      </c>
      <c r="M2984" s="9">
        <f>ROUND(SUM(I2984:L2984),2)</f>
        <v/>
      </c>
      <c r="N2984" s="10">
        <f>ROUND(I2984*'Irish Basis'!$C$6*'Irish Basis'!$C$5,2)</f>
        <v/>
      </c>
      <c r="O2984" s="10">
        <f>ROUND(J2984*'Irish Basis'!$C$7*'Irish Basis'!$C$5,2)</f>
        <v/>
      </c>
      <c r="P2984" s="10">
        <f>ROUND(K2984*'Irish Basis'!$C$8*'Irish Basis'!$C$5,2)</f>
        <v/>
      </c>
      <c r="Q2984" s="10">
        <f>ROUND(L2984*'Irish Basis'!$C$12*'Irish Basis'!$C$5,2)</f>
        <v/>
      </c>
      <c r="R2984" s="11">
        <f>ROUND(SUM(N2984:Q2984),2)</f>
        <v/>
      </c>
      <c r="S2984" s="5" t="inlineStr">
        <is>
          <t>All-in specialist rate</t>
        </is>
      </c>
      <c r="T2984" s="14" t="inlineStr">
        <is>
          <t>All-in (not split)</t>
        </is>
      </c>
      <c r="U2984" s="8" t="n">
        <v>4487.47</v>
      </c>
      <c r="V2984" s="13">
        <f>IF(U2984="","",ROUND(M2984-U2984,2))</f>
        <v/>
      </c>
      <c r="W2984" s="5" t="n"/>
      <c r="X2984" s="5" t="inlineStr">
        <is>
          <t>Source publishes a specialist/sub-contract all-in rate; no labour/plant/material build-up exists to derive from.</t>
        </is>
      </c>
    </row>
    <row r="2985" ht="13" customHeight="1">
      <c r="A2985" s="4" t="n">
        <v>4428</v>
      </c>
      <c r="B2985" s="5" t="inlineStr">
        <is>
          <t>IMG_0125</t>
        </is>
      </c>
      <c r="C2985" s="5" t="inlineStr">
        <is>
          <t>CLASS Q: PILING ANCILLARIES</t>
        </is>
      </c>
      <c r="D2985" s="5" t="inlineStr">
        <is>
          <t>08 PILE TESTS</t>
        </is>
      </c>
      <c r="E2985" s="5" t="inlineStr">
        <is>
          <t>Pile tests; 430 mm dia. working pile; maximum test load of 1125kN using non-working tension piles as reaction; subsequent piles</t>
        </is>
      </c>
      <c r="F2985" s="5" t="inlineStr">
        <is>
          <t>bottom driven</t>
        </is>
      </c>
      <c r="G2985" s="6" t="inlineStr">
        <is>
          <t>nr</t>
        </is>
      </c>
      <c r="H2985" s="7" t="n"/>
      <c r="I2985" s="8" t="n">
        <v>0</v>
      </c>
      <c r="J2985" s="8" t="n">
        <v>0</v>
      </c>
      <c r="K2985" s="8" t="n">
        <v>0</v>
      </c>
      <c r="L2985" s="8" t="n">
        <v>2319.89</v>
      </c>
      <c r="M2985" s="9">
        <f>ROUND(SUM(I2985:L2985),2)</f>
        <v/>
      </c>
      <c r="N2985" s="10">
        <f>ROUND(I2985*'Irish Basis'!$C$6*'Irish Basis'!$C$5,2)</f>
        <v/>
      </c>
      <c r="O2985" s="10">
        <f>ROUND(J2985*'Irish Basis'!$C$7*'Irish Basis'!$C$5,2)</f>
        <v/>
      </c>
      <c r="P2985" s="10">
        <f>ROUND(K2985*'Irish Basis'!$C$8*'Irish Basis'!$C$5,2)</f>
        <v/>
      </c>
      <c r="Q2985" s="10">
        <f>ROUND(L2985*'Irish Basis'!$C$12*'Irish Basis'!$C$5,2)</f>
        <v/>
      </c>
      <c r="R2985" s="11">
        <f>ROUND(SUM(N2985:Q2985),2)</f>
        <v/>
      </c>
      <c r="S2985" s="5" t="inlineStr">
        <is>
          <t>All-in specialist rate</t>
        </is>
      </c>
      <c r="T2985" s="14" t="inlineStr">
        <is>
          <t>All-in (not split)</t>
        </is>
      </c>
      <c r="U2985" s="8" t="n">
        <v>2319.89</v>
      </c>
      <c r="V2985" s="13">
        <f>IF(U2985="","",ROUND(M2985-U2985,2))</f>
        <v/>
      </c>
      <c r="W2985" s="5" t="n"/>
      <c r="X2985" s="5" t="inlineStr">
        <is>
          <t>Source publishes a specialist/sub-contract all-in rate; no labour/plant/material build-up exists to derive from.</t>
        </is>
      </c>
    </row>
    <row r="2986" ht="13" customHeight="1">
      <c r="A2986" s="4" t="n">
        <v>4429</v>
      </c>
      <c r="B2986" s="5" t="inlineStr">
        <is>
          <t>IMG_0125</t>
        </is>
      </c>
      <c r="C2986" s="5" t="inlineStr">
        <is>
          <t>CLASS Q: PILING ANCILLARIES</t>
        </is>
      </c>
      <c r="D2986" s="5" t="inlineStr">
        <is>
          <t>08 PILE TESTS</t>
        </is>
      </c>
      <c r="E2986" s="5" t="inlineStr">
        <is>
          <t>Pile tests; 430 mm dia. working pile; maximum test load of 1125kN using non-working tension piles as reaction; subsequent piles</t>
        </is>
      </c>
      <c r="F2986" s="5" t="inlineStr">
        <is>
          <t>top driven</t>
        </is>
      </c>
      <c r="G2986" s="6" t="inlineStr">
        <is>
          <t>nr</t>
        </is>
      </c>
      <c r="H2986" s="7" t="n"/>
      <c r="I2986" s="8" t="n">
        <v>0</v>
      </c>
      <c r="J2986" s="8" t="n">
        <v>0</v>
      </c>
      <c r="K2986" s="8" t="n">
        <v>0</v>
      </c>
      <c r="L2986" s="8" t="n">
        <v>2319.89</v>
      </c>
      <c r="M2986" s="9">
        <f>ROUND(SUM(I2986:L2986),2)</f>
        <v/>
      </c>
      <c r="N2986" s="10">
        <f>ROUND(I2986*'Irish Basis'!$C$6*'Irish Basis'!$C$5,2)</f>
        <v/>
      </c>
      <c r="O2986" s="10">
        <f>ROUND(J2986*'Irish Basis'!$C$7*'Irish Basis'!$C$5,2)</f>
        <v/>
      </c>
      <c r="P2986" s="10">
        <f>ROUND(K2986*'Irish Basis'!$C$8*'Irish Basis'!$C$5,2)</f>
        <v/>
      </c>
      <c r="Q2986" s="10">
        <f>ROUND(L2986*'Irish Basis'!$C$12*'Irish Basis'!$C$5,2)</f>
        <v/>
      </c>
      <c r="R2986" s="11">
        <f>ROUND(SUM(N2986:Q2986),2)</f>
        <v/>
      </c>
      <c r="S2986" s="5" t="inlineStr">
        <is>
          <t>All-in specialist rate</t>
        </is>
      </c>
      <c r="T2986" s="14" t="inlineStr">
        <is>
          <t>All-in (not split)</t>
        </is>
      </c>
      <c r="U2986" s="8" t="n">
        <v>2319.89</v>
      </c>
      <c r="V2986" s="13">
        <f>IF(U2986="","",ROUND(M2986-U2986,2))</f>
        <v/>
      </c>
      <c r="W2986" s="5" t="n"/>
      <c r="X2986" s="5" t="inlineStr">
        <is>
          <t>Source publishes a specialist/sub-contract all-in rate; no labour/plant/material build-up exists to derive from.</t>
        </is>
      </c>
    </row>
    <row r="2987" ht="13" customHeight="1">
      <c r="A2987" s="4" t="n">
        <v>4430</v>
      </c>
      <c r="B2987" s="5" t="inlineStr">
        <is>
          <t>IMG_0125</t>
        </is>
      </c>
      <c r="C2987" s="5" t="inlineStr">
        <is>
          <t>CLASS Q: PILING ANCILLARIES</t>
        </is>
      </c>
      <c r="D2987" s="5" t="inlineStr">
        <is>
          <t>08 PILE TESTS</t>
        </is>
      </c>
      <c r="E2987" s="5" t="inlineStr">
        <is>
          <t>Pile tests; 430 mm dia. working pile; maximum test load of 1125kN using non-working tension piles as reaction; subsequent piles</t>
        </is>
      </c>
      <c r="F2987" s="5" t="inlineStr">
        <is>
          <t>Pile tests; working pile; electronic integrity testing; each pile (minimum 40 piles per visit)</t>
        </is>
      </c>
      <c r="G2987" s="6" t="inlineStr">
        <is>
          <t>nr</t>
        </is>
      </c>
      <c r="H2987" s="7" t="n"/>
      <c r="I2987" s="8" t="n">
        <v>0</v>
      </c>
      <c r="J2987" s="8" t="n">
        <v>0</v>
      </c>
      <c r="K2987" s="8" t="n">
        <v>0</v>
      </c>
      <c r="L2987" s="8" t="n">
        <v>21.73</v>
      </c>
      <c r="M2987" s="9">
        <f>ROUND(SUM(I2987:L2987),2)</f>
        <v/>
      </c>
      <c r="N2987" s="10">
        <f>ROUND(I2987*'Irish Basis'!$C$6*'Irish Basis'!$C$5,2)</f>
        <v/>
      </c>
      <c r="O2987" s="10">
        <f>ROUND(J2987*'Irish Basis'!$C$7*'Irish Basis'!$C$5,2)</f>
        <v/>
      </c>
      <c r="P2987" s="10">
        <f>ROUND(K2987*'Irish Basis'!$C$8*'Irish Basis'!$C$5,2)</f>
        <v/>
      </c>
      <c r="Q2987" s="10">
        <f>ROUND(L2987*'Irish Basis'!$C$12*'Irish Basis'!$C$5,2)</f>
        <v/>
      </c>
      <c r="R2987" s="11">
        <f>ROUND(SUM(N2987:Q2987),2)</f>
        <v/>
      </c>
      <c r="S2987" s="5" t="inlineStr">
        <is>
          <t>All-in specialist rate</t>
        </is>
      </c>
      <c r="T2987" s="14" t="inlineStr">
        <is>
          <t>All-in (not split)</t>
        </is>
      </c>
      <c r="U2987" s="8" t="n">
        <v>21.73</v>
      </c>
      <c r="V2987" s="13">
        <f>IF(U2987="","",ROUND(M2987-U2987,2))</f>
        <v/>
      </c>
      <c r="W2987" s="15" t="inlineStr">
        <is>
          <t>Outlier vs comparable items</t>
        </is>
      </c>
      <c r="X2987" s="5" t="inlineStr">
        <is>
          <t>Source publishes a specialist/sub-contract all-in rate; no labour/plant/material build-up exists to derive from. Derived cost is far from the median of comparable items in this group (£1,170.81) — check the source figure.</t>
        </is>
      </c>
    </row>
    <row r="2988" ht="13" customHeight="1">
      <c r="A2988" s="4" t="n">
        <v>4431</v>
      </c>
      <c r="B2988" s="5" t="inlineStr">
        <is>
          <t>IMG_0125</t>
        </is>
      </c>
      <c r="C2988" s="5" t="inlineStr">
        <is>
          <t>CLASS Q: PILING ANCILLARIES</t>
        </is>
      </c>
      <c r="D2988" s="5" t="inlineStr">
        <is>
          <t>08 PILE TESTS</t>
        </is>
      </c>
      <c r="E2988" s="5" t="inlineStr">
        <is>
          <t>Pile tests; 430 mm dia. working pile; maximum test load of 1125kN using non-working tension piles as reaction; subsequent piles</t>
        </is>
      </c>
      <c r="F2988" s="5" t="inlineStr">
        <is>
          <t>Make cure and test concrete cubes</t>
        </is>
      </c>
      <c r="G2988" s="6" t="inlineStr">
        <is>
          <t>nr</t>
        </is>
      </c>
      <c r="H2988" s="7" t="n"/>
      <c r="I2988" s="8" t="n">
        <v>0</v>
      </c>
      <c r="J2988" s="8" t="n">
        <v>0</v>
      </c>
      <c r="K2988" s="8" t="n">
        <v>0</v>
      </c>
      <c r="L2988" s="8" t="n">
        <v>15.94</v>
      </c>
      <c r="M2988" s="9">
        <f>ROUND(SUM(I2988:L2988),2)</f>
        <v/>
      </c>
      <c r="N2988" s="10">
        <f>ROUND(I2988*'Irish Basis'!$C$6*'Irish Basis'!$C$5,2)</f>
        <v/>
      </c>
      <c r="O2988" s="10">
        <f>ROUND(J2988*'Irish Basis'!$C$7*'Irish Basis'!$C$5,2)</f>
        <v/>
      </c>
      <c r="P2988" s="10">
        <f>ROUND(K2988*'Irish Basis'!$C$8*'Irish Basis'!$C$5,2)</f>
        <v/>
      </c>
      <c r="Q2988" s="10">
        <f>ROUND(L2988*'Irish Basis'!$C$12*'Irish Basis'!$C$5,2)</f>
        <v/>
      </c>
      <c r="R2988" s="11">
        <f>ROUND(SUM(N2988:Q2988),2)</f>
        <v/>
      </c>
      <c r="S2988" s="5" t="inlineStr">
        <is>
          <t>All-in specialist rate</t>
        </is>
      </c>
      <c r="T2988" s="14" t="inlineStr">
        <is>
          <t>All-in (not split)</t>
        </is>
      </c>
      <c r="U2988" s="8" t="n">
        <v>15.94</v>
      </c>
      <c r="V2988" s="13">
        <f>IF(U2988="","",ROUND(M2988-U2988,2))</f>
        <v/>
      </c>
      <c r="W2988" s="15" t="inlineStr">
        <is>
          <t>Outlier vs comparable items</t>
        </is>
      </c>
      <c r="X2988" s="5" t="inlineStr">
        <is>
          <t>Source publishes a specialist/sub-contract all-in rate; no labour/plant/material build-up exists to derive from. Derived cost is far from the median of comparable items in this group (£1,170.81) — check the source figure.</t>
        </is>
      </c>
    </row>
    <row r="2989" ht="13" customHeight="1">
      <c r="A2989" s="4" t="n">
        <v>4433</v>
      </c>
      <c r="B2989" s="5" t="inlineStr">
        <is>
          <t>IMG_0125</t>
        </is>
      </c>
      <c r="C2989" s="5" t="inlineStr">
        <is>
          <t>CLASS Q: PILING ANCILLARIES</t>
        </is>
      </c>
      <c r="D2989" s="5" t="inlineStr">
        <is>
          <t>08 PILE TESTS</t>
        </is>
      </c>
      <c r="E2989" s="5" t="inlineStr">
        <is>
          <t>Driven - segmental casing; Pile tests; 500 mm dia. working pile; maximum test load of 600kN using non-working tension piles as reaction</t>
        </is>
      </c>
      <c r="F2989" s="5" t="inlineStr">
        <is>
          <t>first pile</t>
        </is>
      </c>
      <c r="G2989" s="6" t="inlineStr">
        <is>
          <t>nr</t>
        </is>
      </c>
      <c r="H2989" s="7" t="n"/>
      <c r="I2989" s="8" t="n">
        <v>0</v>
      </c>
      <c r="J2989" s="8" t="n">
        <v>0</v>
      </c>
      <c r="K2989" s="8" t="n">
        <v>0</v>
      </c>
      <c r="L2989" s="8" t="n">
        <v>9125.860000000001</v>
      </c>
      <c r="M2989" s="9">
        <f>ROUND(SUM(I2989:L2989),2)</f>
        <v/>
      </c>
      <c r="N2989" s="10">
        <f>ROUND(I2989*'Irish Basis'!$C$6*'Irish Basis'!$C$5,2)</f>
        <v/>
      </c>
      <c r="O2989" s="10">
        <f>ROUND(J2989*'Irish Basis'!$C$7*'Irish Basis'!$C$5,2)</f>
        <v/>
      </c>
      <c r="P2989" s="10">
        <f>ROUND(K2989*'Irish Basis'!$C$8*'Irish Basis'!$C$5,2)</f>
        <v/>
      </c>
      <c r="Q2989" s="10">
        <f>ROUND(L2989*'Irish Basis'!$C$12*'Irish Basis'!$C$5,2)</f>
        <v/>
      </c>
      <c r="R2989" s="11">
        <f>ROUND(SUM(N2989:Q2989),2)</f>
        <v/>
      </c>
      <c r="S2989" s="5" t="inlineStr">
        <is>
          <t>All-in specialist rate</t>
        </is>
      </c>
      <c r="T2989" s="14" t="inlineStr">
        <is>
          <t>All-in (not split)</t>
        </is>
      </c>
      <c r="U2989" s="8" t="n">
        <v>9125.860000000001</v>
      </c>
      <c r="V2989" s="13">
        <f>IF(U2989="","",ROUND(M2989-U2989,2))</f>
        <v/>
      </c>
      <c r="W2989" s="5" t="n"/>
      <c r="X2989" s="5" t="inlineStr">
        <is>
          <t>Source publishes a specialist/sub-contract all-in rate; no labour/plant/material build-up exists to derive from.</t>
        </is>
      </c>
    </row>
    <row r="2990" ht="13" customHeight="1">
      <c r="A2990" s="4" t="n">
        <v>4434</v>
      </c>
      <c r="B2990" s="5" t="inlineStr">
        <is>
          <t>IMG_0125</t>
        </is>
      </c>
      <c r="C2990" s="5" t="inlineStr">
        <is>
          <t>CLASS Q: PILING ANCILLARIES</t>
        </is>
      </c>
      <c r="D2990" s="5" t="inlineStr">
        <is>
          <t>08 PILE TESTS</t>
        </is>
      </c>
      <c r="E2990" s="5" t="inlineStr">
        <is>
          <t>Driven - segmental casing; Pile tests; 500 mm dia. working pile; maximum test load of 600kN using non-working tension piles as reaction</t>
        </is>
      </c>
      <c r="F2990" s="5" t="inlineStr">
        <is>
          <t>subsequent piles</t>
        </is>
      </c>
      <c r="G2990" s="6" t="inlineStr">
        <is>
          <t>nr</t>
        </is>
      </c>
      <c r="H2990" s="7" t="n"/>
      <c r="I2990" s="8" t="n">
        <v>0</v>
      </c>
      <c r="J2990" s="8" t="n">
        <v>0</v>
      </c>
      <c r="K2990" s="8" t="n">
        <v>0</v>
      </c>
      <c r="L2990" s="8" t="n">
        <v>6937.79</v>
      </c>
      <c r="M2990" s="9">
        <f>ROUND(SUM(I2990:L2990),2)</f>
        <v/>
      </c>
      <c r="N2990" s="10">
        <f>ROUND(I2990*'Irish Basis'!$C$6*'Irish Basis'!$C$5,2)</f>
        <v/>
      </c>
      <c r="O2990" s="10">
        <f>ROUND(J2990*'Irish Basis'!$C$7*'Irish Basis'!$C$5,2)</f>
        <v/>
      </c>
      <c r="P2990" s="10">
        <f>ROUND(K2990*'Irish Basis'!$C$8*'Irish Basis'!$C$5,2)</f>
        <v/>
      </c>
      <c r="Q2990" s="10">
        <f>ROUND(L2990*'Irish Basis'!$C$12*'Irish Basis'!$C$5,2)</f>
        <v/>
      </c>
      <c r="R2990" s="11">
        <f>ROUND(SUM(N2990:Q2990),2)</f>
        <v/>
      </c>
      <c r="S2990" s="5" t="inlineStr">
        <is>
          <t>All-in specialist rate</t>
        </is>
      </c>
      <c r="T2990" s="14" t="inlineStr">
        <is>
          <t>All-in (not split)</t>
        </is>
      </c>
      <c r="U2990" s="8" t="n">
        <v>6937.79</v>
      </c>
      <c r="V2990" s="13">
        <f>IF(U2990="","",ROUND(M2990-U2990,2))</f>
        <v/>
      </c>
      <c r="W2990" s="5" t="n"/>
      <c r="X2990" s="5" t="inlineStr">
        <is>
          <t>Source publishes a specialist/sub-contract all-in rate; no labour/plant/material build-up exists to derive from.</t>
        </is>
      </c>
    </row>
    <row r="2991" ht="13" customHeight="1">
      <c r="A2991" s="4" t="n">
        <v>4583</v>
      </c>
      <c r="B2991" s="5" t="inlineStr">
        <is>
          <t>IMG_0127</t>
        </is>
      </c>
      <c r="C2991" s="5" t="inlineStr">
        <is>
          <t>CLASS R: ROADS AND PAVINGS</t>
        </is>
      </c>
      <c r="D2991" s="5" t="inlineStr">
        <is>
          <t>01 UNBOUND SUB-BASE</t>
        </is>
      </c>
      <c r="E2991" s="5" t="inlineStr">
        <is>
          <t>Type 1 Unbound Mixtures; Subbase; spread and graded</t>
        </is>
      </c>
      <c r="F2991" s="5" t="inlineStr">
        <is>
          <t>75 mm thick</t>
        </is>
      </c>
      <c r="G2991" s="6" t="inlineStr">
        <is>
          <t>m3</t>
        </is>
      </c>
      <c r="H2991" s="7" t="n">
        <v>0.04</v>
      </c>
      <c r="I2991" s="8" t="n">
        <v>7.16</v>
      </c>
      <c r="J2991" s="8" t="n">
        <v>8.17</v>
      </c>
      <c r="K2991" s="8" t="n">
        <v>96.98</v>
      </c>
      <c r="L2991" s="8" t="n">
        <v>0</v>
      </c>
      <c r="M2991" s="9">
        <f>ROUND(SUM(I2991:L2991),2)</f>
        <v/>
      </c>
      <c r="N2991" s="10">
        <f>ROUND(I2991*'Irish Basis'!$C$6*'Irish Basis'!$C$5,2)</f>
        <v/>
      </c>
      <c r="O2991" s="10">
        <f>ROUND(J2991*'Irish Basis'!$C$7*'Irish Basis'!$C$5,2)</f>
        <v/>
      </c>
      <c r="P2991" s="10">
        <f>ROUND(K2991*'Irish Basis'!$C$8*'Irish Basis'!$C$5,2)</f>
        <v/>
      </c>
      <c r="Q2991" s="10">
        <f>ROUND(L2991*'Irish Basis'!$C$12*'Irish Basis'!$C$5,2)</f>
        <v/>
      </c>
      <c r="R2991" s="11">
        <f>ROUND(SUM(N2991:Q2991),2)</f>
        <v/>
      </c>
      <c r="S2991" s="5" t="inlineStr">
        <is>
          <t>Stated build-up</t>
        </is>
      </c>
      <c r="T2991" s="12" t="inlineStr">
        <is>
          <t>High</t>
        </is>
      </c>
      <c r="U2991" s="8" t="n">
        <v>112.31</v>
      </c>
      <c r="V2991" s="13">
        <f>IF(U2991="","",ROUND(M2991-U2991,2))</f>
        <v/>
      </c>
      <c r="W2991" s="5" t="n"/>
      <c r="X2991" s="5" t="inlineStr">
        <is>
          <t>Labour + plant + material as published; reconciles to the published rate.</t>
        </is>
      </c>
    </row>
    <row r="2992" ht="13" customHeight="1">
      <c r="A2992" s="4" t="n">
        <v>4584</v>
      </c>
      <c r="B2992" s="5" t="inlineStr">
        <is>
          <t>IMG_0127</t>
        </is>
      </c>
      <c r="C2992" s="5" t="inlineStr">
        <is>
          <t>CLASS R: ROADS AND PAVINGS</t>
        </is>
      </c>
      <c r="D2992" s="5" t="inlineStr">
        <is>
          <t>01 UNBOUND SUB-BASE</t>
        </is>
      </c>
      <c r="E2992" s="5" t="inlineStr">
        <is>
          <t>Type 1 Unbound Mixtures; Subbase; spread and graded</t>
        </is>
      </c>
      <c r="F2992" s="5" t="inlineStr">
        <is>
          <t>110 mm thick</t>
        </is>
      </c>
      <c r="G2992" s="6" t="inlineStr">
        <is>
          <t>m3</t>
        </is>
      </c>
      <c r="H2992" s="7" t="n">
        <v>0.04</v>
      </c>
      <c r="I2992" s="8" t="n">
        <v>7.16</v>
      </c>
      <c r="J2992" s="8" t="n">
        <v>8.17</v>
      </c>
      <c r="K2992" s="8" t="n">
        <v>112.15</v>
      </c>
      <c r="L2992" s="8" t="n">
        <v>0</v>
      </c>
      <c r="M2992" s="9">
        <f>ROUND(SUM(I2992:L2992),2)</f>
        <v/>
      </c>
      <c r="N2992" s="10">
        <f>ROUND(I2992*'Irish Basis'!$C$6*'Irish Basis'!$C$5,2)</f>
        <v/>
      </c>
      <c r="O2992" s="10">
        <f>ROUND(J2992*'Irish Basis'!$C$7*'Irish Basis'!$C$5,2)</f>
        <v/>
      </c>
      <c r="P2992" s="10">
        <f>ROUND(K2992*'Irish Basis'!$C$8*'Irish Basis'!$C$5,2)</f>
        <v/>
      </c>
      <c r="Q2992" s="10">
        <f>ROUND(L2992*'Irish Basis'!$C$12*'Irish Basis'!$C$5,2)</f>
        <v/>
      </c>
      <c r="R2992" s="11">
        <f>ROUND(SUM(N2992:Q2992),2)</f>
        <v/>
      </c>
      <c r="S2992" s="5" t="inlineStr">
        <is>
          <t>Stated build-up</t>
        </is>
      </c>
      <c r="T2992" s="12" t="inlineStr">
        <is>
          <t>High</t>
        </is>
      </c>
      <c r="U2992" s="8" t="n">
        <v>127.47</v>
      </c>
      <c r="V2992" s="13">
        <f>IF(U2992="","",ROUND(M2992-U2992,2))</f>
        <v/>
      </c>
      <c r="W2992" s="5" t="n"/>
      <c r="X2992" s="5" t="inlineStr">
        <is>
          <t>Labour + plant + material as published; reconciles to the published rate.</t>
        </is>
      </c>
    </row>
    <row r="2993" ht="13" customHeight="1">
      <c r="A2993" s="4" t="n">
        <v>4585</v>
      </c>
      <c r="B2993" s="5" t="inlineStr">
        <is>
          <t>IMG_0127</t>
        </is>
      </c>
      <c r="C2993" s="5" t="inlineStr">
        <is>
          <t>CLASS R: ROADS AND PAVINGS</t>
        </is>
      </c>
      <c r="D2993" s="5" t="inlineStr">
        <is>
          <t>01 UNBOUND SUB-BASE</t>
        </is>
      </c>
      <c r="E2993" s="5" t="inlineStr">
        <is>
          <t>Type 1 Unbound Mixtures; Subbase; spread and graded</t>
        </is>
      </c>
      <c r="F2993" s="5" t="inlineStr">
        <is>
          <t>150 mm thick</t>
        </is>
      </c>
      <c r="G2993" s="6" t="inlineStr">
        <is>
          <t>m3</t>
        </is>
      </c>
      <c r="H2993" s="7" t="n">
        <v>0.04</v>
      </c>
      <c r="I2993" s="8" t="n">
        <v>7.16</v>
      </c>
      <c r="J2993" s="8" t="n">
        <v>8.17</v>
      </c>
      <c r="K2993" s="8" t="n">
        <v>121.84</v>
      </c>
      <c r="L2993" s="8" t="n">
        <v>0</v>
      </c>
      <c r="M2993" s="9">
        <f>ROUND(SUM(I2993:L2993),2)</f>
        <v/>
      </c>
      <c r="N2993" s="10">
        <f>ROUND(I2993*'Irish Basis'!$C$6*'Irish Basis'!$C$5,2)</f>
        <v/>
      </c>
      <c r="O2993" s="10">
        <f>ROUND(J2993*'Irish Basis'!$C$7*'Irish Basis'!$C$5,2)</f>
        <v/>
      </c>
      <c r="P2993" s="10">
        <f>ROUND(K2993*'Irish Basis'!$C$8*'Irish Basis'!$C$5,2)</f>
        <v/>
      </c>
      <c r="Q2993" s="10">
        <f>ROUND(L2993*'Irish Basis'!$C$12*'Irish Basis'!$C$5,2)</f>
        <v/>
      </c>
      <c r="R2993" s="11">
        <f>ROUND(SUM(N2993:Q2993),2)</f>
        <v/>
      </c>
      <c r="S2993" s="5" t="inlineStr">
        <is>
          <t>Stated build-up</t>
        </is>
      </c>
      <c r="T2993" s="12" t="inlineStr">
        <is>
          <t>High</t>
        </is>
      </c>
      <c r="U2993" s="8" t="n">
        <v>137.17</v>
      </c>
      <c r="V2993" s="13">
        <f>IF(U2993="","",ROUND(M2993-U2993,2))</f>
        <v/>
      </c>
      <c r="W2993" s="5" t="n"/>
      <c r="X2993" s="5" t="inlineStr">
        <is>
          <t>Labour + plant + material as published; reconciles to the published rate.</t>
        </is>
      </c>
    </row>
    <row r="2994" ht="13" customHeight="1">
      <c r="A2994" s="4" t="n">
        <v>4586</v>
      </c>
      <c r="B2994" s="5" t="inlineStr">
        <is>
          <t>IMG_0127</t>
        </is>
      </c>
      <c r="C2994" s="5" t="inlineStr">
        <is>
          <t>CLASS R: ROADS AND PAVINGS</t>
        </is>
      </c>
      <c r="D2994" s="5" t="inlineStr">
        <is>
          <t>01 UNBOUND SUB-BASE</t>
        </is>
      </c>
      <c r="E2994" s="5" t="inlineStr">
        <is>
          <t>Type 1 Unbound Mixtures; Subbase; spread and graded</t>
        </is>
      </c>
      <c r="F2994" s="5" t="inlineStr">
        <is>
          <t>200 mm thick</t>
        </is>
      </c>
      <c r="G2994" s="6" t="inlineStr">
        <is>
          <t>m3</t>
        </is>
      </c>
      <c r="H2994" s="7" t="n">
        <v>0.04</v>
      </c>
      <c r="I2994" s="8" t="n">
        <v>7.16</v>
      </c>
      <c r="J2994" s="8" t="n">
        <v>8.17</v>
      </c>
      <c r="K2994" s="8" t="n">
        <v>131.26</v>
      </c>
      <c r="L2994" s="8" t="n">
        <v>0</v>
      </c>
      <c r="M2994" s="9">
        <f>ROUND(SUM(I2994:L2994),2)</f>
        <v/>
      </c>
      <c r="N2994" s="10">
        <f>ROUND(I2994*'Irish Basis'!$C$6*'Irish Basis'!$C$5,2)</f>
        <v/>
      </c>
      <c r="O2994" s="10">
        <f>ROUND(J2994*'Irish Basis'!$C$7*'Irish Basis'!$C$5,2)</f>
        <v/>
      </c>
      <c r="P2994" s="10">
        <f>ROUND(K2994*'Irish Basis'!$C$8*'Irish Basis'!$C$5,2)</f>
        <v/>
      </c>
      <c r="Q2994" s="10">
        <f>ROUND(L2994*'Irish Basis'!$C$12*'Irish Basis'!$C$5,2)</f>
        <v/>
      </c>
      <c r="R2994" s="11">
        <f>ROUND(SUM(N2994:Q2994),2)</f>
        <v/>
      </c>
      <c r="S2994" s="5" t="inlineStr">
        <is>
          <t>Stated build-up</t>
        </is>
      </c>
      <c r="T2994" s="12" t="inlineStr">
        <is>
          <t>High</t>
        </is>
      </c>
      <c r="U2994" s="8" t="n">
        <v>146.59</v>
      </c>
      <c r="V2994" s="13">
        <f>IF(U2994="","",ROUND(M2994-U2994,2))</f>
        <v/>
      </c>
      <c r="W2994" s="5" t="n"/>
      <c r="X2994" s="5" t="inlineStr">
        <is>
          <t>Labour + plant + material as published; reconciles to the published rate.</t>
        </is>
      </c>
    </row>
    <row r="2995" ht="13" customHeight="1">
      <c r="A2995" s="4" t="n">
        <v>4588</v>
      </c>
      <c r="B2995" s="5" t="inlineStr">
        <is>
          <t>IMG_0127</t>
        </is>
      </c>
      <c r="C2995" s="5" t="inlineStr">
        <is>
          <t>CLASS R: ROADS AND PAVINGS</t>
        </is>
      </c>
      <c r="D2995" s="5" t="inlineStr">
        <is>
          <t>01 UNBOUND SUB-BASE</t>
        </is>
      </c>
      <c r="E2995" s="5" t="inlineStr">
        <is>
          <t>Type 2 Unbound Mixtures; Subbase, spread and graded</t>
        </is>
      </c>
      <c r="F2995" s="5" t="inlineStr">
        <is>
          <t>75 mm thick</t>
        </is>
      </c>
      <c r="G2995" s="6" t="inlineStr">
        <is>
          <t>m3</t>
        </is>
      </c>
      <c r="H2995" s="7" t="n">
        <v>0.04</v>
      </c>
      <c r="I2995" s="8" t="n">
        <v>6.27</v>
      </c>
      <c r="J2995" s="8" t="n">
        <v>7.14</v>
      </c>
      <c r="K2995" s="8" t="n">
        <v>120.5</v>
      </c>
      <c r="L2995" s="8" t="n">
        <v>0</v>
      </c>
      <c r="M2995" s="9">
        <f>ROUND(SUM(I2995:L2995),2)</f>
        <v/>
      </c>
      <c r="N2995" s="10">
        <f>ROUND(I2995*'Irish Basis'!$C$6*'Irish Basis'!$C$5,2)</f>
        <v/>
      </c>
      <c r="O2995" s="10">
        <f>ROUND(J2995*'Irish Basis'!$C$7*'Irish Basis'!$C$5,2)</f>
        <v/>
      </c>
      <c r="P2995" s="10">
        <f>ROUND(K2995*'Irish Basis'!$C$8*'Irish Basis'!$C$5,2)</f>
        <v/>
      </c>
      <c r="Q2995" s="10">
        <f>ROUND(L2995*'Irish Basis'!$C$12*'Irish Basis'!$C$5,2)</f>
        <v/>
      </c>
      <c r="R2995" s="11">
        <f>ROUND(SUM(N2995:Q2995),2)</f>
        <v/>
      </c>
      <c r="S2995" s="5" t="inlineStr">
        <is>
          <t>Stated build-up</t>
        </is>
      </c>
      <c r="T2995" s="12" t="inlineStr">
        <is>
          <t>High</t>
        </is>
      </c>
      <c r="U2995" s="8" t="n">
        <v>133.91</v>
      </c>
      <c r="V2995" s="13">
        <f>IF(U2995="","",ROUND(M2995-U2995,2))</f>
        <v/>
      </c>
      <c r="W2995" s="5" t="n"/>
      <c r="X2995" s="5" t="inlineStr">
        <is>
          <t>Labour + plant + material as published; reconciles to the published rate.</t>
        </is>
      </c>
    </row>
    <row r="2996" ht="13" customHeight="1">
      <c r="A2996" s="4" t="n">
        <v>4589</v>
      </c>
      <c r="B2996" s="5" t="inlineStr">
        <is>
          <t>IMG_0127</t>
        </is>
      </c>
      <c r="C2996" s="5" t="inlineStr">
        <is>
          <t>CLASS R: ROADS AND PAVINGS</t>
        </is>
      </c>
      <c r="D2996" s="5" t="inlineStr">
        <is>
          <t>01 UNBOUND SUB-BASE</t>
        </is>
      </c>
      <c r="E2996" s="5" t="inlineStr">
        <is>
          <t>Type 2 Unbound Mixtures; Subbase, spread and graded</t>
        </is>
      </c>
      <c r="F2996" s="5" t="inlineStr">
        <is>
          <t>110 mm thick</t>
        </is>
      </c>
      <c r="G2996" s="6" t="inlineStr">
        <is>
          <t>m3</t>
        </is>
      </c>
      <c r="H2996" s="7" t="n">
        <v>0.04</v>
      </c>
      <c r="I2996" s="8" t="n">
        <v>7.16</v>
      </c>
      <c r="J2996" s="8" t="n">
        <v>8.17</v>
      </c>
      <c r="K2996" s="8" t="n">
        <v>120.5</v>
      </c>
      <c r="L2996" s="8" t="n">
        <v>0</v>
      </c>
      <c r="M2996" s="9">
        <f>ROUND(SUM(I2996:L2996),2)</f>
        <v/>
      </c>
      <c r="N2996" s="10">
        <f>ROUND(I2996*'Irish Basis'!$C$6*'Irish Basis'!$C$5,2)</f>
        <v/>
      </c>
      <c r="O2996" s="10">
        <f>ROUND(J2996*'Irish Basis'!$C$7*'Irish Basis'!$C$5,2)</f>
        <v/>
      </c>
      <c r="P2996" s="10">
        <f>ROUND(K2996*'Irish Basis'!$C$8*'Irish Basis'!$C$5,2)</f>
        <v/>
      </c>
      <c r="Q2996" s="10">
        <f>ROUND(L2996*'Irish Basis'!$C$12*'Irish Basis'!$C$5,2)</f>
        <v/>
      </c>
      <c r="R2996" s="11">
        <f>ROUND(SUM(N2996:Q2996),2)</f>
        <v/>
      </c>
      <c r="S2996" s="5" t="inlineStr">
        <is>
          <t>Stated build-up</t>
        </is>
      </c>
      <c r="T2996" s="12" t="inlineStr">
        <is>
          <t>High</t>
        </is>
      </c>
      <c r="U2996" s="8" t="n">
        <v>135.83</v>
      </c>
      <c r="V2996" s="13">
        <f>IF(U2996="","",ROUND(M2996-U2996,2))</f>
        <v/>
      </c>
      <c r="W2996" s="5" t="n"/>
      <c r="X2996" s="5" t="inlineStr">
        <is>
          <t>Labour + plant + material as published; reconciles to the published rate.</t>
        </is>
      </c>
    </row>
    <row r="2997" ht="13" customHeight="1">
      <c r="A2997" s="4" t="n">
        <v>4590</v>
      </c>
      <c r="B2997" s="5" t="inlineStr">
        <is>
          <t>IMG_0127</t>
        </is>
      </c>
      <c r="C2997" s="5" t="inlineStr">
        <is>
          <t>CLASS R: ROADS AND PAVINGS</t>
        </is>
      </c>
      <c r="D2997" s="5" t="inlineStr">
        <is>
          <t>01 UNBOUND SUB-BASE</t>
        </is>
      </c>
      <c r="E2997" s="5" t="inlineStr">
        <is>
          <t>Type 2 Unbound Mixtures; Subbase, spread and graded</t>
        </is>
      </c>
      <c r="F2997" s="5" t="inlineStr">
        <is>
          <t>150 mm thick</t>
        </is>
      </c>
      <c r="G2997" s="6" t="inlineStr">
        <is>
          <t>m3</t>
        </is>
      </c>
      <c r="H2997" s="7" t="n">
        <v>0.05</v>
      </c>
      <c r="I2997" s="8" t="n">
        <v>8.06</v>
      </c>
      <c r="J2997" s="8" t="n">
        <v>9.19</v>
      </c>
      <c r="K2997" s="8" t="n">
        <v>120.5</v>
      </c>
      <c r="L2997" s="8" t="n">
        <v>0</v>
      </c>
      <c r="M2997" s="9">
        <f>ROUND(SUM(I2997:L2997),2)</f>
        <v/>
      </c>
      <c r="N2997" s="10">
        <f>ROUND(I2997*'Irish Basis'!$C$6*'Irish Basis'!$C$5,2)</f>
        <v/>
      </c>
      <c r="O2997" s="10">
        <f>ROUND(J2997*'Irish Basis'!$C$7*'Irish Basis'!$C$5,2)</f>
        <v/>
      </c>
      <c r="P2997" s="10">
        <f>ROUND(K2997*'Irish Basis'!$C$8*'Irish Basis'!$C$5,2)</f>
        <v/>
      </c>
      <c r="Q2997" s="10">
        <f>ROUND(L2997*'Irish Basis'!$C$12*'Irish Basis'!$C$5,2)</f>
        <v/>
      </c>
      <c r="R2997" s="11">
        <f>ROUND(SUM(N2997:Q2997),2)</f>
        <v/>
      </c>
      <c r="S2997" s="5" t="inlineStr">
        <is>
          <t>Stated build-up</t>
        </is>
      </c>
      <c r="T2997" s="12" t="inlineStr">
        <is>
          <t>High</t>
        </is>
      </c>
      <c r="U2997" s="8" t="n">
        <v>137.74</v>
      </c>
      <c r="V2997" s="13">
        <f>IF(U2997="","",ROUND(M2997-U2997,2))</f>
        <v/>
      </c>
      <c r="W2997" s="5" t="n"/>
      <c r="X2997" s="5" t="inlineStr">
        <is>
          <t>Labour + plant + material as published; reconciles to the published rate.</t>
        </is>
      </c>
    </row>
    <row r="2998" ht="13" customHeight="1">
      <c r="A2998" s="4" t="n">
        <v>4591</v>
      </c>
      <c r="B2998" s="5" t="inlineStr">
        <is>
          <t>IMG_0127</t>
        </is>
      </c>
      <c r="C2998" s="5" t="inlineStr">
        <is>
          <t>CLASS R: ROADS AND PAVINGS</t>
        </is>
      </c>
      <c r="D2998" s="5" t="inlineStr">
        <is>
          <t>01 UNBOUND SUB-BASE</t>
        </is>
      </c>
      <c r="E2998" s="5" t="inlineStr">
        <is>
          <t>Type 2 Unbound Mixtures; Subbase, spread and graded</t>
        </is>
      </c>
      <c r="F2998" s="5" t="inlineStr">
        <is>
          <t>200 mm thick</t>
        </is>
      </c>
      <c r="G2998" s="6" t="inlineStr">
        <is>
          <t>m3</t>
        </is>
      </c>
      <c r="H2998" s="7" t="n">
        <v>0.05</v>
      </c>
      <c r="I2998" s="8" t="n">
        <v>8.949999999999999</v>
      </c>
      <c r="J2998" s="8" t="n">
        <v>10.21</v>
      </c>
      <c r="K2998" s="8" t="n">
        <v>120.5</v>
      </c>
      <c r="L2998" s="8" t="n">
        <v>0</v>
      </c>
      <c r="M2998" s="9">
        <f>ROUND(SUM(I2998:L2998),2)</f>
        <v/>
      </c>
      <c r="N2998" s="10">
        <f>ROUND(I2998*'Irish Basis'!$C$6*'Irish Basis'!$C$5,2)</f>
        <v/>
      </c>
      <c r="O2998" s="10">
        <f>ROUND(J2998*'Irish Basis'!$C$7*'Irish Basis'!$C$5,2)</f>
        <v/>
      </c>
      <c r="P2998" s="10">
        <f>ROUND(K2998*'Irish Basis'!$C$8*'Irish Basis'!$C$5,2)</f>
        <v/>
      </c>
      <c r="Q2998" s="10">
        <f>ROUND(L2998*'Irish Basis'!$C$12*'Irish Basis'!$C$5,2)</f>
        <v/>
      </c>
      <c r="R2998" s="11">
        <f>ROUND(SUM(N2998:Q2998),2)</f>
        <v/>
      </c>
      <c r="S2998" s="5" t="inlineStr">
        <is>
          <t>Stated build-up</t>
        </is>
      </c>
      <c r="T2998" s="12" t="inlineStr">
        <is>
          <t>High</t>
        </is>
      </c>
      <c r="U2998" s="8" t="n">
        <v>139.66</v>
      </c>
      <c r="V2998" s="13">
        <f>IF(U2998="","",ROUND(M2998-U2998,2))</f>
        <v/>
      </c>
      <c r="W2998" s="5" t="n"/>
      <c r="X2998" s="5" t="inlineStr">
        <is>
          <t>Labour + plant + material as published; reconciles to the published rate.</t>
        </is>
      </c>
    </row>
    <row r="2999" ht="13" customHeight="1">
      <c r="A2999" s="4" t="n">
        <v>4593</v>
      </c>
      <c r="B2999" s="5" t="inlineStr">
        <is>
          <t>IMG_0127</t>
        </is>
      </c>
      <c r="C2999" s="5" t="inlineStr">
        <is>
          <t>CLASS R: ROADS AND PAVINGS</t>
        </is>
      </c>
      <c r="D2999" s="5" t="inlineStr">
        <is>
          <t>01 UNBOUND SUB-BASE</t>
        </is>
      </c>
      <c r="E2999" s="5" t="inlineStr">
        <is>
          <t>Type 3 (open graded) Unbound Mixtures; Subbase; spread and graded</t>
        </is>
      </c>
      <c r="F2999" s="5" t="inlineStr">
        <is>
          <t>75 mm thick</t>
        </is>
      </c>
      <c r="G2999" s="6" t="inlineStr">
        <is>
          <t>m3</t>
        </is>
      </c>
      <c r="H2999" s="7" t="n">
        <v>0.2</v>
      </c>
      <c r="I2999" s="8" t="n">
        <v>35.81</v>
      </c>
      <c r="J2999" s="8" t="n">
        <v>9.19</v>
      </c>
      <c r="K2999" s="8" t="n">
        <v>117.32</v>
      </c>
      <c r="L2999" s="8" t="n">
        <v>0</v>
      </c>
      <c r="M2999" s="9">
        <f>ROUND(SUM(I2999:L2999),2)</f>
        <v/>
      </c>
      <c r="N2999" s="10">
        <f>ROUND(I2999*'Irish Basis'!$C$6*'Irish Basis'!$C$5,2)</f>
        <v/>
      </c>
      <c r="O2999" s="10">
        <f>ROUND(J2999*'Irish Basis'!$C$7*'Irish Basis'!$C$5,2)</f>
        <v/>
      </c>
      <c r="P2999" s="10">
        <f>ROUND(K2999*'Irish Basis'!$C$8*'Irish Basis'!$C$5,2)</f>
        <v/>
      </c>
      <c r="Q2999" s="10">
        <f>ROUND(L2999*'Irish Basis'!$C$12*'Irish Basis'!$C$5,2)</f>
        <v/>
      </c>
      <c r="R2999" s="11">
        <f>ROUND(SUM(N2999:Q2999),2)</f>
        <v/>
      </c>
      <c r="S2999" s="5" t="inlineStr">
        <is>
          <t>Stated build-up</t>
        </is>
      </c>
      <c r="T2999" s="12" t="inlineStr">
        <is>
          <t>High</t>
        </is>
      </c>
      <c r="U2999" s="8" t="n">
        <v>162.32</v>
      </c>
      <c r="V2999" s="13">
        <f>IF(U2999="","",ROUND(M2999-U2999,2))</f>
        <v/>
      </c>
      <c r="W2999" s="5" t="n"/>
      <c r="X2999" s="5" t="inlineStr">
        <is>
          <t>Labour + plant + material as published; reconciles to the published rate.</t>
        </is>
      </c>
    </row>
    <row r="3000" ht="13" customHeight="1">
      <c r="A3000" s="4" t="n">
        <v>4594</v>
      </c>
      <c r="B3000" s="5" t="inlineStr">
        <is>
          <t>IMG_0127</t>
        </is>
      </c>
      <c r="C3000" s="5" t="inlineStr">
        <is>
          <t>CLASS R: ROADS AND PAVINGS</t>
        </is>
      </c>
      <c r="D3000" s="5" t="inlineStr">
        <is>
          <t>01 UNBOUND SUB-BASE</t>
        </is>
      </c>
      <c r="E3000" s="5" t="inlineStr">
        <is>
          <t>Type 3 (open graded) Unbound Mixtures; Subbase; spread and graded</t>
        </is>
      </c>
      <c r="F3000" s="5" t="inlineStr">
        <is>
          <t>110 mm thick</t>
        </is>
      </c>
      <c r="G3000" s="6" t="inlineStr">
        <is>
          <t>m3</t>
        </is>
      </c>
      <c r="H3000" s="7" t="n">
        <v>0.4</v>
      </c>
      <c r="I3000" s="8" t="n">
        <v>71.63</v>
      </c>
      <c r="J3000" s="8" t="n">
        <v>10.21</v>
      </c>
      <c r="K3000" s="8" t="n">
        <v>117.32</v>
      </c>
      <c r="L3000" s="8" t="n">
        <v>0</v>
      </c>
      <c r="M3000" s="9">
        <f>ROUND(SUM(I3000:L3000),2)</f>
        <v/>
      </c>
      <c r="N3000" s="10">
        <f>ROUND(I3000*'Irish Basis'!$C$6*'Irish Basis'!$C$5,2)</f>
        <v/>
      </c>
      <c r="O3000" s="10">
        <f>ROUND(J3000*'Irish Basis'!$C$7*'Irish Basis'!$C$5,2)</f>
        <v/>
      </c>
      <c r="P3000" s="10">
        <f>ROUND(K3000*'Irish Basis'!$C$8*'Irish Basis'!$C$5,2)</f>
        <v/>
      </c>
      <c r="Q3000" s="10">
        <f>ROUND(L3000*'Irish Basis'!$C$12*'Irish Basis'!$C$5,2)</f>
        <v/>
      </c>
      <c r="R3000" s="11">
        <f>ROUND(SUM(N3000:Q3000),2)</f>
        <v/>
      </c>
      <c r="S3000" s="5" t="inlineStr">
        <is>
          <t>Stated build-up</t>
        </is>
      </c>
      <c r="T3000" s="12" t="inlineStr">
        <is>
          <t>High</t>
        </is>
      </c>
      <c r="U3000" s="8" t="n">
        <v>199.16</v>
      </c>
      <c r="V3000" s="13">
        <f>IF(U3000="","",ROUND(M3000-U3000,2))</f>
        <v/>
      </c>
      <c r="W3000" s="5" t="n"/>
      <c r="X3000" s="5" t="inlineStr">
        <is>
          <t>Labour + plant + material as published; reconciles to the published rate.</t>
        </is>
      </c>
    </row>
    <row r="3001" ht="13" customHeight="1">
      <c r="A3001" s="4" t="n">
        <v>4595</v>
      </c>
      <c r="B3001" s="5" t="inlineStr">
        <is>
          <t>IMG_0127</t>
        </is>
      </c>
      <c r="C3001" s="5" t="inlineStr">
        <is>
          <t>CLASS R: ROADS AND PAVINGS</t>
        </is>
      </c>
      <c r="D3001" s="5" t="inlineStr">
        <is>
          <t>01 UNBOUND SUB-BASE</t>
        </is>
      </c>
      <c r="E3001" s="5" t="inlineStr">
        <is>
          <t>Type 3 (open graded) Unbound Mixtures; Subbase; spread and graded</t>
        </is>
      </c>
      <c r="F3001" s="5" t="inlineStr">
        <is>
          <t>150 mm thick</t>
        </is>
      </c>
      <c r="G3001" s="6" t="inlineStr">
        <is>
          <t>m3</t>
        </is>
      </c>
      <c r="H3001" s="7" t="n">
        <v>0.4</v>
      </c>
      <c r="I3001" s="8" t="n">
        <v>71.63</v>
      </c>
      <c r="J3001" s="8" t="n">
        <v>10.26</v>
      </c>
      <c r="K3001" s="8" t="n">
        <v>137.35</v>
      </c>
      <c r="L3001" s="8" t="n">
        <v>0</v>
      </c>
      <c r="M3001" s="9">
        <f>ROUND(SUM(I3001:L3001),2)</f>
        <v/>
      </c>
      <c r="N3001" s="10">
        <f>ROUND(I3001*'Irish Basis'!$C$6*'Irish Basis'!$C$5,2)</f>
        <v/>
      </c>
      <c r="O3001" s="10">
        <f>ROUND(J3001*'Irish Basis'!$C$7*'Irish Basis'!$C$5,2)</f>
        <v/>
      </c>
      <c r="P3001" s="10">
        <f>ROUND(K3001*'Irish Basis'!$C$8*'Irish Basis'!$C$5,2)</f>
        <v/>
      </c>
      <c r="Q3001" s="10">
        <f>ROUND(L3001*'Irish Basis'!$C$12*'Irish Basis'!$C$5,2)</f>
        <v/>
      </c>
      <c r="R3001" s="11">
        <f>ROUND(SUM(N3001:Q3001),2)</f>
        <v/>
      </c>
      <c r="S3001" s="5" t="inlineStr">
        <is>
          <t>Stated build-up</t>
        </is>
      </c>
      <c r="T3001" s="12" t="inlineStr">
        <is>
          <t>High</t>
        </is>
      </c>
      <c r="U3001" s="8" t="n">
        <v>219.24</v>
      </c>
      <c r="V3001" s="13">
        <f>IF(U3001="","",ROUND(M3001-U3001,2))</f>
        <v/>
      </c>
      <c r="W3001" s="5" t="n"/>
      <c r="X3001" s="5" t="inlineStr">
        <is>
          <t>Labour + plant + material as published; reconciles to the published rate.</t>
        </is>
      </c>
    </row>
    <row r="3002" ht="13" customHeight="1">
      <c r="A3002" s="4" t="n">
        <v>4596</v>
      </c>
      <c r="B3002" s="5" t="inlineStr">
        <is>
          <t>IMG_0127</t>
        </is>
      </c>
      <c r="C3002" s="5" t="inlineStr">
        <is>
          <t>CLASS R: ROADS AND PAVINGS</t>
        </is>
      </c>
      <c r="D3002" s="5" t="inlineStr">
        <is>
          <t>01 UNBOUND SUB-BASE</t>
        </is>
      </c>
      <c r="E3002" s="5" t="inlineStr">
        <is>
          <t>Type 3 (open graded) Unbound Mixtures; Subbase; spread and graded</t>
        </is>
      </c>
      <c r="F3002" s="5" t="inlineStr">
        <is>
          <t>200 mm thick</t>
        </is>
      </c>
      <c r="G3002" s="6" t="inlineStr">
        <is>
          <t>m3</t>
        </is>
      </c>
      <c r="H3002" s="7" t="n">
        <v>0.4</v>
      </c>
      <c r="I3002" s="8" t="n">
        <v>71.63</v>
      </c>
      <c r="J3002" s="8" t="n">
        <v>10.21</v>
      </c>
      <c r="K3002" s="8" t="n">
        <v>164.25</v>
      </c>
      <c r="L3002" s="8" t="n">
        <v>0</v>
      </c>
      <c r="M3002" s="9">
        <f>ROUND(SUM(I3002:L3002),2)</f>
        <v/>
      </c>
      <c r="N3002" s="10">
        <f>ROUND(I3002*'Irish Basis'!$C$6*'Irish Basis'!$C$5,2)</f>
        <v/>
      </c>
      <c r="O3002" s="10">
        <f>ROUND(J3002*'Irish Basis'!$C$7*'Irish Basis'!$C$5,2)</f>
        <v/>
      </c>
      <c r="P3002" s="10">
        <f>ROUND(K3002*'Irish Basis'!$C$8*'Irish Basis'!$C$5,2)</f>
        <v/>
      </c>
      <c r="Q3002" s="10">
        <f>ROUND(L3002*'Irish Basis'!$C$12*'Irish Basis'!$C$5,2)</f>
        <v/>
      </c>
      <c r="R3002" s="11">
        <f>ROUND(SUM(N3002:Q3002),2)</f>
        <v/>
      </c>
      <c r="S3002" s="5" t="inlineStr">
        <is>
          <t>Stated build-up</t>
        </is>
      </c>
      <c r="T3002" s="12" t="inlineStr">
        <is>
          <t>High</t>
        </is>
      </c>
      <c r="U3002" s="8" t="n">
        <v>246.08</v>
      </c>
      <c r="V3002" s="13">
        <f>IF(U3002="","",ROUND(M3002-U3002,2))</f>
        <v/>
      </c>
      <c r="W3002" s="5" t="n"/>
      <c r="X3002" s="5" t="inlineStr">
        <is>
          <t>Labour + plant + material as published; reconciles to the published rate.</t>
        </is>
      </c>
    </row>
    <row r="3003" ht="13" customHeight="1">
      <c r="A3003" s="4" t="n">
        <v>4598</v>
      </c>
      <c r="B3003" s="5" t="inlineStr">
        <is>
          <t>IMG_0127</t>
        </is>
      </c>
      <c r="C3003" s="5" t="inlineStr">
        <is>
          <t>CLASS R: ROADS AND PAVINGS</t>
        </is>
      </c>
      <c r="D3003" s="5" t="inlineStr">
        <is>
          <t>01 UNBOUND SUB-BASE</t>
        </is>
      </c>
      <c r="E3003" s="5" t="inlineStr">
        <is>
          <t>Category B (closed graded) Unbound Mixtures; Subbase; spread and graded</t>
        </is>
      </c>
      <c r="F3003" s="5" t="inlineStr">
        <is>
          <t>75 mm thick</t>
        </is>
      </c>
      <c r="G3003" s="6" t="inlineStr">
        <is>
          <t>m3</t>
        </is>
      </c>
      <c r="H3003" s="7" t="n">
        <v>0.2</v>
      </c>
      <c r="I3003" s="8" t="n">
        <v>35.81</v>
      </c>
      <c r="J3003" s="8" t="n">
        <v>8.17</v>
      </c>
      <c r="K3003" s="8" t="n">
        <v>115.53</v>
      </c>
      <c r="L3003" s="8" t="n">
        <v>0</v>
      </c>
      <c r="M3003" s="9">
        <f>ROUND(SUM(I3003:L3003),2)</f>
        <v/>
      </c>
      <c r="N3003" s="10">
        <f>ROUND(I3003*'Irish Basis'!$C$6*'Irish Basis'!$C$5,2)</f>
        <v/>
      </c>
      <c r="O3003" s="10">
        <f>ROUND(J3003*'Irish Basis'!$C$7*'Irish Basis'!$C$5,2)</f>
        <v/>
      </c>
      <c r="P3003" s="10">
        <f>ROUND(K3003*'Irish Basis'!$C$8*'Irish Basis'!$C$5,2)</f>
        <v/>
      </c>
      <c r="Q3003" s="10">
        <f>ROUND(L3003*'Irish Basis'!$C$12*'Irish Basis'!$C$5,2)</f>
        <v/>
      </c>
      <c r="R3003" s="11">
        <f>ROUND(SUM(N3003:Q3003),2)</f>
        <v/>
      </c>
      <c r="S3003" s="5" t="inlineStr">
        <is>
          <t>Stated build-up</t>
        </is>
      </c>
      <c r="T3003" s="12" t="inlineStr">
        <is>
          <t>High</t>
        </is>
      </c>
      <c r="U3003" s="8" t="n">
        <v>159.51</v>
      </c>
      <c r="V3003" s="13">
        <f>IF(U3003="","",ROUND(M3003-U3003,2))</f>
        <v/>
      </c>
      <c r="W3003" s="5" t="n"/>
      <c r="X3003" s="5" t="inlineStr">
        <is>
          <t>Labour + plant + material as published; reconciles to the published rate.</t>
        </is>
      </c>
    </row>
    <row r="3004" ht="13" customHeight="1">
      <c r="A3004" s="4" t="n">
        <v>4599</v>
      </c>
      <c r="B3004" s="5" t="inlineStr">
        <is>
          <t>IMG_0127</t>
        </is>
      </c>
      <c r="C3004" s="5" t="inlineStr">
        <is>
          <t>CLASS R: ROADS AND PAVINGS</t>
        </is>
      </c>
      <c r="D3004" s="5" t="inlineStr">
        <is>
          <t>01 UNBOUND SUB-BASE</t>
        </is>
      </c>
      <c r="E3004" s="5" t="inlineStr">
        <is>
          <t>Category B (closed graded) Unbound Mixtures; Subbase; spread and graded</t>
        </is>
      </c>
      <c r="F3004" s="5" t="inlineStr">
        <is>
          <t>110 mm thick</t>
        </is>
      </c>
      <c r="G3004" s="6" t="inlineStr">
        <is>
          <t>m3</t>
        </is>
      </c>
      <c r="H3004" s="7" t="n">
        <v>0.2</v>
      </c>
      <c r="I3004" s="8" t="n">
        <v>35.81</v>
      </c>
      <c r="J3004" s="8" t="n">
        <v>8.17</v>
      </c>
      <c r="K3004" s="8" t="n">
        <v>135.34</v>
      </c>
      <c r="L3004" s="8" t="n">
        <v>0</v>
      </c>
      <c r="M3004" s="9">
        <f>ROUND(SUM(I3004:L3004),2)</f>
        <v/>
      </c>
      <c r="N3004" s="10">
        <f>ROUND(I3004*'Irish Basis'!$C$6*'Irish Basis'!$C$5,2)</f>
        <v/>
      </c>
      <c r="O3004" s="10">
        <f>ROUND(J3004*'Irish Basis'!$C$7*'Irish Basis'!$C$5,2)</f>
        <v/>
      </c>
      <c r="P3004" s="10">
        <f>ROUND(K3004*'Irish Basis'!$C$8*'Irish Basis'!$C$5,2)</f>
        <v/>
      </c>
      <c r="Q3004" s="10">
        <f>ROUND(L3004*'Irish Basis'!$C$12*'Irish Basis'!$C$5,2)</f>
        <v/>
      </c>
      <c r="R3004" s="11">
        <f>ROUND(SUM(N3004:Q3004),2)</f>
        <v/>
      </c>
      <c r="S3004" s="5" t="inlineStr">
        <is>
          <t>Stated build-up</t>
        </is>
      </c>
      <c r="T3004" s="12" t="inlineStr">
        <is>
          <t>High</t>
        </is>
      </c>
      <c r="U3004" s="8" t="n">
        <v>179.32</v>
      </c>
      <c r="V3004" s="13">
        <f>IF(U3004="","",ROUND(M3004-U3004,2))</f>
        <v/>
      </c>
      <c r="W3004" s="5" t="n"/>
      <c r="X3004" s="5" t="inlineStr">
        <is>
          <t>Labour + plant + material as published; reconciles to the published rate.</t>
        </is>
      </c>
    </row>
    <row r="3005" ht="13" customHeight="1">
      <c r="A3005" s="4" t="n">
        <v>4600</v>
      </c>
      <c r="B3005" s="5" t="inlineStr">
        <is>
          <t>IMG_0127</t>
        </is>
      </c>
      <c r="C3005" s="5" t="inlineStr">
        <is>
          <t>CLASS R: ROADS AND PAVINGS</t>
        </is>
      </c>
      <c r="D3005" s="5" t="inlineStr">
        <is>
          <t>01 UNBOUND SUB-BASE</t>
        </is>
      </c>
      <c r="E3005" s="5" t="inlineStr">
        <is>
          <t>Category B (closed graded) Unbound Mixtures; Subbase; spread and graded</t>
        </is>
      </c>
      <c r="F3005" s="5" t="inlineStr">
        <is>
          <t>150 mm thick</t>
        </is>
      </c>
      <c r="G3005" s="6" t="inlineStr">
        <is>
          <t>m3</t>
        </is>
      </c>
      <c r="H3005" s="7" t="n">
        <v>0.4</v>
      </c>
      <c r="I3005" s="8" t="n">
        <v>71.63</v>
      </c>
      <c r="J3005" s="8" t="n">
        <v>9.19</v>
      </c>
      <c r="K3005" s="8" t="n">
        <v>135.34</v>
      </c>
      <c r="L3005" s="8" t="n">
        <v>0</v>
      </c>
      <c r="M3005" s="9">
        <f>ROUND(SUM(I3005:L3005),2)</f>
        <v/>
      </c>
      <c r="N3005" s="10">
        <f>ROUND(I3005*'Irish Basis'!$C$6*'Irish Basis'!$C$5,2)</f>
        <v/>
      </c>
      <c r="O3005" s="10">
        <f>ROUND(J3005*'Irish Basis'!$C$7*'Irish Basis'!$C$5,2)</f>
        <v/>
      </c>
      <c r="P3005" s="10">
        <f>ROUND(K3005*'Irish Basis'!$C$8*'Irish Basis'!$C$5,2)</f>
        <v/>
      </c>
      <c r="Q3005" s="10">
        <f>ROUND(L3005*'Irish Basis'!$C$12*'Irish Basis'!$C$5,2)</f>
        <v/>
      </c>
      <c r="R3005" s="11">
        <f>ROUND(SUM(N3005:Q3005),2)</f>
        <v/>
      </c>
      <c r="S3005" s="5" t="inlineStr">
        <is>
          <t>Stated build-up</t>
        </is>
      </c>
      <c r="T3005" s="12" t="inlineStr">
        <is>
          <t>High</t>
        </is>
      </c>
      <c r="U3005" s="8" t="n">
        <v>216.15</v>
      </c>
      <c r="V3005" s="13">
        <f>IF(U3005="","",ROUND(M3005-U3005,2))</f>
        <v/>
      </c>
      <c r="W3005" s="5" t="n"/>
      <c r="X3005" s="5" t="inlineStr">
        <is>
          <t>Labour + plant + material as published; reconciles to the published rate.</t>
        </is>
      </c>
    </row>
    <row r="3006" ht="13" customHeight="1">
      <c r="A3006" s="4" t="n">
        <v>4601</v>
      </c>
      <c r="B3006" s="5" t="inlineStr">
        <is>
          <t>IMG_0127</t>
        </is>
      </c>
      <c r="C3006" s="5" t="inlineStr">
        <is>
          <t>CLASS R: ROADS AND PAVINGS</t>
        </is>
      </c>
      <c r="D3006" s="5" t="inlineStr">
        <is>
          <t>01 UNBOUND SUB-BASE</t>
        </is>
      </c>
      <c r="E3006" s="5" t="inlineStr">
        <is>
          <t>Category B (closed graded) Unbound Mixtures; Subbase; spread and graded</t>
        </is>
      </c>
      <c r="F3006" s="5" t="inlineStr">
        <is>
          <t>200 mm thick</t>
        </is>
      </c>
      <c r="G3006" s="6" t="inlineStr">
        <is>
          <t>m3</t>
        </is>
      </c>
      <c r="H3006" s="7" t="n">
        <v>0.5</v>
      </c>
      <c r="I3006" s="8" t="n">
        <v>89.53</v>
      </c>
      <c r="J3006" s="8" t="n">
        <v>10.21</v>
      </c>
      <c r="K3006" s="8" t="n">
        <v>135.34</v>
      </c>
      <c r="L3006" s="8" t="n">
        <v>0</v>
      </c>
      <c r="M3006" s="9">
        <f>ROUND(SUM(I3006:L3006),2)</f>
        <v/>
      </c>
      <c r="N3006" s="10">
        <f>ROUND(I3006*'Irish Basis'!$C$6*'Irish Basis'!$C$5,2)</f>
        <v/>
      </c>
      <c r="O3006" s="10">
        <f>ROUND(J3006*'Irish Basis'!$C$7*'Irish Basis'!$C$5,2)</f>
        <v/>
      </c>
      <c r="P3006" s="10">
        <f>ROUND(K3006*'Irish Basis'!$C$8*'Irish Basis'!$C$5,2)</f>
        <v/>
      </c>
      <c r="Q3006" s="10">
        <f>ROUND(L3006*'Irish Basis'!$C$12*'Irish Basis'!$C$5,2)</f>
        <v/>
      </c>
      <c r="R3006" s="11">
        <f>ROUND(SUM(N3006:Q3006),2)</f>
        <v/>
      </c>
      <c r="S3006" s="5" t="inlineStr">
        <is>
          <t>Stated build-up</t>
        </is>
      </c>
      <c r="T3006" s="12" t="inlineStr">
        <is>
          <t>High</t>
        </is>
      </c>
      <c r="U3006" s="8" t="n">
        <v>235.08</v>
      </c>
      <c r="V3006" s="13">
        <f>IF(U3006="","",ROUND(M3006-U3006,2))</f>
        <v/>
      </c>
      <c r="W3006" s="5" t="n"/>
      <c r="X3006" s="5" t="inlineStr">
        <is>
          <t>Labour + plant + material as published; reconciles to the published rate.</t>
        </is>
      </c>
    </row>
    <row r="3007" ht="13" customHeight="1">
      <c r="A3007" s="4" t="n">
        <v>4603</v>
      </c>
      <c r="B3007" s="5" t="inlineStr">
        <is>
          <t>IMG_0127</t>
        </is>
      </c>
      <c r="C3007" s="5" t="inlineStr">
        <is>
          <t>CLASS R: ROADS AND PAVINGS</t>
        </is>
      </c>
      <c r="D3007" s="5" t="inlineStr">
        <is>
          <t>01 UNBOUND SUB-BASE</t>
        </is>
      </c>
      <c r="E3007" s="5" t="inlineStr">
        <is>
          <t>Type 4 (asphalt arisings) Unbound Mixtures; Subbase; spread and graded</t>
        </is>
      </c>
      <c r="F3007" s="5" t="inlineStr">
        <is>
          <t>75 mm thick</t>
        </is>
      </c>
      <c r="G3007" s="6" t="inlineStr">
        <is>
          <t>m3</t>
        </is>
      </c>
      <c r="H3007" s="7" t="n">
        <v>0.15</v>
      </c>
      <c r="I3007" s="8" t="n">
        <v>26.86</v>
      </c>
      <c r="J3007" s="8" t="n">
        <v>9.19</v>
      </c>
      <c r="K3007" s="8" t="n">
        <v>117.32</v>
      </c>
      <c r="L3007" s="8" t="n">
        <v>0</v>
      </c>
      <c r="M3007" s="9">
        <f>ROUND(SUM(I3007:L3007),2)</f>
        <v/>
      </c>
      <c r="N3007" s="10">
        <f>ROUND(I3007*'Irish Basis'!$C$6*'Irish Basis'!$C$5,2)</f>
        <v/>
      </c>
      <c r="O3007" s="10">
        <f>ROUND(J3007*'Irish Basis'!$C$7*'Irish Basis'!$C$5,2)</f>
        <v/>
      </c>
      <c r="P3007" s="10">
        <f>ROUND(K3007*'Irish Basis'!$C$8*'Irish Basis'!$C$5,2)</f>
        <v/>
      </c>
      <c r="Q3007" s="10">
        <f>ROUND(L3007*'Irish Basis'!$C$12*'Irish Basis'!$C$5,2)</f>
        <v/>
      </c>
      <c r="R3007" s="11">
        <f>ROUND(SUM(N3007:Q3007),2)</f>
        <v/>
      </c>
      <c r="S3007" s="5" t="inlineStr">
        <is>
          <t>Stated build-up</t>
        </is>
      </c>
      <c r="T3007" s="12" t="inlineStr">
        <is>
          <t>High</t>
        </is>
      </c>
      <c r="U3007" s="8" t="n">
        <v>153.37</v>
      </c>
      <c r="V3007" s="13">
        <f>IF(U3007="","",ROUND(M3007-U3007,2))</f>
        <v/>
      </c>
      <c r="W3007" s="5" t="n"/>
      <c r="X3007" s="5" t="inlineStr">
        <is>
          <t>Labour + plant + material as published; reconciles to the published rate.</t>
        </is>
      </c>
    </row>
    <row r="3008" ht="13" customHeight="1">
      <c r="A3008" s="4" t="n">
        <v>4604</v>
      </c>
      <c r="B3008" s="5" t="inlineStr">
        <is>
          <t>IMG_0127</t>
        </is>
      </c>
      <c r="C3008" s="5" t="inlineStr">
        <is>
          <t>CLASS R: ROADS AND PAVINGS</t>
        </is>
      </c>
      <c r="D3008" s="5" t="inlineStr">
        <is>
          <t>01 UNBOUND SUB-BASE</t>
        </is>
      </c>
      <c r="E3008" s="5" t="inlineStr">
        <is>
          <t>Type 4 (asphalt arisings) Unbound Mixtures; Subbase; spread and graded</t>
        </is>
      </c>
      <c r="F3008" s="5" t="inlineStr">
        <is>
          <t>110 mm thick</t>
        </is>
      </c>
      <c r="G3008" s="6" t="inlineStr">
        <is>
          <t>m3</t>
        </is>
      </c>
      <c r="H3008" s="7" t="n">
        <v>0.35</v>
      </c>
      <c r="I3008" s="8" t="n">
        <v>62.67</v>
      </c>
      <c r="J3008" s="8" t="n">
        <v>10.21</v>
      </c>
      <c r="K3008" s="8" t="n">
        <v>93.86</v>
      </c>
      <c r="L3008" s="8" t="n">
        <v>0</v>
      </c>
      <c r="M3008" s="9">
        <f>ROUND(SUM(I3008:L3008),2)</f>
        <v/>
      </c>
      <c r="N3008" s="10">
        <f>ROUND(I3008*'Irish Basis'!$C$6*'Irish Basis'!$C$5,2)</f>
        <v/>
      </c>
      <c r="O3008" s="10">
        <f>ROUND(J3008*'Irish Basis'!$C$7*'Irish Basis'!$C$5,2)</f>
        <v/>
      </c>
      <c r="P3008" s="10">
        <f>ROUND(K3008*'Irish Basis'!$C$8*'Irish Basis'!$C$5,2)</f>
        <v/>
      </c>
      <c r="Q3008" s="10">
        <f>ROUND(L3008*'Irish Basis'!$C$12*'Irish Basis'!$C$5,2)</f>
        <v/>
      </c>
      <c r="R3008" s="11">
        <f>ROUND(SUM(N3008:Q3008),2)</f>
        <v/>
      </c>
      <c r="S3008" s="5" t="inlineStr">
        <is>
          <t>Stated build-up</t>
        </is>
      </c>
      <c r="T3008" s="12" t="inlineStr">
        <is>
          <t>High</t>
        </is>
      </c>
      <c r="U3008" s="8" t="n">
        <v>166.74</v>
      </c>
      <c r="V3008" s="13">
        <f>IF(U3008="","",ROUND(M3008-U3008,2))</f>
        <v/>
      </c>
      <c r="W3008" s="5" t="n"/>
      <c r="X3008" s="5" t="inlineStr">
        <is>
          <t>Labour + plant + material as published; reconciles to the published rate.</t>
        </is>
      </c>
    </row>
    <row r="3009" ht="13" customHeight="1">
      <c r="A3009" s="4" t="n">
        <v>4605</v>
      </c>
      <c r="B3009" s="5" t="inlineStr">
        <is>
          <t>IMG_0127</t>
        </is>
      </c>
      <c r="C3009" s="5" t="inlineStr">
        <is>
          <t>CLASS R: ROADS AND PAVINGS</t>
        </is>
      </c>
      <c r="D3009" s="5" t="inlineStr">
        <is>
          <t>01 UNBOUND SUB-BASE</t>
        </is>
      </c>
      <c r="E3009" s="5" t="inlineStr">
        <is>
          <t>Type 4 (asphalt arisings) Unbound Mixtures; Subbase; spread and graded</t>
        </is>
      </c>
      <c r="F3009" s="5" t="inlineStr">
        <is>
          <t>150 mm thick</t>
        </is>
      </c>
      <c r="G3009" s="6" t="inlineStr">
        <is>
          <t>m3</t>
        </is>
      </c>
      <c r="H3009" s="7" t="n">
        <v>0.35</v>
      </c>
      <c r="I3009" s="8" t="n">
        <v>62.67</v>
      </c>
      <c r="J3009" s="8" t="n">
        <v>10.21</v>
      </c>
      <c r="K3009" s="8" t="n">
        <v>105.59</v>
      </c>
      <c r="L3009" s="8" t="n">
        <v>0</v>
      </c>
      <c r="M3009" s="9">
        <f>ROUND(SUM(I3009:L3009),2)</f>
        <v/>
      </c>
      <c r="N3009" s="10">
        <f>ROUND(I3009*'Irish Basis'!$C$6*'Irish Basis'!$C$5,2)</f>
        <v/>
      </c>
      <c r="O3009" s="10">
        <f>ROUND(J3009*'Irish Basis'!$C$7*'Irish Basis'!$C$5,2)</f>
        <v/>
      </c>
      <c r="P3009" s="10">
        <f>ROUND(K3009*'Irish Basis'!$C$8*'Irish Basis'!$C$5,2)</f>
        <v/>
      </c>
      <c r="Q3009" s="10">
        <f>ROUND(L3009*'Irish Basis'!$C$12*'Irish Basis'!$C$5,2)</f>
        <v/>
      </c>
      <c r="R3009" s="11">
        <f>ROUND(SUM(N3009:Q3009),2)</f>
        <v/>
      </c>
      <c r="S3009" s="5" t="inlineStr">
        <is>
          <t>Stated build-up</t>
        </is>
      </c>
      <c r="T3009" s="12" t="inlineStr">
        <is>
          <t>High</t>
        </is>
      </c>
      <c r="U3009" s="8" t="n">
        <v>178.47</v>
      </c>
      <c r="V3009" s="13">
        <f>IF(U3009="","",ROUND(M3009-U3009,2))</f>
        <v/>
      </c>
      <c r="W3009" s="5" t="n"/>
      <c r="X3009" s="5" t="inlineStr">
        <is>
          <t>Labour + plant + material as published; reconciles to the published rate.</t>
        </is>
      </c>
    </row>
    <row r="3010" ht="13" customHeight="1">
      <c r="A3010" s="4" t="n">
        <v>4606</v>
      </c>
      <c r="B3010" s="5" t="inlineStr">
        <is>
          <t>IMG_0127</t>
        </is>
      </c>
      <c r="C3010" s="5" t="inlineStr">
        <is>
          <t>CLASS R: ROADS AND PAVINGS</t>
        </is>
      </c>
      <c r="D3010" s="5" t="inlineStr">
        <is>
          <t>01 UNBOUND SUB-BASE</t>
        </is>
      </c>
      <c r="E3010" s="5" t="inlineStr">
        <is>
          <t>Type 4 (asphalt arisings) Unbound Mixtures; Subbase; spread and graded</t>
        </is>
      </c>
      <c r="F3010" s="5" t="inlineStr">
        <is>
          <t>200 mm thick</t>
        </is>
      </c>
      <c r="G3010" s="6" t="inlineStr">
        <is>
          <t>m3</t>
        </is>
      </c>
      <c r="H3010" s="7" t="n">
        <v>0.35</v>
      </c>
      <c r="I3010" s="8" t="n">
        <v>62.67</v>
      </c>
      <c r="J3010" s="8" t="n">
        <v>10.21</v>
      </c>
      <c r="K3010" s="8" t="n">
        <v>117.32</v>
      </c>
      <c r="L3010" s="8" t="n">
        <v>0</v>
      </c>
      <c r="M3010" s="9">
        <f>ROUND(SUM(I3010:L3010),2)</f>
        <v/>
      </c>
      <c r="N3010" s="10">
        <f>ROUND(I3010*'Irish Basis'!$C$6*'Irish Basis'!$C$5,2)</f>
        <v/>
      </c>
      <c r="O3010" s="10">
        <f>ROUND(J3010*'Irish Basis'!$C$7*'Irish Basis'!$C$5,2)</f>
        <v/>
      </c>
      <c r="P3010" s="10">
        <f>ROUND(K3010*'Irish Basis'!$C$8*'Irish Basis'!$C$5,2)</f>
        <v/>
      </c>
      <c r="Q3010" s="10">
        <f>ROUND(L3010*'Irish Basis'!$C$12*'Irish Basis'!$C$5,2)</f>
        <v/>
      </c>
      <c r="R3010" s="11">
        <f>ROUND(SUM(N3010:Q3010),2)</f>
        <v/>
      </c>
      <c r="S3010" s="5" t="inlineStr">
        <is>
          <t>Stated build-up</t>
        </is>
      </c>
      <c r="T3010" s="12" t="inlineStr">
        <is>
          <t>High</t>
        </is>
      </c>
      <c r="U3010" s="8" t="n">
        <v>190.2</v>
      </c>
      <c r="V3010" s="13">
        <f>IF(U3010="","",ROUND(M3010-U3010,2))</f>
        <v/>
      </c>
      <c r="W3010" s="5" t="n"/>
      <c r="X3010" s="5" t="inlineStr">
        <is>
          <t>Labour + plant + material as published; reconciles to the published rate.</t>
        </is>
      </c>
    </row>
    <row r="3011" ht="13" customHeight="1">
      <c r="A3011" s="4" t="n">
        <v>4611</v>
      </c>
      <c r="B3011" s="5" t="inlineStr">
        <is>
          <t>IMG_0127</t>
        </is>
      </c>
      <c r="C3011" s="5" t="inlineStr">
        <is>
          <t>CLASS R: ROADS AND PAVINGS</t>
        </is>
      </c>
      <c r="D3011" s="5" t="inlineStr">
        <is>
          <t>02 CEMENT AND OTHER HYDRAULICALLY BOUND PAVEMENTS</t>
        </is>
      </c>
      <c r="E3011" s="5" t="inlineStr">
        <is>
          <t>Cement Bound Granular Mixture 5 (CBGM 5) C3/4</t>
        </is>
      </c>
      <c r="F3011" s="5" t="inlineStr">
        <is>
          <t>150 mm thick</t>
        </is>
      </c>
      <c r="G3011" s="6" t="inlineStr">
        <is>
          <t>m3</t>
        </is>
      </c>
      <c r="H3011" s="7" t="n">
        <v>0.1</v>
      </c>
      <c r="I3011" s="8" t="n">
        <v>17.91</v>
      </c>
      <c r="J3011" s="8" t="n">
        <v>10.82</v>
      </c>
      <c r="K3011" s="8" t="n">
        <v>170.93</v>
      </c>
      <c r="L3011" s="8" t="n">
        <v>0</v>
      </c>
      <c r="M3011" s="9">
        <f>ROUND(SUM(I3011:L3011),2)</f>
        <v/>
      </c>
      <c r="N3011" s="10">
        <f>ROUND(I3011*'Irish Basis'!$C$6*'Irish Basis'!$C$5,2)</f>
        <v/>
      </c>
      <c r="O3011" s="10">
        <f>ROUND(J3011*'Irish Basis'!$C$7*'Irish Basis'!$C$5,2)</f>
        <v/>
      </c>
      <c r="P3011" s="10">
        <f>ROUND(K3011*'Irish Basis'!$C$8*'Irish Basis'!$C$5,2)</f>
        <v/>
      </c>
      <c r="Q3011" s="10">
        <f>ROUND(L3011*'Irish Basis'!$C$12*'Irish Basis'!$C$5,2)</f>
        <v/>
      </c>
      <c r="R3011" s="11">
        <f>ROUND(SUM(N3011:Q3011),2)</f>
        <v/>
      </c>
      <c r="S3011" s="5" t="inlineStr">
        <is>
          <t>Stated build-up</t>
        </is>
      </c>
      <c r="T3011" s="12" t="inlineStr">
        <is>
          <t>High</t>
        </is>
      </c>
      <c r="U3011" s="8" t="n">
        <v>199.66</v>
      </c>
      <c r="V3011" s="13">
        <f>IF(U3011="","",ROUND(M3011-U3011,2))</f>
        <v/>
      </c>
      <c r="W3011" s="5" t="n"/>
      <c r="X3011" s="5" t="inlineStr">
        <is>
          <t>Labour + plant + material as published; reconciles to the published rate.</t>
        </is>
      </c>
    </row>
    <row r="3012" ht="13" customHeight="1">
      <c r="A3012" s="4" t="n">
        <v>4612</v>
      </c>
      <c r="B3012" s="5" t="inlineStr">
        <is>
          <t>IMG_0127</t>
        </is>
      </c>
      <c r="C3012" s="5" t="inlineStr">
        <is>
          <t>CLASS R: ROADS AND PAVINGS</t>
        </is>
      </c>
      <c r="D3012" s="5" t="inlineStr">
        <is>
          <t>02 CEMENT AND OTHER HYDRAULICALLY BOUND PAVEMENTS</t>
        </is>
      </c>
      <c r="E3012" s="5" t="inlineStr">
        <is>
          <t>Cement Bound Granular Mixture 5 (CBGM 5) C3/4</t>
        </is>
      </c>
      <c r="F3012" s="5" t="inlineStr">
        <is>
          <t>200 mm thick</t>
        </is>
      </c>
      <c r="G3012" s="6" t="inlineStr">
        <is>
          <t>m3</t>
        </is>
      </c>
      <c r="H3012" s="7" t="n">
        <v>0.13</v>
      </c>
      <c r="I3012" s="8" t="n">
        <v>22.38</v>
      </c>
      <c r="J3012" s="8" t="n">
        <v>11.23</v>
      </c>
      <c r="K3012" s="8" t="n">
        <v>170.93</v>
      </c>
      <c r="L3012" s="8" t="n">
        <v>0</v>
      </c>
      <c r="M3012" s="9">
        <f>ROUND(SUM(I3012:L3012),2)</f>
        <v/>
      </c>
      <c r="N3012" s="10">
        <f>ROUND(I3012*'Irish Basis'!$C$6*'Irish Basis'!$C$5,2)</f>
        <v/>
      </c>
      <c r="O3012" s="10">
        <f>ROUND(J3012*'Irish Basis'!$C$7*'Irish Basis'!$C$5,2)</f>
        <v/>
      </c>
      <c r="P3012" s="10">
        <f>ROUND(K3012*'Irish Basis'!$C$8*'Irish Basis'!$C$5,2)</f>
        <v/>
      </c>
      <c r="Q3012" s="10">
        <f>ROUND(L3012*'Irish Basis'!$C$12*'Irish Basis'!$C$5,2)</f>
        <v/>
      </c>
      <c r="R3012" s="11">
        <f>ROUND(SUM(N3012:Q3012),2)</f>
        <v/>
      </c>
      <c r="S3012" s="5" t="inlineStr">
        <is>
          <t>Stated build-up</t>
        </is>
      </c>
      <c r="T3012" s="12" t="inlineStr">
        <is>
          <t>High</t>
        </is>
      </c>
      <c r="U3012" s="8" t="n">
        <v>204.55</v>
      </c>
      <c r="V3012" s="13">
        <f>IF(U3012="","",ROUND(M3012-U3012,2))</f>
        <v/>
      </c>
      <c r="W3012" s="5" t="n"/>
      <c r="X3012" s="5" t="inlineStr">
        <is>
          <t>Labour + plant + material as published; reconciles to the published rate.</t>
        </is>
      </c>
    </row>
    <row r="3013" ht="13" customHeight="1">
      <c r="A3013" s="4" t="n">
        <v>4613</v>
      </c>
      <c r="B3013" s="5" t="inlineStr">
        <is>
          <t>IMG_0127</t>
        </is>
      </c>
      <c r="C3013" s="5" t="inlineStr">
        <is>
          <t>CLASS R: ROADS AND PAVINGS</t>
        </is>
      </c>
      <c r="D3013" s="5" t="inlineStr">
        <is>
          <t>02 CEMENT AND OTHER HYDRAULICALLY BOUND PAVEMENTS</t>
        </is>
      </c>
      <c r="E3013" s="5" t="inlineStr">
        <is>
          <t>Cement Bound Granular Mixture 5 (CBGM 5) C3/4</t>
        </is>
      </c>
      <c r="F3013" s="5" t="inlineStr">
        <is>
          <t>250 mm thick</t>
        </is>
      </c>
      <c r="G3013" s="6" t="inlineStr">
        <is>
          <t>m3</t>
        </is>
      </c>
      <c r="H3013" s="7" t="n">
        <v>0.15</v>
      </c>
      <c r="I3013" s="8" t="n">
        <v>26.86</v>
      </c>
      <c r="J3013" s="8" t="n">
        <v>11.84</v>
      </c>
      <c r="K3013" s="8" t="n">
        <v>170.93</v>
      </c>
      <c r="L3013" s="8" t="n">
        <v>0</v>
      </c>
      <c r="M3013" s="9">
        <f>ROUND(SUM(I3013:L3013),2)</f>
        <v/>
      </c>
      <c r="N3013" s="10">
        <f>ROUND(I3013*'Irish Basis'!$C$6*'Irish Basis'!$C$5,2)</f>
        <v/>
      </c>
      <c r="O3013" s="10">
        <f>ROUND(J3013*'Irish Basis'!$C$7*'Irish Basis'!$C$5,2)</f>
        <v/>
      </c>
      <c r="P3013" s="10">
        <f>ROUND(K3013*'Irish Basis'!$C$8*'Irish Basis'!$C$5,2)</f>
        <v/>
      </c>
      <c r="Q3013" s="10">
        <f>ROUND(L3013*'Irish Basis'!$C$12*'Irish Basis'!$C$5,2)</f>
        <v/>
      </c>
      <c r="R3013" s="11">
        <f>ROUND(SUM(N3013:Q3013),2)</f>
        <v/>
      </c>
      <c r="S3013" s="5" t="inlineStr">
        <is>
          <t>Stated build-up</t>
        </is>
      </c>
      <c r="T3013" s="12" t="inlineStr">
        <is>
          <t>High</t>
        </is>
      </c>
      <c r="U3013" s="8" t="n">
        <v>209.63</v>
      </c>
      <c r="V3013" s="13">
        <f>IF(U3013="","",ROUND(M3013-U3013,2))</f>
        <v/>
      </c>
      <c r="W3013" s="5" t="n"/>
      <c r="X3013" s="5" t="inlineStr">
        <is>
          <t>Labour + plant + material as published; reconciles to the published rate.</t>
        </is>
      </c>
    </row>
    <row r="3014" ht="13" customHeight="1">
      <c r="A3014" s="4" t="n">
        <v>4615</v>
      </c>
      <c r="B3014" s="5" t="inlineStr">
        <is>
          <t>IMG_0127</t>
        </is>
      </c>
      <c r="C3014" s="5" t="inlineStr">
        <is>
          <t>CLASS R: ROADS AND PAVINGS</t>
        </is>
      </c>
      <c r="D3014" s="5" t="inlineStr">
        <is>
          <t>02 CEMENT AND OTHER HYDRAULICALLY BOUND PAVEMENTS</t>
        </is>
      </c>
      <c r="E3014" s="5" t="inlineStr">
        <is>
          <t>Cement Bound Granular Mixture 5 (CBGM 5) C8/10; Subbase, laid, compacted</t>
        </is>
      </c>
      <c r="F3014" s="5" t="inlineStr">
        <is>
          <t>150 mm thick</t>
        </is>
      </c>
      <c r="G3014" s="6" t="inlineStr">
        <is>
          <t>m3</t>
        </is>
      </c>
      <c r="H3014" s="7" t="n">
        <v>0.13</v>
      </c>
      <c r="I3014" s="8" t="n">
        <v>22.38</v>
      </c>
      <c r="J3014" s="8" t="n">
        <v>11.23</v>
      </c>
      <c r="K3014" s="8" t="n">
        <v>182.05</v>
      </c>
      <c r="L3014" s="8" t="n">
        <v>0</v>
      </c>
      <c r="M3014" s="9">
        <f>ROUND(SUM(I3014:L3014),2)</f>
        <v/>
      </c>
      <c r="N3014" s="10">
        <f>ROUND(I3014*'Irish Basis'!$C$6*'Irish Basis'!$C$5,2)</f>
        <v/>
      </c>
      <c r="O3014" s="10">
        <f>ROUND(J3014*'Irish Basis'!$C$7*'Irish Basis'!$C$5,2)</f>
        <v/>
      </c>
      <c r="P3014" s="10">
        <f>ROUND(K3014*'Irish Basis'!$C$8*'Irish Basis'!$C$5,2)</f>
        <v/>
      </c>
      <c r="Q3014" s="10">
        <f>ROUND(L3014*'Irish Basis'!$C$12*'Irish Basis'!$C$5,2)</f>
        <v/>
      </c>
      <c r="R3014" s="11">
        <f>ROUND(SUM(N3014:Q3014),2)</f>
        <v/>
      </c>
      <c r="S3014" s="5" t="inlineStr">
        <is>
          <t>Stated build-up</t>
        </is>
      </c>
      <c r="T3014" s="12" t="inlineStr">
        <is>
          <t>High</t>
        </is>
      </c>
      <c r="U3014" s="8" t="n">
        <v>215.66</v>
      </c>
      <c r="V3014" s="13">
        <f>IF(U3014="","",ROUND(M3014-U3014,2))</f>
        <v/>
      </c>
      <c r="W3014" s="5" t="n"/>
      <c r="X3014" s="5" t="inlineStr">
        <is>
          <t>Labour + plant + material as published; reconciles to the published rate.</t>
        </is>
      </c>
    </row>
    <row r="3015" ht="13" customHeight="1">
      <c r="A3015" s="4" t="n">
        <v>4616</v>
      </c>
      <c r="B3015" s="5" t="inlineStr">
        <is>
          <t>IMG_0127</t>
        </is>
      </c>
      <c r="C3015" s="5" t="inlineStr">
        <is>
          <t>CLASS R: ROADS AND PAVINGS</t>
        </is>
      </c>
      <c r="D3015" s="5" t="inlineStr">
        <is>
          <t>02 CEMENT AND OTHER HYDRAULICALLY BOUND PAVEMENTS</t>
        </is>
      </c>
      <c r="E3015" s="5" t="inlineStr">
        <is>
          <t>Cement Bound Granular Mixture 5 (CBGM 5) C8/10; Subbase, laid, compacted</t>
        </is>
      </c>
      <c r="F3015" s="5" t="inlineStr">
        <is>
          <t>200 mm thick</t>
        </is>
      </c>
      <c r="G3015" s="6" t="inlineStr">
        <is>
          <t>m3</t>
        </is>
      </c>
      <c r="H3015" s="7" t="n">
        <v>0.13</v>
      </c>
      <c r="I3015" s="8" t="n">
        <v>22.38</v>
      </c>
      <c r="J3015" s="8" t="n">
        <v>11.23</v>
      </c>
      <c r="K3015" s="8" t="n">
        <v>187.92</v>
      </c>
      <c r="L3015" s="8" t="n">
        <v>0</v>
      </c>
      <c r="M3015" s="9">
        <f>ROUND(SUM(I3015:L3015),2)</f>
        <v/>
      </c>
      <c r="N3015" s="10">
        <f>ROUND(I3015*'Irish Basis'!$C$6*'Irish Basis'!$C$5,2)</f>
        <v/>
      </c>
      <c r="O3015" s="10">
        <f>ROUND(J3015*'Irish Basis'!$C$7*'Irish Basis'!$C$5,2)</f>
        <v/>
      </c>
      <c r="P3015" s="10">
        <f>ROUND(K3015*'Irish Basis'!$C$8*'Irish Basis'!$C$5,2)</f>
        <v/>
      </c>
      <c r="Q3015" s="10">
        <f>ROUND(L3015*'Irish Basis'!$C$12*'Irish Basis'!$C$5,2)</f>
        <v/>
      </c>
      <c r="R3015" s="11">
        <f>ROUND(SUM(N3015:Q3015),2)</f>
        <v/>
      </c>
      <c r="S3015" s="5" t="inlineStr">
        <is>
          <t>Stated build-up</t>
        </is>
      </c>
      <c r="T3015" s="12" t="inlineStr">
        <is>
          <t>High</t>
        </is>
      </c>
      <c r="U3015" s="8" t="n">
        <v>221.53</v>
      </c>
      <c r="V3015" s="13">
        <f>IF(U3015="","",ROUND(M3015-U3015,2))</f>
        <v/>
      </c>
      <c r="W3015" s="5" t="n"/>
      <c r="X3015" s="5" t="inlineStr">
        <is>
          <t>Labour + plant + material as published; reconciles to the published rate.</t>
        </is>
      </c>
    </row>
    <row r="3016" ht="13" customHeight="1">
      <c r="A3016" s="4" t="n">
        <v>4618</v>
      </c>
      <c r="B3016" s="5" t="inlineStr">
        <is>
          <t>IMG_0128</t>
        </is>
      </c>
      <c r="C3016" s="5" t="inlineStr">
        <is>
          <t>CLASS R: ROADS AND PAVINGS</t>
        </is>
      </c>
      <c r="D3016" s="5" t="inlineStr">
        <is>
          <t>02 CEMENT AND OTHER HYDRAULICALLY BOUND PAVEMENTS</t>
        </is>
      </c>
      <c r="E3016" s="5" t="inlineStr">
        <is>
          <t>Cement Bound Granular Mixture 5 (CBGM 5) C8/10; Subbase, laid, compacted (continued)</t>
        </is>
      </c>
      <c r="F3016" s="5" t="inlineStr">
        <is>
          <t>250 mm thick</t>
        </is>
      </c>
      <c r="G3016" s="6" t="inlineStr">
        <is>
          <t>m3</t>
        </is>
      </c>
      <c r="H3016" s="7" t="n">
        <v>0.13</v>
      </c>
      <c r="I3016" s="8" t="n">
        <v>22.38</v>
      </c>
      <c r="J3016" s="8" t="n">
        <v>11.23</v>
      </c>
      <c r="K3016" s="8" t="n">
        <v>193.79</v>
      </c>
      <c r="L3016" s="8" t="n">
        <v>0</v>
      </c>
      <c r="M3016" s="9">
        <f>ROUND(SUM(I3016:L3016),2)</f>
        <v/>
      </c>
      <c r="N3016" s="10">
        <f>ROUND(I3016*'Irish Basis'!$C$6*'Irish Basis'!$C$5,2)</f>
        <v/>
      </c>
      <c r="O3016" s="10">
        <f>ROUND(J3016*'Irish Basis'!$C$7*'Irish Basis'!$C$5,2)</f>
        <v/>
      </c>
      <c r="P3016" s="10">
        <f>ROUND(K3016*'Irish Basis'!$C$8*'Irish Basis'!$C$5,2)</f>
        <v/>
      </c>
      <c r="Q3016" s="10">
        <f>ROUND(L3016*'Irish Basis'!$C$12*'Irish Basis'!$C$5,2)</f>
        <v/>
      </c>
      <c r="R3016" s="11">
        <f>ROUND(SUM(N3016:Q3016),2)</f>
        <v/>
      </c>
      <c r="S3016" s="5" t="inlineStr">
        <is>
          <t>Stated build-up</t>
        </is>
      </c>
      <c r="T3016" s="12" t="inlineStr">
        <is>
          <t>High</t>
        </is>
      </c>
      <c r="U3016" s="8" t="n">
        <v>227.4</v>
      </c>
      <c r="V3016" s="13">
        <f>IF(U3016="","",ROUND(M3016-U3016,2))</f>
        <v/>
      </c>
      <c r="W3016" s="5" t="n"/>
      <c r="X3016" s="5" t="inlineStr">
        <is>
          <t>Labour + plant + material as published; reconciles to the published rate.</t>
        </is>
      </c>
    </row>
    <row r="3017" ht="13" customHeight="1">
      <c r="A3017" s="4" t="n">
        <v>4620</v>
      </c>
      <c r="B3017" s="5" t="inlineStr">
        <is>
          <t>IMG_0128</t>
        </is>
      </c>
      <c r="C3017" s="5" t="inlineStr">
        <is>
          <t>CLASS R: ROADS AND PAVINGS</t>
        </is>
      </c>
      <c r="D3017" s="5" t="inlineStr">
        <is>
          <t>02 CEMENT AND OTHER HYDRAULICALLY BOUND PAVEMENTS</t>
        </is>
      </c>
      <c r="E3017" s="5" t="inlineStr">
        <is>
          <t>Cement Bound Granular Mixture 1 (CBGM 1) C8/10; Base, laid, compacted</t>
        </is>
      </c>
      <c r="F3017" s="5" t="inlineStr">
        <is>
          <t>150 mm thick</t>
        </is>
      </c>
      <c r="G3017" s="6" t="inlineStr">
        <is>
          <t>m3</t>
        </is>
      </c>
      <c r="H3017" s="7" t="n">
        <v>0.13</v>
      </c>
      <c r="I3017" s="8" t="n">
        <v>22.38</v>
      </c>
      <c r="J3017" s="8" t="n">
        <v>11.23</v>
      </c>
      <c r="K3017" s="8" t="n">
        <v>188.3</v>
      </c>
      <c r="L3017" s="8" t="n">
        <v>0</v>
      </c>
      <c r="M3017" s="9">
        <f>ROUND(SUM(I3017:L3017),2)</f>
        <v/>
      </c>
      <c r="N3017" s="10">
        <f>ROUND(I3017*'Irish Basis'!$C$6*'Irish Basis'!$C$5,2)</f>
        <v/>
      </c>
      <c r="O3017" s="10">
        <f>ROUND(J3017*'Irish Basis'!$C$7*'Irish Basis'!$C$5,2)</f>
        <v/>
      </c>
      <c r="P3017" s="10">
        <f>ROUND(K3017*'Irish Basis'!$C$8*'Irish Basis'!$C$5,2)</f>
        <v/>
      </c>
      <c r="Q3017" s="10">
        <f>ROUND(L3017*'Irish Basis'!$C$12*'Irish Basis'!$C$5,2)</f>
        <v/>
      </c>
      <c r="R3017" s="11">
        <f>ROUND(SUM(N3017:Q3017),2)</f>
        <v/>
      </c>
      <c r="S3017" s="5" t="inlineStr">
        <is>
          <t>Stated build-up</t>
        </is>
      </c>
      <c r="T3017" s="12" t="inlineStr">
        <is>
          <t>High</t>
        </is>
      </c>
      <c r="U3017" s="8" t="n">
        <v>221.91</v>
      </c>
      <c r="V3017" s="13">
        <f>IF(U3017="","",ROUND(M3017-U3017,2))</f>
        <v/>
      </c>
      <c r="W3017" s="5" t="n"/>
      <c r="X3017" s="5" t="inlineStr">
        <is>
          <t>Labour + plant + material as published; reconciles to the published rate.</t>
        </is>
      </c>
    </row>
    <row r="3018" ht="13" customHeight="1">
      <c r="A3018" s="4" t="n">
        <v>4621</v>
      </c>
      <c r="B3018" s="5" t="inlineStr">
        <is>
          <t>IMG_0128</t>
        </is>
      </c>
      <c r="C3018" s="5" t="inlineStr">
        <is>
          <t>CLASS R: ROADS AND PAVINGS</t>
        </is>
      </c>
      <c r="D3018" s="5" t="inlineStr">
        <is>
          <t>02 CEMENT AND OTHER HYDRAULICALLY BOUND PAVEMENTS</t>
        </is>
      </c>
      <c r="E3018" s="5" t="inlineStr">
        <is>
          <t>Cement Bound Granular Mixture 1 (CBGM 1) C8/10; Base, laid, compacted</t>
        </is>
      </c>
      <c r="F3018" s="5" t="inlineStr">
        <is>
          <t>200 mm thick</t>
        </is>
      </c>
      <c r="G3018" s="6" t="inlineStr">
        <is>
          <t>m3</t>
        </is>
      </c>
      <c r="H3018" s="7" t="n">
        <v>0.13</v>
      </c>
      <c r="I3018" s="8" t="n">
        <v>22.38</v>
      </c>
      <c r="J3018" s="8" t="n">
        <v>11.23</v>
      </c>
      <c r="K3018" s="8" t="n">
        <v>194.37</v>
      </c>
      <c r="L3018" s="8" t="n">
        <v>0</v>
      </c>
      <c r="M3018" s="9">
        <f>ROUND(SUM(I3018:L3018),2)</f>
        <v/>
      </c>
      <c r="N3018" s="10">
        <f>ROUND(I3018*'Irish Basis'!$C$6*'Irish Basis'!$C$5,2)</f>
        <v/>
      </c>
      <c r="O3018" s="10">
        <f>ROUND(J3018*'Irish Basis'!$C$7*'Irish Basis'!$C$5,2)</f>
        <v/>
      </c>
      <c r="P3018" s="10">
        <f>ROUND(K3018*'Irish Basis'!$C$8*'Irish Basis'!$C$5,2)</f>
        <v/>
      </c>
      <c r="Q3018" s="10">
        <f>ROUND(L3018*'Irish Basis'!$C$12*'Irish Basis'!$C$5,2)</f>
        <v/>
      </c>
      <c r="R3018" s="11">
        <f>ROUND(SUM(N3018:Q3018),2)</f>
        <v/>
      </c>
      <c r="S3018" s="5" t="inlineStr">
        <is>
          <t>Stated build-up</t>
        </is>
      </c>
      <c r="T3018" s="12" t="inlineStr">
        <is>
          <t>High</t>
        </is>
      </c>
      <c r="U3018" s="8" t="n">
        <v>227.98</v>
      </c>
      <c r="V3018" s="13">
        <f>IF(U3018="","",ROUND(M3018-U3018,2))</f>
        <v/>
      </c>
      <c r="W3018" s="5" t="n"/>
      <c r="X3018" s="5" t="inlineStr">
        <is>
          <t>Labour + plant + material as published; reconciles to the published rate.</t>
        </is>
      </c>
    </row>
    <row r="3019" ht="13" customHeight="1">
      <c r="A3019" s="4" t="n">
        <v>4622</v>
      </c>
      <c r="B3019" s="5" t="inlineStr">
        <is>
          <t>IMG_0128</t>
        </is>
      </c>
      <c r="C3019" s="5" t="inlineStr">
        <is>
          <t>CLASS R: ROADS AND PAVINGS</t>
        </is>
      </c>
      <c r="D3019" s="5" t="inlineStr">
        <is>
          <t>02 CEMENT AND OTHER HYDRAULICALLY BOUND PAVEMENTS</t>
        </is>
      </c>
      <c r="E3019" s="5" t="inlineStr">
        <is>
          <t>Cement Bound Granular Mixture 1 (CBGM 1) C8/10; Base, laid, compacted</t>
        </is>
      </c>
      <c r="F3019" s="5" t="inlineStr">
        <is>
          <t>250 mm thick</t>
        </is>
      </c>
      <c r="G3019" s="6" t="inlineStr">
        <is>
          <t>m3</t>
        </is>
      </c>
      <c r="H3019" s="7" t="n">
        <v>0.13</v>
      </c>
      <c r="I3019" s="8" t="n">
        <v>22.38</v>
      </c>
      <c r="J3019" s="8" t="n">
        <v>11.23</v>
      </c>
      <c r="K3019" s="8" t="n">
        <v>200.44</v>
      </c>
      <c r="L3019" s="8" t="n">
        <v>0</v>
      </c>
      <c r="M3019" s="9">
        <f>ROUND(SUM(I3019:L3019),2)</f>
        <v/>
      </c>
      <c r="N3019" s="10">
        <f>ROUND(I3019*'Irish Basis'!$C$6*'Irish Basis'!$C$5,2)</f>
        <v/>
      </c>
      <c r="O3019" s="10">
        <f>ROUND(J3019*'Irish Basis'!$C$7*'Irish Basis'!$C$5,2)</f>
        <v/>
      </c>
      <c r="P3019" s="10">
        <f>ROUND(K3019*'Irish Basis'!$C$8*'Irish Basis'!$C$5,2)</f>
        <v/>
      </c>
      <c r="Q3019" s="10">
        <f>ROUND(L3019*'Irish Basis'!$C$12*'Irish Basis'!$C$5,2)</f>
        <v/>
      </c>
      <c r="R3019" s="11">
        <f>ROUND(SUM(N3019:Q3019),2)</f>
        <v/>
      </c>
      <c r="S3019" s="5" t="inlineStr">
        <is>
          <t>Stated build-up</t>
        </is>
      </c>
      <c r="T3019" s="12" t="inlineStr">
        <is>
          <t>High</t>
        </is>
      </c>
      <c r="U3019" s="8" t="n">
        <v>234.06</v>
      </c>
      <c r="V3019" s="13">
        <f>IF(U3019="","",ROUND(M3019-U3019,2))</f>
        <v/>
      </c>
      <c r="W3019" s="5" t="n"/>
      <c r="X3019" s="5" t="inlineStr">
        <is>
          <t>Labour + plant + material as published; reconciles to the published rate.</t>
        </is>
      </c>
    </row>
    <row r="3020" ht="13" customHeight="1">
      <c r="A3020" s="4" t="n">
        <v>4624</v>
      </c>
      <c r="B3020" s="5" t="inlineStr">
        <is>
          <t>IMG_0128</t>
        </is>
      </c>
      <c r="C3020" s="5" t="inlineStr">
        <is>
          <t>CLASS R: ROADS AND PAVINGS</t>
        </is>
      </c>
      <c r="D3020" s="5" t="inlineStr">
        <is>
          <t>02 CEMENT AND OTHER HYDRAULICALLY BOUND PAVEMENTS</t>
        </is>
      </c>
      <c r="E3020" s="5" t="inlineStr">
        <is>
          <t>Cement Bound Granular Mixture (CBGM 1) C12/16; Base, laid, compacted</t>
        </is>
      </c>
      <c r="F3020" s="5" t="inlineStr">
        <is>
          <t>150 mm thick</t>
        </is>
      </c>
      <c r="G3020" s="6" t="inlineStr">
        <is>
          <t>m3</t>
        </is>
      </c>
      <c r="H3020" s="7" t="n">
        <v>0.13</v>
      </c>
      <c r="I3020" s="8" t="n">
        <v>22.38</v>
      </c>
      <c r="J3020" s="8" t="n">
        <v>11.23</v>
      </c>
      <c r="K3020" s="8" t="n">
        <v>198.09</v>
      </c>
      <c r="L3020" s="8" t="n">
        <v>0</v>
      </c>
      <c r="M3020" s="9">
        <f>ROUND(SUM(I3020:L3020),2)</f>
        <v/>
      </c>
      <c r="N3020" s="10">
        <f>ROUND(I3020*'Irish Basis'!$C$6*'Irish Basis'!$C$5,2)</f>
        <v/>
      </c>
      <c r="O3020" s="10">
        <f>ROUND(J3020*'Irish Basis'!$C$7*'Irish Basis'!$C$5,2)</f>
        <v/>
      </c>
      <c r="P3020" s="10">
        <f>ROUND(K3020*'Irish Basis'!$C$8*'Irish Basis'!$C$5,2)</f>
        <v/>
      </c>
      <c r="Q3020" s="10">
        <f>ROUND(L3020*'Irish Basis'!$C$12*'Irish Basis'!$C$5,2)</f>
        <v/>
      </c>
      <c r="R3020" s="11">
        <f>ROUND(SUM(N3020:Q3020),2)</f>
        <v/>
      </c>
      <c r="S3020" s="5" t="inlineStr">
        <is>
          <t>Stated build-up</t>
        </is>
      </c>
      <c r="T3020" s="12" t="inlineStr">
        <is>
          <t>High</t>
        </is>
      </c>
      <c r="U3020" s="8" t="n">
        <v>231.7</v>
      </c>
      <c r="V3020" s="13">
        <f>IF(U3020="","",ROUND(M3020-U3020,2))</f>
        <v/>
      </c>
      <c r="W3020" s="5" t="n"/>
      <c r="X3020" s="5" t="inlineStr">
        <is>
          <t>Labour + plant + material as published; reconciles to the published rate.</t>
        </is>
      </c>
    </row>
    <row r="3021" ht="13" customHeight="1">
      <c r="A3021" s="4" t="n">
        <v>4625</v>
      </c>
      <c r="B3021" s="5" t="inlineStr">
        <is>
          <t>IMG_0128</t>
        </is>
      </c>
      <c r="C3021" s="5" t="inlineStr">
        <is>
          <t>CLASS R: ROADS AND PAVINGS</t>
        </is>
      </c>
      <c r="D3021" s="5" t="inlineStr">
        <is>
          <t>02 CEMENT AND OTHER HYDRAULICALLY BOUND PAVEMENTS</t>
        </is>
      </c>
      <c r="E3021" s="5" t="inlineStr">
        <is>
          <t>Cement Bound Granular Mixture (CBGM 1) C12/16; Base, laid, compacted</t>
        </is>
      </c>
      <c r="F3021" s="5" t="inlineStr">
        <is>
          <t>180 mm thick</t>
        </is>
      </c>
      <c r="G3021" s="6" t="inlineStr">
        <is>
          <t>m3</t>
        </is>
      </c>
      <c r="H3021" s="7" t="n">
        <v>0.13</v>
      </c>
      <c r="I3021" s="8" t="n">
        <v>22.38</v>
      </c>
      <c r="J3021" s="8" t="n">
        <v>11.23</v>
      </c>
      <c r="K3021" s="8" t="n">
        <v>204.48</v>
      </c>
      <c r="L3021" s="8" t="n">
        <v>0</v>
      </c>
      <c r="M3021" s="9">
        <f>ROUND(SUM(I3021:L3021),2)</f>
        <v/>
      </c>
      <c r="N3021" s="10">
        <f>ROUND(I3021*'Irish Basis'!$C$6*'Irish Basis'!$C$5,2)</f>
        <v/>
      </c>
      <c r="O3021" s="10">
        <f>ROUND(J3021*'Irish Basis'!$C$7*'Irish Basis'!$C$5,2)</f>
        <v/>
      </c>
      <c r="P3021" s="10">
        <f>ROUND(K3021*'Irish Basis'!$C$8*'Irish Basis'!$C$5,2)</f>
        <v/>
      </c>
      <c r="Q3021" s="10">
        <f>ROUND(L3021*'Irish Basis'!$C$12*'Irish Basis'!$C$5,2)</f>
        <v/>
      </c>
      <c r="R3021" s="11">
        <f>ROUND(SUM(N3021:Q3021),2)</f>
        <v/>
      </c>
      <c r="S3021" s="5" t="inlineStr">
        <is>
          <t>Stated build-up</t>
        </is>
      </c>
      <c r="T3021" s="12" t="inlineStr">
        <is>
          <t>High</t>
        </is>
      </c>
      <c r="U3021" s="8" t="n">
        <v>238.09</v>
      </c>
      <c r="V3021" s="13">
        <f>IF(U3021="","",ROUND(M3021-U3021,2))</f>
        <v/>
      </c>
      <c r="W3021" s="5" t="n"/>
      <c r="X3021" s="5" t="inlineStr">
        <is>
          <t>Labour + plant + material as published; reconciles to the published rate.</t>
        </is>
      </c>
    </row>
    <row r="3022" ht="13" customHeight="1">
      <c r="A3022" s="4" t="n">
        <v>4627</v>
      </c>
      <c r="B3022" s="5" t="inlineStr">
        <is>
          <t>IMG_0128</t>
        </is>
      </c>
      <c r="C3022" s="5" t="inlineStr">
        <is>
          <t>CLASS R: ROADS AND PAVINGS</t>
        </is>
      </c>
      <c r="D3022" s="5" t="inlineStr">
        <is>
          <t>02 CEMENT AND OTHER HYDRAULICALLY BOUND PAVEMENTS</t>
        </is>
      </c>
      <c r="E3022" s="5" t="inlineStr">
        <is>
          <t>Cement Bound Granular Mixture (CBGM 1) C15/20; Base, laid, compacted</t>
        </is>
      </c>
      <c r="F3022" s="5" t="inlineStr">
        <is>
          <t>150 mm thick</t>
        </is>
      </c>
      <c r="G3022" s="6" t="inlineStr">
        <is>
          <t>m3</t>
        </is>
      </c>
      <c r="H3022" s="7" t="n">
        <v>0.13</v>
      </c>
      <c r="I3022" s="8" t="n">
        <v>22.38</v>
      </c>
      <c r="J3022" s="8" t="n">
        <v>11.23</v>
      </c>
      <c r="K3022" s="8" t="n">
        <v>205.17</v>
      </c>
      <c r="L3022" s="8" t="n">
        <v>0</v>
      </c>
      <c r="M3022" s="9">
        <f>ROUND(SUM(I3022:L3022),2)</f>
        <v/>
      </c>
      <c r="N3022" s="10">
        <f>ROUND(I3022*'Irish Basis'!$C$6*'Irish Basis'!$C$5,2)</f>
        <v/>
      </c>
      <c r="O3022" s="10">
        <f>ROUND(J3022*'Irish Basis'!$C$7*'Irish Basis'!$C$5,2)</f>
        <v/>
      </c>
      <c r="P3022" s="10">
        <f>ROUND(K3022*'Irish Basis'!$C$8*'Irish Basis'!$C$5,2)</f>
        <v/>
      </c>
      <c r="Q3022" s="10">
        <f>ROUND(L3022*'Irish Basis'!$C$12*'Irish Basis'!$C$5,2)</f>
        <v/>
      </c>
      <c r="R3022" s="11">
        <f>ROUND(SUM(N3022:Q3022),2)</f>
        <v/>
      </c>
      <c r="S3022" s="5" t="inlineStr">
        <is>
          <t>Stated build-up</t>
        </is>
      </c>
      <c r="T3022" s="12" t="inlineStr">
        <is>
          <t>High</t>
        </is>
      </c>
      <c r="U3022" s="8" t="n">
        <v>238.78</v>
      </c>
      <c r="V3022" s="13">
        <f>IF(U3022="","",ROUND(M3022-U3022,2))</f>
        <v/>
      </c>
      <c r="W3022" s="5" t="n"/>
      <c r="X3022" s="5" t="inlineStr">
        <is>
          <t>Labour + plant + material as published; reconciles to the published rate.</t>
        </is>
      </c>
    </row>
    <row r="3023" ht="13" customHeight="1">
      <c r="A3023" s="4" t="n">
        <v>4629</v>
      </c>
      <c r="B3023" s="5" t="inlineStr">
        <is>
          <t>IMG_0128</t>
        </is>
      </c>
      <c r="C3023" s="5" t="inlineStr">
        <is>
          <t>CLASS R: ROADS AND PAVINGS</t>
        </is>
      </c>
      <c r="D3023" s="5" t="inlineStr">
        <is>
          <t>02 CEMENT AND OTHER HYDRAULICALLY BOUND PAVEMENTS</t>
        </is>
      </c>
      <c r="E3023" s="5" t="inlineStr">
        <is>
          <t>Bituminous bound mixtures, asphalt concrete; Base Course AC 32 Dense Base 40/60 / 100/150 Des/Rec to PD 6691</t>
        </is>
      </c>
      <c r="F3023" s="5" t="inlineStr">
        <is>
          <t>100 mm thick</t>
        </is>
      </c>
      <c r="G3023" s="6" t="inlineStr">
        <is>
          <t>m2</t>
        </is>
      </c>
      <c r="H3023" s="7" t="n">
        <v>0.02</v>
      </c>
      <c r="I3023" s="8" t="n">
        <v>6.33</v>
      </c>
      <c r="J3023" s="8" t="n">
        <v>13.8</v>
      </c>
      <c r="K3023" s="8" t="n">
        <v>25.39</v>
      </c>
      <c r="L3023" s="8" t="n">
        <v>0</v>
      </c>
      <c r="M3023" s="9">
        <f>ROUND(SUM(I3023:L3023),2)</f>
        <v/>
      </c>
      <c r="N3023" s="10">
        <f>ROUND(I3023*'Irish Basis'!$C$6*'Irish Basis'!$C$5,2)</f>
        <v/>
      </c>
      <c r="O3023" s="10">
        <f>ROUND(J3023*'Irish Basis'!$C$7*'Irish Basis'!$C$5,2)</f>
        <v/>
      </c>
      <c r="P3023" s="10">
        <f>ROUND(K3023*'Irish Basis'!$C$8*'Irish Basis'!$C$5,2)</f>
        <v/>
      </c>
      <c r="Q3023" s="10">
        <f>ROUND(L3023*'Irish Basis'!$C$12*'Irish Basis'!$C$5,2)</f>
        <v/>
      </c>
      <c r="R3023" s="11">
        <f>ROUND(SUM(N3023:Q3023),2)</f>
        <v/>
      </c>
      <c r="S3023" s="5" t="inlineStr">
        <is>
          <t>Stated build-up</t>
        </is>
      </c>
      <c r="T3023" s="12" t="inlineStr">
        <is>
          <t>High</t>
        </is>
      </c>
      <c r="U3023" s="8" t="n">
        <v>45.52</v>
      </c>
      <c r="V3023" s="13">
        <f>IF(U3023="","",ROUND(M3023-U3023,2))</f>
        <v/>
      </c>
      <c r="W3023" s="5" t="n"/>
      <c r="X3023" s="5" t="inlineStr">
        <is>
          <t>Labour + plant + material as published; reconciles to the published rate.</t>
        </is>
      </c>
    </row>
    <row r="3024" ht="13" customHeight="1">
      <c r="A3024" s="4" t="n">
        <v>4630</v>
      </c>
      <c r="B3024" s="5" t="inlineStr">
        <is>
          <t>IMG_0128</t>
        </is>
      </c>
      <c r="C3024" s="5" t="inlineStr">
        <is>
          <t>CLASS R: ROADS AND PAVINGS</t>
        </is>
      </c>
      <c r="D3024" s="5" t="inlineStr">
        <is>
          <t>02 CEMENT AND OTHER HYDRAULICALLY BOUND PAVEMENTS</t>
        </is>
      </c>
      <c r="E3024" s="5" t="inlineStr">
        <is>
          <t>Bituminous bound mixtures, asphalt concrete; Base Course AC 32 Dense Base 40/60 / 100/150 Des/Rec to PD 6691</t>
        </is>
      </c>
      <c r="F3024" s="5" t="inlineStr">
        <is>
          <t>150 mm thick</t>
        </is>
      </c>
      <c r="G3024" s="6" t="inlineStr">
        <is>
          <t>m2</t>
        </is>
      </c>
      <c r="H3024" s="7" t="n">
        <v>0.03</v>
      </c>
      <c r="I3024" s="8" t="n">
        <v>9.49</v>
      </c>
      <c r="J3024" s="8" t="n">
        <v>20.71</v>
      </c>
      <c r="K3024" s="8" t="n">
        <v>38.09</v>
      </c>
      <c r="L3024" s="8" t="n">
        <v>0</v>
      </c>
      <c r="M3024" s="9">
        <f>ROUND(SUM(I3024:L3024),2)</f>
        <v/>
      </c>
      <c r="N3024" s="10">
        <f>ROUND(I3024*'Irish Basis'!$C$6*'Irish Basis'!$C$5,2)</f>
        <v/>
      </c>
      <c r="O3024" s="10">
        <f>ROUND(J3024*'Irish Basis'!$C$7*'Irish Basis'!$C$5,2)</f>
        <v/>
      </c>
      <c r="P3024" s="10">
        <f>ROUND(K3024*'Irish Basis'!$C$8*'Irish Basis'!$C$5,2)</f>
        <v/>
      </c>
      <c r="Q3024" s="10">
        <f>ROUND(L3024*'Irish Basis'!$C$12*'Irish Basis'!$C$5,2)</f>
        <v/>
      </c>
      <c r="R3024" s="11">
        <f>ROUND(SUM(N3024:Q3024),2)</f>
        <v/>
      </c>
      <c r="S3024" s="5" t="inlineStr">
        <is>
          <t>Stated build-up</t>
        </is>
      </c>
      <c r="T3024" s="12" t="inlineStr">
        <is>
          <t>High</t>
        </is>
      </c>
      <c r="U3024" s="8" t="n">
        <v>68.28</v>
      </c>
      <c r="V3024" s="13">
        <f>IF(U3024="","",ROUND(M3024-U3024,2))</f>
        <v/>
      </c>
      <c r="W3024" s="5" t="n"/>
      <c r="X3024" s="5" t="inlineStr">
        <is>
          <t>Labour + plant + material as published; reconciles to the published rate.</t>
        </is>
      </c>
    </row>
    <row r="3025" ht="13" customHeight="1">
      <c r="A3025" s="4" t="n">
        <v>4631</v>
      </c>
      <c r="B3025" s="5" t="inlineStr">
        <is>
          <t>IMG_0128</t>
        </is>
      </c>
      <c r="C3025" s="5" t="inlineStr">
        <is>
          <t>CLASS R: ROADS AND PAVINGS</t>
        </is>
      </c>
      <c r="D3025" s="5" t="inlineStr">
        <is>
          <t>02 CEMENT AND OTHER HYDRAULICALLY BOUND PAVEMENTS</t>
        </is>
      </c>
      <c r="E3025" s="5" t="inlineStr">
        <is>
          <t>Bituminous bound mixtures, asphalt concrete; Base Course AC 32 Dense Base 40/60 / 100/150 Des/Rec to PD 6691</t>
        </is>
      </c>
      <c r="F3025" s="5" t="inlineStr">
        <is>
          <t>200 mm thick</t>
        </is>
      </c>
      <c r="G3025" s="6" t="inlineStr">
        <is>
          <t>m2</t>
        </is>
      </c>
      <c r="H3025" s="7" t="n">
        <v>0.03</v>
      </c>
      <c r="I3025" s="8" t="n">
        <v>9.49</v>
      </c>
      <c r="J3025" s="8" t="n">
        <v>20.71</v>
      </c>
      <c r="K3025" s="8" t="n">
        <v>50.78</v>
      </c>
      <c r="L3025" s="8" t="n">
        <v>0</v>
      </c>
      <c r="M3025" s="9">
        <f>ROUND(SUM(I3025:L3025),2)</f>
        <v/>
      </c>
      <c r="N3025" s="10">
        <f>ROUND(I3025*'Irish Basis'!$C$6*'Irish Basis'!$C$5,2)</f>
        <v/>
      </c>
      <c r="O3025" s="10">
        <f>ROUND(J3025*'Irish Basis'!$C$7*'Irish Basis'!$C$5,2)</f>
        <v/>
      </c>
      <c r="P3025" s="10">
        <f>ROUND(K3025*'Irish Basis'!$C$8*'Irish Basis'!$C$5,2)</f>
        <v/>
      </c>
      <c r="Q3025" s="10">
        <f>ROUND(L3025*'Irish Basis'!$C$12*'Irish Basis'!$C$5,2)</f>
        <v/>
      </c>
      <c r="R3025" s="11">
        <f>ROUND(SUM(N3025:Q3025),2)</f>
        <v/>
      </c>
      <c r="S3025" s="5" t="inlineStr">
        <is>
          <t>Stated build-up</t>
        </is>
      </c>
      <c r="T3025" s="12" t="inlineStr">
        <is>
          <t>High</t>
        </is>
      </c>
      <c r="U3025" s="8" t="n">
        <v>80.98</v>
      </c>
      <c r="V3025" s="13">
        <f>IF(U3025="","",ROUND(M3025-U3025,2))</f>
        <v/>
      </c>
      <c r="W3025" s="5" t="n"/>
      <c r="X3025" s="5" t="inlineStr">
        <is>
          <t>Labour + plant + material as published; reconciles to the published rate.</t>
        </is>
      </c>
    </row>
    <row r="3026" ht="13" customHeight="1">
      <c r="A3026" s="4" t="n">
        <v>4633</v>
      </c>
      <c r="B3026" s="5" t="inlineStr">
        <is>
          <t>IMG_0128</t>
        </is>
      </c>
      <c r="C3026" s="5" t="inlineStr">
        <is>
          <t>CLASS R: ROADS AND PAVINGS</t>
        </is>
      </c>
      <c r="D3026" s="5" t="inlineStr">
        <is>
          <t>02 CEMENT AND OTHER HYDRAULICALLY BOUND PAVEMENTS</t>
        </is>
      </c>
      <c r="E3026" s="5" t="inlineStr">
        <is>
          <t>Binder course AC 20 Dense Base 40/60 / 100/150 Des/Rec to PD 6691</t>
        </is>
      </c>
      <c r="F3026" s="5" t="inlineStr">
        <is>
          <t>60 mm thick</t>
        </is>
      </c>
      <c r="G3026" s="6" t="inlineStr">
        <is>
          <t>m2</t>
        </is>
      </c>
      <c r="H3026" s="7" t="n">
        <v>0.02</v>
      </c>
      <c r="I3026" s="8" t="n">
        <v>4.74</v>
      </c>
      <c r="J3026" s="8" t="n">
        <v>10.36</v>
      </c>
      <c r="K3026" s="8" t="n">
        <v>16.53</v>
      </c>
      <c r="L3026" s="8" t="n">
        <v>0</v>
      </c>
      <c r="M3026" s="9">
        <f>ROUND(SUM(I3026:L3026),2)</f>
        <v/>
      </c>
      <c r="N3026" s="10">
        <f>ROUND(I3026*'Irish Basis'!$C$6*'Irish Basis'!$C$5,2)</f>
        <v/>
      </c>
      <c r="O3026" s="10">
        <f>ROUND(J3026*'Irish Basis'!$C$7*'Irish Basis'!$C$5,2)</f>
        <v/>
      </c>
      <c r="P3026" s="10">
        <f>ROUND(K3026*'Irish Basis'!$C$8*'Irish Basis'!$C$5,2)</f>
        <v/>
      </c>
      <c r="Q3026" s="10">
        <f>ROUND(L3026*'Irish Basis'!$C$12*'Irish Basis'!$C$5,2)</f>
        <v/>
      </c>
      <c r="R3026" s="11">
        <f>ROUND(SUM(N3026:Q3026),2)</f>
        <v/>
      </c>
      <c r="S3026" s="5" t="inlineStr">
        <is>
          <t>Stated build-up</t>
        </is>
      </c>
      <c r="T3026" s="12" t="inlineStr">
        <is>
          <t>High</t>
        </is>
      </c>
      <c r="U3026" s="8" t="n">
        <v>31.63</v>
      </c>
      <c r="V3026" s="13">
        <f>IF(U3026="","",ROUND(M3026-U3026,2))</f>
        <v/>
      </c>
      <c r="W3026" s="5" t="n"/>
      <c r="X3026" s="5" t="inlineStr">
        <is>
          <t>Labour + plant + material as published; reconciles to the published rate.</t>
        </is>
      </c>
    </row>
    <row r="3027" ht="13" customHeight="1">
      <c r="A3027" s="4" t="n">
        <v>4634</v>
      </c>
      <c r="B3027" s="5" t="inlineStr">
        <is>
          <t>IMG_0128</t>
        </is>
      </c>
      <c r="C3027" s="5" t="inlineStr">
        <is>
          <t>CLASS R: ROADS AND PAVINGS</t>
        </is>
      </c>
      <c r="D3027" s="5" t="inlineStr">
        <is>
          <t>02 CEMENT AND OTHER HYDRAULICALLY BOUND PAVEMENTS</t>
        </is>
      </c>
      <c r="E3027" s="5" t="inlineStr">
        <is>
          <t>Binder course AC 20 Dense Base 40/60 / 100/150 Des/Rec to PD 6691</t>
        </is>
      </c>
      <c r="F3027" s="5" t="inlineStr">
        <is>
          <t>100 mm thick</t>
        </is>
      </c>
      <c r="G3027" s="6" t="inlineStr">
        <is>
          <t>m2</t>
        </is>
      </c>
      <c r="H3027" s="7" t="n">
        <v>0.02</v>
      </c>
      <c r="I3027" s="8" t="n">
        <v>6.33</v>
      </c>
      <c r="J3027" s="8" t="n">
        <v>13.8</v>
      </c>
      <c r="K3027" s="8" t="n">
        <v>27.55</v>
      </c>
      <c r="L3027" s="8" t="n">
        <v>0</v>
      </c>
      <c r="M3027" s="9">
        <f>ROUND(SUM(I3027:L3027),2)</f>
        <v/>
      </c>
      <c r="N3027" s="10">
        <f>ROUND(I3027*'Irish Basis'!$C$6*'Irish Basis'!$C$5,2)</f>
        <v/>
      </c>
      <c r="O3027" s="10">
        <f>ROUND(J3027*'Irish Basis'!$C$7*'Irish Basis'!$C$5,2)</f>
        <v/>
      </c>
      <c r="P3027" s="10">
        <f>ROUND(K3027*'Irish Basis'!$C$8*'Irish Basis'!$C$5,2)</f>
        <v/>
      </c>
      <c r="Q3027" s="10">
        <f>ROUND(L3027*'Irish Basis'!$C$12*'Irish Basis'!$C$5,2)</f>
        <v/>
      </c>
      <c r="R3027" s="11">
        <f>ROUND(SUM(N3027:Q3027),2)</f>
        <v/>
      </c>
      <c r="S3027" s="5" t="inlineStr">
        <is>
          <t>Stated build-up</t>
        </is>
      </c>
      <c r="T3027" s="12" t="inlineStr">
        <is>
          <t>High</t>
        </is>
      </c>
      <c r="U3027" s="8" t="n">
        <v>47.68</v>
      </c>
      <c r="V3027" s="13">
        <f>IF(U3027="","",ROUND(M3027-U3027,2))</f>
        <v/>
      </c>
      <c r="W3027" s="5" t="n"/>
      <c r="X3027" s="5" t="inlineStr">
        <is>
          <t>Labour + plant + material as published; reconciles to the published rate.</t>
        </is>
      </c>
    </row>
    <row r="3028" ht="13" customHeight="1">
      <c r="A3028" s="4" t="n">
        <v>4636</v>
      </c>
      <c r="B3028" s="5" t="inlineStr">
        <is>
          <t>IMG_0128</t>
        </is>
      </c>
      <c r="C3028" s="5" t="inlineStr">
        <is>
          <t>CLASS R: ROADS AND PAVINGS</t>
        </is>
      </c>
      <c r="D3028" s="5" t="inlineStr">
        <is>
          <t>02 CEMENT AND OTHER HYDRAULICALLY BOUND PAVEMENTS</t>
        </is>
      </c>
      <c r="E3028" s="5" t="inlineStr">
        <is>
          <t>Surface course AC 10 Close Surf 100/150 to PD 6691</t>
        </is>
      </c>
      <c r="F3028" s="5" t="inlineStr">
        <is>
          <t>30 mm thick</t>
        </is>
      </c>
      <c r="G3028" s="6" t="inlineStr">
        <is>
          <t>m2</t>
        </is>
      </c>
      <c r="H3028" s="7" t="n">
        <v>0.01</v>
      </c>
      <c r="I3028" s="8" t="n">
        <v>3.16</v>
      </c>
      <c r="J3028" s="8" t="n">
        <v>6.91</v>
      </c>
      <c r="K3028" s="8" t="n">
        <v>9.960000000000001</v>
      </c>
      <c r="L3028" s="8" t="n">
        <v>0</v>
      </c>
      <c r="M3028" s="9">
        <f>ROUND(SUM(I3028:L3028),2)</f>
        <v/>
      </c>
      <c r="N3028" s="10">
        <f>ROUND(I3028*'Irish Basis'!$C$6*'Irish Basis'!$C$5,2)</f>
        <v/>
      </c>
      <c r="O3028" s="10">
        <f>ROUND(J3028*'Irish Basis'!$C$7*'Irish Basis'!$C$5,2)</f>
        <v/>
      </c>
      <c r="P3028" s="10">
        <f>ROUND(K3028*'Irish Basis'!$C$8*'Irish Basis'!$C$5,2)</f>
        <v/>
      </c>
      <c r="Q3028" s="10">
        <f>ROUND(L3028*'Irish Basis'!$C$12*'Irish Basis'!$C$5,2)</f>
        <v/>
      </c>
      <c r="R3028" s="11">
        <f>ROUND(SUM(N3028:Q3028),2)</f>
        <v/>
      </c>
      <c r="S3028" s="5" t="inlineStr">
        <is>
          <t>Stated build-up</t>
        </is>
      </c>
      <c r="T3028" s="12" t="inlineStr">
        <is>
          <t>High</t>
        </is>
      </c>
      <c r="U3028" s="8" t="n">
        <v>20.03</v>
      </c>
      <c r="V3028" s="13">
        <f>IF(U3028="","",ROUND(M3028-U3028,2))</f>
        <v/>
      </c>
      <c r="W3028" s="5" t="n"/>
      <c r="X3028" s="5" t="inlineStr">
        <is>
          <t>Labour + plant + material as published; reconciles to the published rate.</t>
        </is>
      </c>
    </row>
    <row r="3029" ht="13" customHeight="1">
      <c r="A3029" s="4" t="n">
        <v>4637</v>
      </c>
      <c r="B3029" s="5" t="inlineStr">
        <is>
          <t>IMG_0128</t>
        </is>
      </c>
      <c r="C3029" s="5" t="inlineStr">
        <is>
          <t>CLASS R: ROADS AND PAVINGS</t>
        </is>
      </c>
      <c r="D3029" s="5" t="inlineStr">
        <is>
          <t>02 CEMENT AND OTHER HYDRAULICALLY BOUND PAVEMENTS</t>
        </is>
      </c>
      <c r="E3029" s="5" t="inlineStr">
        <is>
          <t>Surface course AC 10 Close Surf 100/150 to PD 6691</t>
        </is>
      </c>
      <c r="F3029" s="5" t="inlineStr">
        <is>
          <t>40 mm thick</t>
        </is>
      </c>
      <c r="G3029" s="6" t="inlineStr">
        <is>
          <t>m2</t>
        </is>
      </c>
      <c r="H3029" s="7" t="n">
        <v>0.02</v>
      </c>
      <c r="I3029" s="8" t="n">
        <v>4.74</v>
      </c>
      <c r="J3029" s="8" t="n">
        <v>10.36</v>
      </c>
      <c r="K3029" s="8" t="n">
        <v>13.29</v>
      </c>
      <c r="L3029" s="8" t="n">
        <v>0</v>
      </c>
      <c r="M3029" s="9">
        <f>ROUND(SUM(I3029:L3029),2)</f>
        <v/>
      </c>
      <c r="N3029" s="10">
        <f>ROUND(I3029*'Irish Basis'!$C$6*'Irish Basis'!$C$5,2)</f>
        <v/>
      </c>
      <c r="O3029" s="10">
        <f>ROUND(J3029*'Irish Basis'!$C$7*'Irish Basis'!$C$5,2)</f>
        <v/>
      </c>
      <c r="P3029" s="10">
        <f>ROUND(K3029*'Irish Basis'!$C$8*'Irish Basis'!$C$5,2)</f>
        <v/>
      </c>
      <c r="Q3029" s="10">
        <f>ROUND(L3029*'Irish Basis'!$C$12*'Irish Basis'!$C$5,2)</f>
        <v/>
      </c>
      <c r="R3029" s="11">
        <f>ROUND(SUM(N3029:Q3029),2)</f>
        <v/>
      </c>
      <c r="S3029" s="5" t="inlineStr">
        <is>
          <t>Stated build-up</t>
        </is>
      </c>
      <c r="T3029" s="12" t="inlineStr">
        <is>
          <t>High</t>
        </is>
      </c>
      <c r="U3029" s="8" t="n">
        <v>28.38</v>
      </c>
      <c r="V3029" s="13">
        <f>IF(U3029="","",ROUND(M3029-U3029,2))</f>
        <v/>
      </c>
      <c r="W3029" s="5" t="n"/>
      <c r="X3029" s="5" t="inlineStr">
        <is>
          <t>Labour + plant + material as published; reconciles to the published rate.</t>
        </is>
      </c>
    </row>
    <row r="3030" ht="13" customHeight="1">
      <c r="A3030" s="4" t="n">
        <v>4640</v>
      </c>
      <c r="B3030" s="5" t="inlineStr">
        <is>
          <t>IMG_0128</t>
        </is>
      </c>
      <c r="C3030" s="5" t="inlineStr">
        <is>
          <t>CLASS R: ROADS AND PAVINGS</t>
        </is>
      </c>
      <c r="D3030" s="5" t="inlineStr">
        <is>
          <t>03 BITUMINOUS BOUND PAVEMENTS</t>
        </is>
      </c>
      <c r="E3030" s="5" t="inlineStr">
        <is>
          <t>Surface course; SMA 10/14 Surf 40/60 to PD 6691</t>
        </is>
      </c>
      <c r="F3030" s="5" t="inlineStr">
        <is>
          <t>20 mm thick</t>
        </is>
      </c>
      <c r="G3030" s="6" t="inlineStr">
        <is>
          <t>m2</t>
        </is>
      </c>
      <c r="H3030" s="7" t="n">
        <v>0.03</v>
      </c>
      <c r="I3030" s="8" t="n">
        <v>9.49</v>
      </c>
      <c r="J3030" s="8" t="n">
        <v>4.37</v>
      </c>
      <c r="K3030" s="8" t="n">
        <v>6.52</v>
      </c>
      <c r="L3030" s="8" t="n">
        <v>0</v>
      </c>
      <c r="M3030" s="9">
        <f>ROUND(SUM(I3030:L3030),2)</f>
        <v/>
      </c>
      <c r="N3030" s="10">
        <f>ROUND(I3030*'Irish Basis'!$C$6*'Irish Basis'!$C$5,2)</f>
        <v/>
      </c>
      <c r="O3030" s="10">
        <f>ROUND(J3030*'Irish Basis'!$C$7*'Irish Basis'!$C$5,2)</f>
        <v/>
      </c>
      <c r="P3030" s="10">
        <f>ROUND(K3030*'Irish Basis'!$C$8*'Irish Basis'!$C$5,2)</f>
        <v/>
      </c>
      <c r="Q3030" s="10">
        <f>ROUND(L3030*'Irish Basis'!$C$12*'Irish Basis'!$C$5,2)</f>
        <v/>
      </c>
      <c r="R3030" s="11">
        <f>ROUND(SUM(N3030:Q3030),2)</f>
        <v/>
      </c>
      <c r="S3030" s="5" t="inlineStr">
        <is>
          <t>Stated build-up</t>
        </is>
      </c>
      <c r="T3030" s="12" t="inlineStr">
        <is>
          <t>High</t>
        </is>
      </c>
      <c r="U3030" s="8" t="n">
        <v>20.39</v>
      </c>
      <c r="V3030" s="13">
        <f>IF(U3030="","",ROUND(M3030-U3030,2))</f>
        <v/>
      </c>
      <c r="W3030" s="5" t="n"/>
      <c r="X3030" s="5" t="inlineStr">
        <is>
          <t>Labour + plant + material as published; reconciles to the published rate.</t>
        </is>
      </c>
    </row>
    <row r="3031" ht="13" customHeight="1">
      <c r="A3031" s="4" t="n">
        <v>4641</v>
      </c>
      <c r="B3031" s="5" t="inlineStr">
        <is>
          <t>IMG_0128</t>
        </is>
      </c>
      <c r="C3031" s="5" t="inlineStr">
        <is>
          <t>CLASS R: ROADS AND PAVINGS</t>
        </is>
      </c>
      <c r="D3031" s="5" t="inlineStr">
        <is>
          <t>03 BITUMINOUS BOUND PAVEMENTS</t>
        </is>
      </c>
      <c r="E3031" s="5" t="inlineStr">
        <is>
          <t>Surface course; SMA 10/14 Surf 40/60 to PD 6691</t>
        </is>
      </c>
      <c r="F3031" s="5" t="inlineStr">
        <is>
          <t>40 mm thick</t>
        </is>
      </c>
      <c r="G3031" s="6" t="inlineStr">
        <is>
          <t>m2</t>
        </is>
      </c>
      <c r="H3031" s="7" t="n">
        <v>0.03</v>
      </c>
      <c r="I3031" s="8" t="n">
        <v>9.49</v>
      </c>
      <c r="J3031" s="8" t="n">
        <v>6.58</v>
      </c>
      <c r="K3031" s="8" t="n">
        <v>13.05</v>
      </c>
      <c r="L3031" s="8" t="n">
        <v>0</v>
      </c>
      <c r="M3031" s="9">
        <f>ROUND(SUM(I3031:L3031),2)</f>
        <v/>
      </c>
      <c r="N3031" s="10">
        <f>ROUND(I3031*'Irish Basis'!$C$6*'Irish Basis'!$C$5,2)</f>
        <v/>
      </c>
      <c r="O3031" s="10">
        <f>ROUND(J3031*'Irish Basis'!$C$7*'Irish Basis'!$C$5,2)</f>
        <v/>
      </c>
      <c r="P3031" s="10">
        <f>ROUND(K3031*'Irish Basis'!$C$8*'Irish Basis'!$C$5,2)</f>
        <v/>
      </c>
      <c r="Q3031" s="10">
        <f>ROUND(L3031*'Irish Basis'!$C$12*'Irish Basis'!$C$5,2)</f>
        <v/>
      </c>
      <c r="R3031" s="11">
        <f>ROUND(SUM(N3031:Q3031),2)</f>
        <v/>
      </c>
      <c r="S3031" s="5" t="inlineStr">
        <is>
          <t>Stated build-up</t>
        </is>
      </c>
      <c r="T3031" s="12" t="inlineStr">
        <is>
          <t>High</t>
        </is>
      </c>
      <c r="U3031" s="8" t="n">
        <v>29.12</v>
      </c>
      <c r="V3031" s="13">
        <f>IF(U3031="","",ROUND(M3031-U3031,2))</f>
        <v/>
      </c>
      <c r="W3031" s="5" t="n"/>
      <c r="X3031" s="5" t="inlineStr">
        <is>
          <t>Labour + plant + material as published; reconciles to the published rate.</t>
        </is>
      </c>
    </row>
    <row r="3032" ht="13" customHeight="1">
      <c r="A3032" s="4" t="n">
        <v>4642</v>
      </c>
      <c r="B3032" s="5" t="inlineStr">
        <is>
          <t>IMG_0128</t>
        </is>
      </c>
      <c r="C3032" s="5" t="inlineStr">
        <is>
          <t>CLASS R: ROADS AND PAVINGS</t>
        </is>
      </c>
      <c r="D3032" s="5" t="inlineStr">
        <is>
          <t>03 BITUMINOUS BOUND PAVEMENTS</t>
        </is>
      </c>
      <c r="E3032" s="5" t="inlineStr">
        <is>
          <t>Surface course; SMA 10/14 Surf 40/60 to PD 6691</t>
        </is>
      </c>
      <c r="F3032" s="5" t="inlineStr">
        <is>
          <t>50 mm thick</t>
        </is>
      </c>
      <c r="G3032" s="6" t="inlineStr">
        <is>
          <t>m2</t>
        </is>
      </c>
      <c r="H3032" s="7" t="n">
        <v>0.03</v>
      </c>
      <c r="I3032" s="8" t="n">
        <v>9.49</v>
      </c>
      <c r="J3032" s="8" t="n">
        <v>6.42</v>
      </c>
      <c r="K3032" s="8" t="n">
        <v>16.31</v>
      </c>
      <c r="L3032" s="8" t="n">
        <v>0</v>
      </c>
      <c r="M3032" s="9">
        <f>ROUND(SUM(I3032:L3032),2)</f>
        <v/>
      </c>
      <c r="N3032" s="10">
        <f>ROUND(I3032*'Irish Basis'!$C$6*'Irish Basis'!$C$5,2)</f>
        <v/>
      </c>
      <c r="O3032" s="10">
        <f>ROUND(J3032*'Irish Basis'!$C$7*'Irish Basis'!$C$5,2)</f>
        <v/>
      </c>
      <c r="P3032" s="10">
        <f>ROUND(K3032*'Irish Basis'!$C$8*'Irish Basis'!$C$5,2)</f>
        <v/>
      </c>
      <c r="Q3032" s="10">
        <f>ROUND(L3032*'Irish Basis'!$C$12*'Irish Basis'!$C$5,2)</f>
        <v/>
      </c>
      <c r="R3032" s="11">
        <f>ROUND(SUM(N3032:Q3032),2)</f>
        <v/>
      </c>
      <c r="S3032" s="5" t="inlineStr">
        <is>
          <t>Stated build-up</t>
        </is>
      </c>
      <c r="T3032" s="12" t="inlineStr">
        <is>
          <t>High</t>
        </is>
      </c>
      <c r="U3032" s="8" t="n">
        <v>32.23</v>
      </c>
      <c r="V3032" s="13">
        <f>IF(U3032="","",ROUND(M3032-U3032,2))</f>
        <v/>
      </c>
      <c r="W3032" s="5" t="n"/>
      <c r="X3032" s="5" t="inlineStr">
        <is>
          <t>Labour + plant + material as published; reconciles to the published rate.</t>
        </is>
      </c>
    </row>
    <row r="3033" ht="13" customHeight="1">
      <c r="A3033" s="4" t="n">
        <v>4644</v>
      </c>
      <c r="B3033" s="5" t="inlineStr">
        <is>
          <t>IMG_0128</t>
        </is>
      </c>
      <c r="C3033" s="5" t="inlineStr">
        <is>
          <t>CLASS R: ROADS AND PAVINGS</t>
        </is>
      </c>
      <c r="D3033" s="5" t="inlineStr">
        <is>
          <t>03 BITUMINOUS BOUND PAVEMENTS</t>
        </is>
      </c>
      <c r="E3033" s="5" t="inlineStr">
        <is>
          <t>Thin Surface Course System</t>
        </is>
      </c>
      <c r="F3033" s="5" t="inlineStr">
        <is>
          <t>30 mm thick</t>
        </is>
      </c>
      <c r="G3033" s="6" t="inlineStr">
        <is>
          <t>m2</t>
        </is>
      </c>
      <c r="H3033" s="7" t="n">
        <v>0.03</v>
      </c>
      <c r="I3033" s="8" t="n">
        <v>7.91</v>
      </c>
      <c r="J3033" s="8" t="n">
        <v>6.93</v>
      </c>
      <c r="K3033" s="8" t="n">
        <v>11.47</v>
      </c>
      <c r="L3033" s="8" t="n">
        <v>0</v>
      </c>
      <c r="M3033" s="9">
        <f>ROUND(SUM(I3033:L3033),2)</f>
        <v/>
      </c>
      <c r="N3033" s="10">
        <f>ROUND(I3033*'Irish Basis'!$C$6*'Irish Basis'!$C$5,2)</f>
        <v/>
      </c>
      <c r="O3033" s="10">
        <f>ROUND(J3033*'Irish Basis'!$C$7*'Irish Basis'!$C$5,2)</f>
        <v/>
      </c>
      <c r="P3033" s="10">
        <f>ROUND(K3033*'Irish Basis'!$C$8*'Irish Basis'!$C$5,2)</f>
        <v/>
      </c>
      <c r="Q3033" s="10">
        <f>ROUND(L3033*'Irish Basis'!$C$12*'Irish Basis'!$C$5,2)</f>
        <v/>
      </c>
      <c r="R3033" s="11">
        <f>ROUND(SUM(N3033:Q3033),2)</f>
        <v/>
      </c>
      <c r="S3033" s="5" t="inlineStr">
        <is>
          <t>Stated build-up</t>
        </is>
      </c>
      <c r="T3033" s="12" t="inlineStr">
        <is>
          <t>High</t>
        </is>
      </c>
      <c r="U3033" s="8" t="n">
        <v>26.31</v>
      </c>
      <c r="V3033" s="13">
        <f>IF(U3033="","",ROUND(M3033-U3033,2))</f>
        <v/>
      </c>
      <c r="W3033" s="5" t="n"/>
      <c r="X3033" s="5" t="inlineStr">
        <is>
          <t>Labour + plant + material as published; reconciles to the published rate.</t>
        </is>
      </c>
    </row>
    <row r="3034" ht="13" customHeight="1">
      <c r="A3034" s="4" t="n">
        <v>4645</v>
      </c>
      <c r="B3034" s="5" t="inlineStr">
        <is>
          <t>IMG_0128</t>
        </is>
      </c>
      <c r="C3034" s="5" t="inlineStr">
        <is>
          <t>CLASS R: ROADS AND PAVINGS</t>
        </is>
      </c>
      <c r="D3034" s="5" t="inlineStr">
        <is>
          <t>03 BITUMINOUS BOUND PAVEMENTS</t>
        </is>
      </c>
      <c r="E3034" s="5" t="inlineStr">
        <is>
          <t>Thin Surface Course System</t>
        </is>
      </c>
      <c r="F3034" s="5" t="inlineStr">
        <is>
          <t>40 mm thick</t>
        </is>
      </c>
      <c r="G3034" s="6" t="inlineStr">
        <is>
          <t>m2</t>
        </is>
      </c>
      <c r="H3034" s="7" t="n">
        <v>0.02</v>
      </c>
      <c r="I3034" s="8" t="n">
        <v>6.33</v>
      </c>
      <c r="J3034" s="8" t="n">
        <v>8.359999999999999</v>
      </c>
      <c r="K3034" s="8" t="n">
        <v>15.3</v>
      </c>
      <c r="L3034" s="8" t="n">
        <v>0</v>
      </c>
      <c r="M3034" s="9">
        <f>ROUND(SUM(I3034:L3034),2)</f>
        <v/>
      </c>
      <c r="N3034" s="10">
        <f>ROUND(I3034*'Irish Basis'!$C$6*'Irish Basis'!$C$5,2)</f>
        <v/>
      </c>
      <c r="O3034" s="10">
        <f>ROUND(J3034*'Irish Basis'!$C$7*'Irish Basis'!$C$5,2)</f>
        <v/>
      </c>
      <c r="P3034" s="10">
        <f>ROUND(K3034*'Irish Basis'!$C$8*'Irish Basis'!$C$5,2)</f>
        <v/>
      </c>
      <c r="Q3034" s="10">
        <f>ROUND(L3034*'Irish Basis'!$C$12*'Irish Basis'!$C$5,2)</f>
        <v/>
      </c>
      <c r="R3034" s="11">
        <f>ROUND(SUM(N3034:Q3034),2)</f>
        <v/>
      </c>
      <c r="S3034" s="5" t="inlineStr">
        <is>
          <t>Stated build-up</t>
        </is>
      </c>
      <c r="T3034" s="12" t="inlineStr">
        <is>
          <t>High</t>
        </is>
      </c>
      <c r="U3034" s="8" t="n">
        <v>29.98</v>
      </c>
      <c r="V3034" s="13">
        <f>IF(U3034="","",ROUND(M3034-U3034,2))</f>
        <v/>
      </c>
      <c r="W3034" s="5" t="n"/>
      <c r="X3034" s="5" t="inlineStr">
        <is>
          <t>Labour + plant + material as published; reconciles to the published rate.</t>
        </is>
      </c>
    </row>
    <row r="3035" ht="13" customHeight="1">
      <c r="A3035" s="4" t="n">
        <v>4646</v>
      </c>
      <c r="B3035" s="5" t="inlineStr">
        <is>
          <t>IMG_0128</t>
        </is>
      </c>
      <c r="C3035" s="5" t="inlineStr">
        <is>
          <t>CLASS R: ROADS AND PAVINGS</t>
        </is>
      </c>
      <c r="D3035" s="5" t="inlineStr">
        <is>
          <t>03 BITUMINOUS BOUND PAVEMENTS</t>
        </is>
      </c>
      <c r="E3035" s="5" t="inlineStr">
        <is>
          <t>Thin Surface Course System</t>
        </is>
      </c>
      <c r="F3035" s="5" t="inlineStr">
        <is>
          <t>50 mm thick</t>
        </is>
      </c>
      <c r="G3035" s="6" t="inlineStr">
        <is>
          <t>m2</t>
        </is>
      </c>
      <c r="H3035" s="7" t="n">
        <v>0.02</v>
      </c>
      <c r="I3035" s="8" t="n">
        <v>4.74</v>
      </c>
      <c r="J3035" s="8" t="n">
        <v>10.37</v>
      </c>
      <c r="K3035" s="8" t="n">
        <v>19.12</v>
      </c>
      <c r="L3035" s="8" t="n">
        <v>0</v>
      </c>
      <c r="M3035" s="9">
        <f>ROUND(SUM(I3035:L3035),2)</f>
        <v/>
      </c>
      <c r="N3035" s="10">
        <f>ROUND(I3035*'Irish Basis'!$C$6*'Irish Basis'!$C$5,2)</f>
        <v/>
      </c>
      <c r="O3035" s="10">
        <f>ROUND(J3035*'Irish Basis'!$C$7*'Irish Basis'!$C$5,2)</f>
        <v/>
      </c>
      <c r="P3035" s="10">
        <f>ROUND(K3035*'Irish Basis'!$C$8*'Irish Basis'!$C$5,2)</f>
        <v/>
      </c>
      <c r="Q3035" s="10">
        <f>ROUND(L3035*'Irish Basis'!$C$12*'Irish Basis'!$C$5,2)</f>
        <v/>
      </c>
      <c r="R3035" s="11">
        <f>ROUND(SUM(N3035:Q3035),2)</f>
        <v/>
      </c>
      <c r="S3035" s="5" t="inlineStr">
        <is>
          <t>Stated build-up</t>
        </is>
      </c>
      <c r="T3035" s="12" t="inlineStr">
        <is>
          <t>High</t>
        </is>
      </c>
      <c r="U3035" s="8" t="n">
        <v>34.24</v>
      </c>
      <c r="V3035" s="13">
        <f>IF(U3035="","",ROUND(M3035-U3035,2))</f>
        <v/>
      </c>
      <c r="W3035" s="5" t="n"/>
      <c r="X3035" s="5" t="inlineStr">
        <is>
          <t>Labour + plant + material as published; reconciles to the published rate.</t>
        </is>
      </c>
    </row>
    <row r="3036" ht="13" customHeight="1">
      <c r="A3036" s="4" t="n">
        <v>4648</v>
      </c>
      <c r="B3036" s="5" t="inlineStr">
        <is>
          <t>IMG_0128</t>
        </is>
      </c>
      <c r="C3036" s="5" t="inlineStr">
        <is>
          <t>CLASS R: ROADS AND PAVINGS</t>
        </is>
      </c>
      <c r="D3036" s="5" t="inlineStr">
        <is>
          <t>03 BITUMINOUS BOUND PAVEMENTS</t>
        </is>
      </c>
      <c r="E3036" s="5" t="inlineStr">
        <is>
          <t>HRA 35/14 F Surf PMB Des TO PD 6691 WT. Class 2 with Pre Coated Chippings PSV 65</t>
        </is>
      </c>
      <c r="F3036" s="5" t="inlineStr">
        <is>
          <t>50 mm thick</t>
        </is>
      </c>
      <c r="G3036" s="6" t="inlineStr">
        <is>
          <t>m2</t>
        </is>
      </c>
      <c r="H3036" s="7" t="n">
        <v>0.04</v>
      </c>
      <c r="I3036" s="8" t="n">
        <v>11.07</v>
      </c>
      <c r="J3036" s="8" t="n">
        <v>10.37</v>
      </c>
      <c r="K3036" s="8" t="n">
        <v>26.76</v>
      </c>
      <c r="L3036" s="8" t="n">
        <v>0</v>
      </c>
      <c r="M3036" s="9">
        <f>ROUND(SUM(I3036:L3036),2)</f>
        <v/>
      </c>
      <c r="N3036" s="10">
        <f>ROUND(I3036*'Irish Basis'!$C$6*'Irish Basis'!$C$5,2)</f>
        <v/>
      </c>
      <c r="O3036" s="10">
        <f>ROUND(J3036*'Irish Basis'!$C$7*'Irish Basis'!$C$5,2)</f>
        <v/>
      </c>
      <c r="P3036" s="10">
        <f>ROUND(K3036*'Irish Basis'!$C$8*'Irish Basis'!$C$5,2)</f>
        <v/>
      </c>
      <c r="Q3036" s="10">
        <f>ROUND(L3036*'Irish Basis'!$C$12*'Irish Basis'!$C$5,2)</f>
        <v/>
      </c>
      <c r="R3036" s="11">
        <f>ROUND(SUM(N3036:Q3036),2)</f>
        <v/>
      </c>
      <c r="S3036" s="5" t="inlineStr">
        <is>
          <t>Stated build-up</t>
        </is>
      </c>
      <c r="T3036" s="12" t="inlineStr">
        <is>
          <t>High</t>
        </is>
      </c>
      <c r="U3036" s="8" t="n">
        <v>48.2</v>
      </c>
      <c r="V3036" s="13">
        <f>IF(U3036="","",ROUND(M3036-U3036,2))</f>
        <v/>
      </c>
      <c r="W3036" s="5" t="n"/>
      <c r="X3036" s="5" t="inlineStr">
        <is>
          <t>Labour + plant + material as published; reconciles to the published rate.</t>
        </is>
      </c>
    </row>
    <row r="3037" ht="13" customHeight="1">
      <c r="A3037" s="4" t="n">
        <v>4650</v>
      </c>
      <c r="B3037" s="5" t="inlineStr">
        <is>
          <t>IMG_0128</t>
        </is>
      </c>
      <c r="C3037" s="5" t="inlineStr">
        <is>
          <t>CLASS R: ROADS AND PAVINGS</t>
        </is>
      </c>
      <c r="D3037" s="5" t="inlineStr">
        <is>
          <t>03 BITUMINOUS BOUND PAVEMENTS</t>
        </is>
      </c>
      <c r="E3037" s="5" t="inlineStr">
        <is>
          <t>Binder course; HRA 35/14 F Bin PMB Des TO PD 6691 WT. Class 2</t>
        </is>
      </c>
      <c r="F3037" s="5" t="inlineStr">
        <is>
          <t>45 mm thick</t>
        </is>
      </c>
      <c r="G3037" s="6" t="inlineStr">
        <is>
          <t>m2</t>
        </is>
      </c>
      <c r="H3037" s="7" t="n">
        <v>0.02</v>
      </c>
      <c r="I3037" s="8" t="n">
        <v>4.74</v>
      </c>
      <c r="J3037" s="8" t="n">
        <v>10.37</v>
      </c>
      <c r="K3037" s="8" t="n">
        <v>18.92</v>
      </c>
      <c r="L3037" s="8" t="n">
        <v>0</v>
      </c>
      <c r="M3037" s="9">
        <f>ROUND(SUM(I3037:L3037),2)</f>
        <v/>
      </c>
      <c r="N3037" s="10">
        <f>ROUND(I3037*'Irish Basis'!$C$6*'Irish Basis'!$C$5,2)</f>
        <v/>
      </c>
      <c r="O3037" s="10">
        <f>ROUND(J3037*'Irish Basis'!$C$7*'Irish Basis'!$C$5,2)</f>
        <v/>
      </c>
      <c r="P3037" s="10">
        <f>ROUND(K3037*'Irish Basis'!$C$8*'Irish Basis'!$C$5,2)</f>
        <v/>
      </c>
      <c r="Q3037" s="10">
        <f>ROUND(L3037*'Irish Basis'!$C$12*'Irish Basis'!$C$5,2)</f>
        <v/>
      </c>
      <c r="R3037" s="11">
        <f>ROUND(SUM(N3037:Q3037),2)</f>
        <v/>
      </c>
      <c r="S3037" s="5" t="inlineStr">
        <is>
          <t>Stated build-up</t>
        </is>
      </c>
      <c r="T3037" s="12" t="inlineStr">
        <is>
          <t>High</t>
        </is>
      </c>
      <c r="U3037" s="8" t="n">
        <v>34.04</v>
      </c>
      <c r="V3037" s="13">
        <f>IF(U3037="","",ROUND(M3037-U3037,2))</f>
        <v/>
      </c>
      <c r="W3037" s="5" t="n"/>
      <c r="X3037" s="5" t="inlineStr">
        <is>
          <t>Labour + plant + material as published; reconciles to the published rate.</t>
        </is>
      </c>
    </row>
    <row r="3038" ht="13" customHeight="1">
      <c r="A3038" s="4" t="n">
        <v>4652</v>
      </c>
      <c r="B3038" s="5" t="inlineStr">
        <is>
          <t>IMG_0128</t>
        </is>
      </c>
      <c r="C3038" s="5" t="inlineStr">
        <is>
          <t>CLASS R: ROADS AND PAVINGS</t>
        </is>
      </c>
      <c r="D3038" s="5" t="inlineStr">
        <is>
          <t>03 BITUMINOUS BOUND PAVEMENTS</t>
        </is>
      </c>
      <c r="E3038" s="5" t="inlineStr">
        <is>
          <t>Base and binder course; AC 14/20 EME2 Base/Bin</t>
        </is>
      </c>
      <c r="F3038" s="5" t="inlineStr">
        <is>
          <t>100 mm thick</t>
        </is>
      </c>
      <c r="G3038" s="6" t="inlineStr">
        <is>
          <t>m2</t>
        </is>
      </c>
      <c r="H3038" s="7" t="n">
        <v>0.02</v>
      </c>
      <c r="I3038" s="8" t="n">
        <v>6.33</v>
      </c>
      <c r="J3038" s="8" t="n">
        <v>13.8</v>
      </c>
      <c r="K3038" s="8" t="n">
        <v>33.39</v>
      </c>
      <c r="L3038" s="8" t="n">
        <v>0</v>
      </c>
      <c r="M3038" s="9">
        <f>ROUND(SUM(I3038:L3038),2)</f>
        <v/>
      </c>
      <c r="N3038" s="10">
        <f>ROUND(I3038*'Irish Basis'!$C$6*'Irish Basis'!$C$5,2)</f>
        <v/>
      </c>
      <c r="O3038" s="10">
        <f>ROUND(J3038*'Irish Basis'!$C$7*'Irish Basis'!$C$5,2)</f>
        <v/>
      </c>
      <c r="P3038" s="10">
        <f>ROUND(K3038*'Irish Basis'!$C$8*'Irish Basis'!$C$5,2)</f>
        <v/>
      </c>
      <c r="Q3038" s="10">
        <f>ROUND(L3038*'Irish Basis'!$C$12*'Irish Basis'!$C$5,2)</f>
        <v/>
      </c>
      <c r="R3038" s="11">
        <f>ROUND(SUM(N3038:Q3038),2)</f>
        <v/>
      </c>
      <c r="S3038" s="5" t="inlineStr">
        <is>
          <t>Stated build-up</t>
        </is>
      </c>
      <c r="T3038" s="12" t="inlineStr">
        <is>
          <t>High</t>
        </is>
      </c>
      <c r="U3038" s="8" t="n">
        <v>53.52</v>
      </c>
      <c r="V3038" s="13">
        <f>IF(U3038="","",ROUND(M3038-U3038,2))</f>
        <v/>
      </c>
      <c r="W3038" s="5" t="n"/>
      <c r="X3038" s="5" t="inlineStr">
        <is>
          <t>Labour + plant + material as published; reconciles to the published rate.</t>
        </is>
      </c>
    </row>
    <row r="3039" ht="13" customHeight="1">
      <c r="A3039" s="4" t="n">
        <v>4653</v>
      </c>
      <c r="B3039" s="5" t="inlineStr">
        <is>
          <t>IMG_0128</t>
        </is>
      </c>
      <c r="C3039" s="5" t="inlineStr">
        <is>
          <t>CLASS R: ROADS AND PAVINGS</t>
        </is>
      </c>
      <c r="D3039" s="5" t="inlineStr">
        <is>
          <t>03 BITUMINOUS BOUND PAVEMENTS</t>
        </is>
      </c>
      <c r="E3039" s="5" t="inlineStr">
        <is>
          <t>Base and binder course; AC 14/20 EME2 Base/Bin</t>
        </is>
      </c>
      <c r="F3039" s="5" t="inlineStr">
        <is>
          <t>150 mm thick</t>
        </is>
      </c>
      <c r="G3039" s="6" t="inlineStr">
        <is>
          <t>m2</t>
        </is>
      </c>
      <c r="H3039" s="7" t="n">
        <v>0.02</v>
      </c>
      <c r="I3039" s="8" t="n">
        <v>6.33</v>
      </c>
      <c r="J3039" s="8" t="n">
        <v>14.25</v>
      </c>
      <c r="K3039" s="8" t="n">
        <v>50.09</v>
      </c>
      <c r="L3039" s="8" t="n">
        <v>0</v>
      </c>
      <c r="M3039" s="9">
        <f>ROUND(SUM(I3039:L3039),2)</f>
        <v/>
      </c>
      <c r="N3039" s="10">
        <f>ROUND(I3039*'Irish Basis'!$C$6*'Irish Basis'!$C$5,2)</f>
        <v/>
      </c>
      <c r="O3039" s="10">
        <f>ROUND(J3039*'Irish Basis'!$C$7*'Irish Basis'!$C$5,2)</f>
        <v/>
      </c>
      <c r="P3039" s="10">
        <f>ROUND(K3039*'Irish Basis'!$C$8*'Irish Basis'!$C$5,2)</f>
        <v/>
      </c>
      <c r="Q3039" s="10">
        <f>ROUND(L3039*'Irish Basis'!$C$12*'Irish Basis'!$C$5,2)</f>
        <v/>
      </c>
      <c r="R3039" s="11">
        <f>ROUND(SUM(N3039:Q3039),2)</f>
        <v/>
      </c>
      <c r="S3039" s="5" t="inlineStr">
        <is>
          <t>Stated build-up</t>
        </is>
      </c>
      <c r="T3039" s="12" t="inlineStr">
        <is>
          <t>High</t>
        </is>
      </c>
      <c r="U3039" s="8" t="n">
        <v>70.67</v>
      </c>
      <c r="V3039" s="13">
        <f>IF(U3039="","",ROUND(M3039-U3039,2))</f>
        <v/>
      </c>
      <c r="W3039" s="5" t="n"/>
      <c r="X3039" s="5" t="inlineStr">
        <is>
          <t>Labour + plant + material as published; reconciles to the published rate.</t>
        </is>
      </c>
    </row>
    <row r="3040" ht="13" customHeight="1">
      <c r="A3040" s="4" t="n">
        <v>4655</v>
      </c>
      <c r="B3040" s="5" t="inlineStr">
        <is>
          <t>IMG_0128</t>
        </is>
      </c>
      <c r="C3040" s="5" t="inlineStr">
        <is>
          <t>CLASS R: ROADS AND PAVINGS</t>
        </is>
      </c>
      <c r="D3040" s="5" t="inlineStr">
        <is>
          <t>03 BITUMINOUS BOUND PAVEMENTS</t>
        </is>
      </c>
      <c r="E3040" s="5" t="inlineStr">
        <is>
          <t>Hot rolled asphalt surface course; HRA 35/14 F Surf 40/60 des to PD 6691 with pre-coated chippings</t>
        </is>
      </c>
      <c r="F3040" s="5" t="inlineStr">
        <is>
          <t>50 mm thick</t>
        </is>
      </c>
      <c r="G3040" s="6" t="inlineStr">
        <is>
          <t>m2</t>
        </is>
      </c>
      <c r="H3040" s="7" t="n">
        <v>0.01</v>
      </c>
      <c r="I3040" s="8" t="n">
        <v>3.16</v>
      </c>
      <c r="J3040" s="8" t="n">
        <v>10.36</v>
      </c>
      <c r="K3040" s="8" t="n">
        <v>26.76</v>
      </c>
      <c r="L3040" s="8" t="n">
        <v>0</v>
      </c>
      <c r="M3040" s="9">
        <f>ROUND(SUM(I3040:L3040),2)</f>
        <v/>
      </c>
      <c r="N3040" s="10">
        <f>ROUND(I3040*'Irish Basis'!$C$6*'Irish Basis'!$C$5,2)</f>
        <v/>
      </c>
      <c r="O3040" s="10">
        <f>ROUND(J3040*'Irish Basis'!$C$7*'Irish Basis'!$C$5,2)</f>
        <v/>
      </c>
      <c r="P3040" s="10">
        <f>ROUND(K3040*'Irish Basis'!$C$8*'Irish Basis'!$C$5,2)</f>
        <v/>
      </c>
      <c r="Q3040" s="10">
        <f>ROUND(L3040*'Irish Basis'!$C$12*'Irish Basis'!$C$5,2)</f>
        <v/>
      </c>
      <c r="R3040" s="11">
        <f>ROUND(SUM(N3040:Q3040),2)</f>
        <v/>
      </c>
      <c r="S3040" s="5" t="inlineStr">
        <is>
          <t>Stated build-up</t>
        </is>
      </c>
      <c r="T3040" s="12" t="inlineStr">
        <is>
          <t>High</t>
        </is>
      </c>
      <c r="U3040" s="8" t="n">
        <v>40.28</v>
      </c>
      <c r="V3040" s="13">
        <f>IF(U3040="","",ROUND(M3040-U3040,2))</f>
        <v/>
      </c>
      <c r="W3040" s="5" t="n"/>
      <c r="X3040" s="5" t="inlineStr">
        <is>
          <t>Labour + plant + material as published; reconciles to the published rate.</t>
        </is>
      </c>
    </row>
    <row r="3041" ht="13" customHeight="1">
      <c r="A3041" s="4" t="n">
        <v>4657</v>
      </c>
      <c r="B3041" s="5" t="inlineStr">
        <is>
          <t>IMG_0128</t>
        </is>
      </c>
      <c r="C3041" s="5" t="inlineStr">
        <is>
          <t>CLASS R: ROADS AND PAVINGS</t>
        </is>
      </c>
      <c r="D3041" s="5" t="inlineStr">
        <is>
          <t>03 BITUMINOUS BOUND PAVEMENTS</t>
        </is>
      </c>
      <c r="E3041" s="5" t="inlineStr">
        <is>
          <t>Slurry surfacing; Slurry surfacing to BS EN 12273</t>
        </is>
      </c>
      <c r="F3041" s="5" t="inlineStr">
        <is>
          <t>3 mm thick</t>
        </is>
      </c>
      <c r="G3041" s="6" t="inlineStr">
        <is>
          <t>m2</t>
        </is>
      </c>
      <c r="H3041" s="7" t="n">
        <v>0.02</v>
      </c>
      <c r="I3041" s="8" t="n">
        <v>0.54</v>
      </c>
      <c r="J3041" s="8" t="n">
        <v>0.47</v>
      </c>
      <c r="K3041" s="8" t="n">
        <v>2.74</v>
      </c>
      <c r="L3041" s="8" t="n">
        <v>0</v>
      </c>
      <c r="M3041" s="9">
        <f>ROUND(SUM(I3041:L3041),2)</f>
        <v/>
      </c>
      <c r="N3041" s="10">
        <f>ROUND(I3041*'Irish Basis'!$C$6*'Irish Basis'!$C$5,2)</f>
        <v/>
      </c>
      <c r="O3041" s="10">
        <f>ROUND(J3041*'Irish Basis'!$C$7*'Irish Basis'!$C$5,2)</f>
        <v/>
      </c>
      <c r="P3041" s="10">
        <f>ROUND(K3041*'Irish Basis'!$C$8*'Irish Basis'!$C$5,2)</f>
        <v/>
      </c>
      <c r="Q3041" s="10">
        <f>ROUND(L3041*'Irish Basis'!$C$12*'Irish Basis'!$C$5,2)</f>
        <v/>
      </c>
      <c r="R3041" s="11">
        <f>ROUND(SUM(N3041:Q3041),2)</f>
        <v/>
      </c>
      <c r="S3041" s="5" t="inlineStr">
        <is>
          <t>Stated build-up</t>
        </is>
      </c>
      <c r="T3041" s="12" t="inlineStr">
        <is>
          <t>High</t>
        </is>
      </c>
      <c r="U3041" s="8" t="n">
        <v>3.76</v>
      </c>
      <c r="V3041" s="13">
        <f>IF(U3041="","",ROUND(M3041-U3041,2))</f>
        <v/>
      </c>
      <c r="W3041" s="5" t="n"/>
      <c r="X3041" s="5" t="inlineStr">
        <is>
          <t>Labour + plant + material as published; reconciles to the published rate.</t>
        </is>
      </c>
    </row>
    <row r="3042" ht="13" customHeight="1">
      <c r="A3042" s="4" t="n">
        <v>4658</v>
      </c>
      <c r="B3042" s="5" t="inlineStr">
        <is>
          <t>IMG_0128</t>
        </is>
      </c>
      <c r="C3042" s="5" t="inlineStr">
        <is>
          <t>CLASS R: ROADS AND PAVINGS</t>
        </is>
      </c>
      <c r="D3042" s="5" t="inlineStr">
        <is>
          <t>03 BITUMINOUS BOUND PAVEMENTS</t>
        </is>
      </c>
      <c r="E3042" s="5" t="inlineStr">
        <is>
          <t>Slurry surfacing; Slurry surfacing to BS EN 12273</t>
        </is>
      </c>
      <c r="F3042" s="5" t="inlineStr">
        <is>
          <t>4 mm thick</t>
        </is>
      </c>
      <c r="G3042" s="6" t="inlineStr">
        <is>
          <t>m2</t>
        </is>
      </c>
      <c r="H3042" s="7" t="n">
        <v>0.02</v>
      </c>
      <c r="I3042" s="8" t="n">
        <v>0.54</v>
      </c>
      <c r="J3042" s="8" t="n">
        <v>0.47</v>
      </c>
      <c r="K3042" s="8" t="n">
        <v>4.3</v>
      </c>
      <c r="L3042" s="8" t="n">
        <v>0</v>
      </c>
      <c r="M3042" s="9">
        <f>ROUND(SUM(I3042:L3042),2)</f>
        <v/>
      </c>
      <c r="N3042" s="10">
        <f>ROUND(I3042*'Irish Basis'!$C$6*'Irish Basis'!$C$5,2)</f>
        <v/>
      </c>
      <c r="O3042" s="10">
        <f>ROUND(J3042*'Irish Basis'!$C$7*'Irish Basis'!$C$5,2)</f>
        <v/>
      </c>
      <c r="P3042" s="10">
        <f>ROUND(K3042*'Irish Basis'!$C$8*'Irish Basis'!$C$5,2)</f>
        <v/>
      </c>
      <c r="Q3042" s="10">
        <f>ROUND(L3042*'Irish Basis'!$C$12*'Irish Basis'!$C$5,2)</f>
        <v/>
      </c>
      <c r="R3042" s="11">
        <f>ROUND(SUM(N3042:Q3042),2)</f>
        <v/>
      </c>
      <c r="S3042" s="5" t="inlineStr">
        <is>
          <t>Stated build-up</t>
        </is>
      </c>
      <c r="T3042" s="12" t="inlineStr">
        <is>
          <t>High</t>
        </is>
      </c>
      <c r="U3042" s="8" t="n">
        <v>5.32</v>
      </c>
      <c r="V3042" s="13">
        <f>IF(U3042="","",ROUND(M3042-U3042,2))</f>
        <v/>
      </c>
      <c r="W3042" s="5" t="n"/>
      <c r="X3042" s="5" t="inlineStr">
        <is>
          <t>Labour + plant + material as published; reconciles to the published rate.</t>
        </is>
      </c>
    </row>
    <row r="3043" ht="13" customHeight="1">
      <c r="A3043" s="4" t="n">
        <v>4660</v>
      </c>
      <c r="B3043" s="5" t="inlineStr">
        <is>
          <t>IMG_0128</t>
        </is>
      </c>
      <c r="C3043" s="5" t="inlineStr">
        <is>
          <t>CLASS R: ROADS AND PAVINGS</t>
        </is>
      </c>
      <c r="D3043" s="5" t="inlineStr">
        <is>
          <t>03 BITUMINOUS BOUND PAVEMENTS</t>
        </is>
      </c>
      <c r="E3043" s="5" t="inlineStr">
        <is>
          <t>Surface dressing; Surface dressing to BS EN 12271</t>
        </is>
      </c>
      <c r="F3043" s="5" t="inlineStr">
        <is>
          <t>6 mm single surface dressing</t>
        </is>
      </c>
      <c r="G3043" s="6" t="inlineStr">
        <is>
          <t>m2</t>
        </is>
      </c>
      <c r="H3043" s="7" t="n">
        <v>0.01</v>
      </c>
      <c r="I3043" s="8" t="n">
        <v>1.94</v>
      </c>
      <c r="J3043" s="8" t="n">
        <v>1.98</v>
      </c>
      <c r="K3043" s="8" t="n">
        <v>3.36</v>
      </c>
      <c r="L3043" s="8" t="n">
        <v>0</v>
      </c>
      <c r="M3043" s="9">
        <f>ROUND(SUM(I3043:L3043),2)</f>
        <v/>
      </c>
      <c r="N3043" s="10">
        <f>ROUND(I3043*'Irish Basis'!$C$6*'Irish Basis'!$C$5,2)</f>
        <v/>
      </c>
      <c r="O3043" s="10">
        <f>ROUND(J3043*'Irish Basis'!$C$7*'Irish Basis'!$C$5,2)</f>
        <v/>
      </c>
      <c r="P3043" s="10">
        <f>ROUND(K3043*'Irish Basis'!$C$8*'Irish Basis'!$C$5,2)</f>
        <v/>
      </c>
      <c r="Q3043" s="10">
        <f>ROUND(L3043*'Irish Basis'!$C$12*'Irish Basis'!$C$5,2)</f>
        <v/>
      </c>
      <c r="R3043" s="11">
        <f>ROUND(SUM(N3043:Q3043),2)</f>
        <v/>
      </c>
      <c r="S3043" s="5" t="inlineStr">
        <is>
          <t>Stated build-up</t>
        </is>
      </c>
      <c r="T3043" s="12" t="inlineStr">
        <is>
          <t>High</t>
        </is>
      </c>
      <c r="U3043" s="8" t="n">
        <v>7.28</v>
      </c>
      <c r="V3043" s="13">
        <f>IF(U3043="","",ROUND(M3043-U3043,2))</f>
        <v/>
      </c>
      <c r="W3043" s="5" t="n"/>
      <c r="X3043" s="5" t="inlineStr">
        <is>
          <t>Labour + plant + material as published; reconciles to the published rate.</t>
        </is>
      </c>
    </row>
    <row r="3044" ht="13" customHeight="1">
      <c r="A3044" s="4" t="n">
        <v>4661</v>
      </c>
      <c r="B3044" s="5" t="inlineStr">
        <is>
          <t>IMG_0128</t>
        </is>
      </c>
      <c r="C3044" s="5" t="inlineStr">
        <is>
          <t>CLASS R: ROADS AND PAVINGS</t>
        </is>
      </c>
      <c r="D3044" s="5" t="inlineStr">
        <is>
          <t>03 BITUMINOUS BOUND PAVEMENTS</t>
        </is>
      </c>
      <c r="E3044" s="5" t="inlineStr">
        <is>
          <t>Surface dressing; Surface dressing to BS EN 12271</t>
        </is>
      </c>
      <c r="F3044" s="5" t="inlineStr">
        <is>
          <t>10 mm &amp; 6 mm racked-in surface dressing</t>
        </is>
      </c>
      <c r="G3044" s="6" t="inlineStr">
        <is>
          <t>m2</t>
        </is>
      </c>
      <c r="H3044" s="7" t="n">
        <v>0.01</v>
      </c>
      <c r="I3044" s="8" t="n">
        <v>1.94</v>
      </c>
      <c r="J3044" s="8" t="n">
        <v>1.98</v>
      </c>
      <c r="K3044" s="8" t="n">
        <v>3.63</v>
      </c>
      <c r="L3044" s="8" t="n">
        <v>0</v>
      </c>
      <c r="M3044" s="9">
        <f>ROUND(SUM(I3044:L3044),2)</f>
        <v/>
      </c>
      <c r="N3044" s="10">
        <f>ROUND(I3044*'Irish Basis'!$C$6*'Irish Basis'!$C$5,2)</f>
        <v/>
      </c>
      <c r="O3044" s="10">
        <f>ROUND(J3044*'Irish Basis'!$C$7*'Irish Basis'!$C$5,2)</f>
        <v/>
      </c>
      <c r="P3044" s="10">
        <f>ROUND(K3044*'Irish Basis'!$C$8*'Irish Basis'!$C$5,2)</f>
        <v/>
      </c>
      <c r="Q3044" s="10">
        <f>ROUND(L3044*'Irish Basis'!$C$12*'Irish Basis'!$C$5,2)</f>
        <v/>
      </c>
      <c r="R3044" s="11">
        <f>ROUND(SUM(N3044:Q3044),2)</f>
        <v/>
      </c>
      <c r="S3044" s="5" t="inlineStr">
        <is>
          <t>Stated build-up</t>
        </is>
      </c>
      <c r="T3044" s="12" t="inlineStr">
        <is>
          <t>High</t>
        </is>
      </c>
      <c r="U3044" s="8" t="n">
        <v>7.55</v>
      </c>
      <c r="V3044" s="13">
        <f>IF(U3044="","",ROUND(M3044-U3044,2))</f>
        <v/>
      </c>
      <c r="W3044" s="5" t="n"/>
      <c r="X3044" s="5" t="inlineStr">
        <is>
          <t>Labour + plant + material as published; reconciles to the published rate.</t>
        </is>
      </c>
    </row>
    <row r="3045" ht="13" customHeight="1">
      <c r="A3045" s="4" t="n">
        <v>4662</v>
      </c>
      <c r="B3045" s="5" t="inlineStr">
        <is>
          <t>IMG_0128</t>
        </is>
      </c>
      <c r="C3045" s="5" t="inlineStr">
        <is>
          <t>CLASS R: ROADS AND PAVINGS</t>
        </is>
      </c>
      <c r="D3045" s="5" t="inlineStr">
        <is>
          <t>03 BITUMINOUS BOUND PAVEMENTS</t>
        </is>
      </c>
      <c r="E3045" s="5" t="inlineStr">
        <is>
          <t>Surface dressing; Surface dressing to BS EN 12271</t>
        </is>
      </c>
      <c r="F3045" s="5" t="inlineStr">
        <is>
          <t>10 mm &amp; 6 mm double surface dressing</t>
        </is>
      </c>
      <c r="G3045" s="6" t="inlineStr">
        <is>
          <t>m2</t>
        </is>
      </c>
      <c r="H3045" s="7" t="n">
        <v>0.01</v>
      </c>
      <c r="I3045" s="8" t="n">
        <v>1.94</v>
      </c>
      <c r="J3045" s="8" t="n">
        <v>1.98</v>
      </c>
      <c r="K3045" s="8" t="n">
        <v>4.1</v>
      </c>
      <c r="L3045" s="8" t="n">
        <v>0</v>
      </c>
      <c r="M3045" s="9">
        <f>ROUND(SUM(I3045:L3045),2)</f>
        <v/>
      </c>
      <c r="N3045" s="10">
        <f>ROUND(I3045*'Irish Basis'!$C$6*'Irish Basis'!$C$5,2)</f>
        <v/>
      </c>
      <c r="O3045" s="10">
        <f>ROUND(J3045*'Irish Basis'!$C$7*'Irish Basis'!$C$5,2)</f>
        <v/>
      </c>
      <c r="P3045" s="10">
        <f>ROUND(K3045*'Irish Basis'!$C$8*'Irish Basis'!$C$5,2)</f>
        <v/>
      </c>
      <c r="Q3045" s="10">
        <f>ROUND(L3045*'Irish Basis'!$C$12*'Irish Basis'!$C$5,2)</f>
        <v/>
      </c>
      <c r="R3045" s="11">
        <f>ROUND(SUM(N3045:Q3045),2)</f>
        <v/>
      </c>
      <c r="S3045" s="5" t="inlineStr">
        <is>
          <t>Stated build-up</t>
        </is>
      </c>
      <c r="T3045" s="12" t="inlineStr">
        <is>
          <t>High</t>
        </is>
      </c>
      <c r="U3045" s="8" t="n">
        <v>8.02</v>
      </c>
      <c r="V3045" s="13">
        <f>IF(U3045="","",ROUND(M3045-U3045,2))</f>
        <v/>
      </c>
      <c r="W3045" s="5" t="n"/>
      <c r="X3045" s="5" t="inlineStr">
        <is>
          <t>Labour + plant + material as published; reconciles to the published rate.</t>
        </is>
      </c>
    </row>
    <row r="3046" ht="13" customHeight="1">
      <c r="A3046" s="4" t="n">
        <v>4664</v>
      </c>
      <c r="B3046" s="5" t="inlineStr">
        <is>
          <t>IMG_0128</t>
        </is>
      </c>
      <c r="C3046" s="5" t="inlineStr">
        <is>
          <t>CLASS R: ROADS AND PAVINGS</t>
        </is>
      </c>
      <c r="D3046" s="5" t="inlineStr">
        <is>
          <t>03 BITUMINOUS BOUND PAVEMENTS</t>
        </is>
      </c>
      <c r="E3046" s="5" t="inlineStr">
        <is>
          <t>Bond coat; Bond coat to BS 594987</t>
        </is>
      </c>
      <c r="F3046" s="5" t="inlineStr">
        <is>
          <t>large areas; over 20 m2 @0.2 kg/m2</t>
        </is>
      </c>
      <c r="G3046" s="6" t="inlineStr">
        <is>
          <t>m2</t>
        </is>
      </c>
      <c r="H3046" s="7" t="n">
        <v>0.02</v>
      </c>
      <c r="I3046" s="8" t="n">
        <v>0.54</v>
      </c>
      <c r="J3046" s="8" t="n">
        <v>0.47</v>
      </c>
      <c r="K3046" s="8" t="n">
        <v>0.78</v>
      </c>
      <c r="L3046" s="8" t="n">
        <v>0</v>
      </c>
      <c r="M3046" s="9">
        <f>ROUND(SUM(I3046:L3046),2)</f>
        <v/>
      </c>
      <c r="N3046" s="10">
        <f>ROUND(I3046*'Irish Basis'!$C$6*'Irish Basis'!$C$5,2)</f>
        <v/>
      </c>
      <c r="O3046" s="10">
        <f>ROUND(J3046*'Irish Basis'!$C$7*'Irish Basis'!$C$5,2)</f>
        <v/>
      </c>
      <c r="P3046" s="10">
        <f>ROUND(K3046*'Irish Basis'!$C$8*'Irish Basis'!$C$5,2)</f>
        <v/>
      </c>
      <c r="Q3046" s="10">
        <f>ROUND(L3046*'Irish Basis'!$C$12*'Irish Basis'!$C$5,2)</f>
        <v/>
      </c>
      <c r="R3046" s="11">
        <f>ROUND(SUM(N3046:Q3046),2)</f>
        <v/>
      </c>
      <c r="S3046" s="5" t="inlineStr">
        <is>
          <t>Stated build-up</t>
        </is>
      </c>
      <c r="T3046" s="12" t="inlineStr">
        <is>
          <t>High</t>
        </is>
      </c>
      <c r="U3046" s="8" t="n">
        <v>1.79</v>
      </c>
      <c r="V3046" s="13">
        <f>IF(U3046="","",ROUND(M3046-U3046,2))</f>
        <v/>
      </c>
      <c r="W3046" s="5" t="n"/>
      <c r="X3046" s="5" t="inlineStr">
        <is>
          <t>Labour + plant + material as published; reconciles to the published rate.</t>
        </is>
      </c>
    </row>
    <row r="3047" ht="13" customHeight="1">
      <c r="A3047" s="4" t="n">
        <v>4665</v>
      </c>
      <c r="B3047" s="5" t="inlineStr">
        <is>
          <t>IMG_0128</t>
        </is>
      </c>
      <c r="C3047" s="5" t="inlineStr">
        <is>
          <t>CLASS R: ROADS AND PAVINGS</t>
        </is>
      </c>
      <c r="D3047" s="5" t="inlineStr">
        <is>
          <t>03 BITUMINOUS BOUND PAVEMENTS</t>
        </is>
      </c>
      <c r="E3047" s="5" t="inlineStr">
        <is>
          <t>Bond coat; Bond coat to BS 594987</t>
        </is>
      </c>
      <c r="F3047" s="5" t="inlineStr">
        <is>
          <t>small areas; under 20 m2 @0.2 kg/m2</t>
        </is>
      </c>
      <c r="G3047" s="6" t="inlineStr">
        <is>
          <t>m2</t>
        </is>
      </c>
      <c r="H3047" s="7" t="n">
        <v>0.02</v>
      </c>
      <c r="I3047" s="8" t="n">
        <v>0.54</v>
      </c>
      <c r="J3047" s="8" t="n">
        <v>0.47</v>
      </c>
      <c r="K3047" s="8" t="n">
        <v>0.97</v>
      </c>
      <c r="L3047" s="8" t="n">
        <v>0</v>
      </c>
      <c r="M3047" s="9">
        <f>ROUND(SUM(I3047:L3047),2)</f>
        <v/>
      </c>
      <c r="N3047" s="10">
        <f>ROUND(I3047*'Irish Basis'!$C$6*'Irish Basis'!$C$5,2)</f>
        <v/>
      </c>
      <c r="O3047" s="10">
        <f>ROUND(J3047*'Irish Basis'!$C$7*'Irish Basis'!$C$5,2)</f>
        <v/>
      </c>
      <c r="P3047" s="10">
        <f>ROUND(K3047*'Irish Basis'!$C$8*'Irish Basis'!$C$5,2)</f>
        <v/>
      </c>
      <c r="Q3047" s="10">
        <f>ROUND(L3047*'Irish Basis'!$C$12*'Irish Basis'!$C$5,2)</f>
        <v/>
      </c>
      <c r="R3047" s="11">
        <f>ROUND(SUM(N3047:Q3047),2)</f>
        <v/>
      </c>
      <c r="S3047" s="5" t="inlineStr">
        <is>
          <t>Stated build-up</t>
        </is>
      </c>
      <c r="T3047" s="12" t="inlineStr">
        <is>
          <t>High</t>
        </is>
      </c>
      <c r="U3047" s="8" t="n">
        <v>1.98</v>
      </c>
      <c r="V3047" s="13">
        <f>IF(U3047="","",ROUND(M3047-U3047,2))</f>
        <v/>
      </c>
      <c r="W3047" s="5" t="n"/>
      <c r="X3047" s="5" t="inlineStr">
        <is>
          <t>Labour + plant + material as published; reconciles to the published rate.</t>
        </is>
      </c>
    </row>
    <row r="3048" ht="13" customHeight="1">
      <c r="A3048" s="4" t="n">
        <v>4666</v>
      </c>
      <c r="B3048" s="5" t="inlineStr">
        <is>
          <t>IMG_0128</t>
        </is>
      </c>
      <c r="C3048" s="5" t="inlineStr">
        <is>
          <t>CLASS R: ROADS AND PAVINGS</t>
        </is>
      </c>
      <c r="D3048" s="5" t="inlineStr">
        <is>
          <t>03 BITUMINOUS BOUND PAVEMENTS</t>
        </is>
      </c>
      <c r="E3048" s="5" t="inlineStr">
        <is>
          <t>Bond coat; Bond coat to BS 594987</t>
        </is>
      </c>
      <c r="F3048" s="5" t="inlineStr">
        <is>
          <t>large areas; under 20 m2 @0.35 kg/m2</t>
        </is>
      </c>
      <c r="G3048" s="6" t="inlineStr">
        <is>
          <t>m2</t>
        </is>
      </c>
      <c r="H3048" s="7" t="n">
        <v>0.02</v>
      </c>
      <c r="I3048" s="8" t="n">
        <v>0.54</v>
      </c>
      <c r="J3048" s="8" t="n">
        <v>0.47</v>
      </c>
      <c r="K3048" s="8" t="n">
        <v>1.36</v>
      </c>
      <c r="L3048" s="8" t="n">
        <v>0</v>
      </c>
      <c r="M3048" s="9">
        <f>ROUND(SUM(I3048:L3048),2)</f>
        <v/>
      </c>
      <c r="N3048" s="10">
        <f>ROUND(I3048*'Irish Basis'!$C$6*'Irish Basis'!$C$5,2)</f>
        <v/>
      </c>
      <c r="O3048" s="10">
        <f>ROUND(J3048*'Irish Basis'!$C$7*'Irish Basis'!$C$5,2)</f>
        <v/>
      </c>
      <c r="P3048" s="10">
        <f>ROUND(K3048*'Irish Basis'!$C$8*'Irish Basis'!$C$5,2)</f>
        <v/>
      </c>
      <c r="Q3048" s="10">
        <f>ROUND(L3048*'Irish Basis'!$C$12*'Irish Basis'!$C$5,2)</f>
        <v/>
      </c>
      <c r="R3048" s="11">
        <f>ROUND(SUM(N3048:Q3048),2)</f>
        <v/>
      </c>
      <c r="S3048" s="5" t="inlineStr">
        <is>
          <t>Stated build-up</t>
        </is>
      </c>
      <c r="T3048" s="12" t="inlineStr">
        <is>
          <t>High</t>
        </is>
      </c>
      <c r="U3048" s="8" t="n">
        <v>2.37</v>
      </c>
      <c r="V3048" s="13">
        <f>IF(U3048="","",ROUND(M3048-U3048,2))</f>
        <v/>
      </c>
      <c r="W3048" s="5" t="n"/>
      <c r="X3048" s="5" t="inlineStr">
        <is>
          <t>Labour + plant + material as published; reconciles to the published rate.</t>
        </is>
      </c>
    </row>
    <row r="3049" ht="13" customHeight="1">
      <c r="A3049" s="4" t="n">
        <v>4667</v>
      </c>
      <c r="B3049" s="5" t="inlineStr">
        <is>
          <t>IMG_0128</t>
        </is>
      </c>
      <c r="C3049" s="5" t="inlineStr">
        <is>
          <t>CLASS R: ROADS AND PAVINGS</t>
        </is>
      </c>
      <c r="D3049" s="5" t="inlineStr">
        <is>
          <t>03 BITUMINOUS BOUND PAVEMENTS</t>
        </is>
      </c>
      <c r="E3049" s="5" t="inlineStr">
        <is>
          <t>Bond coat; Bond coat to BS 594987</t>
        </is>
      </c>
      <c r="F3049" s="5" t="inlineStr">
        <is>
          <t>small areas; under 20 m2 @0.35 kg/m2</t>
        </is>
      </c>
      <c r="G3049" s="6" t="inlineStr">
        <is>
          <t>m2</t>
        </is>
      </c>
      <c r="H3049" s="7" t="n">
        <v>0.02</v>
      </c>
      <c r="I3049" s="8" t="n">
        <v>0.54</v>
      </c>
      <c r="J3049" s="8" t="n">
        <v>0.47</v>
      </c>
      <c r="K3049" s="8" t="n">
        <v>1.7</v>
      </c>
      <c r="L3049" s="8" t="n">
        <v>0</v>
      </c>
      <c r="M3049" s="9">
        <f>ROUND(SUM(I3049:L3049),2)</f>
        <v/>
      </c>
      <c r="N3049" s="10">
        <f>ROUND(I3049*'Irish Basis'!$C$6*'Irish Basis'!$C$5,2)</f>
        <v/>
      </c>
      <c r="O3049" s="10">
        <f>ROUND(J3049*'Irish Basis'!$C$7*'Irish Basis'!$C$5,2)</f>
        <v/>
      </c>
      <c r="P3049" s="10">
        <f>ROUND(K3049*'Irish Basis'!$C$8*'Irish Basis'!$C$5,2)</f>
        <v/>
      </c>
      <c r="Q3049" s="10">
        <f>ROUND(L3049*'Irish Basis'!$C$12*'Irish Basis'!$C$5,2)</f>
        <v/>
      </c>
      <c r="R3049" s="11">
        <f>ROUND(SUM(N3049:Q3049),2)</f>
        <v/>
      </c>
      <c r="S3049" s="5" t="inlineStr">
        <is>
          <t>Stated build-up</t>
        </is>
      </c>
      <c r="T3049" s="12" t="inlineStr">
        <is>
          <t>High</t>
        </is>
      </c>
      <c r="U3049" s="8" t="n">
        <v>2.71</v>
      </c>
      <c r="V3049" s="13">
        <f>IF(U3049="","",ROUND(M3049-U3049,2))</f>
        <v/>
      </c>
      <c r="W3049" s="5" t="n"/>
      <c r="X3049" s="5" t="inlineStr">
        <is>
          <t>Labour + plant + material as published; reconciles to the published rate.</t>
        </is>
      </c>
    </row>
    <row r="3050" ht="13" customHeight="1">
      <c r="A3050" s="4" t="n">
        <v>4669</v>
      </c>
      <c r="B3050" s="5" t="inlineStr">
        <is>
          <t>IMG_0128</t>
        </is>
      </c>
      <c r="C3050" s="5" t="inlineStr">
        <is>
          <t>CLASS R: ROADS AND PAVINGS</t>
        </is>
      </c>
      <c r="D3050" s="5" t="inlineStr">
        <is>
          <t>03 BITUMINOUS BOUND PAVEMENTS</t>
        </is>
      </c>
      <c r="E3050" s="5" t="inlineStr">
        <is>
          <t>Excavation, Trimming and Reinstatement of Existing Surfaces; Trimming edges only of existing slabs, floors or similar surfaces (wet or dry); 6 mm cutting width</t>
        </is>
      </c>
      <c r="F3050" s="5" t="inlineStr">
        <is>
          <t>50 mm deep</t>
        </is>
      </c>
      <c r="G3050" s="6" t="inlineStr">
        <is>
          <t>m</t>
        </is>
      </c>
      <c r="H3050" s="7" t="n">
        <v>0.02</v>
      </c>
      <c r="I3050" s="8" t="n">
        <v>0.48</v>
      </c>
      <c r="J3050" s="8" t="n">
        <v>0.33</v>
      </c>
      <c r="K3050" s="8" t="n">
        <v>59.49</v>
      </c>
      <c r="L3050" s="8" t="n">
        <v>0</v>
      </c>
      <c r="M3050" s="9">
        <f>ROUND(SUM(I3050:L3050),2)</f>
        <v/>
      </c>
      <c r="N3050" s="10">
        <f>ROUND(I3050*'Irish Basis'!$C$6*'Irish Basis'!$C$5,2)</f>
        <v/>
      </c>
      <c r="O3050" s="10">
        <f>ROUND(J3050*'Irish Basis'!$C$7*'Irish Basis'!$C$5,2)</f>
        <v/>
      </c>
      <c r="P3050" s="10">
        <f>ROUND(K3050*'Irish Basis'!$C$8*'Irish Basis'!$C$5,2)</f>
        <v/>
      </c>
      <c r="Q3050" s="10">
        <f>ROUND(L3050*'Irish Basis'!$C$12*'Irish Basis'!$C$5,2)</f>
        <v/>
      </c>
      <c r="R3050" s="11">
        <f>ROUND(SUM(N3050:Q3050),2)</f>
        <v/>
      </c>
      <c r="S3050" s="5" t="inlineStr">
        <is>
          <t>Stated build-up</t>
        </is>
      </c>
      <c r="T3050" s="12" t="inlineStr">
        <is>
          <t>High</t>
        </is>
      </c>
      <c r="U3050" s="8" t="n">
        <v>60.3</v>
      </c>
      <c r="V3050" s="13">
        <f>IF(U3050="","",ROUND(M3050-U3050,2))</f>
        <v/>
      </c>
      <c r="W3050" s="5" t="n"/>
      <c r="X3050" s="5" t="inlineStr">
        <is>
          <t>Labour + plant + material as published; reconciles to the published rate.</t>
        </is>
      </c>
    </row>
    <row r="3051" ht="13" customHeight="1">
      <c r="A3051" s="4" t="n">
        <v>4670</v>
      </c>
      <c r="B3051" s="5" t="inlineStr">
        <is>
          <t>IMG_0128</t>
        </is>
      </c>
      <c r="C3051" s="5" t="inlineStr">
        <is>
          <t>CLASS R: ROADS AND PAVINGS</t>
        </is>
      </c>
      <c r="D3051" s="5" t="inlineStr">
        <is>
          <t>03 BITUMINOUS BOUND PAVEMENTS</t>
        </is>
      </c>
      <c r="E3051" s="5" t="inlineStr">
        <is>
          <t>Excavation, Trimming and Reinstatement of Existing Surfaces; Trimming edges only of existing slabs, floors or similar surfaces (wet or dry); 6 mm cutting width</t>
        </is>
      </c>
      <c r="F3051" s="5" t="inlineStr">
        <is>
          <t>100 mm deep</t>
        </is>
      </c>
      <c r="G3051" s="6" t="inlineStr">
        <is>
          <t>m</t>
        </is>
      </c>
      <c r="H3051" s="7" t="n">
        <v>0.03</v>
      </c>
      <c r="I3051" s="8" t="n">
        <v>0.72</v>
      </c>
      <c r="J3051" s="8" t="n">
        <v>0.51</v>
      </c>
      <c r="K3051" s="8" t="n">
        <v>145.16</v>
      </c>
      <c r="L3051" s="8" t="n">
        <v>0</v>
      </c>
      <c r="M3051" s="9">
        <f>ROUND(SUM(I3051:L3051),2)</f>
        <v/>
      </c>
      <c r="N3051" s="10">
        <f>ROUND(I3051*'Irish Basis'!$C$6*'Irish Basis'!$C$5,2)</f>
        <v/>
      </c>
      <c r="O3051" s="10">
        <f>ROUND(J3051*'Irish Basis'!$C$7*'Irish Basis'!$C$5,2)</f>
        <v/>
      </c>
      <c r="P3051" s="10">
        <f>ROUND(K3051*'Irish Basis'!$C$8*'Irish Basis'!$C$5,2)</f>
        <v/>
      </c>
      <c r="Q3051" s="10">
        <f>ROUND(L3051*'Irish Basis'!$C$12*'Irish Basis'!$C$5,2)</f>
        <v/>
      </c>
      <c r="R3051" s="11">
        <f>ROUND(SUM(N3051:Q3051),2)</f>
        <v/>
      </c>
      <c r="S3051" s="5" t="inlineStr">
        <is>
          <t>Stated build-up</t>
        </is>
      </c>
      <c r="T3051" s="12" t="inlineStr">
        <is>
          <t>High</t>
        </is>
      </c>
      <c r="U3051" s="8" t="n">
        <v>146.4</v>
      </c>
      <c r="V3051" s="13">
        <f>IF(U3051="","",ROUND(M3051-U3051,2))</f>
        <v/>
      </c>
      <c r="W3051" s="5" t="n"/>
      <c r="X3051" s="5" t="inlineStr">
        <is>
          <t>Labour + plant + material as published; reconciles to the published rate.</t>
        </is>
      </c>
    </row>
    <row r="3052" ht="13" customHeight="1">
      <c r="A3052" s="4" t="n">
        <v>4672</v>
      </c>
      <c r="B3052" s="5" t="inlineStr">
        <is>
          <t>IMG_0128</t>
        </is>
      </c>
      <c r="C3052" s="5" t="inlineStr">
        <is>
          <t>CLASS R: ROADS AND PAVINGS</t>
        </is>
      </c>
      <c r="D3052" s="5" t="inlineStr">
        <is>
          <t>03 BITUMINOUS BOUND PAVEMENTS</t>
        </is>
      </c>
      <c r="E3052" s="5" t="inlineStr">
        <is>
          <t>Cutting existing slabs, floors or similar surfaces (wet or dry); 8 mm cutting width</t>
        </is>
      </c>
      <c r="F3052" s="5" t="inlineStr">
        <is>
          <t>50 mm deep</t>
        </is>
      </c>
      <c r="G3052" s="6" t="inlineStr">
        <is>
          <t>m</t>
        </is>
      </c>
      <c r="H3052" s="7" t="n">
        <v>0.03</v>
      </c>
      <c r="I3052" s="8" t="n">
        <v>0.6</v>
      </c>
      <c r="J3052" s="8" t="n">
        <v>0.41</v>
      </c>
      <c r="K3052" s="8" t="n">
        <v>59.49</v>
      </c>
      <c r="L3052" s="8" t="n">
        <v>0</v>
      </c>
      <c r="M3052" s="9">
        <f>ROUND(SUM(I3052:L3052),2)</f>
        <v/>
      </c>
      <c r="N3052" s="10">
        <f>ROUND(I3052*'Irish Basis'!$C$6*'Irish Basis'!$C$5,2)</f>
        <v/>
      </c>
      <c r="O3052" s="10">
        <f>ROUND(J3052*'Irish Basis'!$C$7*'Irish Basis'!$C$5,2)</f>
        <v/>
      </c>
      <c r="P3052" s="10">
        <f>ROUND(K3052*'Irish Basis'!$C$8*'Irish Basis'!$C$5,2)</f>
        <v/>
      </c>
      <c r="Q3052" s="10">
        <f>ROUND(L3052*'Irish Basis'!$C$12*'Irish Basis'!$C$5,2)</f>
        <v/>
      </c>
      <c r="R3052" s="11">
        <f>ROUND(SUM(N3052:Q3052),2)</f>
        <v/>
      </c>
      <c r="S3052" s="5" t="inlineStr">
        <is>
          <t>Stated build-up</t>
        </is>
      </c>
      <c r="T3052" s="12" t="inlineStr">
        <is>
          <t>High</t>
        </is>
      </c>
      <c r="U3052" s="8" t="n">
        <v>60.5</v>
      </c>
      <c r="V3052" s="13">
        <f>IF(U3052="","",ROUND(M3052-U3052,2))</f>
        <v/>
      </c>
      <c r="W3052" s="5" t="n"/>
      <c r="X3052" s="5" t="inlineStr">
        <is>
          <t>Labour + plant + material as published; reconciles to the published rate.</t>
        </is>
      </c>
    </row>
    <row r="3053" ht="13" customHeight="1">
      <c r="A3053" s="4" t="n">
        <v>4673</v>
      </c>
      <c r="B3053" s="5" t="inlineStr">
        <is>
          <t>IMG_0128</t>
        </is>
      </c>
      <c r="C3053" s="5" t="inlineStr">
        <is>
          <t>CLASS R: ROADS AND PAVINGS</t>
        </is>
      </c>
      <c r="D3053" s="5" t="inlineStr">
        <is>
          <t>03 BITUMINOUS BOUND PAVEMENTS</t>
        </is>
      </c>
      <c r="E3053" s="5" t="inlineStr">
        <is>
          <t>Cutting existing slabs, floors or similar surfaces (wet or dry); 8 mm cutting width</t>
        </is>
      </c>
      <c r="F3053" s="5" t="inlineStr">
        <is>
          <t>100 mm deep</t>
        </is>
      </c>
      <c r="G3053" s="6" t="inlineStr">
        <is>
          <t>m</t>
        </is>
      </c>
      <c r="H3053" s="7" t="n">
        <v>0.06</v>
      </c>
      <c r="I3053" s="8" t="n">
        <v>1.45</v>
      </c>
      <c r="J3053" s="8" t="n">
        <v>1</v>
      </c>
      <c r="K3053" s="8" t="n">
        <v>145.16</v>
      </c>
      <c r="L3053" s="8" t="n">
        <v>0</v>
      </c>
      <c r="M3053" s="9">
        <f>ROUND(SUM(I3053:L3053),2)</f>
        <v/>
      </c>
      <c r="N3053" s="10">
        <f>ROUND(I3053*'Irish Basis'!$C$6*'Irish Basis'!$C$5,2)</f>
        <v/>
      </c>
      <c r="O3053" s="10">
        <f>ROUND(J3053*'Irish Basis'!$C$7*'Irish Basis'!$C$5,2)</f>
        <v/>
      </c>
      <c r="P3053" s="10">
        <f>ROUND(K3053*'Irish Basis'!$C$8*'Irish Basis'!$C$5,2)</f>
        <v/>
      </c>
      <c r="Q3053" s="10">
        <f>ROUND(L3053*'Irish Basis'!$C$12*'Irish Basis'!$C$5,2)</f>
        <v/>
      </c>
      <c r="R3053" s="11">
        <f>ROUND(SUM(N3053:Q3053),2)</f>
        <v/>
      </c>
      <c r="S3053" s="5" t="inlineStr">
        <is>
          <t>Stated build-up</t>
        </is>
      </c>
      <c r="T3053" s="12" t="inlineStr">
        <is>
          <t>High</t>
        </is>
      </c>
      <c r="U3053" s="8" t="n">
        <v>147.6</v>
      </c>
      <c r="V3053" s="13">
        <f>IF(U3053="","",ROUND(M3053-U3053,2))</f>
        <v/>
      </c>
      <c r="W3053" s="5" t="n"/>
      <c r="X3053" s="5" t="inlineStr">
        <is>
          <t>Labour + plant + material as published; reconciles to the published rate.</t>
        </is>
      </c>
    </row>
    <row r="3054" ht="13" customHeight="1">
      <c r="A3054" s="4" t="n">
        <v>4674</v>
      </c>
      <c r="B3054" s="5" t="inlineStr">
        <is>
          <t>IMG_0128</t>
        </is>
      </c>
      <c r="C3054" s="5" t="inlineStr">
        <is>
          <t>CLASS R: ROADS AND PAVINGS</t>
        </is>
      </c>
      <c r="D3054" s="5" t="inlineStr">
        <is>
          <t>03 BITUMINOUS BOUND PAVEMENTS</t>
        </is>
      </c>
      <c r="E3054" s="5" t="inlineStr">
        <is>
          <t>Cutting existing slabs, floors or similar surfaces (wet or dry); 8 mm cutting width</t>
        </is>
      </c>
      <c r="F3054" s="5" t="inlineStr">
        <is>
          <t>150 mm deep</t>
        </is>
      </c>
      <c r="G3054" s="6" t="inlineStr">
        <is>
          <t>m</t>
        </is>
      </c>
      <c r="H3054" s="7" t="n">
        <v>0.08</v>
      </c>
      <c r="I3054" s="8" t="n">
        <v>1.93</v>
      </c>
      <c r="J3054" s="8" t="n">
        <v>1.33</v>
      </c>
      <c r="K3054" s="8" t="n">
        <v>195.56</v>
      </c>
      <c r="L3054" s="8" t="n">
        <v>0</v>
      </c>
      <c r="M3054" s="9">
        <f>ROUND(SUM(I3054:L3054),2)</f>
        <v/>
      </c>
      <c r="N3054" s="10">
        <f>ROUND(I3054*'Irish Basis'!$C$6*'Irish Basis'!$C$5,2)</f>
        <v/>
      </c>
      <c r="O3054" s="10">
        <f>ROUND(J3054*'Irish Basis'!$C$7*'Irish Basis'!$C$5,2)</f>
        <v/>
      </c>
      <c r="P3054" s="10">
        <f>ROUND(K3054*'Irish Basis'!$C$8*'Irish Basis'!$C$5,2)</f>
        <v/>
      </c>
      <c r="Q3054" s="10">
        <f>ROUND(L3054*'Irish Basis'!$C$12*'Irish Basis'!$C$5,2)</f>
        <v/>
      </c>
      <c r="R3054" s="11">
        <f>ROUND(SUM(N3054:Q3054),2)</f>
        <v/>
      </c>
      <c r="S3054" s="5" t="inlineStr">
        <is>
          <t>Stated build-up</t>
        </is>
      </c>
      <c r="T3054" s="12" t="inlineStr">
        <is>
          <t>High</t>
        </is>
      </c>
      <c r="U3054" s="8" t="n">
        <v>198.82</v>
      </c>
      <c r="V3054" s="13">
        <f>IF(U3054="","",ROUND(M3054-U3054,2))</f>
        <v/>
      </c>
      <c r="W3054" s="5" t="n"/>
      <c r="X3054" s="5" t="inlineStr">
        <is>
          <t>Labour + plant + material as published; reconciles to the published rate.</t>
        </is>
      </c>
    </row>
    <row r="3055" ht="13" customHeight="1">
      <c r="A3055" s="4" t="n">
        <v>4676</v>
      </c>
      <c r="B3055" s="5" t="inlineStr">
        <is>
          <t>IMG_0128</t>
        </is>
      </c>
      <c r="C3055" s="5" t="inlineStr">
        <is>
          <t>CLASS R: ROADS AND PAVINGS</t>
        </is>
      </c>
      <c r="D3055" s="5" t="inlineStr">
        <is>
          <t>03 BITUMINOUS BOUND PAVEMENTS</t>
        </is>
      </c>
      <c r="E3055" s="5" t="inlineStr">
        <is>
          <t>Milling pavement (assumes disposal on site or reuse as fill but excludes transport if required)</t>
        </is>
      </c>
      <c r="F3055" s="5" t="inlineStr">
        <is>
          <t>75 mm deep</t>
        </is>
      </c>
      <c r="G3055" s="6" t="inlineStr">
        <is>
          <t>m2</t>
        </is>
      </c>
      <c r="H3055" s="7" t="n">
        <v>0.03</v>
      </c>
      <c r="I3055" s="8" t="n">
        <v>6.81</v>
      </c>
      <c r="J3055" s="8" t="n">
        <v>159.79</v>
      </c>
      <c r="K3055" s="8" t="n">
        <v>0</v>
      </c>
      <c r="L3055" s="8" t="n">
        <v>0</v>
      </c>
      <c r="M3055" s="9">
        <f>ROUND(SUM(I3055:L3055),2)</f>
        <v/>
      </c>
      <c r="N3055" s="10">
        <f>ROUND(I3055*'Irish Basis'!$C$6*'Irish Basis'!$C$5,2)</f>
        <v/>
      </c>
      <c r="O3055" s="10">
        <f>ROUND(J3055*'Irish Basis'!$C$7*'Irish Basis'!$C$5,2)</f>
        <v/>
      </c>
      <c r="P3055" s="10">
        <f>ROUND(K3055*'Irish Basis'!$C$8*'Irish Basis'!$C$5,2)</f>
        <v/>
      </c>
      <c r="Q3055" s="10">
        <f>ROUND(L3055*'Irish Basis'!$C$12*'Irish Basis'!$C$5,2)</f>
        <v/>
      </c>
      <c r="R3055" s="11">
        <f>ROUND(SUM(N3055:Q3055),2)</f>
        <v/>
      </c>
      <c r="S3055" s="5" t="inlineStr">
        <is>
          <t>Stated build-up</t>
        </is>
      </c>
      <c r="T3055" s="12" t="inlineStr">
        <is>
          <t>High</t>
        </is>
      </c>
      <c r="U3055" s="8" t="n">
        <v>166.6</v>
      </c>
      <c r="V3055" s="13">
        <f>IF(U3055="","",ROUND(M3055-U3055,2))</f>
        <v/>
      </c>
      <c r="W3055" s="5" t="n"/>
      <c r="X3055" s="5" t="inlineStr">
        <is>
          <t>Labour + plant + material as published; reconciles to the published rate.</t>
        </is>
      </c>
    </row>
    <row r="3056" ht="13" customHeight="1">
      <c r="A3056" s="4" t="n">
        <v>4677</v>
      </c>
      <c r="B3056" s="5" t="inlineStr">
        <is>
          <t>IMG_0128</t>
        </is>
      </c>
      <c r="C3056" s="5" t="inlineStr">
        <is>
          <t>CLASS R: ROADS AND PAVINGS</t>
        </is>
      </c>
      <c r="D3056" s="5" t="inlineStr">
        <is>
          <t>03 BITUMINOUS BOUND PAVEMENTS</t>
        </is>
      </c>
      <c r="E3056" s="5" t="inlineStr">
        <is>
          <t>Milling pavement (assumes disposal on site or reuse as fill but excludes transport if required)</t>
        </is>
      </c>
      <c r="F3056" s="5" t="inlineStr">
        <is>
          <t>100 mm deep</t>
        </is>
      </c>
      <c r="G3056" s="6" t="inlineStr">
        <is>
          <t>m2</t>
        </is>
      </c>
      <c r="H3056" s="7" t="n">
        <v>0.04</v>
      </c>
      <c r="I3056" s="8" t="n">
        <v>9.08</v>
      </c>
      <c r="J3056" s="8" t="n">
        <v>213.05</v>
      </c>
      <c r="K3056" s="8" t="n">
        <v>0</v>
      </c>
      <c r="L3056" s="8" t="n">
        <v>0</v>
      </c>
      <c r="M3056" s="9">
        <f>ROUND(SUM(I3056:L3056),2)</f>
        <v/>
      </c>
      <c r="N3056" s="10">
        <f>ROUND(I3056*'Irish Basis'!$C$6*'Irish Basis'!$C$5,2)</f>
        <v/>
      </c>
      <c r="O3056" s="10">
        <f>ROUND(J3056*'Irish Basis'!$C$7*'Irish Basis'!$C$5,2)</f>
        <v/>
      </c>
      <c r="P3056" s="10">
        <f>ROUND(K3056*'Irish Basis'!$C$8*'Irish Basis'!$C$5,2)</f>
        <v/>
      </c>
      <c r="Q3056" s="10">
        <f>ROUND(L3056*'Irish Basis'!$C$12*'Irish Basis'!$C$5,2)</f>
        <v/>
      </c>
      <c r="R3056" s="11">
        <f>ROUND(SUM(N3056:Q3056),2)</f>
        <v/>
      </c>
      <c r="S3056" s="5" t="inlineStr">
        <is>
          <t>Stated build-up</t>
        </is>
      </c>
      <c r="T3056" s="12" t="inlineStr">
        <is>
          <t>High</t>
        </is>
      </c>
      <c r="U3056" s="8" t="n">
        <v>222.13</v>
      </c>
      <c r="V3056" s="13">
        <f>IF(U3056="","",ROUND(M3056-U3056,2))</f>
        <v/>
      </c>
      <c r="W3056" s="5" t="n"/>
      <c r="X3056" s="5" t="inlineStr">
        <is>
          <t>Labour + plant + material as published; reconciles to the published rate.</t>
        </is>
      </c>
    </row>
    <row r="3057" ht="13" customHeight="1">
      <c r="A3057" s="4" t="n">
        <v>4678</v>
      </c>
      <c r="B3057" s="5" t="inlineStr">
        <is>
          <t>IMG_0128</t>
        </is>
      </c>
      <c r="C3057" s="5" t="inlineStr">
        <is>
          <t>CLASS R: ROADS AND PAVINGS</t>
        </is>
      </c>
      <c r="D3057" s="5" t="inlineStr">
        <is>
          <t>03 BITUMINOUS BOUND PAVEMENTS</t>
        </is>
      </c>
      <c r="E3057" s="5" t="inlineStr">
        <is>
          <t>Milling pavement (assumes disposal on site or reuse as fill but excludes transport if required)</t>
        </is>
      </c>
      <c r="F3057" s="5" t="inlineStr">
        <is>
          <t>50 mm deep; scarifying surface</t>
        </is>
      </c>
      <c r="G3057" s="6" t="inlineStr">
        <is>
          <t>m2</t>
        </is>
      </c>
      <c r="H3057" s="7" t="n">
        <v>0.02</v>
      </c>
      <c r="I3057" s="8" t="n">
        <v>5.55</v>
      </c>
      <c r="J3057" s="8" t="n">
        <v>130.2</v>
      </c>
      <c r="K3057" s="8" t="n">
        <v>0</v>
      </c>
      <c r="L3057" s="8" t="n">
        <v>0</v>
      </c>
      <c r="M3057" s="9">
        <f>ROUND(SUM(I3057:L3057),2)</f>
        <v/>
      </c>
      <c r="N3057" s="10">
        <f>ROUND(I3057*'Irish Basis'!$C$6*'Irish Basis'!$C$5,2)</f>
        <v/>
      </c>
      <c r="O3057" s="10">
        <f>ROUND(J3057*'Irish Basis'!$C$7*'Irish Basis'!$C$5,2)</f>
        <v/>
      </c>
      <c r="P3057" s="10">
        <f>ROUND(K3057*'Irish Basis'!$C$8*'Irish Basis'!$C$5,2)</f>
        <v/>
      </c>
      <c r="Q3057" s="10">
        <f>ROUND(L3057*'Irish Basis'!$C$12*'Irish Basis'!$C$5,2)</f>
        <v/>
      </c>
      <c r="R3057" s="11">
        <f>ROUND(SUM(N3057:Q3057),2)</f>
        <v/>
      </c>
      <c r="S3057" s="5" t="inlineStr">
        <is>
          <t>Stated build-up</t>
        </is>
      </c>
      <c r="T3057" s="12" t="inlineStr">
        <is>
          <t>High</t>
        </is>
      </c>
      <c r="U3057" s="8" t="n">
        <v>135.75</v>
      </c>
      <c r="V3057" s="13">
        <f>IF(U3057="","",ROUND(M3057-U3057,2))</f>
        <v/>
      </c>
      <c r="W3057" s="5" t="n"/>
      <c r="X3057" s="5" t="inlineStr">
        <is>
          <t>Labour + plant + material as published; reconciles to the published rate.</t>
        </is>
      </c>
    </row>
    <row r="3058" ht="13" customHeight="1">
      <c r="A3058" s="4" t="n">
        <v>4679</v>
      </c>
      <c r="B3058" s="5" t="inlineStr">
        <is>
          <t>IMG_0128</t>
        </is>
      </c>
      <c r="C3058" s="5" t="inlineStr">
        <is>
          <t>CLASS R: ROADS AND PAVINGS</t>
        </is>
      </c>
      <c r="D3058" s="5" t="inlineStr">
        <is>
          <t>03 BITUMINOUS BOUND PAVEMENTS</t>
        </is>
      </c>
      <c r="E3058" s="5" t="inlineStr">
        <is>
          <t>Milling pavement (assumes disposal on site or reuse as fill but excludes transport if required)</t>
        </is>
      </c>
      <c r="F3058" s="5" t="inlineStr">
        <is>
          <t>75 mm deep; scarifying surface</t>
        </is>
      </c>
      <c r="G3058" s="6" t="inlineStr">
        <is>
          <t>m2</t>
        </is>
      </c>
      <c r="H3058" s="7" t="n">
        <v>0.04</v>
      </c>
      <c r="I3058" s="8" t="n">
        <v>9.33</v>
      </c>
      <c r="J3058" s="8" t="n">
        <v>218.97</v>
      </c>
      <c r="K3058" s="8" t="n">
        <v>0</v>
      </c>
      <c r="L3058" s="8" t="n">
        <v>0</v>
      </c>
      <c r="M3058" s="9">
        <f>ROUND(SUM(I3058:L3058),2)</f>
        <v/>
      </c>
      <c r="N3058" s="10">
        <f>ROUND(I3058*'Irish Basis'!$C$6*'Irish Basis'!$C$5,2)</f>
        <v/>
      </c>
      <c r="O3058" s="10">
        <f>ROUND(J3058*'Irish Basis'!$C$7*'Irish Basis'!$C$5,2)</f>
        <v/>
      </c>
      <c r="P3058" s="10">
        <f>ROUND(K3058*'Irish Basis'!$C$8*'Irish Basis'!$C$5,2)</f>
        <v/>
      </c>
      <c r="Q3058" s="10">
        <f>ROUND(L3058*'Irish Basis'!$C$12*'Irish Basis'!$C$5,2)</f>
        <v/>
      </c>
      <c r="R3058" s="11">
        <f>ROUND(SUM(N3058:Q3058),2)</f>
        <v/>
      </c>
      <c r="S3058" s="5" t="inlineStr">
        <is>
          <t>Stated build-up</t>
        </is>
      </c>
      <c r="T3058" s="12" t="inlineStr">
        <is>
          <t>High</t>
        </is>
      </c>
      <c r="U3058" s="8" t="n">
        <v>228.3</v>
      </c>
      <c r="V3058" s="13">
        <f>IF(U3058="","",ROUND(M3058-U3058,2))</f>
        <v/>
      </c>
      <c r="W3058" s="5" t="n"/>
      <c r="X3058" s="5" t="inlineStr">
        <is>
          <t>Labour + plant + material as published; reconciles to the published rate.</t>
        </is>
      </c>
    </row>
    <row r="3059" ht="13" customHeight="1">
      <c r="A3059" s="4" t="n">
        <v>4680</v>
      </c>
      <c r="B3059" s="5" t="inlineStr">
        <is>
          <t>IMG_0128</t>
        </is>
      </c>
      <c r="C3059" s="5" t="inlineStr">
        <is>
          <t>CLASS R: ROADS AND PAVINGS</t>
        </is>
      </c>
      <c r="D3059" s="5" t="inlineStr">
        <is>
          <t>03 BITUMINOUS BOUND PAVEMENTS</t>
        </is>
      </c>
      <c r="E3059" s="5" t="inlineStr">
        <is>
          <t>Milling pavement (assumes disposal on site or reuse as fill but excludes transport if required)</t>
        </is>
      </c>
      <c r="F3059" s="5" t="inlineStr">
        <is>
          <t>25 mm deep; heat planing for reuse</t>
        </is>
      </c>
      <c r="G3059" s="6" t="inlineStr">
        <is>
          <t>m2</t>
        </is>
      </c>
      <c r="H3059" s="7" t="n">
        <v>0.03</v>
      </c>
      <c r="I3059" s="8" t="n">
        <v>8.07</v>
      </c>
      <c r="J3059" s="8" t="n">
        <v>68.31999999999999</v>
      </c>
      <c r="K3059" s="8" t="n">
        <v>0</v>
      </c>
      <c r="L3059" s="8" t="n">
        <v>0</v>
      </c>
      <c r="M3059" s="9">
        <f>ROUND(SUM(I3059:L3059),2)</f>
        <v/>
      </c>
      <c r="N3059" s="10">
        <f>ROUND(I3059*'Irish Basis'!$C$6*'Irish Basis'!$C$5,2)</f>
        <v/>
      </c>
      <c r="O3059" s="10">
        <f>ROUND(J3059*'Irish Basis'!$C$7*'Irish Basis'!$C$5,2)</f>
        <v/>
      </c>
      <c r="P3059" s="10">
        <f>ROUND(K3059*'Irish Basis'!$C$8*'Irish Basis'!$C$5,2)</f>
        <v/>
      </c>
      <c r="Q3059" s="10">
        <f>ROUND(L3059*'Irish Basis'!$C$12*'Irish Basis'!$C$5,2)</f>
        <v/>
      </c>
      <c r="R3059" s="11">
        <f>ROUND(SUM(N3059:Q3059),2)</f>
        <v/>
      </c>
      <c r="S3059" s="5" t="inlineStr">
        <is>
          <t>Stated build-up</t>
        </is>
      </c>
      <c r="T3059" s="12" t="inlineStr">
        <is>
          <t>High</t>
        </is>
      </c>
      <c r="U3059" s="8" t="n">
        <v>76.39</v>
      </c>
      <c r="V3059" s="13">
        <f>IF(U3059="","",ROUND(M3059-U3059,2))</f>
        <v/>
      </c>
      <c r="W3059" s="5" t="n"/>
      <c r="X3059" s="5" t="inlineStr">
        <is>
          <t>Labour + plant + material as published; reconciles to the published rate.</t>
        </is>
      </c>
    </row>
    <row r="3060" ht="13" customHeight="1">
      <c r="A3060" s="4" t="n">
        <v>4681</v>
      </c>
      <c r="B3060" s="5" t="inlineStr">
        <is>
          <t>IMG_0128</t>
        </is>
      </c>
      <c r="C3060" s="5" t="inlineStr">
        <is>
          <t>CLASS R: ROADS AND PAVINGS</t>
        </is>
      </c>
      <c r="D3060" s="5" t="inlineStr">
        <is>
          <t>03 BITUMINOUS BOUND PAVEMENTS</t>
        </is>
      </c>
      <c r="E3060" s="5" t="inlineStr">
        <is>
          <t>Milling pavement (assumes disposal on site or reuse as fill but excludes transport if required)</t>
        </is>
      </c>
      <c r="F3060" s="5" t="inlineStr">
        <is>
          <t>50 mm deep; heat planing for reuse</t>
        </is>
      </c>
      <c r="G3060" s="6" t="inlineStr">
        <is>
          <t>m2</t>
        </is>
      </c>
      <c r="H3060" s="7" t="n">
        <v>0.06</v>
      </c>
      <c r="I3060" s="8" t="n">
        <v>14.12</v>
      </c>
      <c r="J3060" s="8" t="n">
        <v>119.56</v>
      </c>
      <c r="K3060" s="8" t="n">
        <v>0</v>
      </c>
      <c r="L3060" s="8" t="n">
        <v>0</v>
      </c>
      <c r="M3060" s="9">
        <f>ROUND(SUM(I3060:L3060),2)</f>
        <v/>
      </c>
      <c r="N3060" s="10">
        <f>ROUND(I3060*'Irish Basis'!$C$6*'Irish Basis'!$C$5,2)</f>
        <v/>
      </c>
      <c r="O3060" s="10">
        <f>ROUND(J3060*'Irish Basis'!$C$7*'Irish Basis'!$C$5,2)</f>
        <v/>
      </c>
      <c r="P3060" s="10">
        <f>ROUND(K3060*'Irish Basis'!$C$8*'Irish Basis'!$C$5,2)</f>
        <v/>
      </c>
      <c r="Q3060" s="10">
        <f>ROUND(L3060*'Irish Basis'!$C$12*'Irish Basis'!$C$5,2)</f>
        <v/>
      </c>
      <c r="R3060" s="11">
        <f>ROUND(SUM(N3060:Q3060),2)</f>
        <v/>
      </c>
      <c r="S3060" s="5" t="inlineStr">
        <is>
          <t>Stated build-up</t>
        </is>
      </c>
      <c r="T3060" s="12" t="inlineStr">
        <is>
          <t>High</t>
        </is>
      </c>
      <c r="U3060" s="8" t="n">
        <v>133.68</v>
      </c>
      <c r="V3060" s="13">
        <f>IF(U3060="","",ROUND(M3060-U3060,2))</f>
        <v/>
      </c>
      <c r="W3060" s="5" t="n"/>
      <c r="X3060" s="5" t="inlineStr">
        <is>
          <t>Labour + plant + material as published; reconciles to the published rate.</t>
        </is>
      </c>
    </row>
    <row r="3061" ht="13" customHeight="1">
      <c r="A3061" s="4" t="n">
        <v>4683</v>
      </c>
      <c r="B3061" s="5" t="inlineStr">
        <is>
          <t>IMG_0128</t>
        </is>
      </c>
      <c r="C3061" s="5" t="inlineStr">
        <is>
          <t>CLASS R: ROADS AND PAVINGS</t>
        </is>
      </c>
      <c r="D3061" s="5" t="inlineStr">
        <is>
          <t>03 BITUMINOUS BOUND PAVEMENTS</t>
        </is>
      </c>
      <c r="E3061" s="5" t="inlineStr">
        <is>
          <t>Raking over scarified or heat planed material; compacting with 10 t roller</t>
        </is>
      </c>
      <c r="F3061" s="5" t="inlineStr">
        <is>
          <t>ne 50 mm deep</t>
        </is>
      </c>
      <c r="G3061" s="6" t="inlineStr">
        <is>
          <t>m2</t>
        </is>
      </c>
      <c r="H3061" s="7" t="n">
        <v>0.01</v>
      </c>
      <c r="I3061" s="8" t="n">
        <v>1.92</v>
      </c>
      <c r="J3061" s="8" t="n">
        <v>3.47</v>
      </c>
      <c r="K3061" s="8" t="n">
        <v>0</v>
      </c>
      <c r="L3061" s="8" t="n">
        <v>0</v>
      </c>
      <c r="M3061" s="9">
        <f>ROUND(SUM(I3061:L3061),2)</f>
        <v/>
      </c>
      <c r="N3061" s="10">
        <f>ROUND(I3061*'Irish Basis'!$C$6*'Irish Basis'!$C$5,2)</f>
        <v/>
      </c>
      <c r="O3061" s="10">
        <f>ROUND(J3061*'Irish Basis'!$C$7*'Irish Basis'!$C$5,2)</f>
        <v/>
      </c>
      <c r="P3061" s="10">
        <f>ROUND(K3061*'Irish Basis'!$C$8*'Irish Basis'!$C$5,2)</f>
        <v/>
      </c>
      <c r="Q3061" s="10">
        <f>ROUND(L3061*'Irish Basis'!$C$12*'Irish Basis'!$C$5,2)</f>
        <v/>
      </c>
      <c r="R3061" s="11">
        <f>ROUND(SUM(N3061:Q3061),2)</f>
        <v/>
      </c>
      <c r="S3061" s="5" t="inlineStr">
        <is>
          <t>Stated build-up</t>
        </is>
      </c>
      <c r="T3061" s="12" t="inlineStr">
        <is>
          <t>High</t>
        </is>
      </c>
      <c r="U3061" s="8" t="n">
        <v>5.39</v>
      </c>
      <c r="V3061" s="13">
        <f>IF(U3061="","",ROUND(M3061-U3061,2))</f>
        <v/>
      </c>
      <c r="W3061" s="5" t="n"/>
      <c r="X3061" s="5" t="inlineStr">
        <is>
          <t>Labour + plant + material as published; reconciles to the published rate.</t>
        </is>
      </c>
    </row>
    <row r="3062" ht="13" customHeight="1">
      <c r="A3062" s="4" t="n">
        <v>4688</v>
      </c>
      <c r="B3062" s="5" t="inlineStr">
        <is>
          <t>IMG_0129</t>
        </is>
      </c>
      <c r="C3062" s="5" t="inlineStr">
        <is>
          <t>CLASS R: ROADS AND PAVINGS</t>
        </is>
      </c>
      <c r="D3062" s="5" t="inlineStr">
        <is>
          <t>05 CONCRETE PAVEMENTS</t>
        </is>
      </c>
      <c r="E3062" s="5" t="inlineStr">
        <is>
          <t>Designed mix; grade C30, 20 mm aggregate; Dense base and binder course asphalt concrete (continued)</t>
        </is>
      </c>
      <c r="F3062" s="5" t="inlineStr">
        <is>
          <t>180 mm deep</t>
        </is>
      </c>
      <c r="G3062" s="6" t="inlineStr">
        <is>
          <t>m2</t>
        </is>
      </c>
      <c r="H3062" s="7" t="n">
        <v>0.02</v>
      </c>
      <c r="I3062" s="8" t="n">
        <v>3.78</v>
      </c>
      <c r="J3062" s="8" t="n">
        <v>10.13</v>
      </c>
      <c r="K3062" s="8" t="n">
        <v>21.63</v>
      </c>
      <c r="L3062" s="8" t="n">
        <v>0</v>
      </c>
      <c r="M3062" s="9">
        <f>ROUND(SUM(I3062:L3062),2)</f>
        <v/>
      </c>
      <c r="N3062" s="10">
        <f>ROUND(I3062*'Irish Basis'!$C$6*'Irish Basis'!$C$5,2)</f>
        <v/>
      </c>
      <c r="O3062" s="10">
        <f>ROUND(J3062*'Irish Basis'!$C$7*'Irish Basis'!$C$5,2)</f>
        <v/>
      </c>
      <c r="P3062" s="10">
        <f>ROUND(K3062*'Irish Basis'!$C$8*'Irish Basis'!$C$5,2)</f>
        <v/>
      </c>
      <c r="Q3062" s="10">
        <f>ROUND(L3062*'Irish Basis'!$C$12*'Irish Basis'!$C$5,2)</f>
        <v/>
      </c>
      <c r="R3062" s="11">
        <f>ROUND(SUM(N3062:Q3062),2)</f>
        <v/>
      </c>
      <c r="S3062" s="5" t="inlineStr">
        <is>
          <t>Stated build-up</t>
        </is>
      </c>
      <c r="T3062" s="12" t="inlineStr">
        <is>
          <t>High</t>
        </is>
      </c>
      <c r="U3062" s="8" t="n">
        <v>35.54</v>
      </c>
      <c r="V3062" s="13">
        <f>IF(U3062="","",ROUND(M3062-U3062,2))</f>
        <v/>
      </c>
      <c r="W3062" s="5" t="n"/>
      <c r="X3062" s="5" t="inlineStr">
        <is>
          <t>Labour + plant + material as published; reconciles to the published rate.</t>
        </is>
      </c>
    </row>
    <row r="3063" ht="13" customHeight="1">
      <c r="A3063" s="4" t="n">
        <v>4689</v>
      </c>
      <c r="B3063" s="5" t="inlineStr">
        <is>
          <t>IMG_0129</t>
        </is>
      </c>
      <c r="C3063" s="5" t="inlineStr">
        <is>
          <t>CLASS R: ROADS AND PAVINGS</t>
        </is>
      </c>
      <c r="D3063" s="5" t="inlineStr">
        <is>
          <t>05 CONCRETE PAVEMENTS</t>
        </is>
      </c>
      <c r="E3063" s="5" t="inlineStr">
        <is>
          <t>Designed mix; grade C30, 20 mm aggregate; Dense base and binder course asphalt concrete (continued)</t>
        </is>
      </c>
      <c r="F3063" s="5" t="inlineStr">
        <is>
          <t>220 mm deep</t>
        </is>
      </c>
      <c r="G3063" s="6" t="inlineStr">
        <is>
          <t>m2</t>
        </is>
      </c>
      <c r="H3063" s="7" t="n">
        <v>0.02</v>
      </c>
      <c r="I3063" s="8" t="n">
        <v>4.54</v>
      </c>
      <c r="J3063" s="8" t="n">
        <v>12.15</v>
      </c>
      <c r="K3063" s="8" t="n">
        <v>26.43</v>
      </c>
      <c r="L3063" s="8" t="n">
        <v>0</v>
      </c>
      <c r="M3063" s="9">
        <f>ROUND(SUM(I3063:L3063),2)</f>
        <v/>
      </c>
      <c r="N3063" s="10">
        <f>ROUND(I3063*'Irish Basis'!$C$6*'Irish Basis'!$C$5,2)</f>
        <v/>
      </c>
      <c r="O3063" s="10">
        <f>ROUND(J3063*'Irish Basis'!$C$7*'Irish Basis'!$C$5,2)</f>
        <v/>
      </c>
      <c r="P3063" s="10">
        <f>ROUND(K3063*'Irish Basis'!$C$8*'Irish Basis'!$C$5,2)</f>
        <v/>
      </c>
      <c r="Q3063" s="10">
        <f>ROUND(L3063*'Irish Basis'!$C$12*'Irish Basis'!$C$5,2)</f>
        <v/>
      </c>
      <c r="R3063" s="11">
        <f>ROUND(SUM(N3063:Q3063),2)</f>
        <v/>
      </c>
      <c r="S3063" s="5" t="inlineStr">
        <is>
          <t>Stated build-up</t>
        </is>
      </c>
      <c r="T3063" s="12" t="inlineStr">
        <is>
          <t>High</t>
        </is>
      </c>
      <c r="U3063" s="8" t="n">
        <v>43.13</v>
      </c>
      <c r="V3063" s="13">
        <f>IF(U3063="","",ROUND(M3063-U3063,2))</f>
        <v/>
      </c>
      <c r="W3063" s="5" t="n"/>
      <c r="X3063" s="5" t="inlineStr">
        <is>
          <t>Labour + plant + material as published; reconciles to the published rate.</t>
        </is>
      </c>
    </row>
    <row r="3064" ht="13" customHeight="1">
      <c r="A3064" s="4" t="n">
        <v>4690</v>
      </c>
      <c r="B3064" s="5" t="inlineStr">
        <is>
          <t>IMG_0129</t>
        </is>
      </c>
      <c r="C3064" s="5" t="inlineStr">
        <is>
          <t>CLASS R: ROADS AND PAVINGS</t>
        </is>
      </c>
      <c r="D3064" s="5" t="inlineStr">
        <is>
          <t>05 CONCRETE PAVEMENTS</t>
        </is>
      </c>
      <c r="E3064" s="5" t="inlineStr">
        <is>
          <t>Designed mix; grade C30, 20 mm aggregate; Dense base and binder course asphalt concrete (continued)</t>
        </is>
      </c>
      <c r="F3064" s="5" t="inlineStr">
        <is>
          <t>260 mm deep</t>
        </is>
      </c>
      <c r="G3064" s="6" t="inlineStr">
        <is>
          <t>m2</t>
        </is>
      </c>
      <c r="H3064" s="7" t="n">
        <v>0.02</v>
      </c>
      <c r="I3064" s="8" t="n">
        <v>5.55</v>
      </c>
      <c r="J3064" s="8" t="n">
        <v>14.85</v>
      </c>
      <c r="K3064" s="8" t="n">
        <v>31.24</v>
      </c>
      <c r="L3064" s="8" t="n">
        <v>0</v>
      </c>
      <c r="M3064" s="9">
        <f>ROUND(SUM(I3064:L3064),2)</f>
        <v/>
      </c>
      <c r="N3064" s="10">
        <f>ROUND(I3064*'Irish Basis'!$C$6*'Irish Basis'!$C$5,2)</f>
        <v/>
      </c>
      <c r="O3064" s="10">
        <f>ROUND(J3064*'Irish Basis'!$C$7*'Irish Basis'!$C$5,2)</f>
        <v/>
      </c>
      <c r="P3064" s="10">
        <f>ROUND(K3064*'Irish Basis'!$C$8*'Irish Basis'!$C$5,2)</f>
        <v/>
      </c>
      <c r="Q3064" s="10">
        <f>ROUND(L3064*'Irish Basis'!$C$12*'Irish Basis'!$C$5,2)</f>
        <v/>
      </c>
      <c r="R3064" s="11">
        <f>ROUND(SUM(N3064:Q3064),2)</f>
        <v/>
      </c>
      <c r="S3064" s="5" t="inlineStr">
        <is>
          <t>Stated build-up</t>
        </is>
      </c>
      <c r="T3064" s="12" t="inlineStr">
        <is>
          <t>High</t>
        </is>
      </c>
      <c r="U3064" s="8" t="n">
        <v>51.64</v>
      </c>
      <c r="V3064" s="13">
        <f>IF(U3064="","",ROUND(M3064-U3064,2))</f>
        <v/>
      </c>
      <c r="W3064" s="5" t="n"/>
      <c r="X3064" s="5" t="inlineStr">
        <is>
          <t>Labour + plant + material as published; reconciles to the published rate.</t>
        </is>
      </c>
    </row>
    <row r="3065" ht="13" customHeight="1">
      <c r="A3065" s="4" t="n">
        <v>4691</v>
      </c>
      <c r="B3065" s="5" t="inlineStr">
        <is>
          <t>IMG_0129</t>
        </is>
      </c>
      <c r="C3065" s="5" t="inlineStr">
        <is>
          <t>CLASS R: ROADS AND PAVINGS</t>
        </is>
      </c>
      <c r="D3065" s="5" t="inlineStr">
        <is>
          <t>05 CONCRETE PAVEMENTS</t>
        </is>
      </c>
      <c r="E3065" s="5" t="inlineStr">
        <is>
          <t>Designed mix; grade C30, 20 mm aggregate; Dense base and binder course asphalt concrete (continued)</t>
        </is>
      </c>
      <c r="F3065" s="5" t="inlineStr">
        <is>
          <t>300 mm deep</t>
        </is>
      </c>
      <c r="G3065" s="6" t="inlineStr">
        <is>
          <t>m2</t>
        </is>
      </c>
      <c r="H3065" s="7" t="n">
        <v>0.03</v>
      </c>
      <c r="I3065" s="8" t="n">
        <v>6.3</v>
      </c>
      <c r="J3065" s="8" t="n">
        <v>16.88</v>
      </c>
      <c r="K3065" s="8" t="n">
        <v>36.04</v>
      </c>
      <c r="L3065" s="8" t="n">
        <v>0</v>
      </c>
      <c r="M3065" s="9">
        <f>ROUND(SUM(I3065:L3065),2)</f>
        <v/>
      </c>
      <c r="N3065" s="10">
        <f>ROUND(I3065*'Irish Basis'!$C$6*'Irish Basis'!$C$5,2)</f>
        <v/>
      </c>
      <c r="O3065" s="10">
        <f>ROUND(J3065*'Irish Basis'!$C$7*'Irish Basis'!$C$5,2)</f>
        <v/>
      </c>
      <c r="P3065" s="10">
        <f>ROUND(K3065*'Irish Basis'!$C$8*'Irish Basis'!$C$5,2)</f>
        <v/>
      </c>
      <c r="Q3065" s="10">
        <f>ROUND(L3065*'Irish Basis'!$C$12*'Irish Basis'!$C$5,2)</f>
        <v/>
      </c>
      <c r="R3065" s="11">
        <f>ROUND(SUM(N3065:Q3065),2)</f>
        <v/>
      </c>
      <c r="S3065" s="5" t="inlineStr">
        <is>
          <t>Stated build-up</t>
        </is>
      </c>
      <c r="T3065" s="12" t="inlineStr">
        <is>
          <t>High</t>
        </is>
      </c>
      <c r="U3065" s="8" t="n">
        <v>59.23</v>
      </c>
      <c r="V3065" s="13">
        <f>IF(U3065="","",ROUND(M3065-U3065,2))</f>
        <v/>
      </c>
      <c r="W3065" s="5" t="n"/>
      <c r="X3065" s="5" t="inlineStr">
        <is>
          <t>Labour + plant + material as published; reconciles to the published rate.</t>
        </is>
      </c>
    </row>
    <row r="3066" ht="13" customHeight="1">
      <c r="A3066" s="4" t="n">
        <v>4693</v>
      </c>
      <c r="B3066" s="5" t="inlineStr">
        <is>
          <t>IMG_0129</t>
        </is>
      </c>
      <c r="C3066" s="5" t="inlineStr">
        <is>
          <t>CLASS R: ROADS AND PAVINGS</t>
        </is>
      </c>
      <c r="D3066" s="5" t="inlineStr">
        <is>
          <t>05 CONCRETE PAVEMENTS</t>
        </is>
      </c>
      <c r="E3066" s="5" t="inlineStr">
        <is>
          <t>Joints in concrete pavement; Transverse Joints</t>
        </is>
      </c>
      <c r="F3066" s="5" t="inlineStr">
        <is>
          <t>Depth; not exceeding 30 mm</t>
        </is>
      </c>
      <c r="G3066" s="6" t="inlineStr">
        <is>
          <t>m</t>
        </is>
      </c>
      <c r="H3066" s="7" t="n">
        <v>0.07000000000000001</v>
      </c>
      <c r="I3066" s="8" t="n">
        <v>8.82</v>
      </c>
      <c r="J3066" s="8" t="n">
        <v>1.11</v>
      </c>
      <c r="K3066" s="8" t="n">
        <v>2.4</v>
      </c>
      <c r="L3066" s="8" t="n">
        <v>0</v>
      </c>
      <c r="M3066" s="9">
        <f>ROUND(SUM(I3066:L3066),2)</f>
        <v/>
      </c>
      <c r="N3066" s="10">
        <f>ROUND(I3066*'Irish Basis'!$C$6*'Irish Basis'!$C$5,2)</f>
        <v/>
      </c>
      <c r="O3066" s="10">
        <f>ROUND(J3066*'Irish Basis'!$C$7*'Irish Basis'!$C$5,2)</f>
        <v/>
      </c>
      <c r="P3066" s="10">
        <f>ROUND(K3066*'Irish Basis'!$C$8*'Irish Basis'!$C$5,2)</f>
        <v/>
      </c>
      <c r="Q3066" s="10">
        <f>ROUND(L3066*'Irish Basis'!$C$12*'Irish Basis'!$C$5,2)</f>
        <v/>
      </c>
      <c r="R3066" s="11">
        <f>ROUND(SUM(N3066:Q3066),2)</f>
        <v/>
      </c>
      <c r="S3066" s="5" t="inlineStr">
        <is>
          <t>Stated build-up</t>
        </is>
      </c>
      <c r="T3066" s="12" t="inlineStr">
        <is>
          <t>High</t>
        </is>
      </c>
      <c r="U3066" s="8" t="n">
        <v>12.34</v>
      </c>
      <c r="V3066" s="13">
        <f>IF(U3066="","",ROUND(M3066-U3066,2))</f>
        <v/>
      </c>
      <c r="W3066" s="5" t="n"/>
      <c r="X3066" s="5" t="inlineStr">
        <is>
          <t>Labour + plant + material as published; reconciles to the published rate.</t>
        </is>
      </c>
    </row>
    <row r="3067" ht="13" customHeight="1">
      <c r="A3067" s="4" t="n">
        <v>4694</v>
      </c>
      <c r="B3067" s="5" t="inlineStr">
        <is>
          <t>IMG_0129</t>
        </is>
      </c>
      <c r="C3067" s="5" t="inlineStr">
        <is>
          <t>CLASS R: ROADS AND PAVINGS</t>
        </is>
      </c>
      <c r="D3067" s="5" t="inlineStr">
        <is>
          <t>05 CONCRETE PAVEMENTS</t>
        </is>
      </c>
      <c r="E3067" s="5" t="inlineStr">
        <is>
          <t>Joints in concrete pavement; Transverse Joints</t>
        </is>
      </c>
      <c r="F3067" s="5" t="inlineStr">
        <is>
          <t>60 mm-100 mm</t>
        </is>
      </c>
      <c r="G3067" s="6" t="inlineStr">
        <is>
          <t>m</t>
        </is>
      </c>
      <c r="H3067" s="7" t="n">
        <v>0.02</v>
      </c>
      <c r="I3067" s="8" t="n">
        <v>4.54</v>
      </c>
      <c r="J3067" s="8" t="n">
        <v>12.15</v>
      </c>
      <c r="K3067" s="8" t="n">
        <v>26.43</v>
      </c>
      <c r="L3067" s="8" t="n">
        <v>0</v>
      </c>
      <c r="M3067" s="9">
        <f>ROUND(SUM(I3067:L3067),2)</f>
        <v/>
      </c>
      <c r="N3067" s="10">
        <f>ROUND(I3067*'Irish Basis'!$C$6*'Irish Basis'!$C$5,2)</f>
        <v/>
      </c>
      <c r="O3067" s="10">
        <f>ROUND(J3067*'Irish Basis'!$C$7*'Irish Basis'!$C$5,2)</f>
        <v/>
      </c>
      <c r="P3067" s="10">
        <f>ROUND(K3067*'Irish Basis'!$C$8*'Irish Basis'!$C$5,2)</f>
        <v/>
      </c>
      <c r="Q3067" s="10">
        <f>ROUND(L3067*'Irish Basis'!$C$12*'Irish Basis'!$C$5,2)</f>
        <v/>
      </c>
      <c r="R3067" s="11">
        <f>ROUND(SUM(N3067:Q3067),2)</f>
        <v/>
      </c>
      <c r="S3067" s="5" t="inlineStr">
        <is>
          <t>Stated build-up</t>
        </is>
      </c>
      <c r="T3067" s="12" t="inlineStr">
        <is>
          <t>High</t>
        </is>
      </c>
      <c r="U3067" s="8" t="n">
        <v>43.13</v>
      </c>
      <c r="V3067" s="13">
        <f>IF(U3067="","",ROUND(M3067-U3067,2))</f>
        <v/>
      </c>
      <c r="W3067" s="5" t="n"/>
      <c r="X3067" s="5" t="inlineStr">
        <is>
          <t>Labour + plant + material as published; reconciles to the published rate.</t>
        </is>
      </c>
    </row>
    <row r="3068" ht="13" customHeight="1">
      <c r="A3068" s="4" t="n">
        <v>4695</v>
      </c>
      <c r="B3068" s="5" t="inlineStr">
        <is>
          <t>IMG_0129</t>
        </is>
      </c>
      <c r="C3068" s="5" t="inlineStr">
        <is>
          <t>CLASS R: ROADS AND PAVINGS</t>
        </is>
      </c>
      <c r="D3068" s="5" t="inlineStr">
        <is>
          <t>05 CONCRETE PAVEMENTS</t>
        </is>
      </c>
      <c r="E3068" s="5" t="inlineStr">
        <is>
          <t>Joints in concrete pavement; Transverse Joints</t>
        </is>
      </c>
      <c r="F3068" s="5" t="inlineStr">
        <is>
          <t>100 mm-150 mm</t>
        </is>
      </c>
      <c r="G3068" s="6" t="inlineStr">
        <is>
          <t>m</t>
        </is>
      </c>
      <c r="H3068" s="7" t="n">
        <v>0.02</v>
      </c>
      <c r="I3068" s="8" t="n">
        <v>5.55</v>
      </c>
      <c r="J3068" s="8" t="n">
        <v>14.85</v>
      </c>
      <c r="K3068" s="8" t="n">
        <v>31.24</v>
      </c>
      <c r="L3068" s="8" t="n">
        <v>0</v>
      </c>
      <c r="M3068" s="9">
        <f>ROUND(SUM(I3068:L3068),2)</f>
        <v/>
      </c>
      <c r="N3068" s="10">
        <f>ROUND(I3068*'Irish Basis'!$C$6*'Irish Basis'!$C$5,2)</f>
        <v/>
      </c>
      <c r="O3068" s="10">
        <f>ROUND(J3068*'Irish Basis'!$C$7*'Irish Basis'!$C$5,2)</f>
        <v/>
      </c>
      <c r="P3068" s="10">
        <f>ROUND(K3068*'Irish Basis'!$C$8*'Irish Basis'!$C$5,2)</f>
        <v/>
      </c>
      <c r="Q3068" s="10">
        <f>ROUND(L3068*'Irish Basis'!$C$12*'Irish Basis'!$C$5,2)</f>
        <v/>
      </c>
      <c r="R3068" s="11">
        <f>ROUND(SUM(N3068:Q3068),2)</f>
        <v/>
      </c>
      <c r="S3068" s="5" t="inlineStr">
        <is>
          <t>Stated build-up</t>
        </is>
      </c>
      <c r="T3068" s="12" t="inlineStr">
        <is>
          <t>High</t>
        </is>
      </c>
      <c r="U3068" s="8" t="n">
        <v>51.64</v>
      </c>
      <c r="V3068" s="13">
        <f>IF(U3068="","",ROUND(M3068-U3068,2))</f>
        <v/>
      </c>
      <c r="W3068" s="5" t="n"/>
      <c r="X3068" s="5" t="inlineStr">
        <is>
          <t>Labour + plant + material as published; reconciles to the published rate.</t>
        </is>
      </c>
    </row>
    <row r="3069" ht="13" customHeight="1">
      <c r="A3069" s="4" t="n">
        <v>4696</v>
      </c>
      <c r="B3069" s="5" t="inlineStr">
        <is>
          <t>IMG_0129</t>
        </is>
      </c>
      <c r="C3069" s="5" t="inlineStr">
        <is>
          <t>CLASS R: ROADS AND PAVINGS</t>
        </is>
      </c>
      <c r="D3069" s="5" t="inlineStr">
        <is>
          <t>05 CONCRETE PAVEMENTS</t>
        </is>
      </c>
      <c r="E3069" s="5" t="inlineStr">
        <is>
          <t>Joints in concrete pavement; Transverse Joints</t>
        </is>
      </c>
      <c r="F3069" s="5" t="inlineStr">
        <is>
          <t>200 mm-250 mm</t>
        </is>
      </c>
      <c r="G3069" s="6" t="inlineStr">
        <is>
          <t>m</t>
        </is>
      </c>
      <c r="H3069" s="7" t="n">
        <v>0.03</v>
      </c>
      <c r="I3069" s="8" t="n">
        <v>6.3</v>
      </c>
      <c r="J3069" s="8" t="n">
        <v>16.88</v>
      </c>
      <c r="K3069" s="8" t="n">
        <v>36.04</v>
      </c>
      <c r="L3069" s="8" t="n">
        <v>0</v>
      </c>
      <c r="M3069" s="9">
        <f>ROUND(SUM(I3069:L3069),2)</f>
        <v/>
      </c>
      <c r="N3069" s="10">
        <f>ROUND(I3069*'Irish Basis'!$C$6*'Irish Basis'!$C$5,2)</f>
        <v/>
      </c>
      <c r="O3069" s="10">
        <f>ROUND(J3069*'Irish Basis'!$C$7*'Irish Basis'!$C$5,2)</f>
        <v/>
      </c>
      <c r="P3069" s="10">
        <f>ROUND(K3069*'Irish Basis'!$C$8*'Irish Basis'!$C$5,2)</f>
        <v/>
      </c>
      <c r="Q3069" s="10">
        <f>ROUND(L3069*'Irish Basis'!$C$12*'Irish Basis'!$C$5,2)</f>
        <v/>
      </c>
      <c r="R3069" s="11">
        <f>ROUND(SUM(N3069:Q3069),2)</f>
        <v/>
      </c>
      <c r="S3069" s="5" t="inlineStr">
        <is>
          <t>Stated build-up</t>
        </is>
      </c>
      <c r="T3069" s="12" t="inlineStr">
        <is>
          <t>High</t>
        </is>
      </c>
      <c r="U3069" s="8" t="n">
        <v>59.23</v>
      </c>
      <c r="V3069" s="13">
        <f>IF(U3069="","",ROUND(M3069-U3069,2))</f>
        <v/>
      </c>
      <c r="W3069" s="5" t="n"/>
      <c r="X3069" s="5" t="inlineStr">
        <is>
          <t>Labour + plant + material as published; reconciles to the published rate.</t>
        </is>
      </c>
    </row>
    <row r="3070" ht="13" customHeight="1">
      <c r="A3070" s="4" t="n">
        <v>4698</v>
      </c>
      <c r="B3070" s="5" t="inlineStr">
        <is>
          <t>IMG_0129</t>
        </is>
      </c>
      <c r="C3070" s="5" t="inlineStr">
        <is>
          <t>CLASS R: ROADS AND PAVINGS</t>
        </is>
      </c>
      <c r="D3070" s="5" t="inlineStr">
        <is>
          <t>05 CONCRETE PAVEMENTS</t>
        </is>
      </c>
      <c r="E3070" s="5" t="inlineStr">
        <is>
          <t>Fabric; Steel fabric reinforcement to BS 4483</t>
        </is>
      </c>
      <c r="F3070" s="5" t="inlineStr">
        <is>
          <t>Ref A142 nominal mass 2.22 kg</t>
        </is>
      </c>
      <c r="G3070" s="6" t="inlineStr">
        <is>
          <t>m2</t>
        </is>
      </c>
      <c r="H3070" s="7" t="n">
        <v>0.03</v>
      </c>
      <c r="I3070" s="8" t="n">
        <v>7.57</v>
      </c>
      <c r="J3070" s="8" t="n">
        <v>0</v>
      </c>
      <c r="K3070" s="8" t="n">
        <v>5.87</v>
      </c>
      <c r="L3070" s="8" t="n">
        <v>0</v>
      </c>
      <c r="M3070" s="9">
        <f>ROUND(SUM(I3070:L3070),2)</f>
        <v/>
      </c>
      <c r="N3070" s="10">
        <f>ROUND(I3070*'Irish Basis'!$C$6*'Irish Basis'!$C$5,2)</f>
        <v/>
      </c>
      <c r="O3070" s="10">
        <f>ROUND(J3070*'Irish Basis'!$C$7*'Irish Basis'!$C$5,2)</f>
        <v/>
      </c>
      <c r="P3070" s="10">
        <f>ROUND(K3070*'Irish Basis'!$C$8*'Irish Basis'!$C$5,2)</f>
        <v/>
      </c>
      <c r="Q3070" s="10">
        <f>ROUND(L3070*'Irish Basis'!$C$12*'Irish Basis'!$C$5,2)</f>
        <v/>
      </c>
      <c r="R3070" s="11">
        <f>ROUND(SUM(N3070:Q3070),2)</f>
        <v/>
      </c>
      <c r="S3070" s="5" t="inlineStr">
        <is>
          <t>Stated build-up</t>
        </is>
      </c>
      <c r="T3070" s="12" t="inlineStr">
        <is>
          <t>High</t>
        </is>
      </c>
      <c r="U3070" s="8" t="n">
        <v>13.43</v>
      </c>
      <c r="V3070" s="13">
        <f>IF(U3070="","",ROUND(M3070-U3070,2))</f>
        <v/>
      </c>
      <c r="W3070" s="5" t="n"/>
      <c r="X3070" s="5" t="inlineStr">
        <is>
          <t>Labour + plant + material as published; reconciles to the published rate.</t>
        </is>
      </c>
    </row>
    <row r="3071" ht="13" customHeight="1">
      <c r="A3071" s="4" t="n">
        <v>4699</v>
      </c>
      <c r="B3071" s="5" t="inlineStr">
        <is>
          <t>IMG_0129</t>
        </is>
      </c>
      <c r="C3071" s="5" t="inlineStr">
        <is>
          <t>CLASS R: ROADS AND PAVINGS</t>
        </is>
      </c>
      <c r="D3071" s="5" t="inlineStr">
        <is>
          <t>05 CONCRETE PAVEMENTS</t>
        </is>
      </c>
      <c r="E3071" s="5" t="inlineStr">
        <is>
          <t>Fabric; Steel fabric reinforcement to BS 4483</t>
        </is>
      </c>
      <c r="F3071" s="5" t="inlineStr">
        <is>
          <t>Ref A252 nominal mass 3.95 kg</t>
        </is>
      </c>
      <c r="G3071" s="6" t="inlineStr">
        <is>
          <t>m2</t>
        </is>
      </c>
      <c r="H3071" s="7" t="n">
        <v>0.04</v>
      </c>
      <c r="I3071" s="8" t="n">
        <v>10.09</v>
      </c>
      <c r="J3071" s="8" t="n">
        <v>0</v>
      </c>
      <c r="K3071" s="8" t="n">
        <v>9.25</v>
      </c>
      <c r="L3071" s="8" t="n">
        <v>0</v>
      </c>
      <c r="M3071" s="9">
        <f>ROUND(SUM(I3071:L3071),2)</f>
        <v/>
      </c>
      <c r="N3071" s="10">
        <f>ROUND(I3071*'Irish Basis'!$C$6*'Irish Basis'!$C$5,2)</f>
        <v/>
      </c>
      <c r="O3071" s="10">
        <f>ROUND(J3071*'Irish Basis'!$C$7*'Irish Basis'!$C$5,2)</f>
        <v/>
      </c>
      <c r="P3071" s="10">
        <f>ROUND(K3071*'Irish Basis'!$C$8*'Irish Basis'!$C$5,2)</f>
        <v/>
      </c>
      <c r="Q3071" s="10">
        <f>ROUND(L3071*'Irish Basis'!$C$12*'Irish Basis'!$C$5,2)</f>
        <v/>
      </c>
      <c r="R3071" s="11">
        <f>ROUND(SUM(N3071:Q3071),2)</f>
        <v/>
      </c>
      <c r="S3071" s="5" t="inlineStr">
        <is>
          <t>Stated build-up</t>
        </is>
      </c>
      <c r="T3071" s="12" t="inlineStr">
        <is>
          <t>High</t>
        </is>
      </c>
      <c r="U3071" s="8" t="n">
        <v>19.34</v>
      </c>
      <c r="V3071" s="13">
        <f>IF(U3071="","",ROUND(M3071-U3071,2))</f>
        <v/>
      </c>
      <c r="W3071" s="5" t="n"/>
      <c r="X3071" s="5" t="inlineStr">
        <is>
          <t>Labour + plant + material as published; reconciles to the published rate.</t>
        </is>
      </c>
    </row>
    <row r="3072" ht="13" customHeight="1">
      <c r="A3072" s="4" t="n">
        <v>4700</v>
      </c>
      <c r="B3072" s="5" t="inlineStr">
        <is>
          <t>IMG_0129</t>
        </is>
      </c>
      <c r="C3072" s="5" t="inlineStr">
        <is>
          <t>CLASS R: ROADS AND PAVINGS</t>
        </is>
      </c>
      <c r="D3072" s="5" t="inlineStr">
        <is>
          <t>05 CONCRETE PAVEMENTS</t>
        </is>
      </c>
      <c r="E3072" s="5" t="inlineStr">
        <is>
          <t>Fabric; Steel fabric reinforcement to BS 4483</t>
        </is>
      </c>
      <c r="F3072" s="5" t="inlineStr">
        <is>
          <t>Ref B385 nominal mass 4.53 kg</t>
        </is>
      </c>
      <c r="G3072" s="6" t="inlineStr">
        <is>
          <t>m2</t>
        </is>
      </c>
      <c r="H3072" s="7" t="n">
        <v>0.04</v>
      </c>
      <c r="I3072" s="8" t="n">
        <v>10.09</v>
      </c>
      <c r="J3072" s="8" t="n">
        <v>0</v>
      </c>
      <c r="K3072" s="8" t="n">
        <v>13.45</v>
      </c>
      <c r="L3072" s="8" t="n">
        <v>0</v>
      </c>
      <c r="M3072" s="9">
        <f>ROUND(SUM(I3072:L3072),2)</f>
        <v/>
      </c>
      <c r="N3072" s="10">
        <f>ROUND(I3072*'Irish Basis'!$C$6*'Irish Basis'!$C$5,2)</f>
        <v/>
      </c>
      <c r="O3072" s="10">
        <f>ROUND(J3072*'Irish Basis'!$C$7*'Irish Basis'!$C$5,2)</f>
        <v/>
      </c>
      <c r="P3072" s="10">
        <f>ROUND(K3072*'Irish Basis'!$C$8*'Irish Basis'!$C$5,2)</f>
        <v/>
      </c>
      <c r="Q3072" s="10">
        <f>ROUND(L3072*'Irish Basis'!$C$12*'Irish Basis'!$C$5,2)</f>
        <v/>
      </c>
      <c r="R3072" s="11">
        <f>ROUND(SUM(N3072:Q3072),2)</f>
        <v/>
      </c>
      <c r="S3072" s="5" t="inlineStr">
        <is>
          <t>Stated build-up</t>
        </is>
      </c>
      <c r="T3072" s="12" t="inlineStr">
        <is>
          <t>High</t>
        </is>
      </c>
      <c r="U3072" s="8" t="n">
        <v>23.54</v>
      </c>
      <c r="V3072" s="13">
        <f>IF(U3072="","",ROUND(M3072-U3072,2))</f>
        <v/>
      </c>
      <c r="W3072" s="5" t="n"/>
      <c r="X3072" s="5" t="inlineStr">
        <is>
          <t>Labour + plant + material as published; reconciles to the published rate.</t>
        </is>
      </c>
    </row>
    <row r="3073" ht="13" customHeight="1">
      <c r="A3073" s="4" t="n">
        <v>4701</v>
      </c>
      <c r="B3073" s="5" t="inlineStr">
        <is>
          <t>IMG_0129</t>
        </is>
      </c>
      <c r="C3073" s="5" t="inlineStr">
        <is>
          <t>CLASS R: ROADS AND PAVINGS</t>
        </is>
      </c>
      <c r="D3073" s="5" t="inlineStr">
        <is>
          <t>05 CONCRETE PAVEMENTS</t>
        </is>
      </c>
      <c r="E3073" s="5" t="inlineStr">
        <is>
          <t>Fabric; Steel fabric reinforcement to BS 4483</t>
        </is>
      </c>
      <c r="F3073" s="5" t="inlineStr">
        <is>
          <t>Ref C636 nominal mass 5.55 kg</t>
        </is>
      </c>
      <c r="G3073" s="6" t="inlineStr">
        <is>
          <t>m2</t>
        </is>
      </c>
      <c r="H3073" s="7" t="n">
        <v>0.05</v>
      </c>
      <c r="I3073" s="8" t="n">
        <v>12.61</v>
      </c>
      <c r="J3073" s="8" t="n">
        <v>0</v>
      </c>
      <c r="K3073" s="8" t="n">
        <v>16.04</v>
      </c>
      <c r="L3073" s="8" t="n">
        <v>0</v>
      </c>
      <c r="M3073" s="9">
        <f>ROUND(SUM(I3073:L3073),2)</f>
        <v/>
      </c>
      <c r="N3073" s="10">
        <f>ROUND(I3073*'Irish Basis'!$C$6*'Irish Basis'!$C$5,2)</f>
        <v/>
      </c>
      <c r="O3073" s="10">
        <f>ROUND(J3073*'Irish Basis'!$C$7*'Irish Basis'!$C$5,2)</f>
        <v/>
      </c>
      <c r="P3073" s="10">
        <f>ROUND(K3073*'Irish Basis'!$C$8*'Irish Basis'!$C$5,2)</f>
        <v/>
      </c>
      <c r="Q3073" s="10">
        <f>ROUND(L3073*'Irish Basis'!$C$12*'Irish Basis'!$C$5,2)</f>
        <v/>
      </c>
      <c r="R3073" s="11">
        <f>ROUND(SUM(N3073:Q3073),2)</f>
        <v/>
      </c>
      <c r="S3073" s="5" t="inlineStr">
        <is>
          <t>Stated build-up</t>
        </is>
      </c>
      <c r="T3073" s="12" t="inlineStr">
        <is>
          <t>High</t>
        </is>
      </c>
      <c r="U3073" s="8" t="n">
        <v>28.65</v>
      </c>
      <c r="V3073" s="13">
        <f>IF(U3073="","",ROUND(M3073-U3073,2))</f>
        <v/>
      </c>
      <c r="W3073" s="5" t="n"/>
      <c r="X3073" s="5" t="inlineStr">
        <is>
          <t>Labour + plant + material as published; reconciles to the published rate.</t>
        </is>
      </c>
    </row>
    <row r="3074" ht="13" customHeight="1">
      <c r="A3074" s="4" t="n">
        <v>4702</v>
      </c>
      <c r="B3074" s="5" t="inlineStr">
        <is>
          <t>IMG_0129</t>
        </is>
      </c>
      <c r="C3074" s="5" t="inlineStr">
        <is>
          <t>CLASS R: ROADS AND PAVINGS</t>
        </is>
      </c>
      <c r="D3074" s="5" t="inlineStr">
        <is>
          <t>05 CONCRETE PAVEMENTS</t>
        </is>
      </c>
      <c r="E3074" s="5" t="inlineStr">
        <is>
          <t>Fabric; Steel fabric reinforcement to BS 4483</t>
        </is>
      </c>
      <c r="F3074" s="5" t="inlineStr">
        <is>
          <t>Ref B503 nominal mass 5.93 kg</t>
        </is>
      </c>
      <c r="G3074" s="6" t="inlineStr">
        <is>
          <t>m2</t>
        </is>
      </c>
      <c r="H3074" s="7" t="n">
        <v>0.05</v>
      </c>
      <c r="I3074" s="8" t="n">
        <v>12.61</v>
      </c>
      <c r="J3074" s="8" t="n">
        <v>0</v>
      </c>
      <c r="K3074" s="8" t="n">
        <v>19.35</v>
      </c>
      <c r="L3074" s="8" t="n">
        <v>0</v>
      </c>
      <c r="M3074" s="9">
        <f>ROUND(SUM(I3074:L3074),2)</f>
        <v/>
      </c>
      <c r="N3074" s="10">
        <f>ROUND(I3074*'Irish Basis'!$C$6*'Irish Basis'!$C$5,2)</f>
        <v/>
      </c>
      <c r="O3074" s="10">
        <f>ROUND(J3074*'Irish Basis'!$C$7*'Irish Basis'!$C$5,2)</f>
        <v/>
      </c>
      <c r="P3074" s="10">
        <f>ROUND(K3074*'Irish Basis'!$C$8*'Irish Basis'!$C$5,2)</f>
        <v/>
      </c>
      <c r="Q3074" s="10">
        <f>ROUND(L3074*'Irish Basis'!$C$12*'Irish Basis'!$C$5,2)</f>
        <v/>
      </c>
      <c r="R3074" s="11">
        <f>ROUND(SUM(N3074:Q3074),2)</f>
        <v/>
      </c>
      <c r="S3074" s="5" t="inlineStr">
        <is>
          <t>Stated build-up</t>
        </is>
      </c>
      <c r="T3074" s="12" t="inlineStr">
        <is>
          <t>High</t>
        </is>
      </c>
      <c r="U3074" s="8" t="n">
        <v>31.96</v>
      </c>
      <c r="V3074" s="13">
        <f>IF(U3074="","",ROUND(M3074-U3074,2))</f>
        <v/>
      </c>
      <c r="W3074" s="5" t="n"/>
      <c r="X3074" s="5" t="inlineStr">
        <is>
          <t>Labour + plant + material as published; reconciles to the published rate.</t>
        </is>
      </c>
    </row>
    <row r="3075" ht="13" customHeight="1">
      <c r="A3075" s="4" t="n">
        <v>4704</v>
      </c>
      <c r="B3075" s="5" t="inlineStr">
        <is>
          <t>IMG_0129</t>
        </is>
      </c>
      <c r="C3075" s="5" t="inlineStr">
        <is>
          <t>CLASS R: ROADS AND PAVINGS</t>
        </is>
      </c>
      <c r="D3075" s="5" t="inlineStr">
        <is>
          <t>05 CONCRETE PAVEMENTS</t>
        </is>
      </c>
      <c r="E3075" s="5" t="inlineStr">
        <is>
          <t>Mild steel bar reinforcement BS 4449; Bars; supplied in bent and cut lengths</t>
        </is>
      </c>
      <c r="F3075" s="5" t="inlineStr">
        <is>
          <t>6 mm nominal size</t>
        </is>
      </c>
      <c r="G3075" s="6" t="inlineStr">
        <is>
          <t>t</t>
        </is>
      </c>
      <c r="H3075" s="7" t="n">
        <v>8</v>
      </c>
      <c r="I3075" s="8" t="n">
        <v>2017.58</v>
      </c>
      <c r="J3075" s="8" t="n">
        <v>0</v>
      </c>
      <c r="K3075" s="8" t="n">
        <v>1147.03</v>
      </c>
      <c r="L3075" s="8" t="n">
        <v>0</v>
      </c>
      <c r="M3075" s="9">
        <f>ROUND(SUM(I3075:L3075),2)</f>
        <v/>
      </c>
      <c r="N3075" s="10">
        <f>ROUND(I3075*'Irish Basis'!$C$6*'Irish Basis'!$C$5,2)</f>
        <v/>
      </c>
      <c r="O3075" s="10">
        <f>ROUND(J3075*'Irish Basis'!$C$7*'Irish Basis'!$C$5,2)</f>
        <v/>
      </c>
      <c r="P3075" s="10">
        <f>ROUND(K3075*'Irish Basis'!$C$8*'Irish Basis'!$C$5,2)</f>
        <v/>
      </c>
      <c r="Q3075" s="10">
        <f>ROUND(L3075*'Irish Basis'!$C$12*'Irish Basis'!$C$5,2)</f>
        <v/>
      </c>
      <c r="R3075" s="11">
        <f>ROUND(SUM(N3075:Q3075),2)</f>
        <v/>
      </c>
      <c r="S3075" s="5" t="inlineStr">
        <is>
          <t>Stated build-up</t>
        </is>
      </c>
      <c r="T3075" s="12" t="inlineStr">
        <is>
          <t>High</t>
        </is>
      </c>
      <c r="U3075" s="8" t="n">
        <v>3164.61</v>
      </c>
      <c r="V3075" s="13">
        <f>IF(U3075="","",ROUND(M3075-U3075,2))</f>
        <v/>
      </c>
      <c r="W3075" s="5" t="n"/>
      <c r="X3075" s="5" t="inlineStr">
        <is>
          <t>Labour + plant + material as published; reconciles to the published rate.</t>
        </is>
      </c>
    </row>
    <row r="3076" ht="13" customHeight="1">
      <c r="A3076" s="4" t="n">
        <v>4705</v>
      </c>
      <c r="B3076" s="5" t="inlineStr">
        <is>
          <t>IMG_0129</t>
        </is>
      </c>
      <c r="C3076" s="5" t="inlineStr">
        <is>
          <t>CLASS R: ROADS AND PAVINGS</t>
        </is>
      </c>
      <c r="D3076" s="5" t="inlineStr">
        <is>
          <t>05 CONCRETE PAVEMENTS</t>
        </is>
      </c>
      <c r="E3076" s="5" t="inlineStr">
        <is>
          <t>Mild steel bar reinforcement BS 4449; Bars; supplied in bent and cut lengths</t>
        </is>
      </c>
      <c r="F3076" s="5" t="inlineStr">
        <is>
          <t>8 mm nominal size</t>
        </is>
      </c>
      <c r="G3076" s="6" t="inlineStr">
        <is>
          <t>t</t>
        </is>
      </c>
      <c r="H3076" s="7" t="n">
        <v>6.74</v>
      </c>
      <c r="I3076" s="8" t="n">
        <v>1699.81</v>
      </c>
      <c r="J3076" s="8" t="n">
        <v>0</v>
      </c>
      <c r="K3076" s="8" t="n">
        <v>1147.03</v>
      </c>
      <c r="L3076" s="8" t="n">
        <v>0</v>
      </c>
      <c r="M3076" s="9">
        <f>ROUND(SUM(I3076:L3076),2)</f>
        <v/>
      </c>
      <c r="N3076" s="10">
        <f>ROUND(I3076*'Irish Basis'!$C$6*'Irish Basis'!$C$5,2)</f>
        <v/>
      </c>
      <c r="O3076" s="10">
        <f>ROUND(J3076*'Irish Basis'!$C$7*'Irish Basis'!$C$5,2)</f>
        <v/>
      </c>
      <c r="P3076" s="10">
        <f>ROUND(K3076*'Irish Basis'!$C$8*'Irish Basis'!$C$5,2)</f>
        <v/>
      </c>
      <c r="Q3076" s="10">
        <f>ROUND(L3076*'Irish Basis'!$C$12*'Irish Basis'!$C$5,2)</f>
        <v/>
      </c>
      <c r="R3076" s="11">
        <f>ROUND(SUM(N3076:Q3076),2)</f>
        <v/>
      </c>
      <c r="S3076" s="5" t="inlineStr">
        <is>
          <t>Stated build-up</t>
        </is>
      </c>
      <c r="T3076" s="12" t="inlineStr">
        <is>
          <t>High</t>
        </is>
      </c>
      <c r="U3076" s="8" t="n">
        <v>2846.84</v>
      </c>
      <c r="V3076" s="13">
        <f>IF(U3076="","",ROUND(M3076-U3076,2))</f>
        <v/>
      </c>
      <c r="W3076" s="5" t="n"/>
      <c r="X3076" s="5" t="inlineStr">
        <is>
          <t>Labour + plant + material as published; reconciles to the published rate.</t>
        </is>
      </c>
    </row>
    <row r="3077" ht="13" customHeight="1">
      <c r="A3077" s="4" t="n">
        <v>4706</v>
      </c>
      <c r="B3077" s="5" t="inlineStr">
        <is>
          <t>IMG_0129</t>
        </is>
      </c>
      <c r="C3077" s="5" t="inlineStr">
        <is>
          <t>CLASS R: ROADS AND PAVINGS</t>
        </is>
      </c>
      <c r="D3077" s="5" t="inlineStr">
        <is>
          <t>05 CONCRETE PAVEMENTS</t>
        </is>
      </c>
      <c r="E3077" s="5" t="inlineStr">
        <is>
          <t>Mild steel bar reinforcement BS 4449; Bars; supplied in bent and cut lengths</t>
        </is>
      </c>
      <c r="F3077" s="5" t="inlineStr">
        <is>
          <t>10 mm nominal size</t>
        </is>
      </c>
      <c r="G3077" s="6" t="inlineStr">
        <is>
          <t>t</t>
        </is>
      </c>
      <c r="H3077" s="7" t="n">
        <v>6.74</v>
      </c>
      <c r="I3077" s="8" t="n">
        <v>1699.81</v>
      </c>
      <c r="J3077" s="8" t="n">
        <v>0</v>
      </c>
      <c r="K3077" s="8" t="n">
        <v>1147.03</v>
      </c>
      <c r="L3077" s="8" t="n">
        <v>0</v>
      </c>
      <c r="M3077" s="9">
        <f>ROUND(SUM(I3077:L3077),2)</f>
        <v/>
      </c>
      <c r="N3077" s="10">
        <f>ROUND(I3077*'Irish Basis'!$C$6*'Irish Basis'!$C$5,2)</f>
        <v/>
      </c>
      <c r="O3077" s="10">
        <f>ROUND(J3077*'Irish Basis'!$C$7*'Irish Basis'!$C$5,2)</f>
        <v/>
      </c>
      <c r="P3077" s="10">
        <f>ROUND(K3077*'Irish Basis'!$C$8*'Irish Basis'!$C$5,2)</f>
        <v/>
      </c>
      <c r="Q3077" s="10">
        <f>ROUND(L3077*'Irish Basis'!$C$12*'Irish Basis'!$C$5,2)</f>
        <v/>
      </c>
      <c r="R3077" s="11">
        <f>ROUND(SUM(N3077:Q3077),2)</f>
        <v/>
      </c>
      <c r="S3077" s="5" t="inlineStr">
        <is>
          <t>Stated build-up</t>
        </is>
      </c>
      <c r="T3077" s="12" t="inlineStr">
        <is>
          <t>High</t>
        </is>
      </c>
      <c r="U3077" s="8" t="n">
        <v>2846.84</v>
      </c>
      <c r="V3077" s="13">
        <f>IF(U3077="","",ROUND(M3077-U3077,2))</f>
        <v/>
      </c>
      <c r="W3077" s="5" t="n"/>
      <c r="X3077" s="5" t="inlineStr">
        <is>
          <t>Labour + plant + material as published; reconciles to the published rate.</t>
        </is>
      </c>
    </row>
    <row r="3078" ht="13" customHeight="1">
      <c r="A3078" s="4" t="n">
        <v>4707</v>
      </c>
      <c r="B3078" s="5" t="inlineStr">
        <is>
          <t>IMG_0129</t>
        </is>
      </c>
      <c r="C3078" s="5" t="inlineStr">
        <is>
          <t>CLASS R: ROADS AND PAVINGS</t>
        </is>
      </c>
      <c r="D3078" s="5" t="inlineStr">
        <is>
          <t>05 CONCRETE PAVEMENTS</t>
        </is>
      </c>
      <c r="E3078" s="5" t="inlineStr">
        <is>
          <t>Mild steel bar reinforcement BS 4449; Bars; supplied in bent and cut lengths</t>
        </is>
      </c>
      <c r="F3078" s="5" t="inlineStr">
        <is>
          <t>12 mm nominal size</t>
        </is>
      </c>
      <c r="G3078" s="6" t="inlineStr">
        <is>
          <t>t</t>
        </is>
      </c>
      <c r="H3078" s="7" t="n">
        <v>6.74</v>
      </c>
      <c r="I3078" s="8" t="n">
        <v>1699.81</v>
      </c>
      <c r="J3078" s="8" t="n">
        <v>0</v>
      </c>
      <c r="K3078" s="8" t="n">
        <v>1147.03</v>
      </c>
      <c r="L3078" s="8" t="n">
        <v>0</v>
      </c>
      <c r="M3078" s="9">
        <f>ROUND(SUM(I3078:L3078),2)</f>
        <v/>
      </c>
      <c r="N3078" s="10">
        <f>ROUND(I3078*'Irish Basis'!$C$6*'Irish Basis'!$C$5,2)</f>
        <v/>
      </c>
      <c r="O3078" s="10">
        <f>ROUND(J3078*'Irish Basis'!$C$7*'Irish Basis'!$C$5,2)</f>
        <v/>
      </c>
      <c r="P3078" s="10">
        <f>ROUND(K3078*'Irish Basis'!$C$8*'Irish Basis'!$C$5,2)</f>
        <v/>
      </c>
      <c r="Q3078" s="10">
        <f>ROUND(L3078*'Irish Basis'!$C$12*'Irish Basis'!$C$5,2)</f>
        <v/>
      </c>
      <c r="R3078" s="11">
        <f>ROUND(SUM(N3078:Q3078),2)</f>
        <v/>
      </c>
      <c r="S3078" s="5" t="inlineStr">
        <is>
          <t>Stated build-up</t>
        </is>
      </c>
      <c r="T3078" s="12" t="inlineStr">
        <is>
          <t>High</t>
        </is>
      </c>
      <c r="U3078" s="8" t="n">
        <v>2846.84</v>
      </c>
      <c r="V3078" s="13">
        <f>IF(U3078="","",ROUND(M3078-U3078,2))</f>
        <v/>
      </c>
      <c r="W3078" s="5" t="n"/>
      <c r="X3078" s="5" t="inlineStr">
        <is>
          <t>Labour + plant + material as published; reconciles to the published rate.</t>
        </is>
      </c>
    </row>
    <row r="3079" ht="13" customHeight="1">
      <c r="A3079" s="4" t="n">
        <v>4708</v>
      </c>
      <c r="B3079" s="5" t="inlineStr">
        <is>
          <t>IMG_0129</t>
        </is>
      </c>
      <c r="C3079" s="5" t="inlineStr">
        <is>
          <t>CLASS R: ROADS AND PAVINGS</t>
        </is>
      </c>
      <c r="D3079" s="5" t="inlineStr">
        <is>
          <t>05 CONCRETE PAVEMENTS</t>
        </is>
      </c>
      <c r="E3079" s="5" t="inlineStr">
        <is>
          <t>Mild steel bar reinforcement BS 4449; Bars; supplied in bent and cut lengths</t>
        </is>
      </c>
      <c r="F3079" s="5" t="inlineStr">
        <is>
          <t>16 mm nominal size</t>
        </is>
      </c>
      <c r="G3079" s="6" t="inlineStr">
        <is>
          <t>t</t>
        </is>
      </c>
      <c r="H3079" s="7" t="n">
        <v>6.15</v>
      </c>
      <c r="I3079" s="8" t="n">
        <v>1551.02</v>
      </c>
      <c r="J3079" s="8" t="n">
        <v>0</v>
      </c>
      <c r="K3079" s="8" t="n">
        <v>1147.03</v>
      </c>
      <c r="L3079" s="8" t="n">
        <v>0</v>
      </c>
      <c r="M3079" s="9">
        <f>ROUND(SUM(I3079:L3079),2)</f>
        <v/>
      </c>
      <c r="N3079" s="10">
        <f>ROUND(I3079*'Irish Basis'!$C$6*'Irish Basis'!$C$5,2)</f>
        <v/>
      </c>
      <c r="O3079" s="10">
        <f>ROUND(J3079*'Irish Basis'!$C$7*'Irish Basis'!$C$5,2)</f>
        <v/>
      </c>
      <c r="P3079" s="10">
        <f>ROUND(K3079*'Irish Basis'!$C$8*'Irish Basis'!$C$5,2)</f>
        <v/>
      </c>
      <c r="Q3079" s="10">
        <f>ROUND(L3079*'Irish Basis'!$C$12*'Irish Basis'!$C$5,2)</f>
        <v/>
      </c>
      <c r="R3079" s="11">
        <f>ROUND(SUM(N3079:Q3079),2)</f>
        <v/>
      </c>
      <c r="S3079" s="5" t="inlineStr">
        <is>
          <t>Stated build-up</t>
        </is>
      </c>
      <c r="T3079" s="12" t="inlineStr">
        <is>
          <t>High</t>
        </is>
      </c>
      <c r="U3079" s="8" t="n">
        <v>2698.04</v>
      </c>
      <c r="V3079" s="13">
        <f>IF(U3079="","",ROUND(M3079-U3079,2))</f>
        <v/>
      </c>
      <c r="W3079" s="5" t="n"/>
      <c r="X3079" s="5" t="inlineStr">
        <is>
          <t>Labour + plant + material as published; reconciles to the published rate.</t>
        </is>
      </c>
    </row>
    <row r="3080" ht="13" customHeight="1">
      <c r="A3080" s="4" t="n">
        <v>4710</v>
      </c>
      <c r="B3080" s="5" t="inlineStr">
        <is>
          <t>IMG_0129</t>
        </is>
      </c>
      <c r="C3080" s="5" t="inlineStr">
        <is>
          <t>CLASS R: ROADS AND PAVINGS</t>
        </is>
      </c>
      <c r="D3080" s="5" t="inlineStr">
        <is>
          <t>05 CONCRETE PAVEMENTS</t>
        </is>
      </c>
      <c r="E3080" s="5" t="inlineStr">
        <is>
          <t>High yield steel bar reinforcement BS 4449 or 4461; Bars; supplied in bent and cut lengths</t>
        </is>
      </c>
      <c r="F3080" s="5" t="inlineStr">
        <is>
          <t>6 mm nominal size</t>
        </is>
      </c>
      <c r="G3080" s="6" t="inlineStr">
        <is>
          <t>t</t>
        </is>
      </c>
      <c r="H3080" s="7" t="n">
        <v>8</v>
      </c>
      <c r="I3080" s="8" t="n">
        <v>2017.58</v>
      </c>
      <c r="J3080" s="8" t="n">
        <v>0</v>
      </c>
      <c r="K3080" s="8" t="n">
        <v>1162.24</v>
      </c>
      <c r="L3080" s="8" t="n">
        <v>0</v>
      </c>
      <c r="M3080" s="9">
        <f>ROUND(SUM(I3080:L3080),2)</f>
        <v/>
      </c>
      <c r="N3080" s="10">
        <f>ROUND(I3080*'Irish Basis'!$C$6*'Irish Basis'!$C$5,2)</f>
        <v/>
      </c>
      <c r="O3080" s="10">
        <f>ROUND(J3080*'Irish Basis'!$C$7*'Irish Basis'!$C$5,2)</f>
        <v/>
      </c>
      <c r="P3080" s="10">
        <f>ROUND(K3080*'Irish Basis'!$C$8*'Irish Basis'!$C$5,2)</f>
        <v/>
      </c>
      <c r="Q3080" s="10">
        <f>ROUND(L3080*'Irish Basis'!$C$12*'Irish Basis'!$C$5,2)</f>
        <v/>
      </c>
      <c r="R3080" s="11">
        <f>ROUND(SUM(N3080:Q3080),2)</f>
        <v/>
      </c>
      <c r="S3080" s="5" t="inlineStr">
        <is>
          <t>Stated build-up</t>
        </is>
      </c>
      <c r="T3080" s="12" t="inlineStr">
        <is>
          <t>High</t>
        </is>
      </c>
      <c r="U3080" s="8" t="n">
        <v>3179.82</v>
      </c>
      <c r="V3080" s="13">
        <f>IF(U3080="","",ROUND(M3080-U3080,2))</f>
        <v/>
      </c>
      <c r="W3080" s="5" t="n"/>
      <c r="X3080" s="5" t="inlineStr">
        <is>
          <t>Labour + plant + material as published; reconciles to the published rate.</t>
        </is>
      </c>
    </row>
    <row r="3081" ht="13" customHeight="1">
      <c r="A3081" s="4" t="n">
        <v>4711</v>
      </c>
      <c r="B3081" s="5" t="inlineStr">
        <is>
          <t>IMG_0129</t>
        </is>
      </c>
      <c r="C3081" s="5" t="inlineStr">
        <is>
          <t>CLASS R: ROADS AND PAVINGS</t>
        </is>
      </c>
      <c r="D3081" s="5" t="inlineStr">
        <is>
          <t>05 CONCRETE PAVEMENTS</t>
        </is>
      </c>
      <c r="E3081" s="5" t="inlineStr">
        <is>
          <t>High yield steel bar reinforcement BS 4449 or 4461; Bars; supplied in bent and cut lengths</t>
        </is>
      </c>
      <c r="F3081" s="5" t="inlineStr">
        <is>
          <t>8 mm nominal size</t>
        </is>
      </c>
      <c r="G3081" s="6" t="inlineStr">
        <is>
          <t>t</t>
        </is>
      </c>
      <c r="H3081" s="7" t="n">
        <v>6.74</v>
      </c>
      <c r="I3081" s="8" t="n">
        <v>1699.81</v>
      </c>
      <c r="J3081" s="8" t="n">
        <v>0</v>
      </c>
      <c r="K3081" s="8" t="n">
        <v>1162.24</v>
      </c>
      <c r="L3081" s="8" t="n">
        <v>0</v>
      </c>
      <c r="M3081" s="9">
        <f>ROUND(SUM(I3081:L3081),2)</f>
        <v/>
      </c>
      <c r="N3081" s="10">
        <f>ROUND(I3081*'Irish Basis'!$C$6*'Irish Basis'!$C$5,2)</f>
        <v/>
      </c>
      <c r="O3081" s="10">
        <f>ROUND(J3081*'Irish Basis'!$C$7*'Irish Basis'!$C$5,2)</f>
        <v/>
      </c>
      <c r="P3081" s="10">
        <f>ROUND(K3081*'Irish Basis'!$C$8*'Irish Basis'!$C$5,2)</f>
        <v/>
      </c>
      <c r="Q3081" s="10">
        <f>ROUND(L3081*'Irish Basis'!$C$12*'Irish Basis'!$C$5,2)</f>
        <v/>
      </c>
      <c r="R3081" s="11">
        <f>ROUND(SUM(N3081:Q3081),2)</f>
        <v/>
      </c>
      <c r="S3081" s="5" t="inlineStr">
        <is>
          <t>Stated build-up</t>
        </is>
      </c>
      <c r="T3081" s="12" t="inlineStr">
        <is>
          <t>High</t>
        </is>
      </c>
      <c r="U3081" s="8" t="n">
        <v>2862.05</v>
      </c>
      <c r="V3081" s="13">
        <f>IF(U3081="","",ROUND(M3081-U3081,2))</f>
        <v/>
      </c>
      <c r="W3081" s="5" t="n"/>
      <c r="X3081" s="5" t="inlineStr">
        <is>
          <t>Labour + plant + material as published; reconciles to the published rate.</t>
        </is>
      </c>
    </row>
    <row r="3082" ht="13" customHeight="1">
      <c r="A3082" s="4" t="n">
        <v>4712</v>
      </c>
      <c r="B3082" s="5" t="inlineStr">
        <is>
          <t>IMG_0129</t>
        </is>
      </c>
      <c r="C3082" s="5" t="inlineStr">
        <is>
          <t>CLASS R: ROADS AND PAVINGS</t>
        </is>
      </c>
      <c r="D3082" s="5" t="inlineStr">
        <is>
          <t>05 CONCRETE PAVEMENTS</t>
        </is>
      </c>
      <c r="E3082" s="5" t="inlineStr">
        <is>
          <t>High yield steel bar reinforcement BS 4449 or 4461; Bars; supplied in bent and cut lengths</t>
        </is>
      </c>
      <c r="F3082" s="5" t="inlineStr">
        <is>
          <t>10 mm nominal size</t>
        </is>
      </c>
      <c r="G3082" s="6" t="inlineStr">
        <is>
          <t>t</t>
        </is>
      </c>
      <c r="H3082" s="7" t="n">
        <v>6.74</v>
      </c>
      <c r="I3082" s="8" t="n">
        <v>1699.81</v>
      </c>
      <c r="J3082" s="8" t="n">
        <v>0</v>
      </c>
      <c r="K3082" s="8" t="n">
        <v>1162.23</v>
      </c>
      <c r="L3082" s="8" t="n">
        <v>0</v>
      </c>
      <c r="M3082" s="9">
        <f>ROUND(SUM(I3082:L3082),2)</f>
        <v/>
      </c>
      <c r="N3082" s="10">
        <f>ROUND(I3082*'Irish Basis'!$C$6*'Irish Basis'!$C$5,2)</f>
        <v/>
      </c>
      <c r="O3082" s="10">
        <f>ROUND(J3082*'Irish Basis'!$C$7*'Irish Basis'!$C$5,2)</f>
        <v/>
      </c>
      <c r="P3082" s="10">
        <f>ROUND(K3082*'Irish Basis'!$C$8*'Irish Basis'!$C$5,2)</f>
        <v/>
      </c>
      <c r="Q3082" s="10">
        <f>ROUND(L3082*'Irish Basis'!$C$12*'Irish Basis'!$C$5,2)</f>
        <v/>
      </c>
      <c r="R3082" s="11">
        <f>ROUND(SUM(N3082:Q3082),2)</f>
        <v/>
      </c>
      <c r="S3082" s="5" t="inlineStr">
        <is>
          <t>Stated build-up</t>
        </is>
      </c>
      <c r="T3082" s="12" t="inlineStr">
        <is>
          <t>High</t>
        </is>
      </c>
      <c r="U3082" s="8" t="n">
        <v>2862.04</v>
      </c>
      <c r="V3082" s="13">
        <f>IF(U3082="","",ROUND(M3082-U3082,2))</f>
        <v/>
      </c>
      <c r="W3082" s="5" t="n"/>
      <c r="X3082" s="5" t="inlineStr">
        <is>
          <t>Labour + plant + material as published; reconciles to the published rate.</t>
        </is>
      </c>
    </row>
    <row r="3083" ht="13" customHeight="1">
      <c r="A3083" s="4" t="n">
        <v>4713</v>
      </c>
      <c r="B3083" s="5" t="inlineStr">
        <is>
          <t>IMG_0129</t>
        </is>
      </c>
      <c r="C3083" s="5" t="inlineStr">
        <is>
          <t>CLASS R: ROADS AND PAVINGS</t>
        </is>
      </c>
      <c r="D3083" s="5" t="inlineStr">
        <is>
          <t>05 CONCRETE PAVEMENTS</t>
        </is>
      </c>
      <c r="E3083" s="5" t="inlineStr">
        <is>
          <t>High yield steel bar reinforcement BS 4449 or 4461; Bars; supplied in bent and cut lengths</t>
        </is>
      </c>
      <c r="F3083" s="5" t="inlineStr">
        <is>
          <t>12 mm nominal size</t>
        </is>
      </c>
      <c r="G3083" s="6" t="inlineStr">
        <is>
          <t>t</t>
        </is>
      </c>
      <c r="H3083" s="7" t="n">
        <v>6.74</v>
      </c>
      <c r="I3083" s="8" t="n">
        <v>1699.81</v>
      </c>
      <c r="J3083" s="8" t="n">
        <v>0</v>
      </c>
      <c r="K3083" s="8" t="n">
        <v>1162.24</v>
      </c>
      <c r="L3083" s="8" t="n">
        <v>0</v>
      </c>
      <c r="M3083" s="9">
        <f>ROUND(SUM(I3083:L3083),2)</f>
        <v/>
      </c>
      <c r="N3083" s="10">
        <f>ROUND(I3083*'Irish Basis'!$C$6*'Irish Basis'!$C$5,2)</f>
        <v/>
      </c>
      <c r="O3083" s="10">
        <f>ROUND(J3083*'Irish Basis'!$C$7*'Irish Basis'!$C$5,2)</f>
        <v/>
      </c>
      <c r="P3083" s="10">
        <f>ROUND(K3083*'Irish Basis'!$C$8*'Irish Basis'!$C$5,2)</f>
        <v/>
      </c>
      <c r="Q3083" s="10">
        <f>ROUND(L3083*'Irish Basis'!$C$12*'Irish Basis'!$C$5,2)</f>
        <v/>
      </c>
      <c r="R3083" s="11">
        <f>ROUND(SUM(N3083:Q3083),2)</f>
        <v/>
      </c>
      <c r="S3083" s="5" t="inlineStr">
        <is>
          <t>Stated build-up</t>
        </is>
      </c>
      <c r="T3083" s="12" t="inlineStr">
        <is>
          <t>High</t>
        </is>
      </c>
      <c r="U3083" s="8" t="n">
        <v>2862.05</v>
      </c>
      <c r="V3083" s="13">
        <f>IF(U3083="","",ROUND(M3083-U3083,2))</f>
        <v/>
      </c>
      <c r="W3083" s="5" t="n"/>
      <c r="X3083" s="5" t="inlineStr">
        <is>
          <t>Labour + plant + material as published; reconciles to the published rate.</t>
        </is>
      </c>
    </row>
    <row r="3084" ht="13" customHeight="1">
      <c r="A3084" s="4" t="n">
        <v>4714</v>
      </c>
      <c r="B3084" s="5" t="inlineStr">
        <is>
          <t>IMG_0129</t>
        </is>
      </c>
      <c r="C3084" s="5" t="inlineStr">
        <is>
          <t>CLASS R: ROADS AND PAVINGS</t>
        </is>
      </c>
      <c r="D3084" s="5" t="inlineStr">
        <is>
          <t>05 CONCRETE PAVEMENTS</t>
        </is>
      </c>
      <c r="E3084" s="5" t="inlineStr">
        <is>
          <t>High yield steel bar reinforcement BS 4449 or 4461; Bars; supplied in bent and cut lengths</t>
        </is>
      </c>
      <c r="F3084" s="5" t="inlineStr">
        <is>
          <t>16 mm nominal size</t>
        </is>
      </c>
      <c r="G3084" s="6" t="inlineStr">
        <is>
          <t>t</t>
        </is>
      </c>
      <c r="H3084" s="7" t="n">
        <v>6.15</v>
      </c>
      <c r="I3084" s="8" t="n">
        <v>1551.02</v>
      </c>
      <c r="J3084" s="8" t="n">
        <v>0</v>
      </c>
      <c r="K3084" s="8" t="n">
        <v>1162.22</v>
      </c>
      <c r="L3084" s="8" t="n">
        <v>0</v>
      </c>
      <c r="M3084" s="9">
        <f>ROUND(SUM(I3084:L3084),2)</f>
        <v/>
      </c>
      <c r="N3084" s="10">
        <f>ROUND(I3084*'Irish Basis'!$C$6*'Irish Basis'!$C$5,2)</f>
        <v/>
      </c>
      <c r="O3084" s="10">
        <f>ROUND(J3084*'Irish Basis'!$C$7*'Irish Basis'!$C$5,2)</f>
        <v/>
      </c>
      <c r="P3084" s="10">
        <f>ROUND(K3084*'Irish Basis'!$C$8*'Irish Basis'!$C$5,2)</f>
        <v/>
      </c>
      <c r="Q3084" s="10">
        <f>ROUND(L3084*'Irish Basis'!$C$12*'Irish Basis'!$C$5,2)</f>
        <v/>
      </c>
      <c r="R3084" s="11">
        <f>ROUND(SUM(N3084:Q3084),2)</f>
        <v/>
      </c>
      <c r="S3084" s="5" t="inlineStr">
        <is>
          <t>Stated build-up</t>
        </is>
      </c>
      <c r="T3084" s="12" t="inlineStr">
        <is>
          <t>High</t>
        </is>
      </c>
      <c r="U3084" s="8" t="n">
        <v>2713.24</v>
      </c>
      <c r="V3084" s="13">
        <f>IF(U3084="","",ROUND(M3084-U3084,2))</f>
        <v/>
      </c>
      <c r="W3084" s="5" t="n"/>
      <c r="X3084" s="5" t="inlineStr">
        <is>
          <t>Labour + plant + material as published; reconciles to the published rate.</t>
        </is>
      </c>
    </row>
    <row r="3085" ht="13" customHeight="1">
      <c r="A3085" s="4" t="n">
        <v>4716</v>
      </c>
      <c r="B3085" s="5" t="inlineStr">
        <is>
          <t>IMG_0129</t>
        </is>
      </c>
      <c r="C3085" s="5" t="inlineStr">
        <is>
          <t>CLASS R: ROADS AND PAVINGS</t>
        </is>
      </c>
      <c r="D3085" s="5" t="inlineStr">
        <is>
          <t>05 CONCRETE PAVEMENTS</t>
        </is>
      </c>
      <c r="E3085" s="5" t="inlineStr">
        <is>
          <t>Sheeting to prevent moisture loss; Polyethylene sheeting; lapped joints; horizontal below concrete pavements</t>
        </is>
      </c>
      <c r="F3085" s="5" t="inlineStr">
        <is>
          <t>250 micron</t>
        </is>
      </c>
      <c r="G3085" s="6" t="inlineStr">
        <is>
          <t>m2</t>
        </is>
      </c>
      <c r="H3085" s="7" t="n">
        <v>0.01</v>
      </c>
      <c r="I3085" s="8" t="n">
        <v>2.52</v>
      </c>
      <c r="J3085" s="8" t="n">
        <v>0</v>
      </c>
      <c r="K3085" s="8" t="n">
        <v>1.09</v>
      </c>
      <c r="L3085" s="8" t="n">
        <v>0</v>
      </c>
      <c r="M3085" s="9">
        <f>ROUND(SUM(I3085:L3085),2)</f>
        <v/>
      </c>
      <c r="N3085" s="10">
        <f>ROUND(I3085*'Irish Basis'!$C$6*'Irish Basis'!$C$5,2)</f>
        <v/>
      </c>
      <c r="O3085" s="10">
        <f>ROUND(J3085*'Irish Basis'!$C$7*'Irish Basis'!$C$5,2)</f>
        <v/>
      </c>
      <c r="P3085" s="10">
        <f>ROUND(K3085*'Irish Basis'!$C$8*'Irish Basis'!$C$5,2)</f>
        <v/>
      </c>
      <c r="Q3085" s="10">
        <f>ROUND(L3085*'Irish Basis'!$C$12*'Irish Basis'!$C$5,2)</f>
        <v/>
      </c>
      <c r="R3085" s="11">
        <f>ROUND(SUM(N3085:Q3085),2)</f>
        <v/>
      </c>
      <c r="S3085" s="5" t="inlineStr">
        <is>
          <t>Stated build-up</t>
        </is>
      </c>
      <c r="T3085" s="12" t="inlineStr">
        <is>
          <t>High</t>
        </is>
      </c>
      <c r="U3085" s="8" t="n">
        <v>3.61</v>
      </c>
      <c r="V3085" s="13">
        <f>IF(U3085="","",ROUND(M3085-U3085,2))</f>
        <v/>
      </c>
      <c r="W3085" s="5" t="n"/>
      <c r="X3085" s="5" t="inlineStr">
        <is>
          <t>Labour + plant + material as published; reconciles to the published rate.</t>
        </is>
      </c>
    </row>
    <row r="3086" ht="13" customHeight="1">
      <c r="A3086" s="4" t="n">
        <v>4717</v>
      </c>
      <c r="B3086" s="5" t="inlineStr">
        <is>
          <t>IMG_0129</t>
        </is>
      </c>
      <c r="C3086" s="5" t="inlineStr">
        <is>
          <t>CLASS R: ROADS AND PAVINGS</t>
        </is>
      </c>
      <c r="D3086" s="5" t="inlineStr">
        <is>
          <t>05 CONCRETE PAVEMENTS</t>
        </is>
      </c>
      <c r="E3086" s="5" t="inlineStr">
        <is>
          <t>Sheeting to prevent moisture loss; Polyethylene sheeting; lapped joints; horizontal below concrete pavements</t>
        </is>
      </c>
      <c r="F3086" s="5" t="inlineStr">
        <is>
          <t>500 micron</t>
        </is>
      </c>
      <c r="G3086" s="6" t="inlineStr">
        <is>
          <t>m2</t>
        </is>
      </c>
      <c r="H3086" s="7" t="n">
        <v>0.01</v>
      </c>
      <c r="I3086" s="8" t="n">
        <v>2.52</v>
      </c>
      <c r="J3086" s="8" t="n">
        <v>0</v>
      </c>
      <c r="K3086" s="8" t="n">
        <v>2.78</v>
      </c>
      <c r="L3086" s="8" t="n">
        <v>0</v>
      </c>
      <c r="M3086" s="9">
        <f>ROUND(SUM(I3086:L3086),2)</f>
        <v/>
      </c>
      <c r="N3086" s="10">
        <f>ROUND(I3086*'Irish Basis'!$C$6*'Irish Basis'!$C$5,2)</f>
        <v/>
      </c>
      <c r="O3086" s="10">
        <f>ROUND(J3086*'Irish Basis'!$C$7*'Irish Basis'!$C$5,2)</f>
        <v/>
      </c>
      <c r="P3086" s="10">
        <f>ROUND(K3086*'Irish Basis'!$C$8*'Irish Basis'!$C$5,2)</f>
        <v/>
      </c>
      <c r="Q3086" s="10">
        <f>ROUND(L3086*'Irish Basis'!$C$12*'Irish Basis'!$C$5,2)</f>
        <v/>
      </c>
      <c r="R3086" s="11">
        <f>ROUND(SUM(N3086:Q3086),2)</f>
        <v/>
      </c>
      <c r="S3086" s="5" t="inlineStr">
        <is>
          <t>Stated build-up</t>
        </is>
      </c>
      <c r="T3086" s="12" t="inlineStr">
        <is>
          <t>High</t>
        </is>
      </c>
      <c r="U3086" s="8" t="n">
        <v>5.3</v>
      </c>
      <c r="V3086" s="13">
        <f>IF(U3086="","",ROUND(M3086-U3086,2))</f>
        <v/>
      </c>
      <c r="W3086" s="5" t="n"/>
      <c r="X3086" s="5" t="inlineStr">
        <is>
          <t>Labour + plant + material as published; reconciles to the published rate.</t>
        </is>
      </c>
    </row>
    <row r="3087" ht="13" customHeight="1">
      <c r="A3087" s="4" t="n">
        <v>4720</v>
      </c>
      <c r="B3087" s="5" t="inlineStr">
        <is>
          <t>IMG_0129</t>
        </is>
      </c>
      <c r="C3087" s="5" t="inlineStr">
        <is>
          <t>CLASS R: ROADS AND PAVINGS</t>
        </is>
      </c>
      <c r="D3087" s="5" t="inlineStr">
        <is>
          <t>06 JOINTS IN CONCRETE PAVEMENTS</t>
        </is>
      </c>
      <c r="E3087" s="5" t="inlineStr">
        <is>
          <t>Joints; Longitudinal joints</t>
        </is>
      </c>
      <c r="F3087" s="5" t="inlineStr">
        <is>
          <t>180 mm deep</t>
        </is>
      </c>
      <c r="G3087" s="6" t="inlineStr">
        <is>
          <t>m</t>
        </is>
      </c>
      <c r="H3087" s="7" t="n">
        <v>0.01</v>
      </c>
      <c r="I3087" s="8" t="n">
        <v>3.03</v>
      </c>
      <c r="J3087" s="8" t="n">
        <v>8.1</v>
      </c>
      <c r="K3087" s="8" t="n">
        <v>26.75</v>
      </c>
      <c r="L3087" s="8" t="n">
        <v>0</v>
      </c>
      <c r="M3087" s="9">
        <f>ROUND(SUM(I3087:L3087),2)</f>
        <v/>
      </c>
      <c r="N3087" s="10">
        <f>ROUND(I3087*'Irish Basis'!$C$6*'Irish Basis'!$C$5,2)</f>
        <v/>
      </c>
      <c r="O3087" s="10">
        <f>ROUND(J3087*'Irish Basis'!$C$7*'Irish Basis'!$C$5,2)</f>
        <v/>
      </c>
      <c r="P3087" s="10">
        <f>ROUND(K3087*'Irish Basis'!$C$8*'Irish Basis'!$C$5,2)</f>
        <v/>
      </c>
      <c r="Q3087" s="10">
        <f>ROUND(L3087*'Irish Basis'!$C$12*'Irish Basis'!$C$5,2)</f>
        <v/>
      </c>
      <c r="R3087" s="11">
        <f>ROUND(SUM(N3087:Q3087),2)</f>
        <v/>
      </c>
      <c r="S3087" s="5" t="inlineStr">
        <is>
          <t>Stated build-up</t>
        </is>
      </c>
      <c r="T3087" s="12" t="inlineStr">
        <is>
          <t>High</t>
        </is>
      </c>
      <c r="U3087" s="8" t="n">
        <v>37.88</v>
      </c>
      <c r="V3087" s="13">
        <f>IF(U3087="","",ROUND(M3087-U3087,2))</f>
        <v/>
      </c>
      <c r="W3087" s="5" t="n"/>
      <c r="X3087" s="5" t="inlineStr">
        <is>
          <t>Labour + plant + material as published; reconciles to the published rate.</t>
        </is>
      </c>
    </row>
    <row r="3088" ht="13" customHeight="1">
      <c r="A3088" s="4" t="n">
        <v>4721</v>
      </c>
      <c r="B3088" s="5" t="inlineStr">
        <is>
          <t>IMG_0129</t>
        </is>
      </c>
      <c r="C3088" s="5" t="inlineStr">
        <is>
          <t>CLASS R: ROADS AND PAVINGS</t>
        </is>
      </c>
      <c r="D3088" s="5" t="inlineStr">
        <is>
          <t>06 JOINTS IN CONCRETE PAVEMENTS</t>
        </is>
      </c>
      <c r="E3088" s="5" t="inlineStr">
        <is>
          <t>Joints; Longitudinal joints</t>
        </is>
      </c>
      <c r="F3088" s="5" t="inlineStr">
        <is>
          <t>220 mm deep</t>
        </is>
      </c>
      <c r="G3088" s="6" t="inlineStr">
        <is>
          <t>m</t>
        </is>
      </c>
      <c r="H3088" s="7" t="n">
        <v>0.01</v>
      </c>
      <c r="I3088" s="8" t="n">
        <v>3.03</v>
      </c>
      <c r="J3088" s="8" t="n">
        <v>8.1</v>
      </c>
      <c r="K3088" s="8" t="n">
        <v>31.43</v>
      </c>
      <c r="L3088" s="8" t="n">
        <v>0</v>
      </c>
      <c r="M3088" s="9">
        <f>ROUND(SUM(I3088:L3088),2)</f>
        <v/>
      </c>
      <c r="N3088" s="10">
        <f>ROUND(I3088*'Irish Basis'!$C$6*'Irish Basis'!$C$5,2)</f>
        <v/>
      </c>
      <c r="O3088" s="10">
        <f>ROUND(J3088*'Irish Basis'!$C$7*'Irish Basis'!$C$5,2)</f>
        <v/>
      </c>
      <c r="P3088" s="10">
        <f>ROUND(K3088*'Irish Basis'!$C$8*'Irish Basis'!$C$5,2)</f>
        <v/>
      </c>
      <c r="Q3088" s="10">
        <f>ROUND(L3088*'Irish Basis'!$C$12*'Irish Basis'!$C$5,2)</f>
        <v/>
      </c>
      <c r="R3088" s="11">
        <f>ROUND(SUM(N3088:Q3088),2)</f>
        <v/>
      </c>
      <c r="S3088" s="5" t="inlineStr">
        <is>
          <t>Stated build-up</t>
        </is>
      </c>
      <c r="T3088" s="12" t="inlineStr">
        <is>
          <t>High</t>
        </is>
      </c>
      <c r="U3088" s="8" t="n">
        <v>42.56</v>
      </c>
      <c r="V3088" s="13">
        <f>IF(U3088="","",ROUND(M3088-U3088,2))</f>
        <v/>
      </c>
      <c r="W3088" s="5" t="n"/>
      <c r="X3088" s="5" t="inlineStr">
        <is>
          <t>Labour + plant + material as published; reconciles to the published rate.</t>
        </is>
      </c>
    </row>
    <row r="3089" ht="13" customHeight="1">
      <c r="A3089" s="4" t="n">
        <v>4722</v>
      </c>
      <c r="B3089" s="5" t="inlineStr">
        <is>
          <t>IMG_0129</t>
        </is>
      </c>
      <c r="C3089" s="5" t="inlineStr">
        <is>
          <t>CLASS R: ROADS AND PAVINGS</t>
        </is>
      </c>
      <c r="D3089" s="5" t="inlineStr">
        <is>
          <t>06 JOINTS IN CONCRETE PAVEMENTS</t>
        </is>
      </c>
      <c r="E3089" s="5" t="inlineStr">
        <is>
          <t>Joints; Longitudinal joints</t>
        </is>
      </c>
      <c r="F3089" s="5" t="inlineStr">
        <is>
          <t>260 mm deep</t>
        </is>
      </c>
      <c r="G3089" s="6" t="inlineStr">
        <is>
          <t>m</t>
        </is>
      </c>
      <c r="H3089" s="7" t="n">
        <v>0.01</v>
      </c>
      <c r="I3089" s="8" t="n">
        <v>3.03</v>
      </c>
      <c r="J3089" s="8" t="n">
        <v>8.1</v>
      </c>
      <c r="K3089" s="8" t="n">
        <v>38.5</v>
      </c>
      <c r="L3089" s="8" t="n">
        <v>0</v>
      </c>
      <c r="M3089" s="9">
        <f>ROUND(SUM(I3089:L3089),2)</f>
        <v/>
      </c>
      <c r="N3089" s="10">
        <f>ROUND(I3089*'Irish Basis'!$C$6*'Irish Basis'!$C$5,2)</f>
        <v/>
      </c>
      <c r="O3089" s="10">
        <f>ROUND(J3089*'Irish Basis'!$C$7*'Irish Basis'!$C$5,2)</f>
        <v/>
      </c>
      <c r="P3089" s="10">
        <f>ROUND(K3089*'Irish Basis'!$C$8*'Irish Basis'!$C$5,2)</f>
        <v/>
      </c>
      <c r="Q3089" s="10">
        <f>ROUND(L3089*'Irish Basis'!$C$12*'Irish Basis'!$C$5,2)</f>
        <v/>
      </c>
      <c r="R3089" s="11">
        <f>ROUND(SUM(N3089:Q3089),2)</f>
        <v/>
      </c>
      <c r="S3089" s="5" t="inlineStr">
        <is>
          <t>Stated build-up</t>
        </is>
      </c>
      <c r="T3089" s="12" t="inlineStr">
        <is>
          <t>High</t>
        </is>
      </c>
      <c r="U3089" s="8" t="n">
        <v>49.63</v>
      </c>
      <c r="V3089" s="13">
        <f>IF(U3089="","",ROUND(M3089-U3089,2))</f>
        <v/>
      </c>
      <c r="W3089" s="5" t="n"/>
      <c r="X3089" s="5" t="inlineStr">
        <is>
          <t>Labour + plant + material as published; reconciles to the published rate.</t>
        </is>
      </c>
    </row>
    <row r="3090" ht="13" customHeight="1">
      <c r="A3090" s="4" t="n">
        <v>4723</v>
      </c>
      <c r="B3090" s="5" t="inlineStr">
        <is>
          <t>IMG_0129</t>
        </is>
      </c>
      <c r="C3090" s="5" t="inlineStr">
        <is>
          <t>CLASS R: ROADS AND PAVINGS</t>
        </is>
      </c>
      <c r="D3090" s="5" t="inlineStr">
        <is>
          <t>06 JOINTS IN CONCRETE PAVEMENTS</t>
        </is>
      </c>
      <c r="E3090" s="5" t="inlineStr">
        <is>
          <t>Joints; Longitudinal joints</t>
        </is>
      </c>
      <c r="F3090" s="5" t="inlineStr">
        <is>
          <t>300 mm deep</t>
        </is>
      </c>
      <c r="G3090" s="6" t="inlineStr">
        <is>
          <t>m</t>
        </is>
      </c>
      <c r="H3090" s="7" t="n">
        <v>0.01</v>
      </c>
      <c r="I3090" s="8" t="n">
        <v>3.03</v>
      </c>
      <c r="J3090" s="8" t="n">
        <v>8.1</v>
      </c>
      <c r="K3090" s="8" t="n">
        <v>44.81</v>
      </c>
      <c r="L3090" s="8" t="n">
        <v>0</v>
      </c>
      <c r="M3090" s="9">
        <f>ROUND(SUM(I3090:L3090),2)</f>
        <v/>
      </c>
      <c r="N3090" s="10">
        <f>ROUND(I3090*'Irish Basis'!$C$6*'Irish Basis'!$C$5,2)</f>
        <v/>
      </c>
      <c r="O3090" s="10">
        <f>ROUND(J3090*'Irish Basis'!$C$7*'Irish Basis'!$C$5,2)</f>
        <v/>
      </c>
      <c r="P3090" s="10">
        <f>ROUND(K3090*'Irish Basis'!$C$8*'Irish Basis'!$C$5,2)</f>
        <v/>
      </c>
      <c r="Q3090" s="10">
        <f>ROUND(L3090*'Irish Basis'!$C$12*'Irish Basis'!$C$5,2)</f>
        <v/>
      </c>
      <c r="R3090" s="11">
        <f>ROUND(SUM(N3090:Q3090),2)</f>
        <v/>
      </c>
      <c r="S3090" s="5" t="inlineStr">
        <is>
          <t>Stated build-up</t>
        </is>
      </c>
      <c r="T3090" s="12" t="inlineStr">
        <is>
          <t>High</t>
        </is>
      </c>
      <c r="U3090" s="8" t="n">
        <v>55.93</v>
      </c>
      <c r="V3090" s="13">
        <f>IF(U3090="","",ROUND(M3090-U3090,2))</f>
        <v/>
      </c>
      <c r="W3090" s="5" t="n"/>
      <c r="X3090" s="5" t="inlineStr">
        <is>
          <t>Labour + plant + material as published; reconciles to the published rate.</t>
        </is>
      </c>
    </row>
    <row r="3091" ht="13" customHeight="1">
      <c r="A3091" s="4" t="n">
        <v>4725</v>
      </c>
      <c r="B3091" s="5" t="inlineStr">
        <is>
          <t>IMG_0129</t>
        </is>
      </c>
      <c r="C3091" s="5" t="inlineStr">
        <is>
          <t>CLASS R: ROADS AND PAVINGS</t>
        </is>
      </c>
      <c r="D3091" s="5" t="inlineStr">
        <is>
          <t>06 JOINTS IN CONCRETE PAVEMENTS</t>
        </is>
      </c>
      <c r="E3091" s="5" t="inlineStr">
        <is>
          <t>Expansion joints</t>
        </is>
      </c>
      <c r="F3091" s="5" t="inlineStr">
        <is>
          <t>180 mm deep</t>
        </is>
      </c>
      <c r="G3091" s="6" t="inlineStr">
        <is>
          <t>m</t>
        </is>
      </c>
      <c r="H3091" s="7" t="n">
        <v>0.01</v>
      </c>
      <c r="I3091" s="8" t="n">
        <v>3.03</v>
      </c>
      <c r="J3091" s="8" t="n">
        <v>8.1</v>
      </c>
      <c r="K3091" s="8" t="n">
        <v>52.63</v>
      </c>
      <c r="L3091" s="8" t="n">
        <v>0</v>
      </c>
      <c r="M3091" s="9">
        <f>ROUND(SUM(I3091:L3091),2)</f>
        <v/>
      </c>
      <c r="N3091" s="10">
        <f>ROUND(I3091*'Irish Basis'!$C$6*'Irish Basis'!$C$5,2)</f>
        <v/>
      </c>
      <c r="O3091" s="10">
        <f>ROUND(J3091*'Irish Basis'!$C$7*'Irish Basis'!$C$5,2)</f>
        <v/>
      </c>
      <c r="P3091" s="10">
        <f>ROUND(K3091*'Irish Basis'!$C$8*'Irish Basis'!$C$5,2)</f>
        <v/>
      </c>
      <c r="Q3091" s="10">
        <f>ROUND(L3091*'Irish Basis'!$C$12*'Irish Basis'!$C$5,2)</f>
        <v/>
      </c>
      <c r="R3091" s="11">
        <f>ROUND(SUM(N3091:Q3091),2)</f>
        <v/>
      </c>
      <c r="S3091" s="5" t="inlineStr">
        <is>
          <t>Stated build-up</t>
        </is>
      </c>
      <c r="T3091" s="12" t="inlineStr">
        <is>
          <t>High</t>
        </is>
      </c>
      <c r="U3091" s="8" t="n">
        <v>63.76</v>
      </c>
      <c r="V3091" s="13">
        <f>IF(U3091="","",ROUND(M3091-U3091,2))</f>
        <v/>
      </c>
      <c r="W3091" s="5" t="n"/>
      <c r="X3091" s="5" t="inlineStr">
        <is>
          <t>Labour + plant + material as published; reconciles to the published rate.</t>
        </is>
      </c>
    </row>
    <row r="3092" ht="13" customHeight="1">
      <c r="A3092" s="4" t="n">
        <v>4726</v>
      </c>
      <c r="B3092" s="5" t="inlineStr">
        <is>
          <t>IMG_0129</t>
        </is>
      </c>
      <c r="C3092" s="5" t="inlineStr">
        <is>
          <t>CLASS R: ROADS AND PAVINGS</t>
        </is>
      </c>
      <c r="D3092" s="5" t="inlineStr">
        <is>
          <t>06 JOINTS IN CONCRETE PAVEMENTS</t>
        </is>
      </c>
      <c r="E3092" s="5" t="inlineStr">
        <is>
          <t>Expansion joints</t>
        </is>
      </c>
      <c r="F3092" s="5" t="inlineStr">
        <is>
          <t>220 mm deep</t>
        </is>
      </c>
      <c r="G3092" s="6" t="inlineStr">
        <is>
          <t>m</t>
        </is>
      </c>
      <c r="H3092" s="7" t="n">
        <v>0.01</v>
      </c>
      <c r="I3092" s="8" t="n">
        <v>3.03</v>
      </c>
      <c r="J3092" s="8" t="n">
        <v>8.1</v>
      </c>
      <c r="K3092" s="8" t="n">
        <v>61.29</v>
      </c>
      <c r="L3092" s="8" t="n">
        <v>0</v>
      </c>
      <c r="M3092" s="9">
        <f>ROUND(SUM(I3092:L3092),2)</f>
        <v/>
      </c>
      <c r="N3092" s="10">
        <f>ROUND(I3092*'Irish Basis'!$C$6*'Irish Basis'!$C$5,2)</f>
        <v/>
      </c>
      <c r="O3092" s="10">
        <f>ROUND(J3092*'Irish Basis'!$C$7*'Irish Basis'!$C$5,2)</f>
        <v/>
      </c>
      <c r="P3092" s="10">
        <f>ROUND(K3092*'Irish Basis'!$C$8*'Irish Basis'!$C$5,2)</f>
        <v/>
      </c>
      <c r="Q3092" s="10">
        <f>ROUND(L3092*'Irish Basis'!$C$12*'Irish Basis'!$C$5,2)</f>
        <v/>
      </c>
      <c r="R3092" s="11">
        <f>ROUND(SUM(N3092:Q3092),2)</f>
        <v/>
      </c>
      <c r="S3092" s="5" t="inlineStr">
        <is>
          <t>Stated build-up</t>
        </is>
      </c>
      <c r="T3092" s="12" t="inlineStr">
        <is>
          <t>High</t>
        </is>
      </c>
      <c r="U3092" s="8" t="n">
        <v>72.42</v>
      </c>
      <c r="V3092" s="13">
        <f>IF(U3092="","",ROUND(M3092-U3092,2))</f>
        <v/>
      </c>
      <c r="W3092" s="5" t="n"/>
      <c r="X3092" s="5" t="inlineStr">
        <is>
          <t>Labour + plant + material as published; reconciles to the published rate.</t>
        </is>
      </c>
    </row>
    <row r="3093" ht="13" customHeight="1">
      <c r="A3093" s="4" t="n">
        <v>4727</v>
      </c>
      <c r="B3093" s="5" t="inlineStr">
        <is>
          <t>IMG_0129</t>
        </is>
      </c>
      <c r="C3093" s="5" t="inlineStr">
        <is>
          <t>CLASS R: ROADS AND PAVINGS</t>
        </is>
      </c>
      <c r="D3093" s="5" t="inlineStr">
        <is>
          <t>06 JOINTS IN CONCRETE PAVEMENTS</t>
        </is>
      </c>
      <c r="E3093" s="5" t="inlineStr">
        <is>
          <t>Expansion joints</t>
        </is>
      </c>
      <c r="F3093" s="5" t="inlineStr">
        <is>
          <t>260 mm deep</t>
        </is>
      </c>
      <c r="G3093" s="6" t="inlineStr">
        <is>
          <t>m</t>
        </is>
      </c>
      <c r="H3093" s="7" t="n">
        <v>0.01</v>
      </c>
      <c r="I3093" s="8" t="n">
        <v>3.03</v>
      </c>
      <c r="J3093" s="8" t="n">
        <v>8.1</v>
      </c>
      <c r="K3093" s="8" t="n">
        <v>69.93000000000001</v>
      </c>
      <c r="L3093" s="8" t="n">
        <v>0</v>
      </c>
      <c r="M3093" s="9">
        <f>ROUND(SUM(I3093:L3093),2)</f>
        <v/>
      </c>
      <c r="N3093" s="10">
        <f>ROUND(I3093*'Irish Basis'!$C$6*'Irish Basis'!$C$5,2)</f>
        <v/>
      </c>
      <c r="O3093" s="10">
        <f>ROUND(J3093*'Irish Basis'!$C$7*'Irish Basis'!$C$5,2)</f>
        <v/>
      </c>
      <c r="P3093" s="10">
        <f>ROUND(K3093*'Irish Basis'!$C$8*'Irish Basis'!$C$5,2)</f>
        <v/>
      </c>
      <c r="Q3093" s="10">
        <f>ROUND(L3093*'Irish Basis'!$C$12*'Irish Basis'!$C$5,2)</f>
        <v/>
      </c>
      <c r="R3093" s="11">
        <f>ROUND(SUM(N3093:Q3093),2)</f>
        <v/>
      </c>
      <c r="S3093" s="5" t="inlineStr">
        <is>
          <t>Stated build-up</t>
        </is>
      </c>
      <c r="T3093" s="12" t="inlineStr">
        <is>
          <t>High</t>
        </is>
      </c>
      <c r="U3093" s="8" t="n">
        <v>81.06</v>
      </c>
      <c r="V3093" s="13">
        <f>IF(U3093="","",ROUND(M3093-U3093,2))</f>
        <v/>
      </c>
      <c r="W3093" s="5" t="n"/>
      <c r="X3093" s="5" t="inlineStr">
        <is>
          <t>Labour + plant + material as published; reconciles to the published rate.</t>
        </is>
      </c>
    </row>
    <row r="3094" ht="13" customHeight="1">
      <c r="A3094" s="4" t="n">
        <v>4728</v>
      </c>
      <c r="B3094" s="5" t="inlineStr">
        <is>
          <t>IMG_0129</t>
        </is>
      </c>
      <c r="C3094" s="5" t="inlineStr">
        <is>
          <t>CLASS R: ROADS AND PAVINGS</t>
        </is>
      </c>
      <c r="D3094" s="5" t="inlineStr">
        <is>
          <t>06 JOINTS IN CONCRETE PAVEMENTS</t>
        </is>
      </c>
      <c r="E3094" s="5" t="inlineStr">
        <is>
          <t>Expansion joints</t>
        </is>
      </c>
      <c r="F3094" s="5" t="inlineStr">
        <is>
          <t>300 mm deep</t>
        </is>
      </c>
      <c r="G3094" s="6" t="inlineStr">
        <is>
          <t>m</t>
        </is>
      </c>
      <c r="H3094" s="7" t="n">
        <v>0.01</v>
      </c>
      <c r="I3094" s="8" t="n">
        <v>3.03</v>
      </c>
      <c r="J3094" s="8" t="n">
        <v>8.1</v>
      </c>
      <c r="K3094" s="8" t="n">
        <v>71.66</v>
      </c>
      <c r="L3094" s="8" t="n">
        <v>0</v>
      </c>
      <c r="M3094" s="9">
        <f>ROUND(SUM(I3094:L3094),2)</f>
        <v/>
      </c>
      <c r="N3094" s="10">
        <f>ROUND(I3094*'Irish Basis'!$C$6*'Irish Basis'!$C$5,2)</f>
        <v/>
      </c>
      <c r="O3094" s="10">
        <f>ROUND(J3094*'Irish Basis'!$C$7*'Irish Basis'!$C$5,2)</f>
        <v/>
      </c>
      <c r="P3094" s="10">
        <f>ROUND(K3094*'Irish Basis'!$C$8*'Irish Basis'!$C$5,2)</f>
        <v/>
      </c>
      <c r="Q3094" s="10">
        <f>ROUND(L3094*'Irish Basis'!$C$12*'Irish Basis'!$C$5,2)</f>
        <v/>
      </c>
      <c r="R3094" s="11">
        <f>ROUND(SUM(N3094:Q3094),2)</f>
        <v/>
      </c>
      <c r="S3094" s="5" t="inlineStr">
        <is>
          <t>Stated build-up</t>
        </is>
      </c>
      <c r="T3094" s="12" t="inlineStr">
        <is>
          <t>High</t>
        </is>
      </c>
      <c r="U3094" s="8" t="n">
        <v>82.79000000000001</v>
      </c>
      <c r="V3094" s="13">
        <f>IF(U3094="","",ROUND(M3094-U3094,2))</f>
        <v/>
      </c>
      <c r="W3094" s="5" t="n"/>
      <c r="X3094" s="5" t="inlineStr">
        <is>
          <t>Labour + plant + material as published; reconciles to the published rate.</t>
        </is>
      </c>
    </row>
    <row r="3095" ht="13" customHeight="1">
      <c r="A3095" s="4" t="n">
        <v>4730</v>
      </c>
      <c r="B3095" s="5" t="inlineStr">
        <is>
          <t>IMG_0129</t>
        </is>
      </c>
      <c r="C3095" s="5" t="inlineStr">
        <is>
          <t>CLASS R: ROADS AND PAVINGS</t>
        </is>
      </c>
      <c r="D3095" s="5" t="inlineStr">
        <is>
          <t>06 JOINTS IN CONCRETE PAVEMENTS</t>
        </is>
      </c>
      <c r="E3095" s="5" t="inlineStr">
        <is>
          <t>Contraction joints</t>
        </is>
      </c>
      <c r="F3095" s="5" t="inlineStr">
        <is>
          <t>180 mm deep</t>
        </is>
      </c>
      <c r="G3095" s="6" t="inlineStr">
        <is>
          <t>m</t>
        </is>
      </c>
      <c r="H3095" s="7" t="n">
        <v>0.01</v>
      </c>
      <c r="I3095" s="8" t="n">
        <v>3.03</v>
      </c>
      <c r="J3095" s="8" t="n">
        <v>8.1</v>
      </c>
      <c r="K3095" s="8" t="n">
        <v>30.7</v>
      </c>
      <c r="L3095" s="8" t="n">
        <v>0</v>
      </c>
      <c r="M3095" s="9">
        <f>ROUND(SUM(I3095:L3095),2)</f>
        <v/>
      </c>
      <c r="N3095" s="10">
        <f>ROUND(I3095*'Irish Basis'!$C$6*'Irish Basis'!$C$5,2)</f>
        <v/>
      </c>
      <c r="O3095" s="10">
        <f>ROUND(J3095*'Irish Basis'!$C$7*'Irish Basis'!$C$5,2)</f>
        <v/>
      </c>
      <c r="P3095" s="10">
        <f>ROUND(K3095*'Irish Basis'!$C$8*'Irish Basis'!$C$5,2)</f>
        <v/>
      </c>
      <c r="Q3095" s="10">
        <f>ROUND(L3095*'Irish Basis'!$C$12*'Irish Basis'!$C$5,2)</f>
        <v/>
      </c>
      <c r="R3095" s="11">
        <f>ROUND(SUM(N3095:Q3095),2)</f>
        <v/>
      </c>
      <c r="S3095" s="5" t="inlineStr">
        <is>
          <t>Stated build-up</t>
        </is>
      </c>
      <c r="T3095" s="12" t="inlineStr">
        <is>
          <t>High</t>
        </is>
      </c>
      <c r="U3095" s="8" t="n">
        <v>41.83</v>
      </c>
      <c r="V3095" s="13">
        <f>IF(U3095="","",ROUND(M3095-U3095,2))</f>
        <v/>
      </c>
      <c r="W3095" s="5" t="n"/>
      <c r="X3095" s="5" t="inlineStr">
        <is>
          <t>Labour + plant + material as published; reconciles to the published rate.</t>
        </is>
      </c>
    </row>
    <row r="3096" ht="13" customHeight="1">
      <c r="A3096" s="4" t="n">
        <v>4731</v>
      </c>
      <c r="B3096" s="5" t="inlineStr">
        <is>
          <t>IMG_0129</t>
        </is>
      </c>
      <c r="C3096" s="5" t="inlineStr">
        <is>
          <t>CLASS R: ROADS AND PAVINGS</t>
        </is>
      </c>
      <c r="D3096" s="5" t="inlineStr">
        <is>
          <t>06 JOINTS IN CONCRETE PAVEMENTS</t>
        </is>
      </c>
      <c r="E3096" s="5" t="inlineStr">
        <is>
          <t>Contraction joints</t>
        </is>
      </c>
      <c r="F3096" s="5" t="inlineStr">
        <is>
          <t>220 mm deep</t>
        </is>
      </c>
      <c r="G3096" s="6" t="inlineStr">
        <is>
          <t>m</t>
        </is>
      </c>
      <c r="H3096" s="7" t="n">
        <v>0.01</v>
      </c>
      <c r="I3096" s="8" t="n">
        <v>3.03</v>
      </c>
      <c r="J3096" s="8" t="n">
        <v>8.1</v>
      </c>
      <c r="K3096" s="8" t="n">
        <v>31.77</v>
      </c>
      <c r="L3096" s="8" t="n">
        <v>0</v>
      </c>
      <c r="M3096" s="9">
        <f>ROUND(SUM(I3096:L3096),2)</f>
        <v/>
      </c>
      <c r="N3096" s="10">
        <f>ROUND(I3096*'Irish Basis'!$C$6*'Irish Basis'!$C$5,2)</f>
        <v/>
      </c>
      <c r="O3096" s="10">
        <f>ROUND(J3096*'Irish Basis'!$C$7*'Irish Basis'!$C$5,2)</f>
        <v/>
      </c>
      <c r="P3096" s="10">
        <f>ROUND(K3096*'Irish Basis'!$C$8*'Irish Basis'!$C$5,2)</f>
        <v/>
      </c>
      <c r="Q3096" s="10">
        <f>ROUND(L3096*'Irish Basis'!$C$12*'Irish Basis'!$C$5,2)</f>
        <v/>
      </c>
      <c r="R3096" s="11">
        <f>ROUND(SUM(N3096:Q3096),2)</f>
        <v/>
      </c>
      <c r="S3096" s="5" t="inlineStr">
        <is>
          <t>Stated build-up</t>
        </is>
      </c>
      <c r="T3096" s="12" t="inlineStr">
        <is>
          <t>High</t>
        </is>
      </c>
      <c r="U3096" s="8" t="n">
        <v>42.9</v>
      </c>
      <c r="V3096" s="13">
        <f>IF(U3096="","",ROUND(M3096-U3096,2))</f>
        <v/>
      </c>
      <c r="W3096" s="5" t="n"/>
      <c r="X3096" s="5" t="inlineStr">
        <is>
          <t>Labour + plant + material as published; reconciles to the published rate.</t>
        </is>
      </c>
    </row>
    <row r="3097" ht="13" customHeight="1">
      <c r="A3097" s="4" t="n">
        <v>4732</v>
      </c>
      <c r="B3097" s="5" t="inlineStr">
        <is>
          <t>IMG_0129</t>
        </is>
      </c>
      <c r="C3097" s="5" t="inlineStr">
        <is>
          <t>CLASS R: ROADS AND PAVINGS</t>
        </is>
      </c>
      <c r="D3097" s="5" t="inlineStr">
        <is>
          <t>06 JOINTS IN CONCRETE PAVEMENTS</t>
        </is>
      </c>
      <c r="E3097" s="5" t="inlineStr">
        <is>
          <t>Contraction joints</t>
        </is>
      </c>
      <c r="F3097" s="5" t="inlineStr">
        <is>
          <t>260 mm deep</t>
        </is>
      </c>
      <c r="G3097" s="6" t="inlineStr">
        <is>
          <t>m</t>
        </is>
      </c>
      <c r="H3097" s="7" t="n">
        <v>0.01</v>
      </c>
      <c r="I3097" s="8" t="n">
        <v>3.03</v>
      </c>
      <c r="J3097" s="8" t="n">
        <v>8.1</v>
      </c>
      <c r="K3097" s="8" t="n">
        <v>34.48</v>
      </c>
      <c r="L3097" s="8" t="n">
        <v>0</v>
      </c>
      <c r="M3097" s="9">
        <f>ROUND(SUM(I3097:L3097),2)</f>
        <v/>
      </c>
      <c r="N3097" s="10">
        <f>ROUND(I3097*'Irish Basis'!$C$6*'Irish Basis'!$C$5,2)</f>
        <v/>
      </c>
      <c r="O3097" s="10">
        <f>ROUND(J3097*'Irish Basis'!$C$7*'Irish Basis'!$C$5,2)</f>
        <v/>
      </c>
      <c r="P3097" s="10">
        <f>ROUND(K3097*'Irish Basis'!$C$8*'Irish Basis'!$C$5,2)</f>
        <v/>
      </c>
      <c r="Q3097" s="10">
        <f>ROUND(L3097*'Irish Basis'!$C$12*'Irish Basis'!$C$5,2)</f>
        <v/>
      </c>
      <c r="R3097" s="11">
        <f>ROUND(SUM(N3097:Q3097),2)</f>
        <v/>
      </c>
      <c r="S3097" s="5" t="inlineStr">
        <is>
          <t>Stated build-up</t>
        </is>
      </c>
      <c r="T3097" s="12" t="inlineStr">
        <is>
          <t>High</t>
        </is>
      </c>
      <c r="U3097" s="8" t="n">
        <v>45.61</v>
      </c>
      <c r="V3097" s="13">
        <f>IF(U3097="","",ROUND(M3097-U3097,2))</f>
        <v/>
      </c>
      <c r="W3097" s="5" t="n"/>
      <c r="X3097" s="5" t="inlineStr">
        <is>
          <t>Labour + plant + material as published; reconciles to the published rate.</t>
        </is>
      </c>
    </row>
    <row r="3098" ht="13" customHeight="1">
      <c r="A3098" s="4" t="n">
        <v>4733</v>
      </c>
      <c r="B3098" s="5" t="inlineStr">
        <is>
          <t>IMG_0129</t>
        </is>
      </c>
      <c r="C3098" s="5" t="inlineStr">
        <is>
          <t>CLASS R: ROADS AND PAVINGS</t>
        </is>
      </c>
      <c r="D3098" s="5" t="inlineStr">
        <is>
          <t>06 JOINTS IN CONCRETE PAVEMENTS</t>
        </is>
      </c>
      <c r="E3098" s="5" t="inlineStr">
        <is>
          <t>Contraction joints</t>
        </is>
      </c>
      <c r="F3098" s="5" t="inlineStr">
        <is>
          <t>300 mm deep</t>
        </is>
      </c>
      <c r="G3098" s="6" t="inlineStr">
        <is>
          <t>m</t>
        </is>
      </c>
      <c r="H3098" s="7" t="n">
        <v>0.01</v>
      </c>
      <c r="I3098" s="8" t="n">
        <v>3.03</v>
      </c>
      <c r="J3098" s="8" t="n">
        <v>8.1</v>
      </c>
      <c r="K3098" s="8" t="n">
        <v>41.1</v>
      </c>
      <c r="L3098" s="8" t="n">
        <v>0</v>
      </c>
      <c r="M3098" s="9">
        <f>ROUND(SUM(I3098:L3098),2)</f>
        <v/>
      </c>
      <c r="N3098" s="10">
        <f>ROUND(I3098*'Irish Basis'!$C$6*'Irish Basis'!$C$5,2)</f>
        <v/>
      </c>
      <c r="O3098" s="10">
        <f>ROUND(J3098*'Irish Basis'!$C$7*'Irish Basis'!$C$5,2)</f>
        <v/>
      </c>
      <c r="P3098" s="10">
        <f>ROUND(K3098*'Irish Basis'!$C$8*'Irish Basis'!$C$5,2)</f>
        <v/>
      </c>
      <c r="Q3098" s="10">
        <f>ROUND(L3098*'Irish Basis'!$C$12*'Irish Basis'!$C$5,2)</f>
        <v/>
      </c>
      <c r="R3098" s="11">
        <f>ROUND(SUM(N3098:Q3098),2)</f>
        <v/>
      </c>
      <c r="S3098" s="5" t="inlineStr">
        <is>
          <t>Stated build-up</t>
        </is>
      </c>
      <c r="T3098" s="12" t="inlineStr">
        <is>
          <t>High</t>
        </is>
      </c>
      <c r="U3098" s="8" t="n">
        <v>52.23</v>
      </c>
      <c r="V3098" s="13">
        <f>IF(U3098="","",ROUND(M3098-U3098,2))</f>
        <v/>
      </c>
      <c r="W3098" s="5" t="n"/>
      <c r="X3098" s="5" t="inlineStr">
        <is>
          <t>Labour + plant + material as published; reconciles to the published rate.</t>
        </is>
      </c>
    </row>
    <row r="3099" ht="13" customHeight="1">
      <c r="A3099" s="4" t="n">
        <v>4735</v>
      </c>
      <c r="B3099" s="5" t="inlineStr">
        <is>
          <t>IMG_0129</t>
        </is>
      </c>
      <c r="C3099" s="5" t="inlineStr">
        <is>
          <t>CLASS R: ROADS AND PAVINGS</t>
        </is>
      </c>
      <c r="D3099" s="5" t="inlineStr">
        <is>
          <t>06 JOINTS IN CONCRETE PAVEMENTS</t>
        </is>
      </c>
      <c r="E3099" s="5" t="inlineStr">
        <is>
          <t>Construction joints</t>
        </is>
      </c>
      <c r="F3099" s="5" t="inlineStr">
        <is>
          <t>180 mm deep</t>
        </is>
      </c>
      <c r="G3099" s="6" t="inlineStr">
        <is>
          <t>m</t>
        </is>
      </c>
      <c r="H3099" s="7" t="n">
        <v>0.01</v>
      </c>
      <c r="I3099" s="8" t="n">
        <v>3.03</v>
      </c>
      <c r="J3099" s="8" t="n">
        <v>8.1</v>
      </c>
      <c r="K3099" s="8" t="n">
        <v>20.28</v>
      </c>
      <c r="L3099" s="8" t="n">
        <v>0</v>
      </c>
      <c r="M3099" s="9">
        <f>ROUND(SUM(I3099:L3099),2)</f>
        <v/>
      </c>
      <c r="N3099" s="10">
        <f>ROUND(I3099*'Irish Basis'!$C$6*'Irish Basis'!$C$5,2)</f>
        <v/>
      </c>
      <c r="O3099" s="10">
        <f>ROUND(J3099*'Irish Basis'!$C$7*'Irish Basis'!$C$5,2)</f>
        <v/>
      </c>
      <c r="P3099" s="10">
        <f>ROUND(K3099*'Irish Basis'!$C$8*'Irish Basis'!$C$5,2)</f>
        <v/>
      </c>
      <c r="Q3099" s="10">
        <f>ROUND(L3099*'Irish Basis'!$C$12*'Irish Basis'!$C$5,2)</f>
        <v/>
      </c>
      <c r="R3099" s="11">
        <f>ROUND(SUM(N3099:Q3099),2)</f>
        <v/>
      </c>
      <c r="S3099" s="5" t="inlineStr">
        <is>
          <t>Stated build-up</t>
        </is>
      </c>
      <c r="T3099" s="12" t="inlineStr">
        <is>
          <t>High</t>
        </is>
      </c>
      <c r="U3099" s="8" t="n">
        <v>31.41</v>
      </c>
      <c r="V3099" s="13">
        <f>IF(U3099="","",ROUND(M3099-U3099,2))</f>
        <v/>
      </c>
      <c r="W3099" s="5" t="n"/>
      <c r="X3099" s="5" t="inlineStr">
        <is>
          <t>Labour + plant + material as published; reconciles to the published rate.</t>
        </is>
      </c>
    </row>
    <row r="3100" ht="13" customHeight="1">
      <c r="A3100" s="4" t="n">
        <v>4736</v>
      </c>
      <c r="B3100" s="5" t="inlineStr">
        <is>
          <t>IMG_0129</t>
        </is>
      </c>
      <c r="C3100" s="5" t="inlineStr">
        <is>
          <t>CLASS R: ROADS AND PAVINGS</t>
        </is>
      </c>
      <c r="D3100" s="5" t="inlineStr">
        <is>
          <t>06 JOINTS IN CONCRETE PAVEMENTS</t>
        </is>
      </c>
      <c r="E3100" s="5" t="inlineStr">
        <is>
          <t>Construction joints</t>
        </is>
      </c>
      <c r="F3100" s="5" t="inlineStr">
        <is>
          <t>220 mm deep</t>
        </is>
      </c>
      <c r="G3100" s="6" t="inlineStr">
        <is>
          <t>m</t>
        </is>
      </c>
      <c r="H3100" s="7" t="n">
        <v>0.01</v>
      </c>
      <c r="I3100" s="8" t="n">
        <v>3.03</v>
      </c>
      <c r="J3100" s="8" t="n">
        <v>8.1</v>
      </c>
      <c r="K3100" s="8" t="n">
        <v>24.39</v>
      </c>
      <c r="L3100" s="8" t="n">
        <v>0</v>
      </c>
      <c r="M3100" s="9">
        <f>ROUND(SUM(I3100:L3100),2)</f>
        <v/>
      </c>
      <c r="N3100" s="10">
        <f>ROUND(I3100*'Irish Basis'!$C$6*'Irish Basis'!$C$5,2)</f>
        <v/>
      </c>
      <c r="O3100" s="10">
        <f>ROUND(J3100*'Irish Basis'!$C$7*'Irish Basis'!$C$5,2)</f>
        <v/>
      </c>
      <c r="P3100" s="10">
        <f>ROUND(K3100*'Irish Basis'!$C$8*'Irish Basis'!$C$5,2)</f>
        <v/>
      </c>
      <c r="Q3100" s="10">
        <f>ROUND(L3100*'Irish Basis'!$C$12*'Irish Basis'!$C$5,2)</f>
        <v/>
      </c>
      <c r="R3100" s="11">
        <f>ROUND(SUM(N3100:Q3100),2)</f>
        <v/>
      </c>
      <c r="S3100" s="5" t="inlineStr">
        <is>
          <t>Stated build-up</t>
        </is>
      </c>
      <c r="T3100" s="12" t="inlineStr">
        <is>
          <t>High</t>
        </is>
      </c>
      <c r="U3100" s="8" t="n">
        <v>35.52</v>
      </c>
      <c r="V3100" s="13">
        <f>IF(U3100="","",ROUND(M3100-U3100,2))</f>
        <v/>
      </c>
      <c r="W3100" s="5" t="n"/>
      <c r="X3100" s="5" t="inlineStr">
        <is>
          <t>Labour + plant + material as published; reconciles to the published rate.</t>
        </is>
      </c>
    </row>
    <row r="3101" ht="13" customHeight="1">
      <c r="A3101" s="4" t="n">
        <v>4737</v>
      </c>
      <c r="B3101" s="5" t="inlineStr">
        <is>
          <t>IMG_0129</t>
        </is>
      </c>
      <c r="C3101" s="5" t="inlineStr">
        <is>
          <t>CLASS R: ROADS AND PAVINGS</t>
        </is>
      </c>
      <c r="D3101" s="5" t="inlineStr">
        <is>
          <t>06 JOINTS IN CONCRETE PAVEMENTS</t>
        </is>
      </c>
      <c r="E3101" s="5" t="inlineStr">
        <is>
          <t>Construction joints</t>
        </is>
      </c>
      <c r="F3101" s="5" t="inlineStr">
        <is>
          <t>260 mm deep</t>
        </is>
      </c>
      <c r="G3101" s="6" t="inlineStr">
        <is>
          <t>m</t>
        </is>
      </c>
      <c r="H3101" s="7" t="n">
        <v>0.01</v>
      </c>
      <c r="I3101" s="8" t="n">
        <v>3.03</v>
      </c>
      <c r="J3101" s="8" t="n">
        <v>8.1</v>
      </c>
      <c r="K3101" s="8" t="n">
        <v>23.7</v>
      </c>
      <c r="L3101" s="8" t="n">
        <v>0</v>
      </c>
      <c r="M3101" s="9">
        <f>ROUND(SUM(I3101:L3101),2)</f>
        <v/>
      </c>
      <c r="N3101" s="10">
        <f>ROUND(I3101*'Irish Basis'!$C$6*'Irish Basis'!$C$5,2)</f>
        <v/>
      </c>
      <c r="O3101" s="10">
        <f>ROUND(J3101*'Irish Basis'!$C$7*'Irish Basis'!$C$5,2)</f>
        <v/>
      </c>
      <c r="P3101" s="10">
        <f>ROUND(K3101*'Irish Basis'!$C$8*'Irish Basis'!$C$5,2)</f>
        <v/>
      </c>
      <c r="Q3101" s="10">
        <f>ROUND(L3101*'Irish Basis'!$C$12*'Irish Basis'!$C$5,2)</f>
        <v/>
      </c>
      <c r="R3101" s="11">
        <f>ROUND(SUM(N3101:Q3101),2)</f>
        <v/>
      </c>
      <c r="S3101" s="5" t="inlineStr">
        <is>
          <t>Stated build-up</t>
        </is>
      </c>
      <c r="T3101" s="12" t="inlineStr">
        <is>
          <t>High</t>
        </is>
      </c>
      <c r="U3101" s="8" t="n">
        <v>34.83</v>
      </c>
      <c r="V3101" s="13">
        <f>IF(U3101="","",ROUND(M3101-U3101,2))</f>
        <v/>
      </c>
      <c r="W3101" s="5" t="n"/>
      <c r="X3101" s="5" t="inlineStr">
        <is>
          <t>Labour + plant + material as published; reconciles to the published rate.</t>
        </is>
      </c>
    </row>
    <row r="3102" ht="13" customHeight="1">
      <c r="A3102" s="4" t="n">
        <v>4738</v>
      </c>
      <c r="B3102" s="5" t="inlineStr">
        <is>
          <t>IMG_0129</t>
        </is>
      </c>
      <c r="C3102" s="5" t="inlineStr">
        <is>
          <t>CLASS R: ROADS AND PAVINGS</t>
        </is>
      </c>
      <c r="D3102" s="5" t="inlineStr">
        <is>
          <t>06 JOINTS IN CONCRETE PAVEMENTS</t>
        </is>
      </c>
      <c r="E3102" s="5" t="inlineStr">
        <is>
          <t>Construction joints</t>
        </is>
      </c>
      <c r="F3102" s="5" t="inlineStr">
        <is>
          <t>300 mm deep</t>
        </is>
      </c>
      <c r="G3102" s="6" t="inlineStr">
        <is>
          <t>m</t>
        </is>
      </c>
      <c r="H3102" s="7" t="n">
        <v>0.01</v>
      </c>
      <c r="I3102" s="8" t="n">
        <v>3.03</v>
      </c>
      <c r="J3102" s="8" t="n">
        <v>8.1</v>
      </c>
      <c r="K3102" s="8" t="n">
        <v>25.52</v>
      </c>
      <c r="L3102" s="8" t="n">
        <v>0</v>
      </c>
      <c r="M3102" s="9">
        <f>ROUND(SUM(I3102:L3102),2)</f>
        <v/>
      </c>
      <c r="N3102" s="10">
        <f>ROUND(I3102*'Irish Basis'!$C$6*'Irish Basis'!$C$5,2)</f>
        <v/>
      </c>
      <c r="O3102" s="10">
        <f>ROUND(J3102*'Irish Basis'!$C$7*'Irish Basis'!$C$5,2)</f>
        <v/>
      </c>
      <c r="P3102" s="10">
        <f>ROUND(K3102*'Irish Basis'!$C$8*'Irish Basis'!$C$5,2)</f>
        <v/>
      </c>
      <c r="Q3102" s="10">
        <f>ROUND(L3102*'Irish Basis'!$C$12*'Irish Basis'!$C$5,2)</f>
        <v/>
      </c>
      <c r="R3102" s="11">
        <f>ROUND(SUM(N3102:Q3102),2)</f>
        <v/>
      </c>
      <c r="S3102" s="5" t="inlineStr">
        <is>
          <t>Stated build-up</t>
        </is>
      </c>
      <c r="T3102" s="12" t="inlineStr">
        <is>
          <t>High</t>
        </is>
      </c>
      <c r="U3102" s="8" t="n">
        <v>36.64</v>
      </c>
      <c r="V3102" s="13">
        <f>IF(U3102="","",ROUND(M3102-U3102,2))</f>
        <v/>
      </c>
      <c r="W3102" s="5" t="n"/>
      <c r="X3102" s="5" t="inlineStr">
        <is>
          <t>Labour + plant + material as published; reconciles to the published rate.</t>
        </is>
      </c>
    </row>
    <row r="3103" ht="13" customHeight="1">
      <c r="A3103" s="4" t="n">
        <v>4740</v>
      </c>
      <c r="B3103" s="5" t="inlineStr">
        <is>
          <t>IMG_0129</t>
        </is>
      </c>
      <c r="C3103" s="5" t="inlineStr">
        <is>
          <t>CLASS R: ROADS AND PAVINGS</t>
        </is>
      </c>
      <c r="D3103" s="5" t="inlineStr">
        <is>
          <t>06 JOINTS IN CONCRETE PAVEMENTS</t>
        </is>
      </c>
      <c r="E3103" s="5" t="inlineStr">
        <is>
          <t>Open joints with filler</t>
        </is>
      </c>
      <c r="F3103" s="5" t="inlineStr">
        <is>
          <t>ne 0.5 m; 10 mm flexcell joint filler</t>
        </is>
      </c>
      <c r="G3103" s="6" t="inlineStr">
        <is>
          <t>m</t>
        </is>
      </c>
      <c r="H3103" s="7" t="n">
        <v>0.11</v>
      </c>
      <c r="I3103" s="8" t="n">
        <v>9.49</v>
      </c>
      <c r="J3103" s="8" t="n">
        <v>0</v>
      </c>
      <c r="K3103" s="8" t="n">
        <v>5.26</v>
      </c>
      <c r="L3103" s="8" t="n">
        <v>0</v>
      </c>
      <c r="M3103" s="9">
        <f>ROUND(SUM(I3103:L3103),2)</f>
        <v/>
      </c>
      <c r="N3103" s="10">
        <f>ROUND(I3103*'Irish Basis'!$C$6*'Irish Basis'!$C$5,2)</f>
        <v/>
      </c>
      <c r="O3103" s="10">
        <f>ROUND(J3103*'Irish Basis'!$C$7*'Irish Basis'!$C$5,2)</f>
        <v/>
      </c>
      <c r="P3103" s="10">
        <f>ROUND(K3103*'Irish Basis'!$C$8*'Irish Basis'!$C$5,2)</f>
        <v/>
      </c>
      <c r="Q3103" s="10">
        <f>ROUND(L3103*'Irish Basis'!$C$12*'Irish Basis'!$C$5,2)</f>
        <v/>
      </c>
      <c r="R3103" s="11">
        <f>ROUND(SUM(N3103:Q3103),2)</f>
        <v/>
      </c>
      <c r="S3103" s="5" t="inlineStr">
        <is>
          <t>Stated build-up</t>
        </is>
      </c>
      <c r="T3103" s="12" t="inlineStr">
        <is>
          <t>High</t>
        </is>
      </c>
      <c r="U3103" s="8" t="n">
        <v>14.76</v>
      </c>
      <c r="V3103" s="13">
        <f>IF(U3103="","",ROUND(M3103-U3103,2))</f>
        <v/>
      </c>
      <c r="W3103" s="5" t="n"/>
      <c r="X3103" s="5" t="inlineStr">
        <is>
          <t>Labour + plant + material as published; reconciles to the published rate.</t>
        </is>
      </c>
    </row>
    <row r="3104" ht="13" customHeight="1">
      <c r="A3104" s="4" t="n">
        <v>4741</v>
      </c>
      <c r="B3104" s="5" t="inlineStr">
        <is>
          <t>IMG_0129</t>
        </is>
      </c>
      <c r="C3104" s="5" t="inlineStr">
        <is>
          <t>CLASS R: ROADS AND PAVINGS</t>
        </is>
      </c>
      <c r="D3104" s="5" t="inlineStr">
        <is>
          <t>06 JOINTS IN CONCRETE PAVEMENTS</t>
        </is>
      </c>
      <c r="E3104" s="5" t="inlineStr">
        <is>
          <t>Open joints with filler</t>
        </is>
      </c>
      <c r="F3104" s="5" t="inlineStr">
        <is>
          <t>0.5-1.00 m; 10 mm flexcell joint filler</t>
        </is>
      </c>
      <c r="G3104" s="6" t="inlineStr">
        <is>
          <t>m</t>
        </is>
      </c>
      <c r="H3104" s="7" t="n">
        <v>0.11</v>
      </c>
      <c r="I3104" s="8" t="n">
        <v>9.49</v>
      </c>
      <c r="J3104" s="8" t="n">
        <v>0</v>
      </c>
      <c r="K3104" s="8" t="n">
        <v>7.39</v>
      </c>
      <c r="L3104" s="8" t="n">
        <v>0</v>
      </c>
      <c r="M3104" s="9">
        <f>ROUND(SUM(I3104:L3104),2)</f>
        <v/>
      </c>
      <c r="N3104" s="10">
        <f>ROUND(I3104*'Irish Basis'!$C$6*'Irish Basis'!$C$5,2)</f>
        <v/>
      </c>
      <c r="O3104" s="10">
        <f>ROUND(J3104*'Irish Basis'!$C$7*'Irish Basis'!$C$5,2)</f>
        <v/>
      </c>
      <c r="P3104" s="10">
        <f>ROUND(K3104*'Irish Basis'!$C$8*'Irish Basis'!$C$5,2)</f>
        <v/>
      </c>
      <c r="Q3104" s="10">
        <f>ROUND(L3104*'Irish Basis'!$C$12*'Irish Basis'!$C$5,2)</f>
        <v/>
      </c>
      <c r="R3104" s="11">
        <f>ROUND(SUM(N3104:Q3104),2)</f>
        <v/>
      </c>
      <c r="S3104" s="5" t="inlineStr">
        <is>
          <t>Stated build-up</t>
        </is>
      </c>
      <c r="T3104" s="12" t="inlineStr">
        <is>
          <t>High</t>
        </is>
      </c>
      <c r="U3104" s="8" t="n">
        <v>16.89</v>
      </c>
      <c r="V3104" s="13">
        <f>IF(U3104="","",ROUND(M3104-U3104,2))</f>
        <v/>
      </c>
      <c r="W3104" s="5" t="n"/>
      <c r="X3104" s="5" t="inlineStr">
        <is>
          <t>Labour + plant + material as published; reconciles to the published rate.</t>
        </is>
      </c>
    </row>
    <row r="3105" ht="13" customHeight="1">
      <c r="A3105" s="4" t="n">
        <v>4743</v>
      </c>
      <c r="B3105" s="5" t="inlineStr">
        <is>
          <t>IMG_0129</t>
        </is>
      </c>
      <c r="C3105" s="5" t="inlineStr">
        <is>
          <t>CLASS R: ROADS AND PAVINGS</t>
        </is>
      </c>
      <c r="D3105" s="5" t="inlineStr">
        <is>
          <t>06 JOINTS IN CONCRETE PAVEMENTS</t>
        </is>
      </c>
      <c r="E3105" s="5" t="inlineStr">
        <is>
          <t>Joint sealants</t>
        </is>
      </c>
      <c r="F3105" s="5" t="inlineStr">
        <is>
          <t>10 x 20 mm cold polysulphide sealant</t>
        </is>
      </c>
      <c r="G3105" s="6" t="inlineStr">
        <is>
          <t>m</t>
        </is>
      </c>
      <c r="H3105" s="7" t="n">
        <v>0.14</v>
      </c>
      <c r="I3105" s="8" t="n">
        <v>12.08</v>
      </c>
      <c r="J3105" s="8" t="n">
        <v>0</v>
      </c>
      <c r="K3105" s="8" t="n">
        <v>5.83</v>
      </c>
      <c r="L3105" s="8" t="n">
        <v>0</v>
      </c>
      <c r="M3105" s="9">
        <f>ROUND(SUM(I3105:L3105),2)</f>
        <v/>
      </c>
      <c r="N3105" s="10">
        <f>ROUND(I3105*'Irish Basis'!$C$6*'Irish Basis'!$C$5,2)</f>
        <v/>
      </c>
      <c r="O3105" s="10">
        <f>ROUND(J3105*'Irish Basis'!$C$7*'Irish Basis'!$C$5,2)</f>
        <v/>
      </c>
      <c r="P3105" s="10">
        <f>ROUND(K3105*'Irish Basis'!$C$8*'Irish Basis'!$C$5,2)</f>
        <v/>
      </c>
      <c r="Q3105" s="10">
        <f>ROUND(L3105*'Irish Basis'!$C$12*'Irish Basis'!$C$5,2)</f>
        <v/>
      </c>
      <c r="R3105" s="11">
        <f>ROUND(SUM(N3105:Q3105),2)</f>
        <v/>
      </c>
      <c r="S3105" s="5" t="inlineStr">
        <is>
          <t>Stated build-up</t>
        </is>
      </c>
      <c r="T3105" s="12" t="inlineStr">
        <is>
          <t>High</t>
        </is>
      </c>
      <c r="U3105" s="8" t="n">
        <v>17.92</v>
      </c>
      <c r="V3105" s="13">
        <f>IF(U3105="","",ROUND(M3105-U3105,2))</f>
        <v/>
      </c>
      <c r="W3105" s="5" t="n"/>
      <c r="X3105" s="5" t="inlineStr">
        <is>
          <t>Labour + plant + material as published; reconciles to the published rate.</t>
        </is>
      </c>
    </row>
    <row r="3106" ht="13" customHeight="1">
      <c r="A3106" s="4" t="n">
        <v>4744</v>
      </c>
      <c r="B3106" s="5" t="inlineStr">
        <is>
          <t>IMG_0129</t>
        </is>
      </c>
      <c r="C3106" s="5" t="inlineStr">
        <is>
          <t>CLASS R: ROADS AND PAVINGS</t>
        </is>
      </c>
      <c r="D3106" s="5" t="inlineStr">
        <is>
          <t>06 JOINTS IN CONCRETE PAVEMENTS</t>
        </is>
      </c>
      <c r="E3106" s="5" t="inlineStr">
        <is>
          <t>Joint sealants</t>
        </is>
      </c>
      <c r="F3106" s="5" t="inlineStr">
        <is>
          <t>20 x 20 mm cold polysulphide sealant</t>
        </is>
      </c>
      <c r="G3106" s="6" t="inlineStr">
        <is>
          <t>m</t>
        </is>
      </c>
      <c r="H3106" s="7" t="n">
        <v>0.18</v>
      </c>
      <c r="I3106" s="8" t="n">
        <v>15.54</v>
      </c>
      <c r="J3106" s="8" t="n">
        <v>0</v>
      </c>
      <c r="K3106" s="8" t="n">
        <v>10</v>
      </c>
      <c r="L3106" s="8" t="n">
        <v>0</v>
      </c>
      <c r="M3106" s="9">
        <f>ROUND(SUM(I3106:L3106),2)</f>
        <v/>
      </c>
      <c r="N3106" s="10">
        <f>ROUND(I3106*'Irish Basis'!$C$6*'Irish Basis'!$C$5,2)</f>
        <v/>
      </c>
      <c r="O3106" s="10">
        <f>ROUND(J3106*'Irish Basis'!$C$7*'Irish Basis'!$C$5,2)</f>
        <v/>
      </c>
      <c r="P3106" s="10">
        <f>ROUND(K3106*'Irish Basis'!$C$8*'Irish Basis'!$C$5,2)</f>
        <v/>
      </c>
      <c r="Q3106" s="10">
        <f>ROUND(L3106*'Irish Basis'!$C$12*'Irish Basis'!$C$5,2)</f>
        <v/>
      </c>
      <c r="R3106" s="11">
        <f>ROUND(SUM(N3106:Q3106),2)</f>
        <v/>
      </c>
      <c r="S3106" s="5" t="inlineStr">
        <is>
          <t>Stated build-up</t>
        </is>
      </c>
      <c r="T3106" s="12" t="inlineStr">
        <is>
          <t>High</t>
        </is>
      </c>
      <c r="U3106" s="8" t="n">
        <v>25.53</v>
      </c>
      <c r="V3106" s="13">
        <f>IF(U3106="","",ROUND(M3106-U3106,2))</f>
        <v/>
      </c>
      <c r="W3106" s="5" t="n"/>
      <c r="X3106" s="5" t="inlineStr">
        <is>
          <t>Labour + plant + material as published; reconciles to the published rate.</t>
        </is>
      </c>
    </row>
    <row r="3107" ht="13" customHeight="1">
      <c r="A3107" s="4" t="n">
        <v>4749</v>
      </c>
      <c r="B3107" s="5" t="inlineStr">
        <is>
          <t>IMG_0129</t>
        </is>
      </c>
      <c r="C3107" s="5" t="inlineStr">
        <is>
          <t>CLASS R: ROADS AND PAVINGS</t>
        </is>
      </c>
      <c r="D3107" s="5" t="inlineStr">
        <is>
          <t>07 KERBS, CHANNELS AND EDGINGS</t>
        </is>
      </c>
      <c r="E3107" s="5" t="inlineStr">
        <is>
          <t>Mass concrete</t>
        </is>
      </c>
      <c r="F3107" s="5" t="inlineStr">
        <is>
          <t>200 x 100 mm</t>
        </is>
      </c>
      <c r="G3107" s="6" t="inlineStr">
        <is>
          <t>m</t>
        </is>
      </c>
      <c r="H3107" s="7" t="n">
        <v>0.01</v>
      </c>
      <c r="I3107" s="8" t="n">
        <v>1.08</v>
      </c>
      <c r="J3107" s="8" t="n">
        <v>0.2</v>
      </c>
      <c r="K3107" s="8" t="n">
        <v>2.95</v>
      </c>
      <c r="L3107" s="8" t="n">
        <v>0</v>
      </c>
      <c r="M3107" s="9">
        <f>ROUND(SUM(I3107:L3107),2)</f>
        <v/>
      </c>
      <c r="N3107" s="10">
        <f>ROUND(I3107*'Irish Basis'!$C$6*'Irish Basis'!$C$5,2)</f>
        <v/>
      </c>
      <c r="O3107" s="10">
        <f>ROUND(J3107*'Irish Basis'!$C$7*'Irish Basis'!$C$5,2)</f>
        <v/>
      </c>
      <c r="P3107" s="10">
        <f>ROUND(K3107*'Irish Basis'!$C$8*'Irish Basis'!$C$5,2)</f>
        <v/>
      </c>
      <c r="Q3107" s="10">
        <f>ROUND(L3107*'Irish Basis'!$C$12*'Irish Basis'!$C$5,2)</f>
        <v/>
      </c>
      <c r="R3107" s="11">
        <f>ROUND(SUM(N3107:Q3107),2)</f>
        <v/>
      </c>
      <c r="S3107" s="5" t="inlineStr">
        <is>
          <t>Stated build-up</t>
        </is>
      </c>
      <c r="T3107" s="12" t="inlineStr">
        <is>
          <t>High</t>
        </is>
      </c>
      <c r="U3107" s="8" t="n">
        <v>4.22</v>
      </c>
      <c r="V3107" s="13">
        <f>IF(U3107="","",ROUND(M3107-U3107,2))</f>
        <v/>
      </c>
      <c r="W3107" s="5" t="n"/>
      <c r="X3107" s="5" t="inlineStr">
        <is>
          <t>Labour + plant + material as published; reconciles to the published rate.</t>
        </is>
      </c>
    </row>
    <row r="3108" ht="13" customHeight="1">
      <c r="A3108" s="4" t="n">
        <v>4750</v>
      </c>
      <c r="B3108" s="5" t="inlineStr">
        <is>
          <t>IMG_0129</t>
        </is>
      </c>
      <c r="C3108" s="5" t="inlineStr">
        <is>
          <t>CLASS R: ROADS AND PAVINGS</t>
        </is>
      </c>
      <c r="D3108" s="5" t="inlineStr">
        <is>
          <t>07 KERBS, CHANNELS AND EDGINGS</t>
        </is>
      </c>
      <c r="E3108" s="5" t="inlineStr">
        <is>
          <t>Mass concrete</t>
        </is>
      </c>
      <c r="F3108" s="5" t="inlineStr">
        <is>
          <t>300 x 150 mm</t>
        </is>
      </c>
      <c r="G3108" s="6" t="inlineStr">
        <is>
          <t>m</t>
        </is>
      </c>
      <c r="H3108" s="7" t="n">
        <v>0.02</v>
      </c>
      <c r="I3108" s="8" t="n">
        <v>1.62</v>
      </c>
      <c r="J3108" s="8" t="n">
        <v>0.28</v>
      </c>
      <c r="K3108" s="8" t="n">
        <v>6.74</v>
      </c>
      <c r="L3108" s="8" t="n">
        <v>0</v>
      </c>
      <c r="M3108" s="9">
        <f>ROUND(SUM(I3108:L3108),2)</f>
        <v/>
      </c>
      <c r="N3108" s="10">
        <f>ROUND(I3108*'Irish Basis'!$C$6*'Irish Basis'!$C$5,2)</f>
        <v/>
      </c>
      <c r="O3108" s="10">
        <f>ROUND(J3108*'Irish Basis'!$C$7*'Irish Basis'!$C$5,2)</f>
        <v/>
      </c>
      <c r="P3108" s="10">
        <f>ROUND(K3108*'Irish Basis'!$C$8*'Irish Basis'!$C$5,2)</f>
        <v/>
      </c>
      <c r="Q3108" s="10">
        <f>ROUND(L3108*'Irish Basis'!$C$12*'Irish Basis'!$C$5,2)</f>
        <v/>
      </c>
      <c r="R3108" s="11">
        <f>ROUND(SUM(N3108:Q3108),2)</f>
        <v/>
      </c>
      <c r="S3108" s="5" t="inlineStr">
        <is>
          <t>Stated build-up</t>
        </is>
      </c>
      <c r="T3108" s="12" t="inlineStr">
        <is>
          <t>High</t>
        </is>
      </c>
      <c r="U3108" s="8" t="n">
        <v>8.640000000000001</v>
      </c>
      <c r="V3108" s="13">
        <f>IF(U3108="","",ROUND(M3108-U3108,2))</f>
        <v/>
      </c>
      <c r="W3108" s="5" t="n"/>
      <c r="X3108" s="5" t="inlineStr">
        <is>
          <t>Labour + plant + material as published; reconciles to the published rate.</t>
        </is>
      </c>
    </row>
    <row r="3109" ht="13" customHeight="1">
      <c r="A3109" s="4" t="n">
        <v>4751</v>
      </c>
      <c r="B3109" s="5" t="inlineStr">
        <is>
          <t>IMG_0129</t>
        </is>
      </c>
      <c r="C3109" s="5" t="inlineStr">
        <is>
          <t>CLASS R: ROADS AND PAVINGS</t>
        </is>
      </c>
      <c r="D3109" s="5" t="inlineStr">
        <is>
          <t>07 KERBS, CHANNELS AND EDGINGS</t>
        </is>
      </c>
      <c r="E3109" s="5" t="inlineStr">
        <is>
          <t>Mass concrete</t>
        </is>
      </c>
      <c r="F3109" s="5" t="inlineStr">
        <is>
          <t>450 x 150 mm</t>
        </is>
      </c>
      <c r="G3109" s="6" t="inlineStr">
        <is>
          <t>m</t>
        </is>
      </c>
      <c r="H3109" s="7" t="n">
        <v>0.02</v>
      </c>
      <c r="I3109" s="8" t="n">
        <v>2.15</v>
      </c>
      <c r="J3109" s="8" t="n">
        <v>0.43</v>
      </c>
      <c r="K3109" s="8" t="n">
        <v>9.970000000000001</v>
      </c>
      <c r="L3109" s="8" t="n">
        <v>0</v>
      </c>
      <c r="M3109" s="9">
        <f>ROUND(SUM(I3109:L3109),2)</f>
        <v/>
      </c>
      <c r="N3109" s="10">
        <f>ROUND(I3109*'Irish Basis'!$C$6*'Irish Basis'!$C$5,2)</f>
        <v/>
      </c>
      <c r="O3109" s="10">
        <f>ROUND(J3109*'Irish Basis'!$C$7*'Irish Basis'!$C$5,2)</f>
        <v/>
      </c>
      <c r="P3109" s="10">
        <f>ROUND(K3109*'Irish Basis'!$C$8*'Irish Basis'!$C$5,2)</f>
        <v/>
      </c>
      <c r="Q3109" s="10">
        <f>ROUND(L3109*'Irish Basis'!$C$12*'Irish Basis'!$C$5,2)</f>
        <v/>
      </c>
      <c r="R3109" s="11">
        <f>ROUND(SUM(N3109:Q3109),2)</f>
        <v/>
      </c>
      <c r="S3109" s="5" t="inlineStr">
        <is>
          <t>Stated build-up</t>
        </is>
      </c>
      <c r="T3109" s="12" t="inlineStr">
        <is>
          <t>High</t>
        </is>
      </c>
      <c r="U3109" s="8" t="n">
        <v>12.55</v>
      </c>
      <c r="V3109" s="13">
        <f>IF(U3109="","",ROUND(M3109-U3109,2))</f>
        <v/>
      </c>
      <c r="W3109" s="5" t="n"/>
      <c r="X3109" s="5" t="inlineStr">
        <is>
          <t>Labour + plant + material as published; reconciles to the published rate.</t>
        </is>
      </c>
    </row>
    <row r="3110" ht="13" customHeight="1">
      <c r="A3110" s="4" t="n">
        <v>4752</v>
      </c>
      <c r="B3110" s="5" t="inlineStr">
        <is>
          <t>IMG_0129</t>
        </is>
      </c>
      <c r="C3110" s="5" t="inlineStr">
        <is>
          <t>CLASS R: ROADS AND PAVINGS</t>
        </is>
      </c>
      <c r="D3110" s="5" t="inlineStr">
        <is>
          <t>07 KERBS, CHANNELS AND EDGINGS</t>
        </is>
      </c>
      <c r="E3110" s="5" t="inlineStr">
        <is>
          <t>Mass concrete</t>
        </is>
      </c>
      <c r="F3110" s="5" t="inlineStr">
        <is>
          <t>100 x 100 mm haunching, one side</t>
        </is>
      </c>
      <c r="G3110" s="6" t="inlineStr">
        <is>
          <t>m</t>
        </is>
      </c>
      <c r="H3110" s="7" t="n">
        <v>0.01</v>
      </c>
      <c r="I3110" s="8" t="n">
        <v>0.54</v>
      </c>
      <c r="J3110" s="8" t="n">
        <v>0.11</v>
      </c>
      <c r="K3110" s="8" t="n">
        <v>0.72</v>
      </c>
      <c r="L3110" s="8" t="n">
        <v>0</v>
      </c>
      <c r="M3110" s="9">
        <f>ROUND(SUM(I3110:L3110),2)</f>
        <v/>
      </c>
      <c r="N3110" s="10">
        <f>ROUND(I3110*'Irish Basis'!$C$6*'Irish Basis'!$C$5,2)</f>
        <v/>
      </c>
      <c r="O3110" s="10">
        <f>ROUND(J3110*'Irish Basis'!$C$7*'Irish Basis'!$C$5,2)</f>
        <v/>
      </c>
      <c r="P3110" s="10">
        <f>ROUND(K3110*'Irish Basis'!$C$8*'Irish Basis'!$C$5,2)</f>
        <v/>
      </c>
      <c r="Q3110" s="10">
        <f>ROUND(L3110*'Irish Basis'!$C$12*'Irish Basis'!$C$5,2)</f>
        <v/>
      </c>
      <c r="R3110" s="11">
        <f>ROUND(SUM(N3110:Q3110),2)</f>
        <v/>
      </c>
      <c r="S3110" s="5" t="inlineStr">
        <is>
          <t>Stated build-up</t>
        </is>
      </c>
      <c r="T3110" s="12" t="inlineStr">
        <is>
          <t>High</t>
        </is>
      </c>
      <c r="U3110" s="8" t="n">
        <v>1.37</v>
      </c>
      <c r="V3110" s="13">
        <f>IF(U3110="","",ROUND(M3110-U3110,2))</f>
        <v/>
      </c>
      <c r="W3110" s="5" t="n"/>
      <c r="X3110" s="5" t="inlineStr">
        <is>
          <t>Labour + plant + material as published; reconciles to the published rate.</t>
        </is>
      </c>
    </row>
    <row r="3111" ht="13" customHeight="1">
      <c r="A3111" s="4" t="n">
        <v>4754</v>
      </c>
      <c r="B3111" s="5" t="inlineStr">
        <is>
          <t>IMG_0129</t>
        </is>
      </c>
      <c r="C3111" s="5" t="inlineStr">
        <is>
          <t>CLASS R: ROADS AND PAVINGS</t>
        </is>
      </c>
      <c r="D3111" s="5" t="inlineStr">
        <is>
          <t>07 KERBS, CHANNELS AND EDGINGS</t>
        </is>
      </c>
      <c r="E3111" s="5" t="inlineStr">
        <is>
          <t>Precast concrete kerbs to BS 7263; Kerbs; bullnosed; splayed or half battered; straight or curved over 12 m radius</t>
        </is>
      </c>
      <c r="F3111" s="5" t="inlineStr">
        <is>
          <t>125 x 150 mm</t>
        </is>
      </c>
      <c r="G3111" s="6" t="inlineStr">
        <is>
          <t>m</t>
        </is>
      </c>
      <c r="H3111" s="7" t="n">
        <v>0.06</v>
      </c>
      <c r="I3111" s="8" t="n">
        <v>6.46</v>
      </c>
      <c r="J3111" s="8" t="n">
        <v>1.29</v>
      </c>
      <c r="K3111" s="8" t="n">
        <v>15.88</v>
      </c>
      <c r="L3111" s="8" t="n">
        <v>0</v>
      </c>
      <c r="M3111" s="9">
        <f>ROUND(SUM(I3111:L3111),2)</f>
        <v/>
      </c>
      <c r="N3111" s="10">
        <f>ROUND(I3111*'Irish Basis'!$C$6*'Irish Basis'!$C$5,2)</f>
        <v/>
      </c>
      <c r="O3111" s="10">
        <f>ROUND(J3111*'Irish Basis'!$C$7*'Irish Basis'!$C$5,2)</f>
        <v/>
      </c>
      <c r="P3111" s="10">
        <f>ROUND(K3111*'Irish Basis'!$C$8*'Irish Basis'!$C$5,2)</f>
        <v/>
      </c>
      <c r="Q3111" s="10">
        <f>ROUND(L3111*'Irish Basis'!$C$12*'Irish Basis'!$C$5,2)</f>
        <v/>
      </c>
      <c r="R3111" s="11">
        <f>ROUND(SUM(N3111:Q3111),2)</f>
        <v/>
      </c>
      <c r="S3111" s="5" t="inlineStr">
        <is>
          <t>Stated build-up</t>
        </is>
      </c>
      <c r="T3111" s="12" t="inlineStr">
        <is>
          <t>High</t>
        </is>
      </c>
      <c r="U3111" s="8" t="n">
        <v>23.63</v>
      </c>
      <c r="V3111" s="13">
        <f>IF(U3111="","",ROUND(M3111-U3111,2))</f>
        <v/>
      </c>
      <c r="W3111" s="5" t="n"/>
      <c r="X3111" s="5" t="inlineStr">
        <is>
          <t>Labour + plant + material as published; reconciles to the published rate.</t>
        </is>
      </c>
    </row>
    <row r="3112" ht="13" customHeight="1">
      <c r="A3112" s="4" t="n">
        <v>4755</v>
      </c>
      <c r="B3112" s="5" t="inlineStr">
        <is>
          <t>IMG_0129</t>
        </is>
      </c>
      <c r="C3112" s="5" t="inlineStr">
        <is>
          <t>CLASS R: ROADS AND PAVINGS</t>
        </is>
      </c>
      <c r="D3112" s="5" t="inlineStr">
        <is>
          <t>07 KERBS, CHANNELS AND EDGINGS</t>
        </is>
      </c>
      <c r="E3112" s="5" t="inlineStr">
        <is>
          <t>Precast concrete kerbs to BS 7263; Kerbs; bullnosed; splayed or half battered; straight or curved over 12 m radius</t>
        </is>
      </c>
      <c r="F3112" s="5" t="inlineStr">
        <is>
          <t>125 x 255 mm</t>
        </is>
      </c>
      <c r="G3112" s="6" t="inlineStr">
        <is>
          <t>m</t>
        </is>
      </c>
      <c r="H3112" s="7" t="n">
        <v>0.07000000000000001</v>
      </c>
      <c r="I3112" s="8" t="n">
        <v>7.54</v>
      </c>
      <c r="J3112" s="8" t="n">
        <v>1.5</v>
      </c>
      <c r="K3112" s="8" t="n">
        <v>18.77</v>
      </c>
      <c r="L3112" s="8" t="n">
        <v>0</v>
      </c>
      <c r="M3112" s="9">
        <f>ROUND(SUM(I3112:L3112),2)</f>
        <v/>
      </c>
      <c r="N3112" s="10">
        <f>ROUND(I3112*'Irish Basis'!$C$6*'Irish Basis'!$C$5,2)</f>
        <v/>
      </c>
      <c r="O3112" s="10">
        <f>ROUND(J3112*'Irish Basis'!$C$7*'Irish Basis'!$C$5,2)</f>
        <v/>
      </c>
      <c r="P3112" s="10">
        <f>ROUND(K3112*'Irish Basis'!$C$8*'Irish Basis'!$C$5,2)</f>
        <v/>
      </c>
      <c r="Q3112" s="10">
        <f>ROUND(L3112*'Irish Basis'!$C$12*'Irish Basis'!$C$5,2)</f>
        <v/>
      </c>
      <c r="R3112" s="11">
        <f>ROUND(SUM(N3112:Q3112),2)</f>
        <v/>
      </c>
      <c r="S3112" s="5" t="inlineStr">
        <is>
          <t>Stated build-up</t>
        </is>
      </c>
      <c r="T3112" s="12" t="inlineStr">
        <is>
          <t>High</t>
        </is>
      </c>
      <c r="U3112" s="8" t="n">
        <v>27.81</v>
      </c>
      <c r="V3112" s="13">
        <f>IF(U3112="","",ROUND(M3112-U3112,2))</f>
        <v/>
      </c>
      <c r="W3112" s="5" t="n"/>
      <c r="X3112" s="5" t="inlineStr">
        <is>
          <t>Labour + plant + material as published; reconciles to the published rate.</t>
        </is>
      </c>
    </row>
    <row r="3113" ht="13" customHeight="1">
      <c r="A3113" s="4" t="n">
        <v>4756</v>
      </c>
      <c r="B3113" s="5" t="inlineStr">
        <is>
          <t>IMG_0129</t>
        </is>
      </c>
      <c r="C3113" s="5" t="inlineStr">
        <is>
          <t>CLASS R: ROADS AND PAVINGS</t>
        </is>
      </c>
      <c r="D3113" s="5" t="inlineStr">
        <is>
          <t>07 KERBS, CHANNELS AND EDGINGS</t>
        </is>
      </c>
      <c r="E3113" s="5" t="inlineStr">
        <is>
          <t>Precast concrete kerbs to BS 7263; Kerbs; bullnosed; splayed or half battered; straight or curved over 12 m radius</t>
        </is>
      </c>
      <c r="F3113" s="5" t="inlineStr">
        <is>
          <t>150 x 305 mm</t>
        </is>
      </c>
      <c r="G3113" s="6" t="inlineStr">
        <is>
          <t>m</t>
        </is>
      </c>
      <c r="H3113" s="7" t="n">
        <v>0.07000000000000001</v>
      </c>
      <c r="I3113" s="8" t="n">
        <v>7.54</v>
      </c>
      <c r="J3113" s="8" t="n">
        <v>1.53</v>
      </c>
      <c r="K3113" s="8" t="n">
        <v>28.07</v>
      </c>
      <c r="L3113" s="8" t="n">
        <v>0</v>
      </c>
      <c r="M3113" s="9">
        <f>ROUND(SUM(I3113:L3113),2)</f>
        <v/>
      </c>
      <c r="N3113" s="10">
        <f>ROUND(I3113*'Irish Basis'!$C$6*'Irish Basis'!$C$5,2)</f>
        <v/>
      </c>
      <c r="O3113" s="10">
        <f>ROUND(J3113*'Irish Basis'!$C$7*'Irish Basis'!$C$5,2)</f>
        <v/>
      </c>
      <c r="P3113" s="10">
        <f>ROUND(K3113*'Irish Basis'!$C$8*'Irish Basis'!$C$5,2)</f>
        <v/>
      </c>
      <c r="Q3113" s="10">
        <f>ROUND(L3113*'Irish Basis'!$C$12*'Irish Basis'!$C$5,2)</f>
        <v/>
      </c>
      <c r="R3113" s="11">
        <f>ROUND(SUM(N3113:Q3113),2)</f>
        <v/>
      </c>
      <c r="S3113" s="5" t="inlineStr">
        <is>
          <t>Stated build-up</t>
        </is>
      </c>
      <c r="T3113" s="12" t="inlineStr">
        <is>
          <t>High</t>
        </is>
      </c>
      <c r="U3113" s="8" t="n">
        <v>37.14</v>
      </c>
      <c r="V3113" s="13">
        <f>IF(U3113="","",ROUND(M3113-U3113,2))</f>
        <v/>
      </c>
      <c r="W3113" s="5" t="n"/>
      <c r="X3113" s="5" t="inlineStr">
        <is>
          <t>Labour + plant + material as published; reconciles to the published rate.</t>
        </is>
      </c>
    </row>
    <row r="3114" ht="13" customHeight="1">
      <c r="A3114" s="4" t="n">
        <v>4758</v>
      </c>
      <c r="B3114" s="5" t="inlineStr">
        <is>
          <t>IMG_0129</t>
        </is>
      </c>
      <c r="C3114" s="5" t="inlineStr">
        <is>
          <t>CLASS R: ROADS AND PAVINGS</t>
        </is>
      </c>
      <c r="D3114" s="5" t="inlineStr">
        <is>
          <t>07 KERBS, CHANNELS AND EDGINGS</t>
        </is>
      </c>
      <c r="E3114" s="5" t="inlineStr">
        <is>
          <t>Kerbs; bullnosed; splayed or half battered; curved ne 12 m radius</t>
        </is>
      </c>
      <c r="F3114" s="5" t="inlineStr">
        <is>
          <t>125 x 150 mm</t>
        </is>
      </c>
      <c r="G3114" s="6" t="inlineStr">
        <is>
          <t>m</t>
        </is>
      </c>
      <c r="H3114" s="7" t="n">
        <v>0.07000000000000001</v>
      </c>
      <c r="I3114" s="8" t="n">
        <v>7</v>
      </c>
      <c r="J3114" s="8" t="n">
        <v>1.4</v>
      </c>
      <c r="K3114" s="8" t="n">
        <v>15.88</v>
      </c>
      <c r="L3114" s="8" t="n">
        <v>0</v>
      </c>
      <c r="M3114" s="9">
        <f>ROUND(SUM(I3114:L3114),2)</f>
        <v/>
      </c>
      <c r="N3114" s="10">
        <f>ROUND(I3114*'Irish Basis'!$C$6*'Irish Basis'!$C$5,2)</f>
        <v/>
      </c>
      <c r="O3114" s="10">
        <f>ROUND(J3114*'Irish Basis'!$C$7*'Irish Basis'!$C$5,2)</f>
        <v/>
      </c>
      <c r="P3114" s="10">
        <f>ROUND(K3114*'Irish Basis'!$C$8*'Irish Basis'!$C$5,2)</f>
        <v/>
      </c>
      <c r="Q3114" s="10">
        <f>ROUND(L3114*'Irish Basis'!$C$12*'Irish Basis'!$C$5,2)</f>
        <v/>
      </c>
      <c r="R3114" s="11">
        <f>ROUND(SUM(N3114:Q3114),2)</f>
        <v/>
      </c>
      <c r="S3114" s="5" t="inlineStr">
        <is>
          <t>Stated build-up</t>
        </is>
      </c>
      <c r="T3114" s="12" t="inlineStr">
        <is>
          <t>High</t>
        </is>
      </c>
      <c r="U3114" s="8" t="n">
        <v>24.27</v>
      </c>
      <c r="V3114" s="13">
        <f>IF(U3114="","",ROUND(M3114-U3114,2))</f>
        <v/>
      </c>
      <c r="W3114" s="5" t="n"/>
      <c r="X3114" s="5" t="inlineStr">
        <is>
          <t>Labour + plant + material as published; reconciles to the published rate.</t>
        </is>
      </c>
    </row>
    <row r="3115" ht="13" customHeight="1">
      <c r="A3115" s="4" t="n">
        <v>4759</v>
      </c>
      <c r="B3115" s="5" t="inlineStr">
        <is>
          <t>IMG_0129</t>
        </is>
      </c>
      <c r="C3115" s="5" t="inlineStr">
        <is>
          <t>CLASS R: ROADS AND PAVINGS</t>
        </is>
      </c>
      <c r="D3115" s="5" t="inlineStr">
        <is>
          <t>07 KERBS, CHANNELS AND EDGINGS</t>
        </is>
      </c>
      <c r="E3115" s="5" t="inlineStr">
        <is>
          <t>Kerbs; bullnosed; splayed or half battered; curved ne 12 m radius</t>
        </is>
      </c>
      <c r="F3115" s="5" t="inlineStr">
        <is>
          <t>125 x 255 mm</t>
        </is>
      </c>
      <c r="G3115" s="6" t="inlineStr">
        <is>
          <t>m</t>
        </is>
      </c>
      <c r="H3115" s="7" t="n">
        <v>0.08</v>
      </c>
      <c r="I3115" s="8" t="n">
        <v>8.08</v>
      </c>
      <c r="J3115" s="8" t="n">
        <v>1.6</v>
      </c>
      <c r="K3115" s="8" t="n">
        <v>18.77</v>
      </c>
      <c r="L3115" s="8" t="n">
        <v>0</v>
      </c>
      <c r="M3115" s="9">
        <f>ROUND(SUM(I3115:L3115),2)</f>
        <v/>
      </c>
      <c r="N3115" s="10">
        <f>ROUND(I3115*'Irish Basis'!$C$6*'Irish Basis'!$C$5,2)</f>
        <v/>
      </c>
      <c r="O3115" s="10">
        <f>ROUND(J3115*'Irish Basis'!$C$7*'Irish Basis'!$C$5,2)</f>
        <v/>
      </c>
      <c r="P3115" s="10">
        <f>ROUND(K3115*'Irish Basis'!$C$8*'Irish Basis'!$C$5,2)</f>
        <v/>
      </c>
      <c r="Q3115" s="10">
        <f>ROUND(L3115*'Irish Basis'!$C$12*'Irish Basis'!$C$5,2)</f>
        <v/>
      </c>
      <c r="R3115" s="11">
        <f>ROUND(SUM(N3115:Q3115),2)</f>
        <v/>
      </c>
      <c r="S3115" s="5" t="inlineStr">
        <is>
          <t>Stated build-up</t>
        </is>
      </c>
      <c r="T3115" s="12" t="inlineStr">
        <is>
          <t>High</t>
        </is>
      </c>
      <c r="U3115" s="8" t="n">
        <v>28.45</v>
      </c>
      <c r="V3115" s="13">
        <f>IF(U3115="","",ROUND(M3115-U3115,2))</f>
        <v/>
      </c>
      <c r="W3115" s="5" t="n"/>
      <c r="X3115" s="5" t="inlineStr">
        <is>
          <t>Labour + plant + material as published; reconciles to the published rate.</t>
        </is>
      </c>
    </row>
    <row r="3116" ht="13" customHeight="1">
      <c r="A3116" s="4" t="n">
        <v>4760</v>
      </c>
      <c r="B3116" s="5" t="inlineStr">
        <is>
          <t>IMG_0129</t>
        </is>
      </c>
      <c r="C3116" s="5" t="inlineStr">
        <is>
          <t>CLASS R: ROADS AND PAVINGS</t>
        </is>
      </c>
      <c r="D3116" s="5" t="inlineStr">
        <is>
          <t>07 KERBS, CHANNELS AND EDGINGS</t>
        </is>
      </c>
      <c r="E3116" s="5" t="inlineStr">
        <is>
          <t>Kerbs; bullnosed; splayed or half battered; curved ne 12 m radius</t>
        </is>
      </c>
      <c r="F3116" s="5" t="inlineStr">
        <is>
          <t>150 x 305 mm</t>
        </is>
      </c>
      <c r="G3116" s="6" t="inlineStr">
        <is>
          <t>m</t>
        </is>
      </c>
      <c r="H3116" s="7" t="n">
        <v>0.08</v>
      </c>
      <c r="I3116" s="8" t="n">
        <v>8.08</v>
      </c>
      <c r="J3116" s="8" t="n">
        <v>1.64</v>
      </c>
      <c r="K3116" s="8" t="n">
        <v>28.07</v>
      </c>
      <c r="L3116" s="8" t="n">
        <v>0</v>
      </c>
      <c r="M3116" s="9">
        <f>ROUND(SUM(I3116:L3116),2)</f>
        <v/>
      </c>
      <c r="N3116" s="10">
        <f>ROUND(I3116*'Irish Basis'!$C$6*'Irish Basis'!$C$5,2)</f>
        <v/>
      </c>
      <c r="O3116" s="10">
        <f>ROUND(J3116*'Irish Basis'!$C$7*'Irish Basis'!$C$5,2)</f>
        <v/>
      </c>
      <c r="P3116" s="10">
        <f>ROUND(K3116*'Irish Basis'!$C$8*'Irish Basis'!$C$5,2)</f>
        <v/>
      </c>
      <c r="Q3116" s="10">
        <f>ROUND(L3116*'Irish Basis'!$C$12*'Irish Basis'!$C$5,2)</f>
        <v/>
      </c>
      <c r="R3116" s="11">
        <f>ROUND(SUM(N3116:Q3116),2)</f>
        <v/>
      </c>
      <c r="S3116" s="5" t="inlineStr">
        <is>
          <t>Stated build-up</t>
        </is>
      </c>
      <c r="T3116" s="12" t="inlineStr">
        <is>
          <t>High</t>
        </is>
      </c>
      <c r="U3116" s="8" t="n">
        <v>37.79</v>
      </c>
      <c r="V3116" s="13">
        <f>IF(U3116="","",ROUND(M3116-U3116,2))</f>
        <v/>
      </c>
      <c r="W3116" s="5" t="n"/>
      <c r="X3116" s="5" t="inlineStr">
        <is>
          <t>Labour + plant + material as published; reconciles to the published rate.</t>
        </is>
      </c>
    </row>
    <row r="3117" ht="13" customHeight="1">
      <c r="A3117" s="4" t="n">
        <v>4762</v>
      </c>
      <c r="B3117" s="5" t="inlineStr">
        <is>
          <t>IMG_0129</t>
        </is>
      </c>
      <c r="C3117" s="5" t="inlineStr">
        <is>
          <t>CLASS R: ROADS AND PAVINGS</t>
        </is>
      </c>
      <c r="D3117" s="5" t="inlineStr">
        <is>
          <t>07 KERBS, CHANNELS AND EDGINGS</t>
        </is>
      </c>
      <c r="E3117" s="5" t="inlineStr">
        <is>
          <t>Quadrants</t>
        </is>
      </c>
      <c r="F3117" s="5" t="inlineStr">
        <is>
          <t>305 x 305 x 150 mm</t>
        </is>
      </c>
      <c r="G3117" s="6" t="inlineStr">
        <is>
          <t>nr</t>
        </is>
      </c>
      <c r="H3117" s="7" t="n">
        <v>0.08</v>
      </c>
      <c r="I3117" s="8" t="n">
        <v>8.619999999999999</v>
      </c>
      <c r="J3117" s="8" t="n">
        <v>1.75</v>
      </c>
      <c r="K3117" s="8" t="n">
        <v>25.08</v>
      </c>
      <c r="L3117" s="8" t="n">
        <v>0</v>
      </c>
      <c r="M3117" s="9">
        <f>ROUND(SUM(I3117:L3117),2)</f>
        <v/>
      </c>
      <c r="N3117" s="10">
        <f>ROUND(I3117*'Irish Basis'!$C$6*'Irish Basis'!$C$5,2)</f>
        <v/>
      </c>
      <c r="O3117" s="10">
        <f>ROUND(J3117*'Irish Basis'!$C$7*'Irish Basis'!$C$5,2)</f>
        <v/>
      </c>
      <c r="P3117" s="10">
        <f>ROUND(K3117*'Irish Basis'!$C$8*'Irish Basis'!$C$5,2)</f>
        <v/>
      </c>
      <c r="Q3117" s="10">
        <f>ROUND(L3117*'Irish Basis'!$C$12*'Irish Basis'!$C$5,2)</f>
        <v/>
      </c>
      <c r="R3117" s="11">
        <f>ROUND(SUM(N3117:Q3117),2)</f>
        <v/>
      </c>
      <c r="S3117" s="5" t="inlineStr">
        <is>
          <t>Stated build-up</t>
        </is>
      </c>
      <c r="T3117" s="12" t="inlineStr">
        <is>
          <t>High</t>
        </is>
      </c>
      <c r="U3117" s="8" t="n">
        <v>35.44</v>
      </c>
      <c r="V3117" s="13">
        <f>IF(U3117="","",ROUND(M3117-U3117,2))</f>
        <v/>
      </c>
      <c r="W3117" s="5" t="n"/>
      <c r="X3117" s="5" t="inlineStr">
        <is>
          <t>Labour + plant + material as published; reconciles to the published rate.</t>
        </is>
      </c>
    </row>
    <row r="3118" ht="13" customHeight="1">
      <c r="A3118" s="4" t="n">
        <v>4763</v>
      </c>
      <c r="B3118" s="5" t="inlineStr">
        <is>
          <t>IMG_0129</t>
        </is>
      </c>
      <c r="C3118" s="5" t="inlineStr">
        <is>
          <t>CLASS R: ROADS AND PAVINGS</t>
        </is>
      </c>
      <c r="D3118" s="5" t="inlineStr">
        <is>
          <t>07 KERBS, CHANNELS AND EDGINGS</t>
        </is>
      </c>
      <c r="E3118" s="5" t="inlineStr">
        <is>
          <t>Quadrants</t>
        </is>
      </c>
      <c r="F3118" s="5" t="inlineStr">
        <is>
          <t>455 x 455 x 255 mm</t>
        </is>
      </c>
      <c r="G3118" s="6" t="inlineStr">
        <is>
          <t>nr</t>
        </is>
      </c>
      <c r="H3118" s="7" t="n">
        <v>0.1</v>
      </c>
      <c r="I3118" s="8" t="n">
        <v>10.77</v>
      </c>
      <c r="J3118" s="8" t="n">
        <v>2.19</v>
      </c>
      <c r="K3118" s="8" t="n">
        <v>37.24</v>
      </c>
      <c r="L3118" s="8" t="n">
        <v>0</v>
      </c>
      <c r="M3118" s="9">
        <f>ROUND(SUM(I3118:L3118),2)</f>
        <v/>
      </c>
      <c r="N3118" s="10">
        <f>ROUND(I3118*'Irish Basis'!$C$6*'Irish Basis'!$C$5,2)</f>
        <v/>
      </c>
      <c r="O3118" s="10">
        <f>ROUND(J3118*'Irish Basis'!$C$7*'Irish Basis'!$C$5,2)</f>
        <v/>
      </c>
      <c r="P3118" s="10">
        <f>ROUND(K3118*'Irish Basis'!$C$8*'Irish Basis'!$C$5,2)</f>
        <v/>
      </c>
      <c r="Q3118" s="10">
        <f>ROUND(L3118*'Irish Basis'!$C$12*'Irish Basis'!$C$5,2)</f>
        <v/>
      </c>
      <c r="R3118" s="11">
        <f>ROUND(SUM(N3118:Q3118),2)</f>
        <v/>
      </c>
      <c r="S3118" s="5" t="inlineStr">
        <is>
          <t>Stated build-up</t>
        </is>
      </c>
      <c r="T3118" s="12" t="inlineStr">
        <is>
          <t>High</t>
        </is>
      </c>
      <c r="U3118" s="8" t="n">
        <v>50.19</v>
      </c>
      <c r="V3118" s="13">
        <f>IF(U3118="","",ROUND(M3118-U3118,2))</f>
        <v/>
      </c>
      <c r="W3118" s="5" t="n"/>
      <c r="X3118" s="5" t="inlineStr">
        <is>
          <t>Labour + plant + material as published; reconciles to the published rate.</t>
        </is>
      </c>
    </row>
    <row r="3119" ht="13" customHeight="1">
      <c r="A3119" s="4" t="n">
        <v>4765</v>
      </c>
      <c r="B3119" s="5" t="inlineStr">
        <is>
          <t>IMG_0129</t>
        </is>
      </c>
      <c r="C3119" s="5" t="inlineStr">
        <is>
          <t>CLASS R: ROADS AND PAVINGS</t>
        </is>
      </c>
      <c r="D3119" s="5" t="inlineStr">
        <is>
          <t>07 KERBS, CHANNELS AND EDGINGS</t>
        </is>
      </c>
      <c r="E3119" s="5" t="inlineStr">
        <is>
          <t>Drop kerbs</t>
        </is>
      </c>
      <c r="F3119" s="5" t="inlineStr">
        <is>
          <t>125 x 255 mm</t>
        </is>
      </c>
      <c r="G3119" s="6" t="inlineStr">
        <is>
          <t>m</t>
        </is>
      </c>
      <c r="H3119" s="7" t="n">
        <v>0.07000000000000001</v>
      </c>
      <c r="I3119" s="8" t="n">
        <v>7.54</v>
      </c>
      <c r="J3119" s="8" t="n">
        <v>1.53</v>
      </c>
      <c r="K3119" s="8" t="n">
        <v>41.25</v>
      </c>
      <c r="L3119" s="8" t="n">
        <v>0</v>
      </c>
      <c r="M3119" s="9">
        <f>ROUND(SUM(I3119:L3119),2)</f>
        <v/>
      </c>
      <c r="N3119" s="10">
        <f>ROUND(I3119*'Irish Basis'!$C$6*'Irish Basis'!$C$5,2)</f>
        <v/>
      </c>
      <c r="O3119" s="10">
        <f>ROUND(J3119*'Irish Basis'!$C$7*'Irish Basis'!$C$5,2)</f>
        <v/>
      </c>
      <c r="P3119" s="10">
        <f>ROUND(K3119*'Irish Basis'!$C$8*'Irish Basis'!$C$5,2)</f>
        <v/>
      </c>
      <c r="Q3119" s="10">
        <f>ROUND(L3119*'Irish Basis'!$C$12*'Irish Basis'!$C$5,2)</f>
        <v/>
      </c>
      <c r="R3119" s="11">
        <f>ROUND(SUM(N3119:Q3119),2)</f>
        <v/>
      </c>
      <c r="S3119" s="5" t="inlineStr">
        <is>
          <t>Stated build-up</t>
        </is>
      </c>
      <c r="T3119" s="12" t="inlineStr">
        <is>
          <t>High</t>
        </is>
      </c>
      <c r="U3119" s="8" t="n">
        <v>50.32</v>
      </c>
      <c r="V3119" s="13">
        <f>IF(U3119="","",ROUND(M3119-U3119,2))</f>
        <v/>
      </c>
      <c r="W3119" s="5" t="n"/>
      <c r="X3119" s="5" t="inlineStr">
        <is>
          <t>Labour + plant + material as published; reconciles to the published rate.</t>
        </is>
      </c>
    </row>
    <row r="3120" ht="13" customHeight="1">
      <c r="A3120" s="4" t="n">
        <v>4766</v>
      </c>
      <c r="B3120" s="5" t="inlineStr">
        <is>
          <t>IMG_0129</t>
        </is>
      </c>
      <c r="C3120" s="5" t="inlineStr">
        <is>
          <t>CLASS R: ROADS AND PAVINGS</t>
        </is>
      </c>
      <c r="D3120" s="5" t="inlineStr">
        <is>
          <t>07 KERBS, CHANNELS AND EDGINGS</t>
        </is>
      </c>
      <c r="E3120" s="5" t="inlineStr">
        <is>
          <t>Drop kerbs</t>
        </is>
      </c>
      <c r="F3120" s="5" t="inlineStr">
        <is>
          <t>150 x 305 mm</t>
        </is>
      </c>
      <c r="G3120" s="6" t="inlineStr">
        <is>
          <t>m</t>
        </is>
      </c>
      <c r="H3120" s="7" t="n">
        <v>0.07000000000000001</v>
      </c>
      <c r="I3120" s="8" t="n">
        <v>7.54</v>
      </c>
      <c r="J3120" s="8" t="n">
        <v>1.53</v>
      </c>
      <c r="K3120" s="8" t="n">
        <v>69.65000000000001</v>
      </c>
      <c r="L3120" s="8" t="n">
        <v>0</v>
      </c>
      <c r="M3120" s="9">
        <f>ROUND(SUM(I3120:L3120),2)</f>
        <v/>
      </c>
      <c r="N3120" s="10">
        <f>ROUND(I3120*'Irish Basis'!$C$6*'Irish Basis'!$C$5,2)</f>
        <v/>
      </c>
      <c r="O3120" s="10">
        <f>ROUND(J3120*'Irish Basis'!$C$7*'Irish Basis'!$C$5,2)</f>
        <v/>
      </c>
      <c r="P3120" s="10">
        <f>ROUND(K3120*'Irish Basis'!$C$8*'Irish Basis'!$C$5,2)</f>
        <v/>
      </c>
      <c r="Q3120" s="10">
        <f>ROUND(L3120*'Irish Basis'!$C$12*'Irish Basis'!$C$5,2)</f>
        <v/>
      </c>
      <c r="R3120" s="11">
        <f>ROUND(SUM(N3120:Q3120),2)</f>
        <v/>
      </c>
      <c r="S3120" s="5" t="inlineStr">
        <is>
          <t>Stated build-up</t>
        </is>
      </c>
      <c r="T3120" s="12" t="inlineStr">
        <is>
          <t>High</t>
        </is>
      </c>
      <c r="U3120" s="8" t="n">
        <v>78.72</v>
      </c>
      <c r="V3120" s="13">
        <f>IF(U3120="","",ROUND(M3120-U3120,2))</f>
        <v/>
      </c>
      <c r="W3120" s="5" t="n"/>
      <c r="X3120" s="5" t="inlineStr">
        <is>
          <t>Labour + plant + material as published; reconciles to the published rate.</t>
        </is>
      </c>
    </row>
    <row r="3121" ht="13" customHeight="1">
      <c r="A3121" s="4" t="n">
        <v>4769</v>
      </c>
      <c r="B3121" s="5" t="inlineStr">
        <is>
          <t>IMG_0130</t>
        </is>
      </c>
      <c r="C3121" s="5" t="inlineStr">
        <is>
          <t>CLASS R: ROADS AND PAVINGS</t>
        </is>
      </c>
      <c r="D3121" s="5" t="inlineStr">
        <is>
          <t>07 KERBS, CHANNELS AND EDGINGS</t>
        </is>
      </c>
      <c r="E3121" s="5" t="inlineStr">
        <is>
          <t>Channel; straight or curved over 12 m radius (continued)</t>
        </is>
      </c>
      <c r="F3121" s="5" t="inlineStr">
        <is>
          <t>255 x 125 mm</t>
        </is>
      </c>
      <c r="G3121" s="6" t="inlineStr">
        <is>
          <t>m</t>
        </is>
      </c>
      <c r="H3121" s="7" t="n">
        <v>0.07000000000000001</v>
      </c>
      <c r="I3121" s="8" t="n">
        <v>7.54</v>
      </c>
      <c r="J3121" s="8" t="n">
        <v>1.53</v>
      </c>
      <c r="K3121" s="8" t="n">
        <v>10.96</v>
      </c>
      <c r="L3121" s="8" t="n">
        <v>0</v>
      </c>
      <c r="M3121" s="9">
        <f>ROUND(SUM(I3121:L3121),2)</f>
        <v/>
      </c>
      <c r="N3121" s="10">
        <f>ROUND(I3121*'Irish Basis'!$C$6*'Irish Basis'!$C$5,2)</f>
        <v/>
      </c>
      <c r="O3121" s="10">
        <f>ROUND(J3121*'Irish Basis'!$C$7*'Irish Basis'!$C$5,2)</f>
        <v/>
      </c>
      <c r="P3121" s="10">
        <f>ROUND(K3121*'Irish Basis'!$C$8*'Irish Basis'!$C$5,2)</f>
        <v/>
      </c>
      <c r="Q3121" s="10">
        <f>ROUND(L3121*'Irish Basis'!$C$12*'Irish Basis'!$C$5,2)</f>
        <v/>
      </c>
      <c r="R3121" s="11">
        <f>ROUND(SUM(N3121:Q3121),2)</f>
        <v/>
      </c>
      <c r="S3121" s="5" t="inlineStr">
        <is>
          <t>Stated build-up</t>
        </is>
      </c>
      <c r="T3121" s="12" t="inlineStr">
        <is>
          <t>High</t>
        </is>
      </c>
      <c r="U3121" s="8" t="n">
        <v>20.03</v>
      </c>
      <c r="V3121" s="13">
        <f>IF(U3121="","",ROUND(M3121-U3121,2))</f>
        <v/>
      </c>
      <c r="W3121" s="5" t="n"/>
      <c r="X3121" s="5" t="inlineStr">
        <is>
          <t>Labour + plant + material as published; reconciles to the published rate.</t>
        </is>
      </c>
    </row>
    <row r="3122" ht="13" customHeight="1">
      <c r="A3122" s="4" t="n">
        <v>4771</v>
      </c>
      <c r="B3122" s="5" t="inlineStr">
        <is>
          <t>IMG_0130</t>
        </is>
      </c>
      <c r="C3122" s="5" t="inlineStr">
        <is>
          <t>CLASS R: ROADS AND PAVINGS</t>
        </is>
      </c>
      <c r="D3122" s="5" t="inlineStr">
        <is>
          <t>07 KERBS, CHANNELS AND EDGINGS</t>
        </is>
      </c>
      <c r="E3122" s="5" t="inlineStr">
        <is>
          <t>Channel; curved radius ne 12 m</t>
        </is>
      </c>
      <c r="F3122" s="5" t="inlineStr">
        <is>
          <t>255 x 125 mm</t>
        </is>
      </c>
      <c r="G3122" s="6" t="inlineStr">
        <is>
          <t>m</t>
        </is>
      </c>
      <c r="H3122" s="7" t="n">
        <v>0.07000000000000001</v>
      </c>
      <c r="I3122" s="8" t="n">
        <v>7.54</v>
      </c>
      <c r="J3122" s="8" t="n">
        <v>1.53</v>
      </c>
      <c r="K3122" s="8" t="n">
        <v>10.96</v>
      </c>
      <c r="L3122" s="8" t="n">
        <v>0</v>
      </c>
      <c r="M3122" s="9">
        <f>ROUND(SUM(I3122:L3122),2)</f>
        <v/>
      </c>
      <c r="N3122" s="10">
        <f>ROUND(I3122*'Irish Basis'!$C$6*'Irish Basis'!$C$5,2)</f>
        <v/>
      </c>
      <c r="O3122" s="10">
        <f>ROUND(J3122*'Irish Basis'!$C$7*'Irish Basis'!$C$5,2)</f>
        <v/>
      </c>
      <c r="P3122" s="10">
        <f>ROUND(K3122*'Irish Basis'!$C$8*'Irish Basis'!$C$5,2)</f>
        <v/>
      </c>
      <c r="Q3122" s="10">
        <f>ROUND(L3122*'Irish Basis'!$C$12*'Irish Basis'!$C$5,2)</f>
        <v/>
      </c>
      <c r="R3122" s="11">
        <f>ROUND(SUM(N3122:Q3122),2)</f>
        <v/>
      </c>
      <c r="S3122" s="5" t="inlineStr">
        <is>
          <t>Stated build-up</t>
        </is>
      </c>
      <c r="T3122" s="12" t="inlineStr">
        <is>
          <t>High</t>
        </is>
      </c>
      <c r="U3122" s="8" t="n">
        <v>20.03</v>
      </c>
      <c r="V3122" s="13">
        <f>IF(U3122="","",ROUND(M3122-U3122,2))</f>
        <v/>
      </c>
      <c r="W3122" s="5" t="n"/>
      <c r="X3122" s="5" t="inlineStr">
        <is>
          <t>Labour + plant + material as published; reconciles to the published rate.</t>
        </is>
      </c>
    </row>
    <row r="3123" ht="13" customHeight="1">
      <c r="A3123" s="4" t="n">
        <v>4773</v>
      </c>
      <c r="B3123" s="5" t="inlineStr">
        <is>
          <t>IMG_0130</t>
        </is>
      </c>
      <c r="C3123" s="5" t="inlineStr">
        <is>
          <t>CLASS R: ROADS AND PAVINGS</t>
        </is>
      </c>
      <c r="D3123" s="5" t="inlineStr">
        <is>
          <t>07 KERBS, CHANNELS AND EDGINGS</t>
        </is>
      </c>
      <c r="E3123" s="5" t="inlineStr">
        <is>
          <t>Tensions</t>
        </is>
      </c>
      <c r="F3123" s="5" t="inlineStr">
        <is>
          <t>50 x 150 mm</t>
        </is>
      </c>
      <c r="G3123" s="6" t="inlineStr">
        <is>
          <t>m</t>
        </is>
      </c>
      <c r="H3123" s="7" t="n">
        <v>0.04</v>
      </c>
      <c r="I3123" s="8" t="n">
        <v>4.31</v>
      </c>
      <c r="J3123" s="8" t="n">
        <v>0.87</v>
      </c>
      <c r="K3123" s="8" t="n">
        <v>5.53</v>
      </c>
      <c r="L3123" s="8" t="n">
        <v>0</v>
      </c>
      <c r="M3123" s="9">
        <f>ROUND(SUM(I3123:L3123),2)</f>
        <v/>
      </c>
      <c r="N3123" s="10">
        <f>ROUND(I3123*'Irish Basis'!$C$6*'Irish Basis'!$C$5,2)</f>
        <v/>
      </c>
      <c r="O3123" s="10">
        <f>ROUND(J3123*'Irish Basis'!$C$7*'Irish Basis'!$C$5,2)</f>
        <v/>
      </c>
      <c r="P3123" s="10">
        <f>ROUND(K3123*'Irish Basis'!$C$8*'Irish Basis'!$C$5,2)</f>
        <v/>
      </c>
      <c r="Q3123" s="10">
        <f>ROUND(L3123*'Irish Basis'!$C$12*'Irish Basis'!$C$5,2)</f>
        <v/>
      </c>
      <c r="R3123" s="11">
        <f>ROUND(SUM(N3123:Q3123),2)</f>
        <v/>
      </c>
      <c r="S3123" s="5" t="inlineStr">
        <is>
          <t>Stated build-up</t>
        </is>
      </c>
      <c r="T3123" s="12" t="inlineStr">
        <is>
          <t>High</t>
        </is>
      </c>
      <c r="U3123" s="8" t="n">
        <v>10.72</v>
      </c>
      <c r="V3123" s="13">
        <f>IF(U3123="","",ROUND(M3123-U3123,2))</f>
        <v/>
      </c>
      <c r="W3123" s="5" t="n"/>
      <c r="X3123" s="5" t="inlineStr">
        <is>
          <t>Labour + plant + material as published; reconciles to the published rate.</t>
        </is>
      </c>
    </row>
    <row r="3124" ht="13" customHeight="1">
      <c r="A3124" s="4" t="n">
        <v>4775</v>
      </c>
      <c r="B3124" s="5" t="inlineStr">
        <is>
          <t>IMG_0130</t>
        </is>
      </c>
      <c r="C3124" s="5" t="inlineStr">
        <is>
          <t>CLASS R: ROADS AND PAVINGS</t>
        </is>
      </c>
      <c r="D3124" s="5" t="inlineStr">
        <is>
          <t>07 KERBS, CHANNELS AND EDGINGS</t>
        </is>
      </c>
      <c r="E3124" s="5" t="inlineStr">
        <is>
          <t>Edging; curved ne 12 m radius</t>
        </is>
      </c>
      <c r="F3124" s="5" t="inlineStr">
        <is>
          <t>50 x 150 mm</t>
        </is>
      </c>
      <c r="G3124" s="6" t="inlineStr">
        <is>
          <t>m</t>
        </is>
      </c>
      <c r="H3124" s="7" t="n">
        <v>0.05</v>
      </c>
      <c r="I3124" s="8" t="n">
        <v>4.85</v>
      </c>
      <c r="J3124" s="8" t="n">
        <v>0.98</v>
      </c>
      <c r="K3124" s="8" t="n">
        <v>5.53</v>
      </c>
      <c r="L3124" s="8" t="n">
        <v>0</v>
      </c>
      <c r="M3124" s="9">
        <f>ROUND(SUM(I3124:L3124),2)</f>
        <v/>
      </c>
      <c r="N3124" s="10">
        <f>ROUND(I3124*'Irish Basis'!$C$6*'Irish Basis'!$C$5,2)</f>
        <v/>
      </c>
      <c r="O3124" s="10">
        <f>ROUND(J3124*'Irish Basis'!$C$7*'Irish Basis'!$C$5,2)</f>
        <v/>
      </c>
      <c r="P3124" s="10">
        <f>ROUND(K3124*'Irish Basis'!$C$8*'Irish Basis'!$C$5,2)</f>
        <v/>
      </c>
      <c r="Q3124" s="10">
        <f>ROUND(L3124*'Irish Basis'!$C$12*'Irish Basis'!$C$5,2)</f>
        <v/>
      </c>
      <c r="R3124" s="11">
        <f>ROUND(SUM(N3124:Q3124),2)</f>
        <v/>
      </c>
      <c r="S3124" s="5" t="inlineStr">
        <is>
          <t>Stated build-up</t>
        </is>
      </c>
      <c r="T3124" s="12" t="inlineStr">
        <is>
          <t>High</t>
        </is>
      </c>
      <c r="U3124" s="8" t="n">
        <v>11.36</v>
      </c>
      <c r="V3124" s="13">
        <f>IF(U3124="","",ROUND(M3124-U3124,2))</f>
        <v/>
      </c>
      <c r="W3124" s="5" t="n"/>
      <c r="X3124" s="5" t="inlineStr">
        <is>
          <t>Labour + plant + material as published; reconciles to the published rate.</t>
        </is>
      </c>
    </row>
    <row r="3125" ht="13" customHeight="1">
      <c r="A3125" s="4" t="n">
        <v>4777</v>
      </c>
      <c r="B3125" s="5" t="inlineStr">
        <is>
          <t>IMG_0130</t>
        </is>
      </c>
      <c r="C3125" s="5" t="inlineStr">
        <is>
          <t>CLASS R: ROADS AND PAVINGS</t>
        </is>
      </c>
      <c r="D3125" s="5" t="inlineStr">
        <is>
          <t>07 KERBS, CHANNELS AND EDGINGS</t>
        </is>
      </c>
      <c r="E3125" s="5" t="inlineStr">
        <is>
          <t>Precast concrete drainage channels; Charcon Safeticurb; channels jointed with plastic rings and bedded; jointed and pointed in cement mortar; Channel unit; straight; Type DBA/3</t>
        </is>
      </c>
      <c r="F3125" s="5" t="inlineStr">
        <is>
          <t>250 x 254 mm; medium duty</t>
        </is>
      </c>
      <c r="G3125" s="6" t="inlineStr">
        <is>
          <t>m</t>
        </is>
      </c>
      <c r="H3125" s="7" t="n">
        <v>0.08</v>
      </c>
      <c r="I3125" s="8" t="n">
        <v>8.08</v>
      </c>
      <c r="J3125" s="8" t="n">
        <v>1.64</v>
      </c>
      <c r="K3125" s="8" t="n">
        <v>87.93000000000001</v>
      </c>
      <c r="L3125" s="8" t="n">
        <v>0</v>
      </c>
      <c r="M3125" s="9">
        <f>ROUND(SUM(I3125:L3125),2)</f>
        <v/>
      </c>
      <c r="N3125" s="10">
        <f>ROUND(I3125*'Irish Basis'!$C$6*'Irish Basis'!$C$5,2)</f>
        <v/>
      </c>
      <c r="O3125" s="10">
        <f>ROUND(J3125*'Irish Basis'!$C$7*'Irish Basis'!$C$5,2)</f>
        <v/>
      </c>
      <c r="P3125" s="10">
        <f>ROUND(K3125*'Irish Basis'!$C$8*'Irish Basis'!$C$5,2)</f>
        <v/>
      </c>
      <c r="Q3125" s="10">
        <f>ROUND(L3125*'Irish Basis'!$C$12*'Irish Basis'!$C$5,2)</f>
        <v/>
      </c>
      <c r="R3125" s="11">
        <f>ROUND(SUM(N3125:Q3125),2)</f>
        <v/>
      </c>
      <c r="S3125" s="5" t="inlineStr">
        <is>
          <t>Stated build-up</t>
        </is>
      </c>
      <c r="T3125" s="12" t="inlineStr">
        <is>
          <t>High</t>
        </is>
      </c>
      <c r="U3125" s="8" t="n">
        <v>97.64</v>
      </c>
      <c r="V3125" s="13">
        <f>IF(U3125="","",ROUND(M3125-U3125,2))</f>
        <v/>
      </c>
      <c r="W3125" s="5" t="n"/>
      <c r="X3125" s="5" t="inlineStr">
        <is>
          <t>Labour + plant + material as published; reconciles to the published rate.</t>
        </is>
      </c>
    </row>
    <row r="3126" ht="13" customHeight="1">
      <c r="A3126" s="4" t="n">
        <v>4778</v>
      </c>
      <c r="B3126" s="5" t="inlineStr">
        <is>
          <t>IMG_0130</t>
        </is>
      </c>
      <c r="C3126" s="5" t="inlineStr">
        <is>
          <t>CLASS R: ROADS AND PAVINGS</t>
        </is>
      </c>
      <c r="D3126" s="5" t="inlineStr">
        <is>
          <t>07 KERBS, CHANNELS AND EDGINGS</t>
        </is>
      </c>
      <c r="E3126" s="5" t="inlineStr">
        <is>
          <t>Precast concrete drainage channels; Charcon Safeticurb; channels jointed with plastic rings and bedded; jointed and pointed in cement mortar; Channel unit; straight; Type DBA/3</t>
        </is>
      </c>
      <c r="F3126" s="5" t="inlineStr">
        <is>
          <t>305 x 305 mm; heavy duty</t>
        </is>
      </c>
      <c r="G3126" s="6" t="inlineStr">
        <is>
          <t>m</t>
        </is>
      </c>
      <c r="H3126" s="7" t="n">
        <v>0.1</v>
      </c>
      <c r="I3126" s="8" t="n">
        <v>10.23</v>
      </c>
      <c r="J3126" s="8" t="n">
        <v>2.08</v>
      </c>
      <c r="K3126" s="8" t="n">
        <v>190.64</v>
      </c>
      <c r="L3126" s="8" t="n">
        <v>0</v>
      </c>
      <c r="M3126" s="9">
        <f>ROUND(SUM(I3126:L3126),2)</f>
        <v/>
      </c>
      <c r="N3126" s="10">
        <f>ROUND(I3126*'Irish Basis'!$C$6*'Irish Basis'!$C$5,2)</f>
        <v/>
      </c>
      <c r="O3126" s="10">
        <f>ROUND(J3126*'Irish Basis'!$C$7*'Irish Basis'!$C$5,2)</f>
        <v/>
      </c>
      <c r="P3126" s="10">
        <f>ROUND(K3126*'Irish Basis'!$C$8*'Irish Basis'!$C$5,2)</f>
        <v/>
      </c>
      <c r="Q3126" s="10">
        <f>ROUND(L3126*'Irish Basis'!$C$12*'Irish Basis'!$C$5,2)</f>
        <v/>
      </c>
      <c r="R3126" s="11">
        <f>ROUND(SUM(N3126:Q3126),2)</f>
        <v/>
      </c>
      <c r="S3126" s="5" t="inlineStr">
        <is>
          <t>Stated build-up</t>
        </is>
      </c>
      <c r="T3126" s="12" t="inlineStr">
        <is>
          <t>High</t>
        </is>
      </c>
      <c r="U3126" s="8" t="n">
        <v>202.95</v>
      </c>
      <c r="V3126" s="13">
        <f>IF(U3126="","",ROUND(M3126-U3126,2))</f>
        <v/>
      </c>
      <c r="W3126" s="5" t="n"/>
      <c r="X3126" s="5" t="inlineStr">
        <is>
          <t>Labour + plant + material as published; reconciles to the published rate.</t>
        </is>
      </c>
    </row>
    <row r="3127" ht="13" customHeight="1">
      <c r="A3127" s="4" t="n">
        <v>4780</v>
      </c>
      <c r="B3127" s="5" t="inlineStr">
        <is>
          <t>IMG_0130</t>
        </is>
      </c>
      <c r="C3127" s="5" t="inlineStr">
        <is>
          <t>CLASS R: ROADS AND PAVINGS</t>
        </is>
      </c>
      <c r="D3127" s="5" t="inlineStr">
        <is>
          <t>07 KERBS, CHANNELS AND EDGINGS</t>
        </is>
      </c>
      <c r="E3127" s="5" t="inlineStr">
        <is>
          <t>Precast concrete Ellis Trief safety kerb; bedded jointed and pointed in cement mortar; Kerb; straight or curved over 12 m radius</t>
        </is>
      </c>
      <c r="F3127" s="5" t="inlineStr">
        <is>
          <t>415 x 380 mm</t>
        </is>
      </c>
      <c r="G3127" s="6" t="inlineStr">
        <is>
          <t>m</t>
        </is>
      </c>
      <c r="H3127" s="7" t="n">
        <v>0.23</v>
      </c>
      <c r="I3127" s="8" t="n">
        <v>24.23</v>
      </c>
      <c r="J3127" s="8" t="n">
        <v>4.69</v>
      </c>
      <c r="K3127" s="8" t="n">
        <v>126.31</v>
      </c>
      <c r="L3127" s="8" t="n">
        <v>0</v>
      </c>
      <c r="M3127" s="9">
        <f>ROUND(SUM(I3127:L3127),2)</f>
        <v/>
      </c>
      <c r="N3127" s="10">
        <f>ROUND(I3127*'Irish Basis'!$C$6*'Irish Basis'!$C$5,2)</f>
        <v/>
      </c>
      <c r="O3127" s="10">
        <f>ROUND(J3127*'Irish Basis'!$C$7*'Irish Basis'!$C$5,2)</f>
        <v/>
      </c>
      <c r="P3127" s="10">
        <f>ROUND(K3127*'Irish Basis'!$C$8*'Irish Basis'!$C$5,2)</f>
        <v/>
      </c>
      <c r="Q3127" s="10">
        <f>ROUND(L3127*'Irish Basis'!$C$12*'Irish Basis'!$C$5,2)</f>
        <v/>
      </c>
      <c r="R3127" s="11">
        <f>ROUND(SUM(N3127:Q3127),2)</f>
        <v/>
      </c>
      <c r="S3127" s="5" t="inlineStr">
        <is>
          <t>Stated build-up</t>
        </is>
      </c>
      <c r="T3127" s="12" t="inlineStr">
        <is>
          <t>High</t>
        </is>
      </c>
      <c r="U3127" s="8" t="n">
        <v>155.24</v>
      </c>
      <c r="V3127" s="13">
        <f>IF(U3127="","",ROUND(M3127-U3127,2))</f>
        <v/>
      </c>
      <c r="W3127" s="5" t="n"/>
      <c r="X3127" s="5" t="inlineStr">
        <is>
          <t>Labour + plant + material as published; reconciles to the published rate.</t>
        </is>
      </c>
    </row>
    <row r="3128" ht="13" customHeight="1">
      <c r="A3128" s="4" t="n">
        <v>4782</v>
      </c>
      <c r="B3128" s="5" t="inlineStr">
        <is>
          <t>IMG_0130</t>
        </is>
      </c>
      <c r="C3128" s="5" t="inlineStr">
        <is>
          <t>CLASS R: ROADS AND PAVINGS</t>
        </is>
      </c>
      <c r="D3128" s="5" t="inlineStr">
        <is>
          <t>07 KERBS, CHANNELS AND EDGINGS</t>
        </is>
      </c>
      <c r="E3128" s="5" t="inlineStr">
        <is>
          <t>Kerb; curved ne 12 m radius</t>
        </is>
      </c>
      <c r="F3128" s="5" t="inlineStr">
        <is>
          <t>415 x 380 mm</t>
        </is>
      </c>
      <c r="G3128" s="6" t="inlineStr">
        <is>
          <t>m</t>
        </is>
      </c>
      <c r="H3128" s="7" t="n">
        <v>0.25</v>
      </c>
      <c r="I3128" s="8" t="n">
        <v>26.93</v>
      </c>
      <c r="J3128" s="8" t="n">
        <v>5.23</v>
      </c>
      <c r="K3128" s="8" t="n">
        <v>146.89</v>
      </c>
      <c r="L3128" s="8" t="n">
        <v>0</v>
      </c>
      <c r="M3128" s="9">
        <f>ROUND(SUM(I3128:L3128),2)</f>
        <v/>
      </c>
      <c r="N3128" s="10">
        <f>ROUND(I3128*'Irish Basis'!$C$6*'Irish Basis'!$C$5,2)</f>
        <v/>
      </c>
      <c r="O3128" s="10">
        <f>ROUND(J3128*'Irish Basis'!$C$7*'Irish Basis'!$C$5,2)</f>
        <v/>
      </c>
      <c r="P3128" s="10">
        <f>ROUND(K3128*'Irish Basis'!$C$8*'Irish Basis'!$C$5,2)</f>
        <v/>
      </c>
      <c r="Q3128" s="10">
        <f>ROUND(L3128*'Irish Basis'!$C$12*'Irish Basis'!$C$5,2)</f>
        <v/>
      </c>
      <c r="R3128" s="11">
        <f>ROUND(SUM(N3128:Q3128),2)</f>
        <v/>
      </c>
      <c r="S3128" s="5" t="inlineStr">
        <is>
          <t>Stated build-up</t>
        </is>
      </c>
      <c r="T3128" s="12" t="inlineStr">
        <is>
          <t>High</t>
        </is>
      </c>
      <c r="U3128" s="8" t="n">
        <v>179.04</v>
      </c>
      <c r="V3128" s="13">
        <f>IF(U3128="","",ROUND(M3128-U3128,2))</f>
        <v/>
      </c>
      <c r="W3128" s="5" t="n"/>
      <c r="X3128" s="5" t="inlineStr">
        <is>
          <t>Labour + plant + material as published; reconciles to the published rate.</t>
        </is>
      </c>
    </row>
    <row r="3129" ht="13" customHeight="1">
      <c r="A3129" s="4" t="n">
        <v>4784</v>
      </c>
      <c r="B3129" s="5" t="inlineStr">
        <is>
          <t>IMG_0130</t>
        </is>
      </c>
      <c r="C3129" s="5" t="inlineStr">
        <is>
          <t>CLASS R: ROADS AND PAVINGS</t>
        </is>
      </c>
      <c r="D3129" s="5" t="inlineStr">
        <is>
          <t>07 KERBS, CHANNELS AND EDGINGS</t>
        </is>
      </c>
      <c r="E3129" s="5" t="inlineStr">
        <is>
          <t>Precast concrete combined kerb and drainage block Beany block system; bedded jointed and pointed in cement mortar; Kerb; top block, shallow base unit, standard cover plate and frame</t>
        </is>
      </c>
      <c r="F3129" s="5" t="inlineStr">
        <is>
          <t>straight or curved over 12 m radius</t>
        </is>
      </c>
      <c r="G3129" s="6" t="inlineStr">
        <is>
          <t>m</t>
        </is>
      </c>
      <c r="H3129" s="7" t="n">
        <v>0.15</v>
      </c>
      <c r="I3129" s="8" t="n">
        <v>16.16</v>
      </c>
      <c r="J3129" s="8" t="n">
        <v>3.14</v>
      </c>
      <c r="K3129" s="8" t="n">
        <v>197.79</v>
      </c>
      <c r="L3129" s="8" t="n">
        <v>0</v>
      </c>
      <c r="M3129" s="9">
        <f>ROUND(SUM(I3129:L3129),2)</f>
        <v/>
      </c>
      <c r="N3129" s="10">
        <f>ROUND(I3129*'Irish Basis'!$C$6*'Irish Basis'!$C$5,2)</f>
        <v/>
      </c>
      <c r="O3129" s="10">
        <f>ROUND(J3129*'Irish Basis'!$C$7*'Irish Basis'!$C$5,2)</f>
        <v/>
      </c>
      <c r="P3129" s="10">
        <f>ROUND(K3129*'Irish Basis'!$C$8*'Irish Basis'!$C$5,2)</f>
        <v/>
      </c>
      <c r="Q3129" s="10">
        <f>ROUND(L3129*'Irish Basis'!$C$12*'Irish Basis'!$C$5,2)</f>
        <v/>
      </c>
      <c r="R3129" s="11">
        <f>ROUND(SUM(N3129:Q3129),2)</f>
        <v/>
      </c>
      <c r="S3129" s="5" t="inlineStr">
        <is>
          <t>Stated build-up</t>
        </is>
      </c>
      <c r="T3129" s="12" t="inlineStr">
        <is>
          <t>High</t>
        </is>
      </c>
      <c r="U3129" s="8" t="n">
        <v>217.09</v>
      </c>
      <c r="V3129" s="13">
        <f>IF(U3129="","",ROUND(M3129-U3129,2))</f>
        <v/>
      </c>
      <c r="W3129" s="5" t="n"/>
      <c r="X3129" s="5" t="inlineStr">
        <is>
          <t>Labour + plant + material as published; reconciles to the published rate.</t>
        </is>
      </c>
    </row>
    <row r="3130" ht="13" customHeight="1">
      <c r="A3130" s="4" t="n">
        <v>4785</v>
      </c>
      <c r="B3130" s="5" t="inlineStr">
        <is>
          <t>IMG_0130</t>
        </is>
      </c>
      <c r="C3130" s="5" t="inlineStr">
        <is>
          <t>CLASS R: ROADS AND PAVINGS</t>
        </is>
      </c>
      <c r="D3130" s="5" t="inlineStr">
        <is>
          <t>07 KERBS, CHANNELS AND EDGINGS</t>
        </is>
      </c>
      <c r="E3130" s="5" t="inlineStr">
        <is>
          <t>Precast concrete combined kerb and drainage block Beany block system; bedded jointed and pointed in cement mortar; Kerb; top block, shallow base unit, standard cover plate and frame</t>
        </is>
      </c>
      <c r="F3130" s="5" t="inlineStr">
        <is>
          <t>curved ne 12 m radius</t>
        </is>
      </c>
      <c r="G3130" s="6" t="inlineStr">
        <is>
          <t>m</t>
        </is>
      </c>
      <c r="H3130" s="7" t="n">
        <v>0.2</v>
      </c>
      <c r="I3130" s="8" t="n">
        <v>21.54</v>
      </c>
      <c r="J3130" s="8" t="n">
        <v>4.17</v>
      </c>
      <c r="K3130" s="8" t="n">
        <v>302.06</v>
      </c>
      <c r="L3130" s="8" t="n">
        <v>0</v>
      </c>
      <c r="M3130" s="9">
        <f>ROUND(SUM(I3130:L3130),2)</f>
        <v/>
      </c>
      <c r="N3130" s="10">
        <f>ROUND(I3130*'Irish Basis'!$C$6*'Irish Basis'!$C$5,2)</f>
        <v/>
      </c>
      <c r="O3130" s="10">
        <f>ROUND(J3130*'Irish Basis'!$C$7*'Irish Basis'!$C$5,2)</f>
        <v/>
      </c>
      <c r="P3130" s="10">
        <f>ROUND(K3130*'Irish Basis'!$C$8*'Irish Basis'!$C$5,2)</f>
        <v/>
      </c>
      <c r="Q3130" s="10">
        <f>ROUND(L3130*'Irish Basis'!$C$12*'Irish Basis'!$C$5,2)</f>
        <v/>
      </c>
      <c r="R3130" s="11">
        <f>ROUND(SUM(N3130:Q3130),2)</f>
        <v/>
      </c>
      <c r="S3130" s="5" t="inlineStr">
        <is>
          <t>Stated build-up</t>
        </is>
      </c>
      <c r="T3130" s="12" t="inlineStr">
        <is>
          <t>High</t>
        </is>
      </c>
      <c r="U3130" s="8" t="n">
        <v>327.77</v>
      </c>
      <c r="V3130" s="13">
        <f>IF(U3130="","",ROUND(M3130-U3130,2))</f>
        <v/>
      </c>
      <c r="W3130" s="5" t="n"/>
      <c r="X3130" s="5" t="inlineStr">
        <is>
          <t>Labour + plant + material as published; reconciles to the published rate.</t>
        </is>
      </c>
    </row>
    <row r="3131" ht="13" customHeight="1">
      <c r="A3131" s="4" t="n">
        <v>4787</v>
      </c>
      <c r="B3131" s="5" t="inlineStr">
        <is>
          <t>IMG_0130</t>
        </is>
      </c>
      <c r="C3131" s="5" t="inlineStr">
        <is>
          <t>CLASS R: ROADS AND PAVINGS</t>
        </is>
      </c>
      <c r="D3131" s="5" t="inlineStr">
        <is>
          <t>07 KERBS, CHANNELS AND EDGINGS</t>
        </is>
      </c>
      <c r="E3131" s="5" t="inlineStr">
        <is>
          <t>Kerb; top block, standard base unit, standard cover plate and frame</t>
        </is>
      </c>
      <c r="F3131" s="5" t="inlineStr">
        <is>
          <t>straight or curved over 12 m radius</t>
        </is>
      </c>
      <c r="G3131" s="6" t="inlineStr">
        <is>
          <t>m</t>
        </is>
      </c>
      <c r="H3131" s="7" t="n">
        <v>0.15</v>
      </c>
      <c r="I3131" s="8" t="n">
        <v>16.16</v>
      </c>
      <c r="J3131" s="8" t="n">
        <v>3.17</v>
      </c>
      <c r="K3131" s="8" t="n">
        <v>197.79</v>
      </c>
      <c r="L3131" s="8" t="n">
        <v>0</v>
      </c>
      <c r="M3131" s="9">
        <f>ROUND(SUM(I3131:L3131),2)</f>
        <v/>
      </c>
      <c r="N3131" s="10">
        <f>ROUND(I3131*'Irish Basis'!$C$6*'Irish Basis'!$C$5,2)</f>
        <v/>
      </c>
      <c r="O3131" s="10">
        <f>ROUND(J3131*'Irish Basis'!$C$7*'Irish Basis'!$C$5,2)</f>
        <v/>
      </c>
      <c r="P3131" s="10">
        <f>ROUND(K3131*'Irish Basis'!$C$8*'Irish Basis'!$C$5,2)</f>
        <v/>
      </c>
      <c r="Q3131" s="10">
        <f>ROUND(L3131*'Irish Basis'!$C$12*'Irish Basis'!$C$5,2)</f>
        <v/>
      </c>
      <c r="R3131" s="11">
        <f>ROUND(SUM(N3131:Q3131),2)</f>
        <v/>
      </c>
      <c r="S3131" s="5" t="inlineStr">
        <is>
          <t>Stated build-up</t>
        </is>
      </c>
      <c r="T3131" s="12" t="inlineStr">
        <is>
          <t>High</t>
        </is>
      </c>
      <c r="U3131" s="8" t="n">
        <v>217.12</v>
      </c>
      <c r="V3131" s="13">
        <f>IF(U3131="","",ROUND(M3131-U3131,2))</f>
        <v/>
      </c>
      <c r="W3131" s="5" t="n"/>
      <c r="X3131" s="5" t="inlineStr">
        <is>
          <t>Labour + plant + material as published; reconciles to the published rate.</t>
        </is>
      </c>
    </row>
    <row r="3132" ht="13" customHeight="1">
      <c r="A3132" s="4" t="n">
        <v>4788</v>
      </c>
      <c r="B3132" s="5" t="inlineStr">
        <is>
          <t>IMG_0130</t>
        </is>
      </c>
      <c r="C3132" s="5" t="inlineStr">
        <is>
          <t>CLASS R: ROADS AND PAVINGS</t>
        </is>
      </c>
      <c r="D3132" s="5" t="inlineStr">
        <is>
          <t>07 KERBS, CHANNELS AND EDGINGS</t>
        </is>
      </c>
      <c r="E3132" s="5" t="inlineStr">
        <is>
          <t>Kerb; top block, standard base unit, standard cover plate and frame</t>
        </is>
      </c>
      <c r="F3132" s="5" t="inlineStr">
        <is>
          <t>curved ne 12 m radius</t>
        </is>
      </c>
      <c r="G3132" s="6" t="inlineStr">
        <is>
          <t>m</t>
        </is>
      </c>
      <c r="H3132" s="7" t="n">
        <v>0.2</v>
      </c>
      <c r="I3132" s="8" t="n">
        <v>21.54</v>
      </c>
      <c r="J3132" s="8" t="n">
        <v>4.17</v>
      </c>
      <c r="K3132" s="8" t="n">
        <v>302.06</v>
      </c>
      <c r="L3132" s="8" t="n">
        <v>0</v>
      </c>
      <c r="M3132" s="9">
        <f>ROUND(SUM(I3132:L3132),2)</f>
        <v/>
      </c>
      <c r="N3132" s="10">
        <f>ROUND(I3132*'Irish Basis'!$C$6*'Irish Basis'!$C$5,2)</f>
        <v/>
      </c>
      <c r="O3132" s="10">
        <f>ROUND(J3132*'Irish Basis'!$C$7*'Irish Basis'!$C$5,2)</f>
        <v/>
      </c>
      <c r="P3132" s="10">
        <f>ROUND(K3132*'Irish Basis'!$C$8*'Irish Basis'!$C$5,2)</f>
        <v/>
      </c>
      <c r="Q3132" s="10">
        <f>ROUND(L3132*'Irish Basis'!$C$12*'Irish Basis'!$C$5,2)</f>
        <v/>
      </c>
      <c r="R3132" s="11">
        <f>ROUND(SUM(N3132:Q3132),2)</f>
        <v/>
      </c>
      <c r="S3132" s="5" t="inlineStr">
        <is>
          <t>Stated build-up</t>
        </is>
      </c>
      <c r="T3132" s="12" t="inlineStr">
        <is>
          <t>High</t>
        </is>
      </c>
      <c r="U3132" s="8" t="n">
        <v>327.77</v>
      </c>
      <c r="V3132" s="13">
        <f>IF(U3132="","",ROUND(M3132-U3132,2))</f>
        <v/>
      </c>
      <c r="W3132" s="5" t="n"/>
      <c r="X3132" s="5" t="inlineStr">
        <is>
          <t>Labour + plant + material as published; reconciles to the published rate.</t>
        </is>
      </c>
    </row>
    <row r="3133" ht="13" customHeight="1">
      <c r="A3133" s="4" t="n">
        <v>4790</v>
      </c>
      <c r="B3133" s="5" t="inlineStr">
        <is>
          <t>IMG_0130</t>
        </is>
      </c>
      <c r="C3133" s="5" t="inlineStr">
        <is>
          <t>CLASS R: ROADS AND PAVINGS</t>
        </is>
      </c>
      <c r="D3133" s="5" t="inlineStr">
        <is>
          <t>07 KERBS, CHANNELS AND EDGINGS</t>
        </is>
      </c>
      <c r="E3133" s="5" t="inlineStr">
        <is>
          <t>Kerb; top block, deep base unit, standard cover plate and frame</t>
        </is>
      </c>
      <c r="F3133" s="5" t="inlineStr">
        <is>
          <t>straight or curved over 12 m radius</t>
        </is>
      </c>
      <c r="G3133" s="6" t="inlineStr">
        <is>
          <t>m</t>
        </is>
      </c>
      <c r="H3133" s="7" t="n">
        <v>0.15</v>
      </c>
      <c r="I3133" s="8" t="n">
        <v>16.16</v>
      </c>
      <c r="J3133" s="8" t="n">
        <v>3.11</v>
      </c>
      <c r="K3133" s="8" t="n">
        <v>441.6</v>
      </c>
      <c r="L3133" s="8" t="n">
        <v>0</v>
      </c>
      <c r="M3133" s="9">
        <f>ROUND(SUM(I3133:L3133),2)</f>
        <v/>
      </c>
      <c r="N3133" s="10">
        <f>ROUND(I3133*'Irish Basis'!$C$6*'Irish Basis'!$C$5,2)</f>
        <v/>
      </c>
      <c r="O3133" s="10">
        <f>ROUND(J3133*'Irish Basis'!$C$7*'Irish Basis'!$C$5,2)</f>
        <v/>
      </c>
      <c r="P3133" s="10">
        <f>ROUND(K3133*'Irish Basis'!$C$8*'Irish Basis'!$C$5,2)</f>
        <v/>
      </c>
      <c r="Q3133" s="10">
        <f>ROUND(L3133*'Irish Basis'!$C$12*'Irish Basis'!$C$5,2)</f>
        <v/>
      </c>
      <c r="R3133" s="11">
        <f>ROUND(SUM(N3133:Q3133),2)</f>
        <v/>
      </c>
      <c r="S3133" s="5" t="inlineStr">
        <is>
          <t>Stated build-up</t>
        </is>
      </c>
      <c r="T3133" s="12" t="inlineStr">
        <is>
          <t>High</t>
        </is>
      </c>
      <c r="U3133" s="8" t="n">
        <v>460.86</v>
      </c>
      <c r="V3133" s="13">
        <f>IF(U3133="","",ROUND(M3133-U3133,2))</f>
        <v/>
      </c>
      <c r="W3133" s="5" t="n"/>
      <c r="X3133" s="5" t="inlineStr">
        <is>
          <t>Labour + plant + material as published; reconciles to the published rate.</t>
        </is>
      </c>
    </row>
    <row r="3134" ht="13" customHeight="1">
      <c r="A3134" s="4" t="n">
        <v>4791</v>
      </c>
      <c r="B3134" s="5" t="inlineStr">
        <is>
          <t>IMG_0130</t>
        </is>
      </c>
      <c r="C3134" s="5" t="inlineStr">
        <is>
          <t>CLASS R: ROADS AND PAVINGS</t>
        </is>
      </c>
      <c r="D3134" s="5" t="inlineStr">
        <is>
          <t>07 KERBS, CHANNELS AND EDGINGS</t>
        </is>
      </c>
      <c r="E3134" s="5" t="inlineStr">
        <is>
          <t>Kerb; top block, deep base unit, standard cover plate and frame</t>
        </is>
      </c>
      <c r="F3134" s="5" t="inlineStr">
        <is>
          <t>curved ne 12 m radius</t>
        </is>
      </c>
      <c r="G3134" s="6" t="inlineStr">
        <is>
          <t>m</t>
        </is>
      </c>
      <c r="H3134" s="7" t="n">
        <v>0.2</v>
      </c>
      <c r="I3134" s="8" t="n">
        <v>21.54</v>
      </c>
      <c r="J3134" s="8" t="n">
        <v>4.1</v>
      </c>
      <c r="K3134" s="8" t="n">
        <v>564.61</v>
      </c>
      <c r="L3134" s="8" t="n">
        <v>0</v>
      </c>
      <c r="M3134" s="9">
        <f>ROUND(SUM(I3134:L3134),2)</f>
        <v/>
      </c>
      <c r="N3134" s="10">
        <f>ROUND(I3134*'Irish Basis'!$C$6*'Irish Basis'!$C$5,2)</f>
        <v/>
      </c>
      <c r="O3134" s="10">
        <f>ROUND(J3134*'Irish Basis'!$C$7*'Irish Basis'!$C$5,2)</f>
        <v/>
      </c>
      <c r="P3134" s="10">
        <f>ROUND(K3134*'Irish Basis'!$C$8*'Irish Basis'!$C$5,2)</f>
        <v/>
      </c>
      <c r="Q3134" s="10">
        <f>ROUND(L3134*'Irish Basis'!$C$12*'Irish Basis'!$C$5,2)</f>
        <v/>
      </c>
      <c r="R3134" s="11">
        <f>ROUND(SUM(N3134:Q3134),2)</f>
        <v/>
      </c>
      <c r="S3134" s="5" t="inlineStr">
        <is>
          <t>Stated build-up</t>
        </is>
      </c>
      <c r="T3134" s="12" t="inlineStr">
        <is>
          <t>High</t>
        </is>
      </c>
      <c r="U3134" s="8" t="n">
        <v>590.25</v>
      </c>
      <c r="V3134" s="13">
        <f>IF(U3134="","",ROUND(M3134-U3134,2))</f>
        <v/>
      </c>
      <c r="W3134" s="5" t="n"/>
      <c r="X3134" s="5" t="inlineStr">
        <is>
          <t>Labour + plant + material as published; reconciles to the published rate.</t>
        </is>
      </c>
    </row>
    <row r="3135" ht="13" customHeight="1">
      <c r="A3135" s="4" t="n">
        <v>4792</v>
      </c>
      <c r="B3135" s="5" t="inlineStr">
        <is>
          <t>IMG_0130</t>
        </is>
      </c>
      <c r="C3135" s="5" t="inlineStr">
        <is>
          <t>CLASS R: ROADS AND PAVINGS</t>
        </is>
      </c>
      <c r="D3135" s="5" t="inlineStr">
        <is>
          <t>07 KERBS, CHANNELS AND EDGINGS</t>
        </is>
      </c>
      <c r="E3135" s="5" t="inlineStr">
        <is>
          <t>Kerb; top block, deep base unit, standard cover plate and frame</t>
        </is>
      </c>
      <c r="F3135" s="5" t="inlineStr">
        <is>
          <t>base block depth tapers</t>
        </is>
      </c>
      <c r="G3135" s="6" t="inlineStr">
        <is>
          <t>m</t>
        </is>
      </c>
      <c r="H3135" s="7" t="n">
        <v>0.1</v>
      </c>
      <c r="I3135" s="8" t="n">
        <v>11.18</v>
      </c>
      <c r="J3135" s="8" t="n">
        <v>2.12</v>
      </c>
      <c r="K3135" s="8" t="n">
        <v>47.88</v>
      </c>
      <c r="L3135" s="8" t="n">
        <v>0</v>
      </c>
      <c r="M3135" s="9">
        <f>ROUND(SUM(I3135:L3135),2)</f>
        <v/>
      </c>
      <c r="N3135" s="10">
        <f>ROUND(I3135*'Irish Basis'!$C$6*'Irish Basis'!$C$5,2)</f>
        <v/>
      </c>
      <c r="O3135" s="10">
        <f>ROUND(J3135*'Irish Basis'!$C$7*'Irish Basis'!$C$5,2)</f>
        <v/>
      </c>
      <c r="P3135" s="10">
        <f>ROUND(K3135*'Irish Basis'!$C$8*'Irish Basis'!$C$5,2)</f>
        <v/>
      </c>
      <c r="Q3135" s="10">
        <f>ROUND(L3135*'Irish Basis'!$C$12*'Irish Basis'!$C$5,2)</f>
        <v/>
      </c>
      <c r="R3135" s="11">
        <f>ROUND(SUM(N3135:Q3135),2)</f>
        <v/>
      </c>
      <c r="S3135" s="5" t="inlineStr">
        <is>
          <t>Stated build-up</t>
        </is>
      </c>
      <c r="T3135" s="12" t="inlineStr">
        <is>
          <t>High</t>
        </is>
      </c>
      <c r="U3135" s="8" t="n">
        <v>61.17</v>
      </c>
      <c r="V3135" s="13">
        <f>IF(U3135="","",ROUND(M3135-U3135,2))</f>
        <v/>
      </c>
      <c r="W3135" s="5" t="n"/>
      <c r="X3135" s="5" t="inlineStr">
        <is>
          <t>Labour + plant + material as published; reconciles to the published rate.</t>
        </is>
      </c>
    </row>
    <row r="3136" ht="13" customHeight="1">
      <c r="A3136" s="4" t="n">
        <v>4794</v>
      </c>
      <c r="B3136" s="5" t="inlineStr">
        <is>
          <t>IMG_0130</t>
        </is>
      </c>
      <c r="C3136" s="5" t="inlineStr">
        <is>
          <t>CLASS R: ROADS AND PAVINGS</t>
        </is>
      </c>
      <c r="D3136" s="5" t="inlineStr">
        <is>
          <t>07 KERBS, CHANNELS AND EDGINGS</t>
        </is>
      </c>
      <c r="E3136" s="5" t="inlineStr">
        <is>
          <t>Extruded asphalt kerbs to BS 5931; extruded and slip formed; Kerb; straight or curved over 12 m radius</t>
        </is>
      </c>
      <c r="F3136" s="5" t="inlineStr">
        <is>
          <t>75 mm kerb height</t>
        </is>
      </c>
      <c r="G3136" s="6" t="inlineStr">
        <is>
          <t>m</t>
        </is>
      </c>
      <c r="H3136" s="7" t="n"/>
      <c r="I3136" s="8" t="n">
        <v>0</v>
      </c>
      <c r="J3136" s="8" t="n">
        <v>0</v>
      </c>
      <c r="K3136" s="8" t="n">
        <v>6.21</v>
      </c>
      <c r="L3136" s="8" t="n">
        <v>0</v>
      </c>
      <c r="M3136" s="9">
        <f>ROUND(SUM(I3136:L3136),2)</f>
        <v/>
      </c>
      <c r="N3136" s="10">
        <f>ROUND(I3136*'Irish Basis'!$C$6*'Irish Basis'!$C$5,2)</f>
        <v/>
      </c>
      <c r="O3136" s="10">
        <f>ROUND(J3136*'Irish Basis'!$C$7*'Irish Basis'!$C$5,2)</f>
        <v/>
      </c>
      <c r="P3136" s="10">
        <f>ROUND(K3136*'Irish Basis'!$C$8*'Irish Basis'!$C$5,2)</f>
        <v/>
      </c>
      <c r="Q3136" s="10">
        <f>ROUND(L3136*'Irish Basis'!$C$12*'Irish Basis'!$C$5,2)</f>
        <v/>
      </c>
      <c r="R3136" s="11">
        <f>ROUND(SUM(N3136:Q3136),2)</f>
        <v/>
      </c>
      <c r="S3136" s="5" t="inlineStr">
        <is>
          <t>Stated build-up</t>
        </is>
      </c>
      <c r="T3136" s="12" t="inlineStr">
        <is>
          <t>High</t>
        </is>
      </c>
      <c r="U3136" s="8" t="n">
        <v>6.21</v>
      </c>
      <c r="V3136" s="13">
        <f>IF(U3136="","",ROUND(M3136-U3136,2))</f>
        <v/>
      </c>
      <c r="W3136" s="5" t="n"/>
      <c r="X3136" s="5" t="inlineStr">
        <is>
          <t>Labour + plant + material as published; reconciles to the published rate.</t>
        </is>
      </c>
    </row>
    <row r="3137" ht="13" customHeight="1">
      <c r="A3137" s="4" t="n">
        <v>4795</v>
      </c>
      <c r="B3137" s="5" t="inlineStr">
        <is>
          <t>IMG_0130</t>
        </is>
      </c>
      <c r="C3137" s="5" t="inlineStr">
        <is>
          <t>CLASS R: ROADS AND PAVINGS</t>
        </is>
      </c>
      <c r="D3137" s="5" t="inlineStr">
        <is>
          <t>07 KERBS, CHANNELS AND EDGINGS</t>
        </is>
      </c>
      <c r="E3137" s="5" t="inlineStr">
        <is>
          <t>Extruded asphalt kerbs to BS 5931; extruded and slip formed; Kerb; straight or curved over 12 m radius</t>
        </is>
      </c>
      <c r="F3137" s="5" t="inlineStr">
        <is>
          <t>100 mm kerb height</t>
        </is>
      </c>
      <c r="G3137" s="6" t="inlineStr">
        <is>
          <t>m</t>
        </is>
      </c>
      <c r="H3137" s="7" t="n"/>
      <c r="I3137" s="8" t="n">
        <v>0</v>
      </c>
      <c r="J3137" s="8" t="n">
        <v>0</v>
      </c>
      <c r="K3137" s="8" t="n">
        <v>13.34</v>
      </c>
      <c r="L3137" s="8" t="n">
        <v>0</v>
      </c>
      <c r="M3137" s="9">
        <f>ROUND(SUM(I3137:L3137),2)</f>
        <v/>
      </c>
      <c r="N3137" s="10">
        <f>ROUND(I3137*'Irish Basis'!$C$6*'Irish Basis'!$C$5,2)</f>
        <v/>
      </c>
      <c r="O3137" s="10">
        <f>ROUND(J3137*'Irish Basis'!$C$7*'Irish Basis'!$C$5,2)</f>
        <v/>
      </c>
      <c r="P3137" s="10">
        <f>ROUND(K3137*'Irish Basis'!$C$8*'Irish Basis'!$C$5,2)</f>
        <v/>
      </c>
      <c r="Q3137" s="10">
        <f>ROUND(L3137*'Irish Basis'!$C$12*'Irish Basis'!$C$5,2)</f>
        <v/>
      </c>
      <c r="R3137" s="11">
        <f>ROUND(SUM(N3137:Q3137),2)</f>
        <v/>
      </c>
      <c r="S3137" s="5" t="inlineStr">
        <is>
          <t>Stated build-up</t>
        </is>
      </c>
      <c r="T3137" s="12" t="inlineStr">
        <is>
          <t>High</t>
        </is>
      </c>
      <c r="U3137" s="8" t="n">
        <v>13.34</v>
      </c>
      <c r="V3137" s="13">
        <f>IF(U3137="","",ROUND(M3137-U3137,2))</f>
        <v/>
      </c>
      <c r="W3137" s="5" t="n"/>
      <c r="X3137" s="5" t="inlineStr">
        <is>
          <t>Labour + plant + material as published; reconciles to the published rate.</t>
        </is>
      </c>
    </row>
    <row r="3138" ht="13" customHeight="1">
      <c r="A3138" s="4" t="n">
        <v>4796</v>
      </c>
      <c r="B3138" s="5" t="inlineStr">
        <is>
          <t>IMG_0130</t>
        </is>
      </c>
      <c r="C3138" s="5" t="inlineStr">
        <is>
          <t>CLASS R: ROADS AND PAVINGS</t>
        </is>
      </c>
      <c r="D3138" s="5" t="inlineStr">
        <is>
          <t>07 KERBS, CHANNELS AND EDGINGS</t>
        </is>
      </c>
      <c r="E3138" s="5" t="inlineStr">
        <is>
          <t>Extruded asphalt kerbs to BS 5931; extruded and slip formed; Kerb; straight or curved over 12 m radius</t>
        </is>
      </c>
      <c r="F3138" s="5" t="inlineStr">
        <is>
          <t>125 mm kerb height</t>
        </is>
      </c>
      <c r="G3138" s="6" t="inlineStr">
        <is>
          <t>m</t>
        </is>
      </c>
      <c r="H3138" s="7" t="n"/>
      <c r="I3138" s="8" t="n">
        <v>0</v>
      </c>
      <c r="J3138" s="8" t="n">
        <v>0</v>
      </c>
      <c r="K3138" s="8" t="n">
        <v>17.77</v>
      </c>
      <c r="L3138" s="8" t="n">
        <v>0</v>
      </c>
      <c r="M3138" s="9">
        <f>ROUND(SUM(I3138:L3138),2)</f>
        <v/>
      </c>
      <c r="N3138" s="10">
        <f>ROUND(I3138*'Irish Basis'!$C$6*'Irish Basis'!$C$5,2)</f>
        <v/>
      </c>
      <c r="O3138" s="10">
        <f>ROUND(J3138*'Irish Basis'!$C$7*'Irish Basis'!$C$5,2)</f>
        <v/>
      </c>
      <c r="P3138" s="10">
        <f>ROUND(K3138*'Irish Basis'!$C$8*'Irish Basis'!$C$5,2)</f>
        <v/>
      </c>
      <c r="Q3138" s="10">
        <f>ROUND(L3138*'Irish Basis'!$C$12*'Irish Basis'!$C$5,2)</f>
        <v/>
      </c>
      <c r="R3138" s="11">
        <f>ROUND(SUM(N3138:Q3138),2)</f>
        <v/>
      </c>
      <c r="S3138" s="5" t="inlineStr">
        <is>
          <t>Stated build-up</t>
        </is>
      </c>
      <c r="T3138" s="12" t="inlineStr">
        <is>
          <t>High</t>
        </is>
      </c>
      <c r="U3138" s="8" t="n">
        <v>17.77</v>
      </c>
      <c r="V3138" s="13">
        <f>IF(U3138="","",ROUND(M3138-U3138,2))</f>
        <v/>
      </c>
      <c r="W3138" s="5" t="n"/>
      <c r="X3138" s="5" t="inlineStr">
        <is>
          <t>Labour + plant + material as published; reconciles to the published rate.</t>
        </is>
      </c>
    </row>
    <row r="3139" ht="13" customHeight="1">
      <c r="A3139" s="4" t="n">
        <v>4798</v>
      </c>
      <c r="B3139" s="5" t="inlineStr">
        <is>
          <t>IMG_0130</t>
        </is>
      </c>
      <c r="C3139" s="5" t="inlineStr">
        <is>
          <t>CLASS R: ROADS AND PAVINGS</t>
        </is>
      </c>
      <c r="D3139" s="5" t="inlineStr">
        <is>
          <t>07 KERBS, CHANNELS AND EDGINGS</t>
        </is>
      </c>
      <c r="E3139" s="5" t="inlineStr">
        <is>
          <t>Channel; straight or curved over 12 m radius (extruded asphalt)</t>
        </is>
      </c>
      <c r="F3139" s="5" t="inlineStr">
        <is>
          <t>300 mm channel width</t>
        </is>
      </c>
      <c r="G3139" s="6" t="inlineStr">
        <is>
          <t>m</t>
        </is>
      </c>
      <c r="H3139" s="7" t="n"/>
      <c r="I3139" s="8" t="n">
        <v>0</v>
      </c>
      <c r="J3139" s="8" t="n">
        <v>0</v>
      </c>
      <c r="K3139" s="8" t="n">
        <v>22.23</v>
      </c>
      <c r="L3139" s="8" t="n">
        <v>0</v>
      </c>
      <c r="M3139" s="9">
        <f>ROUND(SUM(I3139:L3139),2)</f>
        <v/>
      </c>
      <c r="N3139" s="10">
        <f>ROUND(I3139*'Irish Basis'!$C$6*'Irish Basis'!$C$5,2)</f>
        <v/>
      </c>
      <c r="O3139" s="10">
        <f>ROUND(J3139*'Irish Basis'!$C$7*'Irish Basis'!$C$5,2)</f>
        <v/>
      </c>
      <c r="P3139" s="10">
        <f>ROUND(K3139*'Irish Basis'!$C$8*'Irish Basis'!$C$5,2)</f>
        <v/>
      </c>
      <c r="Q3139" s="10">
        <f>ROUND(L3139*'Irish Basis'!$C$12*'Irish Basis'!$C$5,2)</f>
        <v/>
      </c>
      <c r="R3139" s="11">
        <f>ROUND(SUM(N3139:Q3139),2)</f>
        <v/>
      </c>
      <c r="S3139" s="5" t="inlineStr">
        <is>
          <t>Stated build-up</t>
        </is>
      </c>
      <c r="T3139" s="12" t="inlineStr">
        <is>
          <t>High</t>
        </is>
      </c>
      <c r="U3139" s="8" t="n">
        <v>22.23</v>
      </c>
      <c r="V3139" s="13">
        <f>IF(U3139="","",ROUND(M3139-U3139,2))</f>
        <v/>
      </c>
      <c r="W3139" s="5" t="n"/>
      <c r="X3139" s="5" t="inlineStr">
        <is>
          <t>Labour + plant + material as published; reconciles to the published rate.</t>
        </is>
      </c>
    </row>
    <row r="3140" ht="13" customHeight="1">
      <c r="A3140" s="4" t="n">
        <v>4799</v>
      </c>
      <c r="B3140" s="5" t="inlineStr">
        <is>
          <t>IMG_0130</t>
        </is>
      </c>
      <c r="C3140" s="5" t="inlineStr">
        <is>
          <t>CLASS R: ROADS AND PAVINGS</t>
        </is>
      </c>
      <c r="D3140" s="5" t="inlineStr">
        <is>
          <t>07 KERBS, CHANNELS AND EDGINGS</t>
        </is>
      </c>
      <c r="E3140" s="5" t="inlineStr">
        <is>
          <t>Channel; straight or curved over 12 m radius (extruded asphalt)</t>
        </is>
      </c>
      <c r="F3140" s="5" t="inlineStr">
        <is>
          <t>250 mm channel width</t>
        </is>
      </c>
      <c r="G3140" s="6" t="inlineStr">
        <is>
          <t>m</t>
        </is>
      </c>
      <c r="H3140" s="7" t="n"/>
      <c r="I3140" s="8" t="n">
        <v>0</v>
      </c>
      <c r="J3140" s="8" t="n">
        <v>0</v>
      </c>
      <c r="K3140" s="8" t="n">
        <v>17.77</v>
      </c>
      <c r="L3140" s="8" t="n">
        <v>0</v>
      </c>
      <c r="M3140" s="9">
        <f>ROUND(SUM(I3140:L3140),2)</f>
        <v/>
      </c>
      <c r="N3140" s="10">
        <f>ROUND(I3140*'Irish Basis'!$C$6*'Irish Basis'!$C$5,2)</f>
        <v/>
      </c>
      <c r="O3140" s="10">
        <f>ROUND(J3140*'Irish Basis'!$C$7*'Irish Basis'!$C$5,2)</f>
        <v/>
      </c>
      <c r="P3140" s="10">
        <f>ROUND(K3140*'Irish Basis'!$C$8*'Irish Basis'!$C$5,2)</f>
        <v/>
      </c>
      <c r="Q3140" s="10">
        <f>ROUND(L3140*'Irish Basis'!$C$12*'Irish Basis'!$C$5,2)</f>
        <v/>
      </c>
      <c r="R3140" s="11">
        <f>ROUND(SUM(N3140:Q3140),2)</f>
        <v/>
      </c>
      <c r="S3140" s="5" t="inlineStr">
        <is>
          <t>Stated build-up</t>
        </is>
      </c>
      <c r="T3140" s="12" t="inlineStr">
        <is>
          <t>High</t>
        </is>
      </c>
      <c r="U3140" s="8" t="n">
        <v>17.77</v>
      </c>
      <c r="V3140" s="13">
        <f>IF(U3140="","",ROUND(M3140-U3140,2))</f>
        <v/>
      </c>
      <c r="W3140" s="5" t="n"/>
      <c r="X3140" s="5" t="inlineStr">
        <is>
          <t>Labour + plant + material as published; reconciles to the published rate.</t>
        </is>
      </c>
    </row>
    <row r="3141" ht="13" customHeight="1">
      <c r="A3141" s="4" t="n">
        <v>4801</v>
      </c>
      <c r="B3141" s="5" t="inlineStr">
        <is>
          <t>IMG_0130</t>
        </is>
      </c>
      <c r="C3141" s="5" t="inlineStr">
        <is>
          <t>CLASS R: ROADS AND PAVINGS</t>
        </is>
      </c>
      <c r="D3141" s="5" t="inlineStr">
        <is>
          <t>07 KERBS, CHANNELS AND EDGINGS</t>
        </is>
      </c>
      <c r="E3141" s="5" t="inlineStr">
        <is>
          <t>Kerb; curved to radius ne 12 m (extruded asphalt)</t>
        </is>
      </c>
      <c r="F3141" s="5" t="inlineStr">
        <is>
          <t>75 mm kerb height</t>
        </is>
      </c>
      <c r="G3141" s="6" t="inlineStr">
        <is>
          <t>m</t>
        </is>
      </c>
      <c r="H3141" s="7" t="n"/>
      <c r="I3141" s="8" t="n">
        <v>0</v>
      </c>
      <c r="J3141" s="8" t="n">
        <v>0</v>
      </c>
      <c r="K3141" s="8" t="n">
        <v>5.91</v>
      </c>
      <c r="L3141" s="8" t="n">
        <v>0</v>
      </c>
      <c r="M3141" s="9">
        <f>ROUND(SUM(I3141:L3141),2)</f>
        <v/>
      </c>
      <c r="N3141" s="10">
        <f>ROUND(I3141*'Irish Basis'!$C$6*'Irish Basis'!$C$5,2)</f>
        <v/>
      </c>
      <c r="O3141" s="10">
        <f>ROUND(J3141*'Irish Basis'!$C$7*'Irish Basis'!$C$5,2)</f>
        <v/>
      </c>
      <c r="P3141" s="10">
        <f>ROUND(K3141*'Irish Basis'!$C$8*'Irish Basis'!$C$5,2)</f>
        <v/>
      </c>
      <c r="Q3141" s="10">
        <f>ROUND(L3141*'Irish Basis'!$C$12*'Irish Basis'!$C$5,2)</f>
        <v/>
      </c>
      <c r="R3141" s="11">
        <f>ROUND(SUM(N3141:Q3141),2)</f>
        <v/>
      </c>
      <c r="S3141" s="5" t="inlineStr">
        <is>
          <t>Stated build-up</t>
        </is>
      </c>
      <c r="T3141" s="12" t="inlineStr">
        <is>
          <t>High</t>
        </is>
      </c>
      <c r="U3141" s="8" t="n">
        <v>5.91</v>
      </c>
      <c r="V3141" s="13">
        <f>IF(U3141="","",ROUND(M3141-U3141,2))</f>
        <v/>
      </c>
      <c r="W3141" s="5" t="n"/>
      <c r="X3141" s="5" t="inlineStr">
        <is>
          <t>Labour + plant + material as published; reconciles to the published rate.</t>
        </is>
      </c>
    </row>
    <row r="3142" ht="13" customHeight="1">
      <c r="A3142" s="4" t="n">
        <v>4802</v>
      </c>
      <c r="B3142" s="5" t="inlineStr">
        <is>
          <t>IMG_0130</t>
        </is>
      </c>
      <c r="C3142" s="5" t="inlineStr">
        <is>
          <t>CLASS R: ROADS AND PAVINGS</t>
        </is>
      </c>
      <c r="D3142" s="5" t="inlineStr">
        <is>
          <t>07 KERBS, CHANNELS AND EDGINGS</t>
        </is>
      </c>
      <c r="E3142" s="5" t="inlineStr">
        <is>
          <t>Kerb; curved to radius ne 12 m (extruded asphalt)</t>
        </is>
      </c>
      <c r="F3142" s="5" t="inlineStr">
        <is>
          <t>100 mm kerb height</t>
        </is>
      </c>
      <c r="G3142" s="6" t="inlineStr">
        <is>
          <t>m</t>
        </is>
      </c>
      <c r="H3142" s="7" t="n"/>
      <c r="I3142" s="8" t="n">
        <v>0</v>
      </c>
      <c r="J3142" s="8" t="n">
        <v>0</v>
      </c>
      <c r="K3142" s="8" t="n">
        <v>12.68</v>
      </c>
      <c r="L3142" s="8" t="n">
        <v>0</v>
      </c>
      <c r="M3142" s="9">
        <f>ROUND(SUM(I3142:L3142),2)</f>
        <v/>
      </c>
      <c r="N3142" s="10">
        <f>ROUND(I3142*'Irish Basis'!$C$6*'Irish Basis'!$C$5,2)</f>
        <v/>
      </c>
      <c r="O3142" s="10">
        <f>ROUND(J3142*'Irish Basis'!$C$7*'Irish Basis'!$C$5,2)</f>
        <v/>
      </c>
      <c r="P3142" s="10">
        <f>ROUND(K3142*'Irish Basis'!$C$8*'Irish Basis'!$C$5,2)</f>
        <v/>
      </c>
      <c r="Q3142" s="10">
        <f>ROUND(L3142*'Irish Basis'!$C$12*'Irish Basis'!$C$5,2)</f>
        <v/>
      </c>
      <c r="R3142" s="11">
        <f>ROUND(SUM(N3142:Q3142),2)</f>
        <v/>
      </c>
      <c r="S3142" s="5" t="inlineStr">
        <is>
          <t>Stated build-up</t>
        </is>
      </c>
      <c r="T3142" s="12" t="inlineStr">
        <is>
          <t>High</t>
        </is>
      </c>
      <c r="U3142" s="8" t="n">
        <v>12.68</v>
      </c>
      <c r="V3142" s="13">
        <f>IF(U3142="","",ROUND(M3142-U3142,2))</f>
        <v/>
      </c>
      <c r="W3142" s="5" t="n"/>
      <c r="X3142" s="5" t="inlineStr">
        <is>
          <t>Labour + plant + material as published; reconciles to the published rate.</t>
        </is>
      </c>
    </row>
    <row r="3143" ht="13" customHeight="1">
      <c r="A3143" s="4" t="n">
        <v>4803</v>
      </c>
      <c r="B3143" s="5" t="inlineStr">
        <is>
          <t>IMG_0130</t>
        </is>
      </c>
      <c r="C3143" s="5" t="inlineStr">
        <is>
          <t>CLASS R: ROADS AND PAVINGS</t>
        </is>
      </c>
      <c r="D3143" s="5" t="inlineStr">
        <is>
          <t>07 KERBS, CHANNELS AND EDGINGS</t>
        </is>
      </c>
      <c r="E3143" s="5" t="inlineStr">
        <is>
          <t>Kerb; curved to radius ne 12 m (extruded asphalt)</t>
        </is>
      </c>
      <c r="F3143" s="5" t="inlineStr">
        <is>
          <t>125 mm kerb height</t>
        </is>
      </c>
      <c r="G3143" s="6" t="inlineStr">
        <is>
          <t>m</t>
        </is>
      </c>
      <c r="H3143" s="7" t="n"/>
      <c r="I3143" s="8" t="n">
        <v>0</v>
      </c>
      <c r="J3143" s="8" t="n">
        <v>0</v>
      </c>
      <c r="K3143" s="8" t="n">
        <v>16.89</v>
      </c>
      <c r="L3143" s="8" t="n">
        <v>0</v>
      </c>
      <c r="M3143" s="9">
        <f>ROUND(SUM(I3143:L3143),2)</f>
        <v/>
      </c>
      <c r="N3143" s="10">
        <f>ROUND(I3143*'Irish Basis'!$C$6*'Irish Basis'!$C$5,2)</f>
        <v/>
      </c>
      <c r="O3143" s="10">
        <f>ROUND(J3143*'Irish Basis'!$C$7*'Irish Basis'!$C$5,2)</f>
        <v/>
      </c>
      <c r="P3143" s="10">
        <f>ROUND(K3143*'Irish Basis'!$C$8*'Irish Basis'!$C$5,2)</f>
        <v/>
      </c>
      <c r="Q3143" s="10">
        <f>ROUND(L3143*'Irish Basis'!$C$12*'Irish Basis'!$C$5,2)</f>
        <v/>
      </c>
      <c r="R3143" s="11">
        <f>ROUND(SUM(N3143:Q3143),2)</f>
        <v/>
      </c>
      <c r="S3143" s="5" t="inlineStr">
        <is>
          <t>Stated build-up</t>
        </is>
      </c>
      <c r="T3143" s="12" t="inlineStr">
        <is>
          <t>High</t>
        </is>
      </c>
      <c r="U3143" s="8" t="n">
        <v>16.89</v>
      </c>
      <c r="V3143" s="13">
        <f>IF(U3143="","",ROUND(M3143-U3143,2))</f>
        <v/>
      </c>
      <c r="W3143" s="5" t="n"/>
      <c r="X3143" s="5" t="inlineStr">
        <is>
          <t>Labour + plant + material as published; reconciles to the published rate.</t>
        </is>
      </c>
    </row>
    <row r="3144" ht="13" customHeight="1">
      <c r="A3144" s="4" t="n">
        <v>4805</v>
      </c>
      <c r="B3144" s="5" t="inlineStr">
        <is>
          <t>IMG_0130</t>
        </is>
      </c>
      <c r="C3144" s="5" t="inlineStr">
        <is>
          <t>CLASS R: ROADS AND PAVINGS</t>
        </is>
      </c>
      <c r="D3144" s="5" t="inlineStr">
        <is>
          <t>07 KERBS, CHANNELS AND EDGINGS</t>
        </is>
      </c>
      <c r="E3144" s="5" t="inlineStr">
        <is>
          <t>Channel; curved to radius ne 12 m (extruded asphalt)</t>
        </is>
      </c>
      <c r="F3144" s="5" t="inlineStr">
        <is>
          <t>300 mm channel width</t>
        </is>
      </c>
      <c r="G3144" s="6" t="inlineStr">
        <is>
          <t>m</t>
        </is>
      </c>
      <c r="H3144" s="7" t="n"/>
      <c r="I3144" s="8" t="n">
        <v>0</v>
      </c>
      <c r="J3144" s="8" t="n">
        <v>0</v>
      </c>
      <c r="K3144" s="8" t="n">
        <v>22.11</v>
      </c>
      <c r="L3144" s="8" t="n">
        <v>0</v>
      </c>
      <c r="M3144" s="9">
        <f>ROUND(SUM(I3144:L3144),2)</f>
        <v/>
      </c>
      <c r="N3144" s="10">
        <f>ROUND(I3144*'Irish Basis'!$C$6*'Irish Basis'!$C$5,2)</f>
        <v/>
      </c>
      <c r="O3144" s="10">
        <f>ROUND(J3144*'Irish Basis'!$C$7*'Irish Basis'!$C$5,2)</f>
        <v/>
      </c>
      <c r="P3144" s="10">
        <f>ROUND(K3144*'Irish Basis'!$C$8*'Irish Basis'!$C$5,2)</f>
        <v/>
      </c>
      <c r="Q3144" s="10">
        <f>ROUND(L3144*'Irish Basis'!$C$12*'Irish Basis'!$C$5,2)</f>
        <v/>
      </c>
      <c r="R3144" s="11">
        <f>ROUND(SUM(N3144:Q3144),2)</f>
        <v/>
      </c>
      <c r="S3144" s="5" t="inlineStr">
        <is>
          <t>Stated build-up</t>
        </is>
      </c>
      <c r="T3144" s="12" t="inlineStr">
        <is>
          <t>High</t>
        </is>
      </c>
      <c r="U3144" s="8" t="n">
        <v>22.11</v>
      </c>
      <c r="V3144" s="13">
        <f>IF(U3144="","",ROUND(M3144-U3144,2))</f>
        <v/>
      </c>
      <c r="W3144" s="5" t="n"/>
      <c r="X3144" s="5" t="inlineStr">
        <is>
          <t>Labour + plant + material as published; reconciles to the published rate.</t>
        </is>
      </c>
    </row>
    <row r="3145" ht="13" customHeight="1">
      <c r="A3145" s="4" t="n">
        <v>4806</v>
      </c>
      <c r="B3145" s="5" t="inlineStr">
        <is>
          <t>IMG_0130</t>
        </is>
      </c>
      <c r="C3145" s="5" t="inlineStr">
        <is>
          <t>CLASS R: ROADS AND PAVINGS</t>
        </is>
      </c>
      <c r="D3145" s="5" t="inlineStr">
        <is>
          <t>07 KERBS, CHANNELS AND EDGINGS</t>
        </is>
      </c>
      <c r="E3145" s="5" t="inlineStr">
        <is>
          <t>Channel; curved to radius ne 12 m (extruded asphalt)</t>
        </is>
      </c>
      <c r="F3145" s="5" t="inlineStr">
        <is>
          <t>250 mm channel width</t>
        </is>
      </c>
      <c r="G3145" s="6" t="inlineStr">
        <is>
          <t>m</t>
        </is>
      </c>
      <c r="H3145" s="7" t="n"/>
      <c r="I3145" s="8" t="n">
        <v>0</v>
      </c>
      <c r="J3145" s="8" t="n">
        <v>0</v>
      </c>
      <c r="K3145" s="8" t="n">
        <v>16.89</v>
      </c>
      <c r="L3145" s="8" t="n">
        <v>0</v>
      </c>
      <c r="M3145" s="9">
        <f>ROUND(SUM(I3145:L3145),2)</f>
        <v/>
      </c>
      <c r="N3145" s="10">
        <f>ROUND(I3145*'Irish Basis'!$C$6*'Irish Basis'!$C$5,2)</f>
        <v/>
      </c>
      <c r="O3145" s="10">
        <f>ROUND(J3145*'Irish Basis'!$C$7*'Irish Basis'!$C$5,2)</f>
        <v/>
      </c>
      <c r="P3145" s="10">
        <f>ROUND(K3145*'Irish Basis'!$C$8*'Irish Basis'!$C$5,2)</f>
        <v/>
      </c>
      <c r="Q3145" s="10">
        <f>ROUND(L3145*'Irish Basis'!$C$12*'Irish Basis'!$C$5,2)</f>
        <v/>
      </c>
      <c r="R3145" s="11">
        <f>ROUND(SUM(N3145:Q3145),2)</f>
        <v/>
      </c>
      <c r="S3145" s="5" t="inlineStr">
        <is>
          <t>Stated build-up</t>
        </is>
      </c>
      <c r="T3145" s="12" t="inlineStr">
        <is>
          <t>High</t>
        </is>
      </c>
      <c r="U3145" s="8" t="n">
        <v>16.89</v>
      </c>
      <c r="V3145" s="13">
        <f>IF(U3145="","",ROUND(M3145-U3145,2))</f>
        <v/>
      </c>
      <c r="W3145" s="5" t="n"/>
      <c r="X3145" s="5" t="inlineStr">
        <is>
          <t>Labour + plant + material as published; reconciles to the published rate.</t>
        </is>
      </c>
    </row>
    <row r="3146" ht="13" customHeight="1">
      <c r="A3146" s="4" t="n">
        <v>4808</v>
      </c>
      <c r="B3146" s="5" t="inlineStr">
        <is>
          <t>IMG_0130</t>
        </is>
      </c>
      <c r="C3146" s="5" t="inlineStr">
        <is>
          <t>CLASS R: ROADS AND PAVINGS</t>
        </is>
      </c>
      <c r="D3146" s="5" t="inlineStr">
        <is>
          <t>07 KERBS, CHANNELS AND EDGINGS</t>
        </is>
      </c>
      <c r="E3146" s="5" t="inlineStr">
        <is>
          <t>Extruded concrete; slip formed; Kerb; straight or curved over 12 m radius</t>
        </is>
      </c>
      <c r="F3146" s="5" t="inlineStr">
        <is>
          <t>100 mm kerb height</t>
        </is>
      </c>
      <c r="G3146" s="6" t="inlineStr">
        <is>
          <t>m</t>
        </is>
      </c>
      <c r="H3146" s="7" t="n"/>
      <c r="I3146" s="8" t="n">
        <v>0</v>
      </c>
      <c r="J3146" s="8" t="n">
        <v>0</v>
      </c>
      <c r="K3146" s="8" t="n">
        <v>13.34</v>
      </c>
      <c r="L3146" s="8" t="n">
        <v>0</v>
      </c>
      <c r="M3146" s="9">
        <f>ROUND(SUM(I3146:L3146),2)</f>
        <v/>
      </c>
      <c r="N3146" s="10">
        <f>ROUND(I3146*'Irish Basis'!$C$6*'Irish Basis'!$C$5,2)</f>
        <v/>
      </c>
      <c r="O3146" s="10">
        <f>ROUND(J3146*'Irish Basis'!$C$7*'Irish Basis'!$C$5,2)</f>
        <v/>
      </c>
      <c r="P3146" s="10">
        <f>ROUND(K3146*'Irish Basis'!$C$8*'Irish Basis'!$C$5,2)</f>
        <v/>
      </c>
      <c r="Q3146" s="10">
        <f>ROUND(L3146*'Irish Basis'!$C$12*'Irish Basis'!$C$5,2)</f>
        <v/>
      </c>
      <c r="R3146" s="11">
        <f>ROUND(SUM(N3146:Q3146),2)</f>
        <v/>
      </c>
      <c r="S3146" s="5" t="inlineStr">
        <is>
          <t>Stated build-up</t>
        </is>
      </c>
      <c r="T3146" s="12" t="inlineStr">
        <is>
          <t>High</t>
        </is>
      </c>
      <c r="U3146" s="8" t="n">
        <v>13.34</v>
      </c>
      <c r="V3146" s="13">
        <f>IF(U3146="","",ROUND(M3146-U3146,2))</f>
        <v/>
      </c>
      <c r="W3146" s="5" t="n"/>
      <c r="X3146" s="5" t="inlineStr">
        <is>
          <t>Labour + plant + material as published; reconciles to the published rate.</t>
        </is>
      </c>
    </row>
    <row r="3147" ht="13" customHeight="1">
      <c r="A3147" s="4" t="n">
        <v>4809</v>
      </c>
      <c r="B3147" s="5" t="inlineStr">
        <is>
          <t>IMG_0130</t>
        </is>
      </c>
      <c r="C3147" s="5" t="inlineStr">
        <is>
          <t>CLASS R: ROADS AND PAVINGS</t>
        </is>
      </c>
      <c r="D3147" s="5" t="inlineStr">
        <is>
          <t>07 KERBS, CHANNELS AND EDGINGS</t>
        </is>
      </c>
      <c r="E3147" s="5" t="inlineStr">
        <is>
          <t>Extruded concrete; slip formed; Kerb; straight or curved over 12 m radius</t>
        </is>
      </c>
      <c r="F3147" s="5" t="inlineStr">
        <is>
          <t>125 mm kerb height</t>
        </is>
      </c>
      <c r="G3147" s="6" t="inlineStr">
        <is>
          <t>m</t>
        </is>
      </c>
      <c r="H3147" s="7" t="n"/>
      <c r="I3147" s="8" t="n">
        <v>0</v>
      </c>
      <c r="J3147" s="8" t="n">
        <v>0</v>
      </c>
      <c r="K3147" s="8" t="n">
        <v>17.77</v>
      </c>
      <c r="L3147" s="8" t="n">
        <v>0</v>
      </c>
      <c r="M3147" s="9">
        <f>ROUND(SUM(I3147:L3147),2)</f>
        <v/>
      </c>
      <c r="N3147" s="10">
        <f>ROUND(I3147*'Irish Basis'!$C$6*'Irish Basis'!$C$5,2)</f>
        <v/>
      </c>
      <c r="O3147" s="10">
        <f>ROUND(J3147*'Irish Basis'!$C$7*'Irish Basis'!$C$5,2)</f>
        <v/>
      </c>
      <c r="P3147" s="10">
        <f>ROUND(K3147*'Irish Basis'!$C$8*'Irish Basis'!$C$5,2)</f>
        <v/>
      </c>
      <c r="Q3147" s="10">
        <f>ROUND(L3147*'Irish Basis'!$C$12*'Irish Basis'!$C$5,2)</f>
        <v/>
      </c>
      <c r="R3147" s="11">
        <f>ROUND(SUM(N3147:Q3147),2)</f>
        <v/>
      </c>
      <c r="S3147" s="5" t="inlineStr">
        <is>
          <t>Stated build-up</t>
        </is>
      </c>
      <c r="T3147" s="12" t="inlineStr">
        <is>
          <t>High</t>
        </is>
      </c>
      <c r="U3147" s="8" t="n">
        <v>17.77</v>
      </c>
      <c r="V3147" s="13">
        <f>IF(U3147="","",ROUND(M3147-U3147,2))</f>
        <v/>
      </c>
      <c r="W3147" s="5" t="n"/>
      <c r="X3147" s="5" t="inlineStr">
        <is>
          <t>Labour + plant + material as published; reconciles to the published rate.</t>
        </is>
      </c>
    </row>
    <row r="3148" ht="13" customHeight="1">
      <c r="A3148" s="4" t="n">
        <v>4811</v>
      </c>
      <c r="B3148" s="5" t="inlineStr">
        <is>
          <t>IMG_0130</t>
        </is>
      </c>
      <c r="C3148" s="5" t="inlineStr">
        <is>
          <t>CLASS R: ROADS AND PAVINGS</t>
        </is>
      </c>
      <c r="D3148" s="5" t="inlineStr">
        <is>
          <t>07 KERBS, CHANNELS AND EDGINGS</t>
        </is>
      </c>
      <c r="E3148" s="5" t="inlineStr">
        <is>
          <t>Kerb; curved to radius ne 12 m (extruded concrete)</t>
        </is>
      </c>
      <c r="F3148" s="5" t="inlineStr">
        <is>
          <t>100 mm kerb height</t>
        </is>
      </c>
      <c r="G3148" s="6" t="inlineStr">
        <is>
          <t>m</t>
        </is>
      </c>
      <c r="H3148" s="7" t="n"/>
      <c r="I3148" s="8" t="n">
        <v>0</v>
      </c>
      <c r="J3148" s="8" t="n">
        <v>0</v>
      </c>
      <c r="K3148" s="8" t="n">
        <v>18.35</v>
      </c>
      <c r="L3148" s="8" t="n">
        <v>0</v>
      </c>
      <c r="M3148" s="9">
        <f>ROUND(SUM(I3148:L3148),2)</f>
        <v/>
      </c>
      <c r="N3148" s="10">
        <f>ROUND(I3148*'Irish Basis'!$C$6*'Irish Basis'!$C$5,2)</f>
        <v/>
      </c>
      <c r="O3148" s="10">
        <f>ROUND(J3148*'Irish Basis'!$C$7*'Irish Basis'!$C$5,2)</f>
        <v/>
      </c>
      <c r="P3148" s="10">
        <f>ROUND(K3148*'Irish Basis'!$C$8*'Irish Basis'!$C$5,2)</f>
        <v/>
      </c>
      <c r="Q3148" s="10">
        <f>ROUND(L3148*'Irish Basis'!$C$12*'Irish Basis'!$C$5,2)</f>
        <v/>
      </c>
      <c r="R3148" s="11">
        <f>ROUND(SUM(N3148:Q3148),2)</f>
        <v/>
      </c>
      <c r="S3148" s="5" t="inlineStr">
        <is>
          <t>Stated build-up</t>
        </is>
      </c>
      <c r="T3148" s="12" t="inlineStr">
        <is>
          <t>High</t>
        </is>
      </c>
      <c r="U3148" s="8" t="n">
        <v>18.35</v>
      </c>
      <c r="V3148" s="13">
        <f>IF(U3148="","",ROUND(M3148-U3148,2))</f>
        <v/>
      </c>
      <c r="W3148" s="5" t="n"/>
      <c r="X3148" s="5" t="inlineStr">
        <is>
          <t>Labour + plant + material as published; reconciles to the published rate.</t>
        </is>
      </c>
    </row>
    <row r="3149" ht="13" customHeight="1">
      <c r="A3149" s="4" t="n">
        <v>4812</v>
      </c>
      <c r="B3149" s="5" t="inlineStr">
        <is>
          <t>IMG_0130</t>
        </is>
      </c>
      <c r="C3149" s="5" t="inlineStr">
        <is>
          <t>CLASS R: ROADS AND PAVINGS</t>
        </is>
      </c>
      <c r="D3149" s="5" t="inlineStr">
        <is>
          <t>07 KERBS, CHANNELS AND EDGINGS</t>
        </is>
      </c>
      <c r="E3149" s="5" t="inlineStr">
        <is>
          <t>Kerb; curved to radius ne 12 m (extruded concrete)</t>
        </is>
      </c>
      <c r="F3149" s="5" t="inlineStr">
        <is>
          <t>125 mm kerb height</t>
        </is>
      </c>
      <c r="G3149" s="6" t="inlineStr">
        <is>
          <t>m</t>
        </is>
      </c>
      <c r="H3149" s="7" t="n"/>
      <c r="I3149" s="8" t="n">
        <v>0</v>
      </c>
      <c r="J3149" s="8" t="n">
        <v>0</v>
      </c>
      <c r="K3149" s="8" t="n">
        <v>22.2</v>
      </c>
      <c r="L3149" s="8" t="n">
        <v>0</v>
      </c>
      <c r="M3149" s="9">
        <f>ROUND(SUM(I3149:L3149),2)</f>
        <v/>
      </c>
      <c r="N3149" s="10">
        <f>ROUND(I3149*'Irish Basis'!$C$6*'Irish Basis'!$C$5,2)</f>
        <v/>
      </c>
      <c r="O3149" s="10">
        <f>ROUND(J3149*'Irish Basis'!$C$7*'Irish Basis'!$C$5,2)</f>
        <v/>
      </c>
      <c r="P3149" s="10">
        <f>ROUND(K3149*'Irish Basis'!$C$8*'Irish Basis'!$C$5,2)</f>
        <v/>
      </c>
      <c r="Q3149" s="10">
        <f>ROUND(L3149*'Irish Basis'!$C$12*'Irish Basis'!$C$5,2)</f>
        <v/>
      </c>
      <c r="R3149" s="11">
        <f>ROUND(SUM(N3149:Q3149),2)</f>
        <v/>
      </c>
      <c r="S3149" s="5" t="inlineStr">
        <is>
          <t>Stated build-up</t>
        </is>
      </c>
      <c r="T3149" s="12" t="inlineStr">
        <is>
          <t>High</t>
        </is>
      </c>
      <c r="U3149" s="8" t="n">
        <v>22.2</v>
      </c>
      <c r="V3149" s="13">
        <f>IF(U3149="","",ROUND(M3149-U3149,2))</f>
        <v/>
      </c>
      <c r="W3149" s="5" t="n"/>
      <c r="X3149" s="5" t="inlineStr">
        <is>
          <t>Labour + plant + material as published; reconciles to the published rate.</t>
        </is>
      </c>
    </row>
    <row r="3150" ht="13" customHeight="1">
      <c r="A3150" s="4" t="n">
        <v>4816</v>
      </c>
      <c r="B3150" s="5" t="inlineStr">
        <is>
          <t>IMG_0130</t>
        </is>
      </c>
      <c r="C3150" s="5" t="inlineStr">
        <is>
          <t>CLASS R: ROADS AND PAVINGS</t>
        </is>
      </c>
      <c r="D3150" s="5" t="inlineStr">
        <is>
          <t>07 KERBS, CHANNELS AND EDGINGS</t>
        </is>
      </c>
      <c r="E3150" s="5" t="inlineStr">
        <is>
          <t>To paved area; sloping not exceeding 10 deg to the horizontal</t>
        </is>
      </c>
      <c r="F3150" s="5" t="inlineStr">
        <is>
          <t>100 mm thick Type 1 Unbound Mixtures</t>
        </is>
      </c>
      <c r="G3150" s="6" t="inlineStr"/>
      <c r="H3150" s="7" t="n">
        <v>0.01</v>
      </c>
      <c r="I3150" s="8" t="n">
        <v>0.99</v>
      </c>
      <c r="J3150" s="8" t="n">
        <v>0.88</v>
      </c>
      <c r="K3150" s="8" t="n">
        <v>9.08</v>
      </c>
      <c r="L3150" s="8" t="n">
        <v>0</v>
      </c>
      <c r="M3150" s="9">
        <f>ROUND(SUM(I3150:L3150),2)</f>
        <v/>
      </c>
      <c r="N3150" s="10">
        <f>ROUND(I3150*'Irish Basis'!$C$6*'Irish Basis'!$C$5,2)</f>
        <v/>
      </c>
      <c r="O3150" s="10">
        <f>ROUND(J3150*'Irish Basis'!$C$7*'Irish Basis'!$C$5,2)</f>
        <v/>
      </c>
      <c r="P3150" s="10">
        <f>ROUND(K3150*'Irish Basis'!$C$8*'Irish Basis'!$C$5,2)</f>
        <v/>
      </c>
      <c r="Q3150" s="10">
        <f>ROUND(L3150*'Irish Basis'!$C$12*'Irish Basis'!$C$5,2)</f>
        <v/>
      </c>
      <c r="R3150" s="11">
        <f>ROUND(SUM(N3150:Q3150),2)</f>
        <v/>
      </c>
      <c r="S3150" s="5" t="inlineStr">
        <is>
          <t>Stated build-up</t>
        </is>
      </c>
      <c r="T3150" s="12" t="inlineStr">
        <is>
          <t>High</t>
        </is>
      </c>
      <c r="U3150" s="8" t="n">
        <v>10.95</v>
      </c>
      <c r="V3150" s="13">
        <f>IF(U3150="","",ROUND(M3150-U3150,2))</f>
        <v/>
      </c>
      <c r="W3150" s="5" t="n"/>
      <c r="X3150" s="5" t="inlineStr">
        <is>
          <t>Labour + plant + material as published; reconciles to the published rate.</t>
        </is>
      </c>
    </row>
    <row r="3151" ht="13" customHeight="1">
      <c r="A3151" s="4" t="n">
        <v>4817</v>
      </c>
      <c r="B3151" s="5" t="inlineStr">
        <is>
          <t>IMG_0130</t>
        </is>
      </c>
      <c r="C3151" s="5" t="inlineStr">
        <is>
          <t>CLASS R: ROADS AND PAVINGS</t>
        </is>
      </c>
      <c r="D3151" s="5" t="inlineStr">
        <is>
          <t>07 KERBS, CHANNELS AND EDGINGS</t>
        </is>
      </c>
      <c r="E3151" s="5" t="inlineStr">
        <is>
          <t>To paved area; sloping not exceeding 10 deg to the horizontal</t>
        </is>
      </c>
      <c r="F3151" s="5" t="inlineStr">
        <is>
          <t>150 mm thick Type 1 Unbound Mixtures</t>
        </is>
      </c>
      <c r="G3151" s="6" t="inlineStr"/>
      <c r="H3151" s="7" t="n">
        <v>0.01</v>
      </c>
      <c r="I3151" s="8" t="n">
        <v>1.33</v>
      </c>
      <c r="J3151" s="8" t="n">
        <v>1.17</v>
      </c>
      <c r="K3151" s="8" t="n">
        <v>13.62</v>
      </c>
      <c r="L3151" s="8" t="n">
        <v>0</v>
      </c>
      <c r="M3151" s="9">
        <f>ROUND(SUM(I3151:L3151),2)</f>
        <v/>
      </c>
      <c r="N3151" s="10">
        <f>ROUND(I3151*'Irish Basis'!$C$6*'Irish Basis'!$C$5,2)</f>
        <v/>
      </c>
      <c r="O3151" s="10">
        <f>ROUND(J3151*'Irish Basis'!$C$7*'Irish Basis'!$C$5,2)</f>
        <v/>
      </c>
      <c r="P3151" s="10">
        <f>ROUND(K3151*'Irish Basis'!$C$8*'Irish Basis'!$C$5,2)</f>
        <v/>
      </c>
      <c r="Q3151" s="10">
        <f>ROUND(L3151*'Irish Basis'!$C$12*'Irish Basis'!$C$5,2)</f>
        <v/>
      </c>
      <c r="R3151" s="11">
        <f>ROUND(SUM(N3151:Q3151),2)</f>
        <v/>
      </c>
      <c r="S3151" s="5" t="inlineStr">
        <is>
          <t>Stated build-up</t>
        </is>
      </c>
      <c r="T3151" s="12" t="inlineStr">
        <is>
          <t>High</t>
        </is>
      </c>
      <c r="U3151" s="8" t="n">
        <v>16.11</v>
      </c>
      <c r="V3151" s="13">
        <f>IF(U3151="","",ROUND(M3151-U3151,2))</f>
        <v/>
      </c>
      <c r="W3151" s="5" t="n"/>
      <c r="X3151" s="5" t="inlineStr">
        <is>
          <t>Labour + plant + material as published; reconciles to the published rate.</t>
        </is>
      </c>
    </row>
    <row r="3152" ht="13" customHeight="1">
      <c r="A3152" s="4" t="n">
        <v>4818</v>
      </c>
      <c r="B3152" s="5" t="inlineStr">
        <is>
          <t>IMG_0130</t>
        </is>
      </c>
      <c r="C3152" s="5" t="inlineStr">
        <is>
          <t>CLASS R: ROADS AND PAVINGS</t>
        </is>
      </c>
      <c r="D3152" s="5" t="inlineStr">
        <is>
          <t>07 KERBS, CHANNELS AND EDGINGS</t>
        </is>
      </c>
      <c r="E3152" s="5" t="inlineStr">
        <is>
          <t>To paved area; sloping not exceeding 10 deg to the horizontal</t>
        </is>
      </c>
      <c r="F3152" s="5" t="inlineStr">
        <is>
          <t>100 mm thick Concrete GEN3 or ST4 to BS 8500</t>
        </is>
      </c>
      <c r="G3152" s="6" t="inlineStr"/>
      <c r="H3152" s="7" t="n">
        <v>0.02</v>
      </c>
      <c r="I3152" s="8" t="n">
        <v>2.32</v>
      </c>
      <c r="J3152" s="8" t="n">
        <v>2.05</v>
      </c>
      <c r="K3152" s="8" t="n">
        <v>14.66</v>
      </c>
      <c r="L3152" s="8" t="n">
        <v>0</v>
      </c>
      <c r="M3152" s="9">
        <f>ROUND(SUM(I3152:L3152),2)</f>
        <v/>
      </c>
      <c r="N3152" s="10">
        <f>ROUND(I3152*'Irish Basis'!$C$6*'Irish Basis'!$C$5,2)</f>
        <v/>
      </c>
      <c r="O3152" s="10">
        <f>ROUND(J3152*'Irish Basis'!$C$7*'Irish Basis'!$C$5,2)</f>
        <v/>
      </c>
      <c r="P3152" s="10">
        <f>ROUND(K3152*'Irish Basis'!$C$8*'Irish Basis'!$C$5,2)</f>
        <v/>
      </c>
      <c r="Q3152" s="10">
        <f>ROUND(L3152*'Irish Basis'!$C$12*'Irish Basis'!$C$5,2)</f>
        <v/>
      </c>
      <c r="R3152" s="11">
        <f>ROUND(SUM(N3152:Q3152),2)</f>
        <v/>
      </c>
      <c r="S3152" s="5" t="inlineStr">
        <is>
          <t>Stated build-up</t>
        </is>
      </c>
      <c r="T3152" s="12" t="inlineStr">
        <is>
          <t>High</t>
        </is>
      </c>
      <c r="U3152" s="8" t="n">
        <v>19.03</v>
      </c>
      <c r="V3152" s="13">
        <f>IF(U3152="","",ROUND(M3152-U3152,2))</f>
        <v/>
      </c>
      <c r="W3152" s="5" t="n"/>
      <c r="X3152" s="5" t="inlineStr">
        <is>
          <t>Labour + plant + material as published; reconciles to the published rate.</t>
        </is>
      </c>
    </row>
    <row r="3153" ht="13" customHeight="1">
      <c r="A3153" s="4" t="n">
        <v>4819</v>
      </c>
      <c r="B3153" s="5" t="inlineStr">
        <is>
          <t>IMG_0130</t>
        </is>
      </c>
      <c r="C3153" s="5" t="inlineStr">
        <is>
          <t>CLASS R: ROADS AND PAVINGS</t>
        </is>
      </c>
      <c r="D3153" s="5" t="inlineStr">
        <is>
          <t>07 KERBS, CHANNELS AND EDGINGS</t>
        </is>
      </c>
      <c r="E3153" s="5" t="inlineStr">
        <is>
          <t>To paved area; sloping not exceeding 10 deg to the horizontal</t>
        </is>
      </c>
      <c r="F3153" s="5" t="inlineStr">
        <is>
          <t>150 mm thick Concrete GEN3 or ST4 to BS 8500</t>
        </is>
      </c>
      <c r="G3153" s="6" t="inlineStr"/>
      <c r="H3153" s="7" t="n">
        <v>0.03</v>
      </c>
      <c r="I3153" s="8" t="n">
        <v>3.54</v>
      </c>
      <c r="J3153" s="8" t="n">
        <v>3.12</v>
      </c>
      <c r="K3153" s="8" t="n">
        <v>21.99</v>
      </c>
      <c r="L3153" s="8" t="n">
        <v>0</v>
      </c>
      <c r="M3153" s="9">
        <f>ROUND(SUM(I3153:L3153),2)</f>
        <v/>
      </c>
      <c r="N3153" s="10">
        <f>ROUND(I3153*'Irish Basis'!$C$6*'Irish Basis'!$C$5,2)</f>
        <v/>
      </c>
      <c r="O3153" s="10">
        <f>ROUND(J3153*'Irish Basis'!$C$7*'Irish Basis'!$C$5,2)</f>
        <v/>
      </c>
      <c r="P3153" s="10">
        <f>ROUND(K3153*'Irish Basis'!$C$8*'Irish Basis'!$C$5,2)</f>
        <v/>
      </c>
      <c r="Q3153" s="10">
        <f>ROUND(L3153*'Irish Basis'!$C$12*'Irish Basis'!$C$5,2)</f>
        <v/>
      </c>
      <c r="R3153" s="11">
        <f>ROUND(SUM(N3153:Q3153),2)</f>
        <v/>
      </c>
      <c r="S3153" s="5" t="inlineStr">
        <is>
          <t>Stated build-up</t>
        </is>
      </c>
      <c r="T3153" s="12" t="inlineStr">
        <is>
          <t>High</t>
        </is>
      </c>
      <c r="U3153" s="8" t="n">
        <v>28.65</v>
      </c>
      <c r="V3153" s="13">
        <f>IF(U3153="","",ROUND(M3153-U3153,2))</f>
        <v/>
      </c>
      <c r="W3153" s="5" t="n"/>
      <c r="X3153" s="5" t="inlineStr">
        <is>
          <t>Labour + plant + material as published; reconciles to the published rate.</t>
        </is>
      </c>
    </row>
    <row r="3154" ht="13" customHeight="1">
      <c r="A3154" s="4" t="n">
        <v>4821</v>
      </c>
      <c r="B3154" s="5" t="inlineStr">
        <is>
          <t>IMG_0130</t>
        </is>
      </c>
      <c r="C3154" s="5" t="inlineStr">
        <is>
          <t>CLASS R: ROADS AND PAVINGS</t>
        </is>
      </c>
      <c r="D3154" s="5" t="inlineStr">
        <is>
          <t>07 KERBS, CHANNELS AND EDGINGS</t>
        </is>
      </c>
      <c r="E3154" s="5" t="inlineStr">
        <is>
          <t>Binder Course AC 20 Dense Bin 100/150 Rec to PD6691; Surface Course AC 6 Dense Surf 100/150 to PD6691; Paved area comprising binder course 50 mm thick, surface course 20 mm thick</t>
        </is>
      </c>
      <c r="F3154" s="5" t="inlineStr">
        <is>
          <t>sloping not exceeding 10 deg to the horizontal</t>
        </is>
      </c>
      <c r="G3154" s="6" t="inlineStr">
        <is>
          <t>m2</t>
        </is>
      </c>
      <c r="H3154" s="7" t="n">
        <v>0.09</v>
      </c>
      <c r="I3154" s="8" t="n">
        <v>9.4</v>
      </c>
      <c r="J3154" s="8" t="n">
        <v>8.300000000000001</v>
      </c>
      <c r="K3154" s="8" t="n">
        <v>12.33</v>
      </c>
      <c r="L3154" s="8" t="n">
        <v>0</v>
      </c>
      <c r="M3154" s="9">
        <f>ROUND(SUM(I3154:L3154),2)</f>
        <v/>
      </c>
      <c r="N3154" s="10">
        <f>ROUND(I3154*'Irish Basis'!$C$6*'Irish Basis'!$C$5,2)</f>
        <v/>
      </c>
      <c r="O3154" s="10">
        <f>ROUND(J3154*'Irish Basis'!$C$7*'Irish Basis'!$C$5,2)</f>
        <v/>
      </c>
      <c r="P3154" s="10">
        <f>ROUND(K3154*'Irish Basis'!$C$8*'Irish Basis'!$C$5,2)</f>
        <v/>
      </c>
      <c r="Q3154" s="10">
        <f>ROUND(L3154*'Irish Basis'!$C$12*'Irish Basis'!$C$5,2)</f>
        <v/>
      </c>
      <c r="R3154" s="11">
        <f>ROUND(SUM(N3154:Q3154),2)</f>
        <v/>
      </c>
      <c r="S3154" s="5" t="inlineStr">
        <is>
          <t>Stated build-up</t>
        </is>
      </c>
      <c r="T3154" s="12" t="inlineStr">
        <is>
          <t>High</t>
        </is>
      </c>
      <c r="U3154" s="8" t="n">
        <v>30.03</v>
      </c>
      <c r="V3154" s="13">
        <f>IF(U3154="","",ROUND(M3154-U3154,2))</f>
        <v/>
      </c>
      <c r="W3154" s="5" t="n"/>
      <c r="X3154" s="5" t="inlineStr">
        <is>
          <t>Labour + plant + material as published; reconciles to the published rate.</t>
        </is>
      </c>
    </row>
    <row r="3155" ht="13" customHeight="1">
      <c r="A3155" s="4" t="n">
        <v>4822</v>
      </c>
      <c r="B3155" s="5" t="inlineStr">
        <is>
          <t>IMG_0130</t>
        </is>
      </c>
      <c r="C3155" s="5" t="inlineStr">
        <is>
          <t>CLASS R: ROADS AND PAVINGS</t>
        </is>
      </c>
      <c r="D3155" s="5" t="inlineStr">
        <is>
          <t>07 KERBS, CHANNELS AND EDGINGS</t>
        </is>
      </c>
      <c r="E3155" s="5" t="inlineStr">
        <is>
          <t>Binder Course AC 20 Dense Bin 100/150 Rec to PD6691; Surface Course AC 6 Dense Surf 100/150 to PD6691; Paved area comprising binder course 50 mm thick, surface course 20 mm thick</t>
        </is>
      </c>
      <c r="F3155" s="5" t="inlineStr">
        <is>
          <t>sloping not exceeding 10 deg to the horizontal; red additives</t>
        </is>
      </c>
      <c r="G3155" s="6" t="inlineStr">
        <is>
          <t>m2</t>
        </is>
      </c>
      <c r="H3155" s="7" t="n">
        <v>0.09</v>
      </c>
      <c r="I3155" s="8" t="n">
        <v>9.4</v>
      </c>
      <c r="J3155" s="8" t="n">
        <v>8.300000000000001</v>
      </c>
      <c r="K3155" s="8" t="n">
        <v>50.7</v>
      </c>
      <c r="L3155" s="8" t="n">
        <v>0</v>
      </c>
      <c r="M3155" s="9">
        <f>ROUND(SUM(I3155:L3155),2)</f>
        <v/>
      </c>
      <c r="N3155" s="10">
        <f>ROUND(I3155*'Irish Basis'!$C$6*'Irish Basis'!$C$5,2)</f>
        <v/>
      </c>
      <c r="O3155" s="10">
        <f>ROUND(J3155*'Irish Basis'!$C$7*'Irish Basis'!$C$5,2)</f>
        <v/>
      </c>
      <c r="P3155" s="10">
        <f>ROUND(K3155*'Irish Basis'!$C$8*'Irish Basis'!$C$5,2)</f>
        <v/>
      </c>
      <c r="Q3155" s="10">
        <f>ROUND(L3155*'Irish Basis'!$C$12*'Irish Basis'!$C$5,2)</f>
        <v/>
      </c>
      <c r="R3155" s="11">
        <f>ROUND(SUM(N3155:Q3155),2)</f>
        <v/>
      </c>
      <c r="S3155" s="5" t="inlineStr">
        <is>
          <t>Stated build-up</t>
        </is>
      </c>
      <c r="T3155" s="12" t="inlineStr">
        <is>
          <t>High</t>
        </is>
      </c>
      <c r="U3155" s="8" t="n">
        <v>68.39</v>
      </c>
      <c r="V3155" s="13">
        <f>IF(U3155="","",ROUND(M3155-U3155,2))</f>
        <v/>
      </c>
      <c r="W3155" s="5" t="n"/>
      <c r="X3155" s="5" t="inlineStr">
        <is>
          <t>Labour + plant + material as published; reconciles to the published rate.</t>
        </is>
      </c>
    </row>
    <row r="3156" ht="13" customHeight="1">
      <c r="A3156" s="4" t="n">
        <v>4823</v>
      </c>
      <c r="B3156" s="5" t="inlineStr">
        <is>
          <t>IMG_0130</t>
        </is>
      </c>
      <c r="C3156" s="5" t="inlineStr">
        <is>
          <t>CLASS R: ROADS AND PAVINGS</t>
        </is>
      </c>
      <c r="D3156" s="5" t="inlineStr">
        <is>
          <t>07 KERBS, CHANNELS AND EDGINGS</t>
        </is>
      </c>
      <c r="E3156" s="5" t="inlineStr">
        <is>
          <t>Binder Course AC 20 Dense Bin 100/150 Rec to PD6691; Surface Course AC 6 Dense Surf 100/150 to PD6691; Paved area comprising binder course 50 mm thick, surface course 20 mm thick</t>
        </is>
      </c>
      <c r="F3156" s="5" t="inlineStr">
        <is>
          <t>sloping not exceeding 10 deg to the horizontal; green additives</t>
        </is>
      </c>
      <c r="G3156" s="6" t="inlineStr">
        <is>
          <t>m2</t>
        </is>
      </c>
      <c r="H3156" s="7" t="n">
        <v>0.09</v>
      </c>
      <c r="I3156" s="8" t="n">
        <v>9.4</v>
      </c>
      <c r="J3156" s="8" t="n">
        <v>8.300000000000001</v>
      </c>
      <c r="K3156" s="8" t="n">
        <v>18.61</v>
      </c>
      <c r="L3156" s="8" t="n">
        <v>0</v>
      </c>
      <c r="M3156" s="9">
        <f>ROUND(SUM(I3156:L3156),2)</f>
        <v/>
      </c>
      <c r="N3156" s="10">
        <f>ROUND(I3156*'Irish Basis'!$C$6*'Irish Basis'!$C$5,2)</f>
        <v/>
      </c>
      <c r="O3156" s="10">
        <f>ROUND(J3156*'Irish Basis'!$C$7*'Irish Basis'!$C$5,2)</f>
        <v/>
      </c>
      <c r="P3156" s="10">
        <f>ROUND(K3156*'Irish Basis'!$C$8*'Irish Basis'!$C$5,2)</f>
        <v/>
      </c>
      <c r="Q3156" s="10">
        <f>ROUND(L3156*'Irish Basis'!$C$12*'Irish Basis'!$C$5,2)</f>
        <v/>
      </c>
      <c r="R3156" s="11">
        <f>ROUND(SUM(N3156:Q3156),2)</f>
        <v/>
      </c>
      <c r="S3156" s="5" t="inlineStr">
        <is>
          <t>Stated build-up</t>
        </is>
      </c>
      <c r="T3156" s="12" t="inlineStr">
        <is>
          <t>High</t>
        </is>
      </c>
      <c r="U3156" s="8" t="n">
        <v>36.3</v>
      </c>
      <c r="V3156" s="13">
        <f>IF(U3156="","",ROUND(M3156-U3156,2))</f>
        <v/>
      </c>
      <c r="W3156" s="5" t="n"/>
      <c r="X3156" s="5" t="inlineStr">
        <is>
          <t>Labour + plant + material as published; reconciles to the published rate.</t>
        </is>
      </c>
    </row>
    <row r="3157" ht="13" customHeight="1">
      <c r="A3157" s="4" t="n">
        <v>4824</v>
      </c>
      <c r="B3157" s="5" t="inlineStr">
        <is>
          <t>IMG_0130</t>
        </is>
      </c>
      <c r="C3157" s="5" t="inlineStr">
        <is>
          <t>CLASS R: ROADS AND PAVINGS</t>
        </is>
      </c>
      <c r="D3157" s="5" t="inlineStr">
        <is>
          <t>07 KERBS, CHANNELS AND EDGINGS</t>
        </is>
      </c>
      <c r="E3157" s="5" t="inlineStr">
        <is>
          <t>Binder Course AC 20 Dense Bin 100/150 Rec to PD6691; Surface Course AC 6 Dense Surf 100/150 to PD6691; Paved area comprising binder course 50 mm thick, surface course 20 mm thick</t>
        </is>
      </c>
      <c r="F3157" s="5" t="inlineStr">
        <is>
          <t>sloping exceeding 10 deg to the horizontal</t>
        </is>
      </c>
      <c r="G3157" s="6" t="inlineStr">
        <is>
          <t>m2</t>
        </is>
      </c>
      <c r="H3157" s="7" t="n">
        <v>0.1</v>
      </c>
      <c r="I3157" s="8" t="n">
        <v>10.51</v>
      </c>
      <c r="J3157" s="8" t="n">
        <v>9.279999999999999</v>
      </c>
      <c r="K3157" s="8" t="n">
        <v>12.33</v>
      </c>
      <c r="L3157" s="8" t="n">
        <v>0</v>
      </c>
      <c r="M3157" s="9">
        <f>ROUND(SUM(I3157:L3157),2)</f>
        <v/>
      </c>
      <c r="N3157" s="10">
        <f>ROUND(I3157*'Irish Basis'!$C$6*'Irish Basis'!$C$5,2)</f>
        <v/>
      </c>
      <c r="O3157" s="10">
        <f>ROUND(J3157*'Irish Basis'!$C$7*'Irish Basis'!$C$5,2)</f>
        <v/>
      </c>
      <c r="P3157" s="10">
        <f>ROUND(K3157*'Irish Basis'!$C$8*'Irish Basis'!$C$5,2)</f>
        <v/>
      </c>
      <c r="Q3157" s="10">
        <f>ROUND(L3157*'Irish Basis'!$C$12*'Irish Basis'!$C$5,2)</f>
        <v/>
      </c>
      <c r="R3157" s="11">
        <f>ROUND(SUM(N3157:Q3157),2)</f>
        <v/>
      </c>
      <c r="S3157" s="5" t="inlineStr">
        <is>
          <t>Stated build-up</t>
        </is>
      </c>
      <c r="T3157" s="12" t="inlineStr">
        <is>
          <t>High</t>
        </is>
      </c>
      <c r="U3157" s="8" t="n">
        <v>32.13</v>
      </c>
      <c r="V3157" s="13">
        <f>IF(U3157="","",ROUND(M3157-U3157,2))</f>
        <v/>
      </c>
      <c r="W3157" s="5" t="n"/>
      <c r="X3157" s="5" t="inlineStr">
        <is>
          <t>Labour + plant + material as published; reconciles to the published rate.</t>
        </is>
      </c>
    </row>
    <row r="3158" ht="13" customHeight="1">
      <c r="A3158" s="4" t="n">
        <v>4825</v>
      </c>
      <c r="B3158" s="5" t="inlineStr">
        <is>
          <t>IMG_0130</t>
        </is>
      </c>
      <c r="C3158" s="5" t="inlineStr">
        <is>
          <t>CLASS R: ROADS AND PAVINGS</t>
        </is>
      </c>
      <c r="D3158" s="5" t="inlineStr">
        <is>
          <t>07 KERBS, CHANNELS AND EDGINGS</t>
        </is>
      </c>
      <c r="E3158" s="5" t="inlineStr">
        <is>
          <t>Binder Course AC 20 Dense Bin 100/150 Rec to PD6691; Surface Course AC 6 Dense Surf 100/150 to PD6691; Paved area comprising binder course 50 mm thick, surface course 20 mm thick</t>
        </is>
      </c>
      <c r="F3158" s="5" t="inlineStr">
        <is>
          <t>sloping exceeding 10 deg to the horizontal; red additives</t>
        </is>
      </c>
      <c r="G3158" s="6" t="inlineStr">
        <is>
          <t>m2</t>
        </is>
      </c>
      <c r="H3158" s="7" t="n">
        <v>0.1</v>
      </c>
      <c r="I3158" s="8" t="n">
        <v>10.51</v>
      </c>
      <c r="J3158" s="8" t="n">
        <v>9.279999999999999</v>
      </c>
      <c r="K3158" s="8" t="n">
        <v>50.7</v>
      </c>
      <c r="L3158" s="8" t="n">
        <v>0</v>
      </c>
      <c r="M3158" s="9">
        <f>ROUND(SUM(I3158:L3158),2)</f>
        <v/>
      </c>
      <c r="N3158" s="10">
        <f>ROUND(I3158*'Irish Basis'!$C$6*'Irish Basis'!$C$5,2)</f>
        <v/>
      </c>
      <c r="O3158" s="10">
        <f>ROUND(J3158*'Irish Basis'!$C$7*'Irish Basis'!$C$5,2)</f>
        <v/>
      </c>
      <c r="P3158" s="10">
        <f>ROUND(K3158*'Irish Basis'!$C$8*'Irish Basis'!$C$5,2)</f>
        <v/>
      </c>
      <c r="Q3158" s="10">
        <f>ROUND(L3158*'Irish Basis'!$C$12*'Irish Basis'!$C$5,2)</f>
        <v/>
      </c>
      <c r="R3158" s="11">
        <f>ROUND(SUM(N3158:Q3158),2)</f>
        <v/>
      </c>
      <c r="S3158" s="5" t="inlineStr">
        <is>
          <t>Stated build-up</t>
        </is>
      </c>
      <c r="T3158" s="12" t="inlineStr">
        <is>
          <t>High</t>
        </is>
      </c>
      <c r="U3158" s="8" t="n">
        <v>70.5</v>
      </c>
      <c r="V3158" s="13">
        <f>IF(U3158="","",ROUND(M3158-U3158,2))</f>
        <v/>
      </c>
      <c r="W3158" s="5" t="n"/>
      <c r="X3158" s="5" t="inlineStr">
        <is>
          <t>Labour + plant + material as published; reconciles to the published rate.</t>
        </is>
      </c>
    </row>
    <row r="3159" ht="13" customHeight="1">
      <c r="A3159" s="4" t="n">
        <v>4826</v>
      </c>
      <c r="B3159" s="5" t="inlineStr">
        <is>
          <t>IMG_0130</t>
        </is>
      </c>
      <c r="C3159" s="5" t="inlineStr">
        <is>
          <t>CLASS R: ROADS AND PAVINGS</t>
        </is>
      </c>
      <c r="D3159" s="5" t="inlineStr">
        <is>
          <t>07 KERBS, CHANNELS AND EDGINGS</t>
        </is>
      </c>
      <c r="E3159" s="5" t="inlineStr">
        <is>
          <t>Binder Course AC 20 Dense Bin 100/150 Rec to PD6691; Surface Course AC 6 Dense Surf 100/150 to PD6691; Paved area comprising binder course 50 mm thick, surface course 20 mm thick</t>
        </is>
      </c>
      <c r="F3159" s="5" t="inlineStr">
        <is>
          <t>sloping exceeding 10 deg to the horizontal; green additives</t>
        </is>
      </c>
      <c r="G3159" s="6" t="inlineStr">
        <is>
          <t>m2</t>
        </is>
      </c>
      <c r="H3159" s="7" t="n">
        <v>0.1</v>
      </c>
      <c r="I3159" s="8" t="n">
        <v>10.51</v>
      </c>
      <c r="J3159" s="8" t="n">
        <v>9.279999999999999</v>
      </c>
      <c r="K3159" s="8" t="n">
        <v>18.61</v>
      </c>
      <c r="L3159" s="8" t="n">
        <v>0</v>
      </c>
      <c r="M3159" s="9">
        <f>ROUND(SUM(I3159:L3159),2)</f>
        <v/>
      </c>
      <c r="N3159" s="10">
        <f>ROUND(I3159*'Irish Basis'!$C$6*'Irish Basis'!$C$5,2)</f>
        <v/>
      </c>
      <c r="O3159" s="10">
        <f>ROUND(J3159*'Irish Basis'!$C$7*'Irish Basis'!$C$5,2)</f>
        <v/>
      </c>
      <c r="P3159" s="10">
        <f>ROUND(K3159*'Irish Basis'!$C$8*'Irish Basis'!$C$5,2)</f>
        <v/>
      </c>
      <c r="Q3159" s="10">
        <f>ROUND(L3159*'Irish Basis'!$C$12*'Irish Basis'!$C$5,2)</f>
        <v/>
      </c>
      <c r="R3159" s="11">
        <f>ROUND(SUM(N3159:Q3159),2)</f>
        <v/>
      </c>
      <c r="S3159" s="5" t="inlineStr">
        <is>
          <t>Stated build-up</t>
        </is>
      </c>
      <c r="T3159" s="12" t="inlineStr">
        <is>
          <t>High</t>
        </is>
      </c>
      <c r="U3159" s="8" t="n">
        <v>38.4</v>
      </c>
      <c r="V3159" s="13">
        <f>IF(U3159="","",ROUND(M3159-U3159,2))</f>
        <v/>
      </c>
      <c r="W3159" s="5" t="n"/>
      <c r="X3159" s="5" t="inlineStr">
        <is>
          <t>Labour + plant + material as published; reconciles to the published rate.</t>
        </is>
      </c>
    </row>
    <row r="3160" ht="13" customHeight="1">
      <c r="A3160" s="4" t="n">
        <v>4828</v>
      </c>
      <c r="B3160" s="5" t="inlineStr">
        <is>
          <t>IMG_0130</t>
        </is>
      </c>
      <c r="C3160" s="5" t="inlineStr">
        <is>
          <t>CLASS R: ROADS AND PAVINGS</t>
        </is>
      </c>
      <c r="D3160" s="5" t="inlineStr">
        <is>
          <t>07 KERBS, CHANNELS AND EDGINGS</t>
        </is>
      </c>
      <c r="E3160" s="5" t="inlineStr">
        <is>
          <t>Granular base surfacing; Central Reserve Treatments Limestone, graded 10 mm down; laid and compacted; Paved area 100 mm thick; surface sprayed twice with two coats of cold bituminous emulsion; blinded with 6 mm quartzite fine gravel</t>
        </is>
      </c>
      <c r="F3160" s="5" t="inlineStr">
        <is>
          <t>sloping not exceeding 10 deg to the horizontal</t>
        </is>
      </c>
      <c r="G3160" s="6" t="inlineStr">
        <is>
          <t>m2</t>
        </is>
      </c>
      <c r="H3160" s="7" t="n">
        <v>0.02</v>
      </c>
      <c r="I3160" s="8" t="n">
        <v>2.21</v>
      </c>
      <c r="J3160" s="8" t="n">
        <v>1.95</v>
      </c>
      <c r="K3160" s="8" t="n">
        <v>10.3</v>
      </c>
      <c r="L3160" s="8" t="n">
        <v>0</v>
      </c>
      <c r="M3160" s="9">
        <f>ROUND(SUM(I3160:L3160),2)</f>
        <v/>
      </c>
      <c r="N3160" s="10">
        <f>ROUND(I3160*'Irish Basis'!$C$6*'Irish Basis'!$C$5,2)</f>
        <v/>
      </c>
      <c r="O3160" s="10">
        <f>ROUND(J3160*'Irish Basis'!$C$7*'Irish Basis'!$C$5,2)</f>
        <v/>
      </c>
      <c r="P3160" s="10">
        <f>ROUND(K3160*'Irish Basis'!$C$8*'Irish Basis'!$C$5,2)</f>
        <v/>
      </c>
      <c r="Q3160" s="10">
        <f>ROUND(L3160*'Irish Basis'!$C$12*'Irish Basis'!$C$5,2)</f>
        <v/>
      </c>
      <c r="R3160" s="11">
        <f>ROUND(SUM(N3160:Q3160),2)</f>
        <v/>
      </c>
      <c r="S3160" s="5" t="inlineStr">
        <is>
          <t>Stated build-up</t>
        </is>
      </c>
      <c r="T3160" s="12" t="inlineStr">
        <is>
          <t>High</t>
        </is>
      </c>
      <c r="U3160" s="8" t="n">
        <v>14.47</v>
      </c>
      <c r="V3160" s="13">
        <f>IF(U3160="","",ROUND(M3160-U3160,2))</f>
        <v/>
      </c>
      <c r="W3160" s="5" t="n"/>
      <c r="X3160" s="5" t="inlineStr">
        <is>
          <t>Labour + plant + material as published; reconciles to the published rate.</t>
        </is>
      </c>
    </row>
    <row r="3161" ht="13" customHeight="1">
      <c r="A3161" s="4" t="n">
        <v>4830</v>
      </c>
      <c r="B3161" s="5" t="inlineStr">
        <is>
          <t>IMG_0130</t>
        </is>
      </c>
      <c r="C3161" s="5" t="inlineStr">
        <is>
          <t>CLASS R: ROADS AND PAVINGS</t>
        </is>
      </c>
      <c r="D3161" s="5" t="inlineStr">
        <is>
          <t>07 KERBS, CHANNELS AND EDGINGS</t>
        </is>
      </c>
      <c r="E3161" s="5" t="inlineStr">
        <is>
          <t>Ennstone Johnston Golden gravel; graded 13 mm to fines; rolled wet; Paved area 50 mm thick; single layer</t>
        </is>
      </c>
      <c r="F3161" s="5" t="inlineStr">
        <is>
          <t>sloping not exceeding 10 deg to the horizontal</t>
        </is>
      </c>
      <c r="G3161" s="6" t="inlineStr">
        <is>
          <t>m2</t>
        </is>
      </c>
      <c r="H3161" s="7" t="n">
        <v>0.03</v>
      </c>
      <c r="I3161" s="8" t="n">
        <v>3.32</v>
      </c>
      <c r="J3161" s="8" t="n">
        <v>2.93</v>
      </c>
      <c r="K3161" s="8" t="n">
        <v>30.42</v>
      </c>
      <c r="L3161" s="8" t="n">
        <v>0</v>
      </c>
      <c r="M3161" s="9">
        <f>ROUND(SUM(I3161:L3161),2)</f>
        <v/>
      </c>
      <c r="N3161" s="10">
        <f>ROUND(I3161*'Irish Basis'!$C$6*'Irish Basis'!$C$5,2)</f>
        <v/>
      </c>
      <c r="O3161" s="10">
        <f>ROUND(J3161*'Irish Basis'!$C$7*'Irish Basis'!$C$5,2)</f>
        <v/>
      </c>
      <c r="P3161" s="10">
        <f>ROUND(K3161*'Irish Basis'!$C$8*'Irish Basis'!$C$5,2)</f>
        <v/>
      </c>
      <c r="Q3161" s="10">
        <f>ROUND(L3161*'Irish Basis'!$C$12*'Irish Basis'!$C$5,2)</f>
        <v/>
      </c>
      <c r="R3161" s="11">
        <f>ROUND(SUM(N3161:Q3161),2)</f>
        <v/>
      </c>
      <c r="S3161" s="5" t="inlineStr">
        <is>
          <t>Stated build-up</t>
        </is>
      </c>
      <c r="T3161" s="12" t="inlineStr">
        <is>
          <t>High</t>
        </is>
      </c>
      <c r="U3161" s="8" t="n">
        <v>36.66</v>
      </c>
      <c r="V3161" s="13">
        <f>IF(U3161="","",ROUND(M3161-U3161,2))</f>
        <v/>
      </c>
      <c r="W3161" s="5" t="n"/>
      <c r="X3161" s="5" t="inlineStr">
        <is>
          <t>Labour + plant + material as published; reconciles to the published rate.</t>
        </is>
      </c>
    </row>
    <row r="3162" ht="13" customHeight="1">
      <c r="A3162" s="4" t="n">
        <v>4832</v>
      </c>
      <c r="B3162" s="5" t="inlineStr">
        <is>
          <t>IMG_0130</t>
        </is>
      </c>
      <c r="C3162" s="5" t="inlineStr">
        <is>
          <t>CLASS R: ROADS AND PAVINGS</t>
        </is>
      </c>
      <c r="D3162" s="5" t="inlineStr">
        <is>
          <t>07 KERBS, CHANNELS AND EDGINGS</t>
        </is>
      </c>
      <c r="E3162" s="5" t="inlineStr">
        <is>
          <t>Precast concrete flags; BS 7263; grey; bedding in cement mortar; Paved area; sloping not exceeding 10 deg to the horizontal</t>
        </is>
      </c>
      <c r="F3162" s="5" t="inlineStr">
        <is>
          <t>900 x 600 x 63 mm</t>
        </is>
      </c>
      <c r="G3162" s="6" t="inlineStr">
        <is>
          <t>m2</t>
        </is>
      </c>
      <c r="H3162" s="7" t="n">
        <v>0.21</v>
      </c>
      <c r="I3162" s="8" t="n">
        <v>10.29</v>
      </c>
      <c r="J3162" s="8" t="n">
        <v>0.91</v>
      </c>
      <c r="K3162" s="8" t="n">
        <v>15.99</v>
      </c>
      <c r="L3162" s="8" t="n">
        <v>0</v>
      </c>
      <c r="M3162" s="9">
        <f>ROUND(SUM(I3162:L3162),2)</f>
        <v/>
      </c>
      <c r="N3162" s="10">
        <f>ROUND(I3162*'Irish Basis'!$C$6*'Irish Basis'!$C$5,2)</f>
        <v/>
      </c>
      <c r="O3162" s="10">
        <f>ROUND(J3162*'Irish Basis'!$C$7*'Irish Basis'!$C$5,2)</f>
        <v/>
      </c>
      <c r="P3162" s="10">
        <f>ROUND(K3162*'Irish Basis'!$C$8*'Irish Basis'!$C$5,2)</f>
        <v/>
      </c>
      <c r="Q3162" s="10">
        <f>ROUND(L3162*'Irish Basis'!$C$12*'Irish Basis'!$C$5,2)</f>
        <v/>
      </c>
      <c r="R3162" s="11">
        <f>ROUND(SUM(N3162:Q3162),2)</f>
        <v/>
      </c>
      <c r="S3162" s="5" t="inlineStr">
        <is>
          <t>Stated build-up</t>
        </is>
      </c>
      <c r="T3162" s="12" t="inlineStr">
        <is>
          <t>High</t>
        </is>
      </c>
      <c r="U3162" s="8" t="n">
        <v>27.2</v>
      </c>
      <c r="V3162" s="13">
        <f>IF(U3162="","",ROUND(M3162-U3162,2))</f>
        <v/>
      </c>
      <c r="W3162" s="5" t="n"/>
      <c r="X3162" s="5" t="inlineStr">
        <is>
          <t>Labour + plant + material as published; reconciles to the published rate.</t>
        </is>
      </c>
    </row>
    <row r="3163" ht="13" customHeight="1">
      <c r="A3163" s="4" t="n">
        <v>4833</v>
      </c>
      <c r="B3163" s="5" t="inlineStr">
        <is>
          <t>IMG_0130</t>
        </is>
      </c>
      <c r="C3163" s="5" t="inlineStr">
        <is>
          <t>CLASS R: ROADS AND PAVINGS</t>
        </is>
      </c>
      <c r="D3163" s="5" t="inlineStr">
        <is>
          <t>07 KERBS, CHANNELS AND EDGINGS</t>
        </is>
      </c>
      <c r="E3163" s="5" t="inlineStr">
        <is>
          <t>Precast concrete flags; BS 7263; grey; bedding in cement mortar; Paved area; sloping not exceeding 10 deg to the horizontal</t>
        </is>
      </c>
      <c r="F3163" s="5" t="inlineStr">
        <is>
          <t>900 x 600 x 50 mm</t>
        </is>
      </c>
      <c r="G3163" s="6" t="inlineStr">
        <is>
          <t>m2</t>
        </is>
      </c>
      <c r="H3163" s="7" t="n">
        <v>0.2</v>
      </c>
      <c r="I3163" s="8" t="n">
        <v>9.800000000000001</v>
      </c>
      <c r="J3163" s="8" t="n">
        <v>0.87</v>
      </c>
      <c r="K3163" s="8" t="n">
        <v>15.93</v>
      </c>
      <c r="L3163" s="8" t="n">
        <v>0</v>
      </c>
      <c r="M3163" s="9">
        <f>ROUND(SUM(I3163:L3163),2)</f>
        <v/>
      </c>
      <c r="N3163" s="10">
        <f>ROUND(I3163*'Irish Basis'!$C$6*'Irish Basis'!$C$5,2)</f>
        <v/>
      </c>
      <c r="O3163" s="10">
        <f>ROUND(J3163*'Irish Basis'!$C$7*'Irish Basis'!$C$5,2)</f>
        <v/>
      </c>
      <c r="P3163" s="10">
        <f>ROUND(K3163*'Irish Basis'!$C$8*'Irish Basis'!$C$5,2)</f>
        <v/>
      </c>
      <c r="Q3163" s="10">
        <f>ROUND(L3163*'Irish Basis'!$C$12*'Irish Basis'!$C$5,2)</f>
        <v/>
      </c>
      <c r="R3163" s="11">
        <f>ROUND(SUM(N3163:Q3163),2)</f>
        <v/>
      </c>
      <c r="S3163" s="5" t="inlineStr">
        <is>
          <t>Stated build-up</t>
        </is>
      </c>
      <c r="T3163" s="12" t="inlineStr">
        <is>
          <t>High</t>
        </is>
      </c>
      <c r="U3163" s="8" t="n">
        <v>26.6</v>
      </c>
      <c r="V3163" s="13">
        <f>IF(U3163="","",ROUND(M3163-U3163,2))</f>
        <v/>
      </c>
      <c r="W3163" s="5" t="n"/>
      <c r="X3163" s="5" t="inlineStr">
        <is>
          <t>Labour + plant + material as published; reconciles to the published rate.</t>
        </is>
      </c>
    </row>
    <row r="3164" ht="13" customHeight="1">
      <c r="A3164" s="4" t="n">
        <v>4834</v>
      </c>
      <c r="B3164" s="5" t="inlineStr">
        <is>
          <t>IMG_0130</t>
        </is>
      </c>
      <c r="C3164" s="5" t="inlineStr">
        <is>
          <t>CLASS R: ROADS AND PAVINGS</t>
        </is>
      </c>
      <c r="D3164" s="5" t="inlineStr">
        <is>
          <t>07 KERBS, CHANNELS AND EDGINGS</t>
        </is>
      </c>
      <c r="E3164" s="5" t="inlineStr">
        <is>
          <t>Precast concrete flags; BS 7263; grey; bedding in cement mortar; Paved area; sloping not exceeding 10 deg to the horizontal</t>
        </is>
      </c>
      <c r="F3164" s="5" t="inlineStr">
        <is>
          <t>600 x 600 x 63 mm</t>
        </is>
      </c>
      <c r="G3164" s="6" t="inlineStr">
        <is>
          <t>m2</t>
        </is>
      </c>
      <c r="H3164" s="7" t="n">
        <v>0.25</v>
      </c>
      <c r="I3164" s="8" t="n">
        <v>12.25</v>
      </c>
      <c r="J3164" s="8" t="n">
        <v>1.09</v>
      </c>
      <c r="K3164" s="8" t="n">
        <v>14.03</v>
      </c>
      <c r="L3164" s="8" t="n">
        <v>0</v>
      </c>
      <c r="M3164" s="9">
        <f>ROUND(SUM(I3164:L3164),2)</f>
        <v/>
      </c>
      <c r="N3164" s="10">
        <f>ROUND(I3164*'Irish Basis'!$C$6*'Irish Basis'!$C$5,2)</f>
        <v/>
      </c>
      <c r="O3164" s="10">
        <f>ROUND(J3164*'Irish Basis'!$C$7*'Irish Basis'!$C$5,2)</f>
        <v/>
      </c>
      <c r="P3164" s="10">
        <f>ROUND(K3164*'Irish Basis'!$C$8*'Irish Basis'!$C$5,2)</f>
        <v/>
      </c>
      <c r="Q3164" s="10">
        <f>ROUND(L3164*'Irish Basis'!$C$12*'Irish Basis'!$C$5,2)</f>
        <v/>
      </c>
      <c r="R3164" s="11">
        <f>ROUND(SUM(N3164:Q3164),2)</f>
        <v/>
      </c>
      <c r="S3164" s="5" t="inlineStr">
        <is>
          <t>Stated build-up</t>
        </is>
      </c>
      <c r="T3164" s="12" t="inlineStr">
        <is>
          <t>High</t>
        </is>
      </c>
      <c r="U3164" s="8" t="n">
        <v>27.37</v>
      </c>
      <c r="V3164" s="13">
        <f>IF(U3164="","",ROUND(M3164-U3164,2))</f>
        <v/>
      </c>
      <c r="W3164" s="5" t="n"/>
      <c r="X3164" s="5" t="inlineStr">
        <is>
          <t>Labour + plant + material as published; reconciles to the published rate.</t>
        </is>
      </c>
    </row>
    <row r="3165" ht="13" customHeight="1">
      <c r="A3165" s="4" t="n">
        <v>4835</v>
      </c>
      <c r="B3165" s="5" t="inlineStr">
        <is>
          <t>IMG_0130</t>
        </is>
      </c>
      <c r="C3165" s="5" t="inlineStr">
        <is>
          <t>CLASS R: ROADS AND PAVINGS</t>
        </is>
      </c>
      <c r="D3165" s="5" t="inlineStr">
        <is>
          <t>07 KERBS, CHANNELS AND EDGINGS</t>
        </is>
      </c>
      <c r="E3165" s="5" t="inlineStr">
        <is>
          <t>Precast concrete flags; BS 7263; grey; bedding in cement mortar; Paved area; sloping not exceeding 10 deg to the horizontal</t>
        </is>
      </c>
      <c r="F3165" s="5" t="inlineStr">
        <is>
          <t>600 x 600 x 50 mm</t>
        </is>
      </c>
      <c r="G3165" s="6" t="inlineStr">
        <is>
          <t>m2</t>
        </is>
      </c>
      <c r="H3165" s="7" t="n">
        <v>0.24</v>
      </c>
      <c r="I3165" s="8" t="n">
        <v>11.76</v>
      </c>
      <c r="J3165" s="8" t="n">
        <v>1.04</v>
      </c>
      <c r="K3165" s="8" t="n">
        <v>13.83</v>
      </c>
      <c r="L3165" s="8" t="n">
        <v>0</v>
      </c>
      <c r="M3165" s="9">
        <f>ROUND(SUM(I3165:L3165),2)</f>
        <v/>
      </c>
      <c r="N3165" s="10">
        <f>ROUND(I3165*'Irish Basis'!$C$6*'Irish Basis'!$C$5,2)</f>
        <v/>
      </c>
      <c r="O3165" s="10">
        <f>ROUND(J3165*'Irish Basis'!$C$7*'Irish Basis'!$C$5,2)</f>
        <v/>
      </c>
      <c r="P3165" s="10">
        <f>ROUND(K3165*'Irish Basis'!$C$8*'Irish Basis'!$C$5,2)</f>
        <v/>
      </c>
      <c r="Q3165" s="10">
        <f>ROUND(L3165*'Irish Basis'!$C$12*'Irish Basis'!$C$5,2)</f>
        <v/>
      </c>
      <c r="R3165" s="11">
        <f>ROUND(SUM(N3165:Q3165),2)</f>
        <v/>
      </c>
      <c r="S3165" s="5" t="inlineStr">
        <is>
          <t>Stated build-up</t>
        </is>
      </c>
      <c r="T3165" s="12" t="inlineStr">
        <is>
          <t>High</t>
        </is>
      </c>
      <c r="U3165" s="8" t="n">
        <v>26.63</v>
      </c>
      <c r="V3165" s="13">
        <f>IF(U3165="","",ROUND(M3165-U3165,2))</f>
        <v/>
      </c>
      <c r="W3165" s="5" t="n"/>
      <c r="X3165" s="5" t="inlineStr">
        <is>
          <t>Labour + plant + material as published; reconciles to the published rate.</t>
        </is>
      </c>
    </row>
    <row r="3166" ht="13" customHeight="1">
      <c r="A3166" s="4" t="n">
        <v>4836</v>
      </c>
      <c r="B3166" s="5" t="inlineStr">
        <is>
          <t>IMG_0130</t>
        </is>
      </c>
      <c r="C3166" s="5" t="inlineStr">
        <is>
          <t>CLASS R: ROADS AND PAVINGS</t>
        </is>
      </c>
      <c r="D3166" s="5" t="inlineStr">
        <is>
          <t>07 KERBS, CHANNELS AND EDGINGS</t>
        </is>
      </c>
      <c r="E3166" s="5" t="inlineStr">
        <is>
          <t>Precast concrete flags; BS 7263; grey; bedding in cement mortar; Paved area; sloping not exceeding 10 deg to the horizontal</t>
        </is>
      </c>
      <c r="F3166" s="5" t="inlineStr">
        <is>
          <t>600 x 450 x 50 mm</t>
        </is>
      </c>
      <c r="G3166" s="6" t="inlineStr">
        <is>
          <t>m2</t>
        </is>
      </c>
      <c r="H3166" s="7" t="n">
        <v>0.28</v>
      </c>
      <c r="I3166" s="8" t="n">
        <v>13.72</v>
      </c>
      <c r="J3166" s="8" t="n">
        <v>1.22</v>
      </c>
      <c r="K3166" s="8" t="n">
        <v>13.51</v>
      </c>
      <c r="L3166" s="8" t="n">
        <v>0</v>
      </c>
      <c r="M3166" s="9">
        <f>ROUND(SUM(I3166:L3166),2)</f>
        <v/>
      </c>
      <c r="N3166" s="10">
        <f>ROUND(I3166*'Irish Basis'!$C$6*'Irish Basis'!$C$5,2)</f>
        <v/>
      </c>
      <c r="O3166" s="10">
        <f>ROUND(J3166*'Irish Basis'!$C$7*'Irish Basis'!$C$5,2)</f>
        <v/>
      </c>
      <c r="P3166" s="10">
        <f>ROUND(K3166*'Irish Basis'!$C$8*'Irish Basis'!$C$5,2)</f>
        <v/>
      </c>
      <c r="Q3166" s="10">
        <f>ROUND(L3166*'Irish Basis'!$C$12*'Irish Basis'!$C$5,2)</f>
        <v/>
      </c>
      <c r="R3166" s="11">
        <f>ROUND(SUM(N3166:Q3166),2)</f>
        <v/>
      </c>
      <c r="S3166" s="5" t="inlineStr">
        <is>
          <t>Stated build-up</t>
        </is>
      </c>
      <c r="T3166" s="12" t="inlineStr">
        <is>
          <t>High</t>
        </is>
      </c>
      <c r="U3166" s="8" t="n">
        <v>28.45</v>
      </c>
      <c r="V3166" s="13">
        <f>IF(U3166="","",ROUND(M3166-U3166,2))</f>
        <v/>
      </c>
      <c r="W3166" s="5" t="n"/>
      <c r="X3166" s="5" t="inlineStr">
        <is>
          <t>Labour + plant + material as published; reconciles to the published rate.</t>
        </is>
      </c>
    </row>
    <row r="3167" ht="13" customHeight="1">
      <c r="A3167" s="4" t="n">
        <v>4837</v>
      </c>
      <c r="B3167" s="5" t="inlineStr">
        <is>
          <t>IMG_0130</t>
        </is>
      </c>
      <c r="C3167" s="5" t="inlineStr">
        <is>
          <t>CLASS R: ROADS AND PAVINGS</t>
        </is>
      </c>
      <c r="D3167" s="5" t="inlineStr">
        <is>
          <t>07 KERBS, CHANNELS AND EDGINGS</t>
        </is>
      </c>
      <c r="E3167" s="5" t="inlineStr">
        <is>
          <t>Precast concrete flags; BS 7263; grey; bedding in cement mortar; Paved area; sloping not exceeding 10 deg to the horizontal</t>
        </is>
      </c>
      <c r="F3167" s="5" t="inlineStr">
        <is>
          <t>Extra for coloured, 50 mm thick</t>
        </is>
      </c>
      <c r="G3167" s="6" t="inlineStr">
        <is>
          <t>m2</t>
        </is>
      </c>
      <c r="H3167" s="7" t="n"/>
      <c r="I3167" s="8" t="n">
        <v>0</v>
      </c>
      <c r="J3167" s="8" t="n">
        <v>0</v>
      </c>
      <c r="K3167" s="8" t="n">
        <v>4.22</v>
      </c>
      <c r="L3167" s="8" t="n">
        <v>0</v>
      </c>
      <c r="M3167" s="9">
        <f>ROUND(SUM(I3167:L3167),2)</f>
        <v/>
      </c>
      <c r="N3167" s="10">
        <f>ROUND(I3167*'Irish Basis'!$C$6*'Irish Basis'!$C$5,2)</f>
        <v/>
      </c>
      <c r="O3167" s="10">
        <f>ROUND(J3167*'Irish Basis'!$C$7*'Irish Basis'!$C$5,2)</f>
        <v/>
      </c>
      <c r="P3167" s="10">
        <f>ROUND(K3167*'Irish Basis'!$C$8*'Irish Basis'!$C$5,2)</f>
        <v/>
      </c>
      <c r="Q3167" s="10">
        <f>ROUND(L3167*'Irish Basis'!$C$12*'Irish Basis'!$C$5,2)</f>
        <v/>
      </c>
      <c r="R3167" s="11">
        <f>ROUND(SUM(N3167:Q3167),2)</f>
        <v/>
      </c>
      <c r="S3167" s="5" t="inlineStr">
        <is>
          <t>Stated build-up</t>
        </is>
      </c>
      <c r="T3167" s="12" t="inlineStr">
        <is>
          <t>High</t>
        </is>
      </c>
      <c r="U3167" s="8" t="n">
        <v>4.22</v>
      </c>
      <c r="V3167" s="13">
        <f>IF(U3167="","",ROUND(M3167-U3167,2))</f>
        <v/>
      </c>
      <c r="W3167" s="5" t="n"/>
      <c r="X3167" s="5" t="inlineStr">
        <is>
          <t>Labour + plant + material as published; reconciles to the published rate.</t>
        </is>
      </c>
    </row>
    <row r="3168" ht="13" customHeight="1">
      <c r="A3168" s="4" t="n">
        <v>4840</v>
      </c>
      <c r="B3168" s="5" t="inlineStr">
        <is>
          <t>IMG_0131</t>
        </is>
      </c>
      <c r="C3168" s="5" t="inlineStr">
        <is>
          <t>CLASS R: ROADS AND PAVINGS</t>
        </is>
      </c>
      <c r="D3168" s="5" t="inlineStr">
        <is>
          <t>07 KERBS, CHANNELS AND EDGINGS</t>
        </is>
      </c>
      <c r="E3168" s="5" t="inlineStr">
        <is>
          <t>Precast concrete rectangular paving blocks; BS 6717; grey; Paved area; sloping not exceeding 10 deg to the horizontal (continued)</t>
        </is>
      </c>
      <c r="F3168" s="5" t="inlineStr">
        <is>
          <t>200 x 100 x 80 mm thick</t>
        </is>
      </c>
      <c r="G3168" s="6" t="inlineStr">
        <is>
          <t>m2</t>
        </is>
      </c>
      <c r="H3168" s="7" t="n">
        <v>0.3</v>
      </c>
      <c r="I3168" s="8" t="n">
        <v>14.7</v>
      </c>
      <c r="J3168" s="8" t="n">
        <v>1.31</v>
      </c>
      <c r="K3168" s="8" t="n">
        <v>35.98</v>
      </c>
      <c r="L3168" s="8" t="n">
        <v>0</v>
      </c>
      <c r="M3168" s="9">
        <f>ROUND(SUM(I3168:L3168),2)</f>
        <v/>
      </c>
      <c r="N3168" s="10">
        <f>ROUND(I3168*'Irish Basis'!$C$6*'Irish Basis'!$C$5,2)</f>
        <v/>
      </c>
      <c r="O3168" s="10">
        <f>ROUND(J3168*'Irish Basis'!$C$7*'Irish Basis'!$C$5,2)</f>
        <v/>
      </c>
      <c r="P3168" s="10">
        <f>ROUND(K3168*'Irish Basis'!$C$8*'Irish Basis'!$C$5,2)</f>
        <v/>
      </c>
      <c r="Q3168" s="10">
        <f>ROUND(L3168*'Irish Basis'!$C$12*'Irish Basis'!$C$5,2)</f>
        <v/>
      </c>
      <c r="R3168" s="11">
        <f>ROUND(SUM(N3168:Q3168),2)</f>
        <v/>
      </c>
      <c r="S3168" s="5" t="inlineStr">
        <is>
          <t>Stated build-up</t>
        </is>
      </c>
      <c r="T3168" s="12" t="inlineStr">
        <is>
          <t>High</t>
        </is>
      </c>
      <c r="U3168" s="8" t="n">
        <v>51.99</v>
      </c>
      <c r="V3168" s="13">
        <f>IF(U3168="","",ROUND(M3168-U3168,2))</f>
        <v/>
      </c>
      <c r="W3168" s="5" t="n"/>
      <c r="X3168" s="5" t="inlineStr">
        <is>
          <t>Labour + plant + material as published; reconciles to the published rate.</t>
        </is>
      </c>
    </row>
    <row r="3169" ht="13" customHeight="1">
      <c r="A3169" s="4" t="n">
        <v>4841</v>
      </c>
      <c r="B3169" s="5" t="inlineStr">
        <is>
          <t>IMG_0131</t>
        </is>
      </c>
      <c r="C3169" s="5" t="inlineStr">
        <is>
          <t>CLASS R: ROADS AND PAVINGS</t>
        </is>
      </c>
      <c r="D3169" s="5" t="inlineStr">
        <is>
          <t>07 KERBS, CHANNELS AND EDGINGS</t>
        </is>
      </c>
      <c r="E3169" s="5" t="inlineStr">
        <is>
          <t>Precast concrete rectangular paving blocks; BS 6717; grey; Paved area; sloping not exceeding 10 deg to the horizontal (continued)</t>
        </is>
      </c>
      <c r="F3169" s="5" t="inlineStr">
        <is>
          <t>200 x 100 x 80 mm thick; coloured blocks</t>
        </is>
      </c>
      <c r="G3169" s="6" t="inlineStr">
        <is>
          <t>m2</t>
        </is>
      </c>
      <c r="H3169" s="7" t="n">
        <v>0.3</v>
      </c>
      <c r="I3169" s="8" t="n">
        <v>14.7</v>
      </c>
      <c r="J3169" s="8" t="n">
        <v>1.31</v>
      </c>
      <c r="K3169" s="8" t="n">
        <v>44.86</v>
      </c>
      <c r="L3169" s="8" t="n">
        <v>0</v>
      </c>
      <c r="M3169" s="9">
        <f>ROUND(SUM(I3169:L3169),2)</f>
        <v/>
      </c>
      <c r="N3169" s="10">
        <f>ROUND(I3169*'Irish Basis'!$C$6*'Irish Basis'!$C$5,2)</f>
        <v/>
      </c>
      <c r="O3169" s="10">
        <f>ROUND(J3169*'Irish Basis'!$C$7*'Irish Basis'!$C$5,2)</f>
        <v/>
      </c>
      <c r="P3169" s="10">
        <f>ROUND(K3169*'Irish Basis'!$C$8*'Irish Basis'!$C$5,2)</f>
        <v/>
      </c>
      <c r="Q3169" s="10">
        <f>ROUND(L3169*'Irish Basis'!$C$12*'Irish Basis'!$C$5,2)</f>
        <v/>
      </c>
      <c r="R3169" s="11">
        <f>ROUND(SUM(N3169:Q3169),2)</f>
        <v/>
      </c>
      <c r="S3169" s="5" t="inlineStr">
        <is>
          <t>Stated build-up</t>
        </is>
      </c>
      <c r="T3169" s="12" t="inlineStr">
        <is>
          <t>High</t>
        </is>
      </c>
      <c r="U3169" s="8" t="n">
        <v>60.86</v>
      </c>
      <c r="V3169" s="13">
        <f>IF(U3169="","",ROUND(M3169-U3169,2))</f>
        <v/>
      </c>
      <c r="W3169" s="5" t="n"/>
      <c r="X3169" s="5" t="inlineStr">
        <is>
          <t>Labour + plant + material as published; reconciles to the published rate.</t>
        </is>
      </c>
    </row>
    <row r="3170" ht="13" customHeight="1">
      <c r="A3170" s="4" t="n">
        <v>4843</v>
      </c>
      <c r="B3170" s="5" t="inlineStr">
        <is>
          <t>IMG_0131</t>
        </is>
      </c>
      <c r="C3170" s="5" t="inlineStr">
        <is>
          <t>CLASS R: ROADS AND PAVINGS</t>
        </is>
      </c>
      <c r="D3170" s="5" t="inlineStr">
        <is>
          <t>07 KERBS, CHANNELS AND EDGINGS</t>
        </is>
      </c>
      <c r="E3170" s="5" t="inlineStr">
        <is>
          <t>Brick paviors; bedding on 20 mm thick mortar; excluding subbase; Paved area; sloping not exceeding 10 deg to the horizontal</t>
        </is>
      </c>
      <c r="F3170" s="5" t="inlineStr">
        <is>
          <t>200 x 100 x 65 mm</t>
        </is>
      </c>
      <c r="G3170" s="6" t="inlineStr">
        <is>
          <t>m2</t>
        </is>
      </c>
      <c r="H3170" s="7" t="n">
        <v>0.3</v>
      </c>
      <c r="I3170" s="8" t="n">
        <v>14.7</v>
      </c>
      <c r="J3170" s="8" t="n">
        <v>1.31</v>
      </c>
      <c r="K3170" s="8" t="n">
        <v>35.98</v>
      </c>
      <c r="L3170" s="8" t="n">
        <v>0</v>
      </c>
      <c r="M3170" s="9">
        <f>ROUND(SUM(I3170:L3170),2)</f>
        <v/>
      </c>
      <c r="N3170" s="10">
        <f>ROUND(I3170*'Irish Basis'!$C$6*'Irish Basis'!$C$5,2)</f>
        <v/>
      </c>
      <c r="O3170" s="10">
        <f>ROUND(J3170*'Irish Basis'!$C$7*'Irish Basis'!$C$5,2)</f>
        <v/>
      </c>
      <c r="P3170" s="10">
        <f>ROUND(K3170*'Irish Basis'!$C$8*'Irish Basis'!$C$5,2)</f>
        <v/>
      </c>
      <c r="Q3170" s="10">
        <f>ROUND(L3170*'Irish Basis'!$C$12*'Irish Basis'!$C$5,2)</f>
        <v/>
      </c>
      <c r="R3170" s="11">
        <f>ROUND(SUM(N3170:Q3170),2)</f>
        <v/>
      </c>
      <c r="S3170" s="5" t="inlineStr">
        <is>
          <t>Stated build-up</t>
        </is>
      </c>
      <c r="T3170" s="12" t="inlineStr">
        <is>
          <t>High</t>
        </is>
      </c>
      <c r="U3170" s="8" t="n">
        <v>51.99</v>
      </c>
      <c r="V3170" s="13">
        <f>IF(U3170="","",ROUND(M3170-U3170,2))</f>
        <v/>
      </c>
      <c r="W3170" s="5" t="n"/>
      <c r="X3170" s="5" t="inlineStr">
        <is>
          <t>Labour + plant + material as published; reconciles to the published rate.</t>
        </is>
      </c>
    </row>
    <row r="3171" ht="13" customHeight="1">
      <c r="A3171" s="4" t="n">
        <v>4845</v>
      </c>
      <c r="B3171" s="5" t="inlineStr">
        <is>
          <t>IMG_0131</t>
        </is>
      </c>
      <c r="C3171" s="5" t="inlineStr">
        <is>
          <t>CLASS R: ROADS AND PAVINGS</t>
        </is>
      </c>
      <c r="D3171" s="5" t="inlineStr">
        <is>
          <t>07 KERBS, CHANNELS AND EDGINGS</t>
        </is>
      </c>
      <c r="E3171" s="5" t="inlineStr">
        <is>
          <t>Granite setts; bedding on 25 mm cement mortar; excluding subbase; Paved area; sloping not exceeding 10 deg to the horizontal</t>
        </is>
      </c>
      <c r="F3171" s="5" t="inlineStr">
        <is>
          <t>to random pattern</t>
        </is>
      </c>
      <c r="G3171" s="6" t="inlineStr">
        <is>
          <t>m2</t>
        </is>
      </c>
      <c r="H3171" s="7" t="n">
        <v>0.9</v>
      </c>
      <c r="I3171" s="8" t="n">
        <v>44.1</v>
      </c>
      <c r="J3171" s="8" t="n">
        <v>3.92</v>
      </c>
      <c r="K3171" s="8" t="n">
        <v>79.75</v>
      </c>
      <c r="L3171" s="8" t="n">
        <v>0</v>
      </c>
      <c r="M3171" s="9">
        <f>ROUND(SUM(I3171:L3171),2)</f>
        <v/>
      </c>
      <c r="N3171" s="10">
        <f>ROUND(I3171*'Irish Basis'!$C$6*'Irish Basis'!$C$5,2)</f>
        <v/>
      </c>
      <c r="O3171" s="10">
        <f>ROUND(J3171*'Irish Basis'!$C$7*'Irish Basis'!$C$5,2)</f>
        <v/>
      </c>
      <c r="P3171" s="10">
        <f>ROUND(K3171*'Irish Basis'!$C$8*'Irish Basis'!$C$5,2)</f>
        <v/>
      </c>
      <c r="Q3171" s="10">
        <f>ROUND(L3171*'Irish Basis'!$C$12*'Irish Basis'!$C$5,2)</f>
        <v/>
      </c>
      <c r="R3171" s="11">
        <f>ROUND(SUM(N3171:Q3171),2)</f>
        <v/>
      </c>
      <c r="S3171" s="5" t="inlineStr">
        <is>
          <t>Stated build-up</t>
        </is>
      </c>
      <c r="T3171" s="12" t="inlineStr">
        <is>
          <t>High</t>
        </is>
      </c>
      <c r="U3171" s="8" t="n">
        <v>127.77</v>
      </c>
      <c r="V3171" s="13">
        <f>IF(U3171="","",ROUND(M3171-U3171,2))</f>
        <v/>
      </c>
      <c r="W3171" s="5" t="n"/>
      <c r="X3171" s="5" t="inlineStr">
        <is>
          <t>Labour + plant + material as published; reconciles to the published rate.</t>
        </is>
      </c>
    </row>
    <row r="3172" ht="13" customHeight="1">
      <c r="A3172" s="4" t="n">
        <v>4846</v>
      </c>
      <c r="B3172" s="5" t="inlineStr">
        <is>
          <t>IMG_0131</t>
        </is>
      </c>
      <c r="C3172" s="5" t="inlineStr">
        <is>
          <t>CLASS R: ROADS AND PAVINGS</t>
        </is>
      </c>
      <c r="D3172" s="5" t="inlineStr">
        <is>
          <t>07 KERBS, CHANNELS AND EDGINGS</t>
        </is>
      </c>
      <c r="E3172" s="5" t="inlineStr">
        <is>
          <t>Granite setts; bedding on 25 mm cement mortar; excluding subbase; Paved area; sloping not exceeding 10 deg to the horizontal</t>
        </is>
      </c>
      <c r="F3172" s="5" t="inlineStr">
        <is>
          <t>to specific pattern</t>
        </is>
      </c>
      <c r="G3172" s="6" t="inlineStr">
        <is>
          <t>m2</t>
        </is>
      </c>
      <c r="H3172" s="7" t="n">
        <v>1.2</v>
      </c>
      <c r="I3172" s="8" t="n">
        <v>58.8</v>
      </c>
      <c r="J3172" s="8" t="n">
        <v>5.22</v>
      </c>
      <c r="K3172" s="8" t="n">
        <v>79.75</v>
      </c>
      <c r="L3172" s="8" t="n">
        <v>0</v>
      </c>
      <c r="M3172" s="9">
        <f>ROUND(SUM(I3172:L3172),2)</f>
        <v/>
      </c>
      <c r="N3172" s="10">
        <f>ROUND(I3172*'Irish Basis'!$C$6*'Irish Basis'!$C$5,2)</f>
        <v/>
      </c>
      <c r="O3172" s="10">
        <f>ROUND(J3172*'Irish Basis'!$C$7*'Irish Basis'!$C$5,2)</f>
        <v/>
      </c>
      <c r="P3172" s="10">
        <f>ROUND(K3172*'Irish Basis'!$C$8*'Irish Basis'!$C$5,2)</f>
        <v/>
      </c>
      <c r="Q3172" s="10">
        <f>ROUND(L3172*'Irish Basis'!$C$12*'Irish Basis'!$C$5,2)</f>
        <v/>
      </c>
      <c r="R3172" s="11">
        <f>ROUND(SUM(N3172:Q3172),2)</f>
        <v/>
      </c>
      <c r="S3172" s="5" t="inlineStr">
        <is>
          <t>Stated build-up</t>
        </is>
      </c>
      <c r="T3172" s="12" t="inlineStr">
        <is>
          <t>High</t>
        </is>
      </c>
      <c r="U3172" s="8" t="n">
        <v>143.77</v>
      </c>
      <c r="V3172" s="13">
        <f>IF(U3172="","",ROUND(M3172-U3172,2))</f>
        <v/>
      </c>
      <c r="W3172" s="5" t="n"/>
      <c r="X3172" s="5" t="inlineStr">
        <is>
          <t>Labour + plant + material as published; reconciles to the published rate.</t>
        </is>
      </c>
    </row>
    <row r="3173" ht="13" customHeight="1">
      <c r="A3173" s="4" t="n">
        <v>4848</v>
      </c>
      <c r="B3173" s="5" t="inlineStr">
        <is>
          <t>IMG_0131</t>
        </is>
      </c>
      <c r="C3173" s="5" t="inlineStr">
        <is>
          <t>CLASS R: ROADS AND PAVINGS</t>
        </is>
      </c>
      <c r="D3173" s="5" t="inlineStr">
        <is>
          <t>07 KERBS, CHANNELS AND EDGINGS</t>
        </is>
      </c>
      <c r="E3173" s="5" t="inlineStr">
        <is>
          <t>Cobble paving; 50-75 mm; bedding on 25 mm cement mortar; filling joints; excluding subbase; Paved area; sloping not exceeding 10 deg to the horizontal</t>
        </is>
      </c>
      <c r="F3173" s="5" t="inlineStr">
        <is>
          <t>50-75 mm dia. cobbles</t>
        </is>
      </c>
      <c r="G3173" s="6" t="inlineStr">
        <is>
          <t>m2</t>
        </is>
      </c>
      <c r="H3173" s="7" t="n">
        <v>1</v>
      </c>
      <c r="I3173" s="8" t="n">
        <v>49</v>
      </c>
      <c r="J3173" s="8" t="n">
        <v>4.31</v>
      </c>
      <c r="K3173" s="8" t="n">
        <v>26.15</v>
      </c>
      <c r="L3173" s="8" t="n">
        <v>0</v>
      </c>
      <c r="M3173" s="9">
        <f>ROUND(SUM(I3173:L3173),2)</f>
        <v/>
      </c>
      <c r="N3173" s="10">
        <f>ROUND(I3173*'Irish Basis'!$C$6*'Irish Basis'!$C$5,2)</f>
        <v/>
      </c>
      <c r="O3173" s="10">
        <f>ROUND(J3173*'Irish Basis'!$C$7*'Irish Basis'!$C$5,2)</f>
        <v/>
      </c>
      <c r="P3173" s="10">
        <f>ROUND(K3173*'Irish Basis'!$C$8*'Irish Basis'!$C$5,2)</f>
        <v/>
      </c>
      <c r="Q3173" s="10">
        <f>ROUND(L3173*'Irish Basis'!$C$12*'Irish Basis'!$C$5,2)</f>
        <v/>
      </c>
      <c r="R3173" s="11">
        <f>ROUND(SUM(N3173:Q3173),2)</f>
        <v/>
      </c>
      <c r="S3173" s="5" t="inlineStr">
        <is>
          <t>Stated build-up</t>
        </is>
      </c>
      <c r="T3173" s="12" t="inlineStr">
        <is>
          <t>High</t>
        </is>
      </c>
      <c r="U3173" s="8" t="n">
        <v>79.45999999999999</v>
      </c>
      <c r="V3173" s="13">
        <f>IF(U3173="","",ROUND(M3173-U3173,2))</f>
        <v/>
      </c>
      <c r="W3173" s="5" t="n"/>
      <c r="X3173" s="5" t="inlineStr">
        <is>
          <t>Labour + plant + material as published; reconciles to the published rate.</t>
        </is>
      </c>
    </row>
    <row r="3174" ht="13" customHeight="1">
      <c r="A3174" s="4" t="n">
        <v>4852</v>
      </c>
      <c r="B3174" s="5" t="inlineStr">
        <is>
          <t>IMG_0131</t>
        </is>
      </c>
      <c r="C3174" s="5" t="inlineStr">
        <is>
          <t>CLASS R: ROADS AND PAVINGS</t>
        </is>
      </c>
      <c r="D3174" s="5" t="inlineStr">
        <is>
          <t>08 ANCILLARIES</t>
        </is>
      </c>
      <c r="E3174" s="5" t="inlineStr">
        <is>
          <t>Signal pedestals; Installation of signal pedestals, loop detector unit pedestals, controller unit boxes and cable connection pillars</t>
        </is>
      </c>
      <c r="F3174" s="5" t="inlineStr">
        <is>
          <t>signal pedestal</t>
        </is>
      </c>
      <c r="G3174" s="6" t="inlineStr">
        <is>
          <t>nr</t>
        </is>
      </c>
      <c r="H3174" s="7" t="n"/>
      <c r="I3174" s="8" t="n">
        <v>5.12</v>
      </c>
      <c r="J3174" s="8" t="n">
        <v>28.61</v>
      </c>
      <c r="K3174" s="8" t="n">
        <v>41.09</v>
      </c>
      <c r="L3174" s="8" t="n">
        <v>0</v>
      </c>
      <c r="M3174" s="9">
        <f>ROUND(SUM(I3174:L3174),2)</f>
        <v/>
      </c>
      <c r="N3174" s="10">
        <f>ROUND(I3174*'Irish Basis'!$C$6*'Irish Basis'!$C$5,2)</f>
        <v/>
      </c>
      <c r="O3174" s="10">
        <f>ROUND(J3174*'Irish Basis'!$C$7*'Irish Basis'!$C$5,2)</f>
        <v/>
      </c>
      <c r="P3174" s="10">
        <f>ROUND(K3174*'Irish Basis'!$C$8*'Irish Basis'!$C$5,2)</f>
        <v/>
      </c>
      <c r="Q3174" s="10">
        <f>ROUND(L3174*'Irish Basis'!$C$12*'Irish Basis'!$C$5,2)</f>
        <v/>
      </c>
      <c r="R3174" s="11">
        <f>ROUND(SUM(N3174:Q3174),2)</f>
        <v/>
      </c>
      <c r="S3174" s="5" t="inlineStr">
        <is>
          <t>Apportioned (section)</t>
        </is>
      </c>
      <c r="T3174" s="16" t="inlineStr">
        <is>
          <t>Medium</t>
        </is>
      </c>
      <c r="U3174" s="8" t="n">
        <v>74.81999999999999</v>
      </c>
      <c r="V3174" s="13">
        <f>IF(U3174="","",ROUND(M3174-U3174,2))</f>
        <v/>
      </c>
      <c r="W3174" s="5" t="n"/>
      <c r="X3174" s="5" t="inlineStr">
        <is>
          <t>Split from published rate using median L/P/M shares of 40 comparable build-ups at section level (7/38/55).</t>
        </is>
      </c>
    </row>
    <row r="3175" ht="13" customHeight="1">
      <c r="A3175" s="4" t="n">
        <v>4853</v>
      </c>
      <c r="B3175" s="5" t="inlineStr">
        <is>
          <t>IMG_0131</t>
        </is>
      </c>
      <c r="C3175" s="5" t="inlineStr">
        <is>
          <t>CLASS R: ROADS AND PAVINGS</t>
        </is>
      </c>
      <c r="D3175" s="5" t="inlineStr">
        <is>
          <t>08 ANCILLARIES</t>
        </is>
      </c>
      <c r="E3175" s="5" t="inlineStr">
        <is>
          <t>Signal pedestals; Installation of signal pedestals, loop detector unit pedestals, controller unit boxes and cable connection pillars</t>
        </is>
      </c>
      <c r="F3175" s="5" t="inlineStr">
        <is>
          <t>loop detector unit pedestral</t>
        </is>
      </c>
      <c r="G3175" s="6" t="inlineStr">
        <is>
          <t>nr</t>
        </is>
      </c>
      <c r="H3175" s="7" t="n"/>
      <c r="I3175" s="8" t="n">
        <v>2.28</v>
      </c>
      <c r="J3175" s="8" t="n">
        <v>12.71</v>
      </c>
      <c r="K3175" s="8" t="n">
        <v>18.26</v>
      </c>
      <c r="L3175" s="8" t="n">
        <v>0</v>
      </c>
      <c r="M3175" s="9">
        <f>ROUND(SUM(I3175:L3175),2)</f>
        <v/>
      </c>
      <c r="N3175" s="10">
        <f>ROUND(I3175*'Irish Basis'!$C$6*'Irish Basis'!$C$5,2)</f>
        <v/>
      </c>
      <c r="O3175" s="10">
        <f>ROUND(J3175*'Irish Basis'!$C$7*'Irish Basis'!$C$5,2)</f>
        <v/>
      </c>
      <c r="P3175" s="10">
        <f>ROUND(K3175*'Irish Basis'!$C$8*'Irish Basis'!$C$5,2)</f>
        <v/>
      </c>
      <c r="Q3175" s="10">
        <f>ROUND(L3175*'Irish Basis'!$C$12*'Irish Basis'!$C$5,2)</f>
        <v/>
      </c>
      <c r="R3175" s="11">
        <f>ROUND(SUM(N3175:Q3175),2)</f>
        <v/>
      </c>
      <c r="S3175" s="5" t="inlineStr">
        <is>
          <t>Apportioned (section)</t>
        </is>
      </c>
      <c r="T3175" s="16" t="inlineStr">
        <is>
          <t>Medium</t>
        </is>
      </c>
      <c r="U3175" s="8" t="n">
        <v>33.25</v>
      </c>
      <c r="V3175" s="13">
        <f>IF(U3175="","",ROUND(M3175-U3175,2))</f>
        <v/>
      </c>
      <c r="W3175" s="5" t="n"/>
      <c r="X3175" s="5" t="inlineStr">
        <is>
          <t>Split from published rate using median L/P/M shares of 40 comparable build-ups at section level (7/38/55).</t>
        </is>
      </c>
    </row>
    <row r="3176" ht="13" customHeight="1">
      <c r="A3176" s="4" t="n">
        <v>4855</v>
      </c>
      <c r="B3176" s="5" t="inlineStr">
        <is>
          <t>IMG_0131</t>
        </is>
      </c>
      <c r="C3176" s="5" t="inlineStr">
        <is>
          <t>CLASS R: ROADS AND PAVINGS</t>
        </is>
      </c>
      <c r="D3176" s="5" t="inlineStr">
        <is>
          <t>08 ANCILLARIES</t>
        </is>
      </c>
      <c r="E3176" s="5" t="inlineStr">
        <is>
          <t>Excavate trench for traffic signal cable, depth ne 1.50 m; supports, backfilling</t>
        </is>
      </c>
      <c r="F3176" s="5" t="inlineStr">
        <is>
          <t>450 mm wide</t>
        </is>
      </c>
      <c r="G3176" s="6" t="inlineStr">
        <is>
          <t>m</t>
        </is>
      </c>
      <c r="H3176" s="7" t="n"/>
      <c r="I3176" s="8" t="n">
        <v>1.71</v>
      </c>
      <c r="J3176" s="8" t="n">
        <v>9.539999999999999</v>
      </c>
      <c r="K3176" s="8" t="n">
        <v>13.7</v>
      </c>
      <c r="L3176" s="8" t="n">
        <v>0</v>
      </c>
      <c r="M3176" s="9">
        <f>ROUND(SUM(I3176:L3176),2)</f>
        <v/>
      </c>
      <c r="N3176" s="10">
        <f>ROUND(I3176*'Irish Basis'!$C$6*'Irish Basis'!$C$5,2)</f>
        <v/>
      </c>
      <c r="O3176" s="10">
        <f>ROUND(J3176*'Irish Basis'!$C$7*'Irish Basis'!$C$5,2)</f>
        <v/>
      </c>
      <c r="P3176" s="10">
        <f>ROUND(K3176*'Irish Basis'!$C$8*'Irish Basis'!$C$5,2)</f>
        <v/>
      </c>
      <c r="Q3176" s="10">
        <f>ROUND(L3176*'Irish Basis'!$C$12*'Irish Basis'!$C$5,2)</f>
        <v/>
      </c>
      <c r="R3176" s="11">
        <f>ROUND(SUM(N3176:Q3176),2)</f>
        <v/>
      </c>
      <c r="S3176" s="5" t="inlineStr">
        <is>
          <t>Apportioned (section)</t>
        </is>
      </c>
      <c r="T3176" s="16" t="inlineStr">
        <is>
          <t>Medium</t>
        </is>
      </c>
      <c r="U3176" s="8" t="n">
        <v>24.94</v>
      </c>
      <c r="V3176" s="13">
        <f>IF(U3176="","",ROUND(M3176-U3176,2))</f>
        <v/>
      </c>
      <c r="W3176" s="5" t="n"/>
      <c r="X3176" s="5" t="inlineStr">
        <is>
          <t>Split from published rate using median L/P/M shares of 40 comparable build-ups at section level (7/38/55).</t>
        </is>
      </c>
    </row>
    <row r="3177" ht="13" customHeight="1">
      <c r="A3177" s="4" t="n">
        <v>4856</v>
      </c>
      <c r="B3177" s="5" t="inlineStr">
        <is>
          <t>IMG_0131</t>
        </is>
      </c>
      <c r="C3177" s="5" t="inlineStr">
        <is>
          <t>CLASS R: ROADS AND PAVINGS</t>
        </is>
      </c>
      <c r="D3177" s="5" t="inlineStr">
        <is>
          <t>08 ANCILLARIES</t>
        </is>
      </c>
      <c r="E3177" s="5" t="inlineStr">
        <is>
          <t>Excavate trench for traffic signal cable, depth ne 1.50 m; supports, backfilling</t>
        </is>
      </c>
      <c r="F3177" s="5" t="inlineStr">
        <is>
          <t>Extra for excavating in hard material</t>
        </is>
      </c>
      <c r="G3177" s="6" t="inlineStr">
        <is>
          <t>m3</t>
        </is>
      </c>
      <c r="H3177" s="7" t="n"/>
      <c r="I3177" s="8" t="n">
        <v>3.42</v>
      </c>
      <c r="J3177" s="8" t="n">
        <v>19.08</v>
      </c>
      <c r="K3177" s="8" t="n">
        <v>27.4</v>
      </c>
      <c r="L3177" s="8" t="n">
        <v>0</v>
      </c>
      <c r="M3177" s="9">
        <f>ROUND(SUM(I3177:L3177),2)</f>
        <v/>
      </c>
      <c r="N3177" s="10">
        <f>ROUND(I3177*'Irish Basis'!$C$6*'Irish Basis'!$C$5,2)</f>
        <v/>
      </c>
      <c r="O3177" s="10">
        <f>ROUND(J3177*'Irish Basis'!$C$7*'Irish Basis'!$C$5,2)</f>
        <v/>
      </c>
      <c r="P3177" s="10">
        <f>ROUND(K3177*'Irish Basis'!$C$8*'Irish Basis'!$C$5,2)</f>
        <v/>
      </c>
      <c r="Q3177" s="10">
        <f>ROUND(L3177*'Irish Basis'!$C$12*'Irish Basis'!$C$5,2)</f>
        <v/>
      </c>
      <c r="R3177" s="11">
        <f>ROUND(SUM(N3177:Q3177),2)</f>
        <v/>
      </c>
      <c r="S3177" s="5" t="inlineStr">
        <is>
          <t>Apportioned (section)</t>
        </is>
      </c>
      <c r="T3177" s="16" t="inlineStr">
        <is>
          <t>Medium</t>
        </is>
      </c>
      <c r="U3177" s="8" t="n">
        <v>49.9</v>
      </c>
      <c r="V3177" s="13">
        <f>IF(U3177="","",ROUND(M3177-U3177,2))</f>
        <v/>
      </c>
      <c r="W3177" s="5" t="n"/>
      <c r="X3177" s="5" t="inlineStr">
        <is>
          <t>Split from published rate using median L/P/M shares of 40 comparable build-ups at section level (7/38/55).</t>
        </is>
      </c>
    </row>
    <row r="3178" ht="13" customHeight="1">
      <c r="A3178" s="4" t="n">
        <v>4858</v>
      </c>
      <c r="B3178" s="5" t="inlineStr">
        <is>
          <t>IMG_0131</t>
        </is>
      </c>
      <c r="C3178" s="5" t="inlineStr">
        <is>
          <t>CLASS R: ROADS AND PAVINGS</t>
        </is>
      </c>
      <c r="D3178" s="5" t="inlineStr">
        <is>
          <t>08 ANCILLARIES</t>
        </is>
      </c>
      <c r="E3178" s="5" t="inlineStr">
        <is>
          <t>Saw cutting grooves in pavement for detector loops and feeder cables; seal with hot bitumen sealant after installation</t>
        </is>
      </c>
      <c r="F3178" s="5" t="inlineStr">
        <is>
          <t>25 mm deep</t>
        </is>
      </c>
      <c r="G3178" s="6" t="inlineStr">
        <is>
          <t>m</t>
        </is>
      </c>
      <c r="H3178" s="7" t="n"/>
      <c r="I3178" s="8" t="n">
        <v>2.5</v>
      </c>
      <c r="J3178" s="8" t="n">
        <v>13.99</v>
      </c>
      <c r="K3178" s="8" t="n">
        <v>20.09</v>
      </c>
      <c r="L3178" s="8" t="n">
        <v>0</v>
      </c>
      <c r="M3178" s="9">
        <f>ROUND(SUM(I3178:L3178),2)</f>
        <v/>
      </c>
      <c r="N3178" s="10">
        <f>ROUND(I3178*'Irish Basis'!$C$6*'Irish Basis'!$C$5,2)</f>
        <v/>
      </c>
      <c r="O3178" s="10">
        <f>ROUND(J3178*'Irish Basis'!$C$7*'Irish Basis'!$C$5,2)</f>
        <v/>
      </c>
      <c r="P3178" s="10">
        <f>ROUND(K3178*'Irish Basis'!$C$8*'Irish Basis'!$C$5,2)</f>
        <v/>
      </c>
      <c r="Q3178" s="10">
        <f>ROUND(L3178*'Irish Basis'!$C$12*'Irish Basis'!$C$5,2)</f>
        <v/>
      </c>
      <c r="R3178" s="11">
        <f>ROUND(SUM(N3178:Q3178),2)</f>
        <v/>
      </c>
      <c r="S3178" s="5" t="inlineStr">
        <is>
          <t>Apportioned (section)</t>
        </is>
      </c>
      <c r="T3178" s="16" t="inlineStr">
        <is>
          <t>Medium</t>
        </is>
      </c>
      <c r="U3178" s="8" t="n">
        <v>36.59</v>
      </c>
      <c r="V3178" s="13">
        <f>IF(U3178="","",ROUND(M3178-U3178,2))</f>
        <v/>
      </c>
      <c r="W3178" s="5" t="n"/>
      <c r="X3178" s="5" t="inlineStr">
        <is>
          <t>Split from published rate using median L/P/M shares of 40 comparable build-ups at section level (7/38/55).</t>
        </is>
      </c>
    </row>
    <row r="3179" ht="13" customHeight="1">
      <c r="A3179" s="4" t="n">
        <v>4862</v>
      </c>
      <c r="B3179" s="5" t="inlineStr">
        <is>
          <t>IMG_0131</t>
        </is>
      </c>
      <c r="C3179" s="5" t="inlineStr">
        <is>
          <t>CLASS R: ROADS AND PAVINGS</t>
        </is>
      </c>
      <c r="D3179" s="5" t="inlineStr">
        <is>
          <t>08 ANCILLARIES</t>
        </is>
      </c>
      <c r="E3179" s="5" t="inlineStr">
        <is>
          <t>Examples of Prime Costs for Class 1 (High Intensity) traffic and road signs (ex works)</t>
        </is>
      </c>
      <c r="F3179" s="5" t="inlineStr">
        <is>
          <t>600 x 450 mm</t>
        </is>
      </c>
      <c r="G3179" s="6" t="inlineStr">
        <is>
          <t>nr</t>
        </is>
      </c>
      <c r="H3179" s="7" t="n"/>
      <c r="I3179" s="8" t="n">
        <v>0</v>
      </c>
      <c r="J3179" s="8" t="n">
        <v>57.16</v>
      </c>
      <c r="K3179" s="8" t="n">
        <v>0</v>
      </c>
      <c r="L3179" s="8" t="n">
        <v>0</v>
      </c>
      <c r="M3179" s="9">
        <f>ROUND(SUM(I3179:L3179),2)</f>
        <v/>
      </c>
      <c r="N3179" s="10">
        <f>ROUND(I3179*'Irish Basis'!$C$6*'Irish Basis'!$C$5,2)</f>
        <v/>
      </c>
      <c r="O3179" s="10">
        <f>ROUND(J3179*'Irish Basis'!$C$7*'Irish Basis'!$C$5,2)</f>
        <v/>
      </c>
      <c r="P3179" s="10">
        <f>ROUND(K3179*'Irish Basis'!$C$8*'Irish Basis'!$C$5,2)</f>
        <v/>
      </c>
      <c r="Q3179" s="10">
        <f>ROUND(L3179*'Irish Basis'!$C$12*'Irish Basis'!$C$5,2)</f>
        <v/>
      </c>
      <c r="R3179" s="11">
        <f>ROUND(SUM(N3179:Q3179),2)</f>
        <v/>
      </c>
      <c r="S3179" s="5" t="inlineStr">
        <is>
          <t>Stated build-up</t>
        </is>
      </c>
      <c r="T3179" s="12" t="inlineStr">
        <is>
          <t>High</t>
        </is>
      </c>
      <c r="U3179" s="8" t="n">
        <v>57.16</v>
      </c>
      <c r="V3179" s="13">
        <f>IF(U3179="","",ROUND(M3179-U3179,2))</f>
        <v/>
      </c>
      <c r="W3179" s="5" t="n"/>
      <c r="X3179" s="5" t="inlineStr">
        <is>
          <t>Labour + plant + material as published; reconciles to the published rate.</t>
        </is>
      </c>
    </row>
    <row r="3180" ht="13" customHeight="1">
      <c r="A3180" s="4" t="n">
        <v>4863</v>
      </c>
      <c r="B3180" s="5" t="inlineStr">
        <is>
          <t>IMG_0131</t>
        </is>
      </c>
      <c r="C3180" s="5" t="inlineStr">
        <is>
          <t>CLASS R: ROADS AND PAVINGS</t>
        </is>
      </c>
      <c r="D3180" s="5" t="inlineStr">
        <is>
          <t>08 ANCILLARIES</t>
        </is>
      </c>
      <c r="E3180" s="5" t="inlineStr">
        <is>
          <t>Examples of Prime Costs for Class 1 (High Intensity) traffic and road signs (ex works)</t>
        </is>
      </c>
      <c r="F3180" s="5" t="inlineStr">
        <is>
          <t>600 mm dia.</t>
        </is>
      </c>
      <c r="G3180" s="6" t="inlineStr">
        <is>
          <t>nr</t>
        </is>
      </c>
      <c r="H3180" s="7" t="n"/>
      <c r="I3180" s="8" t="n">
        <v>0</v>
      </c>
      <c r="J3180" s="8" t="n">
        <v>222.16</v>
      </c>
      <c r="K3180" s="8" t="n">
        <v>0</v>
      </c>
      <c r="L3180" s="8" t="n">
        <v>0</v>
      </c>
      <c r="M3180" s="9">
        <f>ROUND(SUM(I3180:L3180),2)</f>
        <v/>
      </c>
      <c r="N3180" s="10">
        <f>ROUND(I3180*'Irish Basis'!$C$6*'Irish Basis'!$C$5,2)</f>
        <v/>
      </c>
      <c r="O3180" s="10">
        <f>ROUND(J3180*'Irish Basis'!$C$7*'Irish Basis'!$C$5,2)</f>
        <v/>
      </c>
      <c r="P3180" s="10">
        <f>ROUND(K3180*'Irish Basis'!$C$8*'Irish Basis'!$C$5,2)</f>
        <v/>
      </c>
      <c r="Q3180" s="10">
        <f>ROUND(L3180*'Irish Basis'!$C$12*'Irish Basis'!$C$5,2)</f>
        <v/>
      </c>
      <c r="R3180" s="11">
        <f>ROUND(SUM(N3180:Q3180),2)</f>
        <v/>
      </c>
      <c r="S3180" s="5" t="inlineStr">
        <is>
          <t>Stated build-up</t>
        </is>
      </c>
      <c r="T3180" s="12" t="inlineStr">
        <is>
          <t>High</t>
        </is>
      </c>
      <c r="U3180" s="8" t="n">
        <v>222.16</v>
      </c>
      <c r="V3180" s="13">
        <f>IF(U3180="","",ROUND(M3180-U3180,2))</f>
        <v/>
      </c>
      <c r="W3180" s="5" t="n"/>
      <c r="X3180" s="5" t="inlineStr">
        <is>
          <t>Labour + plant + material as published; reconciles to the published rate.</t>
        </is>
      </c>
    </row>
    <row r="3181" ht="13" customHeight="1">
      <c r="A3181" s="4" t="n">
        <v>4864</v>
      </c>
      <c r="B3181" s="5" t="inlineStr">
        <is>
          <t>IMG_0131</t>
        </is>
      </c>
      <c r="C3181" s="5" t="inlineStr">
        <is>
          <t>CLASS R: ROADS AND PAVINGS</t>
        </is>
      </c>
      <c r="D3181" s="5" t="inlineStr">
        <is>
          <t>08 ANCILLARIES</t>
        </is>
      </c>
      <c r="E3181" s="5" t="inlineStr">
        <is>
          <t>Examples of Prime Costs for Class 1 (High Intensity) traffic and road signs (ex works)</t>
        </is>
      </c>
      <c r="F3181" s="5" t="inlineStr">
        <is>
          <t>600 mm triangular</t>
        </is>
      </c>
      <c r="G3181" s="6" t="inlineStr">
        <is>
          <t>nr</t>
        </is>
      </c>
      <c r="H3181" s="7" t="n"/>
      <c r="I3181" s="8" t="n">
        <v>0</v>
      </c>
      <c r="J3181" s="8" t="n">
        <v>185.08</v>
      </c>
      <c r="K3181" s="8" t="n">
        <v>0</v>
      </c>
      <c r="L3181" s="8" t="n">
        <v>0</v>
      </c>
      <c r="M3181" s="9">
        <f>ROUND(SUM(I3181:L3181),2)</f>
        <v/>
      </c>
      <c r="N3181" s="10">
        <f>ROUND(I3181*'Irish Basis'!$C$6*'Irish Basis'!$C$5,2)</f>
        <v/>
      </c>
      <c r="O3181" s="10">
        <f>ROUND(J3181*'Irish Basis'!$C$7*'Irish Basis'!$C$5,2)</f>
        <v/>
      </c>
      <c r="P3181" s="10">
        <f>ROUND(K3181*'Irish Basis'!$C$8*'Irish Basis'!$C$5,2)</f>
        <v/>
      </c>
      <c r="Q3181" s="10">
        <f>ROUND(L3181*'Irish Basis'!$C$12*'Irish Basis'!$C$5,2)</f>
        <v/>
      </c>
      <c r="R3181" s="11">
        <f>ROUND(SUM(N3181:Q3181),2)</f>
        <v/>
      </c>
      <c r="S3181" s="5" t="inlineStr">
        <is>
          <t>Stated build-up</t>
        </is>
      </c>
      <c r="T3181" s="12" t="inlineStr">
        <is>
          <t>High</t>
        </is>
      </c>
      <c r="U3181" s="8" t="n">
        <v>185.08</v>
      </c>
      <c r="V3181" s="13">
        <f>IF(U3181="","",ROUND(M3181-U3181,2))</f>
        <v/>
      </c>
      <c r="W3181" s="5" t="n"/>
      <c r="X3181" s="5" t="inlineStr">
        <is>
          <t>Labour + plant + material as published; reconciles to the published rate.</t>
        </is>
      </c>
    </row>
    <row r="3182" ht="13" customHeight="1">
      <c r="A3182" s="4" t="n">
        <v>4865</v>
      </c>
      <c r="B3182" s="5" t="inlineStr">
        <is>
          <t>IMG_0131</t>
        </is>
      </c>
      <c r="C3182" s="5" t="inlineStr">
        <is>
          <t>CLASS R: ROADS AND PAVINGS</t>
        </is>
      </c>
      <c r="D3182" s="5" t="inlineStr">
        <is>
          <t>08 ANCILLARIES</t>
        </is>
      </c>
      <c r="E3182" s="5" t="inlineStr">
        <is>
          <t>Examples of Prime Costs for Class 1 (High Intensity) traffic and road signs (ex works)</t>
        </is>
      </c>
      <c r="F3182" s="5" t="inlineStr">
        <is>
          <t>500 x 500 mm</t>
        </is>
      </c>
      <c r="G3182" s="6" t="inlineStr">
        <is>
          <t>nr</t>
        </is>
      </c>
      <c r="H3182" s="7" t="n"/>
      <c r="I3182" s="8" t="n">
        <v>0</v>
      </c>
      <c r="J3182" s="8" t="n">
        <v>57.08</v>
      </c>
      <c r="K3182" s="8" t="n">
        <v>0</v>
      </c>
      <c r="L3182" s="8" t="n">
        <v>0</v>
      </c>
      <c r="M3182" s="9">
        <f>ROUND(SUM(I3182:L3182),2)</f>
        <v/>
      </c>
      <c r="N3182" s="10">
        <f>ROUND(I3182*'Irish Basis'!$C$6*'Irish Basis'!$C$5,2)</f>
        <v/>
      </c>
      <c r="O3182" s="10">
        <f>ROUND(J3182*'Irish Basis'!$C$7*'Irish Basis'!$C$5,2)</f>
        <v/>
      </c>
      <c r="P3182" s="10">
        <f>ROUND(K3182*'Irish Basis'!$C$8*'Irish Basis'!$C$5,2)</f>
        <v/>
      </c>
      <c r="Q3182" s="10">
        <f>ROUND(L3182*'Irish Basis'!$C$12*'Irish Basis'!$C$5,2)</f>
        <v/>
      </c>
      <c r="R3182" s="11">
        <f>ROUND(SUM(N3182:Q3182),2)</f>
        <v/>
      </c>
      <c r="S3182" s="5" t="inlineStr">
        <is>
          <t>Stated build-up</t>
        </is>
      </c>
      <c r="T3182" s="12" t="inlineStr">
        <is>
          <t>High</t>
        </is>
      </c>
      <c r="U3182" s="8" t="n">
        <v>57.08</v>
      </c>
      <c r="V3182" s="13">
        <f>IF(U3182="","",ROUND(M3182-U3182,2))</f>
        <v/>
      </c>
      <c r="W3182" s="5" t="n"/>
      <c r="X3182" s="5" t="inlineStr">
        <is>
          <t>Labour + plant + material as published; reconciles to the published rate.</t>
        </is>
      </c>
    </row>
    <row r="3183" ht="13" customHeight="1">
      <c r="A3183" s="4" t="n">
        <v>4866</v>
      </c>
      <c r="B3183" s="5" t="inlineStr">
        <is>
          <t>IMG_0131</t>
        </is>
      </c>
      <c r="C3183" s="5" t="inlineStr">
        <is>
          <t>CLASS R: ROADS AND PAVINGS</t>
        </is>
      </c>
      <c r="D3183" s="5" t="inlineStr">
        <is>
          <t>08 ANCILLARIES</t>
        </is>
      </c>
      <c r="E3183" s="5" t="inlineStr">
        <is>
          <t>Examples of Prime Costs for Class 1 (High Intensity) traffic and road signs (ex works)</t>
        </is>
      </c>
      <c r="F3183" s="5" t="inlineStr">
        <is>
          <t>450 x 450 mm</t>
        </is>
      </c>
      <c r="G3183" s="6" t="inlineStr">
        <is>
          <t>nr</t>
        </is>
      </c>
      <c r="H3183" s="7" t="n"/>
      <c r="I3183" s="8" t="n">
        <v>0</v>
      </c>
      <c r="J3183" s="8" t="n">
        <v>54.25</v>
      </c>
      <c r="K3183" s="8" t="n">
        <v>0</v>
      </c>
      <c r="L3183" s="8" t="n">
        <v>0</v>
      </c>
      <c r="M3183" s="9">
        <f>ROUND(SUM(I3183:L3183),2)</f>
        <v/>
      </c>
      <c r="N3183" s="10">
        <f>ROUND(I3183*'Irish Basis'!$C$6*'Irish Basis'!$C$5,2)</f>
        <v/>
      </c>
      <c r="O3183" s="10">
        <f>ROUND(J3183*'Irish Basis'!$C$7*'Irish Basis'!$C$5,2)</f>
        <v/>
      </c>
      <c r="P3183" s="10">
        <f>ROUND(K3183*'Irish Basis'!$C$8*'Irish Basis'!$C$5,2)</f>
        <v/>
      </c>
      <c r="Q3183" s="10">
        <f>ROUND(L3183*'Irish Basis'!$C$12*'Irish Basis'!$C$5,2)</f>
        <v/>
      </c>
      <c r="R3183" s="11">
        <f>ROUND(SUM(N3183:Q3183),2)</f>
        <v/>
      </c>
      <c r="S3183" s="5" t="inlineStr">
        <is>
          <t>Stated build-up</t>
        </is>
      </c>
      <c r="T3183" s="12" t="inlineStr">
        <is>
          <t>High</t>
        </is>
      </c>
      <c r="U3183" s="8" t="n">
        <v>54.25</v>
      </c>
      <c r="V3183" s="13">
        <f>IF(U3183="","",ROUND(M3183-U3183,2))</f>
        <v/>
      </c>
      <c r="W3183" s="5" t="n"/>
      <c r="X3183" s="5" t="inlineStr">
        <is>
          <t>Labour + plant + material as published; reconciles to the published rate.</t>
        </is>
      </c>
    </row>
    <row r="3184" ht="13" customHeight="1">
      <c r="A3184" s="4" t="n">
        <v>4867</v>
      </c>
      <c r="B3184" s="5" t="inlineStr">
        <is>
          <t>IMG_0131</t>
        </is>
      </c>
      <c r="C3184" s="5" t="inlineStr">
        <is>
          <t>CLASS R: ROADS AND PAVINGS</t>
        </is>
      </c>
      <c r="D3184" s="5" t="inlineStr">
        <is>
          <t>08 ANCILLARIES</t>
        </is>
      </c>
      <c r="E3184" s="5" t="inlineStr">
        <is>
          <t>Examples of Prime Costs for Class 1 (High Intensity) traffic and road signs (ex works)</t>
        </is>
      </c>
      <c r="F3184" s="5" t="inlineStr">
        <is>
          <t>450 x 300 mm</t>
        </is>
      </c>
      <c r="G3184" s="6" t="inlineStr">
        <is>
          <t>nr</t>
        </is>
      </c>
      <c r="H3184" s="7" t="n"/>
      <c r="I3184" s="8" t="n">
        <v>0</v>
      </c>
      <c r="J3184" s="8" t="n">
        <v>51.49</v>
      </c>
      <c r="K3184" s="8" t="n">
        <v>0</v>
      </c>
      <c r="L3184" s="8" t="n">
        <v>0</v>
      </c>
      <c r="M3184" s="9">
        <f>ROUND(SUM(I3184:L3184),2)</f>
        <v/>
      </c>
      <c r="N3184" s="10">
        <f>ROUND(I3184*'Irish Basis'!$C$6*'Irish Basis'!$C$5,2)</f>
        <v/>
      </c>
      <c r="O3184" s="10">
        <f>ROUND(J3184*'Irish Basis'!$C$7*'Irish Basis'!$C$5,2)</f>
        <v/>
      </c>
      <c r="P3184" s="10">
        <f>ROUND(K3184*'Irish Basis'!$C$8*'Irish Basis'!$C$5,2)</f>
        <v/>
      </c>
      <c r="Q3184" s="10">
        <f>ROUND(L3184*'Irish Basis'!$C$12*'Irish Basis'!$C$5,2)</f>
        <v/>
      </c>
      <c r="R3184" s="11">
        <f>ROUND(SUM(N3184:Q3184),2)</f>
        <v/>
      </c>
      <c r="S3184" s="5" t="inlineStr">
        <is>
          <t>Stated build-up</t>
        </is>
      </c>
      <c r="T3184" s="12" t="inlineStr">
        <is>
          <t>High</t>
        </is>
      </c>
      <c r="U3184" s="8" t="n">
        <v>51.49</v>
      </c>
      <c r="V3184" s="13">
        <f>IF(U3184="","",ROUND(M3184-U3184,2))</f>
        <v/>
      </c>
      <c r="W3184" s="5" t="n"/>
      <c r="X3184" s="5" t="inlineStr">
        <is>
          <t>Labour + plant + material as published; reconciles to the published rate.</t>
        </is>
      </c>
    </row>
    <row r="3185" ht="13" customHeight="1">
      <c r="A3185" s="4" t="n">
        <v>4868</v>
      </c>
      <c r="B3185" s="5" t="inlineStr">
        <is>
          <t>IMG_0131</t>
        </is>
      </c>
      <c r="C3185" s="5" t="inlineStr">
        <is>
          <t>CLASS R: ROADS AND PAVINGS</t>
        </is>
      </c>
      <c r="D3185" s="5" t="inlineStr">
        <is>
          <t>08 ANCILLARIES</t>
        </is>
      </c>
      <c r="E3185" s="5" t="inlineStr">
        <is>
          <t>Examples of Prime Costs for Class 1 (High Intensity) traffic and road signs (ex works)</t>
        </is>
      </c>
      <c r="F3185" s="5" t="inlineStr">
        <is>
          <t>1200 x 400 mm (CHEVRONS)</t>
        </is>
      </c>
      <c r="G3185" s="6" t="inlineStr">
        <is>
          <t>nr</t>
        </is>
      </c>
      <c r="H3185" s="7" t="n"/>
      <c r="I3185" s="8" t="n">
        <v>0</v>
      </c>
      <c r="J3185" s="8" t="n">
        <v>84.67</v>
      </c>
      <c r="K3185" s="8" t="n">
        <v>0</v>
      </c>
      <c r="L3185" s="8" t="n">
        <v>0</v>
      </c>
      <c r="M3185" s="9">
        <f>ROUND(SUM(I3185:L3185),2)</f>
        <v/>
      </c>
      <c r="N3185" s="10">
        <f>ROUND(I3185*'Irish Basis'!$C$6*'Irish Basis'!$C$5,2)</f>
        <v/>
      </c>
      <c r="O3185" s="10">
        <f>ROUND(J3185*'Irish Basis'!$C$7*'Irish Basis'!$C$5,2)</f>
        <v/>
      </c>
      <c r="P3185" s="10">
        <f>ROUND(K3185*'Irish Basis'!$C$8*'Irish Basis'!$C$5,2)</f>
        <v/>
      </c>
      <c r="Q3185" s="10">
        <f>ROUND(L3185*'Irish Basis'!$C$12*'Irish Basis'!$C$5,2)</f>
        <v/>
      </c>
      <c r="R3185" s="11">
        <f>ROUND(SUM(N3185:Q3185),2)</f>
        <v/>
      </c>
      <c r="S3185" s="5" t="inlineStr">
        <is>
          <t>Stated build-up</t>
        </is>
      </c>
      <c r="T3185" s="12" t="inlineStr">
        <is>
          <t>High</t>
        </is>
      </c>
      <c r="U3185" s="8" t="n">
        <v>84.67</v>
      </c>
      <c r="V3185" s="13">
        <f>IF(U3185="","",ROUND(M3185-U3185,2))</f>
        <v/>
      </c>
      <c r="W3185" s="5" t="n"/>
      <c r="X3185" s="5" t="inlineStr">
        <is>
          <t>Labour + plant + material as published; reconciles to the published rate.</t>
        </is>
      </c>
    </row>
    <row r="3186" ht="13" customHeight="1">
      <c r="A3186" s="4" t="n">
        <v>4870</v>
      </c>
      <c r="B3186" s="5" t="inlineStr">
        <is>
          <t>IMG_0131</t>
        </is>
      </c>
      <c r="C3186" s="5" t="inlineStr">
        <is>
          <t>CLASS R: ROADS AND PAVINGS</t>
        </is>
      </c>
      <c r="D3186" s="5" t="inlineStr">
        <is>
          <t>08 ANCILLARIES</t>
        </is>
      </c>
      <c r="E3186" s="5" t="inlineStr">
        <is>
          <t>Examples of Prime Costs for Class 21 (Engineering Grade) traffic and road signs (ex works)</t>
        </is>
      </c>
      <c r="F3186" s="5" t="inlineStr">
        <is>
          <t>600 x 450 mm</t>
        </is>
      </c>
      <c r="G3186" s="6" t="inlineStr">
        <is>
          <t>nr</t>
        </is>
      </c>
      <c r="H3186" s="7" t="n"/>
      <c r="I3186" s="8" t="n">
        <v>0</v>
      </c>
      <c r="J3186" s="8" t="n">
        <v>57.16</v>
      </c>
      <c r="K3186" s="8" t="n">
        <v>0</v>
      </c>
      <c r="L3186" s="8" t="n">
        <v>0</v>
      </c>
      <c r="M3186" s="9">
        <f>ROUND(SUM(I3186:L3186),2)</f>
        <v/>
      </c>
      <c r="N3186" s="10">
        <f>ROUND(I3186*'Irish Basis'!$C$6*'Irish Basis'!$C$5,2)</f>
        <v/>
      </c>
      <c r="O3186" s="10">
        <f>ROUND(J3186*'Irish Basis'!$C$7*'Irish Basis'!$C$5,2)</f>
        <v/>
      </c>
      <c r="P3186" s="10">
        <f>ROUND(K3186*'Irish Basis'!$C$8*'Irish Basis'!$C$5,2)</f>
        <v/>
      </c>
      <c r="Q3186" s="10">
        <f>ROUND(L3186*'Irish Basis'!$C$12*'Irish Basis'!$C$5,2)</f>
        <v/>
      </c>
      <c r="R3186" s="11">
        <f>ROUND(SUM(N3186:Q3186),2)</f>
        <v/>
      </c>
      <c r="S3186" s="5" t="inlineStr">
        <is>
          <t>Stated build-up</t>
        </is>
      </c>
      <c r="T3186" s="12" t="inlineStr">
        <is>
          <t>High</t>
        </is>
      </c>
      <c r="U3186" s="8" t="n">
        <v>57.16</v>
      </c>
      <c r="V3186" s="13">
        <f>IF(U3186="","",ROUND(M3186-U3186,2))</f>
        <v/>
      </c>
      <c r="W3186" s="5" t="n"/>
      <c r="X3186" s="5" t="inlineStr">
        <is>
          <t>Labour + plant + material as published; reconciles to the published rate.</t>
        </is>
      </c>
    </row>
    <row r="3187" ht="13" customHeight="1">
      <c r="A3187" s="4" t="n">
        <v>4871</v>
      </c>
      <c r="B3187" s="5" t="inlineStr">
        <is>
          <t>IMG_0131</t>
        </is>
      </c>
      <c r="C3187" s="5" t="inlineStr">
        <is>
          <t>CLASS R: ROADS AND PAVINGS</t>
        </is>
      </c>
      <c r="D3187" s="5" t="inlineStr">
        <is>
          <t>08 ANCILLARIES</t>
        </is>
      </c>
      <c r="E3187" s="5" t="inlineStr">
        <is>
          <t>Examples of Prime Costs for Class 21 (Engineering Grade) traffic and road signs (ex works)</t>
        </is>
      </c>
      <c r="F3187" s="5" t="inlineStr">
        <is>
          <t>600 mm dia.</t>
        </is>
      </c>
      <c r="G3187" s="6" t="inlineStr">
        <is>
          <t>nr</t>
        </is>
      </c>
      <c r="H3187" s="7" t="n"/>
      <c r="I3187" s="8" t="n">
        <v>0</v>
      </c>
      <c r="J3187" s="8" t="n">
        <v>222.16</v>
      </c>
      <c r="K3187" s="8" t="n">
        <v>0</v>
      </c>
      <c r="L3187" s="8" t="n">
        <v>0</v>
      </c>
      <c r="M3187" s="9">
        <f>ROUND(SUM(I3187:L3187),2)</f>
        <v/>
      </c>
      <c r="N3187" s="10">
        <f>ROUND(I3187*'Irish Basis'!$C$6*'Irish Basis'!$C$5,2)</f>
        <v/>
      </c>
      <c r="O3187" s="10">
        <f>ROUND(J3187*'Irish Basis'!$C$7*'Irish Basis'!$C$5,2)</f>
        <v/>
      </c>
      <c r="P3187" s="10">
        <f>ROUND(K3187*'Irish Basis'!$C$8*'Irish Basis'!$C$5,2)</f>
        <v/>
      </c>
      <c r="Q3187" s="10">
        <f>ROUND(L3187*'Irish Basis'!$C$12*'Irish Basis'!$C$5,2)</f>
        <v/>
      </c>
      <c r="R3187" s="11">
        <f>ROUND(SUM(N3187:Q3187),2)</f>
        <v/>
      </c>
      <c r="S3187" s="5" t="inlineStr">
        <is>
          <t>Stated build-up</t>
        </is>
      </c>
      <c r="T3187" s="12" t="inlineStr">
        <is>
          <t>High</t>
        </is>
      </c>
      <c r="U3187" s="8" t="n">
        <v>222.16</v>
      </c>
      <c r="V3187" s="13">
        <f>IF(U3187="","",ROUND(M3187-U3187,2))</f>
        <v/>
      </c>
      <c r="W3187" s="5" t="n"/>
      <c r="X3187" s="5" t="inlineStr">
        <is>
          <t>Labour + plant + material as published; reconciles to the published rate.</t>
        </is>
      </c>
    </row>
    <row r="3188" ht="13" customHeight="1">
      <c r="A3188" s="4" t="n">
        <v>4872</v>
      </c>
      <c r="B3188" s="5" t="inlineStr">
        <is>
          <t>IMG_0131</t>
        </is>
      </c>
      <c r="C3188" s="5" t="inlineStr">
        <is>
          <t>CLASS R: ROADS AND PAVINGS</t>
        </is>
      </c>
      <c r="D3188" s="5" t="inlineStr">
        <is>
          <t>08 ANCILLARIES</t>
        </is>
      </c>
      <c r="E3188" s="5" t="inlineStr">
        <is>
          <t>Examples of Prime Costs for Class 21 (Engineering Grade) traffic and road signs (ex works)</t>
        </is>
      </c>
      <c r="F3188" s="5" t="inlineStr">
        <is>
          <t>600 mm triangular</t>
        </is>
      </c>
      <c r="G3188" s="6" t="inlineStr">
        <is>
          <t>nr</t>
        </is>
      </c>
      <c r="H3188" s="7" t="n"/>
      <c r="I3188" s="8" t="n">
        <v>0</v>
      </c>
      <c r="J3188" s="8" t="n">
        <v>185.08</v>
      </c>
      <c r="K3188" s="8" t="n">
        <v>0</v>
      </c>
      <c r="L3188" s="8" t="n">
        <v>0</v>
      </c>
      <c r="M3188" s="9">
        <f>ROUND(SUM(I3188:L3188),2)</f>
        <v/>
      </c>
      <c r="N3188" s="10">
        <f>ROUND(I3188*'Irish Basis'!$C$6*'Irish Basis'!$C$5,2)</f>
        <v/>
      </c>
      <c r="O3188" s="10">
        <f>ROUND(J3188*'Irish Basis'!$C$7*'Irish Basis'!$C$5,2)</f>
        <v/>
      </c>
      <c r="P3188" s="10">
        <f>ROUND(K3188*'Irish Basis'!$C$8*'Irish Basis'!$C$5,2)</f>
        <v/>
      </c>
      <c r="Q3188" s="10">
        <f>ROUND(L3188*'Irish Basis'!$C$12*'Irish Basis'!$C$5,2)</f>
        <v/>
      </c>
      <c r="R3188" s="11">
        <f>ROUND(SUM(N3188:Q3188),2)</f>
        <v/>
      </c>
      <c r="S3188" s="5" t="inlineStr">
        <is>
          <t>Stated build-up</t>
        </is>
      </c>
      <c r="T3188" s="12" t="inlineStr">
        <is>
          <t>High</t>
        </is>
      </c>
      <c r="U3188" s="8" t="n">
        <v>185.08</v>
      </c>
      <c r="V3188" s="13">
        <f>IF(U3188="","",ROUND(M3188-U3188,2))</f>
        <v/>
      </c>
      <c r="W3188" s="5" t="n"/>
      <c r="X3188" s="5" t="inlineStr">
        <is>
          <t>Labour + plant + material as published; reconciles to the published rate.</t>
        </is>
      </c>
    </row>
    <row r="3189" ht="13" customHeight="1">
      <c r="A3189" s="4" t="n">
        <v>4873</v>
      </c>
      <c r="B3189" s="5" t="inlineStr">
        <is>
          <t>IMG_0131</t>
        </is>
      </c>
      <c r="C3189" s="5" t="inlineStr">
        <is>
          <t>CLASS R: ROADS AND PAVINGS</t>
        </is>
      </c>
      <c r="D3189" s="5" t="inlineStr">
        <is>
          <t>08 ANCILLARIES</t>
        </is>
      </c>
      <c r="E3189" s="5" t="inlineStr">
        <is>
          <t>Examples of Prime Costs for Class 21 (Engineering Grade) traffic and road signs (ex works)</t>
        </is>
      </c>
      <c r="F3189" s="5" t="inlineStr">
        <is>
          <t>500 x 500 mm</t>
        </is>
      </c>
      <c r="G3189" s="6" t="inlineStr">
        <is>
          <t>nr</t>
        </is>
      </c>
      <c r="H3189" s="7" t="n"/>
      <c r="I3189" s="8" t="n">
        <v>0</v>
      </c>
      <c r="J3189" s="8" t="n">
        <v>57.08</v>
      </c>
      <c r="K3189" s="8" t="n">
        <v>0</v>
      </c>
      <c r="L3189" s="8" t="n">
        <v>0</v>
      </c>
      <c r="M3189" s="9">
        <f>ROUND(SUM(I3189:L3189),2)</f>
        <v/>
      </c>
      <c r="N3189" s="10">
        <f>ROUND(I3189*'Irish Basis'!$C$6*'Irish Basis'!$C$5,2)</f>
        <v/>
      </c>
      <c r="O3189" s="10">
        <f>ROUND(J3189*'Irish Basis'!$C$7*'Irish Basis'!$C$5,2)</f>
        <v/>
      </c>
      <c r="P3189" s="10">
        <f>ROUND(K3189*'Irish Basis'!$C$8*'Irish Basis'!$C$5,2)</f>
        <v/>
      </c>
      <c r="Q3189" s="10">
        <f>ROUND(L3189*'Irish Basis'!$C$12*'Irish Basis'!$C$5,2)</f>
        <v/>
      </c>
      <c r="R3189" s="11">
        <f>ROUND(SUM(N3189:Q3189),2)</f>
        <v/>
      </c>
      <c r="S3189" s="5" t="inlineStr">
        <is>
          <t>Stated build-up</t>
        </is>
      </c>
      <c r="T3189" s="12" t="inlineStr">
        <is>
          <t>High</t>
        </is>
      </c>
      <c r="U3189" s="8" t="n">
        <v>57.08</v>
      </c>
      <c r="V3189" s="13">
        <f>IF(U3189="","",ROUND(M3189-U3189,2))</f>
        <v/>
      </c>
      <c r="W3189" s="5" t="n"/>
      <c r="X3189" s="5" t="inlineStr">
        <is>
          <t>Labour + plant + material as published; reconciles to the published rate.</t>
        </is>
      </c>
    </row>
    <row r="3190" ht="13" customHeight="1">
      <c r="A3190" s="4" t="n">
        <v>4874</v>
      </c>
      <c r="B3190" s="5" t="inlineStr">
        <is>
          <t>IMG_0131</t>
        </is>
      </c>
      <c r="C3190" s="5" t="inlineStr">
        <is>
          <t>CLASS R: ROADS AND PAVINGS</t>
        </is>
      </c>
      <c r="D3190" s="5" t="inlineStr">
        <is>
          <t>08 ANCILLARIES</t>
        </is>
      </c>
      <c r="E3190" s="5" t="inlineStr">
        <is>
          <t>Examples of Prime Costs for Class 21 (Engineering Grade) traffic and road signs (ex works)</t>
        </is>
      </c>
      <c r="F3190" s="5" t="inlineStr">
        <is>
          <t>450 x 450 mm</t>
        </is>
      </c>
      <c r="G3190" s="6" t="inlineStr">
        <is>
          <t>nr</t>
        </is>
      </c>
      <c r="H3190" s="7" t="n"/>
      <c r="I3190" s="8" t="n">
        <v>0</v>
      </c>
      <c r="J3190" s="8" t="n">
        <v>54.25</v>
      </c>
      <c r="K3190" s="8" t="n">
        <v>0</v>
      </c>
      <c r="L3190" s="8" t="n">
        <v>0</v>
      </c>
      <c r="M3190" s="9">
        <f>ROUND(SUM(I3190:L3190),2)</f>
        <v/>
      </c>
      <c r="N3190" s="10">
        <f>ROUND(I3190*'Irish Basis'!$C$6*'Irish Basis'!$C$5,2)</f>
        <v/>
      </c>
      <c r="O3190" s="10">
        <f>ROUND(J3190*'Irish Basis'!$C$7*'Irish Basis'!$C$5,2)</f>
        <v/>
      </c>
      <c r="P3190" s="10">
        <f>ROUND(K3190*'Irish Basis'!$C$8*'Irish Basis'!$C$5,2)</f>
        <v/>
      </c>
      <c r="Q3190" s="10">
        <f>ROUND(L3190*'Irish Basis'!$C$12*'Irish Basis'!$C$5,2)</f>
        <v/>
      </c>
      <c r="R3190" s="11">
        <f>ROUND(SUM(N3190:Q3190),2)</f>
        <v/>
      </c>
      <c r="S3190" s="5" t="inlineStr">
        <is>
          <t>Stated build-up</t>
        </is>
      </c>
      <c r="T3190" s="12" t="inlineStr">
        <is>
          <t>High</t>
        </is>
      </c>
      <c r="U3190" s="8" t="n">
        <v>54.25</v>
      </c>
      <c r="V3190" s="13">
        <f>IF(U3190="","",ROUND(M3190-U3190,2))</f>
        <v/>
      </c>
      <c r="W3190" s="5" t="n"/>
      <c r="X3190" s="5" t="inlineStr">
        <is>
          <t>Labour + plant + material as published; reconciles to the published rate.</t>
        </is>
      </c>
    </row>
    <row r="3191" ht="13" customHeight="1">
      <c r="A3191" s="4" t="n">
        <v>4875</v>
      </c>
      <c r="B3191" s="5" t="inlineStr">
        <is>
          <t>IMG_0131</t>
        </is>
      </c>
      <c r="C3191" s="5" t="inlineStr">
        <is>
          <t>CLASS R: ROADS AND PAVINGS</t>
        </is>
      </c>
      <c r="D3191" s="5" t="inlineStr">
        <is>
          <t>08 ANCILLARIES</t>
        </is>
      </c>
      <c r="E3191" s="5" t="inlineStr">
        <is>
          <t>Examples of Prime Costs for Class 21 (Engineering Grade) traffic and road signs (ex works)</t>
        </is>
      </c>
      <c r="F3191" s="5" t="inlineStr">
        <is>
          <t>450 x 300 mm</t>
        </is>
      </c>
      <c r="G3191" s="6" t="inlineStr">
        <is>
          <t>nr</t>
        </is>
      </c>
      <c r="H3191" s="7" t="n"/>
      <c r="I3191" s="8" t="n">
        <v>0</v>
      </c>
      <c r="J3191" s="8" t="n">
        <v>51.49</v>
      </c>
      <c r="K3191" s="8" t="n">
        <v>0</v>
      </c>
      <c r="L3191" s="8" t="n">
        <v>0</v>
      </c>
      <c r="M3191" s="9">
        <f>ROUND(SUM(I3191:L3191),2)</f>
        <v/>
      </c>
      <c r="N3191" s="10">
        <f>ROUND(I3191*'Irish Basis'!$C$6*'Irish Basis'!$C$5,2)</f>
        <v/>
      </c>
      <c r="O3191" s="10">
        <f>ROUND(J3191*'Irish Basis'!$C$7*'Irish Basis'!$C$5,2)</f>
        <v/>
      </c>
      <c r="P3191" s="10">
        <f>ROUND(K3191*'Irish Basis'!$C$8*'Irish Basis'!$C$5,2)</f>
        <v/>
      </c>
      <c r="Q3191" s="10">
        <f>ROUND(L3191*'Irish Basis'!$C$12*'Irish Basis'!$C$5,2)</f>
        <v/>
      </c>
      <c r="R3191" s="11">
        <f>ROUND(SUM(N3191:Q3191),2)</f>
        <v/>
      </c>
      <c r="S3191" s="5" t="inlineStr">
        <is>
          <t>Stated build-up</t>
        </is>
      </c>
      <c r="T3191" s="12" t="inlineStr">
        <is>
          <t>High</t>
        </is>
      </c>
      <c r="U3191" s="8" t="n">
        <v>51.49</v>
      </c>
      <c r="V3191" s="13">
        <f>IF(U3191="","",ROUND(M3191-U3191,2))</f>
        <v/>
      </c>
      <c r="W3191" s="5" t="n"/>
      <c r="X3191" s="5" t="inlineStr">
        <is>
          <t>Labour + plant + material as published; reconciles to the published rate.</t>
        </is>
      </c>
    </row>
    <row r="3192" ht="13" customHeight="1">
      <c r="A3192" s="4" t="n">
        <v>4876</v>
      </c>
      <c r="B3192" s="5" t="inlineStr">
        <is>
          <t>IMG_0131</t>
        </is>
      </c>
      <c r="C3192" s="5" t="inlineStr">
        <is>
          <t>CLASS R: ROADS AND PAVINGS</t>
        </is>
      </c>
      <c r="D3192" s="5" t="inlineStr">
        <is>
          <t>08 ANCILLARIES</t>
        </is>
      </c>
      <c r="E3192" s="5" t="inlineStr">
        <is>
          <t>Examples of Prime Costs for Class 21 (Engineering Grade) traffic and road signs (ex works)</t>
        </is>
      </c>
      <c r="F3192" s="5" t="inlineStr">
        <is>
          <t>1200 x 400 mm (CHEVRONS)</t>
        </is>
      </c>
      <c r="G3192" s="6" t="inlineStr">
        <is>
          <t>nr</t>
        </is>
      </c>
      <c r="H3192" s="7" t="n"/>
      <c r="I3192" s="8" t="n">
        <v>0</v>
      </c>
      <c r="J3192" s="8" t="n">
        <v>91.06999999999999</v>
      </c>
      <c r="K3192" s="8" t="n">
        <v>0</v>
      </c>
      <c r="L3192" s="8" t="n">
        <v>0</v>
      </c>
      <c r="M3192" s="9">
        <f>ROUND(SUM(I3192:L3192),2)</f>
        <v/>
      </c>
      <c r="N3192" s="10">
        <f>ROUND(I3192*'Irish Basis'!$C$6*'Irish Basis'!$C$5,2)</f>
        <v/>
      </c>
      <c r="O3192" s="10">
        <f>ROUND(J3192*'Irish Basis'!$C$7*'Irish Basis'!$C$5,2)</f>
        <v/>
      </c>
      <c r="P3192" s="10">
        <f>ROUND(K3192*'Irish Basis'!$C$8*'Irish Basis'!$C$5,2)</f>
        <v/>
      </c>
      <c r="Q3192" s="10">
        <f>ROUND(L3192*'Irish Basis'!$C$12*'Irish Basis'!$C$5,2)</f>
        <v/>
      </c>
      <c r="R3192" s="11">
        <f>ROUND(SUM(N3192:Q3192),2)</f>
        <v/>
      </c>
      <c r="S3192" s="5" t="inlineStr">
        <is>
          <t>Stated build-up</t>
        </is>
      </c>
      <c r="T3192" s="12" t="inlineStr">
        <is>
          <t>High</t>
        </is>
      </c>
      <c r="U3192" s="8" t="n">
        <v>91.06999999999999</v>
      </c>
      <c r="V3192" s="13">
        <f>IF(U3192="","",ROUND(M3192-U3192,2))</f>
        <v/>
      </c>
      <c r="W3192" s="5" t="n"/>
      <c r="X3192" s="5" t="inlineStr">
        <is>
          <t>Labour + plant + material as published; reconciles to the published rate.</t>
        </is>
      </c>
    </row>
    <row r="3193" ht="13" customHeight="1">
      <c r="A3193" s="4" t="n">
        <v>4879</v>
      </c>
      <c r="B3193" s="5" t="inlineStr">
        <is>
          <t>IMG_0131</t>
        </is>
      </c>
      <c r="C3193" s="5" t="inlineStr">
        <is>
          <t>CLASS R: ROADS AND PAVINGS</t>
        </is>
      </c>
      <c r="D3193" s="5" t="inlineStr">
        <is>
          <t>08 ANCILLARIES</t>
        </is>
      </c>
      <c r="E3193" s="5" t="inlineStr">
        <is>
          <t>Standard reflectorized traffic signs</t>
        </is>
      </c>
      <c r="F3193" s="5" t="inlineStr">
        <is>
          <t>fixed back to back to another sign (measured separately) with aluminium clips to existing post (measured separately)</t>
        </is>
      </c>
      <c r="G3193" s="6" t="inlineStr">
        <is>
          <t>nr</t>
        </is>
      </c>
      <c r="H3193" s="7" t="n">
        <v>0.04</v>
      </c>
      <c r="I3193" s="8" t="n">
        <v>4.56</v>
      </c>
      <c r="J3193" s="8" t="n">
        <v>6.74</v>
      </c>
      <c r="K3193" s="8" t="n">
        <v>60.02</v>
      </c>
      <c r="L3193" s="8" t="n">
        <v>0</v>
      </c>
      <c r="M3193" s="9">
        <f>ROUND(SUM(I3193:L3193),2)</f>
        <v/>
      </c>
      <c r="N3193" s="10">
        <f>ROUND(I3193*'Irish Basis'!$C$6*'Irish Basis'!$C$5,2)</f>
        <v/>
      </c>
      <c r="O3193" s="10">
        <f>ROUND(J3193*'Irish Basis'!$C$7*'Irish Basis'!$C$5,2)</f>
        <v/>
      </c>
      <c r="P3193" s="10">
        <f>ROUND(K3193*'Irish Basis'!$C$8*'Irish Basis'!$C$5,2)</f>
        <v/>
      </c>
      <c r="Q3193" s="10">
        <f>ROUND(L3193*'Irish Basis'!$C$12*'Irish Basis'!$C$5,2)</f>
        <v/>
      </c>
      <c r="R3193" s="11">
        <f>ROUND(SUM(N3193:Q3193),2)</f>
        <v/>
      </c>
      <c r="S3193" s="5" t="inlineStr">
        <is>
          <t>Stated build-up</t>
        </is>
      </c>
      <c r="T3193" s="12" t="inlineStr">
        <is>
          <t>High</t>
        </is>
      </c>
      <c r="U3193" s="8" t="n">
        <v>71.31999999999999</v>
      </c>
      <c r="V3193" s="13">
        <f>IF(U3193="","",ROUND(M3193-U3193,2))</f>
        <v/>
      </c>
      <c r="W3193" s="5" t="n"/>
      <c r="X3193" s="5" t="inlineStr">
        <is>
          <t>Labour + plant + material as published; reconciles to the published rate.</t>
        </is>
      </c>
    </row>
    <row r="3194" ht="13" customHeight="1">
      <c r="A3194" s="4" t="n">
        <v>4880</v>
      </c>
      <c r="B3194" s="5" t="inlineStr">
        <is>
          <t>IMG_0131</t>
        </is>
      </c>
      <c r="C3194" s="5" t="inlineStr">
        <is>
          <t>CLASS R: ROADS AND PAVINGS</t>
        </is>
      </c>
      <c r="D3194" s="5" t="inlineStr">
        <is>
          <t>08 ANCILLARIES</t>
        </is>
      </c>
      <c r="E3194" s="5" t="inlineStr">
        <is>
          <t>Standard reflectorized traffic signs</t>
        </is>
      </c>
      <c r="F3194" s="5" t="inlineStr">
        <is>
          <t>extra for fixing singly with aluminium clips</t>
        </is>
      </c>
      <c r="G3194" s="6" t="inlineStr">
        <is>
          <t>nr</t>
        </is>
      </c>
      <c r="H3194" s="7" t="n">
        <v>0.01</v>
      </c>
      <c r="I3194" s="8" t="n">
        <v>1.14</v>
      </c>
      <c r="J3194" s="8" t="n">
        <v>0.63</v>
      </c>
      <c r="K3194" s="8" t="n">
        <v>1.59</v>
      </c>
      <c r="L3194" s="8" t="n">
        <v>0</v>
      </c>
      <c r="M3194" s="9">
        <f>ROUND(SUM(I3194:L3194),2)</f>
        <v/>
      </c>
      <c r="N3194" s="10">
        <f>ROUND(I3194*'Irish Basis'!$C$6*'Irish Basis'!$C$5,2)</f>
        <v/>
      </c>
      <c r="O3194" s="10">
        <f>ROUND(J3194*'Irish Basis'!$C$7*'Irish Basis'!$C$5,2)</f>
        <v/>
      </c>
      <c r="P3194" s="10">
        <f>ROUND(K3194*'Irish Basis'!$C$8*'Irish Basis'!$C$5,2)</f>
        <v/>
      </c>
      <c r="Q3194" s="10">
        <f>ROUND(L3194*'Irish Basis'!$C$12*'Irish Basis'!$C$5,2)</f>
        <v/>
      </c>
      <c r="R3194" s="11">
        <f>ROUND(SUM(N3194:Q3194),2)</f>
        <v/>
      </c>
      <c r="S3194" s="5" t="inlineStr">
        <is>
          <t>Stated build-up</t>
        </is>
      </c>
      <c r="T3194" s="12" t="inlineStr">
        <is>
          <t>High</t>
        </is>
      </c>
      <c r="U3194" s="8" t="n">
        <v>3.37</v>
      </c>
      <c r="V3194" s="13">
        <f>IF(U3194="","",ROUND(M3194-U3194,2))</f>
        <v/>
      </c>
      <c r="W3194" s="5" t="n"/>
      <c r="X3194" s="5" t="inlineStr">
        <is>
          <t>Labour + plant + material as published; reconciles to the published rate.</t>
        </is>
      </c>
    </row>
    <row r="3195" ht="13" customHeight="1">
      <c r="A3195" s="4" t="n">
        <v>4881</v>
      </c>
      <c r="B3195" s="5" t="inlineStr">
        <is>
          <t>IMG_0131</t>
        </is>
      </c>
      <c r="C3195" s="5" t="inlineStr">
        <is>
          <t>CLASS R: ROADS AND PAVINGS</t>
        </is>
      </c>
      <c r="D3195" s="5" t="inlineStr">
        <is>
          <t>08 ANCILLARIES</t>
        </is>
      </c>
      <c r="E3195" s="5" t="inlineStr">
        <is>
          <t>Standard reflectorized traffic signs</t>
        </is>
      </c>
      <c r="F3195" s="5" t="inlineStr">
        <is>
          <t>extra for fixing singly with stainless steel clips</t>
        </is>
      </c>
      <c r="G3195" s="6" t="inlineStr">
        <is>
          <t>nr</t>
        </is>
      </c>
      <c r="H3195" s="7" t="n">
        <v>0.01</v>
      </c>
      <c r="I3195" s="8" t="n">
        <v>1.14</v>
      </c>
      <c r="J3195" s="8" t="n">
        <v>2.33</v>
      </c>
      <c r="K3195" s="8" t="n">
        <v>6.15</v>
      </c>
      <c r="L3195" s="8" t="n">
        <v>0</v>
      </c>
      <c r="M3195" s="9">
        <f>ROUND(SUM(I3195:L3195),2)</f>
        <v/>
      </c>
      <c r="N3195" s="10">
        <f>ROUND(I3195*'Irish Basis'!$C$6*'Irish Basis'!$C$5,2)</f>
        <v/>
      </c>
      <c r="O3195" s="10">
        <f>ROUND(J3195*'Irish Basis'!$C$7*'Irish Basis'!$C$5,2)</f>
        <v/>
      </c>
      <c r="P3195" s="10">
        <f>ROUND(K3195*'Irish Basis'!$C$8*'Irish Basis'!$C$5,2)</f>
        <v/>
      </c>
      <c r="Q3195" s="10">
        <f>ROUND(L3195*'Irish Basis'!$C$12*'Irish Basis'!$C$5,2)</f>
        <v/>
      </c>
      <c r="R3195" s="11">
        <f>ROUND(SUM(N3195:Q3195),2)</f>
        <v/>
      </c>
      <c r="S3195" s="5" t="inlineStr">
        <is>
          <t>Stated build-up</t>
        </is>
      </c>
      <c r="T3195" s="12" t="inlineStr">
        <is>
          <t>High</t>
        </is>
      </c>
      <c r="U3195" s="8" t="n">
        <v>9.619999999999999</v>
      </c>
      <c r="V3195" s="13">
        <f>IF(U3195="","",ROUND(M3195-U3195,2))</f>
        <v/>
      </c>
      <c r="W3195" s="5" t="n"/>
      <c r="X3195" s="5" t="inlineStr">
        <is>
          <t>Labour + plant + material as published; reconciles to the published rate.</t>
        </is>
      </c>
    </row>
    <row r="3196" ht="13" customHeight="1">
      <c r="A3196" s="4" t="n">
        <v>4882</v>
      </c>
      <c r="B3196" s="5" t="inlineStr">
        <is>
          <t>IMG_0131</t>
        </is>
      </c>
      <c r="C3196" s="5" t="inlineStr">
        <is>
          <t>CLASS R: ROADS AND PAVINGS</t>
        </is>
      </c>
      <c r="D3196" s="5" t="inlineStr">
        <is>
          <t>08 ANCILLARIES</t>
        </is>
      </c>
      <c r="E3196" s="5" t="inlineStr">
        <is>
          <t>Standard reflectorized traffic signs</t>
        </is>
      </c>
      <c r="F3196" s="5" t="inlineStr">
        <is>
          <t>fixed back to back to another sign (measured separately) with stainless steel clips to one new 76 mm dia. plastic coated steel posts 1.75 m long</t>
        </is>
      </c>
      <c r="G3196" s="6" t="inlineStr">
        <is>
          <t>nr</t>
        </is>
      </c>
      <c r="H3196" s="7" t="n">
        <v>0.27</v>
      </c>
      <c r="I3196" s="8" t="n">
        <v>30.79</v>
      </c>
      <c r="J3196" s="8" t="n">
        <v>45.51</v>
      </c>
      <c r="K3196" s="8" t="n">
        <v>140.02</v>
      </c>
      <c r="L3196" s="8" t="n">
        <v>0</v>
      </c>
      <c r="M3196" s="9">
        <f>ROUND(SUM(I3196:L3196),2)</f>
        <v/>
      </c>
      <c r="N3196" s="10">
        <f>ROUND(I3196*'Irish Basis'!$C$6*'Irish Basis'!$C$5,2)</f>
        <v/>
      </c>
      <c r="O3196" s="10">
        <f>ROUND(J3196*'Irish Basis'!$C$7*'Irish Basis'!$C$5,2)</f>
        <v/>
      </c>
      <c r="P3196" s="10">
        <f>ROUND(K3196*'Irish Basis'!$C$8*'Irish Basis'!$C$5,2)</f>
        <v/>
      </c>
      <c r="Q3196" s="10">
        <f>ROUND(L3196*'Irish Basis'!$C$12*'Irish Basis'!$C$5,2)</f>
        <v/>
      </c>
      <c r="R3196" s="11">
        <f>ROUND(SUM(N3196:Q3196),2)</f>
        <v/>
      </c>
      <c r="S3196" s="5" t="inlineStr">
        <is>
          <t>Stated build-up</t>
        </is>
      </c>
      <c r="T3196" s="12" t="inlineStr">
        <is>
          <t>High</t>
        </is>
      </c>
      <c r="U3196" s="8" t="n">
        <v>216.32</v>
      </c>
      <c r="V3196" s="13">
        <f>IF(U3196="","",ROUND(M3196-U3196,2))</f>
        <v/>
      </c>
      <c r="W3196" s="5" t="n"/>
      <c r="X3196" s="5" t="inlineStr">
        <is>
          <t>Labour + plant + material as published; reconciles to the published rate.</t>
        </is>
      </c>
    </row>
    <row r="3197" ht="13" customHeight="1">
      <c r="A3197" s="4" t="n">
        <v>4883</v>
      </c>
      <c r="B3197" s="5" t="inlineStr">
        <is>
          <t>IMG_0131</t>
        </is>
      </c>
      <c r="C3197" s="5" t="inlineStr">
        <is>
          <t>CLASS R: ROADS AND PAVINGS</t>
        </is>
      </c>
      <c r="D3197" s="5" t="inlineStr">
        <is>
          <t>08 ANCILLARIES</t>
        </is>
      </c>
      <c r="E3197" s="5" t="inlineStr">
        <is>
          <t>Standard reflectorized traffic signs</t>
        </is>
      </c>
      <c r="F3197" s="5" t="inlineStr">
        <is>
          <t>extra for fixing singly to one face only</t>
        </is>
      </c>
      <c r="G3197" s="6" t="inlineStr">
        <is>
          <t>nr</t>
        </is>
      </c>
      <c r="H3197" s="7" t="n">
        <v>0.01</v>
      </c>
      <c r="I3197" s="8" t="n">
        <v>1.14</v>
      </c>
      <c r="J3197" s="8" t="n">
        <v>0.63</v>
      </c>
      <c r="K3197" s="8" t="n">
        <v>0</v>
      </c>
      <c r="L3197" s="8" t="n">
        <v>0</v>
      </c>
      <c r="M3197" s="9">
        <f>ROUND(SUM(I3197:L3197),2)</f>
        <v/>
      </c>
      <c r="N3197" s="10">
        <f>ROUND(I3197*'Irish Basis'!$C$6*'Irish Basis'!$C$5,2)</f>
        <v/>
      </c>
      <c r="O3197" s="10">
        <f>ROUND(J3197*'Irish Basis'!$C$7*'Irish Basis'!$C$5,2)</f>
        <v/>
      </c>
      <c r="P3197" s="10">
        <f>ROUND(K3197*'Irish Basis'!$C$8*'Irish Basis'!$C$5,2)</f>
        <v/>
      </c>
      <c r="Q3197" s="10">
        <f>ROUND(L3197*'Irish Basis'!$C$12*'Irish Basis'!$C$5,2)</f>
        <v/>
      </c>
      <c r="R3197" s="11">
        <f>ROUND(SUM(N3197:Q3197),2)</f>
        <v/>
      </c>
      <c r="S3197" s="5" t="inlineStr">
        <is>
          <t>Stated build-up</t>
        </is>
      </c>
      <c r="T3197" s="12" t="inlineStr">
        <is>
          <t>High</t>
        </is>
      </c>
      <c r="U3197" s="8" t="n">
        <v>1.78</v>
      </c>
      <c r="V3197" s="13">
        <f>IF(U3197="","",ROUND(M3197-U3197,2))</f>
        <v/>
      </c>
      <c r="W3197" s="15" t="inlineStr">
        <is>
          <t>Outlier vs comparable items</t>
        </is>
      </c>
      <c r="X3197" s="5" t="inlineStr">
        <is>
          <t>Labour + plant + material as published; reconciles to the published rate. Derived cost is far from the median of comparable items in this group (£71.87) — check the source figure.</t>
        </is>
      </c>
    </row>
    <row r="3198" ht="13" customHeight="1">
      <c r="A3198" s="4" t="n">
        <v>4884</v>
      </c>
      <c r="B3198" s="5" t="inlineStr">
        <is>
          <t>IMG_0131</t>
        </is>
      </c>
      <c r="C3198" s="5" t="inlineStr">
        <is>
          <t>CLASS R: ROADS AND PAVINGS</t>
        </is>
      </c>
      <c r="D3198" s="5" t="inlineStr">
        <is>
          <t>08 ANCILLARIES</t>
        </is>
      </c>
      <c r="E3198" s="5" t="inlineStr">
        <is>
          <t>Standard reflectorized traffic signs</t>
        </is>
      </c>
      <c r="F3198" s="5" t="inlineStr">
        <is>
          <t>extra for 76 mm dia. 1.75 m long aluminium post</t>
        </is>
      </c>
      <c r="G3198" s="6" t="inlineStr">
        <is>
          <t>nr</t>
        </is>
      </c>
      <c r="H3198" s="7" t="n">
        <v>0.02</v>
      </c>
      <c r="I3198" s="8" t="n">
        <v>2.28</v>
      </c>
      <c r="J3198" s="8" t="n">
        <v>1.32</v>
      </c>
      <c r="K3198" s="8" t="n">
        <v>44.49</v>
      </c>
      <c r="L3198" s="8" t="n">
        <v>0</v>
      </c>
      <c r="M3198" s="9">
        <f>ROUND(SUM(I3198:L3198),2)</f>
        <v/>
      </c>
      <c r="N3198" s="10">
        <f>ROUND(I3198*'Irish Basis'!$C$6*'Irish Basis'!$C$5,2)</f>
        <v/>
      </c>
      <c r="O3198" s="10">
        <f>ROUND(J3198*'Irish Basis'!$C$7*'Irish Basis'!$C$5,2)</f>
        <v/>
      </c>
      <c r="P3198" s="10">
        <f>ROUND(K3198*'Irish Basis'!$C$8*'Irish Basis'!$C$5,2)</f>
        <v/>
      </c>
      <c r="Q3198" s="10">
        <f>ROUND(L3198*'Irish Basis'!$C$12*'Irish Basis'!$C$5,2)</f>
        <v/>
      </c>
      <c r="R3198" s="11">
        <f>ROUND(SUM(N3198:Q3198),2)</f>
        <v/>
      </c>
      <c r="S3198" s="5" t="inlineStr">
        <is>
          <t>Stated build-up</t>
        </is>
      </c>
      <c r="T3198" s="12" t="inlineStr">
        <is>
          <t>High</t>
        </is>
      </c>
      <c r="U3198" s="8" t="n">
        <v>48.09</v>
      </c>
      <c r="V3198" s="13">
        <f>IF(U3198="","",ROUND(M3198-U3198,2))</f>
        <v/>
      </c>
      <c r="W3198" s="5" t="n"/>
      <c r="X3198" s="5" t="inlineStr">
        <is>
          <t>Labour + plant + material as published; reconciles to the published rate.</t>
        </is>
      </c>
    </row>
    <row r="3199" ht="13" customHeight="1">
      <c r="A3199" s="4" t="n">
        <v>4885</v>
      </c>
      <c r="B3199" s="5" t="inlineStr">
        <is>
          <t>IMG_0131</t>
        </is>
      </c>
      <c r="C3199" s="5" t="inlineStr">
        <is>
          <t>CLASS R: ROADS AND PAVINGS</t>
        </is>
      </c>
      <c r="D3199" s="5" t="inlineStr">
        <is>
          <t>08 ANCILLARIES</t>
        </is>
      </c>
      <c r="E3199" s="5" t="inlineStr">
        <is>
          <t>Standard reflectorized traffic signs</t>
        </is>
      </c>
      <c r="F3199" s="5" t="inlineStr">
        <is>
          <t>extra for 76 mm dia. 1.75 m long plastic coated steel post</t>
        </is>
      </c>
      <c r="G3199" s="6" t="inlineStr">
        <is>
          <t>nr</t>
        </is>
      </c>
      <c r="H3199" s="7" t="n">
        <v>0.02</v>
      </c>
      <c r="I3199" s="8" t="n">
        <v>2.28</v>
      </c>
      <c r="J3199" s="8" t="n">
        <v>1.32</v>
      </c>
      <c r="K3199" s="8" t="n">
        <v>68.81999999999999</v>
      </c>
      <c r="L3199" s="8" t="n">
        <v>0</v>
      </c>
      <c r="M3199" s="9">
        <f>ROUND(SUM(I3199:L3199),2)</f>
        <v/>
      </c>
      <c r="N3199" s="10">
        <f>ROUND(I3199*'Irish Basis'!$C$6*'Irish Basis'!$C$5,2)</f>
        <v/>
      </c>
      <c r="O3199" s="10">
        <f>ROUND(J3199*'Irish Basis'!$C$7*'Irish Basis'!$C$5,2)</f>
        <v/>
      </c>
      <c r="P3199" s="10">
        <f>ROUND(K3199*'Irish Basis'!$C$8*'Irish Basis'!$C$5,2)</f>
        <v/>
      </c>
      <c r="Q3199" s="10">
        <f>ROUND(L3199*'Irish Basis'!$C$12*'Irish Basis'!$C$5,2)</f>
        <v/>
      </c>
      <c r="R3199" s="11">
        <f>ROUND(SUM(N3199:Q3199),2)</f>
        <v/>
      </c>
      <c r="S3199" s="5" t="inlineStr">
        <is>
          <t>Stated build-up</t>
        </is>
      </c>
      <c r="T3199" s="12" t="inlineStr">
        <is>
          <t>High</t>
        </is>
      </c>
      <c r="U3199" s="8" t="n">
        <v>72.42</v>
      </c>
      <c r="V3199" s="13">
        <f>IF(U3199="","",ROUND(M3199-U3199,2))</f>
        <v/>
      </c>
      <c r="W3199" s="5" t="n"/>
      <c r="X3199" s="5" t="inlineStr">
        <is>
          <t>Labour + plant + material as published; reconciles to the published rate.</t>
        </is>
      </c>
    </row>
    <row r="3200" ht="13" customHeight="1">
      <c r="A3200" s="4" t="n">
        <v>4886</v>
      </c>
      <c r="B3200" s="5" t="inlineStr">
        <is>
          <t>IMG_0131</t>
        </is>
      </c>
      <c r="C3200" s="5" t="inlineStr">
        <is>
          <t>CLASS R: ROADS AND PAVINGS</t>
        </is>
      </c>
      <c r="D3200" s="5" t="inlineStr">
        <is>
          <t>08 ANCILLARIES</t>
        </is>
      </c>
      <c r="E3200" s="5" t="inlineStr">
        <is>
          <t>Standard reflectorized traffic signs</t>
        </is>
      </c>
      <c r="F3200" s="5" t="inlineStr">
        <is>
          <t>extra for 76 mm dia. 3.5 m long aluminium post</t>
        </is>
      </c>
      <c r="G3200" s="6" t="inlineStr">
        <is>
          <t>nr</t>
        </is>
      </c>
      <c r="H3200" s="7" t="n">
        <v>0.02</v>
      </c>
      <c r="I3200" s="8" t="n">
        <v>2.28</v>
      </c>
      <c r="J3200" s="8" t="n">
        <v>1.32</v>
      </c>
      <c r="K3200" s="8" t="n">
        <v>84</v>
      </c>
      <c r="L3200" s="8" t="n">
        <v>0</v>
      </c>
      <c r="M3200" s="9">
        <f>ROUND(SUM(I3200:L3200),2)</f>
        <v/>
      </c>
      <c r="N3200" s="10">
        <f>ROUND(I3200*'Irish Basis'!$C$6*'Irish Basis'!$C$5,2)</f>
        <v/>
      </c>
      <c r="O3200" s="10">
        <f>ROUND(J3200*'Irish Basis'!$C$7*'Irish Basis'!$C$5,2)</f>
        <v/>
      </c>
      <c r="P3200" s="10">
        <f>ROUND(K3200*'Irish Basis'!$C$8*'Irish Basis'!$C$5,2)</f>
        <v/>
      </c>
      <c r="Q3200" s="10">
        <f>ROUND(L3200*'Irish Basis'!$C$12*'Irish Basis'!$C$5,2)</f>
        <v/>
      </c>
      <c r="R3200" s="11">
        <f>ROUND(SUM(N3200:Q3200),2)</f>
        <v/>
      </c>
      <c r="S3200" s="5" t="inlineStr">
        <is>
          <t>Stated build-up</t>
        </is>
      </c>
      <c r="T3200" s="12" t="inlineStr">
        <is>
          <t>High</t>
        </is>
      </c>
      <c r="U3200" s="8" t="n">
        <v>87.59999999999999</v>
      </c>
      <c r="V3200" s="13">
        <f>IF(U3200="","",ROUND(M3200-U3200,2))</f>
        <v/>
      </c>
      <c r="W3200" s="5" t="n"/>
      <c r="X3200" s="5" t="inlineStr">
        <is>
          <t>Labour + plant + material as published; reconciles to the published rate.</t>
        </is>
      </c>
    </row>
    <row r="3201" ht="13" customHeight="1">
      <c r="A3201" s="4" t="n">
        <v>4887</v>
      </c>
      <c r="B3201" s="5" t="inlineStr">
        <is>
          <t>IMG_0131</t>
        </is>
      </c>
      <c r="C3201" s="5" t="inlineStr">
        <is>
          <t>CLASS R: ROADS AND PAVINGS</t>
        </is>
      </c>
      <c r="D3201" s="5" t="inlineStr">
        <is>
          <t>08 ANCILLARIES</t>
        </is>
      </c>
      <c r="E3201" s="5" t="inlineStr">
        <is>
          <t>Standard reflectorized traffic signs</t>
        </is>
      </c>
      <c r="F3201" s="5" t="inlineStr">
        <is>
          <t>extra for excavation for post, in hard material</t>
        </is>
      </c>
      <c r="G3201" s="6" t="inlineStr">
        <is>
          <t>nr</t>
        </is>
      </c>
      <c r="H3201" s="7" t="n">
        <v>1.1</v>
      </c>
      <c r="I3201" s="8" t="n">
        <v>125.44</v>
      </c>
      <c r="J3201" s="8" t="n">
        <v>71.19</v>
      </c>
      <c r="K3201" s="8" t="n">
        <v>0</v>
      </c>
      <c r="L3201" s="8" t="n">
        <v>0</v>
      </c>
      <c r="M3201" s="9">
        <f>ROUND(SUM(I3201:L3201),2)</f>
        <v/>
      </c>
      <c r="N3201" s="10">
        <f>ROUND(I3201*'Irish Basis'!$C$6*'Irish Basis'!$C$5,2)</f>
        <v/>
      </c>
      <c r="O3201" s="10">
        <f>ROUND(J3201*'Irish Basis'!$C$7*'Irish Basis'!$C$5,2)</f>
        <v/>
      </c>
      <c r="P3201" s="10">
        <f>ROUND(K3201*'Irish Basis'!$C$8*'Irish Basis'!$C$5,2)</f>
        <v/>
      </c>
      <c r="Q3201" s="10">
        <f>ROUND(L3201*'Irish Basis'!$C$12*'Irish Basis'!$C$5,2)</f>
        <v/>
      </c>
      <c r="R3201" s="11">
        <f>ROUND(SUM(N3201:Q3201),2)</f>
        <v/>
      </c>
      <c r="S3201" s="5" t="inlineStr">
        <is>
          <t>Stated build-up</t>
        </is>
      </c>
      <c r="T3201" s="12" t="inlineStr">
        <is>
          <t>High</t>
        </is>
      </c>
      <c r="U3201" s="8" t="n">
        <v>196.63</v>
      </c>
      <c r="V3201" s="13">
        <f>IF(U3201="","",ROUND(M3201-U3201,2))</f>
        <v/>
      </c>
      <c r="W3201" s="5" t="n"/>
      <c r="X3201" s="5" t="inlineStr">
        <is>
          <t>Labour + plant + material as published; reconciles to the published rate.</t>
        </is>
      </c>
    </row>
    <row r="3202" ht="13" customHeight="1">
      <c r="A3202" s="4" t="n">
        <v>4888</v>
      </c>
      <c r="B3202" s="5" t="inlineStr">
        <is>
          <t>IMG_0131</t>
        </is>
      </c>
      <c r="C3202" s="5" t="inlineStr">
        <is>
          <t>CLASS R: ROADS AND PAVINGS</t>
        </is>
      </c>
      <c r="D3202" s="5" t="inlineStr">
        <is>
          <t>08 ANCILLARIES</t>
        </is>
      </c>
      <c r="E3202" s="5" t="inlineStr">
        <is>
          <t>Standard reflectorized traffic signs</t>
        </is>
      </c>
      <c r="F3202" s="5" t="inlineStr">
        <is>
          <t>extra for single external illumination unit with fitted photo cell (excluding trenching and cabling); unit cost per face illuminated</t>
        </is>
      </c>
      <c r="G3202" s="6" t="inlineStr">
        <is>
          <t>nr</t>
        </is>
      </c>
      <c r="H3202" s="7" t="n">
        <v>0.33</v>
      </c>
      <c r="I3202" s="8" t="n">
        <v>37.63</v>
      </c>
      <c r="J3202" s="8" t="n">
        <v>21.34</v>
      </c>
      <c r="K3202" s="8" t="n">
        <v>131.95</v>
      </c>
      <c r="L3202" s="8" t="n">
        <v>0</v>
      </c>
      <c r="M3202" s="9">
        <f>ROUND(SUM(I3202:L3202),2)</f>
        <v/>
      </c>
      <c r="N3202" s="10">
        <f>ROUND(I3202*'Irish Basis'!$C$6*'Irish Basis'!$C$5,2)</f>
        <v/>
      </c>
      <c r="O3202" s="10">
        <f>ROUND(J3202*'Irish Basis'!$C$7*'Irish Basis'!$C$5,2)</f>
        <v/>
      </c>
      <c r="P3202" s="10">
        <f>ROUND(K3202*'Irish Basis'!$C$8*'Irish Basis'!$C$5,2)</f>
        <v/>
      </c>
      <c r="Q3202" s="10">
        <f>ROUND(L3202*'Irish Basis'!$C$12*'Irish Basis'!$C$5,2)</f>
        <v/>
      </c>
      <c r="R3202" s="11">
        <f>ROUND(SUM(N3202:Q3202),2)</f>
        <v/>
      </c>
      <c r="S3202" s="5" t="inlineStr">
        <is>
          <t>Stated build-up</t>
        </is>
      </c>
      <c r="T3202" s="12" t="inlineStr">
        <is>
          <t>High</t>
        </is>
      </c>
      <c r="U3202" s="8" t="n">
        <v>190.92</v>
      </c>
      <c r="V3202" s="13">
        <f>IF(U3202="","",ROUND(M3202-U3202,2))</f>
        <v/>
      </c>
      <c r="W3202" s="5" t="n"/>
      <c r="X3202" s="5" t="inlineStr">
        <is>
          <t>Labour + plant + material as published; reconciles to the published rate.</t>
        </is>
      </c>
    </row>
    <row r="3203" ht="13" customHeight="1">
      <c r="A3203" s="4" t="n">
        <v>4890</v>
      </c>
      <c r="B3203" s="5" t="inlineStr">
        <is>
          <t>IMG_0131</t>
        </is>
      </c>
      <c r="C3203" s="5" t="inlineStr">
        <is>
          <t>CLASS R: ROADS AND PAVINGS</t>
        </is>
      </c>
      <c r="D3203" s="5" t="inlineStr">
        <is>
          <t>08 ANCILLARIES</t>
        </is>
      </c>
      <c r="E3203" s="5" t="inlineStr">
        <is>
          <t>Standard two post signs; 1200 x 400 mm</t>
        </is>
      </c>
      <c r="F3203" s="5" t="inlineStr">
        <is>
          <t>fixed back to back to another sign (measured separately) with stainless steel clips to two new 76 mm dia. plastic coated steel posts</t>
        </is>
      </c>
      <c r="G3203" s="6" t="inlineStr">
        <is>
          <t>nr</t>
        </is>
      </c>
      <c r="H3203" s="7" t="n">
        <v>0.51</v>
      </c>
      <c r="I3203" s="8" t="n">
        <v>58.16</v>
      </c>
      <c r="J3203" s="8" t="n">
        <v>85.95</v>
      </c>
      <c r="K3203" s="8" t="n">
        <v>250.82</v>
      </c>
      <c r="L3203" s="8" t="n">
        <v>0</v>
      </c>
      <c r="M3203" s="9">
        <f>ROUND(SUM(I3203:L3203),2)</f>
        <v/>
      </c>
      <c r="N3203" s="10">
        <f>ROUND(I3203*'Irish Basis'!$C$6*'Irish Basis'!$C$5,2)</f>
        <v/>
      </c>
      <c r="O3203" s="10">
        <f>ROUND(J3203*'Irish Basis'!$C$7*'Irish Basis'!$C$5,2)</f>
        <v/>
      </c>
      <c r="P3203" s="10">
        <f>ROUND(K3203*'Irish Basis'!$C$8*'Irish Basis'!$C$5,2)</f>
        <v/>
      </c>
      <c r="Q3203" s="10">
        <f>ROUND(L3203*'Irish Basis'!$C$12*'Irish Basis'!$C$5,2)</f>
        <v/>
      </c>
      <c r="R3203" s="11">
        <f>ROUND(SUM(N3203:Q3203),2)</f>
        <v/>
      </c>
      <c r="S3203" s="5" t="inlineStr">
        <is>
          <t>Stated build-up</t>
        </is>
      </c>
      <c r="T3203" s="12" t="inlineStr">
        <is>
          <t>High</t>
        </is>
      </c>
      <c r="U3203" s="8" t="n">
        <v>394.93</v>
      </c>
      <c r="V3203" s="13">
        <f>IF(U3203="","",ROUND(M3203-U3203,2))</f>
        <v/>
      </c>
      <c r="W3203" s="5" t="n"/>
      <c r="X3203" s="5" t="inlineStr">
        <is>
          <t>Labour + plant + material as published; reconciles to the published rate.</t>
        </is>
      </c>
    </row>
    <row r="3204" ht="13" customHeight="1">
      <c r="A3204" s="4" t="n">
        <v>4891</v>
      </c>
      <c r="B3204" s="5" t="inlineStr">
        <is>
          <t>IMG_0131</t>
        </is>
      </c>
      <c r="C3204" s="5" t="inlineStr">
        <is>
          <t>CLASS R: ROADS AND PAVINGS</t>
        </is>
      </c>
      <c r="D3204" s="5" t="inlineStr">
        <is>
          <t>08 ANCILLARIES</t>
        </is>
      </c>
      <c r="E3204" s="5" t="inlineStr">
        <is>
          <t>Standard two post signs; 1200 x 400 mm</t>
        </is>
      </c>
      <c r="F3204" s="5" t="inlineStr">
        <is>
          <t>extra for fixing singly to one face only</t>
        </is>
      </c>
      <c r="G3204" s="6" t="inlineStr">
        <is>
          <t>nr</t>
        </is>
      </c>
      <c r="H3204" s="7" t="n">
        <v>0.02</v>
      </c>
      <c r="I3204" s="8" t="n">
        <v>2.28</v>
      </c>
      <c r="J3204" s="8" t="n">
        <v>1.32</v>
      </c>
      <c r="K3204" s="8" t="n">
        <v>0</v>
      </c>
      <c r="L3204" s="8" t="n">
        <v>0</v>
      </c>
      <c r="M3204" s="9">
        <f>ROUND(SUM(I3204:L3204),2)</f>
        <v/>
      </c>
      <c r="N3204" s="10">
        <f>ROUND(I3204*'Irish Basis'!$C$6*'Irish Basis'!$C$5,2)</f>
        <v/>
      </c>
      <c r="O3204" s="10">
        <f>ROUND(J3204*'Irish Basis'!$C$7*'Irish Basis'!$C$5,2)</f>
        <v/>
      </c>
      <c r="P3204" s="10">
        <f>ROUND(K3204*'Irish Basis'!$C$8*'Irish Basis'!$C$5,2)</f>
        <v/>
      </c>
      <c r="Q3204" s="10">
        <f>ROUND(L3204*'Irish Basis'!$C$12*'Irish Basis'!$C$5,2)</f>
        <v/>
      </c>
      <c r="R3204" s="11">
        <f>ROUND(SUM(N3204:Q3204),2)</f>
        <v/>
      </c>
      <c r="S3204" s="5" t="inlineStr">
        <is>
          <t>Stated build-up</t>
        </is>
      </c>
      <c r="T3204" s="12" t="inlineStr">
        <is>
          <t>High</t>
        </is>
      </c>
      <c r="U3204" s="8" t="n">
        <v>3.6</v>
      </c>
      <c r="V3204" s="13">
        <f>IF(U3204="","",ROUND(M3204-U3204,2))</f>
        <v/>
      </c>
      <c r="W3204" s="15" t="inlineStr">
        <is>
          <t>Outlier vs comparable items</t>
        </is>
      </c>
      <c r="X3204" s="5" t="inlineStr">
        <is>
          <t>Labour + plant + material as published; reconciles to the published rate. Derived cost is far from the median of comparable items in this group (£175.15) — check the source figure.</t>
        </is>
      </c>
    </row>
    <row r="3205" ht="13" customHeight="1">
      <c r="A3205" s="4" t="n">
        <v>4892</v>
      </c>
      <c r="B3205" s="5" t="inlineStr">
        <is>
          <t>IMG_0131</t>
        </is>
      </c>
      <c r="C3205" s="5" t="inlineStr">
        <is>
          <t>CLASS R: ROADS AND PAVINGS</t>
        </is>
      </c>
      <c r="D3205" s="5" t="inlineStr">
        <is>
          <t>08 ANCILLARIES</t>
        </is>
      </c>
      <c r="E3205" s="5" t="inlineStr">
        <is>
          <t>Standard two post signs; 1200 x 400 mm</t>
        </is>
      </c>
      <c r="F3205" s="5" t="inlineStr">
        <is>
          <t>extra for two 76 mm dia. 1.75 m long aluminium posts</t>
        </is>
      </c>
      <c r="G3205" s="6" t="inlineStr">
        <is>
          <t>nr</t>
        </is>
      </c>
      <c r="H3205" s="7" t="n">
        <v>0.04</v>
      </c>
      <c r="I3205" s="8" t="n">
        <v>4.56</v>
      </c>
      <c r="J3205" s="8" t="n">
        <v>2.59</v>
      </c>
      <c r="K3205" s="8" t="n">
        <v>88.97</v>
      </c>
      <c r="L3205" s="8" t="n">
        <v>0</v>
      </c>
      <c r="M3205" s="9">
        <f>ROUND(SUM(I3205:L3205),2)</f>
        <v/>
      </c>
      <c r="N3205" s="10">
        <f>ROUND(I3205*'Irish Basis'!$C$6*'Irish Basis'!$C$5,2)</f>
        <v/>
      </c>
      <c r="O3205" s="10">
        <f>ROUND(J3205*'Irish Basis'!$C$7*'Irish Basis'!$C$5,2)</f>
        <v/>
      </c>
      <c r="P3205" s="10">
        <f>ROUND(K3205*'Irish Basis'!$C$8*'Irish Basis'!$C$5,2)</f>
        <v/>
      </c>
      <c r="Q3205" s="10">
        <f>ROUND(L3205*'Irish Basis'!$C$12*'Irish Basis'!$C$5,2)</f>
        <v/>
      </c>
      <c r="R3205" s="11">
        <f>ROUND(SUM(N3205:Q3205),2)</f>
        <v/>
      </c>
      <c r="S3205" s="5" t="inlineStr">
        <is>
          <t>Stated build-up</t>
        </is>
      </c>
      <c r="T3205" s="12" t="inlineStr">
        <is>
          <t>High</t>
        </is>
      </c>
      <c r="U3205" s="8" t="n">
        <v>96.12</v>
      </c>
      <c r="V3205" s="13">
        <f>IF(U3205="","",ROUND(M3205-U3205,2))</f>
        <v/>
      </c>
      <c r="W3205" s="5" t="n"/>
      <c r="X3205" s="5" t="inlineStr">
        <is>
          <t>Labour + plant + material as published; reconciles to the published rate.</t>
        </is>
      </c>
    </row>
    <row r="3206" ht="13" customHeight="1">
      <c r="A3206" s="4" t="n">
        <v>4893</v>
      </c>
      <c r="B3206" s="5" t="inlineStr">
        <is>
          <t>IMG_0131</t>
        </is>
      </c>
      <c r="C3206" s="5" t="inlineStr">
        <is>
          <t>CLASS R: ROADS AND PAVINGS</t>
        </is>
      </c>
      <c r="D3206" s="5" t="inlineStr">
        <is>
          <t>08 ANCILLARIES</t>
        </is>
      </c>
      <c r="E3206" s="5" t="inlineStr">
        <is>
          <t>Standard two post signs; 1200 x 400 mm</t>
        </is>
      </c>
      <c r="F3206" s="5" t="inlineStr">
        <is>
          <t>extra for two 76 mm dia. 1.75 m long plastic coated steel posts</t>
        </is>
      </c>
      <c r="G3206" s="6" t="inlineStr">
        <is>
          <t>nr</t>
        </is>
      </c>
      <c r="H3206" s="7" t="n">
        <v>0.04</v>
      </c>
      <c r="I3206" s="8" t="n">
        <v>4.56</v>
      </c>
      <c r="J3206" s="8" t="n">
        <v>2.59</v>
      </c>
      <c r="K3206" s="8" t="n">
        <v>137.64</v>
      </c>
      <c r="L3206" s="8" t="n">
        <v>0</v>
      </c>
      <c r="M3206" s="9">
        <f>ROUND(SUM(I3206:L3206),2)</f>
        <v/>
      </c>
      <c r="N3206" s="10">
        <f>ROUND(I3206*'Irish Basis'!$C$6*'Irish Basis'!$C$5,2)</f>
        <v/>
      </c>
      <c r="O3206" s="10">
        <f>ROUND(J3206*'Irish Basis'!$C$7*'Irish Basis'!$C$5,2)</f>
        <v/>
      </c>
      <c r="P3206" s="10">
        <f>ROUND(K3206*'Irish Basis'!$C$8*'Irish Basis'!$C$5,2)</f>
        <v/>
      </c>
      <c r="Q3206" s="10">
        <f>ROUND(L3206*'Irish Basis'!$C$12*'Irish Basis'!$C$5,2)</f>
        <v/>
      </c>
      <c r="R3206" s="11">
        <f>ROUND(SUM(N3206:Q3206),2)</f>
        <v/>
      </c>
      <c r="S3206" s="5" t="inlineStr">
        <is>
          <t>Stated build-up</t>
        </is>
      </c>
      <c r="T3206" s="12" t="inlineStr">
        <is>
          <t>High</t>
        </is>
      </c>
      <c r="U3206" s="8" t="n">
        <v>144.79</v>
      </c>
      <c r="V3206" s="13">
        <f>IF(U3206="","",ROUND(M3206-U3206,2))</f>
        <v/>
      </c>
      <c r="W3206" s="5" t="n"/>
      <c r="X3206" s="5" t="inlineStr">
        <is>
          <t>Labour + plant + material as published; reconciles to the published rate.</t>
        </is>
      </c>
    </row>
    <row r="3207" ht="13" customHeight="1">
      <c r="A3207" s="4" t="n">
        <v>4894</v>
      </c>
      <c r="B3207" s="5" t="inlineStr">
        <is>
          <t>IMG_0131</t>
        </is>
      </c>
      <c r="C3207" s="5" t="inlineStr">
        <is>
          <t>CLASS R: ROADS AND PAVINGS</t>
        </is>
      </c>
      <c r="D3207" s="5" t="inlineStr">
        <is>
          <t>08 ANCILLARIES</t>
        </is>
      </c>
      <c r="E3207" s="5" t="inlineStr">
        <is>
          <t>Standard two post signs; 1200 x 400 mm</t>
        </is>
      </c>
      <c r="F3207" s="5" t="inlineStr">
        <is>
          <t>extra for two 76 mm dia. 3.5 m long aluminium posts</t>
        </is>
      </c>
      <c r="G3207" s="6" t="inlineStr">
        <is>
          <t>nr</t>
        </is>
      </c>
      <c r="H3207" s="7" t="n">
        <v>0.04</v>
      </c>
      <c r="I3207" s="8" t="n">
        <v>4.56</v>
      </c>
      <c r="J3207" s="8" t="n">
        <v>2.59</v>
      </c>
      <c r="K3207" s="8" t="n">
        <v>168</v>
      </c>
      <c r="L3207" s="8" t="n">
        <v>0</v>
      </c>
      <c r="M3207" s="9">
        <f>ROUND(SUM(I3207:L3207),2)</f>
        <v/>
      </c>
      <c r="N3207" s="10">
        <f>ROUND(I3207*'Irish Basis'!$C$6*'Irish Basis'!$C$5,2)</f>
        <v/>
      </c>
      <c r="O3207" s="10">
        <f>ROUND(J3207*'Irish Basis'!$C$7*'Irish Basis'!$C$5,2)</f>
        <v/>
      </c>
      <c r="P3207" s="10">
        <f>ROUND(K3207*'Irish Basis'!$C$8*'Irish Basis'!$C$5,2)</f>
        <v/>
      </c>
      <c r="Q3207" s="10">
        <f>ROUND(L3207*'Irish Basis'!$C$12*'Irish Basis'!$C$5,2)</f>
        <v/>
      </c>
      <c r="R3207" s="11">
        <f>ROUND(SUM(N3207:Q3207),2)</f>
        <v/>
      </c>
      <c r="S3207" s="5" t="inlineStr">
        <is>
          <t>Stated build-up</t>
        </is>
      </c>
      <c r="T3207" s="12" t="inlineStr">
        <is>
          <t>High</t>
        </is>
      </c>
      <c r="U3207" s="8" t="n">
        <v>175.15</v>
      </c>
      <c r="V3207" s="13">
        <f>IF(U3207="","",ROUND(M3207-U3207,2))</f>
        <v/>
      </c>
      <c r="W3207" s="5" t="n"/>
      <c r="X3207" s="5" t="inlineStr">
        <is>
          <t>Labour + plant + material as published; reconciles to the published rate.</t>
        </is>
      </c>
    </row>
    <row r="3208" ht="13" customHeight="1">
      <c r="A3208" s="4" t="n">
        <v>4895</v>
      </c>
      <c r="B3208" s="5" t="inlineStr">
        <is>
          <t>IMG_0131</t>
        </is>
      </c>
      <c r="C3208" s="5" t="inlineStr">
        <is>
          <t>CLASS R: ROADS AND PAVINGS</t>
        </is>
      </c>
      <c r="D3208" s="5" t="inlineStr">
        <is>
          <t>08 ANCILLARIES</t>
        </is>
      </c>
      <c r="E3208" s="5" t="inlineStr">
        <is>
          <t>Standard two post signs; 1200 x 400 mm</t>
        </is>
      </c>
      <c r="F3208" s="5" t="inlineStr">
        <is>
          <t>extra for excavation for post, in hard material</t>
        </is>
      </c>
      <c r="G3208" s="6" t="inlineStr">
        <is>
          <t>nr</t>
        </is>
      </c>
      <c r="H3208" s="7" t="n">
        <v>1.1</v>
      </c>
      <c r="I3208" s="8" t="n">
        <v>125.44</v>
      </c>
      <c r="J3208" s="8" t="n">
        <v>71.19</v>
      </c>
      <c r="K3208" s="8" t="n">
        <v>0</v>
      </c>
      <c r="L3208" s="8" t="n">
        <v>0</v>
      </c>
      <c r="M3208" s="9">
        <f>ROUND(SUM(I3208:L3208),2)</f>
        <v/>
      </c>
      <c r="N3208" s="10">
        <f>ROUND(I3208*'Irish Basis'!$C$6*'Irish Basis'!$C$5,2)</f>
        <v/>
      </c>
      <c r="O3208" s="10">
        <f>ROUND(J3208*'Irish Basis'!$C$7*'Irish Basis'!$C$5,2)</f>
        <v/>
      </c>
      <c r="P3208" s="10">
        <f>ROUND(K3208*'Irish Basis'!$C$8*'Irish Basis'!$C$5,2)</f>
        <v/>
      </c>
      <c r="Q3208" s="10">
        <f>ROUND(L3208*'Irish Basis'!$C$12*'Irish Basis'!$C$5,2)</f>
        <v/>
      </c>
      <c r="R3208" s="11">
        <f>ROUND(SUM(N3208:Q3208),2)</f>
        <v/>
      </c>
      <c r="S3208" s="5" t="inlineStr">
        <is>
          <t>Stated build-up</t>
        </is>
      </c>
      <c r="T3208" s="12" t="inlineStr">
        <is>
          <t>High</t>
        </is>
      </c>
      <c r="U3208" s="8" t="n">
        <v>196.63</v>
      </c>
      <c r="V3208" s="13">
        <f>IF(U3208="","",ROUND(M3208-U3208,2))</f>
        <v/>
      </c>
      <c r="W3208" s="5" t="n"/>
      <c r="X3208" s="5" t="inlineStr">
        <is>
          <t>Labour + plant + material as published; reconciles to the published rate.</t>
        </is>
      </c>
    </row>
    <row r="3209" ht="13" customHeight="1">
      <c r="A3209" s="4" t="n">
        <v>4896</v>
      </c>
      <c r="B3209" s="5" t="inlineStr">
        <is>
          <t>IMG_0131</t>
        </is>
      </c>
      <c r="C3209" s="5" t="inlineStr">
        <is>
          <t>CLASS R: ROADS AND PAVINGS</t>
        </is>
      </c>
      <c r="D3209" s="5" t="inlineStr">
        <is>
          <t>08 ANCILLARIES</t>
        </is>
      </c>
      <c r="E3209" s="5" t="inlineStr">
        <is>
          <t>Standard two post signs; 1200 x 400 mm</t>
        </is>
      </c>
      <c r="F3209" s="5" t="inlineStr">
        <is>
          <t>extra for single external illumination unit with fitted photo cell (including trenching and cabling); unite per face illuminated</t>
        </is>
      </c>
      <c r="G3209" s="6" t="inlineStr">
        <is>
          <t>nr</t>
        </is>
      </c>
      <c r="H3209" s="7" t="n">
        <v>0.58</v>
      </c>
      <c r="I3209" s="8" t="n">
        <v>66.14</v>
      </c>
      <c r="J3209" s="8" t="n">
        <v>37.5</v>
      </c>
      <c r="K3209" s="8" t="n">
        <v>203.95</v>
      </c>
      <c r="L3209" s="8" t="n">
        <v>0</v>
      </c>
      <c r="M3209" s="9">
        <f>ROUND(SUM(I3209:L3209),2)</f>
        <v/>
      </c>
      <c r="N3209" s="10">
        <f>ROUND(I3209*'Irish Basis'!$C$6*'Irish Basis'!$C$5,2)</f>
        <v/>
      </c>
      <c r="O3209" s="10">
        <f>ROUND(J3209*'Irish Basis'!$C$7*'Irish Basis'!$C$5,2)</f>
        <v/>
      </c>
      <c r="P3209" s="10">
        <f>ROUND(K3209*'Irish Basis'!$C$8*'Irish Basis'!$C$5,2)</f>
        <v/>
      </c>
      <c r="Q3209" s="10">
        <f>ROUND(L3209*'Irish Basis'!$C$12*'Irish Basis'!$C$5,2)</f>
        <v/>
      </c>
      <c r="R3209" s="11">
        <f>ROUND(SUM(N3209:Q3209),2)</f>
        <v/>
      </c>
      <c r="S3209" s="5" t="inlineStr">
        <is>
          <t>Stated build-up</t>
        </is>
      </c>
      <c r="T3209" s="12" t="inlineStr">
        <is>
          <t>High</t>
        </is>
      </c>
      <c r="U3209" s="8" t="n">
        <v>307.59</v>
      </c>
      <c r="V3209" s="13">
        <f>IF(U3209="","",ROUND(M3209-U3209,2))</f>
        <v/>
      </c>
      <c r="W3209" s="5" t="n"/>
      <c r="X3209" s="5" t="inlineStr">
        <is>
          <t>Labour + plant + material as published; reconciles to the published rate.</t>
        </is>
      </c>
    </row>
    <row r="3210" ht="13" customHeight="1">
      <c r="A3210" s="4" t="n">
        <v>4898</v>
      </c>
      <c r="B3210" s="5" t="inlineStr">
        <is>
          <t>IMG_0131</t>
        </is>
      </c>
      <c r="C3210" s="5" t="inlineStr">
        <is>
          <t>CLASS R: ROADS AND PAVINGS</t>
        </is>
      </c>
      <c r="D3210" s="5" t="inlineStr">
        <is>
          <t>08 ANCILLARIES</t>
        </is>
      </c>
      <c r="E3210" s="5" t="inlineStr">
        <is>
          <t>Standard internally illuminated traffic signs; Bollard with integral mould-in translucent graphics (excluding trenching and cabling)</t>
        </is>
      </c>
      <c r="F3210" s="5" t="inlineStr">
        <is>
          <t>fixing to concrete base</t>
        </is>
      </c>
      <c r="G3210" s="6" t="inlineStr">
        <is>
          <t>nr</t>
        </is>
      </c>
      <c r="H3210" s="7" t="n">
        <v>0.48</v>
      </c>
      <c r="I3210" s="8" t="n">
        <v>54.74</v>
      </c>
      <c r="J3210" s="8" t="n">
        <v>80.88</v>
      </c>
      <c r="K3210" s="8" t="n">
        <v>646.9400000000001</v>
      </c>
      <c r="L3210" s="8" t="n">
        <v>0</v>
      </c>
      <c r="M3210" s="9">
        <f>ROUND(SUM(I3210:L3210),2)</f>
        <v/>
      </c>
      <c r="N3210" s="10">
        <f>ROUND(I3210*'Irish Basis'!$C$6*'Irish Basis'!$C$5,2)</f>
        <v/>
      </c>
      <c r="O3210" s="10">
        <f>ROUND(J3210*'Irish Basis'!$C$7*'Irish Basis'!$C$5,2)</f>
        <v/>
      </c>
      <c r="P3210" s="10">
        <f>ROUND(K3210*'Irish Basis'!$C$8*'Irish Basis'!$C$5,2)</f>
        <v/>
      </c>
      <c r="Q3210" s="10">
        <f>ROUND(L3210*'Irish Basis'!$C$12*'Irish Basis'!$C$5,2)</f>
        <v/>
      </c>
      <c r="R3210" s="11">
        <f>ROUND(SUM(N3210:Q3210),2)</f>
        <v/>
      </c>
      <c r="S3210" s="5" t="inlineStr">
        <is>
          <t>Stated build-up</t>
        </is>
      </c>
      <c r="T3210" s="12" t="inlineStr">
        <is>
          <t>High</t>
        </is>
      </c>
      <c r="U3210" s="8" t="n">
        <v>782.5599999999999</v>
      </c>
      <c r="V3210" s="13">
        <f>IF(U3210="","",ROUND(M3210-U3210,2))</f>
        <v/>
      </c>
      <c r="W3210" s="5" t="n"/>
      <c r="X3210" s="5" t="inlineStr">
        <is>
          <t>Labour + plant + material as published; reconciles to the published rate.</t>
        </is>
      </c>
    </row>
    <row r="3211" ht="13" customHeight="1">
      <c r="A3211" s="4" t="n">
        <v>4902</v>
      </c>
      <c r="B3211" s="5" t="inlineStr">
        <is>
          <t>IMG_0131</t>
        </is>
      </c>
      <c r="C3211" s="5" t="inlineStr">
        <is>
          <t>CLASS R: ROADS AND PAVINGS</t>
        </is>
      </c>
      <c r="D3211" s="5" t="inlineStr">
        <is>
          <t>08 ANCILLARIES</t>
        </is>
      </c>
      <c r="E3211" s="5" t="inlineStr">
        <is>
          <t>Externally illuminated reflectorized traffic signs manufactured to order</t>
        </is>
      </c>
      <c r="F3211" s="5" t="inlineStr">
        <is>
          <t>special signs, surface area 1.50 m2 on two 100 mm dia. steel posts</t>
        </is>
      </c>
      <c r="G3211" s="6" t="inlineStr">
        <is>
          <t>nr</t>
        </is>
      </c>
      <c r="H3211" s="7" t="n"/>
      <c r="I3211" s="8" t="n">
        <v>79.64</v>
      </c>
      <c r="J3211" s="8" t="n">
        <v>444.87</v>
      </c>
      <c r="K3211" s="8" t="n">
        <v>638.88</v>
      </c>
      <c r="L3211" s="8" t="n">
        <v>0</v>
      </c>
      <c r="M3211" s="9">
        <f>ROUND(SUM(I3211:L3211),2)</f>
        <v/>
      </c>
      <c r="N3211" s="10">
        <f>ROUND(I3211*'Irish Basis'!$C$6*'Irish Basis'!$C$5,2)</f>
        <v/>
      </c>
      <c r="O3211" s="10">
        <f>ROUND(J3211*'Irish Basis'!$C$7*'Irish Basis'!$C$5,2)</f>
        <v/>
      </c>
      <c r="P3211" s="10">
        <f>ROUND(K3211*'Irish Basis'!$C$8*'Irish Basis'!$C$5,2)</f>
        <v/>
      </c>
      <c r="Q3211" s="10">
        <f>ROUND(L3211*'Irish Basis'!$C$12*'Irish Basis'!$C$5,2)</f>
        <v/>
      </c>
      <c r="R3211" s="11">
        <f>ROUND(SUM(N3211:Q3211),2)</f>
        <v/>
      </c>
      <c r="S3211" s="5" t="inlineStr">
        <is>
          <t>Apportioned (section)</t>
        </is>
      </c>
      <c r="T3211" s="16" t="inlineStr">
        <is>
          <t>Medium</t>
        </is>
      </c>
      <c r="U3211" s="8" t="n">
        <v>1163.4</v>
      </c>
      <c r="V3211" s="13">
        <f>IF(U3211="","",ROUND(M3211-U3211,2))</f>
        <v/>
      </c>
      <c r="W3211" s="5" t="n"/>
      <c r="X3211" s="5" t="inlineStr">
        <is>
          <t>Split from published rate using median L/P/M shares of 40 comparable build-ups at section level (7/38/55).</t>
        </is>
      </c>
    </row>
    <row r="3212" ht="13" customHeight="1">
      <c r="A3212" s="4" t="n">
        <v>4903</v>
      </c>
      <c r="B3212" s="5" t="inlineStr">
        <is>
          <t>IMG_0131</t>
        </is>
      </c>
      <c r="C3212" s="5" t="inlineStr">
        <is>
          <t>CLASS R: ROADS AND PAVINGS</t>
        </is>
      </c>
      <c r="D3212" s="5" t="inlineStr">
        <is>
          <t>08 ANCILLARIES</t>
        </is>
      </c>
      <c r="E3212" s="5" t="inlineStr">
        <is>
          <t>Externally illuminated reflectorized traffic signs manufactured to order</t>
        </is>
      </c>
      <c r="F3212" s="5" t="inlineStr">
        <is>
          <t>special signs, surface area 4.00 m2 on three 100 mm dia. steel posts</t>
        </is>
      </c>
      <c r="G3212" s="6" t="inlineStr">
        <is>
          <t>m2</t>
        </is>
      </c>
      <c r="H3212" s="7" t="n"/>
      <c r="I3212" s="8" t="n">
        <v>119.47</v>
      </c>
      <c r="J3212" s="8" t="n">
        <v>667.3099999999999</v>
      </c>
      <c r="K3212" s="8" t="n">
        <v>958.33</v>
      </c>
      <c r="L3212" s="8" t="n">
        <v>0</v>
      </c>
      <c r="M3212" s="9">
        <f>ROUND(SUM(I3212:L3212),2)</f>
        <v/>
      </c>
      <c r="N3212" s="10">
        <f>ROUND(I3212*'Irish Basis'!$C$6*'Irish Basis'!$C$5,2)</f>
        <v/>
      </c>
      <c r="O3212" s="10">
        <f>ROUND(J3212*'Irish Basis'!$C$7*'Irish Basis'!$C$5,2)</f>
        <v/>
      </c>
      <c r="P3212" s="10">
        <f>ROUND(K3212*'Irish Basis'!$C$8*'Irish Basis'!$C$5,2)</f>
        <v/>
      </c>
      <c r="Q3212" s="10">
        <f>ROUND(L3212*'Irish Basis'!$C$12*'Irish Basis'!$C$5,2)</f>
        <v/>
      </c>
      <c r="R3212" s="11">
        <f>ROUND(SUM(N3212:Q3212),2)</f>
        <v/>
      </c>
      <c r="S3212" s="5" t="inlineStr">
        <is>
          <t>Apportioned (section)</t>
        </is>
      </c>
      <c r="T3212" s="16" t="inlineStr">
        <is>
          <t>Medium</t>
        </is>
      </c>
      <c r="U3212" s="8" t="n">
        <v>1745.1</v>
      </c>
      <c r="V3212" s="13">
        <f>IF(U3212="","",ROUND(M3212-U3212,2))</f>
        <v/>
      </c>
      <c r="W3212" s="5" t="n"/>
      <c r="X3212" s="5" t="inlineStr">
        <is>
          <t>Split from published rate using median L/P/M shares of 40 comparable build-ups at section level (7/38/55).</t>
        </is>
      </c>
    </row>
    <row r="3213" ht="13" customHeight="1">
      <c r="A3213" s="4" t="n">
        <v>4905</v>
      </c>
      <c r="B3213" s="5" t="inlineStr">
        <is>
          <t>IMG_0131</t>
        </is>
      </c>
      <c r="C3213" s="5" t="inlineStr">
        <is>
          <t>CLASS R: ROADS AND PAVINGS</t>
        </is>
      </c>
      <c r="D3213" s="5" t="inlineStr">
        <is>
          <t>08 ANCILLARIES</t>
        </is>
      </c>
      <c r="E3213" s="5" t="inlineStr">
        <is>
          <t>Internally illuminated traffic signs manufactured to order</t>
        </is>
      </c>
      <c r="F3213" s="5" t="inlineStr">
        <is>
          <t>special signs, surface area 0.25 m2 on one new 76 mm dia. post</t>
        </is>
      </c>
      <c r="G3213" s="6" t="inlineStr">
        <is>
          <t>nr</t>
        </is>
      </c>
      <c r="H3213" s="7" t="n"/>
      <c r="I3213" s="8" t="n">
        <v>20.92</v>
      </c>
      <c r="J3213" s="8" t="n">
        <v>116.88</v>
      </c>
      <c r="K3213" s="8" t="n">
        <v>167.85</v>
      </c>
      <c r="L3213" s="8" t="n">
        <v>0</v>
      </c>
      <c r="M3213" s="9">
        <f>ROUND(SUM(I3213:L3213),2)</f>
        <v/>
      </c>
      <c r="N3213" s="10">
        <f>ROUND(I3213*'Irish Basis'!$C$6*'Irish Basis'!$C$5,2)</f>
        <v/>
      </c>
      <c r="O3213" s="10">
        <f>ROUND(J3213*'Irish Basis'!$C$7*'Irish Basis'!$C$5,2)</f>
        <v/>
      </c>
      <c r="P3213" s="10">
        <f>ROUND(K3213*'Irish Basis'!$C$8*'Irish Basis'!$C$5,2)</f>
        <v/>
      </c>
      <c r="Q3213" s="10">
        <f>ROUND(L3213*'Irish Basis'!$C$12*'Irish Basis'!$C$5,2)</f>
        <v/>
      </c>
      <c r="R3213" s="11">
        <f>ROUND(SUM(N3213:Q3213),2)</f>
        <v/>
      </c>
      <c r="S3213" s="5" t="inlineStr">
        <is>
          <t>Apportioned (section)</t>
        </is>
      </c>
      <c r="T3213" s="16" t="inlineStr">
        <is>
          <t>Medium</t>
        </is>
      </c>
      <c r="U3213" s="8" t="n">
        <v>305.65</v>
      </c>
      <c r="V3213" s="13">
        <f>IF(U3213="","",ROUND(M3213-U3213,2))</f>
        <v/>
      </c>
      <c r="W3213" s="5" t="n"/>
      <c r="X3213" s="5" t="inlineStr">
        <is>
          <t>Split from published rate using median L/P/M shares of 40 comparable build-ups at section level (7/38/55).</t>
        </is>
      </c>
    </row>
    <row r="3214" ht="13" customHeight="1">
      <c r="A3214" s="4" t="n">
        <v>4906</v>
      </c>
      <c r="B3214" s="5" t="inlineStr">
        <is>
          <t>IMG_0131</t>
        </is>
      </c>
      <c r="C3214" s="5" t="inlineStr">
        <is>
          <t>CLASS R: ROADS AND PAVINGS</t>
        </is>
      </c>
      <c r="D3214" s="5" t="inlineStr">
        <is>
          <t>08 ANCILLARIES</t>
        </is>
      </c>
      <c r="E3214" s="5" t="inlineStr">
        <is>
          <t>Internally illuminated traffic signs manufactured to order</t>
        </is>
      </c>
      <c r="F3214" s="5" t="inlineStr">
        <is>
          <t>special signs, surface area 0.75 m2 on one new 100 mm dia. steel posts</t>
        </is>
      </c>
      <c r="G3214" s="6" t="inlineStr">
        <is>
          <t>nr</t>
        </is>
      </c>
      <c r="H3214" s="7" t="n"/>
      <c r="I3214" s="8" t="n">
        <v>25.74</v>
      </c>
      <c r="J3214" s="8" t="n">
        <v>143.78</v>
      </c>
      <c r="K3214" s="8" t="n">
        <v>206.49</v>
      </c>
      <c r="L3214" s="8" t="n">
        <v>0</v>
      </c>
      <c r="M3214" s="9">
        <f>ROUND(SUM(I3214:L3214),2)</f>
        <v/>
      </c>
      <c r="N3214" s="10">
        <f>ROUND(I3214*'Irish Basis'!$C$6*'Irish Basis'!$C$5,2)</f>
        <v/>
      </c>
      <c r="O3214" s="10">
        <f>ROUND(J3214*'Irish Basis'!$C$7*'Irish Basis'!$C$5,2)</f>
        <v/>
      </c>
      <c r="P3214" s="10">
        <f>ROUND(K3214*'Irish Basis'!$C$8*'Irish Basis'!$C$5,2)</f>
        <v/>
      </c>
      <c r="Q3214" s="10">
        <f>ROUND(L3214*'Irish Basis'!$C$12*'Irish Basis'!$C$5,2)</f>
        <v/>
      </c>
      <c r="R3214" s="11">
        <f>ROUND(SUM(N3214:Q3214),2)</f>
        <v/>
      </c>
      <c r="S3214" s="5" t="inlineStr">
        <is>
          <t>Apportioned (section)</t>
        </is>
      </c>
      <c r="T3214" s="16" t="inlineStr">
        <is>
          <t>Medium</t>
        </is>
      </c>
      <c r="U3214" s="8" t="n">
        <v>376.01</v>
      </c>
      <c r="V3214" s="13">
        <f>IF(U3214="","",ROUND(M3214-U3214,2))</f>
        <v/>
      </c>
      <c r="W3214" s="5" t="n"/>
      <c r="X3214" s="5" t="inlineStr">
        <is>
          <t>Split from published rate using median L/P/M shares of 40 comparable build-ups at section level (7/38/55).</t>
        </is>
      </c>
    </row>
    <row r="3215" ht="13" customHeight="1">
      <c r="A3215" s="4" t="n">
        <v>4907</v>
      </c>
      <c r="B3215" s="5" t="inlineStr">
        <is>
          <t>IMG_0131</t>
        </is>
      </c>
      <c r="C3215" s="5" t="inlineStr">
        <is>
          <t>CLASS R: ROADS AND PAVINGS</t>
        </is>
      </c>
      <c r="D3215" s="5" t="inlineStr">
        <is>
          <t>08 ANCILLARIES</t>
        </is>
      </c>
      <c r="E3215" s="5" t="inlineStr">
        <is>
          <t>Internally illuminated traffic signs manufactured to order</t>
        </is>
      </c>
      <c r="F3215" s="5" t="inlineStr">
        <is>
          <t>special signs, surface area 4.00 m2 on four new 120 mm dia. steel posts</t>
        </is>
      </c>
      <c r="G3215" s="6" t="inlineStr">
        <is>
          <t>nr</t>
        </is>
      </c>
      <c r="H3215" s="7" t="n"/>
      <c r="I3215" s="8" t="n">
        <v>131.7</v>
      </c>
      <c r="J3215" s="8" t="n">
        <v>735.65</v>
      </c>
      <c r="K3215" s="8" t="n">
        <v>1056.48</v>
      </c>
      <c r="L3215" s="8" t="n">
        <v>0</v>
      </c>
      <c r="M3215" s="9">
        <f>ROUND(SUM(I3215:L3215),2)</f>
        <v/>
      </c>
      <c r="N3215" s="10">
        <f>ROUND(I3215*'Irish Basis'!$C$6*'Irish Basis'!$C$5,2)</f>
        <v/>
      </c>
      <c r="O3215" s="10">
        <f>ROUND(J3215*'Irish Basis'!$C$7*'Irish Basis'!$C$5,2)</f>
        <v/>
      </c>
      <c r="P3215" s="10">
        <f>ROUND(K3215*'Irish Basis'!$C$8*'Irish Basis'!$C$5,2)</f>
        <v/>
      </c>
      <c r="Q3215" s="10">
        <f>ROUND(L3215*'Irish Basis'!$C$12*'Irish Basis'!$C$5,2)</f>
        <v/>
      </c>
      <c r="R3215" s="11">
        <f>ROUND(SUM(N3215:Q3215),2)</f>
        <v/>
      </c>
      <c r="S3215" s="5" t="inlineStr">
        <is>
          <t>Apportioned (section)</t>
        </is>
      </c>
      <c r="T3215" s="16" t="inlineStr">
        <is>
          <t>Medium</t>
        </is>
      </c>
      <c r="U3215" s="8" t="n">
        <v>1923.84</v>
      </c>
      <c r="V3215" s="13">
        <f>IF(U3215="","",ROUND(M3215-U3215,2))</f>
        <v/>
      </c>
      <c r="W3215" s="5" t="n"/>
      <c r="X3215" s="5" t="inlineStr">
        <is>
          <t>Split from published rate using median L/P/M shares of 40 comparable build-ups at section level (7/38/55).</t>
        </is>
      </c>
    </row>
    <row r="3216" ht="13" customHeight="1">
      <c r="A3216" s="4" t="n">
        <v>4909</v>
      </c>
      <c r="B3216" s="5" t="inlineStr">
        <is>
          <t>IMG_0132</t>
        </is>
      </c>
      <c r="C3216" s="5" t="inlineStr">
        <is>
          <t>CLASS R: ROADS AND PAVINGS</t>
        </is>
      </c>
      <c r="D3216" s="5" t="inlineStr">
        <is>
          <t>08 ANCILLARIES</t>
        </is>
      </c>
      <c r="E3216" s="5" t="inlineStr">
        <is>
          <t>Signs on gantries; Externally illuminated reflectorized signs</t>
        </is>
      </c>
      <c r="F3216" s="5" t="inlineStr">
        <is>
          <t>1.50 m2</t>
        </is>
      </c>
      <c r="G3216" s="6" t="inlineStr">
        <is>
          <t>nr</t>
        </is>
      </c>
      <c r="H3216" s="7" t="n">
        <v>1.79</v>
      </c>
      <c r="I3216" s="8" t="n">
        <v>203.55</v>
      </c>
      <c r="J3216" s="8" t="n">
        <v>427.98</v>
      </c>
      <c r="K3216" s="8" t="n">
        <v>1539.5</v>
      </c>
      <c r="L3216" s="8" t="n">
        <v>0</v>
      </c>
      <c r="M3216" s="9">
        <f>ROUND(SUM(I3216:L3216),2)</f>
        <v/>
      </c>
      <c r="N3216" s="10">
        <f>ROUND(I3216*'Irish Basis'!$C$6*'Irish Basis'!$C$5,2)</f>
        <v/>
      </c>
      <c r="O3216" s="10">
        <f>ROUND(J3216*'Irish Basis'!$C$7*'Irish Basis'!$C$5,2)</f>
        <v/>
      </c>
      <c r="P3216" s="10">
        <f>ROUND(K3216*'Irish Basis'!$C$8*'Irish Basis'!$C$5,2)</f>
        <v/>
      </c>
      <c r="Q3216" s="10">
        <f>ROUND(L3216*'Irish Basis'!$C$12*'Irish Basis'!$C$5,2)</f>
        <v/>
      </c>
      <c r="R3216" s="11">
        <f>ROUND(SUM(N3216:Q3216),2)</f>
        <v/>
      </c>
      <c r="S3216" s="5" t="inlineStr">
        <is>
          <t>Stated build-up</t>
        </is>
      </c>
      <c r="T3216" s="12" t="inlineStr">
        <is>
          <t>High</t>
        </is>
      </c>
      <c r="U3216" s="8" t="n">
        <v>2171.04</v>
      </c>
      <c r="V3216" s="13">
        <f>IF(U3216="","",ROUND(M3216-U3216,2))</f>
        <v/>
      </c>
      <c r="W3216" s="5" t="n"/>
      <c r="X3216" s="5" t="inlineStr">
        <is>
          <t>Labour + plant + material as published; reconciles to the published rate.</t>
        </is>
      </c>
    </row>
    <row r="3217" ht="13" customHeight="1">
      <c r="A3217" s="4" t="n">
        <v>4910</v>
      </c>
      <c r="B3217" s="5" t="inlineStr">
        <is>
          <t>IMG_0132</t>
        </is>
      </c>
      <c r="C3217" s="5" t="inlineStr">
        <is>
          <t>CLASS R: ROADS AND PAVINGS</t>
        </is>
      </c>
      <c r="D3217" s="5" t="inlineStr">
        <is>
          <t>08 ANCILLARIES</t>
        </is>
      </c>
      <c r="E3217" s="5" t="inlineStr">
        <is>
          <t>Signs on gantries; Externally illuminated reflectorized signs</t>
        </is>
      </c>
      <c r="F3217" s="5" t="inlineStr">
        <is>
          <t>2.50 m2</t>
        </is>
      </c>
      <c r="G3217" s="6" t="inlineStr">
        <is>
          <t>nr</t>
        </is>
      </c>
      <c r="H3217" s="7" t="n">
        <v>2.15</v>
      </c>
      <c r="I3217" s="8" t="n">
        <v>245.18</v>
      </c>
      <c r="J3217" s="8" t="n">
        <v>515.5</v>
      </c>
      <c r="K3217" s="8" t="n">
        <v>1577.52</v>
      </c>
      <c r="L3217" s="8" t="n">
        <v>0</v>
      </c>
      <c r="M3217" s="9">
        <f>ROUND(SUM(I3217:L3217),2)</f>
        <v/>
      </c>
      <c r="N3217" s="10">
        <f>ROUND(I3217*'Irish Basis'!$C$6*'Irish Basis'!$C$5,2)</f>
        <v/>
      </c>
      <c r="O3217" s="10">
        <f>ROUND(J3217*'Irish Basis'!$C$7*'Irish Basis'!$C$5,2)</f>
        <v/>
      </c>
      <c r="P3217" s="10">
        <f>ROUND(K3217*'Irish Basis'!$C$8*'Irish Basis'!$C$5,2)</f>
        <v/>
      </c>
      <c r="Q3217" s="10">
        <f>ROUND(L3217*'Irish Basis'!$C$12*'Irish Basis'!$C$5,2)</f>
        <v/>
      </c>
      <c r="R3217" s="11">
        <f>ROUND(SUM(N3217:Q3217),2)</f>
        <v/>
      </c>
      <c r="S3217" s="5" t="inlineStr">
        <is>
          <t>Stated build-up</t>
        </is>
      </c>
      <c r="T3217" s="12" t="inlineStr">
        <is>
          <t>High</t>
        </is>
      </c>
      <c r="U3217" s="8" t="n">
        <v>2338.2</v>
      </c>
      <c r="V3217" s="13">
        <f>IF(U3217="","",ROUND(M3217-U3217,2))</f>
        <v/>
      </c>
      <c r="W3217" s="5" t="n"/>
      <c r="X3217" s="5" t="inlineStr">
        <is>
          <t>Labour + plant + material as published; reconciles to the published rate.</t>
        </is>
      </c>
    </row>
    <row r="3218" ht="13" customHeight="1">
      <c r="A3218" s="4" t="n">
        <v>4911</v>
      </c>
      <c r="B3218" s="5" t="inlineStr">
        <is>
          <t>IMG_0132</t>
        </is>
      </c>
      <c r="C3218" s="5" t="inlineStr">
        <is>
          <t>CLASS R: ROADS AND PAVINGS</t>
        </is>
      </c>
      <c r="D3218" s="5" t="inlineStr">
        <is>
          <t>08 ANCILLARIES</t>
        </is>
      </c>
      <c r="E3218" s="5" t="inlineStr">
        <is>
          <t>Signs on gantries; Externally illuminated reflectorized signs</t>
        </is>
      </c>
      <c r="F3218" s="5" t="inlineStr">
        <is>
          <t>3.00 m2</t>
        </is>
      </c>
      <c r="G3218" s="6" t="inlineStr">
        <is>
          <t>nr</t>
        </is>
      </c>
      <c r="H3218" s="7" t="n">
        <v>3.07</v>
      </c>
      <c r="I3218" s="8" t="n">
        <v>350.09</v>
      </c>
      <c r="J3218" s="8" t="n">
        <v>736.08</v>
      </c>
      <c r="K3218" s="8" t="n">
        <v>1727.99</v>
      </c>
      <c r="L3218" s="8" t="n">
        <v>0</v>
      </c>
      <c r="M3218" s="9">
        <f>ROUND(SUM(I3218:L3218),2)</f>
        <v/>
      </c>
      <c r="N3218" s="10">
        <f>ROUND(I3218*'Irish Basis'!$C$6*'Irish Basis'!$C$5,2)</f>
        <v/>
      </c>
      <c r="O3218" s="10">
        <f>ROUND(J3218*'Irish Basis'!$C$7*'Irish Basis'!$C$5,2)</f>
        <v/>
      </c>
      <c r="P3218" s="10">
        <f>ROUND(K3218*'Irish Basis'!$C$8*'Irish Basis'!$C$5,2)</f>
        <v/>
      </c>
      <c r="Q3218" s="10">
        <f>ROUND(L3218*'Irish Basis'!$C$12*'Irish Basis'!$C$5,2)</f>
        <v/>
      </c>
      <c r="R3218" s="11">
        <f>ROUND(SUM(N3218:Q3218),2)</f>
        <v/>
      </c>
      <c r="S3218" s="5" t="inlineStr">
        <is>
          <t>Stated build-up</t>
        </is>
      </c>
      <c r="T3218" s="12" t="inlineStr">
        <is>
          <t>High</t>
        </is>
      </c>
      <c r="U3218" s="8" t="n">
        <v>2814.15</v>
      </c>
      <c r="V3218" s="13">
        <f>IF(U3218="","",ROUND(M3218-U3218,2))</f>
        <v/>
      </c>
      <c r="W3218" s="5" t="n"/>
      <c r="X3218" s="5" t="inlineStr">
        <is>
          <t>Labour + plant + material as published; reconciles to the published rate.</t>
        </is>
      </c>
    </row>
    <row r="3219" ht="13" customHeight="1">
      <c r="A3219" s="4" t="n">
        <v>4913</v>
      </c>
      <c r="B3219" s="5" t="inlineStr">
        <is>
          <t>IMG_0132</t>
        </is>
      </c>
      <c r="C3219" s="5" t="inlineStr">
        <is>
          <t>CLASS R: ROADS AND PAVINGS</t>
        </is>
      </c>
      <c r="D3219" s="5" t="inlineStr">
        <is>
          <t>08 ANCILLARIES</t>
        </is>
      </c>
      <c r="E3219" s="5" t="inlineStr">
        <is>
          <t>Internally illuminated sign with translucent optical reflective sheeting and remote light source</t>
        </is>
      </c>
      <c r="F3219" s="5" t="inlineStr">
        <is>
          <t>0.75 m2</t>
        </is>
      </c>
      <c r="G3219" s="6" t="inlineStr">
        <is>
          <t>nr</t>
        </is>
      </c>
      <c r="H3219" s="7" t="n">
        <v>1.56</v>
      </c>
      <c r="I3219" s="8" t="n">
        <v>177.9</v>
      </c>
      <c r="J3219" s="8" t="n">
        <v>374.03</v>
      </c>
      <c r="K3219" s="8" t="n">
        <v>1715.59</v>
      </c>
      <c r="L3219" s="8" t="n">
        <v>0</v>
      </c>
      <c r="M3219" s="9">
        <f>ROUND(SUM(I3219:L3219),2)</f>
        <v/>
      </c>
      <c r="N3219" s="10">
        <f>ROUND(I3219*'Irish Basis'!$C$6*'Irish Basis'!$C$5,2)</f>
        <v/>
      </c>
      <c r="O3219" s="10">
        <f>ROUND(J3219*'Irish Basis'!$C$7*'Irish Basis'!$C$5,2)</f>
        <v/>
      </c>
      <c r="P3219" s="10">
        <f>ROUND(K3219*'Irish Basis'!$C$8*'Irish Basis'!$C$5,2)</f>
        <v/>
      </c>
      <c r="Q3219" s="10">
        <f>ROUND(L3219*'Irish Basis'!$C$12*'Irish Basis'!$C$5,2)</f>
        <v/>
      </c>
      <c r="R3219" s="11">
        <f>ROUND(SUM(N3219:Q3219),2)</f>
        <v/>
      </c>
      <c r="S3219" s="5" t="inlineStr">
        <is>
          <t>Stated build-up</t>
        </is>
      </c>
      <c r="T3219" s="12" t="inlineStr">
        <is>
          <t>High</t>
        </is>
      </c>
      <c r="U3219" s="8" t="n">
        <v>2267.52</v>
      </c>
      <c r="V3219" s="13">
        <f>IF(U3219="","",ROUND(M3219-U3219,2))</f>
        <v/>
      </c>
      <c r="W3219" s="5" t="n"/>
      <c r="X3219" s="5" t="inlineStr">
        <is>
          <t>Labour + plant + material as published; reconciles to the published rate.</t>
        </is>
      </c>
    </row>
    <row r="3220" ht="13" customHeight="1">
      <c r="A3220" s="4" t="n">
        <v>4914</v>
      </c>
      <c r="B3220" s="5" t="inlineStr">
        <is>
          <t>IMG_0132</t>
        </is>
      </c>
      <c r="C3220" s="5" t="inlineStr">
        <is>
          <t>CLASS R: ROADS AND PAVINGS</t>
        </is>
      </c>
      <c r="D3220" s="5" t="inlineStr">
        <is>
          <t>08 ANCILLARIES</t>
        </is>
      </c>
      <c r="E3220" s="5" t="inlineStr">
        <is>
          <t>Internally illuminated sign with translucent optical reflective sheeting and remote light source</t>
        </is>
      </c>
      <c r="F3220" s="5" t="inlineStr">
        <is>
          <t>1.00 m2</t>
        </is>
      </c>
      <c r="G3220" s="6" t="inlineStr">
        <is>
          <t>nr</t>
        </is>
      </c>
      <c r="H3220" s="7" t="n">
        <v>1.7</v>
      </c>
      <c r="I3220" s="8" t="n">
        <v>193.86</v>
      </c>
      <c r="J3220" s="8" t="n">
        <v>407.6</v>
      </c>
      <c r="K3220" s="8" t="n">
        <v>2272.91</v>
      </c>
      <c r="L3220" s="8" t="n">
        <v>0</v>
      </c>
      <c r="M3220" s="9">
        <f>ROUND(SUM(I3220:L3220),2)</f>
        <v/>
      </c>
      <c r="N3220" s="10">
        <f>ROUND(I3220*'Irish Basis'!$C$6*'Irish Basis'!$C$5,2)</f>
        <v/>
      </c>
      <c r="O3220" s="10">
        <f>ROUND(J3220*'Irish Basis'!$C$7*'Irish Basis'!$C$5,2)</f>
        <v/>
      </c>
      <c r="P3220" s="10">
        <f>ROUND(K3220*'Irish Basis'!$C$8*'Irish Basis'!$C$5,2)</f>
        <v/>
      </c>
      <c r="Q3220" s="10">
        <f>ROUND(L3220*'Irish Basis'!$C$12*'Irish Basis'!$C$5,2)</f>
        <v/>
      </c>
      <c r="R3220" s="11">
        <f>ROUND(SUM(N3220:Q3220),2)</f>
        <v/>
      </c>
      <c r="S3220" s="5" t="inlineStr">
        <is>
          <t>Stated build-up</t>
        </is>
      </c>
      <c r="T3220" s="12" t="inlineStr">
        <is>
          <t>High</t>
        </is>
      </c>
      <c r="U3220" s="8" t="n">
        <v>2874.37</v>
      </c>
      <c r="V3220" s="13">
        <f>IF(U3220="","",ROUND(M3220-U3220,2))</f>
        <v/>
      </c>
      <c r="W3220" s="5" t="n"/>
      <c r="X3220" s="5" t="inlineStr">
        <is>
          <t>Labour + plant + material as published; reconciles to the published rate.</t>
        </is>
      </c>
    </row>
    <row r="3221" ht="13" customHeight="1">
      <c r="A3221" s="4" t="n">
        <v>4915</v>
      </c>
      <c r="B3221" s="5" t="inlineStr">
        <is>
          <t>IMG_0132</t>
        </is>
      </c>
      <c r="C3221" s="5" t="inlineStr">
        <is>
          <t>CLASS R: ROADS AND PAVINGS</t>
        </is>
      </c>
      <c r="D3221" s="5" t="inlineStr">
        <is>
          <t>08 ANCILLARIES</t>
        </is>
      </c>
      <c r="E3221" s="5" t="inlineStr">
        <is>
          <t>Internally illuminated sign with translucent optical reflective sheeting and remote light source</t>
        </is>
      </c>
      <c r="F3221" s="5" t="inlineStr">
        <is>
          <t>1.50 m2</t>
        </is>
      </c>
      <c r="G3221" s="6" t="inlineStr">
        <is>
          <t>nr</t>
        </is>
      </c>
      <c r="H3221" s="7" t="n">
        <v>2.41</v>
      </c>
      <c r="I3221" s="8" t="n">
        <v>274.83</v>
      </c>
      <c r="J3221" s="8" t="n">
        <v>577.84</v>
      </c>
      <c r="K3221" s="8" t="n">
        <v>3502.25</v>
      </c>
      <c r="L3221" s="8" t="n">
        <v>0</v>
      </c>
      <c r="M3221" s="9">
        <f>ROUND(SUM(I3221:L3221),2)</f>
        <v/>
      </c>
      <c r="N3221" s="10">
        <f>ROUND(I3221*'Irish Basis'!$C$6*'Irish Basis'!$C$5,2)</f>
        <v/>
      </c>
      <c r="O3221" s="10">
        <f>ROUND(J3221*'Irish Basis'!$C$7*'Irish Basis'!$C$5,2)</f>
        <v/>
      </c>
      <c r="P3221" s="10">
        <f>ROUND(K3221*'Irish Basis'!$C$8*'Irish Basis'!$C$5,2)</f>
        <v/>
      </c>
      <c r="Q3221" s="10">
        <f>ROUND(L3221*'Irish Basis'!$C$12*'Irish Basis'!$C$5,2)</f>
        <v/>
      </c>
      <c r="R3221" s="11">
        <f>ROUND(SUM(N3221:Q3221),2)</f>
        <v/>
      </c>
      <c r="S3221" s="5" t="inlineStr">
        <is>
          <t>Stated build-up</t>
        </is>
      </c>
      <c r="T3221" s="12" t="inlineStr">
        <is>
          <t>High</t>
        </is>
      </c>
      <c r="U3221" s="8" t="n">
        <v>4354.91</v>
      </c>
      <c r="V3221" s="13">
        <f>IF(U3221="","",ROUND(M3221-U3221,2))</f>
        <v/>
      </c>
      <c r="W3221" s="5" t="n"/>
      <c r="X3221" s="5" t="inlineStr">
        <is>
          <t>Labour + plant + material as published; reconciles to the published rate.</t>
        </is>
      </c>
    </row>
    <row r="3222" ht="13" customHeight="1">
      <c r="A3222" s="4" t="n">
        <v>4917</v>
      </c>
      <c r="B3222" s="5" t="inlineStr">
        <is>
          <t>IMG_0132</t>
        </is>
      </c>
      <c r="C3222" s="5" t="inlineStr">
        <is>
          <t>CLASS R: ROADS AND PAVINGS</t>
        </is>
      </c>
      <c r="D3222" s="5" t="inlineStr">
        <is>
          <t>08 ANCILLARIES</t>
        </is>
      </c>
      <c r="E3222" s="5" t="inlineStr">
        <is>
          <t>Existing signs; Take from store and re-erect</t>
        </is>
      </c>
      <c r="F3222" s="5" t="inlineStr">
        <is>
          <t>3.0 m high road sign</t>
        </is>
      </c>
      <c r="G3222" s="6" t="inlineStr">
        <is>
          <t>nr</t>
        </is>
      </c>
      <c r="H3222" s="7" t="n">
        <v>0.28</v>
      </c>
      <c r="I3222" s="8" t="n">
        <v>31.93</v>
      </c>
      <c r="J3222" s="8" t="n">
        <v>67.13</v>
      </c>
      <c r="K3222" s="8" t="n">
        <v>62.38</v>
      </c>
      <c r="L3222" s="8" t="n">
        <v>0</v>
      </c>
      <c r="M3222" s="9">
        <f>ROUND(SUM(I3222:L3222),2)</f>
        <v/>
      </c>
      <c r="N3222" s="10">
        <f>ROUND(I3222*'Irish Basis'!$C$6*'Irish Basis'!$C$5,2)</f>
        <v/>
      </c>
      <c r="O3222" s="10">
        <f>ROUND(J3222*'Irish Basis'!$C$7*'Irish Basis'!$C$5,2)</f>
        <v/>
      </c>
      <c r="P3222" s="10">
        <f>ROUND(K3222*'Irish Basis'!$C$8*'Irish Basis'!$C$5,2)</f>
        <v/>
      </c>
      <c r="Q3222" s="10">
        <f>ROUND(L3222*'Irish Basis'!$C$12*'Irish Basis'!$C$5,2)</f>
        <v/>
      </c>
      <c r="R3222" s="11">
        <f>ROUND(SUM(N3222:Q3222),2)</f>
        <v/>
      </c>
      <c r="S3222" s="5" t="inlineStr">
        <is>
          <t>Stated build-up</t>
        </is>
      </c>
      <c r="T3222" s="12" t="inlineStr">
        <is>
          <t>High</t>
        </is>
      </c>
      <c r="U3222" s="8" t="n">
        <v>161.45</v>
      </c>
      <c r="V3222" s="13">
        <f>IF(U3222="","",ROUND(M3222-U3222,2))</f>
        <v/>
      </c>
      <c r="W3222" s="5" t="n"/>
      <c r="X3222" s="5" t="inlineStr">
        <is>
          <t>Labour + plant + material as published; reconciles to the published rate.</t>
        </is>
      </c>
    </row>
    <row r="3223" ht="13" customHeight="1">
      <c r="A3223" s="4" t="n">
        <v>4918</v>
      </c>
      <c r="B3223" s="5" t="inlineStr">
        <is>
          <t>IMG_0132</t>
        </is>
      </c>
      <c r="C3223" s="5" t="inlineStr">
        <is>
          <t>CLASS R: ROADS AND PAVINGS</t>
        </is>
      </c>
      <c r="D3223" s="5" t="inlineStr">
        <is>
          <t>08 ANCILLARIES</t>
        </is>
      </c>
      <c r="E3223" s="5" t="inlineStr">
        <is>
          <t>Existing signs; Take from store and re-erect</t>
        </is>
      </c>
      <c r="F3223" s="5" t="inlineStr">
        <is>
          <t>road sign on two posts</t>
        </is>
      </c>
      <c r="G3223" s="6" t="inlineStr">
        <is>
          <t>nr</t>
        </is>
      </c>
      <c r="H3223" s="7" t="n">
        <v>0.5</v>
      </c>
      <c r="I3223" s="8" t="n">
        <v>57.02</v>
      </c>
      <c r="J3223" s="8" t="n">
        <v>119.88</v>
      </c>
      <c r="K3223" s="8" t="n">
        <v>124.76</v>
      </c>
      <c r="L3223" s="8" t="n">
        <v>0</v>
      </c>
      <c r="M3223" s="9">
        <f>ROUND(SUM(I3223:L3223),2)</f>
        <v/>
      </c>
      <c r="N3223" s="10">
        <f>ROUND(I3223*'Irish Basis'!$C$6*'Irish Basis'!$C$5,2)</f>
        <v/>
      </c>
      <c r="O3223" s="10">
        <f>ROUND(J3223*'Irish Basis'!$C$7*'Irish Basis'!$C$5,2)</f>
        <v/>
      </c>
      <c r="P3223" s="10">
        <f>ROUND(K3223*'Irish Basis'!$C$8*'Irish Basis'!$C$5,2)</f>
        <v/>
      </c>
      <c r="Q3223" s="10">
        <f>ROUND(L3223*'Irish Basis'!$C$12*'Irish Basis'!$C$5,2)</f>
        <v/>
      </c>
      <c r="R3223" s="11">
        <f>ROUND(SUM(N3223:Q3223),2)</f>
        <v/>
      </c>
      <c r="S3223" s="5" t="inlineStr">
        <is>
          <t>Stated build-up</t>
        </is>
      </c>
      <c r="T3223" s="12" t="inlineStr">
        <is>
          <t>High</t>
        </is>
      </c>
      <c r="U3223" s="8" t="n">
        <v>301.66</v>
      </c>
      <c r="V3223" s="13">
        <f>IF(U3223="","",ROUND(M3223-U3223,2))</f>
        <v/>
      </c>
      <c r="W3223" s="5" t="n"/>
      <c r="X3223" s="5" t="inlineStr">
        <is>
          <t>Labour + plant + material as published; reconciles to the published rate.</t>
        </is>
      </c>
    </row>
    <row r="3224" ht="13" customHeight="1">
      <c r="A3224" s="4" t="n">
        <v>4920</v>
      </c>
      <c r="B3224" s="5" t="inlineStr">
        <is>
          <t>IMG_0132</t>
        </is>
      </c>
      <c r="C3224" s="5" t="inlineStr">
        <is>
          <t>CLASS R: ROADS AND PAVINGS</t>
        </is>
      </c>
      <c r="D3224" s="5" t="inlineStr">
        <is>
          <t>08 ANCILLARIES</t>
        </is>
      </c>
      <c r="E3224" s="5" t="inlineStr">
        <is>
          <t>Surface markings; reflectorized white; Letters and shapes</t>
        </is>
      </c>
      <c r="F3224" s="5" t="inlineStr">
        <is>
          <t>triangles; 1.6 m high</t>
        </is>
      </c>
      <c r="G3224" s="6" t="inlineStr">
        <is>
          <t>nr</t>
        </is>
      </c>
      <c r="H3224" s="7" t="n"/>
      <c r="I3224" s="8" t="n">
        <v>1.45</v>
      </c>
      <c r="J3224" s="8" t="n">
        <v>8.1</v>
      </c>
      <c r="K3224" s="8" t="n">
        <v>11.63</v>
      </c>
      <c r="L3224" s="8" t="n">
        <v>0</v>
      </c>
      <c r="M3224" s="9">
        <f>ROUND(SUM(I3224:L3224),2)</f>
        <v/>
      </c>
      <c r="N3224" s="10">
        <f>ROUND(I3224*'Irish Basis'!$C$6*'Irish Basis'!$C$5,2)</f>
        <v/>
      </c>
      <c r="O3224" s="10">
        <f>ROUND(J3224*'Irish Basis'!$C$7*'Irish Basis'!$C$5,2)</f>
        <v/>
      </c>
      <c r="P3224" s="10">
        <f>ROUND(K3224*'Irish Basis'!$C$8*'Irish Basis'!$C$5,2)</f>
        <v/>
      </c>
      <c r="Q3224" s="10">
        <f>ROUND(L3224*'Irish Basis'!$C$12*'Irish Basis'!$C$5,2)</f>
        <v/>
      </c>
      <c r="R3224" s="11">
        <f>ROUND(SUM(N3224:Q3224),2)</f>
        <v/>
      </c>
      <c r="S3224" s="5" t="inlineStr">
        <is>
          <t>Apportioned (section)</t>
        </is>
      </c>
      <c r="T3224" s="16" t="inlineStr">
        <is>
          <t>Medium</t>
        </is>
      </c>
      <c r="U3224" s="8" t="n">
        <v>21.17</v>
      </c>
      <c r="V3224" s="13">
        <f>IF(U3224="","",ROUND(M3224-U3224,2))</f>
        <v/>
      </c>
      <c r="W3224" s="5" t="n"/>
      <c r="X3224" s="5" t="inlineStr">
        <is>
          <t>Split from published rate using median L/P/M shares of 40 comparable build-ups at section level (7/38/55).</t>
        </is>
      </c>
    </row>
    <row r="3225" ht="13" customHeight="1">
      <c r="A3225" s="4" t="n">
        <v>4921</v>
      </c>
      <c r="B3225" s="5" t="inlineStr">
        <is>
          <t>IMG_0132</t>
        </is>
      </c>
      <c r="C3225" s="5" t="inlineStr">
        <is>
          <t>CLASS R: ROADS AND PAVINGS</t>
        </is>
      </c>
      <c r="D3225" s="5" t="inlineStr">
        <is>
          <t>08 ANCILLARIES</t>
        </is>
      </c>
      <c r="E3225" s="5" t="inlineStr">
        <is>
          <t>Surface markings; reflectorized white; Letters and shapes</t>
        </is>
      </c>
      <c r="F3225" s="5" t="inlineStr">
        <is>
          <t>triangles; 2.0 m high</t>
        </is>
      </c>
      <c r="G3225" s="6" t="inlineStr">
        <is>
          <t>nr</t>
        </is>
      </c>
      <c r="H3225" s="7" t="n"/>
      <c r="I3225" s="8" t="n">
        <v>1.79</v>
      </c>
      <c r="J3225" s="8" t="n">
        <v>10.02</v>
      </c>
      <c r="K3225" s="8" t="n">
        <v>14.39</v>
      </c>
      <c r="L3225" s="8" t="n">
        <v>0</v>
      </c>
      <c r="M3225" s="9">
        <f>ROUND(SUM(I3225:L3225),2)</f>
        <v/>
      </c>
      <c r="N3225" s="10">
        <f>ROUND(I3225*'Irish Basis'!$C$6*'Irish Basis'!$C$5,2)</f>
        <v/>
      </c>
      <c r="O3225" s="10">
        <f>ROUND(J3225*'Irish Basis'!$C$7*'Irish Basis'!$C$5,2)</f>
        <v/>
      </c>
      <c r="P3225" s="10">
        <f>ROUND(K3225*'Irish Basis'!$C$8*'Irish Basis'!$C$5,2)</f>
        <v/>
      </c>
      <c r="Q3225" s="10">
        <f>ROUND(L3225*'Irish Basis'!$C$12*'Irish Basis'!$C$5,2)</f>
        <v/>
      </c>
      <c r="R3225" s="11">
        <f>ROUND(SUM(N3225:Q3225),2)</f>
        <v/>
      </c>
      <c r="S3225" s="5" t="inlineStr">
        <is>
          <t>Apportioned (section)</t>
        </is>
      </c>
      <c r="T3225" s="16" t="inlineStr">
        <is>
          <t>Medium</t>
        </is>
      </c>
      <c r="U3225" s="8" t="n">
        <v>26.2</v>
      </c>
      <c r="V3225" s="13">
        <f>IF(U3225="","",ROUND(M3225-U3225,2))</f>
        <v/>
      </c>
      <c r="W3225" s="5" t="n"/>
      <c r="X3225" s="5" t="inlineStr">
        <is>
          <t>Split from published rate using median L/P/M shares of 40 comparable build-ups at section level (7/38/55).</t>
        </is>
      </c>
    </row>
    <row r="3226" ht="13" customHeight="1">
      <c r="A3226" s="4" t="n">
        <v>4922</v>
      </c>
      <c r="B3226" s="5" t="inlineStr">
        <is>
          <t>IMG_0132</t>
        </is>
      </c>
      <c r="C3226" s="5" t="inlineStr">
        <is>
          <t>CLASS R: ROADS AND PAVINGS</t>
        </is>
      </c>
      <c r="D3226" s="5" t="inlineStr">
        <is>
          <t>08 ANCILLARIES</t>
        </is>
      </c>
      <c r="E3226" s="5" t="inlineStr">
        <is>
          <t>Surface markings; reflectorized white; Letters and shapes</t>
        </is>
      </c>
      <c r="F3226" s="5" t="inlineStr">
        <is>
          <t>triangles; 3.75 m high</t>
        </is>
      </c>
      <c r="G3226" s="6" t="inlineStr">
        <is>
          <t>nr</t>
        </is>
      </c>
      <c r="H3226" s="7" t="n"/>
      <c r="I3226" s="8" t="n">
        <v>2.32</v>
      </c>
      <c r="J3226" s="8" t="n">
        <v>12.95</v>
      </c>
      <c r="K3226" s="8" t="n">
        <v>18.59</v>
      </c>
      <c r="L3226" s="8" t="n">
        <v>0</v>
      </c>
      <c r="M3226" s="9">
        <f>ROUND(SUM(I3226:L3226),2)</f>
        <v/>
      </c>
      <c r="N3226" s="10">
        <f>ROUND(I3226*'Irish Basis'!$C$6*'Irish Basis'!$C$5,2)</f>
        <v/>
      </c>
      <c r="O3226" s="10">
        <f>ROUND(J3226*'Irish Basis'!$C$7*'Irish Basis'!$C$5,2)</f>
        <v/>
      </c>
      <c r="P3226" s="10">
        <f>ROUND(K3226*'Irish Basis'!$C$8*'Irish Basis'!$C$5,2)</f>
        <v/>
      </c>
      <c r="Q3226" s="10">
        <f>ROUND(L3226*'Irish Basis'!$C$12*'Irish Basis'!$C$5,2)</f>
        <v/>
      </c>
      <c r="R3226" s="11">
        <f>ROUND(SUM(N3226:Q3226),2)</f>
        <v/>
      </c>
      <c r="S3226" s="5" t="inlineStr">
        <is>
          <t>Apportioned (section)</t>
        </is>
      </c>
      <c r="T3226" s="16" t="inlineStr">
        <is>
          <t>Medium</t>
        </is>
      </c>
      <c r="U3226" s="8" t="n">
        <v>33.86</v>
      </c>
      <c r="V3226" s="13">
        <f>IF(U3226="","",ROUND(M3226-U3226,2))</f>
        <v/>
      </c>
      <c r="W3226" s="5" t="n"/>
      <c r="X3226" s="5" t="inlineStr">
        <is>
          <t>Split from published rate using median L/P/M shares of 40 comparable build-ups at section level (7/38/55).</t>
        </is>
      </c>
    </row>
    <row r="3227" ht="13" customHeight="1">
      <c r="A3227" s="4" t="n">
        <v>4923</v>
      </c>
      <c r="B3227" s="5" t="inlineStr">
        <is>
          <t>IMG_0132</t>
        </is>
      </c>
      <c r="C3227" s="5" t="inlineStr">
        <is>
          <t>CLASS R: ROADS AND PAVINGS</t>
        </is>
      </c>
      <c r="D3227" s="5" t="inlineStr">
        <is>
          <t>08 ANCILLARIES</t>
        </is>
      </c>
      <c r="E3227" s="5" t="inlineStr">
        <is>
          <t>Surface markings; reflectorized white; Letters and shapes</t>
        </is>
      </c>
      <c r="F3227" s="5" t="inlineStr">
        <is>
          <t>circles with enclosing arrows; 1.6 m dia.</t>
        </is>
      </c>
      <c r="G3227" s="6" t="inlineStr">
        <is>
          <t>nr</t>
        </is>
      </c>
      <c r="H3227" s="7" t="n"/>
      <c r="I3227" s="8" t="n">
        <v>6.95</v>
      </c>
      <c r="J3227" s="8" t="n">
        <v>38.85</v>
      </c>
      <c r="K3227" s="8" t="n">
        <v>55.79</v>
      </c>
      <c r="L3227" s="8" t="n">
        <v>0</v>
      </c>
      <c r="M3227" s="9">
        <f>ROUND(SUM(I3227:L3227),2)</f>
        <v/>
      </c>
      <c r="N3227" s="10">
        <f>ROUND(I3227*'Irish Basis'!$C$6*'Irish Basis'!$C$5,2)</f>
        <v/>
      </c>
      <c r="O3227" s="10">
        <f>ROUND(J3227*'Irish Basis'!$C$7*'Irish Basis'!$C$5,2)</f>
        <v/>
      </c>
      <c r="P3227" s="10">
        <f>ROUND(K3227*'Irish Basis'!$C$8*'Irish Basis'!$C$5,2)</f>
        <v/>
      </c>
      <c r="Q3227" s="10">
        <f>ROUND(L3227*'Irish Basis'!$C$12*'Irish Basis'!$C$5,2)</f>
        <v/>
      </c>
      <c r="R3227" s="11">
        <f>ROUND(SUM(N3227:Q3227),2)</f>
        <v/>
      </c>
      <c r="S3227" s="5" t="inlineStr">
        <is>
          <t>Apportioned (section)</t>
        </is>
      </c>
      <c r="T3227" s="16" t="inlineStr">
        <is>
          <t>Medium</t>
        </is>
      </c>
      <c r="U3227" s="8" t="n">
        <v>101.59</v>
      </c>
      <c r="V3227" s="13">
        <f>IF(U3227="","",ROUND(M3227-U3227,2))</f>
        <v/>
      </c>
      <c r="W3227" s="5" t="n"/>
      <c r="X3227" s="5" t="inlineStr">
        <is>
          <t>Split from published rate using median L/P/M shares of 40 comparable build-ups at section level (7/38/55).</t>
        </is>
      </c>
    </row>
    <row r="3228" ht="13" customHeight="1">
      <c r="A3228" s="4" t="n">
        <v>4924</v>
      </c>
      <c r="B3228" s="5" t="inlineStr">
        <is>
          <t>IMG_0132</t>
        </is>
      </c>
      <c r="C3228" s="5" t="inlineStr">
        <is>
          <t>CLASS R: ROADS AND PAVINGS</t>
        </is>
      </c>
      <c r="D3228" s="5" t="inlineStr">
        <is>
          <t>08 ANCILLARIES</t>
        </is>
      </c>
      <c r="E3228" s="5" t="inlineStr">
        <is>
          <t>Surface markings; reflectorized white; Letters and shapes</t>
        </is>
      </c>
      <c r="F3228" s="5" t="inlineStr">
        <is>
          <t>arrows; 4.0 m long; straight</t>
        </is>
      </c>
      <c r="G3228" s="6" t="inlineStr">
        <is>
          <t>nr</t>
        </is>
      </c>
      <c r="H3228" s="7" t="n"/>
      <c r="I3228" s="8" t="n">
        <v>2.9</v>
      </c>
      <c r="J3228" s="8" t="n">
        <v>16.19</v>
      </c>
      <c r="K3228" s="8" t="n">
        <v>23.25</v>
      </c>
      <c r="L3228" s="8" t="n">
        <v>0</v>
      </c>
      <c r="M3228" s="9">
        <f>ROUND(SUM(I3228:L3228),2)</f>
        <v/>
      </c>
      <c r="N3228" s="10">
        <f>ROUND(I3228*'Irish Basis'!$C$6*'Irish Basis'!$C$5,2)</f>
        <v/>
      </c>
      <c r="O3228" s="10">
        <f>ROUND(J3228*'Irish Basis'!$C$7*'Irish Basis'!$C$5,2)</f>
        <v/>
      </c>
      <c r="P3228" s="10">
        <f>ROUND(K3228*'Irish Basis'!$C$8*'Irish Basis'!$C$5,2)</f>
        <v/>
      </c>
      <c r="Q3228" s="10">
        <f>ROUND(L3228*'Irish Basis'!$C$12*'Irish Basis'!$C$5,2)</f>
        <v/>
      </c>
      <c r="R3228" s="11">
        <f>ROUND(SUM(N3228:Q3228),2)</f>
        <v/>
      </c>
      <c r="S3228" s="5" t="inlineStr">
        <is>
          <t>Apportioned (section)</t>
        </is>
      </c>
      <c r="T3228" s="16" t="inlineStr">
        <is>
          <t>Medium</t>
        </is>
      </c>
      <c r="U3228" s="8" t="n">
        <v>42.33</v>
      </c>
      <c r="V3228" s="13">
        <f>IF(U3228="","",ROUND(M3228-U3228,2))</f>
        <v/>
      </c>
      <c r="W3228" s="5" t="n"/>
      <c r="X3228" s="5" t="inlineStr">
        <is>
          <t>Split from published rate using median L/P/M shares of 40 comparable build-ups at section level (7/38/55).</t>
        </is>
      </c>
    </row>
    <row r="3229" ht="13" customHeight="1">
      <c r="A3229" s="4" t="n">
        <v>4925</v>
      </c>
      <c r="B3229" s="5" t="inlineStr">
        <is>
          <t>IMG_0132</t>
        </is>
      </c>
      <c r="C3229" s="5" t="inlineStr">
        <is>
          <t>CLASS R: ROADS AND PAVINGS</t>
        </is>
      </c>
      <c r="D3229" s="5" t="inlineStr">
        <is>
          <t>08 ANCILLARIES</t>
        </is>
      </c>
      <c r="E3229" s="5" t="inlineStr">
        <is>
          <t>Surface markings; reflectorized white; Letters and shapes</t>
        </is>
      </c>
      <c r="F3229" s="5" t="inlineStr">
        <is>
          <t>arrows; 4.0 m long; turning</t>
        </is>
      </c>
      <c r="G3229" s="6" t="inlineStr">
        <is>
          <t>nr</t>
        </is>
      </c>
      <c r="H3229" s="7" t="n"/>
      <c r="I3229" s="8" t="n">
        <v>2.9</v>
      </c>
      <c r="J3229" s="8" t="n">
        <v>16.19</v>
      </c>
      <c r="K3229" s="8" t="n">
        <v>23.25</v>
      </c>
      <c r="L3229" s="8" t="n">
        <v>0</v>
      </c>
      <c r="M3229" s="9">
        <f>ROUND(SUM(I3229:L3229),2)</f>
        <v/>
      </c>
      <c r="N3229" s="10">
        <f>ROUND(I3229*'Irish Basis'!$C$6*'Irish Basis'!$C$5,2)</f>
        <v/>
      </c>
      <c r="O3229" s="10">
        <f>ROUND(J3229*'Irish Basis'!$C$7*'Irish Basis'!$C$5,2)</f>
        <v/>
      </c>
      <c r="P3229" s="10">
        <f>ROUND(K3229*'Irish Basis'!$C$8*'Irish Basis'!$C$5,2)</f>
        <v/>
      </c>
      <c r="Q3229" s="10">
        <f>ROUND(L3229*'Irish Basis'!$C$12*'Irish Basis'!$C$5,2)</f>
        <v/>
      </c>
      <c r="R3229" s="11">
        <f>ROUND(SUM(N3229:Q3229),2)</f>
        <v/>
      </c>
      <c r="S3229" s="5" t="inlineStr">
        <is>
          <t>Apportioned (section)</t>
        </is>
      </c>
      <c r="T3229" s="16" t="inlineStr">
        <is>
          <t>Medium</t>
        </is>
      </c>
      <c r="U3229" s="8" t="n">
        <v>42.33</v>
      </c>
      <c r="V3229" s="13">
        <f>IF(U3229="","",ROUND(M3229-U3229,2))</f>
        <v/>
      </c>
      <c r="W3229" s="5" t="n"/>
      <c r="X3229" s="5" t="inlineStr">
        <is>
          <t>Split from published rate using median L/P/M shares of 40 comparable build-ups at section level (7/38/55).</t>
        </is>
      </c>
    </row>
    <row r="3230" ht="13" customHeight="1">
      <c r="A3230" s="4" t="n">
        <v>4926</v>
      </c>
      <c r="B3230" s="5" t="inlineStr">
        <is>
          <t>IMG_0132</t>
        </is>
      </c>
      <c r="C3230" s="5" t="inlineStr">
        <is>
          <t>CLASS R: ROADS AND PAVINGS</t>
        </is>
      </c>
      <c r="D3230" s="5" t="inlineStr">
        <is>
          <t>08 ANCILLARIES</t>
        </is>
      </c>
      <c r="E3230" s="5" t="inlineStr">
        <is>
          <t>Surface markings; reflectorized white; Letters and shapes</t>
        </is>
      </c>
      <c r="F3230" s="5" t="inlineStr">
        <is>
          <t>arrows; 6.0 m long; straight</t>
        </is>
      </c>
      <c r="G3230" s="6" t="inlineStr">
        <is>
          <t>nr</t>
        </is>
      </c>
      <c r="H3230" s="7" t="n"/>
      <c r="I3230" s="8" t="n">
        <v>3.48</v>
      </c>
      <c r="J3230" s="8" t="n">
        <v>19.42</v>
      </c>
      <c r="K3230" s="8" t="n">
        <v>27.89</v>
      </c>
      <c r="L3230" s="8" t="n">
        <v>0</v>
      </c>
      <c r="M3230" s="9">
        <f>ROUND(SUM(I3230:L3230),2)</f>
        <v/>
      </c>
      <c r="N3230" s="10">
        <f>ROUND(I3230*'Irish Basis'!$C$6*'Irish Basis'!$C$5,2)</f>
        <v/>
      </c>
      <c r="O3230" s="10">
        <f>ROUND(J3230*'Irish Basis'!$C$7*'Irish Basis'!$C$5,2)</f>
        <v/>
      </c>
      <c r="P3230" s="10">
        <f>ROUND(K3230*'Irish Basis'!$C$8*'Irish Basis'!$C$5,2)</f>
        <v/>
      </c>
      <c r="Q3230" s="10">
        <f>ROUND(L3230*'Irish Basis'!$C$12*'Irish Basis'!$C$5,2)</f>
        <v/>
      </c>
      <c r="R3230" s="11">
        <f>ROUND(SUM(N3230:Q3230),2)</f>
        <v/>
      </c>
      <c r="S3230" s="5" t="inlineStr">
        <is>
          <t>Apportioned (section)</t>
        </is>
      </c>
      <c r="T3230" s="16" t="inlineStr">
        <is>
          <t>Medium</t>
        </is>
      </c>
      <c r="U3230" s="8" t="n">
        <v>50.79</v>
      </c>
      <c r="V3230" s="13">
        <f>IF(U3230="","",ROUND(M3230-U3230,2))</f>
        <v/>
      </c>
      <c r="W3230" s="5" t="n"/>
      <c r="X3230" s="5" t="inlineStr">
        <is>
          <t>Split from published rate using median L/P/M shares of 40 comparable build-ups at section level (7/38/55).</t>
        </is>
      </c>
    </row>
    <row r="3231" ht="13" customHeight="1">
      <c r="A3231" s="4" t="n">
        <v>4927</v>
      </c>
      <c r="B3231" s="5" t="inlineStr">
        <is>
          <t>IMG_0132</t>
        </is>
      </c>
      <c r="C3231" s="5" t="inlineStr">
        <is>
          <t>CLASS R: ROADS AND PAVINGS</t>
        </is>
      </c>
      <c r="D3231" s="5" t="inlineStr">
        <is>
          <t>08 ANCILLARIES</t>
        </is>
      </c>
      <c r="E3231" s="5" t="inlineStr">
        <is>
          <t>Surface markings; reflectorized white; Letters and shapes</t>
        </is>
      </c>
      <c r="F3231" s="5" t="inlineStr">
        <is>
          <t>arrows; 6.0 m long; turning</t>
        </is>
      </c>
      <c r="G3231" s="6" t="inlineStr">
        <is>
          <t>nr</t>
        </is>
      </c>
      <c r="H3231" s="7" t="n"/>
      <c r="I3231" s="8" t="n">
        <v>3.48</v>
      </c>
      <c r="J3231" s="8" t="n">
        <v>19.42</v>
      </c>
      <c r="K3231" s="8" t="n">
        <v>27.89</v>
      </c>
      <c r="L3231" s="8" t="n">
        <v>0</v>
      </c>
      <c r="M3231" s="9">
        <f>ROUND(SUM(I3231:L3231),2)</f>
        <v/>
      </c>
      <c r="N3231" s="10">
        <f>ROUND(I3231*'Irish Basis'!$C$6*'Irish Basis'!$C$5,2)</f>
        <v/>
      </c>
      <c r="O3231" s="10">
        <f>ROUND(J3231*'Irish Basis'!$C$7*'Irish Basis'!$C$5,2)</f>
        <v/>
      </c>
      <c r="P3231" s="10">
        <f>ROUND(K3231*'Irish Basis'!$C$8*'Irish Basis'!$C$5,2)</f>
        <v/>
      </c>
      <c r="Q3231" s="10">
        <f>ROUND(L3231*'Irish Basis'!$C$12*'Irish Basis'!$C$5,2)</f>
        <v/>
      </c>
      <c r="R3231" s="11">
        <f>ROUND(SUM(N3231:Q3231),2)</f>
        <v/>
      </c>
      <c r="S3231" s="5" t="inlineStr">
        <is>
          <t>Apportioned (section)</t>
        </is>
      </c>
      <c r="T3231" s="16" t="inlineStr">
        <is>
          <t>Medium</t>
        </is>
      </c>
      <c r="U3231" s="8" t="n">
        <v>50.79</v>
      </c>
      <c r="V3231" s="13">
        <f>IF(U3231="","",ROUND(M3231-U3231,2))</f>
        <v/>
      </c>
      <c r="W3231" s="5" t="n"/>
      <c r="X3231" s="5" t="inlineStr">
        <is>
          <t>Split from published rate using median L/P/M shares of 40 comparable build-ups at section level (7/38/55).</t>
        </is>
      </c>
    </row>
    <row r="3232" ht="13" customHeight="1">
      <c r="A3232" s="4" t="n">
        <v>4928</v>
      </c>
      <c r="B3232" s="5" t="inlineStr">
        <is>
          <t>IMG_0132</t>
        </is>
      </c>
      <c r="C3232" s="5" t="inlineStr">
        <is>
          <t>CLASS R: ROADS AND PAVINGS</t>
        </is>
      </c>
      <c r="D3232" s="5" t="inlineStr">
        <is>
          <t>08 ANCILLARIES</t>
        </is>
      </c>
      <c r="E3232" s="5" t="inlineStr">
        <is>
          <t>Surface markings; reflectorized white; Letters and shapes</t>
        </is>
      </c>
      <c r="F3232" s="5" t="inlineStr">
        <is>
          <t>arrows; 6.0 m long; curved</t>
        </is>
      </c>
      <c r="G3232" s="6" t="inlineStr">
        <is>
          <t>nr</t>
        </is>
      </c>
      <c r="H3232" s="7" t="n"/>
      <c r="I3232" s="8" t="n">
        <v>3.48</v>
      </c>
      <c r="J3232" s="8" t="n">
        <v>19.42</v>
      </c>
      <c r="K3232" s="8" t="n">
        <v>27.89</v>
      </c>
      <c r="L3232" s="8" t="n">
        <v>0</v>
      </c>
      <c r="M3232" s="9">
        <f>ROUND(SUM(I3232:L3232),2)</f>
        <v/>
      </c>
      <c r="N3232" s="10">
        <f>ROUND(I3232*'Irish Basis'!$C$6*'Irish Basis'!$C$5,2)</f>
        <v/>
      </c>
      <c r="O3232" s="10">
        <f>ROUND(J3232*'Irish Basis'!$C$7*'Irish Basis'!$C$5,2)</f>
        <v/>
      </c>
      <c r="P3232" s="10">
        <f>ROUND(K3232*'Irish Basis'!$C$8*'Irish Basis'!$C$5,2)</f>
        <v/>
      </c>
      <c r="Q3232" s="10">
        <f>ROUND(L3232*'Irish Basis'!$C$12*'Irish Basis'!$C$5,2)</f>
        <v/>
      </c>
      <c r="R3232" s="11">
        <f>ROUND(SUM(N3232:Q3232),2)</f>
        <v/>
      </c>
      <c r="S3232" s="5" t="inlineStr">
        <is>
          <t>Apportioned (section)</t>
        </is>
      </c>
      <c r="T3232" s="16" t="inlineStr">
        <is>
          <t>Medium</t>
        </is>
      </c>
      <c r="U3232" s="8" t="n">
        <v>50.79</v>
      </c>
      <c r="V3232" s="13">
        <f>IF(U3232="","",ROUND(M3232-U3232,2))</f>
        <v/>
      </c>
      <c r="W3232" s="5" t="n"/>
      <c r="X3232" s="5" t="inlineStr">
        <is>
          <t>Split from published rate using median L/P/M shares of 40 comparable build-ups at section level (7/38/55).</t>
        </is>
      </c>
    </row>
    <row r="3233" ht="13" customHeight="1">
      <c r="A3233" s="4" t="n">
        <v>4929</v>
      </c>
      <c r="B3233" s="5" t="inlineStr">
        <is>
          <t>IMG_0132</t>
        </is>
      </c>
      <c r="C3233" s="5" t="inlineStr">
        <is>
          <t>CLASS R: ROADS AND PAVINGS</t>
        </is>
      </c>
      <c r="D3233" s="5" t="inlineStr">
        <is>
          <t>08 ANCILLARIES</t>
        </is>
      </c>
      <c r="E3233" s="5" t="inlineStr">
        <is>
          <t>Surface markings; reflectorized white; Letters and shapes</t>
        </is>
      </c>
      <c r="F3233" s="5" t="inlineStr">
        <is>
          <t>arrows; 6.0 m long; double headed</t>
        </is>
      </c>
      <c r="G3233" s="6" t="inlineStr">
        <is>
          <t>nr</t>
        </is>
      </c>
      <c r="H3233" s="7" t="n"/>
      <c r="I3233" s="8" t="n">
        <v>4.87</v>
      </c>
      <c r="J3233" s="8" t="n">
        <v>27.19</v>
      </c>
      <c r="K3233" s="8" t="n">
        <v>39.05</v>
      </c>
      <c r="L3233" s="8" t="n">
        <v>0</v>
      </c>
      <c r="M3233" s="9">
        <f>ROUND(SUM(I3233:L3233),2)</f>
        <v/>
      </c>
      <c r="N3233" s="10">
        <f>ROUND(I3233*'Irish Basis'!$C$6*'Irish Basis'!$C$5,2)</f>
        <v/>
      </c>
      <c r="O3233" s="10">
        <f>ROUND(J3233*'Irish Basis'!$C$7*'Irish Basis'!$C$5,2)</f>
        <v/>
      </c>
      <c r="P3233" s="10">
        <f>ROUND(K3233*'Irish Basis'!$C$8*'Irish Basis'!$C$5,2)</f>
        <v/>
      </c>
      <c r="Q3233" s="10">
        <f>ROUND(L3233*'Irish Basis'!$C$12*'Irish Basis'!$C$5,2)</f>
        <v/>
      </c>
      <c r="R3233" s="11">
        <f>ROUND(SUM(N3233:Q3233),2)</f>
        <v/>
      </c>
      <c r="S3233" s="5" t="inlineStr">
        <is>
          <t>Apportioned (section)</t>
        </is>
      </c>
      <c r="T3233" s="16" t="inlineStr">
        <is>
          <t>Medium</t>
        </is>
      </c>
      <c r="U3233" s="8" t="n">
        <v>71.11</v>
      </c>
      <c r="V3233" s="13">
        <f>IF(U3233="","",ROUND(M3233-U3233,2))</f>
        <v/>
      </c>
      <c r="W3233" s="5" t="n"/>
      <c r="X3233" s="5" t="inlineStr">
        <is>
          <t>Split from published rate using median L/P/M shares of 40 comparable build-ups at section level (7/38/55).</t>
        </is>
      </c>
    </row>
    <row r="3234" ht="13" customHeight="1">
      <c r="A3234" s="4" t="n">
        <v>4930</v>
      </c>
      <c r="B3234" s="5" t="inlineStr">
        <is>
          <t>IMG_0132</t>
        </is>
      </c>
      <c r="C3234" s="5" t="inlineStr">
        <is>
          <t>CLASS R: ROADS AND PAVINGS</t>
        </is>
      </c>
      <c r="D3234" s="5" t="inlineStr">
        <is>
          <t>08 ANCILLARIES</t>
        </is>
      </c>
      <c r="E3234" s="5" t="inlineStr">
        <is>
          <t>Surface markings; reflectorized white; Letters and shapes</t>
        </is>
      </c>
      <c r="F3234" s="5" t="inlineStr">
        <is>
          <t>arrows; 8.0 m long; double headed</t>
        </is>
      </c>
      <c r="G3234" s="6" t="inlineStr">
        <is>
          <t>nr</t>
        </is>
      </c>
      <c r="H3234" s="7" t="n"/>
      <c r="I3234" s="8" t="n">
        <v>6.95</v>
      </c>
      <c r="J3234" s="8" t="n">
        <v>38.85</v>
      </c>
      <c r="K3234" s="8" t="n">
        <v>55.79</v>
      </c>
      <c r="L3234" s="8" t="n">
        <v>0</v>
      </c>
      <c r="M3234" s="9">
        <f>ROUND(SUM(I3234:L3234),2)</f>
        <v/>
      </c>
      <c r="N3234" s="10">
        <f>ROUND(I3234*'Irish Basis'!$C$6*'Irish Basis'!$C$5,2)</f>
        <v/>
      </c>
      <c r="O3234" s="10">
        <f>ROUND(J3234*'Irish Basis'!$C$7*'Irish Basis'!$C$5,2)</f>
        <v/>
      </c>
      <c r="P3234" s="10">
        <f>ROUND(K3234*'Irish Basis'!$C$8*'Irish Basis'!$C$5,2)</f>
        <v/>
      </c>
      <c r="Q3234" s="10">
        <f>ROUND(L3234*'Irish Basis'!$C$12*'Irish Basis'!$C$5,2)</f>
        <v/>
      </c>
      <c r="R3234" s="11">
        <f>ROUND(SUM(N3234:Q3234),2)</f>
        <v/>
      </c>
      <c r="S3234" s="5" t="inlineStr">
        <is>
          <t>Apportioned (section)</t>
        </is>
      </c>
      <c r="T3234" s="16" t="inlineStr">
        <is>
          <t>Medium</t>
        </is>
      </c>
      <c r="U3234" s="8" t="n">
        <v>101.59</v>
      </c>
      <c r="V3234" s="13">
        <f>IF(U3234="","",ROUND(M3234-U3234,2))</f>
        <v/>
      </c>
      <c r="W3234" s="5" t="n"/>
      <c r="X3234" s="5" t="inlineStr">
        <is>
          <t>Split from published rate using median L/P/M shares of 40 comparable build-ups at section level (7/38/55).</t>
        </is>
      </c>
    </row>
    <row r="3235" ht="13" customHeight="1">
      <c r="A3235" s="4" t="n">
        <v>4931</v>
      </c>
      <c r="B3235" s="5" t="inlineStr">
        <is>
          <t>IMG_0132</t>
        </is>
      </c>
      <c r="C3235" s="5" t="inlineStr">
        <is>
          <t>CLASS R: ROADS AND PAVINGS</t>
        </is>
      </c>
      <c r="D3235" s="5" t="inlineStr">
        <is>
          <t>08 ANCILLARIES</t>
        </is>
      </c>
      <c r="E3235" s="5" t="inlineStr">
        <is>
          <t>Surface markings; reflectorized white; Letters and shapes</t>
        </is>
      </c>
      <c r="F3235" s="5" t="inlineStr">
        <is>
          <t>arrows; 16.0 m long; double headed</t>
        </is>
      </c>
      <c r="G3235" s="6" t="inlineStr">
        <is>
          <t>nr</t>
        </is>
      </c>
      <c r="H3235" s="7" t="n"/>
      <c r="I3235" s="8" t="n">
        <v>10.43</v>
      </c>
      <c r="J3235" s="8" t="n">
        <v>58.27</v>
      </c>
      <c r="K3235" s="8" t="n">
        <v>83.68000000000001</v>
      </c>
      <c r="L3235" s="8" t="n">
        <v>0</v>
      </c>
      <c r="M3235" s="9">
        <f>ROUND(SUM(I3235:L3235),2)</f>
        <v/>
      </c>
      <c r="N3235" s="10">
        <f>ROUND(I3235*'Irish Basis'!$C$6*'Irish Basis'!$C$5,2)</f>
        <v/>
      </c>
      <c r="O3235" s="10">
        <f>ROUND(J3235*'Irish Basis'!$C$7*'Irish Basis'!$C$5,2)</f>
        <v/>
      </c>
      <c r="P3235" s="10">
        <f>ROUND(K3235*'Irish Basis'!$C$8*'Irish Basis'!$C$5,2)</f>
        <v/>
      </c>
      <c r="Q3235" s="10">
        <f>ROUND(L3235*'Irish Basis'!$C$12*'Irish Basis'!$C$5,2)</f>
        <v/>
      </c>
      <c r="R3235" s="11">
        <f>ROUND(SUM(N3235:Q3235),2)</f>
        <v/>
      </c>
      <c r="S3235" s="5" t="inlineStr">
        <is>
          <t>Apportioned (section)</t>
        </is>
      </c>
      <c r="T3235" s="16" t="inlineStr">
        <is>
          <t>Medium</t>
        </is>
      </c>
      <c r="U3235" s="8" t="n">
        <v>152.38</v>
      </c>
      <c r="V3235" s="13">
        <f>IF(U3235="","",ROUND(M3235-U3235,2))</f>
        <v/>
      </c>
      <c r="W3235" s="5" t="n"/>
      <c r="X3235" s="5" t="inlineStr">
        <is>
          <t>Split from published rate using median L/P/M shares of 40 comparable build-ups at section level (7/38/55).</t>
        </is>
      </c>
    </row>
    <row r="3236" ht="13" customHeight="1">
      <c r="A3236" s="4" t="n">
        <v>4932</v>
      </c>
      <c r="B3236" s="5" t="inlineStr">
        <is>
          <t>IMG_0132</t>
        </is>
      </c>
      <c r="C3236" s="5" t="inlineStr">
        <is>
          <t>CLASS R: ROADS AND PAVINGS</t>
        </is>
      </c>
      <c r="D3236" s="5" t="inlineStr">
        <is>
          <t>08 ANCILLARIES</t>
        </is>
      </c>
      <c r="E3236" s="5" t="inlineStr">
        <is>
          <t>Surface markings; reflectorized white; Letters and shapes</t>
        </is>
      </c>
      <c r="F3236" s="5" t="inlineStr">
        <is>
          <t>arrows; 32.0 m long; double headed</t>
        </is>
      </c>
      <c r="G3236" s="6" t="inlineStr">
        <is>
          <t>nr</t>
        </is>
      </c>
      <c r="H3236" s="7" t="n"/>
      <c r="I3236" s="8" t="n">
        <v>13.91</v>
      </c>
      <c r="J3236" s="8" t="n">
        <v>77.69</v>
      </c>
      <c r="K3236" s="8" t="n">
        <v>111.57</v>
      </c>
      <c r="L3236" s="8" t="n">
        <v>0</v>
      </c>
      <c r="M3236" s="9">
        <f>ROUND(SUM(I3236:L3236),2)</f>
        <v/>
      </c>
      <c r="N3236" s="10">
        <f>ROUND(I3236*'Irish Basis'!$C$6*'Irish Basis'!$C$5,2)</f>
        <v/>
      </c>
      <c r="O3236" s="10">
        <f>ROUND(J3236*'Irish Basis'!$C$7*'Irish Basis'!$C$5,2)</f>
        <v/>
      </c>
      <c r="P3236" s="10">
        <f>ROUND(K3236*'Irish Basis'!$C$8*'Irish Basis'!$C$5,2)</f>
        <v/>
      </c>
      <c r="Q3236" s="10">
        <f>ROUND(L3236*'Irish Basis'!$C$12*'Irish Basis'!$C$5,2)</f>
        <v/>
      </c>
      <c r="R3236" s="11">
        <f>ROUND(SUM(N3236:Q3236),2)</f>
        <v/>
      </c>
      <c r="S3236" s="5" t="inlineStr">
        <is>
          <t>Apportioned (section)</t>
        </is>
      </c>
      <c r="T3236" s="16" t="inlineStr">
        <is>
          <t>Medium</t>
        </is>
      </c>
      <c r="U3236" s="8" t="n">
        <v>203.16</v>
      </c>
      <c r="V3236" s="13">
        <f>IF(U3236="","",ROUND(M3236-U3236,2))</f>
        <v/>
      </c>
      <c r="W3236" s="5" t="n"/>
      <c r="X3236" s="5" t="inlineStr">
        <is>
          <t>Split from published rate using median L/P/M shares of 40 comparable build-ups at section level (7/38/55).</t>
        </is>
      </c>
    </row>
    <row r="3237" ht="13" customHeight="1">
      <c r="A3237" s="4" t="n">
        <v>4933</v>
      </c>
      <c r="B3237" s="5" t="inlineStr">
        <is>
          <t>IMG_0132</t>
        </is>
      </c>
      <c r="C3237" s="5" t="inlineStr">
        <is>
          <t>CLASS R: ROADS AND PAVINGS</t>
        </is>
      </c>
      <c r="D3237" s="5" t="inlineStr">
        <is>
          <t>08 ANCILLARIES</t>
        </is>
      </c>
      <c r="E3237" s="5" t="inlineStr">
        <is>
          <t>Surface markings; reflectorized white; Letters and shapes</t>
        </is>
      </c>
      <c r="F3237" s="5" t="inlineStr">
        <is>
          <t>letters or numerals; 1.6 m high</t>
        </is>
      </c>
      <c r="G3237" s="6" t="inlineStr">
        <is>
          <t>nr</t>
        </is>
      </c>
      <c r="H3237" s="7" t="n"/>
      <c r="I3237" s="8" t="n">
        <v>0.9</v>
      </c>
      <c r="J3237" s="8" t="n">
        <v>5.01</v>
      </c>
      <c r="K3237" s="8" t="n">
        <v>7.19</v>
      </c>
      <c r="L3237" s="8" t="n">
        <v>0</v>
      </c>
      <c r="M3237" s="9">
        <f>ROUND(SUM(I3237:L3237),2)</f>
        <v/>
      </c>
      <c r="N3237" s="10">
        <f>ROUND(I3237*'Irish Basis'!$C$6*'Irish Basis'!$C$5,2)</f>
        <v/>
      </c>
      <c r="O3237" s="10">
        <f>ROUND(J3237*'Irish Basis'!$C$7*'Irish Basis'!$C$5,2)</f>
        <v/>
      </c>
      <c r="P3237" s="10">
        <f>ROUND(K3237*'Irish Basis'!$C$8*'Irish Basis'!$C$5,2)</f>
        <v/>
      </c>
      <c r="Q3237" s="10">
        <f>ROUND(L3237*'Irish Basis'!$C$12*'Irish Basis'!$C$5,2)</f>
        <v/>
      </c>
      <c r="R3237" s="11">
        <f>ROUND(SUM(N3237:Q3237),2)</f>
        <v/>
      </c>
      <c r="S3237" s="5" t="inlineStr">
        <is>
          <t>Apportioned (section)</t>
        </is>
      </c>
      <c r="T3237" s="16" t="inlineStr">
        <is>
          <t>Medium</t>
        </is>
      </c>
      <c r="U3237" s="8" t="n">
        <v>13.1</v>
      </c>
      <c r="V3237" s="13">
        <f>IF(U3237="","",ROUND(M3237-U3237,2))</f>
        <v/>
      </c>
      <c r="W3237" s="5" t="n"/>
      <c r="X3237" s="5" t="inlineStr">
        <is>
          <t>Split from published rate using median L/P/M shares of 40 comparable build-ups at section level (7/38/55).</t>
        </is>
      </c>
    </row>
    <row r="3238" ht="13" customHeight="1">
      <c r="A3238" s="4" t="n">
        <v>4934</v>
      </c>
      <c r="B3238" s="5" t="inlineStr">
        <is>
          <t>IMG_0132</t>
        </is>
      </c>
      <c r="C3238" s="5" t="inlineStr">
        <is>
          <t>CLASS R: ROADS AND PAVINGS</t>
        </is>
      </c>
      <c r="D3238" s="5" t="inlineStr">
        <is>
          <t>08 ANCILLARIES</t>
        </is>
      </c>
      <c r="E3238" s="5" t="inlineStr">
        <is>
          <t>Surface markings; reflectorized white; Letters and shapes</t>
        </is>
      </c>
      <c r="F3238" s="5" t="inlineStr">
        <is>
          <t>letters or numerals; 2.0 m high</t>
        </is>
      </c>
      <c r="G3238" s="6" t="inlineStr">
        <is>
          <t>nr</t>
        </is>
      </c>
      <c r="H3238" s="7" t="n"/>
      <c r="I3238" s="8" t="n">
        <v>1.33</v>
      </c>
      <c r="J3238" s="8" t="n">
        <v>7.45</v>
      </c>
      <c r="K3238" s="8" t="n">
        <v>10.7</v>
      </c>
      <c r="L3238" s="8" t="n">
        <v>0</v>
      </c>
      <c r="M3238" s="9">
        <f>ROUND(SUM(I3238:L3238),2)</f>
        <v/>
      </c>
      <c r="N3238" s="10">
        <f>ROUND(I3238*'Irish Basis'!$C$6*'Irish Basis'!$C$5,2)</f>
        <v/>
      </c>
      <c r="O3238" s="10">
        <f>ROUND(J3238*'Irish Basis'!$C$7*'Irish Basis'!$C$5,2)</f>
        <v/>
      </c>
      <c r="P3238" s="10">
        <f>ROUND(K3238*'Irish Basis'!$C$8*'Irish Basis'!$C$5,2)</f>
        <v/>
      </c>
      <c r="Q3238" s="10">
        <f>ROUND(L3238*'Irish Basis'!$C$12*'Irish Basis'!$C$5,2)</f>
        <v/>
      </c>
      <c r="R3238" s="11">
        <f>ROUND(SUM(N3238:Q3238),2)</f>
        <v/>
      </c>
      <c r="S3238" s="5" t="inlineStr">
        <is>
          <t>Apportioned (section)</t>
        </is>
      </c>
      <c r="T3238" s="16" t="inlineStr">
        <is>
          <t>Medium</t>
        </is>
      </c>
      <c r="U3238" s="8" t="n">
        <v>19.49</v>
      </c>
      <c r="V3238" s="13">
        <f>IF(U3238="","",ROUND(M3238-U3238,2))</f>
        <v/>
      </c>
      <c r="W3238" s="5" t="n"/>
      <c r="X3238" s="5" t="inlineStr">
        <is>
          <t>Split from published rate using median L/P/M shares of 40 comparable build-ups at section level (7/38/55).</t>
        </is>
      </c>
    </row>
    <row r="3239" ht="13" customHeight="1">
      <c r="A3239" s="4" t="n">
        <v>4935</v>
      </c>
      <c r="B3239" s="5" t="inlineStr">
        <is>
          <t>IMG_0132</t>
        </is>
      </c>
      <c r="C3239" s="5" t="inlineStr">
        <is>
          <t>CLASS R: ROADS AND PAVINGS</t>
        </is>
      </c>
      <c r="D3239" s="5" t="inlineStr">
        <is>
          <t>08 ANCILLARIES</t>
        </is>
      </c>
      <c r="E3239" s="5" t="inlineStr">
        <is>
          <t>Surface markings; reflectorized white; Letters and shapes</t>
        </is>
      </c>
      <c r="F3239" s="5" t="inlineStr">
        <is>
          <t>letters or numerals; 3.75 m high</t>
        </is>
      </c>
      <c r="G3239" s="6" t="inlineStr">
        <is>
          <t>nr</t>
        </is>
      </c>
      <c r="H3239" s="7" t="n"/>
      <c r="I3239" s="8" t="n">
        <v>2.32</v>
      </c>
      <c r="J3239" s="8" t="n">
        <v>12.95</v>
      </c>
      <c r="K3239" s="8" t="n">
        <v>18.59</v>
      </c>
      <c r="L3239" s="8" t="n">
        <v>0</v>
      </c>
      <c r="M3239" s="9">
        <f>ROUND(SUM(I3239:L3239),2)</f>
        <v/>
      </c>
      <c r="N3239" s="10">
        <f>ROUND(I3239*'Irish Basis'!$C$6*'Irish Basis'!$C$5,2)</f>
        <v/>
      </c>
      <c r="O3239" s="10">
        <f>ROUND(J3239*'Irish Basis'!$C$7*'Irish Basis'!$C$5,2)</f>
        <v/>
      </c>
      <c r="P3239" s="10">
        <f>ROUND(K3239*'Irish Basis'!$C$8*'Irish Basis'!$C$5,2)</f>
        <v/>
      </c>
      <c r="Q3239" s="10">
        <f>ROUND(L3239*'Irish Basis'!$C$12*'Irish Basis'!$C$5,2)</f>
        <v/>
      </c>
      <c r="R3239" s="11">
        <f>ROUND(SUM(N3239:Q3239),2)</f>
        <v/>
      </c>
      <c r="S3239" s="5" t="inlineStr">
        <is>
          <t>Apportioned (section)</t>
        </is>
      </c>
      <c r="T3239" s="16" t="inlineStr">
        <is>
          <t>Medium</t>
        </is>
      </c>
      <c r="U3239" s="8" t="n">
        <v>33.86</v>
      </c>
      <c r="V3239" s="13">
        <f>IF(U3239="","",ROUND(M3239-U3239,2))</f>
        <v/>
      </c>
      <c r="W3239" s="5" t="n"/>
      <c r="X3239" s="5" t="inlineStr">
        <is>
          <t>Split from published rate using median L/P/M shares of 40 comparable build-ups at section level (7/38/55).</t>
        </is>
      </c>
    </row>
    <row r="3240" ht="13" customHeight="1">
      <c r="A3240" s="4" t="n">
        <v>4937</v>
      </c>
      <c r="B3240" s="5" t="inlineStr">
        <is>
          <t>IMG_0132</t>
        </is>
      </c>
      <c r="C3240" s="5" t="inlineStr">
        <is>
          <t>CLASS R: ROADS AND PAVINGS</t>
        </is>
      </c>
      <c r="D3240" s="5" t="inlineStr">
        <is>
          <t>08 ANCILLARIES</t>
        </is>
      </c>
      <c r="E3240" s="5" t="inlineStr">
        <is>
          <t>Continuous lines (reflectorized white)</t>
        </is>
      </c>
      <c r="F3240" s="5" t="inlineStr">
        <is>
          <t>150 mm wide</t>
        </is>
      </c>
      <c r="G3240" s="6" t="inlineStr">
        <is>
          <t>m</t>
        </is>
      </c>
      <c r="H3240" s="7" t="n"/>
      <c r="I3240" s="8" t="n">
        <v>0.17</v>
      </c>
      <c r="J3240" s="8" t="n">
        <v>0.96</v>
      </c>
      <c r="K3240" s="8" t="n">
        <v>1.38</v>
      </c>
      <c r="L3240" s="8" t="n">
        <v>0</v>
      </c>
      <c r="M3240" s="9">
        <f>ROUND(SUM(I3240:L3240),2)</f>
        <v/>
      </c>
      <c r="N3240" s="10">
        <f>ROUND(I3240*'Irish Basis'!$C$6*'Irish Basis'!$C$5,2)</f>
        <v/>
      </c>
      <c r="O3240" s="10">
        <f>ROUND(J3240*'Irish Basis'!$C$7*'Irish Basis'!$C$5,2)</f>
        <v/>
      </c>
      <c r="P3240" s="10">
        <f>ROUND(K3240*'Irish Basis'!$C$8*'Irish Basis'!$C$5,2)</f>
        <v/>
      </c>
      <c r="Q3240" s="10">
        <f>ROUND(L3240*'Irish Basis'!$C$12*'Irish Basis'!$C$5,2)</f>
        <v/>
      </c>
      <c r="R3240" s="11">
        <f>ROUND(SUM(N3240:Q3240),2)</f>
        <v/>
      </c>
      <c r="S3240" s="5" t="inlineStr">
        <is>
          <t>Apportioned (section)</t>
        </is>
      </c>
      <c r="T3240" s="16" t="inlineStr">
        <is>
          <t>Medium</t>
        </is>
      </c>
      <c r="U3240" s="8" t="n">
        <v>2.52</v>
      </c>
      <c r="V3240" s="13">
        <f>IF(U3240="","",ROUND(M3240-U3240,2))</f>
        <v/>
      </c>
      <c r="W3240" s="5" t="n"/>
      <c r="X3240" s="5" t="inlineStr">
        <is>
          <t>Split from published rate using median L/P/M shares of 40 comparable build-ups at section level (7/38/55).</t>
        </is>
      </c>
    </row>
    <row r="3241" ht="13" customHeight="1">
      <c r="A3241" s="4" t="n">
        <v>4938</v>
      </c>
      <c r="B3241" s="5" t="inlineStr">
        <is>
          <t>IMG_0132</t>
        </is>
      </c>
      <c r="C3241" s="5" t="inlineStr">
        <is>
          <t>CLASS R: ROADS AND PAVINGS</t>
        </is>
      </c>
      <c r="D3241" s="5" t="inlineStr">
        <is>
          <t>08 ANCILLARIES</t>
        </is>
      </c>
      <c r="E3241" s="5" t="inlineStr">
        <is>
          <t>Continuous lines (reflectorized white)</t>
        </is>
      </c>
      <c r="F3241" s="5" t="inlineStr">
        <is>
          <t>200 mm wide</t>
        </is>
      </c>
      <c r="G3241" s="6" t="inlineStr">
        <is>
          <t>m</t>
        </is>
      </c>
      <c r="H3241" s="7" t="n"/>
      <c r="I3241" s="8" t="n">
        <v>0.2</v>
      </c>
      <c r="J3241" s="8" t="n">
        <v>1.12</v>
      </c>
      <c r="K3241" s="8" t="n">
        <v>1.61</v>
      </c>
      <c r="L3241" s="8" t="n">
        <v>0</v>
      </c>
      <c r="M3241" s="9">
        <f>ROUND(SUM(I3241:L3241),2)</f>
        <v/>
      </c>
      <c r="N3241" s="10">
        <f>ROUND(I3241*'Irish Basis'!$C$6*'Irish Basis'!$C$5,2)</f>
        <v/>
      </c>
      <c r="O3241" s="10">
        <f>ROUND(J3241*'Irish Basis'!$C$7*'Irish Basis'!$C$5,2)</f>
        <v/>
      </c>
      <c r="P3241" s="10">
        <f>ROUND(K3241*'Irish Basis'!$C$8*'Irish Basis'!$C$5,2)</f>
        <v/>
      </c>
      <c r="Q3241" s="10">
        <f>ROUND(L3241*'Irish Basis'!$C$12*'Irish Basis'!$C$5,2)</f>
        <v/>
      </c>
      <c r="R3241" s="11">
        <f>ROUND(SUM(N3241:Q3241),2)</f>
        <v/>
      </c>
      <c r="S3241" s="5" t="inlineStr">
        <is>
          <t>Apportioned (section)</t>
        </is>
      </c>
      <c r="T3241" s="16" t="inlineStr">
        <is>
          <t>Medium</t>
        </is>
      </c>
      <c r="U3241" s="8" t="n">
        <v>2.94</v>
      </c>
      <c r="V3241" s="13">
        <f>IF(U3241="","",ROUND(M3241-U3241,2))</f>
        <v/>
      </c>
      <c r="W3241" s="5" t="n"/>
      <c r="X3241" s="5" t="inlineStr">
        <is>
          <t>Split from published rate using median L/P/M shares of 40 comparable build-ups at section level (7/38/55).</t>
        </is>
      </c>
    </row>
    <row r="3242" ht="13" customHeight="1">
      <c r="A3242" s="4" t="n">
        <v>4940</v>
      </c>
      <c r="B3242" s="5" t="inlineStr">
        <is>
          <t>IMG_0132</t>
        </is>
      </c>
      <c r="C3242" s="5" t="inlineStr">
        <is>
          <t>CLASS R: ROADS AND PAVINGS</t>
        </is>
      </c>
      <c r="D3242" s="5" t="inlineStr">
        <is>
          <t>08 ANCILLARIES</t>
        </is>
      </c>
      <c r="E3242" s="5" t="inlineStr">
        <is>
          <t>Intermittent lines (reflectorized white)</t>
        </is>
      </c>
      <c r="F3242" s="5" t="inlineStr">
        <is>
          <t>60 mm wide; 0.60 m line and 0.60 m gap</t>
        </is>
      </c>
      <c r="G3242" s="6" t="inlineStr">
        <is>
          <t>m</t>
        </is>
      </c>
      <c r="H3242" s="7" t="n"/>
      <c r="I3242" s="8" t="n">
        <v>0.09</v>
      </c>
      <c r="J3242" s="8" t="n">
        <v>0.51</v>
      </c>
      <c r="K3242" s="8" t="n">
        <v>0.73</v>
      </c>
      <c r="L3242" s="8" t="n">
        <v>0</v>
      </c>
      <c r="M3242" s="9">
        <f>ROUND(SUM(I3242:L3242),2)</f>
        <v/>
      </c>
      <c r="N3242" s="10">
        <f>ROUND(I3242*'Irish Basis'!$C$6*'Irish Basis'!$C$5,2)</f>
        <v/>
      </c>
      <c r="O3242" s="10">
        <f>ROUND(J3242*'Irish Basis'!$C$7*'Irish Basis'!$C$5,2)</f>
        <v/>
      </c>
      <c r="P3242" s="10">
        <f>ROUND(K3242*'Irish Basis'!$C$8*'Irish Basis'!$C$5,2)</f>
        <v/>
      </c>
      <c r="Q3242" s="10">
        <f>ROUND(L3242*'Irish Basis'!$C$12*'Irish Basis'!$C$5,2)</f>
        <v/>
      </c>
      <c r="R3242" s="11">
        <f>ROUND(SUM(N3242:Q3242),2)</f>
        <v/>
      </c>
      <c r="S3242" s="5" t="inlineStr">
        <is>
          <t>Apportioned (section)</t>
        </is>
      </c>
      <c r="T3242" s="16" t="inlineStr">
        <is>
          <t>Medium</t>
        </is>
      </c>
      <c r="U3242" s="8" t="n">
        <v>1.33</v>
      </c>
      <c r="V3242" s="13">
        <f>IF(U3242="","",ROUND(M3242-U3242,2))</f>
        <v/>
      </c>
      <c r="W3242" s="5" t="n"/>
      <c r="X3242" s="5" t="inlineStr">
        <is>
          <t>Split from published rate using median L/P/M shares of 40 comparable build-ups at section level (7/38/55).</t>
        </is>
      </c>
    </row>
    <row r="3243" ht="13" customHeight="1">
      <c r="A3243" s="4" t="n">
        <v>4941</v>
      </c>
      <c r="B3243" s="5" t="inlineStr">
        <is>
          <t>IMG_0132</t>
        </is>
      </c>
      <c r="C3243" s="5" t="inlineStr">
        <is>
          <t>CLASS R: ROADS AND PAVINGS</t>
        </is>
      </c>
      <c r="D3243" s="5" t="inlineStr">
        <is>
          <t>08 ANCILLARIES</t>
        </is>
      </c>
      <c r="E3243" s="5" t="inlineStr">
        <is>
          <t>Intermittent lines (reflectorized white)</t>
        </is>
      </c>
      <c r="F3243" s="5" t="inlineStr">
        <is>
          <t>100 mm wide; 1.0 m line and 5.0 m gap</t>
        </is>
      </c>
      <c r="G3243" s="6" t="inlineStr">
        <is>
          <t>m</t>
        </is>
      </c>
      <c r="H3243" s="7" t="n"/>
      <c r="I3243" s="8" t="n">
        <v>0.09</v>
      </c>
      <c r="J3243" s="8" t="n">
        <v>0.52</v>
      </c>
      <c r="K3243" s="8" t="n">
        <v>0.75</v>
      </c>
      <c r="L3243" s="8" t="n">
        <v>0</v>
      </c>
      <c r="M3243" s="9">
        <f>ROUND(SUM(I3243:L3243),2)</f>
        <v/>
      </c>
      <c r="N3243" s="10">
        <f>ROUND(I3243*'Irish Basis'!$C$6*'Irish Basis'!$C$5,2)</f>
        <v/>
      </c>
      <c r="O3243" s="10">
        <f>ROUND(J3243*'Irish Basis'!$C$7*'Irish Basis'!$C$5,2)</f>
        <v/>
      </c>
      <c r="P3243" s="10">
        <f>ROUND(K3243*'Irish Basis'!$C$8*'Irish Basis'!$C$5,2)</f>
        <v/>
      </c>
      <c r="Q3243" s="10">
        <f>ROUND(L3243*'Irish Basis'!$C$12*'Irish Basis'!$C$5,2)</f>
        <v/>
      </c>
      <c r="R3243" s="11">
        <f>ROUND(SUM(N3243:Q3243),2)</f>
        <v/>
      </c>
      <c r="S3243" s="5" t="inlineStr">
        <is>
          <t>Apportioned (section)</t>
        </is>
      </c>
      <c r="T3243" s="16" t="inlineStr">
        <is>
          <t>Medium</t>
        </is>
      </c>
      <c r="U3243" s="8" t="n">
        <v>1.36</v>
      </c>
      <c r="V3243" s="13">
        <f>IF(U3243="","",ROUND(M3243-U3243,2))</f>
        <v/>
      </c>
      <c r="W3243" s="5" t="n"/>
      <c r="X3243" s="5" t="inlineStr">
        <is>
          <t>Split from published rate using median L/P/M shares of 40 comparable build-ups at section level (7/38/55).</t>
        </is>
      </c>
    </row>
    <row r="3244" ht="13" customHeight="1">
      <c r="A3244" s="4" t="n">
        <v>4942</v>
      </c>
      <c r="B3244" s="5" t="inlineStr">
        <is>
          <t>IMG_0132</t>
        </is>
      </c>
      <c r="C3244" s="5" t="inlineStr">
        <is>
          <t>CLASS R: ROADS AND PAVINGS</t>
        </is>
      </c>
      <c r="D3244" s="5" t="inlineStr">
        <is>
          <t>08 ANCILLARIES</t>
        </is>
      </c>
      <c r="E3244" s="5" t="inlineStr">
        <is>
          <t>Intermittent lines (reflectorized white)</t>
        </is>
      </c>
      <c r="F3244" s="5" t="inlineStr">
        <is>
          <t>100 mm wide; 2.0 m line and 7.0 m gap</t>
        </is>
      </c>
      <c r="G3244" s="6" t="inlineStr">
        <is>
          <t>m</t>
        </is>
      </c>
      <c r="H3244" s="7" t="n"/>
      <c r="I3244" s="8" t="n">
        <v>0.1</v>
      </c>
      <c r="J3244" s="8" t="n">
        <v>0.5600000000000001</v>
      </c>
      <c r="K3244" s="8" t="n">
        <v>0.8</v>
      </c>
      <c r="L3244" s="8" t="n">
        <v>0</v>
      </c>
      <c r="M3244" s="9">
        <f>ROUND(SUM(I3244:L3244),2)</f>
        <v/>
      </c>
      <c r="N3244" s="10">
        <f>ROUND(I3244*'Irish Basis'!$C$6*'Irish Basis'!$C$5,2)</f>
        <v/>
      </c>
      <c r="O3244" s="10">
        <f>ROUND(J3244*'Irish Basis'!$C$7*'Irish Basis'!$C$5,2)</f>
        <v/>
      </c>
      <c r="P3244" s="10">
        <f>ROUND(K3244*'Irish Basis'!$C$8*'Irish Basis'!$C$5,2)</f>
        <v/>
      </c>
      <c r="Q3244" s="10">
        <f>ROUND(L3244*'Irish Basis'!$C$12*'Irish Basis'!$C$5,2)</f>
        <v/>
      </c>
      <c r="R3244" s="11">
        <f>ROUND(SUM(N3244:Q3244),2)</f>
        <v/>
      </c>
      <c r="S3244" s="5" t="inlineStr">
        <is>
          <t>Apportioned (section)</t>
        </is>
      </c>
      <c r="T3244" s="16" t="inlineStr">
        <is>
          <t>Medium</t>
        </is>
      </c>
      <c r="U3244" s="8" t="n">
        <v>1.46</v>
      </c>
      <c r="V3244" s="13">
        <f>IF(U3244="","",ROUND(M3244-U3244,2))</f>
        <v/>
      </c>
      <c r="W3244" s="5" t="n"/>
      <c r="X3244" s="5" t="inlineStr">
        <is>
          <t>Split from published rate using median L/P/M shares of 40 comparable build-ups at section level (7/38/55).</t>
        </is>
      </c>
    </row>
    <row r="3245" ht="13" customHeight="1">
      <c r="A3245" s="4" t="n">
        <v>4943</v>
      </c>
      <c r="B3245" s="5" t="inlineStr">
        <is>
          <t>IMG_0132</t>
        </is>
      </c>
      <c r="C3245" s="5" t="inlineStr">
        <is>
          <t>CLASS R: ROADS AND PAVINGS</t>
        </is>
      </c>
      <c r="D3245" s="5" t="inlineStr">
        <is>
          <t>08 ANCILLARIES</t>
        </is>
      </c>
      <c r="E3245" s="5" t="inlineStr">
        <is>
          <t>Intermittent lines (reflectorized white)</t>
        </is>
      </c>
      <c r="F3245" s="5" t="inlineStr">
        <is>
          <t>100 mm wide; 4.0 m line and 2.0 m gap</t>
        </is>
      </c>
      <c r="G3245" s="6" t="inlineStr">
        <is>
          <t>m</t>
        </is>
      </c>
      <c r="H3245" s="7" t="n"/>
      <c r="I3245" s="8" t="n">
        <v>0.1</v>
      </c>
      <c r="J3245" s="8" t="n">
        <v>0.57</v>
      </c>
      <c r="K3245" s="8" t="n">
        <v>0.82</v>
      </c>
      <c r="L3245" s="8" t="n">
        <v>0</v>
      </c>
      <c r="M3245" s="9">
        <f>ROUND(SUM(I3245:L3245),2)</f>
        <v/>
      </c>
      <c r="N3245" s="10">
        <f>ROUND(I3245*'Irish Basis'!$C$6*'Irish Basis'!$C$5,2)</f>
        <v/>
      </c>
      <c r="O3245" s="10">
        <f>ROUND(J3245*'Irish Basis'!$C$7*'Irish Basis'!$C$5,2)</f>
        <v/>
      </c>
      <c r="P3245" s="10">
        <f>ROUND(K3245*'Irish Basis'!$C$8*'Irish Basis'!$C$5,2)</f>
        <v/>
      </c>
      <c r="Q3245" s="10">
        <f>ROUND(L3245*'Irish Basis'!$C$12*'Irish Basis'!$C$5,2)</f>
        <v/>
      </c>
      <c r="R3245" s="11">
        <f>ROUND(SUM(N3245:Q3245),2)</f>
        <v/>
      </c>
      <c r="S3245" s="5" t="inlineStr">
        <is>
          <t>Apportioned (section)</t>
        </is>
      </c>
      <c r="T3245" s="16" t="inlineStr">
        <is>
          <t>Medium</t>
        </is>
      </c>
      <c r="U3245" s="8" t="n">
        <v>1.49</v>
      </c>
      <c r="V3245" s="13">
        <f>IF(U3245="","",ROUND(M3245-U3245,2))</f>
        <v/>
      </c>
      <c r="W3245" s="5" t="n"/>
      <c r="X3245" s="5" t="inlineStr">
        <is>
          <t>Split from published rate using median L/P/M shares of 40 comparable build-ups at section level (7/38/55).</t>
        </is>
      </c>
    </row>
    <row r="3246" ht="13" customHeight="1">
      <c r="A3246" s="4" t="n">
        <v>4944</v>
      </c>
      <c r="B3246" s="5" t="inlineStr">
        <is>
          <t>IMG_0132</t>
        </is>
      </c>
      <c r="C3246" s="5" t="inlineStr">
        <is>
          <t>CLASS R: ROADS AND PAVINGS</t>
        </is>
      </c>
      <c r="D3246" s="5" t="inlineStr">
        <is>
          <t>08 ANCILLARIES</t>
        </is>
      </c>
      <c r="E3246" s="5" t="inlineStr">
        <is>
          <t>Intermittent lines (reflectorized white)</t>
        </is>
      </c>
      <c r="F3246" s="5" t="inlineStr">
        <is>
          <t>100 mm wide; 6.0 m line and 3.0 m gap</t>
        </is>
      </c>
      <c r="G3246" s="6" t="inlineStr">
        <is>
          <t>m</t>
        </is>
      </c>
      <c r="H3246" s="7" t="n"/>
      <c r="I3246" s="8" t="n">
        <v>0.1</v>
      </c>
      <c r="J3246" s="8" t="n">
        <v>0.58</v>
      </c>
      <c r="K3246" s="8" t="n">
        <v>0.83</v>
      </c>
      <c r="L3246" s="8" t="n">
        <v>0</v>
      </c>
      <c r="M3246" s="9">
        <f>ROUND(SUM(I3246:L3246),2)</f>
        <v/>
      </c>
      <c r="N3246" s="10">
        <f>ROUND(I3246*'Irish Basis'!$C$6*'Irish Basis'!$C$5,2)</f>
        <v/>
      </c>
      <c r="O3246" s="10">
        <f>ROUND(J3246*'Irish Basis'!$C$7*'Irish Basis'!$C$5,2)</f>
        <v/>
      </c>
      <c r="P3246" s="10">
        <f>ROUND(K3246*'Irish Basis'!$C$8*'Irish Basis'!$C$5,2)</f>
        <v/>
      </c>
      <c r="Q3246" s="10">
        <f>ROUND(L3246*'Irish Basis'!$C$12*'Irish Basis'!$C$5,2)</f>
        <v/>
      </c>
      <c r="R3246" s="11">
        <f>ROUND(SUM(N3246:Q3246),2)</f>
        <v/>
      </c>
      <c r="S3246" s="5" t="inlineStr">
        <is>
          <t>Apportioned (section)</t>
        </is>
      </c>
      <c r="T3246" s="16" t="inlineStr">
        <is>
          <t>Medium</t>
        </is>
      </c>
      <c r="U3246" s="8" t="n">
        <v>1.52</v>
      </c>
      <c r="V3246" s="13">
        <f>IF(U3246="","",ROUND(M3246-U3246,2))</f>
        <v/>
      </c>
      <c r="W3246" s="5" t="n"/>
      <c r="X3246" s="5" t="inlineStr">
        <is>
          <t>Split from published rate using median L/P/M shares of 40 comparable build-ups at section level (7/38/55).</t>
        </is>
      </c>
    </row>
    <row r="3247" ht="13" customHeight="1">
      <c r="A3247" s="4" t="n">
        <v>4945</v>
      </c>
      <c r="B3247" s="5" t="inlineStr">
        <is>
          <t>IMG_0132</t>
        </is>
      </c>
      <c r="C3247" s="5" t="inlineStr">
        <is>
          <t>CLASS R: ROADS AND PAVINGS</t>
        </is>
      </c>
      <c r="D3247" s="5" t="inlineStr">
        <is>
          <t>08 ANCILLARIES</t>
        </is>
      </c>
      <c r="E3247" s="5" t="inlineStr">
        <is>
          <t>Intermittent lines (reflectorized white)</t>
        </is>
      </c>
      <c r="F3247" s="5" t="inlineStr">
        <is>
          <t>150 mm wide; 1.0 m line and 5.0 m gap</t>
        </is>
      </c>
      <c r="G3247" s="6" t="inlineStr">
        <is>
          <t>m</t>
        </is>
      </c>
      <c r="H3247" s="7" t="n"/>
      <c r="I3247" s="8" t="n">
        <v>0.13</v>
      </c>
      <c r="J3247" s="8" t="n">
        <v>0.73</v>
      </c>
      <c r="K3247" s="8" t="n">
        <v>1.05</v>
      </c>
      <c r="L3247" s="8" t="n">
        <v>0</v>
      </c>
      <c r="M3247" s="9">
        <f>ROUND(SUM(I3247:L3247),2)</f>
        <v/>
      </c>
      <c r="N3247" s="10">
        <f>ROUND(I3247*'Irish Basis'!$C$6*'Irish Basis'!$C$5,2)</f>
        <v/>
      </c>
      <c r="O3247" s="10">
        <f>ROUND(J3247*'Irish Basis'!$C$7*'Irish Basis'!$C$5,2)</f>
        <v/>
      </c>
      <c r="P3247" s="10">
        <f>ROUND(K3247*'Irish Basis'!$C$8*'Irish Basis'!$C$5,2)</f>
        <v/>
      </c>
      <c r="Q3247" s="10">
        <f>ROUND(L3247*'Irish Basis'!$C$12*'Irish Basis'!$C$5,2)</f>
        <v/>
      </c>
      <c r="R3247" s="11">
        <f>ROUND(SUM(N3247:Q3247),2)</f>
        <v/>
      </c>
      <c r="S3247" s="5" t="inlineStr">
        <is>
          <t>Apportioned (section)</t>
        </is>
      </c>
      <c r="T3247" s="16" t="inlineStr">
        <is>
          <t>Medium</t>
        </is>
      </c>
      <c r="U3247" s="8" t="n">
        <v>1.92</v>
      </c>
      <c r="V3247" s="13">
        <f>IF(U3247="","",ROUND(M3247-U3247,2))</f>
        <v/>
      </c>
      <c r="W3247" s="5" t="n"/>
      <c r="X3247" s="5" t="inlineStr">
        <is>
          <t>Split from published rate using median L/P/M shares of 40 comparable build-ups at section level (7/38/55).</t>
        </is>
      </c>
    </row>
    <row r="3248" ht="13" customHeight="1">
      <c r="A3248" s="4" t="n">
        <v>4946</v>
      </c>
      <c r="B3248" s="5" t="inlineStr">
        <is>
          <t>IMG_0132</t>
        </is>
      </c>
      <c r="C3248" s="5" t="inlineStr">
        <is>
          <t>CLASS R: ROADS AND PAVINGS</t>
        </is>
      </c>
      <c r="D3248" s="5" t="inlineStr">
        <is>
          <t>08 ANCILLARIES</t>
        </is>
      </c>
      <c r="E3248" s="5" t="inlineStr">
        <is>
          <t>Intermittent lines (reflectorized white)</t>
        </is>
      </c>
      <c r="F3248" s="5" t="inlineStr">
        <is>
          <t>150 mm wide; 6.0 m line and 3.0 m gap</t>
        </is>
      </c>
      <c r="G3248" s="6" t="inlineStr">
        <is>
          <t>m</t>
        </is>
      </c>
      <c r="H3248" s="7" t="n"/>
      <c r="I3248" s="8" t="n">
        <v>0.14</v>
      </c>
      <c r="J3248" s="8" t="n">
        <v>0.76</v>
      </c>
      <c r="K3248" s="8" t="n">
        <v>1.09</v>
      </c>
      <c r="L3248" s="8" t="n">
        <v>0</v>
      </c>
      <c r="M3248" s="9">
        <f>ROUND(SUM(I3248:L3248),2)</f>
        <v/>
      </c>
      <c r="N3248" s="10">
        <f>ROUND(I3248*'Irish Basis'!$C$6*'Irish Basis'!$C$5,2)</f>
        <v/>
      </c>
      <c r="O3248" s="10">
        <f>ROUND(J3248*'Irish Basis'!$C$7*'Irish Basis'!$C$5,2)</f>
        <v/>
      </c>
      <c r="P3248" s="10">
        <f>ROUND(K3248*'Irish Basis'!$C$8*'Irish Basis'!$C$5,2)</f>
        <v/>
      </c>
      <c r="Q3248" s="10">
        <f>ROUND(L3248*'Irish Basis'!$C$12*'Irish Basis'!$C$5,2)</f>
        <v/>
      </c>
      <c r="R3248" s="11">
        <f>ROUND(SUM(N3248:Q3248),2)</f>
        <v/>
      </c>
      <c r="S3248" s="5" t="inlineStr">
        <is>
          <t>Apportioned (section)</t>
        </is>
      </c>
      <c r="T3248" s="16" t="inlineStr">
        <is>
          <t>Medium</t>
        </is>
      </c>
      <c r="U3248" s="8" t="n">
        <v>1.98</v>
      </c>
      <c r="V3248" s="13">
        <f>IF(U3248="","",ROUND(M3248-U3248,2))</f>
        <v/>
      </c>
      <c r="W3248" s="5" t="n"/>
      <c r="X3248" s="5" t="inlineStr">
        <is>
          <t>Split from published rate using median L/P/M shares of 40 comparable build-ups at section level (7/38/55).</t>
        </is>
      </c>
    </row>
    <row r="3249" ht="13" customHeight="1">
      <c r="A3249" s="4" t="n">
        <v>4947</v>
      </c>
      <c r="B3249" s="5" t="inlineStr">
        <is>
          <t>IMG_0132</t>
        </is>
      </c>
      <c r="C3249" s="5" t="inlineStr">
        <is>
          <t>CLASS R: ROADS AND PAVINGS</t>
        </is>
      </c>
      <c r="D3249" s="5" t="inlineStr">
        <is>
          <t>08 ANCILLARIES</t>
        </is>
      </c>
      <c r="E3249" s="5" t="inlineStr">
        <is>
          <t>Intermittent lines (reflectorized white)</t>
        </is>
      </c>
      <c r="F3249" s="5" t="inlineStr">
        <is>
          <t>150 mm wide; 0.60 m line and 0.30 m gap</t>
        </is>
      </c>
      <c r="G3249" s="6" t="inlineStr">
        <is>
          <t>m</t>
        </is>
      </c>
      <c r="H3249" s="7" t="n"/>
      <c r="I3249" s="8" t="n">
        <v>0.17</v>
      </c>
      <c r="J3249" s="8" t="n">
        <v>0.93</v>
      </c>
      <c r="K3249" s="8" t="n">
        <v>1.34</v>
      </c>
      <c r="L3249" s="8" t="n">
        <v>0</v>
      </c>
      <c r="M3249" s="9">
        <f>ROUND(SUM(I3249:L3249),2)</f>
        <v/>
      </c>
      <c r="N3249" s="10">
        <f>ROUND(I3249*'Irish Basis'!$C$6*'Irish Basis'!$C$5,2)</f>
        <v/>
      </c>
      <c r="O3249" s="10">
        <f>ROUND(J3249*'Irish Basis'!$C$7*'Irish Basis'!$C$5,2)</f>
        <v/>
      </c>
      <c r="P3249" s="10">
        <f>ROUND(K3249*'Irish Basis'!$C$8*'Irish Basis'!$C$5,2)</f>
        <v/>
      </c>
      <c r="Q3249" s="10">
        <f>ROUND(L3249*'Irish Basis'!$C$12*'Irish Basis'!$C$5,2)</f>
        <v/>
      </c>
      <c r="R3249" s="11">
        <f>ROUND(SUM(N3249:Q3249),2)</f>
        <v/>
      </c>
      <c r="S3249" s="5" t="inlineStr">
        <is>
          <t>Apportioned (section)</t>
        </is>
      </c>
      <c r="T3249" s="16" t="inlineStr">
        <is>
          <t>Medium</t>
        </is>
      </c>
      <c r="U3249" s="8" t="n">
        <v>2.44</v>
      </c>
      <c r="V3249" s="13">
        <f>IF(U3249="","",ROUND(M3249-U3249,2))</f>
        <v/>
      </c>
      <c r="W3249" s="5" t="n"/>
      <c r="X3249" s="5" t="inlineStr">
        <is>
          <t>Split from published rate using median L/P/M shares of 40 comparable build-ups at section level (7/38/55).</t>
        </is>
      </c>
    </row>
    <row r="3250" ht="13" customHeight="1">
      <c r="A3250" s="4" t="n">
        <v>4948</v>
      </c>
      <c r="B3250" s="5" t="inlineStr">
        <is>
          <t>IMG_0132</t>
        </is>
      </c>
      <c r="C3250" s="5" t="inlineStr">
        <is>
          <t>CLASS R: ROADS AND PAVINGS</t>
        </is>
      </c>
      <c r="D3250" s="5" t="inlineStr">
        <is>
          <t>08 ANCILLARIES</t>
        </is>
      </c>
      <c r="E3250" s="5" t="inlineStr">
        <is>
          <t>Intermittent lines (reflectorized white)</t>
        </is>
      </c>
      <c r="F3250" s="5" t="inlineStr">
        <is>
          <t>200 mm wide; 0.60 m line and 0.30 m gap</t>
        </is>
      </c>
      <c r="G3250" s="6" t="inlineStr">
        <is>
          <t>m</t>
        </is>
      </c>
      <c r="H3250" s="7" t="n"/>
      <c r="I3250" s="8" t="n">
        <v>0.17</v>
      </c>
      <c r="J3250" s="8" t="n">
        <v>0.93</v>
      </c>
      <c r="K3250" s="8" t="n">
        <v>1.34</v>
      </c>
      <c r="L3250" s="8" t="n">
        <v>0</v>
      </c>
      <c r="M3250" s="9">
        <f>ROUND(SUM(I3250:L3250),2)</f>
        <v/>
      </c>
      <c r="N3250" s="10">
        <f>ROUND(I3250*'Irish Basis'!$C$6*'Irish Basis'!$C$5,2)</f>
        <v/>
      </c>
      <c r="O3250" s="10">
        <f>ROUND(J3250*'Irish Basis'!$C$7*'Irish Basis'!$C$5,2)</f>
        <v/>
      </c>
      <c r="P3250" s="10">
        <f>ROUND(K3250*'Irish Basis'!$C$8*'Irish Basis'!$C$5,2)</f>
        <v/>
      </c>
      <c r="Q3250" s="10">
        <f>ROUND(L3250*'Irish Basis'!$C$12*'Irish Basis'!$C$5,2)</f>
        <v/>
      </c>
      <c r="R3250" s="11">
        <f>ROUND(SUM(N3250:Q3250),2)</f>
        <v/>
      </c>
      <c r="S3250" s="5" t="inlineStr">
        <is>
          <t>Apportioned (section)</t>
        </is>
      </c>
      <c r="T3250" s="16" t="inlineStr">
        <is>
          <t>Medium</t>
        </is>
      </c>
      <c r="U3250" s="8" t="n">
        <v>2.44</v>
      </c>
      <c r="V3250" s="13">
        <f>IF(U3250="","",ROUND(M3250-U3250,2))</f>
        <v/>
      </c>
      <c r="W3250" s="5" t="n"/>
      <c r="X3250" s="5" t="inlineStr">
        <is>
          <t>Split from published rate using median L/P/M shares of 40 comparable build-ups at section level (7/38/55).</t>
        </is>
      </c>
    </row>
    <row r="3251" ht="13" customHeight="1">
      <c r="A3251" s="4" t="n">
        <v>4949</v>
      </c>
      <c r="B3251" s="5" t="inlineStr">
        <is>
          <t>IMG_0132</t>
        </is>
      </c>
      <c r="C3251" s="5" t="inlineStr">
        <is>
          <t>CLASS R: ROADS AND PAVINGS</t>
        </is>
      </c>
      <c r="D3251" s="5" t="inlineStr">
        <is>
          <t>08 ANCILLARIES</t>
        </is>
      </c>
      <c r="E3251" s="5" t="inlineStr">
        <is>
          <t>Intermittent lines (reflectorized white)</t>
        </is>
      </c>
      <c r="F3251" s="5" t="inlineStr">
        <is>
          <t>200 mm wide; 1.0 m line and 1.0 m gap</t>
        </is>
      </c>
      <c r="G3251" s="6" t="inlineStr">
        <is>
          <t>m</t>
        </is>
      </c>
      <c r="H3251" s="7" t="n"/>
      <c r="I3251" s="8" t="n">
        <v>0.17</v>
      </c>
      <c r="J3251" s="8" t="n">
        <v>0.93</v>
      </c>
      <c r="K3251" s="8" t="n">
        <v>1.34</v>
      </c>
      <c r="L3251" s="8" t="n">
        <v>0</v>
      </c>
      <c r="M3251" s="9">
        <f>ROUND(SUM(I3251:L3251),2)</f>
        <v/>
      </c>
      <c r="N3251" s="10">
        <f>ROUND(I3251*'Irish Basis'!$C$6*'Irish Basis'!$C$5,2)</f>
        <v/>
      </c>
      <c r="O3251" s="10">
        <f>ROUND(J3251*'Irish Basis'!$C$7*'Irish Basis'!$C$5,2)</f>
        <v/>
      </c>
      <c r="P3251" s="10">
        <f>ROUND(K3251*'Irish Basis'!$C$8*'Irish Basis'!$C$5,2)</f>
        <v/>
      </c>
      <c r="Q3251" s="10">
        <f>ROUND(L3251*'Irish Basis'!$C$12*'Irish Basis'!$C$5,2)</f>
        <v/>
      </c>
      <c r="R3251" s="11">
        <f>ROUND(SUM(N3251:Q3251),2)</f>
        <v/>
      </c>
      <c r="S3251" s="5" t="inlineStr">
        <is>
          <t>Apportioned (section)</t>
        </is>
      </c>
      <c r="T3251" s="16" t="inlineStr">
        <is>
          <t>Medium</t>
        </is>
      </c>
      <c r="U3251" s="8" t="n">
        <v>2.44</v>
      </c>
      <c r="V3251" s="13">
        <f>IF(U3251="","",ROUND(M3251-U3251,2))</f>
        <v/>
      </c>
      <c r="W3251" s="5" t="n"/>
      <c r="X3251" s="5" t="inlineStr">
        <is>
          <t>Split from published rate using median L/P/M shares of 40 comparable build-ups at section level (7/38/55).</t>
        </is>
      </c>
    </row>
    <row r="3252" ht="13" customHeight="1">
      <c r="A3252" s="4" t="n">
        <v>4951</v>
      </c>
      <c r="B3252" s="5" t="inlineStr">
        <is>
          <t>IMG_0132</t>
        </is>
      </c>
      <c r="C3252" s="5" t="inlineStr">
        <is>
          <t>CLASS R: ROADS AND PAVINGS</t>
        </is>
      </c>
      <c r="D3252" s="5" t="inlineStr">
        <is>
          <t>08 ANCILLARIES</t>
        </is>
      </c>
      <c r="E3252" s="5" t="inlineStr">
        <is>
          <t>Surface markings; reflectorized yellow; Continuous lines</t>
        </is>
      </c>
      <c r="F3252" s="5" t="inlineStr">
        <is>
          <t>100 mm wide</t>
        </is>
      </c>
      <c r="G3252" s="6" t="inlineStr">
        <is>
          <t>m</t>
        </is>
      </c>
      <c r="H3252" s="7" t="n"/>
      <c r="I3252" s="8" t="n">
        <v>0.19</v>
      </c>
      <c r="J3252" s="8" t="n">
        <v>1.06</v>
      </c>
      <c r="K3252" s="8" t="n">
        <v>1.53</v>
      </c>
      <c r="L3252" s="8" t="n">
        <v>0</v>
      </c>
      <c r="M3252" s="9">
        <f>ROUND(SUM(I3252:L3252),2)</f>
        <v/>
      </c>
      <c r="N3252" s="10">
        <f>ROUND(I3252*'Irish Basis'!$C$6*'Irish Basis'!$C$5,2)</f>
        <v/>
      </c>
      <c r="O3252" s="10">
        <f>ROUND(J3252*'Irish Basis'!$C$7*'Irish Basis'!$C$5,2)</f>
        <v/>
      </c>
      <c r="P3252" s="10">
        <f>ROUND(K3252*'Irish Basis'!$C$8*'Irish Basis'!$C$5,2)</f>
        <v/>
      </c>
      <c r="Q3252" s="10">
        <f>ROUND(L3252*'Irish Basis'!$C$12*'Irish Basis'!$C$5,2)</f>
        <v/>
      </c>
      <c r="R3252" s="11">
        <f>ROUND(SUM(N3252:Q3252),2)</f>
        <v/>
      </c>
      <c r="S3252" s="5" t="inlineStr">
        <is>
          <t>Apportioned (section)</t>
        </is>
      </c>
      <c r="T3252" s="16" t="inlineStr">
        <is>
          <t>Medium</t>
        </is>
      </c>
      <c r="U3252" s="8" t="n">
        <v>2.78</v>
      </c>
      <c r="V3252" s="13">
        <f>IF(U3252="","",ROUND(M3252-U3252,2))</f>
        <v/>
      </c>
      <c r="W3252" s="5" t="n"/>
      <c r="X3252" s="5" t="inlineStr">
        <is>
          <t>Split from published rate using median L/P/M shares of 40 comparable build-ups at section level (7/38/55).</t>
        </is>
      </c>
    </row>
    <row r="3253" ht="13" customHeight="1">
      <c r="A3253" s="4" t="n">
        <v>4952</v>
      </c>
      <c r="B3253" s="5" t="inlineStr">
        <is>
          <t>IMG_0132</t>
        </is>
      </c>
      <c r="C3253" s="5" t="inlineStr">
        <is>
          <t>CLASS R: ROADS AND PAVINGS</t>
        </is>
      </c>
      <c r="D3253" s="5" t="inlineStr">
        <is>
          <t>08 ANCILLARIES</t>
        </is>
      </c>
      <c r="E3253" s="5" t="inlineStr">
        <is>
          <t>Surface markings; reflectorized yellow; Continuous lines</t>
        </is>
      </c>
      <c r="F3253" s="5" t="inlineStr">
        <is>
          <t>150 mm wide</t>
        </is>
      </c>
      <c r="G3253" s="6" t="inlineStr">
        <is>
          <t>m</t>
        </is>
      </c>
      <c r="H3253" s="7" t="n"/>
      <c r="I3253" s="8" t="n">
        <v>0.21</v>
      </c>
      <c r="J3253" s="8" t="n">
        <v>1.19</v>
      </c>
      <c r="K3253" s="8" t="n">
        <v>1.71</v>
      </c>
      <c r="L3253" s="8" t="n">
        <v>0</v>
      </c>
      <c r="M3253" s="9">
        <f>ROUND(SUM(I3253:L3253),2)</f>
        <v/>
      </c>
      <c r="N3253" s="10">
        <f>ROUND(I3253*'Irish Basis'!$C$6*'Irish Basis'!$C$5,2)</f>
        <v/>
      </c>
      <c r="O3253" s="10">
        <f>ROUND(J3253*'Irish Basis'!$C$7*'Irish Basis'!$C$5,2)</f>
        <v/>
      </c>
      <c r="P3253" s="10">
        <f>ROUND(K3253*'Irish Basis'!$C$8*'Irish Basis'!$C$5,2)</f>
        <v/>
      </c>
      <c r="Q3253" s="10">
        <f>ROUND(L3253*'Irish Basis'!$C$12*'Irish Basis'!$C$5,2)</f>
        <v/>
      </c>
      <c r="R3253" s="11">
        <f>ROUND(SUM(N3253:Q3253),2)</f>
        <v/>
      </c>
      <c r="S3253" s="5" t="inlineStr">
        <is>
          <t>Apportioned (section)</t>
        </is>
      </c>
      <c r="T3253" s="16" t="inlineStr">
        <is>
          <t>Medium</t>
        </is>
      </c>
      <c r="U3253" s="8" t="n">
        <v>3.12</v>
      </c>
      <c r="V3253" s="13">
        <f>IF(U3253="","",ROUND(M3253-U3253,2))</f>
        <v/>
      </c>
      <c r="W3253" s="5" t="n"/>
      <c r="X3253" s="5" t="inlineStr">
        <is>
          <t>Split from published rate using median L/P/M shares of 40 comparable build-ups at section level (7/38/55).</t>
        </is>
      </c>
    </row>
    <row r="3254" ht="13" customHeight="1">
      <c r="A3254" s="4" t="n">
        <v>4954</v>
      </c>
      <c r="B3254" s="5" t="inlineStr">
        <is>
          <t>IMG_0132</t>
        </is>
      </c>
      <c r="C3254" s="5" t="inlineStr">
        <is>
          <t>CLASS R: ROADS AND PAVINGS</t>
        </is>
      </c>
      <c r="D3254" s="5" t="inlineStr">
        <is>
          <t>08 ANCILLARIES</t>
        </is>
      </c>
      <c r="E3254" s="5" t="inlineStr">
        <is>
          <t>Intermittent lines (reflectorized yellow)</t>
        </is>
      </c>
      <c r="F3254" s="5" t="inlineStr">
        <is>
          <t>kerb marking; 0.25 m long</t>
        </is>
      </c>
      <c r="G3254" s="6" t="inlineStr">
        <is>
          <t>nr</t>
        </is>
      </c>
      <c r="H3254" s="7" t="n"/>
      <c r="I3254" s="8" t="n">
        <v>0.2</v>
      </c>
      <c r="J3254" s="8" t="n">
        <v>1.12</v>
      </c>
      <c r="K3254" s="8" t="n">
        <v>1.61</v>
      </c>
      <c r="L3254" s="8" t="n">
        <v>0</v>
      </c>
      <c r="M3254" s="9">
        <f>ROUND(SUM(I3254:L3254),2)</f>
        <v/>
      </c>
      <c r="N3254" s="10">
        <f>ROUND(I3254*'Irish Basis'!$C$6*'Irish Basis'!$C$5,2)</f>
        <v/>
      </c>
      <c r="O3254" s="10">
        <f>ROUND(J3254*'Irish Basis'!$C$7*'Irish Basis'!$C$5,2)</f>
        <v/>
      </c>
      <c r="P3254" s="10">
        <f>ROUND(K3254*'Irish Basis'!$C$8*'Irish Basis'!$C$5,2)</f>
        <v/>
      </c>
      <c r="Q3254" s="10">
        <f>ROUND(L3254*'Irish Basis'!$C$12*'Irish Basis'!$C$5,2)</f>
        <v/>
      </c>
      <c r="R3254" s="11">
        <f>ROUND(SUM(N3254:Q3254),2)</f>
        <v/>
      </c>
      <c r="S3254" s="5" t="inlineStr">
        <is>
          <t>Apportioned (section)</t>
        </is>
      </c>
      <c r="T3254" s="16" t="inlineStr">
        <is>
          <t>Medium</t>
        </is>
      </c>
      <c r="U3254" s="8" t="n">
        <v>2.93</v>
      </c>
      <c r="V3254" s="13">
        <f>IF(U3254="","",ROUND(M3254-U3254,2))</f>
        <v/>
      </c>
      <c r="W3254" s="5" t="n"/>
      <c r="X3254" s="5" t="inlineStr">
        <is>
          <t>Split from published rate using median L/P/M shares of 40 comparable build-ups at section level (7/38/55).</t>
        </is>
      </c>
    </row>
    <row r="3255" ht="13" customHeight="1">
      <c r="A3255" s="4" t="n">
        <v>4958</v>
      </c>
      <c r="B3255" s="5" t="inlineStr">
        <is>
          <t>IMG_0132</t>
        </is>
      </c>
      <c r="C3255" s="5" t="inlineStr">
        <is>
          <t>CLASS R: ROADS AND PAVINGS</t>
        </is>
      </c>
      <c r="D3255" s="5" t="inlineStr">
        <is>
          <t>08 ANCILLARIES</t>
        </is>
      </c>
      <c r="E3255" s="5" t="inlineStr">
        <is>
          <t>Vinyl strip markings (pedestrian crossings and similar locations)</t>
        </is>
      </c>
      <c r="F3255" s="5" t="inlineStr">
        <is>
          <t>200 mm wide line</t>
        </is>
      </c>
      <c r="G3255" s="6" t="inlineStr">
        <is>
          <t>m</t>
        </is>
      </c>
      <c r="H3255" s="7" t="n"/>
      <c r="I3255" s="8" t="n">
        <v>0.86</v>
      </c>
      <c r="J3255" s="8" t="n">
        <v>4.81</v>
      </c>
      <c r="K3255" s="8" t="n">
        <v>6.91</v>
      </c>
      <c r="L3255" s="8" t="n">
        <v>0</v>
      </c>
      <c r="M3255" s="9">
        <f>ROUND(SUM(I3255:L3255),2)</f>
        <v/>
      </c>
      <c r="N3255" s="10">
        <f>ROUND(I3255*'Irish Basis'!$C$6*'Irish Basis'!$C$5,2)</f>
        <v/>
      </c>
      <c r="O3255" s="10">
        <f>ROUND(J3255*'Irish Basis'!$C$7*'Irish Basis'!$C$5,2)</f>
        <v/>
      </c>
      <c r="P3255" s="10">
        <f>ROUND(K3255*'Irish Basis'!$C$8*'Irish Basis'!$C$5,2)</f>
        <v/>
      </c>
      <c r="Q3255" s="10">
        <f>ROUND(L3255*'Irish Basis'!$C$12*'Irish Basis'!$C$5,2)</f>
        <v/>
      </c>
      <c r="R3255" s="11">
        <f>ROUND(SUM(N3255:Q3255),2)</f>
        <v/>
      </c>
      <c r="S3255" s="5" t="inlineStr">
        <is>
          <t>Apportioned (section)</t>
        </is>
      </c>
      <c r="T3255" s="16" t="inlineStr">
        <is>
          <t>Medium</t>
        </is>
      </c>
      <c r="U3255" s="8" t="n">
        <v>12.59</v>
      </c>
      <c r="V3255" s="13">
        <f>IF(U3255="","",ROUND(M3255-U3255,2))</f>
        <v/>
      </c>
      <c r="W3255" s="5" t="n"/>
      <c r="X3255" s="5" t="inlineStr">
        <is>
          <t>Split from published rate using median L/P/M shares of 40 comparable build-ups at section level (7/38/55).</t>
        </is>
      </c>
    </row>
    <row r="3256" ht="13" customHeight="1">
      <c r="A3256" s="4" t="n">
        <v>4959</v>
      </c>
      <c r="B3256" s="5" t="inlineStr">
        <is>
          <t>IMG_0132</t>
        </is>
      </c>
      <c r="C3256" s="5" t="inlineStr">
        <is>
          <t>CLASS R: ROADS AND PAVINGS</t>
        </is>
      </c>
      <c r="D3256" s="5" t="inlineStr">
        <is>
          <t>08 ANCILLARIES</t>
        </is>
      </c>
      <c r="E3256" s="5" t="inlineStr">
        <is>
          <t>Vinyl strip markings (pedestrian crossings and similar locations)</t>
        </is>
      </c>
      <c r="F3256" s="5" t="inlineStr">
        <is>
          <t>600 x 300 mm single stud tile</t>
        </is>
      </c>
      <c r="G3256" s="6" t="inlineStr">
        <is>
          <t>nr</t>
        </is>
      </c>
      <c r="H3256" s="7" t="n"/>
      <c r="I3256" s="8" t="n">
        <v>1.5</v>
      </c>
      <c r="J3256" s="8" t="n">
        <v>8.4</v>
      </c>
      <c r="K3256" s="8" t="n">
        <v>12.07</v>
      </c>
      <c r="L3256" s="8" t="n">
        <v>0</v>
      </c>
      <c r="M3256" s="9">
        <f>ROUND(SUM(I3256:L3256),2)</f>
        <v/>
      </c>
      <c r="N3256" s="10">
        <f>ROUND(I3256*'Irish Basis'!$C$6*'Irish Basis'!$C$5,2)</f>
        <v/>
      </c>
      <c r="O3256" s="10">
        <f>ROUND(J3256*'Irish Basis'!$C$7*'Irish Basis'!$C$5,2)</f>
        <v/>
      </c>
      <c r="P3256" s="10">
        <f>ROUND(K3256*'Irish Basis'!$C$8*'Irish Basis'!$C$5,2)</f>
        <v/>
      </c>
      <c r="Q3256" s="10">
        <f>ROUND(L3256*'Irish Basis'!$C$12*'Irish Basis'!$C$5,2)</f>
        <v/>
      </c>
      <c r="R3256" s="11">
        <f>ROUND(SUM(N3256:Q3256),2)</f>
        <v/>
      </c>
      <c r="S3256" s="5" t="inlineStr">
        <is>
          <t>Apportioned (section)</t>
        </is>
      </c>
      <c r="T3256" s="16" t="inlineStr">
        <is>
          <t>Medium</t>
        </is>
      </c>
      <c r="U3256" s="8" t="n">
        <v>21.98</v>
      </c>
      <c r="V3256" s="13">
        <f>IF(U3256="","",ROUND(M3256-U3256,2))</f>
        <v/>
      </c>
      <c r="W3256" s="5" t="n"/>
      <c r="X3256" s="5" t="inlineStr">
        <is>
          <t>Split from published rate using median L/P/M shares of 40 comparable build-ups at section level (7/38/55).</t>
        </is>
      </c>
    </row>
    <row r="3257" ht="13" customHeight="1">
      <c r="A3257" s="4" t="n">
        <v>4961</v>
      </c>
      <c r="B3257" s="5" t="inlineStr">
        <is>
          <t>IMG_0132</t>
        </is>
      </c>
      <c r="C3257" s="5" t="inlineStr">
        <is>
          <t>CLASS R: ROADS AND PAVINGS</t>
        </is>
      </c>
      <c r="D3257" s="5" t="inlineStr">
        <is>
          <t>08 ANCILLARIES</t>
        </is>
      </c>
      <c r="E3257" s="5" t="inlineStr">
        <is>
          <t>Removal of existing reflectorized thermoplastic markings</t>
        </is>
      </c>
      <c r="F3257" s="5" t="inlineStr">
        <is>
          <t>100 mm wide line</t>
        </is>
      </c>
      <c r="G3257" s="6" t="inlineStr">
        <is>
          <t>m</t>
        </is>
      </c>
      <c r="H3257" s="7" t="n"/>
      <c r="I3257" s="8" t="n">
        <v>0.15</v>
      </c>
      <c r="J3257" s="8" t="n">
        <v>0.85</v>
      </c>
      <c r="K3257" s="8" t="n">
        <v>1.22</v>
      </c>
      <c r="L3257" s="8" t="n">
        <v>0</v>
      </c>
      <c r="M3257" s="9">
        <f>ROUND(SUM(I3257:L3257),2)</f>
        <v/>
      </c>
      <c r="N3257" s="10">
        <f>ROUND(I3257*'Irish Basis'!$C$6*'Irish Basis'!$C$5,2)</f>
        <v/>
      </c>
      <c r="O3257" s="10">
        <f>ROUND(J3257*'Irish Basis'!$C$7*'Irish Basis'!$C$5,2)</f>
        <v/>
      </c>
      <c r="P3257" s="10">
        <f>ROUND(K3257*'Irish Basis'!$C$8*'Irish Basis'!$C$5,2)</f>
        <v/>
      </c>
      <c r="Q3257" s="10">
        <f>ROUND(L3257*'Irish Basis'!$C$12*'Irish Basis'!$C$5,2)</f>
        <v/>
      </c>
      <c r="R3257" s="11">
        <f>ROUND(SUM(N3257:Q3257),2)</f>
        <v/>
      </c>
      <c r="S3257" s="5" t="inlineStr">
        <is>
          <t>Apportioned (section)</t>
        </is>
      </c>
      <c r="T3257" s="16" t="inlineStr">
        <is>
          <t>Medium</t>
        </is>
      </c>
      <c r="U3257" s="8" t="n">
        <v>2.22</v>
      </c>
      <c r="V3257" s="13">
        <f>IF(U3257="","",ROUND(M3257-U3257,2))</f>
        <v/>
      </c>
      <c r="W3257" s="5" t="n"/>
      <c r="X3257" s="5" t="inlineStr">
        <is>
          <t>Split from published rate using median L/P/M shares of 40 comparable build-ups at section level (7/38/55).</t>
        </is>
      </c>
    </row>
    <row r="3258" ht="13" customHeight="1">
      <c r="A3258" s="4" t="n">
        <v>4962</v>
      </c>
      <c r="B3258" s="5" t="inlineStr">
        <is>
          <t>IMG_0132</t>
        </is>
      </c>
      <c r="C3258" s="5" t="inlineStr">
        <is>
          <t>CLASS R: ROADS AND PAVINGS</t>
        </is>
      </c>
      <c r="D3258" s="5" t="inlineStr">
        <is>
          <t>08 ANCILLARIES</t>
        </is>
      </c>
      <c r="E3258" s="5" t="inlineStr">
        <is>
          <t>Removal of existing reflectorized thermoplastic markings</t>
        </is>
      </c>
      <c r="F3258" s="5" t="inlineStr">
        <is>
          <t>150 mm wide line</t>
        </is>
      </c>
      <c r="G3258" s="6" t="inlineStr">
        <is>
          <t>m</t>
        </is>
      </c>
      <c r="H3258" s="7" t="n"/>
      <c r="I3258" s="8" t="n">
        <v>0.22</v>
      </c>
      <c r="J3258" s="8" t="n">
        <v>1.25</v>
      </c>
      <c r="K3258" s="8" t="n">
        <v>1.8</v>
      </c>
      <c r="L3258" s="8" t="n">
        <v>0</v>
      </c>
      <c r="M3258" s="9">
        <f>ROUND(SUM(I3258:L3258),2)</f>
        <v/>
      </c>
      <c r="N3258" s="10">
        <f>ROUND(I3258*'Irish Basis'!$C$6*'Irish Basis'!$C$5,2)</f>
        <v/>
      </c>
      <c r="O3258" s="10">
        <f>ROUND(J3258*'Irish Basis'!$C$7*'Irish Basis'!$C$5,2)</f>
        <v/>
      </c>
      <c r="P3258" s="10">
        <f>ROUND(K3258*'Irish Basis'!$C$8*'Irish Basis'!$C$5,2)</f>
        <v/>
      </c>
      <c r="Q3258" s="10">
        <f>ROUND(L3258*'Irish Basis'!$C$12*'Irish Basis'!$C$5,2)</f>
        <v/>
      </c>
      <c r="R3258" s="11">
        <f>ROUND(SUM(N3258:Q3258),2)</f>
        <v/>
      </c>
      <c r="S3258" s="5" t="inlineStr">
        <is>
          <t>Apportioned (section)</t>
        </is>
      </c>
      <c r="T3258" s="16" t="inlineStr">
        <is>
          <t>Medium</t>
        </is>
      </c>
      <c r="U3258" s="8" t="n">
        <v>3.27</v>
      </c>
      <c r="V3258" s="13">
        <f>IF(U3258="","",ROUND(M3258-U3258,2))</f>
        <v/>
      </c>
      <c r="W3258" s="5" t="n"/>
      <c r="X3258" s="5" t="inlineStr">
        <is>
          <t>Split from published rate using median L/P/M shares of 40 comparable build-ups at section level (7/38/55).</t>
        </is>
      </c>
    </row>
    <row r="3259" ht="13" customHeight="1">
      <c r="A3259" s="4" t="n">
        <v>4963</v>
      </c>
      <c r="B3259" s="5" t="inlineStr">
        <is>
          <t>IMG_0132</t>
        </is>
      </c>
      <c r="C3259" s="5" t="inlineStr">
        <is>
          <t>CLASS R: ROADS AND PAVINGS</t>
        </is>
      </c>
      <c r="D3259" s="5" t="inlineStr">
        <is>
          <t>08 ANCILLARIES</t>
        </is>
      </c>
      <c r="E3259" s="5" t="inlineStr">
        <is>
          <t>Removal of existing reflectorized thermoplastic markings</t>
        </is>
      </c>
      <c r="F3259" s="5" t="inlineStr">
        <is>
          <t>200 mm wide line</t>
        </is>
      </c>
      <c r="G3259" s="6" t="inlineStr">
        <is>
          <t>m</t>
        </is>
      </c>
      <c r="H3259" s="7" t="n"/>
      <c r="I3259" s="8" t="n">
        <v>0.3</v>
      </c>
      <c r="J3259" s="8" t="n">
        <v>1.69</v>
      </c>
      <c r="K3259" s="8" t="n">
        <v>2.42</v>
      </c>
      <c r="L3259" s="8" t="n">
        <v>0</v>
      </c>
      <c r="M3259" s="9">
        <f>ROUND(SUM(I3259:L3259),2)</f>
        <v/>
      </c>
      <c r="N3259" s="10">
        <f>ROUND(I3259*'Irish Basis'!$C$6*'Irish Basis'!$C$5,2)</f>
        <v/>
      </c>
      <c r="O3259" s="10">
        <f>ROUND(J3259*'Irish Basis'!$C$7*'Irish Basis'!$C$5,2)</f>
        <v/>
      </c>
      <c r="P3259" s="10">
        <f>ROUND(K3259*'Irish Basis'!$C$8*'Irish Basis'!$C$5,2)</f>
        <v/>
      </c>
      <c r="Q3259" s="10">
        <f>ROUND(L3259*'Irish Basis'!$C$12*'Irish Basis'!$C$5,2)</f>
        <v/>
      </c>
      <c r="R3259" s="11">
        <f>ROUND(SUM(N3259:Q3259),2)</f>
        <v/>
      </c>
      <c r="S3259" s="5" t="inlineStr">
        <is>
          <t>Apportioned (section)</t>
        </is>
      </c>
      <c r="T3259" s="16" t="inlineStr">
        <is>
          <t>Medium</t>
        </is>
      </c>
      <c r="U3259" s="8" t="n">
        <v>4.41</v>
      </c>
      <c r="V3259" s="13">
        <f>IF(U3259="","",ROUND(M3259-U3259,2))</f>
        <v/>
      </c>
      <c r="W3259" s="5" t="n"/>
      <c r="X3259" s="5" t="inlineStr">
        <is>
          <t>Split from published rate using median L/P/M shares of 40 comparable build-ups at section level (7/38/55).</t>
        </is>
      </c>
    </row>
    <row r="3260" ht="13" customHeight="1">
      <c r="A3260" s="4" t="n">
        <v>4964</v>
      </c>
      <c r="B3260" s="5" t="inlineStr">
        <is>
          <t>IMG_0132</t>
        </is>
      </c>
      <c r="C3260" s="5" t="inlineStr">
        <is>
          <t>CLASS R: ROADS AND PAVINGS</t>
        </is>
      </c>
      <c r="D3260" s="5" t="inlineStr">
        <is>
          <t>08 ANCILLARIES</t>
        </is>
      </c>
      <c r="E3260" s="5" t="inlineStr">
        <is>
          <t>Removal of existing reflectorized thermoplastic markings</t>
        </is>
      </c>
      <c r="F3260" s="5" t="inlineStr">
        <is>
          <t>arrow or letter ne 6.0 m long</t>
        </is>
      </c>
      <c r="G3260" s="6" t="inlineStr">
        <is>
          <t>nr</t>
        </is>
      </c>
      <c r="H3260" s="7" t="n"/>
      <c r="I3260" s="8" t="n">
        <v>2.33</v>
      </c>
      <c r="J3260" s="8" t="n">
        <v>13.01</v>
      </c>
      <c r="K3260" s="8" t="n">
        <v>18.69</v>
      </c>
      <c r="L3260" s="8" t="n">
        <v>0</v>
      </c>
      <c r="M3260" s="9">
        <f>ROUND(SUM(I3260:L3260),2)</f>
        <v/>
      </c>
      <c r="N3260" s="10">
        <f>ROUND(I3260*'Irish Basis'!$C$6*'Irish Basis'!$C$5,2)</f>
        <v/>
      </c>
      <c r="O3260" s="10">
        <f>ROUND(J3260*'Irish Basis'!$C$7*'Irish Basis'!$C$5,2)</f>
        <v/>
      </c>
      <c r="P3260" s="10">
        <f>ROUND(K3260*'Irish Basis'!$C$8*'Irish Basis'!$C$5,2)</f>
        <v/>
      </c>
      <c r="Q3260" s="10">
        <f>ROUND(L3260*'Irish Basis'!$C$12*'Irish Basis'!$C$5,2)</f>
        <v/>
      </c>
      <c r="R3260" s="11">
        <f>ROUND(SUM(N3260:Q3260),2)</f>
        <v/>
      </c>
      <c r="S3260" s="5" t="inlineStr">
        <is>
          <t>Apportioned (section)</t>
        </is>
      </c>
      <c r="T3260" s="16" t="inlineStr">
        <is>
          <t>Medium</t>
        </is>
      </c>
      <c r="U3260" s="8" t="n">
        <v>34.03</v>
      </c>
      <c r="V3260" s="13">
        <f>IF(U3260="","",ROUND(M3260-U3260,2))</f>
        <v/>
      </c>
      <c r="W3260" s="5" t="n"/>
      <c r="X3260" s="5" t="inlineStr">
        <is>
          <t>Split from published rate using median L/P/M shares of 40 comparable build-ups at section level (7/38/55).</t>
        </is>
      </c>
    </row>
    <row r="3261" ht="13" customHeight="1">
      <c r="A3261" s="4" t="n">
        <v>4965</v>
      </c>
      <c r="B3261" s="5" t="inlineStr">
        <is>
          <t>IMG_0132</t>
        </is>
      </c>
      <c r="C3261" s="5" t="inlineStr">
        <is>
          <t>CLASS R: ROADS AND PAVINGS</t>
        </is>
      </c>
      <c r="D3261" s="5" t="inlineStr">
        <is>
          <t>08 ANCILLARIES</t>
        </is>
      </c>
      <c r="E3261" s="5" t="inlineStr">
        <is>
          <t>Removal of existing reflectorized thermoplastic markings</t>
        </is>
      </c>
      <c r="F3261" s="5" t="inlineStr">
        <is>
          <t>arrow or letter 6.0-16.00 m long</t>
        </is>
      </c>
      <c r="G3261" s="6" t="inlineStr">
        <is>
          <t>nr</t>
        </is>
      </c>
      <c r="H3261" s="7" t="n"/>
      <c r="I3261" s="8" t="n">
        <v>9.130000000000001</v>
      </c>
      <c r="J3261" s="8" t="n">
        <v>50.97</v>
      </c>
      <c r="K3261" s="8" t="n">
        <v>73.2</v>
      </c>
      <c r="L3261" s="8" t="n">
        <v>0</v>
      </c>
      <c r="M3261" s="9">
        <f>ROUND(SUM(I3261:L3261),2)</f>
        <v/>
      </c>
      <c r="N3261" s="10">
        <f>ROUND(I3261*'Irish Basis'!$C$6*'Irish Basis'!$C$5,2)</f>
        <v/>
      </c>
      <c r="O3261" s="10">
        <f>ROUND(J3261*'Irish Basis'!$C$7*'Irish Basis'!$C$5,2)</f>
        <v/>
      </c>
      <c r="P3261" s="10">
        <f>ROUND(K3261*'Irish Basis'!$C$8*'Irish Basis'!$C$5,2)</f>
        <v/>
      </c>
      <c r="Q3261" s="10">
        <f>ROUND(L3261*'Irish Basis'!$C$12*'Irish Basis'!$C$5,2)</f>
        <v/>
      </c>
      <c r="R3261" s="11">
        <f>ROUND(SUM(N3261:Q3261),2)</f>
        <v/>
      </c>
      <c r="S3261" s="5" t="inlineStr">
        <is>
          <t>Apportioned (section)</t>
        </is>
      </c>
      <c r="T3261" s="16" t="inlineStr">
        <is>
          <t>Medium</t>
        </is>
      </c>
      <c r="U3261" s="8" t="n">
        <v>133.3</v>
      </c>
      <c r="V3261" s="13">
        <f>IF(U3261="","",ROUND(M3261-U3261,2))</f>
        <v/>
      </c>
      <c r="W3261" s="5" t="n"/>
      <c r="X3261" s="5" t="inlineStr">
        <is>
          <t>Split from published rate using median L/P/M shares of 40 comparable build-ups at section level (7/38/55).</t>
        </is>
      </c>
    </row>
    <row r="3262" ht="13" customHeight="1">
      <c r="A3262" s="4" t="n">
        <v>4967</v>
      </c>
      <c r="B3262" s="5" t="inlineStr">
        <is>
          <t>IMG_0132</t>
        </is>
      </c>
      <c r="C3262" s="5" t="inlineStr">
        <is>
          <t>CLASS R: ROADS AND PAVINGS</t>
        </is>
      </c>
      <c r="D3262" s="5" t="inlineStr">
        <is>
          <t>08 ANCILLARIES</t>
        </is>
      </c>
      <c r="E3262" s="5" t="inlineStr">
        <is>
          <t>Reflecting road studs; General</t>
        </is>
      </c>
      <c r="F3262" s="5" t="inlineStr">
        <is>
          <t>100 x 100 mm square bi-directional reflecting road studs with amber corner cube reflectors</t>
        </is>
      </c>
      <c r="G3262" s="6" t="inlineStr">
        <is>
          <t>nr</t>
        </is>
      </c>
      <c r="H3262" s="7" t="n"/>
      <c r="I3262" s="8" t="n">
        <v>0.11</v>
      </c>
      <c r="J3262" s="8" t="n">
        <v>0.63</v>
      </c>
      <c r="K3262" s="8" t="n">
        <v>0.91</v>
      </c>
      <c r="L3262" s="8" t="n">
        <v>0</v>
      </c>
      <c r="M3262" s="9">
        <f>ROUND(SUM(I3262:L3262),2)</f>
        <v/>
      </c>
      <c r="N3262" s="10">
        <f>ROUND(I3262*'Irish Basis'!$C$6*'Irish Basis'!$C$5,2)</f>
        <v/>
      </c>
      <c r="O3262" s="10">
        <f>ROUND(J3262*'Irish Basis'!$C$7*'Irish Basis'!$C$5,2)</f>
        <v/>
      </c>
      <c r="P3262" s="10">
        <f>ROUND(K3262*'Irish Basis'!$C$8*'Irish Basis'!$C$5,2)</f>
        <v/>
      </c>
      <c r="Q3262" s="10">
        <f>ROUND(L3262*'Irish Basis'!$C$12*'Irish Basis'!$C$5,2)</f>
        <v/>
      </c>
      <c r="R3262" s="11">
        <f>ROUND(SUM(N3262:Q3262),2)</f>
        <v/>
      </c>
      <c r="S3262" s="5" t="inlineStr">
        <is>
          <t>Apportioned (section)</t>
        </is>
      </c>
      <c r="T3262" s="16" t="inlineStr">
        <is>
          <t>Medium</t>
        </is>
      </c>
      <c r="U3262" s="8" t="n">
        <v>1.65</v>
      </c>
      <c r="V3262" s="13">
        <f>IF(U3262="","",ROUND(M3262-U3262,2))</f>
        <v/>
      </c>
      <c r="W3262" s="5" t="n"/>
      <c r="X3262" s="5" t="inlineStr">
        <is>
          <t>Split from published rate using median L/P/M shares of 40 comparable build-ups at section level (7/38/55).</t>
        </is>
      </c>
    </row>
    <row r="3263" ht="13" customHeight="1">
      <c r="A3263" s="4" t="n">
        <v>4968</v>
      </c>
      <c r="B3263" s="5" t="inlineStr">
        <is>
          <t>IMG_0132</t>
        </is>
      </c>
      <c r="C3263" s="5" t="inlineStr">
        <is>
          <t>CLASS R: ROADS AND PAVINGS</t>
        </is>
      </c>
      <c r="D3263" s="5" t="inlineStr">
        <is>
          <t>08 ANCILLARIES</t>
        </is>
      </c>
      <c r="E3263" s="5" t="inlineStr">
        <is>
          <t>Reflecting road studs; General</t>
        </is>
      </c>
      <c r="F3263" s="5" t="inlineStr">
        <is>
          <t>140 x 254 mm rectangular one way reflecting road studs with red catseye reflectors</t>
        </is>
      </c>
      <c r="G3263" s="6" t="inlineStr">
        <is>
          <t>nr</t>
        </is>
      </c>
      <c r="H3263" s="7" t="n"/>
      <c r="I3263" s="8" t="n">
        <v>0.26</v>
      </c>
      <c r="J3263" s="8" t="n">
        <v>1.43</v>
      </c>
      <c r="K3263" s="8" t="n">
        <v>2.06</v>
      </c>
      <c r="L3263" s="8" t="n">
        <v>0</v>
      </c>
      <c r="M3263" s="9">
        <f>ROUND(SUM(I3263:L3263),2)</f>
        <v/>
      </c>
      <c r="N3263" s="10">
        <f>ROUND(I3263*'Irish Basis'!$C$6*'Irish Basis'!$C$5,2)</f>
        <v/>
      </c>
      <c r="O3263" s="10">
        <f>ROUND(J3263*'Irish Basis'!$C$7*'Irish Basis'!$C$5,2)</f>
        <v/>
      </c>
      <c r="P3263" s="10">
        <f>ROUND(K3263*'Irish Basis'!$C$8*'Irish Basis'!$C$5,2)</f>
        <v/>
      </c>
      <c r="Q3263" s="10">
        <f>ROUND(L3263*'Irish Basis'!$C$12*'Irish Basis'!$C$5,2)</f>
        <v/>
      </c>
      <c r="R3263" s="11">
        <f>ROUND(SUM(N3263:Q3263),2)</f>
        <v/>
      </c>
      <c r="S3263" s="5" t="inlineStr">
        <is>
          <t>Apportioned (section)</t>
        </is>
      </c>
      <c r="T3263" s="16" t="inlineStr">
        <is>
          <t>Medium</t>
        </is>
      </c>
      <c r="U3263" s="8" t="n">
        <v>3.75</v>
      </c>
      <c r="V3263" s="13">
        <f>IF(U3263="","",ROUND(M3263-U3263,2))</f>
        <v/>
      </c>
      <c r="W3263" s="5" t="n"/>
      <c r="X3263" s="5" t="inlineStr">
        <is>
          <t>Split from published rate using median L/P/M shares of 40 comparable build-ups at section level (7/38/55).</t>
        </is>
      </c>
    </row>
    <row r="3264" ht="13" customHeight="1">
      <c r="A3264" s="4" t="n">
        <v>4969</v>
      </c>
      <c r="B3264" s="5" t="inlineStr">
        <is>
          <t>IMG_0132</t>
        </is>
      </c>
      <c r="C3264" s="5" t="inlineStr">
        <is>
          <t>CLASS R: ROADS AND PAVINGS</t>
        </is>
      </c>
      <c r="D3264" s="5" t="inlineStr">
        <is>
          <t>08 ANCILLARIES</t>
        </is>
      </c>
      <c r="E3264" s="5" t="inlineStr">
        <is>
          <t>Reflecting road studs; General</t>
        </is>
      </c>
      <c r="F3264" s="5" t="inlineStr">
        <is>
          <t>140 x 254 mm rectangular one way reflecting road studs with green catseye reflectors</t>
        </is>
      </c>
      <c r="G3264" s="6" t="inlineStr">
        <is>
          <t>nr</t>
        </is>
      </c>
      <c r="H3264" s="7" t="n"/>
      <c r="I3264" s="8" t="n">
        <v>0.27</v>
      </c>
      <c r="J3264" s="8" t="n">
        <v>1.48</v>
      </c>
      <c r="K3264" s="8" t="n">
        <v>2.13</v>
      </c>
      <c r="L3264" s="8" t="n">
        <v>0</v>
      </c>
      <c r="M3264" s="9">
        <f>ROUND(SUM(I3264:L3264),2)</f>
        <v/>
      </c>
      <c r="N3264" s="10">
        <f>ROUND(I3264*'Irish Basis'!$C$6*'Irish Basis'!$C$5,2)</f>
        <v/>
      </c>
      <c r="O3264" s="10">
        <f>ROUND(J3264*'Irish Basis'!$C$7*'Irish Basis'!$C$5,2)</f>
        <v/>
      </c>
      <c r="P3264" s="10">
        <f>ROUND(K3264*'Irish Basis'!$C$8*'Irish Basis'!$C$5,2)</f>
        <v/>
      </c>
      <c r="Q3264" s="10">
        <f>ROUND(L3264*'Irish Basis'!$C$12*'Irish Basis'!$C$5,2)</f>
        <v/>
      </c>
      <c r="R3264" s="11">
        <f>ROUND(SUM(N3264:Q3264),2)</f>
        <v/>
      </c>
      <c r="S3264" s="5" t="inlineStr">
        <is>
          <t>Apportioned (section)</t>
        </is>
      </c>
      <c r="T3264" s="16" t="inlineStr">
        <is>
          <t>Medium</t>
        </is>
      </c>
      <c r="U3264" s="8" t="n">
        <v>3.88</v>
      </c>
      <c r="V3264" s="13">
        <f>IF(U3264="","",ROUND(M3264-U3264,2))</f>
        <v/>
      </c>
      <c r="W3264" s="5" t="n"/>
      <c r="X3264" s="5" t="inlineStr">
        <is>
          <t>Split from published rate using median L/P/M shares of 40 comparable build-ups at section level (7/38/55).</t>
        </is>
      </c>
    </row>
    <row r="3265" ht="13" customHeight="1">
      <c r="A3265" s="4" t="n">
        <v>4970</v>
      </c>
      <c r="B3265" s="5" t="inlineStr">
        <is>
          <t>IMG_0132</t>
        </is>
      </c>
      <c r="C3265" s="5" t="inlineStr">
        <is>
          <t>CLASS R: ROADS AND PAVINGS</t>
        </is>
      </c>
      <c r="D3265" s="5" t="inlineStr">
        <is>
          <t>08 ANCILLARIES</t>
        </is>
      </c>
      <c r="E3265" s="5" t="inlineStr">
        <is>
          <t>Reflecting road studs; General</t>
        </is>
      </c>
      <c r="F3265" s="5" t="inlineStr">
        <is>
          <t>140 x 254 mm rectangular bi-directional reflecting road studs with white catseye reflectors</t>
        </is>
      </c>
      <c r="G3265" s="6" t="inlineStr">
        <is>
          <t>nr</t>
        </is>
      </c>
      <c r="H3265" s="7" t="n"/>
      <c r="I3265" s="8" t="n">
        <v>0.26</v>
      </c>
      <c r="J3265" s="8" t="n">
        <v>1.48</v>
      </c>
      <c r="K3265" s="8" t="n">
        <v>2.13</v>
      </c>
      <c r="L3265" s="8" t="n">
        <v>0</v>
      </c>
      <c r="M3265" s="9">
        <f>ROUND(SUM(I3265:L3265),2)</f>
        <v/>
      </c>
      <c r="N3265" s="10">
        <f>ROUND(I3265*'Irish Basis'!$C$6*'Irish Basis'!$C$5,2)</f>
        <v/>
      </c>
      <c r="O3265" s="10">
        <f>ROUND(J3265*'Irish Basis'!$C$7*'Irish Basis'!$C$5,2)</f>
        <v/>
      </c>
      <c r="P3265" s="10">
        <f>ROUND(K3265*'Irish Basis'!$C$8*'Irish Basis'!$C$5,2)</f>
        <v/>
      </c>
      <c r="Q3265" s="10">
        <f>ROUND(L3265*'Irish Basis'!$C$12*'Irish Basis'!$C$5,2)</f>
        <v/>
      </c>
      <c r="R3265" s="11">
        <f>ROUND(SUM(N3265:Q3265),2)</f>
        <v/>
      </c>
      <c r="S3265" s="5" t="inlineStr">
        <is>
          <t>Apportioned (section)</t>
        </is>
      </c>
      <c r="T3265" s="16" t="inlineStr">
        <is>
          <t>Medium</t>
        </is>
      </c>
      <c r="U3265" s="8" t="n">
        <v>3.87</v>
      </c>
      <c r="V3265" s="13">
        <f>IF(U3265="","",ROUND(M3265-U3265,2))</f>
        <v/>
      </c>
      <c r="W3265" s="5" t="n"/>
      <c r="X3265" s="5" t="inlineStr">
        <is>
          <t>Split from published rate using median L/P/M shares of 40 comparable build-ups at section level (7/38/55).</t>
        </is>
      </c>
    </row>
    <row r="3266" ht="13" customHeight="1">
      <c r="A3266" s="4" t="n">
        <v>4971</v>
      </c>
      <c r="B3266" s="5" t="inlineStr">
        <is>
          <t>IMG_0132</t>
        </is>
      </c>
      <c r="C3266" s="5" t="inlineStr">
        <is>
          <t>CLASS R: ROADS AND PAVINGS</t>
        </is>
      </c>
      <c r="D3266" s="5" t="inlineStr">
        <is>
          <t>08 ANCILLARIES</t>
        </is>
      </c>
      <c r="E3266" s="5" t="inlineStr">
        <is>
          <t>Reflecting road studs; General</t>
        </is>
      </c>
      <c r="F3266" s="5" t="inlineStr">
        <is>
          <t>140 x 254 mm rectangular bi-directional reflecting road studs with amber catseye reflectors</t>
        </is>
      </c>
      <c r="G3266" s="6" t="inlineStr">
        <is>
          <t>nr</t>
        </is>
      </c>
      <c r="H3266" s="7" t="n"/>
      <c r="I3266" s="8" t="n">
        <v>0.26</v>
      </c>
      <c r="J3266" s="8" t="n">
        <v>1.48</v>
      </c>
      <c r="K3266" s="8" t="n">
        <v>2.13</v>
      </c>
      <c r="L3266" s="8" t="n">
        <v>0</v>
      </c>
      <c r="M3266" s="9">
        <f>ROUND(SUM(I3266:L3266),2)</f>
        <v/>
      </c>
      <c r="N3266" s="10">
        <f>ROUND(I3266*'Irish Basis'!$C$6*'Irish Basis'!$C$5,2)</f>
        <v/>
      </c>
      <c r="O3266" s="10">
        <f>ROUND(J3266*'Irish Basis'!$C$7*'Irish Basis'!$C$5,2)</f>
        <v/>
      </c>
      <c r="P3266" s="10">
        <f>ROUND(K3266*'Irish Basis'!$C$8*'Irish Basis'!$C$5,2)</f>
        <v/>
      </c>
      <c r="Q3266" s="10">
        <f>ROUND(L3266*'Irish Basis'!$C$12*'Irish Basis'!$C$5,2)</f>
        <v/>
      </c>
      <c r="R3266" s="11">
        <f>ROUND(SUM(N3266:Q3266),2)</f>
        <v/>
      </c>
      <c r="S3266" s="5" t="inlineStr">
        <is>
          <t>Apportioned (section)</t>
        </is>
      </c>
      <c r="T3266" s="16" t="inlineStr">
        <is>
          <t>Medium</t>
        </is>
      </c>
      <c r="U3266" s="8" t="n">
        <v>3.87</v>
      </c>
      <c r="V3266" s="13">
        <f>IF(U3266="","",ROUND(M3266-U3266,2))</f>
        <v/>
      </c>
      <c r="W3266" s="5" t="n"/>
      <c r="X3266" s="5" t="inlineStr">
        <is>
          <t>Split from published rate using median L/P/M shares of 40 comparable build-ups at section level (7/38/55).</t>
        </is>
      </c>
    </row>
    <row r="3267" ht="13" customHeight="1">
      <c r="A3267" s="4" t="n">
        <v>4972</v>
      </c>
      <c r="B3267" s="5" t="inlineStr">
        <is>
          <t>IMG_0132</t>
        </is>
      </c>
      <c r="C3267" s="5" t="inlineStr">
        <is>
          <t>CLASS R: ROADS AND PAVINGS</t>
        </is>
      </c>
      <c r="D3267" s="5" t="inlineStr">
        <is>
          <t>08 ANCILLARIES</t>
        </is>
      </c>
      <c r="E3267" s="5" t="inlineStr">
        <is>
          <t>Reflecting road studs; General</t>
        </is>
      </c>
      <c r="F3267" s="5" t="inlineStr">
        <is>
          <t>140 x 254 mm rectangular bi-directional reflecting road stud without catseye reflectors</t>
        </is>
      </c>
      <c r="G3267" s="6" t="inlineStr">
        <is>
          <t>nr</t>
        </is>
      </c>
      <c r="H3267" s="7" t="n"/>
      <c r="I3267" s="8" t="n">
        <v>0.16</v>
      </c>
      <c r="J3267" s="8" t="n">
        <v>0.92</v>
      </c>
      <c r="K3267" s="8" t="n">
        <v>1.32</v>
      </c>
      <c r="L3267" s="8" t="n">
        <v>0</v>
      </c>
      <c r="M3267" s="9">
        <f>ROUND(SUM(I3267:L3267),2)</f>
        <v/>
      </c>
      <c r="N3267" s="10">
        <f>ROUND(I3267*'Irish Basis'!$C$6*'Irish Basis'!$C$5,2)</f>
        <v/>
      </c>
      <c r="O3267" s="10">
        <f>ROUND(J3267*'Irish Basis'!$C$7*'Irish Basis'!$C$5,2)</f>
        <v/>
      </c>
      <c r="P3267" s="10">
        <f>ROUND(K3267*'Irish Basis'!$C$8*'Irish Basis'!$C$5,2)</f>
        <v/>
      </c>
      <c r="Q3267" s="10">
        <f>ROUND(L3267*'Irish Basis'!$C$12*'Irish Basis'!$C$5,2)</f>
        <v/>
      </c>
      <c r="R3267" s="11">
        <f>ROUND(SUM(N3267:Q3267),2)</f>
        <v/>
      </c>
      <c r="S3267" s="5" t="inlineStr">
        <is>
          <t>Apportioned (section)</t>
        </is>
      </c>
      <c r="T3267" s="16" t="inlineStr">
        <is>
          <t>Medium</t>
        </is>
      </c>
      <c r="U3267" s="8" t="n">
        <v>2.41</v>
      </c>
      <c r="V3267" s="13">
        <f>IF(U3267="","",ROUND(M3267-U3267,2))</f>
        <v/>
      </c>
      <c r="W3267" s="5" t="n"/>
      <c r="X3267" s="5" t="inlineStr">
        <is>
          <t>Split from published rate using median L/P/M shares of 40 comparable build-ups at section level (7/38/55).</t>
        </is>
      </c>
    </row>
    <row r="3268" ht="13" customHeight="1">
      <c r="A3268" s="4" t="n">
        <v>4974</v>
      </c>
      <c r="B3268" s="5" t="inlineStr">
        <is>
          <t>IMG_0132</t>
        </is>
      </c>
      <c r="C3268" s="5" t="inlineStr">
        <is>
          <t>CLASS R: ROADS AND PAVINGS</t>
        </is>
      </c>
      <c r="D3268" s="5" t="inlineStr">
        <is>
          <t>08 ANCILLARIES</t>
        </is>
      </c>
      <c r="E3268" s="5" t="inlineStr">
        <is>
          <t>Removal of road studs</t>
        </is>
      </c>
      <c r="F3268" s="5" t="inlineStr">
        <is>
          <t>Remove from store and re-install 100 x 100 mm square bi-directional reflecting road stud with corner cube reflectors</t>
        </is>
      </c>
      <c r="G3268" s="6" t="inlineStr">
        <is>
          <t>nr</t>
        </is>
      </c>
      <c r="H3268" s="7" t="n"/>
      <c r="I3268" s="8" t="n">
        <v>0.05</v>
      </c>
      <c r="J3268" s="8" t="n">
        <v>0.31</v>
      </c>
      <c r="K3268" s="8" t="n">
        <v>0.44</v>
      </c>
      <c r="L3268" s="8" t="n">
        <v>0</v>
      </c>
      <c r="M3268" s="9">
        <f>ROUND(SUM(I3268:L3268),2)</f>
        <v/>
      </c>
      <c r="N3268" s="10">
        <f>ROUND(I3268*'Irish Basis'!$C$6*'Irish Basis'!$C$5,2)</f>
        <v/>
      </c>
      <c r="O3268" s="10">
        <f>ROUND(J3268*'Irish Basis'!$C$7*'Irish Basis'!$C$5,2)</f>
        <v/>
      </c>
      <c r="P3268" s="10">
        <f>ROUND(K3268*'Irish Basis'!$C$8*'Irish Basis'!$C$5,2)</f>
        <v/>
      </c>
      <c r="Q3268" s="10">
        <f>ROUND(L3268*'Irish Basis'!$C$12*'Irish Basis'!$C$5,2)</f>
        <v/>
      </c>
      <c r="R3268" s="11">
        <f>ROUND(SUM(N3268:Q3268),2)</f>
        <v/>
      </c>
      <c r="S3268" s="5" t="inlineStr">
        <is>
          <t>Apportioned (section)</t>
        </is>
      </c>
      <c r="T3268" s="16" t="inlineStr">
        <is>
          <t>Medium</t>
        </is>
      </c>
      <c r="U3268" s="8" t="n">
        <v>0.8</v>
      </c>
      <c r="V3268" s="13">
        <f>IF(U3268="","",ROUND(M3268-U3268,2))</f>
        <v/>
      </c>
      <c r="W3268" s="5" t="n"/>
      <c r="X3268" s="5" t="inlineStr">
        <is>
          <t>Split from published rate using median L/P/M shares of 40 comparable build-ups at section level (7/38/55).</t>
        </is>
      </c>
    </row>
    <row r="3269" ht="13" customHeight="1">
      <c r="A3269" s="4" t="n">
        <v>4975</v>
      </c>
      <c r="B3269" s="5" t="inlineStr">
        <is>
          <t>IMG_0132</t>
        </is>
      </c>
      <c r="C3269" s="5" t="inlineStr">
        <is>
          <t>CLASS R: ROADS AND PAVINGS</t>
        </is>
      </c>
      <c r="D3269" s="5" t="inlineStr">
        <is>
          <t>08 ANCILLARIES</t>
        </is>
      </c>
      <c r="E3269" s="5" t="inlineStr">
        <is>
          <t>Removal of road studs</t>
        </is>
      </c>
      <c r="F3269" s="5" t="inlineStr">
        <is>
          <t>Remove from store and re-install 140 x 254 mm rectangular one way reflecting road stud with catseye reflectors</t>
        </is>
      </c>
      <c r="G3269" s="6" t="inlineStr">
        <is>
          <t>nr</t>
        </is>
      </c>
      <c r="H3269" s="7" t="n"/>
      <c r="I3269" s="8" t="n">
        <v>0.13</v>
      </c>
      <c r="J3269" s="8" t="n">
        <v>0.73</v>
      </c>
      <c r="K3269" s="8" t="n">
        <v>1.04</v>
      </c>
      <c r="L3269" s="8" t="n">
        <v>0</v>
      </c>
      <c r="M3269" s="9">
        <f>ROUND(SUM(I3269:L3269),2)</f>
        <v/>
      </c>
      <c r="N3269" s="10">
        <f>ROUND(I3269*'Irish Basis'!$C$6*'Irish Basis'!$C$5,2)</f>
        <v/>
      </c>
      <c r="O3269" s="10">
        <f>ROUND(J3269*'Irish Basis'!$C$7*'Irish Basis'!$C$5,2)</f>
        <v/>
      </c>
      <c r="P3269" s="10">
        <f>ROUND(K3269*'Irish Basis'!$C$8*'Irish Basis'!$C$5,2)</f>
        <v/>
      </c>
      <c r="Q3269" s="10">
        <f>ROUND(L3269*'Irish Basis'!$C$12*'Irish Basis'!$C$5,2)</f>
        <v/>
      </c>
      <c r="R3269" s="11">
        <f>ROUND(SUM(N3269:Q3269),2)</f>
        <v/>
      </c>
      <c r="S3269" s="5" t="inlineStr">
        <is>
          <t>Apportioned (section)</t>
        </is>
      </c>
      <c r="T3269" s="16" t="inlineStr">
        <is>
          <t>Medium</t>
        </is>
      </c>
      <c r="U3269" s="8" t="n">
        <v>1.9</v>
      </c>
      <c r="V3269" s="13">
        <f>IF(U3269="","",ROUND(M3269-U3269,2))</f>
        <v/>
      </c>
      <c r="W3269" s="5" t="n"/>
      <c r="X3269" s="5" t="inlineStr">
        <is>
          <t>Split from published rate using median L/P/M shares of 40 comparable build-ups at section level (7/38/55).</t>
        </is>
      </c>
    </row>
    <row r="3270" ht="13" customHeight="1">
      <c r="A3270" s="4" t="n">
        <v>4990</v>
      </c>
      <c r="B3270" s="5" t="inlineStr">
        <is>
          <t>IMG_0133</t>
        </is>
      </c>
      <c r="C3270" s="5" t="inlineStr">
        <is>
          <t>CLASS S: RAIL TRACK</t>
        </is>
      </c>
      <c r="D3270" s="5" t="inlineStr">
        <is>
          <t>01 TRACK FOUNDATIONS</t>
        </is>
      </c>
      <c r="E3270" s="5" t="inlineStr">
        <is>
          <t>Ballast; Imported crushed granite</t>
        </is>
      </c>
      <c r="F3270" s="5" t="inlineStr">
        <is>
          <t>Bottom ballast</t>
        </is>
      </c>
      <c r="G3270" s="6" t="inlineStr">
        <is>
          <t>m3</t>
        </is>
      </c>
      <c r="H3270" s="7" t="n"/>
      <c r="I3270" s="8" t="n">
        <v>0</v>
      </c>
      <c r="J3270" s="8" t="n">
        <v>0</v>
      </c>
      <c r="K3270" s="8" t="n">
        <v>85.19</v>
      </c>
      <c r="L3270" s="8" t="n">
        <v>0</v>
      </c>
      <c r="M3270" s="9">
        <f>ROUND(SUM(I3270:L3270),2)</f>
        <v/>
      </c>
      <c r="N3270" s="10">
        <f>ROUND(I3270*'Irish Basis'!$C$6*'Irish Basis'!$C$5,2)</f>
        <v/>
      </c>
      <c r="O3270" s="10">
        <f>ROUND(J3270*'Irish Basis'!$C$7*'Irish Basis'!$C$5,2)</f>
        <v/>
      </c>
      <c r="P3270" s="10">
        <f>ROUND(K3270*'Irish Basis'!$C$8*'Irish Basis'!$C$5,2)</f>
        <v/>
      </c>
      <c r="Q3270" s="10">
        <f>ROUND(L3270*'Irish Basis'!$C$12*'Irish Basis'!$C$5,2)</f>
        <v/>
      </c>
      <c r="R3270" s="11">
        <f>ROUND(SUM(N3270:Q3270),2)</f>
        <v/>
      </c>
      <c r="S3270" s="5" t="inlineStr">
        <is>
          <t>Stated build-up</t>
        </is>
      </c>
      <c r="T3270" s="12" t="inlineStr">
        <is>
          <t>High</t>
        </is>
      </c>
      <c r="U3270" s="8" t="n">
        <v>85.19</v>
      </c>
      <c r="V3270" s="13">
        <f>IF(U3270="","",ROUND(M3270-U3270,2))</f>
        <v/>
      </c>
      <c r="W3270" s="5" t="n"/>
      <c r="X3270" s="5" t="inlineStr">
        <is>
          <t>Labour + plant + material as published; reconciles to the published rate.</t>
        </is>
      </c>
    </row>
    <row r="3271" ht="13" customHeight="1">
      <c r="A3271" s="4" t="n">
        <v>4991</v>
      </c>
      <c r="B3271" s="5" t="inlineStr">
        <is>
          <t>IMG_0133</t>
        </is>
      </c>
      <c r="C3271" s="5" t="inlineStr">
        <is>
          <t>CLASS S: RAIL TRACK</t>
        </is>
      </c>
      <c r="D3271" s="5" t="inlineStr">
        <is>
          <t>01 TRACK FOUNDATIONS</t>
        </is>
      </c>
      <c r="E3271" s="5" t="inlineStr">
        <is>
          <t>Ballast; Imported crushed granite</t>
        </is>
      </c>
      <c r="F3271" s="5" t="inlineStr">
        <is>
          <t>Top ballast</t>
        </is>
      </c>
      <c r="G3271" s="6" t="inlineStr">
        <is>
          <t>m3</t>
        </is>
      </c>
      <c r="H3271" s="7" t="n"/>
      <c r="I3271" s="8" t="n">
        <v>0</v>
      </c>
      <c r="J3271" s="8" t="n">
        <v>0</v>
      </c>
      <c r="K3271" s="8" t="n">
        <v>85.19</v>
      </c>
      <c r="L3271" s="8" t="n">
        <v>0</v>
      </c>
      <c r="M3271" s="9">
        <f>ROUND(SUM(I3271:L3271),2)</f>
        <v/>
      </c>
      <c r="N3271" s="10">
        <f>ROUND(I3271*'Irish Basis'!$C$6*'Irish Basis'!$C$5,2)</f>
        <v/>
      </c>
      <c r="O3271" s="10">
        <f>ROUND(J3271*'Irish Basis'!$C$7*'Irish Basis'!$C$5,2)</f>
        <v/>
      </c>
      <c r="P3271" s="10">
        <f>ROUND(K3271*'Irish Basis'!$C$8*'Irish Basis'!$C$5,2)</f>
        <v/>
      </c>
      <c r="Q3271" s="10">
        <f>ROUND(L3271*'Irish Basis'!$C$12*'Irish Basis'!$C$5,2)</f>
        <v/>
      </c>
      <c r="R3271" s="11">
        <f>ROUND(SUM(N3271:Q3271),2)</f>
        <v/>
      </c>
      <c r="S3271" s="5" t="inlineStr">
        <is>
          <t>Stated build-up</t>
        </is>
      </c>
      <c r="T3271" s="12" t="inlineStr">
        <is>
          <t>High</t>
        </is>
      </c>
      <c r="U3271" s="8" t="n">
        <v>85.19</v>
      </c>
      <c r="V3271" s="13">
        <f>IF(U3271="","",ROUND(M3271-U3271,2))</f>
        <v/>
      </c>
      <c r="W3271" s="5" t="n"/>
      <c r="X3271" s="5" t="inlineStr">
        <is>
          <t>Labour + plant + material as published; reconciles to the published rate.</t>
        </is>
      </c>
    </row>
    <row r="3272" ht="13" customHeight="1">
      <c r="A3272" s="4" t="n">
        <v>4993</v>
      </c>
      <c r="B3272" s="5" t="inlineStr">
        <is>
          <t>IMG_0133</t>
        </is>
      </c>
      <c r="C3272" s="5" t="inlineStr">
        <is>
          <t>CLASS S: RAIL TRACK</t>
        </is>
      </c>
      <c r="D3272" s="5" t="inlineStr">
        <is>
          <t>01 TRACK FOUNDATIONS</t>
        </is>
      </c>
      <c r="E3272" s="5" t="inlineStr">
        <is>
          <t>Imported granular material</t>
        </is>
      </c>
      <c r="F3272" s="5" t="inlineStr">
        <is>
          <t>Blankets; 150 mm thick</t>
        </is>
      </c>
      <c r="G3272" s="6" t="inlineStr">
        <is>
          <t>m3</t>
        </is>
      </c>
      <c r="H3272" s="7" t="n"/>
      <c r="I3272" s="8" t="n">
        <v>0</v>
      </c>
      <c r="J3272" s="8" t="n">
        <v>0</v>
      </c>
      <c r="K3272" s="8" t="n">
        <v>71</v>
      </c>
      <c r="L3272" s="8" t="n">
        <v>0</v>
      </c>
      <c r="M3272" s="9">
        <f>ROUND(SUM(I3272:L3272),2)</f>
        <v/>
      </c>
      <c r="N3272" s="10">
        <f>ROUND(I3272*'Irish Basis'!$C$6*'Irish Basis'!$C$5,2)</f>
        <v/>
      </c>
      <c r="O3272" s="10">
        <f>ROUND(J3272*'Irish Basis'!$C$7*'Irish Basis'!$C$5,2)</f>
        <v/>
      </c>
      <c r="P3272" s="10">
        <f>ROUND(K3272*'Irish Basis'!$C$8*'Irish Basis'!$C$5,2)</f>
        <v/>
      </c>
      <c r="Q3272" s="10">
        <f>ROUND(L3272*'Irish Basis'!$C$12*'Irish Basis'!$C$5,2)</f>
        <v/>
      </c>
      <c r="R3272" s="11">
        <f>ROUND(SUM(N3272:Q3272),2)</f>
        <v/>
      </c>
      <c r="S3272" s="5" t="inlineStr">
        <is>
          <t>Stated build-up</t>
        </is>
      </c>
      <c r="T3272" s="12" t="inlineStr">
        <is>
          <t>High</t>
        </is>
      </c>
      <c r="U3272" s="8" t="n">
        <v>71</v>
      </c>
      <c r="V3272" s="13">
        <f>IF(U3272="","",ROUND(M3272-U3272,2))</f>
        <v/>
      </c>
      <c r="W3272" s="5" t="n"/>
      <c r="X3272" s="5" t="inlineStr">
        <is>
          <t>Labour + plant + material as published; reconciles to the published rate.</t>
        </is>
      </c>
    </row>
    <row r="3273" ht="13" customHeight="1">
      <c r="A3273" s="4" t="n">
        <v>4995</v>
      </c>
      <c r="B3273" s="5" t="inlineStr">
        <is>
          <t>IMG_0133</t>
        </is>
      </c>
      <c r="C3273" s="5" t="inlineStr">
        <is>
          <t>CLASS S: RAIL TRACK</t>
        </is>
      </c>
      <c r="D3273" s="5" t="inlineStr">
        <is>
          <t>01 TRACK FOUNDATIONS</t>
        </is>
      </c>
      <c r="E3273" s="5" t="inlineStr">
        <is>
          <t>Imported sand</t>
        </is>
      </c>
      <c r="F3273" s="5" t="inlineStr">
        <is>
          <t>Blinding; 100 mm thick</t>
        </is>
      </c>
      <c r="G3273" s="6" t="inlineStr">
        <is>
          <t>m3</t>
        </is>
      </c>
      <c r="H3273" s="7" t="n"/>
      <c r="I3273" s="8" t="n">
        <v>0</v>
      </c>
      <c r="J3273" s="8" t="n">
        <v>0</v>
      </c>
      <c r="K3273" s="8" t="n">
        <v>42.6</v>
      </c>
      <c r="L3273" s="8" t="n">
        <v>0</v>
      </c>
      <c r="M3273" s="9">
        <f>ROUND(SUM(I3273:L3273),2)</f>
        <v/>
      </c>
      <c r="N3273" s="10">
        <f>ROUND(I3273*'Irish Basis'!$C$6*'Irish Basis'!$C$5,2)</f>
        <v/>
      </c>
      <c r="O3273" s="10">
        <f>ROUND(J3273*'Irish Basis'!$C$7*'Irish Basis'!$C$5,2)</f>
        <v/>
      </c>
      <c r="P3273" s="10">
        <f>ROUND(K3273*'Irish Basis'!$C$8*'Irish Basis'!$C$5,2)</f>
        <v/>
      </c>
      <c r="Q3273" s="10">
        <f>ROUND(L3273*'Irish Basis'!$C$12*'Irish Basis'!$C$5,2)</f>
        <v/>
      </c>
      <c r="R3273" s="11">
        <f>ROUND(SUM(N3273:Q3273),2)</f>
        <v/>
      </c>
      <c r="S3273" s="5" t="inlineStr">
        <is>
          <t>Stated build-up</t>
        </is>
      </c>
      <c r="T3273" s="12" t="inlineStr">
        <is>
          <t>High</t>
        </is>
      </c>
      <c r="U3273" s="8" t="n">
        <v>42.6</v>
      </c>
      <c r="V3273" s="13">
        <f>IF(U3273="","",ROUND(M3273-U3273,2))</f>
        <v/>
      </c>
      <c r="W3273" s="5" t="n"/>
      <c r="X3273" s="5" t="inlineStr">
        <is>
          <t>Labour + plant + material as published; reconciles to the published rate.</t>
        </is>
      </c>
    </row>
    <row r="3274" ht="13" customHeight="1">
      <c r="A3274" s="4" t="n">
        <v>4997</v>
      </c>
      <c r="B3274" s="5" t="inlineStr">
        <is>
          <t>IMG_0133</t>
        </is>
      </c>
      <c r="C3274" s="5" t="inlineStr">
        <is>
          <t>CLASS S: RAIL TRACK</t>
        </is>
      </c>
      <c r="D3274" s="5" t="inlineStr">
        <is>
          <t>01 TRACK FOUNDATIONS</t>
        </is>
      </c>
      <c r="E3274" s="5" t="inlineStr">
        <is>
          <t>Waterproof membranes; Polythene sheeting</t>
        </is>
      </c>
      <c r="F3274" s="5" t="inlineStr">
        <is>
          <t>Waterproof membrane; 1200 gauge</t>
        </is>
      </c>
      <c r="G3274" s="6" t="inlineStr">
        <is>
          <t>m2</t>
        </is>
      </c>
      <c r="H3274" s="7" t="n"/>
      <c r="I3274" s="8" t="n">
        <v>0</v>
      </c>
      <c r="J3274" s="8" t="n">
        <v>0</v>
      </c>
      <c r="K3274" s="8" t="n">
        <v>4.77</v>
      </c>
      <c r="L3274" s="8" t="n">
        <v>0</v>
      </c>
      <c r="M3274" s="9">
        <f>ROUND(SUM(I3274:L3274),2)</f>
        <v/>
      </c>
      <c r="N3274" s="10">
        <f>ROUND(I3274*'Irish Basis'!$C$6*'Irish Basis'!$C$5,2)</f>
        <v/>
      </c>
      <c r="O3274" s="10">
        <f>ROUND(J3274*'Irish Basis'!$C$7*'Irish Basis'!$C$5,2)</f>
        <v/>
      </c>
      <c r="P3274" s="10">
        <f>ROUND(K3274*'Irish Basis'!$C$8*'Irish Basis'!$C$5,2)</f>
        <v/>
      </c>
      <c r="Q3274" s="10">
        <f>ROUND(L3274*'Irish Basis'!$C$12*'Irish Basis'!$C$5,2)</f>
        <v/>
      </c>
      <c r="R3274" s="11">
        <f>ROUND(SUM(N3274:Q3274),2)</f>
        <v/>
      </c>
      <c r="S3274" s="5" t="inlineStr">
        <is>
          <t>Stated build-up</t>
        </is>
      </c>
      <c r="T3274" s="12" t="inlineStr">
        <is>
          <t>High</t>
        </is>
      </c>
      <c r="U3274" s="8" t="n">
        <v>4.77</v>
      </c>
      <c r="V3274" s="13">
        <f>IF(U3274="","",ROUND(M3274-U3274,2))</f>
        <v/>
      </c>
      <c r="W3274" s="5" t="n"/>
      <c r="X3274" s="5" t="inlineStr">
        <is>
          <t>Labour + plant + material as published; reconciles to the published rate.</t>
        </is>
      </c>
    </row>
    <row r="3275" ht="13" customHeight="1">
      <c r="A3275" s="4" t="n">
        <v>4999</v>
      </c>
      <c r="B3275" s="5" t="inlineStr">
        <is>
          <t>IMG_0133</t>
        </is>
      </c>
      <c r="C3275" s="5" t="inlineStr">
        <is>
          <t>CLASS S: RAIL TRACK</t>
        </is>
      </c>
      <c r="D3275" s="5" t="inlineStr">
        <is>
          <t>01 TRACK FOUNDATIONS</t>
        </is>
      </c>
      <c r="E3275" s="5" t="inlineStr">
        <is>
          <t>Ballast cleaning</t>
        </is>
      </c>
      <c r="F3275" s="5" t="inlineStr">
        <is>
          <t>Machine ballast cleaning, on straight or curved track; formation depth 450 mm</t>
        </is>
      </c>
      <c r="G3275" s="6" t="inlineStr">
        <is>
          <t>m2</t>
        </is>
      </c>
      <c r="H3275" s="7" t="n">
        <v>0.3</v>
      </c>
      <c r="I3275" s="8" t="n">
        <v>27.49</v>
      </c>
      <c r="J3275" s="8" t="n">
        <v>823.23</v>
      </c>
      <c r="K3275" s="8" t="n">
        <v>0</v>
      </c>
      <c r="L3275" s="8" t="n">
        <v>0</v>
      </c>
      <c r="M3275" s="9">
        <f>ROUND(SUM(I3275:L3275),2)</f>
        <v/>
      </c>
      <c r="N3275" s="10">
        <f>ROUND(I3275*'Irish Basis'!$C$6*'Irish Basis'!$C$5,2)</f>
        <v/>
      </c>
      <c r="O3275" s="10">
        <f>ROUND(J3275*'Irish Basis'!$C$7*'Irish Basis'!$C$5,2)</f>
        <v/>
      </c>
      <c r="P3275" s="10">
        <f>ROUND(K3275*'Irish Basis'!$C$8*'Irish Basis'!$C$5,2)</f>
        <v/>
      </c>
      <c r="Q3275" s="10">
        <f>ROUND(L3275*'Irish Basis'!$C$12*'Irish Basis'!$C$5,2)</f>
        <v/>
      </c>
      <c r="R3275" s="11">
        <f>ROUND(SUM(N3275:Q3275),2)</f>
        <v/>
      </c>
      <c r="S3275" s="5" t="inlineStr">
        <is>
          <t>Stated build-up</t>
        </is>
      </c>
      <c r="T3275" s="12" t="inlineStr">
        <is>
          <t>High</t>
        </is>
      </c>
      <c r="U3275" s="8" t="n">
        <v>850.72</v>
      </c>
      <c r="V3275" s="13">
        <f>IF(U3275="","",ROUND(M3275-U3275,2))</f>
        <v/>
      </c>
      <c r="W3275" s="5" t="n"/>
      <c r="X3275" s="5" t="inlineStr">
        <is>
          <t>Labour + plant + material as published; reconciles to the published rate.</t>
        </is>
      </c>
    </row>
    <row r="3276" ht="13" customHeight="1">
      <c r="A3276" s="4" t="n">
        <v>5001</v>
      </c>
      <c r="B3276" s="5" t="inlineStr">
        <is>
          <t>IMG_0133</t>
        </is>
      </c>
      <c r="C3276" s="5" t="inlineStr">
        <is>
          <t>CLASS S: RAIL TRACK</t>
        </is>
      </c>
      <c r="D3276" s="5" t="inlineStr">
        <is>
          <t>01 TRACK FOUNDATIONS</t>
        </is>
      </c>
      <c r="E3276" s="5" t="inlineStr">
        <is>
          <t>Tamping</t>
        </is>
      </c>
      <c r="F3276" s="5" t="inlineStr">
        <is>
          <t>Machine tamping; straight track</t>
        </is>
      </c>
      <c r="G3276" s="6" t="inlineStr">
        <is>
          <t>m</t>
        </is>
      </c>
      <c r="H3276" s="7" t="n">
        <v>0.5</v>
      </c>
      <c r="I3276" s="8" t="n">
        <v>45.81</v>
      </c>
      <c r="J3276" s="8" t="n">
        <v>214.22</v>
      </c>
      <c r="K3276" s="8" t="n">
        <v>0</v>
      </c>
      <c r="L3276" s="8" t="n">
        <v>0</v>
      </c>
      <c r="M3276" s="9">
        <f>ROUND(SUM(I3276:L3276),2)</f>
        <v/>
      </c>
      <c r="N3276" s="10">
        <f>ROUND(I3276*'Irish Basis'!$C$6*'Irish Basis'!$C$5,2)</f>
        <v/>
      </c>
      <c r="O3276" s="10">
        <f>ROUND(J3276*'Irish Basis'!$C$7*'Irish Basis'!$C$5,2)</f>
        <v/>
      </c>
      <c r="P3276" s="10">
        <f>ROUND(K3276*'Irish Basis'!$C$8*'Irish Basis'!$C$5,2)</f>
        <v/>
      </c>
      <c r="Q3276" s="10">
        <f>ROUND(L3276*'Irish Basis'!$C$12*'Irish Basis'!$C$5,2)</f>
        <v/>
      </c>
      <c r="R3276" s="11">
        <f>ROUND(SUM(N3276:Q3276),2)</f>
        <v/>
      </c>
      <c r="S3276" s="5" t="inlineStr">
        <is>
          <t>Stated build-up</t>
        </is>
      </c>
      <c r="T3276" s="12" t="inlineStr">
        <is>
          <t>High</t>
        </is>
      </c>
      <c r="U3276" s="8" t="n">
        <v>260.04</v>
      </c>
      <c r="V3276" s="13">
        <f>IF(U3276="","",ROUND(M3276-U3276,2))</f>
        <v/>
      </c>
      <c r="W3276" s="5" t="n"/>
      <c r="X3276" s="5" t="inlineStr">
        <is>
          <t>Labour + plant + material as published; reconciles to the published rate.</t>
        </is>
      </c>
    </row>
    <row r="3277" ht="13" customHeight="1">
      <c r="A3277" s="4" t="n">
        <v>5003</v>
      </c>
      <c r="B3277" s="5" t="inlineStr">
        <is>
          <t>IMG_0133</t>
        </is>
      </c>
      <c r="C3277" s="5" t="inlineStr">
        <is>
          <t>CLASS S: RAIL TRACK</t>
        </is>
      </c>
      <c r="D3277" s="5" t="inlineStr">
        <is>
          <t>01 TRACK FOUNDATIONS</t>
        </is>
      </c>
      <c r="E3277" s="5" t="inlineStr">
        <is>
          <t>Pneumatic ballast injection</t>
        </is>
      </c>
      <c r="F3277" s="5" t="inlineStr">
        <is>
          <t>Pneumatic ballast injection: Stone blowing</t>
        </is>
      </c>
      <c r="G3277" s="6" t="inlineStr">
        <is>
          <t>m2</t>
        </is>
      </c>
      <c r="H3277" s="7" t="n">
        <v>0.5</v>
      </c>
      <c r="I3277" s="8" t="n">
        <v>45.81</v>
      </c>
      <c r="J3277" s="8" t="n">
        <v>24.05</v>
      </c>
      <c r="K3277" s="8" t="n">
        <v>0</v>
      </c>
      <c r="L3277" s="8" t="n">
        <v>0</v>
      </c>
      <c r="M3277" s="9">
        <f>ROUND(SUM(I3277:L3277),2)</f>
        <v/>
      </c>
      <c r="N3277" s="10">
        <f>ROUND(I3277*'Irish Basis'!$C$6*'Irish Basis'!$C$5,2)</f>
        <v/>
      </c>
      <c r="O3277" s="10">
        <f>ROUND(J3277*'Irish Basis'!$C$7*'Irish Basis'!$C$5,2)</f>
        <v/>
      </c>
      <c r="P3277" s="10">
        <f>ROUND(K3277*'Irish Basis'!$C$8*'Irish Basis'!$C$5,2)</f>
        <v/>
      </c>
      <c r="Q3277" s="10">
        <f>ROUND(L3277*'Irish Basis'!$C$12*'Irish Basis'!$C$5,2)</f>
        <v/>
      </c>
      <c r="R3277" s="11">
        <f>ROUND(SUM(N3277:Q3277),2)</f>
        <v/>
      </c>
      <c r="S3277" s="5" t="inlineStr">
        <is>
          <t>Stated build-up</t>
        </is>
      </c>
      <c r="T3277" s="12" t="inlineStr">
        <is>
          <t>High</t>
        </is>
      </c>
      <c r="U3277" s="8" t="n">
        <v>69.86</v>
      </c>
      <c r="V3277" s="13">
        <f>IF(U3277="","",ROUND(M3277-U3277,2))</f>
        <v/>
      </c>
      <c r="W3277" s="5" t="n"/>
      <c r="X3277" s="5" t="inlineStr">
        <is>
          <t>Labour + plant + material as published; reconciles to the published rate.</t>
        </is>
      </c>
    </row>
    <row r="3278" ht="13" customHeight="1">
      <c r="A3278" s="4" t="n">
        <v>5006</v>
      </c>
      <c r="B3278" s="5" t="inlineStr">
        <is>
          <t>IMG_0133</t>
        </is>
      </c>
      <c r="C3278" s="5" t="inlineStr">
        <is>
          <t>CLASS S: RAIL TRACK</t>
        </is>
      </c>
      <c r="D3278" s="5" t="inlineStr">
        <is>
          <t>02 TAKING UP</t>
        </is>
      </c>
      <c r="E3278" s="5" t="inlineStr">
        <is>
          <t>Taking up; dismantling into individual components; sorting; storing on site where directed; Bullhead or flat bottom rails</t>
        </is>
      </c>
      <c r="F3278" s="5" t="inlineStr">
        <is>
          <t>plain track; fishplated; timber sleepers</t>
        </is>
      </c>
      <c r="G3278" s="6" t="inlineStr">
        <is>
          <t>m</t>
        </is>
      </c>
      <c r="H3278" s="7" t="n">
        <v>0.06</v>
      </c>
      <c r="I3278" s="8" t="n">
        <v>6.89</v>
      </c>
      <c r="J3278" s="8" t="n">
        <v>0</v>
      </c>
      <c r="K3278" s="8" t="n">
        <v>0</v>
      </c>
      <c r="L3278" s="8" t="n">
        <v>0</v>
      </c>
      <c r="M3278" s="9">
        <f>ROUND(SUM(I3278:L3278),2)</f>
        <v/>
      </c>
      <c r="N3278" s="10">
        <f>ROUND(I3278*'Irish Basis'!$C$6*'Irish Basis'!$C$5,2)</f>
        <v/>
      </c>
      <c r="O3278" s="10">
        <f>ROUND(J3278*'Irish Basis'!$C$7*'Irish Basis'!$C$5,2)</f>
        <v/>
      </c>
      <c r="P3278" s="10">
        <f>ROUND(K3278*'Irish Basis'!$C$8*'Irish Basis'!$C$5,2)</f>
        <v/>
      </c>
      <c r="Q3278" s="10">
        <f>ROUND(L3278*'Irish Basis'!$C$12*'Irish Basis'!$C$5,2)</f>
        <v/>
      </c>
      <c r="R3278" s="11">
        <f>ROUND(SUM(N3278:Q3278),2)</f>
        <v/>
      </c>
      <c r="S3278" s="5" t="inlineStr">
        <is>
          <t>Stated build-up</t>
        </is>
      </c>
      <c r="T3278" s="12" t="inlineStr">
        <is>
          <t>High</t>
        </is>
      </c>
      <c r="U3278" s="8" t="n">
        <v>6.89</v>
      </c>
      <c r="V3278" s="13">
        <f>IF(U3278="","",ROUND(M3278-U3278,2))</f>
        <v/>
      </c>
      <c r="W3278" s="5" t="n"/>
      <c r="X3278" s="5" t="inlineStr">
        <is>
          <t>Labour + plant + material as published; reconciles to the published rate.</t>
        </is>
      </c>
    </row>
    <row r="3279" ht="13" customHeight="1">
      <c r="A3279" s="4" t="n">
        <v>5007</v>
      </c>
      <c r="B3279" s="5" t="inlineStr">
        <is>
          <t>IMG_0133</t>
        </is>
      </c>
      <c r="C3279" s="5" t="inlineStr">
        <is>
          <t>CLASS S: RAIL TRACK</t>
        </is>
      </c>
      <c r="D3279" s="5" t="inlineStr">
        <is>
          <t>02 TAKING UP</t>
        </is>
      </c>
      <c r="E3279" s="5" t="inlineStr">
        <is>
          <t>Taking up; dismantling into individual components; sorting; storing on site where directed; Bullhead or flat bottom rails</t>
        </is>
      </c>
      <c r="F3279" s="5" t="inlineStr">
        <is>
          <t>plain track; fishplated; concrete sleepers</t>
        </is>
      </c>
      <c r="G3279" s="6" t="inlineStr">
        <is>
          <t>m</t>
        </is>
      </c>
      <c r="H3279" s="7" t="n">
        <v>0.08</v>
      </c>
      <c r="I3279" s="8" t="n">
        <v>9.640000000000001</v>
      </c>
      <c r="J3279" s="8" t="n">
        <v>0</v>
      </c>
      <c r="K3279" s="8" t="n">
        <v>0</v>
      </c>
      <c r="L3279" s="8" t="n">
        <v>0</v>
      </c>
      <c r="M3279" s="9">
        <f>ROUND(SUM(I3279:L3279),2)</f>
        <v/>
      </c>
      <c r="N3279" s="10">
        <f>ROUND(I3279*'Irish Basis'!$C$6*'Irish Basis'!$C$5,2)</f>
        <v/>
      </c>
      <c r="O3279" s="10">
        <f>ROUND(J3279*'Irish Basis'!$C$7*'Irish Basis'!$C$5,2)</f>
        <v/>
      </c>
      <c r="P3279" s="10">
        <f>ROUND(K3279*'Irish Basis'!$C$8*'Irish Basis'!$C$5,2)</f>
        <v/>
      </c>
      <c r="Q3279" s="10">
        <f>ROUND(L3279*'Irish Basis'!$C$12*'Irish Basis'!$C$5,2)</f>
        <v/>
      </c>
      <c r="R3279" s="11">
        <f>ROUND(SUM(N3279:Q3279),2)</f>
        <v/>
      </c>
      <c r="S3279" s="5" t="inlineStr">
        <is>
          <t>Stated build-up</t>
        </is>
      </c>
      <c r="T3279" s="12" t="inlineStr">
        <is>
          <t>High</t>
        </is>
      </c>
      <c r="U3279" s="8" t="n">
        <v>9.640000000000001</v>
      </c>
      <c r="V3279" s="13">
        <f>IF(U3279="","",ROUND(M3279-U3279,2))</f>
        <v/>
      </c>
      <c r="W3279" s="5" t="n"/>
      <c r="X3279" s="5" t="inlineStr">
        <is>
          <t>Labour + plant + material as published; reconciles to the published rate.</t>
        </is>
      </c>
    </row>
    <row r="3280" ht="13" customHeight="1">
      <c r="A3280" s="4" t="n">
        <v>5008</v>
      </c>
      <c r="B3280" s="5" t="inlineStr">
        <is>
          <t>IMG_0133</t>
        </is>
      </c>
      <c r="C3280" s="5" t="inlineStr">
        <is>
          <t>CLASS S: RAIL TRACK</t>
        </is>
      </c>
      <c r="D3280" s="5" t="inlineStr">
        <is>
          <t>02 TAKING UP</t>
        </is>
      </c>
      <c r="E3280" s="5" t="inlineStr">
        <is>
          <t>Taking up; dismantling into individual components; sorting; storing on site where directed; Bullhead or flat bottom rails</t>
        </is>
      </c>
      <c r="F3280" s="5" t="inlineStr">
        <is>
          <t>plain track; welded; timber sleepers</t>
        </is>
      </c>
      <c r="G3280" s="6" t="inlineStr">
        <is>
          <t>m</t>
        </is>
      </c>
      <c r="H3280" s="7" t="n">
        <v>0.06</v>
      </c>
      <c r="I3280" s="8" t="n">
        <v>6.89</v>
      </c>
      <c r="J3280" s="8" t="n">
        <v>0</v>
      </c>
      <c r="K3280" s="8" t="n">
        <v>0</v>
      </c>
      <c r="L3280" s="8" t="n">
        <v>0</v>
      </c>
      <c r="M3280" s="9">
        <f>ROUND(SUM(I3280:L3280),2)</f>
        <v/>
      </c>
      <c r="N3280" s="10">
        <f>ROUND(I3280*'Irish Basis'!$C$6*'Irish Basis'!$C$5,2)</f>
        <v/>
      </c>
      <c r="O3280" s="10">
        <f>ROUND(J3280*'Irish Basis'!$C$7*'Irish Basis'!$C$5,2)</f>
        <v/>
      </c>
      <c r="P3280" s="10">
        <f>ROUND(K3280*'Irish Basis'!$C$8*'Irish Basis'!$C$5,2)</f>
        <v/>
      </c>
      <c r="Q3280" s="10">
        <f>ROUND(L3280*'Irish Basis'!$C$12*'Irish Basis'!$C$5,2)</f>
        <v/>
      </c>
      <c r="R3280" s="11">
        <f>ROUND(SUM(N3280:Q3280),2)</f>
        <v/>
      </c>
      <c r="S3280" s="5" t="inlineStr">
        <is>
          <t>Stated build-up</t>
        </is>
      </c>
      <c r="T3280" s="12" t="inlineStr">
        <is>
          <t>High</t>
        </is>
      </c>
      <c r="U3280" s="8" t="n">
        <v>6.89</v>
      </c>
      <c r="V3280" s="13">
        <f>IF(U3280="","",ROUND(M3280-U3280,2))</f>
        <v/>
      </c>
      <c r="W3280" s="5" t="n"/>
      <c r="X3280" s="5" t="inlineStr">
        <is>
          <t>Labour + plant + material as published; reconciles to the published rate.</t>
        </is>
      </c>
    </row>
    <row r="3281" ht="13" customHeight="1">
      <c r="A3281" s="4" t="n">
        <v>5009</v>
      </c>
      <c r="B3281" s="5" t="inlineStr">
        <is>
          <t>IMG_0133</t>
        </is>
      </c>
      <c r="C3281" s="5" t="inlineStr">
        <is>
          <t>CLASS S: RAIL TRACK</t>
        </is>
      </c>
      <c r="D3281" s="5" t="inlineStr">
        <is>
          <t>02 TAKING UP</t>
        </is>
      </c>
      <c r="E3281" s="5" t="inlineStr">
        <is>
          <t>Taking up; dismantling into individual components; sorting; storing on site where directed; Bullhead or flat bottom rails</t>
        </is>
      </c>
      <c r="F3281" s="5" t="inlineStr">
        <is>
          <t>plain track; welded; concrete sleepers</t>
        </is>
      </c>
      <c r="G3281" s="6" t="inlineStr">
        <is>
          <t>m</t>
        </is>
      </c>
      <c r="H3281" s="7" t="n">
        <v>0.08</v>
      </c>
      <c r="I3281" s="8" t="n">
        <v>9.640000000000001</v>
      </c>
      <c r="J3281" s="8" t="n">
        <v>0</v>
      </c>
      <c r="K3281" s="8" t="n">
        <v>0</v>
      </c>
      <c r="L3281" s="8" t="n">
        <v>0</v>
      </c>
      <c r="M3281" s="9">
        <f>ROUND(SUM(I3281:L3281),2)</f>
        <v/>
      </c>
      <c r="N3281" s="10">
        <f>ROUND(I3281*'Irish Basis'!$C$6*'Irish Basis'!$C$5,2)</f>
        <v/>
      </c>
      <c r="O3281" s="10">
        <f>ROUND(J3281*'Irish Basis'!$C$7*'Irish Basis'!$C$5,2)</f>
        <v/>
      </c>
      <c r="P3281" s="10">
        <f>ROUND(K3281*'Irish Basis'!$C$8*'Irish Basis'!$C$5,2)</f>
        <v/>
      </c>
      <c r="Q3281" s="10">
        <f>ROUND(L3281*'Irish Basis'!$C$12*'Irish Basis'!$C$5,2)</f>
        <v/>
      </c>
      <c r="R3281" s="11">
        <f>ROUND(SUM(N3281:Q3281),2)</f>
        <v/>
      </c>
      <c r="S3281" s="5" t="inlineStr">
        <is>
          <t>Stated build-up</t>
        </is>
      </c>
      <c r="T3281" s="12" t="inlineStr">
        <is>
          <t>High</t>
        </is>
      </c>
      <c r="U3281" s="8" t="n">
        <v>9.640000000000001</v>
      </c>
      <c r="V3281" s="13">
        <f>IF(U3281="","",ROUND(M3281-U3281,2))</f>
        <v/>
      </c>
      <c r="W3281" s="5" t="n"/>
      <c r="X3281" s="5" t="inlineStr">
        <is>
          <t>Labour + plant + material as published; reconciles to the published rate.</t>
        </is>
      </c>
    </row>
    <row r="3282" ht="13" customHeight="1">
      <c r="A3282" s="4" t="n">
        <v>5010</v>
      </c>
      <c r="B3282" s="5" t="inlineStr">
        <is>
          <t>IMG_0133</t>
        </is>
      </c>
      <c r="C3282" s="5" t="inlineStr">
        <is>
          <t>CLASS S: RAIL TRACK</t>
        </is>
      </c>
      <c r="D3282" s="5" t="inlineStr">
        <is>
          <t>02 TAKING UP</t>
        </is>
      </c>
      <c r="E3282" s="5" t="inlineStr">
        <is>
          <t>Taking up; dismantling into individual components; sorting; storing on site where directed; Bullhead or flat bottom rails</t>
        </is>
      </c>
      <c r="F3282" s="5" t="inlineStr">
        <is>
          <t>turnouts; fishplated; timber sleepers</t>
        </is>
      </c>
      <c r="G3282" s="6" t="inlineStr">
        <is>
          <t>nr</t>
        </is>
      </c>
      <c r="H3282" s="7" t="n">
        <v>6.36</v>
      </c>
      <c r="I3282" s="8" t="n">
        <v>773.79</v>
      </c>
      <c r="J3282" s="8" t="n">
        <v>0</v>
      </c>
      <c r="K3282" s="8" t="n">
        <v>0</v>
      </c>
      <c r="L3282" s="8" t="n">
        <v>0</v>
      </c>
      <c r="M3282" s="9">
        <f>ROUND(SUM(I3282:L3282),2)</f>
        <v/>
      </c>
      <c r="N3282" s="10">
        <f>ROUND(I3282*'Irish Basis'!$C$6*'Irish Basis'!$C$5,2)</f>
        <v/>
      </c>
      <c r="O3282" s="10">
        <f>ROUND(J3282*'Irish Basis'!$C$7*'Irish Basis'!$C$5,2)</f>
        <v/>
      </c>
      <c r="P3282" s="10">
        <f>ROUND(K3282*'Irish Basis'!$C$8*'Irish Basis'!$C$5,2)</f>
        <v/>
      </c>
      <c r="Q3282" s="10">
        <f>ROUND(L3282*'Irish Basis'!$C$12*'Irish Basis'!$C$5,2)</f>
        <v/>
      </c>
      <c r="R3282" s="11">
        <f>ROUND(SUM(N3282:Q3282),2)</f>
        <v/>
      </c>
      <c r="S3282" s="5" t="inlineStr">
        <is>
          <t>Stated build-up</t>
        </is>
      </c>
      <c r="T3282" s="12" t="inlineStr">
        <is>
          <t>High</t>
        </is>
      </c>
      <c r="U3282" s="8" t="n">
        <v>773.79</v>
      </c>
      <c r="V3282" s="13">
        <f>IF(U3282="","",ROUND(M3282-U3282,2))</f>
        <v/>
      </c>
      <c r="W3282" s="5" t="n"/>
      <c r="X3282" s="5" t="inlineStr">
        <is>
          <t>Labour + plant + material as published; reconciles to the published rate.</t>
        </is>
      </c>
    </row>
    <row r="3283" ht="13" customHeight="1">
      <c r="A3283" s="4" t="n">
        <v>5011</v>
      </c>
      <c r="B3283" s="5" t="inlineStr">
        <is>
          <t>IMG_0133</t>
        </is>
      </c>
      <c r="C3283" s="5" t="inlineStr">
        <is>
          <t>CLASS S: RAIL TRACK</t>
        </is>
      </c>
      <c r="D3283" s="5" t="inlineStr">
        <is>
          <t>02 TAKING UP</t>
        </is>
      </c>
      <c r="E3283" s="5" t="inlineStr">
        <is>
          <t>Taking up; dismantling into individual components; sorting; storing on site where directed; Bullhead or flat bottom rails</t>
        </is>
      </c>
      <c r="F3283" s="5" t="inlineStr">
        <is>
          <t>diamond crossings; fishplated; timber sleepers</t>
        </is>
      </c>
      <c r="G3283" s="6" t="inlineStr">
        <is>
          <t>nr</t>
        </is>
      </c>
      <c r="H3283" s="7" t="n">
        <v>10.34</v>
      </c>
      <c r="I3283" s="8" t="n">
        <v>1257.4</v>
      </c>
      <c r="J3283" s="8" t="n">
        <v>0</v>
      </c>
      <c r="K3283" s="8" t="n">
        <v>0</v>
      </c>
      <c r="L3283" s="8" t="n">
        <v>0</v>
      </c>
      <c r="M3283" s="9">
        <f>ROUND(SUM(I3283:L3283),2)</f>
        <v/>
      </c>
      <c r="N3283" s="10">
        <f>ROUND(I3283*'Irish Basis'!$C$6*'Irish Basis'!$C$5,2)</f>
        <v/>
      </c>
      <c r="O3283" s="10">
        <f>ROUND(J3283*'Irish Basis'!$C$7*'Irish Basis'!$C$5,2)</f>
        <v/>
      </c>
      <c r="P3283" s="10">
        <f>ROUND(K3283*'Irish Basis'!$C$8*'Irish Basis'!$C$5,2)</f>
        <v/>
      </c>
      <c r="Q3283" s="10">
        <f>ROUND(L3283*'Irish Basis'!$C$12*'Irish Basis'!$C$5,2)</f>
        <v/>
      </c>
      <c r="R3283" s="11">
        <f>ROUND(SUM(N3283:Q3283),2)</f>
        <v/>
      </c>
      <c r="S3283" s="5" t="inlineStr">
        <is>
          <t>Stated build-up</t>
        </is>
      </c>
      <c r="T3283" s="12" t="inlineStr">
        <is>
          <t>High</t>
        </is>
      </c>
      <c r="U3283" s="8" t="n">
        <v>1257.4</v>
      </c>
      <c r="V3283" s="13">
        <f>IF(U3283="","",ROUND(M3283-U3283,2))</f>
        <v/>
      </c>
      <c r="W3283" s="5" t="n"/>
      <c r="X3283" s="5" t="inlineStr">
        <is>
          <t>Labour + plant + material as published; reconciles to the published rate.</t>
        </is>
      </c>
    </row>
    <row r="3284" ht="13" customHeight="1">
      <c r="A3284" s="4" t="n">
        <v>5013</v>
      </c>
      <c r="B3284" s="5" t="inlineStr">
        <is>
          <t>IMG_0133</t>
        </is>
      </c>
      <c r="C3284" s="5" t="inlineStr">
        <is>
          <t>CLASS S: RAIL TRACK</t>
        </is>
      </c>
      <c r="D3284" s="5" t="inlineStr">
        <is>
          <t>02 TAKING UP</t>
        </is>
      </c>
      <c r="E3284" s="5" t="inlineStr">
        <is>
          <t>Dock and crane rails</t>
        </is>
      </c>
      <c r="F3284" s="5" t="inlineStr">
        <is>
          <t>plain track; welded; base plates</t>
        </is>
      </c>
      <c r="G3284" s="6" t="inlineStr">
        <is>
          <t>m</t>
        </is>
      </c>
      <c r="H3284" s="7" t="n">
        <v>0.1</v>
      </c>
      <c r="I3284" s="8" t="n">
        <v>12.39</v>
      </c>
      <c r="J3284" s="8" t="n">
        <v>0</v>
      </c>
      <c r="K3284" s="8" t="n">
        <v>0</v>
      </c>
      <c r="L3284" s="8" t="n">
        <v>0</v>
      </c>
      <c r="M3284" s="9">
        <f>ROUND(SUM(I3284:L3284),2)</f>
        <v/>
      </c>
      <c r="N3284" s="10">
        <f>ROUND(I3284*'Irish Basis'!$C$6*'Irish Basis'!$C$5,2)</f>
        <v/>
      </c>
      <c r="O3284" s="10">
        <f>ROUND(J3284*'Irish Basis'!$C$7*'Irish Basis'!$C$5,2)</f>
        <v/>
      </c>
      <c r="P3284" s="10">
        <f>ROUND(K3284*'Irish Basis'!$C$8*'Irish Basis'!$C$5,2)</f>
        <v/>
      </c>
      <c r="Q3284" s="10">
        <f>ROUND(L3284*'Irish Basis'!$C$12*'Irish Basis'!$C$5,2)</f>
        <v/>
      </c>
      <c r="R3284" s="11">
        <f>ROUND(SUM(N3284:Q3284),2)</f>
        <v/>
      </c>
      <c r="S3284" s="5" t="inlineStr">
        <is>
          <t>Stated build-up</t>
        </is>
      </c>
      <c r="T3284" s="12" t="inlineStr">
        <is>
          <t>High</t>
        </is>
      </c>
      <c r="U3284" s="8" t="n">
        <v>12.39</v>
      </c>
      <c r="V3284" s="13">
        <f>IF(U3284="","",ROUND(M3284-U3284,2))</f>
        <v/>
      </c>
      <c r="W3284" s="5" t="n"/>
      <c r="X3284" s="5" t="inlineStr">
        <is>
          <t>Labour + plant + material as published; reconciles to the published rate.</t>
        </is>
      </c>
    </row>
    <row r="3285" ht="13" customHeight="1">
      <c r="A3285" s="4" t="n">
        <v>5014</v>
      </c>
      <c r="B3285" s="5" t="inlineStr">
        <is>
          <t>IMG_0133</t>
        </is>
      </c>
      <c r="C3285" s="5" t="inlineStr">
        <is>
          <t>CLASS S: RAIL TRACK</t>
        </is>
      </c>
      <c r="D3285" s="5" t="inlineStr">
        <is>
          <t>02 TAKING UP</t>
        </is>
      </c>
      <c r="E3285" s="5" t="inlineStr">
        <is>
          <t>Dock and crane rails</t>
        </is>
      </c>
      <c r="F3285" s="5" t="inlineStr">
        <is>
          <t>turnouts; welded; base plates</t>
        </is>
      </c>
      <c r="G3285" s="6" t="inlineStr">
        <is>
          <t>nr</t>
        </is>
      </c>
      <c r="H3285" s="7" t="n">
        <v>6.36</v>
      </c>
      <c r="I3285" s="8" t="n">
        <v>773.79</v>
      </c>
      <c r="J3285" s="8" t="n">
        <v>0</v>
      </c>
      <c r="K3285" s="8" t="n">
        <v>0</v>
      </c>
      <c r="L3285" s="8" t="n">
        <v>0</v>
      </c>
      <c r="M3285" s="9">
        <f>ROUND(SUM(I3285:L3285),2)</f>
        <v/>
      </c>
      <c r="N3285" s="10">
        <f>ROUND(I3285*'Irish Basis'!$C$6*'Irish Basis'!$C$5,2)</f>
        <v/>
      </c>
      <c r="O3285" s="10">
        <f>ROUND(J3285*'Irish Basis'!$C$7*'Irish Basis'!$C$5,2)</f>
        <v/>
      </c>
      <c r="P3285" s="10">
        <f>ROUND(K3285*'Irish Basis'!$C$8*'Irish Basis'!$C$5,2)</f>
        <v/>
      </c>
      <c r="Q3285" s="10">
        <f>ROUND(L3285*'Irish Basis'!$C$12*'Irish Basis'!$C$5,2)</f>
        <v/>
      </c>
      <c r="R3285" s="11">
        <f>ROUND(SUM(N3285:Q3285),2)</f>
        <v/>
      </c>
      <c r="S3285" s="5" t="inlineStr">
        <is>
          <t>Stated build-up</t>
        </is>
      </c>
      <c r="T3285" s="12" t="inlineStr">
        <is>
          <t>High</t>
        </is>
      </c>
      <c r="U3285" s="8" t="n">
        <v>773.79</v>
      </c>
      <c r="V3285" s="13">
        <f>IF(U3285="","",ROUND(M3285-U3285,2))</f>
        <v/>
      </c>
      <c r="W3285" s="5" t="n"/>
      <c r="X3285" s="5" t="inlineStr">
        <is>
          <t>Labour + plant + material as published; reconciles to the published rate.</t>
        </is>
      </c>
    </row>
    <row r="3286" ht="13" customHeight="1">
      <c r="A3286" s="4" t="n">
        <v>5015</v>
      </c>
      <c r="B3286" s="5" t="inlineStr">
        <is>
          <t>IMG_0133</t>
        </is>
      </c>
      <c r="C3286" s="5" t="inlineStr">
        <is>
          <t>CLASS S: RAIL TRACK</t>
        </is>
      </c>
      <c r="D3286" s="5" t="inlineStr">
        <is>
          <t>02 TAKING UP</t>
        </is>
      </c>
      <c r="E3286" s="5" t="inlineStr">
        <is>
          <t>Dock and crane rails</t>
        </is>
      </c>
      <c r="F3286" s="5" t="inlineStr">
        <is>
          <t>diamonds; welded; base plates</t>
        </is>
      </c>
      <c r="G3286" s="6" t="inlineStr">
        <is>
          <t>nr</t>
        </is>
      </c>
      <c r="H3286" s="7" t="n">
        <v>10.34</v>
      </c>
      <c r="I3286" s="8" t="n">
        <v>1257.4</v>
      </c>
      <c r="J3286" s="8" t="n">
        <v>0</v>
      </c>
      <c r="K3286" s="8" t="n">
        <v>0</v>
      </c>
      <c r="L3286" s="8" t="n">
        <v>0</v>
      </c>
      <c r="M3286" s="9">
        <f>ROUND(SUM(I3286:L3286),2)</f>
        <v/>
      </c>
      <c r="N3286" s="10">
        <f>ROUND(I3286*'Irish Basis'!$C$6*'Irish Basis'!$C$5,2)</f>
        <v/>
      </c>
      <c r="O3286" s="10">
        <f>ROUND(J3286*'Irish Basis'!$C$7*'Irish Basis'!$C$5,2)</f>
        <v/>
      </c>
      <c r="P3286" s="10">
        <f>ROUND(K3286*'Irish Basis'!$C$8*'Irish Basis'!$C$5,2)</f>
        <v/>
      </c>
      <c r="Q3286" s="10">
        <f>ROUND(L3286*'Irish Basis'!$C$12*'Irish Basis'!$C$5,2)</f>
        <v/>
      </c>
      <c r="R3286" s="11">
        <f>ROUND(SUM(N3286:Q3286),2)</f>
        <v/>
      </c>
      <c r="S3286" s="5" t="inlineStr">
        <is>
          <t>Stated build-up</t>
        </is>
      </c>
      <c r="T3286" s="12" t="inlineStr">
        <is>
          <t>High</t>
        </is>
      </c>
      <c r="U3286" s="8" t="n">
        <v>1257.4</v>
      </c>
      <c r="V3286" s="13">
        <f>IF(U3286="","",ROUND(M3286-U3286,2))</f>
        <v/>
      </c>
      <c r="W3286" s="5" t="n"/>
      <c r="X3286" s="5" t="inlineStr">
        <is>
          <t>Labour + plant + material as published; reconciles to the published rate.</t>
        </is>
      </c>
    </row>
    <row r="3287" ht="13" customHeight="1">
      <c r="A3287" s="4" t="n">
        <v>5017</v>
      </c>
      <c r="B3287" s="5" t="inlineStr">
        <is>
          <t>IMG_0133</t>
        </is>
      </c>
      <c r="C3287" s="5" t="inlineStr">
        <is>
          <t>CLASS S: RAIL TRACK</t>
        </is>
      </c>
      <c r="D3287" s="5" t="inlineStr">
        <is>
          <t>02 TAKING UP</t>
        </is>
      </c>
      <c r="E3287" s="5" t="inlineStr">
        <is>
          <t>Check and guard rails</t>
        </is>
      </c>
      <c r="F3287" s="5" t="inlineStr">
        <is>
          <t>plain track; fishplated</t>
        </is>
      </c>
      <c r="G3287" s="6" t="inlineStr">
        <is>
          <t>m</t>
        </is>
      </c>
      <c r="H3287" s="7" t="n">
        <v>0.06</v>
      </c>
      <c r="I3287" s="8" t="n">
        <v>6.89</v>
      </c>
      <c r="J3287" s="8" t="n">
        <v>0</v>
      </c>
      <c r="K3287" s="8" t="n">
        <v>0</v>
      </c>
      <c r="L3287" s="8" t="n">
        <v>0</v>
      </c>
      <c r="M3287" s="9">
        <f>ROUND(SUM(I3287:L3287),2)</f>
        <v/>
      </c>
      <c r="N3287" s="10">
        <f>ROUND(I3287*'Irish Basis'!$C$6*'Irish Basis'!$C$5,2)</f>
        <v/>
      </c>
      <c r="O3287" s="10">
        <f>ROUND(J3287*'Irish Basis'!$C$7*'Irish Basis'!$C$5,2)</f>
        <v/>
      </c>
      <c r="P3287" s="10">
        <f>ROUND(K3287*'Irish Basis'!$C$8*'Irish Basis'!$C$5,2)</f>
        <v/>
      </c>
      <c r="Q3287" s="10">
        <f>ROUND(L3287*'Irish Basis'!$C$12*'Irish Basis'!$C$5,2)</f>
        <v/>
      </c>
      <c r="R3287" s="11">
        <f>ROUND(SUM(N3287:Q3287),2)</f>
        <v/>
      </c>
      <c r="S3287" s="5" t="inlineStr">
        <is>
          <t>Stated build-up</t>
        </is>
      </c>
      <c r="T3287" s="12" t="inlineStr">
        <is>
          <t>High</t>
        </is>
      </c>
      <c r="U3287" s="8" t="n">
        <v>6.89</v>
      </c>
      <c r="V3287" s="13">
        <f>IF(U3287="","",ROUND(M3287-U3287,2))</f>
        <v/>
      </c>
      <c r="W3287" s="5" t="n"/>
      <c r="X3287" s="5" t="inlineStr">
        <is>
          <t>Labour + plant + material as published; reconciles to the published rate.</t>
        </is>
      </c>
    </row>
    <row r="3288" ht="13" customHeight="1">
      <c r="A3288" s="4" t="n">
        <v>5019</v>
      </c>
      <c r="B3288" s="5" t="inlineStr">
        <is>
          <t>IMG_0133</t>
        </is>
      </c>
      <c r="C3288" s="5" t="inlineStr">
        <is>
          <t>CLASS S: RAIL TRACK</t>
        </is>
      </c>
      <c r="D3288" s="5" t="inlineStr">
        <is>
          <t>02 TAKING UP</t>
        </is>
      </c>
      <c r="E3288" s="5" t="inlineStr">
        <is>
          <t>Conductor rails</t>
        </is>
      </c>
      <c r="F3288" s="5" t="inlineStr">
        <is>
          <t>plain track; fishplated</t>
        </is>
      </c>
      <c r="G3288" s="6" t="inlineStr">
        <is>
          <t>m</t>
        </is>
      </c>
      <c r="H3288" s="7" t="n">
        <v>0.06</v>
      </c>
      <c r="I3288" s="8" t="n">
        <v>7.23</v>
      </c>
      <c r="J3288" s="8" t="n">
        <v>0</v>
      </c>
      <c r="K3288" s="8" t="n">
        <v>0</v>
      </c>
      <c r="L3288" s="8" t="n">
        <v>0</v>
      </c>
      <c r="M3288" s="9">
        <f>ROUND(SUM(I3288:L3288),2)</f>
        <v/>
      </c>
      <c r="N3288" s="10">
        <f>ROUND(I3288*'Irish Basis'!$C$6*'Irish Basis'!$C$5,2)</f>
        <v/>
      </c>
      <c r="O3288" s="10">
        <f>ROUND(J3288*'Irish Basis'!$C$7*'Irish Basis'!$C$5,2)</f>
        <v/>
      </c>
      <c r="P3288" s="10">
        <f>ROUND(K3288*'Irish Basis'!$C$8*'Irish Basis'!$C$5,2)</f>
        <v/>
      </c>
      <c r="Q3288" s="10">
        <f>ROUND(L3288*'Irish Basis'!$C$12*'Irish Basis'!$C$5,2)</f>
        <v/>
      </c>
      <c r="R3288" s="11">
        <f>ROUND(SUM(N3288:Q3288),2)</f>
        <v/>
      </c>
      <c r="S3288" s="5" t="inlineStr">
        <is>
          <t>Stated build-up</t>
        </is>
      </c>
      <c r="T3288" s="12" t="inlineStr">
        <is>
          <t>High</t>
        </is>
      </c>
      <c r="U3288" s="8" t="n">
        <v>7.23</v>
      </c>
      <c r="V3288" s="13">
        <f>IF(U3288="","",ROUND(M3288-U3288,2))</f>
        <v/>
      </c>
      <c r="W3288" s="5" t="n"/>
      <c r="X3288" s="5" t="inlineStr">
        <is>
          <t>Labour + plant + material as published; reconciles to the published rate.</t>
        </is>
      </c>
    </row>
    <row r="3289" ht="13" customHeight="1">
      <c r="A3289" s="4" t="n">
        <v>5021</v>
      </c>
      <c r="B3289" s="5" t="inlineStr">
        <is>
          <t>IMG_0133</t>
        </is>
      </c>
      <c r="C3289" s="5" t="inlineStr">
        <is>
          <t>CLASS S: RAIL TRACK</t>
        </is>
      </c>
      <c r="D3289" s="5" t="inlineStr">
        <is>
          <t>02 TAKING UP</t>
        </is>
      </c>
      <c r="E3289" s="5" t="inlineStr">
        <is>
          <t>Sundries</t>
        </is>
      </c>
      <c r="F3289" s="5" t="inlineStr">
        <is>
          <t>buffer stops</t>
        </is>
      </c>
      <c r="G3289" s="6" t="inlineStr">
        <is>
          <t>nr</t>
        </is>
      </c>
      <c r="H3289" s="7" t="n">
        <v>1.33</v>
      </c>
      <c r="I3289" s="8" t="n">
        <v>161.21</v>
      </c>
      <c r="J3289" s="8" t="n">
        <v>0</v>
      </c>
      <c r="K3289" s="8" t="n">
        <v>0</v>
      </c>
      <c r="L3289" s="8" t="n">
        <v>0</v>
      </c>
      <c r="M3289" s="9">
        <f>ROUND(SUM(I3289:L3289),2)</f>
        <v/>
      </c>
      <c r="N3289" s="10">
        <f>ROUND(I3289*'Irish Basis'!$C$6*'Irish Basis'!$C$5,2)</f>
        <v/>
      </c>
      <c r="O3289" s="10">
        <f>ROUND(J3289*'Irish Basis'!$C$7*'Irish Basis'!$C$5,2)</f>
        <v/>
      </c>
      <c r="P3289" s="10">
        <f>ROUND(K3289*'Irish Basis'!$C$8*'Irish Basis'!$C$5,2)</f>
        <v/>
      </c>
      <c r="Q3289" s="10">
        <f>ROUND(L3289*'Irish Basis'!$C$12*'Irish Basis'!$C$5,2)</f>
        <v/>
      </c>
      <c r="R3289" s="11">
        <f>ROUND(SUM(N3289:Q3289),2)</f>
        <v/>
      </c>
      <c r="S3289" s="5" t="inlineStr">
        <is>
          <t>Stated build-up</t>
        </is>
      </c>
      <c r="T3289" s="12" t="inlineStr">
        <is>
          <t>High</t>
        </is>
      </c>
      <c r="U3289" s="8" t="n">
        <v>161.21</v>
      </c>
      <c r="V3289" s="13">
        <f>IF(U3289="","",ROUND(M3289-U3289,2))</f>
        <v/>
      </c>
      <c r="W3289" s="5" t="n"/>
      <c r="X3289" s="5" t="inlineStr">
        <is>
          <t>Labour + plant + material as published; reconciles to the published rate.</t>
        </is>
      </c>
    </row>
    <row r="3290" ht="13" customHeight="1">
      <c r="A3290" s="4" t="n">
        <v>5022</v>
      </c>
      <c r="B3290" s="5" t="inlineStr">
        <is>
          <t>IMG_0133</t>
        </is>
      </c>
      <c r="C3290" s="5" t="inlineStr">
        <is>
          <t>CLASS S: RAIL TRACK</t>
        </is>
      </c>
      <c r="D3290" s="5" t="inlineStr">
        <is>
          <t>02 TAKING UP</t>
        </is>
      </c>
      <c r="E3290" s="5" t="inlineStr">
        <is>
          <t>Sundries</t>
        </is>
      </c>
      <c r="F3290" s="5" t="inlineStr">
        <is>
          <t>retarders</t>
        </is>
      </c>
      <c r="G3290" s="6" t="inlineStr">
        <is>
          <t>nr</t>
        </is>
      </c>
      <c r="H3290" s="7" t="n">
        <v>1.86</v>
      </c>
      <c r="I3290" s="8" t="n">
        <v>225.69</v>
      </c>
      <c r="J3290" s="8" t="n">
        <v>0</v>
      </c>
      <c r="K3290" s="8" t="n">
        <v>0</v>
      </c>
      <c r="L3290" s="8" t="n">
        <v>0</v>
      </c>
      <c r="M3290" s="9">
        <f>ROUND(SUM(I3290:L3290),2)</f>
        <v/>
      </c>
      <c r="N3290" s="10">
        <f>ROUND(I3290*'Irish Basis'!$C$6*'Irish Basis'!$C$5,2)</f>
        <v/>
      </c>
      <c r="O3290" s="10">
        <f>ROUND(J3290*'Irish Basis'!$C$7*'Irish Basis'!$C$5,2)</f>
        <v/>
      </c>
      <c r="P3290" s="10">
        <f>ROUND(K3290*'Irish Basis'!$C$8*'Irish Basis'!$C$5,2)</f>
        <v/>
      </c>
      <c r="Q3290" s="10">
        <f>ROUND(L3290*'Irish Basis'!$C$12*'Irish Basis'!$C$5,2)</f>
        <v/>
      </c>
      <c r="R3290" s="11">
        <f>ROUND(SUM(N3290:Q3290),2)</f>
        <v/>
      </c>
      <c r="S3290" s="5" t="inlineStr">
        <is>
          <t>Stated build-up</t>
        </is>
      </c>
      <c r="T3290" s="12" t="inlineStr">
        <is>
          <t>High</t>
        </is>
      </c>
      <c r="U3290" s="8" t="n">
        <v>225.69</v>
      </c>
      <c r="V3290" s="13">
        <f>IF(U3290="","",ROUND(M3290-U3290,2))</f>
        <v/>
      </c>
      <c r="W3290" s="5" t="n"/>
      <c r="X3290" s="5" t="inlineStr">
        <is>
          <t>Labour + plant + material as published; reconciles to the published rate.</t>
        </is>
      </c>
    </row>
    <row r="3291" ht="13" customHeight="1">
      <c r="A3291" s="4" t="n">
        <v>5023</v>
      </c>
      <c r="B3291" s="5" t="inlineStr">
        <is>
          <t>IMG_0133</t>
        </is>
      </c>
      <c r="C3291" s="5" t="inlineStr">
        <is>
          <t>CLASS S: RAIL TRACK</t>
        </is>
      </c>
      <c r="D3291" s="5" t="inlineStr">
        <is>
          <t>02 TAKING UP</t>
        </is>
      </c>
      <c r="E3291" s="5" t="inlineStr">
        <is>
          <t>Sundries</t>
        </is>
      </c>
      <c r="F3291" s="5" t="inlineStr">
        <is>
          <t>wheel stops</t>
        </is>
      </c>
      <c r="G3291" s="6" t="inlineStr">
        <is>
          <t>nr</t>
        </is>
      </c>
      <c r="H3291" s="7" t="n">
        <v>0.5600000000000001</v>
      </c>
      <c r="I3291" s="8" t="n">
        <v>67.70999999999999</v>
      </c>
      <c r="J3291" s="8" t="n">
        <v>0</v>
      </c>
      <c r="K3291" s="8" t="n">
        <v>0</v>
      </c>
      <c r="L3291" s="8" t="n">
        <v>0</v>
      </c>
      <c r="M3291" s="9">
        <f>ROUND(SUM(I3291:L3291),2)</f>
        <v/>
      </c>
      <c r="N3291" s="10">
        <f>ROUND(I3291*'Irish Basis'!$C$6*'Irish Basis'!$C$5,2)</f>
        <v/>
      </c>
      <c r="O3291" s="10">
        <f>ROUND(J3291*'Irish Basis'!$C$7*'Irish Basis'!$C$5,2)</f>
        <v/>
      </c>
      <c r="P3291" s="10">
        <f>ROUND(K3291*'Irish Basis'!$C$8*'Irish Basis'!$C$5,2)</f>
        <v/>
      </c>
      <c r="Q3291" s="10">
        <f>ROUND(L3291*'Irish Basis'!$C$12*'Irish Basis'!$C$5,2)</f>
        <v/>
      </c>
      <c r="R3291" s="11">
        <f>ROUND(SUM(N3291:Q3291),2)</f>
        <v/>
      </c>
      <c r="S3291" s="5" t="inlineStr">
        <is>
          <t>Stated build-up</t>
        </is>
      </c>
      <c r="T3291" s="12" t="inlineStr">
        <is>
          <t>High</t>
        </is>
      </c>
      <c r="U3291" s="8" t="n">
        <v>67.70999999999999</v>
      </c>
      <c r="V3291" s="13">
        <f>IF(U3291="","",ROUND(M3291-U3291,2))</f>
        <v/>
      </c>
      <c r="W3291" s="5" t="n"/>
      <c r="X3291" s="5" t="inlineStr">
        <is>
          <t>Labour + plant + material as published; reconciles to the published rate.</t>
        </is>
      </c>
    </row>
    <row r="3292" ht="13" customHeight="1">
      <c r="A3292" s="4" t="n">
        <v>5024</v>
      </c>
      <c r="B3292" s="5" t="inlineStr">
        <is>
          <t>IMG_0133</t>
        </is>
      </c>
      <c r="C3292" s="5" t="inlineStr">
        <is>
          <t>CLASS S: RAIL TRACK</t>
        </is>
      </c>
      <c r="D3292" s="5" t="inlineStr">
        <is>
          <t>02 TAKING UP</t>
        </is>
      </c>
      <c r="E3292" s="5" t="inlineStr">
        <is>
          <t>Sundries</t>
        </is>
      </c>
      <c r="F3292" s="5" t="inlineStr">
        <is>
          <t>lubricators</t>
        </is>
      </c>
      <c r="G3292" s="6" t="inlineStr">
        <is>
          <t>nr</t>
        </is>
      </c>
      <c r="H3292" s="7" t="n">
        <v>0.8</v>
      </c>
      <c r="I3292" s="8" t="n">
        <v>96.72</v>
      </c>
      <c r="J3292" s="8" t="n">
        <v>0</v>
      </c>
      <c r="K3292" s="8" t="n">
        <v>0</v>
      </c>
      <c r="L3292" s="8" t="n">
        <v>0</v>
      </c>
      <c r="M3292" s="9">
        <f>ROUND(SUM(I3292:L3292),2)</f>
        <v/>
      </c>
      <c r="N3292" s="10">
        <f>ROUND(I3292*'Irish Basis'!$C$6*'Irish Basis'!$C$5,2)</f>
        <v/>
      </c>
      <c r="O3292" s="10">
        <f>ROUND(J3292*'Irish Basis'!$C$7*'Irish Basis'!$C$5,2)</f>
        <v/>
      </c>
      <c r="P3292" s="10">
        <f>ROUND(K3292*'Irish Basis'!$C$8*'Irish Basis'!$C$5,2)</f>
        <v/>
      </c>
      <c r="Q3292" s="10">
        <f>ROUND(L3292*'Irish Basis'!$C$12*'Irish Basis'!$C$5,2)</f>
        <v/>
      </c>
      <c r="R3292" s="11">
        <f>ROUND(SUM(N3292:Q3292),2)</f>
        <v/>
      </c>
      <c r="S3292" s="5" t="inlineStr">
        <is>
          <t>Stated build-up</t>
        </is>
      </c>
      <c r="T3292" s="12" t="inlineStr">
        <is>
          <t>High</t>
        </is>
      </c>
      <c r="U3292" s="8" t="n">
        <v>96.72</v>
      </c>
      <c r="V3292" s="13">
        <f>IF(U3292="","",ROUND(M3292-U3292,2))</f>
        <v/>
      </c>
      <c r="W3292" s="5" t="n"/>
      <c r="X3292" s="5" t="inlineStr">
        <is>
          <t>Labour + plant + material as published; reconciles to the published rate.</t>
        </is>
      </c>
    </row>
    <row r="3293" ht="13" customHeight="1">
      <c r="A3293" s="4" t="n">
        <v>5025</v>
      </c>
      <c r="B3293" s="5" t="inlineStr">
        <is>
          <t>IMG_0133</t>
        </is>
      </c>
      <c r="C3293" s="5" t="inlineStr">
        <is>
          <t>CLASS S: RAIL TRACK</t>
        </is>
      </c>
      <c r="D3293" s="5" t="inlineStr">
        <is>
          <t>02 TAKING UP</t>
        </is>
      </c>
      <c r="E3293" s="5" t="inlineStr">
        <is>
          <t>Sundries</t>
        </is>
      </c>
      <c r="F3293" s="5" t="inlineStr">
        <is>
          <t>switch heaters</t>
        </is>
      </c>
      <c r="G3293" s="6" t="inlineStr">
        <is>
          <t>nr</t>
        </is>
      </c>
      <c r="H3293" s="7" t="n">
        <v>1.27</v>
      </c>
      <c r="I3293" s="8" t="n">
        <v>154.76</v>
      </c>
      <c r="J3293" s="8" t="n">
        <v>0</v>
      </c>
      <c r="K3293" s="8" t="n">
        <v>0</v>
      </c>
      <c r="L3293" s="8" t="n">
        <v>0</v>
      </c>
      <c r="M3293" s="9">
        <f>ROUND(SUM(I3293:L3293),2)</f>
        <v/>
      </c>
      <c r="N3293" s="10">
        <f>ROUND(I3293*'Irish Basis'!$C$6*'Irish Basis'!$C$5,2)</f>
        <v/>
      </c>
      <c r="O3293" s="10">
        <f>ROUND(J3293*'Irish Basis'!$C$7*'Irish Basis'!$C$5,2)</f>
        <v/>
      </c>
      <c r="P3293" s="10">
        <f>ROUND(K3293*'Irish Basis'!$C$8*'Irish Basis'!$C$5,2)</f>
        <v/>
      </c>
      <c r="Q3293" s="10">
        <f>ROUND(L3293*'Irish Basis'!$C$12*'Irish Basis'!$C$5,2)</f>
        <v/>
      </c>
      <c r="R3293" s="11">
        <f>ROUND(SUM(N3293:Q3293),2)</f>
        <v/>
      </c>
      <c r="S3293" s="5" t="inlineStr">
        <is>
          <t>Stated build-up</t>
        </is>
      </c>
      <c r="T3293" s="12" t="inlineStr">
        <is>
          <t>High</t>
        </is>
      </c>
      <c r="U3293" s="8" t="n">
        <v>154.76</v>
      </c>
      <c r="V3293" s="13">
        <f>IF(U3293="","",ROUND(M3293-U3293,2))</f>
        <v/>
      </c>
      <c r="W3293" s="5" t="n"/>
      <c r="X3293" s="5" t="inlineStr">
        <is>
          <t>Labour + plant + material as published; reconciles to the published rate.</t>
        </is>
      </c>
    </row>
    <row r="3294" ht="13" customHeight="1">
      <c r="A3294" s="4" t="n">
        <v>5026</v>
      </c>
      <c r="B3294" s="5" t="inlineStr">
        <is>
          <t>IMG_0133</t>
        </is>
      </c>
      <c r="C3294" s="5" t="inlineStr">
        <is>
          <t>CLASS S: RAIL TRACK</t>
        </is>
      </c>
      <c r="D3294" s="5" t="inlineStr">
        <is>
          <t>02 TAKING UP</t>
        </is>
      </c>
      <c r="E3294" s="5" t="inlineStr">
        <is>
          <t>Sundries</t>
        </is>
      </c>
      <c r="F3294" s="5" t="inlineStr">
        <is>
          <t>switch levers</t>
        </is>
      </c>
      <c r="G3294" s="6" t="inlineStr">
        <is>
          <t>nr</t>
        </is>
      </c>
      <c r="H3294" s="7" t="n">
        <v>0.8</v>
      </c>
      <c r="I3294" s="8" t="n">
        <v>96.72</v>
      </c>
      <c r="J3294" s="8" t="n">
        <v>0</v>
      </c>
      <c r="K3294" s="8" t="n">
        <v>0</v>
      </c>
      <c r="L3294" s="8" t="n">
        <v>0</v>
      </c>
      <c r="M3294" s="9">
        <f>ROUND(SUM(I3294:L3294),2)</f>
        <v/>
      </c>
      <c r="N3294" s="10">
        <f>ROUND(I3294*'Irish Basis'!$C$6*'Irish Basis'!$C$5,2)</f>
        <v/>
      </c>
      <c r="O3294" s="10">
        <f>ROUND(J3294*'Irish Basis'!$C$7*'Irish Basis'!$C$5,2)</f>
        <v/>
      </c>
      <c r="P3294" s="10">
        <f>ROUND(K3294*'Irish Basis'!$C$8*'Irish Basis'!$C$5,2)</f>
        <v/>
      </c>
      <c r="Q3294" s="10">
        <f>ROUND(L3294*'Irish Basis'!$C$12*'Irish Basis'!$C$5,2)</f>
        <v/>
      </c>
      <c r="R3294" s="11">
        <f>ROUND(SUM(N3294:Q3294),2)</f>
        <v/>
      </c>
      <c r="S3294" s="5" t="inlineStr">
        <is>
          <t>Stated build-up</t>
        </is>
      </c>
      <c r="T3294" s="12" t="inlineStr">
        <is>
          <t>High</t>
        </is>
      </c>
      <c r="U3294" s="8" t="n">
        <v>96.72</v>
      </c>
      <c r="V3294" s="13">
        <f>IF(U3294="","",ROUND(M3294-U3294,2))</f>
        <v/>
      </c>
      <c r="W3294" s="5" t="n"/>
      <c r="X3294" s="5" t="inlineStr">
        <is>
          <t>Labour + plant + material as published; reconciles to the published rate.</t>
        </is>
      </c>
    </row>
    <row r="3295" ht="13" customHeight="1">
      <c r="A3295" s="4" t="n">
        <v>5029</v>
      </c>
      <c r="B3295" s="5" t="inlineStr">
        <is>
          <t>IMG_0133</t>
        </is>
      </c>
      <c r="C3295" s="5" t="inlineStr">
        <is>
          <t>CLASS S: RAIL TRACK</t>
        </is>
      </c>
      <c r="D3295" s="5" t="inlineStr">
        <is>
          <t>03 LIFTING, PACKING AND SLEWING</t>
        </is>
      </c>
      <c r="E3295" s="5" t="inlineStr"/>
      <c r="F3295" s="5" t="inlineStr">
        <is>
          <t>Bullhead rail track; fishplated; timber sleepers</t>
        </is>
      </c>
      <c r="G3295" s="6" t="inlineStr">
        <is>
          <t>m</t>
        </is>
      </c>
      <c r="H3295" s="7" t="n">
        <v>4</v>
      </c>
      <c r="I3295" s="8" t="n">
        <v>486.66</v>
      </c>
      <c r="J3295" s="8" t="n">
        <v>0</v>
      </c>
      <c r="K3295" s="8" t="n">
        <v>0</v>
      </c>
      <c r="L3295" s="8" t="n">
        <v>0</v>
      </c>
      <c r="M3295" s="9">
        <f>ROUND(SUM(I3295:L3295),2)</f>
        <v/>
      </c>
      <c r="N3295" s="10">
        <f>ROUND(I3295*'Irish Basis'!$C$6*'Irish Basis'!$C$5,2)</f>
        <v/>
      </c>
      <c r="O3295" s="10">
        <f>ROUND(J3295*'Irish Basis'!$C$7*'Irish Basis'!$C$5,2)</f>
        <v/>
      </c>
      <c r="P3295" s="10">
        <f>ROUND(K3295*'Irish Basis'!$C$8*'Irish Basis'!$C$5,2)</f>
        <v/>
      </c>
      <c r="Q3295" s="10">
        <f>ROUND(L3295*'Irish Basis'!$C$12*'Irish Basis'!$C$5,2)</f>
        <v/>
      </c>
      <c r="R3295" s="11">
        <f>ROUND(SUM(N3295:Q3295),2)</f>
        <v/>
      </c>
      <c r="S3295" s="5" t="inlineStr">
        <is>
          <t>Stated build-up</t>
        </is>
      </c>
      <c r="T3295" s="12" t="inlineStr">
        <is>
          <t>High</t>
        </is>
      </c>
      <c r="U3295" s="8" t="n">
        <v>486.66</v>
      </c>
      <c r="V3295" s="13">
        <f>IF(U3295="","",ROUND(M3295-U3295,2))</f>
        <v/>
      </c>
      <c r="W3295" s="5" t="n"/>
      <c r="X3295" s="5" t="inlineStr">
        <is>
          <t>Labour + plant + material as published; reconciles to the published rate.</t>
        </is>
      </c>
    </row>
    <row r="3296" ht="13" customHeight="1">
      <c r="A3296" s="4" t="n">
        <v>5030</v>
      </c>
      <c r="B3296" s="5" t="inlineStr">
        <is>
          <t>IMG_0133</t>
        </is>
      </c>
      <c r="C3296" s="5" t="inlineStr">
        <is>
          <t>CLASS S: RAIL TRACK</t>
        </is>
      </c>
      <c r="D3296" s="5" t="inlineStr">
        <is>
          <t>03 LIFTING, PACKING AND SLEWING</t>
        </is>
      </c>
      <c r="E3296" s="5" t="inlineStr"/>
      <c r="F3296" s="5" t="inlineStr">
        <is>
          <t>Bullhead rail track; fishplated; concrete sleepers</t>
        </is>
      </c>
      <c r="G3296" s="6" t="inlineStr">
        <is>
          <t>m</t>
        </is>
      </c>
      <c r="H3296" s="7" t="n">
        <v>4</v>
      </c>
      <c r="I3296" s="8" t="n">
        <v>486.66</v>
      </c>
      <c r="J3296" s="8" t="n">
        <v>0</v>
      </c>
      <c r="K3296" s="8" t="n">
        <v>0</v>
      </c>
      <c r="L3296" s="8" t="n">
        <v>0</v>
      </c>
      <c r="M3296" s="9">
        <f>ROUND(SUM(I3296:L3296),2)</f>
        <v/>
      </c>
      <c r="N3296" s="10">
        <f>ROUND(I3296*'Irish Basis'!$C$6*'Irish Basis'!$C$5,2)</f>
        <v/>
      </c>
      <c r="O3296" s="10">
        <f>ROUND(J3296*'Irish Basis'!$C$7*'Irish Basis'!$C$5,2)</f>
        <v/>
      </c>
      <c r="P3296" s="10">
        <f>ROUND(K3296*'Irish Basis'!$C$8*'Irish Basis'!$C$5,2)</f>
        <v/>
      </c>
      <c r="Q3296" s="10">
        <f>ROUND(L3296*'Irish Basis'!$C$12*'Irish Basis'!$C$5,2)</f>
        <v/>
      </c>
      <c r="R3296" s="11">
        <f>ROUND(SUM(N3296:Q3296),2)</f>
        <v/>
      </c>
      <c r="S3296" s="5" t="inlineStr">
        <is>
          <t>Stated build-up</t>
        </is>
      </c>
      <c r="T3296" s="12" t="inlineStr">
        <is>
          <t>High</t>
        </is>
      </c>
      <c r="U3296" s="8" t="n">
        <v>486.66</v>
      </c>
      <c r="V3296" s="13">
        <f>IF(U3296="","",ROUND(M3296-U3296,2))</f>
        <v/>
      </c>
      <c r="W3296" s="5" t="n"/>
      <c r="X3296" s="5" t="inlineStr">
        <is>
          <t>Labour + plant + material as published; reconciles to the published rate.</t>
        </is>
      </c>
    </row>
    <row r="3297" ht="13" customHeight="1">
      <c r="A3297" s="4" t="n">
        <v>5031</v>
      </c>
      <c r="B3297" s="5" t="inlineStr">
        <is>
          <t>IMG_0133</t>
        </is>
      </c>
      <c r="C3297" s="5" t="inlineStr">
        <is>
          <t>CLASS S: RAIL TRACK</t>
        </is>
      </c>
      <c r="D3297" s="5" t="inlineStr">
        <is>
          <t>03 LIFTING, PACKING AND SLEWING</t>
        </is>
      </c>
      <c r="E3297" s="5" t="inlineStr"/>
      <c r="F3297" s="5" t="inlineStr">
        <is>
          <t>Bullhead rail track with turnout; timber sleepers</t>
        </is>
      </c>
      <c r="G3297" s="6" t="inlineStr">
        <is>
          <t>m</t>
        </is>
      </c>
      <c r="H3297" s="7" t="n">
        <v>2.5</v>
      </c>
      <c r="I3297" s="8" t="n">
        <v>304.16</v>
      </c>
      <c r="J3297" s="8" t="n">
        <v>0</v>
      </c>
      <c r="K3297" s="8" t="n">
        <v>0</v>
      </c>
      <c r="L3297" s="8" t="n">
        <v>0</v>
      </c>
      <c r="M3297" s="9">
        <f>ROUND(SUM(I3297:L3297),2)</f>
        <v/>
      </c>
      <c r="N3297" s="10">
        <f>ROUND(I3297*'Irish Basis'!$C$6*'Irish Basis'!$C$5,2)</f>
        <v/>
      </c>
      <c r="O3297" s="10">
        <f>ROUND(J3297*'Irish Basis'!$C$7*'Irish Basis'!$C$5,2)</f>
        <v/>
      </c>
      <c r="P3297" s="10">
        <f>ROUND(K3297*'Irish Basis'!$C$8*'Irish Basis'!$C$5,2)</f>
        <v/>
      </c>
      <c r="Q3297" s="10">
        <f>ROUND(L3297*'Irish Basis'!$C$12*'Irish Basis'!$C$5,2)</f>
        <v/>
      </c>
      <c r="R3297" s="11">
        <f>ROUND(SUM(N3297:Q3297),2)</f>
        <v/>
      </c>
      <c r="S3297" s="5" t="inlineStr">
        <is>
          <t>Stated build-up</t>
        </is>
      </c>
      <c r="T3297" s="12" t="inlineStr">
        <is>
          <t>High</t>
        </is>
      </c>
      <c r="U3297" s="8" t="n">
        <v>304.16</v>
      </c>
      <c r="V3297" s="13">
        <f>IF(U3297="","",ROUND(M3297-U3297,2))</f>
        <v/>
      </c>
      <c r="W3297" s="5" t="n"/>
      <c r="X3297" s="5" t="inlineStr">
        <is>
          <t>Labour + plant + material as published; reconciles to the published rate.</t>
        </is>
      </c>
    </row>
    <row r="3298" ht="13" customHeight="1">
      <c r="A3298" s="4" t="n">
        <v>5032</v>
      </c>
      <c r="B3298" s="5" t="inlineStr">
        <is>
          <t>IMG_0133</t>
        </is>
      </c>
      <c r="C3298" s="5" t="inlineStr">
        <is>
          <t>CLASS S: RAIL TRACK</t>
        </is>
      </c>
      <c r="D3298" s="5" t="inlineStr">
        <is>
          <t>03 LIFTING, PACKING AND SLEWING</t>
        </is>
      </c>
      <c r="E3298" s="5" t="inlineStr"/>
      <c r="F3298" s="5" t="inlineStr">
        <is>
          <t>Flat bottom rail track; welded; timber sleepers</t>
        </is>
      </c>
      <c r="G3298" s="6" t="inlineStr">
        <is>
          <t>m</t>
        </is>
      </c>
      <c r="H3298" s="7" t="n">
        <v>4</v>
      </c>
      <c r="I3298" s="8" t="n">
        <v>486.66</v>
      </c>
      <c r="J3298" s="8" t="n">
        <v>0</v>
      </c>
      <c r="K3298" s="8" t="n">
        <v>0</v>
      </c>
      <c r="L3298" s="8" t="n">
        <v>0</v>
      </c>
      <c r="M3298" s="9">
        <f>ROUND(SUM(I3298:L3298),2)</f>
        <v/>
      </c>
      <c r="N3298" s="10">
        <f>ROUND(I3298*'Irish Basis'!$C$6*'Irish Basis'!$C$5,2)</f>
        <v/>
      </c>
      <c r="O3298" s="10">
        <f>ROUND(J3298*'Irish Basis'!$C$7*'Irish Basis'!$C$5,2)</f>
        <v/>
      </c>
      <c r="P3298" s="10">
        <f>ROUND(K3298*'Irish Basis'!$C$8*'Irish Basis'!$C$5,2)</f>
        <v/>
      </c>
      <c r="Q3298" s="10">
        <f>ROUND(L3298*'Irish Basis'!$C$12*'Irish Basis'!$C$5,2)</f>
        <v/>
      </c>
      <c r="R3298" s="11">
        <f>ROUND(SUM(N3298:Q3298),2)</f>
        <v/>
      </c>
      <c r="S3298" s="5" t="inlineStr">
        <is>
          <t>Stated build-up</t>
        </is>
      </c>
      <c r="T3298" s="12" t="inlineStr">
        <is>
          <t>High</t>
        </is>
      </c>
      <c r="U3298" s="8" t="n">
        <v>486.66</v>
      </c>
      <c r="V3298" s="13">
        <f>IF(U3298="","",ROUND(M3298-U3298,2))</f>
        <v/>
      </c>
      <c r="W3298" s="5" t="n"/>
      <c r="X3298" s="5" t="inlineStr">
        <is>
          <t>Labour + plant + material as published; reconciles to the published rate.</t>
        </is>
      </c>
    </row>
    <row r="3299" ht="13" customHeight="1">
      <c r="A3299" s="4" t="n">
        <v>5033</v>
      </c>
      <c r="B3299" s="5" t="inlineStr">
        <is>
          <t>IMG_0133</t>
        </is>
      </c>
      <c r="C3299" s="5" t="inlineStr">
        <is>
          <t>CLASS S: RAIL TRACK</t>
        </is>
      </c>
      <c r="D3299" s="5" t="inlineStr">
        <is>
          <t>03 LIFTING, PACKING AND SLEWING</t>
        </is>
      </c>
      <c r="E3299" s="5" t="inlineStr"/>
      <c r="F3299" s="5" t="inlineStr">
        <is>
          <t>Flat bottom rail track; welded; concrete sleepers</t>
        </is>
      </c>
      <c r="G3299" s="6" t="inlineStr">
        <is>
          <t>m</t>
        </is>
      </c>
      <c r="H3299" s="7" t="n">
        <v>4</v>
      </c>
      <c r="I3299" s="8" t="n">
        <v>486.66</v>
      </c>
      <c r="J3299" s="8" t="n">
        <v>0</v>
      </c>
      <c r="K3299" s="8" t="n">
        <v>0</v>
      </c>
      <c r="L3299" s="8" t="n">
        <v>0</v>
      </c>
      <c r="M3299" s="9">
        <f>ROUND(SUM(I3299:L3299),2)</f>
        <v/>
      </c>
      <c r="N3299" s="10">
        <f>ROUND(I3299*'Irish Basis'!$C$6*'Irish Basis'!$C$5,2)</f>
        <v/>
      </c>
      <c r="O3299" s="10">
        <f>ROUND(J3299*'Irish Basis'!$C$7*'Irish Basis'!$C$5,2)</f>
        <v/>
      </c>
      <c r="P3299" s="10">
        <f>ROUND(K3299*'Irish Basis'!$C$8*'Irish Basis'!$C$5,2)</f>
        <v/>
      </c>
      <c r="Q3299" s="10">
        <f>ROUND(L3299*'Irish Basis'!$C$12*'Irish Basis'!$C$5,2)</f>
        <v/>
      </c>
      <c r="R3299" s="11">
        <f>ROUND(SUM(N3299:Q3299),2)</f>
        <v/>
      </c>
      <c r="S3299" s="5" t="inlineStr">
        <is>
          <t>Stated build-up</t>
        </is>
      </c>
      <c r="T3299" s="12" t="inlineStr">
        <is>
          <t>High</t>
        </is>
      </c>
      <c r="U3299" s="8" t="n">
        <v>486.66</v>
      </c>
      <c r="V3299" s="13">
        <f>IF(U3299="","",ROUND(M3299-U3299,2))</f>
        <v/>
      </c>
      <c r="W3299" s="5" t="n"/>
      <c r="X3299" s="5" t="inlineStr">
        <is>
          <t>Labour + plant + material as published; reconciles to the published rate.</t>
        </is>
      </c>
    </row>
    <row r="3300" ht="13" customHeight="1">
      <c r="A3300" s="4" t="n">
        <v>5034</v>
      </c>
      <c r="B3300" s="5" t="inlineStr">
        <is>
          <t>IMG_0133</t>
        </is>
      </c>
      <c r="C3300" s="5" t="inlineStr">
        <is>
          <t>CLASS S: RAIL TRACK</t>
        </is>
      </c>
      <c r="D3300" s="5" t="inlineStr">
        <is>
          <t>03 LIFTING, PACKING AND SLEWING</t>
        </is>
      </c>
      <c r="E3300" s="5" t="inlineStr"/>
      <c r="F3300" s="5" t="inlineStr">
        <is>
          <t>Flat bottom rail track with turnout; concrete sleepers</t>
        </is>
      </c>
      <c r="G3300" s="6" t="inlineStr">
        <is>
          <t>nr</t>
        </is>
      </c>
      <c r="H3300" s="7" t="n">
        <v>3.33</v>
      </c>
      <c r="I3300" s="8" t="n">
        <v>405.51</v>
      </c>
      <c r="J3300" s="8" t="n">
        <v>0</v>
      </c>
      <c r="K3300" s="8" t="n">
        <v>0</v>
      </c>
      <c r="L3300" s="8" t="n">
        <v>0</v>
      </c>
      <c r="M3300" s="9">
        <f>ROUND(SUM(I3300:L3300),2)</f>
        <v/>
      </c>
      <c r="N3300" s="10">
        <f>ROUND(I3300*'Irish Basis'!$C$6*'Irish Basis'!$C$5,2)</f>
        <v/>
      </c>
      <c r="O3300" s="10">
        <f>ROUND(J3300*'Irish Basis'!$C$7*'Irish Basis'!$C$5,2)</f>
        <v/>
      </c>
      <c r="P3300" s="10">
        <f>ROUND(K3300*'Irish Basis'!$C$8*'Irish Basis'!$C$5,2)</f>
        <v/>
      </c>
      <c r="Q3300" s="10">
        <f>ROUND(L3300*'Irish Basis'!$C$12*'Irish Basis'!$C$5,2)</f>
        <v/>
      </c>
      <c r="R3300" s="11">
        <f>ROUND(SUM(N3300:Q3300),2)</f>
        <v/>
      </c>
      <c r="S3300" s="5" t="inlineStr">
        <is>
          <t>Stated build-up</t>
        </is>
      </c>
      <c r="T3300" s="12" t="inlineStr">
        <is>
          <t>High</t>
        </is>
      </c>
      <c r="U3300" s="8" t="n">
        <v>405.51</v>
      </c>
      <c r="V3300" s="13">
        <f>IF(U3300="","",ROUND(M3300-U3300,2))</f>
        <v/>
      </c>
      <c r="W3300" s="5" t="n"/>
      <c r="X3300" s="5" t="inlineStr">
        <is>
          <t>Labour + plant + material as published; reconciles to the published rate.</t>
        </is>
      </c>
    </row>
    <row r="3301" ht="13" customHeight="1">
      <c r="A3301" s="4" t="n">
        <v>5035</v>
      </c>
      <c r="B3301" s="5" t="inlineStr">
        <is>
          <t>IMG_0133</t>
        </is>
      </c>
      <c r="C3301" s="5" t="inlineStr">
        <is>
          <t>CLASS S: RAIL TRACK</t>
        </is>
      </c>
      <c r="D3301" s="5" t="inlineStr">
        <is>
          <t>03 LIFTING, PACKING AND SLEWING</t>
        </is>
      </c>
      <c r="E3301" s="5" t="inlineStr"/>
      <c r="F3301" s="5" t="inlineStr">
        <is>
          <t>Spot replacement of sleepers; Timber sleeper</t>
        </is>
      </c>
      <c r="G3301" s="6" t="inlineStr">
        <is>
          <t>nr</t>
        </is>
      </c>
      <c r="H3301" s="7" t="n">
        <v>1</v>
      </c>
      <c r="I3301" s="8" t="n">
        <v>121.66</v>
      </c>
      <c r="J3301" s="8" t="n">
        <v>7.05</v>
      </c>
      <c r="K3301" s="8" t="n">
        <v>47.25</v>
      </c>
      <c r="L3301" s="8" t="n">
        <v>0</v>
      </c>
      <c r="M3301" s="9">
        <f>ROUND(SUM(I3301:L3301),2)</f>
        <v/>
      </c>
      <c r="N3301" s="10">
        <f>ROUND(I3301*'Irish Basis'!$C$6*'Irish Basis'!$C$5,2)</f>
        <v/>
      </c>
      <c r="O3301" s="10">
        <f>ROUND(J3301*'Irish Basis'!$C$7*'Irish Basis'!$C$5,2)</f>
        <v/>
      </c>
      <c r="P3301" s="10">
        <f>ROUND(K3301*'Irish Basis'!$C$8*'Irish Basis'!$C$5,2)</f>
        <v/>
      </c>
      <c r="Q3301" s="10">
        <f>ROUND(L3301*'Irish Basis'!$C$12*'Irish Basis'!$C$5,2)</f>
        <v/>
      </c>
      <c r="R3301" s="11">
        <f>ROUND(SUM(N3301:Q3301),2)</f>
        <v/>
      </c>
      <c r="S3301" s="5" t="inlineStr">
        <is>
          <t>Stated build-up</t>
        </is>
      </c>
      <c r="T3301" s="12" t="inlineStr">
        <is>
          <t>High</t>
        </is>
      </c>
      <c r="U3301" s="8" t="n">
        <v>175.97</v>
      </c>
      <c r="V3301" s="13">
        <f>IF(U3301="","",ROUND(M3301-U3301,2))</f>
        <v/>
      </c>
      <c r="W3301" s="5" t="n"/>
      <c r="X3301" s="5" t="inlineStr">
        <is>
          <t>Labour + plant + material as published; reconciles to the published rate.</t>
        </is>
      </c>
    </row>
    <row r="3302" ht="13" customHeight="1">
      <c r="A3302" s="4" t="n">
        <v>5036</v>
      </c>
      <c r="B3302" s="5" t="inlineStr">
        <is>
          <t>IMG_0133</t>
        </is>
      </c>
      <c r="C3302" s="5" t="inlineStr">
        <is>
          <t>CLASS S: RAIL TRACK</t>
        </is>
      </c>
      <c r="D3302" s="5" t="inlineStr">
        <is>
          <t>03 LIFTING, PACKING AND SLEWING</t>
        </is>
      </c>
      <c r="E3302" s="5" t="inlineStr"/>
      <c r="F3302" s="5" t="inlineStr">
        <is>
          <t>Spot replacement of sleepers; Concrete sleeper</t>
        </is>
      </c>
      <c r="G3302" s="6" t="inlineStr">
        <is>
          <t>nr</t>
        </is>
      </c>
      <c r="H3302" s="7" t="n">
        <v>0.5</v>
      </c>
      <c r="I3302" s="8" t="n">
        <v>60.83</v>
      </c>
      <c r="J3302" s="8" t="n">
        <v>6.13</v>
      </c>
      <c r="K3302" s="8" t="n">
        <v>90.36</v>
      </c>
      <c r="L3302" s="8" t="n">
        <v>0</v>
      </c>
      <c r="M3302" s="9">
        <f>ROUND(SUM(I3302:L3302),2)</f>
        <v/>
      </c>
      <c r="N3302" s="10">
        <f>ROUND(I3302*'Irish Basis'!$C$6*'Irish Basis'!$C$5,2)</f>
        <v/>
      </c>
      <c r="O3302" s="10">
        <f>ROUND(J3302*'Irish Basis'!$C$7*'Irish Basis'!$C$5,2)</f>
        <v/>
      </c>
      <c r="P3302" s="10">
        <f>ROUND(K3302*'Irish Basis'!$C$8*'Irish Basis'!$C$5,2)</f>
        <v/>
      </c>
      <c r="Q3302" s="10">
        <f>ROUND(L3302*'Irish Basis'!$C$12*'Irish Basis'!$C$5,2)</f>
        <v/>
      </c>
      <c r="R3302" s="11">
        <f>ROUND(SUM(N3302:Q3302),2)</f>
        <v/>
      </c>
      <c r="S3302" s="5" t="inlineStr">
        <is>
          <t>Stated build-up</t>
        </is>
      </c>
      <c r="T3302" s="12" t="inlineStr">
        <is>
          <t>High</t>
        </is>
      </c>
      <c r="U3302" s="8" t="n">
        <v>157.32</v>
      </c>
      <c r="V3302" s="13">
        <f>IF(U3302="","",ROUND(M3302-U3302,2))</f>
        <v/>
      </c>
      <c r="W3302" s="5" t="n"/>
      <c r="X3302" s="5" t="inlineStr">
        <is>
          <t>Labour + plant + material as published; reconciles to the published rate.</t>
        </is>
      </c>
    </row>
    <row r="3303" ht="13" customHeight="1">
      <c r="A3303" s="4" t="n">
        <v>5037</v>
      </c>
      <c r="B3303" s="5" t="inlineStr">
        <is>
          <t>IMG_0133</t>
        </is>
      </c>
      <c r="C3303" s="5" t="inlineStr">
        <is>
          <t>CLASS S: RAIL TRACK</t>
        </is>
      </c>
      <c r="D3303" s="5" t="inlineStr">
        <is>
          <t>03 LIFTING, PACKING AND SLEWING</t>
        </is>
      </c>
      <c r="E3303" s="5" t="inlineStr"/>
      <c r="F3303" s="5" t="inlineStr">
        <is>
          <t>Existing rail turning and refixing; plain with conductor rail &amp; turnouts</t>
        </is>
      </c>
      <c r="G3303" s="6" t="inlineStr">
        <is>
          <t>nr</t>
        </is>
      </c>
      <c r="H3303" s="7" t="n">
        <v>2.5</v>
      </c>
      <c r="I3303" s="8" t="n">
        <v>304.16</v>
      </c>
      <c r="J3303" s="8" t="n">
        <v>237.18</v>
      </c>
      <c r="K3303" s="8" t="n">
        <v>0</v>
      </c>
      <c r="L3303" s="8" t="n">
        <v>0</v>
      </c>
      <c r="M3303" s="9">
        <f>ROUND(SUM(I3303:L3303),2)</f>
        <v/>
      </c>
      <c r="N3303" s="10">
        <f>ROUND(I3303*'Irish Basis'!$C$6*'Irish Basis'!$C$5,2)</f>
        <v/>
      </c>
      <c r="O3303" s="10">
        <f>ROUND(J3303*'Irish Basis'!$C$7*'Irish Basis'!$C$5,2)</f>
        <v/>
      </c>
      <c r="P3303" s="10">
        <f>ROUND(K3303*'Irish Basis'!$C$8*'Irish Basis'!$C$5,2)</f>
        <v/>
      </c>
      <c r="Q3303" s="10">
        <f>ROUND(L3303*'Irish Basis'!$C$12*'Irish Basis'!$C$5,2)</f>
        <v/>
      </c>
      <c r="R3303" s="11">
        <f>ROUND(SUM(N3303:Q3303),2)</f>
        <v/>
      </c>
      <c r="S3303" s="5" t="inlineStr">
        <is>
          <t>Stated build-up</t>
        </is>
      </c>
      <c r="T3303" s="12" t="inlineStr">
        <is>
          <t>High</t>
        </is>
      </c>
      <c r="U3303" s="8" t="n">
        <v>541.34</v>
      </c>
      <c r="V3303" s="13">
        <f>IF(U3303="","",ROUND(M3303-U3303,2))</f>
        <v/>
      </c>
      <c r="W3303" s="5" t="n"/>
      <c r="X3303" s="5" t="inlineStr">
        <is>
          <t>Labour + plant + material as published; reconciles to the published rate.</t>
        </is>
      </c>
    </row>
    <row r="3304" ht="13" customHeight="1">
      <c r="A3304" s="4" t="n">
        <v>5039</v>
      </c>
      <c r="B3304" s="5" t="inlineStr">
        <is>
          <t>IMG_0134</t>
        </is>
      </c>
      <c r="C3304" s="5" t="inlineStr">
        <is>
          <t>CLASS S: RAIL TRACK</t>
        </is>
      </c>
      <c r="D3304" s="5" t="inlineStr">
        <is>
          <t>03 LIFTING, PACKING AND SLEWING</t>
        </is>
      </c>
      <c r="E3304" s="5" t="inlineStr">
        <is>
          <t>Lifting, packing and slewing (continued)</t>
        </is>
      </c>
      <c r="F3304" s="5" t="inlineStr">
        <is>
          <t>Rerailing</t>
        </is>
      </c>
      <c r="G3304" s="6" t="inlineStr">
        <is>
          <t>m</t>
        </is>
      </c>
      <c r="H3304" s="7" t="n">
        <v>0.4</v>
      </c>
      <c r="I3304" s="8" t="n">
        <v>48.67</v>
      </c>
      <c r="J3304" s="8" t="n">
        <v>0</v>
      </c>
      <c r="K3304" s="8" t="n">
        <v>0</v>
      </c>
      <c r="L3304" s="8" t="n">
        <v>0</v>
      </c>
      <c r="M3304" s="9">
        <f>ROUND(SUM(I3304:L3304),2)</f>
        <v/>
      </c>
      <c r="N3304" s="10">
        <f>ROUND(I3304*'Irish Basis'!$C$6*'Irish Basis'!$C$5,2)</f>
        <v/>
      </c>
      <c r="O3304" s="10">
        <f>ROUND(J3304*'Irish Basis'!$C$7*'Irish Basis'!$C$5,2)</f>
        <v/>
      </c>
      <c r="P3304" s="10">
        <f>ROUND(K3304*'Irish Basis'!$C$8*'Irish Basis'!$C$5,2)</f>
        <v/>
      </c>
      <c r="Q3304" s="10">
        <f>ROUND(L3304*'Irish Basis'!$C$12*'Irish Basis'!$C$5,2)</f>
        <v/>
      </c>
      <c r="R3304" s="11">
        <f>ROUND(SUM(N3304:Q3304),2)</f>
        <v/>
      </c>
      <c r="S3304" s="5" t="inlineStr">
        <is>
          <t>Stated build-up</t>
        </is>
      </c>
      <c r="T3304" s="12" t="inlineStr">
        <is>
          <t>High</t>
        </is>
      </c>
      <c r="U3304" s="8" t="n">
        <v>48.67</v>
      </c>
      <c r="V3304" s="13">
        <f>IF(U3304="","",ROUND(M3304-U3304,2))</f>
        <v/>
      </c>
      <c r="W3304" s="5" t="n"/>
      <c r="X3304" s="5" t="inlineStr">
        <is>
          <t>Labour + plant + material as published; reconciles to the published rate.</t>
        </is>
      </c>
    </row>
    <row r="3305" ht="13" customHeight="1">
      <c r="A3305" s="4" t="n">
        <v>5040</v>
      </c>
      <c r="B3305" s="5" t="inlineStr">
        <is>
          <t>IMG_0134</t>
        </is>
      </c>
      <c r="C3305" s="5" t="inlineStr">
        <is>
          <t>CLASS S: RAIL TRACK</t>
        </is>
      </c>
      <c r="D3305" s="5" t="inlineStr">
        <is>
          <t>03 LIFTING, PACKING AND SLEWING</t>
        </is>
      </c>
      <c r="E3305" s="5" t="inlineStr">
        <is>
          <t>Lifting, packing and slewing (continued)</t>
        </is>
      </c>
      <c r="F3305" s="5" t="inlineStr">
        <is>
          <t>Stressing rail</t>
        </is>
      </c>
      <c r="G3305" s="6" t="inlineStr">
        <is>
          <t>m</t>
        </is>
      </c>
      <c r="H3305" s="7" t="n">
        <v>0.83</v>
      </c>
      <c r="I3305" s="8" t="n">
        <v>101.38</v>
      </c>
      <c r="J3305" s="8" t="n">
        <v>0</v>
      </c>
      <c r="K3305" s="8" t="n">
        <v>249.6</v>
      </c>
      <c r="L3305" s="8" t="n">
        <v>0</v>
      </c>
      <c r="M3305" s="9">
        <f>ROUND(SUM(I3305:L3305),2)</f>
        <v/>
      </c>
      <c r="N3305" s="10">
        <f>ROUND(I3305*'Irish Basis'!$C$6*'Irish Basis'!$C$5,2)</f>
        <v/>
      </c>
      <c r="O3305" s="10">
        <f>ROUND(J3305*'Irish Basis'!$C$7*'Irish Basis'!$C$5,2)</f>
        <v/>
      </c>
      <c r="P3305" s="10">
        <f>ROUND(K3305*'Irish Basis'!$C$8*'Irish Basis'!$C$5,2)</f>
        <v/>
      </c>
      <c r="Q3305" s="10">
        <f>ROUND(L3305*'Irish Basis'!$C$12*'Irish Basis'!$C$5,2)</f>
        <v/>
      </c>
      <c r="R3305" s="11">
        <f>ROUND(SUM(N3305:Q3305),2)</f>
        <v/>
      </c>
      <c r="S3305" s="5" t="inlineStr">
        <is>
          <t>Stated build-up</t>
        </is>
      </c>
      <c r="T3305" s="12" t="inlineStr">
        <is>
          <t>High</t>
        </is>
      </c>
      <c r="U3305" s="8" t="n">
        <v>350.98</v>
      </c>
      <c r="V3305" s="13">
        <f>IF(U3305="","",ROUND(M3305-U3305,2))</f>
        <v/>
      </c>
      <c r="W3305" s="5" t="n"/>
      <c r="X3305" s="5" t="inlineStr">
        <is>
          <t>Labour + plant + material as published; reconciles to the published rate.</t>
        </is>
      </c>
    </row>
    <row r="3306" ht="13" customHeight="1">
      <c r="A3306" s="4" t="n">
        <v>5041</v>
      </c>
      <c r="B3306" s="5" t="inlineStr">
        <is>
          <t>IMG_0134</t>
        </is>
      </c>
      <c r="C3306" s="5" t="inlineStr">
        <is>
          <t>CLASS S: RAIL TRACK</t>
        </is>
      </c>
      <c r="D3306" s="5" t="inlineStr">
        <is>
          <t>03 LIFTING, PACKING AND SLEWING</t>
        </is>
      </c>
      <c r="E3306" s="5" t="inlineStr">
        <is>
          <t>Lifting, packing and slewing (continued)</t>
        </is>
      </c>
      <c r="F3306" s="5" t="inlineStr">
        <is>
          <t>Buffer stops</t>
        </is>
      </c>
      <c r="G3306" s="6" t="inlineStr">
        <is>
          <t>nr</t>
        </is>
      </c>
      <c r="H3306" s="7" t="n">
        <v>2.5</v>
      </c>
      <c r="I3306" s="8" t="n">
        <v>304.16</v>
      </c>
      <c r="J3306" s="8" t="n">
        <v>65.42</v>
      </c>
      <c r="K3306" s="8" t="n">
        <v>0</v>
      </c>
      <c r="L3306" s="8" t="n">
        <v>0</v>
      </c>
      <c r="M3306" s="9">
        <f>ROUND(SUM(I3306:L3306),2)</f>
        <v/>
      </c>
      <c r="N3306" s="10">
        <f>ROUND(I3306*'Irish Basis'!$C$6*'Irish Basis'!$C$5,2)</f>
        <v/>
      </c>
      <c r="O3306" s="10">
        <f>ROUND(J3306*'Irish Basis'!$C$7*'Irish Basis'!$C$5,2)</f>
        <v/>
      </c>
      <c r="P3306" s="10">
        <f>ROUND(K3306*'Irish Basis'!$C$8*'Irish Basis'!$C$5,2)</f>
        <v/>
      </c>
      <c r="Q3306" s="10">
        <f>ROUND(L3306*'Irish Basis'!$C$12*'Irish Basis'!$C$5,2)</f>
        <v/>
      </c>
      <c r="R3306" s="11">
        <f>ROUND(SUM(N3306:Q3306),2)</f>
        <v/>
      </c>
      <c r="S3306" s="5" t="inlineStr">
        <is>
          <t>Stated build-up</t>
        </is>
      </c>
      <c r="T3306" s="12" t="inlineStr">
        <is>
          <t>High</t>
        </is>
      </c>
      <c r="U3306" s="8" t="n">
        <v>369.58</v>
      </c>
      <c r="V3306" s="13">
        <f>IF(U3306="","",ROUND(M3306-U3306,2))</f>
        <v/>
      </c>
      <c r="W3306" s="5" t="n"/>
      <c r="X3306" s="5" t="inlineStr">
        <is>
          <t>Labour + plant + material as published; reconciles to the published rate.</t>
        </is>
      </c>
    </row>
    <row r="3307" ht="13" customHeight="1">
      <c r="A3307" s="4" t="n">
        <v>5044</v>
      </c>
      <c r="B3307" s="5" t="inlineStr">
        <is>
          <t>IMG_0134</t>
        </is>
      </c>
      <c r="C3307" s="5" t="inlineStr">
        <is>
          <t>CLASS S: RAIL TRACK</t>
        </is>
      </c>
      <c r="D3307" s="5" t="inlineStr">
        <is>
          <t>04 SUPPLYING (STANDARD GAUGE TRACK)</t>
        </is>
      </c>
      <c r="E3307" s="5" t="inlineStr">
        <is>
          <t>Bullhead rails; BS 11; delivered in standard 18.288 m lengths</t>
        </is>
      </c>
      <c r="F3307" s="5" t="inlineStr">
        <is>
          <t>BS95R section, 47 kg/m; for jointed track</t>
        </is>
      </c>
      <c r="G3307" s="6" t="inlineStr">
        <is>
          <t>tonne</t>
        </is>
      </c>
      <c r="H3307" s="7" t="n"/>
      <c r="I3307" s="8" t="n">
        <v>0</v>
      </c>
      <c r="J3307" s="8" t="n">
        <v>0</v>
      </c>
      <c r="K3307" s="8" t="n">
        <v>1212.34</v>
      </c>
      <c r="L3307" s="8" t="n">
        <v>0</v>
      </c>
      <c r="M3307" s="9">
        <f>ROUND(SUM(I3307:L3307),2)</f>
        <v/>
      </c>
      <c r="N3307" s="10">
        <f>ROUND(I3307*'Irish Basis'!$C$6*'Irish Basis'!$C$5,2)</f>
        <v/>
      </c>
      <c r="O3307" s="10">
        <f>ROUND(J3307*'Irish Basis'!$C$7*'Irish Basis'!$C$5,2)</f>
        <v/>
      </c>
      <c r="P3307" s="10">
        <f>ROUND(K3307*'Irish Basis'!$C$8*'Irish Basis'!$C$5,2)</f>
        <v/>
      </c>
      <c r="Q3307" s="10">
        <f>ROUND(L3307*'Irish Basis'!$C$12*'Irish Basis'!$C$5,2)</f>
        <v/>
      </c>
      <c r="R3307" s="11">
        <f>ROUND(SUM(N3307:Q3307),2)</f>
        <v/>
      </c>
      <c r="S3307" s="5" t="inlineStr">
        <is>
          <t>Stated build-up</t>
        </is>
      </c>
      <c r="T3307" s="12" t="inlineStr">
        <is>
          <t>High</t>
        </is>
      </c>
      <c r="U3307" s="8" t="n">
        <v>1212.34</v>
      </c>
      <c r="V3307" s="13">
        <f>IF(U3307="","",ROUND(M3307-U3307,2))</f>
        <v/>
      </c>
      <c r="W3307" s="5" t="n"/>
      <c r="X3307" s="5" t="inlineStr">
        <is>
          <t>Labour + plant + material as published; reconciles to the published rate.</t>
        </is>
      </c>
    </row>
    <row r="3308" ht="13" customHeight="1">
      <c r="A3308" s="4" t="n">
        <v>5046</v>
      </c>
      <c r="B3308" s="5" t="inlineStr">
        <is>
          <t>IMG_0134</t>
        </is>
      </c>
      <c r="C3308" s="5" t="inlineStr">
        <is>
          <t>CLASS S: RAIL TRACK</t>
        </is>
      </c>
      <c r="D3308" s="5" t="inlineStr">
        <is>
          <t>04 SUPPLYING (STANDARD GAUGE TRACK)</t>
        </is>
      </c>
      <c r="E3308" s="5" t="inlineStr">
        <is>
          <t>Flat bottom rails; BS 11; delivered in standard 18.288 m lengths</t>
        </is>
      </c>
      <c r="F3308" s="5" t="inlineStr">
        <is>
          <t>BS 113 'A' section, 56 kg/m; for jointed track</t>
        </is>
      </c>
      <c r="G3308" s="6" t="inlineStr">
        <is>
          <t>tonne</t>
        </is>
      </c>
      <c r="H3308" s="7" t="n"/>
      <c r="I3308" s="8" t="n">
        <v>0</v>
      </c>
      <c r="J3308" s="8" t="n">
        <v>0</v>
      </c>
      <c r="K3308" s="8" t="n">
        <v>1212.34</v>
      </c>
      <c r="L3308" s="8" t="n">
        <v>0</v>
      </c>
      <c r="M3308" s="9">
        <f>ROUND(SUM(I3308:L3308),2)</f>
        <v/>
      </c>
      <c r="N3308" s="10">
        <f>ROUND(I3308*'Irish Basis'!$C$6*'Irish Basis'!$C$5,2)</f>
        <v/>
      </c>
      <c r="O3308" s="10">
        <f>ROUND(J3308*'Irish Basis'!$C$7*'Irish Basis'!$C$5,2)</f>
        <v/>
      </c>
      <c r="P3308" s="10">
        <f>ROUND(K3308*'Irish Basis'!$C$8*'Irish Basis'!$C$5,2)</f>
        <v/>
      </c>
      <c r="Q3308" s="10">
        <f>ROUND(L3308*'Irish Basis'!$C$12*'Irish Basis'!$C$5,2)</f>
        <v/>
      </c>
      <c r="R3308" s="11">
        <f>ROUND(SUM(N3308:Q3308),2)</f>
        <v/>
      </c>
      <c r="S3308" s="5" t="inlineStr">
        <is>
          <t>Stated build-up</t>
        </is>
      </c>
      <c r="T3308" s="12" t="inlineStr">
        <is>
          <t>High</t>
        </is>
      </c>
      <c r="U3308" s="8" t="n">
        <v>1212.34</v>
      </c>
      <c r="V3308" s="13">
        <f>IF(U3308="","",ROUND(M3308-U3308,2))</f>
        <v/>
      </c>
      <c r="W3308" s="5" t="n"/>
      <c r="X3308" s="5" t="inlineStr">
        <is>
          <t>Labour + plant + material as published; reconciles to the published rate.</t>
        </is>
      </c>
    </row>
    <row r="3309" ht="13" customHeight="1">
      <c r="A3309" s="4" t="n">
        <v>5047</v>
      </c>
      <c r="B3309" s="5" t="inlineStr">
        <is>
          <t>IMG_0134</t>
        </is>
      </c>
      <c r="C3309" s="5" t="inlineStr">
        <is>
          <t>CLASS S: RAIL TRACK</t>
        </is>
      </c>
      <c r="D3309" s="5" t="inlineStr">
        <is>
          <t>04 SUPPLYING (STANDARD GAUGE TRACK)</t>
        </is>
      </c>
      <c r="E3309" s="5" t="inlineStr">
        <is>
          <t>Flat bottom rails; BS 11; delivered in standard 18.288 m lengths</t>
        </is>
      </c>
      <c r="F3309" s="5" t="inlineStr">
        <is>
          <t>BS 113 'A' section, 40 kg/m; for welded track</t>
        </is>
      </c>
      <c r="G3309" s="6" t="inlineStr">
        <is>
          <t>tonne</t>
        </is>
      </c>
      <c r="H3309" s="7" t="n"/>
      <c r="I3309" s="8" t="n">
        <v>0</v>
      </c>
      <c r="J3309" s="8" t="n">
        <v>0</v>
      </c>
      <c r="K3309" s="8" t="n">
        <v>1212.34</v>
      </c>
      <c r="L3309" s="8" t="n">
        <v>0</v>
      </c>
      <c r="M3309" s="9">
        <f>ROUND(SUM(I3309:L3309),2)</f>
        <v/>
      </c>
      <c r="N3309" s="10">
        <f>ROUND(I3309*'Irish Basis'!$C$6*'Irish Basis'!$C$5,2)</f>
        <v/>
      </c>
      <c r="O3309" s="10">
        <f>ROUND(J3309*'Irish Basis'!$C$7*'Irish Basis'!$C$5,2)</f>
        <v/>
      </c>
      <c r="P3309" s="10">
        <f>ROUND(K3309*'Irish Basis'!$C$8*'Irish Basis'!$C$5,2)</f>
        <v/>
      </c>
      <c r="Q3309" s="10">
        <f>ROUND(L3309*'Irish Basis'!$C$12*'Irish Basis'!$C$5,2)</f>
        <v/>
      </c>
      <c r="R3309" s="11">
        <f>ROUND(SUM(N3309:Q3309),2)</f>
        <v/>
      </c>
      <c r="S3309" s="5" t="inlineStr">
        <is>
          <t>Stated build-up</t>
        </is>
      </c>
      <c r="T3309" s="12" t="inlineStr">
        <is>
          <t>High</t>
        </is>
      </c>
      <c r="U3309" s="8" t="n">
        <v>1212.34</v>
      </c>
      <c r="V3309" s="13">
        <f>IF(U3309="","",ROUND(M3309-U3309,2))</f>
        <v/>
      </c>
      <c r="W3309" s="5" t="n"/>
      <c r="X3309" s="5" t="inlineStr">
        <is>
          <t>Labour + plant + material as published; reconciles to the published rate.</t>
        </is>
      </c>
    </row>
    <row r="3310" ht="13" customHeight="1">
      <c r="A3310" s="4" t="n">
        <v>5048</v>
      </c>
      <c r="B3310" s="5" t="inlineStr">
        <is>
          <t>IMG_0134</t>
        </is>
      </c>
      <c r="C3310" s="5" t="inlineStr">
        <is>
          <t>CLASS S: RAIL TRACK</t>
        </is>
      </c>
      <c r="D3310" s="5" t="inlineStr">
        <is>
          <t>04 SUPPLYING (STANDARD GAUGE TRACK)</t>
        </is>
      </c>
      <c r="E3310" s="5" t="inlineStr">
        <is>
          <t>Flat bottom rails; BS 11; delivered in standard 18.288 m lengths</t>
        </is>
      </c>
      <c r="F3310" s="5" t="inlineStr">
        <is>
          <t>Extra for curved rails to form super elevation; radius over 600 m</t>
        </is>
      </c>
      <c r="G3310" s="6" t="inlineStr">
        <is>
          <t>%</t>
        </is>
      </c>
      <c r="H3310" s="7" t="n"/>
      <c r="I3310" s="8" t="n">
        <v>0</v>
      </c>
      <c r="J3310" s="8" t="n">
        <v>0</v>
      </c>
      <c r="K3310" s="8" t="n">
        <v>28.87</v>
      </c>
      <c r="L3310" s="8" t="n">
        <v>0</v>
      </c>
      <c r="M3310" s="9">
        <f>ROUND(SUM(I3310:L3310),2)</f>
        <v/>
      </c>
      <c r="N3310" s="10">
        <f>ROUND(I3310*'Irish Basis'!$C$6*'Irish Basis'!$C$5,2)</f>
        <v/>
      </c>
      <c r="O3310" s="10">
        <f>ROUND(J3310*'Irish Basis'!$C$7*'Irish Basis'!$C$5,2)</f>
        <v/>
      </c>
      <c r="P3310" s="10">
        <f>ROUND(K3310*'Irish Basis'!$C$8*'Irish Basis'!$C$5,2)</f>
        <v/>
      </c>
      <c r="Q3310" s="10">
        <f>ROUND(L3310*'Irish Basis'!$C$12*'Irish Basis'!$C$5,2)</f>
        <v/>
      </c>
      <c r="R3310" s="11">
        <f>ROUND(SUM(N3310:Q3310),2)</f>
        <v/>
      </c>
      <c r="S3310" s="5" t="inlineStr">
        <is>
          <t>Apportioned (section)</t>
        </is>
      </c>
      <c r="T3310" s="16" t="inlineStr">
        <is>
          <t>Medium</t>
        </is>
      </c>
      <c r="U3310" s="8" t="n">
        <v>28.87</v>
      </c>
      <c r="V3310" s="13">
        <f>IF(U3310="","",ROUND(M3310-U3310,2))</f>
        <v/>
      </c>
      <c r="W3310" s="5" t="n"/>
      <c r="X3310" s="5" t="inlineStr">
        <is>
          <t>Split from published rate using median L/P/M shares of 42 comparable build-ups at section level (0/0/100).</t>
        </is>
      </c>
    </row>
    <row r="3311" ht="13" customHeight="1">
      <c r="A3311" s="4" t="n">
        <v>5050</v>
      </c>
      <c r="B3311" s="5" t="inlineStr">
        <is>
          <t>IMG_0134</t>
        </is>
      </c>
      <c r="C3311" s="5" t="inlineStr">
        <is>
          <t>CLASS S: RAIL TRACK</t>
        </is>
      </c>
      <c r="D3311" s="5" t="inlineStr">
        <is>
          <t>04 SUPPLYING (STANDARD GAUGE TRACK)</t>
        </is>
      </c>
      <c r="E3311" s="5" t="inlineStr">
        <is>
          <t>Check and guard rails; BS 11; delivered in standard 18.288 m lengths; flange planed to allow 50 mm free wheel clearance</t>
        </is>
      </c>
      <c r="F3311" s="5" t="inlineStr">
        <is>
          <t>BS 113 'A' section, 56 kg/m; for bolting</t>
        </is>
      </c>
      <c r="G3311" s="6" t="inlineStr">
        <is>
          <t>tonne</t>
        </is>
      </c>
      <c r="H3311" s="7" t="n"/>
      <c r="I3311" s="8" t="n">
        <v>0</v>
      </c>
      <c r="J3311" s="8" t="n">
        <v>0</v>
      </c>
      <c r="K3311" s="8" t="n">
        <v>1447.22</v>
      </c>
      <c r="L3311" s="8" t="n">
        <v>0</v>
      </c>
      <c r="M3311" s="9">
        <f>ROUND(SUM(I3311:L3311),2)</f>
        <v/>
      </c>
      <c r="N3311" s="10">
        <f>ROUND(I3311*'Irish Basis'!$C$6*'Irish Basis'!$C$5,2)</f>
        <v/>
      </c>
      <c r="O3311" s="10">
        <f>ROUND(J3311*'Irish Basis'!$C$7*'Irish Basis'!$C$5,2)</f>
        <v/>
      </c>
      <c r="P3311" s="10">
        <f>ROUND(K3311*'Irish Basis'!$C$8*'Irish Basis'!$C$5,2)</f>
        <v/>
      </c>
      <c r="Q3311" s="10">
        <f>ROUND(L3311*'Irish Basis'!$C$12*'Irish Basis'!$C$5,2)</f>
        <v/>
      </c>
      <c r="R3311" s="11">
        <f>ROUND(SUM(N3311:Q3311),2)</f>
        <v/>
      </c>
      <c r="S3311" s="5" t="inlineStr">
        <is>
          <t>Stated build-up</t>
        </is>
      </c>
      <c r="T3311" s="12" t="inlineStr">
        <is>
          <t>High</t>
        </is>
      </c>
      <c r="U3311" s="8" t="n">
        <v>1447.22</v>
      </c>
      <c r="V3311" s="13">
        <f>IF(U3311="","",ROUND(M3311-U3311,2))</f>
        <v/>
      </c>
      <c r="W3311" s="5" t="n"/>
      <c r="X3311" s="5" t="inlineStr">
        <is>
          <t>Labour + plant + material as published; reconciles to the published rate.</t>
        </is>
      </c>
    </row>
    <row r="3312" ht="13" customHeight="1">
      <c r="A3312" s="4" t="n">
        <v>5052</v>
      </c>
      <c r="B3312" s="5" t="inlineStr">
        <is>
          <t>IMG_0134</t>
        </is>
      </c>
      <c r="C3312" s="5" t="inlineStr">
        <is>
          <t>CLASS S: RAIL TRACK</t>
        </is>
      </c>
      <c r="D3312" s="5" t="inlineStr">
        <is>
          <t>04 SUPPLYING (STANDARD GAUGE TRACK)</t>
        </is>
      </c>
      <c r="E3312" s="5" t="inlineStr">
        <is>
          <t>Conductor rails; BS 11; delivered in standard 18.288 m lengths</t>
        </is>
      </c>
      <c r="F3312" s="5" t="inlineStr">
        <is>
          <t>BS 113 'A' section, 56 kg/m; for bolting</t>
        </is>
      </c>
      <c r="G3312" s="6" t="inlineStr">
        <is>
          <t>tonne</t>
        </is>
      </c>
      <c r="H3312" s="7" t="n"/>
      <c r="I3312" s="8" t="n">
        <v>0</v>
      </c>
      <c r="J3312" s="8" t="n">
        <v>0</v>
      </c>
      <c r="K3312" s="8" t="n">
        <v>1447.22</v>
      </c>
      <c r="L3312" s="8" t="n">
        <v>0</v>
      </c>
      <c r="M3312" s="9">
        <f>ROUND(SUM(I3312:L3312),2)</f>
        <v/>
      </c>
      <c r="N3312" s="10">
        <f>ROUND(I3312*'Irish Basis'!$C$6*'Irish Basis'!$C$5,2)</f>
        <v/>
      </c>
      <c r="O3312" s="10">
        <f>ROUND(J3312*'Irish Basis'!$C$7*'Irish Basis'!$C$5,2)</f>
        <v/>
      </c>
      <c r="P3312" s="10">
        <f>ROUND(K3312*'Irish Basis'!$C$8*'Irish Basis'!$C$5,2)</f>
        <v/>
      </c>
      <c r="Q3312" s="10">
        <f>ROUND(L3312*'Irish Basis'!$C$12*'Irish Basis'!$C$5,2)</f>
        <v/>
      </c>
      <c r="R3312" s="11">
        <f>ROUND(SUM(N3312:Q3312),2)</f>
        <v/>
      </c>
      <c r="S3312" s="5" t="inlineStr">
        <is>
          <t>Stated build-up</t>
        </is>
      </c>
      <c r="T3312" s="12" t="inlineStr">
        <is>
          <t>High</t>
        </is>
      </c>
      <c r="U3312" s="8" t="n">
        <v>1447.22</v>
      </c>
      <c r="V3312" s="13">
        <f>IF(U3312="","",ROUND(M3312-U3312,2))</f>
        <v/>
      </c>
      <c r="W3312" s="5" t="n"/>
      <c r="X3312" s="5" t="inlineStr">
        <is>
          <t>Labour + plant + material as published; reconciles to the published rate.</t>
        </is>
      </c>
    </row>
    <row r="3313" ht="13" customHeight="1">
      <c r="A3313" s="4" t="n">
        <v>5054</v>
      </c>
      <c r="B3313" s="5" t="inlineStr">
        <is>
          <t>IMG_0134</t>
        </is>
      </c>
      <c r="C3313" s="5" t="inlineStr">
        <is>
          <t>CLASS S: RAIL TRACK</t>
        </is>
      </c>
      <c r="D3313" s="5" t="inlineStr">
        <is>
          <t>04 SUPPLYING (STANDARD GAUGE TRACK)</t>
        </is>
      </c>
      <c r="E3313" s="5" t="inlineStr">
        <is>
          <t>Twist rails; BS 11; delivered in standard 18.288 m lengths</t>
        </is>
      </c>
      <c r="F3313" s="5" t="inlineStr">
        <is>
          <t>BS 113 'A' section, 56 kg/m; for bolting</t>
        </is>
      </c>
      <c r="G3313" s="6" t="inlineStr">
        <is>
          <t>tonne</t>
        </is>
      </c>
      <c r="H3313" s="7" t="n"/>
      <c r="I3313" s="8" t="n">
        <v>0</v>
      </c>
      <c r="J3313" s="8" t="n">
        <v>0</v>
      </c>
      <c r="K3313" s="8" t="n">
        <v>1447.22</v>
      </c>
      <c r="L3313" s="8" t="n">
        <v>0</v>
      </c>
      <c r="M3313" s="9">
        <f>ROUND(SUM(I3313:L3313),2)</f>
        <v/>
      </c>
      <c r="N3313" s="10">
        <f>ROUND(I3313*'Irish Basis'!$C$6*'Irish Basis'!$C$5,2)</f>
        <v/>
      </c>
      <c r="O3313" s="10">
        <f>ROUND(J3313*'Irish Basis'!$C$7*'Irish Basis'!$C$5,2)</f>
        <v/>
      </c>
      <c r="P3313" s="10">
        <f>ROUND(K3313*'Irish Basis'!$C$8*'Irish Basis'!$C$5,2)</f>
        <v/>
      </c>
      <c r="Q3313" s="10">
        <f>ROUND(L3313*'Irish Basis'!$C$12*'Irish Basis'!$C$5,2)</f>
        <v/>
      </c>
      <c r="R3313" s="11">
        <f>ROUND(SUM(N3313:Q3313),2)</f>
        <v/>
      </c>
      <c r="S3313" s="5" t="inlineStr">
        <is>
          <t>Stated build-up</t>
        </is>
      </c>
      <c r="T3313" s="12" t="inlineStr">
        <is>
          <t>High</t>
        </is>
      </c>
      <c r="U3313" s="8" t="n">
        <v>1447.22</v>
      </c>
      <c r="V3313" s="13">
        <f>IF(U3313="","",ROUND(M3313-U3313,2))</f>
        <v/>
      </c>
      <c r="W3313" s="5" t="n"/>
      <c r="X3313" s="5" t="inlineStr">
        <is>
          <t>Labour + plant + material as published; reconciles to the published rate.</t>
        </is>
      </c>
    </row>
    <row r="3314" ht="13" customHeight="1">
      <c r="A3314" s="4" t="n">
        <v>5056</v>
      </c>
      <c r="B3314" s="5" t="inlineStr">
        <is>
          <t>IMG_0134</t>
        </is>
      </c>
      <c r="C3314" s="5" t="inlineStr">
        <is>
          <t>CLASS S: RAIL TRACK</t>
        </is>
      </c>
      <c r="D3314" s="5" t="inlineStr">
        <is>
          <t>04 SUPPLYING (STANDARD GAUGE TRACK)</t>
        </is>
      </c>
      <c r="E3314" s="5" t="inlineStr">
        <is>
          <t>Sleepers; bullhead track timber sleepers</t>
        </is>
      </c>
      <c r="F3314" s="5" t="inlineStr">
        <is>
          <t>2600 x 250 x 130 mm</t>
        </is>
      </c>
      <c r="G3314" s="6" t="inlineStr">
        <is>
          <t>nr</t>
        </is>
      </c>
      <c r="H3314" s="7" t="n"/>
      <c r="I3314" s="8" t="n">
        <v>0</v>
      </c>
      <c r="J3314" s="8" t="n">
        <v>0</v>
      </c>
      <c r="K3314" s="8" t="n">
        <v>39.41</v>
      </c>
      <c r="L3314" s="8" t="n">
        <v>0</v>
      </c>
      <c r="M3314" s="9">
        <f>ROUND(SUM(I3314:L3314),2)</f>
        <v/>
      </c>
      <c r="N3314" s="10">
        <f>ROUND(I3314*'Irish Basis'!$C$6*'Irish Basis'!$C$5,2)</f>
        <v/>
      </c>
      <c r="O3314" s="10">
        <f>ROUND(J3314*'Irish Basis'!$C$7*'Irish Basis'!$C$5,2)</f>
        <v/>
      </c>
      <c r="P3314" s="10">
        <f>ROUND(K3314*'Irish Basis'!$C$8*'Irish Basis'!$C$5,2)</f>
        <v/>
      </c>
      <c r="Q3314" s="10">
        <f>ROUND(L3314*'Irish Basis'!$C$12*'Irish Basis'!$C$5,2)</f>
        <v/>
      </c>
      <c r="R3314" s="11">
        <f>ROUND(SUM(N3314:Q3314),2)</f>
        <v/>
      </c>
      <c r="S3314" s="5" t="inlineStr">
        <is>
          <t>Stated build-up</t>
        </is>
      </c>
      <c r="T3314" s="12" t="inlineStr">
        <is>
          <t>High</t>
        </is>
      </c>
      <c r="U3314" s="8" t="n">
        <v>39.41</v>
      </c>
      <c r="V3314" s="13">
        <f>IF(U3314="","",ROUND(M3314-U3314,2))</f>
        <v/>
      </c>
      <c r="W3314" s="5" t="n"/>
      <c r="X3314" s="5" t="inlineStr">
        <is>
          <t>Labour + plant + material as published; reconciles to the published rate.</t>
        </is>
      </c>
    </row>
    <row r="3315" ht="13" customHeight="1">
      <c r="A3315" s="4" t="n">
        <v>5058</v>
      </c>
      <c r="B3315" s="5" t="inlineStr">
        <is>
          <t>IMG_0134</t>
        </is>
      </c>
      <c r="C3315" s="5" t="inlineStr">
        <is>
          <t>CLASS S: RAIL TRACK</t>
        </is>
      </c>
      <c r="D3315" s="5" t="inlineStr">
        <is>
          <t>04 SUPPLYING (STANDARD GAUGE TRACK)</t>
        </is>
      </c>
      <c r="E3315" s="5" t="inlineStr">
        <is>
          <t>Sleepers; bullhead track concrete sleepers</t>
        </is>
      </c>
      <c r="F3315" s="5" t="inlineStr">
        <is>
          <t>2600 x 250 x 130 mm</t>
        </is>
      </c>
      <c r="G3315" s="6" t="inlineStr">
        <is>
          <t>nr</t>
        </is>
      </c>
      <c r="H3315" s="7" t="n"/>
      <c r="I3315" s="8" t="n">
        <v>0</v>
      </c>
      <c r="J3315" s="8" t="n">
        <v>0</v>
      </c>
      <c r="K3315" s="8" t="n">
        <v>69.92</v>
      </c>
      <c r="L3315" s="8" t="n">
        <v>0</v>
      </c>
      <c r="M3315" s="9">
        <f>ROUND(SUM(I3315:L3315),2)</f>
        <v/>
      </c>
      <c r="N3315" s="10">
        <f>ROUND(I3315*'Irish Basis'!$C$6*'Irish Basis'!$C$5,2)</f>
        <v/>
      </c>
      <c r="O3315" s="10">
        <f>ROUND(J3315*'Irish Basis'!$C$7*'Irish Basis'!$C$5,2)</f>
        <v/>
      </c>
      <c r="P3315" s="10">
        <f>ROUND(K3315*'Irish Basis'!$C$8*'Irish Basis'!$C$5,2)</f>
        <v/>
      </c>
      <c r="Q3315" s="10">
        <f>ROUND(L3315*'Irish Basis'!$C$12*'Irish Basis'!$C$5,2)</f>
        <v/>
      </c>
      <c r="R3315" s="11">
        <f>ROUND(SUM(N3315:Q3315),2)</f>
        <v/>
      </c>
      <c r="S3315" s="5" t="inlineStr">
        <is>
          <t>Stated build-up</t>
        </is>
      </c>
      <c r="T3315" s="12" t="inlineStr">
        <is>
          <t>High</t>
        </is>
      </c>
      <c r="U3315" s="8" t="n">
        <v>69.92</v>
      </c>
      <c r="V3315" s="13">
        <f>IF(U3315="","",ROUND(M3315-U3315,2))</f>
        <v/>
      </c>
      <c r="W3315" s="5" t="n"/>
      <c r="X3315" s="5" t="inlineStr">
        <is>
          <t>Labour + plant + material as published; reconciles to the published rate.</t>
        </is>
      </c>
    </row>
    <row r="3316" ht="13" customHeight="1">
      <c r="A3316" s="4" t="n">
        <v>5060</v>
      </c>
      <c r="B3316" s="5" t="inlineStr">
        <is>
          <t>IMG_0134</t>
        </is>
      </c>
      <c r="C3316" s="5" t="inlineStr">
        <is>
          <t>CLASS S: RAIL TRACK</t>
        </is>
      </c>
      <c r="D3316" s="5" t="inlineStr">
        <is>
          <t>04 SUPPLYING (STANDARD GAUGE TRACK)</t>
        </is>
      </c>
      <c r="E3316" s="5" t="inlineStr">
        <is>
          <t>Sleepers; bullhead track steel sleepers</t>
        </is>
      </c>
      <c r="F3316" s="5" t="inlineStr">
        <is>
          <t>2525 x 264 x 204 mm</t>
        </is>
      </c>
      <c r="G3316" s="6" t="inlineStr">
        <is>
          <t>nr</t>
        </is>
      </c>
      <c r="H3316" s="7" t="n"/>
      <c r="I3316" s="8" t="n">
        <v>0</v>
      </c>
      <c r="J3316" s="8" t="n">
        <v>0</v>
      </c>
      <c r="K3316" s="8" t="n">
        <v>93.95</v>
      </c>
      <c r="L3316" s="8" t="n">
        <v>0</v>
      </c>
      <c r="M3316" s="9">
        <f>ROUND(SUM(I3316:L3316),2)</f>
        <v/>
      </c>
      <c r="N3316" s="10">
        <f>ROUND(I3316*'Irish Basis'!$C$6*'Irish Basis'!$C$5,2)</f>
        <v/>
      </c>
      <c r="O3316" s="10">
        <f>ROUND(J3316*'Irish Basis'!$C$7*'Irish Basis'!$C$5,2)</f>
        <v/>
      </c>
      <c r="P3316" s="10">
        <f>ROUND(K3316*'Irish Basis'!$C$8*'Irish Basis'!$C$5,2)</f>
        <v/>
      </c>
      <c r="Q3316" s="10">
        <f>ROUND(L3316*'Irish Basis'!$C$12*'Irish Basis'!$C$5,2)</f>
        <v/>
      </c>
      <c r="R3316" s="11">
        <f>ROUND(SUM(N3316:Q3316),2)</f>
        <v/>
      </c>
      <c r="S3316" s="5" t="inlineStr">
        <is>
          <t>Stated build-up</t>
        </is>
      </c>
      <c r="T3316" s="12" t="inlineStr">
        <is>
          <t>High</t>
        </is>
      </c>
      <c r="U3316" s="8" t="n">
        <v>93.95</v>
      </c>
      <c r="V3316" s="13">
        <f>IF(U3316="","",ROUND(M3316-U3316,2))</f>
        <v/>
      </c>
      <c r="W3316" s="5" t="n"/>
      <c r="X3316" s="5" t="inlineStr">
        <is>
          <t>Labour + plant + material as published; reconciles to the published rate.</t>
        </is>
      </c>
    </row>
    <row r="3317" ht="13" customHeight="1">
      <c r="A3317" s="4" t="n">
        <v>5062</v>
      </c>
      <c r="B3317" s="5" t="inlineStr">
        <is>
          <t>IMG_0134</t>
        </is>
      </c>
      <c r="C3317" s="5" t="inlineStr">
        <is>
          <t>CLASS S: RAIL TRACK</t>
        </is>
      </c>
      <c r="D3317" s="5" t="inlineStr">
        <is>
          <t>04 SUPPLYING (STANDARD GAUGE TRACK)</t>
        </is>
      </c>
      <c r="E3317" s="5" t="inlineStr">
        <is>
          <t>Sleepers; Flat bottom track timber sleepers</t>
        </is>
      </c>
      <c r="F3317" s="5" t="inlineStr">
        <is>
          <t>2600 x 250 x 130 mm</t>
        </is>
      </c>
      <c r="G3317" s="6" t="inlineStr">
        <is>
          <t>nr</t>
        </is>
      </c>
      <c r="H3317" s="7" t="n"/>
      <c r="I3317" s="8" t="n">
        <v>0</v>
      </c>
      <c r="J3317" s="8" t="n">
        <v>0</v>
      </c>
      <c r="K3317" s="8" t="n">
        <v>39.41</v>
      </c>
      <c r="L3317" s="8" t="n">
        <v>0</v>
      </c>
      <c r="M3317" s="9">
        <f>ROUND(SUM(I3317:L3317),2)</f>
        <v/>
      </c>
      <c r="N3317" s="10">
        <f>ROUND(I3317*'Irish Basis'!$C$6*'Irish Basis'!$C$5,2)</f>
        <v/>
      </c>
      <c r="O3317" s="10">
        <f>ROUND(J3317*'Irish Basis'!$C$7*'Irish Basis'!$C$5,2)</f>
        <v/>
      </c>
      <c r="P3317" s="10">
        <f>ROUND(K3317*'Irish Basis'!$C$8*'Irish Basis'!$C$5,2)</f>
        <v/>
      </c>
      <c r="Q3317" s="10">
        <f>ROUND(L3317*'Irish Basis'!$C$12*'Irish Basis'!$C$5,2)</f>
        <v/>
      </c>
      <c r="R3317" s="11">
        <f>ROUND(SUM(N3317:Q3317),2)</f>
        <v/>
      </c>
      <c r="S3317" s="5" t="inlineStr">
        <is>
          <t>Stated build-up</t>
        </is>
      </c>
      <c r="T3317" s="12" t="inlineStr">
        <is>
          <t>High</t>
        </is>
      </c>
      <c r="U3317" s="8" t="n">
        <v>39.41</v>
      </c>
      <c r="V3317" s="13">
        <f>IF(U3317="","",ROUND(M3317-U3317,2))</f>
        <v/>
      </c>
      <c r="W3317" s="5" t="n"/>
      <c r="X3317" s="5" t="inlineStr">
        <is>
          <t>Labour + plant + material as published; reconciles to the published rate.</t>
        </is>
      </c>
    </row>
    <row r="3318" ht="13" customHeight="1">
      <c r="A3318" s="4" t="n">
        <v>5064</v>
      </c>
      <c r="B3318" s="5" t="inlineStr">
        <is>
          <t>IMG_0134</t>
        </is>
      </c>
      <c r="C3318" s="5" t="inlineStr">
        <is>
          <t>CLASS S: RAIL TRACK</t>
        </is>
      </c>
      <c r="D3318" s="5" t="inlineStr">
        <is>
          <t>04 SUPPLYING (STANDARD GAUGE TRACK)</t>
        </is>
      </c>
      <c r="E3318" s="5" t="inlineStr">
        <is>
          <t>Sleepers; Flat bottom track concrete sleepers</t>
        </is>
      </c>
      <c r="F3318" s="5" t="inlineStr">
        <is>
          <t>2600 x 250 x 130 mm</t>
        </is>
      </c>
      <c r="G3318" s="6" t="inlineStr">
        <is>
          <t>nr</t>
        </is>
      </c>
      <c r="H3318" s="7" t="n"/>
      <c r="I3318" s="8" t="n">
        <v>0</v>
      </c>
      <c r="J3318" s="8" t="n">
        <v>0</v>
      </c>
      <c r="K3318" s="8" t="n">
        <v>69.92</v>
      </c>
      <c r="L3318" s="8" t="n">
        <v>0</v>
      </c>
      <c r="M3318" s="9">
        <f>ROUND(SUM(I3318:L3318),2)</f>
        <v/>
      </c>
      <c r="N3318" s="10">
        <f>ROUND(I3318*'Irish Basis'!$C$6*'Irish Basis'!$C$5,2)</f>
        <v/>
      </c>
      <c r="O3318" s="10">
        <f>ROUND(J3318*'Irish Basis'!$C$7*'Irish Basis'!$C$5,2)</f>
        <v/>
      </c>
      <c r="P3318" s="10">
        <f>ROUND(K3318*'Irish Basis'!$C$8*'Irish Basis'!$C$5,2)</f>
        <v/>
      </c>
      <c r="Q3318" s="10">
        <f>ROUND(L3318*'Irish Basis'!$C$12*'Irish Basis'!$C$5,2)</f>
        <v/>
      </c>
      <c r="R3318" s="11">
        <f>ROUND(SUM(N3318:Q3318),2)</f>
        <v/>
      </c>
      <c r="S3318" s="5" t="inlineStr">
        <is>
          <t>Stated build-up</t>
        </is>
      </c>
      <c r="T3318" s="12" t="inlineStr">
        <is>
          <t>High</t>
        </is>
      </c>
      <c r="U3318" s="8" t="n">
        <v>69.92</v>
      </c>
      <c r="V3318" s="13">
        <f>IF(U3318="","",ROUND(M3318-U3318,2))</f>
        <v/>
      </c>
      <c r="W3318" s="5" t="n"/>
      <c r="X3318" s="5" t="inlineStr">
        <is>
          <t>Labour + plant + material as published; reconciles to the published rate.</t>
        </is>
      </c>
    </row>
    <row r="3319" ht="13" customHeight="1">
      <c r="A3319" s="4" t="n">
        <v>5066</v>
      </c>
      <c r="B3319" s="5" t="inlineStr">
        <is>
          <t>IMG_0134</t>
        </is>
      </c>
      <c r="C3319" s="5" t="inlineStr">
        <is>
          <t>CLASS S: RAIL TRACK</t>
        </is>
      </c>
      <c r="D3319" s="5" t="inlineStr">
        <is>
          <t>04 SUPPLYING (STANDARD GAUGE TRACK)</t>
        </is>
      </c>
      <c r="E3319" s="5" t="inlineStr">
        <is>
          <t>Sleepers; Flat bottom track steel sleepers</t>
        </is>
      </c>
      <c r="F3319" s="5" t="inlineStr">
        <is>
          <t>2525 x 264 x 204 mm</t>
        </is>
      </c>
      <c r="G3319" s="6" t="inlineStr">
        <is>
          <t>nr</t>
        </is>
      </c>
      <c r="H3319" s="7" t="n"/>
      <c r="I3319" s="8" t="n">
        <v>0</v>
      </c>
      <c r="J3319" s="8" t="n">
        <v>0</v>
      </c>
      <c r="K3319" s="8" t="n">
        <v>93.95</v>
      </c>
      <c r="L3319" s="8" t="n">
        <v>0</v>
      </c>
      <c r="M3319" s="9">
        <f>ROUND(SUM(I3319:L3319),2)</f>
        <v/>
      </c>
      <c r="N3319" s="10">
        <f>ROUND(I3319*'Irish Basis'!$C$6*'Irish Basis'!$C$5,2)</f>
        <v/>
      </c>
      <c r="O3319" s="10">
        <f>ROUND(J3319*'Irish Basis'!$C$7*'Irish Basis'!$C$5,2)</f>
        <v/>
      </c>
      <c r="P3319" s="10">
        <f>ROUND(K3319*'Irish Basis'!$C$8*'Irish Basis'!$C$5,2)</f>
        <v/>
      </c>
      <c r="Q3319" s="10">
        <f>ROUND(L3319*'Irish Basis'!$C$12*'Irish Basis'!$C$5,2)</f>
        <v/>
      </c>
      <c r="R3319" s="11">
        <f>ROUND(SUM(N3319:Q3319),2)</f>
        <v/>
      </c>
      <c r="S3319" s="5" t="inlineStr">
        <is>
          <t>Stated build-up</t>
        </is>
      </c>
      <c r="T3319" s="12" t="inlineStr">
        <is>
          <t>High</t>
        </is>
      </c>
      <c r="U3319" s="8" t="n">
        <v>93.95</v>
      </c>
      <c r="V3319" s="13">
        <f>IF(U3319="","",ROUND(M3319-U3319,2))</f>
        <v/>
      </c>
      <c r="W3319" s="5" t="n"/>
      <c r="X3319" s="5" t="inlineStr">
        <is>
          <t>Labour + plant + material as published; reconciles to the published rate.</t>
        </is>
      </c>
    </row>
    <row r="3320" ht="13" customHeight="1">
      <c r="A3320" s="4" t="n">
        <v>5068</v>
      </c>
      <c r="B3320" s="5" t="inlineStr">
        <is>
          <t>IMG_0134</t>
        </is>
      </c>
      <c r="C3320" s="5" t="inlineStr">
        <is>
          <t>CLASS S: RAIL TRACK</t>
        </is>
      </c>
      <c r="D3320" s="5" t="inlineStr">
        <is>
          <t>04 SUPPLYING (STANDARD GAUGE TRACK)</t>
        </is>
      </c>
      <c r="E3320" s="5" t="inlineStr">
        <is>
          <t>Fittings</t>
        </is>
      </c>
      <c r="F3320" s="5" t="inlineStr">
        <is>
          <t>cast iron chairs complete with chair screws, plastic ferrules, spring steels and keys; BR type S1</t>
        </is>
      </c>
      <c r="G3320" s="6" t="inlineStr">
        <is>
          <t>nr</t>
        </is>
      </c>
      <c r="H3320" s="7" t="n"/>
      <c r="I3320" s="8" t="n">
        <v>0</v>
      </c>
      <c r="J3320" s="8" t="n">
        <v>0</v>
      </c>
      <c r="K3320" s="8" t="n">
        <v>78.8</v>
      </c>
      <c r="L3320" s="8" t="n">
        <v>0</v>
      </c>
      <c r="M3320" s="9">
        <f>ROUND(SUM(I3320:L3320),2)</f>
        <v/>
      </c>
      <c r="N3320" s="10">
        <f>ROUND(I3320*'Irish Basis'!$C$6*'Irish Basis'!$C$5,2)</f>
        <v/>
      </c>
      <c r="O3320" s="10">
        <f>ROUND(J3320*'Irish Basis'!$C$7*'Irish Basis'!$C$5,2)</f>
        <v/>
      </c>
      <c r="P3320" s="10">
        <f>ROUND(K3320*'Irish Basis'!$C$8*'Irish Basis'!$C$5,2)</f>
        <v/>
      </c>
      <c r="Q3320" s="10">
        <f>ROUND(L3320*'Irish Basis'!$C$12*'Irish Basis'!$C$5,2)</f>
        <v/>
      </c>
      <c r="R3320" s="11">
        <f>ROUND(SUM(N3320:Q3320),2)</f>
        <v/>
      </c>
      <c r="S3320" s="5" t="inlineStr">
        <is>
          <t>Stated build-up</t>
        </is>
      </c>
      <c r="T3320" s="12" t="inlineStr">
        <is>
          <t>High</t>
        </is>
      </c>
      <c r="U3320" s="8" t="n">
        <v>78.8</v>
      </c>
      <c r="V3320" s="13">
        <f>IF(U3320="","",ROUND(M3320-U3320,2))</f>
        <v/>
      </c>
      <c r="W3320" s="5" t="n"/>
      <c r="X3320" s="5" t="inlineStr">
        <is>
          <t>Labour + plant + material as published; reconciles to the published rate.</t>
        </is>
      </c>
    </row>
    <row r="3321" ht="13" customHeight="1">
      <c r="A3321" s="4" t="n">
        <v>5069</v>
      </c>
      <c r="B3321" s="5" t="inlineStr">
        <is>
          <t>IMG_0134</t>
        </is>
      </c>
      <c r="C3321" s="5" t="inlineStr">
        <is>
          <t>CLASS S: RAIL TRACK</t>
        </is>
      </c>
      <c r="D3321" s="5" t="inlineStr">
        <is>
          <t>04 SUPPLYING (STANDARD GAUGE TRACK)</t>
        </is>
      </c>
      <c r="E3321" s="5" t="inlineStr">
        <is>
          <t>Fittings</t>
        </is>
      </c>
      <c r="F3321" s="5" t="inlineStr">
        <is>
          <t>cast iron chairs complete with chair screws, plastic ferrules, spring steels and keys; BR type CC</t>
        </is>
      </c>
      <c r="G3321" s="6" t="inlineStr">
        <is>
          <t>nr</t>
        </is>
      </c>
      <c r="H3321" s="7" t="n"/>
      <c r="I3321" s="8" t="n">
        <v>0</v>
      </c>
      <c r="J3321" s="8" t="n">
        <v>0</v>
      </c>
      <c r="K3321" s="8" t="n">
        <v>110.6</v>
      </c>
      <c r="L3321" s="8" t="n">
        <v>0</v>
      </c>
      <c r="M3321" s="9">
        <f>ROUND(SUM(I3321:L3321),2)</f>
        <v/>
      </c>
      <c r="N3321" s="10">
        <f>ROUND(I3321*'Irish Basis'!$C$6*'Irish Basis'!$C$5,2)</f>
        <v/>
      </c>
      <c r="O3321" s="10">
        <f>ROUND(J3321*'Irish Basis'!$C$7*'Irish Basis'!$C$5,2)</f>
        <v/>
      </c>
      <c r="P3321" s="10">
        <f>ROUND(K3321*'Irish Basis'!$C$8*'Irish Basis'!$C$5,2)</f>
        <v/>
      </c>
      <c r="Q3321" s="10">
        <f>ROUND(L3321*'Irish Basis'!$C$12*'Irish Basis'!$C$5,2)</f>
        <v/>
      </c>
      <c r="R3321" s="11">
        <f>ROUND(SUM(N3321:Q3321),2)</f>
        <v/>
      </c>
      <c r="S3321" s="5" t="inlineStr">
        <is>
          <t>Stated build-up</t>
        </is>
      </c>
      <c r="T3321" s="12" t="inlineStr">
        <is>
          <t>High</t>
        </is>
      </c>
      <c r="U3321" s="8" t="n">
        <v>110.6</v>
      </c>
      <c r="V3321" s="13">
        <f>IF(U3321="","",ROUND(M3321-U3321,2))</f>
        <v/>
      </c>
      <c r="W3321" s="5" t="n"/>
      <c r="X3321" s="5" t="inlineStr">
        <is>
          <t>Labour + plant + material as published; reconciles to the published rate.</t>
        </is>
      </c>
    </row>
    <row r="3322" ht="13" customHeight="1">
      <c r="A3322" s="4" t="n">
        <v>5070</v>
      </c>
      <c r="B3322" s="5" t="inlineStr">
        <is>
          <t>IMG_0134</t>
        </is>
      </c>
      <c r="C3322" s="5" t="inlineStr">
        <is>
          <t>CLASS S: RAIL TRACK</t>
        </is>
      </c>
      <c r="D3322" s="5" t="inlineStr">
        <is>
          <t>04 SUPPLYING (STANDARD GAUGE TRACK)</t>
        </is>
      </c>
      <c r="E3322" s="5" t="inlineStr">
        <is>
          <t>Fittings</t>
        </is>
      </c>
      <c r="F3322" s="5" t="inlineStr">
        <is>
          <t>cast iron chairs complete with resilient pad, chair screws, ferrules, rail clips and nylon insulators; BR type PAN 6</t>
        </is>
      </c>
      <c r="G3322" s="6" t="inlineStr">
        <is>
          <t>nr</t>
        </is>
      </c>
      <c r="H3322" s="7" t="n"/>
      <c r="I3322" s="8" t="n">
        <v>0</v>
      </c>
      <c r="J3322" s="8" t="n">
        <v>0</v>
      </c>
      <c r="K3322" s="8" t="n">
        <v>60.23</v>
      </c>
      <c r="L3322" s="8" t="n">
        <v>0</v>
      </c>
      <c r="M3322" s="9">
        <f>ROUND(SUM(I3322:L3322),2)</f>
        <v/>
      </c>
      <c r="N3322" s="10">
        <f>ROUND(I3322*'Irish Basis'!$C$6*'Irish Basis'!$C$5,2)</f>
        <v/>
      </c>
      <c r="O3322" s="10">
        <f>ROUND(J3322*'Irish Basis'!$C$7*'Irish Basis'!$C$5,2)</f>
        <v/>
      </c>
      <c r="P3322" s="10">
        <f>ROUND(K3322*'Irish Basis'!$C$8*'Irish Basis'!$C$5,2)</f>
        <v/>
      </c>
      <c r="Q3322" s="10">
        <f>ROUND(L3322*'Irish Basis'!$C$12*'Irish Basis'!$C$5,2)</f>
        <v/>
      </c>
      <c r="R3322" s="11">
        <f>ROUND(SUM(N3322:Q3322),2)</f>
        <v/>
      </c>
      <c r="S3322" s="5" t="inlineStr">
        <is>
          <t>Stated build-up</t>
        </is>
      </c>
      <c r="T3322" s="12" t="inlineStr">
        <is>
          <t>High</t>
        </is>
      </c>
      <c r="U3322" s="8" t="n">
        <v>60.23</v>
      </c>
      <c r="V3322" s="13">
        <f>IF(U3322="","",ROUND(M3322-U3322,2))</f>
        <v/>
      </c>
      <c r="W3322" s="5" t="n"/>
      <c r="X3322" s="5" t="inlineStr">
        <is>
          <t>Labour + plant + material as published; reconciles to the published rate.</t>
        </is>
      </c>
    </row>
    <row r="3323" ht="13" customHeight="1">
      <c r="A3323" s="4" t="n">
        <v>5071</v>
      </c>
      <c r="B3323" s="5" t="inlineStr">
        <is>
          <t>IMG_0134</t>
        </is>
      </c>
      <c r="C3323" s="5" t="inlineStr">
        <is>
          <t>CLASS S: RAIL TRACK</t>
        </is>
      </c>
      <c r="D3323" s="5" t="inlineStr">
        <is>
          <t>04 SUPPLYING (STANDARD GAUGE TRACK)</t>
        </is>
      </c>
      <c r="E3323" s="5" t="inlineStr">
        <is>
          <t>Fittings</t>
        </is>
      </c>
      <c r="F3323" s="5" t="inlineStr">
        <is>
          <t>cast iron chairs complete with resilient pad, chair screws, ferrules, rail clips and nylon insulators; BR type VN</t>
        </is>
      </c>
      <c r="G3323" s="6" t="inlineStr">
        <is>
          <t>nr</t>
        </is>
      </c>
      <c r="H3323" s="7" t="n"/>
      <c r="I3323" s="8" t="n">
        <v>0</v>
      </c>
      <c r="J3323" s="8" t="n">
        <v>0</v>
      </c>
      <c r="K3323" s="8" t="n">
        <v>68.19</v>
      </c>
      <c r="L3323" s="8" t="n">
        <v>0</v>
      </c>
      <c r="M3323" s="9">
        <f>ROUND(SUM(I3323:L3323),2)</f>
        <v/>
      </c>
      <c r="N3323" s="10">
        <f>ROUND(I3323*'Irish Basis'!$C$6*'Irish Basis'!$C$5,2)</f>
        <v/>
      </c>
      <c r="O3323" s="10">
        <f>ROUND(J3323*'Irish Basis'!$C$7*'Irish Basis'!$C$5,2)</f>
        <v/>
      </c>
      <c r="P3323" s="10">
        <f>ROUND(K3323*'Irish Basis'!$C$8*'Irish Basis'!$C$5,2)</f>
        <v/>
      </c>
      <c r="Q3323" s="10">
        <f>ROUND(L3323*'Irish Basis'!$C$12*'Irish Basis'!$C$5,2)</f>
        <v/>
      </c>
      <c r="R3323" s="11">
        <f>ROUND(SUM(N3323:Q3323),2)</f>
        <v/>
      </c>
      <c r="S3323" s="5" t="inlineStr">
        <is>
          <t>Stated build-up</t>
        </is>
      </c>
      <c r="T3323" s="12" t="inlineStr">
        <is>
          <t>High</t>
        </is>
      </c>
      <c r="U3323" s="8" t="n">
        <v>68.19</v>
      </c>
      <c r="V3323" s="13">
        <f>IF(U3323="","",ROUND(M3323-U3323,2))</f>
        <v/>
      </c>
      <c r="W3323" s="5" t="n"/>
      <c r="X3323" s="5" t="inlineStr">
        <is>
          <t>Labour + plant + material as published; reconciles to the published rate.</t>
        </is>
      </c>
    </row>
    <row r="3324" ht="13" customHeight="1">
      <c r="A3324" s="4" t="n">
        <v>5072</v>
      </c>
      <c r="B3324" s="5" t="inlineStr">
        <is>
          <t>IMG_0134</t>
        </is>
      </c>
      <c r="C3324" s="5" t="inlineStr">
        <is>
          <t>CLASS S: RAIL TRACK</t>
        </is>
      </c>
      <c r="D3324" s="5" t="inlineStr">
        <is>
          <t>04 SUPPLYING (STANDARD GAUGE TRACK)</t>
        </is>
      </c>
      <c r="E3324" s="5" t="inlineStr">
        <is>
          <t>Fittings</t>
        </is>
      </c>
      <c r="F3324" s="5" t="inlineStr">
        <is>
          <t>cast iron chairs complete with resilient pad, chair screws, ferrules, rail clips and nylon insulators; BR type C</t>
        </is>
      </c>
      <c r="G3324" s="6" t="inlineStr">
        <is>
          <t>nr</t>
        </is>
      </c>
      <c r="H3324" s="7" t="n"/>
      <c r="I3324" s="8" t="n">
        <v>0</v>
      </c>
      <c r="J3324" s="8" t="n">
        <v>0</v>
      </c>
      <c r="K3324" s="8" t="n">
        <v>51.52</v>
      </c>
      <c r="L3324" s="8" t="n">
        <v>0</v>
      </c>
      <c r="M3324" s="9">
        <f>ROUND(SUM(I3324:L3324),2)</f>
        <v/>
      </c>
      <c r="N3324" s="10">
        <f>ROUND(I3324*'Irish Basis'!$C$6*'Irish Basis'!$C$5,2)</f>
        <v/>
      </c>
      <c r="O3324" s="10">
        <f>ROUND(J3324*'Irish Basis'!$C$7*'Irish Basis'!$C$5,2)</f>
        <v/>
      </c>
      <c r="P3324" s="10">
        <f>ROUND(K3324*'Irish Basis'!$C$8*'Irish Basis'!$C$5,2)</f>
        <v/>
      </c>
      <c r="Q3324" s="10">
        <f>ROUND(L3324*'Irish Basis'!$C$12*'Irish Basis'!$C$5,2)</f>
        <v/>
      </c>
      <c r="R3324" s="11">
        <f>ROUND(SUM(N3324:Q3324),2)</f>
        <v/>
      </c>
      <c r="S3324" s="5" t="inlineStr">
        <is>
          <t>Stated build-up</t>
        </is>
      </c>
      <c r="T3324" s="12" t="inlineStr">
        <is>
          <t>High</t>
        </is>
      </c>
      <c r="U3324" s="8" t="n">
        <v>51.52</v>
      </c>
      <c r="V3324" s="13">
        <f>IF(U3324="","",ROUND(M3324-U3324,2))</f>
        <v/>
      </c>
      <c r="W3324" s="5" t="n"/>
      <c r="X3324" s="5" t="inlineStr">
        <is>
          <t>Labour + plant + material as published; reconciles to the published rate.</t>
        </is>
      </c>
    </row>
    <row r="3325" ht="13" customHeight="1">
      <c r="A3325" s="4" t="n">
        <v>5073</v>
      </c>
      <c r="B3325" s="5" t="inlineStr">
        <is>
          <t>IMG_0134</t>
        </is>
      </c>
      <c r="C3325" s="5" t="inlineStr">
        <is>
          <t>CLASS S: RAIL TRACK</t>
        </is>
      </c>
      <c r="D3325" s="5" t="inlineStr">
        <is>
          <t>04 SUPPLYING (STANDARD GAUGE TRACK)</t>
        </is>
      </c>
      <c r="E3325" s="5" t="inlineStr">
        <is>
          <t>Fittings</t>
        </is>
      </c>
      <c r="F3325" s="5" t="inlineStr">
        <is>
          <t>Pandrol rail clips and nylon insulator</t>
        </is>
      </c>
      <c r="G3325" s="6" t="inlineStr">
        <is>
          <t>nr</t>
        </is>
      </c>
      <c r="H3325" s="7" t="n">
        <v>0.83</v>
      </c>
      <c r="I3325" s="8" t="n">
        <v>65.01000000000001</v>
      </c>
      <c r="J3325" s="8" t="n">
        <v>0</v>
      </c>
      <c r="K3325" s="8" t="n">
        <v>4.26</v>
      </c>
      <c r="L3325" s="8" t="n">
        <v>0</v>
      </c>
      <c r="M3325" s="9">
        <f>ROUND(SUM(I3325:L3325),2)</f>
        <v/>
      </c>
      <c r="N3325" s="10">
        <f>ROUND(I3325*'Irish Basis'!$C$6*'Irish Basis'!$C$5,2)</f>
        <v/>
      </c>
      <c r="O3325" s="10">
        <f>ROUND(J3325*'Irish Basis'!$C$7*'Irish Basis'!$C$5,2)</f>
        <v/>
      </c>
      <c r="P3325" s="10">
        <f>ROUND(K3325*'Irish Basis'!$C$8*'Irish Basis'!$C$5,2)</f>
        <v/>
      </c>
      <c r="Q3325" s="10">
        <f>ROUND(L3325*'Irish Basis'!$C$12*'Irish Basis'!$C$5,2)</f>
        <v/>
      </c>
      <c r="R3325" s="11">
        <f>ROUND(SUM(N3325:Q3325),2)</f>
        <v/>
      </c>
      <c r="S3325" s="5" t="inlineStr">
        <is>
          <t>Stated build-up</t>
        </is>
      </c>
      <c r="T3325" s="12" t="inlineStr">
        <is>
          <t>High</t>
        </is>
      </c>
      <c r="U3325" s="8" t="n">
        <v>69.28</v>
      </c>
      <c r="V3325" s="13">
        <f>IF(U3325="","",ROUND(M3325-U3325,2))</f>
        <v/>
      </c>
      <c r="W3325" s="5" t="n"/>
      <c r="X3325" s="5" t="inlineStr">
        <is>
          <t>Labour + plant + material as published; reconciles to the published rate.</t>
        </is>
      </c>
    </row>
    <row r="3326" ht="13" customHeight="1">
      <c r="A3326" s="4" t="n">
        <v>5074</v>
      </c>
      <c r="B3326" s="5" t="inlineStr">
        <is>
          <t>IMG_0134</t>
        </is>
      </c>
      <c r="C3326" s="5" t="inlineStr">
        <is>
          <t>CLASS S: RAIL TRACK</t>
        </is>
      </c>
      <c r="D3326" s="5" t="inlineStr">
        <is>
          <t>04 SUPPLYING (STANDARD GAUGE TRACK)</t>
        </is>
      </c>
      <c r="E3326" s="5" t="inlineStr">
        <is>
          <t>Fittings</t>
        </is>
      </c>
      <c r="F3326" s="5" t="inlineStr">
        <is>
          <t>plain fishplates; for BS95R section rail, skirted pattern; sets of two; complete with fishbolts, nuts and washers</t>
        </is>
      </c>
      <c r="G3326" s="6" t="inlineStr">
        <is>
          <t>nr</t>
        </is>
      </c>
      <c r="H3326" s="7" t="n"/>
      <c r="I3326" s="8" t="n">
        <v>0</v>
      </c>
      <c r="J3326" s="8" t="n">
        <v>0</v>
      </c>
      <c r="K3326" s="8" t="n">
        <v>151.53</v>
      </c>
      <c r="L3326" s="8" t="n">
        <v>0</v>
      </c>
      <c r="M3326" s="9">
        <f>ROUND(SUM(I3326:L3326),2)</f>
        <v/>
      </c>
      <c r="N3326" s="10">
        <f>ROUND(I3326*'Irish Basis'!$C$6*'Irish Basis'!$C$5,2)</f>
        <v/>
      </c>
      <c r="O3326" s="10">
        <f>ROUND(J3326*'Irish Basis'!$C$7*'Irish Basis'!$C$5,2)</f>
        <v/>
      </c>
      <c r="P3326" s="10">
        <f>ROUND(K3326*'Irish Basis'!$C$8*'Irish Basis'!$C$5,2)</f>
        <v/>
      </c>
      <c r="Q3326" s="10">
        <f>ROUND(L3326*'Irish Basis'!$C$12*'Irish Basis'!$C$5,2)</f>
        <v/>
      </c>
      <c r="R3326" s="11">
        <f>ROUND(SUM(N3326:Q3326),2)</f>
        <v/>
      </c>
      <c r="S3326" s="5" t="inlineStr">
        <is>
          <t>Stated build-up</t>
        </is>
      </c>
      <c r="T3326" s="12" t="inlineStr">
        <is>
          <t>High</t>
        </is>
      </c>
      <c r="U3326" s="8" t="n">
        <v>151.53</v>
      </c>
      <c r="V3326" s="13">
        <f>IF(U3326="","",ROUND(M3326-U3326,2))</f>
        <v/>
      </c>
      <c r="W3326" s="5" t="n"/>
      <c r="X3326" s="5" t="inlineStr">
        <is>
          <t>Labour + plant + material as published; reconciles to the published rate.</t>
        </is>
      </c>
    </row>
    <row r="3327" ht="13" customHeight="1">
      <c r="A3327" s="4" t="n">
        <v>5075</v>
      </c>
      <c r="B3327" s="5" t="inlineStr">
        <is>
          <t>IMG_0134</t>
        </is>
      </c>
      <c r="C3327" s="5" t="inlineStr">
        <is>
          <t>CLASS S: RAIL TRACK</t>
        </is>
      </c>
      <c r="D3327" s="5" t="inlineStr">
        <is>
          <t>04 SUPPLYING (STANDARD GAUGE TRACK)</t>
        </is>
      </c>
      <c r="E3327" s="5" t="inlineStr">
        <is>
          <t>Fittings</t>
        </is>
      </c>
      <c r="F3327" s="5" t="inlineStr">
        <is>
          <t>plain fishplates; for BS95R section rail, joggled pattern; sets of two; complete with fishbolts, nuts and washers</t>
        </is>
      </c>
      <c r="G3327" s="6" t="inlineStr">
        <is>
          <t>nr</t>
        </is>
      </c>
      <c r="H3327" s="7" t="n"/>
      <c r="I3327" s="8" t="n">
        <v>0</v>
      </c>
      <c r="J3327" s="8" t="n">
        <v>0</v>
      </c>
      <c r="K3327" s="8" t="n">
        <v>174.28</v>
      </c>
      <c r="L3327" s="8" t="n">
        <v>0</v>
      </c>
      <c r="M3327" s="9">
        <f>ROUND(SUM(I3327:L3327),2)</f>
        <v/>
      </c>
      <c r="N3327" s="10">
        <f>ROUND(I3327*'Irish Basis'!$C$6*'Irish Basis'!$C$5,2)</f>
        <v/>
      </c>
      <c r="O3327" s="10">
        <f>ROUND(J3327*'Irish Basis'!$C$7*'Irish Basis'!$C$5,2)</f>
        <v/>
      </c>
      <c r="P3327" s="10">
        <f>ROUND(K3327*'Irish Basis'!$C$8*'Irish Basis'!$C$5,2)</f>
        <v/>
      </c>
      <c r="Q3327" s="10">
        <f>ROUND(L3327*'Irish Basis'!$C$12*'Irish Basis'!$C$5,2)</f>
        <v/>
      </c>
      <c r="R3327" s="11">
        <f>ROUND(SUM(N3327:Q3327),2)</f>
        <v/>
      </c>
      <c r="S3327" s="5" t="inlineStr">
        <is>
          <t>Stated build-up</t>
        </is>
      </c>
      <c r="T3327" s="12" t="inlineStr">
        <is>
          <t>High</t>
        </is>
      </c>
      <c r="U3327" s="8" t="n">
        <v>174.28</v>
      </c>
      <c r="V3327" s="13">
        <f>IF(U3327="","",ROUND(M3327-U3327,2))</f>
        <v/>
      </c>
      <c r="W3327" s="5" t="n"/>
      <c r="X3327" s="5" t="inlineStr">
        <is>
          <t>Labour + plant + material as published; reconciles to the published rate.</t>
        </is>
      </c>
    </row>
    <row r="3328" ht="13" customHeight="1">
      <c r="A3328" s="4" t="n">
        <v>5076</v>
      </c>
      <c r="B3328" s="5" t="inlineStr">
        <is>
          <t>IMG_0134</t>
        </is>
      </c>
      <c r="C3328" s="5" t="inlineStr">
        <is>
          <t>CLASS S: RAIL TRACK</t>
        </is>
      </c>
      <c r="D3328" s="5" t="inlineStr">
        <is>
          <t>04 SUPPLYING (STANDARD GAUGE TRACK)</t>
        </is>
      </c>
      <c r="E3328" s="5" t="inlineStr">
        <is>
          <t>Fittings</t>
        </is>
      </c>
      <c r="F3328" s="5" t="inlineStr">
        <is>
          <t>plain fishplates; for BS113 'A' section rail, shallow section; sets of two; complete with fishbolts, nuts and washers</t>
        </is>
      </c>
      <c r="G3328" s="6" t="inlineStr">
        <is>
          <t>nr</t>
        </is>
      </c>
      <c r="H3328" s="7" t="n"/>
      <c r="I3328" s="8" t="n">
        <v>0</v>
      </c>
      <c r="J3328" s="8" t="n">
        <v>0</v>
      </c>
      <c r="K3328" s="8" t="n">
        <v>151.53</v>
      </c>
      <c r="L3328" s="8" t="n">
        <v>0</v>
      </c>
      <c r="M3328" s="9">
        <f>ROUND(SUM(I3328:L3328),2)</f>
        <v/>
      </c>
      <c r="N3328" s="10">
        <f>ROUND(I3328*'Irish Basis'!$C$6*'Irish Basis'!$C$5,2)</f>
        <v/>
      </c>
      <c r="O3328" s="10">
        <f>ROUND(J3328*'Irish Basis'!$C$7*'Irish Basis'!$C$5,2)</f>
        <v/>
      </c>
      <c r="P3328" s="10">
        <f>ROUND(K3328*'Irish Basis'!$C$8*'Irish Basis'!$C$5,2)</f>
        <v/>
      </c>
      <c r="Q3328" s="10">
        <f>ROUND(L3328*'Irish Basis'!$C$12*'Irish Basis'!$C$5,2)</f>
        <v/>
      </c>
      <c r="R3328" s="11">
        <f>ROUND(SUM(N3328:Q3328),2)</f>
        <v/>
      </c>
      <c r="S3328" s="5" t="inlineStr">
        <is>
          <t>Stated build-up</t>
        </is>
      </c>
      <c r="T3328" s="12" t="inlineStr">
        <is>
          <t>High</t>
        </is>
      </c>
      <c r="U3328" s="8" t="n">
        <v>151.53</v>
      </c>
      <c r="V3328" s="13">
        <f>IF(U3328="","",ROUND(M3328-U3328,2))</f>
        <v/>
      </c>
      <c r="W3328" s="5" t="n"/>
      <c r="X3328" s="5" t="inlineStr">
        <is>
          <t>Labour + plant + material as published; reconciles to the published rate.</t>
        </is>
      </c>
    </row>
    <row r="3329" ht="13" customHeight="1">
      <c r="A3329" s="4" t="n">
        <v>5077</v>
      </c>
      <c r="B3329" s="5" t="inlineStr">
        <is>
          <t>IMG_0134</t>
        </is>
      </c>
      <c r="C3329" s="5" t="inlineStr">
        <is>
          <t>CLASS S: RAIL TRACK</t>
        </is>
      </c>
      <c r="D3329" s="5" t="inlineStr">
        <is>
          <t>04 SUPPLYING (STANDARD GAUGE TRACK)</t>
        </is>
      </c>
      <c r="E3329" s="5" t="inlineStr">
        <is>
          <t>Fittings</t>
        </is>
      </c>
      <c r="F3329" s="5" t="inlineStr">
        <is>
          <t>insulated fishplates; BS95R section rail, steel billet pattern; sets of two; complete with high tensile steel bolts, nuts and washers</t>
        </is>
      </c>
      <c r="G3329" s="6" t="inlineStr">
        <is>
          <t>nr</t>
        </is>
      </c>
      <c r="H3329" s="7" t="n"/>
      <c r="I3329" s="8" t="n">
        <v>0</v>
      </c>
      <c r="J3329" s="8" t="n">
        <v>0</v>
      </c>
      <c r="K3329" s="8" t="n">
        <v>87.89</v>
      </c>
      <c r="L3329" s="8" t="n">
        <v>0</v>
      </c>
      <c r="M3329" s="9">
        <f>ROUND(SUM(I3329:L3329),2)</f>
        <v/>
      </c>
      <c r="N3329" s="10">
        <f>ROUND(I3329*'Irish Basis'!$C$6*'Irish Basis'!$C$5,2)</f>
        <v/>
      </c>
      <c r="O3329" s="10">
        <f>ROUND(J3329*'Irish Basis'!$C$7*'Irish Basis'!$C$5,2)</f>
        <v/>
      </c>
      <c r="P3329" s="10">
        <f>ROUND(K3329*'Irish Basis'!$C$8*'Irish Basis'!$C$5,2)</f>
        <v/>
      </c>
      <c r="Q3329" s="10">
        <f>ROUND(L3329*'Irish Basis'!$C$12*'Irish Basis'!$C$5,2)</f>
        <v/>
      </c>
      <c r="R3329" s="11">
        <f>ROUND(SUM(N3329:Q3329),2)</f>
        <v/>
      </c>
      <c r="S3329" s="5" t="inlineStr">
        <is>
          <t>Stated build-up</t>
        </is>
      </c>
      <c r="T3329" s="12" t="inlineStr">
        <is>
          <t>High</t>
        </is>
      </c>
      <c r="U3329" s="8" t="n">
        <v>87.89</v>
      </c>
      <c r="V3329" s="13">
        <f>IF(U3329="","",ROUND(M3329-U3329,2))</f>
        <v/>
      </c>
      <c r="W3329" s="5" t="n"/>
      <c r="X3329" s="5" t="inlineStr">
        <is>
          <t>Labour + plant + material as published; reconciles to the published rate.</t>
        </is>
      </c>
    </row>
    <row r="3330" ht="13" customHeight="1">
      <c r="A3330" s="4" t="n">
        <v>5078</v>
      </c>
      <c r="B3330" s="5" t="inlineStr">
        <is>
          <t>IMG_0134</t>
        </is>
      </c>
      <c r="C3330" s="5" t="inlineStr">
        <is>
          <t>CLASS S: RAIL TRACK</t>
        </is>
      </c>
      <c r="D3330" s="5" t="inlineStr">
        <is>
          <t>04 SUPPLYING (STANDARD GAUGE TRACK)</t>
        </is>
      </c>
      <c r="E3330" s="5" t="inlineStr">
        <is>
          <t>Fittings</t>
        </is>
      </c>
      <c r="F3330" s="5" t="inlineStr">
        <is>
          <t>cast iron spacer block between running and guard rails; for BS95R section rail; M25 x 220 mm bolt, nut and washers</t>
        </is>
      </c>
      <c r="G3330" s="6" t="inlineStr">
        <is>
          <t>nr</t>
        </is>
      </c>
      <c r="H3330" s="7" t="n"/>
      <c r="I3330" s="8" t="n">
        <v>0</v>
      </c>
      <c r="J3330" s="8" t="n">
        <v>0</v>
      </c>
      <c r="K3330" s="8" t="n">
        <v>68.2</v>
      </c>
      <c r="L3330" s="8" t="n">
        <v>0</v>
      </c>
      <c r="M3330" s="9">
        <f>ROUND(SUM(I3330:L3330),2)</f>
        <v/>
      </c>
      <c r="N3330" s="10">
        <f>ROUND(I3330*'Irish Basis'!$C$6*'Irish Basis'!$C$5,2)</f>
        <v/>
      </c>
      <c r="O3330" s="10">
        <f>ROUND(J3330*'Irish Basis'!$C$7*'Irish Basis'!$C$5,2)</f>
        <v/>
      </c>
      <c r="P3330" s="10">
        <f>ROUND(K3330*'Irish Basis'!$C$8*'Irish Basis'!$C$5,2)</f>
        <v/>
      </c>
      <c r="Q3330" s="10">
        <f>ROUND(L3330*'Irish Basis'!$C$12*'Irish Basis'!$C$5,2)</f>
        <v/>
      </c>
      <c r="R3330" s="11">
        <f>ROUND(SUM(N3330:Q3330),2)</f>
        <v/>
      </c>
      <c r="S3330" s="5" t="inlineStr">
        <is>
          <t>Stated build-up</t>
        </is>
      </c>
      <c r="T3330" s="12" t="inlineStr">
        <is>
          <t>High</t>
        </is>
      </c>
      <c r="U3330" s="8" t="n">
        <v>68.2</v>
      </c>
      <c r="V3330" s="13">
        <f>IF(U3330="","",ROUND(M3330-U3330,2))</f>
        <v/>
      </c>
      <c r="W3330" s="5" t="n"/>
      <c r="X3330" s="5" t="inlineStr">
        <is>
          <t>Labour + plant + material as published; reconciles to the published rate.</t>
        </is>
      </c>
    </row>
    <row r="3331" ht="13" customHeight="1">
      <c r="A3331" s="4" t="n">
        <v>5079</v>
      </c>
      <c r="B3331" s="5" t="inlineStr">
        <is>
          <t>IMG_0134</t>
        </is>
      </c>
      <c r="C3331" s="5" t="inlineStr">
        <is>
          <t>CLASS S: RAIL TRACK</t>
        </is>
      </c>
      <c r="D3331" s="5" t="inlineStr">
        <is>
          <t>04 SUPPLYING (STANDARD GAUGE TRACK)</t>
        </is>
      </c>
      <c r="E3331" s="5" t="inlineStr">
        <is>
          <t>Fittings</t>
        </is>
      </c>
      <c r="F3331" s="5" t="inlineStr">
        <is>
          <t>cast iron spacer block between running and guard rails; for BS113 'A' section rail; M25 x 220 mm bolt, nut and washers</t>
        </is>
      </c>
      <c r="G3331" s="6" t="inlineStr">
        <is>
          <t>nr</t>
        </is>
      </c>
      <c r="H3331" s="7" t="n"/>
      <c r="I3331" s="8" t="n">
        <v>0</v>
      </c>
      <c r="J3331" s="8" t="n">
        <v>0</v>
      </c>
      <c r="K3331" s="8" t="n">
        <v>68.2</v>
      </c>
      <c r="L3331" s="8" t="n">
        <v>0</v>
      </c>
      <c r="M3331" s="9">
        <f>ROUND(SUM(I3331:L3331),2)</f>
        <v/>
      </c>
      <c r="N3331" s="10">
        <f>ROUND(I3331*'Irish Basis'!$C$6*'Irish Basis'!$C$5,2)</f>
        <v/>
      </c>
      <c r="O3331" s="10">
        <f>ROUND(J3331*'Irish Basis'!$C$7*'Irish Basis'!$C$5,2)</f>
        <v/>
      </c>
      <c r="P3331" s="10">
        <f>ROUND(K3331*'Irish Basis'!$C$8*'Irish Basis'!$C$5,2)</f>
        <v/>
      </c>
      <c r="Q3331" s="10">
        <f>ROUND(L3331*'Irish Basis'!$C$12*'Irish Basis'!$C$5,2)</f>
        <v/>
      </c>
      <c r="R3331" s="11">
        <f>ROUND(SUM(N3331:Q3331),2)</f>
        <v/>
      </c>
      <c r="S3331" s="5" t="inlineStr">
        <is>
          <t>Stated build-up</t>
        </is>
      </c>
      <c r="T3331" s="12" t="inlineStr">
        <is>
          <t>High</t>
        </is>
      </c>
      <c r="U3331" s="8" t="n">
        <v>68.2</v>
      </c>
      <c r="V3331" s="13">
        <f>IF(U3331="","",ROUND(M3331-U3331,2))</f>
        <v/>
      </c>
      <c r="W3331" s="5" t="n"/>
      <c r="X3331" s="5" t="inlineStr">
        <is>
          <t>Labour + plant + material as published; reconciles to the published rate.</t>
        </is>
      </c>
    </row>
    <row r="3332" ht="13" customHeight="1">
      <c r="A3332" s="4" t="n">
        <v>5081</v>
      </c>
      <c r="B3332" s="5" t="inlineStr">
        <is>
          <t>IMG_0134</t>
        </is>
      </c>
      <c r="C3332" s="5" t="inlineStr">
        <is>
          <t>CLASS S: RAIL TRACK</t>
        </is>
      </c>
      <c r="D3332" s="5" t="inlineStr">
        <is>
          <t>04 SUPPLYING (STANDARD GAUGE TRACK)</t>
        </is>
      </c>
      <c r="E3332" s="5" t="inlineStr">
        <is>
          <t>Prefabricated Turnouts; complete with closures, check rails, fittings, etc.</t>
        </is>
      </c>
      <c r="F3332" s="5" t="inlineStr">
        <is>
          <t>Type B8; BS 95R bullhead rail with timber bearers</t>
        </is>
      </c>
      <c r="G3332" s="6" t="inlineStr">
        <is>
          <t>nr</t>
        </is>
      </c>
      <c r="H3332" s="7" t="n"/>
      <c r="I3332" s="8" t="n">
        <v>0</v>
      </c>
      <c r="J3332" s="8" t="n">
        <v>0</v>
      </c>
      <c r="K3332" s="8" t="n">
        <v>31823.68</v>
      </c>
      <c r="L3332" s="8" t="n">
        <v>0</v>
      </c>
      <c r="M3332" s="9">
        <f>ROUND(SUM(I3332:L3332),2)</f>
        <v/>
      </c>
      <c r="N3332" s="10">
        <f>ROUND(I3332*'Irish Basis'!$C$6*'Irish Basis'!$C$5,2)</f>
        <v/>
      </c>
      <c r="O3332" s="10">
        <f>ROUND(J3332*'Irish Basis'!$C$7*'Irish Basis'!$C$5,2)</f>
        <v/>
      </c>
      <c r="P3332" s="10">
        <f>ROUND(K3332*'Irish Basis'!$C$8*'Irish Basis'!$C$5,2)</f>
        <v/>
      </c>
      <c r="Q3332" s="10">
        <f>ROUND(L3332*'Irish Basis'!$C$12*'Irish Basis'!$C$5,2)</f>
        <v/>
      </c>
      <c r="R3332" s="11">
        <f>ROUND(SUM(N3332:Q3332),2)</f>
        <v/>
      </c>
      <c r="S3332" s="5" t="inlineStr">
        <is>
          <t>Stated build-up</t>
        </is>
      </c>
      <c r="T3332" s="12" t="inlineStr">
        <is>
          <t>High</t>
        </is>
      </c>
      <c r="U3332" s="8" t="n">
        <v>31823.68</v>
      </c>
      <c r="V3332" s="13">
        <f>IF(U3332="","",ROUND(M3332-U3332,2))</f>
        <v/>
      </c>
      <c r="W3332" s="5" t="n"/>
      <c r="X3332" s="5" t="inlineStr">
        <is>
          <t>Labour + plant + material as published; reconciles to the published rate.</t>
        </is>
      </c>
    </row>
    <row r="3333" ht="13" customHeight="1">
      <c r="A3333" s="4" t="n">
        <v>5082</v>
      </c>
      <c r="B3333" s="5" t="inlineStr">
        <is>
          <t>IMG_0134</t>
        </is>
      </c>
      <c r="C3333" s="5" t="inlineStr">
        <is>
          <t>CLASS S: RAIL TRACK</t>
        </is>
      </c>
      <c r="D3333" s="5" t="inlineStr">
        <is>
          <t>04 SUPPLYING (STANDARD GAUGE TRACK)</t>
        </is>
      </c>
      <c r="E3333" s="5" t="inlineStr">
        <is>
          <t>Prefabricated Turnouts; complete with closures, check rails, fittings, etc.</t>
        </is>
      </c>
      <c r="F3333" s="5" t="inlineStr">
        <is>
          <t>Type C10; BS 95R bullhead rail with concrete bearers</t>
        </is>
      </c>
      <c r="G3333" s="6" t="inlineStr">
        <is>
          <t>nr</t>
        </is>
      </c>
      <c r="H3333" s="7" t="n"/>
      <c r="I3333" s="8" t="n">
        <v>0</v>
      </c>
      <c r="J3333" s="8" t="n">
        <v>0</v>
      </c>
      <c r="K3333" s="8" t="n">
        <v>2500.44</v>
      </c>
      <c r="L3333" s="8" t="n">
        <v>0</v>
      </c>
      <c r="M3333" s="9">
        <f>ROUND(SUM(I3333:L3333),2)</f>
        <v/>
      </c>
      <c r="N3333" s="10">
        <f>ROUND(I3333*'Irish Basis'!$C$6*'Irish Basis'!$C$5,2)</f>
        <v/>
      </c>
      <c r="O3333" s="10">
        <f>ROUND(J3333*'Irish Basis'!$C$7*'Irish Basis'!$C$5,2)</f>
        <v/>
      </c>
      <c r="P3333" s="10">
        <f>ROUND(K3333*'Irish Basis'!$C$8*'Irish Basis'!$C$5,2)</f>
        <v/>
      </c>
      <c r="Q3333" s="10">
        <f>ROUND(L3333*'Irish Basis'!$C$12*'Irish Basis'!$C$5,2)</f>
        <v/>
      </c>
      <c r="R3333" s="11">
        <f>ROUND(SUM(N3333:Q3333),2)</f>
        <v/>
      </c>
      <c r="S3333" s="5" t="inlineStr">
        <is>
          <t>Stated build-up</t>
        </is>
      </c>
      <c r="T3333" s="12" t="inlineStr">
        <is>
          <t>High</t>
        </is>
      </c>
      <c r="U3333" s="8" t="n">
        <v>2500.44</v>
      </c>
      <c r="V3333" s="13">
        <f>IF(U3333="","",ROUND(M3333-U3333,2))</f>
        <v/>
      </c>
      <c r="W3333" s="5" t="n"/>
      <c r="X3333" s="5" t="inlineStr">
        <is>
          <t>Labour + plant + material as published; reconciles to the published rate.</t>
        </is>
      </c>
    </row>
    <row r="3334" ht="13" customHeight="1">
      <c r="A3334" s="4" t="n">
        <v>5083</v>
      </c>
      <c r="B3334" s="5" t="inlineStr">
        <is>
          <t>IMG_0134</t>
        </is>
      </c>
      <c r="C3334" s="5" t="inlineStr">
        <is>
          <t>CLASS S: RAIL TRACK</t>
        </is>
      </c>
      <c r="D3334" s="5" t="inlineStr">
        <is>
          <t>04 SUPPLYING (STANDARD GAUGE TRACK)</t>
        </is>
      </c>
      <c r="E3334" s="5" t="inlineStr">
        <is>
          <t>Prefabricated Turnouts; complete with closures, check rails, fittings, etc.</t>
        </is>
      </c>
      <c r="F3334" s="5" t="inlineStr">
        <is>
          <t>Type C10; BS 95R bullhead rail with steel bearers</t>
        </is>
      </c>
      <c r="G3334" s="6" t="inlineStr">
        <is>
          <t>nr</t>
        </is>
      </c>
      <c r="H3334" s="7" t="n"/>
      <c r="I3334" s="8" t="n">
        <v>0</v>
      </c>
      <c r="J3334" s="8" t="n">
        <v>0</v>
      </c>
      <c r="K3334" s="8" t="n">
        <v>2500.44</v>
      </c>
      <c r="L3334" s="8" t="n">
        <v>0</v>
      </c>
      <c r="M3334" s="9">
        <f>ROUND(SUM(I3334:L3334),2)</f>
        <v/>
      </c>
      <c r="N3334" s="10">
        <f>ROUND(I3334*'Irish Basis'!$C$6*'Irish Basis'!$C$5,2)</f>
        <v/>
      </c>
      <c r="O3334" s="10">
        <f>ROUND(J3334*'Irish Basis'!$C$7*'Irish Basis'!$C$5,2)</f>
        <v/>
      </c>
      <c r="P3334" s="10">
        <f>ROUND(K3334*'Irish Basis'!$C$8*'Irish Basis'!$C$5,2)</f>
        <v/>
      </c>
      <c r="Q3334" s="10">
        <f>ROUND(L3334*'Irish Basis'!$C$12*'Irish Basis'!$C$5,2)</f>
        <v/>
      </c>
      <c r="R3334" s="11">
        <f>ROUND(SUM(N3334:Q3334),2)</f>
        <v/>
      </c>
      <c r="S3334" s="5" t="inlineStr">
        <is>
          <t>Stated build-up</t>
        </is>
      </c>
      <c r="T3334" s="12" t="inlineStr">
        <is>
          <t>High</t>
        </is>
      </c>
      <c r="U3334" s="8" t="n">
        <v>2500.44</v>
      </c>
      <c r="V3334" s="13">
        <f>IF(U3334="","",ROUND(M3334-U3334,2))</f>
        <v/>
      </c>
      <c r="W3334" s="5" t="n"/>
      <c r="X3334" s="5" t="inlineStr">
        <is>
          <t>Labour + plant + material as published; reconciles to the published rate.</t>
        </is>
      </c>
    </row>
    <row r="3335" ht="13" customHeight="1">
      <c r="A3335" s="4" t="n">
        <v>5084</v>
      </c>
      <c r="B3335" s="5" t="inlineStr">
        <is>
          <t>IMG_0134</t>
        </is>
      </c>
      <c r="C3335" s="5" t="inlineStr">
        <is>
          <t>CLASS S: RAIL TRACK</t>
        </is>
      </c>
      <c r="D3335" s="5" t="inlineStr">
        <is>
          <t>04 SUPPLYING (STANDARD GAUGE TRACK)</t>
        </is>
      </c>
      <c r="E3335" s="5" t="inlineStr">
        <is>
          <t>Prefabricated Turnouts; complete with closures, check rails, fittings, etc.</t>
        </is>
      </c>
      <c r="F3335" s="5" t="inlineStr">
        <is>
          <t>Type Bx8; BS 113 'A' section flat bottom rail with timber bearers</t>
        </is>
      </c>
      <c r="G3335" s="6" t="inlineStr">
        <is>
          <t>nr</t>
        </is>
      </c>
      <c r="H3335" s="7" t="n"/>
      <c r="I3335" s="8" t="n">
        <v>0</v>
      </c>
      <c r="J3335" s="8" t="n">
        <v>0</v>
      </c>
      <c r="K3335" s="8" t="n">
        <v>20913.63</v>
      </c>
      <c r="L3335" s="8" t="n">
        <v>0</v>
      </c>
      <c r="M3335" s="9">
        <f>ROUND(SUM(I3335:L3335),2)</f>
        <v/>
      </c>
      <c r="N3335" s="10">
        <f>ROUND(I3335*'Irish Basis'!$C$6*'Irish Basis'!$C$5,2)</f>
        <v/>
      </c>
      <c r="O3335" s="10">
        <f>ROUND(J3335*'Irish Basis'!$C$7*'Irish Basis'!$C$5,2)</f>
        <v/>
      </c>
      <c r="P3335" s="10">
        <f>ROUND(K3335*'Irish Basis'!$C$8*'Irish Basis'!$C$5,2)</f>
        <v/>
      </c>
      <c r="Q3335" s="10">
        <f>ROUND(L3335*'Irish Basis'!$C$12*'Irish Basis'!$C$5,2)</f>
        <v/>
      </c>
      <c r="R3335" s="11">
        <f>ROUND(SUM(N3335:Q3335),2)</f>
        <v/>
      </c>
      <c r="S3335" s="5" t="inlineStr">
        <is>
          <t>Stated build-up</t>
        </is>
      </c>
      <c r="T3335" s="12" t="inlineStr">
        <is>
          <t>High</t>
        </is>
      </c>
      <c r="U3335" s="8" t="n">
        <v>20913.63</v>
      </c>
      <c r="V3335" s="13">
        <f>IF(U3335="","",ROUND(M3335-U3335,2))</f>
        <v/>
      </c>
      <c r="W3335" s="5" t="n"/>
      <c r="X3335" s="5" t="inlineStr">
        <is>
          <t>Labour + plant + material as published; reconciles to the published rate.</t>
        </is>
      </c>
    </row>
    <row r="3336" ht="13" customHeight="1">
      <c r="A3336" s="4" t="n">
        <v>5085</v>
      </c>
      <c r="B3336" s="5" t="inlineStr">
        <is>
          <t>IMG_0134</t>
        </is>
      </c>
      <c r="C3336" s="5" t="inlineStr">
        <is>
          <t>CLASS S: RAIL TRACK</t>
        </is>
      </c>
      <c r="D3336" s="5" t="inlineStr">
        <is>
          <t>04 SUPPLYING (STANDARD GAUGE TRACK)</t>
        </is>
      </c>
      <c r="E3336" s="5" t="inlineStr">
        <is>
          <t>Prefabricated Turnouts; complete with closures, check rails, fittings, etc.</t>
        </is>
      </c>
      <c r="F3336" s="5" t="inlineStr">
        <is>
          <t>Type Cv9.25; BS 113 'A' section flat bottom rail with concrete bearers</t>
        </is>
      </c>
      <c r="G3336" s="6" t="inlineStr">
        <is>
          <t>nr</t>
        </is>
      </c>
      <c r="H3336" s="7" t="n"/>
      <c r="I3336" s="8" t="n">
        <v>0</v>
      </c>
      <c r="J3336" s="8" t="n">
        <v>0</v>
      </c>
      <c r="K3336" s="8" t="n">
        <v>33181.85</v>
      </c>
      <c r="L3336" s="8" t="n">
        <v>0</v>
      </c>
      <c r="M3336" s="9">
        <f>ROUND(SUM(I3336:L3336),2)</f>
        <v/>
      </c>
      <c r="N3336" s="10">
        <f>ROUND(I3336*'Irish Basis'!$C$6*'Irish Basis'!$C$5,2)</f>
        <v/>
      </c>
      <c r="O3336" s="10">
        <f>ROUND(J3336*'Irish Basis'!$C$7*'Irish Basis'!$C$5,2)</f>
        <v/>
      </c>
      <c r="P3336" s="10">
        <f>ROUND(K3336*'Irish Basis'!$C$8*'Irish Basis'!$C$5,2)</f>
        <v/>
      </c>
      <c r="Q3336" s="10">
        <f>ROUND(L3336*'Irish Basis'!$C$12*'Irish Basis'!$C$5,2)</f>
        <v/>
      </c>
      <c r="R3336" s="11">
        <f>ROUND(SUM(N3336:Q3336),2)</f>
        <v/>
      </c>
      <c r="S3336" s="5" t="inlineStr">
        <is>
          <t>Stated build-up</t>
        </is>
      </c>
      <c r="T3336" s="12" t="inlineStr">
        <is>
          <t>High</t>
        </is>
      </c>
      <c r="U3336" s="8" t="n">
        <v>33181.85</v>
      </c>
      <c r="V3336" s="13">
        <f>IF(U3336="","",ROUND(M3336-U3336,2))</f>
        <v/>
      </c>
      <c r="W3336" s="5" t="n"/>
      <c r="X3336" s="5" t="inlineStr">
        <is>
          <t>Labour + plant + material as published; reconciles to the published rate.</t>
        </is>
      </c>
    </row>
    <row r="3337" ht="13" customHeight="1">
      <c r="A3337" s="4" t="n">
        <v>5086</v>
      </c>
      <c r="B3337" s="5" t="inlineStr">
        <is>
          <t>IMG_0134</t>
        </is>
      </c>
      <c r="C3337" s="5" t="inlineStr">
        <is>
          <t>CLASS S: RAIL TRACK</t>
        </is>
      </c>
      <c r="D3337" s="5" t="inlineStr">
        <is>
          <t>04 SUPPLYING (STANDARD GAUGE TRACK)</t>
        </is>
      </c>
      <c r="E3337" s="5" t="inlineStr">
        <is>
          <t>Prefabricated Turnouts; complete with closures, check rails, fittings, etc.</t>
        </is>
      </c>
      <c r="F3337" s="5" t="inlineStr">
        <is>
          <t>Type Cv9.25; BS 113 'A' section flat bottom rail with sleeper bearers</t>
        </is>
      </c>
      <c r="G3337" s="6" t="inlineStr">
        <is>
          <t>nr</t>
        </is>
      </c>
      <c r="H3337" s="7" t="n"/>
      <c r="I3337" s="8" t="n">
        <v>0</v>
      </c>
      <c r="J3337" s="8" t="n">
        <v>0</v>
      </c>
      <c r="K3337" s="8" t="n">
        <v>33181.85</v>
      </c>
      <c r="L3337" s="8" t="n">
        <v>0</v>
      </c>
      <c r="M3337" s="9">
        <f>ROUND(SUM(I3337:L3337),2)</f>
        <v/>
      </c>
      <c r="N3337" s="10">
        <f>ROUND(I3337*'Irish Basis'!$C$6*'Irish Basis'!$C$5,2)</f>
        <v/>
      </c>
      <c r="O3337" s="10">
        <f>ROUND(J3337*'Irish Basis'!$C$7*'Irish Basis'!$C$5,2)</f>
        <v/>
      </c>
      <c r="P3337" s="10">
        <f>ROUND(K3337*'Irish Basis'!$C$8*'Irish Basis'!$C$5,2)</f>
        <v/>
      </c>
      <c r="Q3337" s="10">
        <f>ROUND(L3337*'Irish Basis'!$C$12*'Irish Basis'!$C$5,2)</f>
        <v/>
      </c>
      <c r="R3337" s="11">
        <f>ROUND(SUM(N3337:Q3337),2)</f>
        <v/>
      </c>
      <c r="S3337" s="5" t="inlineStr">
        <is>
          <t>Stated build-up</t>
        </is>
      </c>
      <c r="T3337" s="12" t="inlineStr">
        <is>
          <t>High</t>
        </is>
      </c>
      <c r="U3337" s="8" t="n">
        <v>33181.85</v>
      </c>
      <c r="V3337" s="13">
        <f>IF(U3337="","",ROUND(M3337-U3337,2))</f>
        <v/>
      </c>
      <c r="W3337" s="5" t="n"/>
      <c r="X3337" s="5" t="inlineStr">
        <is>
          <t>Labour + plant + material as published; reconciles to the published rate.</t>
        </is>
      </c>
    </row>
    <row r="3338" ht="13" customHeight="1">
      <c r="A3338" s="4" t="n">
        <v>5088</v>
      </c>
      <c r="B3338" s="5" t="inlineStr">
        <is>
          <t>IMG_0134</t>
        </is>
      </c>
      <c r="C3338" s="5" t="inlineStr">
        <is>
          <t>CLASS S: RAIL TRACK</t>
        </is>
      </c>
      <c r="D3338" s="5" t="inlineStr">
        <is>
          <t>04 SUPPLYING (STANDARD GAUGE TRACK)</t>
        </is>
      </c>
      <c r="E3338" s="5" t="inlineStr">
        <is>
          <t>Prefabricated Diamond crossings; complete with closures, check rails, fittings, timber sleepers</t>
        </is>
      </c>
      <c r="F3338" s="5" t="inlineStr">
        <is>
          <t>RT standard design, angle 1 in 4; BS95R bullhead rail</t>
        </is>
      </c>
      <c r="G3338" s="6" t="inlineStr">
        <is>
          <t>nr</t>
        </is>
      </c>
      <c r="H3338" s="7" t="n"/>
      <c r="I3338" s="8" t="n">
        <v>0</v>
      </c>
      <c r="J3338" s="8" t="n">
        <v>0</v>
      </c>
      <c r="K3338" s="8" t="n">
        <v>139417.97</v>
      </c>
      <c r="L3338" s="8" t="n">
        <v>0</v>
      </c>
      <c r="M3338" s="9">
        <f>ROUND(SUM(I3338:L3338),2)</f>
        <v/>
      </c>
      <c r="N3338" s="10">
        <f>ROUND(I3338*'Irish Basis'!$C$6*'Irish Basis'!$C$5,2)</f>
        <v/>
      </c>
      <c r="O3338" s="10">
        <f>ROUND(J3338*'Irish Basis'!$C$7*'Irish Basis'!$C$5,2)</f>
        <v/>
      </c>
      <c r="P3338" s="10">
        <f>ROUND(K3338*'Irish Basis'!$C$8*'Irish Basis'!$C$5,2)</f>
        <v/>
      </c>
      <c r="Q3338" s="10">
        <f>ROUND(L3338*'Irish Basis'!$C$12*'Irish Basis'!$C$5,2)</f>
        <v/>
      </c>
      <c r="R3338" s="11">
        <f>ROUND(SUM(N3338:Q3338),2)</f>
        <v/>
      </c>
      <c r="S3338" s="5" t="inlineStr">
        <is>
          <t>Stated build-up</t>
        </is>
      </c>
      <c r="T3338" s="12" t="inlineStr">
        <is>
          <t>High</t>
        </is>
      </c>
      <c r="U3338" s="8" t="n">
        <v>139417.97</v>
      </c>
      <c r="V3338" s="13">
        <f>IF(U3338="","",ROUND(M3338-U3338,2))</f>
        <v/>
      </c>
      <c r="W3338" s="5" t="n"/>
      <c r="X3338" s="5" t="inlineStr">
        <is>
          <t>Labour + plant + material as published; reconciles to the published rate.</t>
        </is>
      </c>
    </row>
    <row r="3339" ht="13" customHeight="1">
      <c r="A3339" s="4" t="n">
        <v>5089</v>
      </c>
      <c r="B3339" s="5" t="inlineStr">
        <is>
          <t>IMG_0134</t>
        </is>
      </c>
      <c r="C3339" s="5" t="inlineStr">
        <is>
          <t>CLASS S: RAIL TRACK</t>
        </is>
      </c>
      <c r="D3339" s="5" t="inlineStr">
        <is>
          <t>04 SUPPLYING (STANDARD GAUGE TRACK)</t>
        </is>
      </c>
      <c r="E3339" s="5" t="inlineStr">
        <is>
          <t>Prefabricated Diamond crossings; complete with closures, check rails, fittings, timber sleepers</t>
        </is>
      </c>
      <c r="F3339" s="5" t="inlineStr">
        <is>
          <t>RT standard design, angle 1 in 4; BS113 'A' section flat bottom rail</t>
        </is>
      </c>
      <c r="G3339" s="6" t="inlineStr">
        <is>
          <t>nr</t>
        </is>
      </c>
      <c r="H3339" s="7" t="n"/>
      <c r="I3339" s="8" t="n">
        <v>0</v>
      </c>
      <c r="J3339" s="8" t="n">
        <v>0</v>
      </c>
      <c r="K3339" s="8" t="n">
        <v>151541.25</v>
      </c>
      <c r="L3339" s="8" t="n">
        <v>0</v>
      </c>
      <c r="M3339" s="9">
        <f>ROUND(SUM(I3339:L3339),2)</f>
        <v/>
      </c>
      <c r="N3339" s="10">
        <f>ROUND(I3339*'Irish Basis'!$C$6*'Irish Basis'!$C$5,2)</f>
        <v/>
      </c>
      <c r="O3339" s="10">
        <f>ROUND(J3339*'Irish Basis'!$C$7*'Irish Basis'!$C$5,2)</f>
        <v/>
      </c>
      <c r="P3339" s="10">
        <f>ROUND(K3339*'Irish Basis'!$C$8*'Irish Basis'!$C$5,2)</f>
        <v/>
      </c>
      <c r="Q3339" s="10">
        <f>ROUND(L3339*'Irish Basis'!$C$12*'Irish Basis'!$C$5,2)</f>
        <v/>
      </c>
      <c r="R3339" s="11">
        <f>ROUND(SUM(N3339:Q3339),2)</f>
        <v/>
      </c>
      <c r="S3339" s="5" t="inlineStr">
        <is>
          <t>Stated build-up</t>
        </is>
      </c>
      <c r="T3339" s="12" t="inlineStr">
        <is>
          <t>High</t>
        </is>
      </c>
      <c r="U3339" s="8" t="n">
        <v>151541.25</v>
      </c>
      <c r="V3339" s="13">
        <f>IF(U3339="","",ROUND(M3339-U3339,2))</f>
        <v/>
      </c>
      <c r="W3339" s="5" t="n"/>
      <c r="X3339" s="5" t="inlineStr">
        <is>
          <t>Labour + plant + material as published; reconciles to the published rate.</t>
        </is>
      </c>
    </row>
    <row r="3340" ht="13" customHeight="1">
      <c r="A3340" s="4" t="n">
        <v>5091</v>
      </c>
      <c r="B3340" s="5" t="inlineStr">
        <is>
          <t>IMG_0134</t>
        </is>
      </c>
      <c r="C3340" s="5" t="inlineStr">
        <is>
          <t>CLASS S: RAIL TRACK</t>
        </is>
      </c>
      <c r="D3340" s="5" t="inlineStr">
        <is>
          <t>04 SUPPLYING (STANDARD GAUGE TRACK)</t>
        </is>
      </c>
      <c r="E3340" s="5" t="inlineStr">
        <is>
          <t>Sundries</t>
        </is>
      </c>
      <c r="F3340" s="5" t="inlineStr">
        <is>
          <t>buffer stops; single raker, steel rail and timber; 2 tonnes approximate weight</t>
        </is>
      </c>
      <c r="G3340" s="6" t="inlineStr">
        <is>
          <t>nr</t>
        </is>
      </c>
      <c r="H3340" s="7" t="n"/>
      <c r="I3340" s="8" t="n">
        <v>0</v>
      </c>
      <c r="J3340" s="8" t="n">
        <v>0</v>
      </c>
      <c r="K3340" s="8" t="n">
        <v>16647.09</v>
      </c>
      <c r="L3340" s="8" t="n">
        <v>0</v>
      </c>
      <c r="M3340" s="9">
        <f>ROUND(SUM(I3340:L3340),2)</f>
        <v/>
      </c>
      <c r="N3340" s="10">
        <f>ROUND(I3340*'Irish Basis'!$C$6*'Irish Basis'!$C$5,2)</f>
        <v/>
      </c>
      <c r="O3340" s="10">
        <f>ROUND(J3340*'Irish Basis'!$C$7*'Irish Basis'!$C$5,2)</f>
        <v/>
      </c>
      <c r="P3340" s="10">
        <f>ROUND(K3340*'Irish Basis'!$C$8*'Irish Basis'!$C$5,2)</f>
        <v/>
      </c>
      <c r="Q3340" s="10">
        <f>ROUND(L3340*'Irish Basis'!$C$12*'Irish Basis'!$C$5,2)</f>
        <v/>
      </c>
      <c r="R3340" s="11">
        <f>ROUND(SUM(N3340:Q3340),2)</f>
        <v/>
      </c>
      <c r="S3340" s="5" t="inlineStr">
        <is>
          <t>Stated build-up</t>
        </is>
      </c>
      <c r="T3340" s="12" t="inlineStr">
        <is>
          <t>High</t>
        </is>
      </c>
      <c r="U3340" s="8" t="n">
        <v>16647.09</v>
      </c>
      <c r="V3340" s="13">
        <f>IF(U3340="","",ROUND(M3340-U3340,2))</f>
        <v/>
      </c>
      <c r="W3340" s="5" t="n"/>
      <c r="X3340" s="5" t="inlineStr">
        <is>
          <t>Labour + plant + material as published; reconciles to the published rate.</t>
        </is>
      </c>
    </row>
    <row r="3341" ht="13" customHeight="1">
      <c r="A3341" s="4" t="n">
        <v>5092</v>
      </c>
      <c r="B3341" s="5" t="inlineStr">
        <is>
          <t>IMG_0134</t>
        </is>
      </c>
      <c r="C3341" s="5" t="inlineStr">
        <is>
          <t>CLASS S: RAIL TRACK</t>
        </is>
      </c>
      <c r="D3341" s="5" t="inlineStr">
        <is>
          <t>04 SUPPLYING (STANDARD GAUGE TRACK)</t>
        </is>
      </c>
      <c r="E3341" s="5" t="inlineStr">
        <is>
          <t>Sundries</t>
        </is>
      </c>
      <c r="F3341" s="5" t="inlineStr">
        <is>
          <t>buffer stops; double raker, steel rail and timber; 2.5 tonnes approximate weight</t>
        </is>
      </c>
      <c r="G3341" s="6" t="inlineStr">
        <is>
          <t>nr</t>
        </is>
      </c>
      <c r="H3341" s="7" t="n"/>
      <c r="I3341" s="8" t="n">
        <v>0</v>
      </c>
      <c r="J3341" s="8" t="n">
        <v>0</v>
      </c>
      <c r="K3341" s="8" t="n">
        <v>18605.58</v>
      </c>
      <c r="L3341" s="8" t="n">
        <v>0</v>
      </c>
      <c r="M3341" s="9">
        <f>ROUND(SUM(I3341:L3341),2)</f>
        <v/>
      </c>
      <c r="N3341" s="10">
        <f>ROUND(I3341*'Irish Basis'!$C$6*'Irish Basis'!$C$5,2)</f>
        <v/>
      </c>
      <c r="O3341" s="10">
        <f>ROUND(J3341*'Irish Basis'!$C$7*'Irish Basis'!$C$5,2)</f>
        <v/>
      </c>
      <c r="P3341" s="10">
        <f>ROUND(K3341*'Irish Basis'!$C$8*'Irish Basis'!$C$5,2)</f>
        <v/>
      </c>
      <c r="Q3341" s="10">
        <f>ROUND(L3341*'Irish Basis'!$C$12*'Irish Basis'!$C$5,2)</f>
        <v/>
      </c>
      <c r="R3341" s="11">
        <f>ROUND(SUM(N3341:Q3341),2)</f>
        <v/>
      </c>
      <c r="S3341" s="5" t="inlineStr">
        <is>
          <t>Stated build-up</t>
        </is>
      </c>
      <c r="T3341" s="12" t="inlineStr">
        <is>
          <t>High</t>
        </is>
      </c>
      <c r="U3341" s="8" t="n">
        <v>18605.58</v>
      </c>
      <c r="V3341" s="13">
        <f>IF(U3341="","",ROUND(M3341-U3341,2))</f>
        <v/>
      </c>
      <c r="W3341" s="5" t="n"/>
      <c r="X3341" s="5" t="inlineStr">
        <is>
          <t>Labour + plant + material as published; reconciles to the published rate.</t>
        </is>
      </c>
    </row>
    <row r="3342" ht="13" customHeight="1">
      <c r="A3342" s="4" t="n">
        <v>5093</v>
      </c>
      <c r="B3342" s="5" t="inlineStr">
        <is>
          <t>IMG_0134</t>
        </is>
      </c>
      <c r="C3342" s="5" t="inlineStr">
        <is>
          <t>CLASS S: RAIL TRACK</t>
        </is>
      </c>
      <c r="D3342" s="5" t="inlineStr">
        <is>
          <t>04 SUPPLYING (STANDARD GAUGE TRACK)</t>
        </is>
      </c>
      <c r="E3342" s="5" t="inlineStr">
        <is>
          <t>Sundries</t>
        </is>
      </c>
      <c r="F3342" s="5" t="inlineStr">
        <is>
          <t>wheel stops; steel; 100 kg approximate weight</t>
        </is>
      </c>
      <c r="G3342" s="6" t="inlineStr">
        <is>
          <t>nr</t>
        </is>
      </c>
      <c r="H3342" s="7" t="n"/>
      <c r="I3342" s="8" t="n">
        <v>0</v>
      </c>
      <c r="J3342" s="8" t="n">
        <v>0</v>
      </c>
      <c r="K3342" s="8" t="n">
        <v>783.39</v>
      </c>
      <c r="L3342" s="8" t="n">
        <v>0</v>
      </c>
      <c r="M3342" s="9">
        <f>ROUND(SUM(I3342:L3342),2)</f>
        <v/>
      </c>
      <c r="N3342" s="10">
        <f>ROUND(I3342*'Irish Basis'!$C$6*'Irish Basis'!$C$5,2)</f>
        <v/>
      </c>
      <c r="O3342" s="10">
        <f>ROUND(J3342*'Irish Basis'!$C$7*'Irish Basis'!$C$5,2)</f>
        <v/>
      </c>
      <c r="P3342" s="10">
        <f>ROUND(K3342*'Irish Basis'!$C$8*'Irish Basis'!$C$5,2)</f>
        <v/>
      </c>
      <c r="Q3342" s="10">
        <f>ROUND(L3342*'Irish Basis'!$C$12*'Irish Basis'!$C$5,2)</f>
        <v/>
      </c>
      <c r="R3342" s="11">
        <f>ROUND(SUM(N3342:Q3342),2)</f>
        <v/>
      </c>
      <c r="S3342" s="5" t="inlineStr">
        <is>
          <t>Stated build-up</t>
        </is>
      </c>
      <c r="T3342" s="12" t="inlineStr">
        <is>
          <t>High</t>
        </is>
      </c>
      <c r="U3342" s="8" t="n">
        <v>783.39</v>
      </c>
      <c r="V3342" s="13">
        <f>IF(U3342="","",ROUND(M3342-U3342,2))</f>
        <v/>
      </c>
      <c r="W3342" s="5" t="n"/>
      <c r="X3342" s="5" t="inlineStr">
        <is>
          <t>Labour + plant + material as published; reconciles to the published rate.</t>
        </is>
      </c>
    </row>
    <row r="3343" ht="13" customHeight="1">
      <c r="A3343" s="4" t="n">
        <v>5094</v>
      </c>
      <c r="B3343" s="5" t="inlineStr">
        <is>
          <t>IMG_0134</t>
        </is>
      </c>
      <c r="C3343" s="5" t="inlineStr">
        <is>
          <t>CLASS S: RAIL TRACK</t>
        </is>
      </c>
      <c r="D3343" s="5" t="inlineStr">
        <is>
          <t>04 SUPPLYING (STANDARD GAUGE TRACK)</t>
        </is>
      </c>
      <c r="E3343" s="5" t="inlineStr">
        <is>
          <t>Sundries</t>
        </is>
      </c>
      <c r="F3343" s="5" t="inlineStr">
        <is>
          <t>lubricators; single rail</t>
        </is>
      </c>
      <c r="G3343" s="6" t="inlineStr">
        <is>
          <t>nr</t>
        </is>
      </c>
      <c r="H3343" s="7" t="n"/>
      <c r="I3343" s="8" t="n">
        <v>0</v>
      </c>
      <c r="J3343" s="8" t="n">
        <v>0</v>
      </c>
      <c r="K3343" s="8" t="n">
        <v>1501.51</v>
      </c>
      <c r="L3343" s="8" t="n">
        <v>0</v>
      </c>
      <c r="M3343" s="9">
        <f>ROUND(SUM(I3343:L3343),2)</f>
        <v/>
      </c>
      <c r="N3343" s="10">
        <f>ROUND(I3343*'Irish Basis'!$C$6*'Irish Basis'!$C$5,2)</f>
        <v/>
      </c>
      <c r="O3343" s="10">
        <f>ROUND(J3343*'Irish Basis'!$C$7*'Irish Basis'!$C$5,2)</f>
        <v/>
      </c>
      <c r="P3343" s="10">
        <f>ROUND(K3343*'Irish Basis'!$C$8*'Irish Basis'!$C$5,2)</f>
        <v/>
      </c>
      <c r="Q3343" s="10">
        <f>ROUND(L3343*'Irish Basis'!$C$12*'Irish Basis'!$C$5,2)</f>
        <v/>
      </c>
      <c r="R3343" s="11">
        <f>ROUND(SUM(N3343:Q3343),2)</f>
        <v/>
      </c>
      <c r="S3343" s="5" t="inlineStr">
        <is>
          <t>Stated build-up</t>
        </is>
      </c>
      <c r="T3343" s="12" t="inlineStr">
        <is>
          <t>High</t>
        </is>
      </c>
      <c r="U3343" s="8" t="n">
        <v>1501.51</v>
      </c>
      <c r="V3343" s="13">
        <f>IF(U3343="","",ROUND(M3343-U3343,2))</f>
        <v/>
      </c>
      <c r="W3343" s="5" t="n"/>
      <c r="X3343" s="5" t="inlineStr">
        <is>
          <t>Labour + plant + material as published; reconciles to the published rate.</t>
        </is>
      </c>
    </row>
    <row r="3344" ht="13" customHeight="1">
      <c r="A3344" s="4" t="n">
        <v>5095</v>
      </c>
      <c r="B3344" s="5" t="inlineStr">
        <is>
          <t>IMG_0134</t>
        </is>
      </c>
      <c r="C3344" s="5" t="inlineStr">
        <is>
          <t>CLASS S: RAIL TRACK</t>
        </is>
      </c>
      <c r="D3344" s="5" t="inlineStr">
        <is>
          <t>04 SUPPLYING (STANDARD GAUGE TRACK)</t>
        </is>
      </c>
      <c r="E3344" s="5" t="inlineStr">
        <is>
          <t>Sundries</t>
        </is>
      </c>
      <c r="F3344" s="5" t="inlineStr">
        <is>
          <t>lubricators; double rail</t>
        </is>
      </c>
      <c r="G3344" s="6" t="inlineStr">
        <is>
          <t>nr</t>
        </is>
      </c>
      <c r="H3344" s="7" t="n"/>
      <c r="I3344" s="8" t="n">
        <v>0</v>
      </c>
      <c r="J3344" s="8" t="n">
        <v>0</v>
      </c>
      <c r="K3344" s="8" t="n">
        <v>2937.74</v>
      </c>
      <c r="L3344" s="8" t="n">
        <v>0</v>
      </c>
      <c r="M3344" s="9">
        <f>ROUND(SUM(I3344:L3344),2)</f>
        <v/>
      </c>
      <c r="N3344" s="10">
        <f>ROUND(I3344*'Irish Basis'!$C$6*'Irish Basis'!$C$5,2)</f>
        <v/>
      </c>
      <c r="O3344" s="10">
        <f>ROUND(J3344*'Irish Basis'!$C$7*'Irish Basis'!$C$5,2)</f>
        <v/>
      </c>
      <c r="P3344" s="10">
        <f>ROUND(K3344*'Irish Basis'!$C$8*'Irish Basis'!$C$5,2)</f>
        <v/>
      </c>
      <c r="Q3344" s="10">
        <f>ROUND(L3344*'Irish Basis'!$C$12*'Irish Basis'!$C$5,2)</f>
        <v/>
      </c>
      <c r="R3344" s="11">
        <f>ROUND(SUM(N3344:Q3344),2)</f>
        <v/>
      </c>
      <c r="S3344" s="5" t="inlineStr">
        <is>
          <t>Stated build-up</t>
        </is>
      </c>
      <c r="T3344" s="12" t="inlineStr">
        <is>
          <t>High</t>
        </is>
      </c>
      <c r="U3344" s="8" t="n">
        <v>2937.74</v>
      </c>
      <c r="V3344" s="13">
        <f>IF(U3344="","",ROUND(M3344-U3344,2))</f>
        <v/>
      </c>
      <c r="W3344" s="5" t="n"/>
      <c r="X3344" s="5" t="inlineStr">
        <is>
          <t>Labour + plant + material as published; reconciles to the published rate.</t>
        </is>
      </c>
    </row>
    <row r="3345" ht="13" customHeight="1">
      <c r="A3345" s="4" t="n">
        <v>5096</v>
      </c>
      <c r="B3345" s="5" t="inlineStr">
        <is>
          <t>IMG_0134</t>
        </is>
      </c>
      <c r="C3345" s="5" t="inlineStr">
        <is>
          <t>CLASS S: RAIL TRACK</t>
        </is>
      </c>
      <c r="D3345" s="5" t="inlineStr">
        <is>
          <t>04 SUPPLYING (STANDARD GAUGE TRACK)</t>
        </is>
      </c>
      <c r="E3345" s="5" t="inlineStr">
        <is>
          <t>Sundries</t>
        </is>
      </c>
      <c r="F3345" s="5" t="inlineStr">
        <is>
          <t>switch heaters; single rail</t>
        </is>
      </c>
      <c r="G3345" s="6" t="inlineStr">
        <is>
          <t>nr</t>
        </is>
      </c>
      <c r="H3345" s="7" t="n">
        <v>2</v>
      </c>
      <c r="I3345" s="8" t="n">
        <v>243.33</v>
      </c>
      <c r="J3345" s="8" t="n">
        <v>0</v>
      </c>
      <c r="K3345" s="8" t="n">
        <v>110.46</v>
      </c>
      <c r="L3345" s="8" t="n">
        <v>0</v>
      </c>
      <c r="M3345" s="9">
        <f>ROUND(SUM(I3345:L3345),2)</f>
        <v/>
      </c>
      <c r="N3345" s="10">
        <f>ROUND(I3345*'Irish Basis'!$C$6*'Irish Basis'!$C$5,2)</f>
        <v/>
      </c>
      <c r="O3345" s="10">
        <f>ROUND(J3345*'Irish Basis'!$C$7*'Irish Basis'!$C$5,2)</f>
        <v/>
      </c>
      <c r="P3345" s="10">
        <f>ROUND(K3345*'Irish Basis'!$C$8*'Irish Basis'!$C$5,2)</f>
        <v/>
      </c>
      <c r="Q3345" s="10">
        <f>ROUND(L3345*'Irish Basis'!$C$12*'Irish Basis'!$C$5,2)</f>
        <v/>
      </c>
      <c r="R3345" s="11">
        <f>ROUND(SUM(N3345:Q3345),2)</f>
        <v/>
      </c>
      <c r="S3345" s="5" t="inlineStr">
        <is>
          <t>Stated build-up</t>
        </is>
      </c>
      <c r="T3345" s="12" t="inlineStr">
        <is>
          <t>High</t>
        </is>
      </c>
      <c r="U3345" s="8" t="n">
        <v>353.79</v>
      </c>
      <c r="V3345" s="13">
        <f>IF(U3345="","",ROUND(M3345-U3345,2))</f>
        <v/>
      </c>
      <c r="W3345" s="5" t="n"/>
      <c r="X3345" s="5" t="inlineStr">
        <is>
          <t>Labour + plant + material as published; reconciles to the published rate.</t>
        </is>
      </c>
    </row>
    <row r="3346" ht="13" customHeight="1">
      <c r="A3346" s="4" t="n">
        <v>5097</v>
      </c>
      <c r="B3346" s="5" t="inlineStr">
        <is>
          <t>IMG_0134</t>
        </is>
      </c>
      <c r="C3346" s="5" t="inlineStr">
        <is>
          <t>CLASS S: RAIL TRACK</t>
        </is>
      </c>
      <c r="D3346" s="5" t="inlineStr">
        <is>
          <t>04 SUPPLYING (STANDARD GAUGE TRACK)</t>
        </is>
      </c>
      <c r="E3346" s="5" t="inlineStr">
        <is>
          <t>Sundries</t>
        </is>
      </c>
      <c r="F3346" s="5" t="inlineStr">
        <is>
          <t>switch heater; double rail</t>
        </is>
      </c>
      <c r="G3346" s="6" t="inlineStr">
        <is>
          <t>nr</t>
        </is>
      </c>
      <c r="H3346" s="7" t="n">
        <v>3</v>
      </c>
      <c r="I3346" s="8" t="n">
        <v>364.99</v>
      </c>
      <c r="J3346" s="8" t="n">
        <v>0</v>
      </c>
      <c r="K3346" s="8" t="n">
        <v>126.81</v>
      </c>
      <c r="L3346" s="8" t="n">
        <v>0</v>
      </c>
      <c r="M3346" s="9">
        <f>ROUND(SUM(I3346:L3346),2)</f>
        <v/>
      </c>
      <c r="N3346" s="10">
        <f>ROUND(I3346*'Irish Basis'!$C$6*'Irish Basis'!$C$5,2)</f>
        <v/>
      </c>
      <c r="O3346" s="10">
        <f>ROUND(J3346*'Irish Basis'!$C$7*'Irish Basis'!$C$5,2)</f>
        <v/>
      </c>
      <c r="P3346" s="10">
        <f>ROUND(K3346*'Irish Basis'!$C$8*'Irish Basis'!$C$5,2)</f>
        <v/>
      </c>
      <c r="Q3346" s="10">
        <f>ROUND(L3346*'Irish Basis'!$C$12*'Irish Basis'!$C$5,2)</f>
        <v/>
      </c>
      <c r="R3346" s="11">
        <f>ROUND(SUM(N3346:Q3346),2)</f>
        <v/>
      </c>
      <c r="S3346" s="5" t="inlineStr">
        <is>
          <t>Stated build-up</t>
        </is>
      </c>
      <c r="T3346" s="12" t="inlineStr">
        <is>
          <t>High</t>
        </is>
      </c>
      <c r="U3346" s="8" t="n">
        <v>491.8</v>
      </c>
      <c r="V3346" s="13">
        <f>IF(U3346="","",ROUND(M3346-U3346,2))</f>
        <v/>
      </c>
      <c r="W3346" s="5" t="n"/>
      <c r="X3346" s="5" t="inlineStr">
        <is>
          <t>Labour + plant + material as published; reconciles to the published rate.</t>
        </is>
      </c>
    </row>
    <row r="3347" ht="13" customHeight="1">
      <c r="A3347" s="4" t="n">
        <v>5098</v>
      </c>
      <c r="B3347" s="5" t="inlineStr">
        <is>
          <t>IMG_0134</t>
        </is>
      </c>
      <c r="C3347" s="5" t="inlineStr">
        <is>
          <t>CLASS S: RAIL TRACK</t>
        </is>
      </c>
      <c r="D3347" s="5" t="inlineStr">
        <is>
          <t>04 SUPPLYING (STANDARD GAUGE TRACK)</t>
        </is>
      </c>
      <c r="E3347" s="5" t="inlineStr">
        <is>
          <t>Sundries</t>
        </is>
      </c>
      <c r="F3347" s="5" t="inlineStr">
        <is>
          <t>switch levers; upright pattern</t>
        </is>
      </c>
      <c r="G3347" s="6" t="inlineStr">
        <is>
          <t>nr</t>
        </is>
      </c>
      <c r="H3347" s="7" t="n"/>
      <c r="I3347" s="8" t="n">
        <v>0</v>
      </c>
      <c r="J3347" s="8" t="n">
        <v>0</v>
      </c>
      <c r="K3347" s="8" t="n">
        <v>998.83</v>
      </c>
      <c r="L3347" s="8" t="n">
        <v>0</v>
      </c>
      <c r="M3347" s="9">
        <f>ROUND(SUM(I3347:L3347),2)</f>
        <v/>
      </c>
      <c r="N3347" s="10">
        <f>ROUND(I3347*'Irish Basis'!$C$6*'Irish Basis'!$C$5,2)</f>
        <v/>
      </c>
      <c r="O3347" s="10">
        <f>ROUND(J3347*'Irish Basis'!$C$7*'Irish Basis'!$C$5,2)</f>
        <v/>
      </c>
      <c r="P3347" s="10">
        <f>ROUND(K3347*'Irish Basis'!$C$8*'Irish Basis'!$C$5,2)</f>
        <v/>
      </c>
      <c r="Q3347" s="10">
        <f>ROUND(L3347*'Irish Basis'!$C$12*'Irish Basis'!$C$5,2)</f>
        <v/>
      </c>
      <c r="R3347" s="11">
        <f>ROUND(SUM(N3347:Q3347),2)</f>
        <v/>
      </c>
      <c r="S3347" s="5" t="inlineStr">
        <is>
          <t>Stated build-up</t>
        </is>
      </c>
      <c r="T3347" s="12" t="inlineStr">
        <is>
          <t>High</t>
        </is>
      </c>
      <c r="U3347" s="8" t="n">
        <v>998.83</v>
      </c>
      <c r="V3347" s="13">
        <f>IF(U3347="","",ROUND(M3347-U3347,2))</f>
        <v/>
      </c>
      <c r="W3347" s="5" t="n"/>
      <c r="X3347" s="5" t="inlineStr">
        <is>
          <t>Labour + plant + material as published; reconciles to the published rate.</t>
        </is>
      </c>
    </row>
    <row r="3348" ht="13" customHeight="1">
      <c r="A3348" s="4" t="n">
        <v>5099</v>
      </c>
      <c r="B3348" s="5" t="inlineStr">
        <is>
          <t>IMG_0134</t>
        </is>
      </c>
      <c r="C3348" s="5" t="inlineStr">
        <is>
          <t>CLASS S: RAIL TRACK</t>
        </is>
      </c>
      <c r="D3348" s="5" t="inlineStr">
        <is>
          <t>04 SUPPLYING (STANDARD GAUGE TRACK)</t>
        </is>
      </c>
      <c r="E3348" s="5" t="inlineStr">
        <is>
          <t>Sundries</t>
        </is>
      </c>
      <c r="F3348" s="5" t="inlineStr">
        <is>
          <t>switch levers; flush type</t>
        </is>
      </c>
      <c r="G3348" s="6" t="inlineStr">
        <is>
          <t>nr</t>
        </is>
      </c>
      <c r="H3348" s="7" t="n"/>
      <c r="I3348" s="8" t="n">
        <v>0</v>
      </c>
      <c r="J3348" s="8" t="n">
        <v>0</v>
      </c>
      <c r="K3348" s="8" t="n">
        <v>998.83</v>
      </c>
      <c r="L3348" s="8" t="n">
        <v>0</v>
      </c>
      <c r="M3348" s="9">
        <f>ROUND(SUM(I3348:L3348),2)</f>
        <v/>
      </c>
      <c r="N3348" s="10">
        <f>ROUND(I3348*'Irish Basis'!$C$6*'Irish Basis'!$C$5,2)</f>
        <v/>
      </c>
      <c r="O3348" s="10">
        <f>ROUND(J3348*'Irish Basis'!$C$7*'Irish Basis'!$C$5,2)</f>
        <v/>
      </c>
      <c r="P3348" s="10">
        <f>ROUND(K3348*'Irish Basis'!$C$8*'Irish Basis'!$C$5,2)</f>
        <v/>
      </c>
      <c r="Q3348" s="10">
        <f>ROUND(L3348*'Irish Basis'!$C$12*'Irish Basis'!$C$5,2)</f>
        <v/>
      </c>
      <c r="R3348" s="11">
        <f>ROUND(SUM(N3348:Q3348),2)</f>
        <v/>
      </c>
      <c r="S3348" s="5" t="inlineStr">
        <is>
          <t>Stated build-up</t>
        </is>
      </c>
      <c r="T3348" s="12" t="inlineStr">
        <is>
          <t>High</t>
        </is>
      </c>
      <c r="U3348" s="8" t="n">
        <v>998.83</v>
      </c>
      <c r="V3348" s="13">
        <f>IF(U3348="","",ROUND(M3348-U3348,2))</f>
        <v/>
      </c>
      <c r="W3348" s="5" t="n"/>
      <c r="X3348" s="5" t="inlineStr">
        <is>
          <t>Labour + plant + material as published; reconciles to the published rate.</t>
        </is>
      </c>
    </row>
    <row r="3349" ht="13" customHeight="1">
      <c r="A3349" s="4" t="n">
        <v>5100</v>
      </c>
      <c r="B3349" s="5" t="inlineStr">
        <is>
          <t>IMG_0134</t>
        </is>
      </c>
      <c r="C3349" s="5" t="inlineStr">
        <is>
          <t>CLASS S: RAIL TRACK</t>
        </is>
      </c>
      <c r="D3349" s="5" t="inlineStr">
        <is>
          <t>04 SUPPLYING (STANDARD GAUGE TRACK)</t>
        </is>
      </c>
      <c r="E3349" s="5" t="inlineStr">
        <is>
          <t>Sundries</t>
        </is>
      </c>
      <c r="F3349" s="5" t="inlineStr">
        <is>
          <t>conductor rail guard boards</t>
        </is>
      </c>
      <c r="G3349" s="6" t="inlineStr">
        <is>
          <t>m</t>
        </is>
      </c>
      <c r="H3349" s="7" t="n">
        <v>1</v>
      </c>
      <c r="I3349" s="8" t="n">
        <v>121.66</v>
      </c>
      <c r="J3349" s="8" t="n">
        <v>0</v>
      </c>
      <c r="K3349" s="8" t="n">
        <v>0</v>
      </c>
      <c r="L3349" s="8" t="n">
        <v>0</v>
      </c>
      <c r="M3349" s="9">
        <f>ROUND(SUM(I3349:L3349),2)</f>
        <v/>
      </c>
      <c r="N3349" s="10">
        <f>ROUND(I3349*'Irish Basis'!$C$6*'Irish Basis'!$C$5,2)</f>
        <v/>
      </c>
      <c r="O3349" s="10">
        <f>ROUND(J3349*'Irish Basis'!$C$7*'Irish Basis'!$C$5,2)</f>
        <v/>
      </c>
      <c r="P3349" s="10">
        <f>ROUND(K3349*'Irish Basis'!$C$8*'Irish Basis'!$C$5,2)</f>
        <v/>
      </c>
      <c r="Q3349" s="10">
        <f>ROUND(L3349*'Irish Basis'!$C$12*'Irish Basis'!$C$5,2)</f>
        <v/>
      </c>
      <c r="R3349" s="11">
        <f>ROUND(SUM(N3349:Q3349),2)</f>
        <v/>
      </c>
      <c r="S3349" s="5" t="inlineStr">
        <is>
          <t>Stated build-up</t>
        </is>
      </c>
      <c r="T3349" s="12" t="inlineStr">
        <is>
          <t>High</t>
        </is>
      </c>
      <c r="U3349" s="8" t="n">
        <v>121.66</v>
      </c>
      <c r="V3349" s="13">
        <f>IF(U3349="","",ROUND(M3349-U3349,2))</f>
        <v/>
      </c>
      <c r="W3349" s="5" t="n"/>
      <c r="X3349" s="5" t="inlineStr">
        <is>
          <t>Labour + plant + material as published; reconciles to the published rate.</t>
        </is>
      </c>
    </row>
    <row r="3350" ht="13" customHeight="1">
      <c r="A3350" s="4" t="n">
        <v>5103</v>
      </c>
      <c r="B3350" s="5" t="inlineStr">
        <is>
          <t>IMG_0134</t>
        </is>
      </c>
      <c r="C3350" s="5" t="inlineStr">
        <is>
          <t>CLASS S: RAIL TRACK</t>
        </is>
      </c>
      <c r="D3350" s="5" t="inlineStr">
        <is>
          <t>07 TRACK (SUPPLY &amp; INSTALLATION)</t>
        </is>
      </c>
      <c r="E3350" s="5" t="inlineStr">
        <is>
          <t>Bullhead rails; BS11 Delivered in standard 18.288 m lengths; Jointed with fishplates; Softwood sleepers; BS95R section, 47 kg/m; for jointed track</t>
        </is>
      </c>
      <c r="F3350" s="5" t="inlineStr">
        <is>
          <t>plain track</t>
        </is>
      </c>
      <c r="G3350" s="6" t="inlineStr">
        <is>
          <t>m</t>
        </is>
      </c>
      <c r="H3350" s="7" t="n">
        <v>0.23</v>
      </c>
      <c r="I3350" s="8" t="n">
        <v>45.62</v>
      </c>
      <c r="J3350" s="8" t="n">
        <v>522.66</v>
      </c>
      <c r="K3350" s="8" t="n">
        <v>573.03</v>
      </c>
      <c r="L3350" s="8" t="n">
        <v>0</v>
      </c>
      <c r="M3350" s="9">
        <f>ROUND(SUM(I3350:L3350),2)</f>
        <v/>
      </c>
      <c r="N3350" s="10">
        <f>ROUND(I3350*'Irish Basis'!$C$6*'Irish Basis'!$C$5,2)</f>
        <v/>
      </c>
      <c r="O3350" s="10">
        <f>ROUND(J3350*'Irish Basis'!$C$7*'Irish Basis'!$C$5,2)</f>
        <v/>
      </c>
      <c r="P3350" s="10">
        <f>ROUND(K3350*'Irish Basis'!$C$8*'Irish Basis'!$C$5,2)</f>
        <v/>
      </c>
      <c r="Q3350" s="10">
        <f>ROUND(L3350*'Irish Basis'!$C$12*'Irish Basis'!$C$5,2)</f>
        <v/>
      </c>
      <c r="R3350" s="11">
        <f>ROUND(SUM(N3350:Q3350),2)</f>
        <v/>
      </c>
      <c r="S3350" s="5" t="inlineStr">
        <is>
          <t>Stated build-up</t>
        </is>
      </c>
      <c r="T3350" s="12" t="inlineStr">
        <is>
          <t>High</t>
        </is>
      </c>
      <c r="U3350" s="8" t="n">
        <v>1141.32</v>
      </c>
      <c r="V3350" s="13">
        <f>IF(U3350="","",ROUND(M3350-U3350,2))</f>
        <v/>
      </c>
      <c r="W3350" s="5" t="n"/>
      <c r="X3350" s="5" t="inlineStr">
        <is>
          <t>Labour + plant + material as published; reconciles to the published rate.</t>
        </is>
      </c>
    </row>
    <row r="3351" ht="13" customHeight="1">
      <c r="A3351" s="4" t="n">
        <v>5104</v>
      </c>
      <c r="B3351" s="5" t="inlineStr">
        <is>
          <t>IMG_0134</t>
        </is>
      </c>
      <c r="C3351" s="5" t="inlineStr">
        <is>
          <t>CLASS S: RAIL TRACK</t>
        </is>
      </c>
      <c r="D3351" s="5" t="inlineStr">
        <is>
          <t>07 TRACK (SUPPLY &amp; INSTALLATION)</t>
        </is>
      </c>
      <c r="E3351" s="5" t="inlineStr">
        <is>
          <t>Bullhead rails; BS11 Delivered in standard 18.288 m lengths; Jointed with fishplates; Softwood sleepers; BS95R section, 47 kg/m; for jointed track</t>
        </is>
      </c>
      <c r="F3351" s="5" t="inlineStr">
        <is>
          <t>form curve in plain track, radius ne 300 m</t>
        </is>
      </c>
      <c r="G3351" s="6" t="inlineStr">
        <is>
          <t>m</t>
        </is>
      </c>
      <c r="H3351" s="7" t="n">
        <v>0.25</v>
      </c>
      <c r="I3351" s="8" t="n">
        <v>50.69</v>
      </c>
      <c r="J3351" s="8" t="n">
        <v>522.66</v>
      </c>
      <c r="K3351" s="8" t="n">
        <v>572.99</v>
      </c>
      <c r="L3351" s="8" t="n">
        <v>0</v>
      </c>
      <c r="M3351" s="9">
        <f>ROUND(SUM(I3351:L3351),2)</f>
        <v/>
      </c>
      <c r="N3351" s="10">
        <f>ROUND(I3351*'Irish Basis'!$C$6*'Irish Basis'!$C$5,2)</f>
        <v/>
      </c>
      <c r="O3351" s="10">
        <f>ROUND(J3351*'Irish Basis'!$C$7*'Irish Basis'!$C$5,2)</f>
        <v/>
      </c>
      <c r="P3351" s="10">
        <f>ROUND(K3351*'Irish Basis'!$C$8*'Irish Basis'!$C$5,2)</f>
        <v/>
      </c>
      <c r="Q3351" s="10">
        <f>ROUND(L3351*'Irish Basis'!$C$12*'Irish Basis'!$C$5,2)</f>
        <v/>
      </c>
      <c r="R3351" s="11">
        <f>ROUND(SUM(N3351:Q3351),2)</f>
        <v/>
      </c>
      <c r="S3351" s="5" t="inlineStr">
        <is>
          <t>Stated build-up</t>
        </is>
      </c>
      <c r="T3351" s="12" t="inlineStr">
        <is>
          <t>High</t>
        </is>
      </c>
      <c r="U3351" s="8" t="n">
        <v>1146.35</v>
      </c>
      <c r="V3351" s="13">
        <f>IF(U3351="","",ROUND(M3351-U3351,2))</f>
        <v/>
      </c>
      <c r="W3351" s="5" t="n"/>
      <c r="X3351" s="5" t="inlineStr">
        <is>
          <t>Labour + plant + material as published; reconciles to the published rate.</t>
        </is>
      </c>
    </row>
    <row r="3352" ht="13" customHeight="1">
      <c r="A3352" s="4" t="n">
        <v>5105</v>
      </c>
      <c r="B3352" s="5" t="inlineStr">
        <is>
          <t>IMG_0134</t>
        </is>
      </c>
      <c r="C3352" s="5" t="inlineStr">
        <is>
          <t>CLASS S: RAIL TRACK</t>
        </is>
      </c>
      <c r="D3352" s="5" t="inlineStr">
        <is>
          <t>07 TRACK (SUPPLY &amp; INSTALLATION)</t>
        </is>
      </c>
      <c r="E3352" s="5" t="inlineStr">
        <is>
          <t>Bullhead rails; BS11 Delivered in standard 18.288 m lengths; Jointed with fishplates; Softwood sleepers; BS95R section, 47 kg/m; for jointed track</t>
        </is>
      </c>
      <c r="F3352" s="5" t="inlineStr">
        <is>
          <t>form curve in plain track, radius over 300 m</t>
        </is>
      </c>
      <c r="G3352" s="6" t="inlineStr">
        <is>
          <t>m</t>
        </is>
      </c>
      <c r="H3352" s="7" t="n">
        <v>0.4</v>
      </c>
      <c r="I3352" s="8" t="n">
        <v>81.11</v>
      </c>
      <c r="J3352" s="8" t="n">
        <v>522.66</v>
      </c>
      <c r="K3352" s="8" t="n">
        <v>572.99</v>
      </c>
      <c r="L3352" s="8" t="n">
        <v>0</v>
      </c>
      <c r="M3352" s="9">
        <f>ROUND(SUM(I3352:L3352),2)</f>
        <v/>
      </c>
      <c r="N3352" s="10">
        <f>ROUND(I3352*'Irish Basis'!$C$6*'Irish Basis'!$C$5,2)</f>
        <v/>
      </c>
      <c r="O3352" s="10">
        <f>ROUND(J3352*'Irish Basis'!$C$7*'Irish Basis'!$C$5,2)</f>
        <v/>
      </c>
      <c r="P3352" s="10">
        <f>ROUND(K3352*'Irish Basis'!$C$8*'Irish Basis'!$C$5,2)</f>
        <v/>
      </c>
      <c r="Q3352" s="10">
        <f>ROUND(L3352*'Irish Basis'!$C$12*'Irish Basis'!$C$5,2)</f>
        <v/>
      </c>
      <c r="R3352" s="11">
        <f>ROUND(SUM(N3352:Q3352),2)</f>
        <v/>
      </c>
      <c r="S3352" s="5" t="inlineStr">
        <is>
          <t>Stated build-up</t>
        </is>
      </c>
      <c r="T3352" s="12" t="inlineStr">
        <is>
          <t>High</t>
        </is>
      </c>
      <c r="U3352" s="8" t="n">
        <v>1176.76</v>
      </c>
      <c r="V3352" s="13">
        <f>IF(U3352="","",ROUND(M3352-U3352,2))</f>
        <v/>
      </c>
      <c r="W3352" s="5" t="n"/>
      <c r="X3352" s="5" t="inlineStr">
        <is>
          <t>Labour + plant + material as published; reconciles to the published rate.</t>
        </is>
      </c>
    </row>
    <row r="3353" ht="13" customHeight="1">
      <c r="A3353" s="4" t="n">
        <v>5106</v>
      </c>
      <c r="B3353" s="5" t="inlineStr">
        <is>
          <t>IMG_0134</t>
        </is>
      </c>
      <c r="C3353" s="5" t="inlineStr">
        <is>
          <t>CLASS S: RAIL TRACK</t>
        </is>
      </c>
      <c r="D3353" s="5" t="inlineStr">
        <is>
          <t>07 TRACK (SUPPLY &amp; INSTALLATION)</t>
        </is>
      </c>
      <c r="E3353" s="5" t="inlineStr">
        <is>
          <t>Bullhead rails; BS11 Delivered in standard 18.288 m lengths; Jointed with fishplates; Softwood sleepers; BS95R section, 47 kg/m; for jointed track</t>
        </is>
      </c>
      <c r="F3353" s="5" t="inlineStr">
        <is>
          <t>extra for curved rails to form super elevation; Radius over 600 mm</t>
        </is>
      </c>
      <c r="G3353" s="6" t="inlineStr">
        <is>
          <t>%</t>
        </is>
      </c>
      <c r="H3353" s="7" t="n"/>
      <c r="I3353" s="8" t="n">
        <v>1.28</v>
      </c>
      <c r="J3353" s="8" t="n">
        <v>13.16</v>
      </c>
      <c r="K3353" s="8" t="n">
        <v>14.43</v>
      </c>
      <c r="L3353" s="8" t="n">
        <v>0</v>
      </c>
      <c r="M3353" s="9">
        <f>ROUND(SUM(I3353:L3353),2)</f>
        <v/>
      </c>
      <c r="N3353" s="10">
        <f>ROUND(I3353*'Irish Basis'!$C$6*'Irish Basis'!$C$5,2)</f>
        <v/>
      </c>
      <c r="O3353" s="10">
        <f>ROUND(J3353*'Irish Basis'!$C$7*'Irish Basis'!$C$5,2)</f>
        <v/>
      </c>
      <c r="P3353" s="10">
        <f>ROUND(K3353*'Irish Basis'!$C$8*'Irish Basis'!$C$5,2)</f>
        <v/>
      </c>
      <c r="Q3353" s="10">
        <f>ROUND(L3353*'Irish Basis'!$C$12*'Irish Basis'!$C$5,2)</f>
        <v/>
      </c>
      <c r="R3353" s="11">
        <f>ROUND(SUM(N3353:Q3353),2)</f>
        <v/>
      </c>
      <c r="S3353" s="5" t="inlineStr">
        <is>
          <t>Apportioned (sub-heading)</t>
        </is>
      </c>
      <c r="T3353" s="16" t="inlineStr">
        <is>
          <t>Medium</t>
        </is>
      </c>
      <c r="U3353" s="8" t="n">
        <v>28.87</v>
      </c>
      <c r="V3353" s="13">
        <f>IF(U3353="","",ROUND(M3353-U3353,2))</f>
        <v/>
      </c>
      <c r="W3353" s="5" t="n"/>
      <c r="X3353" s="5" t="inlineStr">
        <is>
          <t>Split from published rate using median L/P/M shares of 3 comparable build-ups at sub-heading level (4/46/50).</t>
        </is>
      </c>
    </row>
    <row r="3354" ht="13" customHeight="1">
      <c r="A3354" s="4" t="n">
        <v>5108</v>
      </c>
      <c r="B3354" s="5" t="inlineStr">
        <is>
          <t>IMG_0134</t>
        </is>
      </c>
      <c r="C3354" s="5" t="inlineStr">
        <is>
          <t>CLASS S: RAIL TRACK</t>
        </is>
      </c>
      <c r="D3354" s="5" t="inlineStr">
        <is>
          <t>07 TRACK (SUPPLY &amp; INSTALLATION)</t>
        </is>
      </c>
      <c r="E3354" s="5" t="inlineStr">
        <is>
          <t>Bullhead rails; BS11 Delivered in standard 18.288 m lengths; Jointed with fishplates; Concrete sleepers; BS95R section, 47 kg/m; for jointed track</t>
        </is>
      </c>
      <c r="F3354" s="5" t="inlineStr">
        <is>
          <t>plain track</t>
        </is>
      </c>
      <c r="G3354" s="6" t="inlineStr">
        <is>
          <t>m</t>
        </is>
      </c>
      <c r="H3354" s="7" t="n">
        <v>0.2</v>
      </c>
      <c r="I3354" s="8" t="n">
        <v>40.55</v>
      </c>
      <c r="J3354" s="8" t="n">
        <v>522.66</v>
      </c>
      <c r="K3354" s="8" t="n">
        <v>644.29</v>
      </c>
      <c r="L3354" s="8" t="n">
        <v>0</v>
      </c>
      <c r="M3354" s="9">
        <f>ROUND(SUM(I3354:L3354),2)</f>
        <v/>
      </c>
      <c r="N3354" s="10">
        <f>ROUND(I3354*'Irish Basis'!$C$6*'Irish Basis'!$C$5,2)</f>
        <v/>
      </c>
      <c r="O3354" s="10">
        <f>ROUND(J3354*'Irish Basis'!$C$7*'Irish Basis'!$C$5,2)</f>
        <v/>
      </c>
      <c r="P3354" s="10">
        <f>ROUND(K3354*'Irish Basis'!$C$8*'Irish Basis'!$C$5,2)</f>
        <v/>
      </c>
      <c r="Q3354" s="10">
        <f>ROUND(L3354*'Irish Basis'!$C$12*'Irish Basis'!$C$5,2)</f>
        <v/>
      </c>
      <c r="R3354" s="11">
        <f>ROUND(SUM(N3354:Q3354),2)</f>
        <v/>
      </c>
      <c r="S3354" s="5" t="inlineStr">
        <is>
          <t>Stated build-up</t>
        </is>
      </c>
      <c r="T3354" s="12" t="inlineStr">
        <is>
          <t>High</t>
        </is>
      </c>
      <c r="U3354" s="8" t="n">
        <v>1207.51</v>
      </c>
      <c r="V3354" s="13">
        <f>IF(U3354="","",ROUND(M3354-U3354,2))</f>
        <v/>
      </c>
      <c r="W3354" s="5" t="n"/>
      <c r="X3354" s="5" t="inlineStr">
        <is>
          <t>Labour + plant + material as published; reconciles to the published rate.</t>
        </is>
      </c>
    </row>
    <row r="3355" ht="13" customHeight="1">
      <c r="A3355" s="4" t="n">
        <v>5109</v>
      </c>
      <c r="B3355" s="5" t="inlineStr">
        <is>
          <t>IMG_0134</t>
        </is>
      </c>
      <c r="C3355" s="5" t="inlineStr">
        <is>
          <t>CLASS S: RAIL TRACK</t>
        </is>
      </c>
      <c r="D3355" s="5" t="inlineStr">
        <is>
          <t>07 TRACK (SUPPLY &amp; INSTALLATION)</t>
        </is>
      </c>
      <c r="E3355" s="5" t="inlineStr">
        <is>
          <t>Bullhead rails; BS11 Delivered in standard 18.288 m lengths; Jointed with fishplates; Concrete sleepers; BS95R section, 47 kg/m; for jointed track</t>
        </is>
      </c>
      <c r="F3355" s="5" t="inlineStr">
        <is>
          <t>form curve in plain track, radius ne 300 m</t>
        </is>
      </c>
      <c r="G3355" s="6" t="inlineStr">
        <is>
          <t>m</t>
        </is>
      </c>
      <c r="H3355" s="7" t="n">
        <v>0.25</v>
      </c>
      <c r="I3355" s="8" t="n">
        <v>50.69</v>
      </c>
      <c r="J3355" s="8" t="n">
        <v>522.66</v>
      </c>
      <c r="K3355" s="8" t="n">
        <v>644.29</v>
      </c>
      <c r="L3355" s="8" t="n">
        <v>0</v>
      </c>
      <c r="M3355" s="9">
        <f>ROUND(SUM(I3355:L3355),2)</f>
        <v/>
      </c>
      <c r="N3355" s="10">
        <f>ROUND(I3355*'Irish Basis'!$C$6*'Irish Basis'!$C$5,2)</f>
        <v/>
      </c>
      <c r="O3355" s="10">
        <f>ROUND(J3355*'Irish Basis'!$C$7*'Irish Basis'!$C$5,2)</f>
        <v/>
      </c>
      <c r="P3355" s="10">
        <f>ROUND(K3355*'Irish Basis'!$C$8*'Irish Basis'!$C$5,2)</f>
        <v/>
      </c>
      <c r="Q3355" s="10">
        <f>ROUND(L3355*'Irish Basis'!$C$12*'Irish Basis'!$C$5,2)</f>
        <v/>
      </c>
      <c r="R3355" s="11">
        <f>ROUND(SUM(N3355:Q3355),2)</f>
        <v/>
      </c>
      <c r="S3355" s="5" t="inlineStr">
        <is>
          <t>Stated build-up</t>
        </is>
      </c>
      <c r="T3355" s="12" t="inlineStr">
        <is>
          <t>High</t>
        </is>
      </c>
      <c r="U3355" s="8" t="n">
        <v>1217.65</v>
      </c>
      <c r="V3355" s="13">
        <f>IF(U3355="","",ROUND(M3355-U3355,2))</f>
        <v/>
      </c>
      <c r="W3355" s="5" t="n"/>
      <c r="X3355" s="5" t="inlineStr">
        <is>
          <t>Labour + plant + material as published; reconciles to the published rate.</t>
        </is>
      </c>
    </row>
    <row r="3356" ht="13" customHeight="1">
      <c r="A3356" s="4" t="n">
        <v>5110</v>
      </c>
      <c r="B3356" s="5" t="inlineStr">
        <is>
          <t>IMG_0134</t>
        </is>
      </c>
      <c r="C3356" s="5" t="inlineStr">
        <is>
          <t>CLASS S: RAIL TRACK</t>
        </is>
      </c>
      <c r="D3356" s="5" t="inlineStr">
        <is>
          <t>07 TRACK (SUPPLY &amp; INSTALLATION)</t>
        </is>
      </c>
      <c r="E3356" s="5" t="inlineStr">
        <is>
          <t>Bullhead rails; BS11 Delivered in standard 18.288 m lengths; Jointed with fishplates; Concrete sleepers; BS95R section, 47 kg/m; for jointed track</t>
        </is>
      </c>
      <c r="F3356" s="5" t="inlineStr">
        <is>
          <t>form curve in plain track, radius over 300 m</t>
        </is>
      </c>
      <c r="G3356" s="6" t="inlineStr">
        <is>
          <t>m</t>
        </is>
      </c>
      <c r="H3356" s="7" t="n">
        <v>0.28</v>
      </c>
      <c r="I3356" s="8" t="n">
        <v>55.76</v>
      </c>
      <c r="J3356" s="8" t="n">
        <v>522.66</v>
      </c>
      <c r="K3356" s="8" t="n">
        <v>644.29</v>
      </c>
      <c r="L3356" s="8" t="n">
        <v>0</v>
      </c>
      <c r="M3356" s="9">
        <f>ROUND(SUM(I3356:L3356),2)</f>
        <v/>
      </c>
      <c r="N3356" s="10">
        <f>ROUND(I3356*'Irish Basis'!$C$6*'Irish Basis'!$C$5,2)</f>
        <v/>
      </c>
      <c r="O3356" s="10">
        <f>ROUND(J3356*'Irish Basis'!$C$7*'Irish Basis'!$C$5,2)</f>
        <v/>
      </c>
      <c r="P3356" s="10">
        <f>ROUND(K3356*'Irish Basis'!$C$8*'Irish Basis'!$C$5,2)</f>
        <v/>
      </c>
      <c r="Q3356" s="10">
        <f>ROUND(L3356*'Irish Basis'!$C$12*'Irish Basis'!$C$5,2)</f>
        <v/>
      </c>
      <c r="R3356" s="11">
        <f>ROUND(SUM(N3356:Q3356),2)</f>
        <v/>
      </c>
      <c r="S3356" s="5" t="inlineStr">
        <is>
          <t>Stated build-up</t>
        </is>
      </c>
      <c r="T3356" s="12" t="inlineStr">
        <is>
          <t>High</t>
        </is>
      </c>
      <c r="U3356" s="8" t="n">
        <v>1222.72</v>
      </c>
      <c r="V3356" s="13">
        <f>IF(U3356="","",ROUND(M3356-U3356,2))</f>
        <v/>
      </c>
      <c r="W3356" s="5" t="n"/>
      <c r="X3356" s="5" t="inlineStr">
        <is>
          <t>Labour + plant + material as published; reconciles to the published rate.</t>
        </is>
      </c>
    </row>
    <row r="3357" ht="13" customHeight="1">
      <c r="A3357" s="4" t="n">
        <v>5112</v>
      </c>
      <c r="B3357" s="5" t="inlineStr">
        <is>
          <t>IMG_0135</t>
        </is>
      </c>
      <c r="C3357" s="5" t="inlineStr">
        <is>
          <t>CLASS S: RAIL TRACK</t>
        </is>
      </c>
      <c r="D3357" s="5" t="inlineStr">
        <is>
          <t>07 TRACK (SUPPLY &amp; INSTALLATION)</t>
        </is>
      </c>
      <c r="E3357" s="5" t="inlineStr">
        <is>
          <t>Bullhead rails; jointed with fishplates; Concrete sleepers; BS95R 47 kg/m (continued)</t>
        </is>
      </c>
      <c r="F3357" s="5" t="inlineStr">
        <is>
          <t>extra for curved rails to form super elevation; Radius over 600 mm</t>
        </is>
      </c>
      <c r="G3357" s="6" t="inlineStr">
        <is>
          <t>%</t>
        </is>
      </c>
      <c r="H3357" s="7" t="n"/>
      <c r="I3357" s="8" t="n">
        <v>1.27</v>
      </c>
      <c r="J3357" s="8" t="n">
        <v>12.13</v>
      </c>
      <c r="K3357" s="8" t="n">
        <v>15.46</v>
      </c>
      <c r="L3357" s="8" t="n">
        <v>0</v>
      </c>
      <c r="M3357" s="9">
        <f>ROUND(SUM(I3357:L3357),2)</f>
        <v/>
      </c>
      <c r="N3357" s="10">
        <f>ROUND(I3357*'Irish Basis'!$C$6*'Irish Basis'!$C$5,2)</f>
        <v/>
      </c>
      <c r="O3357" s="10">
        <f>ROUND(J3357*'Irish Basis'!$C$7*'Irish Basis'!$C$5,2)</f>
        <v/>
      </c>
      <c r="P3357" s="10">
        <f>ROUND(K3357*'Irish Basis'!$C$8*'Irish Basis'!$C$5,2)</f>
        <v/>
      </c>
      <c r="Q3357" s="10">
        <f>ROUND(L3357*'Irish Basis'!$C$12*'Irish Basis'!$C$5,2)</f>
        <v/>
      </c>
      <c r="R3357" s="11">
        <f>ROUND(SUM(N3357:Q3357),2)</f>
        <v/>
      </c>
      <c r="S3357" s="5" t="inlineStr">
        <is>
          <t>Apportioned (section)</t>
        </is>
      </c>
      <c r="T3357" s="16" t="inlineStr">
        <is>
          <t>Medium</t>
        </is>
      </c>
      <c r="U3357" s="8" t="n">
        <v>28.87</v>
      </c>
      <c r="V3357" s="13">
        <f>IF(U3357="","",ROUND(M3357-U3357,2))</f>
        <v/>
      </c>
      <c r="W3357" s="5" t="n"/>
      <c r="X3357" s="5" t="inlineStr">
        <is>
          <t>Split from published rate using median L/P/M shares of 58 comparable build-ups at section level (4/42/54).</t>
        </is>
      </c>
    </row>
    <row r="3358" ht="13" customHeight="1">
      <c r="A3358" s="4" t="n">
        <v>5114</v>
      </c>
      <c r="B3358" s="5" t="inlineStr">
        <is>
          <t>IMG_0135</t>
        </is>
      </c>
      <c r="C3358" s="5" t="inlineStr">
        <is>
          <t>CLASS S: RAIL TRACK</t>
        </is>
      </c>
      <c r="D3358" s="5" t="inlineStr">
        <is>
          <t>07 TRACK (SUPPLY &amp; INSTALLATION)</t>
        </is>
      </c>
      <c r="E3358" s="5" t="inlineStr">
        <is>
          <t>Bullhead rails; BS11 Delivered in standard 18.288 m lengths; Welded joints; Softwood sleepers; BS95R section, 47 kg/m; for jointed track</t>
        </is>
      </c>
      <c r="F3358" s="5" t="inlineStr">
        <is>
          <t>plain track</t>
        </is>
      </c>
      <c r="G3358" s="6" t="inlineStr">
        <is>
          <t>m</t>
        </is>
      </c>
      <c r="H3358" s="7" t="n">
        <v>0.2</v>
      </c>
      <c r="I3358" s="8" t="n">
        <v>40.55</v>
      </c>
      <c r="J3358" s="8" t="n">
        <v>522.66</v>
      </c>
      <c r="K3358" s="8" t="n">
        <v>556.47</v>
      </c>
      <c r="L3358" s="8" t="n">
        <v>0</v>
      </c>
      <c r="M3358" s="9">
        <f>ROUND(SUM(I3358:L3358),2)</f>
        <v/>
      </c>
      <c r="N3358" s="10">
        <f>ROUND(I3358*'Irish Basis'!$C$6*'Irish Basis'!$C$5,2)</f>
        <v/>
      </c>
      <c r="O3358" s="10">
        <f>ROUND(J3358*'Irish Basis'!$C$7*'Irish Basis'!$C$5,2)</f>
        <v/>
      </c>
      <c r="P3358" s="10">
        <f>ROUND(K3358*'Irish Basis'!$C$8*'Irish Basis'!$C$5,2)</f>
        <v/>
      </c>
      <c r="Q3358" s="10">
        <f>ROUND(L3358*'Irish Basis'!$C$12*'Irish Basis'!$C$5,2)</f>
        <v/>
      </c>
      <c r="R3358" s="11">
        <f>ROUND(SUM(N3358:Q3358),2)</f>
        <v/>
      </c>
      <c r="S3358" s="5" t="inlineStr">
        <is>
          <t>Stated build-up</t>
        </is>
      </c>
      <c r="T3358" s="12" t="inlineStr">
        <is>
          <t>High</t>
        </is>
      </c>
      <c r="U3358" s="8" t="n">
        <v>1119.69</v>
      </c>
      <c r="V3358" s="13">
        <f>IF(U3358="","",ROUND(M3358-U3358,2))</f>
        <v/>
      </c>
      <c r="W3358" s="5" t="n"/>
      <c r="X3358" s="5" t="inlineStr">
        <is>
          <t>Labour + plant + material as published; reconciles to the published rate.</t>
        </is>
      </c>
    </row>
    <row r="3359" ht="13" customHeight="1">
      <c r="A3359" s="4" t="n">
        <v>5115</v>
      </c>
      <c r="B3359" s="5" t="inlineStr">
        <is>
          <t>IMG_0135</t>
        </is>
      </c>
      <c r="C3359" s="5" t="inlineStr">
        <is>
          <t>CLASS S: RAIL TRACK</t>
        </is>
      </c>
      <c r="D3359" s="5" t="inlineStr">
        <is>
          <t>07 TRACK (SUPPLY &amp; INSTALLATION)</t>
        </is>
      </c>
      <c r="E3359" s="5" t="inlineStr">
        <is>
          <t>Bullhead rails; BS11 Delivered in standard 18.288 m lengths; Welded joints; Softwood sleepers; BS95R section, 47 kg/m; for jointed track</t>
        </is>
      </c>
      <c r="F3359" s="5" t="inlineStr">
        <is>
          <t>form curve in plain track, radius ne 300 m</t>
        </is>
      </c>
      <c r="G3359" s="6" t="inlineStr">
        <is>
          <t>m</t>
        </is>
      </c>
      <c r="H3359" s="7" t="n">
        <v>0.2</v>
      </c>
      <c r="I3359" s="8" t="n">
        <v>40.55</v>
      </c>
      <c r="J3359" s="8" t="n">
        <v>522.66</v>
      </c>
      <c r="K3359" s="8" t="n">
        <v>556.47</v>
      </c>
      <c r="L3359" s="8" t="n">
        <v>0</v>
      </c>
      <c r="M3359" s="9">
        <f>ROUND(SUM(I3359:L3359),2)</f>
        <v/>
      </c>
      <c r="N3359" s="10">
        <f>ROUND(I3359*'Irish Basis'!$C$6*'Irish Basis'!$C$5,2)</f>
        <v/>
      </c>
      <c r="O3359" s="10">
        <f>ROUND(J3359*'Irish Basis'!$C$7*'Irish Basis'!$C$5,2)</f>
        <v/>
      </c>
      <c r="P3359" s="10">
        <f>ROUND(K3359*'Irish Basis'!$C$8*'Irish Basis'!$C$5,2)</f>
        <v/>
      </c>
      <c r="Q3359" s="10">
        <f>ROUND(L3359*'Irish Basis'!$C$12*'Irish Basis'!$C$5,2)</f>
        <v/>
      </c>
      <c r="R3359" s="11">
        <f>ROUND(SUM(N3359:Q3359),2)</f>
        <v/>
      </c>
      <c r="S3359" s="5" t="inlineStr">
        <is>
          <t>Stated build-up</t>
        </is>
      </c>
      <c r="T3359" s="12" t="inlineStr">
        <is>
          <t>High</t>
        </is>
      </c>
      <c r="U3359" s="8" t="n">
        <v>1119.69</v>
      </c>
      <c r="V3359" s="13">
        <f>IF(U3359="","",ROUND(M3359-U3359,2))</f>
        <v/>
      </c>
      <c r="W3359" s="5" t="n"/>
      <c r="X3359" s="5" t="inlineStr">
        <is>
          <t>Labour + plant + material as published; reconciles to the published rate.</t>
        </is>
      </c>
    </row>
    <row r="3360" ht="13" customHeight="1">
      <c r="A3360" s="4" t="n">
        <v>5116</v>
      </c>
      <c r="B3360" s="5" t="inlineStr">
        <is>
          <t>IMG_0135</t>
        </is>
      </c>
      <c r="C3360" s="5" t="inlineStr">
        <is>
          <t>CLASS S: RAIL TRACK</t>
        </is>
      </c>
      <c r="D3360" s="5" t="inlineStr">
        <is>
          <t>07 TRACK (SUPPLY &amp; INSTALLATION)</t>
        </is>
      </c>
      <c r="E3360" s="5" t="inlineStr">
        <is>
          <t>Bullhead rails; BS11 Delivered in standard 18.288 m lengths; Welded joints; Softwood sleepers; BS95R section, 47 kg/m; for jointed track</t>
        </is>
      </c>
      <c r="F3360" s="5" t="inlineStr">
        <is>
          <t>form curve in plain track, radius over 300 m</t>
        </is>
      </c>
      <c r="G3360" s="6" t="inlineStr">
        <is>
          <t>m</t>
        </is>
      </c>
      <c r="H3360" s="7" t="n">
        <v>0.2</v>
      </c>
      <c r="I3360" s="8" t="n">
        <v>40.55</v>
      </c>
      <c r="J3360" s="8" t="n">
        <v>522.66</v>
      </c>
      <c r="K3360" s="8" t="n">
        <v>556.47</v>
      </c>
      <c r="L3360" s="8" t="n">
        <v>0</v>
      </c>
      <c r="M3360" s="9">
        <f>ROUND(SUM(I3360:L3360),2)</f>
        <v/>
      </c>
      <c r="N3360" s="10">
        <f>ROUND(I3360*'Irish Basis'!$C$6*'Irish Basis'!$C$5,2)</f>
        <v/>
      </c>
      <c r="O3360" s="10">
        <f>ROUND(J3360*'Irish Basis'!$C$7*'Irish Basis'!$C$5,2)</f>
        <v/>
      </c>
      <c r="P3360" s="10">
        <f>ROUND(K3360*'Irish Basis'!$C$8*'Irish Basis'!$C$5,2)</f>
        <v/>
      </c>
      <c r="Q3360" s="10">
        <f>ROUND(L3360*'Irish Basis'!$C$12*'Irish Basis'!$C$5,2)</f>
        <v/>
      </c>
      <c r="R3360" s="11">
        <f>ROUND(SUM(N3360:Q3360),2)</f>
        <v/>
      </c>
      <c r="S3360" s="5" t="inlineStr">
        <is>
          <t>Stated build-up</t>
        </is>
      </c>
      <c r="T3360" s="12" t="inlineStr">
        <is>
          <t>High</t>
        </is>
      </c>
      <c r="U3360" s="8" t="n">
        <v>1119.69</v>
      </c>
      <c r="V3360" s="13">
        <f>IF(U3360="","",ROUND(M3360-U3360,2))</f>
        <v/>
      </c>
      <c r="W3360" s="5" t="n"/>
      <c r="X3360" s="5" t="inlineStr">
        <is>
          <t>Labour + plant + material as published; reconciles to the published rate.</t>
        </is>
      </c>
    </row>
    <row r="3361" ht="13" customHeight="1">
      <c r="A3361" s="4" t="n">
        <v>5117</v>
      </c>
      <c r="B3361" s="5" t="inlineStr">
        <is>
          <t>IMG_0135</t>
        </is>
      </c>
      <c r="C3361" s="5" t="inlineStr">
        <is>
          <t>CLASS S: RAIL TRACK</t>
        </is>
      </c>
      <c r="D3361" s="5" t="inlineStr">
        <is>
          <t>07 TRACK (SUPPLY &amp; INSTALLATION)</t>
        </is>
      </c>
      <c r="E3361" s="5" t="inlineStr">
        <is>
          <t>Bullhead rails; BS11 Delivered in standard 18.288 m lengths; Welded joints; Softwood sleepers; BS95R section, 47 kg/m; for jointed track</t>
        </is>
      </c>
      <c r="F3361" s="5" t="inlineStr">
        <is>
          <t>extra for curved rails to form super elevation; Radius over 600 mm</t>
        </is>
      </c>
      <c r="G3361" s="6" t="inlineStr">
        <is>
          <t>%</t>
        </is>
      </c>
      <c r="H3361" s="7" t="n"/>
      <c r="I3361" s="8" t="n">
        <v>1.05</v>
      </c>
      <c r="J3361" s="8" t="n">
        <v>13.48</v>
      </c>
      <c r="K3361" s="8" t="n">
        <v>14.35</v>
      </c>
      <c r="L3361" s="8" t="n">
        <v>0</v>
      </c>
      <c r="M3361" s="9">
        <f>ROUND(SUM(I3361:L3361),2)</f>
        <v/>
      </c>
      <c r="N3361" s="10">
        <f>ROUND(I3361*'Irish Basis'!$C$6*'Irish Basis'!$C$5,2)</f>
        <v/>
      </c>
      <c r="O3361" s="10">
        <f>ROUND(J3361*'Irish Basis'!$C$7*'Irish Basis'!$C$5,2)</f>
        <v/>
      </c>
      <c r="P3361" s="10">
        <f>ROUND(K3361*'Irish Basis'!$C$8*'Irish Basis'!$C$5,2)</f>
        <v/>
      </c>
      <c r="Q3361" s="10">
        <f>ROUND(L3361*'Irish Basis'!$C$12*'Irish Basis'!$C$5,2)</f>
        <v/>
      </c>
      <c r="R3361" s="11">
        <f>ROUND(SUM(N3361:Q3361),2)</f>
        <v/>
      </c>
      <c r="S3361" s="5" t="inlineStr">
        <is>
          <t>Apportioned (sub-heading)</t>
        </is>
      </c>
      <c r="T3361" s="16" t="inlineStr">
        <is>
          <t>Medium</t>
        </is>
      </c>
      <c r="U3361" s="8" t="n">
        <v>28.87</v>
      </c>
      <c r="V3361" s="13">
        <f>IF(U3361="","",ROUND(M3361-U3361,2))</f>
        <v/>
      </c>
      <c r="W3361" s="5" t="n"/>
      <c r="X3361" s="5" t="inlineStr">
        <is>
          <t>Split from published rate using median L/P/M shares of 3 comparable build-ups at sub-heading level (4/47/50).</t>
        </is>
      </c>
    </row>
    <row r="3362" ht="13" customHeight="1">
      <c r="A3362" s="4" t="n">
        <v>5119</v>
      </c>
      <c r="B3362" s="5" t="inlineStr">
        <is>
          <t>IMG_0135</t>
        </is>
      </c>
      <c r="C3362" s="5" t="inlineStr">
        <is>
          <t>CLASS S: RAIL TRACK</t>
        </is>
      </c>
      <c r="D3362" s="5" t="inlineStr">
        <is>
          <t>07 TRACK (SUPPLY &amp; INSTALLATION)</t>
        </is>
      </c>
      <c r="E3362" s="5" t="inlineStr">
        <is>
          <t>Bullhead rails; BS11 Delivered in standard 18.288 m lengths; Welded joints; Concrete sleepers; BS95R section, 47 kg/m; for jointed track</t>
        </is>
      </c>
      <c r="F3362" s="5" t="inlineStr">
        <is>
          <t>plain track</t>
        </is>
      </c>
      <c r="G3362" s="6" t="inlineStr">
        <is>
          <t>m</t>
        </is>
      </c>
      <c r="H3362" s="7" t="n">
        <v>0.26</v>
      </c>
      <c r="I3362" s="8" t="n">
        <v>53.33</v>
      </c>
      <c r="J3362" s="8" t="n">
        <v>522.66</v>
      </c>
      <c r="K3362" s="8" t="n">
        <v>627.77</v>
      </c>
      <c r="L3362" s="8" t="n">
        <v>0</v>
      </c>
      <c r="M3362" s="9">
        <f>ROUND(SUM(I3362:L3362),2)</f>
        <v/>
      </c>
      <c r="N3362" s="10">
        <f>ROUND(I3362*'Irish Basis'!$C$6*'Irish Basis'!$C$5,2)</f>
        <v/>
      </c>
      <c r="O3362" s="10">
        <f>ROUND(J3362*'Irish Basis'!$C$7*'Irish Basis'!$C$5,2)</f>
        <v/>
      </c>
      <c r="P3362" s="10">
        <f>ROUND(K3362*'Irish Basis'!$C$8*'Irish Basis'!$C$5,2)</f>
        <v/>
      </c>
      <c r="Q3362" s="10">
        <f>ROUND(L3362*'Irish Basis'!$C$12*'Irish Basis'!$C$5,2)</f>
        <v/>
      </c>
      <c r="R3362" s="11">
        <f>ROUND(SUM(N3362:Q3362),2)</f>
        <v/>
      </c>
      <c r="S3362" s="5" t="inlineStr">
        <is>
          <t>Stated build-up</t>
        </is>
      </c>
      <c r="T3362" s="12" t="inlineStr">
        <is>
          <t>High</t>
        </is>
      </c>
      <c r="U3362" s="8" t="n">
        <v>1203.77</v>
      </c>
      <c r="V3362" s="13">
        <f>IF(U3362="","",ROUND(M3362-U3362,2))</f>
        <v/>
      </c>
      <c r="W3362" s="5" t="n"/>
      <c r="X3362" s="5" t="inlineStr">
        <is>
          <t>Labour + plant + material as published; reconciles to the published rate.</t>
        </is>
      </c>
    </row>
    <row r="3363" ht="13" customHeight="1">
      <c r="A3363" s="4" t="n">
        <v>5120</v>
      </c>
      <c r="B3363" s="5" t="inlineStr">
        <is>
          <t>IMG_0135</t>
        </is>
      </c>
      <c r="C3363" s="5" t="inlineStr">
        <is>
          <t>CLASS S: RAIL TRACK</t>
        </is>
      </c>
      <c r="D3363" s="5" t="inlineStr">
        <is>
          <t>07 TRACK (SUPPLY &amp; INSTALLATION)</t>
        </is>
      </c>
      <c r="E3363" s="5" t="inlineStr">
        <is>
          <t>Bullhead rails; BS11 Delivered in standard 18.288 m lengths; Welded joints; Concrete sleepers; BS95R section, 47 kg/m; for jointed track</t>
        </is>
      </c>
      <c r="F3363" s="5" t="inlineStr">
        <is>
          <t>form curve in plain track, radius ne 300 m</t>
        </is>
      </c>
      <c r="G3363" s="6" t="inlineStr">
        <is>
          <t>m</t>
        </is>
      </c>
      <c r="H3363" s="7" t="n">
        <v>0.28</v>
      </c>
      <c r="I3363" s="8" t="n">
        <v>55.76</v>
      </c>
      <c r="J3363" s="8" t="n">
        <v>522.66</v>
      </c>
      <c r="K3363" s="8" t="n">
        <v>627.77</v>
      </c>
      <c r="L3363" s="8" t="n">
        <v>0</v>
      </c>
      <c r="M3363" s="9">
        <f>ROUND(SUM(I3363:L3363),2)</f>
        <v/>
      </c>
      <c r="N3363" s="10">
        <f>ROUND(I3363*'Irish Basis'!$C$6*'Irish Basis'!$C$5,2)</f>
        <v/>
      </c>
      <c r="O3363" s="10">
        <f>ROUND(J3363*'Irish Basis'!$C$7*'Irish Basis'!$C$5,2)</f>
        <v/>
      </c>
      <c r="P3363" s="10">
        <f>ROUND(K3363*'Irish Basis'!$C$8*'Irish Basis'!$C$5,2)</f>
        <v/>
      </c>
      <c r="Q3363" s="10">
        <f>ROUND(L3363*'Irish Basis'!$C$12*'Irish Basis'!$C$5,2)</f>
        <v/>
      </c>
      <c r="R3363" s="11">
        <f>ROUND(SUM(N3363:Q3363),2)</f>
        <v/>
      </c>
      <c r="S3363" s="5" t="inlineStr">
        <is>
          <t>Stated build-up</t>
        </is>
      </c>
      <c r="T3363" s="12" t="inlineStr">
        <is>
          <t>High</t>
        </is>
      </c>
      <c r="U3363" s="8" t="n">
        <v>1206.2</v>
      </c>
      <c r="V3363" s="13">
        <f>IF(U3363="","",ROUND(M3363-U3363,2))</f>
        <v/>
      </c>
      <c r="W3363" s="5" t="n"/>
      <c r="X3363" s="5" t="inlineStr">
        <is>
          <t>Labour + plant + material as published; reconciles to the published rate.</t>
        </is>
      </c>
    </row>
    <row r="3364" ht="13" customHeight="1">
      <c r="A3364" s="4" t="n">
        <v>5121</v>
      </c>
      <c r="B3364" s="5" t="inlineStr">
        <is>
          <t>IMG_0135</t>
        </is>
      </c>
      <c r="C3364" s="5" t="inlineStr">
        <is>
          <t>CLASS S: RAIL TRACK</t>
        </is>
      </c>
      <c r="D3364" s="5" t="inlineStr">
        <is>
          <t>07 TRACK (SUPPLY &amp; INSTALLATION)</t>
        </is>
      </c>
      <c r="E3364" s="5" t="inlineStr">
        <is>
          <t>Bullhead rails; BS11 Delivered in standard 18.288 m lengths; Welded joints; Concrete sleepers; BS95R section, 47 kg/m; for jointed track</t>
        </is>
      </c>
      <c r="F3364" s="5" t="inlineStr">
        <is>
          <t>form curve in plain track, radius over 300 m</t>
        </is>
      </c>
      <c r="G3364" s="6" t="inlineStr">
        <is>
          <t>m</t>
        </is>
      </c>
      <c r="H3364" s="7" t="n">
        <v>0.3</v>
      </c>
      <c r="I3364" s="8" t="n">
        <v>60.83</v>
      </c>
      <c r="J3364" s="8" t="n">
        <v>522.66</v>
      </c>
      <c r="K3364" s="8" t="n">
        <v>627.91</v>
      </c>
      <c r="L3364" s="8" t="n">
        <v>0</v>
      </c>
      <c r="M3364" s="9">
        <f>ROUND(SUM(I3364:L3364),2)</f>
        <v/>
      </c>
      <c r="N3364" s="10">
        <f>ROUND(I3364*'Irish Basis'!$C$6*'Irish Basis'!$C$5,2)</f>
        <v/>
      </c>
      <c r="O3364" s="10">
        <f>ROUND(J3364*'Irish Basis'!$C$7*'Irish Basis'!$C$5,2)</f>
        <v/>
      </c>
      <c r="P3364" s="10">
        <f>ROUND(K3364*'Irish Basis'!$C$8*'Irish Basis'!$C$5,2)</f>
        <v/>
      </c>
      <c r="Q3364" s="10">
        <f>ROUND(L3364*'Irish Basis'!$C$12*'Irish Basis'!$C$5,2)</f>
        <v/>
      </c>
      <c r="R3364" s="11">
        <f>ROUND(SUM(N3364:Q3364),2)</f>
        <v/>
      </c>
      <c r="S3364" s="5" t="inlineStr">
        <is>
          <t>Stated build-up</t>
        </is>
      </c>
      <c r="T3364" s="12" t="inlineStr">
        <is>
          <t>High</t>
        </is>
      </c>
      <c r="U3364" s="8" t="n">
        <v>1211.4</v>
      </c>
      <c r="V3364" s="13">
        <f>IF(U3364="","",ROUND(M3364-U3364,2))</f>
        <v/>
      </c>
      <c r="W3364" s="5" t="n"/>
      <c r="X3364" s="5" t="inlineStr">
        <is>
          <t>Labour + plant + material as published; reconciles to the published rate.</t>
        </is>
      </c>
    </row>
    <row r="3365" ht="13" customHeight="1">
      <c r="A3365" s="4" t="n">
        <v>5122</v>
      </c>
      <c r="B3365" s="5" t="inlineStr">
        <is>
          <t>IMG_0135</t>
        </is>
      </c>
      <c r="C3365" s="5" t="inlineStr">
        <is>
          <t>CLASS S: RAIL TRACK</t>
        </is>
      </c>
      <c r="D3365" s="5" t="inlineStr">
        <is>
          <t>07 TRACK (SUPPLY &amp; INSTALLATION)</t>
        </is>
      </c>
      <c r="E3365" s="5" t="inlineStr">
        <is>
          <t>Bullhead rails; BS11 Delivered in standard 18.288 m lengths; Welded joints; Concrete sleepers; BS95R section, 47 kg/m; for jointed track</t>
        </is>
      </c>
      <c r="F3365" s="5" t="inlineStr">
        <is>
          <t>extra for curved rails to form super elevation; Radius over 600 mm</t>
        </is>
      </c>
      <c r="G3365" s="6" t="inlineStr">
        <is>
          <t>%</t>
        </is>
      </c>
      <c r="H3365" s="7" t="n"/>
      <c r="I3365" s="8" t="n">
        <v>1.33</v>
      </c>
      <c r="J3365" s="8" t="n">
        <v>12.51</v>
      </c>
      <c r="K3365" s="8" t="n">
        <v>15.03</v>
      </c>
      <c r="L3365" s="8" t="n">
        <v>0</v>
      </c>
      <c r="M3365" s="9">
        <f>ROUND(SUM(I3365:L3365),2)</f>
        <v/>
      </c>
      <c r="N3365" s="10">
        <f>ROUND(I3365*'Irish Basis'!$C$6*'Irish Basis'!$C$5,2)</f>
        <v/>
      </c>
      <c r="O3365" s="10">
        <f>ROUND(J3365*'Irish Basis'!$C$7*'Irish Basis'!$C$5,2)</f>
        <v/>
      </c>
      <c r="P3365" s="10">
        <f>ROUND(K3365*'Irish Basis'!$C$8*'Irish Basis'!$C$5,2)</f>
        <v/>
      </c>
      <c r="Q3365" s="10">
        <f>ROUND(L3365*'Irish Basis'!$C$12*'Irish Basis'!$C$5,2)</f>
        <v/>
      </c>
      <c r="R3365" s="11">
        <f>ROUND(SUM(N3365:Q3365),2)</f>
        <v/>
      </c>
      <c r="S3365" s="5" t="inlineStr">
        <is>
          <t>Apportioned (sub-heading)</t>
        </is>
      </c>
      <c r="T3365" s="16" t="inlineStr">
        <is>
          <t>Medium</t>
        </is>
      </c>
      <c r="U3365" s="8" t="n">
        <v>28.87</v>
      </c>
      <c r="V3365" s="13">
        <f>IF(U3365="","",ROUND(M3365-U3365,2))</f>
        <v/>
      </c>
      <c r="W3365" s="5" t="n"/>
      <c r="X3365" s="5" t="inlineStr">
        <is>
          <t>Split from published rate using median L/P/M shares of 3 comparable build-ups at sub-heading level (5/43/52).</t>
        </is>
      </c>
    </row>
    <row r="3366" ht="13" customHeight="1">
      <c r="A3366" s="4" t="n">
        <v>5124</v>
      </c>
      <c r="B3366" s="5" t="inlineStr">
        <is>
          <t>IMG_0135</t>
        </is>
      </c>
      <c r="C3366" s="5" t="inlineStr">
        <is>
          <t>CLASS S: RAIL TRACK</t>
        </is>
      </c>
      <c r="D3366" s="5" t="inlineStr">
        <is>
          <t>07 TRACK (SUPPLY &amp; INSTALLATION)</t>
        </is>
      </c>
      <c r="E3366" s="5" t="inlineStr">
        <is>
          <t>Flat bottom rails; BS11 Delivered in standard 18.288 m lengths; Jointed with fishplates; Softwood sleepers; BS 113 'A' section, 56 kg/m; for jointed track</t>
        </is>
      </c>
      <c r="F3366" s="5" t="inlineStr">
        <is>
          <t>plain track</t>
        </is>
      </c>
      <c r="G3366" s="6" t="inlineStr">
        <is>
          <t>m</t>
        </is>
      </c>
      <c r="H3366" s="7" t="n">
        <v>0.2</v>
      </c>
      <c r="I3366" s="8" t="n">
        <v>40.55</v>
      </c>
      <c r="J3366" s="8" t="n">
        <v>522.66</v>
      </c>
      <c r="K3366" s="8" t="n">
        <v>593.47</v>
      </c>
      <c r="L3366" s="8" t="n">
        <v>0</v>
      </c>
      <c r="M3366" s="9">
        <f>ROUND(SUM(I3366:L3366),2)</f>
        <v/>
      </c>
      <c r="N3366" s="10">
        <f>ROUND(I3366*'Irish Basis'!$C$6*'Irish Basis'!$C$5,2)</f>
        <v/>
      </c>
      <c r="O3366" s="10">
        <f>ROUND(J3366*'Irish Basis'!$C$7*'Irish Basis'!$C$5,2)</f>
        <v/>
      </c>
      <c r="P3366" s="10">
        <f>ROUND(K3366*'Irish Basis'!$C$8*'Irish Basis'!$C$5,2)</f>
        <v/>
      </c>
      <c r="Q3366" s="10">
        <f>ROUND(L3366*'Irish Basis'!$C$12*'Irish Basis'!$C$5,2)</f>
        <v/>
      </c>
      <c r="R3366" s="11">
        <f>ROUND(SUM(N3366:Q3366),2)</f>
        <v/>
      </c>
      <c r="S3366" s="5" t="inlineStr">
        <is>
          <t>Stated build-up</t>
        </is>
      </c>
      <c r="T3366" s="12" t="inlineStr">
        <is>
          <t>High</t>
        </is>
      </c>
      <c r="U3366" s="8" t="n">
        <v>1156.68</v>
      </c>
      <c r="V3366" s="13">
        <f>IF(U3366="","",ROUND(M3366-U3366,2))</f>
        <v/>
      </c>
      <c r="W3366" s="5" t="n"/>
      <c r="X3366" s="5" t="inlineStr">
        <is>
          <t>Labour + plant + material as published; reconciles to the published rate.</t>
        </is>
      </c>
    </row>
    <row r="3367" ht="13" customHeight="1">
      <c r="A3367" s="4" t="n">
        <v>5125</v>
      </c>
      <c r="B3367" s="5" t="inlineStr">
        <is>
          <t>IMG_0135</t>
        </is>
      </c>
      <c r="C3367" s="5" t="inlineStr">
        <is>
          <t>CLASS S: RAIL TRACK</t>
        </is>
      </c>
      <c r="D3367" s="5" t="inlineStr">
        <is>
          <t>07 TRACK (SUPPLY &amp; INSTALLATION)</t>
        </is>
      </c>
      <c r="E3367" s="5" t="inlineStr">
        <is>
          <t>Flat bottom rails; BS11 Delivered in standard 18.288 m lengths; Jointed with fishplates; Softwood sleepers; BS 113 'A' section, 56 kg/m; for jointed track</t>
        </is>
      </c>
      <c r="F3367" s="5" t="inlineStr">
        <is>
          <t>form curve in plain track, radius ne 300 m</t>
        </is>
      </c>
      <c r="G3367" s="6" t="inlineStr">
        <is>
          <t>m</t>
        </is>
      </c>
      <c r="H3367" s="7" t="n">
        <v>0.23</v>
      </c>
      <c r="I3367" s="8" t="n">
        <v>45.62</v>
      </c>
      <c r="J3367" s="8" t="n">
        <v>522.66</v>
      </c>
      <c r="K3367" s="8" t="n">
        <v>610.15</v>
      </c>
      <c r="L3367" s="8" t="n">
        <v>0</v>
      </c>
      <c r="M3367" s="9">
        <f>ROUND(SUM(I3367:L3367),2)</f>
        <v/>
      </c>
      <c r="N3367" s="10">
        <f>ROUND(I3367*'Irish Basis'!$C$6*'Irish Basis'!$C$5,2)</f>
        <v/>
      </c>
      <c r="O3367" s="10">
        <f>ROUND(J3367*'Irish Basis'!$C$7*'Irish Basis'!$C$5,2)</f>
        <v/>
      </c>
      <c r="P3367" s="10">
        <f>ROUND(K3367*'Irish Basis'!$C$8*'Irish Basis'!$C$5,2)</f>
        <v/>
      </c>
      <c r="Q3367" s="10">
        <f>ROUND(L3367*'Irish Basis'!$C$12*'Irish Basis'!$C$5,2)</f>
        <v/>
      </c>
      <c r="R3367" s="11">
        <f>ROUND(SUM(N3367:Q3367),2)</f>
        <v/>
      </c>
      <c r="S3367" s="5" t="inlineStr">
        <is>
          <t>Stated build-up</t>
        </is>
      </c>
      <c r="T3367" s="12" t="inlineStr">
        <is>
          <t>High</t>
        </is>
      </c>
      <c r="U3367" s="8" t="n">
        <v>1178.44</v>
      </c>
      <c r="V3367" s="13">
        <f>IF(U3367="","",ROUND(M3367-U3367,2))</f>
        <v/>
      </c>
      <c r="W3367" s="5" t="n"/>
      <c r="X3367" s="5" t="inlineStr">
        <is>
          <t>Labour + plant + material as published; reconciles to the published rate.</t>
        </is>
      </c>
    </row>
    <row r="3368" ht="13" customHeight="1">
      <c r="A3368" s="4" t="n">
        <v>5126</v>
      </c>
      <c r="B3368" s="5" t="inlineStr">
        <is>
          <t>IMG_0135</t>
        </is>
      </c>
      <c r="C3368" s="5" t="inlineStr">
        <is>
          <t>CLASS S: RAIL TRACK</t>
        </is>
      </c>
      <c r="D3368" s="5" t="inlineStr">
        <is>
          <t>07 TRACK (SUPPLY &amp; INSTALLATION)</t>
        </is>
      </c>
      <c r="E3368" s="5" t="inlineStr">
        <is>
          <t>Flat bottom rails; BS11 Delivered in standard 18.288 m lengths; Jointed with fishplates; Softwood sleepers; BS 113 'A' section, 56 kg/m; for jointed track</t>
        </is>
      </c>
      <c r="F3368" s="5" t="inlineStr">
        <is>
          <t>form curve in plain track, radius over 300 m</t>
        </is>
      </c>
      <c r="G3368" s="6" t="inlineStr">
        <is>
          <t>m</t>
        </is>
      </c>
      <c r="H3368" s="7" t="n">
        <v>0.23</v>
      </c>
      <c r="I3368" s="8" t="n">
        <v>45.62</v>
      </c>
      <c r="J3368" s="8" t="n">
        <v>522.66</v>
      </c>
      <c r="K3368" s="8" t="n">
        <v>620.36</v>
      </c>
      <c r="L3368" s="8" t="n">
        <v>0</v>
      </c>
      <c r="M3368" s="9">
        <f>ROUND(SUM(I3368:L3368),2)</f>
        <v/>
      </c>
      <c r="N3368" s="10">
        <f>ROUND(I3368*'Irish Basis'!$C$6*'Irish Basis'!$C$5,2)</f>
        <v/>
      </c>
      <c r="O3368" s="10">
        <f>ROUND(J3368*'Irish Basis'!$C$7*'Irish Basis'!$C$5,2)</f>
        <v/>
      </c>
      <c r="P3368" s="10">
        <f>ROUND(K3368*'Irish Basis'!$C$8*'Irish Basis'!$C$5,2)</f>
        <v/>
      </c>
      <c r="Q3368" s="10">
        <f>ROUND(L3368*'Irish Basis'!$C$12*'Irish Basis'!$C$5,2)</f>
        <v/>
      </c>
      <c r="R3368" s="11">
        <f>ROUND(SUM(N3368:Q3368),2)</f>
        <v/>
      </c>
      <c r="S3368" s="5" t="inlineStr">
        <is>
          <t>Stated build-up</t>
        </is>
      </c>
      <c r="T3368" s="12" t="inlineStr">
        <is>
          <t>High</t>
        </is>
      </c>
      <c r="U3368" s="8" t="n">
        <v>1188.65</v>
      </c>
      <c r="V3368" s="13">
        <f>IF(U3368="","",ROUND(M3368-U3368,2))</f>
        <v/>
      </c>
      <c r="W3368" s="5" t="n"/>
      <c r="X3368" s="5" t="inlineStr">
        <is>
          <t>Labour + plant + material as published; reconciles to the published rate.</t>
        </is>
      </c>
    </row>
    <row r="3369" ht="13" customHeight="1">
      <c r="A3369" s="4" t="n">
        <v>5127</v>
      </c>
      <c r="B3369" s="5" t="inlineStr">
        <is>
          <t>IMG_0135</t>
        </is>
      </c>
      <c r="C3369" s="5" t="inlineStr">
        <is>
          <t>CLASS S: RAIL TRACK</t>
        </is>
      </c>
      <c r="D3369" s="5" t="inlineStr">
        <is>
          <t>07 TRACK (SUPPLY &amp; INSTALLATION)</t>
        </is>
      </c>
      <c r="E3369" s="5" t="inlineStr">
        <is>
          <t>Flat bottom rails; BS11 Delivered in standard 18.288 m lengths; Jointed with fishplates; Softwood sleepers; BS 113 'A' section, 56 kg/m; for jointed track</t>
        </is>
      </c>
      <c r="F3369" s="5" t="inlineStr">
        <is>
          <t>extra for curved rails to form super elevation; Radius over 600 mm</t>
        </is>
      </c>
      <c r="G3369" s="6" t="inlineStr">
        <is>
          <t>%</t>
        </is>
      </c>
      <c r="H3369" s="7" t="n"/>
      <c r="I3369" s="8" t="n">
        <v>1.11</v>
      </c>
      <c r="J3369" s="8" t="n">
        <v>12.81</v>
      </c>
      <c r="K3369" s="8" t="n">
        <v>14.95</v>
      </c>
      <c r="L3369" s="8" t="n">
        <v>0</v>
      </c>
      <c r="M3369" s="9">
        <f>ROUND(SUM(I3369:L3369),2)</f>
        <v/>
      </c>
      <c r="N3369" s="10">
        <f>ROUND(I3369*'Irish Basis'!$C$6*'Irish Basis'!$C$5,2)</f>
        <v/>
      </c>
      <c r="O3369" s="10">
        <f>ROUND(J3369*'Irish Basis'!$C$7*'Irish Basis'!$C$5,2)</f>
        <v/>
      </c>
      <c r="P3369" s="10">
        <f>ROUND(K3369*'Irish Basis'!$C$8*'Irish Basis'!$C$5,2)</f>
        <v/>
      </c>
      <c r="Q3369" s="10">
        <f>ROUND(L3369*'Irish Basis'!$C$12*'Irish Basis'!$C$5,2)</f>
        <v/>
      </c>
      <c r="R3369" s="11">
        <f>ROUND(SUM(N3369:Q3369),2)</f>
        <v/>
      </c>
      <c r="S3369" s="5" t="inlineStr">
        <is>
          <t>Apportioned (sub-heading)</t>
        </is>
      </c>
      <c r="T3369" s="16" t="inlineStr">
        <is>
          <t>Medium</t>
        </is>
      </c>
      <c r="U3369" s="8" t="n">
        <v>28.87</v>
      </c>
      <c r="V3369" s="13">
        <f>IF(U3369="","",ROUND(M3369-U3369,2))</f>
        <v/>
      </c>
      <c r="W3369" s="5" t="n"/>
      <c r="X3369" s="5" t="inlineStr">
        <is>
          <t>Split from published rate using median L/P/M shares of 3 comparable build-ups at sub-heading level (4/44/52).</t>
        </is>
      </c>
    </row>
    <row r="3370" ht="13" customHeight="1">
      <c r="A3370" s="4" t="n">
        <v>5129</v>
      </c>
      <c r="B3370" s="5" t="inlineStr">
        <is>
          <t>IMG_0135</t>
        </is>
      </c>
      <c r="C3370" s="5" t="inlineStr">
        <is>
          <t>CLASS S: RAIL TRACK</t>
        </is>
      </c>
      <c r="D3370" s="5" t="inlineStr">
        <is>
          <t>07 TRACK (SUPPLY &amp; INSTALLATION)</t>
        </is>
      </c>
      <c r="E3370" s="5" t="inlineStr">
        <is>
          <t>Flat bottom rails; BS11 Delivered in standard 18.288 m lengths; Jointed with fishplates; Concrete sleepers; BS 113 'A' section, 56 kg/m; for jointed track</t>
        </is>
      </c>
      <c r="F3370" s="5" t="inlineStr">
        <is>
          <t>plain track</t>
        </is>
      </c>
      <c r="G3370" s="6" t="inlineStr">
        <is>
          <t>m</t>
        </is>
      </c>
      <c r="H3370" s="7" t="n">
        <v>0.2</v>
      </c>
      <c r="I3370" s="8" t="n">
        <v>40.55</v>
      </c>
      <c r="J3370" s="8" t="n">
        <v>522.66</v>
      </c>
      <c r="K3370" s="8" t="n">
        <v>664.77</v>
      </c>
      <c r="L3370" s="8" t="n">
        <v>0</v>
      </c>
      <c r="M3370" s="9">
        <f>ROUND(SUM(I3370:L3370),2)</f>
        <v/>
      </c>
      <c r="N3370" s="10">
        <f>ROUND(I3370*'Irish Basis'!$C$6*'Irish Basis'!$C$5,2)</f>
        <v/>
      </c>
      <c r="O3370" s="10">
        <f>ROUND(J3370*'Irish Basis'!$C$7*'Irish Basis'!$C$5,2)</f>
        <v/>
      </c>
      <c r="P3370" s="10">
        <f>ROUND(K3370*'Irish Basis'!$C$8*'Irish Basis'!$C$5,2)</f>
        <v/>
      </c>
      <c r="Q3370" s="10">
        <f>ROUND(L3370*'Irish Basis'!$C$12*'Irish Basis'!$C$5,2)</f>
        <v/>
      </c>
      <c r="R3370" s="11">
        <f>ROUND(SUM(N3370:Q3370),2)</f>
        <v/>
      </c>
      <c r="S3370" s="5" t="inlineStr">
        <is>
          <t>Stated build-up</t>
        </is>
      </c>
      <c r="T3370" s="12" t="inlineStr">
        <is>
          <t>High</t>
        </is>
      </c>
      <c r="U3370" s="8" t="n">
        <v>1227.98</v>
      </c>
      <c r="V3370" s="13">
        <f>IF(U3370="","",ROUND(M3370-U3370,2))</f>
        <v/>
      </c>
      <c r="W3370" s="5" t="n"/>
      <c r="X3370" s="5" t="inlineStr">
        <is>
          <t>Labour + plant + material as published; reconciles to the published rate.</t>
        </is>
      </c>
    </row>
    <row r="3371" ht="13" customHeight="1">
      <c r="A3371" s="4" t="n">
        <v>5130</v>
      </c>
      <c r="B3371" s="5" t="inlineStr">
        <is>
          <t>IMG_0135</t>
        </is>
      </c>
      <c r="C3371" s="5" t="inlineStr">
        <is>
          <t>CLASS S: RAIL TRACK</t>
        </is>
      </c>
      <c r="D3371" s="5" t="inlineStr">
        <is>
          <t>07 TRACK (SUPPLY &amp; INSTALLATION)</t>
        </is>
      </c>
      <c r="E3371" s="5" t="inlineStr">
        <is>
          <t>Flat bottom rails; BS11 Delivered in standard 18.288 m lengths; Jointed with fishplates; Concrete sleepers; BS 113 'A' section, 56 kg/m; for jointed track</t>
        </is>
      </c>
      <c r="F3371" s="5" t="inlineStr">
        <is>
          <t>form curve in plain track, radius ne 300 m</t>
        </is>
      </c>
      <c r="G3371" s="6" t="inlineStr">
        <is>
          <t>m</t>
        </is>
      </c>
      <c r="H3371" s="7" t="n">
        <v>0.23</v>
      </c>
      <c r="I3371" s="8" t="n">
        <v>45.62</v>
      </c>
      <c r="J3371" s="8" t="n">
        <v>522.66</v>
      </c>
      <c r="K3371" s="8" t="n">
        <v>681.45</v>
      </c>
      <c r="L3371" s="8" t="n">
        <v>0</v>
      </c>
      <c r="M3371" s="9">
        <f>ROUND(SUM(I3371:L3371),2)</f>
        <v/>
      </c>
      <c r="N3371" s="10">
        <f>ROUND(I3371*'Irish Basis'!$C$6*'Irish Basis'!$C$5,2)</f>
        <v/>
      </c>
      <c r="O3371" s="10">
        <f>ROUND(J3371*'Irish Basis'!$C$7*'Irish Basis'!$C$5,2)</f>
        <v/>
      </c>
      <c r="P3371" s="10">
        <f>ROUND(K3371*'Irish Basis'!$C$8*'Irish Basis'!$C$5,2)</f>
        <v/>
      </c>
      <c r="Q3371" s="10">
        <f>ROUND(L3371*'Irish Basis'!$C$12*'Irish Basis'!$C$5,2)</f>
        <v/>
      </c>
      <c r="R3371" s="11">
        <f>ROUND(SUM(N3371:Q3371),2)</f>
        <v/>
      </c>
      <c r="S3371" s="5" t="inlineStr">
        <is>
          <t>Stated build-up</t>
        </is>
      </c>
      <c r="T3371" s="12" t="inlineStr">
        <is>
          <t>High</t>
        </is>
      </c>
      <c r="U3371" s="8" t="n">
        <v>1249.74</v>
      </c>
      <c r="V3371" s="13">
        <f>IF(U3371="","",ROUND(M3371-U3371,2))</f>
        <v/>
      </c>
      <c r="W3371" s="5" t="n"/>
      <c r="X3371" s="5" t="inlineStr">
        <is>
          <t>Labour + plant + material as published; reconciles to the published rate.</t>
        </is>
      </c>
    </row>
    <row r="3372" ht="13" customHeight="1">
      <c r="A3372" s="4" t="n">
        <v>5131</v>
      </c>
      <c r="B3372" s="5" t="inlineStr">
        <is>
          <t>IMG_0135</t>
        </is>
      </c>
      <c r="C3372" s="5" t="inlineStr">
        <is>
          <t>CLASS S: RAIL TRACK</t>
        </is>
      </c>
      <c r="D3372" s="5" t="inlineStr">
        <is>
          <t>07 TRACK (SUPPLY &amp; INSTALLATION)</t>
        </is>
      </c>
      <c r="E3372" s="5" t="inlineStr">
        <is>
          <t>Flat bottom rails; BS11 Delivered in standard 18.288 m lengths; Jointed with fishplates; Concrete sleepers; BS 113 'A' section, 56 kg/m; for jointed track</t>
        </is>
      </c>
      <c r="F3372" s="5" t="inlineStr">
        <is>
          <t>form curve in plain track, radius over 300 m</t>
        </is>
      </c>
      <c r="G3372" s="6" t="inlineStr">
        <is>
          <t>m</t>
        </is>
      </c>
      <c r="H3372" s="7" t="n">
        <v>0.23</v>
      </c>
      <c r="I3372" s="8" t="n">
        <v>45.62</v>
      </c>
      <c r="J3372" s="8" t="n">
        <v>522.66</v>
      </c>
      <c r="K3372" s="8" t="n">
        <v>691.66</v>
      </c>
      <c r="L3372" s="8" t="n">
        <v>0</v>
      </c>
      <c r="M3372" s="9">
        <f>ROUND(SUM(I3372:L3372),2)</f>
        <v/>
      </c>
      <c r="N3372" s="10">
        <f>ROUND(I3372*'Irish Basis'!$C$6*'Irish Basis'!$C$5,2)</f>
        <v/>
      </c>
      <c r="O3372" s="10">
        <f>ROUND(J3372*'Irish Basis'!$C$7*'Irish Basis'!$C$5,2)</f>
        <v/>
      </c>
      <c r="P3372" s="10">
        <f>ROUND(K3372*'Irish Basis'!$C$8*'Irish Basis'!$C$5,2)</f>
        <v/>
      </c>
      <c r="Q3372" s="10">
        <f>ROUND(L3372*'Irish Basis'!$C$12*'Irish Basis'!$C$5,2)</f>
        <v/>
      </c>
      <c r="R3372" s="11">
        <f>ROUND(SUM(N3372:Q3372),2)</f>
        <v/>
      </c>
      <c r="S3372" s="5" t="inlineStr">
        <is>
          <t>Stated build-up</t>
        </is>
      </c>
      <c r="T3372" s="12" t="inlineStr">
        <is>
          <t>High</t>
        </is>
      </c>
      <c r="U3372" s="8" t="n">
        <v>1259.95</v>
      </c>
      <c r="V3372" s="13">
        <f>IF(U3372="","",ROUND(M3372-U3372,2))</f>
        <v/>
      </c>
      <c r="W3372" s="5" t="n"/>
      <c r="X3372" s="5" t="inlineStr">
        <is>
          <t>Labour + plant + material as published; reconciles to the published rate.</t>
        </is>
      </c>
    </row>
    <row r="3373" ht="13" customHeight="1">
      <c r="A3373" s="4" t="n">
        <v>5132</v>
      </c>
      <c r="B3373" s="5" t="inlineStr">
        <is>
          <t>IMG_0135</t>
        </is>
      </c>
      <c r="C3373" s="5" t="inlineStr">
        <is>
          <t>CLASS S: RAIL TRACK</t>
        </is>
      </c>
      <c r="D3373" s="5" t="inlineStr">
        <is>
          <t>07 TRACK (SUPPLY &amp; INSTALLATION)</t>
        </is>
      </c>
      <c r="E3373" s="5" t="inlineStr">
        <is>
          <t>Flat bottom rails; BS11 Delivered in standard 18.288 m lengths; Jointed with fishplates; Concrete sleepers; BS 113 'A' section, 56 kg/m; for jointed track</t>
        </is>
      </c>
      <c r="F3373" s="5" t="inlineStr">
        <is>
          <t>extra for curved rails to form super elevation; Radius over 600 mm</t>
        </is>
      </c>
      <c r="G3373" s="6" t="inlineStr">
        <is>
          <t>%</t>
        </is>
      </c>
      <c r="H3373" s="7" t="n">
        <v>0.23</v>
      </c>
      <c r="I3373" s="8" t="n">
        <v>1.05</v>
      </c>
      <c r="J3373" s="8" t="n">
        <v>12.08</v>
      </c>
      <c r="K3373" s="8" t="n">
        <v>15.75</v>
      </c>
      <c r="L3373" s="8" t="n">
        <v>0</v>
      </c>
      <c r="M3373" s="9">
        <f>ROUND(SUM(I3373:L3373),2)</f>
        <v/>
      </c>
      <c r="N3373" s="10">
        <f>ROUND(I3373*'Irish Basis'!$C$6*'Irish Basis'!$C$5,2)</f>
        <v/>
      </c>
      <c r="O3373" s="10">
        <f>ROUND(J3373*'Irish Basis'!$C$7*'Irish Basis'!$C$5,2)</f>
        <v/>
      </c>
      <c r="P3373" s="10">
        <f>ROUND(K3373*'Irish Basis'!$C$8*'Irish Basis'!$C$5,2)</f>
        <v/>
      </c>
      <c r="Q3373" s="10">
        <f>ROUND(L3373*'Irish Basis'!$C$12*'Irish Basis'!$C$5,2)</f>
        <v/>
      </c>
      <c r="R3373" s="11">
        <f>ROUND(SUM(N3373:Q3373),2)</f>
        <v/>
      </c>
      <c r="S3373" s="5" t="inlineStr">
        <is>
          <t>Apportioned (sub-heading)</t>
        </is>
      </c>
      <c r="T3373" s="16" t="inlineStr">
        <is>
          <t>Medium</t>
        </is>
      </c>
      <c r="U3373" s="8" t="n">
        <v>28.87</v>
      </c>
      <c r="V3373" s="13">
        <f>IF(U3373="","",ROUND(M3373-U3373,2))</f>
        <v/>
      </c>
      <c r="W3373" s="5" t="n"/>
      <c r="X3373" s="5" t="inlineStr">
        <is>
          <t>Split from published rate using median L/P/M shares of 3 comparable build-ups at sub-heading level (4/42/55).</t>
        </is>
      </c>
    </row>
    <row r="3374" ht="13" customHeight="1">
      <c r="A3374" s="4" t="n">
        <v>5134</v>
      </c>
      <c r="B3374" s="5" t="inlineStr">
        <is>
          <t>IMG_0135</t>
        </is>
      </c>
      <c r="C3374" s="5" t="inlineStr">
        <is>
          <t>CLASS S: RAIL TRACK</t>
        </is>
      </c>
      <c r="D3374" s="5" t="inlineStr">
        <is>
          <t>07 TRACK (SUPPLY &amp; INSTALLATION)</t>
        </is>
      </c>
      <c r="E3374" s="5" t="inlineStr">
        <is>
          <t>Flat bottom rails; BS11 Delivered in standard 18.288 m lengths; Welded joints; Softwood sleepers; BS 113 'A' section, 56 kg/m; for jointed track</t>
        </is>
      </c>
      <c r="F3374" s="5" t="inlineStr">
        <is>
          <t>plain track</t>
        </is>
      </c>
      <c r="G3374" s="6" t="inlineStr">
        <is>
          <t>m</t>
        </is>
      </c>
      <c r="H3374" s="7" t="n">
        <v>0.18</v>
      </c>
      <c r="I3374" s="8" t="n">
        <v>35.49</v>
      </c>
      <c r="J3374" s="8" t="n">
        <v>522.66</v>
      </c>
      <c r="K3374" s="8" t="n">
        <v>576.95</v>
      </c>
      <c r="L3374" s="8" t="n">
        <v>0</v>
      </c>
      <c r="M3374" s="9">
        <f>ROUND(SUM(I3374:L3374),2)</f>
        <v/>
      </c>
      <c r="N3374" s="10">
        <f>ROUND(I3374*'Irish Basis'!$C$6*'Irish Basis'!$C$5,2)</f>
        <v/>
      </c>
      <c r="O3374" s="10">
        <f>ROUND(J3374*'Irish Basis'!$C$7*'Irish Basis'!$C$5,2)</f>
        <v/>
      </c>
      <c r="P3374" s="10">
        <f>ROUND(K3374*'Irish Basis'!$C$8*'Irish Basis'!$C$5,2)</f>
        <v/>
      </c>
      <c r="Q3374" s="10">
        <f>ROUND(L3374*'Irish Basis'!$C$12*'Irish Basis'!$C$5,2)</f>
        <v/>
      </c>
      <c r="R3374" s="11">
        <f>ROUND(SUM(N3374:Q3374),2)</f>
        <v/>
      </c>
      <c r="S3374" s="5" t="inlineStr">
        <is>
          <t>Stated build-up</t>
        </is>
      </c>
      <c r="T3374" s="12" t="inlineStr">
        <is>
          <t>High</t>
        </is>
      </c>
      <c r="U3374" s="8" t="n">
        <v>1135.1</v>
      </c>
      <c r="V3374" s="13">
        <f>IF(U3374="","",ROUND(M3374-U3374,2))</f>
        <v/>
      </c>
      <c r="W3374" s="5" t="n"/>
      <c r="X3374" s="5" t="inlineStr">
        <is>
          <t>Labour + plant + material as published; reconciles to the published rate.</t>
        </is>
      </c>
    </row>
    <row r="3375" ht="13" customHeight="1">
      <c r="A3375" s="4" t="n">
        <v>5135</v>
      </c>
      <c r="B3375" s="5" t="inlineStr">
        <is>
          <t>IMG_0135</t>
        </is>
      </c>
      <c r="C3375" s="5" t="inlineStr">
        <is>
          <t>CLASS S: RAIL TRACK</t>
        </is>
      </c>
      <c r="D3375" s="5" t="inlineStr">
        <is>
          <t>07 TRACK (SUPPLY &amp; INSTALLATION)</t>
        </is>
      </c>
      <c r="E3375" s="5" t="inlineStr">
        <is>
          <t>Flat bottom rails; BS11 Delivered in standard 18.288 m lengths; Welded joints; Softwood sleepers; BS 113 'A' section, 56 kg/m; for jointed track</t>
        </is>
      </c>
      <c r="F3375" s="5" t="inlineStr">
        <is>
          <t>form curve in plain track, radius ne 300 m</t>
        </is>
      </c>
      <c r="G3375" s="6" t="inlineStr">
        <is>
          <t>m</t>
        </is>
      </c>
      <c r="H3375" s="7" t="n">
        <v>0.2</v>
      </c>
      <c r="I3375" s="8" t="n">
        <v>40.55</v>
      </c>
      <c r="J3375" s="8" t="n">
        <v>522.66</v>
      </c>
      <c r="K3375" s="8" t="n">
        <v>593.63</v>
      </c>
      <c r="L3375" s="8" t="n">
        <v>0</v>
      </c>
      <c r="M3375" s="9">
        <f>ROUND(SUM(I3375:L3375),2)</f>
        <v/>
      </c>
      <c r="N3375" s="10">
        <f>ROUND(I3375*'Irish Basis'!$C$6*'Irish Basis'!$C$5,2)</f>
        <v/>
      </c>
      <c r="O3375" s="10">
        <f>ROUND(J3375*'Irish Basis'!$C$7*'Irish Basis'!$C$5,2)</f>
        <v/>
      </c>
      <c r="P3375" s="10">
        <f>ROUND(K3375*'Irish Basis'!$C$8*'Irish Basis'!$C$5,2)</f>
        <v/>
      </c>
      <c r="Q3375" s="10">
        <f>ROUND(L3375*'Irish Basis'!$C$12*'Irish Basis'!$C$5,2)</f>
        <v/>
      </c>
      <c r="R3375" s="11">
        <f>ROUND(SUM(N3375:Q3375),2)</f>
        <v/>
      </c>
      <c r="S3375" s="5" t="inlineStr">
        <is>
          <t>Stated build-up</t>
        </is>
      </c>
      <c r="T3375" s="12" t="inlineStr">
        <is>
          <t>High</t>
        </is>
      </c>
      <c r="U3375" s="8" t="n">
        <v>1156.85</v>
      </c>
      <c r="V3375" s="13">
        <f>IF(U3375="","",ROUND(M3375-U3375,2))</f>
        <v/>
      </c>
      <c r="W3375" s="5" t="n"/>
      <c r="X3375" s="5" t="inlineStr">
        <is>
          <t>Labour + plant + material as published; reconciles to the published rate.</t>
        </is>
      </c>
    </row>
    <row r="3376" ht="13" customHeight="1">
      <c r="A3376" s="4" t="n">
        <v>5136</v>
      </c>
      <c r="B3376" s="5" t="inlineStr">
        <is>
          <t>IMG_0135</t>
        </is>
      </c>
      <c r="C3376" s="5" t="inlineStr">
        <is>
          <t>CLASS S: RAIL TRACK</t>
        </is>
      </c>
      <c r="D3376" s="5" t="inlineStr">
        <is>
          <t>07 TRACK (SUPPLY &amp; INSTALLATION)</t>
        </is>
      </c>
      <c r="E3376" s="5" t="inlineStr">
        <is>
          <t>Flat bottom rails; BS11 Delivered in standard 18.288 m lengths; Welded joints; Softwood sleepers; BS 113 'A' section, 56 kg/m; for jointed track</t>
        </is>
      </c>
      <c r="F3376" s="5" t="inlineStr">
        <is>
          <t>form curve in plain track, radius over 300 m</t>
        </is>
      </c>
      <c r="G3376" s="6" t="inlineStr">
        <is>
          <t>m</t>
        </is>
      </c>
      <c r="H3376" s="7" t="n">
        <v>0.2</v>
      </c>
      <c r="I3376" s="8" t="n">
        <v>40.55</v>
      </c>
      <c r="J3376" s="8" t="n">
        <v>522.66</v>
      </c>
      <c r="K3376" s="8" t="n">
        <v>603.85</v>
      </c>
      <c r="L3376" s="8" t="n">
        <v>0</v>
      </c>
      <c r="M3376" s="9">
        <f>ROUND(SUM(I3376:L3376),2)</f>
        <v/>
      </c>
      <c r="N3376" s="10">
        <f>ROUND(I3376*'Irish Basis'!$C$6*'Irish Basis'!$C$5,2)</f>
        <v/>
      </c>
      <c r="O3376" s="10">
        <f>ROUND(J3376*'Irish Basis'!$C$7*'Irish Basis'!$C$5,2)</f>
        <v/>
      </c>
      <c r="P3376" s="10">
        <f>ROUND(K3376*'Irish Basis'!$C$8*'Irish Basis'!$C$5,2)</f>
        <v/>
      </c>
      <c r="Q3376" s="10">
        <f>ROUND(L3376*'Irish Basis'!$C$12*'Irish Basis'!$C$5,2)</f>
        <v/>
      </c>
      <c r="R3376" s="11">
        <f>ROUND(SUM(N3376:Q3376),2)</f>
        <v/>
      </c>
      <c r="S3376" s="5" t="inlineStr">
        <is>
          <t>Stated build-up</t>
        </is>
      </c>
      <c r="T3376" s="12" t="inlineStr">
        <is>
          <t>High</t>
        </is>
      </c>
      <c r="U3376" s="8" t="n">
        <v>1167.06</v>
      </c>
      <c r="V3376" s="13">
        <f>IF(U3376="","",ROUND(M3376-U3376,2))</f>
        <v/>
      </c>
      <c r="W3376" s="5" t="n"/>
      <c r="X3376" s="5" t="inlineStr">
        <is>
          <t>Labour + plant + material as published; reconciles to the published rate.</t>
        </is>
      </c>
    </row>
    <row r="3377" ht="13" customHeight="1">
      <c r="A3377" s="4" t="n">
        <v>5137</v>
      </c>
      <c r="B3377" s="5" t="inlineStr">
        <is>
          <t>IMG_0135</t>
        </is>
      </c>
      <c r="C3377" s="5" t="inlineStr">
        <is>
          <t>CLASS S: RAIL TRACK</t>
        </is>
      </c>
      <c r="D3377" s="5" t="inlineStr">
        <is>
          <t>07 TRACK (SUPPLY &amp; INSTALLATION)</t>
        </is>
      </c>
      <c r="E3377" s="5" t="inlineStr">
        <is>
          <t>Flat bottom rails; BS11 Delivered in standard 18.288 m lengths; Welded joints; Softwood sleepers; BS 113 'A' section, 56 kg/m; for jointed track</t>
        </is>
      </c>
      <c r="F3377" s="5" t="inlineStr">
        <is>
          <t>extra for curved rails to form super elevation; Radius over 600 mm</t>
        </is>
      </c>
      <c r="G3377" s="6" t="inlineStr">
        <is>
          <t>%</t>
        </is>
      </c>
      <c r="H3377" s="7" t="n"/>
      <c r="I3377" s="8" t="n">
        <v>1</v>
      </c>
      <c r="J3377" s="8" t="n">
        <v>13.05</v>
      </c>
      <c r="K3377" s="8" t="n">
        <v>14.82</v>
      </c>
      <c r="L3377" s="8" t="n">
        <v>0</v>
      </c>
      <c r="M3377" s="9">
        <f>ROUND(SUM(I3377:L3377),2)</f>
        <v/>
      </c>
      <c r="N3377" s="10">
        <f>ROUND(I3377*'Irish Basis'!$C$6*'Irish Basis'!$C$5,2)</f>
        <v/>
      </c>
      <c r="O3377" s="10">
        <f>ROUND(J3377*'Irish Basis'!$C$7*'Irish Basis'!$C$5,2)</f>
        <v/>
      </c>
      <c r="P3377" s="10">
        <f>ROUND(K3377*'Irish Basis'!$C$8*'Irish Basis'!$C$5,2)</f>
        <v/>
      </c>
      <c r="Q3377" s="10">
        <f>ROUND(L3377*'Irish Basis'!$C$12*'Irish Basis'!$C$5,2)</f>
        <v/>
      </c>
      <c r="R3377" s="11">
        <f>ROUND(SUM(N3377:Q3377),2)</f>
        <v/>
      </c>
      <c r="S3377" s="5" t="inlineStr">
        <is>
          <t>Apportioned (sub-heading)</t>
        </is>
      </c>
      <c r="T3377" s="16" t="inlineStr">
        <is>
          <t>Medium</t>
        </is>
      </c>
      <c r="U3377" s="8" t="n">
        <v>28.87</v>
      </c>
      <c r="V3377" s="13">
        <f>IF(U3377="","",ROUND(M3377-U3377,2))</f>
        <v/>
      </c>
      <c r="W3377" s="5" t="n"/>
      <c r="X3377" s="5" t="inlineStr">
        <is>
          <t>Split from published rate using median L/P/M shares of 3 comparable build-ups at sub-heading level (3/45/51).</t>
        </is>
      </c>
    </row>
    <row r="3378" ht="13" customHeight="1">
      <c r="A3378" s="4" t="n">
        <v>5139</v>
      </c>
      <c r="B3378" s="5" t="inlineStr">
        <is>
          <t>IMG_0135</t>
        </is>
      </c>
      <c r="C3378" s="5" t="inlineStr">
        <is>
          <t>CLASS S: RAIL TRACK</t>
        </is>
      </c>
      <c r="D3378" s="5" t="inlineStr">
        <is>
          <t>07 TRACK (SUPPLY &amp; INSTALLATION)</t>
        </is>
      </c>
      <c r="E3378" s="5" t="inlineStr">
        <is>
          <t>Flat bottom rails; BS11 Delivered in standard 18.288 m lengths; Welded joints; Concrete sleepers; BS 113 'A' section, 56 kg/m; for jointed track</t>
        </is>
      </c>
      <c r="F3378" s="5" t="inlineStr">
        <is>
          <t>plain track</t>
        </is>
      </c>
      <c r="G3378" s="6" t="inlineStr">
        <is>
          <t>m</t>
        </is>
      </c>
      <c r="H3378" s="7" t="n">
        <v>0.2</v>
      </c>
      <c r="I3378" s="8" t="n">
        <v>40.55</v>
      </c>
      <c r="J3378" s="8" t="n">
        <v>522.66</v>
      </c>
      <c r="K3378" s="8" t="n">
        <v>648.25</v>
      </c>
      <c r="L3378" s="8" t="n">
        <v>0</v>
      </c>
      <c r="M3378" s="9">
        <f>ROUND(SUM(I3378:L3378),2)</f>
        <v/>
      </c>
      <c r="N3378" s="10">
        <f>ROUND(I3378*'Irish Basis'!$C$6*'Irish Basis'!$C$5,2)</f>
        <v/>
      </c>
      <c r="O3378" s="10">
        <f>ROUND(J3378*'Irish Basis'!$C$7*'Irish Basis'!$C$5,2)</f>
        <v/>
      </c>
      <c r="P3378" s="10">
        <f>ROUND(K3378*'Irish Basis'!$C$8*'Irish Basis'!$C$5,2)</f>
        <v/>
      </c>
      <c r="Q3378" s="10">
        <f>ROUND(L3378*'Irish Basis'!$C$12*'Irish Basis'!$C$5,2)</f>
        <v/>
      </c>
      <c r="R3378" s="11">
        <f>ROUND(SUM(N3378:Q3378),2)</f>
        <v/>
      </c>
      <c r="S3378" s="5" t="inlineStr">
        <is>
          <t>Stated build-up</t>
        </is>
      </c>
      <c r="T3378" s="12" t="inlineStr">
        <is>
          <t>High</t>
        </is>
      </c>
      <c r="U3378" s="8" t="n">
        <v>1211.47</v>
      </c>
      <c r="V3378" s="13">
        <f>IF(U3378="","",ROUND(M3378-U3378,2))</f>
        <v/>
      </c>
      <c r="W3378" s="5" t="n"/>
      <c r="X3378" s="5" t="inlineStr">
        <is>
          <t>Labour + plant + material as published; reconciles to the published rate.</t>
        </is>
      </c>
    </row>
    <row r="3379" ht="13" customHeight="1">
      <c r="A3379" s="4" t="n">
        <v>5140</v>
      </c>
      <c r="B3379" s="5" t="inlineStr">
        <is>
          <t>IMG_0135</t>
        </is>
      </c>
      <c r="C3379" s="5" t="inlineStr">
        <is>
          <t>CLASS S: RAIL TRACK</t>
        </is>
      </c>
      <c r="D3379" s="5" t="inlineStr">
        <is>
          <t>07 TRACK (SUPPLY &amp; INSTALLATION)</t>
        </is>
      </c>
      <c r="E3379" s="5" t="inlineStr">
        <is>
          <t>Flat bottom rails; BS11 Delivered in standard 18.288 m lengths; Welded joints; Concrete sleepers; BS 113 'A' section, 56 kg/m; for jointed track</t>
        </is>
      </c>
      <c r="F3379" s="5" t="inlineStr">
        <is>
          <t>form curve in plain track, radius ne 300 m</t>
        </is>
      </c>
      <c r="G3379" s="6" t="inlineStr">
        <is>
          <t>m</t>
        </is>
      </c>
      <c r="H3379" s="7" t="n">
        <v>0.23</v>
      </c>
      <c r="I3379" s="8" t="n">
        <v>45.62</v>
      </c>
      <c r="J3379" s="8" t="n">
        <v>522.66</v>
      </c>
      <c r="K3379" s="8" t="n">
        <v>664.9299999999999</v>
      </c>
      <c r="L3379" s="8" t="n">
        <v>0</v>
      </c>
      <c r="M3379" s="9">
        <f>ROUND(SUM(I3379:L3379),2)</f>
        <v/>
      </c>
      <c r="N3379" s="10">
        <f>ROUND(I3379*'Irish Basis'!$C$6*'Irish Basis'!$C$5,2)</f>
        <v/>
      </c>
      <c r="O3379" s="10">
        <f>ROUND(J3379*'Irish Basis'!$C$7*'Irish Basis'!$C$5,2)</f>
        <v/>
      </c>
      <c r="P3379" s="10">
        <f>ROUND(K3379*'Irish Basis'!$C$8*'Irish Basis'!$C$5,2)</f>
        <v/>
      </c>
      <c r="Q3379" s="10">
        <f>ROUND(L3379*'Irish Basis'!$C$12*'Irish Basis'!$C$5,2)</f>
        <v/>
      </c>
      <c r="R3379" s="11">
        <f>ROUND(SUM(N3379:Q3379),2)</f>
        <v/>
      </c>
      <c r="S3379" s="5" t="inlineStr">
        <is>
          <t>Stated build-up</t>
        </is>
      </c>
      <c r="T3379" s="12" t="inlineStr">
        <is>
          <t>High</t>
        </is>
      </c>
      <c r="U3379" s="8" t="n">
        <v>1233.22</v>
      </c>
      <c r="V3379" s="13">
        <f>IF(U3379="","",ROUND(M3379-U3379,2))</f>
        <v/>
      </c>
      <c r="W3379" s="5" t="n"/>
      <c r="X3379" s="5" t="inlineStr">
        <is>
          <t>Labour + plant + material as published; reconciles to the published rate.</t>
        </is>
      </c>
    </row>
    <row r="3380" ht="13" customHeight="1">
      <c r="A3380" s="4" t="n">
        <v>5141</v>
      </c>
      <c r="B3380" s="5" t="inlineStr">
        <is>
          <t>IMG_0135</t>
        </is>
      </c>
      <c r="C3380" s="5" t="inlineStr">
        <is>
          <t>CLASS S: RAIL TRACK</t>
        </is>
      </c>
      <c r="D3380" s="5" t="inlineStr">
        <is>
          <t>07 TRACK (SUPPLY &amp; INSTALLATION)</t>
        </is>
      </c>
      <c r="E3380" s="5" t="inlineStr">
        <is>
          <t>Flat bottom rails; BS11 Delivered in standard 18.288 m lengths; Welded joints; Concrete sleepers; BS 113 'A' section, 56 kg/m; for jointed track</t>
        </is>
      </c>
      <c r="F3380" s="5" t="inlineStr">
        <is>
          <t>form curve in plain track, radius over 300 m</t>
        </is>
      </c>
      <c r="G3380" s="6" t="inlineStr">
        <is>
          <t>m</t>
        </is>
      </c>
      <c r="H3380" s="7" t="n">
        <v>0.23</v>
      </c>
      <c r="I3380" s="8" t="n">
        <v>45.62</v>
      </c>
      <c r="J3380" s="8" t="n">
        <v>522.66</v>
      </c>
      <c r="K3380" s="8" t="n">
        <v>675.15</v>
      </c>
      <c r="L3380" s="8" t="n">
        <v>0</v>
      </c>
      <c r="M3380" s="9">
        <f>ROUND(SUM(I3380:L3380),2)</f>
        <v/>
      </c>
      <c r="N3380" s="10">
        <f>ROUND(I3380*'Irish Basis'!$C$6*'Irish Basis'!$C$5,2)</f>
        <v/>
      </c>
      <c r="O3380" s="10">
        <f>ROUND(J3380*'Irish Basis'!$C$7*'Irish Basis'!$C$5,2)</f>
        <v/>
      </c>
      <c r="P3380" s="10">
        <f>ROUND(K3380*'Irish Basis'!$C$8*'Irish Basis'!$C$5,2)</f>
        <v/>
      </c>
      <c r="Q3380" s="10">
        <f>ROUND(L3380*'Irish Basis'!$C$12*'Irish Basis'!$C$5,2)</f>
        <v/>
      </c>
      <c r="R3380" s="11">
        <f>ROUND(SUM(N3380:Q3380),2)</f>
        <v/>
      </c>
      <c r="S3380" s="5" t="inlineStr">
        <is>
          <t>Stated build-up</t>
        </is>
      </c>
      <c r="T3380" s="12" t="inlineStr">
        <is>
          <t>High</t>
        </is>
      </c>
      <c r="U3380" s="8" t="n">
        <v>1243.43</v>
      </c>
      <c r="V3380" s="13">
        <f>IF(U3380="","",ROUND(M3380-U3380,2))</f>
        <v/>
      </c>
      <c r="W3380" s="5" t="n"/>
      <c r="X3380" s="5" t="inlineStr">
        <is>
          <t>Labour + plant + material as published; reconciles to the published rate.</t>
        </is>
      </c>
    </row>
    <row r="3381" ht="13" customHeight="1">
      <c r="A3381" s="4" t="n">
        <v>5142</v>
      </c>
      <c r="B3381" s="5" t="inlineStr">
        <is>
          <t>IMG_0135</t>
        </is>
      </c>
      <c r="C3381" s="5" t="inlineStr">
        <is>
          <t>CLASS S: RAIL TRACK</t>
        </is>
      </c>
      <c r="D3381" s="5" t="inlineStr">
        <is>
          <t>07 TRACK (SUPPLY &amp; INSTALLATION)</t>
        </is>
      </c>
      <c r="E3381" s="5" t="inlineStr">
        <is>
          <t>Flat bottom rails; BS11 Delivered in standard 18.288 m lengths; Welded joints; Concrete sleepers; BS 113 'A' section, 56 kg/m; for jointed track</t>
        </is>
      </c>
      <c r="F3381" s="5" t="inlineStr">
        <is>
          <t>extra for curved rails to form super elevation; Radius over 600 mm</t>
        </is>
      </c>
      <c r="G3381" s="6" t="inlineStr">
        <is>
          <t>%</t>
        </is>
      </c>
      <c r="H3381" s="7" t="n"/>
      <c r="I3381" s="8" t="n">
        <v>1.06</v>
      </c>
      <c r="J3381" s="8" t="n">
        <v>12.24</v>
      </c>
      <c r="K3381" s="8" t="n">
        <v>15.57</v>
      </c>
      <c r="L3381" s="8" t="n">
        <v>0</v>
      </c>
      <c r="M3381" s="9">
        <f>ROUND(SUM(I3381:L3381),2)</f>
        <v/>
      </c>
      <c r="N3381" s="10">
        <f>ROUND(I3381*'Irish Basis'!$C$6*'Irish Basis'!$C$5,2)</f>
        <v/>
      </c>
      <c r="O3381" s="10">
        <f>ROUND(J3381*'Irish Basis'!$C$7*'Irish Basis'!$C$5,2)</f>
        <v/>
      </c>
      <c r="P3381" s="10">
        <f>ROUND(K3381*'Irish Basis'!$C$8*'Irish Basis'!$C$5,2)</f>
        <v/>
      </c>
      <c r="Q3381" s="10">
        <f>ROUND(L3381*'Irish Basis'!$C$12*'Irish Basis'!$C$5,2)</f>
        <v/>
      </c>
      <c r="R3381" s="11">
        <f>ROUND(SUM(N3381:Q3381),2)</f>
        <v/>
      </c>
      <c r="S3381" s="5" t="inlineStr">
        <is>
          <t>Apportioned (sub-heading)</t>
        </is>
      </c>
      <c r="T3381" s="16" t="inlineStr">
        <is>
          <t>Medium</t>
        </is>
      </c>
      <c r="U3381" s="8" t="n">
        <v>28.87</v>
      </c>
      <c r="V3381" s="13">
        <f>IF(U3381="","",ROUND(M3381-U3381,2))</f>
        <v/>
      </c>
      <c r="W3381" s="5" t="n"/>
      <c r="X3381" s="5" t="inlineStr">
        <is>
          <t>Split from published rate using median L/P/M shares of 3 comparable build-ups at sub-heading level (4/42/54).</t>
        </is>
      </c>
    </row>
    <row r="3382" ht="13" customHeight="1">
      <c r="A3382" s="4" t="n">
        <v>5144</v>
      </c>
      <c r="B3382" s="5" t="inlineStr">
        <is>
          <t>IMG_0135</t>
        </is>
      </c>
      <c r="C3382" s="5" t="inlineStr">
        <is>
          <t>CLASS S: RAIL TRACK</t>
        </is>
      </c>
      <c r="D3382" s="5" t="inlineStr">
        <is>
          <t>07 TRACK (SUPPLY &amp; INSTALLATION)</t>
        </is>
      </c>
      <c r="E3382" s="5" t="inlineStr">
        <is>
          <t>Flat bottom rails; BS11 Delivered in standard 18.288 m lengths; Jointed with fishplates; Softwood sleepers; BS 113 'A' section, 40 kg/m; for jointed track</t>
        </is>
      </c>
      <c r="F3382" s="5" t="inlineStr">
        <is>
          <t>plain track</t>
        </is>
      </c>
      <c r="G3382" s="6" t="inlineStr">
        <is>
          <t>m</t>
        </is>
      </c>
      <c r="H3382" s="7" t="n">
        <v>0.23</v>
      </c>
      <c r="I3382" s="8" t="n">
        <v>45.62</v>
      </c>
      <c r="J3382" s="8" t="n">
        <v>446.67</v>
      </c>
      <c r="K3382" s="8" t="n">
        <v>550.8</v>
      </c>
      <c r="L3382" s="8" t="n">
        <v>0</v>
      </c>
      <c r="M3382" s="9">
        <f>ROUND(SUM(I3382:L3382),2)</f>
        <v/>
      </c>
      <c r="N3382" s="10">
        <f>ROUND(I3382*'Irish Basis'!$C$6*'Irish Basis'!$C$5,2)</f>
        <v/>
      </c>
      <c r="O3382" s="10">
        <f>ROUND(J3382*'Irish Basis'!$C$7*'Irish Basis'!$C$5,2)</f>
        <v/>
      </c>
      <c r="P3382" s="10">
        <f>ROUND(K3382*'Irish Basis'!$C$8*'Irish Basis'!$C$5,2)</f>
        <v/>
      </c>
      <c r="Q3382" s="10">
        <f>ROUND(L3382*'Irish Basis'!$C$12*'Irish Basis'!$C$5,2)</f>
        <v/>
      </c>
      <c r="R3382" s="11">
        <f>ROUND(SUM(N3382:Q3382),2)</f>
        <v/>
      </c>
      <c r="S3382" s="5" t="inlineStr">
        <is>
          <t>Stated build-up</t>
        </is>
      </c>
      <c r="T3382" s="12" t="inlineStr">
        <is>
          <t>High</t>
        </is>
      </c>
      <c r="U3382" s="8" t="n">
        <v>1043.09</v>
      </c>
      <c r="V3382" s="13">
        <f>IF(U3382="","",ROUND(M3382-U3382,2))</f>
        <v/>
      </c>
      <c r="W3382" s="5" t="n"/>
      <c r="X3382" s="5" t="inlineStr">
        <is>
          <t>Labour + plant + material as published; reconciles to the published rate.</t>
        </is>
      </c>
    </row>
    <row r="3383" ht="13" customHeight="1">
      <c r="A3383" s="4" t="n">
        <v>5145</v>
      </c>
      <c r="B3383" s="5" t="inlineStr">
        <is>
          <t>IMG_0135</t>
        </is>
      </c>
      <c r="C3383" s="5" t="inlineStr">
        <is>
          <t>CLASS S: RAIL TRACK</t>
        </is>
      </c>
      <c r="D3383" s="5" t="inlineStr">
        <is>
          <t>07 TRACK (SUPPLY &amp; INSTALLATION)</t>
        </is>
      </c>
      <c r="E3383" s="5" t="inlineStr">
        <is>
          <t>Flat bottom rails; BS11 Delivered in standard 18.288 m lengths; Jointed with fishplates; Softwood sleepers; BS 113 'A' section, 40 kg/m; for jointed track</t>
        </is>
      </c>
      <c r="F3383" s="5" t="inlineStr">
        <is>
          <t>form curve in plain track, radius ne 300 m</t>
        </is>
      </c>
      <c r="G3383" s="6" t="inlineStr">
        <is>
          <t>m</t>
        </is>
      </c>
      <c r="H3383" s="7" t="n">
        <v>0.23</v>
      </c>
      <c r="I3383" s="8" t="n">
        <v>45.62</v>
      </c>
      <c r="J3383" s="8" t="n">
        <v>446.67</v>
      </c>
      <c r="K3383" s="8" t="n">
        <v>562.75</v>
      </c>
      <c r="L3383" s="8" t="n">
        <v>0</v>
      </c>
      <c r="M3383" s="9">
        <f>ROUND(SUM(I3383:L3383),2)</f>
        <v/>
      </c>
      <c r="N3383" s="10">
        <f>ROUND(I3383*'Irish Basis'!$C$6*'Irish Basis'!$C$5,2)</f>
        <v/>
      </c>
      <c r="O3383" s="10">
        <f>ROUND(J3383*'Irish Basis'!$C$7*'Irish Basis'!$C$5,2)</f>
        <v/>
      </c>
      <c r="P3383" s="10">
        <f>ROUND(K3383*'Irish Basis'!$C$8*'Irish Basis'!$C$5,2)</f>
        <v/>
      </c>
      <c r="Q3383" s="10">
        <f>ROUND(L3383*'Irish Basis'!$C$12*'Irish Basis'!$C$5,2)</f>
        <v/>
      </c>
      <c r="R3383" s="11">
        <f>ROUND(SUM(N3383:Q3383),2)</f>
        <v/>
      </c>
      <c r="S3383" s="5" t="inlineStr">
        <is>
          <t>Stated build-up</t>
        </is>
      </c>
      <c r="T3383" s="12" t="inlineStr">
        <is>
          <t>High</t>
        </is>
      </c>
      <c r="U3383" s="8" t="n">
        <v>1055.05</v>
      </c>
      <c r="V3383" s="13">
        <f>IF(U3383="","",ROUND(M3383-U3383,2))</f>
        <v/>
      </c>
      <c r="W3383" s="5" t="n"/>
      <c r="X3383" s="5" t="inlineStr">
        <is>
          <t>Labour + plant + material as published; reconciles to the published rate.</t>
        </is>
      </c>
    </row>
    <row r="3384" ht="13" customHeight="1">
      <c r="A3384" s="4" t="n">
        <v>5146</v>
      </c>
      <c r="B3384" s="5" t="inlineStr">
        <is>
          <t>IMG_0135</t>
        </is>
      </c>
      <c r="C3384" s="5" t="inlineStr">
        <is>
          <t>CLASS S: RAIL TRACK</t>
        </is>
      </c>
      <c r="D3384" s="5" t="inlineStr">
        <is>
          <t>07 TRACK (SUPPLY &amp; INSTALLATION)</t>
        </is>
      </c>
      <c r="E3384" s="5" t="inlineStr">
        <is>
          <t>Flat bottom rails; BS11 Delivered in standard 18.288 m lengths; Jointed with fishplates; Softwood sleepers; BS 113 'A' section, 40 kg/m; for jointed track</t>
        </is>
      </c>
      <c r="F3384" s="5" t="inlineStr">
        <is>
          <t>form curve in plain track, radius over 300 m</t>
        </is>
      </c>
      <c r="G3384" s="6" t="inlineStr">
        <is>
          <t>m</t>
        </is>
      </c>
      <c r="H3384" s="7" t="n">
        <v>0.23</v>
      </c>
      <c r="I3384" s="8" t="n">
        <v>45.62</v>
      </c>
      <c r="J3384" s="8" t="n">
        <v>446.67</v>
      </c>
      <c r="K3384" s="8" t="n">
        <v>569.78</v>
      </c>
      <c r="L3384" s="8" t="n">
        <v>0</v>
      </c>
      <c r="M3384" s="9">
        <f>ROUND(SUM(I3384:L3384),2)</f>
        <v/>
      </c>
      <c r="N3384" s="10">
        <f>ROUND(I3384*'Irish Basis'!$C$6*'Irish Basis'!$C$5,2)</f>
        <v/>
      </c>
      <c r="O3384" s="10">
        <f>ROUND(J3384*'Irish Basis'!$C$7*'Irish Basis'!$C$5,2)</f>
        <v/>
      </c>
      <c r="P3384" s="10">
        <f>ROUND(K3384*'Irish Basis'!$C$8*'Irish Basis'!$C$5,2)</f>
        <v/>
      </c>
      <c r="Q3384" s="10">
        <f>ROUND(L3384*'Irish Basis'!$C$12*'Irish Basis'!$C$5,2)</f>
        <v/>
      </c>
      <c r="R3384" s="11">
        <f>ROUND(SUM(N3384:Q3384),2)</f>
        <v/>
      </c>
      <c r="S3384" s="5" t="inlineStr">
        <is>
          <t>Stated build-up</t>
        </is>
      </c>
      <c r="T3384" s="12" t="inlineStr">
        <is>
          <t>High</t>
        </is>
      </c>
      <c r="U3384" s="8" t="n">
        <v>1062.07</v>
      </c>
      <c r="V3384" s="13">
        <f>IF(U3384="","",ROUND(M3384-U3384,2))</f>
        <v/>
      </c>
      <c r="W3384" s="5" t="n"/>
      <c r="X3384" s="5" t="inlineStr">
        <is>
          <t>Labour + plant + material as published; reconciles to the published rate.</t>
        </is>
      </c>
    </row>
    <row r="3385" ht="13" customHeight="1">
      <c r="A3385" s="4" t="n">
        <v>5147</v>
      </c>
      <c r="B3385" s="5" t="inlineStr">
        <is>
          <t>IMG_0135</t>
        </is>
      </c>
      <c r="C3385" s="5" t="inlineStr">
        <is>
          <t>CLASS S: RAIL TRACK</t>
        </is>
      </c>
      <c r="D3385" s="5" t="inlineStr">
        <is>
          <t>07 TRACK (SUPPLY &amp; INSTALLATION)</t>
        </is>
      </c>
      <c r="E3385" s="5" t="inlineStr">
        <is>
          <t>Flat bottom rails; BS11 Delivered in standard 18.288 m lengths; Jointed with fishplates; Softwood sleepers; BS 113 'A' section, 40 kg/m; for jointed track</t>
        </is>
      </c>
      <c r="F3385" s="5" t="inlineStr">
        <is>
          <t>extra for curved rails to form super elevation; Radius over 600 mm</t>
        </is>
      </c>
      <c r="G3385" s="6" t="inlineStr">
        <is>
          <t>%</t>
        </is>
      </c>
      <c r="H3385" s="7" t="n"/>
      <c r="I3385" s="8" t="n">
        <v>1.25</v>
      </c>
      <c r="J3385" s="8" t="n">
        <v>12.22</v>
      </c>
      <c r="K3385" s="8" t="n">
        <v>15.4</v>
      </c>
      <c r="L3385" s="8" t="n">
        <v>0</v>
      </c>
      <c r="M3385" s="9">
        <f>ROUND(SUM(I3385:L3385),2)</f>
        <v/>
      </c>
      <c r="N3385" s="10">
        <f>ROUND(I3385*'Irish Basis'!$C$6*'Irish Basis'!$C$5,2)</f>
        <v/>
      </c>
      <c r="O3385" s="10">
        <f>ROUND(J3385*'Irish Basis'!$C$7*'Irish Basis'!$C$5,2)</f>
        <v/>
      </c>
      <c r="P3385" s="10">
        <f>ROUND(K3385*'Irish Basis'!$C$8*'Irish Basis'!$C$5,2)</f>
        <v/>
      </c>
      <c r="Q3385" s="10">
        <f>ROUND(L3385*'Irish Basis'!$C$12*'Irish Basis'!$C$5,2)</f>
        <v/>
      </c>
      <c r="R3385" s="11">
        <f>ROUND(SUM(N3385:Q3385),2)</f>
        <v/>
      </c>
      <c r="S3385" s="5" t="inlineStr">
        <is>
          <t>Apportioned (sub-heading)</t>
        </is>
      </c>
      <c r="T3385" s="16" t="inlineStr">
        <is>
          <t>Medium</t>
        </is>
      </c>
      <c r="U3385" s="8" t="n">
        <v>28.87</v>
      </c>
      <c r="V3385" s="13">
        <f>IF(U3385="","",ROUND(M3385-U3385,2))</f>
        <v/>
      </c>
      <c r="W3385" s="5" t="n"/>
      <c r="X3385" s="5" t="inlineStr">
        <is>
          <t>Split from published rate using median L/P/M shares of 3 comparable build-ups at sub-heading level (4/42/53).</t>
        </is>
      </c>
    </row>
    <row r="3386" ht="13" customHeight="1">
      <c r="A3386" s="4" t="n">
        <v>5149</v>
      </c>
      <c r="B3386" s="5" t="inlineStr">
        <is>
          <t>IMG_0135</t>
        </is>
      </c>
      <c r="C3386" s="5" t="inlineStr">
        <is>
          <t>CLASS S: RAIL TRACK</t>
        </is>
      </c>
      <c r="D3386" s="5" t="inlineStr">
        <is>
          <t>07 TRACK (SUPPLY &amp; INSTALLATION)</t>
        </is>
      </c>
      <c r="E3386" s="5" t="inlineStr">
        <is>
          <t>Flat bottom rails; BS11 Delivered in standard 18.288 m lengths; Jointed with fishplates; Concrete sleepers; BS 113 'A' section, 40 kg/m; for jointed track</t>
        </is>
      </c>
      <c r="F3386" s="5" t="inlineStr">
        <is>
          <t>plain track</t>
        </is>
      </c>
      <c r="G3386" s="6" t="inlineStr">
        <is>
          <t>m</t>
        </is>
      </c>
      <c r="H3386" s="7" t="n">
        <v>0.23</v>
      </c>
      <c r="I3386" s="8" t="n">
        <v>45.62</v>
      </c>
      <c r="J3386" s="8" t="n">
        <v>446.67</v>
      </c>
      <c r="K3386" s="8" t="n">
        <v>622.1</v>
      </c>
      <c r="L3386" s="8" t="n">
        <v>0</v>
      </c>
      <c r="M3386" s="9">
        <f>ROUND(SUM(I3386:L3386),2)</f>
        <v/>
      </c>
      <c r="N3386" s="10">
        <f>ROUND(I3386*'Irish Basis'!$C$6*'Irish Basis'!$C$5,2)</f>
        <v/>
      </c>
      <c r="O3386" s="10">
        <f>ROUND(J3386*'Irish Basis'!$C$7*'Irish Basis'!$C$5,2)</f>
        <v/>
      </c>
      <c r="P3386" s="10">
        <f>ROUND(K3386*'Irish Basis'!$C$8*'Irish Basis'!$C$5,2)</f>
        <v/>
      </c>
      <c r="Q3386" s="10">
        <f>ROUND(L3386*'Irish Basis'!$C$12*'Irish Basis'!$C$5,2)</f>
        <v/>
      </c>
      <c r="R3386" s="11">
        <f>ROUND(SUM(N3386:Q3386),2)</f>
        <v/>
      </c>
      <c r="S3386" s="5" t="inlineStr">
        <is>
          <t>Stated build-up</t>
        </is>
      </c>
      <c r="T3386" s="12" t="inlineStr">
        <is>
          <t>High</t>
        </is>
      </c>
      <c r="U3386" s="8" t="n">
        <v>1114.39</v>
      </c>
      <c r="V3386" s="13">
        <f>IF(U3386="","",ROUND(M3386-U3386,2))</f>
        <v/>
      </c>
      <c r="W3386" s="5" t="n"/>
      <c r="X3386" s="5" t="inlineStr">
        <is>
          <t>Labour + plant + material as published; reconciles to the published rate.</t>
        </is>
      </c>
    </row>
    <row r="3387" ht="13" customHeight="1">
      <c r="A3387" s="4" t="n">
        <v>5150</v>
      </c>
      <c r="B3387" s="5" t="inlineStr">
        <is>
          <t>IMG_0135</t>
        </is>
      </c>
      <c r="C3387" s="5" t="inlineStr">
        <is>
          <t>CLASS S: RAIL TRACK</t>
        </is>
      </c>
      <c r="D3387" s="5" t="inlineStr">
        <is>
          <t>07 TRACK (SUPPLY &amp; INSTALLATION)</t>
        </is>
      </c>
      <c r="E3387" s="5" t="inlineStr">
        <is>
          <t>Flat bottom rails; BS11 Delivered in standard 18.288 m lengths; Jointed with fishplates; Concrete sleepers; BS 113 'A' section, 40 kg/m; for jointed track</t>
        </is>
      </c>
      <c r="F3387" s="5" t="inlineStr">
        <is>
          <t>form curve in plain track, radius ne 300 m</t>
        </is>
      </c>
      <c r="G3387" s="6" t="inlineStr">
        <is>
          <t>m</t>
        </is>
      </c>
      <c r="H3387" s="7" t="n">
        <v>0.23</v>
      </c>
      <c r="I3387" s="8" t="n">
        <v>45.73</v>
      </c>
      <c r="J3387" s="8" t="n">
        <v>446.67</v>
      </c>
      <c r="K3387" s="8" t="n">
        <v>634.05</v>
      </c>
      <c r="L3387" s="8" t="n">
        <v>0</v>
      </c>
      <c r="M3387" s="9">
        <f>ROUND(SUM(I3387:L3387),2)</f>
        <v/>
      </c>
      <c r="N3387" s="10">
        <f>ROUND(I3387*'Irish Basis'!$C$6*'Irish Basis'!$C$5,2)</f>
        <v/>
      </c>
      <c r="O3387" s="10">
        <f>ROUND(J3387*'Irish Basis'!$C$7*'Irish Basis'!$C$5,2)</f>
        <v/>
      </c>
      <c r="P3387" s="10">
        <f>ROUND(K3387*'Irish Basis'!$C$8*'Irish Basis'!$C$5,2)</f>
        <v/>
      </c>
      <c r="Q3387" s="10">
        <f>ROUND(L3387*'Irish Basis'!$C$12*'Irish Basis'!$C$5,2)</f>
        <v/>
      </c>
      <c r="R3387" s="11">
        <f>ROUND(SUM(N3387:Q3387),2)</f>
        <v/>
      </c>
      <c r="S3387" s="5" t="inlineStr">
        <is>
          <t>Stated build-up</t>
        </is>
      </c>
      <c r="T3387" s="12" t="inlineStr">
        <is>
          <t>High</t>
        </is>
      </c>
      <c r="U3387" s="8" t="n">
        <v>1126.45</v>
      </c>
      <c r="V3387" s="13">
        <f>IF(U3387="","",ROUND(M3387-U3387,2))</f>
        <v/>
      </c>
      <c r="W3387" s="5" t="n"/>
      <c r="X3387" s="5" t="inlineStr">
        <is>
          <t>Labour + plant + material as published; reconciles to the published rate.</t>
        </is>
      </c>
    </row>
    <row r="3388" ht="13" customHeight="1">
      <c r="A3388" s="4" t="n">
        <v>5151</v>
      </c>
      <c r="B3388" s="5" t="inlineStr">
        <is>
          <t>IMG_0135</t>
        </is>
      </c>
      <c r="C3388" s="5" t="inlineStr">
        <is>
          <t>CLASS S: RAIL TRACK</t>
        </is>
      </c>
      <c r="D3388" s="5" t="inlineStr">
        <is>
          <t>07 TRACK (SUPPLY &amp; INSTALLATION)</t>
        </is>
      </c>
      <c r="E3388" s="5" t="inlineStr">
        <is>
          <t>Flat bottom rails; BS11 Delivered in standard 18.288 m lengths; Jointed with fishplates; Concrete sleepers; BS 113 'A' section, 40 kg/m; for jointed track</t>
        </is>
      </c>
      <c r="F3388" s="5" t="inlineStr">
        <is>
          <t>form curve in plain track, radius over 300 m</t>
        </is>
      </c>
      <c r="G3388" s="6" t="inlineStr">
        <is>
          <t>m</t>
        </is>
      </c>
      <c r="H3388" s="7" t="n">
        <v>0.23</v>
      </c>
      <c r="I3388" s="8" t="n">
        <v>45.62</v>
      </c>
      <c r="J3388" s="8" t="n">
        <v>446.67</v>
      </c>
      <c r="K3388" s="8" t="n">
        <v>641.08</v>
      </c>
      <c r="L3388" s="8" t="n">
        <v>0</v>
      </c>
      <c r="M3388" s="9">
        <f>ROUND(SUM(I3388:L3388),2)</f>
        <v/>
      </c>
      <c r="N3388" s="10">
        <f>ROUND(I3388*'Irish Basis'!$C$6*'Irish Basis'!$C$5,2)</f>
        <v/>
      </c>
      <c r="O3388" s="10">
        <f>ROUND(J3388*'Irish Basis'!$C$7*'Irish Basis'!$C$5,2)</f>
        <v/>
      </c>
      <c r="P3388" s="10">
        <f>ROUND(K3388*'Irish Basis'!$C$8*'Irish Basis'!$C$5,2)</f>
        <v/>
      </c>
      <c r="Q3388" s="10">
        <f>ROUND(L3388*'Irish Basis'!$C$12*'Irish Basis'!$C$5,2)</f>
        <v/>
      </c>
      <c r="R3388" s="11">
        <f>ROUND(SUM(N3388:Q3388),2)</f>
        <v/>
      </c>
      <c r="S3388" s="5" t="inlineStr">
        <is>
          <t>Stated build-up</t>
        </is>
      </c>
      <c r="T3388" s="12" t="inlineStr">
        <is>
          <t>High</t>
        </is>
      </c>
      <c r="U3388" s="8" t="n">
        <v>1133.37</v>
      </c>
      <c r="V3388" s="13">
        <f>IF(U3388="","",ROUND(M3388-U3388,2))</f>
        <v/>
      </c>
      <c r="W3388" s="5" t="n"/>
      <c r="X3388" s="5" t="inlineStr">
        <is>
          <t>Labour + plant + material as published; reconciles to the published rate.</t>
        </is>
      </c>
    </row>
    <row r="3389" ht="13" customHeight="1">
      <c r="A3389" s="4" t="n">
        <v>5152</v>
      </c>
      <c r="B3389" s="5" t="inlineStr">
        <is>
          <t>IMG_0135</t>
        </is>
      </c>
      <c r="C3389" s="5" t="inlineStr">
        <is>
          <t>CLASS S: RAIL TRACK</t>
        </is>
      </c>
      <c r="D3389" s="5" t="inlineStr">
        <is>
          <t>07 TRACK (SUPPLY &amp; INSTALLATION)</t>
        </is>
      </c>
      <c r="E3389" s="5" t="inlineStr">
        <is>
          <t>Flat bottom rails; BS11 Delivered in standard 18.288 m lengths; Jointed with fishplates; Concrete sleepers; BS 113 'A' section, 40 kg/m; for jointed track</t>
        </is>
      </c>
      <c r="F3389" s="5" t="inlineStr">
        <is>
          <t>extra for curved rails to form super elevation; Radius over 600 mm</t>
        </is>
      </c>
      <c r="G3389" s="6" t="inlineStr">
        <is>
          <t>%</t>
        </is>
      </c>
      <c r="H3389" s="7" t="n"/>
      <c r="I3389" s="8" t="n">
        <v>1.17</v>
      </c>
      <c r="J3389" s="8" t="n">
        <v>11.45</v>
      </c>
      <c r="K3389" s="8" t="n">
        <v>16.25</v>
      </c>
      <c r="L3389" s="8" t="n">
        <v>0</v>
      </c>
      <c r="M3389" s="9">
        <f>ROUND(SUM(I3389:L3389),2)</f>
        <v/>
      </c>
      <c r="N3389" s="10">
        <f>ROUND(I3389*'Irish Basis'!$C$6*'Irish Basis'!$C$5,2)</f>
        <v/>
      </c>
      <c r="O3389" s="10">
        <f>ROUND(J3389*'Irish Basis'!$C$7*'Irish Basis'!$C$5,2)</f>
        <v/>
      </c>
      <c r="P3389" s="10">
        <f>ROUND(K3389*'Irish Basis'!$C$8*'Irish Basis'!$C$5,2)</f>
        <v/>
      </c>
      <c r="Q3389" s="10">
        <f>ROUND(L3389*'Irish Basis'!$C$12*'Irish Basis'!$C$5,2)</f>
        <v/>
      </c>
      <c r="R3389" s="11">
        <f>ROUND(SUM(N3389:Q3389),2)</f>
        <v/>
      </c>
      <c r="S3389" s="5" t="inlineStr">
        <is>
          <t>Apportioned (sub-heading)</t>
        </is>
      </c>
      <c r="T3389" s="16" t="inlineStr">
        <is>
          <t>Medium</t>
        </is>
      </c>
      <c r="U3389" s="8" t="n">
        <v>28.87</v>
      </c>
      <c r="V3389" s="13">
        <f>IF(U3389="","",ROUND(M3389-U3389,2))</f>
        <v/>
      </c>
      <c r="W3389" s="5" t="n"/>
      <c r="X3389" s="5" t="inlineStr">
        <is>
          <t>Split from published rate using median L/P/M shares of 3 comparable build-ups at sub-heading level (4/40/56).</t>
        </is>
      </c>
    </row>
    <row r="3390" ht="13" customHeight="1">
      <c r="A3390" s="4" t="n">
        <v>5154</v>
      </c>
      <c r="B3390" s="5" t="inlineStr">
        <is>
          <t>IMG_0135</t>
        </is>
      </c>
      <c r="C3390" s="5" t="inlineStr">
        <is>
          <t>CLASS S: RAIL TRACK</t>
        </is>
      </c>
      <c r="D3390" s="5" t="inlineStr">
        <is>
          <t>07 TRACK (SUPPLY &amp; INSTALLATION)</t>
        </is>
      </c>
      <c r="E3390" s="5" t="inlineStr">
        <is>
          <t>Flat bottom rails; BS11 Delivered in standard 18.288 m lengths; Welded joints; Softwood sleepers; BS 113 'A' section, 40 kg/m; for jointed track</t>
        </is>
      </c>
      <c r="F3390" s="5" t="inlineStr">
        <is>
          <t>plain track</t>
        </is>
      </c>
      <c r="G3390" s="6" t="inlineStr">
        <is>
          <t>m</t>
        </is>
      </c>
      <c r="H3390" s="7" t="n">
        <v>0.23</v>
      </c>
      <c r="I3390" s="8" t="n">
        <v>45.62</v>
      </c>
      <c r="J3390" s="8" t="n">
        <v>446.67</v>
      </c>
      <c r="K3390" s="8" t="n">
        <v>534.28</v>
      </c>
      <c r="L3390" s="8" t="n">
        <v>0</v>
      </c>
      <c r="M3390" s="9">
        <f>ROUND(SUM(I3390:L3390),2)</f>
        <v/>
      </c>
      <c r="N3390" s="10">
        <f>ROUND(I3390*'Irish Basis'!$C$6*'Irish Basis'!$C$5,2)</f>
        <v/>
      </c>
      <c r="O3390" s="10">
        <f>ROUND(J3390*'Irish Basis'!$C$7*'Irish Basis'!$C$5,2)</f>
        <v/>
      </c>
      <c r="P3390" s="10">
        <f>ROUND(K3390*'Irish Basis'!$C$8*'Irish Basis'!$C$5,2)</f>
        <v/>
      </c>
      <c r="Q3390" s="10">
        <f>ROUND(L3390*'Irish Basis'!$C$12*'Irish Basis'!$C$5,2)</f>
        <v/>
      </c>
      <c r="R3390" s="11">
        <f>ROUND(SUM(N3390:Q3390),2)</f>
        <v/>
      </c>
      <c r="S3390" s="5" t="inlineStr">
        <is>
          <t>Stated build-up</t>
        </is>
      </c>
      <c r="T3390" s="12" t="inlineStr">
        <is>
          <t>High</t>
        </is>
      </c>
      <c r="U3390" s="8" t="n">
        <v>1026.57</v>
      </c>
      <c r="V3390" s="13">
        <f>IF(U3390="","",ROUND(M3390-U3390,2))</f>
        <v/>
      </c>
      <c r="W3390" s="5" t="n"/>
      <c r="X3390" s="5" t="inlineStr">
        <is>
          <t>Labour + plant + material as published; reconciles to the published rate.</t>
        </is>
      </c>
    </row>
    <row r="3391" ht="13" customHeight="1">
      <c r="A3391" s="4" t="n">
        <v>5155</v>
      </c>
      <c r="B3391" s="5" t="inlineStr">
        <is>
          <t>IMG_0135</t>
        </is>
      </c>
      <c r="C3391" s="5" t="inlineStr">
        <is>
          <t>CLASS S: RAIL TRACK</t>
        </is>
      </c>
      <c r="D3391" s="5" t="inlineStr">
        <is>
          <t>07 TRACK (SUPPLY &amp; INSTALLATION)</t>
        </is>
      </c>
      <c r="E3391" s="5" t="inlineStr">
        <is>
          <t>Flat bottom rails; BS11 Delivered in standard 18.288 m lengths; Welded joints; Softwood sleepers; BS 113 'A' section, 40 kg/m; for jointed track</t>
        </is>
      </c>
      <c r="F3391" s="5" t="inlineStr">
        <is>
          <t>form curve in plain track, radius ne 300 m</t>
        </is>
      </c>
      <c r="G3391" s="6" t="inlineStr">
        <is>
          <t>m</t>
        </is>
      </c>
      <c r="H3391" s="7" t="n">
        <v>0.23</v>
      </c>
      <c r="I3391" s="8" t="n">
        <v>45.62</v>
      </c>
      <c r="J3391" s="8" t="n">
        <v>446.67</v>
      </c>
      <c r="K3391" s="8" t="n">
        <v>546.24</v>
      </c>
      <c r="L3391" s="8" t="n">
        <v>0</v>
      </c>
      <c r="M3391" s="9">
        <f>ROUND(SUM(I3391:L3391),2)</f>
        <v/>
      </c>
      <c r="N3391" s="10">
        <f>ROUND(I3391*'Irish Basis'!$C$6*'Irish Basis'!$C$5,2)</f>
        <v/>
      </c>
      <c r="O3391" s="10">
        <f>ROUND(J3391*'Irish Basis'!$C$7*'Irish Basis'!$C$5,2)</f>
        <v/>
      </c>
      <c r="P3391" s="10">
        <f>ROUND(K3391*'Irish Basis'!$C$8*'Irish Basis'!$C$5,2)</f>
        <v/>
      </c>
      <c r="Q3391" s="10">
        <f>ROUND(L3391*'Irish Basis'!$C$12*'Irish Basis'!$C$5,2)</f>
        <v/>
      </c>
      <c r="R3391" s="11">
        <f>ROUND(SUM(N3391:Q3391),2)</f>
        <v/>
      </c>
      <c r="S3391" s="5" t="inlineStr">
        <is>
          <t>Stated build-up</t>
        </is>
      </c>
      <c r="T3391" s="12" t="inlineStr">
        <is>
          <t>High</t>
        </is>
      </c>
      <c r="U3391" s="8" t="n">
        <v>1038.53</v>
      </c>
      <c r="V3391" s="13">
        <f>IF(U3391="","",ROUND(M3391-U3391,2))</f>
        <v/>
      </c>
      <c r="W3391" s="5" t="n"/>
      <c r="X3391" s="5" t="inlineStr">
        <is>
          <t>Labour + plant + material as published; reconciles to the published rate.</t>
        </is>
      </c>
    </row>
    <row r="3392" ht="13" customHeight="1">
      <c r="A3392" s="4" t="n">
        <v>5156</v>
      </c>
      <c r="B3392" s="5" t="inlineStr">
        <is>
          <t>IMG_0135</t>
        </is>
      </c>
      <c r="C3392" s="5" t="inlineStr">
        <is>
          <t>CLASS S: RAIL TRACK</t>
        </is>
      </c>
      <c r="D3392" s="5" t="inlineStr">
        <is>
          <t>07 TRACK (SUPPLY &amp; INSTALLATION)</t>
        </is>
      </c>
      <c r="E3392" s="5" t="inlineStr">
        <is>
          <t>Flat bottom rails; BS11 Delivered in standard 18.288 m lengths; Welded joints; Softwood sleepers; BS 113 'A' section, 40 kg/m; for jointed track</t>
        </is>
      </c>
      <c r="F3392" s="5" t="inlineStr">
        <is>
          <t>form curve in plain track, radius over 300 m</t>
        </is>
      </c>
      <c r="G3392" s="6" t="inlineStr">
        <is>
          <t>m</t>
        </is>
      </c>
      <c r="H3392" s="7" t="n">
        <v>0.25</v>
      </c>
      <c r="I3392" s="8" t="n">
        <v>50.69</v>
      </c>
      <c r="J3392" s="8" t="n">
        <v>446.67</v>
      </c>
      <c r="K3392" s="8" t="n">
        <v>553.26</v>
      </c>
      <c r="L3392" s="8" t="n">
        <v>0</v>
      </c>
      <c r="M3392" s="9">
        <f>ROUND(SUM(I3392:L3392),2)</f>
        <v/>
      </c>
      <c r="N3392" s="10">
        <f>ROUND(I3392*'Irish Basis'!$C$6*'Irish Basis'!$C$5,2)</f>
        <v/>
      </c>
      <c r="O3392" s="10">
        <f>ROUND(J3392*'Irish Basis'!$C$7*'Irish Basis'!$C$5,2)</f>
        <v/>
      </c>
      <c r="P3392" s="10">
        <f>ROUND(K3392*'Irish Basis'!$C$8*'Irish Basis'!$C$5,2)</f>
        <v/>
      </c>
      <c r="Q3392" s="10">
        <f>ROUND(L3392*'Irish Basis'!$C$12*'Irish Basis'!$C$5,2)</f>
        <v/>
      </c>
      <c r="R3392" s="11">
        <f>ROUND(SUM(N3392:Q3392),2)</f>
        <v/>
      </c>
      <c r="S3392" s="5" t="inlineStr">
        <is>
          <t>Stated build-up</t>
        </is>
      </c>
      <c r="T3392" s="12" t="inlineStr">
        <is>
          <t>High</t>
        </is>
      </c>
      <c r="U3392" s="8" t="n">
        <v>1050.63</v>
      </c>
      <c r="V3392" s="13">
        <f>IF(U3392="","",ROUND(M3392-U3392,2))</f>
        <v/>
      </c>
      <c r="W3392" s="5" t="n"/>
      <c r="X3392" s="5" t="inlineStr">
        <is>
          <t>Labour + plant + material as published; reconciles to the published rate.</t>
        </is>
      </c>
    </row>
    <row r="3393" ht="13" customHeight="1">
      <c r="A3393" s="4" t="n">
        <v>5157</v>
      </c>
      <c r="B3393" s="5" t="inlineStr">
        <is>
          <t>IMG_0135</t>
        </is>
      </c>
      <c r="C3393" s="5" t="inlineStr">
        <is>
          <t>CLASS S: RAIL TRACK</t>
        </is>
      </c>
      <c r="D3393" s="5" t="inlineStr">
        <is>
          <t>07 TRACK (SUPPLY &amp; INSTALLATION)</t>
        </is>
      </c>
      <c r="E3393" s="5" t="inlineStr">
        <is>
          <t>Flat bottom rails; BS11 Delivered in standard 18.288 m lengths; Welded joints; Softwood sleepers; BS 113 'A' section, 40 kg/m; for jointed track</t>
        </is>
      </c>
      <c r="F3393" s="5" t="inlineStr">
        <is>
          <t>extra for curved rails to form super elevation; Radius over 600 mm</t>
        </is>
      </c>
      <c r="G3393" s="6" t="inlineStr">
        <is>
          <t>%</t>
        </is>
      </c>
      <c r="H3393" s="7" t="n"/>
      <c r="I3393" s="8" t="n">
        <v>1.28</v>
      </c>
      <c r="J3393" s="8" t="n">
        <v>12.41</v>
      </c>
      <c r="K3393" s="8" t="n">
        <v>15.18</v>
      </c>
      <c r="L3393" s="8" t="n">
        <v>0</v>
      </c>
      <c r="M3393" s="9">
        <f>ROUND(SUM(I3393:L3393),2)</f>
        <v/>
      </c>
      <c r="N3393" s="10">
        <f>ROUND(I3393*'Irish Basis'!$C$6*'Irish Basis'!$C$5,2)</f>
        <v/>
      </c>
      <c r="O3393" s="10">
        <f>ROUND(J3393*'Irish Basis'!$C$7*'Irish Basis'!$C$5,2)</f>
        <v/>
      </c>
      <c r="P3393" s="10">
        <f>ROUND(K3393*'Irish Basis'!$C$8*'Irish Basis'!$C$5,2)</f>
        <v/>
      </c>
      <c r="Q3393" s="10">
        <f>ROUND(L3393*'Irish Basis'!$C$12*'Irish Basis'!$C$5,2)</f>
        <v/>
      </c>
      <c r="R3393" s="11">
        <f>ROUND(SUM(N3393:Q3393),2)</f>
        <v/>
      </c>
      <c r="S3393" s="5" t="inlineStr">
        <is>
          <t>Apportioned (sub-heading)</t>
        </is>
      </c>
      <c r="T3393" s="16" t="inlineStr">
        <is>
          <t>Medium</t>
        </is>
      </c>
      <c r="U3393" s="8" t="n">
        <v>28.87</v>
      </c>
      <c r="V3393" s="13">
        <f>IF(U3393="","",ROUND(M3393-U3393,2))</f>
        <v/>
      </c>
      <c r="W3393" s="5" t="n"/>
      <c r="X3393" s="5" t="inlineStr">
        <is>
          <t>Split from published rate using median L/P/M shares of 3 comparable build-ups at sub-heading level (4/43/53).</t>
        </is>
      </c>
    </row>
    <row r="3394" ht="13" customHeight="1">
      <c r="A3394" s="4" t="n">
        <v>5159</v>
      </c>
      <c r="B3394" s="5" t="inlineStr">
        <is>
          <t>IMG_0135</t>
        </is>
      </c>
      <c r="C3394" s="5" t="inlineStr">
        <is>
          <t>CLASS S: RAIL TRACK</t>
        </is>
      </c>
      <c r="D3394" s="5" t="inlineStr">
        <is>
          <t>07 TRACK (SUPPLY &amp; INSTALLATION)</t>
        </is>
      </c>
      <c r="E3394" s="5" t="inlineStr">
        <is>
          <t>Flat bottom rails; BS11 Delivered in standard 18.288 m lengths; Welded joints; Concrete sleepers; BS 113 'A' section, 40 kg/m; for jointed track</t>
        </is>
      </c>
      <c r="F3394" s="5" t="inlineStr">
        <is>
          <t>plain track</t>
        </is>
      </c>
      <c r="G3394" s="6" t="inlineStr">
        <is>
          <t>m</t>
        </is>
      </c>
      <c r="H3394" s="7" t="n">
        <v>0.23</v>
      </c>
      <c r="I3394" s="8" t="n">
        <v>45.62</v>
      </c>
      <c r="J3394" s="8" t="n">
        <v>446.67</v>
      </c>
      <c r="K3394" s="8" t="n">
        <v>605.58</v>
      </c>
      <c r="L3394" s="8" t="n">
        <v>0</v>
      </c>
      <c r="M3394" s="9">
        <f>ROUND(SUM(I3394:L3394),2)</f>
        <v/>
      </c>
      <c r="N3394" s="10">
        <f>ROUND(I3394*'Irish Basis'!$C$6*'Irish Basis'!$C$5,2)</f>
        <v/>
      </c>
      <c r="O3394" s="10">
        <f>ROUND(J3394*'Irish Basis'!$C$7*'Irish Basis'!$C$5,2)</f>
        <v/>
      </c>
      <c r="P3394" s="10">
        <f>ROUND(K3394*'Irish Basis'!$C$8*'Irish Basis'!$C$5,2)</f>
        <v/>
      </c>
      <c r="Q3394" s="10">
        <f>ROUND(L3394*'Irish Basis'!$C$12*'Irish Basis'!$C$5,2)</f>
        <v/>
      </c>
      <c r="R3394" s="11">
        <f>ROUND(SUM(N3394:Q3394),2)</f>
        <v/>
      </c>
      <c r="S3394" s="5" t="inlineStr">
        <is>
          <t>Stated build-up</t>
        </is>
      </c>
      <c r="T3394" s="12" t="inlineStr">
        <is>
          <t>High</t>
        </is>
      </c>
      <c r="U3394" s="8" t="n">
        <v>1097.87</v>
      </c>
      <c r="V3394" s="13">
        <f>IF(U3394="","",ROUND(M3394-U3394,2))</f>
        <v/>
      </c>
      <c r="W3394" s="5" t="n"/>
      <c r="X3394" s="5" t="inlineStr">
        <is>
          <t>Labour + plant + material as published; reconciles to the published rate.</t>
        </is>
      </c>
    </row>
    <row r="3395" ht="13" customHeight="1">
      <c r="A3395" s="4" t="n">
        <v>5160</v>
      </c>
      <c r="B3395" s="5" t="inlineStr">
        <is>
          <t>IMG_0135</t>
        </is>
      </c>
      <c r="C3395" s="5" t="inlineStr">
        <is>
          <t>CLASS S: RAIL TRACK</t>
        </is>
      </c>
      <c r="D3395" s="5" t="inlineStr">
        <is>
          <t>07 TRACK (SUPPLY &amp; INSTALLATION)</t>
        </is>
      </c>
      <c r="E3395" s="5" t="inlineStr">
        <is>
          <t>Flat bottom rails; BS11 Delivered in standard 18.288 m lengths; Welded joints; Concrete sleepers; BS 113 'A' section, 40 kg/m; for jointed track</t>
        </is>
      </c>
      <c r="F3395" s="5" t="inlineStr">
        <is>
          <t>form curve in plain track, radius ne 300 m</t>
        </is>
      </c>
      <c r="G3395" s="6" t="inlineStr">
        <is>
          <t>m</t>
        </is>
      </c>
      <c r="H3395" s="7" t="n">
        <v>0.23</v>
      </c>
      <c r="I3395" s="8" t="n">
        <v>45.62</v>
      </c>
      <c r="J3395" s="8" t="n">
        <v>446.67</v>
      </c>
      <c r="K3395" s="8" t="n">
        <v>617.54</v>
      </c>
      <c r="L3395" s="8" t="n">
        <v>0</v>
      </c>
      <c r="M3395" s="9">
        <f>ROUND(SUM(I3395:L3395),2)</f>
        <v/>
      </c>
      <c r="N3395" s="10">
        <f>ROUND(I3395*'Irish Basis'!$C$6*'Irish Basis'!$C$5,2)</f>
        <v/>
      </c>
      <c r="O3395" s="10">
        <f>ROUND(J3395*'Irish Basis'!$C$7*'Irish Basis'!$C$5,2)</f>
        <v/>
      </c>
      <c r="P3395" s="10">
        <f>ROUND(K3395*'Irish Basis'!$C$8*'Irish Basis'!$C$5,2)</f>
        <v/>
      </c>
      <c r="Q3395" s="10">
        <f>ROUND(L3395*'Irish Basis'!$C$12*'Irish Basis'!$C$5,2)</f>
        <v/>
      </c>
      <c r="R3395" s="11">
        <f>ROUND(SUM(N3395:Q3395),2)</f>
        <v/>
      </c>
      <c r="S3395" s="5" t="inlineStr">
        <is>
          <t>Stated build-up</t>
        </is>
      </c>
      <c r="T3395" s="12" t="inlineStr">
        <is>
          <t>High</t>
        </is>
      </c>
      <c r="U3395" s="8" t="n">
        <v>1109.83</v>
      </c>
      <c r="V3395" s="13">
        <f>IF(U3395="","",ROUND(M3395-U3395,2))</f>
        <v/>
      </c>
      <c r="W3395" s="5" t="n"/>
      <c r="X3395" s="5" t="inlineStr">
        <is>
          <t>Labour + plant + material as published; reconciles to the published rate.</t>
        </is>
      </c>
    </row>
    <row r="3396" ht="13" customHeight="1">
      <c r="A3396" s="4" t="n">
        <v>5161</v>
      </c>
      <c r="B3396" s="5" t="inlineStr">
        <is>
          <t>IMG_0135</t>
        </is>
      </c>
      <c r="C3396" s="5" t="inlineStr">
        <is>
          <t>CLASS S: RAIL TRACK</t>
        </is>
      </c>
      <c r="D3396" s="5" t="inlineStr">
        <is>
          <t>07 TRACK (SUPPLY &amp; INSTALLATION)</t>
        </is>
      </c>
      <c r="E3396" s="5" t="inlineStr">
        <is>
          <t>Flat bottom rails; BS11 Delivered in standard 18.288 m lengths; Welded joints; Concrete sleepers; BS 113 'A' section, 40 kg/m; for jointed track</t>
        </is>
      </c>
      <c r="F3396" s="5" t="inlineStr">
        <is>
          <t>form curve in plain track, radius over 300 m</t>
        </is>
      </c>
      <c r="G3396" s="6" t="inlineStr">
        <is>
          <t>m</t>
        </is>
      </c>
      <c r="H3396" s="7" t="n">
        <v>0.23</v>
      </c>
      <c r="I3396" s="8" t="n">
        <v>45.62</v>
      </c>
      <c r="J3396" s="8" t="n">
        <v>446.67</v>
      </c>
      <c r="K3396" s="8" t="n">
        <v>624.5599999999999</v>
      </c>
      <c r="L3396" s="8" t="n">
        <v>0</v>
      </c>
      <c r="M3396" s="9">
        <f>ROUND(SUM(I3396:L3396),2)</f>
        <v/>
      </c>
      <c r="N3396" s="10">
        <f>ROUND(I3396*'Irish Basis'!$C$6*'Irish Basis'!$C$5,2)</f>
        <v/>
      </c>
      <c r="O3396" s="10">
        <f>ROUND(J3396*'Irish Basis'!$C$7*'Irish Basis'!$C$5,2)</f>
        <v/>
      </c>
      <c r="P3396" s="10">
        <f>ROUND(K3396*'Irish Basis'!$C$8*'Irish Basis'!$C$5,2)</f>
        <v/>
      </c>
      <c r="Q3396" s="10">
        <f>ROUND(L3396*'Irish Basis'!$C$12*'Irish Basis'!$C$5,2)</f>
        <v/>
      </c>
      <c r="R3396" s="11">
        <f>ROUND(SUM(N3396:Q3396),2)</f>
        <v/>
      </c>
      <c r="S3396" s="5" t="inlineStr">
        <is>
          <t>Stated build-up</t>
        </is>
      </c>
      <c r="T3396" s="12" t="inlineStr">
        <is>
          <t>High</t>
        </is>
      </c>
      <c r="U3396" s="8" t="n">
        <v>1116.86</v>
      </c>
      <c r="V3396" s="13">
        <f>IF(U3396="","",ROUND(M3396-U3396,2))</f>
        <v/>
      </c>
      <c r="W3396" s="5" t="n"/>
      <c r="X3396" s="5" t="inlineStr">
        <is>
          <t>Labour + plant + material as published; reconciles to the published rate.</t>
        </is>
      </c>
    </row>
    <row r="3397" ht="13" customHeight="1">
      <c r="A3397" s="4" t="n">
        <v>5162</v>
      </c>
      <c r="B3397" s="5" t="inlineStr">
        <is>
          <t>IMG_0135</t>
        </is>
      </c>
      <c r="C3397" s="5" t="inlineStr">
        <is>
          <t>CLASS S: RAIL TRACK</t>
        </is>
      </c>
      <c r="D3397" s="5" t="inlineStr">
        <is>
          <t>07 TRACK (SUPPLY &amp; INSTALLATION)</t>
        </is>
      </c>
      <c r="E3397" s="5" t="inlineStr">
        <is>
          <t>Flat bottom rails; BS11 Delivered in standard 18.288 m lengths; Welded joints; Concrete sleepers; BS 113 'A' section, 40 kg/m; for jointed track</t>
        </is>
      </c>
      <c r="F3397" s="5" t="inlineStr">
        <is>
          <t>extra for curved rails to form super elevation; Radius over 600 mm</t>
        </is>
      </c>
      <c r="G3397" s="6" t="inlineStr">
        <is>
          <t>%</t>
        </is>
      </c>
      <c r="H3397" s="7" t="n"/>
      <c r="I3397" s="8" t="n">
        <v>1.19</v>
      </c>
      <c r="J3397" s="8" t="n">
        <v>11.62</v>
      </c>
      <c r="K3397" s="8" t="n">
        <v>16.06</v>
      </c>
      <c r="L3397" s="8" t="n">
        <v>0</v>
      </c>
      <c r="M3397" s="9">
        <f>ROUND(SUM(I3397:L3397),2)</f>
        <v/>
      </c>
      <c r="N3397" s="10">
        <f>ROUND(I3397*'Irish Basis'!$C$6*'Irish Basis'!$C$5,2)</f>
        <v/>
      </c>
      <c r="O3397" s="10">
        <f>ROUND(J3397*'Irish Basis'!$C$7*'Irish Basis'!$C$5,2)</f>
        <v/>
      </c>
      <c r="P3397" s="10">
        <f>ROUND(K3397*'Irish Basis'!$C$8*'Irish Basis'!$C$5,2)</f>
        <v/>
      </c>
      <c r="Q3397" s="10">
        <f>ROUND(L3397*'Irish Basis'!$C$12*'Irish Basis'!$C$5,2)</f>
        <v/>
      </c>
      <c r="R3397" s="11">
        <f>ROUND(SUM(N3397:Q3397),2)</f>
        <v/>
      </c>
      <c r="S3397" s="5" t="inlineStr">
        <is>
          <t>Apportioned (sub-heading)</t>
        </is>
      </c>
      <c r="T3397" s="16" t="inlineStr">
        <is>
          <t>Medium</t>
        </is>
      </c>
      <c r="U3397" s="8" t="n">
        <v>28.87</v>
      </c>
      <c r="V3397" s="13">
        <f>IF(U3397="","",ROUND(M3397-U3397,2))</f>
        <v/>
      </c>
      <c r="W3397" s="5" t="n"/>
      <c r="X3397" s="5" t="inlineStr">
        <is>
          <t>Split from published rate using median L/P/M shares of 3 comparable build-ups at sub-heading level (4/40/56).</t>
        </is>
      </c>
    </row>
    <row r="3398" ht="13" customHeight="1">
      <c r="A3398" s="4" t="n">
        <v>5164</v>
      </c>
      <c r="B3398" s="5" t="inlineStr">
        <is>
          <t>IMG_0135</t>
        </is>
      </c>
      <c r="C3398" s="5" t="inlineStr">
        <is>
          <t>CLASS S: RAIL TRACK</t>
        </is>
      </c>
      <c r="D3398" s="5" t="inlineStr">
        <is>
          <t>07 TRACK (SUPPLY &amp; INSTALLATION)</t>
        </is>
      </c>
      <c r="E3398" s="5" t="inlineStr">
        <is>
          <t>Prefabricated turnouts; Complete with closures, check rails, fittings, etc.</t>
        </is>
      </c>
      <c r="F3398" s="5" t="inlineStr">
        <is>
          <t>type B8; BS 95R bullhead rail with timber bearers</t>
        </is>
      </c>
      <c r="G3398" s="6" t="inlineStr">
        <is>
          <t>nr</t>
        </is>
      </c>
      <c r="H3398" s="7" t="n">
        <v>36</v>
      </c>
      <c r="I3398" s="8" t="n">
        <v>7299.87</v>
      </c>
      <c r="J3398" s="8" t="n">
        <v>287.99</v>
      </c>
      <c r="K3398" s="8" t="n">
        <v>31823.68</v>
      </c>
      <c r="L3398" s="8" t="n">
        <v>0</v>
      </c>
      <c r="M3398" s="9">
        <f>ROUND(SUM(I3398:L3398),2)</f>
        <v/>
      </c>
      <c r="N3398" s="10">
        <f>ROUND(I3398*'Irish Basis'!$C$6*'Irish Basis'!$C$5,2)</f>
        <v/>
      </c>
      <c r="O3398" s="10">
        <f>ROUND(J3398*'Irish Basis'!$C$7*'Irish Basis'!$C$5,2)</f>
        <v/>
      </c>
      <c r="P3398" s="10">
        <f>ROUND(K3398*'Irish Basis'!$C$8*'Irish Basis'!$C$5,2)</f>
        <v/>
      </c>
      <c r="Q3398" s="10">
        <f>ROUND(L3398*'Irish Basis'!$C$12*'Irish Basis'!$C$5,2)</f>
        <v/>
      </c>
      <c r="R3398" s="11">
        <f>ROUND(SUM(N3398:Q3398),2)</f>
        <v/>
      </c>
      <c r="S3398" s="5" t="inlineStr">
        <is>
          <t>Stated build-up</t>
        </is>
      </c>
      <c r="T3398" s="12" t="inlineStr">
        <is>
          <t>High</t>
        </is>
      </c>
      <c r="U3398" s="8" t="n">
        <v>39411.53</v>
      </c>
      <c r="V3398" s="13">
        <f>IF(U3398="","",ROUND(M3398-U3398,2))</f>
        <v/>
      </c>
      <c r="W3398" s="5" t="n"/>
      <c r="X3398" s="5" t="inlineStr">
        <is>
          <t>Labour + plant + material as published; reconciles to the published rate.</t>
        </is>
      </c>
    </row>
    <row r="3399" ht="13" customHeight="1">
      <c r="A3399" s="4" t="n">
        <v>5165</v>
      </c>
      <c r="B3399" s="5" t="inlineStr">
        <is>
          <t>IMG_0135</t>
        </is>
      </c>
      <c r="C3399" s="5" t="inlineStr">
        <is>
          <t>CLASS S: RAIL TRACK</t>
        </is>
      </c>
      <c r="D3399" s="5" t="inlineStr">
        <is>
          <t>07 TRACK (SUPPLY &amp; INSTALLATION)</t>
        </is>
      </c>
      <c r="E3399" s="5" t="inlineStr">
        <is>
          <t>Prefabricated turnouts; Complete with closures, check rails, fittings, etc.</t>
        </is>
      </c>
      <c r="F3399" s="5" t="inlineStr">
        <is>
          <t>type C10; BS 95R bullhead rail with concrete bearers</t>
        </is>
      </c>
      <c r="G3399" s="6" t="inlineStr">
        <is>
          <t>nr</t>
        </is>
      </c>
      <c r="H3399" s="7" t="n">
        <v>40</v>
      </c>
      <c r="I3399" s="8" t="n">
        <v>8110.96</v>
      </c>
      <c r="J3399" s="8" t="n">
        <v>287.99</v>
      </c>
      <c r="K3399" s="8" t="n">
        <v>25483.09</v>
      </c>
      <c r="L3399" s="8" t="n">
        <v>0</v>
      </c>
      <c r="M3399" s="9">
        <f>ROUND(SUM(I3399:L3399),2)</f>
        <v/>
      </c>
      <c r="N3399" s="10">
        <f>ROUND(I3399*'Irish Basis'!$C$6*'Irish Basis'!$C$5,2)</f>
        <v/>
      </c>
      <c r="O3399" s="10">
        <f>ROUND(J3399*'Irish Basis'!$C$7*'Irish Basis'!$C$5,2)</f>
        <v/>
      </c>
      <c r="P3399" s="10">
        <f>ROUND(K3399*'Irish Basis'!$C$8*'Irish Basis'!$C$5,2)</f>
        <v/>
      </c>
      <c r="Q3399" s="10">
        <f>ROUND(L3399*'Irish Basis'!$C$12*'Irish Basis'!$C$5,2)</f>
        <v/>
      </c>
      <c r="R3399" s="11">
        <f>ROUND(SUM(N3399:Q3399),2)</f>
        <v/>
      </c>
      <c r="S3399" s="5" t="inlineStr">
        <is>
          <t>Stated build-up</t>
        </is>
      </c>
      <c r="T3399" s="12" t="inlineStr">
        <is>
          <t>High</t>
        </is>
      </c>
      <c r="U3399" s="8" t="n">
        <v>33882.04</v>
      </c>
      <c r="V3399" s="13">
        <f>IF(U3399="","",ROUND(M3399-U3399,2))</f>
        <v/>
      </c>
      <c r="W3399" s="5" t="n"/>
      <c r="X3399" s="5" t="inlineStr">
        <is>
          <t>Labour + plant + material as published; reconciles to the published rate.</t>
        </is>
      </c>
    </row>
    <row r="3400" ht="13" customHeight="1">
      <c r="A3400" s="4" t="n">
        <v>5166</v>
      </c>
      <c r="B3400" s="5" t="inlineStr">
        <is>
          <t>IMG_0135</t>
        </is>
      </c>
      <c r="C3400" s="5" t="inlineStr">
        <is>
          <t>CLASS S: RAIL TRACK</t>
        </is>
      </c>
      <c r="D3400" s="5" t="inlineStr">
        <is>
          <t>07 TRACK (SUPPLY &amp; INSTALLATION)</t>
        </is>
      </c>
      <c r="E3400" s="5" t="inlineStr">
        <is>
          <t>Prefabricated turnouts; Complete with closures, check rails, fittings, etc.</t>
        </is>
      </c>
      <c r="F3400" s="5" t="inlineStr">
        <is>
          <t>type C10; BS 95R bullhead rail with steel bearers</t>
        </is>
      </c>
      <c r="G3400" s="6" t="inlineStr">
        <is>
          <t>nr</t>
        </is>
      </c>
      <c r="H3400" s="7" t="n">
        <v>40</v>
      </c>
      <c r="I3400" s="8" t="n">
        <v>8110.96</v>
      </c>
      <c r="J3400" s="8" t="n">
        <v>287.99</v>
      </c>
      <c r="K3400" s="8" t="n">
        <v>27940.24</v>
      </c>
      <c r="L3400" s="8" t="n">
        <v>0</v>
      </c>
      <c r="M3400" s="9">
        <f>ROUND(SUM(I3400:L3400),2)</f>
        <v/>
      </c>
      <c r="N3400" s="10">
        <f>ROUND(I3400*'Irish Basis'!$C$6*'Irish Basis'!$C$5,2)</f>
        <v/>
      </c>
      <c r="O3400" s="10">
        <f>ROUND(J3400*'Irish Basis'!$C$7*'Irish Basis'!$C$5,2)</f>
        <v/>
      </c>
      <c r="P3400" s="10">
        <f>ROUND(K3400*'Irish Basis'!$C$8*'Irish Basis'!$C$5,2)</f>
        <v/>
      </c>
      <c r="Q3400" s="10">
        <f>ROUND(L3400*'Irish Basis'!$C$12*'Irish Basis'!$C$5,2)</f>
        <v/>
      </c>
      <c r="R3400" s="11">
        <f>ROUND(SUM(N3400:Q3400),2)</f>
        <v/>
      </c>
      <c r="S3400" s="5" t="inlineStr">
        <is>
          <t>Stated build-up</t>
        </is>
      </c>
      <c r="T3400" s="12" t="inlineStr">
        <is>
          <t>High</t>
        </is>
      </c>
      <c r="U3400" s="8" t="n">
        <v>36339.19</v>
      </c>
      <c r="V3400" s="13">
        <f>IF(U3400="","",ROUND(M3400-U3400,2))</f>
        <v/>
      </c>
      <c r="W3400" s="5" t="n"/>
      <c r="X3400" s="5" t="inlineStr">
        <is>
          <t>Labour + plant + material as published; reconciles to the published rate.</t>
        </is>
      </c>
    </row>
    <row r="3401" ht="13" customHeight="1">
      <c r="A3401" s="4" t="n">
        <v>5167</v>
      </c>
      <c r="B3401" s="5" t="inlineStr">
        <is>
          <t>IMG_0135</t>
        </is>
      </c>
      <c r="C3401" s="5" t="inlineStr">
        <is>
          <t>CLASS S: RAIL TRACK</t>
        </is>
      </c>
      <c r="D3401" s="5" t="inlineStr">
        <is>
          <t>07 TRACK (SUPPLY &amp; INSTALLATION)</t>
        </is>
      </c>
      <c r="E3401" s="5" t="inlineStr">
        <is>
          <t>Prefabricated turnouts; Complete with closures, check rails, fittings, etc.</t>
        </is>
      </c>
      <c r="F3401" s="5" t="inlineStr">
        <is>
          <t>type Bx8; BS 113 'A' section flat bottom rail with timber bearers</t>
        </is>
      </c>
      <c r="G3401" s="6" t="inlineStr">
        <is>
          <t>nr</t>
        </is>
      </c>
      <c r="H3401" s="7" t="n">
        <v>36</v>
      </c>
      <c r="I3401" s="8" t="n">
        <v>7299.87</v>
      </c>
      <c r="J3401" s="8" t="n">
        <v>287.99</v>
      </c>
      <c r="K3401" s="8" t="n">
        <v>20913.63</v>
      </c>
      <c r="L3401" s="8" t="n">
        <v>0</v>
      </c>
      <c r="M3401" s="9">
        <f>ROUND(SUM(I3401:L3401),2)</f>
        <v/>
      </c>
      <c r="N3401" s="10">
        <f>ROUND(I3401*'Irish Basis'!$C$6*'Irish Basis'!$C$5,2)</f>
        <v/>
      </c>
      <c r="O3401" s="10">
        <f>ROUND(J3401*'Irish Basis'!$C$7*'Irish Basis'!$C$5,2)</f>
        <v/>
      </c>
      <c r="P3401" s="10">
        <f>ROUND(K3401*'Irish Basis'!$C$8*'Irish Basis'!$C$5,2)</f>
        <v/>
      </c>
      <c r="Q3401" s="10">
        <f>ROUND(L3401*'Irish Basis'!$C$12*'Irish Basis'!$C$5,2)</f>
        <v/>
      </c>
      <c r="R3401" s="11">
        <f>ROUND(SUM(N3401:Q3401),2)</f>
        <v/>
      </c>
      <c r="S3401" s="5" t="inlineStr">
        <is>
          <t>Stated build-up</t>
        </is>
      </c>
      <c r="T3401" s="12" t="inlineStr">
        <is>
          <t>High</t>
        </is>
      </c>
      <c r="U3401" s="8" t="n">
        <v>28501.49</v>
      </c>
      <c r="V3401" s="13">
        <f>IF(U3401="","",ROUND(M3401-U3401,2))</f>
        <v/>
      </c>
      <c r="W3401" s="5" t="n"/>
      <c r="X3401" s="5" t="inlineStr">
        <is>
          <t>Labour + plant + material as published; reconciles to the published rate.</t>
        </is>
      </c>
    </row>
    <row r="3402" ht="13" customHeight="1">
      <c r="A3402" s="4" t="n">
        <v>5168</v>
      </c>
      <c r="B3402" s="5" t="inlineStr">
        <is>
          <t>IMG_0135</t>
        </is>
      </c>
      <c r="C3402" s="5" t="inlineStr">
        <is>
          <t>CLASS S: RAIL TRACK</t>
        </is>
      </c>
      <c r="D3402" s="5" t="inlineStr">
        <is>
          <t>07 TRACK (SUPPLY &amp; INSTALLATION)</t>
        </is>
      </c>
      <c r="E3402" s="5" t="inlineStr">
        <is>
          <t>Prefabricated turnouts; Complete with closures, check rails, fittings, etc.</t>
        </is>
      </c>
      <c r="F3402" s="5" t="inlineStr">
        <is>
          <t>type Cv9; BS 113 'A' section flat bottom rail with concrete bearers</t>
        </is>
      </c>
      <c r="G3402" s="6" t="inlineStr">
        <is>
          <t>nr</t>
        </is>
      </c>
      <c r="H3402" s="7" t="n">
        <v>40</v>
      </c>
      <c r="I3402" s="8" t="n">
        <v>8110.96</v>
      </c>
      <c r="J3402" s="8" t="n">
        <v>287.99</v>
      </c>
      <c r="K3402" s="8" t="n">
        <v>33181.85</v>
      </c>
      <c r="L3402" s="8" t="n">
        <v>0</v>
      </c>
      <c r="M3402" s="9">
        <f>ROUND(SUM(I3402:L3402),2)</f>
        <v/>
      </c>
      <c r="N3402" s="10">
        <f>ROUND(I3402*'Irish Basis'!$C$6*'Irish Basis'!$C$5,2)</f>
        <v/>
      </c>
      <c r="O3402" s="10">
        <f>ROUND(J3402*'Irish Basis'!$C$7*'Irish Basis'!$C$5,2)</f>
        <v/>
      </c>
      <c r="P3402" s="10">
        <f>ROUND(K3402*'Irish Basis'!$C$8*'Irish Basis'!$C$5,2)</f>
        <v/>
      </c>
      <c r="Q3402" s="10">
        <f>ROUND(L3402*'Irish Basis'!$C$12*'Irish Basis'!$C$5,2)</f>
        <v/>
      </c>
      <c r="R3402" s="11">
        <f>ROUND(SUM(N3402:Q3402),2)</f>
        <v/>
      </c>
      <c r="S3402" s="5" t="inlineStr">
        <is>
          <t>Stated build-up</t>
        </is>
      </c>
      <c r="T3402" s="12" t="inlineStr">
        <is>
          <t>High</t>
        </is>
      </c>
      <c r="U3402" s="8" t="n">
        <v>41580.8</v>
      </c>
      <c r="V3402" s="13">
        <f>IF(U3402="","",ROUND(M3402-U3402,2))</f>
        <v/>
      </c>
      <c r="W3402" s="5" t="n"/>
      <c r="X3402" s="5" t="inlineStr">
        <is>
          <t>Labour + plant + material as published; reconciles to the published rate.</t>
        </is>
      </c>
    </row>
    <row r="3403" ht="13" customHeight="1">
      <c r="A3403" s="4" t="n">
        <v>5169</v>
      </c>
      <c r="B3403" s="5" t="inlineStr">
        <is>
          <t>IMG_0135</t>
        </is>
      </c>
      <c r="C3403" s="5" t="inlineStr">
        <is>
          <t>CLASS S: RAIL TRACK</t>
        </is>
      </c>
      <c r="D3403" s="5" t="inlineStr">
        <is>
          <t>07 TRACK (SUPPLY &amp; INSTALLATION)</t>
        </is>
      </c>
      <c r="E3403" s="5" t="inlineStr">
        <is>
          <t>Prefabricated turnouts; Complete with closures, check rails, fittings, etc.</t>
        </is>
      </c>
      <c r="F3403" s="5" t="inlineStr">
        <is>
          <t>type Cv9; BS 113 'A' section flat bottom rail with steel bearers</t>
        </is>
      </c>
      <c r="G3403" s="6" t="inlineStr">
        <is>
          <t>nr</t>
        </is>
      </c>
      <c r="H3403" s="7" t="n">
        <v>40</v>
      </c>
      <c r="I3403" s="8" t="n">
        <v>8110.96</v>
      </c>
      <c r="J3403" s="8" t="n">
        <v>287.99</v>
      </c>
      <c r="K3403" s="8" t="n">
        <v>36281.63</v>
      </c>
      <c r="L3403" s="8" t="n">
        <v>0</v>
      </c>
      <c r="M3403" s="9">
        <f>ROUND(SUM(I3403:L3403),2)</f>
        <v/>
      </c>
      <c r="N3403" s="10">
        <f>ROUND(I3403*'Irish Basis'!$C$6*'Irish Basis'!$C$5,2)</f>
        <v/>
      </c>
      <c r="O3403" s="10">
        <f>ROUND(J3403*'Irish Basis'!$C$7*'Irish Basis'!$C$5,2)</f>
        <v/>
      </c>
      <c r="P3403" s="10">
        <f>ROUND(K3403*'Irish Basis'!$C$8*'Irish Basis'!$C$5,2)</f>
        <v/>
      </c>
      <c r="Q3403" s="10">
        <f>ROUND(L3403*'Irish Basis'!$C$12*'Irish Basis'!$C$5,2)</f>
        <v/>
      </c>
      <c r="R3403" s="11">
        <f>ROUND(SUM(N3403:Q3403),2)</f>
        <v/>
      </c>
      <c r="S3403" s="5" t="inlineStr">
        <is>
          <t>Stated build-up</t>
        </is>
      </c>
      <c r="T3403" s="12" t="inlineStr">
        <is>
          <t>High</t>
        </is>
      </c>
      <c r="U3403" s="8" t="n">
        <v>44680.58</v>
      </c>
      <c r="V3403" s="13">
        <f>IF(U3403="","",ROUND(M3403-U3403,2))</f>
        <v/>
      </c>
      <c r="W3403" s="5" t="n"/>
      <c r="X3403" s="5" t="inlineStr">
        <is>
          <t>Labour + plant + material as published; reconciles to the published rate.</t>
        </is>
      </c>
    </row>
    <row r="3404" ht="13" customHeight="1">
      <c r="A3404" s="4" t="n">
        <v>5171</v>
      </c>
      <c r="B3404" s="5" t="inlineStr">
        <is>
          <t>IMG_0135</t>
        </is>
      </c>
      <c r="C3404" s="5" t="inlineStr">
        <is>
          <t>CLASS S: RAIL TRACK</t>
        </is>
      </c>
      <c r="D3404" s="5" t="inlineStr">
        <is>
          <t>07 TRACK (SUPPLY &amp; INSTALLATION)</t>
        </is>
      </c>
      <c r="E3404" s="5" t="inlineStr">
        <is>
          <t>Prefabricated diamond crossings; Complete with closures, check rails, fittings</t>
        </is>
      </c>
      <c r="F3404" s="5" t="inlineStr">
        <is>
          <t>RT standard design, angle 1 in 4; BS95R bullhead rail; jointed with fishplates; timber sleepers</t>
        </is>
      </c>
      <c r="G3404" s="6" t="inlineStr">
        <is>
          <t>nr</t>
        </is>
      </c>
      <c r="H3404" s="7" t="n">
        <v>95</v>
      </c>
      <c r="I3404" s="8" t="n">
        <v>19263.54</v>
      </c>
      <c r="J3404" s="8" t="n">
        <v>287.99</v>
      </c>
      <c r="K3404" s="8" t="n">
        <v>139417.97</v>
      </c>
      <c r="L3404" s="8" t="n">
        <v>0</v>
      </c>
      <c r="M3404" s="9">
        <f>ROUND(SUM(I3404:L3404),2)</f>
        <v/>
      </c>
      <c r="N3404" s="10">
        <f>ROUND(I3404*'Irish Basis'!$C$6*'Irish Basis'!$C$5,2)</f>
        <v/>
      </c>
      <c r="O3404" s="10">
        <f>ROUND(J3404*'Irish Basis'!$C$7*'Irish Basis'!$C$5,2)</f>
        <v/>
      </c>
      <c r="P3404" s="10">
        <f>ROUND(K3404*'Irish Basis'!$C$8*'Irish Basis'!$C$5,2)</f>
        <v/>
      </c>
      <c r="Q3404" s="10">
        <f>ROUND(L3404*'Irish Basis'!$C$12*'Irish Basis'!$C$5,2)</f>
        <v/>
      </c>
      <c r="R3404" s="11">
        <f>ROUND(SUM(N3404:Q3404),2)</f>
        <v/>
      </c>
      <c r="S3404" s="5" t="inlineStr">
        <is>
          <t>Stated build-up</t>
        </is>
      </c>
      <c r="T3404" s="12" t="inlineStr">
        <is>
          <t>High</t>
        </is>
      </c>
      <c r="U3404" s="8" t="n">
        <v>158969.5</v>
      </c>
      <c r="V3404" s="13">
        <f>IF(U3404="","",ROUND(M3404-U3404,2))</f>
        <v/>
      </c>
      <c r="W3404" s="5" t="n"/>
      <c r="X3404" s="5" t="inlineStr">
        <is>
          <t>Labour + plant + material as published; reconciles to the published rate.</t>
        </is>
      </c>
    </row>
    <row r="3405" ht="13" customHeight="1">
      <c r="A3405" s="4" t="n">
        <v>5172</v>
      </c>
      <c r="B3405" s="5" t="inlineStr">
        <is>
          <t>IMG_0135</t>
        </is>
      </c>
      <c r="C3405" s="5" t="inlineStr">
        <is>
          <t>CLASS S: RAIL TRACK</t>
        </is>
      </c>
      <c r="D3405" s="5" t="inlineStr">
        <is>
          <t>07 TRACK (SUPPLY &amp; INSTALLATION)</t>
        </is>
      </c>
      <c r="E3405" s="5" t="inlineStr">
        <is>
          <t>Prefabricated diamond crossings; Complete with closures, check rails, fittings</t>
        </is>
      </c>
      <c r="F3405" s="5" t="inlineStr">
        <is>
          <t>RT standard design, angle 1 in 4; BS95R bullhead rail; welded joints; timber sleepers</t>
        </is>
      </c>
      <c r="G3405" s="6" t="inlineStr">
        <is>
          <t>nr</t>
        </is>
      </c>
      <c r="H3405" s="7" t="n">
        <v>90</v>
      </c>
      <c r="I3405" s="8" t="n">
        <v>18249.67</v>
      </c>
      <c r="J3405" s="8" t="n">
        <v>287.99</v>
      </c>
      <c r="K3405" s="8" t="n">
        <v>139417.97</v>
      </c>
      <c r="L3405" s="8" t="n">
        <v>0</v>
      </c>
      <c r="M3405" s="9">
        <f>ROUND(SUM(I3405:L3405),2)</f>
        <v/>
      </c>
      <c r="N3405" s="10">
        <f>ROUND(I3405*'Irish Basis'!$C$6*'Irish Basis'!$C$5,2)</f>
        <v/>
      </c>
      <c r="O3405" s="10">
        <f>ROUND(J3405*'Irish Basis'!$C$7*'Irish Basis'!$C$5,2)</f>
        <v/>
      </c>
      <c r="P3405" s="10">
        <f>ROUND(K3405*'Irish Basis'!$C$8*'Irish Basis'!$C$5,2)</f>
        <v/>
      </c>
      <c r="Q3405" s="10">
        <f>ROUND(L3405*'Irish Basis'!$C$12*'Irish Basis'!$C$5,2)</f>
        <v/>
      </c>
      <c r="R3405" s="11">
        <f>ROUND(SUM(N3405:Q3405),2)</f>
        <v/>
      </c>
      <c r="S3405" s="5" t="inlineStr">
        <is>
          <t>Stated build-up</t>
        </is>
      </c>
      <c r="T3405" s="12" t="inlineStr">
        <is>
          <t>High</t>
        </is>
      </c>
      <c r="U3405" s="8" t="n">
        <v>157955.63</v>
      </c>
      <c r="V3405" s="13">
        <f>IF(U3405="","",ROUND(M3405-U3405,2))</f>
        <v/>
      </c>
      <c r="W3405" s="5" t="n"/>
      <c r="X3405" s="5" t="inlineStr">
        <is>
          <t>Labour + plant + material as published; reconciles to the published rate.</t>
        </is>
      </c>
    </row>
    <row r="3406" ht="13" customHeight="1">
      <c r="A3406" s="4" t="n">
        <v>5173</v>
      </c>
      <c r="B3406" s="5" t="inlineStr">
        <is>
          <t>IMG_0135</t>
        </is>
      </c>
      <c r="C3406" s="5" t="inlineStr">
        <is>
          <t>CLASS S: RAIL TRACK</t>
        </is>
      </c>
      <c r="D3406" s="5" t="inlineStr">
        <is>
          <t>07 TRACK (SUPPLY &amp; INSTALLATION)</t>
        </is>
      </c>
      <c r="E3406" s="5" t="inlineStr">
        <is>
          <t>Prefabricated diamond crossings; Complete with closures, check rails, fittings</t>
        </is>
      </c>
      <c r="F3406" s="5" t="inlineStr">
        <is>
          <t>RT standard design, angle 1 in 4; BS95R bullhead rail; jointed with fishplates; concrete sleepers</t>
        </is>
      </c>
      <c r="G3406" s="6" t="inlineStr">
        <is>
          <t>nr</t>
        </is>
      </c>
      <c r="H3406" s="7" t="n">
        <v>120</v>
      </c>
      <c r="I3406" s="8" t="n">
        <v>24332.89</v>
      </c>
      <c r="J3406" s="8" t="n">
        <v>287.99</v>
      </c>
      <c r="K3406" s="8" t="n">
        <v>139417.97</v>
      </c>
      <c r="L3406" s="8" t="n">
        <v>0</v>
      </c>
      <c r="M3406" s="9">
        <f>ROUND(SUM(I3406:L3406),2)</f>
        <v/>
      </c>
      <c r="N3406" s="10">
        <f>ROUND(I3406*'Irish Basis'!$C$6*'Irish Basis'!$C$5,2)</f>
        <v/>
      </c>
      <c r="O3406" s="10">
        <f>ROUND(J3406*'Irish Basis'!$C$7*'Irish Basis'!$C$5,2)</f>
        <v/>
      </c>
      <c r="P3406" s="10">
        <f>ROUND(K3406*'Irish Basis'!$C$8*'Irish Basis'!$C$5,2)</f>
        <v/>
      </c>
      <c r="Q3406" s="10">
        <f>ROUND(L3406*'Irish Basis'!$C$12*'Irish Basis'!$C$5,2)</f>
        <v/>
      </c>
      <c r="R3406" s="11">
        <f>ROUND(SUM(N3406:Q3406),2)</f>
        <v/>
      </c>
      <c r="S3406" s="5" t="inlineStr">
        <is>
          <t>Stated build-up</t>
        </is>
      </c>
      <c r="T3406" s="12" t="inlineStr">
        <is>
          <t>High</t>
        </is>
      </c>
      <c r="U3406" s="8" t="n">
        <v>164038.85</v>
      </c>
      <c r="V3406" s="13">
        <f>IF(U3406="","",ROUND(M3406-U3406,2))</f>
        <v/>
      </c>
      <c r="W3406" s="5" t="n"/>
      <c r="X3406" s="5" t="inlineStr">
        <is>
          <t>Labour + plant + material as published; reconciles to the published rate.</t>
        </is>
      </c>
    </row>
    <row r="3407" ht="13" customHeight="1">
      <c r="A3407" s="4" t="n">
        <v>5174</v>
      </c>
      <c r="B3407" s="5" t="inlineStr">
        <is>
          <t>IMG_0135</t>
        </is>
      </c>
      <c r="C3407" s="5" t="inlineStr">
        <is>
          <t>CLASS S: RAIL TRACK</t>
        </is>
      </c>
      <c r="D3407" s="5" t="inlineStr">
        <is>
          <t>07 TRACK (SUPPLY &amp; INSTALLATION)</t>
        </is>
      </c>
      <c r="E3407" s="5" t="inlineStr">
        <is>
          <t>Prefabricated diamond crossings; Complete with closures, check rails, fittings</t>
        </is>
      </c>
      <c r="F3407" s="5" t="inlineStr">
        <is>
          <t>RT standard design, angle 1 in 4; BS95R bullhead rail; welded joints; concrete sleepers</t>
        </is>
      </c>
      <c r="G3407" s="6" t="inlineStr">
        <is>
          <t>nr</t>
        </is>
      </c>
      <c r="H3407" s="7" t="n">
        <v>120</v>
      </c>
      <c r="I3407" s="8" t="n">
        <v>24332.89</v>
      </c>
      <c r="J3407" s="8" t="n">
        <v>287.99</v>
      </c>
      <c r="K3407" s="8" t="n">
        <v>139417.97</v>
      </c>
      <c r="L3407" s="8" t="n">
        <v>0</v>
      </c>
      <c r="M3407" s="9">
        <f>ROUND(SUM(I3407:L3407),2)</f>
        <v/>
      </c>
      <c r="N3407" s="10">
        <f>ROUND(I3407*'Irish Basis'!$C$6*'Irish Basis'!$C$5,2)</f>
        <v/>
      </c>
      <c r="O3407" s="10">
        <f>ROUND(J3407*'Irish Basis'!$C$7*'Irish Basis'!$C$5,2)</f>
        <v/>
      </c>
      <c r="P3407" s="10">
        <f>ROUND(K3407*'Irish Basis'!$C$8*'Irish Basis'!$C$5,2)</f>
        <v/>
      </c>
      <c r="Q3407" s="10">
        <f>ROUND(L3407*'Irish Basis'!$C$12*'Irish Basis'!$C$5,2)</f>
        <v/>
      </c>
      <c r="R3407" s="11">
        <f>ROUND(SUM(N3407:Q3407),2)</f>
        <v/>
      </c>
      <c r="S3407" s="5" t="inlineStr">
        <is>
          <t>Stated build-up</t>
        </is>
      </c>
      <c r="T3407" s="12" t="inlineStr">
        <is>
          <t>High</t>
        </is>
      </c>
      <c r="U3407" s="8" t="n">
        <v>164038.85</v>
      </c>
      <c r="V3407" s="13">
        <f>IF(U3407="","",ROUND(M3407-U3407,2))</f>
        <v/>
      </c>
      <c r="W3407" s="5" t="n"/>
      <c r="X3407" s="5" t="inlineStr">
        <is>
          <t>Labour + plant + material as published; reconciles to the published rate.</t>
        </is>
      </c>
    </row>
    <row r="3408" ht="13" customHeight="1">
      <c r="A3408" s="4" t="n">
        <v>5175</v>
      </c>
      <c r="B3408" s="5" t="inlineStr">
        <is>
          <t>IMG_0135</t>
        </is>
      </c>
      <c r="C3408" s="5" t="inlineStr">
        <is>
          <t>CLASS S: RAIL TRACK</t>
        </is>
      </c>
      <c r="D3408" s="5" t="inlineStr">
        <is>
          <t>07 TRACK (SUPPLY &amp; INSTALLATION)</t>
        </is>
      </c>
      <c r="E3408" s="5" t="inlineStr">
        <is>
          <t>Prefabricated diamond crossings; Complete with closures, check rails, fittings</t>
        </is>
      </c>
      <c r="F3408" s="5" t="inlineStr">
        <is>
          <t>RT standard design, angle 1 in 4; BS113 'A' section flat bottom rail; jointed with fishplates; timber sleepers</t>
        </is>
      </c>
      <c r="G3408" s="6" t="inlineStr">
        <is>
          <t>nr</t>
        </is>
      </c>
      <c r="H3408" s="7" t="n">
        <v>95</v>
      </c>
      <c r="I3408" s="8" t="n">
        <v>19263.54</v>
      </c>
      <c r="J3408" s="8" t="n">
        <v>287.99</v>
      </c>
      <c r="K3408" s="8" t="n">
        <v>167945.12</v>
      </c>
      <c r="L3408" s="8" t="n">
        <v>0</v>
      </c>
      <c r="M3408" s="9">
        <f>ROUND(SUM(I3408:L3408),2)</f>
        <v/>
      </c>
      <c r="N3408" s="10">
        <f>ROUND(I3408*'Irish Basis'!$C$6*'Irish Basis'!$C$5,2)</f>
        <v/>
      </c>
      <c r="O3408" s="10">
        <f>ROUND(J3408*'Irish Basis'!$C$7*'Irish Basis'!$C$5,2)</f>
        <v/>
      </c>
      <c r="P3408" s="10">
        <f>ROUND(K3408*'Irish Basis'!$C$8*'Irish Basis'!$C$5,2)</f>
        <v/>
      </c>
      <c r="Q3408" s="10">
        <f>ROUND(L3408*'Irish Basis'!$C$12*'Irish Basis'!$C$5,2)</f>
        <v/>
      </c>
      <c r="R3408" s="11">
        <f>ROUND(SUM(N3408:Q3408),2)</f>
        <v/>
      </c>
      <c r="S3408" s="5" t="inlineStr">
        <is>
          <t>Stated build-up</t>
        </is>
      </c>
      <c r="T3408" s="12" t="inlineStr">
        <is>
          <t>High</t>
        </is>
      </c>
      <c r="U3408" s="8" t="n">
        <v>187496.65</v>
      </c>
      <c r="V3408" s="13">
        <f>IF(U3408="","",ROUND(M3408-U3408,2))</f>
        <v/>
      </c>
      <c r="W3408" s="5" t="n"/>
      <c r="X3408" s="5" t="inlineStr">
        <is>
          <t>Labour + plant + material as published; reconciles to the published rate.</t>
        </is>
      </c>
    </row>
    <row r="3409" ht="13" customHeight="1">
      <c r="A3409" s="4" t="n">
        <v>5176</v>
      </c>
      <c r="B3409" s="5" t="inlineStr">
        <is>
          <t>IMG_0135</t>
        </is>
      </c>
      <c r="C3409" s="5" t="inlineStr">
        <is>
          <t>CLASS S: RAIL TRACK</t>
        </is>
      </c>
      <c r="D3409" s="5" t="inlineStr">
        <is>
          <t>07 TRACK (SUPPLY &amp; INSTALLATION)</t>
        </is>
      </c>
      <c r="E3409" s="5" t="inlineStr">
        <is>
          <t>Prefabricated diamond crossings; Complete with closures, check rails, fittings</t>
        </is>
      </c>
      <c r="F3409" s="5" t="inlineStr">
        <is>
          <t>RT standard design, angle 1 in 4; BS113 'A' section flat bottom rail; welded joints; timber sleepers</t>
        </is>
      </c>
      <c r="G3409" s="6" t="inlineStr">
        <is>
          <t>nr</t>
        </is>
      </c>
      <c r="H3409" s="7" t="n">
        <v>90</v>
      </c>
      <c r="I3409" s="8" t="n">
        <v>18249.67</v>
      </c>
      <c r="J3409" s="8" t="n">
        <v>287.99</v>
      </c>
      <c r="K3409" s="8" t="n">
        <v>167945.12</v>
      </c>
      <c r="L3409" s="8" t="n">
        <v>0</v>
      </c>
      <c r="M3409" s="9">
        <f>ROUND(SUM(I3409:L3409),2)</f>
        <v/>
      </c>
      <c r="N3409" s="10">
        <f>ROUND(I3409*'Irish Basis'!$C$6*'Irish Basis'!$C$5,2)</f>
        <v/>
      </c>
      <c r="O3409" s="10">
        <f>ROUND(J3409*'Irish Basis'!$C$7*'Irish Basis'!$C$5,2)</f>
        <v/>
      </c>
      <c r="P3409" s="10">
        <f>ROUND(K3409*'Irish Basis'!$C$8*'Irish Basis'!$C$5,2)</f>
        <v/>
      </c>
      <c r="Q3409" s="10">
        <f>ROUND(L3409*'Irish Basis'!$C$12*'Irish Basis'!$C$5,2)</f>
        <v/>
      </c>
      <c r="R3409" s="11">
        <f>ROUND(SUM(N3409:Q3409),2)</f>
        <v/>
      </c>
      <c r="S3409" s="5" t="inlineStr">
        <is>
          <t>Stated build-up</t>
        </is>
      </c>
      <c r="T3409" s="12" t="inlineStr">
        <is>
          <t>High</t>
        </is>
      </c>
      <c r="U3409" s="8" t="n">
        <v>186482.77</v>
      </c>
      <c r="V3409" s="13">
        <f>IF(U3409="","",ROUND(M3409-U3409,2))</f>
        <v/>
      </c>
      <c r="W3409" s="5" t="n"/>
      <c r="X3409" s="5" t="inlineStr">
        <is>
          <t>Labour + plant + material as published; reconciles to the published rate.</t>
        </is>
      </c>
    </row>
    <row r="3410" ht="13" customHeight="1">
      <c r="A3410" s="4" t="n">
        <v>5177</v>
      </c>
      <c r="B3410" s="5" t="inlineStr">
        <is>
          <t>IMG_0135</t>
        </is>
      </c>
      <c r="C3410" s="5" t="inlineStr">
        <is>
          <t>CLASS S: RAIL TRACK</t>
        </is>
      </c>
      <c r="D3410" s="5" t="inlineStr">
        <is>
          <t>07 TRACK (SUPPLY &amp; INSTALLATION)</t>
        </is>
      </c>
      <c r="E3410" s="5" t="inlineStr">
        <is>
          <t>Prefabricated diamond crossings; Complete with closures, check rails, fittings</t>
        </is>
      </c>
      <c r="F3410" s="5" t="inlineStr">
        <is>
          <t>RT standard design, angle 1 in 4; BS113 'A' section flat bottom rail; jointed with fishplates; concrete sleepers</t>
        </is>
      </c>
      <c r="G3410" s="6" t="inlineStr">
        <is>
          <t>nr</t>
        </is>
      </c>
      <c r="H3410" s="7" t="n">
        <v>120</v>
      </c>
      <c r="I3410" s="8" t="n">
        <v>24332.89</v>
      </c>
      <c r="J3410" s="8" t="n">
        <v>287.99</v>
      </c>
      <c r="K3410" s="8" t="n">
        <v>167945.12</v>
      </c>
      <c r="L3410" s="8" t="n">
        <v>0</v>
      </c>
      <c r="M3410" s="9">
        <f>ROUND(SUM(I3410:L3410),2)</f>
        <v/>
      </c>
      <c r="N3410" s="10">
        <f>ROUND(I3410*'Irish Basis'!$C$6*'Irish Basis'!$C$5,2)</f>
        <v/>
      </c>
      <c r="O3410" s="10">
        <f>ROUND(J3410*'Irish Basis'!$C$7*'Irish Basis'!$C$5,2)</f>
        <v/>
      </c>
      <c r="P3410" s="10">
        <f>ROUND(K3410*'Irish Basis'!$C$8*'Irish Basis'!$C$5,2)</f>
        <v/>
      </c>
      <c r="Q3410" s="10">
        <f>ROUND(L3410*'Irish Basis'!$C$12*'Irish Basis'!$C$5,2)</f>
        <v/>
      </c>
      <c r="R3410" s="11">
        <f>ROUND(SUM(N3410:Q3410),2)</f>
        <v/>
      </c>
      <c r="S3410" s="5" t="inlineStr">
        <is>
          <t>Stated build-up</t>
        </is>
      </c>
      <c r="T3410" s="12" t="inlineStr">
        <is>
          <t>High</t>
        </is>
      </c>
      <c r="U3410" s="8" t="n">
        <v>192566</v>
      </c>
      <c r="V3410" s="13">
        <f>IF(U3410="","",ROUND(M3410-U3410,2))</f>
        <v/>
      </c>
      <c r="W3410" s="5" t="n"/>
      <c r="X3410" s="5" t="inlineStr">
        <is>
          <t>Labour + plant + material as published; reconciles to the published rate.</t>
        </is>
      </c>
    </row>
    <row r="3411" ht="13" customHeight="1">
      <c r="A3411" s="4" t="n">
        <v>5178</v>
      </c>
      <c r="B3411" s="5" t="inlineStr">
        <is>
          <t>IMG_0135</t>
        </is>
      </c>
      <c r="C3411" s="5" t="inlineStr">
        <is>
          <t>CLASS S: RAIL TRACK</t>
        </is>
      </c>
      <c r="D3411" s="5" t="inlineStr">
        <is>
          <t>07 TRACK (SUPPLY &amp; INSTALLATION)</t>
        </is>
      </c>
      <c r="E3411" s="5" t="inlineStr">
        <is>
          <t>Prefabricated diamond crossings; Complete with closures, check rails, fittings</t>
        </is>
      </c>
      <c r="F3411" s="5" t="inlineStr">
        <is>
          <t>RT standard design, angle 1 in 4; BS113 'A' section flat bottom rail; welded joints; concrete sleepers</t>
        </is>
      </c>
      <c r="G3411" s="6" t="inlineStr">
        <is>
          <t>nr</t>
        </is>
      </c>
      <c r="H3411" s="7" t="n">
        <v>120</v>
      </c>
      <c r="I3411" s="8" t="n">
        <v>24332.89</v>
      </c>
      <c r="J3411" s="8" t="n">
        <v>287.99</v>
      </c>
      <c r="K3411" s="8" t="n">
        <v>167945.12</v>
      </c>
      <c r="L3411" s="8" t="n">
        <v>0</v>
      </c>
      <c r="M3411" s="9">
        <f>ROUND(SUM(I3411:L3411),2)</f>
        <v/>
      </c>
      <c r="N3411" s="10">
        <f>ROUND(I3411*'Irish Basis'!$C$6*'Irish Basis'!$C$5,2)</f>
        <v/>
      </c>
      <c r="O3411" s="10">
        <f>ROUND(J3411*'Irish Basis'!$C$7*'Irish Basis'!$C$5,2)</f>
        <v/>
      </c>
      <c r="P3411" s="10">
        <f>ROUND(K3411*'Irish Basis'!$C$8*'Irish Basis'!$C$5,2)</f>
        <v/>
      </c>
      <c r="Q3411" s="10">
        <f>ROUND(L3411*'Irish Basis'!$C$12*'Irish Basis'!$C$5,2)</f>
        <v/>
      </c>
      <c r="R3411" s="11">
        <f>ROUND(SUM(N3411:Q3411),2)</f>
        <v/>
      </c>
      <c r="S3411" s="5" t="inlineStr">
        <is>
          <t>Stated build-up</t>
        </is>
      </c>
      <c r="T3411" s="12" t="inlineStr">
        <is>
          <t>High</t>
        </is>
      </c>
      <c r="U3411" s="8" t="n">
        <v>192566</v>
      </c>
      <c r="V3411" s="13">
        <f>IF(U3411="","",ROUND(M3411-U3411,2))</f>
        <v/>
      </c>
      <c r="W3411" s="5" t="n"/>
      <c r="X3411" s="5" t="inlineStr">
        <is>
          <t>Labour + plant + material as published; reconciles to the published rate.</t>
        </is>
      </c>
    </row>
    <row r="3412" ht="13" customHeight="1">
      <c r="A3412" s="4" t="n">
        <v>5181</v>
      </c>
      <c r="B3412" s="5" t="inlineStr">
        <is>
          <t>IMG_0136</t>
        </is>
      </c>
      <c r="C3412" s="5" t="inlineStr">
        <is>
          <t>CLASS S: RAIL TRACK</t>
        </is>
      </c>
      <c r="D3412" s="5" t="inlineStr">
        <is>
          <t>07 TRACK (SUPPLY &amp; INSTALLATION)</t>
        </is>
      </c>
      <c r="E3412" s="5" t="inlineStr">
        <is>
          <t>Buffer stops</t>
        </is>
      </c>
      <c r="F3412" s="5" t="inlineStr">
        <is>
          <t>single raker, steel rail and timber; 2 tonnes approximate weight</t>
        </is>
      </c>
      <c r="G3412" s="6" t="inlineStr">
        <is>
          <t>nr</t>
        </is>
      </c>
      <c r="H3412" s="7" t="n">
        <v>10</v>
      </c>
      <c r="I3412" s="8" t="n">
        <v>2027.74</v>
      </c>
      <c r="J3412" s="8" t="n">
        <v>0</v>
      </c>
      <c r="K3412" s="8" t="n">
        <v>16647.09</v>
      </c>
      <c r="L3412" s="8" t="n">
        <v>0</v>
      </c>
      <c r="M3412" s="9">
        <f>ROUND(SUM(I3412:L3412),2)</f>
        <v/>
      </c>
      <c r="N3412" s="10">
        <f>ROUND(I3412*'Irish Basis'!$C$6*'Irish Basis'!$C$5,2)</f>
        <v/>
      </c>
      <c r="O3412" s="10">
        <f>ROUND(J3412*'Irish Basis'!$C$7*'Irish Basis'!$C$5,2)</f>
        <v/>
      </c>
      <c r="P3412" s="10">
        <f>ROUND(K3412*'Irish Basis'!$C$8*'Irish Basis'!$C$5,2)</f>
        <v/>
      </c>
      <c r="Q3412" s="10">
        <f>ROUND(L3412*'Irish Basis'!$C$12*'Irish Basis'!$C$5,2)</f>
        <v/>
      </c>
      <c r="R3412" s="11">
        <f>ROUND(SUM(N3412:Q3412),2)</f>
        <v/>
      </c>
      <c r="S3412" s="5" t="inlineStr">
        <is>
          <t>Stated build-up</t>
        </is>
      </c>
      <c r="T3412" s="12" t="inlineStr">
        <is>
          <t>High</t>
        </is>
      </c>
      <c r="U3412" s="8" t="n">
        <v>18674.83</v>
      </c>
      <c r="V3412" s="13">
        <f>IF(U3412="","",ROUND(M3412-U3412,2))</f>
        <v/>
      </c>
      <c r="W3412" s="5" t="n"/>
      <c r="X3412" s="5" t="inlineStr">
        <is>
          <t>Labour + plant + material as published; reconciles to the published rate.</t>
        </is>
      </c>
    </row>
    <row r="3413" ht="13" customHeight="1">
      <c r="A3413" s="4" t="n">
        <v>5182</v>
      </c>
      <c r="B3413" s="5" t="inlineStr">
        <is>
          <t>IMG_0136</t>
        </is>
      </c>
      <c r="C3413" s="5" t="inlineStr">
        <is>
          <t>CLASS S: RAIL TRACK</t>
        </is>
      </c>
      <c r="D3413" s="5" t="inlineStr">
        <is>
          <t>07 TRACK (SUPPLY &amp; INSTALLATION)</t>
        </is>
      </c>
      <c r="E3413" s="5" t="inlineStr">
        <is>
          <t>Buffer stops</t>
        </is>
      </c>
      <c r="F3413" s="5" t="inlineStr">
        <is>
          <t>double raker, steel rail and timber; 2.5 tonnes approximate weight</t>
        </is>
      </c>
      <c r="G3413" s="6" t="inlineStr">
        <is>
          <t>nr</t>
        </is>
      </c>
      <c r="H3413" s="7" t="n">
        <v>10</v>
      </c>
      <c r="I3413" s="8" t="n">
        <v>2027.74</v>
      </c>
      <c r="J3413" s="8" t="n">
        <v>0</v>
      </c>
      <c r="K3413" s="8" t="n">
        <v>18605.58</v>
      </c>
      <c r="L3413" s="8" t="n">
        <v>0</v>
      </c>
      <c r="M3413" s="9">
        <f>ROUND(SUM(I3413:L3413),2)</f>
        <v/>
      </c>
      <c r="N3413" s="10">
        <f>ROUND(I3413*'Irish Basis'!$C$6*'Irish Basis'!$C$5,2)</f>
        <v/>
      </c>
      <c r="O3413" s="10">
        <f>ROUND(J3413*'Irish Basis'!$C$7*'Irish Basis'!$C$5,2)</f>
        <v/>
      </c>
      <c r="P3413" s="10">
        <f>ROUND(K3413*'Irish Basis'!$C$8*'Irish Basis'!$C$5,2)</f>
        <v/>
      </c>
      <c r="Q3413" s="10">
        <f>ROUND(L3413*'Irish Basis'!$C$12*'Irish Basis'!$C$5,2)</f>
        <v/>
      </c>
      <c r="R3413" s="11">
        <f>ROUND(SUM(N3413:Q3413),2)</f>
        <v/>
      </c>
      <c r="S3413" s="5" t="inlineStr">
        <is>
          <t>Stated build-up</t>
        </is>
      </c>
      <c r="T3413" s="12" t="inlineStr">
        <is>
          <t>High</t>
        </is>
      </c>
      <c r="U3413" s="8" t="n">
        <v>20633.32</v>
      </c>
      <c r="V3413" s="13">
        <f>IF(U3413="","",ROUND(M3413-U3413,2))</f>
        <v/>
      </c>
      <c r="W3413" s="5" t="n"/>
      <c r="X3413" s="5" t="inlineStr">
        <is>
          <t>Labour + plant + material as published; reconciles to the published rate.</t>
        </is>
      </c>
    </row>
    <row r="3414" ht="13" customHeight="1">
      <c r="A3414" s="4" t="n">
        <v>5184</v>
      </c>
      <c r="B3414" s="5" t="inlineStr">
        <is>
          <t>IMG_0136</t>
        </is>
      </c>
      <c r="C3414" s="5" t="inlineStr">
        <is>
          <t>CLASS S: RAIL TRACK</t>
        </is>
      </c>
      <c r="D3414" s="5" t="inlineStr">
        <is>
          <t>07 TRACK (SUPPLY &amp; INSTALLATION)</t>
        </is>
      </c>
      <c r="E3414" s="5" t="inlineStr">
        <is>
          <t>Wheel stops</t>
        </is>
      </c>
      <c r="F3414" s="5" t="inlineStr">
        <is>
          <t>wheel stops; steel; 100 kg approximate weight</t>
        </is>
      </c>
      <c r="G3414" s="6" t="inlineStr">
        <is>
          <t>nr</t>
        </is>
      </c>
      <c r="H3414" s="7" t="n">
        <v>10</v>
      </c>
      <c r="I3414" s="8" t="n">
        <v>2027.74</v>
      </c>
      <c r="J3414" s="8" t="n">
        <v>0</v>
      </c>
      <c r="K3414" s="8" t="n">
        <v>783.39</v>
      </c>
      <c r="L3414" s="8" t="n">
        <v>0</v>
      </c>
      <c r="M3414" s="9">
        <f>ROUND(SUM(I3414:L3414),2)</f>
        <v/>
      </c>
      <c r="N3414" s="10">
        <f>ROUND(I3414*'Irish Basis'!$C$6*'Irish Basis'!$C$5,2)</f>
        <v/>
      </c>
      <c r="O3414" s="10">
        <f>ROUND(J3414*'Irish Basis'!$C$7*'Irish Basis'!$C$5,2)</f>
        <v/>
      </c>
      <c r="P3414" s="10">
        <f>ROUND(K3414*'Irish Basis'!$C$8*'Irish Basis'!$C$5,2)</f>
        <v/>
      </c>
      <c r="Q3414" s="10">
        <f>ROUND(L3414*'Irish Basis'!$C$12*'Irish Basis'!$C$5,2)</f>
        <v/>
      </c>
      <c r="R3414" s="11">
        <f>ROUND(SUM(N3414:Q3414),2)</f>
        <v/>
      </c>
      <c r="S3414" s="5" t="inlineStr">
        <is>
          <t>Stated build-up</t>
        </is>
      </c>
      <c r="T3414" s="12" t="inlineStr">
        <is>
          <t>High</t>
        </is>
      </c>
      <c r="U3414" s="8" t="n">
        <v>2811.13</v>
      </c>
      <c r="V3414" s="13">
        <f>IF(U3414="","",ROUND(M3414-U3414,2))</f>
        <v/>
      </c>
      <c r="W3414" s="5" t="n"/>
      <c r="X3414" s="5" t="inlineStr">
        <is>
          <t>Labour + plant + material as published; reconciles to the published rate.</t>
        </is>
      </c>
    </row>
    <row r="3415" ht="13" customHeight="1">
      <c r="A3415" s="4" t="n">
        <v>5186</v>
      </c>
      <c r="B3415" s="5" t="inlineStr">
        <is>
          <t>IMG_0136</t>
        </is>
      </c>
      <c r="C3415" s="5" t="inlineStr">
        <is>
          <t>CLASS S: RAIL TRACK</t>
        </is>
      </c>
      <c r="D3415" s="5" t="inlineStr">
        <is>
          <t>07 TRACK (SUPPLY &amp; INSTALLATION)</t>
        </is>
      </c>
      <c r="E3415" s="5" t="inlineStr">
        <is>
          <t>Lubricators</t>
        </is>
      </c>
      <c r="F3415" s="5" t="inlineStr">
        <is>
          <t>lubricators; single rail</t>
        </is>
      </c>
      <c r="G3415" s="6" t="inlineStr">
        <is>
          <t>nr</t>
        </is>
      </c>
      <c r="H3415" s="7" t="n">
        <v>2.5</v>
      </c>
      <c r="I3415" s="8" t="n">
        <v>506.94</v>
      </c>
      <c r="J3415" s="8" t="n">
        <v>0</v>
      </c>
      <c r="K3415" s="8" t="n">
        <v>1501.51</v>
      </c>
      <c r="L3415" s="8" t="n">
        <v>0</v>
      </c>
      <c r="M3415" s="9">
        <f>ROUND(SUM(I3415:L3415),2)</f>
        <v/>
      </c>
      <c r="N3415" s="10">
        <f>ROUND(I3415*'Irish Basis'!$C$6*'Irish Basis'!$C$5,2)</f>
        <v/>
      </c>
      <c r="O3415" s="10">
        <f>ROUND(J3415*'Irish Basis'!$C$7*'Irish Basis'!$C$5,2)</f>
        <v/>
      </c>
      <c r="P3415" s="10">
        <f>ROUND(K3415*'Irish Basis'!$C$8*'Irish Basis'!$C$5,2)</f>
        <v/>
      </c>
      <c r="Q3415" s="10">
        <f>ROUND(L3415*'Irish Basis'!$C$12*'Irish Basis'!$C$5,2)</f>
        <v/>
      </c>
      <c r="R3415" s="11">
        <f>ROUND(SUM(N3415:Q3415),2)</f>
        <v/>
      </c>
      <c r="S3415" s="5" t="inlineStr">
        <is>
          <t>Stated build-up</t>
        </is>
      </c>
      <c r="T3415" s="12" t="inlineStr">
        <is>
          <t>High</t>
        </is>
      </c>
      <c r="U3415" s="8" t="n">
        <v>2008.45</v>
      </c>
      <c r="V3415" s="13">
        <f>IF(U3415="","",ROUND(M3415-U3415,2))</f>
        <v/>
      </c>
      <c r="W3415" s="5" t="n"/>
      <c r="X3415" s="5" t="inlineStr">
        <is>
          <t>Labour + plant + material as published; reconciles to the published rate.</t>
        </is>
      </c>
    </row>
    <row r="3416" ht="13" customHeight="1">
      <c r="A3416" s="4" t="n">
        <v>5187</v>
      </c>
      <c r="B3416" s="5" t="inlineStr">
        <is>
          <t>IMG_0136</t>
        </is>
      </c>
      <c r="C3416" s="5" t="inlineStr">
        <is>
          <t>CLASS S: RAIL TRACK</t>
        </is>
      </c>
      <c r="D3416" s="5" t="inlineStr">
        <is>
          <t>07 TRACK (SUPPLY &amp; INSTALLATION)</t>
        </is>
      </c>
      <c r="E3416" s="5" t="inlineStr">
        <is>
          <t>Lubricators</t>
        </is>
      </c>
      <c r="F3416" s="5" t="inlineStr">
        <is>
          <t>lubricators; double rail</t>
        </is>
      </c>
      <c r="G3416" s="6" t="inlineStr">
        <is>
          <t>nr</t>
        </is>
      </c>
      <c r="H3416" s="7" t="n">
        <v>2.5</v>
      </c>
      <c r="I3416" s="8" t="n">
        <v>506.94</v>
      </c>
      <c r="J3416" s="8" t="n">
        <v>0</v>
      </c>
      <c r="K3416" s="8" t="n">
        <v>2937.74</v>
      </c>
      <c r="L3416" s="8" t="n">
        <v>0</v>
      </c>
      <c r="M3416" s="9">
        <f>ROUND(SUM(I3416:L3416),2)</f>
        <v/>
      </c>
      <c r="N3416" s="10">
        <f>ROUND(I3416*'Irish Basis'!$C$6*'Irish Basis'!$C$5,2)</f>
        <v/>
      </c>
      <c r="O3416" s="10">
        <f>ROUND(J3416*'Irish Basis'!$C$7*'Irish Basis'!$C$5,2)</f>
        <v/>
      </c>
      <c r="P3416" s="10">
        <f>ROUND(K3416*'Irish Basis'!$C$8*'Irish Basis'!$C$5,2)</f>
        <v/>
      </c>
      <c r="Q3416" s="10">
        <f>ROUND(L3416*'Irish Basis'!$C$12*'Irish Basis'!$C$5,2)</f>
        <v/>
      </c>
      <c r="R3416" s="11">
        <f>ROUND(SUM(N3416:Q3416),2)</f>
        <v/>
      </c>
      <c r="S3416" s="5" t="inlineStr">
        <is>
          <t>Stated build-up</t>
        </is>
      </c>
      <c r="T3416" s="12" t="inlineStr">
        <is>
          <t>High</t>
        </is>
      </c>
      <c r="U3416" s="8" t="n">
        <v>3444.67</v>
      </c>
      <c r="V3416" s="13">
        <f>IF(U3416="","",ROUND(M3416-U3416,2))</f>
        <v/>
      </c>
      <c r="W3416" s="5" t="n"/>
      <c r="X3416" s="5" t="inlineStr">
        <is>
          <t>Labour + plant + material as published; reconciles to the published rate.</t>
        </is>
      </c>
    </row>
    <row r="3417" ht="13" customHeight="1">
      <c r="A3417" s="4" t="n">
        <v>5189</v>
      </c>
      <c r="B3417" s="5" t="inlineStr">
        <is>
          <t>IMG_0136</t>
        </is>
      </c>
      <c r="C3417" s="5" t="inlineStr">
        <is>
          <t>CLASS S: RAIL TRACK</t>
        </is>
      </c>
      <c r="D3417" s="5" t="inlineStr">
        <is>
          <t>07 TRACK (SUPPLY &amp; INSTALLATION)</t>
        </is>
      </c>
      <c r="E3417" s="5" t="inlineStr">
        <is>
          <t>Check and guard rails; BS 11; delivered in standard 18.288 m lengths; flange planed to allow 50 mm free wheel clearance</t>
        </is>
      </c>
      <c r="F3417" s="5" t="inlineStr">
        <is>
          <t>BS 113 'A' section, 56 kg/m; for bolting</t>
        </is>
      </c>
      <c r="G3417" s="6" t="inlineStr">
        <is>
          <t>m</t>
        </is>
      </c>
      <c r="H3417" s="7" t="n">
        <v>0.3</v>
      </c>
      <c r="I3417" s="8" t="n">
        <v>60.83</v>
      </c>
      <c r="J3417" s="8" t="n">
        <v>212</v>
      </c>
      <c r="K3417" s="8" t="n">
        <v>88.88</v>
      </c>
      <c r="L3417" s="8" t="n">
        <v>0</v>
      </c>
      <c r="M3417" s="9">
        <f>ROUND(SUM(I3417:L3417),2)</f>
        <v/>
      </c>
      <c r="N3417" s="10">
        <f>ROUND(I3417*'Irish Basis'!$C$6*'Irish Basis'!$C$5,2)</f>
        <v/>
      </c>
      <c r="O3417" s="10">
        <f>ROUND(J3417*'Irish Basis'!$C$7*'Irish Basis'!$C$5,2)</f>
        <v/>
      </c>
      <c r="P3417" s="10">
        <f>ROUND(K3417*'Irish Basis'!$C$8*'Irish Basis'!$C$5,2)</f>
        <v/>
      </c>
      <c r="Q3417" s="10">
        <f>ROUND(L3417*'Irish Basis'!$C$12*'Irish Basis'!$C$5,2)</f>
        <v/>
      </c>
      <c r="R3417" s="11">
        <f>ROUND(SUM(N3417:Q3417),2)</f>
        <v/>
      </c>
      <c r="S3417" s="5" t="inlineStr">
        <is>
          <t>Stated build-up</t>
        </is>
      </c>
      <c r="T3417" s="12" t="inlineStr">
        <is>
          <t>High</t>
        </is>
      </c>
      <c r="U3417" s="8" t="n">
        <v>361.71</v>
      </c>
      <c r="V3417" s="13">
        <f>IF(U3417="","",ROUND(M3417-U3417,2))</f>
        <v/>
      </c>
      <c r="W3417" s="5" t="n"/>
      <c r="X3417" s="5" t="inlineStr">
        <is>
          <t>Labour + plant + material as published; reconciles to the published rate.</t>
        </is>
      </c>
    </row>
    <row r="3418" ht="13" customHeight="1">
      <c r="A3418" s="4" t="n">
        <v>5190</v>
      </c>
      <c r="B3418" s="5" t="inlineStr">
        <is>
          <t>IMG_0136</t>
        </is>
      </c>
      <c r="C3418" s="5" t="inlineStr">
        <is>
          <t>CLASS S: RAIL TRACK</t>
        </is>
      </c>
      <c r="D3418" s="5" t="inlineStr">
        <is>
          <t>07 TRACK (SUPPLY &amp; INSTALLATION)</t>
        </is>
      </c>
      <c r="E3418" s="5" t="inlineStr">
        <is>
          <t>Check and guard rails; BS 11; delivered in standard 18.288 m lengths; flange planed to allow 50 mm free wheel clearance</t>
        </is>
      </c>
      <c r="F3418" s="5" t="inlineStr">
        <is>
          <t>BS 113 'A' section, 47 kg/m; for bolting</t>
        </is>
      </c>
      <c r="G3418" s="6" t="inlineStr">
        <is>
          <t>m</t>
        </is>
      </c>
      <c r="H3418" s="7" t="n">
        <v>0.25</v>
      </c>
      <c r="I3418" s="8" t="n">
        <v>50.69</v>
      </c>
      <c r="J3418" s="8" t="n">
        <v>212</v>
      </c>
      <c r="K3418" s="8" t="n">
        <v>84.54000000000001</v>
      </c>
      <c r="L3418" s="8" t="n">
        <v>0</v>
      </c>
      <c r="M3418" s="9">
        <f>ROUND(SUM(I3418:L3418),2)</f>
        <v/>
      </c>
      <c r="N3418" s="10">
        <f>ROUND(I3418*'Irish Basis'!$C$6*'Irish Basis'!$C$5,2)</f>
        <v/>
      </c>
      <c r="O3418" s="10">
        <f>ROUND(J3418*'Irish Basis'!$C$7*'Irish Basis'!$C$5,2)</f>
        <v/>
      </c>
      <c r="P3418" s="10">
        <f>ROUND(K3418*'Irish Basis'!$C$8*'Irish Basis'!$C$5,2)</f>
        <v/>
      </c>
      <c r="Q3418" s="10">
        <f>ROUND(L3418*'Irish Basis'!$C$12*'Irish Basis'!$C$5,2)</f>
        <v/>
      </c>
      <c r="R3418" s="11">
        <f>ROUND(SUM(N3418:Q3418),2)</f>
        <v/>
      </c>
      <c r="S3418" s="5" t="inlineStr">
        <is>
          <t>Stated build-up</t>
        </is>
      </c>
      <c r="T3418" s="12" t="inlineStr">
        <is>
          <t>High</t>
        </is>
      </c>
      <c r="U3418" s="8" t="n">
        <v>347.23</v>
      </c>
      <c r="V3418" s="13">
        <f>IF(U3418="","",ROUND(M3418-U3418,2))</f>
        <v/>
      </c>
      <c r="W3418" s="5" t="n"/>
      <c r="X3418" s="5" t="inlineStr">
        <is>
          <t>Labour + plant + material as published; reconciles to the published rate.</t>
        </is>
      </c>
    </row>
    <row r="3419" ht="13" customHeight="1">
      <c r="A3419" s="4" t="n">
        <v>5191</v>
      </c>
      <c r="B3419" s="5" t="inlineStr">
        <is>
          <t>IMG_0136</t>
        </is>
      </c>
      <c r="C3419" s="5" t="inlineStr">
        <is>
          <t>CLASS S: RAIL TRACK</t>
        </is>
      </c>
      <c r="D3419" s="5" t="inlineStr">
        <is>
          <t>07 TRACK (SUPPLY &amp; INSTALLATION)</t>
        </is>
      </c>
      <c r="E3419" s="5" t="inlineStr">
        <is>
          <t>Check and guard rails; BS 11; delivered in standard 18.288 m lengths; flange planed to allow 50 mm free wheel clearance</t>
        </is>
      </c>
      <c r="F3419" s="5" t="inlineStr">
        <is>
          <t>BS 113 'A' section, 40 kg/m; for bolting</t>
        </is>
      </c>
      <c r="G3419" s="6" t="inlineStr">
        <is>
          <t>m</t>
        </is>
      </c>
      <c r="H3419" s="7" t="n">
        <v>0.25</v>
      </c>
      <c r="I3419" s="8" t="n">
        <v>50.69</v>
      </c>
      <c r="J3419" s="8" t="n">
        <v>212</v>
      </c>
      <c r="K3419" s="8" t="n">
        <v>74.41</v>
      </c>
      <c r="L3419" s="8" t="n">
        <v>0</v>
      </c>
      <c r="M3419" s="9">
        <f>ROUND(SUM(I3419:L3419),2)</f>
        <v/>
      </c>
      <c r="N3419" s="10">
        <f>ROUND(I3419*'Irish Basis'!$C$6*'Irish Basis'!$C$5,2)</f>
        <v/>
      </c>
      <c r="O3419" s="10">
        <f>ROUND(J3419*'Irish Basis'!$C$7*'Irish Basis'!$C$5,2)</f>
        <v/>
      </c>
      <c r="P3419" s="10">
        <f>ROUND(K3419*'Irish Basis'!$C$8*'Irish Basis'!$C$5,2)</f>
        <v/>
      </c>
      <c r="Q3419" s="10">
        <f>ROUND(L3419*'Irish Basis'!$C$12*'Irish Basis'!$C$5,2)</f>
        <v/>
      </c>
      <c r="R3419" s="11">
        <f>ROUND(SUM(N3419:Q3419),2)</f>
        <v/>
      </c>
      <c r="S3419" s="5" t="inlineStr">
        <is>
          <t>Stated build-up</t>
        </is>
      </c>
      <c r="T3419" s="12" t="inlineStr">
        <is>
          <t>High</t>
        </is>
      </c>
      <c r="U3419" s="8" t="n">
        <v>337.1</v>
      </c>
      <c r="V3419" s="13">
        <f>IF(U3419="","",ROUND(M3419-U3419,2))</f>
        <v/>
      </c>
      <c r="W3419" s="5" t="n"/>
      <c r="X3419" s="5" t="inlineStr">
        <is>
          <t>Labour + plant + material as published; reconciles to the published rate.</t>
        </is>
      </c>
    </row>
    <row r="3420" ht="13" customHeight="1">
      <c r="A3420" s="4" t="n">
        <v>5200</v>
      </c>
      <c r="B3420" s="5" t="inlineStr">
        <is>
          <t>IMG_0136</t>
        </is>
      </c>
      <c r="C3420" s="5" t="inlineStr">
        <is>
          <t>CLASS T: TUNNELS</t>
        </is>
      </c>
      <c r="D3420" s="5" t="inlineStr">
        <is>
          <t>01 EXCAVATION</t>
        </is>
      </c>
      <c r="E3420" s="5" t="inlineStr">
        <is>
          <t>Excavation; Excavating tunnels in rock</t>
        </is>
      </c>
      <c r="F3420" s="5" t="inlineStr">
        <is>
          <t>1.5 m dia.</t>
        </is>
      </c>
      <c r="G3420" s="6" t="inlineStr">
        <is>
          <t>m3</t>
        </is>
      </c>
      <c r="H3420" s="7" t="n"/>
      <c r="I3420" s="8" t="n">
        <v>0</v>
      </c>
      <c r="J3420" s="8" t="n">
        <v>0</v>
      </c>
      <c r="K3420" s="8" t="n">
        <v>0</v>
      </c>
      <c r="L3420" s="8" t="n">
        <v>99.26000000000001</v>
      </c>
      <c r="M3420" s="9">
        <f>ROUND(SUM(I3420:L3420),2)</f>
        <v/>
      </c>
      <c r="N3420" s="10">
        <f>ROUND(I3420*'Irish Basis'!$C$6*'Irish Basis'!$C$5,2)</f>
        <v/>
      </c>
      <c r="O3420" s="10">
        <f>ROUND(J3420*'Irish Basis'!$C$7*'Irish Basis'!$C$5,2)</f>
        <v/>
      </c>
      <c r="P3420" s="10">
        <f>ROUND(K3420*'Irish Basis'!$C$8*'Irish Basis'!$C$5,2)</f>
        <v/>
      </c>
      <c r="Q3420" s="10">
        <f>ROUND(L3420*'Irish Basis'!$C$12*'Irish Basis'!$C$5,2)</f>
        <v/>
      </c>
      <c r="R3420" s="11">
        <f>ROUND(SUM(N3420:Q3420),2)</f>
        <v/>
      </c>
      <c r="S3420" s="5" t="inlineStr">
        <is>
          <t>All-in specialist rate</t>
        </is>
      </c>
      <c r="T3420" s="14" t="inlineStr">
        <is>
          <t>All-in (not split)</t>
        </is>
      </c>
      <c r="U3420" s="8" t="n">
        <v>99.26000000000001</v>
      </c>
      <c r="V3420" s="13">
        <f>IF(U3420="","",ROUND(M3420-U3420,2))</f>
        <v/>
      </c>
      <c r="W3420" s="5" t="n"/>
      <c r="X3420" s="5" t="inlineStr">
        <is>
          <t>Source publishes a specialist/sub-contract all-in rate; no labour/plant/material build-up exists to derive from.</t>
        </is>
      </c>
    </row>
    <row r="3421" ht="13" customHeight="1">
      <c r="A3421" s="4" t="n">
        <v>5201</v>
      </c>
      <c r="B3421" s="5" t="inlineStr">
        <is>
          <t>IMG_0136</t>
        </is>
      </c>
      <c r="C3421" s="5" t="inlineStr">
        <is>
          <t>CLASS T: TUNNELS</t>
        </is>
      </c>
      <c r="D3421" s="5" t="inlineStr">
        <is>
          <t>01 EXCAVATION</t>
        </is>
      </c>
      <c r="E3421" s="5" t="inlineStr">
        <is>
          <t>Excavation; Excavating tunnels in rock</t>
        </is>
      </c>
      <c r="F3421" s="5" t="inlineStr">
        <is>
          <t>3.0 m dia.</t>
        </is>
      </c>
      <c r="G3421" s="6" t="inlineStr">
        <is>
          <t>m3</t>
        </is>
      </c>
      <c r="H3421" s="7" t="n"/>
      <c r="I3421" s="8" t="n">
        <v>0</v>
      </c>
      <c r="J3421" s="8" t="n">
        <v>0</v>
      </c>
      <c r="K3421" s="8" t="n">
        <v>0</v>
      </c>
      <c r="L3421" s="8" t="n">
        <v>81.75</v>
      </c>
      <c r="M3421" s="9">
        <f>ROUND(SUM(I3421:L3421),2)</f>
        <v/>
      </c>
      <c r="N3421" s="10">
        <f>ROUND(I3421*'Irish Basis'!$C$6*'Irish Basis'!$C$5,2)</f>
        <v/>
      </c>
      <c r="O3421" s="10">
        <f>ROUND(J3421*'Irish Basis'!$C$7*'Irish Basis'!$C$5,2)</f>
        <v/>
      </c>
      <c r="P3421" s="10">
        <f>ROUND(K3421*'Irish Basis'!$C$8*'Irish Basis'!$C$5,2)</f>
        <v/>
      </c>
      <c r="Q3421" s="10">
        <f>ROUND(L3421*'Irish Basis'!$C$12*'Irish Basis'!$C$5,2)</f>
        <v/>
      </c>
      <c r="R3421" s="11">
        <f>ROUND(SUM(N3421:Q3421),2)</f>
        <v/>
      </c>
      <c r="S3421" s="5" t="inlineStr">
        <is>
          <t>All-in specialist rate</t>
        </is>
      </c>
      <c r="T3421" s="14" t="inlineStr">
        <is>
          <t>All-in (not split)</t>
        </is>
      </c>
      <c r="U3421" s="8" t="n">
        <v>81.75</v>
      </c>
      <c r="V3421" s="13">
        <f>IF(U3421="","",ROUND(M3421-U3421,2))</f>
        <v/>
      </c>
      <c r="W3421" s="5" t="n"/>
      <c r="X3421" s="5" t="inlineStr">
        <is>
          <t>Source publishes a specialist/sub-contract all-in rate; no labour/plant/material build-up exists to derive from.</t>
        </is>
      </c>
    </row>
    <row r="3422" ht="13" customHeight="1">
      <c r="A3422" s="4" t="n">
        <v>5203</v>
      </c>
      <c r="B3422" s="5" t="inlineStr">
        <is>
          <t>IMG_0136</t>
        </is>
      </c>
      <c r="C3422" s="5" t="inlineStr">
        <is>
          <t>CLASS T: TUNNELS</t>
        </is>
      </c>
      <c r="D3422" s="5" t="inlineStr">
        <is>
          <t>01 EXCAVATION</t>
        </is>
      </c>
      <c r="E3422" s="5" t="inlineStr">
        <is>
          <t>Excavating tunnels in soft material</t>
        </is>
      </c>
      <c r="F3422" s="5" t="inlineStr">
        <is>
          <t>1.5 m dia.</t>
        </is>
      </c>
      <c r="G3422" s="6" t="inlineStr">
        <is>
          <t>m3</t>
        </is>
      </c>
      <c r="H3422" s="7" t="n"/>
      <c r="I3422" s="8" t="n">
        <v>0</v>
      </c>
      <c r="J3422" s="8" t="n">
        <v>0</v>
      </c>
      <c r="K3422" s="8" t="n">
        <v>0</v>
      </c>
      <c r="L3422" s="8" t="n">
        <v>99.26000000000001</v>
      </c>
      <c r="M3422" s="9">
        <f>ROUND(SUM(I3422:L3422),2)</f>
        <v/>
      </c>
      <c r="N3422" s="10">
        <f>ROUND(I3422*'Irish Basis'!$C$6*'Irish Basis'!$C$5,2)</f>
        <v/>
      </c>
      <c r="O3422" s="10">
        <f>ROUND(J3422*'Irish Basis'!$C$7*'Irish Basis'!$C$5,2)</f>
        <v/>
      </c>
      <c r="P3422" s="10">
        <f>ROUND(K3422*'Irish Basis'!$C$8*'Irish Basis'!$C$5,2)</f>
        <v/>
      </c>
      <c r="Q3422" s="10">
        <f>ROUND(L3422*'Irish Basis'!$C$12*'Irish Basis'!$C$5,2)</f>
        <v/>
      </c>
      <c r="R3422" s="11">
        <f>ROUND(SUM(N3422:Q3422),2)</f>
        <v/>
      </c>
      <c r="S3422" s="5" t="inlineStr">
        <is>
          <t>All-in specialist rate</t>
        </is>
      </c>
      <c r="T3422" s="14" t="inlineStr">
        <is>
          <t>All-in (not split)</t>
        </is>
      </c>
      <c r="U3422" s="8" t="n">
        <v>99.26000000000001</v>
      </c>
      <c r="V3422" s="13">
        <f>IF(U3422="","",ROUND(M3422-U3422,2))</f>
        <v/>
      </c>
      <c r="W3422" s="5" t="n"/>
      <c r="X3422" s="5" t="inlineStr">
        <is>
          <t>Source publishes a specialist/sub-contract all-in rate; no labour/plant/material build-up exists to derive from.</t>
        </is>
      </c>
    </row>
    <row r="3423" ht="13" customHeight="1">
      <c r="A3423" s="4" t="n">
        <v>5204</v>
      </c>
      <c r="B3423" s="5" t="inlineStr">
        <is>
          <t>IMG_0136</t>
        </is>
      </c>
      <c r="C3423" s="5" t="inlineStr">
        <is>
          <t>CLASS T: TUNNELS</t>
        </is>
      </c>
      <c r="D3423" s="5" t="inlineStr">
        <is>
          <t>01 EXCAVATION</t>
        </is>
      </c>
      <c r="E3423" s="5" t="inlineStr">
        <is>
          <t>Excavating tunnels in soft material</t>
        </is>
      </c>
      <c r="F3423" s="5" t="inlineStr">
        <is>
          <t>3.0 m dia.</t>
        </is>
      </c>
      <c r="G3423" s="6" t="inlineStr">
        <is>
          <t>m3</t>
        </is>
      </c>
      <c r="H3423" s="7" t="n"/>
      <c r="I3423" s="8" t="n">
        <v>0</v>
      </c>
      <c r="J3423" s="8" t="n">
        <v>0</v>
      </c>
      <c r="K3423" s="8" t="n">
        <v>0</v>
      </c>
      <c r="L3423" s="8" t="n">
        <v>81.75</v>
      </c>
      <c r="M3423" s="9">
        <f>ROUND(SUM(I3423:L3423),2)</f>
        <v/>
      </c>
      <c r="N3423" s="10">
        <f>ROUND(I3423*'Irish Basis'!$C$6*'Irish Basis'!$C$5,2)</f>
        <v/>
      </c>
      <c r="O3423" s="10">
        <f>ROUND(J3423*'Irish Basis'!$C$7*'Irish Basis'!$C$5,2)</f>
        <v/>
      </c>
      <c r="P3423" s="10">
        <f>ROUND(K3423*'Irish Basis'!$C$8*'Irish Basis'!$C$5,2)</f>
        <v/>
      </c>
      <c r="Q3423" s="10">
        <f>ROUND(L3423*'Irish Basis'!$C$12*'Irish Basis'!$C$5,2)</f>
        <v/>
      </c>
      <c r="R3423" s="11">
        <f>ROUND(SUM(N3423:Q3423),2)</f>
        <v/>
      </c>
      <c r="S3423" s="5" t="inlineStr">
        <is>
          <t>All-in specialist rate</t>
        </is>
      </c>
      <c r="T3423" s="14" t="inlineStr">
        <is>
          <t>All-in (not split)</t>
        </is>
      </c>
      <c r="U3423" s="8" t="n">
        <v>81.75</v>
      </c>
      <c r="V3423" s="13">
        <f>IF(U3423="","",ROUND(M3423-U3423,2))</f>
        <v/>
      </c>
      <c r="W3423" s="5" t="n"/>
      <c r="X3423" s="5" t="inlineStr">
        <is>
          <t>Source publishes a specialist/sub-contract all-in rate; no labour/plant/material build-up exists to derive from.</t>
        </is>
      </c>
    </row>
    <row r="3424" ht="13" customHeight="1">
      <c r="A3424" s="4" t="n">
        <v>5206</v>
      </c>
      <c r="B3424" s="5" t="inlineStr">
        <is>
          <t>IMG_0136</t>
        </is>
      </c>
      <c r="C3424" s="5" t="inlineStr">
        <is>
          <t>CLASS T: TUNNELS</t>
        </is>
      </c>
      <c r="D3424" s="5" t="inlineStr">
        <is>
          <t>01 EXCAVATION</t>
        </is>
      </c>
      <c r="E3424" s="5" t="inlineStr">
        <is>
          <t>Excavating shafts in rock</t>
        </is>
      </c>
      <c r="F3424" s="5" t="inlineStr">
        <is>
          <t>3.0 m dia.</t>
        </is>
      </c>
      <c r="G3424" s="6" t="inlineStr">
        <is>
          <t>m3</t>
        </is>
      </c>
      <c r="H3424" s="7" t="n"/>
      <c r="I3424" s="8" t="n">
        <v>0</v>
      </c>
      <c r="J3424" s="8" t="n">
        <v>0</v>
      </c>
      <c r="K3424" s="8" t="n">
        <v>0</v>
      </c>
      <c r="L3424" s="8" t="n">
        <v>386.83</v>
      </c>
      <c r="M3424" s="9">
        <f>ROUND(SUM(I3424:L3424),2)</f>
        <v/>
      </c>
      <c r="N3424" s="10">
        <f>ROUND(I3424*'Irish Basis'!$C$6*'Irish Basis'!$C$5,2)</f>
        <v/>
      </c>
      <c r="O3424" s="10">
        <f>ROUND(J3424*'Irish Basis'!$C$7*'Irish Basis'!$C$5,2)</f>
        <v/>
      </c>
      <c r="P3424" s="10">
        <f>ROUND(K3424*'Irish Basis'!$C$8*'Irish Basis'!$C$5,2)</f>
        <v/>
      </c>
      <c r="Q3424" s="10">
        <f>ROUND(L3424*'Irish Basis'!$C$12*'Irish Basis'!$C$5,2)</f>
        <v/>
      </c>
      <c r="R3424" s="11">
        <f>ROUND(SUM(N3424:Q3424),2)</f>
        <v/>
      </c>
      <c r="S3424" s="5" t="inlineStr">
        <is>
          <t>All-in specialist rate</t>
        </is>
      </c>
      <c r="T3424" s="14" t="inlineStr">
        <is>
          <t>All-in (not split)</t>
        </is>
      </c>
      <c r="U3424" s="8" t="n">
        <v>386.83</v>
      </c>
      <c r="V3424" s="13">
        <f>IF(U3424="","",ROUND(M3424-U3424,2))</f>
        <v/>
      </c>
      <c r="W3424" s="5" t="n"/>
      <c r="X3424" s="5" t="inlineStr">
        <is>
          <t>Source publishes a specialist/sub-contract all-in rate; no labour/plant/material build-up exists to derive from.</t>
        </is>
      </c>
    </row>
    <row r="3425" ht="13" customHeight="1">
      <c r="A3425" s="4" t="n">
        <v>5207</v>
      </c>
      <c r="B3425" s="5" t="inlineStr">
        <is>
          <t>IMG_0136</t>
        </is>
      </c>
      <c r="C3425" s="5" t="inlineStr">
        <is>
          <t>CLASS T: TUNNELS</t>
        </is>
      </c>
      <c r="D3425" s="5" t="inlineStr">
        <is>
          <t>01 EXCAVATION</t>
        </is>
      </c>
      <c r="E3425" s="5" t="inlineStr">
        <is>
          <t>Excavating shafts in rock</t>
        </is>
      </c>
      <c r="F3425" s="5" t="inlineStr">
        <is>
          <t>4.5 m dia.</t>
        </is>
      </c>
      <c r="G3425" s="6" t="inlineStr">
        <is>
          <t>m3</t>
        </is>
      </c>
      <c r="H3425" s="7" t="n"/>
      <c r="I3425" s="8" t="n">
        <v>0</v>
      </c>
      <c r="J3425" s="8" t="n">
        <v>0</v>
      </c>
      <c r="K3425" s="8" t="n">
        <v>0</v>
      </c>
      <c r="L3425" s="8" t="n">
        <v>328.44</v>
      </c>
      <c r="M3425" s="9">
        <f>ROUND(SUM(I3425:L3425),2)</f>
        <v/>
      </c>
      <c r="N3425" s="10">
        <f>ROUND(I3425*'Irish Basis'!$C$6*'Irish Basis'!$C$5,2)</f>
        <v/>
      </c>
      <c r="O3425" s="10">
        <f>ROUND(J3425*'Irish Basis'!$C$7*'Irish Basis'!$C$5,2)</f>
        <v/>
      </c>
      <c r="P3425" s="10">
        <f>ROUND(K3425*'Irish Basis'!$C$8*'Irish Basis'!$C$5,2)</f>
        <v/>
      </c>
      <c r="Q3425" s="10">
        <f>ROUND(L3425*'Irish Basis'!$C$12*'Irish Basis'!$C$5,2)</f>
        <v/>
      </c>
      <c r="R3425" s="11">
        <f>ROUND(SUM(N3425:Q3425),2)</f>
        <v/>
      </c>
      <c r="S3425" s="5" t="inlineStr">
        <is>
          <t>All-in specialist rate</t>
        </is>
      </c>
      <c r="T3425" s="14" t="inlineStr">
        <is>
          <t>All-in (not split)</t>
        </is>
      </c>
      <c r="U3425" s="8" t="n">
        <v>328.44</v>
      </c>
      <c r="V3425" s="13">
        <f>IF(U3425="","",ROUND(M3425-U3425,2))</f>
        <v/>
      </c>
      <c r="W3425" s="5" t="n"/>
      <c r="X3425" s="5" t="inlineStr">
        <is>
          <t>Source publishes a specialist/sub-contract all-in rate; no labour/plant/material build-up exists to derive from.</t>
        </is>
      </c>
    </row>
    <row r="3426" ht="13" customHeight="1">
      <c r="A3426" s="4" t="n">
        <v>5209</v>
      </c>
      <c r="B3426" s="5" t="inlineStr">
        <is>
          <t>IMG_0136</t>
        </is>
      </c>
      <c r="C3426" s="5" t="inlineStr">
        <is>
          <t>CLASS T: TUNNELS</t>
        </is>
      </c>
      <c r="D3426" s="5" t="inlineStr">
        <is>
          <t>01 EXCAVATION</t>
        </is>
      </c>
      <c r="E3426" s="5" t="inlineStr">
        <is>
          <t>Excavating shafts in soft material</t>
        </is>
      </c>
      <c r="F3426" s="5" t="inlineStr">
        <is>
          <t>3.0 m dia.</t>
        </is>
      </c>
      <c r="G3426" s="6" t="inlineStr">
        <is>
          <t>m3</t>
        </is>
      </c>
      <c r="H3426" s="7" t="n"/>
      <c r="I3426" s="8" t="n">
        <v>0</v>
      </c>
      <c r="J3426" s="8" t="n">
        <v>0</v>
      </c>
      <c r="K3426" s="8" t="n">
        <v>0</v>
      </c>
      <c r="L3426" s="8" t="n">
        <v>231.5</v>
      </c>
      <c r="M3426" s="9">
        <f>ROUND(SUM(I3426:L3426),2)</f>
        <v/>
      </c>
      <c r="N3426" s="10">
        <f>ROUND(I3426*'Irish Basis'!$C$6*'Irish Basis'!$C$5,2)</f>
        <v/>
      </c>
      <c r="O3426" s="10">
        <f>ROUND(J3426*'Irish Basis'!$C$7*'Irish Basis'!$C$5,2)</f>
        <v/>
      </c>
      <c r="P3426" s="10">
        <f>ROUND(K3426*'Irish Basis'!$C$8*'Irish Basis'!$C$5,2)</f>
        <v/>
      </c>
      <c r="Q3426" s="10">
        <f>ROUND(L3426*'Irish Basis'!$C$12*'Irish Basis'!$C$5,2)</f>
        <v/>
      </c>
      <c r="R3426" s="11">
        <f>ROUND(SUM(N3426:Q3426),2)</f>
        <v/>
      </c>
      <c r="S3426" s="5" t="inlineStr">
        <is>
          <t>All-in specialist rate</t>
        </is>
      </c>
      <c r="T3426" s="14" t="inlineStr">
        <is>
          <t>All-in (not split)</t>
        </is>
      </c>
      <c r="U3426" s="8" t="n">
        <v>231.5</v>
      </c>
      <c r="V3426" s="13">
        <f>IF(U3426="","",ROUND(M3426-U3426,2))</f>
        <v/>
      </c>
      <c r="W3426" s="5" t="n"/>
      <c r="X3426" s="5" t="inlineStr">
        <is>
          <t>Source publishes a specialist/sub-contract all-in rate; no labour/plant/material build-up exists to derive from.</t>
        </is>
      </c>
    </row>
    <row r="3427" ht="13" customHeight="1">
      <c r="A3427" s="4" t="n">
        <v>5210</v>
      </c>
      <c r="B3427" s="5" t="inlineStr">
        <is>
          <t>IMG_0136</t>
        </is>
      </c>
      <c r="C3427" s="5" t="inlineStr">
        <is>
          <t>CLASS T: TUNNELS</t>
        </is>
      </c>
      <c r="D3427" s="5" t="inlineStr">
        <is>
          <t>01 EXCAVATION</t>
        </is>
      </c>
      <c r="E3427" s="5" t="inlineStr">
        <is>
          <t>Excavating shafts in soft material</t>
        </is>
      </c>
      <c r="F3427" s="5" t="inlineStr">
        <is>
          <t>4.5 m dia.</t>
        </is>
      </c>
      <c r="G3427" s="6" t="inlineStr">
        <is>
          <t>m3</t>
        </is>
      </c>
      <c r="H3427" s="7" t="n"/>
      <c r="I3427" s="8" t="n">
        <v>0</v>
      </c>
      <c r="J3427" s="8" t="n">
        <v>0</v>
      </c>
      <c r="K3427" s="8" t="n">
        <v>0</v>
      </c>
      <c r="L3427" s="8" t="n">
        <v>199.24</v>
      </c>
      <c r="M3427" s="9">
        <f>ROUND(SUM(I3427:L3427),2)</f>
        <v/>
      </c>
      <c r="N3427" s="10">
        <f>ROUND(I3427*'Irish Basis'!$C$6*'Irish Basis'!$C$5,2)</f>
        <v/>
      </c>
      <c r="O3427" s="10">
        <f>ROUND(J3427*'Irish Basis'!$C$7*'Irish Basis'!$C$5,2)</f>
        <v/>
      </c>
      <c r="P3427" s="10">
        <f>ROUND(K3427*'Irish Basis'!$C$8*'Irish Basis'!$C$5,2)</f>
        <v/>
      </c>
      <c r="Q3427" s="10">
        <f>ROUND(L3427*'Irish Basis'!$C$12*'Irish Basis'!$C$5,2)</f>
        <v/>
      </c>
      <c r="R3427" s="11">
        <f>ROUND(SUM(N3427:Q3427),2)</f>
        <v/>
      </c>
      <c r="S3427" s="5" t="inlineStr">
        <is>
          <t>All-in specialist rate</t>
        </is>
      </c>
      <c r="T3427" s="14" t="inlineStr">
        <is>
          <t>All-in (not split)</t>
        </is>
      </c>
      <c r="U3427" s="8" t="n">
        <v>199.24</v>
      </c>
      <c r="V3427" s="13">
        <f>IF(U3427="","",ROUND(M3427-U3427,2))</f>
        <v/>
      </c>
      <c r="W3427" s="5" t="n"/>
      <c r="X3427" s="5" t="inlineStr">
        <is>
          <t>Source publishes a specialist/sub-contract all-in rate; no labour/plant/material build-up exists to derive from.</t>
        </is>
      </c>
    </row>
    <row r="3428" ht="13" customHeight="1">
      <c r="A3428" s="4" t="n">
        <v>5212</v>
      </c>
      <c r="B3428" s="5" t="inlineStr">
        <is>
          <t>IMG_0136</t>
        </is>
      </c>
      <c r="C3428" s="5" t="inlineStr">
        <is>
          <t>CLASS T: TUNNELS</t>
        </is>
      </c>
      <c r="D3428" s="5" t="inlineStr">
        <is>
          <t>01 EXCAVATION</t>
        </is>
      </c>
      <c r="E3428" s="5" t="inlineStr">
        <is>
          <t>Excavating other cavities in rock</t>
        </is>
      </c>
      <c r="F3428" s="5" t="inlineStr">
        <is>
          <t>1.5 m dia.</t>
        </is>
      </c>
      <c r="G3428" s="6" t="inlineStr">
        <is>
          <t>m3</t>
        </is>
      </c>
      <c r="H3428" s="7" t="n"/>
      <c r="I3428" s="8" t="n">
        <v>0</v>
      </c>
      <c r="J3428" s="8" t="n">
        <v>0</v>
      </c>
      <c r="K3428" s="8" t="n">
        <v>0</v>
      </c>
      <c r="L3428" s="8" t="n">
        <v>99.26000000000001</v>
      </c>
      <c r="M3428" s="9">
        <f>ROUND(SUM(I3428:L3428),2)</f>
        <v/>
      </c>
      <c r="N3428" s="10">
        <f>ROUND(I3428*'Irish Basis'!$C$6*'Irish Basis'!$C$5,2)</f>
        <v/>
      </c>
      <c r="O3428" s="10">
        <f>ROUND(J3428*'Irish Basis'!$C$7*'Irish Basis'!$C$5,2)</f>
        <v/>
      </c>
      <c r="P3428" s="10">
        <f>ROUND(K3428*'Irish Basis'!$C$8*'Irish Basis'!$C$5,2)</f>
        <v/>
      </c>
      <c r="Q3428" s="10">
        <f>ROUND(L3428*'Irish Basis'!$C$12*'Irish Basis'!$C$5,2)</f>
        <v/>
      </c>
      <c r="R3428" s="11">
        <f>ROUND(SUM(N3428:Q3428),2)</f>
        <v/>
      </c>
      <c r="S3428" s="5" t="inlineStr">
        <is>
          <t>All-in specialist rate</t>
        </is>
      </c>
      <c r="T3428" s="14" t="inlineStr">
        <is>
          <t>All-in (not split)</t>
        </is>
      </c>
      <c r="U3428" s="8" t="n">
        <v>99.26000000000001</v>
      </c>
      <c r="V3428" s="13">
        <f>IF(U3428="","",ROUND(M3428-U3428,2))</f>
        <v/>
      </c>
      <c r="W3428" s="5" t="n"/>
      <c r="X3428" s="5" t="inlineStr">
        <is>
          <t>Source publishes a specialist/sub-contract all-in rate; no labour/plant/material build-up exists to derive from.</t>
        </is>
      </c>
    </row>
    <row r="3429" ht="13" customHeight="1">
      <c r="A3429" s="4" t="n">
        <v>5213</v>
      </c>
      <c r="B3429" s="5" t="inlineStr">
        <is>
          <t>IMG_0136</t>
        </is>
      </c>
      <c r="C3429" s="5" t="inlineStr">
        <is>
          <t>CLASS T: TUNNELS</t>
        </is>
      </c>
      <c r="D3429" s="5" t="inlineStr">
        <is>
          <t>01 EXCAVATION</t>
        </is>
      </c>
      <c r="E3429" s="5" t="inlineStr">
        <is>
          <t>Excavating other cavities in rock</t>
        </is>
      </c>
      <c r="F3429" s="5" t="inlineStr">
        <is>
          <t>3.0 m dia.</t>
        </is>
      </c>
      <c r="G3429" s="6" t="inlineStr">
        <is>
          <t>m3</t>
        </is>
      </c>
      <c r="H3429" s="7" t="n"/>
      <c r="I3429" s="8" t="n">
        <v>0</v>
      </c>
      <c r="J3429" s="8" t="n">
        <v>0</v>
      </c>
      <c r="K3429" s="8" t="n">
        <v>0</v>
      </c>
      <c r="L3429" s="8" t="n">
        <v>81.75</v>
      </c>
      <c r="M3429" s="9">
        <f>ROUND(SUM(I3429:L3429),2)</f>
        <v/>
      </c>
      <c r="N3429" s="10">
        <f>ROUND(I3429*'Irish Basis'!$C$6*'Irish Basis'!$C$5,2)</f>
        <v/>
      </c>
      <c r="O3429" s="10">
        <f>ROUND(J3429*'Irish Basis'!$C$7*'Irish Basis'!$C$5,2)</f>
        <v/>
      </c>
      <c r="P3429" s="10">
        <f>ROUND(K3429*'Irish Basis'!$C$8*'Irish Basis'!$C$5,2)</f>
        <v/>
      </c>
      <c r="Q3429" s="10">
        <f>ROUND(L3429*'Irish Basis'!$C$12*'Irish Basis'!$C$5,2)</f>
        <v/>
      </c>
      <c r="R3429" s="11">
        <f>ROUND(SUM(N3429:Q3429),2)</f>
        <v/>
      </c>
      <c r="S3429" s="5" t="inlineStr">
        <is>
          <t>All-in specialist rate</t>
        </is>
      </c>
      <c r="T3429" s="14" t="inlineStr">
        <is>
          <t>All-in (not split)</t>
        </is>
      </c>
      <c r="U3429" s="8" t="n">
        <v>81.75</v>
      </c>
      <c r="V3429" s="13">
        <f>IF(U3429="","",ROUND(M3429-U3429,2))</f>
        <v/>
      </c>
      <c r="W3429" s="5" t="n"/>
      <c r="X3429" s="5" t="inlineStr">
        <is>
          <t>Source publishes a specialist/sub-contract all-in rate; no labour/plant/material build-up exists to derive from.</t>
        </is>
      </c>
    </row>
    <row r="3430" ht="13" customHeight="1">
      <c r="A3430" s="4" t="n">
        <v>5215</v>
      </c>
      <c r="B3430" s="5" t="inlineStr">
        <is>
          <t>IMG_0136</t>
        </is>
      </c>
      <c r="C3430" s="5" t="inlineStr">
        <is>
          <t>CLASS T: TUNNELS</t>
        </is>
      </c>
      <c r="D3430" s="5" t="inlineStr">
        <is>
          <t>01 EXCAVATION</t>
        </is>
      </c>
      <c r="E3430" s="5" t="inlineStr">
        <is>
          <t>Excavating other cavities in soft material</t>
        </is>
      </c>
      <c r="F3430" s="5" t="inlineStr">
        <is>
          <t>1.5 m dia.</t>
        </is>
      </c>
      <c r="G3430" s="6" t="inlineStr">
        <is>
          <t>m3</t>
        </is>
      </c>
      <c r="H3430" s="7" t="n"/>
      <c r="I3430" s="8" t="n">
        <v>0</v>
      </c>
      <c r="J3430" s="8" t="n">
        <v>0</v>
      </c>
      <c r="K3430" s="8" t="n">
        <v>0</v>
      </c>
      <c r="L3430" s="8" t="n">
        <v>99.26000000000001</v>
      </c>
      <c r="M3430" s="9">
        <f>ROUND(SUM(I3430:L3430),2)</f>
        <v/>
      </c>
      <c r="N3430" s="10">
        <f>ROUND(I3430*'Irish Basis'!$C$6*'Irish Basis'!$C$5,2)</f>
        <v/>
      </c>
      <c r="O3430" s="10">
        <f>ROUND(J3430*'Irish Basis'!$C$7*'Irish Basis'!$C$5,2)</f>
        <v/>
      </c>
      <c r="P3430" s="10">
        <f>ROUND(K3430*'Irish Basis'!$C$8*'Irish Basis'!$C$5,2)</f>
        <v/>
      </c>
      <c r="Q3430" s="10">
        <f>ROUND(L3430*'Irish Basis'!$C$12*'Irish Basis'!$C$5,2)</f>
        <v/>
      </c>
      <c r="R3430" s="11">
        <f>ROUND(SUM(N3430:Q3430),2)</f>
        <v/>
      </c>
      <c r="S3430" s="5" t="inlineStr">
        <is>
          <t>All-in specialist rate</t>
        </is>
      </c>
      <c r="T3430" s="14" t="inlineStr">
        <is>
          <t>All-in (not split)</t>
        </is>
      </c>
      <c r="U3430" s="8" t="n">
        <v>99.26000000000001</v>
      </c>
      <c r="V3430" s="13">
        <f>IF(U3430="","",ROUND(M3430-U3430,2))</f>
        <v/>
      </c>
      <c r="W3430" s="5" t="n"/>
      <c r="X3430" s="5" t="inlineStr">
        <is>
          <t>Source publishes a specialist/sub-contract all-in rate; no labour/plant/material build-up exists to derive from.</t>
        </is>
      </c>
    </row>
    <row r="3431" ht="13" customHeight="1">
      <c r="A3431" s="4" t="n">
        <v>5216</v>
      </c>
      <c r="B3431" s="5" t="inlineStr">
        <is>
          <t>IMG_0136</t>
        </is>
      </c>
      <c r="C3431" s="5" t="inlineStr">
        <is>
          <t>CLASS T: TUNNELS</t>
        </is>
      </c>
      <c r="D3431" s="5" t="inlineStr">
        <is>
          <t>01 EXCAVATION</t>
        </is>
      </c>
      <c r="E3431" s="5" t="inlineStr">
        <is>
          <t>Excavating other cavities in soft material</t>
        </is>
      </c>
      <c r="F3431" s="5" t="inlineStr">
        <is>
          <t>3.0 m dia.</t>
        </is>
      </c>
      <c r="G3431" s="6" t="inlineStr">
        <is>
          <t>m3</t>
        </is>
      </c>
      <c r="H3431" s="7" t="n"/>
      <c r="I3431" s="8" t="n">
        <v>0</v>
      </c>
      <c r="J3431" s="8" t="n">
        <v>0</v>
      </c>
      <c r="K3431" s="8" t="n">
        <v>0</v>
      </c>
      <c r="L3431" s="8" t="n">
        <v>81.75</v>
      </c>
      <c r="M3431" s="9">
        <f>ROUND(SUM(I3431:L3431),2)</f>
        <v/>
      </c>
      <c r="N3431" s="10">
        <f>ROUND(I3431*'Irish Basis'!$C$6*'Irish Basis'!$C$5,2)</f>
        <v/>
      </c>
      <c r="O3431" s="10">
        <f>ROUND(J3431*'Irish Basis'!$C$7*'Irish Basis'!$C$5,2)</f>
        <v/>
      </c>
      <c r="P3431" s="10">
        <f>ROUND(K3431*'Irish Basis'!$C$8*'Irish Basis'!$C$5,2)</f>
        <v/>
      </c>
      <c r="Q3431" s="10">
        <f>ROUND(L3431*'Irish Basis'!$C$12*'Irish Basis'!$C$5,2)</f>
        <v/>
      </c>
      <c r="R3431" s="11">
        <f>ROUND(SUM(N3431:Q3431),2)</f>
        <v/>
      </c>
      <c r="S3431" s="5" t="inlineStr">
        <is>
          <t>All-in specialist rate</t>
        </is>
      </c>
      <c r="T3431" s="14" t="inlineStr">
        <is>
          <t>All-in (not split)</t>
        </is>
      </c>
      <c r="U3431" s="8" t="n">
        <v>81.75</v>
      </c>
      <c r="V3431" s="13">
        <f>IF(U3431="","",ROUND(M3431-U3431,2))</f>
        <v/>
      </c>
      <c r="W3431" s="5" t="n"/>
      <c r="X3431" s="5" t="inlineStr">
        <is>
          <t>Source publishes a specialist/sub-contract all-in rate; no labour/plant/material build-up exists to derive from.</t>
        </is>
      </c>
    </row>
    <row r="3432" ht="13" customHeight="1">
      <c r="A3432" s="4" t="n">
        <v>5217</v>
      </c>
      <c r="B3432" s="5" t="inlineStr">
        <is>
          <t>IMG_0136</t>
        </is>
      </c>
      <c r="C3432" s="5" t="inlineStr">
        <is>
          <t>CLASS T: TUNNELS</t>
        </is>
      </c>
      <c r="D3432" s="5" t="inlineStr">
        <is>
          <t>01 EXCAVATION</t>
        </is>
      </c>
      <c r="E3432" s="5" t="inlineStr">
        <is>
          <t>Excavating other cavities in soft material</t>
        </is>
      </c>
      <c r="F3432" s="5" t="inlineStr">
        <is>
          <t>Excavated surfaces in rock</t>
        </is>
      </c>
      <c r="G3432" s="6" t="inlineStr">
        <is>
          <t>m2</t>
        </is>
      </c>
      <c r="H3432" s="7" t="n"/>
      <c r="I3432" s="8" t="n">
        <v>0</v>
      </c>
      <c r="J3432" s="8" t="n">
        <v>0</v>
      </c>
      <c r="K3432" s="8" t="n">
        <v>0</v>
      </c>
      <c r="L3432" s="8" t="n">
        <v>38.8</v>
      </c>
      <c r="M3432" s="9">
        <f>ROUND(SUM(I3432:L3432),2)</f>
        <v/>
      </c>
      <c r="N3432" s="10">
        <f>ROUND(I3432*'Irish Basis'!$C$6*'Irish Basis'!$C$5,2)</f>
        <v/>
      </c>
      <c r="O3432" s="10">
        <f>ROUND(J3432*'Irish Basis'!$C$7*'Irish Basis'!$C$5,2)</f>
        <v/>
      </c>
      <c r="P3432" s="10">
        <f>ROUND(K3432*'Irish Basis'!$C$8*'Irish Basis'!$C$5,2)</f>
        <v/>
      </c>
      <c r="Q3432" s="10">
        <f>ROUND(L3432*'Irish Basis'!$C$12*'Irish Basis'!$C$5,2)</f>
        <v/>
      </c>
      <c r="R3432" s="11">
        <f>ROUND(SUM(N3432:Q3432),2)</f>
        <v/>
      </c>
      <c r="S3432" s="5" t="inlineStr">
        <is>
          <t>All-in specialist rate</t>
        </is>
      </c>
      <c r="T3432" s="14" t="inlineStr">
        <is>
          <t>All-in (not split)</t>
        </is>
      </c>
      <c r="U3432" s="8" t="n">
        <v>38.8</v>
      </c>
      <c r="V3432" s="13">
        <f>IF(U3432="","",ROUND(M3432-U3432,2))</f>
        <v/>
      </c>
      <c r="W3432" s="5" t="n"/>
      <c r="X3432" s="5" t="inlineStr">
        <is>
          <t>Source publishes a specialist/sub-contract all-in rate; no labour/plant/material build-up exists to derive from.</t>
        </is>
      </c>
    </row>
    <row r="3433" ht="13" customHeight="1">
      <c r="A3433" s="4" t="n">
        <v>5218</v>
      </c>
      <c r="B3433" s="5" t="inlineStr">
        <is>
          <t>IMG_0136</t>
        </is>
      </c>
      <c r="C3433" s="5" t="inlineStr">
        <is>
          <t>CLASS T: TUNNELS</t>
        </is>
      </c>
      <c r="D3433" s="5" t="inlineStr">
        <is>
          <t>01 EXCAVATION</t>
        </is>
      </c>
      <c r="E3433" s="5" t="inlineStr">
        <is>
          <t>Excavating other cavities in soft material</t>
        </is>
      </c>
      <c r="F3433" s="5" t="inlineStr">
        <is>
          <t>Excavated surfaces in soft material</t>
        </is>
      </c>
      <c r="G3433" s="6" t="inlineStr">
        <is>
          <t>m2</t>
        </is>
      </c>
      <c r="H3433" s="7" t="n"/>
      <c r="I3433" s="8" t="n">
        <v>0</v>
      </c>
      <c r="J3433" s="8" t="n">
        <v>0</v>
      </c>
      <c r="K3433" s="8" t="n">
        <v>0</v>
      </c>
      <c r="L3433" s="8" t="n">
        <v>37.68</v>
      </c>
      <c r="M3433" s="9">
        <f>ROUND(SUM(I3433:L3433),2)</f>
        <v/>
      </c>
      <c r="N3433" s="10">
        <f>ROUND(I3433*'Irish Basis'!$C$6*'Irish Basis'!$C$5,2)</f>
        <v/>
      </c>
      <c r="O3433" s="10">
        <f>ROUND(J3433*'Irish Basis'!$C$7*'Irish Basis'!$C$5,2)</f>
        <v/>
      </c>
      <c r="P3433" s="10">
        <f>ROUND(K3433*'Irish Basis'!$C$8*'Irish Basis'!$C$5,2)</f>
        <v/>
      </c>
      <c r="Q3433" s="10">
        <f>ROUND(L3433*'Irish Basis'!$C$12*'Irish Basis'!$C$5,2)</f>
        <v/>
      </c>
      <c r="R3433" s="11">
        <f>ROUND(SUM(N3433:Q3433),2)</f>
        <v/>
      </c>
      <c r="S3433" s="5" t="inlineStr">
        <is>
          <t>All-in specialist rate</t>
        </is>
      </c>
      <c r="T3433" s="14" t="inlineStr">
        <is>
          <t>All-in (not split)</t>
        </is>
      </c>
      <c r="U3433" s="8" t="n">
        <v>37.68</v>
      </c>
      <c r="V3433" s="13">
        <f>IF(U3433="","",ROUND(M3433-U3433,2))</f>
        <v/>
      </c>
      <c r="W3433" s="5" t="n"/>
      <c r="X3433" s="5" t="inlineStr">
        <is>
          <t>Source publishes a specialist/sub-contract all-in rate; no labour/plant/material build-up exists to derive from.</t>
        </is>
      </c>
    </row>
    <row r="3434" ht="13" customHeight="1">
      <c r="A3434" s="4" t="n">
        <v>5220</v>
      </c>
      <c r="B3434" s="5" t="inlineStr">
        <is>
          <t>IMG_0136</t>
        </is>
      </c>
      <c r="C3434" s="5" t="inlineStr">
        <is>
          <t>CLASS T: TUNNELS</t>
        </is>
      </c>
      <c r="D3434" s="5" t="inlineStr">
        <is>
          <t>01 EXCAVATION</t>
        </is>
      </c>
      <c r="E3434" s="5" t="inlineStr">
        <is>
          <t>Bore Tunnels</t>
        </is>
      </c>
      <c r="F3434" s="5" t="inlineStr">
        <is>
          <t>Excavation in any stated materials; internal dia. &gt;8 m</t>
        </is>
      </c>
      <c r="G3434" s="6" t="inlineStr">
        <is>
          <t>m3</t>
        </is>
      </c>
      <c r="H3434" s="7" t="n"/>
      <c r="I3434" s="8" t="n">
        <v>0</v>
      </c>
      <c r="J3434" s="8" t="n">
        <v>0</v>
      </c>
      <c r="K3434" s="8" t="n">
        <v>0</v>
      </c>
      <c r="L3434" s="8" t="n">
        <v>97.8</v>
      </c>
      <c r="M3434" s="9">
        <f>ROUND(SUM(I3434:L3434),2)</f>
        <v/>
      </c>
      <c r="N3434" s="10">
        <f>ROUND(I3434*'Irish Basis'!$C$6*'Irish Basis'!$C$5,2)</f>
        <v/>
      </c>
      <c r="O3434" s="10">
        <f>ROUND(J3434*'Irish Basis'!$C$7*'Irish Basis'!$C$5,2)</f>
        <v/>
      </c>
      <c r="P3434" s="10">
        <f>ROUND(K3434*'Irish Basis'!$C$8*'Irish Basis'!$C$5,2)</f>
        <v/>
      </c>
      <c r="Q3434" s="10">
        <f>ROUND(L3434*'Irish Basis'!$C$12*'Irish Basis'!$C$5,2)</f>
        <v/>
      </c>
      <c r="R3434" s="11">
        <f>ROUND(SUM(N3434:Q3434),2)</f>
        <v/>
      </c>
      <c r="S3434" s="5" t="inlineStr">
        <is>
          <t>All-in specialist rate</t>
        </is>
      </c>
      <c r="T3434" s="14" t="inlineStr">
        <is>
          <t>All-in (not split)</t>
        </is>
      </c>
      <c r="U3434" s="8" t="n">
        <v>97.8</v>
      </c>
      <c r="V3434" s="13">
        <f>IF(U3434="","",ROUND(M3434-U3434,2))</f>
        <v/>
      </c>
      <c r="W3434" s="5" t="n"/>
      <c r="X3434" s="5" t="inlineStr">
        <is>
          <t>Source publishes a specialist/sub-contract all-in rate; no labour/plant/material build-up exists to derive from.</t>
        </is>
      </c>
    </row>
    <row r="3435" ht="13" customHeight="1">
      <c r="A3435" s="4" t="n">
        <v>5221</v>
      </c>
      <c r="B3435" s="5" t="inlineStr">
        <is>
          <t>IMG_0136</t>
        </is>
      </c>
      <c r="C3435" s="5" t="inlineStr">
        <is>
          <t>CLASS T: TUNNELS</t>
        </is>
      </c>
      <c r="D3435" s="5" t="inlineStr">
        <is>
          <t>01 EXCAVATION</t>
        </is>
      </c>
      <c r="E3435" s="5" t="inlineStr">
        <is>
          <t>Bore Tunnels</t>
        </is>
      </c>
      <c r="F3435" s="5" t="inlineStr">
        <is>
          <t>Muck way of inert material to spoil heaps withing 250 m</t>
        </is>
      </c>
      <c r="G3435" s="6" t="inlineStr">
        <is>
          <t>tonne</t>
        </is>
      </c>
      <c r="H3435" s="7" t="n"/>
      <c r="I3435" s="8" t="n">
        <v>0</v>
      </c>
      <c r="J3435" s="8" t="n">
        <v>0</v>
      </c>
      <c r="K3435" s="8" t="n">
        <v>0</v>
      </c>
      <c r="L3435" s="8" t="n">
        <v>38.19</v>
      </c>
      <c r="M3435" s="9">
        <f>ROUND(SUM(I3435:L3435),2)</f>
        <v/>
      </c>
      <c r="N3435" s="10">
        <f>ROUND(I3435*'Irish Basis'!$C$6*'Irish Basis'!$C$5,2)</f>
        <v/>
      </c>
      <c r="O3435" s="10">
        <f>ROUND(J3435*'Irish Basis'!$C$7*'Irish Basis'!$C$5,2)</f>
        <v/>
      </c>
      <c r="P3435" s="10">
        <f>ROUND(K3435*'Irish Basis'!$C$8*'Irish Basis'!$C$5,2)</f>
        <v/>
      </c>
      <c r="Q3435" s="10">
        <f>ROUND(L3435*'Irish Basis'!$C$12*'Irish Basis'!$C$5,2)</f>
        <v/>
      </c>
      <c r="R3435" s="11">
        <f>ROUND(SUM(N3435:Q3435),2)</f>
        <v/>
      </c>
      <c r="S3435" s="5" t="inlineStr">
        <is>
          <t>All-in specialist rate</t>
        </is>
      </c>
      <c r="T3435" s="14" t="inlineStr">
        <is>
          <t>All-in (not split)</t>
        </is>
      </c>
      <c r="U3435" s="8" t="n">
        <v>38.19</v>
      </c>
      <c r="V3435" s="13">
        <f>IF(U3435="","",ROUND(M3435-U3435,2))</f>
        <v/>
      </c>
      <c r="W3435" s="5" t="n"/>
      <c r="X3435" s="5" t="inlineStr">
        <is>
          <t>Source publishes a specialist/sub-contract all-in rate; no labour/plant/material build-up exists to derive from.</t>
        </is>
      </c>
    </row>
    <row r="3436" ht="13" customHeight="1">
      <c r="A3436" s="4" t="n">
        <v>5223</v>
      </c>
      <c r="B3436" s="5" t="inlineStr">
        <is>
          <t>IMG_0136</t>
        </is>
      </c>
      <c r="C3436" s="5" t="inlineStr">
        <is>
          <t>CLASS T: TUNNELS</t>
        </is>
      </c>
      <c r="D3436" s="5" t="inlineStr">
        <is>
          <t>01 EXCAVATION</t>
        </is>
      </c>
      <c r="E3436" s="5" t="inlineStr">
        <is>
          <t>Cross Passages</t>
        </is>
      </c>
      <c r="F3436" s="5" t="inlineStr">
        <is>
          <t>Excavation; Tunnels in any other stated materials; - internal Dia. 4-5 m and Temporary support; Cross passage</t>
        </is>
      </c>
      <c r="G3436" s="6" t="inlineStr">
        <is>
          <t>m3</t>
        </is>
      </c>
      <c r="H3436" s="7" t="n"/>
      <c r="I3436" s="8" t="n">
        <v>0</v>
      </c>
      <c r="J3436" s="8" t="n">
        <v>0</v>
      </c>
      <c r="K3436" s="8" t="n">
        <v>0</v>
      </c>
      <c r="L3436" s="8" t="n">
        <v>1560.47</v>
      </c>
      <c r="M3436" s="9">
        <f>ROUND(SUM(I3436:L3436),2)</f>
        <v/>
      </c>
      <c r="N3436" s="10">
        <f>ROUND(I3436*'Irish Basis'!$C$6*'Irish Basis'!$C$5,2)</f>
        <v/>
      </c>
      <c r="O3436" s="10">
        <f>ROUND(J3436*'Irish Basis'!$C$7*'Irish Basis'!$C$5,2)</f>
        <v/>
      </c>
      <c r="P3436" s="10">
        <f>ROUND(K3436*'Irish Basis'!$C$8*'Irish Basis'!$C$5,2)</f>
        <v/>
      </c>
      <c r="Q3436" s="10">
        <f>ROUND(L3436*'Irish Basis'!$C$12*'Irish Basis'!$C$5,2)</f>
        <v/>
      </c>
      <c r="R3436" s="11">
        <f>ROUND(SUM(N3436:Q3436),2)</f>
        <v/>
      </c>
      <c r="S3436" s="5" t="inlineStr">
        <is>
          <t>All-in specialist rate</t>
        </is>
      </c>
      <c r="T3436" s="14" t="inlineStr">
        <is>
          <t>All-in (not split)</t>
        </is>
      </c>
      <c r="U3436" s="8" t="n">
        <v>1560.47</v>
      </c>
      <c r="V3436" s="13">
        <f>IF(U3436="","",ROUND(M3436-U3436,2))</f>
        <v/>
      </c>
      <c r="W3436" s="5" t="n"/>
      <c r="X3436" s="5" t="inlineStr">
        <is>
          <t>Source publishes a specialist/sub-contract all-in rate; no labour/plant/material build-up exists to derive from.</t>
        </is>
      </c>
    </row>
    <row r="3437" ht="13" customHeight="1">
      <c r="A3437" s="4" t="n">
        <v>5224</v>
      </c>
      <c r="B3437" s="5" t="inlineStr">
        <is>
          <t>IMG_0136</t>
        </is>
      </c>
      <c r="C3437" s="5" t="inlineStr">
        <is>
          <t>CLASS T: TUNNELS</t>
        </is>
      </c>
      <c r="D3437" s="5" t="inlineStr">
        <is>
          <t>01 EXCAVATION</t>
        </is>
      </c>
      <c r="E3437" s="5" t="inlineStr">
        <is>
          <t>Cross Passages</t>
        </is>
      </c>
      <c r="F3437" s="5" t="inlineStr">
        <is>
          <t>Muckaway of excavated inert material; disposal by road to landfill (Landfill excluded Tax) within 15 km radius</t>
        </is>
      </c>
      <c r="G3437" s="6" t="inlineStr">
        <is>
          <t>m3</t>
        </is>
      </c>
      <c r="H3437" s="7" t="n"/>
      <c r="I3437" s="8" t="n">
        <v>0</v>
      </c>
      <c r="J3437" s="8" t="n">
        <v>0</v>
      </c>
      <c r="K3437" s="8" t="n">
        <v>0</v>
      </c>
      <c r="L3437" s="8" t="n">
        <v>65.27</v>
      </c>
      <c r="M3437" s="9">
        <f>ROUND(SUM(I3437:L3437),2)</f>
        <v/>
      </c>
      <c r="N3437" s="10">
        <f>ROUND(I3437*'Irish Basis'!$C$6*'Irish Basis'!$C$5,2)</f>
        <v/>
      </c>
      <c r="O3437" s="10">
        <f>ROUND(J3437*'Irish Basis'!$C$7*'Irish Basis'!$C$5,2)</f>
        <v/>
      </c>
      <c r="P3437" s="10">
        <f>ROUND(K3437*'Irish Basis'!$C$8*'Irish Basis'!$C$5,2)</f>
        <v/>
      </c>
      <c r="Q3437" s="10">
        <f>ROUND(L3437*'Irish Basis'!$C$12*'Irish Basis'!$C$5,2)</f>
        <v/>
      </c>
      <c r="R3437" s="11">
        <f>ROUND(SUM(N3437:Q3437),2)</f>
        <v/>
      </c>
      <c r="S3437" s="5" t="inlineStr">
        <is>
          <t>All-in specialist rate</t>
        </is>
      </c>
      <c r="T3437" s="14" t="inlineStr">
        <is>
          <t>All-in (not split)</t>
        </is>
      </c>
      <c r="U3437" s="8" t="n">
        <v>65.27</v>
      </c>
      <c r="V3437" s="13">
        <f>IF(U3437="","",ROUND(M3437-U3437,2))</f>
        <v/>
      </c>
      <c r="W3437" s="5" t="n"/>
      <c r="X3437" s="5" t="inlineStr">
        <is>
          <t>Source publishes a specialist/sub-contract all-in rate; no labour/plant/material build-up exists to derive from.</t>
        </is>
      </c>
    </row>
    <row r="3438" ht="13" customHeight="1">
      <c r="A3438" s="4" t="n">
        <v>5228</v>
      </c>
      <c r="B3438" s="5" t="inlineStr">
        <is>
          <t>IMG_0136</t>
        </is>
      </c>
      <c r="C3438" s="5" t="inlineStr">
        <is>
          <t>CLASS T: TUNNELS</t>
        </is>
      </c>
      <c r="D3438" s="5" t="inlineStr">
        <is>
          <t>02 IN SITU LINING TO TUNNELS</t>
        </is>
      </c>
      <c r="E3438" s="5" t="inlineStr">
        <is>
          <t>Mass concrete; grade C30, 20 mm aggregate; Cast primary lining to tunnels</t>
        </is>
      </c>
      <c r="F3438" s="5" t="inlineStr">
        <is>
          <t>1.5 m dia.</t>
        </is>
      </c>
      <c r="G3438" s="6" t="inlineStr">
        <is>
          <t>m3</t>
        </is>
      </c>
      <c r="H3438" s="7" t="n"/>
      <c r="I3438" s="8" t="n">
        <v>0</v>
      </c>
      <c r="J3438" s="8" t="n">
        <v>0</v>
      </c>
      <c r="K3438" s="8" t="n">
        <v>0</v>
      </c>
      <c r="L3438" s="8" t="n">
        <v>654.9299999999999</v>
      </c>
      <c r="M3438" s="9">
        <f>ROUND(SUM(I3438:L3438),2)</f>
        <v/>
      </c>
      <c r="N3438" s="10">
        <f>ROUND(I3438*'Irish Basis'!$C$6*'Irish Basis'!$C$5,2)</f>
        <v/>
      </c>
      <c r="O3438" s="10">
        <f>ROUND(J3438*'Irish Basis'!$C$7*'Irish Basis'!$C$5,2)</f>
        <v/>
      </c>
      <c r="P3438" s="10">
        <f>ROUND(K3438*'Irish Basis'!$C$8*'Irish Basis'!$C$5,2)</f>
        <v/>
      </c>
      <c r="Q3438" s="10">
        <f>ROUND(L3438*'Irish Basis'!$C$12*'Irish Basis'!$C$5,2)</f>
        <v/>
      </c>
      <c r="R3438" s="11">
        <f>ROUND(SUM(N3438:Q3438),2)</f>
        <v/>
      </c>
      <c r="S3438" s="5" t="inlineStr">
        <is>
          <t>All-in specialist rate</t>
        </is>
      </c>
      <c r="T3438" s="14" t="inlineStr">
        <is>
          <t>All-in (not split)</t>
        </is>
      </c>
      <c r="U3438" s="8" t="n">
        <v>654.9299999999999</v>
      </c>
      <c r="V3438" s="13">
        <f>IF(U3438="","",ROUND(M3438-U3438,2))</f>
        <v/>
      </c>
      <c r="W3438" s="5" t="n"/>
      <c r="X3438" s="5" t="inlineStr">
        <is>
          <t>Source publishes a specialist/sub-contract all-in rate; no labour/plant/material build-up exists to derive from.</t>
        </is>
      </c>
    </row>
    <row r="3439" ht="13" customHeight="1">
      <c r="A3439" s="4" t="n">
        <v>5229</v>
      </c>
      <c r="B3439" s="5" t="inlineStr">
        <is>
          <t>IMG_0136</t>
        </is>
      </c>
      <c r="C3439" s="5" t="inlineStr">
        <is>
          <t>CLASS T: TUNNELS</t>
        </is>
      </c>
      <c r="D3439" s="5" t="inlineStr">
        <is>
          <t>02 IN SITU LINING TO TUNNELS</t>
        </is>
      </c>
      <c r="E3439" s="5" t="inlineStr">
        <is>
          <t>Mass concrete; grade C30, 20 mm aggregate; Cast primary lining to tunnels</t>
        </is>
      </c>
      <c r="F3439" s="5" t="inlineStr">
        <is>
          <t>3.0 m dia.</t>
        </is>
      </c>
      <c r="G3439" s="6" t="inlineStr">
        <is>
          <t>m3</t>
        </is>
      </c>
      <c r="H3439" s="7" t="n"/>
      <c r="I3439" s="8" t="n">
        <v>0</v>
      </c>
      <c r="J3439" s="8" t="n">
        <v>0</v>
      </c>
      <c r="K3439" s="8" t="n">
        <v>0</v>
      </c>
      <c r="L3439" s="8" t="n">
        <v>677.5</v>
      </c>
      <c r="M3439" s="9">
        <f>ROUND(SUM(I3439:L3439),2)</f>
        <v/>
      </c>
      <c r="N3439" s="10">
        <f>ROUND(I3439*'Irish Basis'!$C$6*'Irish Basis'!$C$5,2)</f>
        <v/>
      </c>
      <c r="O3439" s="10">
        <f>ROUND(J3439*'Irish Basis'!$C$7*'Irish Basis'!$C$5,2)</f>
        <v/>
      </c>
      <c r="P3439" s="10">
        <f>ROUND(K3439*'Irish Basis'!$C$8*'Irish Basis'!$C$5,2)</f>
        <v/>
      </c>
      <c r="Q3439" s="10">
        <f>ROUND(L3439*'Irish Basis'!$C$12*'Irish Basis'!$C$5,2)</f>
        <v/>
      </c>
      <c r="R3439" s="11">
        <f>ROUND(SUM(N3439:Q3439),2)</f>
        <v/>
      </c>
      <c r="S3439" s="5" t="inlineStr">
        <is>
          <t>All-in specialist rate</t>
        </is>
      </c>
      <c r="T3439" s="14" t="inlineStr">
        <is>
          <t>All-in (not split)</t>
        </is>
      </c>
      <c r="U3439" s="8" t="n">
        <v>677.5</v>
      </c>
      <c r="V3439" s="13">
        <f>IF(U3439="","",ROUND(M3439-U3439,2))</f>
        <v/>
      </c>
      <c r="W3439" s="5" t="n"/>
      <c r="X3439" s="5" t="inlineStr">
        <is>
          <t>Source publishes a specialist/sub-contract all-in rate; no labour/plant/material build-up exists to derive from.</t>
        </is>
      </c>
    </row>
    <row r="3440" ht="13" customHeight="1">
      <c r="A3440" s="4" t="n">
        <v>5231</v>
      </c>
      <c r="B3440" s="5" t="inlineStr">
        <is>
          <t>IMG_0137</t>
        </is>
      </c>
      <c r="C3440" s="5" t="inlineStr">
        <is>
          <t>CLASS T: TUNNELS</t>
        </is>
      </c>
      <c r="D3440" s="5" t="inlineStr">
        <is>
          <t>02 IN SITU LINING TO TUNNELS</t>
        </is>
      </c>
      <c r="E3440" s="5" t="inlineStr">
        <is>
          <t>Secondary lining to tunnels</t>
        </is>
      </c>
      <c r="F3440" s="5" t="inlineStr">
        <is>
          <t>1.5 m dia.</t>
        </is>
      </c>
      <c r="G3440" s="6" t="inlineStr">
        <is>
          <t>m3</t>
        </is>
      </c>
      <c r="H3440" s="7" t="n"/>
      <c r="I3440" s="8" t="n">
        <v>0</v>
      </c>
      <c r="J3440" s="8" t="n">
        <v>0</v>
      </c>
      <c r="K3440" s="8" t="n">
        <v>0</v>
      </c>
      <c r="L3440" s="8" t="n">
        <v>762.2</v>
      </c>
      <c r="M3440" s="9">
        <f>ROUND(SUM(I3440:L3440),2)</f>
        <v/>
      </c>
      <c r="N3440" s="10">
        <f>ROUND(I3440*'Irish Basis'!$C$6*'Irish Basis'!$C$5,2)</f>
        <v/>
      </c>
      <c r="O3440" s="10">
        <f>ROUND(J3440*'Irish Basis'!$C$7*'Irish Basis'!$C$5,2)</f>
        <v/>
      </c>
      <c r="P3440" s="10">
        <f>ROUND(K3440*'Irish Basis'!$C$8*'Irish Basis'!$C$5,2)</f>
        <v/>
      </c>
      <c r="Q3440" s="10">
        <f>ROUND(L3440*'Irish Basis'!$C$12*'Irish Basis'!$C$5,2)</f>
        <v/>
      </c>
      <c r="R3440" s="11">
        <f>ROUND(SUM(N3440:Q3440),2)</f>
        <v/>
      </c>
      <c r="S3440" s="5" t="inlineStr">
        <is>
          <t>All-in specialist rate</t>
        </is>
      </c>
      <c r="T3440" s="14" t="inlineStr">
        <is>
          <t>All-in (not split)</t>
        </is>
      </c>
      <c r="U3440" s="8" t="n">
        <v>762.2</v>
      </c>
      <c r="V3440" s="13">
        <f>IF(U3440="","",ROUND(M3440-U3440,2))</f>
        <v/>
      </c>
      <c r="W3440" s="5" t="n"/>
      <c r="X3440" s="5" t="inlineStr">
        <is>
          <t>Source publishes a specialist/sub-contract all-in rate; no labour/plant/material build-up exists to derive from.</t>
        </is>
      </c>
    </row>
    <row r="3441" ht="13" customHeight="1">
      <c r="A3441" s="4" t="n">
        <v>5232</v>
      </c>
      <c r="B3441" s="5" t="inlineStr">
        <is>
          <t>IMG_0137</t>
        </is>
      </c>
      <c r="C3441" s="5" t="inlineStr">
        <is>
          <t>CLASS T: TUNNELS</t>
        </is>
      </c>
      <c r="D3441" s="5" t="inlineStr">
        <is>
          <t>02 IN SITU LINING TO TUNNELS</t>
        </is>
      </c>
      <c r="E3441" s="5" t="inlineStr">
        <is>
          <t>Secondary lining to tunnels</t>
        </is>
      </c>
      <c r="F3441" s="5" t="inlineStr">
        <is>
          <t>3.0 m dia.</t>
        </is>
      </c>
      <c r="G3441" s="6" t="inlineStr">
        <is>
          <t>m3</t>
        </is>
      </c>
      <c r="H3441" s="7" t="n"/>
      <c r="I3441" s="8" t="n">
        <v>0</v>
      </c>
      <c r="J3441" s="8" t="n">
        <v>0</v>
      </c>
      <c r="K3441" s="8" t="n">
        <v>0</v>
      </c>
      <c r="L3441" s="8" t="n">
        <v>604.11</v>
      </c>
      <c r="M3441" s="9">
        <f>ROUND(SUM(I3441:L3441),2)</f>
        <v/>
      </c>
      <c r="N3441" s="10">
        <f>ROUND(I3441*'Irish Basis'!$C$6*'Irish Basis'!$C$5,2)</f>
        <v/>
      </c>
      <c r="O3441" s="10">
        <f>ROUND(J3441*'Irish Basis'!$C$7*'Irish Basis'!$C$5,2)</f>
        <v/>
      </c>
      <c r="P3441" s="10">
        <f>ROUND(K3441*'Irish Basis'!$C$8*'Irish Basis'!$C$5,2)</f>
        <v/>
      </c>
      <c r="Q3441" s="10">
        <f>ROUND(L3441*'Irish Basis'!$C$12*'Irish Basis'!$C$5,2)</f>
        <v/>
      </c>
      <c r="R3441" s="11">
        <f>ROUND(SUM(N3441:Q3441),2)</f>
        <v/>
      </c>
      <c r="S3441" s="5" t="inlineStr">
        <is>
          <t>All-in specialist rate</t>
        </is>
      </c>
      <c r="T3441" s="14" t="inlineStr">
        <is>
          <t>All-in (not split)</t>
        </is>
      </c>
      <c r="U3441" s="8" t="n">
        <v>604.11</v>
      </c>
      <c r="V3441" s="13">
        <f>IF(U3441="","",ROUND(M3441-U3441,2))</f>
        <v/>
      </c>
      <c r="W3441" s="5" t="n"/>
      <c r="X3441" s="5" t="inlineStr">
        <is>
          <t>Source publishes a specialist/sub-contract all-in rate; no labour/plant/material build-up exists to derive from.</t>
        </is>
      </c>
    </row>
    <row r="3442" ht="13" customHeight="1">
      <c r="A3442" s="4" t="n">
        <v>5234</v>
      </c>
      <c r="B3442" s="5" t="inlineStr">
        <is>
          <t>IMG_0137</t>
        </is>
      </c>
      <c r="C3442" s="5" t="inlineStr">
        <is>
          <t>CLASS T: TUNNELS</t>
        </is>
      </c>
      <c r="D3442" s="5" t="inlineStr">
        <is>
          <t>02 IN SITU LINING TO TUNNELS</t>
        </is>
      </c>
      <c r="E3442" s="5" t="inlineStr">
        <is>
          <t>Formwork; rough finish; Tunnel lining</t>
        </is>
      </c>
      <c r="F3442" s="5" t="inlineStr">
        <is>
          <t>1.5 m dia.</t>
        </is>
      </c>
      <c r="G3442" s="6" t="inlineStr">
        <is>
          <t>m2</t>
        </is>
      </c>
      <c r="H3442" s="7" t="n"/>
      <c r="I3442" s="8" t="n">
        <v>0</v>
      </c>
      <c r="J3442" s="8" t="n">
        <v>0</v>
      </c>
      <c r="K3442" s="8" t="n">
        <v>0</v>
      </c>
      <c r="L3442" s="8" t="n">
        <v>111.17</v>
      </c>
      <c r="M3442" s="9">
        <f>ROUND(SUM(I3442:L3442),2)</f>
        <v/>
      </c>
      <c r="N3442" s="10">
        <f>ROUND(I3442*'Irish Basis'!$C$6*'Irish Basis'!$C$5,2)</f>
        <v/>
      </c>
      <c r="O3442" s="10">
        <f>ROUND(J3442*'Irish Basis'!$C$7*'Irish Basis'!$C$5,2)</f>
        <v/>
      </c>
      <c r="P3442" s="10">
        <f>ROUND(K3442*'Irish Basis'!$C$8*'Irish Basis'!$C$5,2)</f>
        <v/>
      </c>
      <c r="Q3442" s="10">
        <f>ROUND(L3442*'Irish Basis'!$C$12*'Irish Basis'!$C$5,2)</f>
        <v/>
      </c>
      <c r="R3442" s="11">
        <f>ROUND(SUM(N3442:Q3442),2)</f>
        <v/>
      </c>
      <c r="S3442" s="5" t="inlineStr">
        <is>
          <t>All-in specialist rate</t>
        </is>
      </c>
      <c r="T3442" s="14" t="inlineStr">
        <is>
          <t>All-in (not split)</t>
        </is>
      </c>
      <c r="U3442" s="8" t="n">
        <v>111.17</v>
      </c>
      <c r="V3442" s="13">
        <f>IF(U3442="","",ROUND(M3442-U3442,2))</f>
        <v/>
      </c>
      <c r="W3442" s="5" t="n"/>
      <c r="X3442" s="5" t="inlineStr">
        <is>
          <t>Source publishes a specialist/sub-contract all-in rate; no labour/plant/material build-up exists to derive from.</t>
        </is>
      </c>
    </row>
    <row r="3443" ht="13" customHeight="1">
      <c r="A3443" s="4" t="n">
        <v>5235</v>
      </c>
      <c r="B3443" s="5" t="inlineStr">
        <is>
          <t>IMG_0137</t>
        </is>
      </c>
      <c r="C3443" s="5" t="inlineStr">
        <is>
          <t>CLASS T: TUNNELS</t>
        </is>
      </c>
      <c r="D3443" s="5" t="inlineStr">
        <is>
          <t>02 IN SITU LINING TO TUNNELS</t>
        </is>
      </c>
      <c r="E3443" s="5" t="inlineStr">
        <is>
          <t>Formwork; rough finish; Tunnel lining</t>
        </is>
      </c>
      <c r="F3443" s="5" t="inlineStr">
        <is>
          <t>3.0 m dia.</t>
        </is>
      </c>
      <c r="G3443" s="6" t="inlineStr">
        <is>
          <t>m2</t>
        </is>
      </c>
      <c r="H3443" s="7" t="n"/>
      <c r="I3443" s="8" t="n">
        <v>0</v>
      </c>
      <c r="J3443" s="8" t="n">
        <v>0</v>
      </c>
      <c r="K3443" s="8" t="n">
        <v>0</v>
      </c>
      <c r="L3443" s="8" t="n">
        <v>111.17</v>
      </c>
      <c r="M3443" s="9">
        <f>ROUND(SUM(I3443:L3443),2)</f>
        <v/>
      </c>
      <c r="N3443" s="10">
        <f>ROUND(I3443*'Irish Basis'!$C$6*'Irish Basis'!$C$5,2)</f>
        <v/>
      </c>
      <c r="O3443" s="10">
        <f>ROUND(J3443*'Irish Basis'!$C$7*'Irish Basis'!$C$5,2)</f>
        <v/>
      </c>
      <c r="P3443" s="10">
        <f>ROUND(K3443*'Irish Basis'!$C$8*'Irish Basis'!$C$5,2)</f>
        <v/>
      </c>
      <c r="Q3443" s="10">
        <f>ROUND(L3443*'Irish Basis'!$C$12*'Irish Basis'!$C$5,2)</f>
        <v/>
      </c>
      <c r="R3443" s="11">
        <f>ROUND(SUM(N3443:Q3443),2)</f>
        <v/>
      </c>
      <c r="S3443" s="5" t="inlineStr">
        <is>
          <t>All-in specialist rate</t>
        </is>
      </c>
      <c r="T3443" s="14" t="inlineStr">
        <is>
          <t>All-in (not split)</t>
        </is>
      </c>
      <c r="U3443" s="8" t="n">
        <v>111.17</v>
      </c>
      <c r="V3443" s="13">
        <f>IF(U3443="","",ROUND(M3443-U3443,2))</f>
        <v/>
      </c>
      <c r="W3443" s="5" t="n"/>
      <c r="X3443" s="5" t="inlineStr">
        <is>
          <t>Source publishes a specialist/sub-contract all-in rate; no labour/plant/material build-up exists to derive from.</t>
        </is>
      </c>
    </row>
    <row r="3444" ht="13" customHeight="1">
      <c r="A3444" s="4" t="n">
        <v>5237</v>
      </c>
      <c r="B3444" s="5" t="inlineStr">
        <is>
          <t>IMG_0137</t>
        </is>
      </c>
      <c r="C3444" s="5" t="inlineStr">
        <is>
          <t>CLASS T: TUNNELS</t>
        </is>
      </c>
      <c r="D3444" s="5" t="inlineStr">
        <is>
          <t>02 IN SITU LINING TO TUNNELS</t>
        </is>
      </c>
      <c r="E3444" s="5" t="inlineStr">
        <is>
          <t>Sprayed concrete primary</t>
        </is>
      </c>
      <c r="F3444" s="5" t="inlineStr">
        <is>
          <t>In situ lining to tunnels; Sprayed concrete primary; - external Dia. 4-5 m; 8 cm thick</t>
        </is>
      </c>
      <c r="G3444" s="6" t="inlineStr">
        <is>
          <t>m2</t>
        </is>
      </c>
      <c r="H3444" s="7" t="n"/>
      <c r="I3444" s="8" t="n">
        <v>0</v>
      </c>
      <c r="J3444" s="8" t="n">
        <v>0</v>
      </c>
      <c r="K3444" s="8" t="n">
        <v>0</v>
      </c>
      <c r="L3444" s="8" t="n">
        <v>164.93</v>
      </c>
      <c r="M3444" s="9">
        <f>ROUND(SUM(I3444:L3444),2)</f>
        <v/>
      </c>
      <c r="N3444" s="10">
        <f>ROUND(I3444*'Irish Basis'!$C$6*'Irish Basis'!$C$5,2)</f>
        <v/>
      </c>
      <c r="O3444" s="10">
        <f>ROUND(J3444*'Irish Basis'!$C$7*'Irish Basis'!$C$5,2)</f>
        <v/>
      </c>
      <c r="P3444" s="10">
        <f>ROUND(K3444*'Irish Basis'!$C$8*'Irish Basis'!$C$5,2)</f>
        <v/>
      </c>
      <c r="Q3444" s="10">
        <f>ROUND(L3444*'Irish Basis'!$C$12*'Irish Basis'!$C$5,2)</f>
        <v/>
      </c>
      <c r="R3444" s="11">
        <f>ROUND(SUM(N3444:Q3444),2)</f>
        <v/>
      </c>
      <c r="S3444" s="5" t="inlineStr">
        <is>
          <t>All-in specialist rate</t>
        </is>
      </c>
      <c r="T3444" s="14" t="inlineStr">
        <is>
          <t>All-in (not split)</t>
        </is>
      </c>
      <c r="U3444" s="8" t="n">
        <v>164.93</v>
      </c>
      <c r="V3444" s="13">
        <f>IF(U3444="","",ROUND(M3444-U3444,2))</f>
        <v/>
      </c>
      <c r="W3444" s="5" t="n"/>
      <c r="X3444" s="5" t="inlineStr">
        <is>
          <t>Source publishes a specialist/sub-contract all-in rate; no labour/plant/material build-up exists to derive from.</t>
        </is>
      </c>
    </row>
    <row r="3445" ht="13" customHeight="1">
      <c r="A3445" s="4" t="n">
        <v>5238</v>
      </c>
      <c r="B3445" s="5" t="inlineStr">
        <is>
          <t>IMG_0137</t>
        </is>
      </c>
      <c r="C3445" s="5" t="inlineStr">
        <is>
          <t>CLASS T: TUNNELS</t>
        </is>
      </c>
      <c r="D3445" s="5" t="inlineStr">
        <is>
          <t>02 IN SITU LINING TO TUNNELS</t>
        </is>
      </c>
      <c r="E3445" s="5" t="inlineStr">
        <is>
          <t>Sprayed concrete primary</t>
        </is>
      </c>
      <c r="F3445" s="5" t="inlineStr">
        <is>
          <t>Sprayed concrete primary; 15 cm thick</t>
        </is>
      </c>
      <c r="G3445" s="6" t="inlineStr">
        <is>
          <t>m2</t>
        </is>
      </c>
      <c r="H3445" s="7" t="n"/>
      <c r="I3445" s="8" t="n">
        <v>0</v>
      </c>
      <c r="J3445" s="8" t="n">
        <v>0</v>
      </c>
      <c r="K3445" s="8" t="n">
        <v>0</v>
      </c>
      <c r="L3445" s="8" t="n">
        <v>234.15</v>
      </c>
      <c r="M3445" s="9">
        <f>ROUND(SUM(I3445:L3445),2)</f>
        <v/>
      </c>
      <c r="N3445" s="10">
        <f>ROUND(I3445*'Irish Basis'!$C$6*'Irish Basis'!$C$5,2)</f>
        <v/>
      </c>
      <c r="O3445" s="10">
        <f>ROUND(J3445*'Irish Basis'!$C$7*'Irish Basis'!$C$5,2)</f>
        <v/>
      </c>
      <c r="P3445" s="10">
        <f>ROUND(K3445*'Irish Basis'!$C$8*'Irish Basis'!$C$5,2)</f>
        <v/>
      </c>
      <c r="Q3445" s="10">
        <f>ROUND(L3445*'Irish Basis'!$C$12*'Irish Basis'!$C$5,2)</f>
        <v/>
      </c>
      <c r="R3445" s="11">
        <f>ROUND(SUM(N3445:Q3445),2)</f>
        <v/>
      </c>
      <c r="S3445" s="5" t="inlineStr">
        <is>
          <t>All-in specialist rate</t>
        </is>
      </c>
      <c r="T3445" s="14" t="inlineStr">
        <is>
          <t>All-in (not split)</t>
        </is>
      </c>
      <c r="U3445" s="8" t="n">
        <v>234.15</v>
      </c>
      <c r="V3445" s="13">
        <f>IF(U3445="","",ROUND(M3445-U3445,2))</f>
        <v/>
      </c>
      <c r="W3445" s="5" t="n"/>
      <c r="X3445" s="5" t="inlineStr">
        <is>
          <t>Source publishes a specialist/sub-contract all-in rate; no labour/plant/material build-up exists to derive from.</t>
        </is>
      </c>
    </row>
    <row r="3446" ht="13" customHeight="1">
      <c r="A3446" s="4" t="n">
        <v>5240</v>
      </c>
      <c r="B3446" s="5" t="inlineStr">
        <is>
          <t>IMG_0137</t>
        </is>
      </c>
      <c r="C3446" s="5" t="inlineStr">
        <is>
          <t>CLASS T: TUNNELS</t>
        </is>
      </c>
      <c r="D3446" s="5" t="inlineStr">
        <is>
          <t>02 IN SITU LINING TO TUNNELS</t>
        </is>
      </c>
      <c r="E3446" s="5" t="inlineStr">
        <is>
          <t>Cast concrete secondary</t>
        </is>
      </c>
      <c r="F3446" s="5" t="inlineStr">
        <is>
          <t>In situ lining to tunnels; cast concrete secondary</t>
        </is>
      </c>
      <c r="G3446" s="6" t="inlineStr">
        <is>
          <t>m3</t>
        </is>
      </c>
      <c r="H3446" s="7" t="n"/>
      <c r="I3446" s="8" t="n">
        <v>0</v>
      </c>
      <c r="J3446" s="8" t="n">
        <v>0</v>
      </c>
      <c r="K3446" s="8" t="n">
        <v>0</v>
      </c>
      <c r="L3446" s="8" t="n">
        <v>2569.72</v>
      </c>
      <c r="M3446" s="9">
        <f>ROUND(SUM(I3446:L3446),2)</f>
        <v/>
      </c>
      <c r="N3446" s="10">
        <f>ROUND(I3446*'Irish Basis'!$C$6*'Irish Basis'!$C$5,2)</f>
        <v/>
      </c>
      <c r="O3446" s="10">
        <f>ROUND(J3446*'Irish Basis'!$C$7*'Irish Basis'!$C$5,2)</f>
        <v/>
      </c>
      <c r="P3446" s="10">
        <f>ROUND(K3446*'Irish Basis'!$C$8*'Irish Basis'!$C$5,2)</f>
        <v/>
      </c>
      <c r="Q3446" s="10">
        <f>ROUND(L3446*'Irish Basis'!$C$12*'Irish Basis'!$C$5,2)</f>
        <v/>
      </c>
      <c r="R3446" s="11">
        <f>ROUND(SUM(N3446:Q3446),2)</f>
        <v/>
      </c>
      <c r="S3446" s="5" t="inlineStr">
        <is>
          <t>All-in specialist rate</t>
        </is>
      </c>
      <c r="T3446" s="14" t="inlineStr">
        <is>
          <t>All-in (not split)</t>
        </is>
      </c>
      <c r="U3446" s="8" t="n">
        <v>2569.72</v>
      </c>
      <c r="V3446" s="13">
        <f>IF(U3446="","",ROUND(M3446-U3446,2))</f>
        <v/>
      </c>
      <c r="W3446" s="5" t="n"/>
      <c r="X3446" s="5" t="inlineStr">
        <is>
          <t>Source publishes a specialist/sub-contract all-in rate; no labour/plant/material build-up exists to derive from.</t>
        </is>
      </c>
    </row>
    <row r="3447" ht="13" customHeight="1">
      <c r="A3447" s="4" t="n">
        <v>5242</v>
      </c>
      <c r="B3447" s="5" t="inlineStr">
        <is>
          <t>IMG_0137</t>
        </is>
      </c>
      <c r="C3447" s="5" t="inlineStr">
        <is>
          <t>CLASS T: TUNNELS</t>
        </is>
      </c>
      <c r="D3447" s="5" t="inlineStr">
        <is>
          <t>02 IN SITU LINING TO TUNNELS</t>
        </is>
      </c>
      <c r="E3447" s="5" t="inlineStr">
        <is>
          <t>Provision of Concrete - Designated Concrete</t>
        </is>
      </c>
      <c r="F3447" s="5" t="inlineStr">
        <is>
          <t>Provision of concrete - Designated concrete; Strength RC30/37; maximum agg. size 20 mm</t>
        </is>
      </c>
      <c r="G3447" s="6" t="inlineStr">
        <is>
          <t>m3</t>
        </is>
      </c>
      <c r="H3447" s="7" t="n"/>
      <c r="I3447" s="8" t="n">
        <v>0</v>
      </c>
      <c r="J3447" s="8" t="n">
        <v>0</v>
      </c>
      <c r="K3447" s="8" t="n">
        <v>0</v>
      </c>
      <c r="L3447" s="8" t="n">
        <v>166.41</v>
      </c>
      <c r="M3447" s="9">
        <f>ROUND(SUM(I3447:L3447),2)</f>
        <v/>
      </c>
      <c r="N3447" s="10">
        <f>ROUND(I3447*'Irish Basis'!$C$6*'Irish Basis'!$C$5,2)</f>
        <v/>
      </c>
      <c r="O3447" s="10">
        <f>ROUND(J3447*'Irish Basis'!$C$7*'Irish Basis'!$C$5,2)</f>
        <v/>
      </c>
      <c r="P3447" s="10">
        <f>ROUND(K3447*'Irish Basis'!$C$8*'Irish Basis'!$C$5,2)</f>
        <v/>
      </c>
      <c r="Q3447" s="10">
        <f>ROUND(L3447*'Irish Basis'!$C$12*'Irish Basis'!$C$5,2)</f>
        <v/>
      </c>
      <c r="R3447" s="11">
        <f>ROUND(SUM(N3447:Q3447),2)</f>
        <v/>
      </c>
      <c r="S3447" s="5" t="inlineStr">
        <is>
          <t>All-in specialist rate</t>
        </is>
      </c>
      <c r="T3447" s="14" t="inlineStr">
        <is>
          <t>All-in (not split)</t>
        </is>
      </c>
      <c r="U3447" s="8" t="n">
        <v>166.41</v>
      </c>
      <c r="V3447" s="13">
        <f>IF(U3447="","",ROUND(M3447-U3447,2))</f>
        <v/>
      </c>
      <c r="W3447" s="5" t="n"/>
      <c r="X3447" s="5" t="inlineStr">
        <is>
          <t>Source publishes a specialist/sub-contract all-in rate; no labour/plant/material build-up exists to derive from.</t>
        </is>
      </c>
    </row>
    <row r="3448" ht="13" customHeight="1">
      <c r="A3448" s="4" t="n">
        <v>5244</v>
      </c>
      <c r="B3448" s="5" t="inlineStr">
        <is>
          <t>IMG_0137</t>
        </is>
      </c>
      <c r="C3448" s="5" t="inlineStr">
        <is>
          <t>CLASS T: TUNNELS</t>
        </is>
      </c>
      <c r="D3448" s="5" t="inlineStr">
        <is>
          <t>02 IN SITU LINING TO TUNNELS</t>
        </is>
      </c>
      <c r="E3448" s="5" t="inlineStr">
        <is>
          <t>Placing of Concrete - Reinforced; Bases, footings, pile caps and ground slabs</t>
        </is>
      </c>
      <c r="F3448" s="5" t="inlineStr">
        <is>
          <t>Placing of reinforced concrete; Bases, footings, pile caps &amp; ground slabs; thickness &gt; 500 mm: cross passage floor slab</t>
        </is>
      </c>
      <c r="G3448" s="6" t="inlineStr">
        <is>
          <t>m3</t>
        </is>
      </c>
      <c r="H3448" s="7" t="n"/>
      <c r="I3448" s="8" t="n">
        <v>0</v>
      </c>
      <c r="J3448" s="8" t="n">
        <v>0</v>
      </c>
      <c r="K3448" s="8" t="n">
        <v>0</v>
      </c>
      <c r="L3448" s="8" t="n">
        <v>2166.23</v>
      </c>
      <c r="M3448" s="9">
        <f>ROUND(SUM(I3448:L3448),2)</f>
        <v/>
      </c>
      <c r="N3448" s="10">
        <f>ROUND(I3448*'Irish Basis'!$C$6*'Irish Basis'!$C$5,2)</f>
        <v/>
      </c>
      <c r="O3448" s="10">
        <f>ROUND(J3448*'Irish Basis'!$C$7*'Irish Basis'!$C$5,2)</f>
        <v/>
      </c>
      <c r="P3448" s="10">
        <f>ROUND(K3448*'Irish Basis'!$C$8*'Irish Basis'!$C$5,2)</f>
        <v/>
      </c>
      <c r="Q3448" s="10">
        <f>ROUND(L3448*'Irish Basis'!$C$12*'Irish Basis'!$C$5,2)</f>
        <v/>
      </c>
      <c r="R3448" s="11">
        <f>ROUND(SUM(N3448:Q3448),2)</f>
        <v/>
      </c>
      <c r="S3448" s="5" t="inlineStr">
        <is>
          <t>All-in specialist rate</t>
        </is>
      </c>
      <c r="T3448" s="14" t="inlineStr">
        <is>
          <t>All-in (not split)</t>
        </is>
      </c>
      <c r="U3448" s="8" t="n">
        <v>2166.23</v>
      </c>
      <c r="V3448" s="13">
        <f>IF(U3448="","",ROUND(M3448-U3448,2))</f>
        <v/>
      </c>
      <c r="W3448" s="5" t="n"/>
      <c r="X3448" s="5" t="inlineStr">
        <is>
          <t>Source publishes a specialist/sub-contract all-in rate; no labour/plant/material build-up exists to derive from.</t>
        </is>
      </c>
    </row>
    <row r="3449" ht="13" customHeight="1">
      <c r="A3449" s="4" t="n">
        <v>5246</v>
      </c>
      <c r="B3449" s="5" t="inlineStr">
        <is>
          <t>IMG_0137</t>
        </is>
      </c>
      <c r="C3449" s="5" t="inlineStr">
        <is>
          <t>CLASS T: TUNNELS</t>
        </is>
      </c>
      <c r="D3449" s="5" t="inlineStr">
        <is>
          <t>02 IN SITU LINING TO TUNNELS</t>
        </is>
      </c>
      <c r="E3449" s="5" t="inlineStr">
        <is>
          <t>Spray Concrete Lining Tunnels</t>
        </is>
      </c>
      <c r="F3449" s="5" t="inlineStr">
        <is>
          <t>In situ lining to tunnels; sprayed concrete primary lining; external Diamater 5-6 m; thickness ne 300 mm thick</t>
        </is>
      </c>
      <c r="G3449" s="6" t="inlineStr">
        <is>
          <t>m3</t>
        </is>
      </c>
      <c r="H3449" s="7" t="n"/>
      <c r="I3449" s="8" t="n">
        <v>0</v>
      </c>
      <c r="J3449" s="8" t="n">
        <v>0</v>
      </c>
      <c r="K3449" s="8" t="n">
        <v>0</v>
      </c>
      <c r="L3449" s="8" t="n">
        <v>507.55</v>
      </c>
      <c r="M3449" s="9">
        <f>ROUND(SUM(I3449:L3449),2)</f>
        <v/>
      </c>
      <c r="N3449" s="10">
        <f>ROUND(I3449*'Irish Basis'!$C$6*'Irish Basis'!$C$5,2)</f>
        <v/>
      </c>
      <c r="O3449" s="10">
        <f>ROUND(J3449*'Irish Basis'!$C$7*'Irish Basis'!$C$5,2)</f>
        <v/>
      </c>
      <c r="P3449" s="10">
        <f>ROUND(K3449*'Irish Basis'!$C$8*'Irish Basis'!$C$5,2)</f>
        <v/>
      </c>
      <c r="Q3449" s="10">
        <f>ROUND(L3449*'Irish Basis'!$C$12*'Irish Basis'!$C$5,2)</f>
        <v/>
      </c>
      <c r="R3449" s="11">
        <f>ROUND(SUM(N3449:Q3449),2)</f>
        <v/>
      </c>
      <c r="S3449" s="5" t="inlineStr">
        <is>
          <t>All-in specialist rate</t>
        </is>
      </c>
      <c r="T3449" s="14" t="inlineStr">
        <is>
          <t>All-in (not split)</t>
        </is>
      </c>
      <c r="U3449" s="8" t="n">
        <v>507.55</v>
      </c>
      <c r="V3449" s="13">
        <f>IF(U3449="","",ROUND(M3449-U3449,2))</f>
        <v/>
      </c>
      <c r="W3449" s="5" t="n"/>
      <c r="X3449" s="5" t="inlineStr">
        <is>
          <t>Source publishes a specialist/sub-contract all-in rate; no labour/plant/material build-up exists to derive from.</t>
        </is>
      </c>
    </row>
    <row r="3450" ht="13" customHeight="1">
      <c r="A3450" s="4" t="n">
        <v>5247</v>
      </c>
      <c r="B3450" s="5" t="inlineStr">
        <is>
          <t>IMG_0137</t>
        </is>
      </c>
      <c r="C3450" s="5" t="inlineStr">
        <is>
          <t>CLASS T: TUNNELS</t>
        </is>
      </c>
      <c r="D3450" s="5" t="inlineStr">
        <is>
          <t>02 IN SITU LINING TO TUNNELS</t>
        </is>
      </c>
      <c r="E3450" s="5" t="inlineStr">
        <is>
          <t>Spray Concrete Lining Tunnels</t>
        </is>
      </c>
      <c r="F3450" s="5" t="inlineStr">
        <is>
          <t>In situ lining to tunnels; cast concrete secondary lining; external dia. 5-6 m</t>
        </is>
      </c>
      <c r="G3450" s="6" t="inlineStr">
        <is>
          <t>m3</t>
        </is>
      </c>
      <c r="H3450" s="7" t="n"/>
      <c r="I3450" s="8" t="n">
        <v>0</v>
      </c>
      <c r="J3450" s="8" t="n">
        <v>0</v>
      </c>
      <c r="K3450" s="8" t="n">
        <v>0</v>
      </c>
      <c r="L3450" s="8" t="n">
        <v>258.78</v>
      </c>
      <c r="M3450" s="9">
        <f>ROUND(SUM(I3450:L3450),2)</f>
        <v/>
      </c>
      <c r="N3450" s="10">
        <f>ROUND(I3450*'Irish Basis'!$C$6*'Irish Basis'!$C$5,2)</f>
        <v/>
      </c>
      <c r="O3450" s="10">
        <f>ROUND(J3450*'Irish Basis'!$C$7*'Irish Basis'!$C$5,2)</f>
        <v/>
      </c>
      <c r="P3450" s="10">
        <f>ROUND(K3450*'Irish Basis'!$C$8*'Irish Basis'!$C$5,2)</f>
        <v/>
      </c>
      <c r="Q3450" s="10">
        <f>ROUND(L3450*'Irish Basis'!$C$12*'Irish Basis'!$C$5,2)</f>
        <v/>
      </c>
      <c r="R3450" s="11">
        <f>ROUND(SUM(N3450:Q3450),2)</f>
        <v/>
      </c>
      <c r="S3450" s="5" t="inlineStr">
        <is>
          <t>All-in specialist rate</t>
        </is>
      </c>
      <c r="T3450" s="14" t="inlineStr">
        <is>
          <t>All-in (not split)</t>
        </is>
      </c>
      <c r="U3450" s="8" t="n">
        <v>258.78</v>
      </c>
      <c r="V3450" s="13">
        <f>IF(U3450="","",ROUND(M3450-U3450,2))</f>
        <v/>
      </c>
      <c r="W3450" s="5" t="n"/>
      <c r="X3450" s="5" t="inlineStr">
        <is>
          <t>Source publishes a specialist/sub-contract all-in rate; no labour/plant/material build-up exists to derive from.</t>
        </is>
      </c>
    </row>
    <row r="3451" ht="13" customHeight="1">
      <c r="A3451" s="4" t="n">
        <v>5248</v>
      </c>
      <c r="B3451" s="5" t="inlineStr">
        <is>
          <t>IMG_0137</t>
        </is>
      </c>
      <c r="C3451" s="5" t="inlineStr">
        <is>
          <t>CLASS T: TUNNELS</t>
        </is>
      </c>
      <c r="D3451" s="5" t="inlineStr">
        <is>
          <t>02 IN SITU LINING TO TUNNELS</t>
        </is>
      </c>
      <c r="E3451" s="5" t="inlineStr">
        <is>
          <t>Spray Concrete Lining Tunnels</t>
        </is>
      </c>
      <c r="F3451" s="5" t="inlineStr">
        <is>
          <t>In situ lining to tunnels = Formwork to smooth finish; - external dia. 5-6 m</t>
        </is>
      </c>
      <c r="G3451" s="6" t="inlineStr">
        <is>
          <t>m3</t>
        </is>
      </c>
      <c r="H3451" s="7" t="n"/>
      <c r="I3451" s="8" t="n">
        <v>0</v>
      </c>
      <c r="J3451" s="8" t="n">
        <v>0</v>
      </c>
      <c r="K3451" s="8" t="n">
        <v>0</v>
      </c>
      <c r="L3451" s="8" t="n">
        <v>174.14</v>
      </c>
      <c r="M3451" s="9">
        <f>ROUND(SUM(I3451:L3451),2)</f>
        <v/>
      </c>
      <c r="N3451" s="10">
        <f>ROUND(I3451*'Irish Basis'!$C$6*'Irish Basis'!$C$5,2)</f>
        <v/>
      </c>
      <c r="O3451" s="10">
        <f>ROUND(J3451*'Irish Basis'!$C$7*'Irish Basis'!$C$5,2)</f>
        <v/>
      </c>
      <c r="P3451" s="10">
        <f>ROUND(K3451*'Irish Basis'!$C$8*'Irish Basis'!$C$5,2)</f>
        <v/>
      </c>
      <c r="Q3451" s="10">
        <f>ROUND(L3451*'Irish Basis'!$C$12*'Irish Basis'!$C$5,2)</f>
        <v/>
      </c>
      <c r="R3451" s="11">
        <f>ROUND(SUM(N3451:Q3451),2)</f>
        <v/>
      </c>
      <c r="S3451" s="5" t="inlineStr">
        <is>
          <t>All-in specialist rate</t>
        </is>
      </c>
      <c r="T3451" s="14" t="inlineStr">
        <is>
          <t>All-in (not split)</t>
        </is>
      </c>
      <c r="U3451" s="8" t="n">
        <v>174.14</v>
      </c>
      <c r="V3451" s="13">
        <f>IF(U3451="","",ROUND(M3451-U3451,2))</f>
        <v/>
      </c>
      <c r="W3451" s="5" t="n"/>
      <c r="X3451" s="5" t="inlineStr">
        <is>
          <t>Source publishes a specialist/sub-contract all-in rate; no labour/plant/material build-up exists to derive from.</t>
        </is>
      </c>
    </row>
    <row r="3452" ht="13" customHeight="1">
      <c r="A3452" s="4" t="n">
        <v>5252</v>
      </c>
      <c r="B3452" s="5" t="inlineStr">
        <is>
          <t>IMG_0137</t>
        </is>
      </c>
      <c r="C3452" s="5" t="inlineStr">
        <is>
          <t>CLASS T: TUNNELS</t>
        </is>
      </c>
      <c r="D3452" s="5" t="inlineStr">
        <is>
          <t>03 IN SITU LINING TO SHAFTS</t>
        </is>
      </c>
      <c r="E3452" s="5" t="inlineStr">
        <is>
          <t>Constructed in situ concrete</t>
        </is>
      </c>
      <c r="F3452" s="5" t="inlineStr">
        <is>
          <t>Provision of complete standard shaft in in situ concrete; including piling, walls, floors, roof, drainage, finishes etc.</t>
        </is>
      </c>
      <c r="G3452" s="6" t="inlineStr">
        <is>
          <t>nr</t>
        </is>
      </c>
      <c r="H3452" s="7" t="n"/>
      <c r="I3452" s="8" t="n">
        <v>0</v>
      </c>
      <c r="J3452" s="8" t="n">
        <v>0</v>
      </c>
      <c r="K3452" s="8" t="n">
        <v>0</v>
      </c>
      <c r="L3452" s="8" t="n">
        <v>50182993.52</v>
      </c>
      <c r="M3452" s="9">
        <f>ROUND(SUM(I3452:L3452),2)</f>
        <v/>
      </c>
      <c r="N3452" s="10">
        <f>ROUND(I3452*'Irish Basis'!$C$6*'Irish Basis'!$C$5,2)</f>
        <v/>
      </c>
      <c r="O3452" s="10">
        <f>ROUND(J3452*'Irish Basis'!$C$7*'Irish Basis'!$C$5,2)</f>
        <v/>
      </c>
      <c r="P3452" s="10">
        <f>ROUND(K3452*'Irish Basis'!$C$8*'Irish Basis'!$C$5,2)</f>
        <v/>
      </c>
      <c r="Q3452" s="10">
        <f>ROUND(L3452*'Irish Basis'!$C$12*'Irish Basis'!$C$5,2)</f>
        <v/>
      </c>
      <c r="R3452" s="11">
        <f>ROUND(SUM(N3452:Q3452),2)</f>
        <v/>
      </c>
      <c r="S3452" s="5" t="inlineStr">
        <is>
          <t>All-in specialist rate</t>
        </is>
      </c>
      <c r="T3452" s="14" t="inlineStr">
        <is>
          <t>All-in (not split)</t>
        </is>
      </c>
      <c r="U3452" s="8" t="n">
        <v>50182993.52</v>
      </c>
      <c r="V3452" s="13">
        <f>IF(U3452="","",ROUND(M3452-U3452,2))</f>
        <v/>
      </c>
      <c r="W3452" s="15" t="inlineStr">
        <is>
          <t>Probable source error — verify</t>
        </is>
      </c>
      <c r="X3452" s="5" t="inlineStr">
        <is>
          <t>Source publishes a specialist/sub-contract all-in rate; no labour/plant/material build-up exists to derive from. This is 20x the next highest item in the class (£2,534,723.45) and out of line with comparable rates in the same section — likely a mis-read digit in the source scan. Verify before use.</t>
        </is>
      </c>
    </row>
    <row r="3453" ht="13" customHeight="1">
      <c r="A3453" s="4" t="n">
        <v>5254</v>
      </c>
      <c r="B3453" s="5" t="inlineStr">
        <is>
          <t>IMG_0137</t>
        </is>
      </c>
      <c r="C3453" s="5" t="inlineStr">
        <is>
          <t>CLASS T: TUNNELS</t>
        </is>
      </c>
      <c r="D3453" s="5" t="inlineStr">
        <is>
          <t>03 IN SITU LINING TO SHAFTS</t>
        </is>
      </c>
      <c r="E3453" s="5" t="inlineStr">
        <is>
          <t>Mass concrete; grade C30, 20 mm aggregate; Secondary linings to shafts</t>
        </is>
      </c>
      <c r="F3453" s="5" t="inlineStr">
        <is>
          <t>3.0 m int dia.</t>
        </is>
      </c>
      <c r="G3453" s="6" t="inlineStr">
        <is>
          <t>m3</t>
        </is>
      </c>
      <c r="H3453" s="7" t="n"/>
      <c r="I3453" s="8" t="n">
        <v>0</v>
      </c>
      <c r="J3453" s="8" t="n">
        <v>0</v>
      </c>
      <c r="K3453" s="8" t="n">
        <v>0</v>
      </c>
      <c r="L3453" s="8" t="n">
        <v>604.11</v>
      </c>
      <c r="M3453" s="9">
        <f>ROUND(SUM(I3453:L3453),2)</f>
        <v/>
      </c>
      <c r="N3453" s="10">
        <f>ROUND(I3453*'Irish Basis'!$C$6*'Irish Basis'!$C$5,2)</f>
        <v/>
      </c>
      <c r="O3453" s="10">
        <f>ROUND(J3453*'Irish Basis'!$C$7*'Irish Basis'!$C$5,2)</f>
        <v/>
      </c>
      <c r="P3453" s="10">
        <f>ROUND(K3453*'Irish Basis'!$C$8*'Irish Basis'!$C$5,2)</f>
        <v/>
      </c>
      <c r="Q3453" s="10">
        <f>ROUND(L3453*'Irish Basis'!$C$12*'Irish Basis'!$C$5,2)</f>
        <v/>
      </c>
      <c r="R3453" s="11">
        <f>ROUND(SUM(N3453:Q3453),2)</f>
        <v/>
      </c>
      <c r="S3453" s="5" t="inlineStr">
        <is>
          <t>All-in specialist rate</t>
        </is>
      </c>
      <c r="T3453" s="14" t="inlineStr">
        <is>
          <t>All-in (not split)</t>
        </is>
      </c>
      <c r="U3453" s="8" t="n">
        <v>604.11</v>
      </c>
      <c r="V3453" s="13">
        <f>IF(U3453="","",ROUND(M3453-U3453,2))</f>
        <v/>
      </c>
      <c r="W3453" s="5" t="n"/>
      <c r="X3453" s="5" t="inlineStr">
        <is>
          <t>Source publishes a specialist/sub-contract all-in rate; no labour/plant/material build-up exists to derive from.</t>
        </is>
      </c>
    </row>
    <row r="3454" ht="13" customHeight="1">
      <c r="A3454" s="4" t="n">
        <v>5255</v>
      </c>
      <c r="B3454" s="5" t="inlineStr">
        <is>
          <t>IMG_0137</t>
        </is>
      </c>
      <c r="C3454" s="5" t="inlineStr">
        <is>
          <t>CLASS T: TUNNELS</t>
        </is>
      </c>
      <c r="D3454" s="5" t="inlineStr">
        <is>
          <t>03 IN SITU LINING TO SHAFTS</t>
        </is>
      </c>
      <c r="E3454" s="5" t="inlineStr">
        <is>
          <t>Mass concrete; grade C30, 20 mm aggregate; Secondary linings to shafts</t>
        </is>
      </c>
      <c r="F3454" s="5" t="inlineStr">
        <is>
          <t>4.5 m int dia.</t>
        </is>
      </c>
      <c r="G3454" s="6" t="inlineStr">
        <is>
          <t>m3</t>
        </is>
      </c>
      <c r="H3454" s="7" t="n"/>
      <c r="I3454" s="8" t="n">
        <v>0</v>
      </c>
      <c r="J3454" s="8" t="n">
        <v>0</v>
      </c>
      <c r="K3454" s="8" t="n">
        <v>0</v>
      </c>
      <c r="L3454" s="8" t="n">
        <v>588.42</v>
      </c>
      <c r="M3454" s="9">
        <f>ROUND(SUM(I3454:L3454),2)</f>
        <v/>
      </c>
      <c r="N3454" s="10">
        <f>ROUND(I3454*'Irish Basis'!$C$6*'Irish Basis'!$C$5,2)</f>
        <v/>
      </c>
      <c r="O3454" s="10">
        <f>ROUND(J3454*'Irish Basis'!$C$7*'Irish Basis'!$C$5,2)</f>
        <v/>
      </c>
      <c r="P3454" s="10">
        <f>ROUND(K3454*'Irish Basis'!$C$8*'Irish Basis'!$C$5,2)</f>
        <v/>
      </c>
      <c r="Q3454" s="10">
        <f>ROUND(L3454*'Irish Basis'!$C$12*'Irish Basis'!$C$5,2)</f>
        <v/>
      </c>
      <c r="R3454" s="11">
        <f>ROUND(SUM(N3454:Q3454),2)</f>
        <v/>
      </c>
      <c r="S3454" s="5" t="inlineStr">
        <is>
          <t>All-in specialist rate</t>
        </is>
      </c>
      <c r="T3454" s="14" t="inlineStr">
        <is>
          <t>All-in (not split)</t>
        </is>
      </c>
      <c r="U3454" s="8" t="n">
        <v>588.42</v>
      </c>
      <c r="V3454" s="13">
        <f>IF(U3454="","",ROUND(M3454-U3454,2))</f>
        <v/>
      </c>
      <c r="W3454" s="5" t="n"/>
      <c r="X3454" s="5" t="inlineStr">
        <is>
          <t>Source publishes a specialist/sub-contract all-in rate; no labour/plant/material build-up exists to derive from.</t>
        </is>
      </c>
    </row>
    <row r="3455" ht="13" customHeight="1">
      <c r="A3455" s="4" t="n">
        <v>5257</v>
      </c>
      <c r="B3455" s="5" t="inlineStr">
        <is>
          <t>IMG_0137</t>
        </is>
      </c>
      <c r="C3455" s="5" t="inlineStr">
        <is>
          <t>CLASS T: TUNNELS</t>
        </is>
      </c>
      <c r="D3455" s="5" t="inlineStr">
        <is>
          <t>03 IN SITU LINING TO SHAFTS</t>
        </is>
      </c>
      <c r="E3455" s="5" t="inlineStr">
        <is>
          <t>Cast primary lining to shafts</t>
        </is>
      </c>
      <c r="F3455" s="5" t="inlineStr">
        <is>
          <t>3.0 m int dia.</t>
        </is>
      </c>
      <c r="G3455" s="6" t="inlineStr">
        <is>
          <t>m3</t>
        </is>
      </c>
      <c r="H3455" s="7" t="n"/>
      <c r="I3455" s="8" t="n">
        <v>0</v>
      </c>
      <c r="J3455" s="8" t="n">
        <v>0</v>
      </c>
      <c r="K3455" s="8" t="n">
        <v>0</v>
      </c>
      <c r="L3455" s="8" t="n">
        <v>643.62</v>
      </c>
      <c r="M3455" s="9">
        <f>ROUND(SUM(I3455:L3455),2)</f>
        <v/>
      </c>
      <c r="N3455" s="10">
        <f>ROUND(I3455*'Irish Basis'!$C$6*'Irish Basis'!$C$5,2)</f>
        <v/>
      </c>
      <c r="O3455" s="10">
        <f>ROUND(J3455*'Irish Basis'!$C$7*'Irish Basis'!$C$5,2)</f>
        <v/>
      </c>
      <c r="P3455" s="10">
        <f>ROUND(K3455*'Irish Basis'!$C$8*'Irish Basis'!$C$5,2)</f>
        <v/>
      </c>
      <c r="Q3455" s="10">
        <f>ROUND(L3455*'Irish Basis'!$C$12*'Irish Basis'!$C$5,2)</f>
        <v/>
      </c>
      <c r="R3455" s="11">
        <f>ROUND(SUM(N3455:Q3455),2)</f>
        <v/>
      </c>
      <c r="S3455" s="5" t="inlineStr">
        <is>
          <t>All-in specialist rate</t>
        </is>
      </c>
      <c r="T3455" s="14" t="inlineStr">
        <is>
          <t>All-in (not split)</t>
        </is>
      </c>
      <c r="U3455" s="8" t="n">
        <v>643.62</v>
      </c>
      <c r="V3455" s="13">
        <f>IF(U3455="","",ROUND(M3455-U3455,2))</f>
        <v/>
      </c>
      <c r="W3455" s="5" t="n"/>
      <c r="X3455" s="5" t="inlineStr">
        <is>
          <t>Source publishes a specialist/sub-contract all-in rate; no labour/plant/material build-up exists to derive from.</t>
        </is>
      </c>
    </row>
    <row r="3456" ht="13" customHeight="1">
      <c r="A3456" s="4" t="n">
        <v>5258</v>
      </c>
      <c r="B3456" s="5" t="inlineStr">
        <is>
          <t>IMG_0137</t>
        </is>
      </c>
      <c r="C3456" s="5" t="inlineStr">
        <is>
          <t>CLASS T: TUNNELS</t>
        </is>
      </c>
      <c r="D3456" s="5" t="inlineStr">
        <is>
          <t>03 IN SITU LINING TO SHAFTS</t>
        </is>
      </c>
      <c r="E3456" s="5" t="inlineStr">
        <is>
          <t>Cast primary lining to shafts</t>
        </is>
      </c>
      <c r="F3456" s="5" t="inlineStr">
        <is>
          <t>4.5 m int dia.</t>
        </is>
      </c>
      <c r="G3456" s="6" t="inlineStr">
        <is>
          <t>m3</t>
        </is>
      </c>
      <c r="H3456" s="7" t="n"/>
      <c r="I3456" s="8" t="n">
        <v>0</v>
      </c>
      <c r="J3456" s="8" t="n">
        <v>0</v>
      </c>
      <c r="K3456" s="8" t="n">
        <v>0</v>
      </c>
      <c r="L3456" s="8" t="n">
        <v>615.37</v>
      </c>
      <c r="M3456" s="9">
        <f>ROUND(SUM(I3456:L3456),2)</f>
        <v/>
      </c>
      <c r="N3456" s="10">
        <f>ROUND(I3456*'Irish Basis'!$C$6*'Irish Basis'!$C$5,2)</f>
        <v/>
      </c>
      <c r="O3456" s="10">
        <f>ROUND(J3456*'Irish Basis'!$C$7*'Irish Basis'!$C$5,2)</f>
        <v/>
      </c>
      <c r="P3456" s="10">
        <f>ROUND(K3456*'Irish Basis'!$C$8*'Irish Basis'!$C$5,2)</f>
        <v/>
      </c>
      <c r="Q3456" s="10">
        <f>ROUND(L3456*'Irish Basis'!$C$12*'Irish Basis'!$C$5,2)</f>
        <v/>
      </c>
      <c r="R3456" s="11">
        <f>ROUND(SUM(N3456:Q3456),2)</f>
        <v/>
      </c>
      <c r="S3456" s="5" t="inlineStr">
        <is>
          <t>All-in specialist rate</t>
        </is>
      </c>
      <c r="T3456" s="14" t="inlineStr">
        <is>
          <t>All-in (not split)</t>
        </is>
      </c>
      <c r="U3456" s="8" t="n">
        <v>615.37</v>
      </c>
      <c r="V3456" s="13">
        <f>IF(U3456="","",ROUND(M3456-U3456,2))</f>
        <v/>
      </c>
      <c r="W3456" s="5" t="n"/>
      <c r="X3456" s="5" t="inlineStr">
        <is>
          <t>Source publishes a specialist/sub-contract all-in rate; no labour/plant/material build-up exists to derive from.</t>
        </is>
      </c>
    </row>
    <row r="3457" ht="13" customHeight="1">
      <c r="A3457" s="4" t="n">
        <v>5260</v>
      </c>
      <c r="B3457" s="5" t="inlineStr">
        <is>
          <t>IMG_0137</t>
        </is>
      </c>
      <c r="C3457" s="5" t="inlineStr">
        <is>
          <t>CLASS T: TUNNELS</t>
        </is>
      </c>
      <c r="D3457" s="5" t="inlineStr">
        <is>
          <t>03 IN SITU LINING TO SHAFTS</t>
        </is>
      </c>
      <c r="E3457" s="5" t="inlineStr">
        <is>
          <t>Formwork; rough finish; Shaft lining</t>
        </is>
      </c>
      <c r="F3457" s="5" t="inlineStr">
        <is>
          <t>3.0 m int dia.</t>
        </is>
      </c>
      <c r="G3457" s="6" t="inlineStr">
        <is>
          <t>m2</t>
        </is>
      </c>
      <c r="H3457" s="7" t="n"/>
      <c r="I3457" s="8" t="n">
        <v>0</v>
      </c>
      <c r="J3457" s="8" t="n">
        <v>0</v>
      </c>
      <c r="K3457" s="8" t="n">
        <v>0</v>
      </c>
      <c r="L3457" s="8" t="n">
        <v>167.92</v>
      </c>
      <c r="M3457" s="9">
        <f>ROUND(SUM(I3457:L3457),2)</f>
        <v/>
      </c>
      <c r="N3457" s="10">
        <f>ROUND(I3457*'Irish Basis'!$C$6*'Irish Basis'!$C$5,2)</f>
        <v/>
      </c>
      <c r="O3457" s="10">
        <f>ROUND(J3457*'Irish Basis'!$C$7*'Irish Basis'!$C$5,2)</f>
        <v/>
      </c>
      <c r="P3457" s="10">
        <f>ROUND(K3457*'Irish Basis'!$C$8*'Irish Basis'!$C$5,2)</f>
        <v/>
      </c>
      <c r="Q3457" s="10">
        <f>ROUND(L3457*'Irish Basis'!$C$12*'Irish Basis'!$C$5,2)</f>
        <v/>
      </c>
      <c r="R3457" s="11">
        <f>ROUND(SUM(N3457:Q3457),2)</f>
        <v/>
      </c>
      <c r="S3457" s="5" t="inlineStr">
        <is>
          <t>All-in specialist rate</t>
        </is>
      </c>
      <c r="T3457" s="14" t="inlineStr">
        <is>
          <t>All-in (not split)</t>
        </is>
      </c>
      <c r="U3457" s="8" t="n">
        <v>167.92</v>
      </c>
      <c r="V3457" s="13">
        <f>IF(U3457="","",ROUND(M3457-U3457,2))</f>
        <v/>
      </c>
      <c r="W3457" s="5" t="n"/>
      <c r="X3457" s="5" t="inlineStr">
        <is>
          <t>Source publishes a specialist/sub-contract all-in rate; no labour/plant/material build-up exists to derive from.</t>
        </is>
      </c>
    </row>
    <row r="3458" ht="13" customHeight="1">
      <c r="A3458" s="4" t="n">
        <v>5261</v>
      </c>
      <c r="B3458" s="5" t="inlineStr">
        <is>
          <t>IMG_0137</t>
        </is>
      </c>
      <c r="C3458" s="5" t="inlineStr">
        <is>
          <t>CLASS T: TUNNELS</t>
        </is>
      </c>
      <c r="D3458" s="5" t="inlineStr">
        <is>
          <t>03 IN SITU LINING TO SHAFTS</t>
        </is>
      </c>
      <c r="E3458" s="5" t="inlineStr">
        <is>
          <t>Formwork; rough finish; Shaft lining</t>
        </is>
      </c>
      <c r="F3458" s="5" t="inlineStr">
        <is>
          <t>4.5 m int dia.</t>
        </is>
      </c>
      <c r="G3458" s="6" t="inlineStr">
        <is>
          <t>m2</t>
        </is>
      </c>
      <c r="H3458" s="7" t="n"/>
      <c r="I3458" s="8" t="n">
        <v>0</v>
      </c>
      <c r="J3458" s="8" t="n">
        <v>0</v>
      </c>
      <c r="K3458" s="8" t="n">
        <v>0</v>
      </c>
      <c r="L3458" s="8" t="n">
        <v>113.52</v>
      </c>
      <c r="M3458" s="9">
        <f>ROUND(SUM(I3458:L3458),2)</f>
        <v/>
      </c>
      <c r="N3458" s="10">
        <f>ROUND(I3458*'Irish Basis'!$C$6*'Irish Basis'!$C$5,2)</f>
        <v/>
      </c>
      <c r="O3458" s="10">
        <f>ROUND(J3458*'Irish Basis'!$C$7*'Irish Basis'!$C$5,2)</f>
        <v/>
      </c>
      <c r="P3458" s="10">
        <f>ROUND(K3458*'Irish Basis'!$C$8*'Irish Basis'!$C$5,2)</f>
        <v/>
      </c>
      <c r="Q3458" s="10">
        <f>ROUND(L3458*'Irish Basis'!$C$12*'Irish Basis'!$C$5,2)</f>
        <v/>
      </c>
      <c r="R3458" s="11">
        <f>ROUND(SUM(N3458:Q3458),2)</f>
        <v/>
      </c>
      <c r="S3458" s="5" t="inlineStr">
        <is>
          <t>All-in specialist rate</t>
        </is>
      </c>
      <c r="T3458" s="14" t="inlineStr">
        <is>
          <t>All-in (not split)</t>
        </is>
      </c>
      <c r="U3458" s="8" t="n">
        <v>113.52</v>
      </c>
      <c r="V3458" s="13">
        <f>IF(U3458="","",ROUND(M3458-U3458,2))</f>
        <v/>
      </c>
      <c r="W3458" s="5" t="n"/>
      <c r="X3458" s="5" t="inlineStr">
        <is>
          <t>Source publishes a specialist/sub-contract all-in rate; no labour/plant/material build-up exists to derive from.</t>
        </is>
      </c>
    </row>
    <row r="3459" ht="13" customHeight="1">
      <c r="A3459" s="4" t="n">
        <v>5263</v>
      </c>
      <c r="B3459" s="5" t="inlineStr">
        <is>
          <t>IMG_0137</t>
        </is>
      </c>
      <c r="C3459" s="5" t="inlineStr">
        <is>
          <t>CLASS T: TUNNELS</t>
        </is>
      </c>
      <c r="D3459" s="5" t="inlineStr">
        <is>
          <t>03 IN SITU LINING TO SHAFTS</t>
        </is>
      </c>
      <c r="E3459" s="5" t="inlineStr">
        <is>
          <t>Waterproofing system for cross passage</t>
        </is>
      </c>
      <c r="F3459" s="5" t="inlineStr">
        <is>
          <t>Sheet linings membrane system; waterproofing system for shaft; junction with tunnel</t>
        </is>
      </c>
      <c r="G3459" s="6" t="inlineStr">
        <is>
          <t>m2</t>
        </is>
      </c>
      <c r="H3459" s="7" t="n"/>
      <c r="I3459" s="8" t="n">
        <v>0</v>
      </c>
      <c r="J3459" s="8" t="n">
        <v>0</v>
      </c>
      <c r="K3459" s="8" t="n">
        <v>0</v>
      </c>
      <c r="L3459" s="8" t="n">
        <v>369.92</v>
      </c>
      <c r="M3459" s="9">
        <f>ROUND(SUM(I3459:L3459),2)</f>
        <v/>
      </c>
      <c r="N3459" s="10">
        <f>ROUND(I3459*'Irish Basis'!$C$6*'Irish Basis'!$C$5,2)</f>
        <v/>
      </c>
      <c r="O3459" s="10">
        <f>ROUND(J3459*'Irish Basis'!$C$7*'Irish Basis'!$C$5,2)</f>
        <v/>
      </c>
      <c r="P3459" s="10">
        <f>ROUND(K3459*'Irish Basis'!$C$8*'Irish Basis'!$C$5,2)</f>
        <v/>
      </c>
      <c r="Q3459" s="10">
        <f>ROUND(L3459*'Irish Basis'!$C$12*'Irish Basis'!$C$5,2)</f>
        <v/>
      </c>
      <c r="R3459" s="11">
        <f>ROUND(SUM(N3459:Q3459),2)</f>
        <v/>
      </c>
      <c r="S3459" s="5" t="inlineStr">
        <is>
          <t>All-in specialist rate</t>
        </is>
      </c>
      <c r="T3459" s="14" t="inlineStr">
        <is>
          <t>All-in (not split)</t>
        </is>
      </c>
      <c r="U3459" s="8" t="n">
        <v>369.92</v>
      </c>
      <c r="V3459" s="13">
        <f>IF(U3459="","",ROUND(M3459-U3459,2))</f>
        <v/>
      </c>
      <c r="W3459" s="5" t="n"/>
      <c r="X3459" s="5" t="inlineStr">
        <is>
          <t>Source publishes a specialist/sub-contract all-in rate; no labour/plant/material build-up exists to derive from.</t>
        </is>
      </c>
    </row>
    <row r="3460" ht="13" customHeight="1">
      <c r="A3460" s="4" t="n">
        <v>5264</v>
      </c>
      <c r="B3460" s="5" t="inlineStr">
        <is>
          <t>IMG_0137</t>
        </is>
      </c>
      <c r="C3460" s="5" t="inlineStr">
        <is>
          <t>CLASS T: TUNNELS</t>
        </is>
      </c>
      <c r="D3460" s="5" t="inlineStr">
        <is>
          <t>03 IN SITU LINING TO SHAFTS</t>
        </is>
      </c>
      <c r="E3460" s="5" t="inlineStr">
        <is>
          <t>Waterproofing system for cross passage</t>
        </is>
      </c>
      <c r="F3460" s="5" t="inlineStr">
        <is>
          <t>Sheet linings membrane prop system; waterproofing system for shaft; junction with tunnel</t>
        </is>
      </c>
      <c r="G3460" s="6" t="inlineStr">
        <is>
          <t>m2</t>
        </is>
      </c>
      <c r="H3460" s="7" t="n"/>
      <c r="I3460" s="8" t="n">
        <v>0</v>
      </c>
      <c r="J3460" s="8" t="n">
        <v>0</v>
      </c>
      <c r="K3460" s="8" t="n">
        <v>0</v>
      </c>
      <c r="L3460" s="8" t="n">
        <v>103.23</v>
      </c>
      <c r="M3460" s="9">
        <f>ROUND(SUM(I3460:L3460),2)</f>
        <v/>
      </c>
      <c r="N3460" s="10">
        <f>ROUND(I3460*'Irish Basis'!$C$6*'Irish Basis'!$C$5,2)</f>
        <v/>
      </c>
      <c r="O3460" s="10">
        <f>ROUND(J3460*'Irish Basis'!$C$7*'Irish Basis'!$C$5,2)</f>
        <v/>
      </c>
      <c r="P3460" s="10">
        <f>ROUND(K3460*'Irish Basis'!$C$8*'Irish Basis'!$C$5,2)</f>
        <v/>
      </c>
      <c r="Q3460" s="10">
        <f>ROUND(L3460*'Irish Basis'!$C$12*'Irish Basis'!$C$5,2)</f>
        <v/>
      </c>
      <c r="R3460" s="11">
        <f>ROUND(SUM(N3460:Q3460),2)</f>
        <v/>
      </c>
      <c r="S3460" s="5" t="inlineStr">
        <is>
          <t>All-in specialist rate</t>
        </is>
      </c>
      <c r="T3460" s="14" t="inlineStr">
        <is>
          <t>All-in (not split)</t>
        </is>
      </c>
      <c r="U3460" s="8" t="n">
        <v>103.23</v>
      </c>
      <c r="V3460" s="13">
        <f>IF(U3460="","",ROUND(M3460-U3460,2))</f>
        <v/>
      </c>
      <c r="W3460" s="5" t="n"/>
      <c r="X3460" s="5" t="inlineStr">
        <is>
          <t>Source publishes a specialist/sub-contract all-in rate; no labour/plant/material build-up exists to derive from.</t>
        </is>
      </c>
    </row>
    <row r="3461" ht="13" customHeight="1">
      <c r="A3461" s="4" t="n">
        <v>5266</v>
      </c>
      <c r="B3461" s="5" t="inlineStr">
        <is>
          <t>IMG_0137</t>
        </is>
      </c>
      <c r="C3461" s="5" t="inlineStr">
        <is>
          <t>CLASS T: TUNNELS</t>
        </is>
      </c>
      <c r="D3461" s="5" t="inlineStr">
        <is>
          <t>03 IN SITU LINING TO SHAFTS</t>
        </is>
      </c>
      <c r="E3461" s="5" t="inlineStr">
        <is>
          <t>Depressurization allowances</t>
        </is>
      </c>
      <c r="F3461" s="5" t="inlineStr">
        <is>
          <t>Depressurization measures allowances</t>
        </is>
      </c>
      <c r="G3461" s="6" t="inlineStr">
        <is>
          <t>nr</t>
        </is>
      </c>
      <c r="H3461" s="7" t="n"/>
      <c r="I3461" s="8" t="n">
        <v>0</v>
      </c>
      <c r="J3461" s="8" t="n">
        <v>0</v>
      </c>
      <c r="K3461" s="8" t="n">
        <v>0</v>
      </c>
      <c r="L3461" s="8" t="n">
        <v>752744.9</v>
      </c>
      <c r="M3461" s="9">
        <f>ROUND(SUM(I3461:L3461),2)</f>
        <v/>
      </c>
      <c r="N3461" s="10">
        <f>ROUND(I3461*'Irish Basis'!$C$6*'Irish Basis'!$C$5,2)</f>
        <v/>
      </c>
      <c r="O3461" s="10">
        <f>ROUND(J3461*'Irish Basis'!$C$7*'Irish Basis'!$C$5,2)</f>
        <v/>
      </c>
      <c r="P3461" s="10">
        <f>ROUND(K3461*'Irish Basis'!$C$8*'Irish Basis'!$C$5,2)</f>
        <v/>
      </c>
      <c r="Q3461" s="10">
        <f>ROUND(L3461*'Irish Basis'!$C$12*'Irish Basis'!$C$5,2)</f>
        <v/>
      </c>
      <c r="R3461" s="11">
        <f>ROUND(SUM(N3461:Q3461),2)</f>
        <v/>
      </c>
      <c r="S3461" s="5" t="inlineStr">
        <is>
          <t>All-in specialist rate</t>
        </is>
      </c>
      <c r="T3461" s="14" t="inlineStr">
        <is>
          <t>All-in (not split)</t>
        </is>
      </c>
      <c r="U3461" s="8" t="n">
        <v>752744.9</v>
      </c>
      <c r="V3461" s="13">
        <f>IF(U3461="","",ROUND(M3461-U3461,2))</f>
        <v/>
      </c>
      <c r="W3461" s="15" t="inlineStr">
        <is>
          <t>High value — verify</t>
        </is>
      </c>
      <c r="X3461" s="5" t="inlineStr">
        <is>
          <t>Source publishes a specialist/sub-contract all-in rate; no labour/plant/material build-up exists to derive from. Unit rate of £250,000 or more — plausible for major specialist works but worth verifying against the source.</t>
        </is>
      </c>
    </row>
    <row r="3462" ht="13" customHeight="1">
      <c r="A3462" s="4" t="n">
        <v>5270</v>
      </c>
      <c r="B3462" s="5" t="inlineStr">
        <is>
          <t>IMG_0137</t>
        </is>
      </c>
      <c r="C3462" s="5" t="inlineStr">
        <is>
          <t>CLASS T: TUNNELS</t>
        </is>
      </c>
      <c r="D3462" s="5" t="inlineStr">
        <is>
          <t>04 IN SITU LINING TO OTHER CAVITIES</t>
        </is>
      </c>
      <c r="E3462" s="5" t="inlineStr">
        <is>
          <t>Mass concrete; grade C30, 20 mm aggregate; Cast primary lining to other cavities</t>
        </is>
      </c>
      <c r="F3462" s="5" t="inlineStr">
        <is>
          <t>1.5 m int dia.</t>
        </is>
      </c>
      <c r="G3462" s="6" t="inlineStr">
        <is>
          <t>m3</t>
        </is>
      </c>
      <c r="H3462" s="7" t="n"/>
      <c r="I3462" s="8" t="n">
        <v>0</v>
      </c>
      <c r="J3462" s="8" t="n">
        <v>0</v>
      </c>
      <c r="K3462" s="8" t="n">
        <v>0</v>
      </c>
      <c r="L3462" s="8" t="n">
        <v>66.19</v>
      </c>
      <c r="M3462" s="9">
        <f>ROUND(SUM(I3462:L3462),2)</f>
        <v/>
      </c>
      <c r="N3462" s="10">
        <f>ROUND(I3462*'Irish Basis'!$C$6*'Irish Basis'!$C$5,2)</f>
        <v/>
      </c>
      <c r="O3462" s="10">
        <f>ROUND(J3462*'Irish Basis'!$C$7*'Irish Basis'!$C$5,2)</f>
        <v/>
      </c>
      <c r="P3462" s="10">
        <f>ROUND(K3462*'Irish Basis'!$C$8*'Irish Basis'!$C$5,2)</f>
        <v/>
      </c>
      <c r="Q3462" s="10">
        <f>ROUND(L3462*'Irish Basis'!$C$12*'Irish Basis'!$C$5,2)</f>
        <v/>
      </c>
      <c r="R3462" s="11">
        <f>ROUND(SUM(N3462:Q3462),2)</f>
        <v/>
      </c>
      <c r="S3462" s="5" t="inlineStr">
        <is>
          <t>All-in specialist rate</t>
        </is>
      </c>
      <c r="T3462" s="14" t="inlineStr">
        <is>
          <t>All-in (not split)</t>
        </is>
      </c>
      <c r="U3462" s="8" t="n">
        <v>66.19</v>
      </c>
      <c r="V3462" s="13">
        <f>IF(U3462="","",ROUND(M3462-U3462,2))</f>
        <v/>
      </c>
      <c r="W3462" s="5" t="n"/>
      <c r="X3462" s="5" t="inlineStr">
        <is>
          <t>Source publishes a specialist/sub-contract all-in rate; no labour/plant/material build-up exists to derive from.</t>
        </is>
      </c>
    </row>
    <row r="3463" ht="13" customHeight="1">
      <c r="A3463" s="4" t="n">
        <v>5271</v>
      </c>
      <c r="B3463" s="5" t="inlineStr">
        <is>
          <t>IMG_0137</t>
        </is>
      </c>
      <c r="C3463" s="5" t="inlineStr">
        <is>
          <t>CLASS T: TUNNELS</t>
        </is>
      </c>
      <c r="D3463" s="5" t="inlineStr">
        <is>
          <t>04 IN SITU LINING TO OTHER CAVITIES</t>
        </is>
      </c>
      <c r="E3463" s="5" t="inlineStr">
        <is>
          <t>Mass concrete; grade C30, 20 mm aggregate; Cast primary lining to other cavities</t>
        </is>
      </c>
      <c r="F3463" s="5" t="inlineStr">
        <is>
          <t>3.0 m int dia.</t>
        </is>
      </c>
      <c r="G3463" s="6" t="inlineStr">
        <is>
          <t>m3</t>
        </is>
      </c>
      <c r="H3463" s="7" t="n"/>
      <c r="I3463" s="8" t="n">
        <v>0</v>
      </c>
      <c r="J3463" s="8" t="n">
        <v>0</v>
      </c>
      <c r="K3463" s="8" t="n">
        <v>0</v>
      </c>
      <c r="L3463" s="8" t="n">
        <v>564.6</v>
      </c>
      <c r="M3463" s="9">
        <f>ROUND(SUM(I3463:L3463),2)</f>
        <v/>
      </c>
      <c r="N3463" s="10">
        <f>ROUND(I3463*'Irish Basis'!$C$6*'Irish Basis'!$C$5,2)</f>
        <v/>
      </c>
      <c r="O3463" s="10">
        <f>ROUND(J3463*'Irish Basis'!$C$7*'Irish Basis'!$C$5,2)</f>
        <v/>
      </c>
      <c r="P3463" s="10">
        <f>ROUND(K3463*'Irish Basis'!$C$8*'Irish Basis'!$C$5,2)</f>
        <v/>
      </c>
      <c r="Q3463" s="10">
        <f>ROUND(L3463*'Irish Basis'!$C$12*'Irish Basis'!$C$5,2)</f>
        <v/>
      </c>
      <c r="R3463" s="11">
        <f>ROUND(SUM(N3463:Q3463),2)</f>
        <v/>
      </c>
      <c r="S3463" s="5" t="inlineStr">
        <is>
          <t>All-in specialist rate</t>
        </is>
      </c>
      <c r="T3463" s="14" t="inlineStr">
        <is>
          <t>All-in (not split)</t>
        </is>
      </c>
      <c r="U3463" s="8" t="n">
        <v>564.6</v>
      </c>
      <c r="V3463" s="13">
        <f>IF(U3463="","",ROUND(M3463-U3463,2))</f>
        <v/>
      </c>
      <c r="W3463" s="5" t="n"/>
      <c r="X3463" s="5" t="inlineStr">
        <is>
          <t>Source publishes a specialist/sub-contract all-in rate; no labour/plant/material build-up exists to derive from.</t>
        </is>
      </c>
    </row>
    <row r="3464" ht="13" customHeight="1">
      <c r="A3464" s="4" t="n">
        <v>5273</v>
      </c>
      <c r="B3464" s="5" t="inlineStr">
        <is>
          <t>IMG_0137</t>
        </is>
      </c>
      <c r="C3464" s="5" t="inlineStr">
        <is>
          <t>CLASS T: TUNNELS</t>
        </is>
      </c>
      <c r="D3464" s="5" t="inlineStr">
        <is>
          <t>04 IN SITU LINING TO OTHER CAVITIES</t>
        </is>
      </c>
      <c r="E3464" s="5" t="inlineStr">
        <is>
          <t>Secondary linings to other cavities</t>
        </is>
      </c>
      <c r="F3464" s="5" t="inlineStr">
        <is>
          <t>1.5 m int dia.</t>
        </is>
      </c>
      <c r="G3464" s="6" t="inlineStr">
        <is>
          <t>m3</t>
        </is>
      </c>
      <c r="H3464" s="7" t="n"/>
      <c r="I3464" s="8" t="n">
        <v>0</v>
      </c>
      <c r="J3464" s="8" t="n">
        <v>0</v>
      </c>
      <c r="K3464" s="8" t="n">
        <v>0</v>
      </c>
      <c r="L3464" s="8" t="n">
        <v>762.2</v>
      </c>
      <c r="M3464" s="9">
        <f>ROUND(SUM(I3464:L3464),2)</f>
        <v/>
      </c>
      <c r="N3464" s="10">
        <f>ROUND(I3464*'Irish Basis'!$C$6*'Irish Basis'!$C$5,2)</f>
        <v/>
      </c>
      <c r="O3464" s="10">
        <f>ROUND(J3464*'Irish Basis'!$C$7*'Irish Basis'!$C$5,2)</f>
        <v/>
      </c>
      <c r="P3464" s="10">
        <f>ROUND(K3464*'Irish Basis'!$C$8*'Irish Basis'!$C$5,2)</f>
        <v/>
      </c>
      <c r="Q3464" s="10">
        <f>ROUND(L3464*'Irish Basis'!$C$12*'Irish Basis'!$C$5,2)</f>
        <v/>
      </c>
      <c r="R3464" s="11">
        <f>ROUND(SUM(N3464:Q3464),2)</f>
        <v/>
      </c>
      <c r="S3464" s="5" t="inlineStr">
        <is>
          <t>All-in specialist rate</t>
        </is>
      </c>
      <c r="T3464" s="14" t="inlineStr">
        <is>
          <t>All-in (not split)</t>
        </is>
      </c>
      <c r="U3464" s="8" t="n">
        <v>762.2</v>
      </c>
      <c r="V3464" s="13">
        <f>IF(U3464="","",ROUND(M3464-U3464,2))</f>
        <v/>
      </c>
      <c r="W3464" s="5" t="n"/>
      <c r="X3464" s="5" t="inlineStr">
        <is>
          <t>Source publishes a specialist/sub-contract all-in rate; no labour/plant/material build-up exists to derive from.</t>
        </is>
      </c>
    </row>
    <row r="3465" ht="13" customHeight="1">
      <c r="A3465" s="4" t="n">
        <v>5274</v>
      </c>
      <c r="B3465" s="5" t="inlineStr">
        <is>
          <t>IMG_0137</t>
        </is>
      </c>
      <c r="C3465" s="5" t="inlineStr">
        <is>
          <t>CLASS T: TUNNELS</t>
        </is>
      </c>
      <c r="D3465" s="5" t="inlineStr">
        <is>
          <t>04 IN SITU LINING TO OTHER CAVITIES</t>
        </is>
      </c>
      <c r="E3465" s="5" t="inlineStr">
        <is>
          <t>Secondary linings to other cavities</t>
        </is>
      </c>
      <c r="F3465" s="5" t="inlineStr">
        <is>
          <t>3.0 m int dia.</t>
        </is>
      </c>
      <c r="G3465" s="6" t="inlineStr">
        <is>
          <t>m3</t>
        </is>
      </c>
      <c r="H3465" s="7" t="n"/>
      <c r="I3465" s="8" t="n">
        <v>0</v>
      </c>
      <c r="J3465" s="8" t="n">
        <v>0</v>
      </c>
      <c r="K3465" s="8" t="n">
        <v>0</v>
      </c>
      <c r="L3465" s="8" t="n">
        <v>604.11</v>
      </c>
      <c r="M3465" s="9">
        <f>ROUND(SUM(I3465:L3465),2)</f>
        <v/>
      </c>
      <c r="N3465" s="10">
        <f>ROUND(I3465*'Irish Basis'!$C$6*'Irish Basis'!$C$5,2)</f>
        <v/>
      </c>
      <c r="O3465" s="10">
        <f>ROUND(J3465*'Irish Basis'!$C$7*'Irish Basis'!$C$5,2)</f>
        <v/>
      </c>
      <c r="P3465" s="10">
        <f>ROUND(K3465*'Irish Basis'!$C$8*'Irish Basis'!$C$5,2)</f>
        <v/>
      </c>
      <c r="Q3465" s="10">
        <f>ROUND(L3465*'Irish Basis'!$C$12*'Irish Basis'!$C$5,2)</f>
        <v/>
      </c>
      <c r="R3465" s="11">
        <f>ROUND(SUM(N3465:Q3465),2)</f>
        <v/>
      </c>
      <c r="S3465" s="5" t="inlineStr">
        <is>
          <t>All-in specialist rate</t>
        </is>
      </c>
      <c r="T3465" s="14" t="inlineStr">
        <is>
          <t>All-in (not split)</t>
        </is>
      </c>
      <c r="U3465" s="8" t="n">
        <v>604.11</v>
      </c>
      <c r="V3465" s="13">
        <f>IF(U3465="","",ROUND(M3465-U3465,2))</f>
        <v/>
      </c>
      <c r="W3465" s="5" t="n"/>
      <c r="X3465" s="5" t="inlineStr">
        <is>
          <t>Source publishes a specialist/sub-contract all-in rate; no labour/plant/material build-up exists to derive from.</t>
        </is>
      </c>
    </row>
    <row r="3466" ht="13" customHeight="1">
      <c r="A3466" s="4" t="n">
        <v>5276</v>
      </c>
      <c r="B3466" s="5" t="inlineStr">
        <is>
          <t>IMG_0137</t>
        </is>
      </c>
      <c r="C3466" s="5" t="inlineStr">
        <is>
          <t>CLASS T: TUNNELS</t>
        </is>
      </c>
      <c r="D3466" s="5" t="inlineStr">
        <is>
          <t>04 IN SITU LINING TO OTHER CAVITIES</t>
        </is>
      </c>
      <c r="E3466" s="5" t="inlineStr">
        <is>
          <t>Formwork; rough finish; Other cavities lining</t>
        </is>
      </c>
      <c r="F3466" s="5" t="inlineStr">
        <is>
          <t>1.5 m int dia.</t>
        </is>
      </c>
      <c r="G3466" s="6" t="inlineStr">
        <is>
          <t>m2</t>
        </is>
      </c>
      <c r="H3466" s="7" t="n"/>
      <c r="I3466" s="8" t="n">
        <v>0</v>
      </c>
      <c r="J3466" s="8" t="n">
        <v>0</v>
      </c>
      <c r="K3466" s="8" t="n">
        <v>0</v>
      </c>
      <c r="L3466" s="8" t="n">
        <v>87.72</v>
      </c>
      <c r="M3466" s="9">
        <f>ROUND(SUM(I3466:L3466),2)</f>
        <v/>
      </c>
      <c r="N3466" s="10">
        <f>ROUND(I3466*'Irish Basis'!$C$6*'Irish Basis'!$C$5,2)</f>
        <v/>
      </c>
      <c r="O3466" s="10">
        <f>ROUND(J3466*'Irish Basis'!$C$7*'Irish Basis'!$C$5,2)</f>
        <v/>
      </c>
      <c r="P3466" s="10">
        <f>ROUND(K3466*'Irish Basis'!$C$8*'Irish Basis'!$C$5,2)</f>
        <v/>
      </c>
      <c r="Q3466" s="10">
        <f>ROUND(L3466*'Irish Basis'!$C$12*'Irish Basis'!$C$5,2)</f>
        <v/>
      </c>
      <c r="R3466" s="11">
        <f>ROUND(SUM(N3466:Q3466),2)</f>
        <v/>
      </c>
      <c r="S3466" s="5" t="inlineStr">
        <is>
          <t>All-in specialist rate</t>
        </is>
      </c>
      <c r="T3466" s="14" t="inlineStr">
        <is>
          <t>All-in (not split)</t>
        </is>
      </c>
      <c r="U3466" s="8" t="n">
        <v>87.72</v>
      </c>
      <c r="V3466" s="13">
        <f>IF(U3466="","",ROUND(M3466-U3466,2))</f>
        <v/>
      </c>
      <c r="W3466" s="5" t="n"/>
      <c r="X3466" s="5" t="inlineStr">
        <is>
          <t>Source publishes a specialist/sub-contract all-in rate; no labour/plant/material build-up exists to derive from.</t>
        </is>
      </c>
    </row>
    <row r="3467" ht="13" customHeight="1">
      <c r="A3467" s="4" t="n">
        <v>5277</v>
      </c>
      <c r="B3467" s="5" t="inlineStr">
        <is>
          <t>IMG_0137</t>
        </is>
      </c>
      <c r="C3467" s="5" t="inlineStr">
        <is>
          <t>CLASS T: TUNNELS</t>
        </is>
      </c>
      <c r="D3467" s="5" t="inlineStr">
        <is>
          <t>04 IN SITU LINING TO OTHER CAVITIES</t>
        </is>
      </c>
      <c r="E3467" s="5" t="inlineStr">
        <is>
          <t>Formwork; rough finish; Other cavities lining</t>
        </is>
      </c>
      <c r="F3467" s="5" t="inlineStr">
        <is>
          <t>3.0 m int dia.</t>
        </is>
      </c>
      <c r="G3467" s="6" t="inlineStr">
        <is>
          <t>m2</t>
        </is>
      </c>
      <c r="H3467" s="7" t="n"/>
      <c r="I3467" s="8" t="n">
        <v>0</v>
      </c>
      <c r="J3467" s="8" t="n">
        <v>0</v>
      </c>
      <c r="K3467" s="8" t="n">
        <v>0</v>
      </c>
      <c r="L3467" s="8" t="n">
        <v>111.17</v>
      </c>
      <c r="M3467" s="9">
        <f>ROUND(SUM(I3467:L3467),2)</f>
        <v/>
      </c>
      <c r="N3467" s="10">
        <f>ROUND(I3467*'Irish Basis'!$C$6*'Irish Basis'!$C$5,2)</f>
        <v/>
      </c>
      <c r="O3467" s="10">
        <f>ROUND(J3467*'Irish Basis'!$C$7*'Irish Basis'!$C$5,2)</f>
        <v/>
      </c>
      <c r="P3467" s="10">
        <f>ROUND(K3467*'Irish Basis'!$C$8*'Irish Basis'!$C$5,2)</f>
        <v/>
      </c>
      <c r="Q3467" s="10">
        <f>ROUND(L3467*'Irish Basis'!$C$12*'Irish Basis'!$C$5,2)</f>
        <v/>
      </c>
      <c r="R3467" s="11">
        <f>ROUND(SUM(N3467:Q3467),2)</f>
        <v/>
      </c>
      <c r="S3467" s="5" t="inlineStr">
        <is>
          <t>All-in specialist rate</t>
        </is>
      </c>
      <c r="T3467" s="14" t="inlineStr">
        <is>
          <t>All-in (not split)</t>
        </is>
      </c>
      <c r="U3467" s="8" t="n">
        <v>111.17</v>
      </c>
      <c r="V3467" s="13">
        <f>IF(U3467="","",ROUND(M3467-U3467,2))</f>
        <v/>
      </c>
      <c r="W3467" s="5" t="n"/>
      <c r="X3467" s="5" t="inlineStr">
        <is>
          <t>Source publishes a specialist/sub-contract all-in rate; no labour/plant/material build-up exists to derive from.</t>
        </is>
      </c>
    </row>
    <row r="3468" ht="13" customHeight="1">
      <c r="A3468" s="4" t="n">
        <v>5281</v>
      </c>
      <c r="B3468" s="5" t="inlineStr">
        <is>
          <t>IMG_0137</t>
        </is>
      </c>
      <c r="C3468" s="5" t="inlineStr">
        <is>
          <t>CLASS T: TUNNELS</t>
        </is>
      </c>
      <c r="D3468" s="5" t="inlineStr">
        <is>
          <t>05 PREFORMED SEGMENTAL LININGS TO TUNNELS</t>
        </is>
      </c>
      <c r="E3468" s="5" t="inlineStr">
        <is>
          <t>Precast concrete bolted rings</t>
        </is>
      </c>
      <c r="F3468" s="5" t="inlineStr">
        <is>
          <t>preformed segment lining to tunels; Precast concrete boltd rings; - external Dia.. &gt; 8 m; 2.0 m steel fiber reinforced rings</t>
        </is>
      </c>
      <c r="G3468" s="6" t="inlineStr">
        <is>
          <t>nr</t>
        </is>
      </c>
      <c r="H3468" s="7" t="n"/>
      <c r="I3468" s="8" t="n">
        <v>0</v>
      </c>
      <c r="J3468" s="8" t="n">
        <v>0</v>
      </c>
      <c r="K3468" s="8" t="n">
        <v>0</v>
      </c>
      <c r="L3468" s="8" t="n">
        <v>10808.76</v>
      </c>
      <c r="M3468" s="9">
        <f>ROUND(SUM(I3468:L3468),2)</f>
        <v/>
      </c>
      <c r="N3468" s="10">
        <f>ROUND(I3468*'Irish Basis'!$C$6*'Irish Basis'!$C$5,2)</f>
        <v/>
      </c>
      <c r="O3468" s="10">
        <f>ROUND(J3468*'Irish Basis'!$C$7*'Irish Basis'!$C$5,2)</f>
        <v/>
      </c>
      <c r="P3468" s="10">
        <f>ROUND(K3468*'Irish Basis'!$C$8*'Irish Basis'!$C$5,2)</f>
        <v/>
      </c>
      <c r="Q3468" s="10">
        <f>ROUND(L3468*'Irish Basis'!$C$12*'Irish Basis'!$C$5,2)</f>
        <v/>
      </c>
      <c r="R3468" s="11">
        <f>ROUND(SUM(N3468:Q3468),2)</f>
        <v/>
      </c>
      <c r="S3468" s="5" t="inlineStr">
        <is>
          <t>All-in specialist rate</t>
        </is>
      </c>
      <c r="T3468" s="14" t="inlineStr">
        <is>
          <t>All-in (not split)</t>
        </is>
      </c>
      <c r="U3468" s="8" t="n">
        <v>10808.76</v>
      </c>
      <c r="V3468" s="13">
        <f>IF(U3468="","",ROUND(M3468-U3468,2))</f>
        <v/>
      </c>
      <c r="W3468" s="5" t="n"/>
      <c r="X3468" s="5" t="inlineStr">
        <is>
          <t>Source publishes a specialist/sub-contract all-in rate; no labour/plant/material build-up exists to derive from.</t>
        </is>
      </c>
    </row>
    <row r="3469" ht="13" customHeight="1">
      <c r="A3469" s="4" t="n">
        <v>5282</v>
      </c>
      <c r="B3469" s="5" t="inlineStr">
        <is>
          <t>IMG_0137</t>
        </is>
      </c>
      <c r="C3469" s="5" t="inlineStr">
        <is>
          <t>CLASS T: TUNNELS</t>
        </is>
      </c>
      <c r="D3469" s="5" t="inlineStr">
        <is>
          <t>05 PREFORMED SEGMENTAL LININGS TO TUNNELS</t>
        </is>
      </c>
      <c r="E3469" s="5" t="inlineStr">
        <is>
          <t>Precast concrete bolted rings</t>
        </is>
      </c>
      <c r="F3469" s="5" t="inlineStr">
        <is>
          <t>preformed segment lining to tunels; Precast concrete boltd rings; - external Dia.. &gt; 8 m; 2.0 m standard reinforced rings 120 kg/m3</t>
        </is>
      </c>
      <c r="G3469" s="6" t="inlineStr">
        <is>
          <t>nr</t>
        </is>
      </c>
      <c r="H3469" s="7" t="n"/>
      <c r="I3469" s="8" t="n">
        <v>0</v>
      </c>
      <c r="J3469" s="8" t="n">
        <v>0</v>
      </c>
      <c r="K3469" s="8" t="n">
        <v>0</v>
      </c>
      <c r="L3469" s="8" t="n">
        <v>16956.59</v>
      </c>
      <c r="M3469" s="9">
        <f>ROUND(SUM(I3469:L3469),2)</f>
        <v/>
      </c>
      <c r="N3469" s="10">
        <f>ROUND(I3469*'Irish Basis'!$C$6*'Irish Basis'!$C$5,2)</f>
        <v/>
      </c>
      <c r="O3469" s="10">
        <f>ROUND(J3469*'Irish Basis'!$C$7*'Irish Basis'!$C$5,2)</f>
        <v/>
      </c>
      <c r="P3469" s="10">
        <f>ROUND(K3469*'Irish Basis'!$C$8*'Irish Basis'!$C$5,2)</f>
        <v/>
      </c>
      <c r="Q3469" s="10">
        <f>ROUND(L3469*'Irish Basis'!$C$12*'Irish Basis'!$C$5,2)</f>
        <v/>
      </c>
      <c r="R3469" s="11">
        <f>ROUND(SUM(N3469:Q3469),2)</f>
        <v/>
      </c>
      <c r="S3469" s="5" t="inlineStr">
        <is>
          <t>All-in specialist rate</t>
        </is>
      </c>
      <c r="T3469" s="14" t="inlineStr">
        <is>
          <t>All-in (not split)</t>
        </is>
      </c>
      <c r="U3469" s="8" t="n">
        <v>16956.59</v>
      </c>
      <c r="V3469" s="13">
        <f>IF(U3469="","",ROUND(M3469-U3469,2))</f>
        <v/>
      </c>
      <c r="W3469" s="5" t="n"/>
      <c r="X3469" s="5" t="inlineStr">
        <is>
          <t>Source publishes a specialist/sub-contract all-in rate; no labour/plant/material build-up exists to derive from.</t>
        </is>
      </c>
    </row>
    <row r="3470" ht="13" customHeight="1">
      <c r="A3470" s="4" t="n">
        <v>5283</v>
      </c>
      <c r="B3470" s="5" t="inlineStr">
        <is>
          <t>IMG_0137</t>
        </is>
      </c>
      <c r="C3470" s="5" t="inlineStr">
        <is>
          <t>CLASS T: TUNNELS</t>
        </is>
      </c>
      <c r="D3470" s="5" t="inlineStr">
        <is>
          <t>05 PREFORMED SEGMENTAL LININGS TO TUNNELS</t>
        </is>
      </c>
      <c r="E3470" s="5" t="inlineStr">
        <is>
          <t>Precast concrete bolted rings</t>
        </is>
      </c>
      <c r="F3470" s="5" t="inlineStr">
        <is>
          <t>preformed segment lining to tunels; 2.0 m standard reinforced rings 80 kg/m3</t>
        </is>
      </c>
      <c r="G3470" s="6" t="inlineStr">
        <is>
          <t>nr</t>
        </is>
      </c>
      <c r="H3470" s="7" t="n"/>
      <c r="I3470" s="8" t="n">
        <v>0</v>
      </c>
      <c r="J3470" s="8" t="n">
        <v>0</v>
      </c>
      <c r="K3470" s="8" t="n">
        <v>0</v>
      </c>
      <c r="L3470" s="8" t="n">
        <v>14111.43</v>
      </c>
      <c r="M3470" s="9">
        <f>ROUND(SUM(I3470:L3470),2)</f>
        <v/>
      </c>
      <c r="N3470" s="10">
        <f>ROUND(I3470*'Irish Basis'!$C$6*'Irish Basis'!$C$5,2)</f>
        <v/>
      </c>
      <c r="O3470" s="10">
        <f>ROUND(J3470*'Irish Basis'!$C$7*'Irish Basis'!$C$5,2)</f>
        <v/>
      </c>
      <c r="P3470" s="10">
        <f>ROUND(K3470*'Irish Basis'!$C$8*'Irish Basis'!$C$5,2)</f>
        <v/>
      </c>
      <c r="Q3470" s="10">
        <f>ROUND(L3470*'Irish Basis'!$C$12*'Irish Basis'!$C$5,2)</f>
        <v/>
      </c>
      <c r="R3470" s="11">
        <f>ROUND(SUM(N3470:Q3470),2)</f>
        <v/>
      </c>
      <c r="S3470" s="5" t="inlineStr">
        <is>
          <t>All-in specialist rate</t>
        </is>
      </c>
      <c r="T3470" s="14" t="inlineStr">
        <is>
          <t>All-in (not split)</t>
        </is>
      </c>
      <c r="U3470" s="8" t="n">
        <v>14111.43</v>
      </c>
      <c r="V3470" s="13">
        <f>IF(U3470="","",ROUND(M3470-U3470,2))</f>
        <v/>
      </c>
      <c r="W3470" s="5" t="n"/>
      <c r="X3470" s="5" t="inlineStr">
        <is>
          <t>Source publishes a specialist/sub-contract all-in rate; no labour/plant/material build-up exists to derive from.</t>
        </is>
      </c>
    </row>
    <row r="3471" ht="13" customHeight="1">
      <c r="A3471" s="4" t="n">
        <v>5285</v>
      </c>
      <c r="B3471" s="5" t="inlineStr">
        <is>
          <t>IMG_0137</t>
        </is>
      </c>
      <c r="C3471" s="5" t="inlineStr">
        <is>
          <t>CLASS T: TUNNELS</t>
        </is>
      </c>
      <c r="D3471" s="5" t="inlineStr">
        <is>
          <t>05 PREFORMED SEGMENTAL LININGS TO TUNNELS</t>
        </is>
      </c>
      <c r="E3471" s="5" t="inlineStr">
        <is>
          <t>Lining Ancillaries</t>
        </is>
      </c>
      <c r="F3471" s="5" t="inlineStr">
        <is>
          <t>preformed segment lining to tunels; ancillaries; grout behind lining</t>
        </is>
      </c>
      <c r="G3471" s="6" t="inlineStr">
        <is>
          <t>m3</t>
        </is>
      </c>
      <c r="H3471" s="7" t="n"/>
      <c r="I3471" s="8" t="n">
        <v>0</v>
      </c>
      <c r="J3471" s="8" t="n">
        <v>0</v>
      </c>
      <c r="K3471" s="8" t="n">
        <v>0</v>
      </c>
      <c r="L3471" s="8" t="n">
        <v>586.1900000000001</v>
      </c>
      <c r="M3471" s="9">
        <f>ROUND(SUM(I3471:L3471),2)</f>
        <v/>
      </c>
      <c r="N3471" s="10">
        <f>ROUND(I3471*'Irish Basis'!$C$6*'Irish Basis'!$C$5,2)</f>
        <v/>
      </c>
      <c r="O3471" s="10">
        <f>ROUND(J3471*'Irish Basis'!$C$7*'Irish Basis'!$C$5,2)</f>
        <v/>
      </c>
      <c r="P3471" s="10">
        <f>ROUND(K3471*'Irish Basis'!$C$8*'Irish Basis'!$C$5,2)</f>
        <v/>
      </c>
      <c r="Q3471" s="10">
        <f>ROUND(L3471*'Irish Basis'!$C$12*'Irish Basis'!$C$5,2)</f>
        <v/>
      </c>
      <c r="R3471" s="11">
        <f>ROUND(SUM(N3471:Q3471),2)</f>
        <v/>
      </c>
      <c r="S3471" s="5" t="inlineStr">
        <is>
          <t>All-in specialist rate</t>
        </is>
      </c>
      <c r="T3471" s="14" t="inlineStr">
        <is>
          <t>All-in (not split)</t>
        </is>
      </c>
      <c r="U3471" s="8" t="n">
        <v>586.1900000000001</v>
      </c>
      <c r="V3471" s="13">
        <f>IF(U3471="","",ROUND(M3471-U3471,2))</f>
        <v/>
      </c>
      <c r="W3471" s="5" t="n"/>
      <c r="X3471" s="5" t="inlineStr">
        <is>
          <t>Source publishes a specialist/sub-contract all-in rate; no labour/plant/material build-up exists to derive from.</t>
        </is>
      </c>
    </row>
    <row r="3472" ht="13" customHeight="1">
      <c r="A3472" s="4" t="n">
        <v>5292</v>
      </c>
      <c r="B3472" s="5" t="inlineStr">
        <is>
          <t>IMG_0138</t>
        </is>
      </c>
      <c r="C3472" s="5" t="inlineStr">
        <is>
          <t>CLASS T: TUNNELS</t>
        </is>
      </c>
      <c r="D3472" s="5" t="inlineStr">
        <is>
          <t>07 PREFORMED SEGMENTAL LININGS TO OTHER CAVITIES</t>
        </is>
      </c>
      <c r="E3472" s="5" t="inlineStr">
        <is>
          <t>Linings; Linings to tunnels</t>
        </is>
      </c>
      <c r="F3472" s="5" t="inlineStr">
        <is>
          <t>1.5 m int dia.; Ring 1.52 m ID x 1.77 m OD; 6 segments, maximum piece weigth 139 kg</t>
        </is>
      </c>
      <c r="G3472" s="6" t="inlineStr">
        <is>
          <t>nr</t>
        </is>
      </c>
      <c r="H3472" s="7" t="n"/>
      <c r="I3472" s="8" t="n">
        <v>0</v>
      </c>
      <c r="J3472" s="8" t="n">
        <v>0</v>
      </c>
      <c r="K3472" s="8" t="n">
        <v>0</v>
      </c>
      <c r="L3472" s="8" t="n">
        <v>1280.34</v>
      </c>
      <c r="M3472" s="9">
        <f>ROUND(SUM(I3472:L3472),2)</f>
        <v/>
      </c>
      <c r="N3472" s="10">
        <f>ROUND(I3472*'Irish Basis'!$C$6*'Irish Basis'!$C$5,2)</f>
        <v/>
      </c>
      <c r="O3472" s="10">
        <f>ROUND(J3472*'Irish Basis'!$C$7*'Irish Basis'!$C$5,2)</f>
        <v/>
      </c>
      <c r="P3472" s="10">
        <f>ROUND(K3472*'Irish Basis'!$C$8*'Irish Basis'!$C$5,2)</f>
        <v/>
      </c>
      <c r="Q3472" s="10">
        <f>ROUND(L3472*'Irish Basis'!$C$12*'Irish Basis'!$C$5,2)</f>
        <v/>
      </c>
      <c r="R3472" s="11">
        <f>ROUND(SUM(N3472:Q3472),2)</f>
        <v/>
      </c>
      <c r="S3472" s="5" t="inlineStr">
        <is>
          <t>All-in specialist rate</t>
        </is>
      </c>
      <c r="T3472" s="14" t="inlineStr">
        <is>
          <t>All-in (not split)</t>
        </is>
      </c>
      <c r="U3472" s="8" t="n">
        <v>1280.34</v>
      </c>
      <c r="V3472" s="13">
        <f>IF(U3472="","",ROUND(M3472-U3472,2))</f>
        <v/>
      </c>
      <c r="W3472" s="5" t="n"/>
      <c r="X3472" s="5" t="inlineStr">
        <is>
          <t>Source publishes a specialist/sub-contract all-in rate; no labour/plant/material build-up exists to derive from.</t>
        </is>
      </c>
    </row>
    <row r="3473" ht="13" customHeight="1">
      <c r="A3473" s="4" t="n">
        <v>5293</v>
      </c>
      <c r="B3473" s="5" t="inlineStr">
        <is>
          <t>IMG_0138</t>
        </is>
      </c>
      <c r="C3473" s="5" t="inlineStr">
        <is>
          <t>CLASS T: TUNNELS</t>
        </is>
      </c>
      <c r="D3473" s="5" t="inlineStr">
        <is>
          <t>07 PREFORMED SEGMENTAL LININGS TO OTHER CAVITIES</t>
        </is>
      </c>
      <c r="E3473" s="5" t="inlineStr">
        <is>
          <t>Linings; Linings to tunnels</t>
        </is>
      </c>
      <c r="F3473" s="5" t="inlineStr">
        <is>
          <t>3.0 m int dia.; Ring 3.05 m ID x 3.35 m OD; 7 segments, maximum piece weight 247 kg</t>
        </is>
      </c>
      <c r="G3473" s="6" t="inlineStr">
        <is>
          <t>nr</t>
        </is>
      </c>
      <c r="H3473" s="7" t="n"/>
      <c r="I3473" s="8" t="n">
        <v>0</v>
      </c>
      <c r="J3473" s="8" t="n">
        <v>0</v>
      </c>
      <c r="K3473" s="8" t="n">
        <v>0</v>
      </c>
      <c r="L3473" s="8" t="n">
        <v>2292.61</v>
      </c>
      <c r="M3473" s="9">
        <f>ROUND(SUM(I3473:L3473),2)</f>
        <v/>
      </c>
      <c r="N3473" s="10">
        <f>ROUND(I3473*'Irish Basis'!$C$6*'Irish Basis'!$C$5,2)</f>
        <v/>
      </c>
      <c r="O3473" s="10">
        <f>ROUND(J3473*'Irish Basis'!$C$7*'Irish Basis'!$C$5,2)</f>
        <v/>
      </c>
      <c r="P3473" s="10">
        <f>ROUND(K3473*'Irish Basis'!$C$8*'Irish Basis'!$C$5,2)</f>
        <v/>
      </c>
      <c r="Q3473" s="10">
        <f>ROUND(L3473*'Irish Basis'!$C$12*'Irish Basis'!$C$5,2)</f>
        <v/>
      </c>
      <c r="R3473" s="11">
        <f>ROUND(SUM(N3473:Q3473),2)</f>
        <v/>
      </c>
      <c r="S3473" s="5" t="inlineStr">
        <is>
          <t>All-in specialist rate</t>
        </is>
      </c>
      <c r="T3473" s="14" t="inlineStr">
        <is>
          <t>All-in (not split)</t>
        </is>
      </c>
      <c r="U3473" s="8" t="n">
        <v>2292.61</v>
      </c>
      <c r="V3473" s="13">
        <f>IF(U3473="","",ROUND(M3473-U3473,2))</f>
        <v/>
      </c>
      <c r="W3473" s="5" t="n"/>
      <c r="X3473" s="5" t="inlineStr">
        <is>
          <t>Source publishes a specialist/sub-contract all-in rate; no labour/plant/material build-up exists to derive from.</t>
        </is>
      </c>
    </row>
    <row r="3474" ht="13" customHeight="1">
      <c r="A3474" s="4" t="n">
        <v>5295</v>
      </c>
      <c r="B3474" s="5" t="inlineStr">
        <is>
          <t>IMG_0138</t>
        </is>
      </c>
      <c r="C3474" s="5" t="inlineStr">
        <is>
          <t>CLASS T: TUNNELS</t>
        </is>
      </c>
      <c r="D3474" s="5" t="inlineStr">
        <is>
          <t>07 PREFORMED SEGMENTAL LININGS TO OTHER CAVITIES</t>
        </is>
      </c>
      <c r="E3474" s="5" t="inlineStr">
        <is>
          <t>Linings to shafts</t>
        </is>
      </c>
      <c r="F3474" s="5" t="inlineStr">
        <is>
          <t>3.0 m int dia.; Ring 3.05 m ID x 3.35 m OD; 7 segments, maximum piece weight 247 kg</t>
        </is>
      </c>
      <c r="G3474" s="6" t="inlineStr">
        <is>
          <t>nr</t>
        </is>
      </c>
      <c r="H3474" s="7" t="n"/>
      <c r="I3474" s="8" t="n">
        <v>0</v>
      </c>
      <c r="J3474" s="8" t="n">
        <v>0</v>
      </c>
      <c r="K3474" s="8" t="n">
        <v>0</v>
      </c>
      <c r="L3474" s="8" t="n">
        <v>1814.28</v>
      </c>
      <c r="M3474" s="9">
        <f>ROUND(SUM(I3474:L3474),2)</f>
        <v/>
      </c>
      <c r="N3474" s="10">
        <f>ROUND(I3474*'Irish Basis'!$C$6*'Irish Basis'!$C$5,2)</f>
        <v/>
      </c>
      <c r="O3474" s="10">
        <f>ROUND(J3474*'Irish Basis'!$C$7*'Irish Basis'!$C$5,2)</f>
        <v/>
      </c>
      <c r="P3474" s="10">
        <f>ROUND(K3474*'Irish Basis'!$C$8*'Irish Basis'!$C$5,2)</f>
        <v/>
      </c>
      <c r="Q3474" s="10">
        <f>ROUND(L3474*'Irish Basis'!$C$12*'Irish Basis'!$C$5,2)</f>
        <v/>
      </c>
      <c r="R3474" s="11">
        <f>ROUND(SUM(N3474:Q3474),2)</f>
        <v/>
      </c>
      <c r="S3474" s="5" t="inlineStr">
        <is>
          <t>All-in specialist rate</t>
        </is>
      </c>
      <c r="T3474" s="14" t="inlineStr">
        <is>
          <t>All-in (not split)</t>
        </is>
      </c>
      <c r="U3474" s="8" t="n">
        <v>1814.28</v>
      </c>
      <c r="V3474" s="13">
        <f>IF(U3474="","",ROUND(M3474-U3474,2))</f>
        <v/>
      </c>
      <c r="W3474" s="5" t="n"/>
      <c r="X3474" s="5" t="inlineStr">
        <is>
          <t>Source publishes a specialist/sub-contract all-in rate; no labour/plant/material build-up exists to derive from.</t>
        </is>
      </c>
    </row>
    <row r="3475" ht="13" customHeight="1">
      <c r="A3475" s="4" t="n">
        <v>5297</v>
      </c>
      <c r="B3475" s="5" t="inlineStr">
        <is>
          <t>IMG_0138</t>
        </is>
      </c>
      <c r="C3475" s="5" t="inlineStr">
        <is>
          <t>CLASS T: TUNNELS</t>
        </is>
      </c>
      <c r="D3475" s="5" t="inlineStr">
        <is>
          <t>07 PREFORMED SEGMENTAL LININGS TO OTHER CAVITIES</t>
        </is>
      </c>
      <c r="E3475" s="5" t="inlineStr">
        <is>
          <t>Lining ancillaries; bitumen impregnated fibreboard; Parallel circumferential packing</t>
        </is>
      </c>
      <c r="F3475" s="5" t="inlineStr">
        <is>
          <t>1.5 m int dia.</t>
        </is>
      </c>
      <c r="G3475" s="6" t="inlineStr">
        <is>
          <t>nr</t>
        </is>
      </c>
      <c r="H3475" s="7" t="n"/>
      <c r="I3475" s="8" t="n">
        <v>0</v>
      </c>
      <c r="J3475" s="8" t="n">
        <v>0</v>
      </c>
      <c r="K3475" s="8" t="n">
        <v>0</v>
      </c>
      <c r="L3475" s="8" t="n">
        <v>10.96</v>
      </c>
      <c r="M3475" s="9">
        <f>ROUND(SUM(I3475:L3475),2)</f>
        <v/>
      </c>
      <c r="N3475" s="10">
        <f>ROUND(I3475*'Irish Basis'!$C$6*'Irish Basis'!$C$5,2)</f>
        <v/>
      </c>
      <c r="O3475" s="10">
        <f>ROUND(J3475*'Irish Basis'!$C$7*'Irish Basis'!$C$5,2)</f>
        <v/>
      </c>
      <c r="P3475" s="10">
        <f>ROUND(K3475*'Irish Basis'!$C$8*'Irish Basis'!$C$5,2)</f>
        <v/>
      </c>
      <c r="Q3475" s="10">
        <f>ROUND(L3475*'Irish Basis'!$C$12*'Irish Basis'!$C$5,2)</f>
        <v/>
      </c>
      <c r="R3475" s="11">
        <f>ROUND(SUM(N3475:Q3475),2)</f>
        <v/>
      </c>
      <c r="S3475" s="5" t="inlineStr">
        <is>
          <t>All-in specialist rate</t>
        </is>
      </c>
      <c r="T3475" s="14" t="inlineStr">
        <is>
          <t>All-in (not split)</t>
        </is>
      </c>
      <c r="U3475" s="8" t="n">
        <v>10.96</v>
      </c>
      <c r="V3475" s="13">
        <f>IF(U3475="","",ROUND(M3475-U3475,2))</f>
        <v/>
      </c>
      <c r="W3475" s="5" t="n"/>
      <c r="X3475" s="5" t="inlineStr">
        <is>
          <t>Source publishes a specialist/sub-contract all-in rate; no labour/plant/material build-up exists to derive from.</t>
        </is>
      </c>
    </row>
    <row r="3476" ht="13" customHeight="1">
      <c r="A3476" s="4" t="n">
        <v>5298</v>
      </c>
      <c r="B3476" s="5" t="inlineStr">
        <is>
          <t>IMG_0138</t>
        </is>
      </c>
      <c r="C3476" s="5" t="inlineStr">
        <is>
          <t>CLASS T: TUNNELS</t>
        </is>
      </c>
      <c r="D3476" s="5" t="inlineStr">
        <is>
          <t>07 PREFORMED SEGMENTAL LININGS TO OTHER CAVITIES</t>
        </is>
      </c>
      <c r="E3476" s="5" t="inlineStr">
        <is>
          <t>Lining ancillaries; bitumen impregnated fibreboard; Parallel circumferential packing</t>
        </is>
      </c>
      <c r="F3476" s="5" t="inlineStr">
        <is>
          <t>3.0 m int dia.</t>
        </is>
      </c>
      <c r="G3476" s="6" t="inlineStr">
        <is>
          <t>nr</t>
        </is>
      </c>
      <c r="H3476" s="7" t="n"/>
      <c r="I3476" s="8" t="n">
        <v>0</v>
      </c>
      <c r="J3476" s="8" t="n">
        <v>0</v>
      </c>
      <c r="K3476" s="8" t="n">
        <v>0</v>
      </c>
      <c r="L3476" s="8" t="n">
        <v>21.91</v>
      </c>
      <c r="M3476" s="9">
        <f>ROUND(SUM(I3476:L3476),2)</f>
        <v/>
      </c>
      <c r="N3476" s="10">
        <f>ROUND(I3476*'Irish Basis'!$C$6*'Irish Basis'!$C$5,2)</f>
        <v/>
      </c>
      <c r="O3476" s="10">
        <f>ROUND(J3476*'Irish Basis'!$C$7*'Irish Basis'!$C$5,2)</f>
        <v/>
      </c>
      <c r="P3476" s="10">
        <f>ROUND(K3476*'Irish Basis'!$C$8*'Irish Basis'!$C$5,2)</f>
        <v/>
      </c>
      <c r="Q3476" s="10">
        <f>ROUND(L3476*'Irish Basis'!$C$12*'Irish Basis'!$C$5,2)</f>
        <v/>
      </c>
      <c r="R3476" s="11">
        <f>ROUND(SUM(N3476:Q3476),2)</f>
        <v/>
      </c>
      <c r="S3476" s="5" t="inlineStr">
        <is>
          <t>All-in specialist rate</t>
        </is>
      </c>
      <c r="T3476" s="14" t="inlineStr">
        <is>
          <t>All-in (not split)</t>
        </is>
      </c>
      <c r="U3476" s="8" t="n">
        <v>21.91</v>
      </c>
      <c r="V3476" s="13">
        <f>IF(U3476="","",ROUND(M3476-U3476,2))</f>
        <v/>
      </c>
      <c r="W3476" s="5" t="n"/>
      <c r="X3476" s="5" t="inlineStr">
        <is>
          <t>Source publishes a specialist/sub-contract all-in rate; no labour/plant/material build-up exists to derive from.</t>
        </is>
      </c>
    </row>
    <row r="3477" ht="13" customHeight="1">
      <c r="A3477" s="4" t="n">
        <v>5300</v>
      </c>
      <c r="B3477" s="5" t="inlineStr">
        <is>
          <t>IMG_0138</t>
        </is>
      </c>
      <c r="C3477" s="5" t="inlineStr">
        <is>
          <t>CLASS T: TUNNELS</t>
        </is>
      </c>
      <c r="D3477" s="5" t="inlineStr">
        <is>
          <t>07 PREFORMED SEGMENTAL LININGS TO OTHER CAVITIES</t>
        </is>
      </c>
      <c r="E3477" s="5" t="inlineStr">
        <is>
          <t>Lining ancillaries; PC4 AF caulking compound; Caulking</t>
        </is>
      </c>
      <c r="F3477" s="5" t="inlineStr">
        <is>
          <t>1.5 m int dia.</t>
        </is>
      </c>
      <c r="G3477" s="6" t="inlineStr">
        <is>
          <t>m</t>
        </is>
      </c>
      <c r="H3477" s="7" t="n"/>
      <c r="I3477" s="8" t="n">
        <v>0</v>
      </c>
      <c r="J3477" s="8" t="n">
        <v>0</v>
      </c>
      <c r="K3477" s="8" t="n">
        <v>0</v>
      </c>
      <c r="L3477" s="8" t="n">
        <v>19.89</v>
      </c>
      <c r="M3477" s="9">
        <f>ROUND(SUM(I3477:L3477),2)</f>
        <v/>
      </c>
      <c r="N3477" s="10">
        <f>ROUND(I3477*'Irish Basis'!$C$6*'Irish Basis'!$C$5,2)</f>
        <v/>
      </c>
      <c r="O3477" s="10">
        <f>ROUND(J3477*'Irish Basis'!$C$7*'Irish Basis'!$C$5,2)</f>
        <v/>
      </c>
      <c r="P3477" s="10">
        <f>ROUND(K3477*'Irish Basis'!$C$8*'Irish Basis'!$C$5,2)</f>
        <v/>
      </c>
      <c r="Q3477" s="10">
        <f>ROUND(L3477*'Irish Basis'!$C$12*'Irish Basis'!$C$5,2)</f>
        <v/>
      </c>
      <c r="R3477" s="11">
        <f>ROUND(SUM(N3477:Q3477),2)</f>
        <v/>
      </c>
      <c r="S3477" s="5" t="inlineStr">
        <is>
          <t>All-in specialist rate</t>
        </is>
      </c>
      <c r="T3477" s="14" t="inlineStr">
        <is>
          <t>All-in (not split)</t>
        </is>
      </c>
      <c r="U3477" s="8" t="n">
        <v>19.89</v>
      </c>
      <c r="V3477" s="13">
        <f>IF(U3477="","",ROUND(M3477-U3477,2))</f>
        <v/>
      </c>
      <c r="W3477" s="5" t="n"/>
      <c r="X3477" s="5" t="inlineStr">
        <is>
          <t>Source publishes a specialist/sub-contract all-in rate; no labour/plant/material build-up exists to derive from.</t>
        </is>
      </c>
    </row>
    <row r="3478" ht="13" customHeight="1">
      <c r="A3478" s="4" t="n">
        <v>5301</v>
      </c>
      <c r="B3478" s="5" t="inlineStr">
        <is>
          <t>IMG_0138</t>
        </is>
      </c>
      <c r="C3478" s="5" t="inlineStr">
        <is>
          <t>CLASS T: TUNNELS</t>
        </is>
      </c>
      <c r="D3478" s="5" t="inlineStr">
        <is>
          <t>07 PREFORMED SEGMENTAL LININGS TO OTHER CAVITIES</t>
        </is>
      </c>
      <c r="E3478" s="5" t="inlineStr">
        <is>
          <t>Lining ancillaries; PC4 AF caulking compound; Caulking</t>
        </is>
      </c>
      <c r="F3478" s="5" t="inlineStr">
        <is>
          <t>3.0 m int dia.</t>
        </is>
      </c>
      <c r="G3478" s="6" t="inlineStr">
        <is>
          <t>m</t>
        </is>
      </c>
      <c r="H3478" s="7" t="n"/>
      <c r="I3478" s="8" t="n">
        <v>0</v>
      </c>
      <c r="J3478" s="8" t="n">
        <v>0</v>
      </c>
      <c r="K3478" s="8" t="n">
        <v>0</v>
      </c>
      <c r="L3478" s="8" t="n">
        <v>19.91</v>
      </c>
      <c r="M3478" s="9">
        <f>ROUND(SUM(I3478:L3478),2)</f>
        <v/>
      </c>
      <c r="N3478" s="10">
        <f>ROUND(I3478*'Irish Basis'!$C$6*'Irish Basis'!$C$5,2)</f>
        <v/>
      </c>
      <c r="O3478" s="10">
        <f>ROUND(J3478*'Irish Basis'!$C$7*'Irish Basis'!$C$5,2)</f>
        <v/>
      </c>
      <c r="P3478" s="10">
        <f>ROUND(K3478*'Irish Basis'!$C$8*'Irish Basis'!$C$5,2)</f>
        <v/>
      </c>
      <c r="Q3478" s="10">
        <f>ROUND(L3478*'Irish Basis'!$C$12*'Irish Basis'!$C$5,2)</f>
        <v/>
      </c>
      <c r="R3478" s="11">
        <f>ROUND(SUM(N3478:Q3478),2)</f>
        <v/>
      </c>
      <c r="S3478" s="5" t="inlineStr">
        <is>
          <t>All-in specialist rate</t>
        </is>
      </c>
      <c r="T3478" s="14" t="inlineStr">
        <is>
          <t>All-in (not split)</t>
        </is>
      </c>
      <c r="U3478" s="8" t="n">
        <v>19.91</v>
      </c>
      <c r="V3478" s="13">
        <f>IF(U3478="","",ROUND(M3478-U3478,2))</f>
        <v/>
      </c>
      <c r="W3478" s="5" t="n"/>
      <c r="X3478" s="5" t="inlineStr">
        <is>
          <t>Source publishes a specialist/sub-contract all-in rate; no labour/plant/material build-up exists to derive from.</t>
        </is>
      </c>
    </row>
    <row r="3479" ht="13" customHeight="1">
      <c r="A3479" s="4" t="n">
        <v>5305</v>
      </c>
      <c r="B3479" s="5" t="inlineStr">
        <is>
          <t>IMG_0138</t>
        </is>
      </c>
      <c r="C3479" s="5" t="inlineStr">
        <is>
          <t>CLASS T: TUNNELS</t>
        </is>
      </c>
      <c r="D3479" s="5" t="inlineStr">
        <is>
          <t>08 SUPPORT AND STABILIZATION</t>
        </is>
      </c>
      <c r="E3479" s="5" t="inlineStr">
        <is>
          <t>Rock bolts</t>
        </is>
      </c>
      <c r="F3479" s="5" t="inlineStr">
        <is>
          <t>mechanical</t>
        </is>
      </c>
      <c r="G3479" s="6" t="inlineStr">
        <is>
          <t>m</t>
        </is>
      </c>
      <c r="H3479" s="7" t="n"/>
      <c r="I3479" s="8" t="n">
        <v>0</v>
      </c>
      <c r="J3479" s="8" t="n">
        <v>0</v>
      </c>
      <c r="K3479" s="8" t="n">
        <v>0</v>
      </c>
      <c r="L3479" s="8" t="n">
        <v>50.34</v>
      </c>
      <c r="M3479" s="9">
        <f>ROUND(SUM(I3479:L3479),2)</f>
        <v/>
      </c>
      <c r="N3479" s="10">
        <f>ROUND(I3479*'Irish Basis'!$C$6*'Irish Basis'!$C$5,2)</f>
        <v/>
      </c>
      <c r="O3479" s="10">
        <f>ROUND(J3479*'Irish Basis'!$C$7*'Irish Basis'!$C$5,2)</f>
        <v/>
      </c>
      <c r="P3479" s="10">
        <f>ROUND(K3479*'Irish Basis'!$C$8*'Irish Basis'!$C$5,2)</f>
        <v/>
      </c>
      <c r="Q3479" s="10">
        <f>ROUND(L3479*'Irish Basis'!$C$12*'Irish Basis'!$C$5,2)</f>
        <v/>
      </c>
      <c r="R3479" s="11">
        <f>ROUND(SUM(N3479:Q3479),2)</f>
        <v/>
      </c>
      <c r="S3479" s="5" t="inlineStr">
        <is>
          <t>All-in specialist rate</t>
        </is>
      </c>
      <c r="T3479" s="14" t="inlineStr">
        <is>
          <t>All-in (not split)</t>
        </is>
      </c>
      <c r="U3479" s="8" t="n">
        <v>50.34</v>
      </c>
      <c r="V3479" s="13">
        <f>IF(U3479="","",ROUND(M3479-U3479,2))</f>
        <v/>
      </c>
      <c r="W3479" s="5" t="n"/>
      <c r="X3479" s="5" t="inlineStr">
        <is>
          <t>Source publishes a specialist/sub-contract all-in rate; no labour/plant/material build-up exists to derive from.</t>
        </is>
      </c>
    </row>
    <row r="3480" ht="13" customHeight="1">
      <c r="A3480" s="4" t="n">
        <v>5306</v>
      </c>
      <c r="B3480" s="5" t="inlineStr">
        <is>
          <t>IMG_0138</t>
        </is>
      </c>
      <c r="C3480" s="5" t="inlineStr">
        <is>
          <t>CLASS T: TUNNELS</t>
        </is>
      </c>
      <c r="D3480" s="5" t="inlineStr">
        <is>
          <t>08 SUPPORT AND STABILIZATION</t>
        </is>
      </c>
      <c r="E3480" s="5" t="inlineStr">
        <is>
          <t>Rock bolts</t>
        </is>
      </c>
      <c r="F3480" s="5" t="inlineStr">
        <is>
          <t>mechanical grouted</t>
        </is>
      </c>
      <c r="G3480" s="6" t="inlineStr">
        <is>
          <t>m</t>
        </is>
      </c>
      <c r="H3480" s="7" t="n"/>
      <c r="I3480" s="8" t="n">
        <v>0</v>
      </c>
      <c r="J3480" s="8" t="n">
        <v>0</v>
      </c>
      <c r="K3480" s="8" t="n">
        <v>0</v>
      </c>
      <c r="L3480" s="8" t="n">
        <v>78.56</v>
      </c>
      <c r="M3480" s="9">
        <f>ROUND(SUM(I3480:L3480),2)</f>
        <v/>
      </c>
      <c r="N3480" s="10">
        <f>ROUND(I3480*'Irish Basis'!$C$6*'Irish Basis'!$C$5,2)</f>
        <v/>
      </c>
      <c r="O3480" s="10">
        <f>ROUND(J3480*'Irish Basis'!$C$7*'Irish Basis'!$C$5,2)</f>
        <v/>
      </c>
      <c r="P3480" s="10">
        <f>ROUND(K3480*'Irish Basis'!$C$8*'Irish Basis'!$C$5,2)</f>
        <v/>
      </c>
      <c r="Q3480" s="10">
        <f>ROUND(L3480*'Irish Basis'!$C$12*'Irish Basis'!$C$5,2)</f>
        <v/>
      </c>
      <c r="R3480" s="11">
        <f>ROUND(SUM(N3480:Q3480),2)</f>
        <v/>
      </c>
      <c r="S3480" s="5" t="inlineStr">
        <is>
          <t>All-in specialist rate</t>
        </is>
      </c>
      <c r="T3480" s="14" t="inlineStr">
        <is>
          <t>All-in (not split)</t>
        </is>
      </c>
      <c r="U3480" s="8" t="n">
        <v>78.56</v>
      </c>
      <c r="V3480" s="13">
        <f>IF(U3480="","",ROUND(M3480-U3480,2))</f>
        <v/>
      </c>
      <c r="W3480" s="5" t="n"/>
      <c r="X3480" s="5" t="inlineStr">
        <is>
          <t>Source publishes a specialist/sub-contract all-in rate; no labour/plant/material build-up exists to derive from.</t>
        </is>
      </c>
    </row>
    <row r="3481" ht="13" customHeight="1">
      <c r="A3481" s="4" t="n">
        <v>5307</v>
      </c>
      <c r="B3481" s="5" t="inlineStr">
        <is>
          <t>IMG_0138</t>
        </is>
      </c>
      <c r="C3481" s="5" t="inlineStr">
        <is>
          <t>CLASS T: TUNNELS</t>
        </is>
      </c>
      <c r="D3481" s="5" t="inlineStr">
        <is>
          <t>08 SUPPORT AND STABILIZATION</t>
        </is>
      </c>
      <c r="E3481" s="5" t="inlineStr">
        <is>
          <t>Rock bolts</t>
        </is>
      </c>
      <c r="F3481" s="5" t="inlineStr">
        <is>
          <t>pre-grouted impacted</t>
        </is>
      </c>
      <c r="G3481" s="6" t="inlineStr">
        <is>
          <t>m</t>
        </is>
      </c>
      <c r="H3481" s="7" t="n"/>
      <c r="I3481" s="8" t="n">
        <v>0</v>
      </c>
      <c r="J3481" s="8" t="n">
        <v>0</v>
      </c>
      <c r="K3481" s="8" t="n">
        <v>0</v>
      </c>
      <c r="L3481" s="8" t="n">
        <v>74.78</v>
      </c>
      <c r="M3481" s="9">
        <f>ROUND(SUM(I3481:L3481),2)</f>
        <v/>
      </c>
      <c r="N3481" s="10">
        <f>ROUND(I3481*'Irish Basis'!$C$6*'Irish Basis'!$C$5,2)</f>
        <v/>
      </c>
      <c r="O3481" s="10">
        <f>ROUND(J3481*'Irish Basis'!$C$7*'Irish Basis'!$C$5,2)</f>
        <v/>
      </c>
      <c r="P3481" s="10">
        <f>ROUND(K3481*'Irish Basis'!$C$8*'Irish Basis'!$C$5,2)</f>
        <v/>
      </c>
      <c r="Q3481" s="10">
        <f>ROUND(L3481*'Irish Basis'!$C$12*'Irish Basis'!$C$5,2)</f>
        <v/>
      </c>
      <c r="R3481" s="11">
        <f>ROUND(SUM(N3481:Q3481),2)</f>
        <v/>
      </c>
      <c r="S3481" s="5" t="inlineStr">
        <is>
          <t>All-in specialist rate</t>
        </is>
      </c>
      <c r="T3481" s="14" t="inlineStr">
        <is>
          <t>All-in (not split)</t>
        </is>
      </c>
      <c r="U3481" s="8" t="n">
        <v>74.78</v>
      </c>
      <c r="V3481" s="13">
        <f>IF(U3481="","",ROUND(M3481-U3481,2))</f>
        <v/>
      </c>
      <c r="W3481" s="5" t="n"/>
      <c r="X3481" s="5" t="inlineStr">
        <is>
          <t>Source publishes a specialist/sub-contract all-in rate; no labour/plant/material build-up exists to derive from.</t>
        </is>
      </c>
    </row>
    <row r="3482" ht="13" customHeight="1">
      <c r="A3482" s="4" t="n">
        <v>5308</v>
      </c>
      <c r="B3482" s="5" t="inlineStr">
        <is>
          <t>IMG_0138</t>
        </is>
      </c>
      <c r="C3482" s="5" t="inlineStr">
        <is>
          <t>CLASS T: TUNNELS</t>
        </is>
      </c>
      <c r="D3482" s="5" t="inlineStr">
        <is>
          <t>08 SUPPORT AND STABILIZATION</t>
        </is>
      </c>
      <c r="E3482" s="5" t="inlineStr">
        <is>
          <t>Rock bolts</t>
        </is>
      </c>
      <c r="F3482" s="5" t="inlineStr">
        <is>
          <t>chemical end anchor</t>
        </is>
      </c>
      <c r="G3482" s="6" t="inlineStr">
        <is>
          <t>m</t>
        </is>
      </c>
      <c r="H3482" s="7" t="n"/>
      <c r="I3482" s="8" t="n">
        <v>0</v>
      </c>
      <c r="J3482" s="8" t="n">
        <v>0</v>
      </c>
      <c r="K3482" s="8" t="n">
        <v>0</v>
      </c>
      <c r="L3482" s="8" t="n">
        <v>75.59999999999999</v>
      </c>
      <c r="M3482" s="9">
        <f>ROUND(SUM(I3482:L3482),2)</f>
        <v/>
      </c>
      <c r="N3482" s="10">
        <f>ROUND(I3482*'Irish Basis'!$C$6*'Irish Basis'!$C$5,2)</f>
        <v/>
      </c>
      <c r="O3482" s="10">
        <f>ROUND(J3482*'Irish Basis'!$C$7*'Irish Basis'!$C$5,2)</f>
        <v/>
      </c>
      <c r="P3482" s="10">
        <f>ROUND(K3482*'Irish Basis'!$C$8*'Irish Basis'!$C$5,2)</f>
        <v/>
      </c>
      <c r="Q3482" s="10">
        <f>ROUND(L3482*'Irish Basis'!$C$12*'Irish Basis'!$C$5,2)</f>
        <v/>
      </c>
      <c r="R3482" s="11">
        <f>ROUND(SUM(N3482:Q3482),2)</f>
        <v/>
      </c>
      <c r="S3482" s="5" t="inlineStr">
        <is>
          <t>All-in specialist rate</t>
        </is>
      </c>
      <c r="T3482" s="14" t="inlineStr">
        <is>
          <t>All-in (not split)</t>
        </is>
      </c>
      <c r="U3482" s="8" t="n">
        <v>75.59999999999999</v>
      </c>
      <c r="V3482" s="13">
        <f>IF(U3482="","",ROUND(M3482-U3482,2))</f>
        <v/>
      </c>
      <c r="W3482" s="5" t="n"/>
      <c r="X3482" s="5" t="inlineStr">
        <is>
          <t>Source publishes a specialist/sub-contract all-in rate; no labour/plant/material build-up exists to derive from.</t>
        </is>
      </c>
    </row>
    <row r="3483" ht="13" customHeight="1">
      <c r="A3483" s="4" t="n">
        <v>5309</v>
      </c>
      <c r="B3483" s="5" t="inlineStr">
        <is>
          <t>IMG_0138</t>
        </is>
      </c>
      <c r="C3483" s="5" t="inlineStr">
        <is>
          <t>CLASS T: TUNNELS</t>
        </is>
      </c>
      <c r="D3483" s="5" t="inlineStr">
        <is>
          <t>08 SUPPORT AND STABILIZATION</t>
        </is>
      </c>
      <c r="E3483" s="5" t="inlineStr">
        <is>
          <t>Rock bolts</t>
        </is>
      </c>
      <c r="F3483" s="5" t="inlineStr">
        <is>
          <t>chemical grouted</t>
        </is>
      </c>
      <c r="G3483" s="6" t="inlineStr">
        <is>
          <t>m</t>
        </is>
      </c>
      <c r="H3483" s="7" t="n"/>
      <c r="I3483" s="8" t="n">
        <v>0</v>
      </c>
      <c r="J3483" s="8" t="n">
        <v>0</v>
      </c>
      <c r="K3483" s="8" t="n">
        <v>0</v>
      </c>
      <c r="L3483" s="8" t="n">
        <v>53.79</v>
      </c>
      <c r="M3483" s="9">
        <f>ROUND(SUM(I3483:L3483),2)</f>
        <v/>
      </c>
      <c r="N3483" s="10">
        <f>ROUND(I3483*'Irish Basis'!$C$6*'Irish Basis'!$C$5,2)</f>
        <v/>
      </c>
      <c r="O3483" s="10">
        <f>ROUND(J3483*'Irish Basis'!$C$7*'Irish Basis'!$C$5,2)</f>
        <v/>
      </c>
      <c r="P3483" s="10">
        <f>ROUND(K3483*'Irish Basis'!$C$8*'Irish Basis'!$C$5,2)</f>
        <v/>
      </c>
      <c r="Q3483" s="10">
        <f>ROUND(L3483*'Irish Basis'!$C$12*'Irish Basis'!$C$5,2)</f>
        <v/>
      </c>
      <c r="R3483" s="11">
        <f>ROUND(SUM(N3483:Q3483),2)</f>
        <v/>
      </c>
      <c r="S3483" s="5" t="inlineStr">
        <is>
          <t>All-in specialist rate</t>
        </is>
      </c>
      <c r="T3483" s="14" t="inlineStr">
        <is>
          <t>All-in (not split)</t>
        </is>
      </c>
      <c r="U3483" s="8" t="n">
        <v>53.79</v>
      </c>
      <c r="V3483" s="13">
        <f>IF(U3483="","",ROUND(M3483-U3483,2))</f>
        <v/>
      </c>
      <c r="W3483" s="5" t="n"/>
      <c r="X3483" s="5" t="inlineStr">
        <is>
          <t>Source publishes a specialist/sub-contract all-in rate; no labour/plant/material build-up exists to derive from.</t>
        </is>
      </c>
    </row>
    <row r="3484" ht="13" customHeight="1">
      <c r="A3484" s="4" t="n">
        <v>5310</v>
      </c>
      <c r="B3484" s="5" t="inlineStr">
        <is>
          <t>IMG_0138</t>
        </is>
      </c>
      <c r="C3484" s="5" t="inlineStr">
        <is>
          <t>CLASS T: TUNNELS</t>
        </is>
      </c>
      <c r="D3484" s="5" t="inlineStr">
        <is>
          <t>08 SUPPORT AND STABILIZATION</t>
        </is>
      </c>
      <c r="E3484" s="5" t="inlineStr">
        <is>
          <t>Rock bolts</t>
        </is>
      </c>
      <c r="F3484" s="5" t="inlineStr">
        <is>
          <t>chemically filled</t>
        </is>
      </c>
      <c r="G3484" s="6" t="inlineStr">
        <is>
          <t>m</t>
        </is>
      </c>
      <c r="H3484" s="7" t="n"/>
      <c r="I3484" s="8" t="n">
        <v>0</v>
      </c>
      <c r="J3484" s="8" t="n">
        <v>0</v>
      </c>
      <c r="K3484" s="8" t="n">
        <v>0</v>
      </c>
      <c r="L3484" s="8" t="n">
        <v>84.56999999999999</v>
      </c>
      <c r="M3484" s="9">
        <f>ROUND(SUM(I3484:L3484),2)</f>
        <v/>
      </c>
      <c r="N3484" s="10">
        <f>ROUND(I3484*'Irish Basis'!$C$6*'Irish Basis'!$C$5,2)</f>
        <v/>
      </c>
      <c r="O3484" s="10">
        <f>ROUND(J3484*'Irish Basis'!$C$7*'Irish Basis'!$C$5,2)</f>
        <v/>
      </c>
      <c r="P3484" s="10">
        <f>ROUND(K3484*'Irish Basis'!$C$8*'Irish Basis'!$C$5,2)</f>
        <v/>
      </c>
      <c r="Q3484" s="10">
        <f>ROUND(L3484*'Irish Basis'!$C$12*'Irish Basis'!$C$5,2)</f>
        <v/>
      </c>
      <c r="R3484" s="11">
        <f>ROUND(SUM(N3484:Q3484),2)</f>
        <v/>
      </c>
      <c r="S3484" s="5" t="inlineStr">
        <is>
          <t>All-in specialist rate</t>
        </is>
      </c>
      <c r="T3484" s="14" t="inlineStr">
        <is>
          <t>All-in (not split)</t>
        </is>
      </c>
      <c r="U3484" s="8" t="n">
        <v>84.56999999999999</v>
      </c>
      <c r="V3484" s="13">
        <f>IF(U3484="","",ROUND(M3484-U3484,2))</f>
        <v/>
      </c>
      <c r="W3484" s="5" t="n"/>
      <c r="X3484" s="5" t="inlineStr">
        <is>
          <t>Source publishes a specialist/sub-contract all-in rate; no labour/plant/material build-up exists to derive from.</t>
        </is>
      </c>
    </row>
    <row r="3485" ht="13" customHeight="1">
      <c r="A3485" s="4" t="n">
        <v>5312</v>
      </c>
      <c r="B3485" s="5" t="inlineStr">
        <is>
          <t>IMG_0138</t>
        </is>
      </c>
      <c r="C3485" s="5" t="inlineStr">
        <is>
          <t>CLASS T: TUNNELS</t>
        </is>
      </c>
      <c r="D3485" s="5" t="inlineStr">
        <is>
          <t>08 SUPPORT AND STABILIZATION</t>
        </is>
      </c>
      <c r="E3485" s="5" t="inlineStr">
        <is>
          <t>Internal support</t>
        </is>
      </c>
      <c r="F3485" s="5" t="inlineStr">
        <is>
          <t>steel arches; supply</t>
        </is>
      </c>
      <c r="G3485" s="6" t="inlineStr">
        <is>
          <t>t</t>
        </is>
      </c>
      <c r="H3485" s="7" t="n"/>
      <c r="I3485" s="8" t="n">
        <v>0</v>
      </c>
      <c r="J3485" s="8" t="n">
        <v>0</v>
      </c>
      <c r="K3485" s="8" t="n">
        <v>0</v>
      </c>
      <c r="L3485" s="8" t="n">
        <v>2211.4</v>
      </c>
      <c r="M3485" s="9">
        <f>ROUND(SUM(I3485:L3485),2)</f>
        <v/>
      </c>
      <c r="N3485" s="10">
        <f>ROUND(I3485*'Irish Basis'!$C$6*'Irish Basis'!$C$5,2)</f>
        <v/>
      </c>
      <c r="O3485" s="10">
        <f>ROUND(J3485*'Irish Basis'!$C$7*'Irish Basis'!$C$5,2)</f>
        <v/>
      </c>
      <c r="P3485" s="10">
        <f>ROUND(K3485*'Irish Basis'!$C$8*'Irish Basis'!$C$5,2)</f>
        <v/>
      </c>
      <c r="Q3485" s="10">
        <f>ROUND(L3485*'Irish Basis'!$C$12*'Irish Basis'!$C$5,2)</f>
        <v/>
      </c>
      <c r="R3485" s="11">
        <f>ROUND(SUM(N3485:Q3485),2)</f>
        <v/>
      </c>
      <c r="S3485" s="5" t="inlineStr">
        <is>
          <t>All-in specialist rate</t>
        </is>
      </c>
      <c r="T3485" s="14" t="inlineStr">
        <is>
          <t>All-in (not split)</t>
        </is>
      </c>
      <c r="U3485" s="8" t="n">
        <v>2211.4</v>
      </c>
      <c r="V3485" s="13">
        <f>IF(U3485="","",ROUND(M3485-U3485,2))</f>
        <v/>
      </c>
      <c r="W3485" s="5" t="n"/>
      <c r="X3485" s="5" t="inlineStr">
        <is>
          <t>Source publishes a specialist/sub-contract all-in rate; no labour/plant/material build-up exists to derive from.</t>
        </is>
      </c>
    </row>
    <row r="3486" ht="13" customHeight="1">
      <c r="A3486" s="4" t="n">
        <v>5313</v>
      </c>
      <c r="B3486" s="5" t="inlineStr">
        <is>
          <t>IMG_0138</t>
        </is>
      </c>
      <c r="C3486" s="5" t="inlineStr">
        <is>
          <t>CLASS T: TUNNELS</t>
        </is>
      </c>
      <c r="D3486" s="5" t="inlineStr">
        <is>
          <t>08 SUPPORT AND STABILIZATION</t>
        </is>
      </c>
      <c r="E3486" s="5" t="inlineStr">
        <is>
          <t>Internal support</t>
        </is>
      </c>
      <c r="F3486" s="5" t="inlineStr">
        <is>
          <t>steel arches; erection</t>
        </is>
      </c>
      <c r="G3486" s="6" t="inlineStr">
        <is>
          <t>t</t>
        </is>
      </c>
      <c r="H3486" s="7" t="n"/>
      <c r="I3486" s="8" t="n">
        <v>0</v>
      </c>
      <c r="J3486" s="8" t="n">
        <v>0</v>
      </c>
      <c r="K3486" s="8" t="n">
        <v>0</v>
      </c>
      <c r="L3486" s="8" t="n">
        <v>911.41</v>
      </c>
      <c r="M3486" s="9">
        <f>ROUND(SUM(I3486:L3486),2)</f>
        <v/>
      </c>
      <c r="N3486" s="10">
        <f>ROUND(I3486*'Irish Basis'!$C$6*'Irish Basis'!$C$5,2)</f>
        <v/>
      </c>
      <c r="O3486" s="10">
        <f>ROUND(J3486*'Irish Basis'!$C$7*'Irish Basis'!$C$5,2)</f>
        <v/>
      </c>
      <c r="P3486" s="10">
        <f>ROUND(K3486*'Irish Basis'!$C$8*'Irish Basis'!$C$5,2)</f>
        <v/>
      </c>
      <c r="Q3486" s="10">
        <f>ROUND(L3486*'Irish Basis'!$C$12*'Irish Basis'!$C$5,2)</f>
        <v/>
      </c>
      <c r="R3486" s="11">
        <f>ROUND(SUM(N3486:Q3486),2)</f>
        <v/>
      </c>
      <c r="S3486" s="5" t="inlineStr">
        <is>
          <t>All-in specialist rate</t>
        </is>
      </c>
      <c r="T3486" s="14" t="inlineStr">
        <is>
          <t>All-in (not split)</t>
        </is>
      </c>
      <c r="U3486" s="8" t="n">
        <v>911.41</v>
      </c>
      <c r="V3486" s="13">
        <f>IF(U3486="","",ROUND(M3486-U3486,2))</f>
        <v/>
      </c>
      <c r="W3486" s="5" t="n"/>
      <c r="X3486" s="5" t="inlineStr">
        <is>
          <t>Source publishes a specialist/sub-contract all-in rate; no labour/plant/material build-up exists to derive from.</t>
        </is>
      </c>
    </row>
    <row r="3487" ht="13" customHeight="1">
      <c r="A3487" s="4" t="n">
        <v>5314</v>
      </c>
      <c r="B3487" s="5" t="inlineStr">
        <is>
          <t>IMG_0138</t>
        </is>
      </c>
      <c r="C3487" s="5" t="inlineStr">
        <is>
          <t>CLASS T: TUNNELS</t>
        </is>
      </c>
      <c r="D3487" s="5" t="inlineStr">
        <is>
          <t>08 SUPPORT AND STABILIZATION</t>
        </is>
      </c>
      <c r="E3487" s="5" t="inlineStr">
        <is>
          <t>Internal support</t>
        </is>
      </c>
      <c r="F3487" s="5" t="inlineStr">
        <is>
          <t>timber supports; supply</t>
        </is>
      </c>
      <c r="G3487" s="6" t="inlineStr">
        <is>
          <t>m3</t>
        </is>
      </c>
      <c r="H3487" s="7" t="n"/>
      <c r="I3487" s="8" t="n">
        <v>0</v>
      </c>
      <c r="J3487" s="8" t="n">
        <v>0</v>
      </c>
      <c r="K3487" s="8" t="n">
        <v>0</v>
      </c>
      <c r="L3487" s="8" t="n">
        <v>644</v>
      </c>
      <c r="M3487" s="9">
        <f>ROUND(SUM(I3487:L3487),2)</f>
        <v/>
      </c>
      <c r="N3487" s="10">
        <f>ROUND(I3487*'Irish Basis'!$C$6*'Irish Basis'!$C$5,2)</f>
        <v/>
      </c>
      <c r="O3487" s="10">
        <f>ROUND(J3487*'Irish Basis'!$C$7*'Irish Basis'!$C$5,2)</f>
        <v/>
      </c>
      <c r="P3487" s="10">
        <f>ROUND(K3487*'Irish Basis'!$C$8*'Irish Basis'!$C$5,2)</f>
        <v/>
      </c>
      <c r="Q3487" s="10">
        <f>ROUND(L3487*'Irish Basis'!$C$12*'Irish Basis'!$C$5,2)</f>
        <v/>
      </c>
      <c r="R3487" s="11">
        <f>ROUND(SUM(N3487:Q3487),2)</f>
        <v/>
      </c>
      <c r="S3487" s="5" t="inlineStr">
        <is>
          <t>All-in specialist rate</t>
        </is>
      </c>
      <c r="T3487" s="14" t="inlineStr">
        <is>
          <t>All-in (not split)</t>
        </is>
      </c>
      <c r="U3487" s="8" t="n">
        <v>644</v>
      </c>
      <c r="V3487" s="13">
        <f>IF(U3487="","",ROUND(M3487-U3487,2))</f>
        <v/>
      </c>
      <c r="W3487" s="5" t="n"/>
      <c r="X3487" s="5" t="inlineStr">
        <is>
          <t>Source publishes a specialist/sub-contract all-in rate; no labour/plant/material build-up exists to derive from.</t>
        </is>
      </c>
    </row>
    <row r="3488" ht="13" customHeight="1">
      <c r="A3488" s="4" t="n">
        <v>5315</v>
      </c>
      <c r="B3488" s="5" t="inlineStr">
        <is>
          <t>IMG_0138</t>
        </is>
      </c>
      <c r="C3488" s="5" t="inlineStr">
        <is>
          <t>CLASS T: TUNNELS</t>
        </is>
      </c>
      <c r="D3488" s="5" t="inlineStr">
        <is>
          <t>08 SUPPORT AND STABILIZATION</t>
        </is>
      </c>
      <c r="E3488" s="5" t="inlineStr">
        <is>
          <t>Internal support</t>
        </is>
      </c>
      <c r="F3488" s="5" t="inlineStr">
        <is>
          <t>timber supports; erection</t>
        </is>
      </c>
      <c r="G3488" s="6" t="inlineStr">
        <is>
          <t>m3</t>
        </is>
      </c>
      <c r="H3488" s="7" t="n"/>
      <c r="I3488" s="8" t="n">
        <v>0</v>
      </c>
      <c r="J3488" s="8" t="n">
        <v>0</v>
      </c>
      <c r="K3488" s="8" t="n">
        <v>0</v>
      </c>
      <c r="L3488" s="8" t="n">
        <v>580.02</v>
      </c>
      <c r="M3488" s="9">
        <f>ROUND(SUM(I3488:L3488),2)</f>
        <v/>
      </c>
      <c r="N3488" s="10">
        <f>ROUND(I3488*'Irish Basis'!$C$6*'Irish Basis'!$C$5,2)</f>
        <v/>
      </c>
      <c r="O3488" s="10">
        <f>ROUND(J3488*'Irish Basis'!$C$7*'Irish Basis'!$C$5,2)</f>
        <v/>
      </c>
      <c r="P3488" s="10">
        <f>ROUND(K3488*'Irish Basis'!$C$8*'Irish Basis'!$C$5,2)</f>
        <v/>
      </c>
      <c r="Q3488" s="10">
        <f>ROUND(L3488*'Irish Basis'!$C$12*'Irish Basis'!$C$5,2)</f>
        <v/>
      </c>
      <c r="R3488" s="11">
        <f>ROUND(SUM(N3488:Q3488),2)</f>
        <v/>
      </c>
      <c r="S3488" s="5" t="inlineStr">
        <is>
          <t>All-in specialist rate</t>
        </is>
      </c>
      <c r="T3488" s="14" t="inlineStr">
        <is>
          <t>All-in (not split)</t>
        </is>
      </c>
      <c r="U3488" s="8" t="n">
        <v>580.02</v>
      </c>
      <c r="V3488" s="13">
        <f>IF(U3488="","",ROUND(M3488-U3488,2))</f>
        <v/>
      </c>
      <c r="W3488" s="5" t="n"/>
      <c r="X3488" s="5" t="inlineStr">
        <is>
          <t>Source publishes a specialist/sub-contract all-in rate; no labour/plant/material build-up exists to derive from.</t>
        </is>
      </c>
    </row>
    <row r="3489" ht="13" customHeight="1">
      <c r="A3489" s="4" t="n">
        <v>5316</v>
      </c>
      <c r="B3489" s="5" t="inlineStr">
        <is>
          <t>IMG_0138</t>
        </is>
      </c>
      <c r="C3489" s="5" t="inlineStr">
        <is>
          <t>CLASS T: TUNNELS</t>
        </is>
      </c>
      <c r="D3489" s="5" t="inlineStr">
        <is>
          <t>08 SUPPORT AND STABILIZATION</t>
        </is>
      </c>
      <c r="E3489" s="5" t="inlineStr">
        <is>
          <t>Internal support</t>
        </is>
      </c>
      <c r="F3489" s="5" t="inlineStr">
        <is>
          <t>lagging</t>
        </is>
      </c>
      <c r="G3489" s="6" t="inlineStr">
        <is>
          <t>m2</t>
        </is>
      </c>
      <c r="H3489" s="7" t="n"/>
      <c r="I3489" s="8" t="n">
        <v>0</v>
      </c>
      <c r="J3489" s="8" t="n">
        <v>0</v>
      </c>
      <c r="K3489" s="8" t="n">
        <v>0</v>
      </c>
      <c r="L3489" s="8" t="n">
        <v>46.2</v>
      </c>
      <c r="M3489" s="9">
        <f>ROUND(SUM(I3489:L3489),2)</f>
        <v/>
      </c>
      <c r="N3489" s="10">
        <f>ROUND(I3489*'Irish Basis'!$C$6*'Irish Basis'!$C$5,2)</f>
        <v/>
      </c>
      <c r="O3489" s="10">
        <f>ROUND(J3489*'Irish Basis'!$C$7*'Irish Basis'!$C$5,2)</f>
        <v/>
      </c>
      <c r="P3489" s="10">
        <f>ROUND(K3489*'Irish Basis'!$C$8*'Irish Basis'!$C$5,2)</f>
        <v/>
      </c>
      <c r="Q3489" s="10">
        <f>ROUND(L3489*'Irish Basis'!$C$12*'Irish Basis'!$C$5,2)</f>
        <v/>
      </c>
      <c r="R3489" s="11">
        <f>ROUND(SUM(N3489:Q3489),2)</f>
        <v/>
      </c>
      <c r="S3489" s="5" t="inlineStr">
        <is>
          <t>All-in specialist rate</t>
        </is>
      </c>
      <c r="T3489" s="14" t="inlineStr">
        <is>
          <t>All-in (not split)</t>
        </is>
      </c>
      <c r="U3489" s="8" t="n">
        <v>46.2</v>
      </c>
      <c r="V3489" s="13">
        <f>IF(U3489="","",ROUND(M3489-U3489,2))</f>
        <v/>
      </c>
      <c r="W3489" s="5" t="n"/>
      <c r="X3489" s="5" t="inlineStr">
        <is>
          <t>Source publishes a specialist/sub-contract all-in rate; no labour/plant/material build-up exists to derive from.</t>
        </is>
      </c>
    </row>
    <row r="3490" ht="13" customHeight="1">
      <c r="A3490" s="4" t="n">
        <v>5317</v>
      </c>
      <c r="B3490" s="5" t="inlineStr">
        <is>
          <t>IMG_0138</t>
        </is>
      </c>
      <c r="C3490" s="5" t="inlineStr">
        <is>
          <t>CLASS T: TUNNELS</t>
        </is>
      </c>
      <c r="D3490" s="5" t="inlineStr">
        <is>
          <t>08 SUPPORT AND STABILIZATION</t>
        </is>
      </c>
      <c r="E3490" s="5" t="inlineStr">
        <is>
          <t>Internal support</t>
        </is>
      </c>
      <c r="F3490" s="5" t="inlineStr">
        <is>
          <t>sprayed concrete</t>
        </is>
      </c>
      <c r="G3490" s="6" t="inlineStr">
        <is>
          <t>m2</t>
        </is>
      </c>
      <c r="H3490" s="7" t="n"/>
      <c r="I3490" s="8" t="n">
        <v>0</v>
      </c>
      <c r="J3490" s="8" t="n">
        <v>0</v>
      </c>
      <c r="K3490" s="8" t="n">
        <v>0</v>
      </c>
      <c r="L3490" s="8" t="n">
        <v>52.9</v>
      </c>
      <c r="M3490" s="9">
        <f>ROUND(SUM(I3490:L3490),2)</f>
        <v/>
      </c>
      <c r="N3490" s="10">
        <f>ROUND(I3490*'Irish Basis'!$C$6*'Irish Basis'!$C$5,2)</f>
        <v/>
      </c>
      <c r="O3490" s="10">
        <f>ROUND(J3490*'Irish Basis'!$C$7*'Irish Basis'!$C$5,2)</f>
        <v/>
      </c>
      <c r="P3490" s="10">
        <f>ROUND(K3490*'Irish Basis'!$C$8*'Irish Basis'!$C$5,2)</f>
        <v/>
      </c>
      <c r="Q3490" s="10">
        <f>ROUND(L3490*'Irish Basis'!$C$12*'Irish Basis'!$C$5,2)</f>
        <v/>
      </c>
      <c r="R3490" s="11">
        <f>ROUND(SUM(N3490:Q3490),2)</f>
        <v/>
      </c>
      <c r="S3490" s="5" t="inlineStr">
        <is>
          <t>All-in specialist rate</t>
        </is>
      </c>
      <c r="T3490" s="14" t="inlineStr">
        <is>
          <t>All-in (not split)</t>
        </is>
      </c>
      <c r="U3490" s="8" t="n">
        <v>52.9</v>
      </c>
      <c r="V3490" s="13">
        <f>IF(U3490="","",ROUND(M3490-U3490,2))</f>
        <v/>
      </c>
      <c r="W3490" s="5" t="n"/>
      <c r="X3490" s="5" t="inlineStr">
        <is>
          <t>Source publishes a specialist/sub-contract all-in rate; no labour/plant/material build-up exists to derive from.</t>
        </is>
      </c>
    </row>
    <row r="3491" ht="13" customHeight="1">
      <c r="A3491" s="4" t="n">
        <v>5318</v>
      </c>
      <c r="B3491" s="5" t="inlineStr">
        <is>
          <t>IMG_0138</t>
        </is>
      </c>
      <c r="C3491" s="5" t="inlineStr">
        <is>
          <t>CLASS T: TUNNELS</t>
        </is>
      </c>
      <c r="D3491" s="5" t="inlineStr">
        <is>
          <t>08 SUPPORT AND STABILIZATION</t>
        </is>
      </c>
      <c r="E3491" s="5" t="inlineStr">
        <is>
          <t>Internal support</t>
        </is>
      </c>
      <c r="F3491" s="5" t="inlineStr">
        <is>
          <t>mesh or link</t>
        </is>
      </c>
      <c r="G3491" s="6" t="inlineStr">
        <is>
          <t>m2</t>
        </is>
      </c>
      <c r="H3491" s="7" t="n"/>
      <c r="I3491" s="8" t="n">
        <v>0</v>
      </c>
      <c r="J3491" s="8" t="n">
        <v>0</v>
      </c>
      <c r="K3491" s="8" t="n">
        <v>0</v>
      </c>
      <c r="L3491" s="8" t="n">
        <v>17.06</v>
      </c>
      <c r="M3491" s="9">
        <f>ROUND(SUM(I3491:L3491),2)</f>
        <v/>
      </c>
      <c r="N3491" s="10">
        <f>ROUND(I3491*'Irish Basis'!$C$6*'Irish Basis'!$C$5,2)</f>
        <v/>
      </c>
      <c r="O3491" s="10">
        <f>ROUND(J3491*'Irish Basis'!$C$7*'Irish Basis'!$C$5,2)</f>
        <v/>
      </c>
      <c r="P3491" s="10">
        <f>ROUND(K3491*'Irish Basis'!$C$8*'Irish Basis'!$C$5,2)</f>
        <v/>
      </c>
      <c r="Q3491" s="10">
        <f>ROUND(L3491*'Irish Basis'!$C$12*'Irish Basis'!$C$5,2)</f>
        <v/>
      </c>
      <c r="R3491" s="11">
        <f>ROUND(SUM(N3491:Q3491),2)</f>
        <v/>
      </c>
      <c r="S3491" s="5" t="inlineStr">
        <is>
          <t>All-in specialist rate</t>
        </is>
      </c>
      <c r="T3491" s="14" t="inlineStr">
        <is>
          <t>All-in (not split)</t>
        </is>
      </c>
      <c r="U3491" s="8" t="n">
        <v>17.06</v>
      </c>
      <c r="V3491" s="13">
        <f>IF(U3491="","",ROUND(M3491-U3491,2))</f>
        <v/>
      </c>
      <c r="W3491" s="5" t="n"/>
      <c r="X3491" s="5" t="inlineStr">
        <is>
          <t>Source publishes a specialist/sub-contract all-in rate; no labour/plant/material build-up exists to derive from.</t>
        </is>
      </c>
    </row>
    <row r="3492" ht="13" customHeight="1">
      <c r="A3492" s="4" t="n">
        <v>5320</v>
      </c>
      <c r="B3492" s="5" t="inlineStr">
        <is>
          <t>IMG_0138</t>
        </is>
      </c>
      <c r="C3492" s="5" t="inlineStr">
        <is>
          <t>CLASS T: TUNNELS</t>
        </is>
      </c>
      <c r="D3492" s="5" t="inlineStr">
        <is>
          <t>08 SUPPORT AND STABILIZATION</t>
        </is>
      </c>
      <c r="E3492" s="5" t="inlineStr">
        <is>
          <t>Pressure grouting</t>
        </is>
      </c>
      <c r="F3492" s="5" t="inlineStr">
        <is>
          <t>sets of drilling and grouting plant</t>
        </is>
      </c>
      <c r="G3492" s="6" t="inlineStr">
        <is>
          <t>nr</t>
        </is>
      </c>
      <c r="H3492" s="7" t="n"/>
      <c r="I3492" s="8" t="n">
        <v>0</v>
      </c>
      <c r="J3492" s="8" t="n">
        <v>0</v>
      </c>
      <c r="K3492" s="8" t="n">
        <v>0</v>
      </c>
      <c r="L3492" s="8" t="n">
        <v>2423.38</v>
      </c>
      <c r="M3492" s="9">
        <f>ROUND(SUM(I3492:L3492),2)</f>
        <v/>
      </c>
      <c r="N3492" s="10">
        <f>ROUND(I3492*'Irish Basis'!$C$6*'Irish Basis'!$C$5,2)</f>
        <v/>
      </c>
      <c r="O3492" s="10">
        <f>ROUND(J3492*'Irish Basis'!$C$7*'Irish Basis'!$C$5,2)</f>
        <v/>
      </c>
      <c r="P3492" s="10">
        <f>ROUND(K3492*'Irish Basis'!$C$8*'Irish Basis'!$C$5,2)</f>
        <v/>
      </c>
      <c r="Q3492" s="10">
        <f>ROUND(L3492*'Irish Basis'!$C$12*'Irish Basis'!$C$5,2)</f>
        <v/>
      </c>
      <c r="R3492" s="11">
        <f>ROUND(SUM(N3492:Q3492),2)</f>
        <v/>
      </c>
      <c r="S3492" s="5" t="inlineStr">
        <is>
          <t>All-in specialist rate</t>
        </is>
      </c>
      <c r="T3492" s="14" t="inlineStr">
        <is>
          <t>All-in (not split)</t>
        </is>
      </c>
      <c r="U3492" s="8" t="n">
        <v>2423.38</v>
      </c>
      <c r="V3492" s="13">
        <f>IF(U3492="","",ROUND(M3492-U3492,2))</f>
        <v/>
      </c>
      <c r="W3492" s="5" t="n"/>
      <c r="X3492" s="5" t="inlineStr">
        <is>
          <t>Source publishes a specialist/sub-contract all-in rate; no labour/plant/material build-up exists to derive from.</t>
        </is>
      </c>
    </row>
    <row r="3493" ht="13" customHeight="1">
      <c r="A3493" s="4" t="n">
        <v>5321</v>
      </c>
      <c r="B3493" s="5" t="inlineStr">
        <is>
          <t>IMG_0138</t>
        </is>
      </c>
      <c r="C3493" s="5" t="inlineStr">
        <is>
          <t>CLASS T: TUNNELS</t>
        </is>
      </c>
      <c r="D3493" s="5" t="inlineStr">
        <is>
          <t>08 SUPPORT AND STABILIZATION</t>
        </is>
      </c>
      <c r="E3493" s="5" t="inlineStr">
        <is>
          <t>Pressure grouting</t>
        </is>
      </c>
      <c r="F3493" s="5" t="inlineStr">
        <is>
          <t>face packers</t>
        </is>
      </c>
      <c r="G3493" s="6" t="inlineStr">
        <is>
          <t>nr</t>
        </is>
      </c>
      <c r="H3493" s="7" t="n"/>
      <c r="I3493" s="8" t="n">
        <v>0</v>
      </c>
      <c r="J3493" s="8" t="n">
        <v>0</v>
      </c>
      <c r="K3493" s="8" t="n">
        <v>0</v>
      </c>
      <c r="L3493" s="8" t="n">
        <v>107.36</v>
      </c>
      <c r="M3493" s="9">
        <f>ROUND(SUM(I3493:L3493),2)</f>
        <v/>
      </c>
      <c r="N3493" s="10">
        <f>ROUND(I3493*'Irish Basis'!$C$6*'Irish Basis'!$C$5,2)</f>
        <v/>
      </c>
      <c r="O3493" s="10">
        <f>ROUND(J3493*'Irish Basis'!$C$7*'Irish Basis'!$C$5,2)</f>
        <v/>
      </c>
      <c r="P3493" s="10">
        <f>ROUND(K3493*'Irish Basis'!$C$8*'Irish Basis'!$C$5,2)</f>
        <v/>
      </c>
      <c r="Q3493" s="10">
        <f>ROUND(L3493*'Irish Basis'!$C$12*'Irish Basis'!$C$5,2)</f>
        <v/>
      </c>
      <c r="R3493" s="11">
        <f>ROUND(SUM(N3493:Q3493),2)</f>
        <v/>
      </c>
      <c r="S3493" s="5" t="inlineStr">
        <is>
          <t>All-in specialist rate</t>
        </is>
      </c>
      <c r="T3493" s="14" t="inlineStr">
        <is>
          <t>All-in (not split)</t>
        </is>
      </c>
      <c r="U3493" s="8" t="n">
        <v>107.36</v>
      </c>
      <c r="V3493" s="13">
        <f>IF(U3493="","",ROUND(M3493-U3493,2))</f>
        <v/>
      </c>
      <c r="W3493" s="5" t="n"/>
      <c r="X3493" s="5" t="inlineStr">
        <is>
          <t>Source publishes a specialist/sub-contract all-in rate; no labour/plant/material build-up exists to derive from.</t>
        </is>
      </c>
    </row>
    <row r="3494" ht="13" customHeight="1">
      <c r="A3494" s="4" t="n">
        <v>5322</v>
      </c>
      <c r="B3494" s="5" t="inlineStr">
        <is>
          <t>IMG_0138</t>
        </is>
      </c>
      <c r="C3494" s="5" t="inlineStr">
        <is>
          <t>CLASS T: TUNNELS</t>
        </is>
      </c>
      <c r="D3494" s="5" t="inlineStr">
        <is>
          <t>08 SUPPORT AND STABILIZATION</t>
        </is>
      </c>
      <c r="E3494" s="5" t="inlineStr">
        <is>
          <t>Pressure grouting</t>
        </is>
      </c>
      <c r="F3494" s="5" t="inlineStr">
        <is>
          <t>deep packers</t>
        </is>
      </c>
      <c r="G3494" s="6" t="inlineStr">
        <is>
          <t>nr</t>
        </is>
      </c>
      <c r="H3494" s="7" t="n"/>
      <c r="I3494" s="8" t="n">
        <v>0</v>
      </c>
      <c r="J3494" s="8" t="n">
        <v>0</v>
      </c>
      <c r="K3494" s="8" t="n">
        <v>0</v>
      </c>
      <c r="L3494" s="8" t="n">
        <v>184.14</v>
      </c>
      <c r="M3494" s="9">
        <f>ROUND(SUM(I3494:L3494),2)</f>
        <v/>
      </c>
      <c r="N3494" s="10">
        <f>ROUND(I3494*'Irish Basis'!$C$6*'Irish Basis'!$C$5,2)</f>
        <v/>
      </c>
      <c r="O3494" s="10">
        <f>ROUND(J3494*'Irish Basis'!$C$7*'Irish Basis'!$C$5,2)</f>
        <v/>
      </c>
      <c r="P3494" s="10">
        <f>ROUND(K3494*'Irish Basis'!$C$8*'Irish Basis'!$C$5,2)</f>
        <v/>
      </c>
      <c r="Q3494" s="10">
        <f>ROUND(L3494*'Irish Basis'!$C$12*'Irish Basis'!$C$5,2)</f>
        <v/>
      </c>
      <c r="R3494" s="11">
        <f>ROUND(SUM(N3494:Q3494),2)</f>
        <v/>
      </c>
      <c r="S3494" s="5" t="inlineStr">
        <is>
          <t>All-in specialist rate</t>
        </is>
      </c>
      <c r="T3494" s="14" t="inlineStr">
        <is>
          <t>All-in (not split)</t>
        </is>
      </c>
      <c r="U3494" s="8" t="n">
        <v>184.14</v>
      </c>
      <c r="V3494" s="13">
        <f>IF(U3494="","",ROUND(M3494-U3494,2))</f>
        <v/>
      </c>
      <c r="W3494" s="5" t="n"/>
      <c r="X3494" s="5" t="inlineStr">
        <is>
          <t>Source publishes a specialist/sub-contract all-in rate; no labour/plant/material build-up exists to derive from.</t>
        </is>
      </c>
    </row>
    <row r="3495" ht="13" customHeight="1">
      <c r="A3495" s="4" t="n">
        <v>5323</v>
      </c>
      <c r="B3495" s="5" t="inlineStr">
        <is>
          <t>IMG_0138</t>
        </is>
      </c>
      <c r="C3495" s="5" t="inlineStr">
        <is>
          <t>CLASS T: TUNNELS</t>
        </is>
      </c>
      <c r="D3495" s="5" t="inlineStr">
        <is>
          <t>08 SUPPORT AND STABILIZATION</t>
        </is>
      </c>
      <c r="E3495" s="5" t="inlineStr">
        <is>
          <t>Pressure grouting</t>
        </is>
      </c>
      <c r="F3495" s="5" t="inlineStr">
        <is>
          <t>drilling and flushing to 40 mm dia.</t>
        </is>
      </c>
      <c r="G3495" s="6" t="inlineStr">
        <is>
          <t>m</t>
        </is>
      </c>
      <c r="H3495" s="7" t="n"/>
      <c r="I3495" s="8" t="n">
        <v>0</v>
      </c>
      <c r="J3495" s="8" t="n">
        <v>0</v>
      </c>
      <c r="K3495" s="8" t="n">
        <v>0</v>
      </c>
      <c r="L3495" s="8" t="n">
        <v>52.51</v>
      </c>
      <c r="M3495" s="9">
        <f>ROUND(SUM(I3495:L3495),2)</f>
        <v/>
      </c>
      <c r="N3495" s="10">
        <f>ROUND(I3495*'Irish Basis'!$C$6*'Irish Basis'!$C$5,2)</f>
        <v/>
      </c>
      <c r="O3495" s="10">
        <f>ROUND(J3495*'Irish Basis'!$C$7*'Irish Basis'!$C$5,2)</f>
        <v/>
      </c>
      <c r="P3495" s="10">
        <f>ROUND(K3495*'Irish Basis'!$C$8*'Irish Basis'!$C$5,2)</f>
        <v/>
      </c>
      <c r="Q3495" s="10">
        <f>ROUND(L3495*'Irish Basis'!$C$12*'Irish Basis'!$C$5,2)</f>
        <v/>
      </c>
      <c r="R3495" s="11">
        <f>ROUND(SUM(N3495:Q3495),2)</f>
        <v/>
      </c>
      <c r="S3495" s="5" t="inlineStr">
        <is>
          <t>All-in specialist rate</t>
        </is>
      </c>
      <c r="T3495" s="14" t="inlineStr">
        <is>
          <t>All-in (not split)</t>
        </is>
      </c>
      <c r="U3495" s="8" t="n">
        <v>52.51</v>
      </c>
      <c r="V3495" s="13">
        <f>IF(U3495="","",ROUND(M3495-U3495,2))</f>
        <v/>
      </c>
      <c r="W3495" s="5" t="n"/>
      <c r="X3495" s="5" t="inlineStr">
        <is>
          <t>Source publishes a specialist/sub-contract all-in rate; no labour/plant/material build-up exists to derive from.</t>
        </is>
      </c>
    </row>
    <row r="3496" ht="13" customHeight="1">
      <c r="A3496" s="4" t="n">
        <v>5324</v>
      </c>
      <c r="B3496" s="5" t="inlineStr">
        <is>
          <t>IMG_0138</t>
        </is>
      </c>
      <c r="C3496" s="5" t="inlineStr">
        <is>
          <t>CLASS T: TUNNELS</t>
        </is>
      </c>
      <c r="D3496" s="5" t="inlineStr">
        <is>
          <t>08 SUPPORT AND STABILIZATION</t>
        </is>
      </c>
      <c r="E3496" s="5" t="inlineStr">
        <is>
          <t>Pressure grouting</t>
        </is>
      </c>
      <c r="F3496" s="5" t="inlineStr">
        <is>
          <t>re-drilling and flushing</t>
        </is>
      </c>
      <c r="G3496" s="6" t="inlineStr">
        <is>
          <t>m</t>
        </is>
      </c>
      <c r="H3496" s="7" t="n"/>
      <c r="I3496" s="8" t="n">
        <v>0</v>
      </c>
      <c r="J3496" s="8" t="n">
        <v>0</v>
      </c>
      <c r="K3496" s="8" t="n">
        <v>0</v>
      </c>
      <c r="L3496" s="8" t="n">
        <v>32.28</v>
      </c>
      <c r="M3496" s="9">
        <f>ROUND(SUM(I3496:L3496),2)</f>
        <v/>
      </c>
      <c r="N3496" s="10">
        <f>ROUND(I3496*'Irish Basis'!$C$6*'Irish Basis'!$C$5,2)</f>
        <v/>
      </c>
      <c r="O3496" s="10">
        <f>ROUND(J3496*'Irish Basis'!$C$7*'Irish Basis'!$C$5,2)</f>
        <v/>
      </c>
      <c r="P3496" s="10">
        <f>ROUND(K3496*'Irish Basis'!$C$8*'Irish Basis'!$C$5,2)</f>
        <v/>
      </c>
      <c r="Q3496" s="10">
        <f>ROUND(L3496*'Irish Basis'!$C$12*'Irish Basis'!$C$5,2)</f>
        <v/>
      </c>
      <c r="R3496" s="11">
        <f>ROUND(SUM(N3496:Q3496),2)</f>
        <v/>
      </c>
      <c r="S3496" s="5" t="inlineStr">
        <is>
          <t>All-in specialist rate</t>
        </is>
      </c>
      <c r="T3496" s="14" t="inlineStr">
        <is>
          <t>All-in (not split)</t>
        </is>
      </c>
      <c r="U3496" s="8" t="n">
        <v>32.28</v>
      </c>
      <c r="V3496" s="13">
        <f>IF(U3496="","",ROUND(M3496-U3496,2))</f>
        <v/>
      </c>
      <c r="W3496" s="5" t="n"/>
      <c r="X3496" s="5" t="inlineStr">
        <is>
          <t>Source publishes a specialist/sub-contract all-in rate; no labour/plant/material build-up exists to derive from.</t>
        </is>
      </c>
    </row>
    <row r="3497" ht="13" customHeight="1">
      <c r="A3497" s="4" t="n">
        <v>5325</v>
      </c>
      <c r="B3497" s="5" t="inlineStr">
        <is>
          <t>IMG_0138</t>
        </is>
      </c>
      <c r="C3497" s="5" t="inlineStr">
        <is>
          <t>CLASS T: TUNNELS</t>
        </is>
      </c>
      <c r="D3497" s="5" t="inlineStr">
        <is>
          <t>08 SUPPORT AND STABILIZATION</t>
        </is>
      </c>
      <c r="E3497" s="5" t="inlineStr">
        <is>
          <t>Pressure grouting</t>
        </is>
      </c>
      <c r="F3497" s="5" t="inlineStr">
        <is>
          <t>injection of grout materials; chemical grout</t>
        </is>
      </c>
      <c r="G3497" s="6" t="inlineStr">
        <is>
          <t>t</t>
        </is>
      </c>
      <c r="H3497" s="7" t="n"/>
      <c r="I3497" s="8" t="n">
        <v>0</v>
      </c>
      <c r="J3497" s="8" t="n">
        <v>0</v>
      </c>
      <c r="K3497" s="8" t="n">
        <v>0</v>
      </c>
      <c r="L3497" s="8" t="n">
        <v>1288.88</v>
      </c>
      <c r="M3497" s="9">
        <f>ROUND(SUM(I3497:L3497),2)</f>
        <v/>
      </c>
      <c r="N3497" s="10">
        <f>ROUND(I3497*'Irish Basis'!$C$6*'Irish Basis'!$C$5,2)</f>
        <v/>
      </c>
      <c r="O3497" s="10">
        <f>ROUND(J3497*'Irish Basis'!$C$7*'Irish Basis'!$C$5,2)</f>
        <v/>
      </c>
      <c r="P3497" s="10">
        <f>ROUND(K3497*'Irish Basis'!$C$8*'Irish Basis'!$C$5,2)</f>
        <v/>
      </c>
      <c r="Q3497" s="10">
        <f>ROUND(L3497*'Irish Basis'!$C$12*'Irish Basis'!$C$5,2)</f>
        <v/>
      </c>
      <c r="R3497" s="11">
        <f>ROUND(SUM(N3497:Q3497),2)</f>
        <v/>
      </c>
      <c r="S3497" s="5" t="inlineStr">
        <is>
          <t>All-in specialist rate</t>
        </is>
      </c>
      <c r="T3497" s="14" t="inlineStr">
        <is>
          <t>All-in (not split)</t>
        </is>
      </c>
      <c r="U3497" s="8" t="n">
        <v>1288.88</v>
      </c>
      <c r="V3497" s="13">
        <f>IF(U3497="","",ROUND(M3497-U3497,2))</f>
        <v/>
      </c>
      <c r="W3497" s="5" t="n"/>
      <c r="X3497" s="5" t="inlineStr">
        <is>
          <t>Source publishes a specialist/sub-contract all-in rate; no labour/plant/material build-up exists to derive from.</t>
        </is>
      </c>
    </row>
    <row r="3498" ht="13" customHeight="1">
      <c r="A3498" s="4" t="n">
        <v>5326</v>
      </c>
      <c r="B3498" s="5" t="inlineStr">
        <is>
          <t>IMG_0138</t>
        </is>
      </c>
      <c r="C3498" s="5" t="inlineStr">
        <is>
          <t>CLASS T: TUNNELS</t>
        </is>
      </c>
      <c r="D3498" s="5" t="inlineStr">
        <is>
          <t>08 SUPPORT AND STABILIZATION</t>
        </is>
      </c>
      <c r="E3498" s="5" t="inlineStr">
        <is>
          <t>Pressure grouting</t>
        </is>
      </c>
      <c r="F3498" s="5" t="inlineStr">
        <is>
          <t>Forward probing</t>
        </is>
      </c>
      <c r="G3498" s="6" t="inlineStr">
        <is>
          <t>m</t>
        </is>
      </c>
      <c r="H3498" s="7" t="n"/>
      <c r="I3498" s="8" t="n">
        <v>0</v>
      </c>
      <c r="J3498" s="8" t="n">
        <v>0</v>
      </c>
      <c r="K3498" s="8" t="n">
        <v>0</v>
      </c>
      <c r="L3498" s="8" t="n">
        <v>43.96</v>
      </c>
      <c r="M3498" s="9">
        <f>ROUND(SUM(I3498:L3498),2)</f>
        <v/>
      </c>
      <c r="N3498" s="10">
        <f>ROUND(I3498*'Irish Basis'!$C$6*'Irish Basis'!$C$5,2)</f>
        <v/>
      </c>
      <c r="O3498" s="10">
        <f>ROUND(J3498*'Irish Basis'!$C$7*'Irish Basis'!$C$5,2)</f>
        <v/>
      </c>
      <c r="P3498" s="10">
        <f>ROUND(K3498*'Irish Basis'!$C$8*'Irish Basis'!$C$5,2)</f>
        <v/>
      </c>
      <c r="Q3498" s="10">
        <f>ROUND(L3498*'Irish Basis'!$C$12*'Irish Basis'!$C$5,2)</f>
        <v/>
      </c>
      <c r="R3498" s="11">
        <f>ROUND(SUM(N3498:Q3498),2)</f>
        <v/>
      </c>
      <c r="S3498" s="5" t="inlineStr">
        <is>
          <t>All-in specialist rate</t>
        </is>
      </c>
      <c r="T3498" s="14" t="inlineStr">
        <is>
          <t>All-in (not split)</t>
        </is>
      </c>
      <c r="U3498" s="8" t="n">
        <v>43.96</v>
      </c>
      <c r="V3498" s="13">
        <f>IF(U3498="","",ROUND(M3498-U3498,2))</f>
        <v/>
      </c>
      <c r="W3498" s="5" t="n"/>
      <c r="X3498" s="5" t="inlineStr">
        <is>
          <t>Source publishes a specialist/sub-contract all-in rate; no labour/plant/material build-up exists to derive from.</t>
        </is>
      </c>
    </row>
    <row r="3499" ht="13" customHeight="1">
      <c r="A3499" s="4" t="n">
        <v>5329</v>
      </c>
      <c r="B3499" s="5" t="inlineStr">
        <is>
          <t>IMG_0138</t>
        </is>
      </c>
      <c r="C3499" s="5" t="inlineStr">
        <is>
          <t>CLASS T: TUNNELS</t>
        </is>
      </c>
      <c r="D3499" s="5" t="inlineStr">
        <is>
          <t>09 VIADUCTS</t>
        </is>
      </c>
      <c r="E3499" s="5" t="inlineStr">
        <is>
          <t>Viaduct; Segmental units</t>
        </is>
      </c>
      <c r="F3499" s="5" t="inlineStr">
        <is>
          <t>Segmental units; - Mass 1-2 tonne; precast concrete retaining wall average height 1.50 m</t>
        </is>
      </c>
      <c r="G3499" s="6" t="inlineStr">
        <is>
          <t>nr</t>
        </is>
      </c>
      <c r="H3499" s="7" t="n"/>
      <c r="I3499" s="8" t="n">
        <v>0</v>
      </c>
      <c r="J3499" s="8" t="n">
        <v>0</v>
      </c>
      <c r="K3499" s="8" t="n">
        <v>0</v>
      </c>
      <c r="L3499" s="8" t="n">
        <v>4251.79</v>
      </c>
      <c r="M3499" s="9">
        <f>ROUND(SUM(I3499:L3499),2)</f>
        <v/>
      </c>
      <c r="N3499" s="10">
        <f>ROUND(I3499*'Irish Basis'!$C$6*'Irish Basis'!$C$5,2)</f>
        <v/>
      </c>
      <c r="O3499" s="10">
        <f>ROUND(J3499*'Irish Basis'!$C$7*'Irish Basis'!$C$5,2)</f>
        <v/>
      </c>
      <c r="P3499" s="10">
        <f>ROUND(K3499*'Irish Basis'!$C$8*'Irish Basis'!$C$5,2)</f>
        <v/>
      </c>
      <c r="Q3499" s="10">
        <f>ROUND(L3499*'Irish Basis'!$C$12*'Irish Basis'!$C$5,2)</f>
        <v/>
      </c>
      <c r="R3499" s="11">
        <f>ROUND(SUM(N3499:Q3499),2)</f>
        <v/>
      </c>
      <c r="S3499" s="5" t="inlineStr">
        <is>
          <t>All-in specialist rate</t>
        </is>
      </c>
      <c r="T3499" s="14" t="inlineStr">
        <is>
          <t>All-in (not split)</t>
        </is>
      </c>
      <c r="U3499" s="8" t="n">
        <v>4251.79</v>
      </c>
      <c r="V3499" s="13">
        <f>IF(U3499="","",ROUND(M3499-U3499,2))</f>
        <v/>
      </c>
      <c r="W3499" s="5" t="n"/>
      <c r="X3499" s="5" t="inlineStr">
        <is>
          <t>Source publishes a specialist/sub-contract all-in rate; no labour/plant/material build-up exists to derive from.</t>
        </is>
      </c>
    </row>
    <row r="3500" ht="13" customHeight="1">
      <c r="A3500" s="4" t="n">
        <v>5331</v>
      </c>
      <c r="B3500" s="5" t="inlineStr">
        <is>
          <t>IMG_0138</t>
        </is>
      </c>
      <c r="C3500" s="5" t="inlineStr">
        <is>
          <t>CLASS T: TUNNELS</t>
        </is>
      </c>
      <c r="D3500" s="5" t="inlineStr">
        <is>
          <t>09 VIADUCTS</t>
        </is>
      </c>
      <c r="E3500" s="5" t="inlineStr">
        <is>
          <t>Fabrication and erection</t>
        </is>
      </c>
      <c r="F3500" s="5" t="inlineStr">
        <is>
          <t>Handrails</t>
        </is>
      </c>
      <c r="G3500" s="6" t="inlineStr">
        <is>
          <t>m</t>
        </is>
      </c>
      <c r="H3500" s="7" t="n"/>
      <c r="I3500" s="8" t="n">
        <v>0</v>
      </c>
      <c r="J3500" s="8" t="n">
        <v>0</v>
      </c>
      <c r="K3500" s="8" t="n">
        <v>0</v>
      </c>
      <c r="L3500" s="8" t="n">
        <v>191.78</v>
      </c>
      <c r="M3500" s="9">
        <f>ROUND(SUM(I3500:L3500),2)</f>
        <v/>
      </c>
      <c r="N3500" s="10">
        <f>ROUND(I3500*'Irish Basis'!$C$6*'Irish Basis'!$C$5,2)</f>
        <v/>
      </c>
      <c r="O3500" s="10">
        <f>ROUND(J3500*'Irish Basis'!$C$7*'Irish Basis'!$C$5,2)</f>
        <v/>
      </c>
      <c r="P3500" s="10">
        <f>ROUND(K3500*'Irish Basis'!$C$8*'Irish Basis'!$C$5,2)</f>
        <v/>
      </c>
      <c r="Q3500" s="10">
        <f>ROUND(L3500*'Irish Basis'!$C$12*'Irish Basis'!$C$5,2)</f>
        <v/>
      </c>
      <c r="R3500" s="11">
        <f>ROUND(SUM(N3500:Q3500),2)</f>
        <v/>
      </c>
      <c r="S3500" s="5" t="inlineStr">
        <is>
          <t>All-in specialist rate</t>
        </is>
      </c>
      <c r="T3500" s="14" t="inlineStr">
        <is>
          <t>All-in (not split)</t>
        </is>
      </c>
      <c r="U3500" s="8" t="n">
        <v>191.78</v>
      </c>
      <c r="V3500" s="13">
        <f>IF(U3500="","",ROUND(M3500-U3500,2))</f>
        <v/>
      </c>
      <c r="W3500" s="5" t="n"/>
      <c r="X3500" s="5" t="inlineStr">
        <is>
          <t>Source publishes a specialist/sub-contract all-in rate; no labour/plant/material build-up exists to derive from.</t>
        </is>
      </c>
    </row>
    <row r="3501" ht="13" customHeight="1">
      <c r="A3501" s="4" t="n">
        <v>5333</v>
      </c>
      <c r="B3501" s="5" t="inlineStr">
        <is>
          <t>IMG_0138</t>
        </is>
      </c>
      <c r="C3501" s="5" t="inlineStr">
        <is>
          <t>CLASS T: TUNNELS</t>
        </is>
      </c>
      <c r="D3501" s="5" t="inlineStr">
        <is>
          <t>09 VIADUCTS</t>
        </is>
      </c>
      <c r="E3501" s="5" t="inlineStr">
        <is>
          <t>Bored cast in place concrete piles; 1800 mm dia.</t>
        </is>
      </c>
      <c r="F3501" s="5" t="inlineStr">
        <is>
          <t>bored cast in place concrete piles for piers; dia. 1800 mm; concreted length; on-shore works; no permanent casing</t>
        </is>
      </c>
      <c r="G3501" s="6" t="inlineStr">
        <is>
          <t>m</t>
        </is>
      </c>
      <c r="H3501" s="7" t="n"/>
      <c r="I3501" s="8" t="n">
        <v>0</v>
      </c>
      <c r="J3501" s="8" t="n">
        <v>0</v>
      </c>
      <c r="K3501" s="8" t="n">
        <v>0</v>
      </c>
      <c r="L3501" s="8" t="n">
        <v>3389.54</v>
      </c>
      <c r="M3501" s="9">
        <f>ROUND(SUM(I3501:L3501),2)</f>
        <v/>
      </c>
      <c r="N3501" s="10">
        <f>ROUND(I3501*'Irish Basis'!$C$6*'Irish Basis'!$C$5,2)</f>
        <v/>
      </c>
      <c r="O3501" s="10">
        <f>ROUND(J3501*'Irish Basis'!$C$7*'Irish Basis'!$C$5,2)</f>
        <v/>
      </c>
      <c r="P3501" s="10">
        <f>ROUND(K3501*'Irish Basis'!$C$8*'Irish Basis'!$C$5,2)</f>
        <v/>
      </c>
      <c r="Q3501" s="10">
        <f>ROUND(L3501*'Irish Basis'!$C$12*'Irish Basis'!$C$5,2)</f>
        <v/>
      </c>
      <c r="R3501" s="11">
        <f>ROUND(SUM(N3501:Q3501),2)</f>
        <v/>
      </c>
      <c r="S3501" s="5" t="inlineStr">
        <is>
          <t>All-in specialist rate</t>
        </is>
      </c>
      <c r="T3501" s="14" t="inlineStr">
        <is>
          <t>All-in (not split)</t>
        </is>
      </c>
      <c r="U3501" s="8" t="n">
        <v>3389.54</v>
      </c>
      <c r="V3501" s="13">
        <f>IF(U3501="","",ROUND(M3501-U3501,2))</f>
        <v/>
      </c>
      <c r="W3501" s="5" t="n"/>
      <c r="X3501" s="5" t="inlineStr">
        <is>
          <t>Source publishes a specialist/sub-contract all-in rate; no labour/plant/material build-up exists to derive from.</t>
        </is>
      </c>
    </row>
    <row r="3502" ht="13" customHeight="1">
      <c r="A3502" s="4" t="n">
        <v>5334</v>
      </c>
      <c r="B3502" s="5" t="inlineStr">
        <is>
          <t>IMG_0138</t>
        </is>
      </c>
      <c r="C3502" s="5" t="inlineStr">
        <is>
          <t>CLASS T: TUNNELS</t>
        </is>
      </c>
      <c r="D3502" s="5" t="inlineStr">
        <is>
          <t>09 VIADUCTS</t>
        </is>
      </c>
      <c r="E3502" s="5" t="inlineStr">
        <is>
          <t>Bored cast in place concrete piles; 1800 mm dia.</t>
        </is>
      </c>
      <c r="F3502" s="5" t="inlineStr">
        <is>
          <t>bored cast in place concret piles for piers; dia. 1800 mm; concreted length; off-shore works; with permanent casing</t>
        </is>
      </c>
      <c r="G3502" s="6" t="inlineStr">
        <is>
          <t>m</t>
        </is>
      </c>
      <c r="H3502" s="7" t="n"/>
      <c r="I3502" s="8" t="n">
        <v>0</v>
      </c>
      <c r="J3502" s="8" t="n">
        <v>0</v>
      </c>
      <c r="K3502" s="8" t="n">
        <v>0</v>
      </c>
      <c r="L3502" s="8" t="n">
        <v>3376.16</v>
      </c>
      <c r="M3502" s="9">
        <f>ROUND(SUM(I3502:L3502),2)</f>
        <v/>
      </c>
      <c r="N3502" s="10">
        <f>ROUND(I3502*'Irish Basis'!$C$6*'Irish Basis'!$C$5,2)</f>
        <v/>
      </c>
      <c r="O3502" s="10">
        <f>ROUND(J3502*'Irish Basis'!$C$7*'Irish Basis'!$C$5,2)</f>
        <v/>
      </c>
      <c r="P3502" s="10">
        <f>ROUND(K3502*'Irish Basis'!$C$8*'Irish Basis'!$C$5,2)</f>
        <v/>
      </c>
      <c r="Q3502" s="10">
        <f>ROUND(L3502*'Irish Basis'!$C$12*'Irish Basis'!$C$5,2)</f>
        <v/>
      </c>
      <c r="R3502" s="11">
        <f>ROUND(SUM(N3502:Q3502),2)</f>
        <v/>
      </c>
      <c r="S3502" s="5" t="inlineStr">
        <is>
          <t>All-in specialist rate</t>
        </is>
      </c>
      <c r="T3502" s="14" t="inlineStr">
        <is>
          <t>All-in (not split)</t>
        </is>
      </c>
      <c r="U3502" s="8" t="n">
        <v>3376.16</v>
      </c>
      <c r="V3502" s="13">
        <f>IF(U3502="","",ROUND(M3502-U3502,2))</f>
        <v/>
      </c>
      <c r="W3502" s="5" t="n"/>
      <c r="X3502" s="5" t="inlineStr">
        <is>
          <t>Source publishes a specialist/sub-contract all-in rate; no labour/plant/material build-up exists to derive from.</t>
        </is>
      </c>
    </row>
    <row r="3503" ht="13" customHeight="1">
      <c r="A3503" s="4" t="n">
        <v>5336</v>
      </c>
      <c r="B3503" s="5" t="inlineStr">
        <is>
          <t>IMG_0138</t>
        </is>
      </c>
      <c r="C3503" s="5" t="inlineStr">
        <is>
          <t>CLASS T: TUNNELS</t>
        </is>
      </c>
      <c r="D3503" s="5" t="inlineStr">
        <is>
          <t>09 VIADUCTS</t>
        </is>
      </c>
      <c r="E3503" s="5" t="inlineStr">
        <is>
          <t>Permanent casings each length</t>
        </is>
      </c>
      <c r="F3503" s="5" t="inlineStr">
        <is>
          <t>cast in place concrete piles; permanent casings each length &gt; 13 m; dia. 1500 mm &amp; 1800 mm</t>
        </is>
      </c>
      <c r="G3503" s="6" t="inlineStr">
        <is>
          <t>m</t>
        </is>
      </c>
      <c r="H3503" s="7" t="n"/>
      <c r="I3503" s="8" t="n">
        <v>0</v>
      </c>
      <c r="J3503" s="8" t="n">
        <v>0</v>
      </c>
      <c r="K3503" s="8" t="n">
        <v>0</v>
      </c>
      <c r="L3503" s="8" t="n">
        <v>1687.69</v>
      </c>
      <c r="M3503" s="9">
        <f>ROUND(SUM(I3503:L3503),2)</f>
        <v/>
      </c>
      <c r="N3503" s="10">
        <f>ROUND(I3503*'Irish Basis'!$C$6*'Irish Basis'!$C$5,2)</f>
        <v/>
      </c>
      <c r="O3503" s="10">
        <f>ROUND(J3503*'Irish Basis'!$C$7*'Irish Basis'!$C$5,2)</f>
        <v/>
      </c>
      <c r="P3503" s="10">
        <f>ROUND(K3503*'Irish Basis'!$C$8*'Irish Basis'!$C$5,2)</f>
        <v/>
      </c>
      <c r="Q3503" s="10">
        <f>ROUND(L3503*'Irish Basis'!$C$12*'Irish Basis'!$C$5,2)</f>
        <v/>
      </c>
      <c r="R3503" s="11">
        <f>ROUND(SUM(N3503:Q3503),2)</f>
        <v/>
      </c>
      <c r="S3503" s="5" t="inlineStr">
        <is>
          <t>All-in specialist rate</t>
        </is>
      </c>
      <c r="T3503" s="14" t="inlineStr">
        <is>
          <t>All-in (not split)</t>
        </is>
      </c>
      <c r="U3503" s="8" t="n">
        <v>1687.69</v>
      </c>
      <c r="V3503" s="13">
        <f>IF(U3503="","",ROUND(M3503-U3503,2))</f>
        <v/>
      </c>
      <c r="W3503" s="5" t="n"/>
      <c r="X3503" s="5" t="inlineStr">
        <is>
          <t>Source publishes a specialist/sub-contract all-in rate; no labour/plant/material build-up exists to derive from.</t>
        </is>
      </c>
    </row>
    <row r="3504" ht="13" customHeight="1">
      <c r="A3504" s="4" t="n">
        <v>5337</v>
      </c>
      <c r="B3504" s="5" t="inlineStr">
        <is>
          <t>IMG_0138</t>
        </is>
      </c>
      <c r="C3504" s="5" t="inlineStr">
        <is>
          <t>CLASS T: TUNNELS</t>
        </is>
      </c>
      <c r="D3504" s="5" t="inlineStr">
        <is>
          <t>09 VIADUCTS</t>
        </is>
      </c>
      <c r="E3504" s="5" t="inlineStr">
        <is>
          <t>Permanent casings each length</t>
        </is>
      </c>
      <c r="F3504" s="5" t="inlineStr">
        <is>
          <t>cast in place conc piles; cutting off surplus lengths; dia. 1500 mm</t>
        </is>
      </c>
      <c r="G3504" s="6" t="inlineStr">
        <is>
          <t>m</t>
        </is>
      </c>
      <c r="H3504" s="7" t="n"/>
      <c r="I3504" s="8" t="n">
        <v>0</v>
      </c>
      <c r="J3504" s="8" t="n">
        <v>0</v>
      </c>
      <c r="K3504" s="8" t="n">
        <v>0</v>
      </c>
      <c r="L3504" s="8" t="n">
        <v>642.23</v>
      </c>
      <c r="M3504" s="9">
        <f>ROUND(SUM(I3504:L3504),2)</f>
        <v/>
      </c>
      <c r="N3504" s="10">
        <f>ROUND(I3504*'Irish Basis'!$C$6*'Irish Basis'!$C$5,2)</f>
        <v/>
      </c>
      <c r="O3504" s="10">
        <f>ROUND(J3504*'Irish Basis'!$C$7*'Irish Basis'!$C$5,2)</f>
        <v/>
      </c>
      <c r="P3504" s="10">
        <f>ROUND(K3504*'Irish Basis'!$C$8*'Irish Basis'!$C$5,2)</f>
        <v/>
      </c>
      <c r="Q3504" s="10">
        <f>ROUND(L3504*'Irish Basis'!$C$12*'Irish Basis'!$C$5,2)</f>
        <v/>
      </c>
      <c r="R3504" s="11">
        <f>ROUND(SUM(N3504:Q3504),2)</f>
        <v/>
      </c>
      <c r="S3504" s="5" t="inlineStr">
        <is>
          <t>All-in specialist rate</t>
        </is>
      </c>
      <c r="T3504" s="14" t="inlineStr">
        <is>
          <t>All-in (not split)</t>
        </is>
      </c>
      <c r="U3504" s="8" t="n">
        <v>642.23</v>
      </c>
      <c r="V3504" s="13">
        <f>IF(U3504="","",ROUND(M3504-U3504,2))</f>
        <v/>
      </c>
      <c r="W3504" s="5" t="n"/>
      <c r="X3504" s="5" t="inlineStr">
        <is>
          <t>Source publishes a specialist/sub-contract all-in rate; no labour/plant/material build-up exists to derive from.</t>
        </is>
      </c>
    </row>
    <row r="3505" ht="13" customHeight="1">
      <c r="A3505" s="4" t="n">
        <v>5338</v>
      </c>
      <c r="B3505" s="5" t="inlineStr">
        <is>
          <t>IMG_0138</t>
        </is>
      </c>
      <c r="C3505" s="5" t="inlineStr">
        <is>
          <t>CLASS T: TUNNELS</t>
        </is>
      </c>
      <c r="D3505" s="5" t="inlineStr">
        <is>
          <t>09 VIADUCTS</t>
        </is>
      </c>
      <c r="E3505" s="5" t="inlineStr">
        <is>
          <t>Permanent casings each length</t>
        </is>
      </c>
      <c r="F3505" s="5" t="inlineStr">
        <is>
          <t>cast in place conc piles; cutting off surplus lengths; dia. 1800 mm</t>
        </is>
      </c>
      <c r="G3505" s="6" t="inlineStr">
        <is>
          <t>m</t>
        </is>
      </c>
      <c r="H3505" s="7" t="n"/>
      <c r="I3505" s="8" t="n">
        <v>0</v>
      </c>
      <c r="J3505" s="8" t="n">
        <v>0</v>
      </c>
      <c r="K3505" s="8" t="n">
        <v>0</v>
      </c>
      <c r="L3505" s="8" t="n">
        <v>822.61</v>
      </c>
      <c r="M3505" s="9">
        <f>ROUND(SUM(I3505:L3505),2)</f>
        <v/>
      </c>
      <c r="N3505" s="10">
        <f>ROUND(I3505*'Irish Basis'!$C$6*'Irish Basis'!$C$5,2)</f>
        <v/>
      </c>
      <c r="O3505" s="10">
        <f>ROUND(J3505*'Irish Basis'!$C$7*'Irish Basis'!$C$5,2)</f>
        <v/>
      </c>
      <c r="P3505" s="10">
        <f>ROUND(K3505*'Irish Basis'!$C$8*'Irish Basis'!$C$5,2)</f>
        <v/>
      </c>
      <c r="Q3505" s="10">
        <f>ROUND(L3505*'Irish Basis'!$C$12*'Irish Basis'!$C$5,2)</f>
        <v/>
      </c>
      <c r="R3505" s="11">
        <f>ROUND(SUM(N3505:Q3505),2)</f>
        <v/>
      </c>
      <c r="S3505" s="5" t="inlineStr">
        <is>
          <t>All-in specialist rate</t>
        </is>
      </c>
      <c r="T3505" s="14" t="inlineStr">
        <is>
          <t>All-in (not split)</t>
        </is>
      </c>
      <c r="U3505" s="8" t="n">
        <v>822.61</v>
      </c>
      <c r="V3505" s="13">
        <f>IF(U3505="","",ROUND(M3505-U3505,2))</f>
        <v/>
      </c>
      <c r="W3505" s="5" t="n"/>
      <c r="X3505" s="5" t="inlineStr">
        <is>
          <t>Source publishes a specialist/sub-contract all-in rate; no labour/plant/material build-up exists to derive from.</t>
        </is>
      </c>
    </row>
    <row r="3506" ht="13" customHeight="1">
      <c r="A3506" s="4" t="n">
        <v>5339</v>
      </c>
      <c r="B3506" s="5" t="inlineStr">
        <is>
          <t>IMG_0138</t>
        </is>
      </c>
      <c r="C3506" s="5" t="inlineStr">
        <is>
          <t>CLASS T: TUNNELS</t>
        </is>
      </c>
      <c r="D3506" s="5" t="inlineStr">
        <is>
          <t>09 VIADUCTS</t>
        </is>
      </c>
      <c r="E3506" s="5" t="inlineStr">
        <is>
          <t>Permanent casings each length</t>
        </is>
      </c>
      <c r="F3506" s="5" t="inlineStr">
        <is>
          <t>In situ Reinforced Concrete Piers on piles; off shore standard vertical pier</t>
        </is>
      </c>
      <c r="G3506" s="6" t="inlineStr">
        <is>
          <t>nr</t>
        </is>
      </c>
      <c r="H3506" s="7" t="n"/>
      <c r="I3506" s="8" t="n">
        <v>0</v>
      </c>
      <c r="J3506" s="8" t="n">
        <v>0</v>
      </c>
      <c r="K3506" s="8" t="n">
        <v>0</v>
      </c>
      <c r="L3506" s="8" t="n">
        <v>646688.97</v>
      </c>
      <c r="M3506" s="9">
        <f>ROUND(SUM(I3506:L3506),2)</f>
        <v/>
      </c>
      <c r="N3506" s="10">
        <f>ROUND(I3506*'Irish Basis'!$C$6*'Irish Basis'!$C$5,2)</f>
        <v/>
      </c>
      <c r="O3506" s="10">
        <f>ROUND(J3506*'Irish Basis'!$C$7*'Irish Basis'!$C$5,2)</f>
        <v/>
      </c>
      <c r="P3506" s="10">
        <f>ROUND(K3506*'Irish Basis'!$C$8*'Irish Basis'!$C$5,2)</f>
        <v/>
      </c>
      <c r="Q3506" s="10">
        <f>ROUND(L3506*'Irish Basis'!$C$12*'Irish Basis'!$C$5,2)</f>
        <v/>
      </c>
      <c r="R3506" s="11">
        <f>ROUND(SUM(N3506:Q3506),2)</f>
        <v/>
      </c>
      <c r="S3506" s="5" t="inlineStr">
        <is>
          <t>All-in specialist rate</t>
        </is>
      </c>
      <c r="T3506" s="14" t="inlineStr">
        <is>
          <t>All-in (not split)</t>
        </is>
      </c>
      <c r="U3506" s="8" t="n">
        <v>646688.97</v>
      </c>
      <c r="V3506" s="13">
        <f>IF(U3506="","",ROUND(M3506-U3506,2))</f>
        <v/>
      </c>
      <c r="W3506" s="15" t="inlineStr">
        <is>
          <t>High value — verify</t>
        </is>
      </c>
      <c r="X3506" s="5" t="inlineStr">
        <is>
          <t>Source publishes a specialist/sub-contract all-in rate; no labour/plant/material build-up exists to derive from. Unit rate of £250,000 or more — plausible for major specialist works but worth verifying against the source.</t>
        </is>
      </c>
    </row>
    <row r="3507" ht="13" customHeight="1">
      <c r="A3507" s="4" t="n">
        <v>5340</v>
      </c>
      <c r="B3507" s="5" t="inlineStr">
        <is>
          <t>IMG_0138</t>
        </is>
      </c>
      <c r="C3507" s="5" t="inlineStr">
        <is>
          <t>CLASS T: TUNNELS</t>
        </is>
      </c>
      <c r="D3507" s="5" t="inlineStr">
        <is>
          <t>09 VIADUCTS</t>
        </is>
      </c>
      <c r="E3507" s="5" t="inlineStr">
        <is>
          <t>Permanent casings each length</t>
        </is>
      </c>
      <c r="F3507" s="5" t="inlineStr">
        <is>
          <t>V shaped pier</t>
        </is>
      </c>
      <c r="G3507" s="6" t="inlineStr">
        <is>
          <t>nr</t>
        </is>
      </c>
      <c r="H3507" s="7" t="n"/>
      <c r="I3507" s="8" t="n">
        <v>0</v>
      </c>
      <c r="J3507" s="8" t="n">
        <v>0</v>
      </c>
      <c r="K3507" s="8" t="n">
        <v>0</v>
      </c>
      <c r="L3507" s="8" t="n">
        <v>2534723.45</v>
      </c>
      <c r="M3507" s="9">
        <f>ROUND(SUM(I3507:L3507),2)</f>
        <v/>
      </c>
      <c r="N3507" s="10">
        <f>ROUND(I3507*'Irish Basis'!$C$6*'Irish Basis'!$C$5,2)</f>
        <v/>
      </c>
      <c r="O3507" s="10">
        <f>ROUND(J3507*'Irish Basis'!$C$7*'Irish Basis'!$C$5,2)</f>
        <v/>
      </c>
      <c r="P3507" s="10">
        <f>ROUND(K3507*'Irish Basis'!$C$8*'Irish Basis'!$C$5,2)</f>
        <v/>
      </c>
      <c r="Q3507" s="10">
        <f>ROUND(L3507*'Irish Basis'!$C$12*'Irish Basis'!$C$5,2)</f>
        <v/>
      </c>
      <c r="R3507" s="11">
        <f>ROUND(SUM(N3507:Q3507),2)</f>
        <v/>
      </c>
      <c r="S3507" s="5" t="inlineStr">
        <is>
          <t>All-in specialist rate</t>
        </is>
      </c>
      <c r="T3507" s="14" t="inlineStr">
        <is>
          <t>All-in (not split)</t>
        </is>
      </c>
      <c r="U3507" s="8" t="n">
        <v>2534723.45</v>
      </c>
      <c r="V3507" s="13">
        <f>IF(U3507="","",ROUND(M3507-U3507,2))</f>
        <v/>
      </c>
      <c r="W3507" s="15" t="inlineStr">
        <is>
          <t>High value — verify</t>
        </is>
      </c>
      <c r="X3507" s="5" t="inlineStr">
        <is>
          <t>Source publishes a specialist/sub-contract all-in rate; no labour/plant/material build-up exists to derive from. Unit rate of £250,000 or more — plausible for major specialist works but worth verifying against the source.</t>
        </is>
      </c>
    </row>
    <row r="3508" ht="13" customHeight="1">
      <c r="A3508" s="4" t="n">
        <v>5341</v>
      </c>
      <c r="B3508" s="5" t="inlineStr">
        <is>
          <t>IMG_0138</t>
        </is>
      </c>
      <c r="C3508" s="5" t="inlineStr">
        <is>
          <t>CLASS T: TUNNELS</t>
        </is>
      </c>
      <c r="D3508" s="5" t="inlineStr">
        <is>
          <t>09 VIADUCTS</t>
        </is>
      </c>
      <c r="E3508" s="5" t="inlineStr">
        <is>
          <t>Permanent casings each length</t>
        </is>
      </c>
      <c r="F3508" s="5" t="inlineStr">
        <is>
          <t>fixed buttress 3 legs pier</t>
        </is>
      </c>
      <c r="G3508" s="6" t="inlineStr">
        <is>
          <t>nr</t>
        </is>
      </c>
      <c r="H3508" s="7" t="n"/>
      <c r="I3508" s="8" t="n">
        <v>0</v>
      </c>
      <c r="J3508" s="8" t="n">
        <v>0</v>
      </c>
      <c r="K3508" s="8" t="n">
        <v>0</v>
      </c>
      <c r="L3508" s="8" t="n">
        <v>1189313.05</v>
      </c>
      <c r="M3508" s="9">
        <f>ROUND(SUM(I3508:L3508),2)</f>
        <v/>
      </c>
      <c r="N3508" s="10">
        <f>ROUND(I3508*'Irish Basis'!$C$6*'Irish Basis'!$C$5,2)</f>
        <v/>
      </c>
      <c r="O3508" s="10">
        <f>ROUND(J3508*'Irish Basis'!$C$7*'Irish Basis'!$C$5,2)</f>
        <v/>
      </c>
      <c r="P3508" s="10">
        <f>ROUND(K3508*'Irish Basis'!$C$8*'Irish Basis'!$C$5,2)</f>
        <v/>
      </c>
      <c r="Q3508" s="10">
        <f>ROUND(L3508*'Irish Basis'!$C$12*'Irish Basis'!$C$5,2)</f>
        <v/>
      </c>
      <c r="R3508" s="11">
        <f>ROUND(SUM(N3508:Q3508),2)</f>
        <v/>
      </c>
      <c r="S3508" s="5" t="inlineStr">
        <is>
          <t>All-in specialist rate</t>
        </is>
      </c>
      <c r="T3508" s="14" t="inlineStr">
        <is>
          <t>All-in (not split)</t>
        </is>
      </c>
      <c r="U3508" s="8" t="n">
        <v>1189313.05</v>
      </c>
      <c r="V3508" s="13">
        <f>IF(U3508="","",ROUND(M3508-U3508,2))</f>
        <v/>
      </c>
      <c r="W3508" s="15" t="inlineStr">
        <is>
          <t>High value — verify</t>
        </is>
      </c>
      <c r="X3508" s="5" t="inlineStr">
        <is>
          <t>Source publishes a specialist/sub-contract all-in rate; no labour/plant/material build-up exists to derive from. Unit rate of £250,000 or more — plausible for major specialist works but worth verifying against the source.</t>
        </is>
      </c>
    </row>
    <row r="3509" ht="13" customHeight="1">
      <c r="A3509" s="4" t="n">
        <v>5343</v>
      </c>
      <c r="B3509" s="5" t="inlineStr">
        <is>
          <t>IMG_0138</t>
        </is>
      </c>
      <c r="C3509" s="5" t="inlineStr">
        <is>
          <t>CLASS T: TUNNELS</t>
        </is>
      </c>
      <c r="D3509" s="5" t="inlineStr">
        <is>
          <t>09 VIADUCTS</t>
        </is>
      </c>
      <c r="E3509" s="5" t="inlineStr">
        <is>
          <t>In situ Reinforced Concrete Piers on piles; on shore</t>
        </is>
      </c>
      <c r="F3509" s="5" t="inlineStr">
        <is>
          <t>standard vertical pier</t>
        </is>
      </c>
      <c r="G3509" s="6" t="inlineStr">
        <is>
          <t>nr</t>
        </is>
      </c>
      <c r="H3509" s="7" t="n"/>
      <c r="I3509" s="8" t="n">
        <v>0</v>
      </c>
      <c r="J3509" s="8" t="n">
        <v>0</v>
      </c>
      <c r="K3509" s="8" t="n">
        <v>0</v>
      </c>
      <c r="L3509" s="8" t="n">
        <v>624389.35</v>
      </c>
      <c r="M3509" s="9">
        <f>ROUND(SUM(I3509:L3509),2)</f>
        <v/>
      </c>
      <c r="N3509" s="10">
        <f>ROUND(I3509*'Irish Basis'!$C$6*'Irish Basis'!$C$5,2)</f>
        <v/>
      </c>
      <c r="O3509" s="10">
        <f>ROUND(J3509*'Irish Basis'!$C$7*'Irish Basis'!$C$5,2)</f>
        <v/>
      </c>
      <c r="P3509" s="10">
        <f>ROUND(K3509*'Irish Basis'!$C$8*'Irish Basis'!$C$5,2)</f>
        <v/>
      </c>
      <c r="Q3509" s="10">
        <f>ROUND(L3509*'Irish Basis'!$C$12*'Irish Basis'!$C$5,2)</f>
        <v/>
      </c>
      <c r="R3509" s="11">
        <f>ROUND(SUM(N3509:Q3509),2)</f>
        <v/>
      </c>
      <c r="S3509" s="5" t="inlineStr">
        <is>
          <t>All-in specialist rate</t>
        </is>
      </c>
      <c r="T3509" s="14" t="inlineStr">
        <is>
          <t>All-in (not split)</t>
        </is>
      </c>
      <c r="U3509" s="8" t="n">
        <v>624389.35</v>
      </c>
      <c r="V3509" s="13">
        <f>IF(U3509="","",ROUND(M3509-U3509,2))</f>
        <v/>
      </c>
      <c r="W3509" s="15" t="inlineStr">
        <is>
          <t>High value — verify</t>
        </is>
      </c>
      <c r="X3509" s="5" t="inlineStr">
        <is>
          <t>Source publishes a specialist/sub-contract all-in rate; no labour/plant/material build-up exists to derive from. Unit rate of £250,000 or more — plausible for major specialist works but worth verifying against the source.</t>
        </is>
      </c>
    </row>
    <row r="3510" ht="13" customHeight="1">
      <c r="A3510" s="4" t="n">
        <v>5344</v>
      </c>
      <c r="B3510" s="5" t="inlineStr">
        <is>
          <t>IMG_0138</t>
        </is>
      </c>
      <c r="C3510" s="5" t="inlineStr">
        <is>
          <t>CLASS T: TUNNELS</t>
        </is>
      </c>
      <c r="D3510" s="5" t="inlineStr">
        <is>
          <t>09 VIADUCTS</t>
        </is>
      </c>
      <c r="E3510" s="5" t="inlineStr">
        <is>
          <t>In situ Reinforced Concrete Piers on piles; on shore</t>
        </is>
      </c>
      <c r="F3510" s="5" t="inlineStr">
        <is>
          <t>fixed vertical pier</t>
        </is>
      </c>
      <c r="G3510" s="6" t="inlineStr">
        <is>
          <t>nr</t>
        </is>
      </c>
      <c r="H3510" s="7" t="n"/>
      <c r="I3510" s="8" t="n">
        <v>0</v>
      </c>
      <c r="J3510" s="8" t="n">
        <v>0</v>
      </c>
      <c r="K3510" s="8" t="n">
        <v>0</v>
      </c>
      <c r="L3510" s="8" t="n">
        <v>1273456.95</v>
      </c>
      <c r="M3510" s="9">
        <f>ROUND(SUM(I3510:L3510),2)</f>
        <v/>
      </c>
      <c r="N3510" s="10">
        <f>ROUND(I3510*'Irish Basis'!$C$6*'Irish Basis'!$C$5,2)</f>
        <v/>
      </c>
      <c r="O3510" s="10">
        <f>ROUND(J3510*'Irish Basis'!$C$7*'Irish Basis'!$C$5,2)</f>
        <v/>
      </c>
      <c r="P3510" s="10">
        <f>ROUND(K3510*'Irish Basis'!$C$8*'Irish Basis'!$C$5,2)</f>
        <v/>
      </c>
      <c r="Q3510" s="10">
        <f>ROUND(L3510*'Irish Basis'!$C$12*'Irish Basis'!$C$5,2)</f>
        <v/>
      </c>
      <c r="R3510" s="11">
        <f>ROUND(SUM(N3510:Q3510),2)</f>
        <v/>
      </c>
      <c r="S3510" s="5" t="inlineStr">
        <is>
          <t>All-in specialist rate</t>
        </is>
      </c>
      <c r="T3510" s="14" t="inlineStr">
        <is>
          <t>All-in (not split)</t>
        </is>
      </c>
      <c r="U3510" s="8" t="n">
        <v>1273456.95</v>
      </c>
      <c r="V3510" s="13">
        <f>IF(U3510="","",ROUND(M3510-U3510,2))</f>
        <v/>
      </c>
      <c r="W3510" s="15" t="inlineStr">
        <is>
          <t>High value — verify</t>
        </is>
      </c>
      <c r="X3510" s="5" t="inlineStr">
        <is>
          <t>Source publishes a specialist/sub-contract all-in rate; no labour/plant/material build-up exists to derive from. Unit rate of £250,000 or more — plausible for major specialist works but worth verifying against the source.</t>
        </is>
      </c>
    </row>
    <row r="3511" ht="13" customHeight="1">
      <c r="A3511" s="4" t="n">
        <v>5345</v>
      </c>
      <c r="B3511" s="5" t="inlineStr">
        <is>
          <t>IMG_0138</t>
        </is>
      </c>
      <c r="C3511" s="5" t="inlineStr">
        <is>
          <t>CLASS T: TUNNELS</t>
        </is>
      </c>
      <c r="D3511" s="5" t="inlineStr">
        <is>
          <t>09 VIADUCTS</t>
        </is>
      </c>
      <c r="E3511" s="5" t="inlineStr">
        <is>
          <t>In situ Reinforced Concrete Piers on piles; on shore</t>
        </is>
      </c>
      <c r="F3511" s="5" t="inlineStr">
        <is>
          <t>expansion buttress pier</t>
        </is>
      </c>
      <c r="G3511" s="6" t="inlineStr">
        <is>
          <t>nr</t>
        </is>
      </c>
      <c r="H3511" s="7" t="n"/>
      <c r="I3511" s="8" t="n">
        <v>0</v>
      </c>
      <c r="J3511" s="8" t="n">
        <v>0</v>
      </c>
      <c r="K3511" s="8" t="n">
        <v>0</v>
      </c>
      <c r="L3511" s="8" t="n">
        <v>859362.22</v>
      </c>
      <c r="M3511" s="9">
        <f>ROUND(SUM(I3511:L3511),2)</f>
        <v/>
      </c>
      <c r="N3511" s="10">
        <f>ROUND(I3511*'Irish Basis'!$C$6*'Irish Basis'!$C$5,2)</f>
        <v/>
      </c>
      <c r="O3511" s="10">
        <f>ROUND(J3511*'Irish Basis'!$C$7*'Irish Basis'!$C$5,2)</f>
        <v/>
      </c>
      <c r="P3511" s="10">
        <f>ROUND(K3511*'Irish Basis'!$C$8*'Irish Basis'!$C$5,2)</f>
        <v/>
      </c>
      <c r="Q3511" s="10">
        <f>ROUND(L3511*'Irish Basis'!$C$12*'Irish Basis'!$C$5,2)</f>
        <v/>
      </c>
      <c r="R3511" s="11">
        <f>ROUND(SUM(N3511:Q3511),2)</f>
        <v/>
      </c>
      <c r="S3511" s="5" t="inlineStr">
        <is>
          <t>All-in specialist rate</t>
        </is>
      </c>
      <c r="T3511" s="14" t="inlineStr">
        <is>
          <t>All-in (not split)</t>
        </is>
      </c>
      <c r="U3511" s="8" t="n">
        <v>859362.22</v>
      </c>
      <c r="V3511" s="13">
        <f>IF(U3511="","",ROUND(M3511-U3511,2))</f>
        <v/>
      </c>
      <c r="W3511" s="15" t="inlineStr">
        <is>
          <t>High value — verify</t>
        </is>
      </c>
      <c r="X3511" s="5" t="inlineStr">
        <is>
          <t>Source publishes a specialist/sub-contract all-in rate; no labour/plant/material build-up exists to derive from. Unit rate of £250,000 or more — plausible for major specialist works but worth verifying against the source.</t>
        </is>
      </c>
    </row>
    <row r="3512" ht="13" customHeight="1">
      <c r="A3512" s="4" t="n">
        <v>5346</v>
      </c>
      <c r="B3512" s="5" t="inlineStr">
        <is>
          <t>IMG_0138</t>
        </is>
      </c>
      <c r="C3512" s="5" t="inlineStr">
        <is>
          <t>CLASS T: TUNNELS</t>
        </is>
      </c>
      <c r="D3512" s="5" t="inlineStr">
        <is>
          <t>09 VIADUCTS</t>
        </is>
      </c>
      <c r="E3512" s="5" t="inlineStr">
        <is>
          <t>In situ Reinforced Concrete Piers on piles; on shore</t>
        </is>
      </c>
      <c r="F3512" s="5" t="inlineStr">
        <is>
          <t>fixed buttress 3 legs pier</t>
        </is>
      </c>
      <c r="G3512" s="6" t="inlineStr">
        <is>
          <t>nr</t>
        </is>
      </c>
      <c r="H3512" s="7" t="n"/>
      <c r="I3512" s="8" t="n">
        <v>0</v>
      </c>
      <c r="J3512" s="8" t="n">
        <v>0</v>
      </c>
      <c r="K3512" s="8" t="n">
        <v>0</v>
      </c>
      <c r="L3512" s="8" t="n">
        <v>1184853.13</v>
      </c>
      <c r="M3512" s="9">
        <f>ROUND(SUM(I3512:L3512),2)</f>
        <v/>
      </c>
      <c r="N3512" s="10">
        <f>ROUND(I3512*'Irish Basis'!$C$6*'Irish Basis'!$C$5,2)</f>
        <v/>
      </c>
      <c r="O3512" s="10">
        <f>ROUND(J3512*'Irish Basis'!$C$7*'Irish Basis'!$C$5,2)</f>
        <v/>
      </c>
      <c r="P3512" s="10">
        <f>ROUND(K3512*'Irish Basis'!$C$8*'Irish Basis'!$C$5,2)</f>
        <v/>
      </c>
      <c r="Q3512" s="10">
        <f>ROUND(L3512*'Irish Basis'!$C$12*'Irish Basis'!$C$5,2)</f>
        <v/>
      </c>
      <c r="R3512" s="11">
        <f>ROUND(SUM(N3512:Q3512),2)</f>
        <v/>
      </c>
      <c r="S3512" s="5" t="inlineStr">
        <is>
          <t>All-in specialist rate</t>
        </is>
      </c>
      <c r="T3512" s="14" t="inlineStr">
        <is>
          <t>All-in (not split)</t>
        </is>
      </c>
      <c r="U3512" s="8" t="n">
        <v>1184853.13</v>
      </c>
      <c r="V3512" s="13">
        <f>IF(U3512="","",ROUND(M3512-U3512,2))</f>
        <v/>
      </c>
      <c r="W3512" s="15" t="inlineStr">
        <is>
          <t>High value — verify</t>
        </is>
      </c>
      <c r="X3512" s="5" t="inlineStr">
        <is>
          <t>Source publishes a specialist/sub-contract all-in rate; no labour/plant/material build-up exists to derive from. Unit rate of £250,000 or more — plausible for major specialist works but worth verifying against the source.</t>
        </is>
      </c>
    </row>
    <row r="3513" ht="13" customHeight="1">
      <c r="A3513" s="4" t="n">
        <v>5348</v>
      </c>
      <c r="B3513" s="5" t="inlineStr">
        <is>
          <t>IMG_0138</t>
        </is>
      </c>
      <c r="C3513" s="5" t="inlineStr">
        <is>
          <t>CLASS T: TUNNELS</t>
        </is>
      </c>
      <c r="D3513" s="5" t="inlineStr">
        <is>
          <t>09 VIADUCTS</t>
        </is>
      </c>
      <c r="E3513" s="5" t="inlineStr">
        <is>
          <t>Segmental units; Bridge Parapet</t>
        </is>
      </c>
      <c r="F3513" s="5" t="inlineStr">
        <is>
          <t>segmental units; mass 500 kg - 1tonne; uhpc parapet; csa 0.31 m2; average 0.80 tonne per m</t>
        </is>
      </c>
      <c r="G3513" s="6" t="inlineStr">
        <is>
          <t>nr</t>
        </is>
      </c>
      <c r="H3513" s="7" t="n"/>
      <c r="I3513" s="8" t="n">
        <v>0</v>
      </c>
      <c r="J3513" s="8" t="n">
        <v>0</v>
      </c>
      <c r="K3513" s="8" t="n">
        <v>0</v>
      </c>
      <c r="L3513" s="8" t="n">
        <v>959.95</v>
      </c>
      <c r="M3513" s="9">
        <f>ROUND(SUM(I3513:L3513),2)</f>
        <v/>
      </c>
      <c r="N3513" s="10">
        <f>ROUND(I3513*'Irish Basis'!$C$6*'Irish Basis'!$C$5,2)</f>
        <v/>
      </c>
      <c r="O3513" s="10">
        <f>ROUND(J3513*'Irish Basis'!$C$7*'Irish Basis'!$C$5,2)</f>
        <v/>
      </c>
      <c r="P3513" s="10">
        <f>ROUND(K3513*'Irish Basis'!$C$8*'Irish Basis'!$C$5,2)</f>
        <v/>
      </c>
      <c r="Q3513" s="10">
        <f>ROUND(L3513*'Irish Basis'!$C$12*'Irish Basis'!$C$5,2)</f>
        <v/>
      </c>
      <c r="R3513" s="11">
        <f>ROUND(SUM(N3513:Q3513),2)</f>
        <v/>
      </c>
      <c r="S3513" s="5" t="inlineStr">
        <is>
          <t>All-in specialist rate</t>
        </is>
      </c>
      <c r="T3513" s="14" t="inlineStr">
        <is>
          <t>All-in (not split)</t>
        </is>
      </c>
      <c r="U3513" s="8" t="n">
        <v>959.95</v>
      </c>
      <c r="V3513" s="13">
        <f>IF(U3513="","",ROUND(M3513-U3513,2))</f>
        <v/>
      </c>
      <c r="W3513" s="5" t="n"/>
      <c r="X3513" s="5" t="inlineStr">
        <is>
          <t>Source publishes a specialist/sub-contract all-in rate; no labour/plant/material build-up exists to derive from.</t>
        </is>
      </c>
    </row>
    <row r="3514" ht="13" customHeight="1">
      <c r="A3514" s="4" t="n">
        <v>5349</v>
      </c>
      <c r="B3514" s="5" t="inlineStr">
        <is>
          <t>IMG_0138</t>
        </is>
      </c>
      <c r="C3514" s="5" t="inlineStr">
        <is>
          <t>CLASS T: TUNNELS</t>
        </is>
      </c>
      <c r="D3514" s="5" t="inlineStr">
        <is>
          <t>09 VIADUCTS</t>
        </is>
      </c>
      <c r="E3514" s="5" t="inlineStr">
        <is>
          <t>Segmental units; Bridge Parapet</t>
        </is>
      </c>
      <c r="F3514" s="5" t="inlineStr">
        <is>
          <t>segmental units; mass 1-2 tonne; parapet; average csa 0.45 m2; average 1.10 tonne per m</t>
        </is>
      </c>
      <c r="G3514" s="6" t="inlineStr">
        <is>
          <t>nr</t>
        </is>
      </c>
      <c r="H3514" s="7" t="n"/>
      <c r="I3514" s="8" t="n">
        <v>0</v>
      </c>
      <c r="J3514" s="8" t="n">
        <v>0</v>
      </c>
      <c r="K3514" s="8" t="n">
        <v>0</v>
      </c>
      <c r="L3514" s="8" t="n">
        <v>464.4</v>
      </c>
      <c r="M3514" s="9">
        <f>ROUND(SUM(I3514:L3514),2)</f>
        <v/>
      </c>
      <c r="N3514" s="10">
        <f>ROUND(I3514*'Irish Basis'!$C$6*'Irish Basis'!$C$5,2)</f>
        <v/>
      </c>
      <c r="O3514" s="10">
        <f>ROUND(J3514*'Irish Basis'!$C$7*'Irish Basis'!$C$5,2)</f>
        <v/>
      </c>
      <c r="P3514" s="10">
        <f>ROUND(K3514*'Irish Basis'!$C$8*'Irish Basis'!$C$5,2)</f>
        <v/>
      </c>
      <c r="Q3514" s="10">
        <f>ROUND(L3514*'Irish Basis'!$C$12*'Irish Basis'!$C$5,2)</f>
        <v/>
      </c>
      <c r="R3514" s="11">
        <f>ROUND(SUM(N3514:Q3514),2)</f>
        <v/>
      </c>
      <c r="S3514" s="5" t="inlineStr">
        <is>
          <t>All-in specialist rate</t>
        </is>
      </c>
      <c r="T3514" s="14" t="inlineStr">
        <is>
          <t>All-in (not split)</t>
        </is>
      </c>
      <c r="U3514" s="8" t="n">
        <v>464.4</v>
      </c>
      <c r="V3514" s="13">
        <f>IF(U3514="","",ROUND(M3514-U3514,2))</f>
        <v/>
      </c>
      <c r="W3514" s="5" t="n"/>
      <c r="X3514" s="5" t="inlineStr">
        <is>
          <t>Source publishes a specialist/sub-contract all-in rate; no labour/plant/material build-up exists to derive from.</t>
        </is>
      </c>
    </row>
    <row r="3515" ht="13" customHeight="1">
      <c r="A3515" s="4" t="n">
        <v>5384</v>
      </c>
      <c r="B3515" s="5" t="inlineStr">
        <is>
          <t>IMG_0139</t>
        </is>
      </c>
      <c r="C3515" s="5" t="inlineStr">
        <is>
          <t>CLASS U: BRICKWORK, BLOCKWORK AND MASONRY</t>
        </is>
      </c>
      <c r="D3515" s="5" t="inlineStr">
        <is>
          <t>01 COMMON BRICKWORK</t>
        </is>
      </c>
      <c r="E3515" s="5" t="inlineStr">
        <is>
          <t>Common bricks in cement mortar designation (ii); Thickness 103 mm</t>
        </is>
      </c>
      <c r="F3515" s="5" t="inlineStr">
        <is>
          <t>vertical straight walls</t>
        </is>
      </c>
      <c r="G3515" s="6" t="inlineStr">
        <is>
          <t>m2</t>
        </is>
      </c>
      <c r="H3515" s="7" t="n">
        <v>0.23</v>
      </c>
      <c r="I3515" s="8" t="n">
        <v>38.44</v>
      </c>
      <c r="J3515" s="8" t="n">
        <v>2.71</v>
      </c>
      <c r="K3515" s="8" t="n">
        <v>40.24</v>
      </c>
      <c r="L3515" s="8" t="n">
        <v>0</v>
      </c>
      <c r="M3515" s="9">
        <f>ROUND(SUM(I3515:L3515),2)</f>
        <v/>
      </c>
      <c r="N3515" s="10">
        <f>ROUND(I3515*'Irish Basis'!$C$6*'Irish Basis'!$C$5,2)</f>
        <v/>
      </c>
      <c r="O3515" s="10">
        <f>ROUND(J3515*'Irish Basis'!$C$7*'Irish Basis'!$C$5,2)</f>
        <v/>
      </c>
      <c r="P3515" s="10">
        <f>ROUND(K3515*'Irish Basis'!$C$8*'Irish Basis'!$C$5,2)</f>
        <v/>
      </c>
      <c r="Q3515" s="10">
        <f>ROUND(L3515*'Irish Basis'!$C$12*'Irish Basis'!$C$5,2)</f>
        <v/>
      </c>
      <c r="R3515" s="11">
        <f>ROUND(SUM(N3515:Q3515),2)</f>
        <v/>
      </c>
      <c r="S3515" s="5" t="inlineStr">
        <is>
          <t>Stated build-up</t>
        </is>
      </c>
      <c r="T3515" s="12" t="inlineStr">
        <is>
          <t>High</t>
        </is>
      </c>
      <c r="U3515" s="8" t="n">
        <v>81.39</v>
      </c>
      <c r="V3515" s="13">
        <f>IF(U3515="","",ROUND(M3515-U3515,2))</f>
        <v/>
      </c>
      <c r="W3515" s="5" t="n"/>
      <c r="X3515" s="5" t="inlineStr">
        <is>
          <t>Labour + plant + material as published; reconciles to the published rate.</t>
        </is>
      </c>
    </row>
    <row r="3516" ht="13" customHeight="1">
      <c r="A3516" s="4" t="n">
        <v>5385</v>
      </c>
      <c r="B3516" s="5" t="inlineStr">
        <is>
          <t>IMG_0139</t>
        </is>
      </c>
      <c r="C3516" s="5" t="inlineStr">
        <is>
          <t>CLASS U: BRICKWORK, BLOCKWORK AND MASONRY</t>
        </is>
      </c>
      <c r="D3516" s="5" t="inlineStr">
        <is>
          <t>01 COMMON BRICKWORK</t>
        </is>
      </c>
      <c r="E3516" s="5" t="inlineStr">
        <is>
          <t>Common bricks in cement mortar designation (ii); Thickness 103 mm</t>
        </is>
      </c>
      <c r="F3516" s="5" t="inlineStr">
        <is>
          <t>vertical curved walls</t>
        </is>
      </c>
      <c r="G3516" s="6" t="inlineStr">
        <is>
          <t>m2</t>
        </is>
      </c>
      <c r="H3516" s="7" t="n">
        <v>0.3</v>
      </c>
      <c r="I3516" s="8" t="n">
        <v>49.9</v>
      </c>
      <c r="J3516" s="8" t="n">
        <v>3.47</v>
      </c>
      <c r="K3516" s="8" t="n">
        <v>40.24</v>
      </c>
      <c r="L3516" s="8" t="n">
        <v>0</v>
      </c>
      <c r="M3516" s="9">
        <f>ROUND(SUM(I3516:L3516),2)</f>
        <v/>
      </c>
      <c r="N3516" s="10">
        <f>ROUND(I3516*'Irish Basis'!$C$6*'Irish Basis'!$C$5,2)</f>
        <v/>
      </c>
      <c r="O3516" s="10">
        <f>ROUND(J3516*'Irish Basis'!$C$7*'Irish Basis'!$C$5,2)</f>
        <v/>
      </c>
      <c r="P3516" s="10">
        <f>ROUND(K3516*'Irish Basis'!$C$8*'Irish Basis'!$C$5,2)</f>
        <v/>
      </c>
      <c r="Q3516" s="10">
        <f>ROUND(L3516*'Irish Basis'!$C$12*'Irish Basis'!$C$5,2)</f>
        <v/>
      </c>
      <c r="R3516" s="11">
        <f>ROUND(SUM(N3516:Q3516),2)</f>
        <v/>
      </c>
      <c r="S3516" s="5" t="inlineStr">
        <is>
          <t>Stated build-up</t>
        </is>
      </c>
      <c r="T3516" s="12" t="inlineStr">
        <is>
          <t>High</t>
        </is>
      </c>
      <c r="U3516" s="8" t="n">
        <v>93.61</v>
      </c>
      <c r="V3516" s="13">
        <f>IF(U3516="","",ROUND(M3516-U3516,2))</f>
        <v/>
      </c>
      <c r="W3516" s="5" t="n"/>
      <c r="X3516" s="5" t="inlineStr">
        <is>
          <t>Labour + plant + material as published; reconciles to the published rate.</t>
        </is>
      </c>
    </row>
    <row r="3517" ht="13" customHeight="1">
      <c r="A3517" s="4" t="n">
        <v>5386</v>
      </c>
      <c r="B3517" s="5" t="inlineStr">
        <is>
          <t>IMG_0139</t>
        </is>
      </c>
      <c r="C3517" s="5" t="inlineStr">
        <is>
          <t>CLASS U: BRICKWORK, BLOCKWORK AND MASONRY</t>
        </is>
      </c>
      <c r="D3517" s="5" t="inlineStr">
        <is>
          <t>01 COMMON BRICKWORK</t>
        </is>
      </c>
      <c r="E3517" s="5" t="inlineStr">
        <is>
          <t>Common bricks in cement mortar designation (ii); Thickness 103 mm</t>
        </is>
      </c>
      <c r="F3517" s="5" t="inlineStr">
        <is>
          <t>battered straight walls</t>
        </is>
      </c>
      <c r="G3517" s="6" t="inlineStr">
        <is>
          <t>m2</t>
        </is>
      </c>
      <c r="H3517" s="7" t="n">
        <v>0.33</v>
      </c>
      <c r="I3517" s="8" t="n">
        <v>55.47</v>
      </c>
      <c r="J3517" s="8" t="n">
        <v>3.9</v>
      </c>
      <c r="K3517" s="8" t="n">
        <v>40.24</v>
      </c>
      <c r="L3517" s="8" t="n">
        <v>0</v>
      </c>
      <c r="M3517" s="9">
        <f>ROUND(SUM(I3517:L3517),2)</f>
        <v/>
      </c>
      <c r="N3517" s="10">
        <f>ROUND(I3517*'Irish Basis'!$C$6*'Irish Basis'!$C$5,2)</f>
        <v/>
      </c>
      <c r="O3517" s="10">
        <f>ROUND(J3517*'Irish Basis'!$C$7*'Irish Basis'!$C$5,2)</f>
        <v/>
      </c>
      <c r="P3517" s="10">
        <f>ROUND(K3517*'Irish Basis'!$C$8*'Irish Basis'!$C$5,2)</f>
        <v/>
      </c>
      <c r="Q3517" s="10">
        <f>ROUND(L3517*'Irish Basis'!$C$12*'Irish Basis'!$C$5,2)</f>
        <v/>
      </c>
      <c r="R3517" s="11">
        <f>ROUND(SUM(N3517:Q3517),2)</f>
        <v/>
      </c>
      <c r="S3517" s="5" t="inlineStr">
        <is>
          <t>Stated build-up</t>
        </is>
      </c>
      <c r="T3517" s="12" t="inlineStr">
        <is>
          <t>High</t>
        </is>
      </c>
      <c r="U3517" s="8" t="n">
        <v>99.61</v>
      </c>
      <c r="V3517" s="13">
        <f>IF(U3517="","",ROUND(M3517-U3517,2))</f>
        <v/>
      </c>
      <c r="W3517" s="5" t="n"/>
      <c r="X3517" s="5" t="inlineStr">
        <is>
          <t>Labour + plant + material as published; reconciles to the published rate.</t>
        </is>
      </c>
    </row>
    <row r="3518" ht="13" customHeight="1">
      <c r="A3518" s="4" t="n">
        <v>5387</v>
      </c>
      <c r="B3518" s="5" t="inlineStr">
        <is>
          <t>IMG_0139</t>
        </is>
      </c>
      <c r="C3518" s="5" t="inlineStr">
        <is>
          <t>CLASS U: BRICKWORK, BLOCKWORK AND MASONRY</t>
        </is>
      </c>
      <c r="D3518" s="5" t="inlineStr">
        <is>
          <t>01 COMMON BRICKWORK</t>
        </is>
      </c>
      <c r="E3518" s="5" t="inlineStr">
        <is>
          <t>Common bricks in cement mortar designation (ii); Thickness 103 mm</t>
        </is>
      </c>
      <c r="F3518" s="5" t="inlineStr">
        <is>
          <t>battered curved walls</t>
        </is>
      </c>
      <c r="G3518" s="6" t="inlineStr">
        <is>
          <t>m2</t>
        </is>
      </c>
      <c r="H3518" s="7" t="n">
        <v>0.37</v>
      </c>
      <c r="I3518" s="8" t="n">
        <v>62.38</v>
      </c>
      <c r="J3518" s="8" t="n">
        <v>4.39</v>
      </c>
      <c r="K3518" s="8" t="n">
        <v>40.24</v>
      </c>
      <c r="L3518" s="8" t="n">
        <v>0</v>
      </c>
      <c r="M3518" s="9">
        <f>ROUND(SUM(I3518:L3518),2)</f>
        <v/>
      </c>
      <c r="N3518" s="10">
        <f>ROUND(I3518*'Irish Basis'!$C$6*'Irish Basis'!$C$5,2)</f>
        <v/>
      </c>
      <c r="O3518" s="10">
        <f>ROUND(J3518*'Irish Basis'!$C$7*'Irish Basis'!$C$5,2)</f>
        <v/>
      </c>
      <c r="P3518" s="10">
        <f>ROUND(K3518*'Irish Basis'!$C$8*'Irish Basis'!$C$5,2)</f>
        <v/>
      </c>
      <c r="Q3518" s="10">
        <f>ROUND(L3518*'Irish Basis'!$C$12*'Irish Basis'!$C$5,2)</f>
        <v/>
      </c>
      <c r="R3518" s="11">
        <f>ROUND(SUM(N3518:Q3518),2)</f>
        <v/>
      </c>
      <c r="S3518" s="5" t="inlineStr">
        <is>
          <t>Stated build-up</t>
        </is>
      </c>
      <c r="T3518" s="12" t="inlineStr">
        <is>
          <t>High</t>
        </is>
      </c>
      <c r="U3518" s="8" t="n">
        <v>107</v>
      </c>
      <c r="V3518" s="13">
        <f>IF(U3518="","",ROUND(M3518-U3518,2))</f>
        <v/>
      </c>
      <c r="W3518" s="5" t="n"/>
      <c r="X3518" s="5" t="inlineStr">
        <is>
          <t>Labour + plant + material as published; reconciles to the published rate.</t>
        </is>
      </c>
    </row>
    <row r="3519" ht="13" customHeight="1">
      <c r="A3519" s="4" t="n">
        <v>5388</v>
      </c>
      <c r="B3519" s="5" t="inlineStr">
        <is>
          <t>IMG_0139</t>
        </is>
      </c>
      <c r="C3519" s="5" t="inlineStr">
        <is>
          <t>CLASS U: BRICKWORK, BLOCKWORK AND MASONRY</t>
        </is>
      </c>
      <c r="D3519" s="5" t="inlineStr">
        <is>
          <t>01 COMMON BRICKWORK</t>
        </is>
      </c>
      <c r="E3519" s="5" t="inlineStr">
        <is>
          <t>Common bricks in cement mortar designation (ii); Thickness 103 mm</t>
        </is>
      </c>
      <c r="F3519" s="5" t="inlineStr">
        <is>
          <t>vertical facing to concrete</t>
        </is>
      </c>
      <c r="G3519" s="6" t="inlineStr">
        <is>
          <t>m2</t>
        </is>
      </c>
      <c r="H3519" s="7" t="n">
        <v>0.25</v>
      </c>
      <c r="I3519" s="8" t="n">
        <v>41.64</v>
      </c>
      <c r="J3519" s="8" t="n">
        <v>2.93</v>
      </c>
      <c r="K3519" s="8" t="n">
        <v>47.27</v>
      </c>
      <c r="L3519" s="8" t="n">
        <v>0</v>
      </c>
      <c r="M3519" s="9">
        <f>ROUND(SUM(I3519:L3519),2)</f>
        <v/>
      </c>
      <c r="N3519" s="10">
        <f>ROUND(I3519*'Irish Basis'!$C$6*'Irish Basis'!$C$5,2)</f>
        <v/>
      </c>
      <c r="O3519" s="10">
        <f>ROUND(J3519*'Irish Basis'!$C$7*'Irish Basis'!$C$5,2)</f>
        <v/>
      </c>
      <c r="P3519" s="10">
        <f>ROUND(K3519*'Irish Basis'!$C$8*'Irish Basis'!$C$5,2)</f>
        <v/>
      </c>
      <c r="Q3519" s="10">
        <f>ROUND(L3519*'Irish Basis'!$C$12*'Irish Basis'!$C$5,2)</f>
        <v/>
      </c>
      <c r="R3519" s="11">
        <f>ROUND(SUM(N3519:Q3519),2)</f>
        <v/>
      </c>
      <c r="S3519" s="5" t="inlineStr">
        <is>
          <t>Stated build-up</t>
        </is>
      </c>
      <c r="T3519" s="12" t="inlineStr">
        <is>
          <t>High</t>
        </is>
      </c>
      <c r="U3519" s="8" t="n">
        <v>91.84</v>
      </c>
      <c r="V3519" s="13">
        <f>IF(U3519="","",ROUND(M3519-U3519,2))</f>
        <v/>
      </c>
      <c r="W3519" s="5" t="n"/>
      <c r="X3519" s="5" t="inlineStr">
        <is>
          <t>Labour + plant + material as published; reconciles to the published rate.</t>
        </is>
      </c>
    </row>
    <row r="3520" ht="13" customHeight="1">
      <c r="A3520" s="4" t="n">
        <v>5389</v>
      </c>
      <c r="B3520" s="5" t="inlineStr">
        <is>
          <t>IMG_0139</t>
        </is>
      </c>
      <c r="C3520" s="5" t="inlineStr">
        <is>
          <t>CLASS U: BRICKWORK, BLOCKWORK AND MASONRY</t>
        </is>
      </c>
      <c r="D3520" s="5" t="inlineStr">
        <is>
          <t>01 COMMON BRICKWORK</t>
        </is>
      </c>
      <c r="E3520" s="5" t="inlineStr">
        <is>
          <t>Common bricks in cement mortar designation (ii); Thickness 103 mm</t>
        </is>
      </c>
      <c r="F3520" s="5" t="inlineStr">
        <is>
          <t>battered facing to concrete</t>
        </is>
      </c>
      <c r="G3520" s="6" t="inlineStr">
        <is>
          <t>m2</t>
        </is>
      </c>
      <c r="H3520" s="7" t="n">
        <v>0.37</v>
      </c>
      <c r="I3520" s="8" t="n">
        <v>62.38</v>
      </c>
      <c r="J3520" s="8" t="n">
        <v>4.39</v>
      </c>
      <c r="K3520" s="8" t="n">
        <v>47.29</v>
      </c>
      <c r="L3520" s="8" t="n">
        <v>0</v>
      </c>
      <c r="M3520" s="9">
        <f>ROUND(SUM(I3520:L3520),2)</f>
        <v/>
      </c>
      <c r="N3520" s="10">
        <f>ROUND(I3520*'Irish Basis'!$C$6*'Irish Basis'!$C$5,2)</f>
        <v/>
      </c>
      <c r="O3520" s="10">
        <f>ROUND(J3520*'Irish Basis'!$C$7*'Irish Basis'!$C$5,2)</f>
        <v/>
      </c>
      <c r="P3520" s="10">
        <f>ROUND(K3520*'Irish Basis'!$C$8*'Irish Basis'!$C$5,2)</f>
        <v/>
      </c>
      <c r="Q3520" s="10">
        <f>ROUND(L3520*'Irish Basis'!$C$12*'Irish Basis'!$C$5,2)</f>
        <v/>
      </c>
      <c r="R3520" s="11">
        <f>ROUND(SUM(N3520:Q3520),2)</f>
        <v/>
      </c>
      <c r="S3520" s="5" t="inlineStr">
        <is>
          <t>Stated build-up</t>
        </is>
      </c>
      <c r="T3520" s="12" t="inlineStr">
        <is>
          <t>High</t>
        </is>
      </c>
      <c r="U3520" s="8" t="n">
        <v>114.06</v>
      </c>
      <c r="V3520" s="13">
        <f>IF(U3520="","",ROUND(M3520-U3520,2))</f>
        <v/>
      </c>
      <c r="W3520" s="5" t="n"/>
      <c r="X3520" s="5" t="inlineStr">
        <is>
          <t>Labour + plant + material as published; reconciles to the published rate.</t>
        </is>
      </c>
    </row>
    <row r="3521" ht="13" customHeight="1">
      <c r="A3521" s="4" t="n">
        <v>5390</v>
      </c>
      <c r="B3521" s="5" t="inlineStr">
        <is>
          <t>IMG_0139</t>
        </is>
      </c>
      <c r="C3521" s="5" t="inlineStr">
        <is>
          <t>CLASS U: BRICKWORK, BLOCKWORK AND MASONRY</t>
        </is>
      </c>
      <c r="D3521" s="5" t="inlineStr">
        <is>
          <t>01 COMMON BRICKWORK</t>
        </is>
      </c>
      <c r="E3521" s="5" t="inlineStr">
        <is>
          <t>Common bricks in cement mortar designation (ii); Thickness 103 mm</t>
        </is>
      </c>
      <c r="F3521" s="5" t="inlineStr">
        <is>
          <t>casing to metal sections</t>
        </is>
      </c>
      <c r="G3521" s="6" t="inlineStr">
        <is>
          <t>m2</t>
        </is>
      </c>
      <c r="H3521" s="7" t="n">
        <v>0.32</v>
      </c>
      <c r="I3521" s="8" t="n">
        <v>53.11</v>
      </c>
      <c r="J3521" s="8" t="n">
        <v>3.74</v>
      </c>
      <c r="K3521" s="8" t="n">
        <v>47.29</v>
      </c>
      <c r="L3521" s="8" t="n">
        <v>0</v>
      </c>
      <c r="M3521" s="9">
        <f>ROUND(SUM(I3521:L3521),2)</f>
        <v/>
      </c>
      <c r="N3521" s="10">
        <f>ROUND(I3521*'Irish Basis'!$C$6*'Irish Basis'!$C$5,2)</f>
        <v/>
      </c>
      <c r="O3521" s="10">
        <f>ROUND(J3521*'Irish Basis'!$C$7*'Irish Basis'!$C$5,2)</f>
        <v/>
      </c>
      <c r="P3521" s="10">
        <f>ROUND(K3521*'Irish Basis'!$C$8*'Irish Basis'!$C$5,2)</f>
        <v/>
      </c>
      <c r="Q3521" s="10">
        <f>ROUND(L3521*'Irish Basis'!$C$12*'Irish Basis'!$C$5,2)</f>
        <v/>
      </c>
      <c r="R3521" s="11">
        <f>ROUND(SUM(N3521:Q3521),2)</f>
        <v/>
      </c>
      <c r="S3521" s="5" t="inlineStr">
        <is>
          <t>Stated build-up</t>
        </is>
      </c>
      <c r="T3521" s="12" t="inlineStr">
        <is>
          <t>High</t>
        </is>
      </c>
      <c r="U3521" s="8" t="n">
        <v>104.14</v>
      </c>
      <c r="V3521" s="13">
        <f>IF(U3521="","",ROUND(M3521-U3521,2))</f>
        <v/>
      </c>
      <c r="W3521" s="5" t="n"/>
      <c r="X3521" s="5" t="inlineStr">
        <is>
          <t>Labour + plant + material as published; reconciles to the published rate.</t>
        </is>
      </c>
    </row>
    <row r="3522" ht="13" customHeight="1">
      <c r="A3522" s="4" t="n">
        <v>5392</v>
      </c>
      <c r="B3522" s="5" t="inlineStr">
        <is>
          <t>IMG_0139</t>
        </is>
      </c>
      <c r="C3522" s="5" t="inlineStr">
        <is>
          <t>CLASS U: BRICKWORK, BLOCKWORK AND MASONRY</t>
        </is>
      </c>
      <c r="D3522" s="5" t="inlineStr">
        <is>
          <t>01 COMMON BRICKWORK</t>
        </is>
      </c>
      <c r="E3522" s="5" t="inlineStr">
        <is>
          <t>Thickness 215 mm</t>
        </is>
      </c>
      <c r="F3522" s="5" t="inlineStr">
        <is>
          <t>vertical straight walls</t>
        </is>
      </c>
      <c r="G3522" s="6" t="inlineStr">
        <is>
          <t>m2</t>
        </is>
      </c>
      <c r="H3522" s="7" t="n">
        <v>0.44</v>
      </c>
      <c r="I3522" s="8" t="n">
        <v>74.52</v>
      </c>
      <c r="J3522" s="8" t="n">
        <v>5.24</v>
      </c>
      <c r="K3522" s="8" t="n">
        <v>81.25</v>
      </c>
      <c r="L3522" s="8" t="n">
        <v>0</v>
      </c>
      <c r="M3522" s="9">
        <f>ROUND(SUM(I3522:L3522),2)</f>
        <v/>
      </c>
      <c r="N3522" s="10">
        <f>ROUND(I3522*'Irish Basis'!$C$6*'Irish Basis'!$C$5,2)</f>
        <v/>
      </c>
      <c r="O3522" s="10">
        <f>ROUND(J3522*'Irish Basis'!$C$7*'Irish Basis'!$C$5,2)</f>
        <v/>
      </c>
      <c r="P3522" s="10">
        <f>ROUND(K3522*'Irish Basis'!$C$8*'Irish Basis'!$C$5,2)</f>
        <v/>
      </c>
      <c r="Q3522" s="10">
        <f>ROUND(L3522*'Irish Basis'!$C$12*'Irish Basis'!$C$5,2)</f>
        <v/>
      </c>
      <c r="R3522" s="11">
        <f>ROUND(SUM(N3522:Q3522),2)</f>
        <v/>
      </c>
      <c r="S3522" s="5" t="inlineStr">
        <is>
          <t>Stated build-up</t>
        </is>
      </c>
      <c r="T3522" s="12" t="inlineStr">
        <is>
          <t>High</t>
        </is>
      </c>
      <c r="U3522" s="8" t="n">
        <v>161.01</v>
      </c>
      <c r="V3522" s="13">
        <f>IF(U3522="","",ROUND(M3522-U3522,2))</f>
        <v/>
      </c>
      <c r="W3522" s="5" t="n"/>
      <c r="X3522" s="5" t="inlineStr">
        <is>
          <t>Labour + plant + material as published; reconciles to the published rate.</t>
        </is>
      </c>
    </row>
    <row r="3523" ht="13" customHeight="1">
      <c r="A3523" s="4" t="n">
        <v>5393</v>
      </c>
      <c r="B3523" s="5" t="inlineStr">
        <is>
          <t>IMG_0139</t>
        </is>
      </c>
      <c r="C3523" s="5" t="inlineStr">
        <is>
          <t>CLASS U: BRICKWORK, BLOCKWORK AND MASONRY</t>
        </is>
      </c>
      <c r="D3523" s="5" t="inlineStr">
        <is>
          <t>01 COMMON BRICKWORK</t>
        </is>
      </c>
      <c r="E3523" s="5" t="inlineStr">
        <is>
          <t>Thickness 215 mm</t>
        </is>
      </c>
      <c r="F3523" s="5" t="inlineStr">
        <is>
          <t>vertical curved walls</t>
        </is>
      </c>
      <c r="G3523" s="6" t="inlineStr">
        <is>
          <t>m2</t>
        </is>
      </c>
      <c r="H3523" s="7" t="n">
        <v>0.57</v>
      </c>
      <c r="I3523" s="8" t="n">
        <v>96.09999999999999</v>
      </c>
      <c r="J3523" s="8" t="n">
        <v>6.76</v>
      </c>
      <c r="K3523" s="8" t="n">
        <v>81.25</v>
      </c>
      <c r="L3523" s="8" t="n">
        <v>0</v>
      </c>
      <c r="M3523" s="9">
        <f>ROUND(SUM(I3523:L3523),2)</f>
        <v/>
      </c>
      <c r="N3523" s="10">
        <f>ROUND(I3523*'Irish Basis'!$C$6*'Irish Basis'!$C$5,2)</f>
        <v/>
      </c>
      <c r="O3523" s="10">
        <f>ROUND(J3523*'Irish Basis'!$C$7*'Irish Basis'!$C$5,2)</f>
        <v/>
      </c>
      <c r="P3523" s="10">
        <f>ROUND(K3523*'Irish Basis'!$C$8*'Irish Basis'!$C$5,2)</f>
        <v/>
      </c>
      <c r="Q3523" s="10">
        <f>ROUND(L3523*'Irish Basis'!$C$12*'Irish Basis'!$C$5,2)</f>
        <v/>
      </c>
      <c r="R3523" s="11">
        <f>ROUND(SUM(N3523:Q3523),2)</f>
        <v/>
      </c>
      <c r="S3523" s="5" t="inlineStr">
        <is>
          <t>Stated build-up</t>
        </is>
      </c>
      <c r="T3523" s="12" t="inlineStr">
        <is>
          <t>High</t>
        </is>
      </c>
      <c r="U3523" s="8" t="n">
        <v>184.11</v>
      </c>
      <c r="V3523" s="13">
        <f>IF(U3523="","",ROUND(M3523-U3523,2))</f>
        <v/>
      </c>
      <c r="W3523" s="5" t="n"/>
      <c r="X3523" s="5" t="inlineStr">
        <is>
          <t>Labour + plant + material as published; reconciles to the published rate.</t>
        </is>
      </c>
    </row>
    <row r="3524" ht="13" customHeight="1">
      <c r="A3524" s="4" t="n">
        <v>5394</v>
      </c>
      <c r="B3524" s="5" t="inlineStr">
        <is>
          <t>IMG_0139</t>
        </is>
      </c>
      <c r="C3524" s="5" t="inlineStr">
        <is>
          <t>CLASS U: BRICKWORK, BLOCKWORK AND MASONRY</t>
        </is>
      </c>
      <c r="D3524" s="5" t="inlineStr">
        <is>
          <t>01 COMMON BRICKWORK</t>
        </is>
      </c>
      <c r="E3524" s="5" t="inlineStr">
        <is>
          <t>Thickness 215 mm</t>
        </is>
      </c>
      <c r="F3524" s="5" t="inlineStr">
        <is>
          <t>battered straight walls</t>
        </is>
      </c>
      <c r="G3524" s="6" t="inlineStr">
        <is>
          <t>m2</t>
        </is>
      </c>
      <c r="H3524" s="7" t="n">
        <v>0.63</v>
      </c>
      <c r="I3524" s="8" t="n">
        <v>106.21</v>
      </c>
      <c r="J3524" s="8" t="n">
        <v>7.48</v>
      </c>
      <c r="K3524" s="8" t="n">
        <v>81.25</v>
      </c>
      <c r="L3524" s="8" t="n">
        <v>0</v>
      </c>
      <c r="M3524" s="9">
        <f>ROUND(SUM(I3524:L3524),2)</f>
        <v/>
      </c>
      <c r="N3524" s="10">
        <f>ROUND(I3524*'Irish Basis'!$C$6*'Irish Basis'!$C$5,2)</f>
        <v/>
      </c>
      <c r="O3524" s="10">
        <f>ROUND(J3524*'Irish Basis'!$C$7*'Irish Basis'!$C$5,2)</f>
        <v/>
      </c>
      <c r="P3524" s="10">
        <f>ROUND(K3524*'Irish Basis'!$C$8*'Irish Basis'!$C$5,2)</f>
        <v/>
      </c>
      <c r="Q3524" s="10">
        <f>ROUND(L3524*'Irish Basis'!$C$12*'Irish Basis'!$C$5,2)</f>
        <v/>
      </c>
      <c r="R3524" s="11">
        <f>ROUND(SUM(N3524:Q3524),2)</f>
        <v/>
      </c>
      <c r="S3524" s="5" t="inlineStr">
        <is>
          <t>Stated build-up</t>
        </is>
      </c>
      <c r="T3524" s="12" t="inlineStr">
        <is>
          <t>High</t>
        </is>
      </c>
      <c r="U3524" s="8" t="n">
        <v>194.94</v>
      </c>
      <c r="V3524" s="13">
        <f>IF(U3524="","",ROUND(M3524-U3524,2))</f>
        <v/>
      </c>
      <c r="W3524" s="5" t="n"/>
      <c r="X3524" s="5" t="inlineStr">
        <is>
          <t>Labour + plant + material as published; reconciles to the published rate.</t>
        </is>
      </c>
    </row>
    <row r="3525" ht="13" customHeight="1">
      <c r="A3525" s="4" t="n">
        <v>5395</v>
      </c>
      <c r="B3525" s="5" t="inlineStr">
        <is>
          <t>IMG_0139</t>
        </is>
      </c>
      <c r="C3525" s="5" t="inlineStr">
        <is>
          <t>CLASS U: BRICKWORK, BLOCKWORK AND MASONRY</t>
        </is>
      </c>
      <c r="D3525" s="5" t="inlineStr">
        <is>
          <t>01 COMMON BRICKWORK</t>
        </is>
      </c>
      <c r="E3525" s="5" t="inlineStr">
        <is>
          <t>Thickness 215 mm</t>
        </is>
      </c>
      <c r="F3525" s="5" t="inlineStr">
        <is>
          <t>battered curved walls</t>
        </is>
      </c>
      <c r="G3525" s="6" t="inlineStr">
        <is>
          <t>m2</t>
        </is>
      </c>
      <c r="H3525" s="7" t="n">
        <v>0.71</v>
      </c>
      <c r="I3525" s="8" t="n">
        <v>119.7</v>
      </c>
      <c r="J3525" s="8" t="n">
        <v>8.369999999999999</v>
      </c>
      <c r="K3525" s="8" t="n">
        <v>81.25</v>
      </c>
      <c r="L3525" s="8" t="n">
        <v>0</v>
      </c>
      <c r="M3525" s="9">
        <f>ROUND(SUM(I3525:L3525),2)</f>
        <v/>
      </c>
      <c r="N3525" s="10">
        <f>ROUND(I3525*'Irish Basis'!$C$6*'Irish Basis'!$C$5,2)</f>
        <v/>
      </c>
      <c r="O3525" s="10">
        <f>ROUND(J3525*'Irish Basis'!$C$7*'Irish Basis'!$C$5,2)</f>
        <v/>
      </c>
      <c r="P3525" s="10">
        <f>ROUND(K3525*'Irish Basis'!$C$8*'Irish Basis'!$C$5,2)</f>
        <v/>
      </c>
      <c r="Q3525" s="10">
        <f>ROUND(L3525*'Irish Basis'!$C$12*'Irish Basis'!$C$5,2)</f>
        <v/>
      </c>
      <c r="R3525" s="11">
        <f>ROUND(SUM(N3525:Q3525),2)</f>
        <v/>
      </c>
      <c r="S3525" s="5" t="inlineStr">
        <is>
          <t>Stated build-up</t>
        </is>
      </c>
      <c r="T3525" s="12" t="inlineStr">
        <is>
          <t>High</t>
        </is>
      </c>
      <c r="U3525" s="8" t="n">
        <v>209.32</v>
      </c>
      <c r="V3525" s="13">
        <f>IF(U3525="","",ROUND(M3525-U3525,2))</f>
        <v/>
      </c>
      <c r="W3525" s="5" t="n"/>
      <c r="X3525" s="5" t="inlineStr">
        <is>
          <t>Labour + plant + material as published; reconciles to the published rate.</t>
        </is>
      </c>
    </row>
    <row r="3526" ht="13" customHeight="1">
      <c r="A3526" s="4" t="n">
        <v>5396</v>
      </c>
      <c r="B3526" s="5" t="inlineStr">
        <is>
          <t>IMG_0139</t>
        </is>
      </c>
      <c r="C3526" s="5" t="inlineStr">
        <is>
          <t>CLASS U: BRICKWORK, BLOCKWORK AND MASONRY</t>
        </is>
      </c>
      <c r="D3526" s="5" t="inlineStr">
        <is>
          <t>01 COMMON BRICKWORK</t>
        </is>
      </c>
      <c r="E3526" s="5" t="inlineStr">
        <is>
          <t>Thickness 215 mm</t>
        </is>
      </c>
      <c r="F3526" s="5" t="inlineStr">
        <is>
          <t>vertical facing to concrete</t>
        </is>
      </c>
      <c r="G3526" s="6" t="inlineStr">
        <is>
          <t>m2</t>
        </is>
      </c>
      <c r="H3526" s="7" t="n">
        <v>0.48</v>
      </c>
      <c r="I3526" s="8" t="n">
        <v>80.92</v>
      </c>
      <c r="J3526" s="8" t="n">
        <v>5.68</v>
      </c>
      <c r="K3526" s="8" t="n">
        <v>88.28</v>
      </c>
      <c r="L3526" s="8" t="n">
        <v>0</v>
      </c>
      <c r="M3526" s="9">
        <f>ROUND(SUM(I3526:L3526),2)</f>
        <v/>
      </c>
      <c r="N3526" s="10">
        <f>ROUND(I3526*'Irish Basis'!$C$6*'Irish Basis'!$C$5,2)</f>
        <v/>
      </c>
      <c r="O3526" s="10">
        <f>ROUND(J3526*'Irish Basis'!$C$7*'Irish Basis'!$C$5,2)</f>
        <v/>
      </c>
      <c r="P3526" s="10">
        <f>ROUND(K3526*'Irish Basis'!$C$8*'Irish Basis'!$C$5,2)</f>
        <v/>
      </c>
      <c r="Q3526" s="10">
        <f>ROUND(L3526*'Irish Basis'!$C$12*'Irish Basis'!$C$5,2)</f>
        <v/>
      </c>
      <c r="R3526" s="11">
        <f>ROUND(SUM(N3526:Q3526),2)</f>
        <v/>
      </c>
      <c r="S3526" s="5" t="inlineStr">
        <is>
          <t>Stated build-up</t>
        </is>
      </c>
      <c r="T3526" s="12" t="inlineStr">
        <is>
          <t>High</t>
        </is>
      </c>
      <c r="U3526" s="8" t="n">
        <v>174.88</v>
      </c>
      <c r="V3526" s="13">
        <f>IF(U3526="","",ROUND(M3526-U3526,2))</f>
        <v/>
      </c>
      <c r="W3526" s="5" t="n"/>
      <c r="X3526" s="5" t="inlineStr">
        <is>
          <t>Labour + plant + material as published; reconciles to the published rate.</t>
        </is>
      </c>
    </row>
    <row r="3527" ht="13" customHeight="1">
      <c r="A3527" s="4" t="n">
        <v>5397</v>
      </c>
      <c r="B3527" s="5" t="inlineStr">
        <is>
          <t>IMG_0139</t>
        </is>
      </c>
      <c r="C3527" s="5" t="inlineStr">
        <is>
          <t>CLASS U: BRICKWORK, BLOCKWORK AND MASONRY</t>
        </is>
      </c>
      <c r="D3527" s="5" t="inlineStr">
        <is>
          <t>01 COMMON BRICKWORK</t>
        </is>
      </c>
      <c r="E3527" s="5" t="inlineStr">
        <is>
          <t>Thickness 215 mm</t>
        </is>
      </c>
      <c r="F3527" s="5" t="inlineStr">
        <is>
          <t>battered facing to concrete</t>
        </is>
      </c>
      <c r="G3527" s="6" t="inlineStr">
        <is>
          <t>m2</t>
        </is>
      </c>
      <c r="H3527" s="7" t="n">
        <v>0.71</v>
      </c>
      <c r="I3527" s="8" t="n">
        <v>119.7</v>
      </c>
      <c r="J3527" s="8" t="n">
        <v>8.369999999999999</v>
      </c>
      <c r="K3527" s="8" t="n">
        <v>88.28</v>
      </c>
      <c r="L3527" s="8" t="n">
        <v>0</v>
      </c>
      <c r="M3527" s="9">
        <f>ROUND(SUM(I3527:L3527),2)</f>
        <v/>
      </c>
      <c r="N3527" s="10">
        <f>ROUND(I3527*'Irish Basis'!$C$6*'Irish Basis'!$C$5,2)</f>
        <v/>
      </c>
      <c r="O3527" s="10">
        <f>ROUND(J3527*'Irish Basis'!$C$7*'Irish Basis'!$C$5,2)</f>
        <v/>
      </c>
      <c r="P3527" s="10">
        <f>ROUND(K3527*'Irish Basis'!$C$8*'Irish Basis'!$C$5,2)</f>
        <v/>
      </c>
      <c r="Q3527" s="10">
        <f>ROUND(L3527*'Irish Basis'!$C$12*'Irish Basis'!$C$5,2)</f>
        <v/>
      </c>
      <c r="R3527" s="11">
        <f>ROUND(SUM(N3527:Q3527),2)</f>
        <v/>
      </c>
      <c r="S3527" s="5" t="inlineStr">
        <is>
          <t>Stated build-up</t>
        </is>
      </c>
      <c r="T3527" s="12" t="inlineStr">
        <is>
          <t>High</t>
        </is>
      </c>
      <c r="U3527" s="8" t="n">
        <v>216.35</v>
      </c>
      <c r="V3527" s="13">
        <f>IF(U3527="","",ROUND(M3527-U3527,2))</f>
        <v/>
      </c>
      <c r="W3527" s="5" t="n"/>
      <c r="X3527" s="5" t="inlineStr">
        <is>
          <t>Labour + plant + material as published; reconciles to the published rate.</t>
        </is>
      </c>
    </row>
    <row r="3528" ht="13" customHeight="1">
      <c r="A3528" s="4" t="n">
        <v>5398</v>
      </c>
      <c r="B3528" s="5" t="inlineStr">
        <is>
          <t>IMG_0139</t>
        </is>
      </c>
      <c r="C3528" s="5" t="inlineStr">
        <is>
          <t>CLASS U: BRICKWORK, BLOCKWORK AND MASONRY</t>
        </is>
      </c>
      <c r="D3528" s="5" t="inlineStr">
        <is>
          <t>01 COMMON BRICKWORK</t>
        </is>
      </c>
      <c r="E3528" s="5" t="inlineStr">
        <is>
          <t>Thickness 215 mm</t>
        </is>
      </c>
      <c r="F3528" s="5" t="inlineStr">
        <is>
          <t>casing to metal sections</t>
        </is>
      </c>
      <c r="G3528" s="6" t="inlineStr">
        <is>
          <t>m2</t>
        </is>
      </c>
      <c r="H3528" s="7" t="n">
        <v>0.61</v>
      </c>
      <c r="I3528" s="8" t="n">
        <v>102.84</v>
      </c>
      <c r="J3528" s="8" t="n">
        <v>7.18</v>
      </c>
      <c r="K3528" s="8" t="n">
        <v>88.28</v>
      </c>
      <c r="L3528" s="8" t="n">
        <v>0</v>
      </c>
      <c r="M3528" s="9">
        <f>ROUND(SUM(I3528:L3528),2)</f>
        <v/>
      </c>
      <c r="N3528" s="10">
        <f>ROUND(I3528*'Irish Basis'!$C$6*'Irish Basis'!$C$5,2)</f>
        <v/>
      </c>
      <c r="O3528" s="10">
        <f>ROUND(J3528*'Irish Basis'!$C$7*'Irish Basis'!$C$5,2)</f>
        <v/>
      </c>
      <c r="P3528" s="10">
        <f>ROUND(K3528*'Irish Basis'!$C$8*'Irish Basis'!$C$5,2)</f>
        <v/>
      </c>
      <c r="Q3528" s="10">
        <f>ROUND(L3528*'Irish Basis'!$C$12*'Irish Basis'!$C$5,2)</f>
        <v/>
      </c>
      <c r="R3528" s="11">
        <f>ROUND(SUM(N3528:Q3528),2)</f>
        <v/>
      </c>
      <c r="S3528" s="5" t="inlineStr">
        <is>
          <t>Stated build-up</t>
        </is>
      </c>
      <c r="T3528" s="12" t="inlineStr">
        <is>
          <t>High</t>
        </is>
      </c>
      <c r="U3528" s="8" t="n">
        <v>198.31</v>
      </c>
      <c r="V3528" s="13">
        <f>IF(U3528="","",ROUND(M3528-U3528,2))</f>
        <v/>
      </c>
      <c r="W3528" s="5" t="n"/>
      <c r="X3528" s="5" t="inlineStr">
        <is>
          <t>Labour + plant + material as published; reconciles to the published rate.</t>
        </is>
      </c>
    </row>
    <row r="3529" ht="13" customHeight="1">
      <c r="A3529" s="4" t="n">
        <v>5400</v>
      </c>
      <c r="B3529" s="5" t="inlineStr">
        <is>
          <t>IMG_0139</t>
        </is>
      </c>
      <c r="C3529" s="5" t="inlineStr">
        <is>
          <t>CLASS U: BRICKWORK, BLOCKWORK AND MASONRY</t>
        </is>
      </c>
      <c r="D3529" s="5" t="inlineStr">
        <is>
          <t>01 COMMON BRICKWORK</t>
        </is>
      </c>
      <c r="E3529" s="5" t="inlineStr">
        <is>
          <t>Thickness 328 mm</t>
        </is>
      </c>
      <c r="F3529" s="5" t="inlineStr">
        <is>
          <t>vertical straight walls</t>
        </is>
      </c>
      <c r="G3529" s="6" t="inlineStr">
        <is>
          <t>m2</t>
        </is>
      </c>
      <c r="H3529" s="7" t="n">
        <v>0.64</v>
      </c>
      <c r="I3529" s="8" t="n">
        <v>107.9</v>
      </c>
      <c r="J3529" s="8" t="n">
        <v>7.64</v>
      </c>
      <c r="K3529" s="8" t="n">
        <v>122.82</v>
      </c>
      <c r="L3529" s="8" t="n">
        <v>0</v>
      </c>
      <c r="M3529" s="9">
        <f>ROUND(SUM(I3529:L3529),2)</f>
        <v/>
      </c>
      <c r="N3529" s="10">
        <f>ROUND(I3529*'Irish Basis'!$C$6*'Irish Basis'!$C$5,2)</f>
        <v/>
      </c>
      <c r="O3529" s="10">
        <f>ROUND(J3529*'Irish Basis'!$C$7*'Irish Basis'!$C$5,2)</f>
        <v/>
      </c>
      <c r="P3529" s="10">
        <f>ROUND(K3529*'Irish Basis'!$C$8*'Irish Basis'!$C$5,2)</f>
        <v/>
      </c>
      <c r="Q3529" s="10">
        <f>ROUND(L3529*'Irish Basis'!$C$12*'Irish Basis'!$C$5,2)</f>
        <v/>
      </c>
      <c r="R3529" s="11">
        <f>ROUND(SUM(N3529:Q3529),2)</f>
        <v/>
      </c>
      <c r="S3529" s="5" t="inlineStr">
        <is>
          <t>Stated build-up</t>
        </is>
      </c>
      <c r="T3529" s="12" t="inlineStr">
        <is>
          <t>High</t>
        </is>
      </c>
      <c r="U3529" s="8" t="n">
        <v>238.36</v>
      </c>
      <c r="V3529" s="13">
        <f>IF(U3529="","",ROUND(M3529-U3529,2))</f>
        <v/>
      </c>
      <c r="W3529" s="5" t="n"/>
      <c r="X3529" s="5" t="inlineStr">
        <is>
          <t>Labour + plant + material as published; reconciles to the published rate.</t>
        </is>
      </c>
    </row>
    <row r="3530" ht="13" customHeight="1">
      <c r="A3530" s="4" t="n">
        <v>5401</v>
      </c>
      <c r="B3530" s="5" t="inlineStr">
        <is>
          <t>IMG_0139</t>
        </is>
      </c>
      <c r="C3530" s="5" t="inlineStr">
        <is>
          <t>CLASS U: BRICKWORK, BLOCKWORK AND MASONRY</t>
        </is>
      </c>
      <c r="D3530" s="5" t="inlineStr">
        <is>
          <t>01 COMMON BRICKWORK</t>
        </is>
      </c>
      <c r="E3530" s="5" t="inlineStr">
        <is>
          <t>Thickness 328 mm</t>
        </is>
      </c>
      <c r="F3530" s="5" t="inlineStr">
        <is>
          <t>vertical curved walls</t>
        </is>
      </c>
      <c r="G3530" s="6" t="inlineStr">
        <is>
          <t>m2</t>
        </is>
      </c>
      <c r="H3530" s="7" t="n">
        <v>0.82</v>
      </c>
      <c r="I3530" s="8" t="n">
        <v>138.24</v>
      </c>
      <c r="J3530" s="8" t="n">
        <v>9.77</v>
      </c>
      <c r="K3530" s="8" t="n">
        <v>122.82</v>
      </c>
      <c r="L3530" s="8" t="n">
        <v>0</v>
      </c>
      <c r="M3530" s="9">
        <f>ROUND(SUM(I3530:L3530),2)</f>
        <v/>
      </c>
      <c r="N3530" s="10">
        <f>ROUND(I3530*'Irish Basis'!$C$6*'Irish Basis'!$C$5,2)</f>
        <v/>
      </c>
      <c r="O3530" s="10">
        <f>ROUND(J3530*'Irish Basis'!$C$7*'Irish Basis'!$C$5,2)</f>
        <v/>
      </c>
      <c r="P3530" s="10">
        <f>ROUND(K3530*'Irish Basis'!$C$8*'Irish Basis'!$C$5,2)</f>
        <v/>
      </c>
      <c r="Q3530" s="10">
        <f>ROUND(L3530*'Irish Basis'!$C$12*'Irish Basis'!$C$5,2)</f>
        <v/>
      </c>
      <c r="R3530" s="11">
        <f>ROUND(SUM(N3530:Q3530),2)</f>
        <v/>
      </c>
      <c r="S3530" s="5" t="inlineStr">
        <is>
          <t>Stated build-up</t>
        </is>
      </c>
      <c r="T3530" s="12" t="inlineStr">
        <is>
          <t>High</t>
        </is>
      </c>
      <c r="U3530" s="8" t="n">
        <v>270.83</v>
      </c>
      <c r="V3530" s="13">
        <f>IF(U3530="","",ROUND(M3530-U3530,2))</f>
        <v/>
      </c>
      <c r="W3530" s="5" t="n"/>
      <c r="X3530" s="5" t="inlineStr">
        <is>
          <t>Labour + plant + material as published; reconciles to the published rate.</t>
        </is>
      </c>
    </row>
    <row r="3531" ht="13" customHeight="1">
      <c r="A3531" s="4" t="n">
        <v>5402</v>
      </c>
      <c r="B3531" s="5" t="inlineStr">
        <is>
          <t>IMG_0139</t>
        </is>
      </c>
      <c r="C3531" s="5" t="inlineStr">
        <is>
          <t>CLASS U: BRICKWORK, BLOCKWORK AND MASONRY</t>
        </is>
      </c>
      <c r="D3531" s="5" t="inlineStr">
        <is>
          <t>01 COMMON BRICKWORK</t>
        </is>
      </c>
      <c r="E3531" s="5" t="inlineStr">
        <is>
          <t>Thickness 328 mm</t>
        </is>
      </c>
      <c r="F3531" s="5" t="inlineStr">
        <is>
          <t>battered straight walls</t>
        </is>
      </c>
      <c r="G3531" s="6" t="inlineStr">
        <is>
          <t>m2</t>
        </is>
      </c>
      <c r="H3531" s="7" t="n">
        <v>0.91</v>
      </c>
      <c r="I3531" s="8" t="n">
        <v>153.42</v>
      </c>
      <c r="J3531" s="8" t="n">
        <v>10.76</v>
      </c>
      <c r="K3531" s="8" t="n">
        <v>122.82</v>
      </c>
      <c r="L3531" s="8" t="n">
        <v>0</v>
      </c>
      <c r="M3531" s="9">
        <f>ROUND(SUM(I3531:L3531),2)</f>
        <v/>
      </c>
      <c r="N3531" s="10">
        <f>ROUND(I3531*'Irish Basis'!$C$6*'Irish Basis'!$C$5,2)</f>
        <v/>
      </c>
      <c r="O3531" s="10">
        <f>ROUND(J3531*'Irish Basis'!$C$7*'Irish Basis'!$C$5,2)</f>
        <v/>
      </c>
      <c r="P3531" s="10">
        <f>ROUND(K3531*'Irish Basis'!$C$8*'Irish Basis'!$C$5,2)</f>
        <v/>
      </c>
      <c r="Q3531" s="10">
        <f>ROUND(L3531*'Irish Basis'!$C$12*'Irish Basis'!$C$5,2)</f>
        <v/>
      </c>
      <c r="R3531" s="11">
        <f>ROUND(SUM(N3531:Q3531),2)</f>
        <v/>
      </c>
      <c r="S3531" s="5" t="inlineStr">
        <is>
          <t>Stated build-up</t>
        </is>
      </c>
      <c r="T3531" s="12" t="inlineStr">
        <is>
          <t>High</t>
        </is>
      </c>
      <c r="U3531" s="8" t="n">
        <v>287</v>
      </c>
      <c r="V3531" s="13">
        <f>IF(U3531="","",ROUND(M3531-U3531,2))</f>
        <v/>
      </c>
      <c r="W3531" s="5" t="n"/>
      <c r="X3531" s="5" t="inlineStr">
        <is>
          <t>Labour + plant + material as published; reconciles to the published rate.</t>
        </is>
      </c>
    </row>
    <row r="3532" ht="13" customHeight="1">
      <c r="A3532" s="4" t="n">
        <v>5403</v>
      </c>
      <c r="B3532" s="5" t="inlineStr">
        <is>
          <t>IMG_0139</t>
        </is>
      </c>
      <c r="C3532" s="5" t="inlineStr">
        <is>
          <t>CLASS U: BRICKWORK, BLOCKWORK AND MASONRY</t>
        </is>
      </c>
      <c r="D3532" s="5" t="inlineStr">
        <is>
          <t>01 COMMON BRICKWORK</t>
        </is>
      </c>
      <c r="E3532" s="5" t="inlineStr">
        <is>
          <t>Thickness 328 mm</t>
        </is>
      </c>
      <c r="F3532" s="5" t="inlineStr">
        <is>
          <t>battered curved walls</t>
        </is>
      </c>
      <c r="G3532" s="6" t="inlineStr">
        <is>
          <t>m2</t>
        </is>
      </c>
      <c r="H3532" s="7" t="n">
        <v>1.01</v>
      </c>
      <c r="I3532" s="8" t="n">
        <v>170.27</v>
      </c>
      <c r="J3532" s="8" t="n">
        <v>11.99</v>
      </c>
      <c r="K3532" s="8" t="n">
        <v>122.82</v>
      </c>
      <c r="L3532" s="8" t="n">
        <v>0</v>
      </c>
      <c r="M3532" s="9">
        <f>ROUND(SUM(I3532:L3532),2)</f>
        <v/>
      </c>
      <c r="N3532" s="10">
        <f>ROUND(I3532*'Irish Basis'!$C$6*'Irish Basis'!$C$5,2)</f>
        <v/>
      </c>
      <c r="O3532" s="10">
        <f>ROUND(J3532*'Irish Basis'!$C$7*'Irish Basis'!$C$5,2)</f>
        <v/>
      </c>
      <c r="P3532" s="10">
        <f>ROUND(K3532*'Irish Basis'!$C$8*'Irish Basis'!$C$5,2)</f>
        <v/>
      </c>
      <c r="Q3532" s="10">
        <f>ROUND(L3532*'Irish Basis'!$C$12*'Irish Basis'!$C$5,2)</f>
        <v/>
      </c>
      <c r="R3532" s="11">
        <f>ROUND(SUM(N3532:Q3532),2)</f>
        <v/>
      </c>
      <c r="S3532" s="5" t="inlineStr">
        <is>
          <t>Stated build-up</t>
        </is>
      </c>
      <c r="T3532" s="12" t="inlineStr">
        <is>
          <t>High</t>
        </is>
      </c>
      <c r="U3532" s="8" t="n">
        <v>305.08</v>
      </c>
      <c r="V3532" s="13">
        <f>IF(U3532="","",ROUND(M3532-U3532,2))</f>
        <v/>
      </c>
      <c r="W3532" s="5" t="n"/>
      <c r="X3532" s="5" t="inlineStr">
        <is>
          <t>Labour + plant + material as published; reconciles to the published rate.</t>
        </is>
      </c>
    </row>
    <row r="3533" ht="13" customHeight="1">
      <c r="A3533" s="4" t="n">
        <v>5404</v>
      </c>
      <c r="B3533" s="5" t="inlineStr">
        <is>
          <t>IMG_0139</t>
        </is>
      </c>
      <c r="C3533" s="5" t="inlineStr">
        <is>
          <t>CLASS U: BRICKWORK, BLOCKWORK AND MASONRY</t>
        </is>
      </c>
      <c r="D3533" s="5" t="inlineStr">
        <is>
          <t>01 COMMON BRICKWORK</t>
        </is>
      </c>
      <c r="E3533" s="5" t="inlineStr">
        <is>
          <t>Thickness 328 mm</t>
        </is>
      </c>
      <c r="F3533" s="5" t="inlineStr">
        <is>
          <t>vertical facing to concrete</t>
        </is>
      </c>
      <c r="G3533" s="6" t="inlineStr">
        <is>
          <t>m2</t>
        </is>
      </c>
      <c r="H3533" s="7" t="n">
        <v>0.6899999999999999</v>
      </c>
      <c r="I3533" s="8" t="n">
        <v>116.33</v>
      </c>
      <c r="J3533" s="8" t="n">
        <v>8.24</v>
      </c>
      <c r="K3533" s="8" t="n">
        <v>129.85</v>
      </c>
      <c r="L3533" s="8" t="n">
        <v>0</v>
      </c>
      <c r="M3533" s="9">
        <f>ROUND(SUM(I3533:L3533),2)</f>
        <v/>
      </c>
      <c r="N3533" s="10">
        <f>ROUND(I3533*'Irish Basis'!$C$6*'Irish Basis'!$C$5,2)</f>
        <v/>
      </c>
      <c r="O3533" s="10">
        <f>ROUND(J3533*'Irish Basis'!$C$7*'Irish Basis'!$C$5,2)</f>
        <v/>
      </c>
      <c r="P3533" s="10">
        <f>ROUND(K3533*'Irish Basis'!$C$8*'Irish Basis'!$C$5,2)</f>
        <v/>
      </c>
      <c r="Q3533" s="10">
        <f>ROUND(L3533*'Irish Basis'!$C$12*'Irish Basis'!$C$5,2)</f>
        <v/>
      </c>
      <c r="R3533" s="11">
        <f>ROUND(SUM(N3533:Q3533),2)</f>
        <v/>
      </c>
      <c r="S3533" s="5" t="inlineStr">
        <is>
          <t>Stated build-up</t>
        </is>
      </c>
      <c r="T3533" s="12" t="inlineStr">
        <is>
          <t>High</t>
        </is>
      </c>
      <c r="U3533" s="8" t="n">
        <v>254.42</v>
      </c>
      <c r="V3533" s="13">
        <f>IF(U3533="","",ROUND(M3533-U3533,2))</f>
        <v/>
      </c>
      <c r="W3533" s="5" t="n"/>
      <c r="X3533" s="5" t="inlineStr">
        <is>
          <t>Labour + plant + material as published; reconciles to the published rate.</t>
        </is>
      </c>
    </row>
    <row r="3534" ht="13" customHeight="1">
      <c r="A3534" s="4" t="n">
        <v>5405</v>
      </c>
      <c r="B3534" s="5" t="inlineStr">
        <is>
          <t>IMG_0139</t>
        </is>
      </c>
      <c r="C3534" s="5" t="inlineStr">
        <is>
          <t>CLASS U: BRICKWORK, BLOCKWORK AND MASONRY</t>
        </is>
      </c>
      <c r="D3534" s="5" t="inlineStr">
        <is>
          <t>01 COMMON BRICKWORK</t>
        </is>
      </c>
      <c r="E3534" s="5" t="inlineStr">
        <is>
          <t>Thickness 328 mm</t>
        </is>
      </c>
      <c r="F3534" s="5" t="inlineStr">
        <is>
          <t>battered facing to concrete</t>
        </is>
      </c>
      <c r="G3534" s="6" t="inlineStr">
        <is>
          <t>m2</t>
        </is>
      </c>
      <c r="H3534" s="7" t="n">
        <v>1.01</v>
      </c>
      <c r="I3534" s="8" t="n">
        <v>170.27</v>
      </c>
      <c r="J3534" s="8" t="n">
        <v>11.99</v>
      </c>
      <c r="K3534" s="8" t="n">
        <v>129.85</v>
      </c>
      <c r="L3534" s="8" t="n">
        <v>0</v>
      </c>
      <c r="M3534" s="9">
        <f>ROUND(SUM(I3534:L3534),2)</f>
        <v/>
      </c>
      <c r="N3534" s="10">
        <f>ROUND(I3534*'Irish Basis'!$C$6*'Irish Basis'!$C$5,2)</f>
        <v/>
      </c>
      <c r="O3534" s="10">
        <f>ROUND(J3534*'Irish Basis'!$C$7*'Irish Basis'!$C$5,2)</f>
        <v/>
      </c>
      <c r="P3534" s="10">
        <f>ROUND(K3534*'Irish Basis'!$C$8*'Irish Basis'!$C$5,2)</f>
        <v/>
      </c>
      <c r="Q3534" s="10">
        <f>ROUND(L3534*'Irish Basis'!$C$12*'Irish Basis'!$C$5,2)</f>
        <v/>
      </c>
      <c r="R3534" s="11">
        <f>ROUND(SUM(N3534:Q3534),2)</f>
        <v/>
      </c>
      <c r="S3534" s="5" t="inlineStr">
        <is>
          <t>Stated build-up</t>
        </is>
      </c>
      <c r="T3534" s="12" t="inlineStr">
        <is>
          <t>High</t>
        </is>
      </c>
      <c r="U3534" s="8" t="n">
        <v>312.11</v>
      </c>
      <c r="V3534" s="13">
        <f>IF(U3534="","",ROUND(M3534-U3534,2))</f>
        <v/>
      </c>
      <c r="W3534" s="5" t="n"/>
      <c r="X3534" s="5" t="inlineStr">
        <is>
          <t>Labour + plant + material as published; reconciles to the published rate.</t>
        </is>
      </c>
    </row>
    <row r="3535" ht="13" customHeight="1">
      <c r="A3535" s="4" t="n">
        <v>5406</v>
      </c>
      <c r="B3535" s="5" t="inlineStr">
        <is>
          <t>IMG_0139</t>
        </is>
      </c>
      <c r="C3535" s="5" t="inlineStr">
        <is>
          <t>CLASS U: BRICKWORK, BLOCKWORK AND MASONRY</t>
        </is>
      </c>
      <c r="D3535" s="5" t="inlineStr">
        <is>
          <t>01 COMMON BRICKWORK</t>
        </is>
      </c>
      <c r="E3535" s="5" t="inlineStr">
        <is>
          <t>Thickness 328 mm</t>
        </is>
      </c>
      <c r="F3535" s="5" t="inlineStr">
        <is>
          <t>casing to metal sections</t>
        </is>
      </c>
      <c r="G3535" s="6" t="inlineStr">
        <is>
          <t>m2</t>
        </is>
      </c>
      <c r="H3535" s="7" t="n">
        <v>0.87</v>
      </c>
      <c r="I3535" s="8" t="n">
        <v>146.67</v>
      </c>
      <c r="J3535" s="8" t="n">
        <v>10.33</v>
      </c>
      <c r="K3535" s="8" t="n">
        <v>129.85</v>
      </c>
      <c r="L3535" s="8" t="n">
        <v>0</v>
      </c>
      <c r="M3535" s="9">
        <f>ROUND(SUM(I3535:L3535),2)</f>
        <v/>
      </c>
      <c r="N3535" s="10">
        <f>ROUND(I3535*'Irish Basis'!$C$6*'Irish Basis'!$C$5,2)</f>
        <v/>
      </c>
      <c r="O3535" s="10">
        <f>ROUND(J3535*'Irish Basis'!$C$7*'Irish Basis'!$C$5,2)</f>
        <v/>
      </c>
      <c r="P3535" s="10">
        <f>ROUND(K3535*'Irish Basis'!$C$8*'Irish Basis'!$C$5,2)</f>
        <v/>
      </c>
      <c r="Q3535" s="10">
        <f>ROUND(L3535*'Irish Basis'!$C$12*'Irish Basis'!$C$5,2)</f>
        <v/>
      </c>
      <c r="R3535" s="11">
        <f>ROUND(SUM(N3535:Q3535),2)</f>
        <v/>
      </c>
      <c r="S3535" s="5" t="inlineStr">
        <is>
          <t>Stated build-up</t>
        </is>
      </c>
      <c r="T3535" s="12" t="inlineStr">
        <is>
          <t>High</t>
        </is>
      </c>
      <c r="U3535" s="8" t="n">
        <v>286.85</v>
      </c>
      <c r="V3535" s="13">
        <f>IF(U3535="","",ROUND(M3535-U3535,2))</f>
        <v/>
      </c>
      <c r="W3535" s="5" t="n"/>
      <c r="X3535" s="5" t="inlineStr">
        <is>
          <t>Labour + plant + material as published; reconciles to the published rate.</t>
        </is>
      </c>
    </row>
    <row r="3536" ht="13" customHeight="1">
      <c r="A3536" s="4" t="n">
        <v>5408</v>
      </c>
      <c r="B3536" s="5" t="inlineStr">
        <is>
          <t>IMG_0139</t>
        </is>
      </c>
      <c r="C3536" s="5" t="inlineStr">
        <is>
          <t>CLASS U: BRICKWORK, BLOCKWORK AND MASONRY</t>
        </is>
      </c>
      <c r="D3536" s="5" t="inlineStr">
        <is>
          <t>01 COMMON BRICKWORK</t>
        </is>
      </c>
      <c r="E3536" s="5" t="inlineStr">
        <is>
          <t>Thickness 440 mm</t>
        </is>
      </c>
      <c r="F3536" s="5" t="inlineStr">
        <is>
          <t>vertical straight walls</t>
        </is>
      </c>
      <c r="G3536" s="6" t="inlineStr">
        <is>
          <t>m2</t>
        </is>
      </c>
      <c r="H3536" s="7" t="n">
        <v>0.84</v>
      </c>
      <c r="I3536" s="8" t="n">
        <v>141.61</v>
      </c>
      <c r="J3536" s="8" t="n">
        <v>9.9</v>
      </c>
      <c r="K3536" s="8" t="n">
        <v>164.17</v>
      </c>
      <c r="L3536" s="8" t="n">
        <v>0</v>
      </c>
      <c r="M3536" s="9">
        <f>ROUND(SUM(I3536:L3536),2)</f>
        <v/>
      </c>
      <c r="N3536" s="10">
        <f>ROUND(I3536*'Irish Basis'!$C$6*'Irish Basis'!$C$5,2)</f>
        <v/>
      </c>
      <c r="O3536" s="10">
        <f>ROUND(J3536*'Irish Basis'!$C$7*'Irish Basis'!$C$5,2)</f>
        <v/>
      </c>
      <c r="P3536" s="10">
        <f>ROUND(K3536*'Irish Basis'!$C$8*'Irish Basis'!$C$5,2)</f>
        <v/>
      </c>
      <c r="Q3536" s="10">
        <f>ROUND(L3536*'Irish Basis'!$C$12*'Irish Basis'!$C$5,2)</f>
        <v/>
      </c>
      <c r="R3536" s="11">
        <f>ROUND(SUM(N3536:Q3536),2)</f>
        <v/>
      </c>
      <c r="S3536" s="5" t="inlineStr">
        <is>
          <t>Stated build-up</t>
        </is>
      </c>
      <c r="T3536" s="12" t="inlineStr">
        <is>
          <t>High</t>
        </is>
      </c>
      <c r="U3536" s="8" t="n">
        <v>315.68</v>
      </c>
      <c r="V3536" s="13">
        <f>IF(U3536="","",ROUND(M3536-U3536,2))</f>
        <v/>
      </c>
      <c r="W3536" s="5" t="n"/>
      <c r="X3536" s="5" t="inlineStr">
        <is>
          <t>Labour + plant + material as published; reconciles to the published rate.</t>
        </is>
      </c>
    </row>
    <row r="3537" ht="13" customHeight="1">
      <c r="A3537" s="4" t="n">
        <v>5409</v>
      </c>
      <c r="B3537" s="5" t="inlineStr">
        <is>
          <t>IMG_0139</t>
        </is>
      </c>
      <c r="C3537" s="5" t="inlineStr">
        <is>
          <t>CLASS U: BRICKWORK, BLOCKWORK AND MASONRY</t>
        </is>
      </c>
      <c r="D3537" s="5" t="inlineStr">
        <is>
          <t>01 COMMON BRICKWORK</t>
        </is>
      </c>
      <c r="E3537" s="5" t="inlineStr">
        <is>
          <t>Thickness 440 mm</t>
        </is>
      </c>
      <c r="F3537" s="5" t="inlineStr">
        <is>
          <t>vertical curved walls</t>
        </is>
      </c>
      <c r="G3537" s="6" t="inlineStr">
        <is>
          <t>m2</t>
        </is>
      </c>
      <c r="H3537" s="7" t="n">
        <v>1.06</v>
      </c>
      <c r="I3537" s="8" t="n">
        <v>178.7</v>
      </c>
      <c r="J3537" s="8" t="n">
        <v>12.56</v>
      </c>
      <c r="K3537" s="8" t="n">
        <v>164.17</v>
      </c>
      <c r="L3537" s="8" t="n">
        <v>0</v>
      </c>
      <c r="M3537" s="9">
        <f>ROUND(SUM(I3537:L3537),2)</f>
        <v/>
      </c>
      <c r="N3537" s="10">
        <f>ROUND(I3537*'Irish Basis'!$C$6*'Irish Basis'!$C$5,2)</f>
        <v/>
      </c>
      <c r="O3537" s="10">
        <f>ROUND(J3537*'Irish Basis'!$C$7*'Irish Basis'!$C$5,2)</f>
        <v/>
      </c>
      <c r="P3537" s="10">
        <f>ROUND(K3537*'Irish Basis'!$C$8*'Irish Basis'!$C$5,2)</f>
        <v/>
      </c>
      <c r="Q3537" s="10">
        <f>ROUND(L3537*'Irish Basis'!$C$12*'Irish Basis'!$C$5,2)</f>
        <v/>
      </c>
      <c r="R3537" s="11">
        <f>ROUND(SUM(N3537:Q3537),2)</f>
        <v/>
      </c>
      <c r="S3537" s="5" t="inlineStr">
        <is>
          <t>Stated build-up</t>
        </is>
      </c>
      <c r="T3537" s="12" t="inlineStr">
        <is>
          <t>High</t>
        </is>
      </c>
      <c r="U3537" s="8" t="n">
        <v>355.43</v>
      </c>
      <c r="V3537" s="13">
        <f>IF(U3537="","",ROUND(M3537-U3537,2))</f>
        <v/>
      </c>
      <c r="W3537" s="5" t="n"/>
      <c r="X3537" s="5" t="inlineStr">
        <is>
          <t>Labour + plant + material as published; reconciles to the published rate.</t>
        </is>
      </c>
    </row>
    <row r="3538" ht="13" customHeight="1">
      <c r="A3538" s="4" t="n">
        <v>5410</v>
      </c>
      <c r="B3538" s="5" t="inlineStr">
        <is>
          <t>IMG_0139</t>
        </is>
      </c>
      <c r="C3538" s="5" t="inlineStr">
        <is>
          <t>CLASS U: BRICKWORK, BLOCKWORK AND MASONRY</t>
        </is>
      </c>
      <c r="D3538" s="5" t="inlineStr">
        <is>
          <t>01 COMMON BRICKWORK</t>
        </is>
      </c>
      <c r="E3538" s="5" t="inlineStr">
        <is>
          <t>Thickness 440 mm</t>
        </is>
      </c>
      <c r="F3538" s="5" t="inlineStr">
        <is>
          <t>battered straight walls</t>
        </is>
      </c>
      <c r="G3538" s="6" t="inlineStr">
        <is>
          <t>m2</t>
        </is>
      </c>
      <c r="H3538" s="7" t="n">
        <v>1.16</v>
      </c>
      <c r="I3538" s="8" t="n">
        <v>195.56</v>
      </c>
      <c r="J3538" s="8" t="n">
        <v>13.79</v>
      </c>
      <c r="K3538" s="8" t="n">
        <v>164.17</v>
      </c>
      <c r="L3538" s="8" t="n">
        <v>0</v>
      </c>
      <c r="M3538" s="9">
        <f>ROUND(SUM(I3538:L3538),2)</f>
        <v/>
      </c>
      <c r="N3538" s="10">
        <f>ROUND(I3538*'Irish Basis'!$C$6*'Irish Basis'!$C$5,2)</f>
        <v/>
      </c>
      <c r="O3538" s="10">
        <f>ROUND(J3538*'Irish Basis'!$C$7*'Irish Basis'!$C$5,2)</f>
        <v/>
      </c>
      <c r="P3538" s="10">
        <f>ROUND(K3538*'Irish Basis'!$C$8*'Irish Basis'!$C$5,2)</f>
        <v/>
      </c>
      <c r="Q3538" s="10">
        <f>ROUND(L3538*'Irish Basis'!$C$12*'Irish Basis'!$C$5,2)</f>
        <v/>
      </c>
      <c r="R3538" s="11">
        <f>ROUND(SUM(N3538:Q3538),2)</f>
        <v/>
      </c>
      <c r="S3538" s="5" t="inlineStr">
        <is>
          <t>Stated build-up</t>
        </is>
      </c>
      <c r="T3538" s="12" t="inlineStr">
        <is>
          <t>High</t>
        </is>
      </c>
      <c r="U3538" s="8" t="n">
        <v>373.52</v>
      </c>
      <c r="V3538" s="13">
        <f>IF(U3538="","",ROUND(M3538-U3538,2))</f>
        <v/>
      </c>
      <c r="W3538" s="5" t="n"/>
      <c r="X3538" s="5" t="inlineStr">
        <is>
          <t>Labour + plant + material as published; reconciles to the published rate.</t>
        </is>
      </c>
    </row>
    <row r="3539" ht="13" customHeight="1">
      <c r="A3539" s="4" t="n">
        <v>5411</v>
      </c>
      <c r="B3539" s="5" t="inlineStr">
        <is>
          <t>IMG_0139</t>
        </is>
      </c>
      <c r="C3539" s="5" t="inlineStr">
        <is>
          <t>CLASS U: BRICKWORK, BLOCKWORK AND MASONRY</t>
        </is>
      </c>
      <c r="D3539" s="5" t="inlineStr">
        <is>
          <t>01 COMMON BRICKWORK</t>
        </is>
      </c>
      <c r="E3539" s="5" t="inlineStr">
        <is>
          <t>Thickness 440 mm</t>
        </is>
      </c>
      <c r="F3539" s="5" t="inlineStr">
        <is>
          <t>battered curved walls</t>
        </is>
      </c>
      <c r="G3539" s="6" t="inlineStr">
        <is>
          <t>m2</t>
        </is>
      </c>
      <c r="H3539" s="7" t="n">
        <v>1.29</v>
      </c>
      <c r="I3539" s="8" t="n">
        <v>217.48</v>
      </c>
      <c r="J3539" s="8" t="n">
        <v>15.29</v>
      </c>
      <c r="K3539" s="8" t="n">
        <v>164.17</v>
      </c>
      <c r="L3539" s="8" t="n">
        <v>0</v>
      </c>
      <c r="M3539" s="9">
        <f>ROUND(SUM(I3539:L3539),2)</f>
        <v/>
      </c>
      <c r="N3539" s="10">
        <f>ROUND(I3539*'Irish Basis'!$C$6*'Irish Basis'!$C$5,2)</f>
        <v/>
      </c>
      <c r="O3539" s="10">
        <f>ROUND(J3539*'Irish Basis'!$C$7*'Irish Basis'!$C$5,2)</f>
        <v/>
      </c>
      <c r="P3539" s="10">
        <f>ROUND(K3539*'Irish Basis'!$C$8*'Irish Basis'!$C$5,2)</f>
        <v/>
      </c>
      <c r="Q3539" s="10">
        <f>ROUND(L3539*'Irish Basis'!$C$12*'Irish Basis'!$C$5,2)</f>
        <v/>
      </c>
      <c r="R3539" s="11">
        <f>ROUND(SUM(N3539:Q3539),2)</f>
        <v/>
      </c>
      <c r="S3539" s="5" t="inlineStr">
        <is>
          <t>Stated build-up</t>
        </is>
      </c>
      <c r="T3539" s="12" t="inlineStr">
        <is>
          <t>High</t>
        </is>
      </c>
      <c r="U3539" s="8" t="n">
        <v>396.93</v>
      </c>
      <c r="V3539" s="13">
        <f>IF(U3539="","",ROUND(M3539-U3539,2))</f>
        <v/>
      </c>
      <c r="W3539" s="5" t="n"/>
      <c r="X3539" s="5" t="inlineStr">
        <is>
          <t>Labour + plant + material as published; reconciles to the published rate.</t>
        </is>
      </c>
    </row>
    <row r="3540" ht="13" customHeight="1">
      <c r="A3540" s="4" t="n">
        <v>5412</v>
      </c>
      <c r="B3540" s="5" t="inlineStr">
        <is>
          <t>IMG_0139</t>
        </is>
      </c>
      <c r="C3540" s="5" t="inlineStr">
        <is>
          <t>CLASS U: BRICKWORK, BLOCKWORK AND MASONRY</t>
        </is>
      </c>
      <c r="D3540" s="5" t="inlineStr">
        <is>
          <t>01 COMMON BRICKWORK</t>
        </is>
      </c>
      <c r="E3540" s="5" t="inlineStr">
        <is>
          <t>Thickness 440 mm</t>
        </is>
      </c>
      <c r="F3540" s="5" t="inlineStr">
        <is>
          <t>vertical facing to concrete</t>
        </is>
      </c>
      <c r="G3540" s="6" t="inlineStr">
        <is>
          <t>m2</t>
        </is>
      </c>
      <c r="H3540" s="7" t="n">
        <v>0.9</v>
      </c>
      <c r="I3540" s="8" t="n">
        <v>151.73</v>
      </c>
      <c r="J3540" s="8" t="n">
        <v>10.66</v>
      </c>
      <c r="K3540" s="8" t="n">
        <v>171.12</v>
      </c>
      <c r="L3540" s="8" t="n">
        <v>0</v>
      </c>
      <c r="M3540" s="9">
        <f>ROUND(SUM(I3540:L3540),2)</f>
        <v/>
      </c>
      <c r="N3540" s="10">
        <f>ROUND(I3540*'Irish Basis'!$C$6*'Irish Basis'!$C$5,2)</f>
        <v/>
      </c>
      <c r="O3540" s="10">
        <f>ROUND(J3540*'Irish Basis'!$C$7*'Irish Basis'!$C$5,2)</f>
        <v/>
      </c>
      <c r="P3540" s="10">
        <f>ROUND(K3540*'Irish Basis'!$C$8*'Irish Basis'!$C$5,2)</f>
        <v/>
      </c>
      <c r="Q3540" s="10">
        <f>ROUND(L3540*'Irish Basis'!$C$12*'Irish Basis'!$C$5,2)</f>
        <v/>
      </c>
      <c r="R3540" s="11">
        <f>ROUND(SUM(N3540:Q3540),2)</f>
        <v/>
      </c>
      <c r="S3540" s="5" t="inlineStr">
        <is>
          <t>Stated build-up</t>
        </is>
      </c>
      <c r="T3540" s="12" t="inlineStr">
        <is>
          <t>High</t>
        </is>
      </c>
      <c r="U3540" s="8" t="n">
        <v>333.51</v>
      </c>
      <c r="V3540" s="13">
        <f>IF(U3540="","",ROUND(M3540-U3540,2))</f>
        <v/>
      </c>
      <c r="W3540" s="5" t="n"/>
      <c r="X3540" s="5" t="inlineStr">
        <is>
          <t>Labour + plant + material as published; reconciles to the published rate.</t>
        </is>
      </c>
    </row>
    <row r="3541" ht="13" customHeight="1">
      <c r="A3541" s="4" t="n">
        <v>5413</v>
      </c>
      <c r="B3541" s="5" t="inlineStr">
        <is>
          <t>IMG_0139</t>
        </is>
      </c>
      <c r="C3541" s="5" t="inlineStr">
        <is>
          <t>CLASS U: BRICKWORK, BLOCKWORK AND MASONRY</t>
        </is>
      </c>
      <c r="D3541" s="5" t="inlineStr">
        <is>
          <t>01 COMMON BRICKWORK</t>
        </is>
      </c>
      <c r="E3541" s="5" t="inlineStr">
        <is>
          <t>Thickness 440 mm</t>
        </is>
      </c>
      <c r="F3541" s="5" t="inlineStr">
        <is>
          <t>battered facing to concrete</t>
        </is>
      </c>
      <c r="G3541" s="6" t="inlineStr">
        <is>
          <t>m2</t>
        </is>
      </c>
      <c r="H3541" s="7" t="n">
        <v>1.29</v>
      </c>
      <c r="I3541" s="8" t="n">
        <v>217.48</v>
      </c>
      <c r="J3541" s="8" t="n">
        <v>15.29</v>
      </c>
      <c r="K3541" s="8" t="n">
        <v>171.2</v>
      </c>
      <c r="L3541" s="8" t="n">
        <v>0</v>
      </c>
      <c r="M3541" s="9">
        <f>ROUND(SUM(I3541:L3541),2)</f>
        <v/>
      </c>
      <c r="N3541" s="10">
        <f>ROUND(I3541*'Irish Basis'!$C$6*'Irish Basis'!$C$5,2)</f>
        <v/>
      </c>
      <c r="O3541" s="10">
        <f>ROUND(J3541*'Irish Basis'!$C$7*'Irish Basis'!$C$5,2)</f>
        <v/>
      </c>
      <c r="P3541" s="10">
        <f>ROUND(K3541*'Irish Basis'!$C$8*'Irish Basis'!$C$5,2)</f>
        <v/>
      </c>
      <c r="Q3541" s="10">
        <f>ROUND(L3541*'Irish Basis'!$C$12*'Irish Basis'!$C$5,2)</f>
        <v/>
      </c>
      <c r="R3541" s="11">
        <f>ROUND(SUM(N3541:Q3541),2)</f>
        <v/>
      </c>
      <c r="S3541" s="5" t="inlineStr">
        <is>
          <t>Stated build-up</t>
        </is>
      </c>
      <c r="T3541" s="12" t="inlineStr">
        <is>
          <t>High</t>
        </is>
      </c>
      <c r="U3541" s="8" t="n">
        <v>403.97</v>
      </c>
      <c r="V3541" s="13">
        <f>IF(U3541="","",ROUND(M3541-U3541,2))</f>
        <v/>
      </c>
      <c r="W3541" s="5" t="n"/>
      <c r="X3541" s="5" t="inlineStr">
        <is>
          <t>Labour + plant + material as published; reconciles to the published rate.</t>
        </is>
      </c>
    </row>
    <row r="3542" ht="13" customHeight="1">
      <c r="A3542" s="4" t="n">
        <v>5414</v>
      </c>
      <c r="B3542" s="5" t="inlineStr">
        <is>
          <t>IMG_0139</t>
        </is>
      </c>
      <c r="C3542" s="5" t="inlineStr">
        <is>
          <t>CLASS U: BRICKWORK, BLOCKWORK AND MASONRY</t>
        </is>
      </c>
      <c r="D3542" s="5" t="inlineStr">
        <is>
          <t>01 COMMON BRICKWORK</t>
        </is>
      </c>
      <c r="E3542" s="5" t="inlineStr">
        <is>
          <t>Thickness 440 mm</t>
        </is>
      </c>
      <c r="F3542" s="5" t="inlineStr">
        <is>
          <t>casing to metal sections</t>
        </is>
      </c>
      <c r="G3542" s="6" t="inlineStr">
        <is>
          <t>m2</t>
        </is>
      </c>
      <c r="H3542" s="7" t="n">
        <v>1.12</v>
      </c>
      <c r="I3542" s="8" t="n">
        <v>188.82</v>
      </c>
      <c r="J3542" s="8" t="n">
        <v>13.27</v>
      </c>
      <c r="K3542" s="8" t="n">
        <v>171.2</v>
      </c>
      <c r="L3542" s="8" t="n">
        <v>0</v>
      </c>
      <c r="M3542" s="9">
        <f>ROUND(SUM(I3542:L3542),2)</f>
        <v/>
      </c>
      <c r="N3542" s="10">
        <f>ROUND(I3542*'Irish Basis'!$C$6*'Irish Basis'!$C$5,2)</f>
        <v/>
      </c>
      <c r="O3542" s="10">
        <f>ROUND(J3542*'Irish Basis'!$C$7*'Irish Basis'!$C$5,2)</f>
        <v/>
      </c>
      <c r="P3542" s="10">
        <f>ROUND(K3542*'Irish Basis'!$C$8*'Irish Basis'!$C$5,2)</f>
        <v/>
      </c>
      <c r="Q3542" s="10">
        <f>ROUND(L3542*'Irish Basis'!$C$12*'Irish Basis'!$C$5,2)</f>
        <v/>
      </c>
      <c r="R3542" s="11">
        <f>ROUND(SUM(N3542:Q3542),2)</f>
        <v/>
      </c>
      <c r="S3542" s="5" t="inlineStr">
        <is>
          <t>Stated build-up</t>
        </is>
      </c>
      <c r="T3542" s="12" t="inlineStr">
        <is>
          <t>High</t>
        </is>
      </c>
      <c r="U3542" s="8" t="n">
        <v>373.29</v>
      </c>
      <c r="V3542" s="13">
        <f>IF(U3542="","",ROUND(M3542-U3542,2))</f>
        <v/>
      </c>
      <c r="W3542" s="5" t="n"/>
      <c r="X3542" s="5" t="inlineStr">
        <is>
          <t>Labour + plant + material as published; reconciles to the published rate.</t>
        </is>
      </c>
    </row>
    <row r="3543" ht="13" customHeight="1">
      <c r="A3543" s="4" t="n">
        <v>5416</v>
      </c>
      <c r="B3543" s="5" t="inlineStr">
        <is>
          <t>IMG_0139</t>
        </is>
      </c>
      <c r="C3543" s="5" t="inlineStr">
        <is>
          <t>CLASS U: BRICKWORK, BLOCKWORK AND MASONRY</t>
        </is>
      </c>
      <c r="D3543" s="5" t="inlineStr">
        <is>
          <t>01 COMMON BRICKWORK</t>
        </is>
      </c>
      <c r="E3543" s="5" t="inlineStr">
        <is>
          <t>Thickness 890 mm</t>
        </is>
      </c>
      <c r="F3543" s="5" t="inlineStr">
        <is>
          <t>vertical straight walls</t>
        </is>
      </c>
      <c r="G3543" s="6" t="inlineStr">
        <is>
          <t>m2</t>
        </is>
      </c>
      <c r="H3543" s="7" t="n">
        <v>1.5</v>
      </c>
      <c r="I3543" s="8" t="n">
        <v>252.88</v>
      </c>
      <c r="J3543" s="8" t="n">
        <v>17.81</v>
      </c>
      <c r="K3543" s="8" t="n">
        <v>329.81</v>
      </c>
      <c r="L3543" s="8" t="n">
        <v>0</v>
      </c>
      <c r="M3543" s="9">
        <f>ROUND(SUM(I3543:L3543),2)</f>
        <v/>
      </c>
      <c r="N3543" s="10">
        <f>ROUND(I3543*'Irish Basis'!$C$6*'Irish Basis'!$C$5,2)</f>
        <v/>
      </c>
      <c r="O3543" s="10">
        <f>ROUND(J3543*'Irish Basis'!$C$7*'Irish Basis'!$C$5,2)</f>
        <v/>
      </c>
      <c r="P3543" s="10">
        <f>ROUND(K3543*'Irish Basis'!$C$8*'Irish Basis'!$C$5,2)</f>
        <v/>
      </c>
      <c r="Q3543" s="10">
        <f>ROUND(L3543*'Irish Basis'!$C$12*'Irish Basis'!$C$5,2)</f>
        <v/>
      </c>
      <c r="R3543" s="11">
        <f>ROUND(SUM(N3543:Q3543),2)</f>
        <v/>
      </c>
      <c r="S3543" s="5" t="inlineStr">
        <is>
          <t>Stated build-up</t>
        </is>
      </c>
      <c r="T3543" s="12" t="inlineStr">
        <is>
          <t>High</t>
        </is>
      </c>
      <c r="U3543" s="8" t="n">
        <v>600.5</v>
      </c>
      <c r="V3543" s="13">
        <f>IF(U3543="","",ROUND(M3543-U3543,2))</f>
        <v/>
      </c>
      <c r="W3543" s="5" t="n"/>
      <c r="X3543" s="5" t="inlineStr">
        <is>
          <t>Labour + plant + material as published; reconciles to the published rate.</t>
        </is>
      </c>
    </row>
    <row r="3544" ht="13" customHeight="1">
      <c r="A3544" s="4" t="n">
        <v>5417</v>
      </c>
      <c r="B3544" s="5" t="inlineStr">
        <is>
          <t>IMG_0139</t>
        </is>
      </c>
      <c r="C3544" s="5" t="inlineStr">
        <is>
          <t>CLASS U: BRICKWORK, BLOCKWORK AND MASONRY</t>
        </is>
      </c>
      <c r="D3544" s="5" t="inlineStr">
        <is>
          <t>01 COMMON BRICKWORK</t>
        </is>
      </c>
      <c r="E3544" s="5" t="inlineStr">
        <is>
          <t>Thickness 890 mm</t>
        </is>
      </c>
      <c r="F3544" s="5" t="inlineStr">
        <is>
          <t>vertical curved walls</t>
        </is>
      </c>
      <c r="G3544" s="6" t="inlineStr">
        <is>
          <t>m2</t>
        </is>
      </c>
      <c r="H3544" s="7" t="n">
        <v>1.85</v>
      </c>
      <c r="I3544" s="8" t="n">
        <v>311.89</v>
      </c>
      <c r="J3544" s="8" t="n">
        <v>21.99</v>
      </c>
      <c r="K3544" s="8" t="n">
        <v>329.81</v>
      </c>
      <c r="L3544" s="8" t="n">
        <v>0</v>
      </c>
      <c r="M3544" s="9">
        <f>ROUND(SUM(I3544:L3544),2)</f>
        <v/>
      </c>
      <c r="N3544" s="10">
        <f>ROUND(I3544*'Irish Basis'!$C$6*'Irish Basis'!$C$5,2)</f>
        <v/>
      </c>
      <c r="O3544" s="10">
        <f>ROUND(J3544*'Irish Basis'!$C$7*'Irish Basis'!$C$5,2)</f>
        <v/>
      </c>
      <c r="P3544" s="10">
        <f>ROUND(K3544*'Irish Basis'!$C$8*'Irish Basis'!$C$5,2)</f>
        <v/>
      </c>
      <c r="Q3544" s="10">
        <f>ROUND(L3544*'Irish Basis'!$C$12*'Irish Basis'!$C$5,2)</f>
        <v/>
      </c>
      <c r="R3544" s="11">
        <f>ROUND(SUM(N3544:Q3544),2)</f>
        <v/>
      </c>
      <c r="S3544" s="5" t="inlineStr">
        <is>
          <t>Stated build-up</t>
        </is>
      </c>
      <c r="T3544" s="12" t="inlineStr">
        <is>
          <t>High</t>
        </is>
      </c>
      <c r="U3544" s="8" t="n">
        <v>663.6900000000001</v>
      </c>
      <c r="V3544" s="13">
        <f>IF(U3544="","",ROUND(M3544-U3544,2))</f>
        <v/>
      </c>
      <c r="W3544" s="5" t="n"/>
      <c r="X3544" s="5" t="inlineStr">
        <is>
          <t>Labour + plant + material as published; reconciles to the published rate.</t>
        </is>
      </c>
    </row>
    <row r="3545" ht="13" customHeight="1">
      <c r="A3545" s="4" t="n">
        <v>5418</v>
      </c>
      <c r="B3545" s="5" t="inlineStr">
        <is>
          <t>IMG_0139</t>
        </is>
      </c>
      <c r="C3545" s="5" t="inlineStr">
        <is>
          <t>CLASS U: BRICKWORK, BLOCKWORK AND MASONRY</t>
        </is>
      </c>
      <c r="D3545" s="5" t="inlineStr">
        <is>
          <t>01 COMMON BRICKWORK</t>
        </is>
      </c>
      <c r="E3545" s="5" t="inlineStr">
        <is>
          <t>Thickness 890 mm</t>
        </is>
      </c>
      <c r="F3545" s="5" t="inlineStr">
        <is>
          <t>battered straight walls</t>
        </is>
      </c>
      <c r="G3545" s="6" t="inlineStr">
        <is>
          <t>m2</t>
        </is>
      </c>
      <c r="H3545" s="7" t="n">
        <v>2</v>
      </c>
      <c r="I3545" s="8" t="n">
        <v>337.18</v>
      </c>
      <c r="J3545" s="8" t="n">
        <v>23.85</v>
      </c>
      <c r="K3545" s="8" t="n">
        <v>329.81</v>
      </c>
      <c r="L3545" s="8" t="n">
        <v>0</v>
      </c>
      <c r="M3545" s="9">
        <f>ROUND(SUM(I3545:L3545),2)</f>
        <v/>
      </c>
      <c r="N3545" s="10">
        <f>ROUND(I3545*'Irish Basis'!$C$6*'Irish Basis'!$C$5,2)</f>
        <v/>
      </c>
      <c r="O3545" s="10">
        <f>ROUND(J3545*'Irish Basis'!$C$7*'Irish Basis'!$C$5,2)</f>
        <v/>
      </c>
      <c r="P3545" s="10">
        <f>ROUND(K3545*'Irish Basis'!$C$8*'Irish Basis'!$C$5,2)</f>
        <v/>
      </c>
      <c r="Q3545" s="10">
        <f>ROUND(L3545*'Irish Basis'!$C$12*'Irish Basis'!$C$5,2)</f>
        <v/>
      </c>
      <c r="R3545" s="11">
        <f>ROUND(SUM(N3545:Q3545),2)</f>
        <v/>
      </c>
      <c r="S3545" s="5" t="inlineStr">
        <is>
          <t>Stated build-up</t>
        </is>
      </c>
      <c r="T3545" s="12" t="inlineStr">
        <is>
          <t>High</t>
        </is>
      </c>
      <c r="U3545" s="8" t="n">
        <v>690.83</v>
      </c>
      <c r="V3545" s="13">
        <f>IF(U3545="","",ROUND(M3545-U3545,2))</f>
        <v/>
      </c>
      <c r="W3545" s="5" t="n"/>
      <c r="X3545" s="5" t="inlineStr">
        <is>
          <t>Labour + plant + material as published; reconciles to the published rate.</t>
        </is>
      </c>
    </row>
    <row r="3546" ht="13" customHeight="1">
      <c r="A3546" s="4" t="n">
        <v>5419</v>
      </c>
      <c r="B3546" s="5" t="inlineStr">
        <is>
          <t>IMG_0139</t>
        </is>
      </c>
      <c r="C3546" s="5" t="inlineStr">
        <is>
          <t>CLASS U: BRICKWORK, BLOCKWORK AND MASONRY</t>
        </is>
      </c>
      <c r="D3546" s="5" t="inlineStr">
        <is>
          <t>01 COMMON BRICKWORK</t>
        </is>
      </c>
      <c r="E3546" s="5" t="inlineStr">
        <is>
          <t>Thickness 890 mm</t>
        </is>
      </c>
      <c r="F3546" s="5" t="inlineStr">
        <is>
          <t>battered curved walls</t>
        </is>
      </c>
      <c r="G3546" s="6" t="inlineStr">
        <is>
          <t>m2</t>
        </is>
      </c>
      <c r="H3546" s="7" t="n">
        <v>2.2</v>
      </c>
      <c r="I3546" s="8" t="n">
        <v>370.89</v>
      </c>
      <c r="J3546" s="8" t="n">
        <v>26.05</v>
      </c>
      <c r="K3546" s="8" t="n">
        <v>329.81</v>
      </c>
      <c r="L3546" s="8" t="n">
        <v>0</v>
      </c>
      <c r="M3546" s="9">
        <f>ROUND(SUM(I3546:L3546),2)</f>
        <v/>
      </c>
      <c r="N3546" s="10">
        <f>ROUND(I3546*'Irish Basis'!$C$6*'Irish Basis'!$C$5,2)</f>
        <v/>
      </c>
      <c r="O3546" s="10">
        <f>ROUND(J3546*'Irish Basis'!$C$7*'Irish Basis'!$C$5,2)</f>
        <v/>
      </c>
      <c r="P3546" s="10">
        <f>ROUND(K3546*'Irish Basis'!$C$8*'Irish Basis'!$C$5,2)</f>
        <v/>
      </c>
      <c r="Q3546" s="10">
        <f>ROUND(L3546*'Irish Basis'!$C$12*'Irish Basis'!$C$5,2)</f>
        <v/>
      </c>
      <c r="R3546" s="11">
        <f>ROUND(SUM(N3546:Q3546),2)</f>
        <v/>
      </c>
      <c r="S3546" s="5" t="inlineStr">
        <is>
          <t>Stated build-up</t>
        </is>
      </c>
      <c r="T3546" s="12" t="inlineStr">
        <is>
          <t>High</t>
        </is>
      </c>
      <c r="U3546" s="8" t="n">
        <v>726.76</v>
      </c>
      <c r="V3546" s="13">
        <f>IF(U3546="","",ROUND(M3546-U3546,2))</f>
        <v/>
      </c>
      <c r="W3546" s="5" t="n"/>
      <c r="X3546" s="5" t="inlineStr">
        <is>
          <t>Labour + plant + material as published; reconciles to the published rate.</t>
        </is>
      </c>
    </row>
    <row r="3547" ht="13" customHeight="1">
      <c r="A3547" s="4" t="n">
        <v>5420</v>
      </c>
      <c r="B3547" s="5" t="inlineStr">
        <is>
          <t>IMG_0139</t>
        </is>
      </c>
      <c r="C3547" s="5" t="inlineStr">
        <is>
          <t>CLASS U: BRICKWORK, BLOCKWORK AND MASONRY</t>
        </is>
      </c>
      <c r="D3547" s="5" t="inlineStr">
        <is>
          <t>01 COMMON BRICKWORK</t>
        </is>
      </c>
      <c r="E3547" s="5" t="inlineStr">
        <is>
          <t>Thickness 890 mm</t>
        </is>
      </c>
      <c r="F3547" s="5" t="inlineStr">
        <is>
          <t>vertical facing to concrete</t>
        </is>
      </c>
      <c r="G3547" s="6" t="inlineStr">
        <is>
          <t>m2</t>
        </is>
      </c>
      <c r="H3547" s="7" t="n">
        <v>1.6</v>
      </c>
      <c r="I3547" s="8" t="n">
        <v>269.74</v>
      </c>
      <c r="J3547" s="8" t="n">
        <v>19.01</v>
      </c>
      <c r="K3547" s="8" t="n">
        <v>336.85</v>
      </c>
      <c r="L3547" s="8" t="n">
        <v>0</v>
      </c>
      <c r="M3547" s="9">
        <f>ROUND(SUM(I3547:L3547),2)</f>
        <v/>
      </c>
      <c r="N3547" s="10">
        <f>ROUND(I3547*'Irish Basis'!$C$6*'Irish Basis'!$C$5,2)</f>
        <v/>
      </c>
      <c r="O3547" s="10">
        <f>ROUND(J3547*'Irish Basis'!$C$7*'Irish Basis'!$C$5,2)</f>
        <v/>
      </c>
      <c r="P3547" s="10">
        <f>ROUND(K3547*'Irish Basis'!$C$8*'Irish Basis'!$C$5,2)</f>
        <v/>
      </c>
      <c r="Q3547" s="10">
        <f>ROUND(L3547*'Irish Basis'!$C$12*'Irish Basis'!$C$5,2)</f>
        <v/>
      </c>
      <c r="R3547" s="11">
        <f>ROUND(SUM(N3547:Q3547),2)</f>
        <v/>
      </c>
      <c r="S3547" s="5" t="inlineStr">
        <is>
          <t>Stated build-up</t>
        </is>
      </c>
      <c r="T3547" s="12" t="inlineStr">
        <is>
          <t>High</t>
        </is>
      </c>
      <c r="U3547" s="8" t="n">
        <v>625.6</v>
      </c>
      <c r="V3547" s="13">
        <f>IF(U3547="","",ROUND(M3547-U3547,2))</f>
        <v/>
      </c>
      <c r="W3547" s="5" t="n"/>
      <c r="X3547" s="5" t="inlineStr">
        <is>
          <t>Labour + plant + material as published; reconciles to the published rate.</t>
        </is>
      </c>
    </row>
    <row r="3548" ht="13" customHeight="1">
      <c r="A3548" s="4" t="n">
        <v>5421</v>
      </c>
      <c r="B3548" s="5" t="inlineStr">
        <is>
          <t>IMG_0139</t>
        </is>
      </c>
      <c r="C3548" s="5" t="inlineStr">
        <is>
          <t>CLASS U: BRICKWORK, BLOCKWORK AND MASONRY</t>
        </is>
      </c>
      <c r="D3548" s="5" t="inlineStr">
        <is>
          <t>01 COMMON BRICKWORK</t>
        </is>
      </c>
      <c r="E3548" s="5" t="inlineStr">
        <is>
          <t>Thickness 890 mm</t>
        </is>
      </c>
      <c r="F3548" s="5" t="inlineStr">
        <is>
          <t>battered facing to concrete</t>
        </is>
      </c>
      <c r="G3548" s="6" t="inlineStr">
        <is>
          <t>m2</t>
        </is>
      </c>
      <c r="H3548" s="7" t="n">
        <v>2.2</v>
      </c>
      <c r="I3548" s="8" t="n">
        <v>370.89</v>
      </c>
      <c r="J3548" s="8" t="n">
        <v>26.05</v>
      </c>
      <c r="K3548" s="8" t="n">
        <v>336.85</v>
      </c>
      <c r="L3548" s="8" t="n">
        <v>0</v>
      </c>
      <c r="M3548" s="9">
        <f>ROUND(SUM(I3548:L3548),2)</f>
        <v/>
      </c>
      <c r="N3548" s="10">
        <f>ROUND(I3548*'Irish Basis'!$C$6*'Irish Basis'!$C$5,2)</f>
        <v/>
      </c>
      <c r="O3548" s="10">
        <f>ROUND(J3548*'Irish Basis'!$C$7*'Irish Basis'!$C$5,2)</f>
        <v/>
      </c>
      <c r="P3548" s="10">
        <f>ROUND(K3548*'Irish Basis'!$C$8*'Irish Basis'!$C$5,2)</f>
        <v/>
      </c>
      <c r="Q3548" s="10">
        <f>ROUND(L3548*'Irish Basis'!$C$12*'Irish Basis'!$C$5,2)</f>
        <v/>
      </c>
      <c r="R3548" s="11">
        <f>ROUND(SUM(N3548:Q3548),2)</f>
        <v/>
      </c>
      <c r="S3548" s="5" t="inlineStr">
        <is>
          <t>Stated build-up</t>
        </is>
      </c>
      <c r="T3548" s="12" t="inlineStr">
        <is>
          <t>High</t>
        </is>
      </c>
      <c r="U3548" s="8" t="n">
        <v>733.79</v>
      </c>
      <c r="V3548" s="13">
        <f>IF(U3548="","",ROUND(M3548-U3548,2))</f>
        <v/>
      </c>
      <c r="W3548" s="5" t="n"/>
      <c r="X3548" s="5" t="inlineStr">
        <is>
          <t>Labour + plant + material as published; reconciles to the published rate.</t>
        </is>
      </c>
    </row>
    <row r="3549" ht="13" customHeight="1">
      <c r="A3549" s="4" t="n">
        <v>5422</v>
      </c>
      <c r="B3549" s="5" t="inlineStr">
        <is>
          <t>IMG_0139</t>
        </is>
      </c>
      <c r="C3549" s="5" t="inlineStr">
        <is>
          <t>CLASS U: BRICKWORK, BLOCKWORK AND MASONRY</t>
        </is>
      </c>
      <c r="D3549" s="5" t="inlineStr">
        <is>
          <t>01 COMMON BRICKWORK</t>
        </is>
      </c>
      <c r="E3549" s="5" t="inlineStr">
        <is>
          <t>Thickness 890 mm</t>
        </is>
      </c>
      <c r="F3549" s="5" t="inlineStr">
        <is>
          <t>casing to metal sections</t>
        </is>
      </c>
      <c r="G3549" s="6" t="inlineStr">
        <is>
          <t>m2</t>
        </is>
      </c>
      <c r="H3549" s="7" t="n">
        <v>1.94</v>
      </c>
      <c r="I3549" s="8" t="n">
        <v>327.06</v>
      </c>
      <c r="J3549" s="8" t="n">
        <v>23.06</v>
      </c>
      <c r="K3549" s="8" t="n">
        <v>336.85</v>
      </c>
      <c r="L3549" s="8" t="n">
        <v>0</v>
      </c>
      <c r="M3549" s="9">
        <f>ROUND(SUM(I3549:L3549),2)</f>
        <v/>
      </c>
      <c r="N3549" s="10">
        <f>ROUND(I3549*'Irish Basis'!$C$6*'Irish Basis'!$C$5,2)</f>
        <v/>
      </c>
      <c r="O3549" s="10">
        <f>ROUND(J3549*'Irish Basis'!$C$7*'Irish Basis'!$C$5,2)</f>
        <v/>
      </c>
      <c r="P3549" s="10">
        <f>ROUND(K3549*'Irish Basis'!$C$8*'Irish Basis'!$C$5,2)</f>
        <v/>
      </c>
      <c r="Q3549" s="10">
        <f>ROUND(L3549*'Irish Basis'!$C$12*'Irish Basis'!$C$5,2)</f>
        <v/>
      </c>
      <c r="R3549" s="11">
        <f>ROUND(SUM(N3549:Q3549),2)</f>
        <v/>
      </c>
      <c r="S3549" s="5" t="inlineStr">
        <is>
          <t>Stated build-up</t>
        </is>
      </c>
      <c r="T3549" s="12" t="inlineStr">
        <is>
          <t>High</t>
        </is>
      </c>
      <c r="U3549" s="8" t="n">
        <v>686.97</v>
      </c>
      <c r="V3549" s="13">
        <f>IF(U3549="","",ROUND(M3549-U3549,2))</f>
        <v/>
      </c>
      <c r="W3549" s="5" t="n"/>
      <c r="X3549" s="5" t="inlineStr">
        <is>
          <t>Labour + plant + material as published; reconciles to the published rate.</t>
        </is>
      </c>
    </row>
    <row r="3550" ht="13" customHeight="1">
      <c r="A3550" s="4" t="n">
        <v>5424</v>
      </c>
      <c r="B3550" s="5" t="inlineStr">
        <is>
          <t>IMG_0139</t>
        </is>
      </c>
      <c r="C3550" s="5" t="inlineStr">
        <is>
          <t>CLASS U: BRICKWORK, BLOCKWORK AND MASONRY</t>
        </is>
      </c>
      <c r="D3550" s="5" t="inlineStr">
        <is>
          <t>01 COMMON BRICKWORK</t>
        </is>
      </c>
      <c r="E3550" s="5" t="inlineStr">
        <is>
          <t>Thickness exceeding 1 m</t>
        </is>
      </c>
      <c r="F3550" s="5" t="inlineStr">
        <is>
          <t>vertical straight walls</t>
        </is>
      </c>
      <c r="G3550" s="6" t="inlineStr">
        <is>
          <t>m2</t>
        </is>
      </c>
      <c r="H3550" s="7" t="n">
        <v>1.64</v>
      </c>
      <c r="I3550" s="8" t="n">
        <v>276.49</v>
      </c>
      <c r="J3550" s="8" t="n">
        <v>19.41</v>
      </c>
      <c r="K3550" s="8" t="n">
        <v>369.19</v>
      </c>
      <c r="L3550" s="8" t="n">
        <v>0</v>
      </c>
      <c r="M3550" s="9">
        <f>ROUND(SUM(I3550:L3550),2)</f>
        <v/>
      </c>
      <c r="N3550" s="10">
        <f>ROUND(I3550*'Irish Basis'!$C$6*'Irish Basis'!$C$5,2)</f>
        <v/>
      </c>
      <c r="O3550" s="10">
        <f>ROUND(J3550*'Irish Basis'!$C$7*'Irish Basis'!$C$5,2)</f>
        <v/>
      </c>
      <c r="P3550" s="10">
        <f>ROUND(K3550*'Irish Basis'!$C$8*'Irish Basis'!$C$5,2)</f>
        <v/>
      </c>
      <c r="Q3550" s="10">
        <f>ROUND(L3550*'Irish Basis'!$C$12*'Irish Basis'!$C$5,2)</f>
        <v/>
      </c>
      <c r="R3550" s="11">
        <f>ROUND(SUM(N3550:Q3550),2)</f>
        <v/>
      </c>
      <c r="S3550" s="5" t="inlineStr">
        <is>
          <t>Stated build-up</t>
        </is>
      </c>
      <c r="T3550" s="12" t="inlineStr">
        <is>
          <t>High</t>
        </is>
      </c>
      <c r="U3550" s="8" t="n">
        <v>665.09</v>
      </c>
      <c r="V3550" s="13">
        <f>IF(U3550="","",ROUND(M3550-U3550,2))</f>
        <v/>
      </c>
      <c r="W3550" s="5" t="n"/>
      <c r="X3550" s="5" t="inlineStr">
        <is>
          <t>Labour + plant + material as published; reconciles to the published rate.</t>
        </is>
      </c>
    </row>
    <row r="3551" ht="13" customHeight="1">
      <c r="A3551" s="4" t="n">
        <v>5425</v>
      </c>
      <c r="B3551" s="5" t="inlineStr">
        <is>
          <t>IMG_0139</t>
        </is>
      </c>
      <c r="C3551" s="5" t="inlineStr">
        <is>
          <t>CLASS U: BRICKWORK, BLOCKWORK AND MASONRY</t>
        </is>
      </c>
      <c r="D3551" s="5" t="inlineStr">
        <is>
          <t>01 COMMON BRICKWORK</t>
        </is>
      </c>
      <c r="E3551" s="5" t="inlineStr">
        <is>
          <t>Thickness exceeding 1 m</t>
        </is>
      </c>
      <c r="F3551" s="5" t="inlineStr">
        <is>
          <t>vertical curved walls</t>
        </is>
      </c>
      <c r="G3551" s="6" t="inlineStr">
        <is>
          <t>m2</t>
        </is>
      </c>
      <c r="H3551" s="7" t="n">
        <v>2</v>
      </c>
      <c r="I3551" s="8" t="n">
        <v>337.18</v>
      </c>
      <c r="J3551" s="8" t="n">
        <v>23.83</v>
      </c>
      <c r="K3551" s="8" t="n">
        <v>369.19</v>
      </c>
      <c r="L3551" s="8" t="n">
        <v>0</v>
      </c>
      <c r="M3551" s="9">
        <f>ROUND(SUM(I3551:L3551),2)</f>
        <v/>
      </c>
      <c r="N3551" s="10">
        <f>ROUND(I3551*'Irish Basis'!$C$6*'Irish Basis'!$C$5,2)</f>
        <v/>
      </c>
      <c r="O3551" s="10">
        <f>ROUND(J3551*'Irish Basis'!$C$7*'Irish Basis'!$C$5,2)</f>
        <v/>
      </c>
      <c r="P3551" s="10">
        <f>ROUND(K3551*'Irish Basis'!$C$8*'Irish Basis'!$C$5,2)</f>
        <v/>
      </c>
      <c r="Q3551" s="10">
        <f>ROUND(L3551*'Irish Basis'!$C$12*'Irish Basis'!$C$5,2)</f>
        <v/>
      </c>
      <c r="R3551" s="11">
        <f>ROUND(SUM(N3551:Q3551),2)</f>
        <v/>
      </c>
      <c r="S3551" s="5" t="inlineStr">
        <is>
          <t>Stated build-up</t>
        </is>
      </c>
      <c r="T3551" s="12" t="inlineStr">
        <is>
          <t>High</t>
        </is>
      </c>
      <c r="U3551" s="8" t="n">
        <v>730.2</v>
      </c>
      <c r="V3551" s="13">
        <f>IF(U3551="","",ROUND(M3551-U3551,2))</f>
        <v/>
      </c>
      <c r="W3551" s="5" t="n"/>
      <c r="X3551" s="5" t="inlineStr">
        <is>
          <t>Labour + plant + material as published; reconciles to the published rate.</t>
        </is>
      </c>
    </row>
    <row r="3552" ht="13" customHeight="1">
      <c r="A3552" s="4" t="n">
        <v>5426</v>
      </c>
      <c r="B3552" s="5" t="inlineStr">
        <is>
          <t>IMG_0139</t>
        </is>
      </c>
      <c r="C3552" s="5" t="inlineStr">
        <is>
          <t>CLASS U: BRICKWORK, BLOCKWORK AND MASONRY</t>
        </is>
      </c>
      <c r="D3552" s="5" t="inlineStr">
        <is>
          <t>01 COMMON BRICKWORK</t>
        </is>
      </c>
      <c r="E3552" s="5" t="inlineStr">
        <is>
          <t>Thickness exceeding 1 m</t>
        </is>
      </c>
      <c r="F3552" s="5" t="inlineStr">
        <is>
          <t>battered straight walls</t>
        </is>
      </c>
      <c r="G3552" s="6" t="inlineStr">
        <is>
          <t>m2</t>
        </is>
      </c>
      <c r="H3552" s="7" t="n">
        <v>2.17</v>
      </c>
      <c r="I3552" s="8" t="n">
        <v>365.84</v>
      </c>
      <c r="J3552" s="8" t="n">
        <v>25.79</v>
      </c>
      <c r="K3552" s="8" t="n">
        <v>369.19</v>
      </c>
      <c r="L3552" s="8" t="n">
        <v>0</v>
      </c>
      <c r="M3552" s="9">
        <f>ROUND(SUM(I3552:L3552),2)</f>
        <v/>
      </c>
      <c r="N3552" s="10">
        <f>ROUND(I3552*'Irish Basis'!$C$6*'Irish Basis'!$C$5,2)</f>
        <v/>
      </c>
      <c r="O3552" s="10">
        <f>ROUND(J3552*'Irish Basis'!$C$7*'Irish Basis'!$C$5,2)</f>
        <v/>
      </c>
      <c r="P3552" s="10">
        <f>ROUND(K3552*'Irish Basis'!$C$8*'Irish Basis'!$C$5,2)</f>
        <v/>
      </c>
      <c r="Q3552" s="10">
        <f>ROUND(L3552*'Irish Basis'!$C$12*'Irish Basis'!$C$5,2)</f>
        <v/>
      </c>
      <c r="R3552" s="11">
        <f>ROUND(SUM(N3552:Q3552),2)</f>
        <v/>
      </c>
      <c r="S3552" s="5" t="inlineStr">
        <is>
          <t>Stated build-up</t>
        </is>
      </c>
      <c r="T3552" s="12" t="inlineStr">
        <is>
          <t>High</t>
        </is>
      </c>
      <c r="U3552" s="8" t="n">
        <v>760.8099999999999</v>
      </c>
      <c r="V3552" s="13">
        <f>IF(U3552="","",ROUND(M3552-U3552,2))</f>
        <v/>
      </c>
      <c r="W3552" s="5" t="n"/>
      <c r="X3552" s="5" t="inlineStr">
        <is>
          <t>Labour + plant + material as published; reconciles to the published rate.</t>
        </is>
      </c>
    </row>
    <row r="3553" ht="13" customHeight="1">
      <c r="A3553" s="4" t="n">
        <v>5427</v>
      </c>
      <c r="B3553" s="5" t="inlineStr">
        <is>
          <t>IMG_0139</t>
        </is>
      </c>
      <c r="C3553" s="5" t="inlineStr">
        <is>
          <t>CLASS U: BRICKWORK, BLOCKWORK AND MASONRY</t>
        </is>
      </c>
      <c r="D3553" s="5" t="inlineStr">
        <is>
          <t>01 COMMON BRICKWORK</t>
        </is>
      </c>
      <c r="E3553" s="5" t="inlineStr">
        <is>
          <t>Thickness exceeding 1 m</t>
        </is>
      </c>
      <c r="F3553" s="5" t="inlineStr">
        <is>
          <t>battered curved walls</t>
        </is>
      </c>
      <c r="G3553" s="6" t="inlineStr">
        <is>
          <t>m2</t>
        </is>
      </c>
      <c r="H3553" s="7" t="n">
        <v>2.37</v>
      </c>
      <c r="I3553" s="8" t="n">
        <v>399.55</v>
      </c>
      <c r="J3553" s="8" t="n">
        <v>28.09</v>
      </c>
      <c r="K3553" s="8" t="n">
        <v>369.19</v>
      </c>
      <c r="L3553" s="8" t="n">
        <v>0</v>
      </c>
      <c r="M3553" s="9">
        <f>ROUND(SUM(I3553:L3553),2)</f>
        <v/>
      </c>
      <c r="N3553" s="10">
        <f>ROUND(I3553*'Irish Basis'!$C$6*'Irish Basis'!$C$5,2)</f>
        <v/>
      </c>
      <c r="O3553" s="10">
        <f>ROUND(J3553*'Irish Basis'!$C$7*'Irish Basis'!$C$5,2)</f>
        <v/>
      </c>
      <c r="P3553" s="10">
        <f>ROUND(K3553*'Irish Basis'!$C$8*'Irish Basis'!$C$5,2)</f>
        <v/>
      </c>
      <c r="Q3553" s="10">
        <f>ROUND(L3553*'Irish Basis'!$C$12*'Irish Basis'!$C$5,2)</f>
        <v/>
      </c>
      <c r="R3553" s="11">
        <f>ROUND(SUM(N3553:Q3553),2)</f>
        <v/>
      </c>
      <c r="S3553" s="5" t="inlineStr">
        <is>
          <t>Stated build-up</t>
        </is>
      </c>
      <c r="T3553" s="12" t="inlineStr">
        <is>
          <t>High</t>
        </is>
      </c>
      <c r="U3553" s="8" t="n">
        <v>796.83</v>
      </c>
      <c r="V3553" s="13">
        <f>IF(U3553="","",ROUND(M3553-U3553,2))</f>
        <v/>
      </c>
      <c r="W3553" s="5" t="n"/>
      <c r="X3553" s="5" t="inlineStr">
        <is>
          <t>Labour + plant + material as published; reconciles to the published rate.</t>
        </is>
      </c>
    </row>
    <row r="3554" ht="13" customHeight="1">
      <c r="A3554" s="4" t="n">
        <v>5428</v>
      </c>
      <c r="B3554" s="5" t="inlineStr">
        <is>
          <t>IMG_0139</t>
        </is>
      </c>
      <c r="C3554" s="5" t="inlineStr">
        <is>
          <t>CLASS U: BRICKWORK, BLOCKWORK AND MASONRY</t>
        </is>
      </c>
      <c r="D3554" s="5" t="inlineStr">
        <is>
          <t>01 COMMON BRICKWORK</t>
        </is>
      </c>
      <c r="E3554" s="5" t="inlineStr">
        <is>
          <t>Thickness exceeding 1 m</t>
        </is>
      </c>
      <c r="F3554" s="5" t="inlineStr">
        <is>
          <t>vertical facing to concrete</t>
        </is>
      </c>
      <c r="G3554" s="6" t="inlineStr">
        <is>
          <t>m2</t>
        </is>
      </c>
      <c r="H3554" s="7" t="n">
        <v>1.74</v>
      </c>
      <c r="I3554" s="8" t="n">
        <v>293.34</v>
      </c>
      <c r="J3554" s="8" t="n">
        <v>20.69</v>
      </c>
      <c r="K3554" s="8" t="n">
        <v>376.22</v>
      </c>
      <c r="L3554" s="8" t="n">
        <v>0</v>
      </c>
      <c r="M3554" s="9">
        <f>ROUND(SUM(I3554:L3554),2)</f>
        <v/>
      </c>
      <c r="N3554" s="10">
        <f>ROUND(I3554*'Irish Basis'!$C$6*'Irish Basis'!$C$5,2)</f>
        <v/>
      </c>
      <c r="O3554" s="10">
        <f>ROUND(J3554*'Irish Basis'!$C$7*'Irish Basis'!$C$5,2)</f>
        <v/>
      </c>
      <c r="P3554" s="10">
        <f>ROUND(K3554*'Irish Basis'!$C$8*'Irish Basis'!$C$5,2)</f>
        <v/>
      </c>
      <c r="Q3554" s="10">
        <f>ROUND(L3554*'Irish Basis'!$C$12*'Irish Basis'!$C$5,2)</f>
        <v/>
      </c>
      <c r="R3554" s="11">
        <f>ROUND(SUM(N3554:Q3554),2)</f>
        <v/>
      </c>
      <c r="S3554" s="5" t="inlineStr">
        <is>
          <t>Stated build-up</t>
        </is>
      </c>
      <c r="T3554" s="12" t="inlineStr">
        <is>
          <t>High</t>
        </is>
      </c>
      <c r="U3554" s="8" t="n">
        <v>690.26</v>
      </c>
      <c r="V3554" s="13">
        <f>IF(U3554="","",ROUND(M3554-U3554,2))</f>
        <v/>
      </c>
      <c r="W3554" s="5" t="n"/>
      <c r="X3554" s="5" t="inlineStr">
        <is>
          <t>Labour + plant + material as published; reconciles to the published rate.</t>
        </is>
      </c>
    </row>
    <row r="3555" ht="13" customHeight="1">
      <c r="A3555" s="4" t="n">
        <v>5429</v>
      </c>
      <c r="B3555" s="5" t="inlineStr">
        <is>
          <t>IMG_0139</t>
        </is>
      </c>
      <c r="C3555" s="5" t="inlineStr">
        <is>
          <t>CLASS U: BRICKWORK, BLOCKWORK AND MASONRY</t>
        </is>
      </c>
      <c r="D3555" s="5" t="inlineStr">
        <is>
          <t>01 COMMON BRICKWORK</t>
        </is>
      </c>
      <c r="E3555" s="5" t="inlineStr">
        <is>
          <t>Thickness exceeding 1 m</t>
        </is>
      </c>
      <c r="F3555" s="5" t="inlineStr">
        <is>
          <t>battered facing to concrete</t>
        </is>
      </c>
      <c r="G3555" s="6" t="inlineStr">
        <is>
          <t>m2</t>
        </is>
      </c>
      <c r="H3555" s="7" t="n">
        <v>2.37</v>
      </c>
      <c r="I3555" s="8" t="n">
        <v>399.55</v>
      </c>
      <c r="J3555" s="8" t="n">
        <v>28.09</v>
      </c>
      <c r="K3555" s="8" t="n">
        <v>376.22</v>
      </c>
      <c r="L3555" s="8" t="n">
        <v>0</v>
      </c>
      <c r="M3555" s="9">
        <f>ROUND(SUM(I3555:L3555),2)</f>
        <v/>
      </c>
      <c r="N3555" s="10">
        <f>ROUND(I3555*'Irish Basis'!$C$6*'Irish Basis'!$C$5,2)</f>
        <v/>
      </c>
      <c r="O3555" s="10">
        <f>ROUND(J3555*'Irish Basis'!$C$7*'Irish Basis'!$C$5,2)</f>
        <v/>
      </c>
      <c r="P3555" s="10">
        <f>ROUND(K3555*'Irish Basis'!$C$8*'Irish Basis'!$C$5,2)</f>
        <v/>
      </c>
      <c r="Q3555" s="10">
        <f>ROUND(L3555*'Irish Basis'!$C$12*'Irish Basis'!$C$5,2)</f>
        <v/>
      </c>
      <c r="R3555" s="11">
        <f>ROUND(SUM(N3555:Q3555),2)</f>
        <v/>
      </c>
      <c r="S3555" s="5" t="inlineStr">
        <is>
          <t>Stated build-up</t>
        </is>
      </c>
      <c r="T3555" s="12" t="inlineStr">
        <is>
          <t>High</t>
        </is>
      </c>
      <c r="U3555" s="8" t="n">
        <v>803.86</v>
      </c>
      <c r="V3555" s="13">
        <f>IF(U3555="","",ROUND(M3555-U3555,2))</f>
        <v/>
      </c>
      <c r="W3555" s="5" t="n"/>
      <c r="X3555" s="5" t="inlineStr">
        <is>
          <t>Labour + plant + material as published; reconciles to the published rate.</t>
        </is>
      </c>
    </row>
    <row r="3556" ht="13" customHeight="1">
      <c r="A3556" s="4" t="n">
        <v>5430</v>
      </c>
      <c r="B3556" s="5" t="inlineStr">
        <is>
          <t>IMG_0139</t>
        </is>
      </c>
      <c r="C3556" s="5" t="inlineStr">
        <is>
          <t>CLASS U: BRICKWORK, BLOCKWORK AND MASONRY</t>
        </is>
      </c>
      <c r="D3556" s="5" t="inlineStr">
        <is>
          <t>01 COMMON BRICKWORK</t>
        </is>
      </c>
      <c r="E3556" s="5" t="inlineStr">
        <is>
          <t>Thickness exceeding 1 m</t>
        </is>
      </c>
      <c r="F3556" s="5" t="inlineStr">
        <is>
          <t>casing to metal sections</t>
        </is>
      </c>
      <c r="G3556" s="6" t="inlineStr">
        <is>
          <t>m2</t>
        </is>
      </c>
      <c r="H3556" s="7" t="n">
        <v>2.1</v>
      </c>
      <c r="I3556" s="8" t="n">
        <v>354.04</v>
      </c>
      <c r="J3556" s="8" t="n">
        <v>24.96</v>
      </c>
      <c r="K3556" s="8" t="n">
        <v>376.22</v>
      </c>
      <c r="L3556" s="8" t="n">
        <v>0</v>
      </c>
      <c r="M3556" s="9">
        <f>ROUND(SUM(I3556:L3556),2)</f>
        <v/>
      </c>
      <c r="N3556" s="10">
        <f>ROUND(I3556*'Irish Basis'!$C$6*'Irish Basis'!$C$5,2)</f>
        <v/>
      </c>
      <c r="O3556" s="10">
        <f>ROUND(J3556*'Irish Basis'!$C$7*'Irish Basis'!$C$5,2)</f>
        <v/>
      </c>
      <c r="P3556" s="10">
        <f>ROUND(K3556*'Irish Basis'!$C$8*'Irish Basis'!$C$5,2)</f>
        <v/>
      </c>
      <c r="Q3556" s="10">
        <f>ROUND(L3556*'Irish Basis'!$C$12*'Irish Basis'!$C$5,2)</f>
        <v/>
      </c>
      <c r="R3556" s="11">
        <f>ROUND(SUM(N3556:Q3556),2)</f>
        <v/>
      </c>
      <c r="S3556" s="5" t="inlineStr">
        <is>
          <t>Stated build-up</t>
        </is>
      </c>
      <c r="T3556" s="12" t="inlineStr">
        <is>
          <t>High</t>
        </is>
      </c>
      <c r="U3556" s="8" t="n">
        <v>755.22</v>
      </c>
      <c r="V3556" s="13">
        <f>IF(U3556="","",ROUND(M3556-U3556,2))</f>
        <v/>
      </c>
      <c r="W3556" s="5" t="n"/>
      <c r="X3556" s="5" t="inlineStr">
        <is>
          <t>Labour + plant + material as published; reconciles to the published rate.</t>
        </is>
      </c>
    </row>
    <row r="3557" ht="13" customHeight="1">
      <c r="A3557" s="4" t="n">
        <v>5432</v>
      </c>
      <c r="B3557" s="5" t="inlineStr">
        <is>
          <t>IMG_0139</t>
        </is>
      </c>
      <c r="C3557" s="5" t="inlineStr">
        <is>
          <t>CLASS U: BRICKWORK, BLOCKWORK AND MASONRY</t>
        </is>
      </c>
      <c r="D3557" s="5" t="inlineStr">
        <is>
          <t>01 COMMON BRICKWORK</t>
        </is>
      </c>
      <c r="E3557" s="5" t="inlineStr">
        <is>
          <t>Columns and piers</t>
        </is>
      </c>
      <c r="F3557" s="5" t="inlineStr">
        <is>
          <t>215 x 215 mm</t>
        </is>
      </c>
      <c r="G3557" s="6" t="inlineStr">
        <is>
          <t>m</t>
        </is>
      </c>
      <c r="H3557" s="7" t="n">
        <v>0.13</v>
      </c>
      <c r="I3557" s="8" t="n">
        <v>21.92</v>
      </c>
      <c r="J3557" s="8" t="n">
        <v>1.54</v>
      </c>
      <c r="K3557" s="8" t="n">
        <v>17.95</v>
      </c>
      <c r="L3557" s="8" t="n">
        <v>0</v>
      </c>
      <c r="M3557" s="9">
        <f>ROUND(SUM(I3557:L3557),2)</f>
        <v/>
      </c>
      <c r="N3557" s="10">
        <f>ROUND(I3557*'Irish Basis'!$C$6*'Irish Basis'!$C$5,2)</f>
        <v/>
      </c>
      <c r="O3557" s="10">
        <f>ROUND(J3557*'Irish Basis'!$C$7*'Irish Basis'!$C$5,2)</f>
        <v/>
      </c>
      <c r="P3557" s="10">
        <f>ROUND(K3557*'Irish Basis'!$C$8*'Irish Basis'!$C$5,2)</f>
        <v/>
      </c>
      <c r="Q3557" s="10">
        <f>ROUND(L3557*'Irish Basis'!$C$12*'Irish Basis'!$C$5,2)</f>
        <v/>
      </c>
      <c r="R3557" s="11">
        <f>ROUND(SUM(N3557:Q3557),2)</f>
        <v/>
      </c>
      <c r="S3557" s="5" t="inlineStr">
        <is>
          <t>Stated build-up</t>
        </is>
      </c>
      <c r="T3557" s="12" t="inlineStr">
        <is>
          <t>High</t>
        </is>
      </c>
      <c r="U3557" s="8" t="n">
        <v>41.41</v>
      </c>
      <c r="V3557" s="13">
        <f>IF(U3557="","",ROUND(M3557-U3557,2))</f>
        <v/>
      </c>
      <c r="W3557" s="5" t="n"/>
      <c r="X3557" s="5" t="inlineStr">
        <is>
          <t>Labour + plant + material as published; reconciles to the published rate.</t>
        </is>
      </c>
    </row>
    <row r="3558" ht="13" customHeight="1">
      <c r="A3558" s="4" t="n">
        <v>5433</v>
      </c>
      <c r="B3558" s="5" t="inlineStr">
        <is>
          <t>IMG_0139</t>
        </is>
      </c>
      <c r="C3558" s="5" t="inlineStr">
        <is>
          <t>CLASS U: BRICKWORK, BLOCKWORK AND MASONRY</t>
        </is>
      </c>
      <c r="D3558" s="5" t="inlineStr">
        <is>
          <t>01 COMMON BRICKWORK</t>
        </is>
      </c>
      <c r="E3558" s="5" t="inlineStr">
        <is>
          <t>Columns and piers</t>
        </is>
      </c>
      <c r="F3558" s="5" t="inlineStr">
        <is>
          <t>440 x 328 mm</t>
        </is>
      </c>
      <c r="G3558" s="6" t="inlineStr">
        <is>
          <t>m</t>
        </is>
      </c>
      <c r="H3558" s="7" t="n">
        <v>0.24</v>
      </c>
      <c r="I3558" s="8" t="n">
        <v>40.46</v>
      </c>
      <c r="J3558" s="8" t="n">
        <v>2.85</v>
      </c>
      <c r="K3558" s="8" t="n">
        <v>36.23</v>
      </c>
      <c r="L3558" s="8" t="n">
        <v>0</v>
      </c>
      <c r="M3558" s="9">
        <f>ROUND(SUM(I3558:L3558),2)</f>
        <v/>
      </c>
      <c r="N3558" s="10">
        <f>ROUND(I3558*'Irish Basis'!$C$6*'Irish Basis'!$C$5,2)</f>
        <v/>
      </c>
      <c r="O3558" s="10">
        <f>ROUND(J3558*'Irish Basis'!$C$7*'Irish Basis'!$C$5,2)</f>
        <v/>
      </c>
      <c r="P3558" s="10">
        <f>ROUND(K3558*'Irish Basis'!$C$8*'Irish Basis'!$C$5,2)</f>
        <v/>
      </c>
      <c r="Q3558" s="10">
        <f>ROUND(L3558*'Irish Basis'!$C$12*'Irish Basis'!$C$5,2)</f>
        <v/>
      </c>
      <c r="R3558" s="11">
        <f>ROUND(SUM(N3558:Q3558),2)</f>
        <v/>
      </c>
      <c r="S3558" s="5" t="inlineStr">
        <is>
          <t>Stated build-up</t>
        </is>
      </c>
      <c r="T3558" s="12" t="inlineStr">
        <is>
          <t>High</t>
        </is>
      </c>
      <c r="U3558" s="8" t="n">
        <v>79.54000000000001</v>
      </c>
      <c r="V3558" s="13">
        <f>IF(U3558="","",ROUND(M3558-U3558,2))</f>
        <v/>
      </c>
      <c r="W3558" s="5" t="n"/>
      <c r="X3558" s="5" t="inlineStr">
        <is>
          <t>Labour + plant + material as published; reconciles to the published rate.</t>
        </is>
      </c>
    </row>
    <row r="3559" ht="13" customHeight="1">
      <c r="A3559" s="4" t="n">
        <v>5434</v>
      </c>
      <c r="B3559" s="5" t="inlineStr">
        <is>
          <t>IMG_0139</t>
        </is>
      </c>
      <c r="C3559" s="5" t="inlineStr">
        <is>
          <t>CLASS U: BRICKWORK, BLOCKWORK AND MASONRY</t>
        </is>
      </c>
      <c r="D3559" s="5" t="inlineStr">
        <is>
          <t>01 COMMON BRICKWORK</t>
        </is>
      </c>
      <c r="E3559" s="5" t="inlineStr">
        <is>
          <t>Columns and piers</t>
        </is>
      </c>
      <c r="F3559" s="5" t="inlineStr">
        <is>
          <t>665 x 328 mm</t>
        </is>
      </c>
      <c r="G3559" s="6" t="inlineStr">
        <is>
          <t>m</t>
        </is>
      </c>
      <c r="H3559" s="7" t="n">
        <v>0.44</v>
      </c>
      <c r="I3559" s="8" t="n">
        <v>74.18000000000001</v>
      </c>
      <c r="J3559" s="8" t="n">
        <v>5.22</v>
      </c>
      <c r="K3559" s="8" t="n">
        <v>81.94</v>
      </c>
      <c r="L3559" s="8" t="n">
        <v>0</v>
      </c>
      <c r="M3559" s="9">
        <f>ROUND(SUM(I3559:L3559),2)</f>
        <v/>
      </c>
      <c r="N3559" s="10">
        <f>ROUND(I3559*'Irish Basis'!$C$6*'Irish Basis'!$C$5,2)</f>
        <v/>
      </c>
      <c r="O3559" s="10">
        <f>ROUND(J3559*'Irish Basis'!$C$7*'Irish Basis'!$C$5,2)</f>
        <v/>
      </c>
      <c r="P3559" s="10">
        <f>ROUND(K3559*'Irish Basis'!$C$8*'Irish Basis'!$C$5,2)</f>
        <v/>
      </c>
      <c r="Q3559" s="10">
        <f>ROUND(L3559*'Irish Basis'!$C$12*'Irish Basis'!$C$5,2)</f>
        <v/>
      </c>
      <c r="R3559" s="11">
        <f>ROUND(SUM(N3559:Q3559),2)</f>
        <v/>
      </c>
      <c r="S3559" s="5" t="inlineStr">
        <is>
          <t>Stated build-up</t>
        </is>
      </c>
      <c r="T3559" s="12" t="inlineStr">
        <is>
          <t>High</t>
        </is>
      </c>
      <c r="U3559" s="8" t="n">
        <v>161.35</v>
      </c>
      <c r="V3559" s="13">
        <f>IF(U3559="","",ROUND(M3559-U3559,2))</f>
        <v/>
      </c>
      <c r="W3559" s="5" t="n"/>
      <c r="X3559" s="5" t="inlineStr">
        <is>
          <t>Labour + plant + material as published; reconciles to the published rate.</t>
        </is>
      </c>
    </row>
    <row r="3560" ht="13" customHeight="1">
      <c r="A3560" s="4" t="n">
        <v>5435</v>
      </c>
      <c r="B3560" s="5" t="inlineStr">
        <is>
          <t>IMG_0139</t>
        </is>
      </c>
      <c r="C3560" s="5" t="inlineStr">
        <is>
          <t>CLASS U: BRICKWORK, BLOCKWORK AND MASONRY</t>
        </is>
      </c>
      <c r="D3560" s="5" t="inlineStr">
        <is>
          <t>01 COMMON BRICKWORK</t>
        </is>
      </c>
      <c r="E3560" s="5" t="inlineStr">
        <is>
          <t>Columns and piers</t>
        </is>
      </c>
      <c r="F3560" s="5" t="inlineStr">
        <is>
          <t>890 x 890 mm</t>
        </is>
      </c>
      <c r="G3560" s="6" t="inlineStr">
        <is>
          <t>m</t>
        </is>
      </c>
      <c r="H3560" s="7" t="n">
        <v>1.1</v>
      </c>
      <c r="I3560" s="8" t="n">
        <v>185.45</v>
      </c>
      <c r="J3560" s="8" t="n">
        <v>13.06</v>
      </c>
      <c r="K3560" s="8" t="n">
        <v>293.32</v>
      </c>
      <c r="L3560" s="8" t="n">
        <v>0</v>
      </c>
      <c r="M3560" s="9">
        <f>ROUND(SUM(I3560:L3560),2)</f>
        <v/>
      </c>
      <c r="N3560" s="10">
        <f>ROUND(I3560*'Irish Basis'!$C$6*'Irish Basis'!$C$5,2)</f>
        <v/>
      </c>
      <c r="O3560" s="10">
        <f>ROUND(J3560*'Irish Basis'!$C$7*'Irish Basis'!$C$5,2)</f>
        <v/>
      </c>
      <c r="P3560" s="10">
        <f>ROUND(K3560*'Irish Basis'!$C$8*'Irish Basis'!$C$5,2)</f>
        <v/>
      </c>
      <c r="Q3560" s="10">
        <f>ROUND(L3560*'Irish Basis'!$C$12*'Irish Basis'!$C$5,2)</f>
        <v/>
      </c>
      <c r="R3560" s="11">
        <f>ROUND(SUM(N3560:Q3560),2)</f>
        <v/>
      </c>
      <c r="S3560" s="5" t="inlineStr">
        <is>
          <t>Stated build-up</t>
        </is>
      </c>
      <c r="T3560" s="12" t="inlineStr">
        <is>
          <t>High</t>
        </is>
      </c>
      <c r="U3560" s="8" t="n">
        <v>491.83</v>
      </c>
      <c r="V3560" s="13">
        <f>IF(U3560="","",ROUND(M3560-U3560,2))</f>
        <v/>
      </c>
      <c r="W3560" s="5" t="n"/>
      <c r="X3560" s="5" t="inlineStr">
        <is>
          <t>Labour + plant + material as published; reconciles to the published rate.</t>
        </is>
      </c>
    </row>
    <row r="3561" ht="13" customHeight="1">
      <c r="A3561" s="4" t="n">
        <v>5438</v>
      </c>
      <c r="B3561" s="5" t="inlineStr">
        <is>
          <t>IMG_0140</t>
        </is>
      </c>
      <c r="C3561" s="5" t="inlineStr">
        <is>
          <t>CLASS U: BRICKWORK, BLOCKWORK AND MASONRY</t>
        </is>
      </c>
      <c r="D3561" s="5" t="inlineStr">
        <is>
          <t>01 COMMON BRICKWORK</t>
        </is>
      </c>
      <c r="E3561" s="5" t="inlineStr">
        <is>
          <t>Surface features (continued)</t>
        </is>
      </c>
      <c r="F3561" s="5" t="inlineStr">
        <is>
          <t>copings; standard header-on-edge; 215 mm wide x 103 mm high</t>
        </is>
      </c>
      <c r="G3561" s="6" t="inlineStr">
        <is>
          <t>m</t>
        </is>
      </c>
      <c r="H3561" s="7" t="n">
        <v>0.1</v>
      </c>
      <c r="I3561" s="8" t="n">
        <v>16.86</v>
      </c>
      <c r="J3561" s="8" t="n">
        <v>1.25</v>
      </c>
      <c r="K3561" s="8" t="n">
        <v>9.029999999999999</v>
      </c>
      <c r="L3561" s="8" t="n">
        <v>0</v>
      </c>
      <c r="M3561" s="9">
        <f>ROUND(SUM(I3561:L3561),2)</f>
        <v/>
      </c>
      <c r="N3561" s="10">
        <f>ROUND(I3561*'Irish Basis'!$C$6*'Irish Basis'!$C$5,2)</f>
        <v/>
      </c>
      <c r="O3561" s="10">
        <f>ROUND(J3561*'Irish Basis'!$C$7*'Irish Basis'!$C$5,2)</f>
        <v/>
      </c>
      <c r="P3561" s="10">
        <f>ROUND(K3561*'Irish Basis'!$C$8*'Irish Basis'!$C$5,2)</f>
        <v/>
      </c>
      <c r="Q3561" s="10">
        <f>ROUND(L3561*'Irish Basis'!$C$12*'Irish Basis'!$C$5,2)</f>
        <v/>
      </c>
      <c r="R3561" s="11">
        <f>ROUND(SUM(N3561:Q3561),2)</f>
        <v/>
      </c>
      <c r="S3561" s="5" t="inlineStr">
        <is>
          <t>Stated build-up</t>
        </is>
      </c>
      <c r="T3561" s="12" t="inlineStr">
        <is>
          <t>High</t>
        </is>
      </c>
      <c r="U3561" s="8" t="n">
        <v>27.13</v>
      </c>
      <c r="V3561" s="13">
        <f>IF(U3561="","",ROUND(M3561-U3561,2))</f>
        <v/>
      </c>
      <c r="W3561" s="5" t="n"/>
      <c r="X3561" s="5" t="inlineStr">
        <is>
          <t>Labour + plant + material as published; reconciles to the published rate.</t>
        </is>
      </c>
    </row>
    <row r="3562" ht="13" customHeight="1">
      <c r="A3562" s="4" t="n">
        <v>5439</v>
      </c>
      <c r="B3562" s="5" t="inlineStr">
        <is>
          <t>IMG_0140</t>
        </is>
      </c>
      <c r="C3562" s="5" t="inlineStr">
        <is>
          <t>CLASS U: BRICKWORK, BLOCKWORK AND MASONRY</t>
        </is>
      </c>
      <c r="D3562" s="5" t="inlineStr">
        <is>
          <t>01 COMMON BRICKWORK</t>
        </is>
      </c>
      <c r="E3562" s="5" t="inlineStr">
        <is>
          <t>Surface features (continued)</t>
        </is>
      </c>
      <c r="F3562" s="5" t="inlineStr">
        <is>
          <t>sills; standard header-on-edge; 215 mm wide x 103 mm high</t>
        </is>
      </c>
      <c r="G3562" s="6" t="inlineStr">
        <is>
          <t>m</t>
        </is>
      </c>
      <c r="H3562" s="7" t="n">
        <v>0.13</v>
      </c>
      <c r="I3562" s="8" t="n">
        <v>21.92</v>
      </c>
      <c r="J3562" s="8" t="n">
        <v>1.49</v>
      </c>
      <c r="K3562" s="8" t="n">
        <v>8.81</v>
      </c>
      <c r="L3562" s="8" t="n">
        <v>0</v>
      </c>
      <c r="M3562" s="9">
        <f>ROUND(SUM(I3562:L3562),2)</f>
        <v/>
      </c>
      <c r="N3562" s="10">
        <f>ROUND(I3562*'Irish Basis'!$C$6*'Irish Basis'!$C$5,2)</f>
        <v/>
      </c>
      <c r="O3562" s="10">
        <f>ROUND(J3562*'Irish Basis'!$C$7*'Irish Basis'!$C$5,2)</f>
        <v/>
      </c>
      <c r="P3562" s="10">
        <f>ROUND(K3562*'Irish Basis'!$C$8*'Irish Basis'!$C$5,2)</f>
        <v/>
      </c>
      <c r="Q3562" s="10">
        <f>ROUND(L3562*'Irish Basis'!$C$12*'Irish Basis'!$C$5,2)</f>
        <v/>
      </c>
      <c r="R3562" s="11">
        <f>ROUND(SUM(N3562:Q3562),2)</f>
        <v/>
      </c>
      <c r="S3562" s="5" t="inlineStr">
        <is>
          <t>Stated build-up</t>
        </is>
      </c>
      <c r="T3562" s="12" t="inlineStr">
        <is>
          <t>High</t>
        </is>
      </c>
      <c r="U3562" s="8" t="n">
        <v>32.21</v>
      </c>
      <c r="V3562" s="13">
        <f>IF(U3562="","",ROUND(M3562-U3562,2))</f>
        <v/>
      </c>
      <c r="W3562" s="5" t="n"/>
      <c r="X3562" s="5" t="inlineStr">
        <is>
          <t>Labour + plant + material as published; reconciles to the published rate.</t>
        </is>
      </c>
    </row>
    <row r="3563" ht="13" customHeight="1">
      <c r="A3563" s="4" t="n">
        <v>5440</v>
      </c>
      <c r="B3563" s="5" t="inlineStr">
        <is>
          <t>IMG_0140</t>
        </is>
      </c>
      <c r="C3563" s="5" t="inlineStr">
        <is>
          <t>CLASS U: BRICKWORK, BLOCKWORK AND MASONRY</t>
        </is>
      </c>
      <c r="D3563" s="5" t="inlineStr">
        <is>
          <t>01 COMMON BRICKWORK</t>
        </is>
      </c>
      <c r="E3563" s="5" t="inlineStr">
        <is>
          <t>Surface features (continued)</t>
        </is>
      </c>
      <c r="F3563" s="5" t="inlineStr">
        <is>
          <t>rebates</t>
        </is>
      </c>
      <c r="G3563" s="6" t="inlineStr">
        <is>
          <t>m</t>
        </is>
      </c>
      <c r="H3563" s="7" t="n">
        <v>0.3</v>
      </c>
      <c r="I3563" s="8" t="n">
        <v>50.58</v>
      </c>
      <c r="J3563" s="8" t="n">
        <v>3.56</v>
      </c>
      <c r="K3563" s="8" t="n">
        <v>0</v>
      </c>
      <c r="L3563" s="8" t="n">
        <v>0</v>
      </c>
      <c r="M3563" s="9">
        <f>ROUND(SUM(I3563:L3563),2)</f>
        <v/>
      </c>
      <c r="N3563" s="10">
        <f>ROUND(I3563*'Irish Basis'!$C$6*'Irish Basis'!$C$5,2)</f>
        <v/>
      </c>
      <c r="O3563" s="10">
        <f>ROUND(J3563*'Irish Basis'!$C$7*'Irish Basis'!$C$5,2)</f>
        <v/>
      </c>
      <c r="P3563" s="10">
        <f>ROUND(K3563*'Irish Basis'!$C$8*'Irish Basis'!$C$5,2)</f>
        <v/>
      </c>
      <c r="Q3563" s="10">
        <f>ROUND(L3563*'Irish Basis'!$C$12*'Irish Basis'!$C$5,2)</f>
        <v/>
      </c>
      <c r="R3563" s="11">
        <f>ROUND(SUM(N3563:Q3563),2)</f>
        <v/>
      </c>
      <c r="S3563" s="5" t="inlineStr">
        <is>
          <t>Stated build-up</t>
        </is>
      </c>
      <c r="T3563" s="12" t="inlineStr">
        <is>
          <t>High</t>
        </is>
      </c>
      <c r="U3563" s="8" t="n">
        <v>54.13</v>
      </c>
      <c r="V3563" s="13">
        <f>IF(U3563="","",ROUND(M3563-U3563,2))</f>
        <v/>
      </c>
      <c r="W3563" s="5" t="n"/>
      <c r="X3563" s="5" t="inlineStr">
        <is>
          <t>Labour + plant + material as published; reconciles to the published rate.</t>
        </is>
      </c>
    </row>
    <row r="3564" ht="13" customHeight="1">
      <c r="A3564" s="4" t="n">
        <v>5441</v>
      </c>
      <c r="B3564" s="5" t="inlineStr">
        <is>
          <t>IMG_0140</t>
        </is>
      </c>
      <c r="C3564" s="5" t="inlineStr">
        <is>
          <t>CLASS U: BRICKWORK, BLOCKWORK AND MASONRY</t>
        </is>
      </c>
      <c r="D3564" s="5" t="inlineStr">
        <is>
          <t>01 COMMON BRICKWORK</t>
        </is>
      </c>
      <c r="E3564" s="5" t="inlineStr">
        <is>
          <t>Surface features (continued)</t>
        </is>
      </c>
      <c r="F3564" s="5" t="inlineStr">
        <is>
          <t>chases</t>
        </is>
      </c>
      <c r="G3564" s="6" t="inlineStr">
        <is>
          <t>m</t>
        </is>
      </c>
      <c r="H3564" s="7" t="n">
        <v>0.35</v>
      </c>
      <c r="I3564" s="8" t="n">
        <v>59.01</v>
      </c>
      <c r="J3564" s="8" t="n">
        <v>4.16</v>
      </c>
      <c r="K3564" s="8" t="n">
        <v>0</v>
      </c>
      <c r="L3564" s="8" t="n">
        <v>0</v>
      </c>
      <c r="M3564" s="9">
        <f>ROUND(SUM(I3564:L3564),2)</f>
        <v/>
      </c>
      <c r="N3564" s="10">
        <f>ROUND(I3564*'Irish Basis'!$C$6*'Irish Basis'!$C$5,2)</f>
        <v/>
      </c>
      <c r="O3564" s="10">
        <f>ROUND(J3564*'Irish Basis'!$C$7*'Irish Basis'!$C$5,2)</f>
        <v/>
      </c>
      <c r="P3564" s="10">
        <f>ROUND(K3564*'Irish Basis'!$C$8*'Irish Basis'!$C$5,2)</f>
        <v/>
      </c>
      <c r="Q3564" s="10">
        <f>ROUND(L3564*'Irish Basis'!$C$12*'Irish Basis'!$C$5,2)</f>
        <v/>
      </c>
      <c r="R3564" s="11">
        <f>ROUND(SUM(N3564:Q3564),2)</f>
        <v/>
      </c>
      <c r="S3564" s="5" t="inlineStr">
        <is>
          <t>Stated build-up</t>
        </is>
      </c>
      <c r="T3564" s="12" t="inlineStr">
        <is>
          <t>High</t>
        </is>
      </c>
      <c r="U3564" s="8" t="n">
        <v>63.16</v>
      </c>
      <c r="V3564" s="13">
        <f>IF(U3564="","",ROUND(M3564-U3564,2))</f>
        <v/>
      </c>
      <c r="W3564" s="5" t="n"/>
      <c r="X3564" s="5" t="inlineStr">
        <is>
          <t>Labour + plant + material as published; reconciles to the published rate.</t>
        </is>
      </c>
    </row>
    <row r="3565" ht="13" customHeight="1">
      <c r="A3565" s="4" t="n">
        <v>5442</v>
      </c>
      <c r="B3565" s="5" t="inlineStr">
        <is>
          <t>IMG_0140</t>
        </is>
      </c>
      <c r="C3565" s="5" t="inlineStr">
        <is>
          <t>CLASS U: BRICKWORK, BLOCKWORK AND MASONRY</t>
        </is>
      </c>
      <c r="D3565" s="5" t="inlineStr">
        <is>
          <t>01 COMMON BRICKWORK</t>
        </is>
      </c>
      <c r="E3565" s="5" t="inlineStr">
        <is>
          <t>Surface features (continued)</t>
        </is>
      </c>
      <c r="F3565" s="5" t="inlineStr">
        <is>
          <t>band courses; flush; 215 mm wide</t>
        </is>
      </c>
      <c r="G3565" s="6" t="inlineStr">
        <is>
          <t>m</t>
        </is>
      </c>
      <c r="H3565" s="7" t="n">
        <v>0.05</v>
      </c>
      <c r="I3565" s="8" t="n">
        <v>8.43</v>
      </c>
      <c r="J3565" s="8" t="n">
        <v>0.54</v>
      </c>
      <c r="K3565" s="8" t="n">
        <v>0</v>
      </c>
      <c r="L3565" s="8" t="n">
        <v>0</v>
      </c>
      <c r="M3565" s="9">
        <f>ROUND(SUM(I3565:L3565),2)</f>
        <v/>
      </c>
      <c r="N3565" s="10">
        <f>ROUND(I3565*'Irish Basis'!$C$6*'Irish Basis'!$C$5,2)</f>
        <v/>
      </c>
      <c r="O3565" s="10">
        <f>ROUND(J3565*'Irish Basis'!$C$7*'Irish Basis'!$C$5,2)</f>
        <v/>
      </c>
      <c r="P3565" s="10">
        <f>ROUND(K3565*'Irish Basis'!$C$8*'Irish Basis'!$C$5,2)</f>
        <v/>
      </c>
      <c r="Q3565" s="10">
        <f>ROUND(L3565*'Irish Basis'!$C$12*'Irish Basis'!$C$5,2)</f>
        <v/>
      </c>
      <c r="R3565" s="11">
        <f>ROUND(SUM(N3565:Q3565),2)</f>
        <v/>
      </c>
      <c r="S3565" s="5" t="inlineStr">
        <is>
          <t>Stated build-up</t>
        </is>
      </c>
      <c r="T3565" s="12" t="inlineStr">
        <is>
          <t>High</t>
        </is>
      </c>
      <c r="U3565" s="8" t="n">
        <v>8.970000000000001</v>
      </c>
      <c r="V3565" s="13">
        <f>IF(U3565="","",ROUND(M3565-U3565,2))</f>
        <v/>
      </c>
      <c r="W3565" s="5" t="n"/>
      <c r="X3565" s="5" t="inlineStr">
        <is>
          <t>Labour + plant + material as published; reconciles to the published rate.</t>
        </is>
      </c>
    </row>
    <row r="3566" ht="13" customHeight="1">
      <c r="A3566" s="4" t="n">
        <v>5443</v>
      </c>
      <c r="B3566" s="5" t="inlineStr">
        <is>
          <t>IMG_0140</t>
        </is>
      </c>
      <c r="C3566" s="5" t="inlineStr">
        <is>
          <t>CLASS U: BRICKWORK, BLOCKWORK AND MASONRY</t>
        </is>
      </c>
      <c r="D3566" s="5" t="inlineStr">
        <is>
          <t>01 COMMON BRICKWORK</t>
        </is>
      </c>
      <c r="E3566" s="5" t="inlineStr">
        <is>
          <t>Surface features (continued)</t>
        </is>
      </c>
      <c r="F3566" s="5" t="inlineStr">
        <is>
          <t>band courses; projection 103 mm; 215 mm wide</t>
        </is>
      </c>
      <c r="G3566" s="6" t="inlineStr">
        <is>
          <t>m</t>
        </is>
      </c>
      <c r="H3566" s="7" t="n">
        <v>0.05</v>
      </c>
      <c r="I3566" s="8" t="n">
        <v>8.43</v>
      </c>
      <c r="J3566" s="8" t="n">
        <v>0.59</v>
      </c>
      <c r="K3566" s="8" t="n">
        <v>0</v>
      </c>
      <c r="L3566" s="8" t="n">
        <v>0</v>
      </c>
      <c r="M3566" s="9">
        <f>ROUND(SUM(I3566:L3566),2)</f>
        <v/>
      </c>
      <c r="N3566" s="10">
        <f>ROUND(I3566*'Irish Basis'!$C$6*'Irish Basis'!$C$5,2)</f>
        <v/>
      </c>
      <c r="O3566" s="10">
        <f>ROUND(J3566*'Irish Basis'!$C$7*'Irish Basis'!$C$5,2)</f>
        <v/>
      </c>
      <c r="P3566" s="10">
        <f>ROUND(K3566*'Irish Basis'!$C$8*'Irish Basis'!$C$5,2)</f>
        <v/>
      </c>
      <c r="Q3566" s="10">
        <f>ROUND(L3566*'Irish Basis'!$C$12*'Irish Basis'!$C$5,2)</f>
        <v/>
      </c>
      <c r="R3566" s="11">
        <f>ROUND(SUM(N3566:Q3566),2)</f>
        <v/>
      </c>
      <c r="S3566" s="5" t="inlineStr">
        <is>
          <t>Stated build-up</t>
        </is>
      </c>
      <c r="T3566" s="12" t="inlineStr">
        <is>
          <t>High</t>
        </is>
      </c>
      <c r="U3566" s="8" t="n">
        <v>9.02</v>
      </c>
      <c r="V3566" s="13">
        <f>IF(U3566="","",ROUND(M3566-U3566,2))</f>
        <v/>
      </c>
      <c r="W3566" s="5" t="n"/>
      <c r="X3566" s="5" t="inlineStr">
        <is>
          <t>Labour + plant + material as published; reconciles to the published rate.</t>
        </is>
      </c>
    </row>
    <row r="3567" ht="13" customHeight="1">
      <c r="A3567" s="4" t="n">
        <v>5444</v>
      </c>
      <c r="B3567" s="5" t="inlineStr">
        <is>
          <t>IMG_0140</t>
        </is>
      </c>
      <c r="C3567" s="5" t="inlineStr">
        <is>
          <t>CLASS U: BRICKWORK, BLOCKWORK AND MASONRY</t>
        </is>
      </c>
      <c r="D3567" s="5" t="inlineStr">
        <is>
          <t>01 COMMON BRICKWORK</t>
        </is>
      </c>
      <c r="E3567" s="5" t="inlineStr">
        <is>
          <t>Surface features (continued)</t>
        </is>
      </c>
      <c r="F3567" s="5" t="inlineStr">
        <is>
          <t>corbels maximum projection 103 mm; 215 mm wide</t>
        </is>
      </c>
      <c r="G3567" s="6" t="inlineStr">
        <is>
          <t>m</t>
        </is>
      </c>
      <c r="H3567" s="7" t="n">
        <v>0.15</v>
      </c>
      <c r="I3567" s="8" t="n">
        <v>25.29</v>
      </c>
      <c r="J3567" s="8" t="n">
        <v>1.78</v>
      </c>
      <c r="K3567" s="8" t="n">
        <v>8.699999999999999</v>
      </c>
      <c r="L3567" s="8" t="n">
        <v>0</v>
      </c>
      <c r="M3567" s="9">
        <f>ROUND(SUM(I3567:L3567),2)</f>
        <v/>
      </c>
      <c r="N3567" s="10">
        <f>ROUND(I3567*'Irish Basis'!$C$6*'Irish Basis'!$C$5,2)</f>
        <v/>
      </c>
      <c r="O3567" s="10">
        <f>ROUND(J3567*'Irish Basis'!$C$7*'Irish Basis'!$C$5,2)</f>
        <v/>
      </c>
      <c r="P3567" s="10">
        <f>ROUND(K3567*'Irish Basis'!$C$8*'Irish Basis'!$C$5,2)</f>
        <v/>
      </c>
      <c r="Q3567" s="10">
        <f>ROUND(L3567*'Irish Basis'!$C$12*'Irish Basis'!$C$5,2)</f>
        <v/>
      </c>
      <c r="R3567" s="11">
        <f>ROUND(SUM(N3567:Q3567),2)</f>
        <v/>
      </c>
      <c r="S3567" s="5" t="inlineStr">
        <is>
          <t>Stated build-up</t>
        </is>
      </c>
      <c r="T3567" s="12" t="inlineStr">
        <is>
          <t>High</t>
        </is>
      </c>
      <c r="U3567" s="8" t="n">
        <v>35.77</v>
      </c>
      <c r="V3567" s="13">
        <f>IF(U3567="","",ROUND(M3567-U3567,2))</f>
        <v/>
      </c>
      <c r="W3567" s="5" t="n"/>
      <c r="X3567" s="5" t="inlineStr">
        <is>
          <t>Labour + plant + material as published; reconciles to the published rate.</t>
        </is>
      </c>
    </row>
    <row r="3568" ht="13" customHeight="1">
      <c r="A3568" s="4" t="n">
        <v>5445</v>
      </c>
      <c r="B3568" s="5" t="inlineStr">
        <is>
          <t>IMG_0140</t>
        </is>
      </c>
      <c r="C3568" s="5" t="inlineStr">
        <is>
          <t>CLASS U: BRICKWORK, BLOCKWORK AND MASONRY</t>
        </is>
      </c>
      <c r="D3568" s="5" t="inlineStr">
        <is>
          <t>01 COMMON BRICKWORK</t>
        </is>
      </c>
      <c r="E3568" s="5" t="inlineStr">
        <is>
          <t>Surface features (continued)</t>
        </is>
      </c>
      <c r="F3568" s="5" t="inlineStr">
        <is>
          <t>pilasters; 328 mm wide x 103 mm projection</t>
        </is>
      </c>
      <c r="G3568" s="6" t="inlineStr">
        <is>
          <t>m</t>
        </is>
      </c>
      <c r="H3568" s="7" t="n"/>
      <c r="I3568" s="8" t="n">
        <v>0</v>
      </c>
      <c r="J3568" s="8" t="n">
        <v>0.83</v>
      </c>
      <c r="K3568" s="8" t="n">
        <v>17.95</v>
      </c>
      <c r="L3568" s="8" t="n">
        <v>0</v>
      </c>
      <c r="M3568" s="9">
        <f>ROUND(SUM(I3568:L3568),2)</f>
        <v/>
      </c>
      <c r="N3568" s="10">
        <f>ROUND(I3568*'Irish Basis'!$C$6*'Irish Basis'!$C$5,2)</f>
        <v/>
      </c>
      <c r="O3568" s="10">
        <f>ROUND(J3568*'Irish Basis'!$C$7*'Irish Basis'!$C$5,2)</f>
        <v/>
      </c>
      <c r="P3568" s="10">
        <f>ROUND(K3568*'Irish Basis'!$C$8*'Irish Basis'!$C$5,2)</f>
        <v/>
      </c>
      <c r="Q3568" s="10">
        <f>ROUND(L3568*'Irish Basis'!$C$12*'Irish Basis'!$C$5,2)</f>
        <v/>
      </c>
      <c r="R3568" s="11">
        <f>ROUND(SUM(N3568:Q3568),2)</f>
        <v/>
      </c>
      <c r="S3568" s="5" t="inlineStr">
        <is>
          <t>Stated build-up</t>
        </is>
      </c>
      <c r="T3568" s="12" t="inlineStr">
        <is>
          <t>High</t>
        </is>
      </c>
      <c r="U3568" s="8" t="n">
        <v>18.79</v>
      </c>
      <c r="V3568" s="13">
        <f>IF(U3568="","",ROUND(M3568-U3568,2))</f>
        <v/>
      </c>
      <c r="W3568" s="5" t="n"/>
      <c r="X3568" s="5" t="inlineStr">
        <is>
          <t>Labour + plant + material as published; reconciles to the published rate.</t>
        </is>
      </c>
    </row>
    <row r="3569" ht="13" customHeight="1">
      <c r="A3569" s="4" t="n">
        <v>5446</v>
      </c>
      <c r="B3569" s="5" t="inlineStr">
        <is>
          <t>IMG_0140</t>
        </is>
      </c>
      <c r="C3569" s="5" t="inlineStr">
        <is>
          <t>CLASS U: BRICKWORK, BLOCKWORK AND MASONRY</t>
        </is>
      </c>
      <c r="D3569" s="5" t="inlineStr">
        <is>
          <t>01 COMMON BRICKWORK</t>
        </is>
      </c>
      <c r="E3569" s="5" t="inlineStr">
        <is>
          <t>Surface features (continued)</t>
        </is>
      </c>
      <c r="F3569" s="5" t="inlineStr">
        <is>
          <t>pilasters; 440 mm wide x 215 mm projection</t>
        </is>
      </c>
      <c r="G3569" s="6" t="inlineStr">
        <is>
          <t>m</t>
        </is>
      </c>
      <c r="H3569" s="7" t="n">
        <v>0.12</v>
      </c>
      <c r="I3569" s="8" t="n">
        <v>20.23</v>
      </c>
      <c r="J3569" s="8" t="n">
        <v>1.42</v>
      </c>
      <c r="K3569" s="8" t="n">
        <v>40.47</v>
      </c>
      <c r="L3569" s="8" t="n">
        <v>0</v>
      </c>
      <c r="M3569" s="9">
        <f>ROUND(SUM(I3569:L3569),2)</f>
        <v/>
      </c>
      <c r="N3569" s="10">
        <f>ROUND(I3569*'Irish Basis'!$C$6*'Irish Basis'!$C$5,2)</f>
        <v/>
      </c>
      <c r="O3569" s="10">
        <f>ROUND(J3569*'Irish Basis'!$C$7*'Irish Basis'!$C$5,2)</f>
        <v/>
      </c>
      <c r="P3569" s="10">
        <f>ROUND(K3569*'Irish Basis'!$C$8*'Irish Basis'!$C$5,2)</f>
        <v/>
      </c>
      <c r="Q3569" s="10">
        <f>ROUND(L3569*'Irish Basis'!$C$12*'Irish Basis'!$C$5,2)</f>
        <v/>
      </c>
      <c r="R3569" s="11">
        <f>ROUND(SUM(N3569:Q3569),2)</f>
        <v/>
      </c>
      <c r="S3569" s="5" t="inlineStr">
        <is>
          <t>Stated build-up</t>
        </is>
      </c>
      <c r="T3569" s="12" t="inlineStr">
        <is>
          <t>High</t>
        </is>
      </c>
      <c r="U3569" s="8" t="n">
        <v>62.13</v>
      </c>
      <c r="V3569" s="13">
        <f>IF(U3569="","",ROUND(M3569-U3569,2))</f>
        <v/>
      </c>
      <c r="W3569" s="5" t="n"/>
      <c r="X3569" s="5" t="inlineStr">
        <is>
          <t>Labour + plant + material as published; reconciles to the published rate.</t>
        </is>
      </c>
    </row>
    <row r="3570" ht="13" customHeight="1">
      <c r="A3570" s="4" t="n">
        <v>5447</v>
      </c>
      <c r="B3570" s="5" t="inlineStr">
        <is>
          <t>IMG_0140</t>
        </is>
      </c>
      <c r="C3570" s="5" t="inlineStr">
        <is>
          <t>CLASS U: BRICKWORK, BLOCKWORK AND MASONRY</t>
        </is>
      </c>
      <c r="D3570" s="5" t="inlineStr">
        <is>
          <t>01 COMMON BRICKWORK</t>
        </is>
      </c>
      <c r="E3570" s="5" t="inlineStr">
        <is>
          <t>Surface features (continued)</t>
        </is>
      </c>
      <c r="F3570" s="5" t="inlineStr">
        <is>
          <t>plinths; projection 103 mm x 900 mm wide</t>
        </is>
      </c>
      <c r="G3570" s="6" t="inlineStr">
        <is>
          <t>m</t>
        </is>
      </c>
      <c r="H3570" s="7" t="n">
        <v>0.19</v>
      </c>
      <c r="I3570" s="8" t="n">
        <v>32.03</v>
      </c>
      <c r="J3570" s="8" t="n">
        <v>2.26</v>
      </c>
      <c r="K3570" s="8" t="n">
        <v>36.79</v>
      </c>
      <c r="L3570" s="8" t="n">
        <v>0</v>
      </c>
      <c r="M3570" s="9">
        <f>ROUND(SUM(I3570:L3570),2)</f>
        <v/>
      </c>
      <c r="N3570" s="10">
        <f>ROUND(I3570*'Irish Basis'!$C$6*'Irish Basis'!$C$5,2)</f>
        <v/>
      </c>
      <c r="O3570" s="10">
        <f>ROUND(J3570*'Irish Basis'!$C$7*'Irish Basis'!$C$5,2)</f>
        <v/>
      </c>
      <c r="P3570" s="10">
        <f>ROUND(K3570*'Irish Basis'!$C$8*'Irish Basis'!$C$5,2)</f>
        <v/>
      </c>
      <c r="Q3570" s="10">
        <f>ROUND(L3570*'Irish Basis'!$C$12*'Irish Basis'!$C$5,2)</f>
        <v/>
      </c>
      <c r="R3570" s="11">
        <f>ROUND(SUM(N3570:Q3570),2)</f>
        <v/>
      </c>
      <c r="S3570" s="5" t="inlineStr">
        <is>
          <t>Stated build-up</t>
        </is>
      </c>
      <c r="T3570" s="12" t="inlineStr">
        <is>
          <t>High</t>
        </is>
      </c>
      <c r="U3570" s="8" t="n">
        <v>71.08</v>
      </c>
      <c r="V3570" s="13">
        <f>IF(U3570="","",ROUND(M3570-U3570,2))</f>
        <v/>
      </c>
      <c r="W3570" s="5" t="n"/>
      <c r="X3570" s="5" t="inlineStr">
        <is>
          <t>Labour + plant + material as published; reconciles to the published rate.</t>
        </is>
      </c>
    </row>
    <row r="3571" ht="13" customHeight="1">
      <c r="A3571" s="4" t="n">
        <v>5448</v>
      </c>
      <c r="B3571" s="5" t="inlineStr">
        <is>
          <t>IMG_0140</t>
        </is>
      </c>
      <c r="C3571" s="5" t="inlineStr">
        <is>
          <t>CLASS U: BRICKWORK, BLOCKWORK AND MASONRY</t>
        </is>
      </c>
      <c r="D3571" s="5" t="inlineStr">
        <is>
          <t>01 COMMON BRICKWORK</t>
        </is>
      </c>
      <c r="E3571" s="5" t="inlineStr">
        <is>
          <t>Surface features (continued)</t>
        </is>
      </c>
      <c r="F3571" s="5" t="inlineStr">
        <is>
          <t>fair facing</t>
        </is>
      </c>
      <c r="G3571" s="6" t="inlineStr">
        <is>
          <t>m2</t>
        </is>
      </c>
      <c r="H3571" s="7" t="n">
        <v>0.06</v>
      </c>
      <c r="I3571" s="8" t="n">
        <v>10.12</v>
      </c>
      <c r="J3571" s="8" t="n">
        <v>0.68</v>
      </c>
      <c r="K3571" s="8" t="n">
        <v>0</v>
      </c>
      <c r="L3571" s="8" t="n">
        <v>0</v>
      </c>
      <c r="M3571" s="9">
        <f>ROUND(SUM(I3571:L3571),2)</f>
        <v/>
      </c>
      <c r="N3571" s="10">
        <f>ROUND(I3571*'Irish Basis'!$C$6*'Irish Basis'!$C$5,2)</f>
        <v/>
      </c>
      <c r="O3571" s="10">
        <f>ROUND(J3571*'Irish Basis'!$C$7*'Irish Basis'!$C$5,2)</f>
        <v/>
      </c>
      <c r="P3571" s="10">
        <f>ROUND(K3571*'Irish Basis'!$C$8*'Irish Basis'!$C$5,2)</f>
        <v/>
      </c>
      <c r="Q3571" s="10">
        <f>ROUND(L3571*'Irish Basis'!$C$12*'Irish Basis'!$C$5,2)</f>
        <v/>
      </c>
      <c r="R3571" s="11">
        <f>ROUND(SUM(N3571:Q3571),2)</f>
        <v/>
      </c>
      <c r="S3571" s="5" t="inlineStr">
        <is>
          <t>Stated build-up</t>
        </is>
      </c>
      <c r="T3571" s="12" t="inlineStr">
        <is>
          <t>High</t>
        </is>
      </c>
      <c r="U3571" s="8" t="n">
        <v>10.79</v>
      </c>
      <c r="V3571" s="13">
        <f>IF(U3571="","",ROUND(M3571-U3571,2))</f>
        <v/>
      </c>
      <c r="W3571" s="5" t="n"/>
      <c r="X3571" s="5" t="inlineStr">
        <is>
          <t>Labour + plant + material as published; reconciles to the published rate.</t>
        </is>
      </c>
    </row>
    <row r="3572" ht="13" customHeight="1">
      <c r="A3572" s="4" t="n">
        <v>5450</v>
      </c>
      <c r="B3572" s="5" t="inlineStr">
        <is>
          <t>IMG_0140</t>
        </is>
      </c>
      <c r="C3572" s="5" t="inlineStr">
        <is>
          <t>CLASS U: BRICKWORK, BLOCKWORK AND MASONRY</t>
        </is>
      </c>
      <c r="D3572" s="5" t="inlineStr">
        <is>
          <t>01 COMMON BRICKWORK</t>
        </is>
      </c>
      <c r="E3572" s="5" t="inlineStr">
        <is>
          <t>Ancillaries</t>
        </is>
      </c>
      <c r="F3572" s="5" t="inlineStr">
        <is>
          <t>bonds to existing work; to brickwork</t>
        </is>
      </c>
      <c r="G3572" s="6" t="inlineStr">
        <is>
          <t>m2</t>
        </is>
      </c>
      <c r="H3572" s="7" t="n">
        <v>1.5</v>
      </c>
      <c r="I3572" s="8" t="n">
        <v>252.88</v>
      </c>
      <c r="J3572" s="8" t="n">
        <v>17.81</v>
      </c>
      <c r="K3572" s="8" t="n">
        <v>41.57</v>
      </c>
      <c r="L3572" s="8" t="n">
        <v>0</v>
      </c>
      <c r="M3572" s="9">
        <f>ROUND(SUM(I3572:L3572),2)</f>
        <v/>
      </c>
      <c r="N3572" s="10">
        <f>ROUND(I3572*'Irish Basis'!$C$6*'Irish Basis'!$C$5,2)</f>
        <v/>
      </c>
      <c r="O3572" s="10">
        <f>ROUND(J3572*'Irish Basis'!$C$7*'Irish Basis'!$C$5,2)</f>
        <v/>
      </c>
      <c r="P3572" s="10">
        <f>ROUND(K3572*'Irish Basis'!$C$8*'Irish Basis'!$C$5,2)</f>
        <v/>
      </c>
      <c r="Q3572" s="10">
        <f>ROUND(L3572*'Irish Basis'!$C$12*'Irish Basis'!$C$5,2)</f>
        <v/>
      </c>
      <c r="R3572" s="11">
        <f>ROUND(SUM(N3572:Q3572),2)</f>
        <v/>
      </c>
      <c r="S3572" s="5" t="inlineStr">
        <is>
          <t>Stated build-up</t>
        </is>
      </c>
      <c r="T3572" s="12" t="inlineStr">
        <is>
          <t>High</t>
        </is>
      </c>
      <c r="U3572" s="8" t="n">
        <v>312.26</v>
      </c>
      <c r="V3572" s="13">
        <f>IF(U3572="","",ROUND(M3572-U3572,2))</f>
        <v/>
      </c>
      <c r="W3572" s="5" t="n"/>
      <c r="X3572" s="5" t="inlineStr">
        <is>
          <t>Labour + plant + material as published; reconciles to the published rate.</t>
        </is>
      </c>
    </row>
    <row r="3573" ht="13" customHeight="1">
      <c r="A3573" s="4" t="n">
        <v>5451</v>
      </c>
      <c r="B3573" s="5" t="inlineStr">
        <is>
          <t>IMG_0140</t>
        </is>
      </c>
      <c r="C3573" s="5" t="inlineStr">
        <is>
          <t>CLASS U: BRICKWORK, BLOCKWORK AND MASONRY</t>
        </is>
      </c>
      <c r="D3573" s="5" t="inlineStr">
        <is>
          <t>01 COMMON BRICKWORK</t>
        </is>
      </c>
      <c r="E3573" s="5" t="inlineStr">
        <is>
          <t>Ancillaries</t>
        </is>
      </c>
      <c r="F3573" s="5" t="inlineStr">
        <is>
          <t>built-in pipes and ducts, cross-sectional area not exceeding 0.05 m2; excluding supply; brickwork 103 mm thick</t>
        </is>
      </c>
      <c r="G3573" s="6" t="inlineStr">
        <is>
          <t>nr</t>
        </is>
      </c>
      <c r="H3573" s="7" t="n">
        <v>0.06</v>
      </c>
      <c r="I3573" s="8" t="n">
        <v>10.12</v>
      </c>
      <c r="J3573" s="8" t="n">
        <v>0.72</v>
      </c>
      <c r="K3573" s="8" t="n">
        <v>1.37</v>
      </c>
      <c r="L3573" s="8" t="n">
        <v>0</v>
      </c>
      <c r="M3573" s="9">
        <f>ROUND(SUM(I3573:L3573),2)</f>
        <v/>
      </c>
      <c r="N3573" s="10">
        <f>ROUND(I3573*'Irish Basis'!$C$6*'Irish Basis'!$C$5,2)</f>
        <v/>
      </c>
      <c r="O3573" s="10">
        <f>ROUND(J3573*'Irish Basis'!$C$7*'Irish Basis'!$C$5,2)</f>
        <v/>
      </c>
      <c r="P3573" s="10">
        <f>ROUND(K3573*'Irish Basis'!$C$8*'Irish Basis'!$C$5,2)</f>
        <v/>
      </c>
      <c r="Q3573" s="10">
        <f>ROUND(L3573*'Irish Basis'!$C$12*'Irish Basis'!$C$5,2)</f>
        <v/>
      </c>
      <c r="R3573" s="11">
        <f>ROUND(SUM(N3573:Q3573),2)</f>
        <v/>
      </c>
      <c r="S3573" s="5" t="inlineStr">
        <is>
          <t>Stated build-up</t>
        </is>
      </c>
      <c r="T3573" s="12" t="inlineStr">
        <is>
          <t>High</t>
        </is>
      </c>
      <c r="U3573" s="8" t="n">
        <v>12.2</v>
      </c>
      <c r="V3573" s="13">
        <f>IF(U3573="","",ROUND(M3573-U3573,2))</f>
        <v/>
      </c>
      <c r="W3573" s="5" t="n"/>
      <c r="X3573" s="5" t="inlineStr">
        <is>
          <t>Labour + plant + material as published; reconciles to the published rate.</t>
        </is>
      </c>
    </row>
    <row r="3574" ht="13" customHeight="1">
      <c r="A3574" s="4" t="n">
        <v>5452</v>
      </c>
      <c r="B3574" s="5" t="inlineStr">
        <is>
          <t>IMG_0140</t>
        </is>
      </c>
      <c r="C3574" s="5" t="inlineStr">
        <is>
          <t>CLASS U: BRICKWORK, BLOCKWORK AND MASONRY</t>
        </is>
      </c>
      <c r="D3574" s="5" t="inlineStr">
        <is>
          <t>01 COMMON BRICKWORK</t>
        </is>
      </c>
      <c r="E3574" s="5" t="inlineStr">
        <is>
          <t>Ancillaries</t>
        </is>
      </c>
      <c r="F3574" s="5" t="inlineStr">
        <is>
          <t>built-in pipes and ducts, cross-sectional area not exceeding 0.05 m2; excluding supply; brickwork 215 mm thick</t>
        </is>
      </c>
      <c r="G3574" s="6" t="inlineStr">
        <is>
          <t>nr</t>
        </is>
      </c>
      <c r="H3574" s="7" t="n">
        <v>0.12</v>
      </c>
      <c r="I3574" s="8" t="n">
        <v>20.23</v>
      </c>
      <c r="J3574" s="8" t="n">
        <v>1.36</v>
      </c>
      <c r="K3574" s="8" t="n">
        <v>2.02</v>
      </c>
      <c r="L3574" s="8" t="n">
        <v>0</v>
      </c>
      <c r="M3574" s="9">
        <f>ROUND(SUM(I3574:L3574),2)</f>
        <v/>
      </c>
      <c r="N3574" s="10">
        <f>ROUND(I3574*'Irish Basis'!$C$6*'Irish Basis'!$C$5,2)</f>
        <v/>
      </c>
      <c r="O3574" s="10">
        <f>ROUND(J3574*'Irish Basis'!$C$7*'Irish Basis'!$C$5,2)</f>
        <v/>
      </c>
      <c r="P3574" s="10">
        <f>ROUND(K3574*'Irish Basis'!$C$8*'Irish Basis'!$C$5,2)</f>
        <v/>
      </c>
      <c r="Q3574" s="10">
        <f>ROUND(L3574*'Irish Basis'!$C$12*'Irish Basis'!$C$5,2)</f>
        <v/>
      </c>
      <c r="R3574" s="11">
        <f>ROUND(SUM(N3574:Q3574),2)</f>
        <v/>
      </c>
      <c r="S3574" s="5" t="inlineStr">
        <is>
          <t>Stated build-up</t>
        </is>
      </c>
      <c r="T3574" s="12" t="inlineStr">
        <is>
          <t>High</t>
        </is>
      </c>
      <c r="U3574" s="8" t="n">
        <v>23.61</v>
      </c>
      <c r="V3574" s="13">
        <f>IF(U3574="","",ROUND(M3574-U3574,2))</f>
        <v/>
      </c>
      <c r="W3574" s="5" t="n"/>
      <c r="X3574" s="5" t="inlineStr">
        <is>
          <t>Labour + plant + material as published; reconciles to the published rate.</t>
        </is>
      </c>
    </row>
    <row r="3575" ht="13" customHeight="1">
      <c r="A3575" s="4" t="n">
        <v>5453</v>
      </c>
      <c r="B3575" s="5" t="inlineStr">
        <is>
          <t>IMG_0140</t>
        </is>
      </c>
      <c r="C3575" s="5" t="inlineStr">
        <is>
          <t>CLASS U: BRICKWORK, BLOCKWORK AND MASONRY</t>
        </is>
      </c>
      <c r="D3575" s="5" t="inlineStr">
        <is>
          <t>01 COMMON BRICKWORK</t>
        </is>
      </c>
      <c r="E3575" s="5" t="inlineStr">
        <is>
          <t>Ancillaries</t>
        </is>
      </c>
      <c r="F3575" s="5" t="inlineStr">
        <is>
          <t>built-in pipes and ducts, cross-sectional area 0.05-0.25 m2; excluding supply; brickwork 103 mm thick</t>
        </is>
      </c>
      <c r="G3575" s="6" t="inlineStr">
        <is>
          <t>nr</t>
        </is>
      </c>
      <c r="H3575" s="7" t="n">
        <v>0.15</v>
      </c>
      <c r="I3575" s="8" t="n">
        <v>25.29</v>
      </c>
      <c r="J3575" s="8" t="n">
        <v>1.78</v>
      </c>
      <c r="K3575" s="8" t="n">
        <v>2.04</v>
      </c>
      <c r="L3575" s="8" t="n">
        <v>0</v>
      </c>
      <c r="M3575" s="9">
        <f>ROUND(SUM(I3575:L3575),2)</f>
        <v/>
      </c>
      <c r="N3575" s="10">
        <f>ROUND(I3575*'Irish Basis'!$C$6*'Irish Basis'!$C$5,2)</f>
        <v/>
      </c>
      <c r="O3575" s="10">
        <f>ROUND(J3575*'Irish Basis'!$C$7*'Irish Basis'!$C$5,2)</f>
        <v/>
      </c>
      <c r="P3575" s="10">
        <f>ROUND(K3575*'Irish Basis'!$C$8*'Irish Basis'!$C$5,2)</f>
        <v/>
      </c>
      <c r="Q3575" s="10">
        <f>ROUND(L3575*'Irish Basis'!$C$12*'Irish Basis'!$C$5,2)</f>
        <v/>
      </c>
      <c r="R3575" s="11">
        <f>ROUND(SUM(N3575:Q3575),2)</f>
        <v/>
      </c>
      <c r="S3575" s="5" t="inlineStr">
        <is>
          <t>Stated build-up</t>
        </is>
      </c>
      <c r="T3575" s="12" t="inlineStr">
        <is>
          <t>High</t>
        </is>
      </c>
      <c r="U3575" s="8" t="n">
        <v>29.11</v>
      </c>
      <c r="V3575" s="13">
        <f>IF(U3575="","",ROUND(M3575-U3575,2))</f>
        <v/>
      </c>
      <c r="W3575" s="5" t="n"/>
      <c r="X3575" s="5" t="inlineStr">
        <is>
          <t>Labour + plant + material as published; reconciles to the published rate.</t>
        </is>
      </c>
    </row>
    <row r="3576" ht="13" customHeight="1">
      <c r="A3576" s="4" t="n">
        <v>5454</v>
      </c>
      <c r="B3576" s="5" t="inlineStr">
        <is>
          <t>IMG_0140</t>
        </is>
      </c>
      <c r="C3576" s="5" t="inlineStr">
        <is>
          <t>CLASS U: BRICKWORK, BLOCKWORK AND MASONRY</t>
        </is>
      </c>
      <c r="D3576" s="5" t="inlineStr">
        <is>
          <t>01 COMMON BRICKWORK</t>
        </is>
      </c>
      <c r="E3576" s="5" t="inlineStr">
        <is>
          <t>Ancillaries</t>
        </is>
      </c>
      <c r="F3576" s="5" t="inlineStr">
        <is>
          <t>built-in pipes and ducts, cross-sectional area 0.05-0.25 m2; excluding supply; brickwork 215 mm thick</t>
        </is>
      </c>
      <c r="G3576" s="6" t="inlineStr">
        <is>
          <t>nr</t>
        </is>
      </c>
      <c r="H3576" s="7" t="n">
        <v>0.29</v>
      </c>
      <c r="I3576" s="8" t="n">
        <v>48.89</v>
      </c>
      <c r="J3576" s="8" t="n">
        <v>3.44</v>
      </c>
      <c r="K3576" s="8" t="n">
        <v>3.01</v>
      </c>
      <c r="L3576" s="8" t="n">
        <v>0</v>
      </c>
      <c r="M3576" s="9">
        <f>ROUND(SUM(I3576:L3576),2)</f>
        <v/>
      </c>
      <c r="N3576" s="10">
        <f>ROUND(I3576*'Irish Basis'!$C$6*'Irish Basis'!$C$5,2)</f>
        <v/>
      </c>
      <c r="O3576" s="10">
        <f>ROUND(J3576*'Irish Basis'!$C$7*'Irish Basis'!$C$5,2)</f>
        <v/>
      </c>
      <c r="P3576" s="10">
        <f>ROUND(K3576*'Irish Basis'!$C$8*'Irish Basis'!$C$5,2)</f>
        <v/>
      </c>
      <c r="Q3576" s="10">
        <f>ROUND(L3576*'Irish Basis'!$C$12*'Irish Basis'!$C$5,2)</f>
        <v/>
      </c>
      <c r="R3576" s="11">
        <f>ROUND(SUM(N3576:Q3576),2)</f>
        <v/>
      </c>
      <c r="S3576" s="5" t="inlineStr">
        <is>
          <t>Stated build-up</t>
        </is>
      </c>
      <c r="T3576" s="12" t="inlineStr">
        <is>
          <t>High</t>
        </is>
      </c>
      <c r="U3576" s="8" t="n">
        <v>55.34</v>
      </c>
      <c r="V3576" s="13">
        <f>IF(U3576="","",ROUND(M3576-U3576,2))</f>
        <v/>
      </c>
      <c r="W3576" s="5" t="n"/>
      <c r="X3576" s="5" t="inlineStr">
        <is>
          <t>Labour + plant + material as published; reconciles to the published rate.</t>
        </is>
      </c>
    </row>
    <row r="3577" ht="13" customHeight="1">
      <c r="A3577" s="4" t="n">
        <v>5455</v>
      </c>
      <c r="B3577" s="5" t="inlineStr">
        <is>
          <t>IMG_0140</t>
        </is>
      </c>
      <c r="C3577" s="5" t="inlineStr">
        <is>
          <t>CLASS U: BRICKWORK, BLOCKWORK AND MASONRY</t>
        </is>
      </c>
      <c r="D3577" s="5" t="inlineStr">
        <is>
          <t>01 COMMON BRICKWORK</t>
        </is>
      </c>
      <c r="E3577" s="5" t="inlineStr">
        <is>
          <t>Ancillaries</t>
        </is>
      </c>
      <c r="F3577" s="5" t="inlineStr">
        <is>
          <t>built-in pipes and ducts, cross-sectional area 0.25-0.5 m2; excluding supply; brickwork 103 mm thick</t>
        </is>
      </c>
      <c r="G3577" s="6" t="inlineStr">
        <is>
          <t>nr</t>
        </is>
      </c>
      <c r="H3577" s="7" t="n">
        <v>0.18</v>
      </c>
      <c r="I3577" s="8" t="n">
        <v>30.35</v>
      </c>
      <c r="J3577" s="8" t="n">
        <v>2.08</v>
      </c>
      <c r="K3577" s="8" t="n">
        <v>2.37</v>
      </c>
      <c r="L3577" s="8" t="n">
        <v>0</v>
      </c>
      <c r="M3577" s="9">
        <f>ROUND(SUM(I3577:L3577),2)</f>
        <v/>
      </c>
      <c r="N3577" s="10">
        <f>ROUND(I3577*'Irish Basis'!$C$6*'Irish Basis'!$C$5,2)</f>
        <v/>
      </c>
      <c r="O3577" s="10">
        <f>ROUND(J3577*'Irish Basis'!$C$7*'Irish Basis'!$C$5,2)</f>
        <v/>
      </c>
      <c r="P3577" s="10">
        <f>ROUND(K3577*'Irish Basis'!$C$8*'Irish Basis'!$C$5,2)</f>
        <v/>
      </c>
      <c r="Q3577" s="10">
        <f>ROUND(L3577*'Irish Basis'!$C$12*'Irish Basis'!$C$5,2)</f>
        <v/>
      </c>
      <c r="R3577" s="11">
        <f>ROUND(SUM(N3577:Q3577),2)</f>
        <v/>
      </c>
      <c r="S3577" s="5" t="inlineStr">
        <is>
          <t>Stated build-up</t>
        </is>
      </c>
      <c r="T3577" s="12" t="inlineStr">
        <is>
          <t>High</t>
        </is>
      </c>
      <c r="U3577" s="8" t="n">
        <v>34.8</v>
      </c>
      <c r="V3577" s="13">
        <f>IF(U3577="","",ROUND(M3577-U3577,2))</f>
        <v/>
      </c>
      <c r="W3577" s="5" t="n"/>
      <c r="X3577" s="5" t="inlineStr">
        <is>
          <t>Labour + plant + material as published; reconciles to the published rate.</t>
        </is>
      </c>
    </row>
    <row r="3578" ht="13" customHeight="1">
      <c r="A3578" s="4" t="n">
        <v>5456</v>
      </c>
      <c r="B3578" s="5" t="inlineStr">
        <is>
          <t>IMG_0140</t>
        </is>
      </c>
      <c r="C3578" s="5" t="inlineStr">
        <is>
          <t>CLASS U: BRICKWORK, BLOCKWORK AND MASONRY</t>
        </is>
      </c>
      <c r="D3578" s="5" t="inlineStr">
        <is>
          <t>01 COMMON BRICKWORK</t>
        </is>
      </c>
      <c r="E3578" s="5" t="inlineStr">
        <is>
          <t>Ancillaries</t>
        </is>
      </c>
      <c r="F3578" s="5" t="inlineStr">
        <is>
          <t>built-in pipes and ducts, cross-sectional area 0.25-0.5 m2; excluding supply; brickwork 215 mm thick</t>
        </is>
      </c>
      <c r="G3578" s="6" t="inlineStr">
        <is>
          <t>nr</t>
        </is>
      </c>
      <c r="H3578" s="7" t="n">
        <v>0.34</v>
      </c>
      <c r="I3578" s="8" t="n">
        <v>57.32</v>
      </c>
      <c r="J3578" s="8" t="n">
        <v>4.04</v>
      </c>
      <c r="K3578" s="8" t="n">
        <v>3.46</v>
      </c>
      <c r="L3578" s="8" t="n">
        <v>0</v>
      </c>
      <c r="M3578" s="9">
        <f>ROUND(SUM(I3578:L3578),2)</f>
        <v/>
      </c>
      <c r="N3578" s="10">
        <f>ROUND(I3578*'Irish Basis'!$C$6*'Irish Basis'!$C$5,2)</f>
        <v/>
      </c>
      <c r="O3578" s="10">
        <f>ROUND(J3578*'Irish Basis'!$C$7*'Irish Basis'!$C$5,2)</f>
        <v/>
      </c>
      <c r="P3578" s="10">
        <f>ROUND(K3578*'Irish Basis'!$C$8*'Irish Basis'!$C$5,2)</f>
        <v/>
      </c>
      <c r="Q3578" s="10">
        <f>ROUND(L3578*'Irish Basis'!$C$12*'Irish Basis'!$C$5,2)</f>
        <v/>
      </c>
      <c r="R3578" s="11">
        <f>ROUND(SUM(N3578:Q3578),2)</f>
        <v/>
      </c>
      <c r="S3578" s="5" t="inlineStr">
        <is>
          <t>Stated build-up</t>
        </is>
      </c>
      <c r="T3578" s="12" t="inlineStr">
        <is>
          <t>High</t>
        </is>
      </c>
      <c r="U3578" s="8" t="n">
        <v>64.81999999999999</v>
      </c>
      <c r="V3578" s="13">
        <f>IF(U3578="","",ROUND(M3578-U3578,2))</f>
        <v/>
      </c>
      <c r="W3578" s="5" t="n"/>
      <c r="X3578" s="5" t="inlineStr">
        <is>
          <t>Labour + plant + material as published; reconciles to the published rate.</t>
        </is>
      </c>
    </row>
    <row r="3579" ht="13" customHeight="1">
      <c r="A3579" s="4" t="n">
        <v>5459</v>
      </c>
      <c r="B3579" s="5" t="inlineStr">
        <is>
          <t>IMG_0140</t>
        </is>
      </c>
      <c r="C3579" s="5" t="inlineStr">
        <is>
          <t>CLASS U: BRICKWORK, BLOCKWORK AND MASONRY</t>
        </is>
      </c>
      <c r="D3579" s="5" t="inlineStr">
        <is>
          <t>02 FACING BRICKWORK</t>
        </is>
      </c>
      <c r="E3579" s="5" t="inlineStr">
        <is>
          <t>Facing bricks; in plasticized cement mortar designation (iii); Thickness 103 mm</t>
        </is>
      </c>
      <c r="F3579" s="5" t="inlineStr">
        <is>
          <t>vertical straight walls</t>
        </is>
      </c>
      <c r="G3579" s="6" t="inlineStr">
        <is>
          <t>m2</t>
        </is>
      </c>
      <c r="H3579" s="7" t="n">
        <v>0.34</v>
      </c>
      <c r="I3579" s="8" t="n">
        <v>57.32</v>
      </c>
      <c r="J3579" s="8" t="n">
        <v>4.04</v>
      </c>
      <c r="K3579" s="8" t="n">
        <v>67.31</v>
      </c>
      <c r="L3579" s="8" t="n">
        <v>0</v>
      </c>
      <c r="M3579" s="9">
        <f>ROUND(SUM(I3579:L3579),2)</f>
        <v/>
      </c>
      <c r="N3579" s="10">
        <f>ROUND(I3579*'Irish Basis'!$C$6*'Irish Basis'!$C$5,2)</f>
        <v/>
      </c>
      <c r="O3579" s="10">
        <f>ROUND(J3579*'Irish Basis'!$C$7*'Irish Basis'!$C$5,2)</f>
        <v/>
      </c>
      <c r="P3579" s="10">
        <f>ROUND(K3579*'Irish Basis'!$C$8*'Irish Basis'!$C$5,2)</f>
        <v/>
      </c>
      <c r="Q3579" s="10">
        <f>ROUND(L3579*'Irish Basis'!$C$12*'Irish Basis'!$C$5,2)</f>
        <v/>
      </c>
      <c r="R3579" s="11">
        <f>ROUND(SUM(N3579:Q3579),2)</f>
        <v/>
      </c>
      <c r="S3579" s="5" t="inlineStr">
        <is>
          <t>Stated build-up</t>
        </is>
      </c>
      <c r="T3579" s="12" t="inlineStr">
        <is>
          <t>High</t>
        </is>
      </c>
      <c r="U3579" s="8" t="n">
        <v>128.67</v>
      </c>
      <c r="V3579" s="13">
        <f>IF(U3579="","",ROUND(M3579-U3579,2))</f>
        <v/>
      </c>
      <c r="W3579" s="5" t="n"/>
      <c r="X3579" s="5" t="inlineStr">
        <is>
          <t>Labour + plant + material as published; reconciles to the published rate.</t>
        </is>
      </c>
    </row>
    <row r="3580" ht="13" customHeight="1">
      <c r="A3580" s="4" t="n">
        <v>5460</v>
      </c>
      <c r="B3580" s="5" t="inlineStr">
        <is>
          <t>IMG_0140</t>
        </is>
      </c>
      <c r="C3580" s="5" t="inlineStr">
        <is>
          <t>CLASS U: BRICKWORK, BLOCKWORK AND MASONRY</t>
        </is>
      </c>
      <c r="D3580" s="5" t="inlineStr">
        <is>
          <t>02 FACING BRICKWORK</t>
        </is>
      </c>
      <c r="E3580" s="5" t="inlineStr">
        <is>
          <t>Facing bricks; in plasticized cement mortar designation (iii); Thickness 103 mm</t>
        </is>
      </c>
      <c r="F3580" s="5" t="inlineStr">
        <is>
          <t>vertical curved walls</t>
        </is>
      </c>
      <c r="G3580" s="6" t="inlineStr">
        <is>
          <t>m2</t>
        </is>
      </c>
      <c r="H3580" s="7" t="n">
        <v>0.45</v>
      </c>
      <c r="I3580" s="8" t="n">
        <v>75.86</v>
      </c>
      <c r="J3580" s="8" t="n">
        <v>5.34</v>
      </c>
      <c r="K3580" s="8" t="n">
        <v>67.31</v>
      </c>
      <c r="L3580" s="8" t="n">
        <v>0</v>
      </c>
      <c r="M3580" s="9">
        <f>ROUND(SUM(I3580:L3580),2)</f>
        <v/>
      </c>
      <c r="N3580" s="10">
        <f>ROUND(I3580*'Irish Basis'!$C$6*'Irish Basis'!$C$5,2)</f>
        <v/>
      </c>
      <c r="O3580" s="10">
        <f>ROUND(J3580*'Irish Basis'!$C$7*'Irish Basis'!$C$5,2)</f>
        <v/>
      </c>
      <c r="P3580" s="10">
        <f>ROUND(K3580*'Irish Basis'!$C$8*'Irish Basis'!$C$5,2)</f>
        <v/>
      </c>
      <c r="Q3580" s="10">
        <f>ROUND(L3580*'Irish Basis'!$C$12*'Irish Basis'!$C$5,2)</f>
        <v/>
      </c>
      <c r="R3580" s="11">
        <f>ROUND(SUM(N3580:Q3580),2)</f>
        <v/>
      </c>
      <c r="S3580" s="5" t="inlineStr">
        <is>
          <t>Stated build-up</t>
        </is>
      </c>
      <c r="T3580" s="12" t="inlineStr">
        <is>
          <t>High</t>
        </is>
      </c>
      <c r="U3580" s="8" t="n">
        <v>148.51</v>
      </c>
      <c r="V3580" s="13">
        <f>IF(U3580="","",ROUND(M3580-U3580,2))</f>
        <v/>
      </c>
      <c r="W3580" s="5" t="n"/>
      <c r="X3580" s="5" t="inlineStr">
        <is>
          <t>Labour + plant + material as published; reconciles to the published rate.</t>
        </is>
      </c>
    </row>
    <row r="3581" ht="13" customHeight="1">
      <c r="A3581" s="4" t="n">
        <v>5461</v>
      </c>
      <c r="B3581" s="5" t="inlineStr">
        <is>
          <t>IMG_0140</t>
        </is>
      </c>
      <c r="C3581" s="5" t="inlineStr">
        <is>
          <t>CLASS U: BRICKWORK, BLOCKWORK AND MASONRY</t>
        </is>
      </c>
      <c r="D3581" s="5" t="inlineStr">
        <is>
          <t>02 FACING BRICKWORK</t>
        </is>
      </c>
      <c r="E3581" s="5" t="inlineStr">
        <is>
          <t>Facing bricks; in plasticized cement mortar designation (iii); Thickness 103 mm</t>
        </is>
      </c>
      <c r="F3581" s="5" t="inlineStr">
        <is>
          <t>battered straight walls</t>
        </is>
      </c>
      <c r="G3581" s="6" t="inlineStr">
        <is>
          <t>m2</t>
        </is>
      </c>
      <c r="H3581" s="7" t="n">
        <v>0.45</v>
      </c>
      <c r="I3581" s="8" t="n">
        <v>75.86</v>
      </c>
      <c r="J3581" s="8" t="n">
        <v>5.34</v>
      </c>
      <c r="K3581" s="8" t="n">
        <v>67.31</v>
      </c>
      <c r="L3581" s="8" t="n">
        <v>0</v>
      </c>
      <c r="M3581" s="9">
        <f>ROUND(SUM(I3581:L3581),2)</f>
        <v/>
      </c>
      <c r="N3581" s="10">
        <f>ROUND(I3581*'Irish Basis'!$C$6*'Irish Basis'!$C$5,2)</f>
        <v/>
      </c>
      <c r="O3581" s="10">
        <f>ROUND(J3581*'Irish Basis'!$C$7*'Irish Basis'!$C$5,2)</f>
        <v/>
      </c>
      <c r="P3581" s="10">
        <f>ROUND(K3581*'Irish Basis'!$C$8*'Irish Basis'!$C$5,2)</f>
        <v/>
      </c>
      <c r="Q3581" s="10">
        <f>ROUND(L3581*'Irish Basis'!$C$12*'Irish Basis'!$C$5,2)</f>
        <v/>
      </c>
      <c r="R3581" s="11">
        <f>ROUND(SUM(N3581:Q3581),2)</f>
        <v/>
      </c>
      <c r="S3581" s="5" t="inlineStr">
        <is>
          <t>Stated build-up</t>
        </is>
      </c>
      <c r="T3581" s="12" t="inlineStr">
        <is>
          <t>High</t>
        </is>
      </c>
      <c r="U3581" s="8" t="n">
        <v>148.51</v>
      </c>
      <c r="V3581" s="13">
        <f>IF(U3581="","",ROUND(M3581-U3581,2))</f>
        <v/>
      </c>
      <c r="W3581" s="5" t="n"/>
      <c r="X3581" s="5" t="inlineStr">
        <is>
          <t>Labour + plant + material as published; reconciles to the published rate.</t>
        </is>
      </c>
    </row>
    <row r="3582" ht="13" customHeight="1">
      <c r="A3582" s="4" t="n">
        <v>5462</v>
      </c>
      <c r="B3582" s="5" t="inlineStr">
        <is>
          <t>IMG_0140</t>
        </is>
      </c>
      <c r="C3582" s="5" t="inlineStr">
        <is>
          <t>CLASS U: BRICKWORK, BLOCKWORK AND MASONRY</t>
        </is>
      </c>
      <c r="D3582" s="5" t="inlineStr">
        <is>
          <t>02 FACING BRICKWORK</t>
        </is>
      </c>
      <c r="E3582" s="5" t="inlineStr">
        <is>
          <t>Facing bricks; in plasticized cement mortar designation (iii); Thickness 103 mm</t>
        </is>
      </c>
      <c r="F3582" s="5" t="inlineStr">
        <is>
          <t>battered curved walls</t>
        </is>
      </c>
      <c r="G3582" s="6" t="inlineStr">
        <is>
          <t>m2</t>
        </is>
      </c>
      <c r="H3582" s="7" t="n">
        <v>0.5600000000000001</v>
      </c>
      <c r="I3582" s="8" t="n">
        <v>94.41</v>
      </c>
      <c r="J3582" s="8" t="n">
        <v>6.68</v>
      </c>
      <c r="K3582" s="8" t="n">
        <v>67.31</v>
      </c>
      <c r="L3582" s="8" t="n">
        <v>0</v>
      </c>
      <c r="M3582" s="9">
        <f>ROUND(SUM(I3582:L3582),2)</f>
        <v/>
      </c>
      <c r="N3582" s="10">
        <f>ROUND(I3582*'Irish Basis'!$C$6*'Irish Basis'!$C$5,2)</f>
        <v/>
      </c>
      <c r="O3582" s="10">
        <f>ROUND(J3582*'Irish Basis'!$C$7*'Irish Basis'!$C$5,2)</f>
        <v/>
      </c>
      <c r="P3582" s="10">
        <f>ROUND(K3582*'Irish Basis'!$C$8*'Irish Basis'!$C$5,2)</f>
        <v/>
      </c>
      <c r="Q3582" s="10">
        <f>ROUND(L3582*'Irish Basis'!$C$12*'Irish Basis'!$C$5,2)</f>
        <v/>
      </c>
      <c r="R3582" s="11">
        <f>ROUND(SUM(N3582:Q3582),2)</f>
        <v/>
      </c>
      <c r="S3582" s="5" t="inlineStr">
        <is>
          <t>Stated build-up</t>
        </is>
      </c>
      <c r="T3582" s="12" t="inlineStr">
        <is>
          <t>High</t>
        </is>
      </c>
      <c r="U3582" s="8" t="n">
        <v>168.4</v>
      </c>
      <c r="V3582" s="13">
        <f>IF(U3582="","",ROUND(M3582-U3582,2))</f>
        <v/>
      </c>
      <c r="W3582" s="5" t="n"/>
      <c r="X3582" s="5" t="inlineStr">
        <is>
          <t>Labour + plant + material as published; reconciles to the published rate.</t>
        </is>
      </c>
    </row>
    <row r="3583" ht="13" customHeight="1">
      <c r="A3583" s="4" t="n">
        <v>5463</v>
      </c>
      <c r="B3583" s="5" t="inlineStr">
        <is>
          <t>IMG_0140</t>
        </is>
      </c>
      <c r="C3583" s="5" t="inlineStr">
        <is>
          <t>CLASS U: BRICKWORK, BLOCKWORK AND MASONRY</t>
        </is>
      </c>
      <c r="D3583" s="5" t="inlineStr">
        <is>
          <t>02 FACING BRICKWORK</t>
        </is>
      </c>
      <c r="E3583" s="5" t="inlineStr">
        <is>
          <t>Facing bricks; in plasticized cement mortar designation (iii); Thickness 103 mm</t>
        </is>
      </c>
      <c r="F3583" s="5" t="inlineStr">
        <is>
          <t>vertical facing to concrete</t>
        </is>
      </c>
      <c r="G3583" s="6" t="inlineStr">
        <is>
          <t>m2</t>
        </is>
      </c>
      <c r="H3583" s="7" t="n">
        <v>0.37</v>
      </c>
      <c r="I3583" s="8" t="n">
        <v>62.38</v>
      </c>
      <c r="J3583" s="8" t="n">
        <v>4.2</v>
      </c>
      <c r="K3583" s="8" t="n">
        <v>74.34</v>
      </c>
      <c r="L3583" s="8" t="n">
        <v>0</v>
      </c>
      <c r="M3583" s="9">
        <f>ROUND(SUM(I3583:L3583),2)</f>
        <v/>
      </c>
      <c r="N3583" s="10">
        <f>ROUND(I3583*'Irish Basis'!$C$6*'Irish Basis'!$C$5,2)</f>
        <v/>
      </c>
      <c r="O3583" s="10">
        <f>ROUND(J3583*'Irish Basis'!$C$7*'Irish Basis'!$C$5,2)</f>
        <v/>
      </c>
      <c r="P3583" s="10">
        <f>ROUND(K3583*'Irish Basis'!$C$8*'Irish Basis'!$C$5,2)</f>
        <v/>
      </c>
      <c r="Q3583" s="10">
        <f>ROUND(L3583*'Irish Basis'!$C$12*'Irish Basis'!$C$5,2)</f>
        <v/>
      </c>
      <c r="R3583" s="11">
        <f>ROUND(SUM(N3583:Q3583),2)</f>
        <v/>
      </c>
      <c r="S3583" s="5" t="inlineStr">
        <is>
          <t>Stated build-up</t>
        </is>
      </c>
      <c r="T3583" s="12" t="inlineStr">
        <is>
          <t>High</t>
        </is>
      </c>
      <c r="U3583" s="8" t="n">
        <v>140.93</v>
      </c>
      <c r="V3583" s="13">
        <f>IF(U3583="","",ROUND(M3583-U3583,2))</f>
        <v/>
      </c>
      <c r="W3583" s="5" t="n"/>
      <c r="X3583" s="5" t="inlineStr">
        <is>
          <t>Labour + plant + material as published; reconciles to the published rate.</t>
        </is>
      </c>
    </row>
    <row r="3584" ht="13" customHeight="1">
      <c r="A3584" s="4" t="n">
        <v>5464</v>
      </c>
      <c r="B3584" s="5" t="inlineStr">
        <is>
          <t>IMG_0140</t>
        </is>
      </c>
      <c r="C3584" s="5" t="inlineStr">
        <is>
          <t>CLASS U: BRICKWORK, BLOCKWORK AND MASONRY</t>
        </is>
      </c>
      <c r="D3584" s="5" t="inlineStr">
        <is>
          <t>02 FACING BRICKWORK</t>
        </is>
      </c>
      <c r="E3584" s="5" t="inlineStr">
        <is>
          <t>Facing bricks; in plasticized cement mortar designation (iii); Thickness 103 mm</t>
        </is>
      </c>
      <c r="F3584" s="5" t="inlineStr">
        <is>
          <t>battered facing to concrete</t>
        </is>
      </c>
      <c r="G3584" s="6" t="inlineStr">
        <is>
          <t>m2</t>
        </is>
      </c>
      <c r="H3584" s="7" t="n">
        <v>0.5600000000000001</v>
      </c>
      <c r="I3584" s="8" t="n">
        <v>94.41</v>
      </c>
      <c r="J3584" s="8" t="n">
        <v>6.68</v>
      </c>
      <c r="K3584" s="8" t="n">
        <v>74.34</v>
      </c>
      <c r="L3584" s="8" t="n">
        <v>0</v>
      </c>
      <c r="M3584" s="9">
        <f>ROUND(SUM(I3584:L3584),2)</f>
        <v/>
      </c>
      <c r="N3584" s="10">
        <f>ROUND(I3584*'Irish Basis'!$C$6*'Irish Basis'!$C$5,2)</f>
        <v/>
      </c>
      <c r="O3584" s="10">
        <f>ROUND(J3584*'Irish Basis'!$C$7*'Irish Basis'!$C$5,2)</f>
        <v/>
      </c>
      <c r="P3584" s="10">
        <f>ROUND(K3584*'Irish Basis'!$C$8*'Irish Basis'!$C$5,2)</f>
        <v/>
      </c>
      <c r="Q3584" s="10">
        <f>ROUND(L3584*'Irish Basis'!$C$12*'Irish Basis'!$C$5,2)</f>
        <v/>
      </c>
      <c r="R3584" s="11">
        <f>ROUND(SUM(N3584:Q3584),2)</f>
        <v/>
      </c>
      <c r="S3584" s="5" t="inlineStr">
        <is>
          <t>Stated build-up</t>
        </is>
      </c>
      <c r="T3584" s="12" t="inlineStr">
        <is>
          <t>High</t>
        </is>
      </c>
      <c r="U3584" s="8" t="n">
        <v>175.43</v>
      </c>
      <c r="V3584" s="13">
        <f>IF(U3584="","",ROUND(M3584-U3584,2))</f>
        <v/>
      </c>
      <c r="W3584" s="5" t="n"/>
      <c r="X3584" s="5" t="inlineStr">
        <is>
          <t>Labour + plant + material as published; reconciles to the published rate.</t>
        </is>
      </c>
    </row>
    <row r="3585" ht="13" customHeight="1">
      <c r="A3585" s="4" t="n">
        <v>5465</v>
      </c>
      <c r="B3585" s="5" t="inlineStr">
        <is>
          <t>IMG_0140</t>
        </is>
      </c>
      <c r="C3585" s="5" t="inlineStr">
        <is>
          <t>CLASS U: BRICKWORK, BLOCKWORK AND MASONRY</t>
        </is>
      </c>
      <c r="D3585" s="5" t="inlineStr">
        <is>
          <t>02 FACING BRICKWORK</t>
        </is>
      </c>
      <c r="E3585" s="5" t="inlineStr">
        <is>
          <t>Facing bricks; in plasticized cement mortar designation (iii); Thickness 103 mm</t>
        </is>
      </c>
      <c r="F3585" s="5" t="inlineStr">
        <is>
          <t>casing to metal sections</t>
        </is>
      </c>
      <c r="G3585" s="6" t="inlineStr">
        <is>
          <t>m2</t>
        </is>
      </c>
      <c r="H3585" s="7" t="n">
        <v>0.49</v>
      </c>
      <c r="I3585" s="8" t="n">
        <v>82.61</v>
      </c>
      <c r="J3585" s="8" t="n">
        <v>5.81</v>
      </c>
      <c r="K3585" s="8" t="n">
        <v>74.34</v>
      </c>
      <c r="L3585" s="8" t="n">
        <v>0</v>
      </c>
      <c r="M3585" s="9">
        <f>ROUND(SUM(I3585:L3585),2)</f>
        <v/>
      </c>
      <c r="N3585" s="10">
        <f>ROUND(I3585*'Irish Basis'!$C$6*'Irish Basis'!$C$5,2)</f>
        <v/>
      </c>
      <c r="O3585" s="10">
        <f>ROUND(J3585*'Irish Basis'!$C$7*'Irish Basis'!$C$5,2)</f>
        <v/>
      </c>
      <c r="P3585" s="10">
        <f>ROUND(K3585*'Irish Basis'!$C$8*'Irish Basis'!$C$5,2)</f>
        <v/>
      </c>
      <c r="Q3585" s="10">
        <f>ROUND(L3585*'Irish Basis'!$C$12*'Irish Basis'!$C$5,2)</f>
        <v/>
      </c>
      <c r="R3585" s="11">
        <f>ROUND(SUM(N3585:Q3585),2)</f>
        <v/>
      </c>
      <c r="S3585" s="5" t="inlineStr">
        <is>
          <t>Stated build-up</t>
        </is>
      </c>
      <c r="T3585" s="12" t="inlineStr">
        <is>
          <t>High</t>
        </is>
      </c>
      <c r="U3585" s="8" t="n">
        <v>162.77</v>
      </c>
      <c r="V3585" s="13">
        <f>IF(U3585="","",ROUND(M3585-U3585,2))</f>
        <v/>
      </c>
      <c r="W3585" s="5" t="n"/>
      <c r="X3585" s="5" t="inlineStr">
        <is>
          <t>Labour + plant + material as published; reconciles to the published rate.</t>
        </is>
      </c>
    </row>
    <row r="3586" ht="13" customHeight="1">
      <c r="A3586" s="4" t="n">
        <v>5467</v>
      </c>
      <c r="B3586" s="5" t="inlineStr">
        <is>
          <t>IMG_0140</t>
        </is>
      </c>
      <c r="C3586" s="5" t="inlineStr">
        <is>
          <t>CLASS U: BRICKWORK, BLOCKWORK AND MASONRY</t>
        </is>
      </c>
      <c r="D3586" s="5" t="inlineStr">
        <is>
          <t>02 FACING BRICKWORK</t>
        </is>
      </c>
      <c r="E3586" s="5" t="inlineStr">
        <is>
          <t>Thickness 215 mm</t>
        </is>
      </c>
      <c r="F3586" s="5" t="inlineStr">
        <is>
          <t>vertical straight walls</t>
        </is>
      </c>
      <c r="G3586" s="6" t="inlineStr">
        <is>
          <t>m2</t>
        </is>
      </c>
      <c r="H3586" s="7" t="n">
        <v>0.57</v>
      </c>
      <c r="I3586" s="8" t="n">
        <v>96.09999999999999</v>
      </c>
      <c r="J3586" s="8" t="n">
        <v>9.68</v>
      </c>
      <c r="K3586" s="8" t="n">
        <v>135.4</v>
      </c>
      <c r="L3586" s="8" t="n">
        <v>0</v>
      </c>
      <c r="M3586" s="9">
        <f>ROUND(SUM(I3586:L3586),2)</f>
        <v/>
      </c>
      <c r="N3586" s="10">
        <f>ROUND(I3586*'Irish Basis'!$C$6*'Irish Basis'!$C$5,2)</f>
        <v/>
      </c>
      <c r="O3586" s="10">
        <f>ROUND(J3586*'Irish Basis'!$C$7*'Irish Basis'!$C$5,2)</f>
        <v/>
      </c>
      <c r="P3586" s="10">
        <f>ROUND(K3586*'Irish Basis'!$C$8*'Irish Basis'!$C$5,2)</f>
        <v/>
      </c>
      <c r="Q3586" s="10">
        <f>ROUND(L3586*'Irish Basis'!$C$12*'Irish Basis'!$C$5,2)</f>
        <v/>
      </c>
      <c r="R3586" s="11">
        <f>ROUND(SUM(N3586:Q3586),2)</f>
        <v/>
      </c>
      <c r="S3586" s="5" t="inlineStr">
        <is>
          <t>Stated build-up</t>
        </is>
      </c>
      <c r="T3586" s="12" t="inlineStr">
        <is>
          <t>High</t>
        </is>
      </c>
      <c r="U3586" s="8" t="n">
        <v>241.18</v>
      </c>
      <c r="V3586" s="13">
        <f>IF(U3586="","",ROUND(M3586-U3586,2))</f>
        <v/>
      </c>
      <c r="W3586" s="5" t="n"/>
      <c r="X3586" s="5" t="inlineStr">
        <is>
          <t>Labour + plant + material as published; reconciles to the published rate.</t>
        </is>
      </c>
    </row>
    <row r="3587" ht="13" customHeight="1">
      <c r="A3587" s="4" t="n">
        <v>5468</v>
      </c>
      <c r="B3587" s="5" t="inlineStr">
        <is>
          <t>IMG_0140</t>
        </is>
      </c>
      <c r="C3587" s="5" t="inlineStr">
        <is>
          <t>CLASS U: BRICKWORK, BLOCKWORK AND MASONRY</t>
        </is>
      </c>
      <c r="D3587" s="5" t="inlineStr">
        <is>
          <t>02 FACING BRICKWORK</t>
        </is>
      </c>
      <c r="E3587" s="5" t="inlineStr">
        <is>
          <t>Thickness 215 mm</t>
        </is>
      </c>
      <c r="F3587" s="5" t="inlineStr">
        <is>
          <t>vertical curved walls</t>
        </is>
      </c>
      <c r="G3587" s="6" t="inlineStr">
        <is>
          <t>m2</t>
        </is>
      </c>
      <c r="H3587" s="7" t="n">
        <v>0.84</v>
      </c>
      <c r="I3587" s="8" t="n">
        <v>141.61</v>
      </c>
      <c r="J3587" s="8" t="n">
        <v>9.970000000000001</v>
      </c>
      <c r="K3587" s="8" t="n">
        <v>135.4</v>
      </c>
      <c r="L3587" s="8" t="n">
        <v>0</v>
      </c>
      <c r="M3587" s="9">
        <f>ROUND(SUM(I3587:L3587),2)</f>
        <v/>
      </c>
      <c r="N3587" s="10">
        <f>ROUND(I3587*'Irish Basis'!$C$6*'Irish Basis'!$C$5,2)</f>
        <v/>
      </c>
      <c r="O3587" s="10">
        <f>ROUND(J3587*'Irish Basis'!$C$7*'Irish Basis'!$C$5,2)</f>
        <v/>
      </c>
      <c r="P3587" s="10">
        <f>ROUND(K3587*'Irish Basis'!$C$8*'Irish Basis'!$C$5,2)</f>
        <v/>
      </c>
      <c r="Q3587" s="10">
        <f>ROUND(L3587*'Irish Basis'!$C$12*'Irish Basis'!$C$5,2)</f>
        <v/>
      </c>
      <c r="R3587" s="11">
        <f>ROUND(SUM(N3587:Q3587),2)</f>
        <v/>
      </c>
      <c r="S3587" s="5" t="inlineStr">
        <is>
          <t>Stated build-up</t>
        </is>
      </c>
      <c r="T3587" s="12" t="inlineStr">
        <is>
          <t>High</t>
        </is>
      </c>
      <c r="U3587" s="8" t="n">
        <v>286.98</v>
      </c>
      <c r="V3587" s="13">
        <f>IF(U3587="","",ROUND(M3587-U3587,2))</f>
        <v/>
      </c>
      <c r="W3587" s="5" t="n"/>
      <c r="X3587" s="5" t="inlineStr">
        <is>
          <t>Labour + plant + material as published; reconciles to the published rate.</t>
        </is>
      </c>
    </row>
    <row r="3588" ht="13" customHeight="1">
      <c r="A3588" s="4" t="n">
        <v>5469</v>
      </c>
      <c r="B3588" s="5" t="inlineStr">
        <is>
          <t>IMG_0140</t>
        </is>
      </c>
      <c r="C3588" s="5" t="inlineStr">
        <is>
          <t>CLASS U: BRICKWORK, BLOCKWORK AND MASONRY</t>
        </is>
      </c>
      <c r="D3588" s="5" t="inlineStr">
        <is>
          <t>02 FACING BRICKWORK</t>
        </is>
      </c>
      <c r="E3588" s="5" t="inlineStr">
        <is>
          <t>Thickness 215 mm</t>
        </is>
      </c>
      <c r="F3588" s="5" t="inlineStr">
        <is>
          <t>battered straight walls</t>
        </is>
      </c>
      <c r="G3588" s="6" t="inlineStr">
        <is>
          <t>m2</t>
        </is>
      </c>
      <c r="H3588" s="7" t="n">
        <v>0.84</v>
      </c>
      <c r="I3588" s="8" t="n">
        <v>141.61</v>
      </c>
      <c r="J3588" s="8" t="n">
        <v>9.970000000000001</v>
      </c>
      <c r="K3588" s="8" t="n">
        <v>135.4</v>
      </c>
      <c r="L3588" s="8" t="n">
        <v>0</v>
      </c>
      <c r="M3588" s="9">
        <f>ROUND(SUM(I3588:L3588),2)</f>
        <v/>
      </c>
      <c r="N3588" s="10">
        <f>ROUND(I3588*'Irish Basis'!$C$6*'Irish Basis'!$C$5,2)</f>
        <v/>
      </c>
      <c r="O3588" s="10">
        <f>ROUND(J3588*'Irish Basis'!$C$7*'Irish Basis'!$C$5,2)</f>
        <v/>
      </c>
      <c r="P3588" s="10">
        <f>ROUND(K3588*'Irish Basis'!$C$8*'Irish Basis'!$C$5,2)</f>
        <v/>
      </c>
      <c r="Q3588" s="10">
        <f>ROUND(L3588*'Irish Basis'!$C$12*'Irish Basis'!$C$5,2)</f>
        <v/>
      </c>
      <c r="R3588" s="11">
        <f>ROUND(SUM(N3588:Q3588),2)</f>
        <v/>
      </c>
      <c r="S3588" s="5" t="inlineStr">
        <is>
          <t>Stated build-up</t>
        </is>
      </c>
      <c r="T3588" s="12" t="inlineStr">
        <is>
          <t>High</t>
        </is>
      </c>
      <c r="U3588" s="8" t="n">
        <v>286.98</v>
      </c>
      <c r="V3588" s="13">
        <f>IF(U3588="","",ROUND(M3588-U3588,2))</f>
        <v/>
      </c>
      <c r="W3588" s="5" t="n"/>
      <c r="X3588" s="5" t="inlineStr">
        <is>
          <t>Labour + plant + material as published; reconciles to the published rate.</t>
        </is>
      </c>
    </row>
    <row r="3589" ht="13" customHeight="1">
      <c r="A3589" s="4" t="n">
        <v>5470</v>
      </c>
      <c r="B3589" s="5" t="inlineStr">
        <is>
          <t>IMG_0140</t>
        </is>
      </c>
      <c r="C3589" s="5" t="inlineStr">
        <is>
          <t>CLASS U: BRICKWORK, BLOCKWORK AND MASONRY</t>
        </is>
      </c>
      <c r="D3589" s="5" t="inlineStr">
        <is>
          <t>02 FACING BRICKWORK</t>
        </is>
      </c>
      <c r="E3589" s="5" t="inlineStr">
        <is>
          <t>Thickness 215 mm</t>
        </is>
      </c>
      <c r="F3589" s="5" t="inlineStr">
        <is>
          <t>battered curved walls</t>
        </is>
      </c>
      <c r="G3589" s="6" t="inlineStr">
        <is>
          <t>m2</t>
        </is>
      </c>
      <c r="H3589" s="7" t="n">
        <v>1.02</v>
      </c>
      <c r="I3589" s="8" t="n">
        <v>171.96</v>
      </c>
      <c r="J3589" s="8" t="n">
        <v>12.14</v>
      </c>
      <c r="K3589" s="8" t="n">
        <v>135.4</v>
      </c>
      <c r="L3589" s="8" t="n">
        <v>0</v>
      </c>
      <c r="M3589" s="9">
        <f>ROUND(SUM(I3589:L3589),2)</f>
        <v/>
      </c>
      <c r="N3589" s="10">
        <f>ROUND(I3589*'Irish Basis'!$C$6*'Irish Basis'!$C$5,2)</f>
        <v/>
      </c>
      <c r="O3589" s="10">
        <f>ROUND(J3589*'Irish Basis'!$C$7*'Irish Basis'!$C$5,2)</f>
        <v/>
      </c>
      <c r="P3589" s="10">
        <f>ROUND(K3589*'Irish Basis'!$C$8*'Irish Basis'!$C$5,2)</f>
        <v/>
      </c>
      <c r="Q3589" s="10">
        <f>ROUND(L3589*'Irish Basis'!$C$12*'Irish Basis'!$C$5,2)</f>
        <v/>
      </c>
      <c r="R3589" s="11">
        <f>ROUND(SUM(N3589:Q3589),2)</f>
        <v/>
      </c>
      <c r="S3589" s="5" t="inlineStr">
        <is>
          <t>Stated build-up</t>
        </is>
      </c>
      <c r="T3589" s="12" t="inlineStr">
        <is>
          <t>High</t>
        </is>
      </c>
      <c r="U3589" s="8" t="n">
        <v>319.5</v>
      </c>
      <c r="V3589" s="13">
        <f>IF(U3589="","",ROUND(M3589-U3589,2))</f>
        <v/>
      </c>
      <c r="W3589" s="5" t="n"/>
      <c r="X3589" s="5" t="inlineStr">
        <is>
          <t>Labour + plant + material as published; reconciles to the published rate.</t>
        </is>
      </c>
    </row>
    <row r="3590" ht="13" customHeight="1">
      <c r="A3590" s="4" t="n">
        <v>5471</v>
      </c>
      <c r="B3590" s="5" t="inlineStr">
        <is>
          <t>IMG_0140</t>
        </is>
      </c>
      <c r="C3590" s="5" t="inlineStr">
        <is>
          <t>CLASS U: BRICKWORK, BLOCKWORK AND MASONRY</t>
        </is>
      </c>
      <c r="D3590" s="5" t="inlineStr">
        <is>
          <t>02 FACING BRICKWORK</t>
        </is>
      </c>
      <c r="E3590" s="5" t="inlineStr">
        <is>
          <t>Thickness 215 mm</t>
        </is>
      </c>
      <c r="F3590" s="5" t="inlineStr">
        <is>
          <t>battered curved walls</t>
        </is>
      </c>
      <c r="G3590" s="6" t="inlineStr">
        <is>
          <t>m2</t>
        </is>
      </c>
      <c r="H3590" s="7" t="n">
        <v>1.02</v>
      </c>
      <c r="I3590" s="8" t="n">
        <v>171.96</v>
      </c>
      <c r="J3590" s="8" t="n">
        <v>12.14</v>
      </c>
      <c r="K3590" s="8" t="n">
        <v>135.4</v>
      </c>
      <c r="L3590" s="8" t="n">
        <v>0</v>
      </c>
      <c r="M3590" s="9">
        <f>ROUND(SUM(I3590:L3590),2)</f>
        <v/>
      </c>
      <c r="N3590" s="10">
        <f>ROUND(I3590*'Irish Basis'!$C$6*'Irish Basis'!$C$5,2)</f>
        <v/>
      </c>
      <c r="O3590" s="10">
        <f>ROUND(J3590*'Irish Basis'!$C$7*'Irish Basis'!$C$5,2)</f>
        <v/>
      </c>
      <c r="P3590" s="10">
        <f>ROUND(K3590*'Irish Basis'!$C$8*'Irish Basis'!$C$5,2)</f>
        <v/>
      </c>
      <c r="Q3590" s="10">
        <f>ROUND(L3590*'Irish Basis'!$C$12*'Irish Basis'!$C$5,2)</f>
        <v/>
      </c>
      <c r="R3590" s="11">
        <f>ROUND(SUM(N3590:Q3590),2)</f>
        <v/>
      </c>
      <c r="S3590" s="5" t="inlineStr">
        <is>
          <t>Stated build-up</t>
        </is>
      </c>
      <c r="T3590" s="12" t="inlineStr">
        <is>
          <t>High</t>
        </is>
      </c>
      <c r="U3590" s="8" t="n">
        <v>319.5</v>
      </c>
      <c r="V3590" s="13">
        <f>IF(U3590="","",ROUND(M3590-U3590,2))</f>
        <v/>
      </c>
      <c r="W3590" s="5" t="n"/>
      <c r="X3590" s="5" t="inlineStr">
        <is>
          <t>Labour + plant + material as published; reconciles to the published rate.</t>
        </is>
      </c>
    </row>
    <row r="3591" ht="13" customHeight="1">
      <c r="A3591" s="4" t="n">
        <v>5472</v>
      </c>
      <c r="B3591" s="5" t="inlineStr">
        <is>
          <t>IMG_0140</t>
        </is>
      </c>
      <c r="C3591" s="5" t="inlineStr">
        <is>
          <t>CLASS U: BRICKWORK, BLOCKWORK AND MASONRY</t>
        </is>
      </c>
      <c r="D3591" s="5" t="inlineStr">
        <is>
          <t>02 FACING BRICKWORK</t>
        </is>
      </c>
      <c r="E3591" s="5" t="inlineStr">
        <is>
          <t>Thickness 215 mm</t>
        </is>
      </c>
      <c r="F3591" s="5" t="inlineStr">
        <is>
          <t>vertical facing to concrete</t>
        </is>
      </c>
      <c r="G3591" s="6" t="inlineStr">
        <is>
          <t>m2</t>
        </is>
      </c>
      <c r="H3591" s="7" t="n">
        <v>0.66</v>
      </c>
      <c r="I3591" s="8" t="n">
        <v>111.27</v>
      </c>
      <c r="J3591" s="8" t="n">
        <v>7.84</v>
      </c>
      <c r="K3591" s="8" t="n">
        <v>142.43</v>
      </c>
      <c r="L3591" s="8" t="n">
        <v>0</v>
      </c>
      <c r="M3591" s="9">
        <f>ROUND(SUM(I3591:L3591),2)</f>
        <v/>
      </c>
      <c r="N3591" s="10">
        <f>ROUND(I3591*'Irish Basis'!$C$6*'Irish Basis'!$C$5,2)</f>
        <v/>
      </c>
      <c r="O3591" s="10">
        <f>ROUND(J3591*'Irish Basis'!$C$7*'Irish Basis'!$C$5,2)</f>
        <v/>
      </c>
      <c r="P3591" s="10">
        <f>ROUND(K3591*'Irish Basis'!$C$8*'Irish Basis'!$C$5,2)</f>
        <v/>
      </c>
      <c r="Q3591" s="10">
        <f>ROUND(L3591*'Irish Basis'!$C$12*'Irish Basis'!$C$5,2)</f>
        <v/>
      </c>
      <c r="R3591" s="11">
        <f>ROUND(SUM(N3591:Q3591),2)</f>
        <v/>
      </c>
      <c r="S3591" s="5" t="inlineStr">
        <is>
          <t>Stated build-up</t>
        </is>
      </c>
      <c r="T3591" s="12" t="inlineStr">
        <is>
          <t>High</t>
        </is>
      </c>
      <c r="U3591" s="8" t="n">
        <v>261.54</v>
      </c>
      <c r="V3591" s="13">
        <f>IF(U3591="","",ROUND(M3591-U3591,2))</f>
        <v/>
      </c>
      <c r="W3591" s="5" t="n"/>
      <c r="X3591" s="5" t="inlineStr">
        <is>
          <t>Labour + plant + material as published; reconciles to the published rate.</t>
        </is>
      </c>
    </row>
    <row r="3592" ht="13" customHeight="1">
      <c r="A3592" s="4" t="n">
        <v>5473</v>
      </c>
      <c r="B3592" s="5" t="inlineStr">
        <is>
          <t>IMG_0140</t>
        </is>
      </c>
      <c r="C3592" s="5" t="inlineStr">
        <is>
          <t>CLASS U: BRICKWORK, BLOCKWORK AND MASONRY</t>
        </is>
      </c>
      <c r="D3592" s="5" t="inlineStr">
        <is>
          <t>02 FACING BRICKWORK</t>
        </is>
      </c>
      <c r="E3592" s="5" t="inlineStr">
        <is>
          <t>Thickness 215 mm</t>
        </is>
      </c>
      <c r="F3592" s="5" t="inlineStr">
        <is>
          <t>battered facing to concrete</t>
        </is>
      </c>
      <c r="G3592" s="6" t="inlineStr">
        <is>
          <t>m2</t>
        </is>
      </c>
      <c r="H3592" s="7" t="n">
        <v>1.02</v>
      </c>
      <c r="I3592" s="8" t="n">
        <v>171.96</v>
      </c>
      <c r="J3592" s="8" t="n">
        <v>12.14</v>
      </c>
      <c r="K3592" s="8" t="n">
        <v>142.43</v>
      </c>
      <c r="L3592" s="8" t="n">
        <v>0</v>
      </c>
      <c r="M3592" s="9">
        <f>ROUND(SUM(I3592:L3592),2)</f>
        <v/>
      </c>
      <c r="N3592" s="10">
        <f>ROUND(I3592*'Irish Basis'!$C$6*'Irish Basis'!$C$5,2)</f>
        <v/>
      </c>
      <c r="O3592" s="10">
        <f>ROUND(J3592*'Irish Basis'!$C$7*'Irish Basis'!$C$5,2)</f>
        <v/>
      </c>
      <c r="P3592" s="10">
        <f>ROUND(K3592*'Irish Basis'!$C$8*'Irish Basis'!$C$5,2)</f>
        <v/>
      </c>
      <c r="Q3592" s="10">
        <f>ROUND(L3592*'Irish Basis'!$C$12*'Irish Basis'!$C$5,2)</f>
        <v/>
      </c>
      <c r="R3592" s="11">
        <f>ROUND(SUM(N3592:Q3592),2)</f>
        <v/>
      </c>
      <c r="S3592" s="5" t="inlineStr">
        <is>
          <t>Stated build-up</t>
        </is>
      </c>
      <c r="T3592" s="12" t="inlineStr">
        <is>
          <t>High</t>
        </is>
      </c>
      <c r="U3592" s="8" t="n">
        <v>326.53</v>
      </c>
      <c r="V3592" s="13">
        <f>IF(U3592="","",ROUND(M3592-U3592,2))</f>
        <v/>
      </c>
      <c r="W3592" s="5" t="n"/>
      <c r="X3592" s="5" t="inlineStr">
        <is>
          <t>Labour + plant + material as published; reconciles to the published rate.</t>
        </is>
      </c>
    </row>
    <row r="3593" ht="13" customHeight="1">
      <c r="A3593" s="4" t="n">
        <v>5474</v>
      </c>
      <c r="B3593" s="5" t="inlineStr">
        <is>
          <t>IMG_0140</t>
        </is>
      </c>
      <c r="C3593" s="5" t="inlineStr">
        <is>
          <t>CLASS U: BRICKWORK, BLOCKWORK AND MASONRY</t>
        </is>
      </c>
      <c r="D3593" s="5" t="inlineStr">
        <is>
          <t>02 FACING BRICKWORK</t>
        </is>
      </c>
      <c r="E3593" s="5" t="inlineStr">
        <is>
          <t>Thickness 215 mm</t>
        </is>
      </c>
      <c r="F3593" s="5" t="inlineStr">
        <is>
          <t>casing to metal sections</t>
        </is>
      </c>
      <c r="G3593" s="6" t="inlineStr">
        <is>
          <t>m2</t>
        </is>
      </c>
      <c r="H3593" s="7" t="n">
        <v>0.82</v>
      </c>
      <c r="I3593" s="8" t="n">
        <v>138.24</v>
      </c>
      <c r="J3593" s="8" t="n">
        <v>9.74</v>
      </c>
      <c r="K3593" s="8" t="n">
        <v>142.43</v>
      </c>
      <c r="L3593" s="8" t="n">
        <v>0</v>
      </c>
      <c r="M3593" s="9">
        <f>ROUND(SUM(I3593:L3593),2)</f>
        <v/>
      </c>
      <c r="N3593" s="10">
        <f>ROUND(I3593*'Irish Basis'!$C$6*'Irish Basis'!$C$5,2)</f>
        <v/>
      </c>
      <c r="O3593" s="10">
        <f>ROUND(J3593*'Irish Basis'!$C$7*'Irish Basis'!$C$5,2)</f>
        <v/>
      </c>
      <c r="P3593" s="10">
        <f>ROUND(K3593*'Irish Basis'!$C$8*'Irish Basis'!$C$5,2)</f>
        <v/>
      </c>
      <c r="Q3593" s="10">
        <f>ROUND(L3593*'Irish Basis'!$C$12*'Irish Basis'!$C$5,2)</f>
        <v/>
      </c>
      <c r="R3593" s="11">
        <f>ROUND(SUM(N3593:Q3593),2)</f>
        <v/>
      </c>
      <c r="S3593" s="5" t="inlineStr">
        <is>
          <t>Stated build-up</t>
        </is>
      </c>
      <c r="T3593" s="12" t="inlineStr">
        <is>
          <t>High</t>
        </is>
      </c>
      <c r="U3593" s="8" t="n">
        <v>290.41</v>
      </c>
      <c r="V3593" s="13">
        <f>IF(U3593="","",ROUND(M3593-U3593,2))</f>
        <v/>
      </c>
      <c r="W3593" s="5" t="n"/>
      <c r="X3593" s="5" t="inlineStr">
        <is>
          <t>Labour + plant + material as published; reconciles to the published rate.</t>
        </is>
      </c>
    </row>
    <row r="3594" ht="13" customHeight="1">
      <c r="A3594" s="4" t="n">
        <v>5476</v>
      </c>
      <c r="B3594" s="5" t="inlineStr">
        <is>
          <t>IMG_0140</t>
        </is>
      </c>
      <c r="C3594" s="5" t="inlineStr">
        <is>
          <t>CLASS U: BRICKWORK, BLOCKWORK AND MASONRY</t>
        </is>
      </c>
      <c r="D3594" s="5" t="inlineStr">
        <is>
          <t>02 FACING BRICKWORK</t>
        </is>
      </c>
      <c r="E3594" s="5" t="inlineStr">
        <is>
          <t>Thickness 328 mm</t>
        </is>
      </c>
      <c r="F3594" s="5" t="inlineStr">
        <is>
          <t>vertical straight walls</t>
        </is>
      </c>
      <c r="G3594" s="6" t="inlineStr">
        <is>
          <t>m2</t>
        </is>
      </c>
      <c r="H3594" s="7" t="n">
        <v>0.83</v>
      </c>
      <c r="I3594" s="8" t="n">
        <v>139.93</v>
      </c>
      <c r="J3594" s="8" t="n">
        <v>9.81</v>
      </c>
      <c r="K3594" s="8" t="n">
        <v>204.04</v>
      </c>
      <c r="L3594" s="8" t="n">
        <v>0</v>
      </c>
      <c r="M3594" s="9">
        <f>ROUND(SUM(I3594:L3594),2)</f>
        <v/>
      </c>
      <c r="N3594" s="10">
        <f>ROUND(I3594*'Irish Basis'!$C$6*'Irish Basis'!$C$5,2)</f>
        <v/>
      </c>
      <c r="O3594" s="10">
        <f>ROUND(J3594*'Irish Basis'!$C$7*'Irish Basis'!$C$5,2)</f>
        <v/>
      </c>
      <c r="P3594" s="10">
        <f>ROUND(K3594*'Irish Basis'!$C$8*'Irish Basis'!$C$5,2)</f>
        <v/>
      </c>
      <c r="Q3594" s="10">
        <f>ROUND(L3594*'Irish Basis'!$C$12*'Irish Basis'!$C$5,2)</f>
        <v/>
      </c>
      <c r="R3594" s="11">
        <f>ROUND(SUM(N3594:Q3594),2)</f>
        <v/>
      </c>
      <c r="S3594" s="5" t="inlineStr">
        <is>
          <t>Stated build-up</t>
        </is>
      </c>
      <c r="T3594" s="12" t="inlineStr">
        <is>
          <t>High</t>
        </is>
      </c>
      <c r="U3594" s="8" t="n">
        <v>353.78</v>
      </c>
      <c r="V3594" s="13">
        <f>IF(U3594="","",ROUND(M3594-U3594,2))</f>
        <v/>
      </c>
      <c r="W3594" s="5" t="n"/>
      <c r="X3594" s="5" t="inlineStr">
        <is>
          <t>Labour + plant + material as published; reconciles to the published rate.</t>
        </is>
      </c>
    </row>
    <row r="3595" ht="13" customHeight="1">
      <c r="A3595" s="4" t="n">
        <v>5477</v>
      </c>
      <c r="B3595" s="5" t="inlineStr">
        <is>
          <t>IMG_0140</t>
        </is>
      </c>
      <c r="C3595" s="5" t="inlineStr">
        <is>
          <t>CLASS U: BRICKWORK, BLOCKWORK AND MASONRY</t>
        </is>
      </c>
      <c r="D3595" s="5" t="inlineStr">
        <is>
          <t>02 FACING BRICKWORK</t>
        </is>
      </c>
      <c r="E3595" s="5" t="inlineStr">
        <is>
          <t>Thickness 328 mm</t>
        </is>
      </c>
      <c r="F3595" s="5" t="inlineStr">
        <is>
          <t>vertical curved walls</t>
        </is>
      </c>
      <c r="G3595" s="6" t="inlineStr">
        <is>
          <t>m2</t>
        </is>
      </c>
      <c r="H3595" s="7" t="n">
        <v>1.12</v>
      </c>
      <c r="I3595" s="8" t="n">
        <v>188.82</v>
      </c>
      <c r="J3595" s="8" t="n">
        <v>13.23</v>
      </c>
      <c r="K3595" s="8" t="n">
        <v>204.04</v>
      </c>
      <c r="L3595" s="8" t="n">
        <v>0</v>
      </c>
      <c r="M3595" s="9">
        <f>ROUND(SUM(I3595:L3595),2)</f>
        <v/>
      </c>
      <c r="N3595" s="10">
        <f>ROUND(I3595*'Irish Basis'!$C$6*'Irish Basis'!$C$5,2)</f>
        <v/>
      </c>
      <c r="O3595" s="10">
        <f>ROUND(J3595*'Irish Basis'!$C$7*'Irish Basis'!$C$5,2)</f>
        <v/>
      </c>
      <c r="P3595" s="10">
        <f>ROUND(K3595*'Irish Basis'!$C$8*'Irish Basis'!$C$5,2)</f>
        <v/>
      </c>
      <c r="Q3595" s="10">
        <f>ROUND(L3595*'Irish Basis'!$C$12*'Irish Basis'!$C$5,2)</f>
        <v/>
      </c>
      <c r="R3595" s="11">
        <f>ROUND(SUM(N3595:Q3595),2)</f>
        <v/>
      </c>
      <c r="S3595" s="5" t="inlineStr">
        <is>
          <t>Stated build-up</t>
        </is>
      </c>
      <c r="T3595" s="12" t="inlineStr">
        <is>
          <t>High</t>
        </is>
      </c>
      <c r="U3595" s="8" t="n">
        <v>406.09</v>
      </c>
      <c r="V3595" s="13">
        <f>IF(U3595="","",ROUND(M3595-U3595,2))</f>
        <v/>
      </c>
      <c r="W3595" s="5" t="n"/>
      <c r="X3595" s="5" t="inlineStr">
        <is>
          <t>Labour + plant + material as published; reconciles to the published rate.</t>
        </is>
      </c>
    </row>
    <row r="3596" ht="13" customHeight="1">
      <c r="A3596" s="4" t="n">
        <v>5478</v>
      </c>
      <c r="B3596" s="5" t="inlineStr">
        <is>
          <t>IMG_0140</t>
        </is>
      </c>
      <c r="C3596" s="5" t="inlineStr">
        <is>
          <t>CLASS U: BRICKWORK, BLOCKWORK AND MASONRY</t>
        </is>
      </c>
      <c r="D3596" s="5" t="inlineStr">
        <is>
          <t>02 FACING BRICKWORK</t>
        </is>
      </c>
      <c r="E3596" s="5" t="inlineStr">
        <is>
          <t>Thickness 328 mm</t>
        </is>
      </c>
      <c r="F3596" s="5" t="inlineStr">
        <is>
          <t>battered straight walls</t>
        </is>
      </c>
      <c r="G3596" s="6" t="inlineStr">
        <is>
          <t>m2</t>
        </is>
      </c>
      <c r="H3596" s="7" t="n">
        <v>1.12</v>
      </c>
      <c r="I3596" s="8" t="n">
        <v>188.82</v>
      </c>
      <c r="J3596" s="8" t="n">
        <v>13.23</v>
      </c>
      <c r="K3596" s="8" t="n">
        <v>204.04</v>
      </c>
      <c r="L3596" s="8" t="n">
        <v>0</v>
      </c>
      <c r="M3596" s="9">
        <f>ROUND(SUM(I3596:L3596),2)</f>
        <v/>
      </c>
      <c r="N3596" s="10">
        <f>ROUND(I3596*'Irish Basis'!$C$6*'Irish Basis'!$C$5,2)</f>
        <v/>
      </c>
      <c r="O3596" s="10">
        <f>ROUND(J3596*'Irish Basis'!$C$7*'Irish Basis'!$C$5,2)</f>
        <v/>
      </c>
      <c r="P3596" s="10">
        <f>ROUND(K3596*'Irish Basis'!$C$8*'Irish Basis'!$C$5,2)</f>
        <v/>
      </c>
      <c r="Q3596" s="10">
        <f>ROUND(L3596*'Irish Basis'!$C$12*'Irish Basis'!$C$5,2)</f>
        <v/>
      </c>
      <c r="R3596" s="11">
        <f>ROUND(SUM(N3596:Q3596),2)</f>
        <v/>
      </c>
      <c r="S3596" s="5" t="inlineStr">
        <is>
          <t>Stated build-up</t>
        </is>
      </c>
      <c r="T3596" s="12" t="inlineStr">
        <is>
          <t>High</t>
        </is>
      </c>
      <c r="U3596" s="8" t="n">
        <v>406.09</v>
      </c>
      <c r="V3596" s="13">
        <f>IF(U3596="","",ROUND(M3596-U3596,2))</f>
        <v/>
      </c>
      <c r="W3596" s="5" t="n"/>
      <c r="X3596" s="5" t="inlineStr">
        <is>
          <t>Labour + plant + material as published; reconciles to the published rate.</t>
        </is>
      </c>
    </row>
    <row r="3597" ht="13" customHeight="1">
      <c r="A3597" s="4" t="n">
        <v>5479</v>
      </c>
      <c r="B3597" s="5" t="inlineStr">
        <is>
          <t>IMG_0140</t>
        </is>
      </c>
      <c r="C3597" s="5" t="inlineStr">
        <is>
          <t>CLASS U: BRICKWORK, BLOCKWORK AND MASONRY</t>
        </is>
      </c>
      <c r="D3597" s="5" t="inlineStr">
        <is>
          <t>02 FACING BRICKWORK</t>
        </is>
      </c>
      <c r="E3597" s="5" t="inlineStr">
        <is>
          <t>Thickness 328 mm</t>
        </is>
      </c>
      <c r="F3597" s="5" t="inlineStr">
        <is>
          <t>battered curved walls</t>
        </is>
      </c>
      <c r="G3597" s="6" t="inlineStr">
        <is>
          <t>m2</t>
        </is>
      </c>
      <c r="H3597" s="7" t="n">
        <v>1.36</v>
      </c>
      <c r="I3597" s="8" t="n">
        <v>229.28</v>
      </c>
      <c r="J3597" s="8" t="n">
        <v>16.14</v>
      </c>
      <c r="K3597" s="8" t="n">
        <v>204.04</v>
      </c>
      <c r="L3597" s="8" t="n">
        <v>0</v>
      </c>
      <c r="M3597" s="9">
        <f>ROUND(SUM(I3597:L3597),2)</f>
        <v/>
      </c>
      <c r="N3597" s="10">
        <f>ROUND(I3597*'Irish Basis'!$C$6*'Irish Basis'!$C$5,2)</f>
        <v/>
      </c>
      <c r="O3597" s="10">
        <f>ROUND(J3597*'Irish Basis'!$C$7*'Irish Basis'!$C$5,2)</f>
        <v/>
      </c>
      <c r="P3597" s="10">
        <f>ROUND(K3597*'Irish Basis'!$C$8*'Irish Basis'!$C$5,2)</f>
        <v/>
      </c>
      <c r="Q3597" s="10">
        <f>ROUND(L3597*'Irish Basis'!$C$12*'Irish Basis'!$C$5,2)</f>
        <v/>
      </c>
      <c r="R3597" s="11">
        <f>ROUND(SUM(N3597:Q3597),2)</f>
        <v/>
      </c>
      <c r="S3597" s="5" t="inlineStr">
        <is>
          <t>Stated build-up</t>
        </is>
      </c>
      <c r="T3597" s="12" t="inlineStr">
        <is>
          <t>High</t>
        </is>
      </c>
      <c r="U3597" s="8" t="n">
        <v>449.46</v>
      </c>
      <c r="V3597" s="13">
        <f>IF(U3597="","",ROUND(M3597-U3597,2))</f>
        <v/>
      </c>
      <c r="W3597" s="5" t="n"/>
      <c r="X3597" s="5" t="inlineStr">
        <is>
          <t>Labour + plant + material as published; reconciles to the published rate.</t>
        </is>
      </c>
    </row>
    <row r="3598" ht="13" customHeight="1">
      <c r="A3598" s="4" t="n">
        <v>5480</v>
      </c>
      <c r="B3598" s="5" t="inlineStr">
        <is>
          <t>IMG_0140</t>
        </is>
      </c>
      <c r="C3598" s="5" t="inlineStr">
        <is>
          <t>CLASS U: BRICKWORK, BLOCKWORK AND MASONRY</t>
        </is>
      </c>
      <c r="D3598" s="5" t="inlineStr">
        <is>
          <t>02 FACING BRICKWORK</t>
        </is>
      </c>
      <c r="E3598" s="5" t="inlineStr">
        <is>
          <t>Thickness 328 mm</t>
        </is>
      </c>
      <c r="F3598" s="5" t="inlineStr">
        <is>
          <t>vertical facing to concrete</t>
        </is>
      </c>
      <c r="G3598" s="6" t="inlineStr">
        <is>
          <t>m2</t>
        </is>
      </c>
      <c r="H3598" s="7" t="n">
        <v>0.88</v>
      </c>
      <c r="I3598" s="8" t="n">
        <v>148.36</v>
      </c>
      <c r="J3598" s="8" t="n">
        <v>10.4</v>
      </c>
      <c r="K3598" s="8" t="n">
        <v>211.07</v>
      </c>
      <c r="L3598" s="8" t="n">
        <v>0</v>
      </c>
      <c r="M3598" s="9">
        <f>ROUND(SUM(I3598:L3598),2)</f>
        <v/>
      </c>
      <c r="N3598" s="10">
        <f>ROUND(I3598*'Irish Basis'!$C$6*'Irish Basis'!$C$5,2)</f>
        <v/>
      </c>
      <c r="O3598" s="10">
        <f>ROUND(J3598*'Irish Basis'!$C$7*'Irish Basis'!$C$5,2)</f>
        <v/>
      </c>
      <c r="P3598" s="10">
        <f>ROUND(K3598*'Irish Basis'!$C$8*'Irish Basis'!$C$5,2)</f>
        <v/>
      </c>
      <c r="Q3598" s="10">
        <f>ROUND(L3598*'Irish Basis'!$C$12*'Irish Basis'!$C$5,2)</f>
        <v/>
      </c>
      <c r="R3598" s="11">
        <f>ROUND(SUM(N3598:Q3598),2)</f>
        <v/>
      </c>
      <c r="S3598" s="5" t="inlineStr">
        <is>
          <t>Stated build-up</t>
        </is>
      </c>
      <c r="T3598" s="12" t="inlineStr">
        <is>
          <t>High</t>
        </is>
      </c>
      <c r="U3598" s="8" t="n">
        <v>369.83</v>
      </c>
      <c r="V3598" s="13">
        <f>IF(U3598="","",ROUND(M3598-U3598,2))</f>
        <v/>
      </c>
      <c r="W3598" s="5" t="n"/>
      <c r="X3598" s="5" t="inlineStr">
        <is>
          <t>Labour + plant + material as published; reconciles to the published rate.</t>
        </is>
      </c>
    </row>
    <row r="3599" ht="13" customHeight="1">
      <c r="A3599" s="4" t="n">
        <v>5481</v>
      </c>
      <c r="B3599" s="5" t="inlineStr">
        <is>
          <t>IMG_0140</t>
        </is>
      </c>
      <c r="C3599" s="5" t="inlineStr">
        <is>
          <t>CLASS U: BRICKWORK, BLOCKWORK AND MASONRY</t>
        </is>
      </c>
      <c r="D3599" s="5" t="inlineStr">
        <is>
          <t>02 FACING BRICKWORK</t>
        </is>
      </c>
      <c r="E3599" s="5" t="inlineStr">
        <is>
          <t>Thickness 328 mm</t>
        </is>
      </c>
      <c r="F3599" s="5" t="inlineStr">
        <is>
          <t>battered facing to concrete</t>
        </is>
      </c>
      <c r="G3599" s="6" t="inlineStr">
        <is>
          <t>m2</t>
        </is>
      </c>
      <c r="H3599" s="7" t="n">
        <v>1.36</v>
      </c>
      <c r="I3599" s="8" t="n">
        <v>229.28</v>
      </c>
      <c r="J3599" s="8" t="n">
        <v>16.14</v>
      </c>
      <c r="K3599" s="8" t="n">
        <v>211.07</v>
      </c>
      <c r="L3599" s="8" t="n">
        <v>0</v>
      </c>
      <c r="M3599" s="9">
        <f>ROUND(SUM(I3599:L3599),2)</f>
        <v/>
      </c>
      <c r="N3599" s="10">
        <f>ROUND(I3599*'Irish Basis'!$C$6*'Irish Basis'!$C$5,2)</f>
        <v/>
      </c>
      <c r="O3599" s="10">
        <f>ROUND(J3599*'Irish Basis'!$C$7*'Irish Basis'!$C$5,2)</f>
        <v/>
      </c>
      <c r="P3599" s="10">
        <f>ROUND(K3599*'Irish Basis'!$C$8*'Irish Basis'!$C$5,2)</f>
        <v/>
      </c>
      <c r="Q3599" s="10">
        <f>ROUND(L3599*'Irish Basis'!$C$12*'Irish Basis'!$C$5,2)</f>
        <v/>
      </c>
      <c r="R3599" s="11">
        <f>ROUND(SUM(N3599:Q3599),2)</f>
        <v/>
      </c>
      <c r="S3599" s="5" t="inlineStr">
        <is>
          <t>Stated build-up</t>
        </is>
      </c>
      <c r="T3599" s="12" t="inlineStr">
        <is>
          <t>High</t>
        </is>
      </c>
      <c r="U3599" s="8" t="n">
        <v>456.5</v>
      </c>
      <c r="V3599" s="13">
        <f>IF(U3599="","",ROUND(M3599-U3599,2))</f>
        <v/>
      </c>
      <c r="W3599" s="5" t="n"/>
      <c r="X3599" s="5" t="inlineStr">
        <is>
          <t>Labour + plant + material as published; reconciles to the published rate.</t>
        </is>
      </c>
    </row>
    <row r="3600" ht="13" customHeight="1">
      <c r="A3600" s="4" t="n">
        <v>5482</v>
      </c>
      <c r="B3600" s="5" t="inlineStr">
        <is>
          <t>IMG_0140</t>
        </is>
      </c>
      <c r="C3600" s="5" t="inlineStr">
        <is>
          <t>CLASS U: BRICKWORK, BLOCKWORK AND MASONRY</t>
        </is>
      </c>
      <c r="D3600" s="5" t="inlineStr">
        <is>
          <t>02 FACING BRICKWORK</t>
        </is>
      </c>
      <c r="E3600" s="5" t="inlineStr">
        <is>
          <t>Thickness 328 mm</t>
        </is>
      </c>
      <c r="F3600" s="5" t="inlineStr">
        <is>
          <t>casing to metal sections</t>
        </is>
      </c>
      <c r="G3600" s="6" t="inlineStr">
        <is>
          <t>m2</t>
        </is>
      </c>
      <c r="H3600" s="7" t="n">
        <v>1.18</v>
      </c>
      <c r="I3600" s="8" t="n">
        <v>198.93</v>
      </c>
      <c r="J3600" s="8" t="n">
        <v>14</v>
      </c>
      <c r="K3600" s="8" t="n">
        <v>211.07</v>
      </c>
      <c r="L3600" s="8" t="n">
        <v>0</v>
      </c>
      <c r="M3600" s="9">
        <f>ROUND(SUM(I3600:L3600),2)</f>
        <v/>
      </c>
      <c r="N3600" s="10">
        <f>ROUND(I3600*'Irish Basis'!$C$6*'Irish Basis'!$C$5,2)</f>
        <v/>
      </c>
      <c r="O3600" s="10">
        <f>ROUND(J3600*'Irish Basis'!$C$7*'Irish Basis'!$C$5,2)</f>
        <v/>
      </c>
      <c r="P3600" s="10">
        <f>ROUND(K3600*'Irish Basis'!$C$8*'Irish Basis'!$C$5,2)</f>
        <v/>
      </c>
      <c r="Q3600" s="10">
        <f>ROUND(L3600*'Irish Basis'!$C$12*'Irish Basis'!$C$5,2)</f>
        <v/>
      </c>
      <c r="R3600" s="11">
        <f>ROUND(SUM(N3600:Q3600),2)</f>
        <v/>
      </c>
      <c r="S3600" s="5" t="inlineStr">
        <is>
          <t>Stated build-up</t>
        </is>
      </c>
      <c r="T3600" s="12" t="inlineStr">
        <is>
          <t>High</t>
        </is>
      </c>
      <c r="U3600" s="8" t="n">
        <v>424.01</v>
      </c>
      <c r="V3600" s="13">
        <f>IF(U3600="","",ROUND(M3600-U3600,2))</f>
        <v/>
      </c>
      <c r="W3600" s="5" t="n"/>
      <c r="X3600" s="5" t="inlineStr">
        <is>
          <t>Labour + plant + material as published; reconciles to the published rate.</t>
        </is>
      </c>
    </row>
    <row r="3601" ht="13" customHeight="1">
      <c r="A3601" s="4" t="n">
        <v>5484</v>
      </c>
      <c r="B3601" s="5" t="inlineStr">
        <is>
          <t>IMG_0140</t>
        </is>
      </c>
      <c r="C3601" s="5" t="inlineStr">
        <is>
          <t>CLASS U: BRICKWORK, BLOCKWORK AND MASONRY</t>
        </is>
      </c>
      <c r="D3601" s="5" t="inlineStr">
        <is>
          <t>02 FACING BRICKWORK</t>
        </is>
      </c>
      <c r="E3601" s="5" t="inlineStr">
        <is>
          <t>Thickness 440 mm</t>
        </is>
      </c>
      <c r="F3601" s="5" t="inlineStr">
        <is>
          <t>vertical straight walls</t>
        </is>
      </c>
      <c r="G3601" s="6" t="inlineStr">
        <is>
          <t>m2</t>
        </is>
      </c>
      <c r="H3601" s="7" t="n">
        <v>1.08</v>
      </c>
      <c r="I3601" s="8" t="n">
        <v>182.08</v>
      </c>
      <c r="J3601" s="8" t="n">
        <v>12.82</v>
      </c>
      <c r="K3601" s="8" t="n">
        <v>272.46</v>
      </c>
      <c r="L3601" s="8" t="n">
        <v>0</v>
      </c>
      <c r="M3601" s="9">
        <f>ROUND(SUM(I3601:L3601),2)</f>
        <v/>
      </c>
      <c r="N3601" s="10">
        <f>ROUND(I3601*'Irish Basis'!$C$6*'Irish Basis'!$C$5,2)</f>
        <v/>
      </c>
      <c r="O3601" s="10">
        <f>ROUND(J3601*'Irish Basis'!$C$7*'Irish Basis'!$C$5,2)</f>
        <v/>
      </c>
      <c r="P3601" s="10">
        <f>ROUND(K3601*'Irish Basis'!$C$8*'Irish Basis'!$C$5,2)</f>
        <v/>
      </c>
      <c r="Q3601" s="10">
        <f>ROUND(L3601*'Irish Basis'!$C$12*'Irish Basis'!$C$5,2)</f>
        <v/>
      </c>
      <c r="R3601" s="11">
        <f>ROUND(SUM(N3601:Q3601),2)</f>
        <v/>
      </c>
      <c r="S3601" s="5" t="inlineStr">
        <is>
          <t>Stated build-up</t>
        </is>
      </c>
      <c r="T3601" s="12" t="inlineStr">
        <is>
          <t>High</t>
        </is>
      </c>
      <c r="U3601" s="8" t="n">
        <v>467.36</v>
      </c>
      <c r="V3601" s="13">
        <f>IF(U3601="","",ROUND(M3601-U3601,2))</f>
        <v/>
      </c>
      <c r="W3601" s="5" t="n"/>
      <c r="X3601" s="5" t="inlineStr">
        <is>
          <t>Labour + plant + material as published; reconciles to the published rate.</t>
        </is>
      </c>
    </row>
    <row r="3602" ht="13" customHeight="1">
      <c r="A3602" s="4" t="n">
        <v>5485</v>
      </c>
      <c r="B3602" s="5" t="inlineStr">
        <is>
          <t>IMG_0140</t>
        </is>
      </c>
      <c r="C3602" s="5" t="inlineStr">
        <is>
          <t>CLASS U: BRICKWORK, BLOCKWORK AND MASONRY</t>
        </is>
      </c>
      <c r="D3602" s="5" t="inlineStr">
        <is>
          <t>02 FACING BRICKWORK</t>
        </is>
      </c>
      <c r="E3602" s="5" t="inlineStr">
        <is>
          <t>Thickness 440 mm</t>
        </is>
      </c>
      <c r="F3602" s="5" t="inlineStr">
        <is>
          <t>vertical curved walls</t>
        </is>
      </c>
      <c r="G3602" s="6" t="inlineStr">
        <is>
          <t>m2</t>
        </is>
      </c>
      <c r="H3602" s="7" t="n">
        <v>1.39</v>
      </c>
      <c r="I3602" s="8" t="n">
        <v>234.34</v>
      </c>
      <c r="J3602" s="8" t="n">
        <v>16.5</v>
      </c>
      <c r="K3602" s="8" t="n">
        <v>272.46</v>
      </c>
      <c r="L3602" s="8" t="n">
        <v>0</v>
      </c>
      <c r="M3602" s="9">
        <f>ROUND(SUM(I3602:L3602),2)</f>
        <v/>
      </c>
      <c r="N3602" s="10">
        <f>ROUND(I3602*'Irish Basis'!$C$6*'Irish Basis'!$C$5,2)</f>
        <v/>
      </c>
      <c r="O3602" s="10">
        <f>ROUND(J3602*'Irish Basis'!$C$7*'Irish Basis'!$C$5,2)</f>
        <v/>
      </c>
      <c r="P3602" s="10">
        <f>ROUND(K3602*'Irish Basis'!$C$8*'Irish Basis'!$C$5,2)</f>
        <v/>
      </c>
      <c r="Q3602" s="10">
        <f>ROUND(L3602*'Irish Basis'!$C$12*'Irish Basis'!$C$5,2)</f>
        <v/>
      </c>
      <c r="R3602" s="11">
        <f>ROUND(SUM(N3602:Q3602),2)</f>
        <v/>
      </c>
      <c r="S3602" s="5" t="inlineStr">
        <is>
          <t>Stated build-up</t>
        </is>
      </c>
      <c r="T3602" s="12" t="inlineStr">
        <is>
          <t>High</t>
        </is>
      </c>
      <c r="U3602" s="8" t="n">
        <v>523.3</v>
      </c>
      <c r="V3602" s="13">
        <f>IF(U3602="","",ROUND(M3602-U3602,2))</f>
        <v/>
      </c>
      <c r="W3602" s="5" t="n"/>
      <c r="X3602" s="5" t="inlineStr">
        <is>
          <t>Labour + plant + material as published; reconciles to the published rate.</t>
        </is>
      </c>
    </row>
    <row r="3603" ht="13" customHeight="1">
      <c r="A3603" s="4" t="n">
        <v>5486</v>
      </c>
      <c r="B3603" s="5" t="inlineStr">
        <is>
          <t>IMG_0140</t>
        </is>
      </c>
      <c r="C3603" s="5" t="inlineStr">
        <is>
          <t>CLASS U: BRICKWORK, BLOCKWORK AND MASONRY</t>
        </is>
      </c>
      <c r="D3603" s="5" t="inlineStr">
        <is>
          <t>02 FACING BRICKWORK</t>
        </is>
      </c>
      <c r="E3603" s="5" t="inlineStr">
        <is>
          <t>Thickness 440 mm</t>
        </is>
      </c>
      <c r="F3603" s="5" t="inlineStr">
        <is>
          <t>battered straight walls</t>
        </is>
      </c>
      <c r="G3603" s="6" t="inlineStr">
        <is>
          <t>m2</t>
        </is>
      </c>
      <c r="H3603" s="7" t="n">
        <v>1.39</v>
      </c>
      <c r="I3603" s="8" t="n">
        <v>234.34</v>
      </c>
      <c r="J3603" s="8" t="n">
        <v>16.5</v>
      </c>
      <c r="K3603" s="8" t="n">
        <v>272.46</v>
      </c>
      <c r="L3603" s="8" t="n">
        <v>0</v>
      </c>
      <c r="M3603" s="9">
        <f>ROUND(SUM(I3603:L3603),2)</f>
        <v/>
      </c>
      <c r="N3603" s="10">
        <f>ROUND(I3603*'Irish Basis'!$C$6*'Irish Basis'!$C$5,2)</f>
        <v/>
      </c>
      <c r="O3603" s="10">
        <f>ROUND(J3603*'Irish Basis'!$C$7*'Irish Basis'!$C$5,2)</f>
        <v/>
      </c>
      <c r="P3603" s="10">
        <f>ROUND(K3603*'Irish Basis'!$C$8*'Irish Basis'!$C$5,2)</f>
        <v/>
      </c>
      <c r="Q3603" s="10">
        <f>ROUND(L3603*'Irish Basis'!$C$12*'Irish Basis'!$C$5,2)</f>
        <v/>
      </c>
      <c r="R3603" s="11">
        <f>ROUND(SUM(N3603:Q3603),2)</f>
        <v/>
      </c>
      <c r="S3603" s="5" t="inlineStr">
        <is>
          <t>Stated build-up</t>
        </is>
      </c>
      <c r="T3603" s="12" t="inlineStr">
        <is>
          <t>High</t>
        </is>
      </c>
      <c r="U3603" s="8" t="n">
        <v>523.3</v>
      </c>
      <c r="V3603" s="13">
        <f>IF(U3603="","",ROUND(M3603-U3603,2))</f>
        <v/>
      </c>
      <c r="W3603" s="5" t="n"/>
      <c r="X3603" s="5" t="inlineStr">
        <is>
          <t>Labour + plant + material as published; reconciles to the published rate.</t>
        </is>
      </c>
    </row>
    <row r="3604" ht="13" customHeight="1">
      <c r="A3604" s="4" t="n">
        <v>5487</v>
      </c>
      <c r="B3604" s="5" t="inlineStr">
        <is>
          <t>IMG_0140</t>
        </is>
      </c>
      <c r="C3604" s="5" t="inlineStr">
        <is>
          <t>CLASS U: BRICKWORK, BLOCKWORK AND MASONRY</t>
        </is>
      </c>
      <c r="D3604" s="5" t="inlineStr">
        <is>
          <t>02 FACING BRICKWORK</t>
        </is>
      </c>
      <c r="E3604" s="5" t="inlineStr">
        <is>
          <t>Thickness 440 mm</t>
        </is>
      </c>
      <c r="F3604" s="5" t="inlineStr">
        <is>
          <t>vertical facing to concrete</t>
        </is>
      </c>
      <c r="G3604" s="6" t="inlineStr">
        <is>
          <t>m2</t>
        </is>
      </c>
      <c r="H3604" s="7" t="n">
        <v>1.09</v>
      </c>
      <c r="I3604" s="8" t="n">
        <v>183.76</v>
      </c>
      <c r="J3604" s="8" t="n">
        <v>12.97</v>
      </c>
      <c r="K3604" s="8" t="n">
        <v>279.49</v>
      </c>
      <c r="L3604" s="8" t="n">
        <v>0</v>
      </c>
      <c r="M3604" s="9">
        <f>ROUND(SUM(I3604:L3604),2)</f>
        <v/>
      </c>
      <c r="N3604" s="10">
        <f>ROUND(I3604*'Irish Basis'!$C$6*'Irish Basis'!$C$5,2)</f>
        <v/>
      </c>
      <c r="O3604" s="10">
        <f>ROUND(J3604*'Irish Basis'!$C$7*'Irish Basis'!$C$5,2)</f>
        <v/>
      </c>
      <c r="P3604" s="10">
        <f>ROUND(K3604*'Irish Basis'!$C$8*'Irish Basis'!$C$5,2)</f>
        <v/>
      </c>
      <c r="Q3604" s="10">
        <f>ROUND(L3604*'Irish Basis'!$C$12*'Irish Basis'!$C$5,2)</f>
        <v/>
      </c>
      <c r="R3604" s="11">
        <f>ROUND(SUM(N3604:Q3604),2)</f>
        <v/>
      </c>
      <c r="S3604" s="5" t="inlineStr">
        <is>
          <t>Stated build-up</t>
        </is>
      </c>
      <c r="T3604" s="12" t="inlineStr">
        <is>
          <t>High</t>
        </is>
      </c>
      <c r="U3604" s="8" t="n">
        <v>476.22</v>
      </c>
      <c r="V3604" s="13">
        <f>IF(U3604="","",ROUND(M3604-U3604,2))</f>
        <v/>
      </c>
      <c r="W3604" s="5" t="n"/>
      <c r="X3604" s="5" t="inlineStr">
        <is>
          <t>Labour + plant + material as published; reconciles to the published rate.</t>
        </is>
      </c>
    </row>
    <row r="3605" ht="13" customHeight="1">
      <c r="A3605" s="4" t="n">
        <v>5488</v>
      </c>
      <c r="B3605" s="5" t="inlineStr">
        <is>
          <t>IMG_0140</t>
        </is>
      </c>
      <c r="C3605" s="5" t="inlineStr">
        <is>
          <t>CLASS U: BRICKWORK, BLOCKWORK AND MASONRY</t>
        </is>
      </c>
      <c r="D3605" s="5" t="inlineStr">
        <is>
          <t>02 FACING BRICKWORK</t>
        </is>
      </c>
      <c r="E3605" s="5" t="inlineStr">
        <is>
          <t>Thickness 440 mm</t>
        </is>
      </c>
      <c r="F3605" s="5" t="inlineStr">
        <is>
          <t>battered facing to concrete</t>
        </is>
      </c>
      <c r="G3605" s="6" t="inlineStr">
        <is>
          <t>m2</t>
        </is>
      </c>
      <c r="H3605" s="7" t="n">
        <v>1.39</v>
      </c>
      <c r="I3605" s="8" t="n">
        <v>234.34</v>
      </c>
      <c r="J3605" s="8" t="n">
        <v>16.5</v>
      </c>
      <c r="K3605" s="8" t="n">
        <v>279.49</v>
      </c>
      <c r="L3605" s="8" t="n">
        <v>0</v>
      </c>
      <c r="M3605" s="9">
        <f>ROUND(SUM(I3605:L3605),2)</f>
        <v/>
      </c>
      <c r="N3605" s="10">
        <f>ROUND(I3605*'Irish Basis'!$C$6*'Irish Basis'!$C$5,2)</f>
        <v/>
      </c>
      <c r="O3605" s="10">
        <f>ROUND(J3605*'Irish Basis'!$C$7*'Irish Basis'!$C$5,2)</f>
        <v/>
      </c>
      <c r="P3605" s="10">
        <f>ROUND(K3605*'Irish Basis'!$C$8*'Irish Basis'!$C$5,2)</f>
        <v/>
      </c>
      <c r="Q3605" s="10">
        <f>ROUND(L3605*'Irish Basis'!$C$12*'Irish Basis'!$C$5,2)</f>
        <v/>
      </c>
      <c r="R3605" s="11">
        <f>ROUND(SUM(N3605:Q3605),2)</f>
        <v/>
      </c>
      <c r="S3605" s="5" t="inlineStr">
        <is>
          <t>Stated build-up</t>
        </is>
      </c>
      <c r="T3605" s="12" t="inlineStr">
        <is>
          <t>High</t>
        </is>
      </c>
      <c r="U3605" s="8" t="n">
        <v>530.33</v>
      </c>
      <c r="V3605" s="13">
        <f>IF(U3605="","",ROUND(M3605-U3605,2))</f>
        <v/>
      </c>
      <c r="W3605" s="5" t="n"/>
      <c r="X3605" s="5" t="inlineStr">
        <is>
          <t>Labour + plant + material as published; reconciles to the published rate.</t>
        </is>
      </c>
    </row>
    <row r="3606" ht="13" customHeight="1">
      <c r="A3606" s="4" t="n">
        <v>5489</v>
      </c>
      <c r="B3606" s="5" t="inlineStr">
        <is>
          <t>IMG_0140</t>
        </is>
      </c>
      <c r="C3606" s="5" t="inlineStr">
        <is>
          <t>CLASS U: BRICKWORK, BLOCKWORK AND MASONRY</t>
        </is>
      </c>
      <c r="D3606" s="5" t="inlineStr">
        <is>
          <t>02 FACING BRICKWORK</t>
        </is>
      </c>
      <c r="E3606" s="5" t="inlineStr">
        <is>
          <t>Thickness 440 mm</t>
        </is>
      </c>
      <c r="F3606" s="5" t="inlineStr">
        <is>
          <t>casing to metal sections</t>
        </is>
      </c>
      <c r="G3606" s="6" t="inlineStr">
        <is>
          <t>m2</t>
        </is>
      </c>
      <c r="H3606" s="7" t="n">
        <v>1.39</v>
      </c>
      <c r="I3606" s="8" t="n">
        <v>234.34</v>
      </c>
      <c r="J3606" s="8" t="n">
        <v>16.5</v>
      </c>
      <c r="K3606" s="8" t="n">
        <v>279.49</v>
      </c>
      <c r="L3606" s="8" t="n">
        <v>0</v>
      </c>
      <c r="M3606" s="9">
        <f>ROUND(SUM(I3606:L3606),2)</f>
        <v/>
      </c>
      <c r="N3606" s="10">
        <f>ROUND(I3606*'Irish Basis'!$C$6*'Irish Basis'!$C$5,2)</f>
        <v/>
      </c>
      <c r="O3606" s="10">
        <f>ROUND(J3606*'Irish Basis'!$C$7*'Irish Basis'!$C$5,2)</f>
        <v/>
      </c>
      <c r="P3606" s="10">
        <f>ROUND(K3606*'Irish Basis'!$C$8*'Irish Basis'!$C$5,2)</f>
        <v/>
      </c>
      <c r="Q3606" s="10">
        <f>ROUND(L3606*'Irish Basis'!$C$12*'Irish Basis'!$C$5,2)</f>
        <v/>
      </c>
      <c r="R3606" s="11">
        <f>ROUND(SUM(N3606:Q3606),2)</f>
        <v/>
      </c>
      <c r="S3606" s="5" t="inlineStr">
        <is>
          <t>Stated build-up</t>
        </is>
      </c>
      <c r="T3606" s="12" t="inlineStr">
        <is>
          <t>High</t>
        </is>
      </c>
      <c r="U3606" s="8" t="n">
        <v>530.33</v>
      </c>
      <c r="V3606" s="13">
        <f>IF(U3606="","",ROUND(M3606-U3606,2))</f>
        <v/>
      </c>
      <c r="W3606" s="5" t="n"/>
      <c r="X3606" s="5" t="inlineStr">
        <is>
          <t>Labour + plant + material as published; reconciles to the published rate.</t>
        </is>
      </c>
    </row>
    <row r="3607" ht="13" customHeight="1">
      <c r="A3607" s="4" t="n">
        <v>5491</v>
      </c>
      <c r="B3607" s="5" t="inlineStr">
        <is>
          <t>IMG_0140</t>
        </is>
      </c>
      <c r="C3607" s="5" t="inlineStr">
        <is>
          <t>CLASS U: BRICKWORK, BLOCKWORK AND MASONRY</t>
        </is>
      </c>
      <c r="D3607" s="5" t="inlineStr">
        <is>
          <t>02 FACING BRICKWORK</t>
        </is>
      </c>
      <c r="E3607" s="5" t="inlineStr">
        <is>
          <t>Columns and piers</t>
        </is>
      </c>
      <c r="F3607" s="5" t="inlineStr">
        <is>
          <t>215 x 215 mm</t>
        </is>
      </c>
      <c r="G3607" s="6" t="inlineStr">
        <is>
          <t>m</t>
        </is>
      </c>
      <c r="H3607" s="7" t="n">
        <v>0.17</v>
      </c>
      <c r="I3607" s="8" t="n">
        <v>28.66</v>
      </c>
      <c r="J3607" s="8" t="n">
        <v>1.98</v>
      </c>
      <c r="K3607" s="8" t="n">
        <v>30.16</v>
      </c>
      <c r="L3607" s="8" t="n">
        <v>0</v>
      </c>
      <c r="M3607" s="9">
        <f>ROUND(SUM(I3607:L3607),2)</f>
        <v/>
      </c>
      <c r="N3607" s="10">
        <f>ROUND(I3607*'Irish Basis'!$C$6*'Irish Basis'!$C$5,2)</f>
        <v/>
      </c>
      <c r="O3607" s="10">
        <f>ROUND(J3607*'Irish Basis'!$C$7*'Irish Basis'!$C$5,2)</f>
        <v/>
      </c>
      <c r="P3607" s="10">
        <f>ROUND(K3607*'Irish Basis'!$C$8*'Irish Basis'!$C$5,2)</f>
        <v/>
      </c>
      <c r="Q3607" s="10">
        <f>ROUND(L3607*'Irish Basis'!$C$12*'Irish Basis'!$C$5,2)</f>
        <v/>
      </c>
      <c r="R3607" s="11">
        <f>ROUND(SUM(N3607:Q3607),2)</f>
        <v/>
      </c>
      <c r="S3607" s="5" t="inlineStr">
        <is>
          <t>Stated build-up</t>
        </is>
      </c>
      <c r="T3607" s="12" t="inlineStr">
        <is>
          <t>High</t>
        </is>
      </c>
      <c r="U3607" s="8" t="n">
        <v>60.8</v>
      </c>
      <c r="V3607" s="13">
        <f>IF(U3607="","",ROUND(M3607-U3607,2))</f>
        <v/>
      </c>
      <c r="W3607" s="5" t="n"/>
      <c r="X3607" s="5" t="inlineStr">
        <is>
          <t>Labour + plant + material as published; reconciles to the published rate.</t>
        </is>
      </c>
    </row>
    <row r="3608" ht="13" customHeight="1">
      <c r="A3608" s="4" t="n">
        <v>5492</v>
      </c>
      <c r="B3608" s="5" t="inlineStr">
        <is>
          <t>IMG_0140</t>
        </is>
      </c>
      <c r="C3608" s="5" t="inlineStr">
        <is>
          <t>CLASS U: BRICKWORK, BLOCKWORK AND MASONRY</t>
        </is>
      </c>
      <c r="D3608" s="5" t="inlineStr">
        <is>
          <t>02 FACING BRICKWORK</t>
        </is>
      </c>
      <c r="E3608" s="5" t="inlineStr">
        <is>
          <t>Columns and piers</t>
        </is>
      </c>
      <c r="F3608" s="5" t="inlineStr">
        <is>
          <t>440 x 215 mm</t>
        </is>
      </c>
      <c r="G3608" s="6" t="inlineStr">
        <is>
          <t>m</t>
        </is>
      </c>
      <c r="H3608" s="7" t="n">
        <v>0.29</v>
      </c>
      <c r="I3608" s="8" t="n">
        <v>48.89</v>
      </c>
      <c r="J3608" s="8" t="n">
        <v>3.44</v>
      </c>
      <c r="K3608" s="8" t="n">
        <v>60.6</v>
      </c>
      <c r="L3608" s="8" t="n">
        <v>0</v>
      </c>
      <c r="M3608" s="9">
        <f>ROUND(SUM(I3608:L3608),2)</f>
        <v/>
      </c>
      <c r="N3608" s="10">
        <f>ROUND(I3608*'Irish Basis'!$C$6*'Irish Basis'!$C$5,2)</f>
        <v/>
      </c>
      <c r="O3608" s="10">
        <f>ROUND(J3608*'Irish Basis'!$C$7*'Irish Basis'!$C$5,2)</f>
        <v/>
      </c>
      <c r="P3608" s="10">
        <f>ROUND(K3608*'Irish Basis'!$C$8*'Irish Basis'!$C$5,2)</f>
        <v/>
      </c>
      <c r="Q3608" s="10">
        <f>ROUND(L3608*'Irish Basis'!$C$12*'Irish Basis'!$C$5,2)</f>
        <v/>
      </c>
      <c r="R3608" s="11">
        <f>ROUND(SUM(N3608:Q3608),2)</f>
        <v/>
      </c>
      <c r="S3608" s="5" t="inlineStr">
        <is>
          <t>Stated build-up</t>
        </is>
      </c>
      <c r="T3608" s="12" t="inlineStr">
        <is>
          <t>High</t>
        </is>
      </c>
      <c r="U3608" s="8" t="n">
        <v>112.93</v>
      </c>
      <c r="V3608" s="13">
        <f>IF(U3608="","",ROUND(M3608-U3608,2))</f>
        <v/>
      </c>
      <c r="W3608" s="5" t="n"/>
      <c r="X3608" s="5" t="inlineStr">
        <is>
          <t>Labour + plant + material as published; reconciles to the published rate.</t>
        </is>
      </c>
    </row>
    <row r="3609" ht="13" customHeight="1">
      <c r="A3609" s="4" t="n">
        <v>5493</v>
      </c>
      <c r="B3609" s="5" t="inlineStr">
        <is>
          <t>IMG_0140</t>
        </is>
      </c>
      <c r="C3609" s="5" t="inlineStr">
        <is>
          <t>CLASS U: BRICKWORK, BLOCKWORK AND MASONRY</t>
        </is>
      </c>
      <c r="D3609" s="5" t="inlineStr">
        <is>
          <t>02 FACING BRICKWORK</t>
        </is>
      </c>
      <c r="E3609" s="5" t="inlineStr">
        <is>
          <t>Columns and piers</t>
        </is>
      </c>
      <c r="F3609" s="5" t="inlineStr">
        <is>
          <t>665 x 328 mm</t>
        </is>
      </c>
      <c r="G3609" s="6" t="inlineStr">
        <is>
          <t>m</t>
        </is>
      </c>
      <c r="H3609" s="7" t="n">
        <v>0.58</v>
      </c>
      <c r="I3609" s="8" t="n">
        <v>97.78</v>
      </c>
      <c r="J3609" s="8" t="n">
        <v>6.85</v>
      </c>
      <c r="K3609" s="8" t="n">
        <v>136.77</v>
      </c>
      <c r="L3609" s="8" t="n">
        <v>0</v>
      </c>
      <c r="M3609" s="9">
        <f>ROUND(SUM(I3609:L3609),2)</f>
        <v/>
      </c>
      <c r="N3609" s="10">
        <f>ROUND(I3609*'Irish Basis'!$C$6*'Irish Basis'!$C$5,2)</f>
        <v/>
      </c>
      <c r="O3609" s="10">
        <f>ROUND(J3609*'Irish Basis'!$C$7*'Irish Basis'!$C$5,2)</f>
        <v/>
      </c>
      <c r="P3609" s="10">
        <f>ROUND(K3609*'Irish Basis'!$C$8*'Irish Basis'!$C$5,2)</f>
        <v/>
      </c>
      <c r="Q3609" s="10">
        <f>ROUND(L3609*'Irish Basis'!$C$12*'Irish Basis'!$C$5,2)</f>
        <v/>
      </c>
      <c r="R3609" s="11">
        <f>ROUND(SUM(N3609:Q3609),2)</f>
        <v/>
      </c>
      <c r="S3609" s="5" t="inlineStr">
        <is>
          <t>Stated build-up</t>
        </is>
      </c>
      <c r="T3609" s="12" t="inlineStr">
        <is>
          <t>High</t>
        </is>
      </c>
      <c r="U3609" s="8" t="n">
        <v>241.4</v>
      </c>
      <c r="V3609" s="13">
        <f>IF(U3609="","",ROUND(M3609-U3609,2))</f>
        <v/>
      </c>
      <c r="W3609" s="5" t="n"/>
      <c r="X3609" s="5" t="inlineStr">
        <is>
          <t>Labour + plant + material as published; reconciles to the published rate.</t>
        </is>
      </c>
    </row>
    <row r="3610" ht="13" customHeight="1">
      <c r="A3610" s="4" t="n">
        <v>5495</v>
      </c>
      <c r="B3610" s="5" t="inlineStr">
        <is>
          <t>IMG_0140</t>
        </is>
      </c>
      <c r="C3610" s="5" t="inlineStr">
        <is>
          <t>CLASS U: BRICKWORK, BLOCKWORK AND MASONRY</t>
        </is>
      </c>
      <c r="D3610" s="5" t="inlineStr">
        <is>
          <t>02 FACING BRICKWORK</t>
        </is>
      </c>
      <c r="E3610" s="5" t="inlineStr">
        <is>
          <t>Surface features</t>
        </is>
      </c>
      <c r="F3610" s="5" t="inlineStr">
        <is>
          <t>copings; standard header-on-edge; standard bricks; 215 mm wide x 103 mm high</t>
        </is>
      </c>
      <c r="G3610" s="6" t="inlineStr">
        <is>
          <t>m</t>
        </is>
      </c>
      <c r="H3610" s="7" t="n">
        <v>0.13</v>
      </c>
      <c r="I3610" s="8" t="n">
        <v>21.92</v>
      </c>
      <c r="J3610" s="8" t="n">
        <v>1.59</v>
      </c>
      <c r="K3610" s="8" t="n">
        <v>14.12</v>
      </c>
      <c r="L3610" s="8" t="n">
        <v>0</v>
      </c>
      <c r="M3610" s="9">
        <f>ROUND(SUM(I3610:L3610),2)</f>
        <v/>
      </c>
      <c r="N3610" s="10">
        <f>ROUND(I3610*'Irish Basis'!$C$6*'Irish Basis'!$C$5,2)</f>
        <v/>
      </c>
      <c r="O3610" s="10">
        <f>ROUND(J3610*'Irish Basis'!$C$7*'Irish Basis'!$C$5,2)</f>
        <v/>
      </c>
      <c r="P3610" s="10">
        <f>ROUND(K3610*'Irish Basis'!$C$8*'Irish Basis'!$C$5,2)</f>
        <v/>
      </c>
      <c r="Q3610" s="10">
        <f>ROUND(L3610*'Irish Basis'!$C$12*'Irish Basis'!$C$5,2)</f>
        <v/>
      </c>
      <c r="R3610" s="11">
        <f>ROUND(SUM(N3610:Q3610),2)</f>
        <v/>
      </c>
      <c r="S3610" s="5" t="inlineStr">
        <is>
          <t>Stated build-up</t>
        </is>
      </c>
      <c r="T3610" s="12" t="inlineStr">
        <is>
          <t>High</t>
        </is>
      </c>
      <c r="U3610" s="8" t="n">
        <v>37.63</v>
      </c>
      <c r="V3610" s="13">
        <f>IF(U3610="","",ROUND(M3610-U3610,2))</f>
        <v/>
      </c>
      <c r="W3610" s="5" t="n"/>
      <c r="X3610" s="5" t="inlineStr">
        <is>
          <t>Labour + plant + material as published; reconciles to the published rate.</t>
        </is>
      </c>
    </row>
    <row r="3611" ht="13" customHeight="1">
      <c r="A3611" s="4" t="n">
        <v>5496</v>
      </c>
      <c r="B3611" s="5" t="inlineStr">
        <is>
          <t>IMG_0140</t>
        </is>
      </c>
      <c r="C3611" s="5" t="inlineStr">
        <is>
          <t>CLASS U: BRICKWORK, BLOCKWORK AND MASONRY</t>
        </is>
      </c>
      <c r="D3611" s="5" t="inlineStr">
        <is>
          <t>02 FACING BRICKWORK</t>
        </is>
      </c>
      <c r="E3611" s="5" t="inlineStr">
        <is>
          <t>Surface features</t>
        </is>
      </c>
      <c r="F3611" s="5" t="inlineStr">
        <is>
          <t>flat arches; standard stretcher-on-end; 215 mm wide x 103 mm high</t>
        </is>
      </c>
      <c r="G3611" s="6" t="inlineStr">
        <is>
          <t>m</t>
        </is>
      </c>
      <c r="H3611" s="7" t="n">
        <v>0.21</v>
      </c>
      <c r="I3611" s="8" t="n">
        <v>35.4</v>
      </c>
      <c r="J3611" s="8" t="n">
        <v>2.49</v>
      </c>
      <c r="K3611" s="8" t="n">
        <v>13.79</v>
      </c>
      <c r="L3611" s="8" t="n">
        <v>0</v>
      </c>
      <c r="M3611" s="9">
        <f>ROUND(SUM(I3611:L3611),2)</f>
        <v/>
      </c>
      <c r="N3611" s="10">
        <f>ROUND(I3611*'Irish Basis'!$C$6*'Irish Basis'!$C$5,2)</f>
        <v/>
      </c>
      <c r="O3611" s="10">
        <f>ROUND(J3611*'Irish Basis'!$C$7*'Irish Basis'!$C$5,2)</f>
        <v/>
      </c>
      <c r="P3611" s="10">
        <f>ROUND(K3611*'Irish Basis'!$C$8*'Irish Basis'!$C$5,2)</f>
        <v/>
      </c>
      <c r="Q3611" s="10">
        <f>ROUND(L3611*'Irish Basis'!$C$12*'Irish Basis'!$C$5,2)</f>
        <v/>
      </c>
      <c r="R3611" s="11">
        <f>ROUND(SUM(N3611:Q3611),2)</f>
        <v/>
      </c>
      <c r="S3611" s="5" t="inlineStr">
        <is>
          <t>Stated build-up</t>
        </is>
      </c>
      <c r="T3611" s="12" t="inlineStr">
        <is>
          <t>High</t>
        </is>
      </c>
      <c r="U3611" s="8" t="n">
        <v>51.68</v>
      </c>
      <c r="V3611" s="13">
        <f>IF(U3611="","",ROUND(M3611-U3611,2))</f>
        <v/>
      </c>
      <c r="W3611" s="5" t="n"/>
      <c r="X3611" s="5" t="inlineStr">
        <is>
          <t>Labour + plant + material as published; reconciles to the published rate.</t>
        </is>
      </c>
    </row>
    <row r="3612" ht="13" customHeight="1">
      <c r="A3612" s="4" t="n">
        <v>5497</v>
      </c>
      <c r="B3612" s="5" t="inlineStr">
        <is>
          <t>IMG_0140</t>
        </is>
      </c>
      <c r="C3612" s="5" t="inlineStr">
        <is>
          <t>CLASS U: BRICKWORK, BLOCKWORK AND MASONRY</t>
        </is>
      </c>
      <c r="D3612" s="5" t="inlineStr">
        <is>
          <t>02 FACING BRICKWORK</t>
        </is>
      </c>
      <c r="E3612" s="5" t="inlineStr">
        <is>
          <t>Surface features</t>
        </is>
      </c>
      <c r="F3612" s="5" t="inlineStr">
        <is>
          <t>flat arches; standard stretcher-on-end; bullnosed special bricks; 103 mm x 215 mm high</t>
        </is>
      </c>
      <c r="G3612" s="6" t="inlineStr">
        <is>
          <t>m</t>
        </is>
      </c>
      <c r="H3612" s="7" t="n">
        <v>0.22</v>
      </c>
      <c r="I3612" s="8" t="n">
        <v>37.09</v>
      </c>
      <c r="J3612" s="8" t="n">
        <v>2.62</v>
      </c>
      <c r="K3612" s="8" t="n">
        <v>8.300000000000001</v>
      </c>
      <c r="L3612" s="8" t="n">
        <v>0</v>
      </c>
      <c r="M3612" s="9">
        <f>ROUND(SUM(I3612:L3612),2)</f>
        <v/>
      </c>
      <c r="N3612" s="10">
        <f>ROUND(I3612*'Irish Basis'!$C$6*'Irish Basis'!$C$5,2)</f>
        <v/>
      </c>
      <c r="O3612" s="10">
        <f>ROUND(J3612*'Irish Basis'!$C$7*'Irish Basis'!$C$5,2)</f>
        <v/>
      </c>
      <c r="P3612" s="10">
        <f>ROUND(K3612*'Irish Basis'!$C$8*'Irish Basis'!$C$5,2)</f>
        <v/>
      </c>
      <c r="Q3612" s="10">
        <f>ROUND(L3612*'Irish Basis'!$C$12*'Irish Basis'!$C$5,2)</f>
        <v/>
      </c>
      <c r="R3612" s="11">
        <f>ROUND(SUM(N3612:Q3612),2)</f>
        <v/>
      </c>
      <c r="S3612" s="5" t="inlineStr">
        <is>
          <t>Stated build-up</t>
        </is>
      </c>
      <c r="T3612" s="12" t="inlineStr">
        <is>
          <t>High</t>
        </is>
      </c>
      <c r="U3612" s="8" t="n">
        <v>48</v>
      </c>
      <c r="V3612" s="13">
        <f>IF(U3612="","",ROUND(M3612-U3612,2))</f>
        <v/>
      </c>
      <c r="W3612" s="5" t="n"/>
      <c r="X3612" s="5" t="inlineStr">
        <is>
          <t>Labour + plant + material as published; reconciles to the published rate.</t>
        </is>
      </c>
    </row>
    <row r="3613" ht="13" customHeight="1">
      <c r="A3613" s="4" t="n">
        <v>5498</v>
      </c>
      <c r="B3613" s="5" t="inlineStr">
        <is>
          <t>IMG_0140</t>
        </is>
      </c>
      <c r="C3613" s="5" t="inlineStr">
        <is>
          <t>CLASS U: BRICKWORK, BLOCKWORK AND MASONRY</t>
        </is>
      </c>
      <c r="D3613" s="5" t="inlineStr">
        <is>
          <t>02 FACING BRICKWORK</t>
        </is>
      </c>
      <c r="E3613" s="5" t="inlineStr">
        <is>
          <t>Surface features</t>
        </is>
      </c>
      <c r="F3613" s="5" t="inlineStr">
        <is>
          <t>segmental arches; single ring; standard bricks; 103 mm wide x 215 mm high</t>
        </is>
      </c>
      <c r="G3613" s="6" t="inlineStr">
        <is>
          <t>m</t>
        </is>
      </c>
      <c r="H3613" s="7" t="n">
        <v>0.37</v>
      </c>
      <c r="I3613" s="8" t="n">
        <v>62.38</v>
      </c>
      <c r="J3613" s="8" t="n">
        <v>4.39</v>
      </c>
      <c r="K3613" s="8" t="n">
        <v>13.79</v>
      </c>
      <c r="L3613" s="8" t="n">
        <v>0</v>
      </c>
      <c r="M3613" s="9">
        <f>ROUND(SUM(I3613:L3613),2)</f>
        <v/>
      </c>
      <c r="N3613" s="10">
        <f>ROUND(I3613*'Irish Basis'!$C$6*'Irish Basis'!$C$5,2)</f>
        <v/>
      </c>
      <c r="O3613" s="10">
        <f>ROUND(J3613*'Irish Basis'!$C$7*'Irish Basis'!$C$5,2)</f>
        <v/>
      </c>
      <c r="P3613" s="10">
        <f>ROUND(K3613*'Irish Basis'!$C$8*'Irish Basis'!$C$5,2)</f>
        <v/>
      </c>
      <c r="Q3613" s="10">
        <f>ROUND(L3613*'Irish Basis'!$C$12*'Irish Basis'!$C$5,2)</f>
        <v/>
      </c>
      <c r="R3613" s="11">
        <f>ROUND(SUM(N3613:Q3613),2)</f>
        <v/>
      </c>
      <c r="S3613" s="5" t="inlineStr">
        <is>
          <t>Stated build-up</t>
        </is>
      </c>
      <c r="T3613" s="12" t="inlineStr">
        <is>
          <t>High</t>
        </is>
      </c>
      <c r="U3613" s="8" t="n">
        <v>80.55</v>
      </c>
      <c r="V3613" s="13">
        <f>IF(U3613="","",ROUND(M3613-U3613,2))</f>
        <v/>
      </c>
      <c r="W3613" s="5" t="n"/>
      <c r="X3613" s="5" t="inlineStr">
        <is>
          <t>Labour + plant + material as published; reconciles to the published rate.</t>
        </is>
      </c>
    </row>
    <row r="3614" ht="13" customHeight="1">
      <c r="A3614" s="4" t="n">
        <v>5499</v>
      </c>
      <c r="B3614" s="5" t="inlineStr">
        <is>
          <t>IMG_0140</t>
        </is>
      </c>
      <c r="C3614" s="5" t="inlineStr">
        <is>
          <t>CLASS U: BRICKWORK, BLOCKWORK AND MASONRY</t>
        </is>
      </c>
      <c r="D3614" s="5" t="inlineStr">
        <is>
          <t>02 FACING BRICKWORK</t>
        </is>
      </c>
      <c r="E3614" s="5" t="inlineStr">
        <is>
          <t>Surface features</t>
        </is>
      </c>
      <c r="F3614" s="5" t="inlineStr">
        <is>
          <t>segmental arches; two ring; standard bricks; 103 mm wide x 440 mm high</t>
        </is>
      </c>
      <c r="G3614" s="6" t="inlineStr">
        <is>
          <t>m</t>
        </is>
      </c>
      <c r="H3614" s="7" t="n">
        <v>0.49</v>
      </c>
      <c r="I3614" s="8" t="n">
        <v>82.61</v>
      </c>
      <c r="J3614" s="8" t="n">
        <v>5.81</v>
      </c>
      <c r="K3614" s="8" t="n">
        <v>27.8</v>
      </c>
      <c r="L3614" s="8" t="n">
        <v>0</v>
      </c>
      <c r="M3614" s="9">
        <f>ROUND(SUM(I3614:L3614),2)</f>
        <v/>
      </c>
      <c r="N3614" s="10">
        <f>ROUND(I3614*'Irish Basis'!$C$6*'Irish Basis'!$C$5,2)</f>
        <v/>
      </c>
      <c r="O3614" s="10">
        <f>ROUND(J3614*'Irish Basis'!$C$7*'Irish Basis'!$C$5,2)</f>
        <v/>
      </c>
      <c r="P3614" s="10">
        <f>ROUND(K3614*'Irish Basis'!$C$8*'Irish Basis'!$C$5,2)</f>
        <v/>
      </c>
      <c r="Q3614" s="10">
        <f>ROUND(L3614*'Irish Basis'!$C$12*'Irish Basis'!$C$5,2)</f>
        <v/>
      </c>
      <c r="R3614" s="11">
        <f>ROUND(SUM(N3614:Q3614),2)</f>
        <v/>
      </c>
      <c r="S3614" s="5" t="inlineStr">
        <is>
          <t>Stated build-up</t>
        </is>
      </c>
      <c r="T3614" s="12" t="inlineStr">
        <is>
          <t>High</t>
        </is>
      </c>
      <c r="U3614" s="8" t="n">
        <v>116.23</v>
      </c>
      <c r="V3614" s="13">
        <f>IF(U3614="","",ROUND(M3614-U3614,2))</f>
        <v/>
      </c>
      <c r="W3614" s="5" t="n"/>
      <c r="X3614" s="5" t="inlineStr">
        <is>
          <t>Labour + plant + material as published; reconciles to the published rate.</t>
        </is>
      </c>
    </row>
    <row r="3615" ht="13" customHeight="1">
      <c r="A3615" s="4" t="n">
        <v>5500</v>
      </c>
      <c r="B3615" s="5" t="inlineStr">
        <is>
          <t>IMG_0140</t>
        </is>
      </c>
      <c r="C3615" s="5" t="inlineStr">
        <is>
          <t>CLASS U: BRICKWORK, BLOCKWORK AND MASONRY</t>
        </is>
      </c>
      <c r="D3615" s="5" t="inlineStr">
        <is>
          <t>02 FACING BRICKWORK</t>
        </is>
      </c>
      <c r="E3615" s="5" t="inlineStr">
        <is>
          <t>Surface features</t>
        </is>
      </c>
      <c r="F3615" s="5" t="inlineStr">
        <is>
          <t>segmental arches; cut voussoirs; 103 mm wide x 215 mm high</t>
        </is>
      </c>
      <c r="G3615" s="6" t="inlineStr">
        <is>
          <t>m</t>
        </is>
      </c>
      <c r="H3615" s="7" t="n">
        <v>0.39</v>
      </c>
      <c r="I3615" s="8" t="n">
        <v>65.75</v>
      </c>
      <c r="J3615" s="8" t="n">
        <v>4.63</v>
      </c>
      <c r="K3615" s="8" t="n">
        <v>33.67</v>
      </c>
      <c r="L3615" s="8" t="n">
        <v>0</v>
      </c>
      <c r="M3615" s="9">
        <f>ROUND(SUM(I3615:L3615),2)</f>
        <v/>
      </c>
      <c r="N3615" s="10">
        <f>ROUND(I3615*'Irish Basis'!$C$6*'Irish Basis'!$C$5,2)</f>
        <v/>
      </c>
      <c r="O3615" s="10">
        <f>ROUND(J3615*'Irish Basis'!$C$7*'Irish Basis'!$C$5,2)</f>
        <v/>
      </c>
      <c r="P3615" s="10">
        <f>ROUND(K3615*'Irish Basis'!$C$8*'Irish Basis'!$C$5,2)</f>
        <v/>
      </c>
      <c r="Q3615" s="10">
        <f>ROUND(L3615*'Irish Basis'!$C$12*'Irish Basis'!$C$5,2)</f>
        <v/>
      </c>
      <c r="R3615" s="11">
        <f>ROUND(SUM(N3615:Q3615),2)</f>
        <v/>
      </c>
      <c r="S3615" s="5" t="inlineStr">
        <is>
          <t>Stated build-up</t>
        </is>
      </c>
      <c r="T3615" s="12" t="inlineStr">
        <is>
          <t>High</t>
        </is>
      </c>
      <c r="U3615" s="8" t="n">
        <v>104.05</v>
      </c>
      <c r="V3615" s="13">
        <f>IF(U3615="","",ROUND(M3615-U3615,2))</f>
        <v/>
      </c>
      <c r="W3615" s="5" t="n"/>
      <c r="X3615" s="5" t="inlineStr">
        <is>
          <t>Labour + plant + material as published; reconciles to the published rate.</t>
        </is>
      </c>
    </row>
    <row r="3616" ht="13" customHeight="1">
      <c r="A3616" s="4" t="n">
        <v>5501</v>
      </c>
      <c r="B3616" s="5" t="inlineStr">
        <is>
          <t>IMG_0140</t>
        </is>
      </c>
      <c r="C3616" s="5" t="inlineStr">
        <is>
          <t>CLASS U: BRICKWORK, BLOCKWORK AND MASONRY</t>
        </is>
      </c>
      <c r="D3616" s="5" t="inlineStr">
        <is>
          <t>02 FACING BRICKWORK</t>
        </is>
      </c>
      <c r="E3616" s="5" t="inlineStr">
        <is>
          <t>Surface features</t>
        </is>
      </c>
      <c r="F3616" s="5" t="inlineStr">
        <is>
          <t>rebates</t>
        </is>
      </c>
      <c r="G3616" s="6" t="inlineStr">
        <is>
          <t>m</t>
        </is>
      </c>
      <c r="H3616" s="7" t="n">
        <v>0.33</v>
      </c>
      <c r="I3616" s="8" t="n">
        <v>55.63</v>
      </c>
      <c r="J3616" s="8" t="n">
        <v>3.91</v>
      </c>
      <c r="K3616" s="8" t="n">
        <v>0</v>
      </c>
      <c r="L3616" s="8" t="n">
        <v>0</v>
      </c>
      <c r="M3616" s="9">
        <f>ROUND(SUM(I3616:L3616),2)</f>
        <v/>
      </c>
      <c r="N3616" s="10">
        <f>ROUND(I3616*'Irish Basis'!$C$6*'Irish Basis'!$C$5,2)</f>
        <v/>
      </c>
      <c r="O3616" s="10">
        <f>ROUND(J3616*'Irish Basis'!$C$7*'Irish Basis'!$C$5,2)</f>
        <v/>
      </c>
      <c r="P3616" s="10">
        <f>ROUND(K3616*'Irish Basis'!$C$8*'Irish Basis'!$C$5,2)</f>
        <v/>
      </c>
      <c r="Q3616" s="10">
        <f>ROUND(L3616*'Irish Basis'!$C$12*'Irish Basis'!$C$5,2)</f>
        <v/>
      </c>
      <c r="R3616" s="11">
        <f>ROUND(SUM(N3616:Q3616),2)</f>
        <v/>
      </c>
      <c r="S3616" s="5" t="inlineStr">
        <is>
          <t>Stated build-up</t>
        </is>
      </c>
      <c r="T3616" s="12" t="inlineStr">
        <is>
          <t>High</t>
        </is>
      </c>
      <c r="U3616" s="8" t="n">
        <v>59.55</v>
      </c>
      <c r="V3616" s="13">
        <f>IF(U3616="","",ROUND(M3616-U3616,2))</f>
        <v/>
      </c>
      <c r="W3616" s="5" t="n"/>
      <c r="X3616" s="5" t="inlineStr">
        <is>
          <t>Labour + plant + material as published; reconciles to the published rate.</t>
        </is>
      </c>
    </row>
    <row r="3617" ht="13" customHeight="1">
      <c r="A3617" s="4" t="n">
        <v>5502</v>
      </c>
      <c r="B3617" s="5" t="inlineStr">
        <is>
          <t>IMG_0140</t>
        </is>
      </c>
      <c r="C3617" s="5" t="inlineStr">
        <is>
          <t>CLASS U: BRICKWORK, BLOCKWORK AND MASONRY</t>
        </is>
      </c>
      <c r="D3617" s="5" t="inlineStr">
        <is>
          <t>02 FACING BRICKWORK</t>
        </is>
      </c>
      <c r="E3617" s="5" t="inlineStr">
        <is>
          <t>Surface features</t>
        </is>
      </c>
      <c r="F3617" s="5" t="inlineStr">
        <is>
          <t>chases</t>
        </is>
      </c>
      <c r="G3617" s="6" t="inlineStr">
        <is>
          <t>m</t>
        </is>
      </c>
      <c r="H3617" s="7" t="n">
        <v>0.37</v>
      </c>
      <c r="I3617" s="8" t="n">
        <v>62.38</v>
      </c>
      <c r="J3617" s="8" t="n">
        <v>4.39</v>
      </c>
      <c r="K3617" s="8" t="n">
        <v>0</v>
      </c>
      <c r="L3617" s="8" t="n">
        <v>0</v>
      </c>
      <c r="M3617" s="9">
        <f>ROUND(SUM(I3617:L3617),2)</f>
        <v/>
      </c>
      <c r="N3617" s="10">
        <f>ROUND(I3617*'Irish Basis'!$C$6*'Irish Basis'!$C$5,2)</f>
        <v/>
      </c>
      <c r="O3617" s="10">
        <f>ROUND(J3617*'Irish Basis'!$C$7*'Irish Basis'!$C$5,2)</f>
        <v/>
      </c>
      <c r="P3617" s="10">
        <f>ROUND(K3617*'Irish Basis'!$C$8*'Irish Basis'!$C$5,2)</f>
        <v/>
      </c>
      <c r="Q3617" s="10">
        <f>ROUND(L3617*'Irish Basis'!$C$12*'Irish Basis'!$C$5,2)</f>
        <v/>
      </c>
      <c r="R3617" s="11">
        <f>ROUND(SUM(N3617:Q3617),2)</f>
        <v/>
      </c>
      <c r="S3617" s="5" t="inlineStr">
        <is>
          <t>Stated build-up</t>
        </is>
      </c>
      <c r="T3617" s="12" t="inlineStr">
        <is>
          <t>High</t>
        </is>
      </c>
      <c r="U3617" s="8" t="n">
        <v>66.77</v>
      </c>
      <c r="V3617" s="13">
        <f>IF(U3617="","",ROUND(M3617-U3617,2))</f>
        <v/>
      </c>
      <c r="W3617" s="5" t="n"/>
      <c r="X3617" s="5" t="inlineStr">
        <is>
          <t>Labour + plant + material as published; reconciles to the published rate.</t>
        </is>
      </c>
    </row>
    <row r="3618" ht="13" customHeight="1">
      <c r="A3618" s="4" t="n">
        <v>5503</v>
      </c>
      <c r="B3618" s="5" t="inlineStr">
        <is>
          <t>IMG_0140</t>
        </is>
      </c>
      <c r="C3618" s="5" t="inlineStr">
        <is>
          <t>CLASS U: BRICKWORK, BLOCKWORK AND MASONRY</t>
        </is>
      </c>
      <c r="D3618" s="5" t="inlineStr">
        <is>
          <t>02 FACING BRICKWORK</t>
        </is>
      </c>
      <c r="E3618" s="5" t="inlineStr">
        <is>
          <t>Surface features</t>
        </is>
      </c>
      <c r="F3618" s="5" t="inlineStr">
        <is>
          <t>cornices; maximum projection 103 mm; 215 mm wide</t>
        </is>
      </c>
      <c r="G3618" s="6" t="inlineStr">
        <is>
          <t>m</t>
        </is>
      </c>
      <c r="H3618" s="7" t="n">
        <v>0.37</v>
      </c>
      <c r="I3618" s="8" t="n">
        <v>62.38</v>
      </c>
      <c r="J3618" s="8" t="n">
        <v>4.39</v>
      </c>
      <c r="K3618" s="8" t="n">
        <v>14.37</v>
      </c>
      <c r="L3618" s="8" t="n">
        <v>0</v>
      </c>
      <c r="M3618" s="9">
        <f>ROUND(SUM(I3618:L3618),2)</f>
        <v/>
      </c>
      <c r="N3618" s="10">
        <f>ROUND(I3618*'Irish Basis'!$C$6*'Irish Basis'!$C$5,2)</f>
        <v/>
      </c>
      <c r="O3618" s="10">
        <f>ROUND(J3618*'Irish Basis'!$C$7*'Irish Basis'!$C$5,2)</f>
        <v/>
      </c>
      <c r="P3618" s="10">
        <f>ROUND(K3618*'Irish Basis'!$C$8*'Irish Basis'!$C$5,2)</f>
        <v/>
      </c>
      <c r="Q3618" s="10">
        <f>ROUND(L3618*'Irish Basis'!$C$12*'Irish Basis'!$C$5,2)</f>
        <v/>
      </c>
      <c r="R3618" s="11">
        <f>ROUND(SUM(N3618:Q3618),2)</f>
        <v/>
      </c>
      <c r="S3618" s="5" t="inlineStr">
        <is>
          <t>Stated build-up</t>
        </is>
      </c>
      <c r="T3618" s="12" t="inlineStr">
        <is>
          <t>High</t>
        </is>
      </c>
      <c r="U3618" s="8" t="n">
        <v>81.14</v>
      </c>
      <c r="V3618" s="13">
        <f>IF(U3618="","",ROUND(M3618-U3618,2))</f>
        <v/>
      </c>
      <c r="W3618" s="5" t="n"/>
      <c r="X3618" s="5" t="inlineStr">
        <is>
          <t>Labour + plant + material as published; reconciles to the published rate.</t>
        </is>
      </c>
    </row>
    <row r="3619" ht="13" customHeight="1">
      <c r="A3619" s="4" t="n">
        <v>5504</v>
      </c>
      <c r="B3619" s="5" t="inlineStr">
        <is>
          <t>IMG_0140</t>
        </is>
      </c>
      <c r="C3619" s="5" t="inlineStr">
        <is>
          <t>CLASS U: BRICKWORK, BLOCKWORK AND MASONRY</t>
        </is>
      </c>
      <c r="D3619" s="5" t="inlineStr">
        <is>
          <t>02 FACING BRICKWORK</t>
        </is>
      </c>
      <c r="E3619" s="5" t="inlineStr">
        <is>
          <t>Surface features</t>
        </is>
      </c>
      <c r="F3619" s="5" t="inlineStr">
        <is>
          <t>band courses; projection 113 mm; 215 mm wide</t>
        </is>
      </c>
      <c r="G3619" s="6" t="inlineStr">
        <is>
          <t>m</t>
        </is>
      </c>
      <c r="H3619" s="7" t="n">
        <v>0.06</v>
      </c>
      <c r="I3619" s="8" t="n">
        <v>10.12</v>
      </c>
      <c r="J3619" s="8" t="n">
        <v>0.65</v>
      </c>
      <c r="K3619" s="8" t="n">
        <v>0</v>
      </c>
      <c r="L3619" s="8" t="n">
        <v>0</v>
      </c>
      <c r="M3619" s="9">
        <f>ROUND(SUM(I3619:L3619),2)</f>
        <v/>
      </c>
      <c r="N3619" s="10">
        <f>ROUND(I3619*'Irish Basis'!$C$6*'Irish Basis'!$C$5,2)</f>
        <v/>
      </c>
      <c r="O3619" s="10">
        <f>ROUND(J3619*'Irish Basis'!$C$7*'Irish Basis'!$C$5,2)</f>
        <v/>
      </c>
      <c r="P3619" s="10">
        <f>ROUND(K3619*'Irish Basis'!$C$8*'Irish Basis'!$C$5,2)</f>
        <v/>
      </c>
      <c r="Q3619" s="10">
        <f>ROUND(L3619*'Irish Basis'!$C$12*'Irish Basis'!$C$5,2)</f>
        <v/>
      </c>
      <c r="R3619" s="11">
        <f>ROUND(SUM(N3619:Q3619),2)</f>
        <v/>
      </c>
      <c r="S3619" s="5" t="inlineStr">
        <is>
          <t>Stated build-up</t>
        </is>
      </c>
      <c r="T3619" s="12" t="inlineStr">
        <is>
          <t>High</t>
        </is>
      </c>
      <c r="U3619" s="8" t="n">
        <v>10.77</v>
      </c>
      <c r="V3619" s="13">
        <f>IF(U3619="","",ROUND(M3619-U3619,2))</f>
        <v/>
      </c>
      <c r="W3619" s="5" t="n"/>
      <c r="X3619" s="5" t="inlineStr">
        <is>
          <t>Labour + plant + material as published; reconciles to the published rate.</t>
        </is>
      </c>
    </row>
    <row r="3620" ht="13" customHeight="1">
      <c r="A3620" s="4" t="n">
        <v>5505</v>
      </c>
      <c r="B3620" s="5" t="inlineStr">
        <is>
          <t>IMG_0140</t>
        </is>
      </c>
      <c r="C3620" s="5" t="inlineStr">
        <is>
          <t>CLASS U: BRICKWORK, BLOCKWORK AND MASONRY</t>
        </is>
      </c>
      <c r="D3620" s="5" t="inlineStr">
        <is>
          <t>02 FACING BRICKWORK</t>
        </is>
      </c>
      <c r="E3620" s="5" t="inlineStr">
        <is>
          <t>Surface features</t>
        </is>
      </c>
      <c r="F3620" s="5" t="inlineStr">
        <is>
          <t>corbels; maximum projection 113 mm; 215 mm wide</t>
        </is>
      </c>
      <c r="G3620" s="6" t="inlineStr">
        <is>
          <t>m</t>
        </is>
      </c>
      <c r="H3620" s="7" t="n">
        <v>0.37</v>
      </c>
      <c r="I3620" s="8" t="n">
        <v>62.38</v>
      </c>
      <c r="J3620" s="8" t="n">
        <v>4.39</v>
      </c>
      <c r="K3620" s="8" t="n">
        <v>14.37</v>
      </c>
      <c r="L3620" s="8" t="n">
        <v>0</v>
      </c>
      <c r="M3620" s="9">
        <f>ROUND(SUM(I3620:L3620),2)</f>
        <v/>
      </c>
      <c r="N3620" s="10">
        <f>ROUND(I3620*'Irish Basis'!$C$6*'Irish Basis'!$C$5,2)</f>
        <v/>
      </c>
      <c r="O3620" s="10">
        <f>ROUND(J3620*'Irish Basis'!$C$7*'Irish Basis'!$C$5,2)</f>
        <v/>
      </c>
      <c r="P3620" s="10">
        <f>ROUND(K3620*'Irish Basis'!$C$8*'Irish Basis'!$C$5,2)</f>
        <v/>
      </c>
      <c r="Q3620" s="10">
        <f>ROUND(L3620*'Irish Basis'!$C$12*'Irish Basis'!$C$5,2)</f>
        <v/>
      </c>
      <c r="R3620" s="11">
        <f>ROUND(SUM(N3620:Q3620),2)</f>
        <v/>
      </c>
      <c r="S3620" s="5" t="inlineStr">
        <is>
          <t>Stated build-up</t>
        </is>
      </c>
      <c r="T3620" s="12" t="inlineStr">
        <is>
          <t>High</t>
        </is>
      </c>
      <c r="U3620" s="8" t="n">
        <v>81.14</v>
      </c>
      <c r="V3620" s="13">
        <f>IF(U3620="","",ROUND(M3620-U3620,2))</f>
        <v/>
      </c>
      <c r="W3620" s="5" t="n"/>
      <c r="X3620" s="5" t="inlineStr">
        <is>
          <t>Labour + plant + material as published; reconciles to the published rate.</t>
        </is>
      </c>
    </row>
    <row r="3621" ht="13" customHeight="1">
      <c r="A3621" s="4" t="n">
        <v>5506</v>
      </c>
      <c r="B3621" s="5" t="inlineStr">
        <is>
          <t>IMG_0140</t>
        </is>
      </c>
      <c r="C3621" s="5" t="inlineStr">
        <is>
          <t>CLASS U: BRICKWORK, BLOCKWORK AND MASONRY</t>
        </is>
      </c>
      <c r="D3621" s="5" t="inlineStr">
        <is>
          <t>02 FACING BRICKWORK</t>
        </is>
      </c>
      <c r="E3621" s="5" t="inlineStr">
        <is>
          <t>Surface features</t>
        </is>
      </c>
      <c r="F3621" s="5" t="inlineStr">
        <is>
          <t>pilasters; 328 mm wide x 113 mm projection</t>
        </is>
      </c>
      <c r="G3621" s="6" t="inlineStr">
        <is>
          <t>m</t>
        </is>
      </c>
      <c r="H3621" s="7" t="n">
        <v>0.05</v>
      </c>
      <c r="I3621" s="8" t="n">
        <v>8.43</v>
      </c>
      <c r="J3621" s="8" t="n">
        <v>0.59</v>
      </c>
      <c r="K3621" s="8" t="n">
        <v>30.14</v>
      </c>
      <c r="L3621" s="8" t="n">
        <v>0</v>
      </c>
      <c r="M3621" s="9">
        <f>ROUND(SUM(I3621:L3621),2)</f>
        <v/>
      </c>
      <c r="N3621" s="10">
        <f>ROUND(I3621*'Irish Basis'!$C$6*'Irish Basis'!$C$5,2)</f>
        <v/>
      </c>
      <c r="O3621" s="10">
        <f>ROUND(J3621*'Irish Basis'!$C$7*'Irish Basis'!$C$5,2)</f>
        <v/>
      </c>
      <c r="P3621" s="10">
        <f>ROUND(K3621*'Irish Basis'!$C$8*'Irish Basis'!$C$5,2)</f>
        <v/>
      </c>
      <c r="Q3621" s="10">
        <f>ROUND(L3621*'Irish Basis'!$C$12*'Irish Basis'!$C$5,2)</f>
        <v/>
      </c>
      <c r="R3621" s="11">
        <f>ROUND(SUM(N3621:Q3621),2)</f>
        <v/>
      </c>
      <c r="S3621" s="5" t="inlineStr">
        <is>
          <t>Stated build-up</t>
        </is>
      </c>
      <c r="T3621" s="12" t="inlineStr">
        <is>
          <t>High</t>
        </is>
      </c>
      <c r="U3621" s="8" t="n">
        <v>39.16</v>
      </c>
      <c r="V3621" s="13">
        <f>IF(U3621="","",ROUND(M3621-U3621,2))</f>
        <v/>
      </c>
      <c r="W3621" s="5" t="n"/>
      <c r="X3621" s="5" t="inlineStr">
        <is>
          <t>Labour + plant + material as published; reconciles to the published rate.</t>
        </is>
      </c>
    </row>
    <row r="3622" ht="13" customHeight="1">
      <c r="A3622" s="4" t="n">
        <v>5507</v>
      </c>
      <c r="B3622" s="5" t="inlineStr">
        <is>
          <t>IMG_0140</t>
        </is>
      </c>
      <c r="C3622" s="5" t="inlineStr">
        <is>
          <t>CLASS U: BRICKWORK, BLOCKWORK AND MASONRY</t>
        </is>
      </c>
      <c r="D3622" s="5" t="inlineStr">
        <is>
          <t>02 FACING BRICKWORK</t>
        </is>
      </c>
      <c r="E3622" s="5" t="inlineStr">
        <is>
          <t>Surface features</t>
        </is>
      </c>
      <c r="F3622" s="5" t="inlineStr">
        <is>
          <t>pilasters; 440 mm wide x 215 mm projection</t>
        </is>
      </c>
      <c r="G3622" s="6" t="inlineStr">
        <is>
          <t>m</t>
        </is>
      </c>
      <c r="H3622" s="7" t="n">
        <v>0.06</v>
      </c>
      <c r="I3622" s="8" t="n">
        <v>10.12</v>
      </c>
      <c r="J3622" s="8" t="n">
        <v>0.65</v>
      </c>
      <c r="K3622" s="8" t="n">
        <v>67.88</v>
      </c>
      <c r="L3622" s="8" t="n">
        <v>0</v>
      </c>
      <c r="M3622" s="9">
        <f>ROUND(SUM(I3622:L3622),2)</f>
        <v/>
      </c>
      <c r="N3622" s="10">
        <f>ROUND(I3622*'Irish Basis'!$C$6*'Irish Basis'!$C$5,2)</f>
        <v/>
      </c>
      <c r="O3622" s="10">
        <f>ROUND(J3622*'Irish Basis'!$C$7*'Irish Basis'!$C$5,2)</f>
        <v/>
      </c>
      <c r="P3622" s="10">
        <f>ROUND(K3622*'Irish Basis'!$C$8*'Irish Basis'!$C$5,2)</f>
        <v/>
      </c>
      <c r="Q3622" s="10">
        <f>ROUND(L3622*'Irish Basis'!$C$12*'Irish Basis'!$C$5,2)</f>
        <v/>
      </c>
      <c r="R3622" s="11">
        <f>ROUND(SUM(N3622:Q3622),2)</f>
        <v/>
      </c>
      <c r="S3622" s="5" t="inlineStr">
        <is>
          <t>Stated build-up</t>
        </is>
      </c>
      <c r="T3622" s="12" t="inlineStr">
        <is>
          <t>High</t>
        </is>
      </c>
      <c r="U3622" s="8" t="n">
        <v>78.65000000000001</v>
      </c>
      <c r="V3622" s="13">
        <f>IF(U3622="","",ROUND(M3622-U3622,2))</f>
        <v/>
      </c>
      <c r="W3622" s="5" t="n"/>
      <c r="X3622" s="5" t="inlineStr">
        <is>
          <t>Labour + plant + material as published; reconciles to the published rate.</t>
        </is>
      </c>
    </row>
    <row r="3623" ht="13" customHeight="1">
      <c r="A3623" s="4" t="n">
        <v>5508</v>
      </c>
      <c r="B3623" s="5" t="inlineStr">
        <is>
          <t>IMG_0140</t>
        </is>
      </c>
      <c r="C3623" s="5" t="inlineStr">
        <is>
          <t>CLASS U: BRICKWORK, BLOCKWORK AND MASONRY</t>
        </is>
      </c>
      <c r="D3623" s="5" t="inlineStr">
        <is>
          <t>02 FACING BRICKWORK</t>
        </is>
      </c>
      <c r="E3623" s="5" t="inlineStr">
        <is>
          <t>Surface features</t>
        </is>
      </c>
      <c r="F3623" s="5" t="inlineStr">
        <is>
          <t>plinths; projection 113 mm x 900 mm wide</t>
        </is>
      </c>
      <c r="G3623" s="6" t="inlineStr">
        <is>
          <t>m</t>
        </is>
      </c>
      <c r="H3623" s="7" t="n">
        <v>0.24</v>
      </c>
      <c r="I3623" s="8" t="n">
        <v>40.46</v>
      </c>
      <c r="J3623" s="8" t="n">
        <v>2.85</v>
      </c>
      <c r="K3623" s="8" t="n">
        <v>61.15</v>
      </c>
      <c r="L3623" s="8" t="n">
        <v>0</v>
      </c>
      <c r="M3623" s="9">
        <f>ROUND(SUM(I3623:L3623),2)</f>
        <v/>
      </c>
      <c r="N3623" s="10">
        <f>ROUND(I3623*'Irish Basis'!$C$6*'Irish Basis'!$C$5,2)</f>
        <v/>
      </c>
      <c r="O3623" s="10">
        <f>ROUND(J3623*'Irish Basis'!$C$7*'Irish Basis'!$C$5,2)</f>
        <v/>
      </c>
      <c r="P3623" s="10">
        <f>ROUND(K3623*'Irish Basis'!$C$8*'Irish Basis'!$C$5,2)</f>
        <v/>
      </c>
      <c r="Q3623" s="10">
        <f>ROUND(L3623*'Irish Basis'!$C$12*'Irish Basis'!$C$5,2)</f>
        <v/>
      </c>
      <c r="R3623" s="11">
        <f>ROUND(SUM(N3623:Q3623),2)</f>
        <v/>
      </c>
      <c r="S3623" s="5" t="inlineStr">
        <is>
          <t>Stated build-up</t>
        </is>
      </c>
      <c r="T3623" s="12" t="inlineStr">
        <is>
          <t>High</t>
        </is>
      </c>
      <c r="U3623" s="8" t="n">
        <v>104.46</v>
      </c>
      <c r="V3623" s="13">
        <f>IF(U3623="","",ROUND(M3623-U3623,2))</f>
        <v/>
      </c>
      <c r="W3623" s="5" t="n"/>
      <c r="X3623" s="5" t="inlineStr">
        <is>
          <t>Labour + plant + material as published; reconciles to the published rate.</t>
        </is>
      </c>
    </row>
    <row r="3624" ht="13" customHeight="1">
      <c r="A3624" s="4" t="n">
        <v>5509</v>
      </c>
      <c r="B3624" s="5" t="inlineStr">
        <is>
          <t>IMG_0140</t>
        </is>
      </c>
      <c r="C3624" s="5" t="inlineStr">
        <is>
          <t>CLASS U: BRICKWORK, BLOCKWORK AND MASONRY</t>
        </is>
      </c>
      <c r="D3624" s="5" t="inlineStr">
        <is>
          <t>02 FACING BRICKWORK</t>
        </is>
      </c>
      <c r="E3624" s="5" t="inlineStr">
        <is>
          <t>Surface features</t>
        </is>
      </c>
      <c r="F3624" s="5" t="inlineStr">
        <is>
          <t>fair facing; pointing as work proceeds</t>
        </is>
      </c>
      <c r="G3624" s="6" t="inlineStr">
        <is>
          <t>m2</t>
        </is>
      </c>
      <c r="H3624" s="7" t="n">
        <v>0.06</v>
      </c>
      <c r="I3624" s="8" t="n">
        <v>10.12</v>
      </c>
      <c r="J3624" s="8" t="n">
        <v>0.72</v>
      </c>
      <c r="K3624" s="8" t="n">
        <v>0</v>
      </c>
      <c r="L3624" s="8" t="n">
        <v>0</v>
      </c>
      <c r="M3624" s="9">
        <f>ROUND(SUM(I3624:L3624),2)</f>
        <v/>
      </c>
      <c r="N3624" s="10">
        <f>ROUND(I3624*'Irish Basis'!$C$6*'Irish Basis'!$C$5,2)</f>
        <v/>
      </c>
      <c r="O3624" s="10">
        <f>ROUND(J3624*'Irish Basis'!$C$7*'Irish Basis'!$C$5,2)</f>
        <v/>
      </c>
      <c r="P3624" s="10">
        <f>ROUND(K3624*'Irish Basis'!$C$8*'Irish Basis'!$C$5,2)</f>
        <v/>
      </c>
      <c r="Q3624" s="10">
        <f>ROUND(L3624*'Irish Basis'!$C$12*'Irish Basis'!$C$5,2)</f>
        <v/>
      </c>
      <c r="R3624" s="11">
        <f>ROUND(SUM(N3624:Q3624),2)</f>
        <v/>
      </c>
      <c r="S3624" s="5" t="inlineStr">
        <is>
          <t>Stated build-up</t>
        </is>
      </c>
      <c r="T3624" s="12" t="inlineStr">
        <is>
          <t>High</t>
        </is>
      </c>
      <c r="U3624" s="8" t="n">
        <v>10.83</v>
      </c>
      <c r="V3624" s="13">
        <f>IF(U3624="","",ROUND(M3624-U3624,2))</f>
        <v/>
      </c>
      <c r="W3624" s="5" t="n"/>
      <c r="X3624" s="5" t="inlineStr">
        <is>
          <t>Labour + plant + material as published; reconciles to the published rate.</t>
        </is>
      </c>
    </row>
    <row r="3625" ht="13" customHeight="1">
      <c r="A3625" s="4" t="n">
        <v>5511</v>
      </c>
      <c r="B3625" s="5" t="inlineStr">
        <is>
          <t>IMG_0140</t>
        </is>
      </c>
      <c r="C3625" s="5" t="inlineStr">
        <is>
          <t>CLASS U: BRICKWORK, BLOCKWORK AND MASONRY</t>
        </is>
      </c>
      <c r="D3625" s="5" t="inlineStr">
        <is>
          <t>02 FACING BRICKWORK</t>
        </is>
      </c>
      <c r="E3625" s="5" t="inlineStr">
        <is>
          <t>Ancillaries</t>
        </is>
      </c>
      <c r="F3625" s="5" t="inlineStr">
        <is>
          <t>bonds to existing work; to brickwork</t>
        </is>
      </c>
      <c r="G3625" s="6" t="inlineStr">
        <is>
          <t>m2</t>
        </is>
      </c>
      <c r="H3625" s="7" t="n">
        <v>1.5</v>
      </c>
      <c r="I3625" s="8" t="n">
        <v>252.88</v>
      </c>
      <c r="J3625" s="8" t="n">
        <v>17.81</v>
      </c>
      <c r="K3625" s="8" t="n">
        <v>17.77</v>
      </c>
      <c r="L3625" s="8" t="n">
        <v>0</v>
      </c>
      <c r="M3625" s="9">
        <f>ROUND(SUM(I3625:L3625),2)</f>
        <v/>
      </c>
      <c r="N3625" s="10">
        <f>ROUND(I3625*'Irish Basis'!$C$6*'Irish Basis'!$C$5,2)</f>
        <v/>
      </c>
      <c r="O3625" s="10">
        <f>ROUND(J3625*'Irish Basis'!$C$7*'Irish Basis'!$C$5,2)</f>
        <v/>
      </c>
      <c r="P3625" s="10">
        <f>ROUND(K3625*'Irish Basis'!$C$8*'Irish Basis'!$C$5,2)</f>
        <v/>
      </c>
      <c r="Q3625" s="10">
        <f>ROUND(L3625*'Irish Basis'!$C$12*'Irish Basis'!$C$5,2)</f>
        <v/>
      </c>
      <c r="R3625" s="11">
        <f>ROUND(SUM(N3625:Q3625),2)</f>
        <v/>
      </c>
      <c r="S3625" s="5" t="inlineStr">
        <is>
          <t>Stated build-up</t>
        </is>
      </c>
      <c r="T3625" s="12" t="inlineStr">
        <is>
          <t>High</t>
        </is>
      </c>
      <c r="U3625" s="8" t="n">
        <v>288.46</v>
      </c>
      <c r="V3625" s="13">
        <f>IF(U3625="","",ROUND(M3625-U3625,2))</f>
        <v/>
      </c>
      <c r="W3625" s="5" t="n"/>
      <c r="X3625" s="5" t="inlineStr">
        <is>
          <t>Labour + plant + material as published; reconciles to the published rate.</t>
        </is>
      </c>
    </row>
    <row r="3626" ht="13" customHeight="1">
      <c r="A3626" s="4" t="n">
        <v>5512</v>
      </c>
      <c r="B3626" s="5" t="inlineStr">
        <is>
          <t>IMG_0140</t>
        </is>
      </c>
      <c r="C3626" s="5" t="inlineStr">
        <is>
          <t>CLASS U: BRICKWORK, BLOCKWORK AND MASONRY</t>
        </is>
      </c>
      <c r="D3626" s="5" t="inlineStr">
        <is>
          <t>02 FACING BRICKWORK</t>
        </is>
      </c>
      <c r="E3626" s="5" t="inlineStr">
        <is>
          <t>Ancillaries</t>
        </is>
      </c>
      <c r="F3626" s="5" t="inlineStr">
        <is>
          <t>built-in pipes and ducts, cross-sectional area not exceeding 0.05 m2; excluding supply; brickwork half brick thick</t>
        </is>
      </c>
      <c r="G3626" s="6" t="inlineStr">
        <is>
          <t>nr</t>
        </is>
      </c>
      <c r="H3626" s="7" t="n">
        <v>0.1</v>
      </c>
      <c r="I3626" s="8" t="n">
        <v>16.86</v>
      </c>
      <c r="J3626" s="8" t="n">
        <v>1.13</v>
      </c>
      <c r="K3626" s="8" t="n">
        <v>1.49</v>
      </c>
      <c r="L3626" s="8" t="n">
        <v>0</v>
      </c>
      <c r="M3626" s="9">
        <f>ROUND(SUM(I3626:L3626),2)</f>
        <v/>
      </c>
      <c r="N3626" s="10">
        <f>ROUND(I3626*'Irish Basis'!$C$6*'Irish Basis'!$C$5,2)</f>
        <v/>
      </c>
      <c r="O3626" s="10">
        <f>ROUND(J3626*'Irish Basis'!$C$7*'Irish Basis'!$C$5,2)</f>
        <v/>
      </c>
      <c r="P3626" s="10">
        <f>ROUND(K3626*'Irish Basis'!$C$8*'Irish Basis'!$C$5,2)</f>
        <v/>
      </c>
      <c r="Q3626" s="10">
        <f>ROUND(L3626*'Irish Basis'!$C$12*'Irish Basis'!$C$5,2)</f>
        <v/>
      </c>
      <c r="R3626" s="11">
        <f>ROUND(SUM(N3626:Q3626),2)</f>
        <v/>
      </c>
      <c r="S3626" s="5" t="inlineStr">
        <is>
          <t>Stated build-up</t>
        </is>
      </c>
      <c r="T3626" s="12" t="inlineStr">
        <is>
          <t>High</t>
        </is>
      </c>
      <c r="U3626" s="8" t="n">
        <v>19.48</v>
      </c>
      <c r="V3626" s="13">
        <f>IF(U3626="","",ROUND(M3626-U3626,2))</f>
        <v/>
      </c>
      <c r="W3626" s="5" t="n"/>
      <c r="X3626" s="5" t="inlineStr">
        <is>
          <t>Labour + plant + material as published; reconciles to the published rate.</t>
        </is>
      </c>
    </row>
    <row r="3627" ht="13" customHeight="1">
      <c r="A3627" s="4" t="n">
        <v>5513</v>
      </c>
      <c r="B3627" s="5" t="inlineStr">
        <is>
          <t>IMG_0140</t>
        </is>
      </c>
      <c r="C3627" s="5" t="inlineStr">
        <is>
          <t>CLASS U: BRICKWORK, BLOCKWORK AND MASONRY</t>
        </is>
      </c>
      <c r="D3627" s="5" t="inlineStr">
        <is>
          <t>02 FACING BRICKWORK</t>
        </is>
      </c>
      <c r="E3627" s="5" t="inlineStr">
        <is>
          <t>Ancillaries</t>
        </is>
      </c>
      <c r="F3627" s="5" t="inlineStr">
        <is>
          <t>built-in pipes and ducts, cross-sectional area not exceeding 0.05 m2; excluding supply; brickwork one brick thick</t>
        </is>
      </c>
      <c r="G3627" s="6" t="inlineStr">
        <is>
          <t>nr</t>
        </is>
      </c>
      <c r="H3627" s="7" t="n">
        <v>0.15</v>
      </c>
      <c r="I3627" s="8" t="n">
        <v>25.29</v>
      </c>
      <c r="J3627" s="8" t="n">
        <v>1.33</v>
      </c>
      <c r="K3627" s="8" t="n">
        <v>2.64</v>
      </c>
      <c r="L3627" s="8" t="n">
        <v>0</v>
      </c>
      <c r="M3627" s="9">
        <f>ROUND(SUM(I3627:L3627),2)</f>
        <v/>
      </c>
      <c r="N3627" s="10">
        <f>ROUND(I3627*'Irish Basis'!$C$6*'Irish Basis'!$C$5,2)</f>
        <v/>
      </c>
      <c r="O3627" s="10">
        <f>ROUND(J3627*'Irish Basis'!$C$7*'Irish Basis'!$C$5,2)</f>
        <v/>
      </c>
      <c r="P3627" s="10">
        <f>ROUND(K3627*'Irish Basis'!$C$8*'Irish Basis'!$C$5,2)</f>
        <v/>
      </c>
      <c r="Q3627" s="10">
        <f>ROUND(L3627*'Irish Basis'!$C$12*'Irish Basis'!$C$5,2)</f>
        <v/>
      </c>
      <c r="R3627" s="11">
        <f>ROUND(SUM(N3627:Q3627),2)</f>
        <v/>
      </c>
      <c r="S3627" s="5" t="inlineStr">
        <is>
          <t>Stated build-up</t>
        </is>
      </c>
      <c r="T3627" s="12" t="inlineStr">
        <is>
          <t>High</t>
        </is>
      </c>
      <c r="U3627" s="8" t="n">
        <v>29.26</v>
      </c>
      <c r="V3627" s="13">
        <f>IF(U3627="","",ROUND(M3627-U3627,2))</f>
        <v/>
      </c>
      <c r="W3627" s="5" t="n"/>
      <c r="X3627" s="5" t="inlineStr">
        <is>
          <t>Labour + plant + material as published; reconciles to the published rate.</t>
        </is>
      </c>
    </row>
    <row r="3628" ht="13" customHeight="1">
      <c r="A3628" s="4" t="n">
        <v>5516</v>
      </c>
      <c r="B3628" s="5" t="inlineStr">
        <is>
          <t>IMG_0143</t>
        </is>
      </c>
      <c r="C3628" s="5" t="inlineStr">
        <is>
          <t>CLASS U: BRICKWORK, BLOCKWORK AND MASONRY</t>
        </is>
      </c>
      <c r="D3628" s="5" t="inlineStr">
        <is>
          <t>04 LIGHTWEIGHT BLOCKWORK (section inferred; heading falls in missing pages)</t>
        </is>
      </c>
      <c r="E3628" s="5" t="inlineStr">
        <is>
          <t>Thickness 140 mm (continued)</t>
        </is>
      </c>
      <c r="F3628" s="5" t="inlineStr">
        <is>
          <t>vertical curved walls</t>
        </is>
      </c>
      <c r="G3628" s="6" t="inlineStr">
        <is>
          <t>m2</t>
        </is>
      </c>
      <c r="H3628" s="7" t="n">
        <v>0.3</v>
      </c>
      <c r="I3628" s="8" t="n">
        <v>50.58</v>
      </c>
      <c r="J3628" s="8" t="n">
        <v>3.55</v>
      </c>
      <c r="K3628" s="8" t="n">
        <v>23.39</v>
      </c>
      <c r="L3628" s="8" t="n">
        <v>0</v>
      </c>
      <c r="M3628" s="9">
        <f>ROUND(SUM(I3628:L3628),2)</f>
        <v/>
      </c>
      <c r="N3628" s="10">
        <f>ROUND(I3628*'Irish Basis'!$C$6*'Irish Basis'!$C$5,2)</f>
        <v/>
      </c>
      <c r="O3628" s="10">
        <f>ROUND(J3628*'Irish Basis'!$C$7*'Irish Basis'!$C$5,2)</f>
        <v/>
      </c>
      <c r="P3628" s="10">
        <f>ROUND(K3628*'Irish Basis'!$C$8*'Irish Basis'!$C$5,2)</f>
        <v/>
      </c>
      <c r="Q3628" s="10">
        <f>ROUND(L3628*'Irish Basis'!$C$12*'Irish Basis'!$C$5,2)</f>
        <v/>
      </c>
      <c r="R3628" s="11">
        <f>ROUND(SUM(N3628:Q3628),2)</f>
        <v/>
      </c>
      <c r="S3628" s="5" t="inlineStr">
        <is>
          <t>Stated build-up</t>
        </is>
      </c>
      <c r="T3628" s="12" t="inlineStr">
        <is>
          <t>High</t>
        </is>
      </c>
      <c r="U3628" s="8" t="n">
        <v>77.51000000000001</v>
      </c>
      <c r="V3628" s="13">
        <f>IF(U3628="","",ROUND(M3628-U3628,2))</f>
        <v/>
      </c>
      <c r="W3628" s="5" t="n"/>
      <c r="X3628" s="5" t="inlineStr">
        <is>
          <t>Labour + plant + material as published; reconciles to the published rate.</t>
        </is>
      </c>
    </row>
    <row r="3629" ht="13" customHeight="1">
      <c r="A3629" s="4" t="n">
        <v>5517</v>
      </c>
      <c r="B3629" s="5" t="inlineStr">
        <is>
          <t>IMG_0143</t>
        </is>
      </c>
      <c r="C3629" s="5" t="inlineStr">
        <is>
          <t>CLASS U: BRICKWORK, BLOCKWORK AND MASONRY</t>
        </is>
      </c>
      <c r="D3629" s="5" t="inlineStr">
        <is>
          <t>04 LIGHTWEIGHT BLOCKWORK (section inferred; heading falls in missing pages)</t>
        </is>
      </c>
      <c r="E3629" s="5" t="inlineStr">
        <is>
          <t>Thickness 140 mm (continued)</t>
        </is>
      </c>
      <c r="F3629" s="5" t="inlineStr">
        <is>
          <t>vertical facework to concrete</t>
        </is>
      </c>
      <c r="G3629" s="6" t="inlineStr">
        <is>
          <t>m2</t>
        </is>
      </c>
      <c r="H3629" s="7" t="n">
        <v>0.23</v>
      </c>
      <c r="I3629" s="8" t="n">
        <v>38.78</v>
      </c>
      <c r="J3629" s="8" t="n">
        <v>2.75</v>
      </c>
      <c r="K3629" s="8" t="n">
        <v>27.49</v>
      </c>
      <c r="L3629" s="8" t="n">
        <v>0</v>
      </c>
      <c r="M3629" s="9">
        <f>ROUND(SUM(I3629:L3629),2)</f>
        <v/>
      </c>
      <c r="N3629" s="10">
        <f>ROUND(I3629*'Irish Basis'!$C$6*'Irish Basis'!$C$5,2)</f>
        <v/>
      </c>
      <c r="O3629" s="10">
        <f>ROUND(J3629*'Irish Basis'!$C$7*'Irish Basis'!$C$5,2)</f>
        <v/>
      </c>
      <c r="P3629" s="10">
        <f>ROUND(K3629*'Irish Basis'!$C$8*'Irish Basis'!$C$5,2)</f>
        <v/>
      </c>
      <c r="Q3629" s="10">
        <f>ROUND(L3629*'Irish Basis'!$C$12*'Irish Basis'!$C$5,2)</f>
        <v/>
      </c>
      <c r="R3629" s="11">
        <f>ROUND(SUM(N3629:Q3629),2)</f>
        <v/>
      </c>
      <c r="S3629" s="5" t="inlineStr">
        <is>
          <t>Stated build-up</t>
        </is>
      </c>
      <c r="T3629" s="12" t="inlineStr">
        <is>
          <t>High</t>
        </is>
      </c>
      <c r="U3629" s="8" t="n">
        <v>69.02</v>
      </c>
      <c r="V3629" s="13">
        <f>IF(U3629="","",ROUND(M3629-U3629,2))</f>
        <v/>
      </c>
      <c r="W3629" s="5" t="n"/>
      <c r="X3629" s="5" t="inlineStr">
        <is>
          <t>Labour + plant + material as published; reconciles to the published rate.</t>
        </is>
      </c>
    </row>
    <row r="3630" ht="13" customHeight="1">
      <c r="A3630" s="4" t="n">
        <v>5518</v>
      </c>
      <c r="B3630" s="5" t="inlineStr">
        <is>
          <t>IMG_0143</t>
        </is>
      </c>
      <c r="C3630" s="5" t="inlineStr">
        <is>
          <t>CLASS U: BRICKWORK, BLOCKWORK AND MASONRY</t>
        </is>
      </c>
      <c r="D3630" s="5" t="inlineStr">
        <is>
          <t>04 LIGHTWEIGHT BLOCKWORK (section inferred; heading falls in missing pages)</t>
        </is>
      </c>
      <c r="E3630" s="5" t="inlineStr">
        <is>
          <t>Thickness 140 mm (continued)</t>
        </is>
      </c>
      <c r="F3630" s="5" t="inlineStr">
        <is>
          <t>casing to metal sections</t>
        </is>
      </c>
      <c r="G3630" s="6" t="inlineStr">
        <is>
          <t>m2</t>
        </is>
      </c>
      <c r="H3630" s="7" t="n">
        <v>0.27</v>
      </c>
      <c r="I3630" s="8" t="n">
        <v>45.52</v>
      </c>
      <c r="J3630" s="8" t="n">
        <v>3.21</v>
      </c>
      <c r="K3630" s="8" t="n">
        <v>27.49</v>
      </c>
      <c r="L3630" s="8" t="n">
        <v>0</v>
      </c>
      <c r="M3630" s="9">
        <f>ROUND(SUM(I3630:L3630),2)</f>
        <v/>
      </c>
      <c r="N3630" s="10">
        <f>ROUND(I3630*'Irish Basis'!$C$6*'Irish Basis'!$C$5,2)</f>
        <v/>
      </c>
      <c r="O3630" s="10">
        <f>ROUND(J3630*'Irish Basis'!$C$7*'Irish Basis'!$C$5,2)</f>
        <v/>
      </c>
      <c r="P3630" s="10">
        <f>ROUND(K3630*'Irish Basis'!$C$8*'Irish Basis'!$C$5,2)</f>
        <v/>
      </c>
      <c r="Q3630" s="10">
        <f>ROUND(L3630*'Irish Basis'!$C$12*'Irish Basis'!$C$5,2)</f>
        <v/>
      </c>
      <c r="R3630" s="11">
        <f>ROUND(SUM(N3630:Q3630),2)</f>
        <v/>
      </c>
      <c r="S3630" s="5" t="inlineStr">
        <is>
          <t>Stated build-up</t>
        </is>
      </c>
      <c r="T3630" s="12" t="inlineStr">
        <is>
          <t>High</t>
        </is>
      </c>
      <c r="U3630" s="8" t="n">
        <v>76.20999999999999</v>
      </c>
      <c r="V3630" s="13">
        <f>IF(U3630="","",ROUND(M3630-U3630,2))</f>
        <v/>
      </c>
      <c r="W3630" s="5" t="n"/>
      <c r="X3630" s="5" t="inlineStr">
        <is>
          <t>Labour + plant + material as published; reconciles to the published rate.</t>
        </is>
      </c>
    </row>
    <row r="3631" ht="13" customHeight="1">
      <c r="A3631" s="4" t="n">
        <v>5520</v>
      </c>
      <c r="B3631" s="5" t="inlineStr">
        <is>
          <t>IMG_0143</t>
        </is>
      </c>
      <c r="C3631" s="5" t="inlineStr">
        <is>
          <t>CLASS U: BRICKWORK, BLOCKWORK AND MASONRY</t>
        </is>
      </c>
      <c r="D3631" s="5" t="inlineStr">
        <is>
          <t>04 LIGHTWEIGHT BLOCKWORK (section inferred; heading falls in missing pages)</t>
        </is>
      </c>
      <c r="E3631" s="5" t="inlineStr">
        <is>
          <t>Thickness 215 mm</t>
        </is>
      </c>
      <c r="F3631" s="5" t="inlineStr">
        <is>
          <t>vertical straight walls</t>
        </is>
      </c>
      <c r="G3631" s="6" t="inlineStr">
        <is>
          <t>m2</t>
        </is>
      </c>
      <c r="H3631" s="7" t="n">
        <v>0.28</v>
      </c>
      <c r="I3631" s="8" t="n">
        <v>47.2</v>
      </c>
      <c r="J3631" s="8" t="n">
        <v>3.26</v>
      </c>
      <c r="K3631" s="8" t="n">
        <v>33.88</v>
      </c>
      <c r="L3631" s="8" t="n">
        <v>0</v>
      </c>
      <c r="M3631" s="9">
        <f>ROUND(SUM(I3631:L3631),2)</f>
        <v/>
      </c>
      <c r="N3631" s="10">
        <f>ROUND(I3631*'Irish Basis'!$C$6*'Irish Basis'!$C$5,2)</f>
        <v/>
      </c>
      <c r="O3631" s="10">
        <f>ROUND(J3631*'Irish Basis'!$C$7*'Irish Basis'!$C$5,2)</f>
        <v/>
      </c>
      <c r="P3631" s="10">
        <f>ROUND(K3631*'Irish Basis'!$C$8*'Irish Basis'!$C$5,2)</f>
        <v/>
      </c>
      <c r="Q3631" s="10">
        <f>ROUND(L3631*'Irish Basis'!$C$12*'Irish Basis'!$C$5,2)</f>
        <v/>
      </c>
      <c r="R3631" s="11">
        <f>ROUND(SUM(N3631:Q3631),2)</f>
        <v/>
      </c>
      <c r="S3631" s="5" t="inlineStr">
        <is>
          <t>Stated build-up</t>
        </is>
      </c>
      <c r="T3631" s="12" t="inlineStr">
        <is>
          <t>High</t>
        </is>
      </c>
      <c r="U3631" s="8" t="n">
        <v>84.34999999999999</v>
      </c>
      <c r="V3631" s="13">
        <f>IF(U3631="","",ROUND(M3631-U3631,2))</f>
        <v/>
      </c>
      <c r="W3631" s="5" t="n"/>
      <c r="X3631" s="5" t="inlineStr">
        <is>
          <t>Labour + plant + material as published; reconciles to the published rate.</t>
        </is>
      </c>
    </row>
    <row r="3632" ht="13" customHeight="1">
      <c r="A3632" s="4" t="n">
        <v>5521</v>
      </c>
      <c r="B3632" s="5" t="inlineStr">
        <is>
          <t>IMG_0143</t>
        </is>
      </c>
      <c r="C3632" s="5" t="inlineStr">
        <is>
          <t>CLASS U: BRICKWORK, BLOCKWORK AND MASONRY</t>
        </is>
      </c>
      <c r="D3632" s="5" t="inlineStr">
        <is>
          <t>04 LIGHTWEIGHT BLOCKWORK (section inferred; heading falls in missing pages)</t>
        </is>
      </c>
      <c r="E3632" s="5" t="inlineStr">
        <is>
          <t>Thickness 215 mm</t>
        </is>
      </c>
      <c r="F3632" s="5" t="inlineStr">
        <is>
          <t>vertical curved walls</t>
        </is>
      </c>
      <c r="G3632" s="6" t="inlineStr">
        <is>
          <t>m2</t>
        </is>
      </c>
      <c r="H3632" s="7" t="n">
        <v>0.37</v>
      </c>
      <c r="I3632" s="8" t="n">
        <v>62.38</v>
      </c>
      <c r="J3632" s="8" t="n">
        <v>4.35</v>
      </c>
      <c r="K3632" s="8" t="n">
        <v>33.88</v>
      </c>
      <c r="L3632" s="8" t="n">
        <v>0</v>
      </c>
      <c r="M3632" s="9">
        <f>ROUND(SUM(I3632:L3632),2)</f>
        <v/>
      </c>
      <c r="N3632" s="10">
        <f>ROUND(I3632*'Irish Basis'!$C$6*'Irish Basis'!$C$5,2)</f>
        <v/>
      </c>
      <c r="O3632" s="10">
        <f>ROUND(J3632*'Irish Basis'!$C$7*'Irish Basis'!$C$5,2)</f>
        <v/>
      </c>
      <c r="P3632" s="10">
        <f>ROUND(K3632*'Irish Basis'!$C$8*'Irish Basis'!$C$5,2)</f>
        <v/>
      </c>
      <c r="Q3632" s="10">
        <f>ROUND(L3632*'Irish Basis'!$C$12*'Irish Basis'!$C$5,2)</f>
        <v/>
      </c>
      <c r="R3632" s="11">
        <f>ROUND(SUM(N3632:Q3632),2)</f>
        <v/>
      </c>
      <c r="S3632" s="5" t="inlineStr">
        <is>
          <t>Stated build-up</t>
        </is>
      </c>
      <c r="T3632" s="12" t="inlineStr">
        <is>
          <t>High</t>
        </is>
      </c>
      <c r="U3632" s="8" t="n">
        <v>100.6</v>
      </c>
      <c r="V3632" s="13">
        <f>IF(U3632="","",ROUND(M3632-U3632,2))</f>
        <v/>
      </c>
      <c r="W3632" s="5" t="n"/>
      <c r="X3632" s="5" t="inlineStr">
        <is>
          <t>Labour + plant + material as published; reconciles to the published rate.</t>
        </is>
      </c>
    </row>
    <row r="3633" ht="13" customHeight="1">
      <c r="A3633" s="4" t="n">
        <v>5522</v>
      </c>
      <c r="B3633" s="5" t="inlineStr">
        <is>
          <t>IMG_0143</t>
        </is>
      </c>
      <c r="C3633" s="5" t="inlineStr">
        <is>
          <t>CLASS U: BRICKWORK, BLOCKWORK AND MASONRY</t>
        </is>
      </c>
      <c r="D3633" s="5" t="inlineStr">
        <is>
          <t>04 LIGHTWEIGHT BLOCKWORK (section inferred; heading falls in missing pages)</t>
        </is>
      </c>
      <c r="E3633" s="5" t="inlineStr">
        <is>
          <t>Thickness 215 mm</t>
        </is>
      </c>
      <c r="F3633" s="5" t="inlineStr">
        <is>
          <t>vertical facework to concrete</t>
        </is>
      </c>
      <c r="G3633" s="6" t="inlineStr">
        <is>
          <t>m2</t>
        </is>
      </c>
      <c r="H3633" s="7" t="n">
        <v>0.28</v>
      </c>
      <c r="I3633" s="8" t="n">
        <v>47.2</v>
      </c>
      <c r="J3633" s="8" t="n">
        <v>3.36</v>
      </c>
      <c r="K3633" s="8" t="n">
        <v>37.72</v>
      </c>
      <c r="L3633" s="8" t="n">
        <v>0</v>
      </c>
      <c r="M3633" s="9">
        <f>ROUND(SUM(I3633:L3633),2)</f>
        <v/>
      </c>
      <c r="N3633" s="10">
        <f>ROUND(I3633*'Irish Basis'!$C$6*'Irish Basis'!$C$5,2)</f>
        <v/>
      </c>
      <c r="O3633" s="10">
        <f>ROUND(J3633*'Irish Basis'!$C$7*'Irish Basis'!$C$5,2)</f>
        <v/>
      </c>
      <c r="P3633" s="10">
        <f>ROUND(K3633*'Irish Basis'!$C$8*'Irish Basis'!$C$5,2)</f>
        <v/>
      </c>
      <c r="Q3633" s="10">
        <f>ROUND(L3633*'Irish Basis'!$C$12*'Irish Basis'!$C$5,2)</f>
        <v/>
      </c>
      <c r="R3633" s="11">
        <f>ROUND(SUM(N3633:Q3633),2)</f>
        <v/>
      </c>
      <c r="S3633" s="5" t="inlineStr">
        <is>
          <t>Stated build-up</t>
        </is>
      </c>
      <c r="T3633" s="12" t="inlineStr">
        <is>
          <t>High</t>
        </is>
      </c>
      <c r="U3633" s="8" t="n">
        <v>88.28</v>
      </c>
      <c r="V3633" s="13">
        <f>IF(U3633="","",ROUND(M3633-U3633,2))</f>
        <v/>
      </c>
      <c r="W3633" s="5" t="n"/>
      <c r="X3633" s="5" t="inlineStr">
        <is>
          <t>Labour + plant + material as published; reconciles to the published rate.</t>
        </is>
      </c>
    </row>
    <row r="3634" ht="13" customHeight="1">
      <c r="A3634" s="4" t="n">
        <v>5523</v>
      </c>
      <c r="B3634" s="5" t="inlineStr">
        <is>
          <t>IMG_0143</t>
        </is>
      </c>
      <c r="C3634" s="5" t="inlineStr">
        <is>
          <t>CLASS U: BRICKWORK, BLOCKWORK AND MASONRY</t>
        </is>
      </c>
      <c r="D3634" s="5" t="inlineStr">
        <is>
          <t>04 LIGHTWEIGHT BLOCKWORK (section inferred; heading falls in missing pages)</t>
        </is>
      </c>
      <c r="E3634" s="5" t="inlineStr">
        <is>
          <t>Thickness 215 mm</t>
        </is>
      </c>
      <c r="F3634" s="5" t="inlineStr">
        <is>
          <t>casing to metal sections</t>
        </is>
      </c>
      <c r="G3634" s="6" t="inlineStr">
        <is>
          <t>m2</t>
        </is>
      </c>
      <c r="H3634" s="7" t="n">
        <v>0.31</v>
      </c>
      <c r="I3634" s="8" t="n">
        <v>52.26</v>
      </c>
      <c r="J3634" s="8" t="n">
        <v>3.68</v>
      </c>
      <c r="K3634" s="8" t="n">
        <v>37.72</v>
      </c>
      <c r="L3634" s="8" t="n">
        <v>0</v>
      </c>
      <c r="M3634" s="9">
        <f>ROUND(SUM(I3634:L3634),2)</f>
        <v/>
      </c>
      <c r="N3634" s="10">
        <f>ROUND(I3634*'Irish Basis'!$C$6*'Irish Basis'!$C$5,2)</f>
        <v/>
      </c>
      <c r="O3634" s="10">
        <f>ROUND(J3634*'Irish Basis'!$C$7*'Irish Basis'!$C$5,2)</f>
        <v/>
      </c>
      <c r="P3634" s="10">
        <f>ROUND(K3634*'Irish Basis'!$C$8*'Irish Basis'!$C$5,2)</f>
        <v/>
      </c>
      <c r="Q3634" s="10">
        <f>ROUND(L3634*'Irish Basis'!$C$12*'Irish Basis'!$C$5,2)</f>
        <v/>
      </c>
      <c r="R3634" s="11">
        <f>ROUND(SUM(N3634:Q3634),2)</f>
        <v/>
      </c>
      <c r="S3634" s="5" t="inlineStr">
        <is>
          <t>Stated build-up</t>
        </is>
      </c>
      <c r="T3634" s="12" t="inlineStr">
        <is>
          <t>High</t>
        </is>
      </c>
      <c r="U3634" s="8" t="n">
        <v>93.67</v>
      </c>
      <c r="V3634" s="13">
        <f>IF(U3634="","",ROUND(M3634-U3634,2))</f>
        <v/>
      </c>
      <c r="W3634" s="5" t="n"/>
      <c r="X3634" s="5" t="inlineStr">
        <is>
          <t>Labour + plant + material as published; reconciles to the published rate.</t>
        </is>
      </c>
    </row>
    <row r="3635" ht="13" customHeight="1">
      <c r="A3635" s="4" t="n">
        <v>5525</v>
      </c>
      <c r="B3635" s="5" t="inlineStr">
        <is>
          <t>IMG_0143</t>
        </is>
      </c>
      <c r="C3635" s="5" t="inlineStr">
        <is>
          <t>CLASS U: BRICKWORK, BLOCKWORK AND MASONRY</t>
        </is>
      </c>
      <c r="D3635" s="5" t="inlineStr">
        <is>
          <t>04 LIGHTWEIGHT BLOCKWORK (section inferred; heading falls in missing pages)</t>
        </is>
      </c>
      <c r="E3635" s="5" t="inlineStr">
        <is>
          <t>Columns and piers</t>
        </is>
      </c>
      <c r="F3635" s="5" t="inlineStr">
        <is>
          <t>440 x 100 mm</t>
        </is>
      </c>
      <c r="G3635" s="6" t="inlineStr">
        <is>
          <t>m</t>
        </is>
      </c>
      <c r="H3635" s="7" t="n">
        <v>0.08</v>
      </c>
      <c r="I3635" s="8" t="n">
        <v>13.49</v>
      </c>
      <c r="J3635" s="8" t="n">
        <v>0.95</v>
      </c>
      <c r="K3635" s="8" t="n">
        <v>8.35</v>
      </c>
      <c r="L3635" s="8" t="n">
        <v>0</v>
      </c>
      <c r="M3635" s="9">
        <f>ROUND(SUM(I3635:L3635),2)</f>
        <v/>
      </c>
      <c r="N3635" s="10">
        <f>ROUND(I3635*'Irish Basis'!$C$6*'Irish Basis'!$C$5,2)</f>
        <v/>
      </c>
      <c r="O3635" s="10">
        <f>ROUND(J3635*'Irish Basis'!$C$7*'Irish Basis'!$C$5,2)</f>
        <v/>
      </c>
      <c r="P3635" s="10">
        <f>ROUND(K3635*'Irish Basis'!$C$8*'Irish Basis'!$C$5,2)</f>
        <v/>
      </c>
      <c r="Q3635" s="10">
        <f>ROUND(L3635*'Irish Basis'!$C$12*'Irish Basis'!$C$5,2)</f>
        <v/>
      </c>
      <c r="R3635" s="11">
        <f>ROUND(SUM(N3635:Q3635),2)</f>
        <v/>
      </c>
      <c r="S3635" s="5" t="inlineStr">
        <is>
          <t>Stated build-up</t>
        </is>
      </c>
      <c r="T3635" s="12" t="inlineStr">
        <is>
          <t>High</t>
        </is>
      </c>
      <c r="U3635" s="8" t="n">
        <v>22.78</v>
      </c>
      <c r="V3635" s="13">
        <f>IF(U3635="","",ROUND(M3635-U3635,2))</f>
        <v/>
      </c>
      <c r="W3635" s="5" t="n"/>
      <c r="X3635" s="5" t="inlineStr">
        <is>
          <t>Labour + plant + material as published; reconciles to the published rate.</t>
        </is>
      </c>
    </row>
    <row r="3636" ht="13" customHeight="1">
      <c r="A3636" s="4" t="n">
        <v>5526</v>
      </c>
      <c r="B3636" s="5" t="inlineStr">
        <is>
          <t>IMG_0143</t>
        </is>
      </c>
      <c r="C3636" s="5" t="inlineStr">
        <is>
          <t>CLASS U: BRICKWORK, BLOCKWORK AND MASONRY</t>
        </is>
      </c>
      <c r="D3636" s="5" t="inlineStr">
        <is>
          <t>04 LIGHTWEIGHT BLOCKWORK (section inferred; heading falls in missing pages)</t>
        </is>
      </c>
      <c r="E3636" s="5" t="inlineStr">
        <is>
          <t>Columns and piers</t>
        </is>
      </c>
      <c r="F3636" s="5" t="inlineStr">
        <is>
          <t>890 x 140 mm</t>
        </is>
      </c>
      <c r="G3636" s="6" t="inlineStr">
        <is>
          <t>m</t>
        </is>
      </c>
      <c r="H3636" s="7" t="n">
        <v>0.22</v>
      </c>
      <c r="I3636" s="8" t="n">
        <v>37.09</v>
      </c>
      <c r="J3636" s="8" t="n">
        <v>2.62</v>
      </c>
      <c r="K3636" s="8" t="n">
        <v>21</v>
      </c>
      <c r="L3636" s="8" t="n">
        <v>0</v>
      </c>
      <c r="M3636" s="9">
        <f>ROUND(SUM(I3636:L3636),2)</f>
        <v/>
      </c>
      <c r="N3636" s="10">
        <f>ROUND(I3636*'Irish Basis'!$C$6*'Irish Basis'!$C$5,2)</f>
        <v/>
      </c>
      <c r="O3636" s="10">
        <f>ROUND(J3636*'Irish Basis'!$C$7*'Irish Basis'!$C$5,2)</f>
        <v/>
      </c>
      <c r="P3636" s="10">
        <f>ROUND(K3636*'Irish Basis'!$C$8*'Irish Basis'!$C$5,2)</f>
        <v/>
      </c>
      <c r="Q3636" s="10">
        <f>ROUND(L3636*'Irish Basis'!$C$12*'Irish Basis'!$C$5,2)</f>
        <v/>
      </c>
      <c r="R3636" s="11">
        <f>ROUND(SUM(N3636:Q3636),2)</f>
        <v/>
      </c>
      <c r="S3636" s="5" t="inlineStr">
        <is>
          <t>Stated build-up</t>
        </is>
      </c>
      <c r="T3636" s="12" t="inlineStr">
        <is>
          <t>High</t>
        </is>
      </c>
      <c r="U3636" s="8" t="n">
        <v>60.71</v>
      </c>
      <c r="V3636" s="13">
        <f>IF(U3636="","",ROUND(M3636-U3636,2))</f>
        <v/>
      </c>
      <c r="W3636" s="5" t="n"/>
      <c r="X3636" s="5" t="inlineStr">
        <is>
          <t>Labour + plant + material as published; reconciles to the published rate.</t>
        </is>
      </c>
    </row>
    <row r="3637" ht="13" customHeight="1">
      <c r="A3637" s="4" t="n">
        <v>5528</v>
      </c>
      <c r="B3637" s="5" t="inlineStr">
        <is>
          <t>IMG_0143</t>
        </is>
      </c>
      <c r="C3637" s="5" t="inlineStr">
        <is>
          <t>CLASS U: BRICKWORK, BLOCKWORK AND MASONRY</t>
        </is>
      </c>
      <c r="D3637" s="5" t="inlineStr">
        <is>
          <t>04 LIGHTWEIGHT BLOCKWORK (section inferred; heading falls in missing pages)</t>
        </is>
      </c>
      <c r="E3637" s="5" t="inlineStr">
        <is>
          <t>Surface features</t>
        </is>
      </c>
      <c r="F3637" s="5" t="inlineStr">
        <is>
          <t>fair facing</t>
        </is>
      </c>
      <c r="G3637" s="6" t="inlineStr">
        <is>
          <t>m2</t>
        </is>
      </c>
      <c r="H3637" s="7" t="n">
        <v>0.06</v>
      </c>
      <c r="I3637" s="8" t="n">
        <v>10.12</v>
      </c>
      <c r="J3637" s="8" t="n">
        <v>0.72</v>
      </c>
      <c r="K3637" s="8" t="n">
        <v>0</v>
      </c>
      <c r="L3637" s="8" t="n">
        <v>0</v>
      </c>
      <c r="M3637" s="9">
        <f>ROUND(SUM(I3637:L3637),2)</f>
        <v/>
      </c>
      <c r="N3637" s="10">
        <f>ROUND(I3637*'Irish Basis'!$C$6*'Irish Basis'!$C$5,2)</f>
        <v/>
      </c>
      <c r="O3637" s="10">
        <f>ROUND(J3637*'Irish Basis'!$C$7*'Irish Basis'!$C$5,2)</f>
        <v/>
      </c>
      <c r="P3637" s="10">
        <f>ROUND(K3637*'Irish Basis'!$C$8*'Irish Basis'!$C$5,2)</f>
        <v/>
      </c>
      <c r="Q3637" s="10">
        <f>ROUND(L3637*'Irish Basis'!$C$12*'Irish Basis'!$C$5,2)</f>
        <v/>
      </c>
      <c r="R3637" s="11">
        <f>ROUND(SUM(N3637:Q3637),2)</f>
        <v/>
      </c>
      <c r="S3637" s="5" t="inlineStr">
        <is>
          <t>Stated build-up</t>
        </is>
      </c>
      <c r="T3637" s="12" t="inlineStr">
        <is>
          <t>High</t>
        </is>
      </c>
      <c r="U3637" s="8" t="n">
        <v>10.83</v>
      </c>
      <c r="V3637" s="13">
        <f>IF(U3637="","",ROUND(M3637-U3637,2))</f>
        <v/>
      </c>
      <c r="W3637" s="5" t="n"/>
      <c r="X3637" s="5" t="inlineStr">
        <is>
          <t>Labour + plant + material as published; reconciles to the published rate.</t>
        </is>
      </c>
    </row>
    <row r="3638" ht="13" customHeight="1">
      <c r="A3638" s="4" t="n">
        <v>5530</v>
      </c>
      <c r="B3638" s="5" t="inlineStr">
        <is>
          <t>IMG_0143</t>
        </is>
      </c>
      <c r="C3638" s="5" t="inlineStr">
        <is>
          <t>CLASS U: BRICKWORK, BLOCKWORK AND MASONRY</t>
        </is>
      </c>
      <c r="D3638" s="5" t="inlineStr">
        <is>
          <t>04 LIGHTWEIGHT BLOCKWORK (section inferred; heading falls in missing pages)</t>
        </is>
      </c>
      <c r="E3638" s="5" t="inlineStr">
        <is>
          <t>Ancillaries</t>
        </is>
      </c>
      <c r="F3638" s="5" t="inlineStr">
        <is>
          <t>built-in pipes and ducts, cross-sectional area not exceeding 0.05 m2; excluding supply; blockwork 100 mm thick</t>
        </is>
      </c>
      <c r="G3638" s="6" t="inlineStr">
        <is>
          <t>nr</t>
        </is>
      </c>
      <c r="H3638" s="7" t="n">
        <v>0.04</v>
      </c>
      <c r="I3638" s="8" t="n">
        <v>6.74</v>
      </c>
      <c r="J3638" s="8" t="n">
        <v>0.47</v>
      </c>
      <c r="K3638" s="8" t="n">
        <v>0.48</v>
      </c>
      <c r="L3638" s="8" t="n">
        <v>0</v>
      </c>
      <c r="M3638" s="9">
        <f>ROUND(SUM(I3638:L3638),2)</f>
        <v/>
      </c>
      <c r="N3638" s="10">
        <f>ROUND(I3638*'Irish Basis'!$C$6*'Irish Basis'!$C$5,2)</f>
        <v/>
      </c>
      <c r="O3638" s="10">
        <f>ROUND(J3638*'Irish Basis'!$C$7*'Irish Basis'!$C$5,2)</f>
        <v/>
      </c>
      <c r="P3638" s="10">
        <f>ROUND(K3638*'Irish Basis'!$C$8*'Irish Basis'!$C$5,2)</f>
        <v/>
      </c>
      <c r="Q3638" s="10">
        <f>ROUND(L3638*'Irish Basis'!$C$12*'Irish Basis'!$C$5,2)</f>
        <v/>
      </c>
      <c r="R3638" s="11">
        <f>ROUND(SUM(N3638:Q3638),2)</f>
        <v/>
      </c>
      <c r="S3638" s="5" t="inlineStr">
        <is>
          <t>Stated build-up</t>
        </is>
      </c>
      <c r="T3638" s="12" t="inlineStr">
        <is>
          <t>High</t>
        </is>
      </c>
      <c r="U3638" s="8" t="n">
        <v>7.69</v>
      </c>
      <c r="V3638" s="13">
        <f>IF(U3638="","",ROUND(M3638-U3638,2))</f>
        <v/>
      </c>
      <c r="W3638" s="5" t="n"/>
      <c r="X3638" s="5" t="inlineStr">
        <is>
          <t>Labour + plant + material as published; reconciles to the published rate.</t>
        </is>
      </c>
    </row>
    <row r="3639" ht="13" customHeight="1">
      <c r="A3639" s="4" t="n">
        <v>5531</v>
      </c>
      <c r="B3639" s="5" t="inlineStr">
        <is>
          <t>IMG_0143</t>
        </is>
      </c>
      <c r="C3639" s="5" t="inlineStr">
        <is>
          <t>CLASS U: BRICKWORK, BLOCKWORK AND MASONRY</t>
        </is>
      </c>
      <c r="D3639" s="5" t="inlineStr">
        <is>
          <t>04 LIGHTWEIGHT BLOCKWORK (section inferred; heading falls in missing pages)</t>
        </is>
      </c>
      <c r="E3639" s="5" t="inlineStr">
        <is>
          <t>Ancillaries</t>
        </is>
      </c>
      <c r="F3639" s="5" t="inlineStr">
        <is>
          <t>built-in pipes and ducts, cross-sectional area not exceeding 0.05 m2; excluding supply; blockwork 140 mm thick</t>
        </is>
      </c>
      <c r="G3639" s="6" t="inlineStr">
        <is>
          <t>nr</t>
        </is>
      </c>
      <c r="H3639" s="7" t="n">
        <v>0.09</v>
      </c>
      <c r="I3639" s="8" t="n">
        <v>15.17</v>
      </c>
      <c r="J3639" s="8" t="n">
        <v>1.07</v>
      </c>
      <c r="K3639" s="8" t="n">
        <v>1.53</v>
      </c>
      <c r="L3639" s="8" t="n">
        <v>0</v>
      </c>
      <c r="M3639" s="9">
        <f>ROUND(SUM(I3639:L3639),2)</f>
        <v/>
      </c>
      <c r="N3639" s="10">
        <f>ROUND(I3639*'Irish Basis'!$C$6*'Irish Basis'!$C$5,2)</f>
        <v/>
      </c>
      <c r="O3639" s="10">
        <f>ROUND(J3639*'Irish Basis'!$C$7*'Irish Basis'!$C$5,2)</f>
        <v/>
      </c>
      <c r="P3639" s="10">
        <f>ROUND(K3639*'Irish Basis'!$C$8*'Irish Basis'!$C$5,2)</f>
        <v/>
      </c>
      <c r="Q3639" s="10">
        <f>ROUND(L3639*'Irish Basis'!$C$12*'Irish Basis'!$C$5,2)</f>
        <v/>
      </c>
      <c r="R3639" s="11">
        <f>ROUND(SUM(N3639:Q3639),2)</f>
        <v/>
      </c>
      <c r="S3639" s="5" t="inlineStr">
        <is>
          <t>Stated build-up</t>
        </is>
      </c>
      <c r="T3639" s="12" t="inlineStr">
        <is>
          <t>High</t>
        </is>
      </c>
      <c r="U3639" s="8" t="n">
        <v>17.77</v>
      </c>
      <c r="V3639" s="13">
        <f>IF(U3639="","",ROUND(M3639-U3639,2))</f>
        <v/>
      </c>
      <c r="W3639" s="5" t="n"/>
      <c r="X3639" s="5" t="inlineStr">
        <is>
          <t>Labour + plant + material as published; reconciles to the published rate.</t>
        </is>
      </c>
    </row>
    <row r="3640" ht="13" customHeight="1">
      <c r="A3640" s="4" t="n">
        <v>5532</v>
      </c>
      <c r="B3640" s="5" t="inlineStr">
        <is>
          <t>IMG_0143</t>
        </is>
      </c>
      <c r="C3640" s="5" t="inlineStr">
        <is>
          <t>CLASS U: BRICKWORK, BLOCKWORK AND MASONRY</t>
        </is>
      </c>
      <c r="D3640" s="5" t="inlineStr">
        <is>
          <t>04 LIGHTWEIGHT BLOCKWORK (section inferred; heading falls in missing pages)</t>
        </is>
      </c>
      <c r="E3640" s="5" t="inlineStr">
        <is>
          <t>Ancillaries</t>
        </is>
      </c>
      <c r="F3640" s="5" t="inlineStr">
        <is>
          <t>built-in pipes and ducts, cross-sectional area not exceeding 0.05 m2; excluding supply; blockwork 215 mm thick</t>
        </is>
      </c>
      <c r="G3640" s="6" t="inlineStr">
        <is>
          <t>nr</t>
        </is>
      </c>
      <c r="H3640" s="7" t="n">
        <v>0.13</v>
      </c>
      <c r="I3640" s="8" t="n">
        <v>21.92</v>
      </c>
      <c r="J3640" s="8" t="n">
        <v>1.5</v>
      </c>
      <c r="K3640" s="8" t="n">
        <v>1.95</v>
      </c>
      <c r="L3640" s="8" t="n">
        <v>0</v>
      </c>
      <c r="M3640" s="9">
        <f>ROUND(SUM(I3640:L3640),2)</f>
        <v/>
      </c>
      <c r="N3640" s="10">
        <f>ROUND(I3640*'Irish Basis'!$C$6*'Irish Basis'!$C$5,2)</f>
        <v/>
      </c>
      <c r="O3640" s="10">
        <f>ROUND(J3640*'Irish Basis'!$C$7*'Irish Basis'!$C$5,2)</f>
        <v/>
      </c>
      <c r="P3640" s="10">
        <f>ROUND(K3640*'Irish Basis'!$C$8*'Irish Basis'!$C$5,2)</f>
        <v/>
      </c>
      <c r="Q3640" s="10">
        <f>ROUND(L3640*'Irish Basis'!$C$12*'Irish Basis'!$C$5,2)</f>
        <v/>
      </c>
      <c r="R3640" s="11">
        <f>ROUND(SUM(N3640:Q3640),2)</f>
        <v/>
      </c>
      <c r="S3640" s="5" t="inlineStr">
        <is>
          <t>Stated build-up</t>
        </is>
      </c>
      <c r="T3640" s="12" t="inlineStr">
        <is>
          <t>High</t>
        </is>
      </c>
      <c r="U3640" s="8" t="n">
        <v>25.36</v>
      </c>
      <c r="V3640" s="13">
        <f>IF(U3640="","",ROUND(M3640-U3640,2))</f>
        <v/>
      </c>
      <c r="W3640" s="5" t="n"/>
      <c r="X3640" s="5" t="inlineStr">
        <is>
          <t>Labour + plant + material as published; reconciles to the published rate.</t>
        </is>
      </c>
    </row>
    <row r="3641" ht="13" customHeight="1">
      <c r="A3641" s="4" t="n">
        <v>5533</v>
      </c>
      <c r="B3641" s="5" t="inlineStr">
        <is>
          <t>IMG_0143</t>
        </is>
      </c>
      <c r="C3641" s="5" t="inlineStr">
        <is>
          <t>CLASS U: BRICKWORK, BLOCKWORK AND MASONRY</t>
        </is>
      </c>
      <c r="D3641" s="5" t="inlineStr">
        <is>
          <t>04 LIGHTWEIGHT BLOCKWORK (section inferred; heading falls in missing pages)</t>
        </is>
      </c>
      <c r="E3641" s="5" t="inlineStr">
        <is>
          <t>Ancillaries</t>
        </is>
      </c>
      <c r="F3641" s="5" t="inlineStr">
        <is>
          <t>built-in pipes and ducts, cross-sectional area 0.05-0.25 m2; excluding supply; blockwork 100 mm thick</t>
        </is>
      </c>
      <c r="G3641" s="6" t="inlineStr">
        <is>
          <t>nr</t>
        </is>
      </c>
      <c r="H3641" s="7" t="n">
        <v>0.13</v>
      </c>
      <c r="I3641" s="8" t="n">
        <v>21.92</v>
      </c>
      <c r="J3641" s="8" t="n">
        <v>1.5</v>
      </c>
      <c r="K3641" s="8" t="n">
        <v>2.25</v>
      </c>
      <c r="L3641" s="8" t="n">
        <v>0</v>
      </c>
      <c r="M3641" s="9">
        <f>ROUND(SUM(I3641:L3641),2)</f>
        <v/>
      </c>
      <c r="N3641" s="10">
        <f>ROUND(I3641*'Irish Basis'!$C$6*'Irish Basis'!$C$5,2)</f>
        <v/>
      </c>
      <c r="O3641" s="10">
        <f>ROUND(J3641*'Irish Basis'!$C$7*'Irish Basis'!$C$5,2)</f>
        <v/>
      </c>
      <c r="P3641" s="10">
        <f>ROUND(K3641*'Irish Basis'!$C$8*'Irish Basis'!$C$5,2)</f>
        <v/>
      </c>
      <c r="Q3641" s="10">
        <f>ROUND(L3641*'Irish Basis'!$C$12*'Irish Basis'!$C$5,2)</f>
        <v/>
      </c>
      <c r="R3641" s="11">
        <f>ROUND(SUM(N3641:Q3641),2)</f>
        <v/>
      </c>
      <c r="S3641" s="5" t="inlineStr">
        <is>
          <t>Stated build-up</t>
        </is>
      </c>
      <c r="T3641" s="12" t="inlineStr">
        <is>
          <t>High</t>
        </is>
      </c>
      <c r="U3641" s="8" t="n">
        <v>25.66</v>
      </c>
      <c r="V3641" s="13">
        <f>IF(U3641="","",ROUND(M3641-U3641,2))</f>
        <v/>
      </c>
      <c r="W3641" s="5" t="n"/>
      <c r="X3641" s="5" t="inlineStr">
        <is>
          <t>Labour + plant + material as published; reconciles to the published rate.</t>
        </is>
      </c>
    </row>
    <row r="3642" ht="13" customHeight="1">
      <c r="A3642" s="4" t="n">
        <v>5534</v>
      </c>
      <c r="B3642" s="5" t="inlineStr">
        <is>
          <t>IMG_0143</t>
        </is>
      </c>
      <c r="C3642" s="5" t="inlineStr">
        <is>
          <t>CLASS U: BRICKWORK, BLOCKWORK AND MASONRY</t>
        </is>
      </c>
      <c r="D3642" s="5" t="inlineStr">
        <is>
          <t>04 LIGHTWEIGHT BLOCKWORK (section inferred; heading falls in missing pages)</t>
        </is>
      </c>
      <c r="E3642" s="5" t="inlineStr">
        <is>
          <t>Ancillaries</t>
        </is>
      </c>
      <c r="F3642" s="5" t="inlineStr">
        <is>
          <t>built-in pipes and ducts, cross-sectional area 0.05-0.25 m2; excluding supply; blockwork 140 mm thick</t>
        </is>
      </c>
      <c r="G3642" s="6" t="inlineStr">
        <is>
          <t>nr</t>
        </is>
      </c>
      <c r="H3642" s="7" t="n">
        <v>0.18</v>
      </c>
      <c r="I3642" s="8" t="n">
        <v>30.35</v>
      </c>
      <c r="J3642" s="8" t="n">
        <v>2.09</v>
      </c>
      <c r="K3642" s="8" t="n">
        <v>3.28</v>
      </c>
      <c r="L3642" s="8" t="n">
        <v>0</v>
      </c>
      <c r="M3642" s="9">
        <f>ROUND(SUM(I3642:L3642),2)</f>
        <v/>
      </c>
      <c r="N3642" s="10">
        <f>ROUND(I3642*'Irish Basis'!$C$6*'Irish Basis'!$C$5,2)</f>
        <v/>
      </c>
      <c r="O3642" s="10">
        <f>ROUND(J3642*'Irish Basis'!$C$7*'Irish Basis'!$C$5,2)</f>
        <v/>
      </c>
      <c r="P3642" s="10">
        <f>ROUND(K3642*'Irish Basis'!$C$8*'Irish Basis'!$C$5,2)</f>
        <v/>
      </c>
      <c r="Q3642" s="10">
        <f>ROUND(L3642*'Irish Basis'!$C$12*'Irish Basis'!$C$5,2)</f>
        <v/>
      </c>
      <c r="R3642" s="11">
        <f>ROUND(SUM(N3642:Q3642),2)</f>
        <v/>
      </c>
      <c r="S3642" s="5" t="inlineStr">
        <is>
          <t>Stated build-up</t>
        </is>
      </c>
      <c r="T3642" s="12" t="inlineStr">
        <is>
          <t>High</t>
        </is>
      </c>
      <c r="U3642" s="8" t="n">
        <v>35.72</v>
      </c>
      <c r="V3642" s="13">
        <f>IF(U3642="","",ROUND(M3642-U3642,2))</f>
        <v/>
      </c>
      <c r="W3642" s="5" t="n"/>
      <c r="X3642" s="5" t="inlineStr">
        <is>
          <t>Labour + plant + material as published; reconciles to the published rate.</t>
        </is>
      </c>
    </row>
    <row r="3643" ht="13" customHeight="1">
      <c r="A3643" s="4" t="n">
        <v>5535</v>
      </c>
      <c r="B3643" s="5" t="inlineStr">
        <is>
          <t>IMG_0143</t>
        </is>
      </c>
      <c r="C3643" s="5" t="inlineStr">
        <is>
          <t>CLASS U: BRICKWORK, BLOCKWORK AND MASONRY</t>
        </is>
      </c>
      <c r="D3643" s="5" t="inlineStr">
        <is>
          <t>04 LIGHTWEIGHT BLOCKWORK (section inferred; heading falls in missing pages)</t>
        </is>
      </c>
      <c r="E3643" s="5" t="inlineStr">
        <is>
          <t>Ancillaries</t>
        </is>
      </c>
      <c r="F3643" s="5" t="inlineStr">
        <is>
          <t>built-in pipes and ducts, cross-sectional area 0.05-0.25 m2; excluding supply; blockwork 215 mm thick</t>
        </is>
      </c>
      <c r="G3643" s="6" t="inlineStr">
        <is>
          <t>nr</t>
        </is>
      </c>
      <c r="H3643" s="7" t="n">
        <v>0.25</v>
      </c>
      <c r="I3643" s="8" t="n">
        <v>42.15</v>
      </c>
      <c r="J3643" s="8" t="n">
        <v>2.97</v>
      </c>
      <c r="K3643" s="8" t="n">
        <v>4.12</v>
      </c>
      <c r="L3643" s="8" t="n">
        <v>0</v>
      </c>
      <c r="M3643" s="9">
        <f>ROUND(SUM(I3643:L3643),2)</f>
        <v/>
      </c>
      <c r="N3643" s="10">
        <f>ROUND(I3643*'Irish Basis'!$C$6*'Irish Basis'!$C$5,2)</f>
        <v/>
      </c>
      <c r="O3643" s="10">
        <f>ROUND(J3643*'Irish Basis'!$C$7*'Irish Basis'!$C$5,2)</f>
        <v/>
      </c>
      <c r="P3643" s="10">
        <f>ROUND(K3643*'Irish Basis'!$C$8*'Irish Basis'!$C$5,2)</f>
        <v/>
      </c>
      <c r="Q3643" s="10">
        <f>ROUND(L3643*'Irish Basis'!$C$12*'Irish Basis'!$C$5,2)</f>
        <v/>
      </c>
      <c r="R3643" s="11">
        <f>ROUND(SUM(N3643:Q3643),2)</f>
        <v/>
      </c>
      <c r="S3643" s="5" t="inlineStr">
        <is>
          <t>Stated build-up</t>
        </is>
      </c>
      <c r="T3643" s="12" t="inlineStr">
        <is>
          <t>High</t>
        </is>
      </c>
      <c r="U3643" s="8" t="n">
        <v>49.23</v>
      </c>
      <c r="V3643" s="13">
        <f>IF(U3643="","",ROUND(M3643-U3643,2))</f>
        <v/>
      </c>
      <c r="W3643" s="5" t="n"/>
      <c r="X3643" s="5" t="inlineStr">
        <is>
          <t>Labour + plant + material as published; reconciles to the published rate.</t>
        </is>
      </c>
    </row>
    <row r="3644" ht="13" customHeight="1">
      <c r="A3644" s="4" t="n">
        <v>5536</v>
      </c>
      <c r="B3644" s="5" t="inlineStr">
        <is>
          <t>IMG_0143</t>
        </is>
      </c>
      <c r="C3644" s="5" t="inlineStr">
        <is>
          <t>CLASS U: BRICKWORK, BLOCKWORK AND MASONRY</t>
        </is>
      </c>
      <c r="D3644" s="5" t="inlineStr">
        <is>
          <t>04 LIGHTWEIGHT BLOCKWORK (section inferred; heading falls in missing pages)</t>
        </is>
      </c>
      <c r="E3644" s="5" t="inlineStr">
        <is>
          <t>Ancillaries</t>
        </is>
      </c>
      <c r="F3644" s="5" t="inlineStr">
        <is>
          <t>built-in pipes and ducts, cross-sectional area 0.25-0.5 m2; excluding supply; blockwork 100 mm thick</t>
        </is>
      </c>
      <c r="G3644" s="6" t="inlineStr">
        <is>
          <t>nr</t>
        </is>
      </c>
      <c r="H3644" s="7" t="n">
        <v>0.15</v>
      </c>
      <c r="I3644" s="8" t="n">
        <v>25.29</v>
      </c>
      <c r="J3644" s="8" t="n">
        <v>1.78</v>
      </c>
      <c r="K3644" s="8" t="n">
        <v>2.84</v>
      </c>
      <c r="L3644" s="8" t="n">
        <v>0</v>
      </c>
      <c r="M3644" s="9">
        <f>ROUND(SUM(I3644:L3644),2)</f>
        <v/>
      </c>
      <c r="N3644" s="10">
        <f>ROUND(I3644*'Irish Basis'!$C$6*'Irish Basis'!$C$5,2)</f>
        <v/>
      </c>
      <c r="O3644" s="10">
        <f>ROUND(J3644*'Irish Basis'!$C$7*'Irish Basis'!$C$5,2)</f>
        <v/>
      </c>
      <c r="P3644" s="10">
        <f>ROUND(K3644*'Irish Basis'!$C$8*'Irish Basis'!$C$5,2)</f>
        <v/>
      </c>
      <c r="Q3644" s="10">
        <f>ROUND(L3644*'Irish Basis'!$C$12*'Irish Basis'!$C$5,2)</f>
        <v/>
      </c>
      <c r="R3644" s="11">
        <f>ROUND(SUM(N3644:Q3644),2)</f>
        <v/>
      </c>
      <c r="S3644" s="5" t="inlineStr">
        <is>
          <t>Stated build-up</t>
        </is>
      </c>
      <c r="T3644" s="12" t="inlineStr">
        <is>
          <t>High</t>
        </is>
      </c>
      <c r="U3644" s="8" t="n">
        <v>29.91</v>
      </c>
      <c r="V3644" s="13">
        <f>IF(U3644="","",ROUND(M3644-U3644,2))</f>
        <v/>
      </c>
      <c r="W3644" s="5" t="n"/>
      <c r="X3644" s="5" t="inlineStr">
        <is>
          <t>Labour + plant + material as published; reconciles to the published rate.</t>
        </is>
      </c>
    </row>
    <row r="3645" ht="13" customHeight="1">
      <c r="A3645" s="4" t="n">
        <v>5537</v>
      </c>
      <c r="B3645" s="5" t="inlineStr">
        <is>
          <t>IMG_0143</t>
        </is>
      </c>
      <c r="C3645" s="5" t="inlineStr">
        <is>
          <t>CLASS U: BRICKWORK, BLOCKWORK AND MASONRY</t>
        </is>
      </c>
      <c r="D3645" s="5" t="inlineStr">
        <is>
          <t>04 LIGHTWEIGHT BLOCKWORK (section inferred; heading falls in missing pages)</t>
        </is>
      </c>
      <c r="E3645" s="5" t="inlineStr">
        <is>
          <t>Ancillaries</t>
        </is>
      </c>
      <c r="F3645" s="5" t="inlineStr">
        <is>
          <t>built-in pipes and ducts, cross-sectional area 0.25-0.5 m2; excluding supply; blockwork 140 mm thick</t>
        </is>
      </c>
      <c r="G3645" s="6" t="inlineStr">
        <is>
          <t>nr</t>
        </is>
      </c>
      <c r="H3645" s="7" t="n">
        <v>0.21</v>
      </c>
      <c r="I3645" s="8" t="n">
        <v>35.4</v>
      </c>
      <c r="J3645" s="8" t="n">
        <v>2.49</v>
      </c>
      <c r="K3645" s="8" t="n">
        <v>3.28</v>
      </c>
      <c r="L3645" s="8" t="n">
        <v>0</v>
      </c>
      <c r="M3645" s="9">
        <f>ROUND(SUM(I3645:L3645),2)</f>
        <v/>
      </c>
      <c r="N3645" s="10">
        <f>ROUND(I3645*'Irish Basis'!$C$6*'Irish Basis'!$C$5,2)</f>
        <v/>
      </c>
      <c r="O3645" s="10">
        <f>ROUND(J3645*'Irish Basis'!$C$7*'Irish Basis'!$C$5,2)</f>
        <v/>
      </c>
      <c r="P3645" s="10">
        <f>ROUND(K3645*'Irish Basis'!$C$8*'Irish Basis'!$C$5,2)</f>
        <v/>
      </c>
      <c r="Q3645" s="10">
        <f>ROUND(L3645*'Irish Basis'!$C$12*'Irish Basis'!$C$5,2)</f>
        <v/>
      </c>
      <c r="R3645" s="11">
        <f>ROUND(SUM(N3645:Q3645),2)</f>
        <v/>
      </c>
      <c r="S3645" s="5" t="inlineStr">
        <is>
          <t>Stated build-up</t>
        </is>
      </c>
      <c r="T3645" s="12" t="inlineStr">
        <is>
          <t>High</t>
        </is>
      </c>
      <c r="U3645" s="8" t="n">
        <v>41.18</v>
      </c>
      <c r="V3645" s="13">
        <f>IF(U3645="","",ROUND(M3645-U3645,2))</f>
        <v/>
      </c>
      <c r="W3645" s="5" t="n"/>
      <c r="X3645" s="5" t="inlineStr">
        <is>
          <t>Labour + plant + material as published; reconciles to the published rate.</t>
        </is>
      </c>
    </row>
    <row r="3646" ht="13" customHeight="1">
      <c r="A3646" s="4" t="n">
        <v>5538</v>
      </c>
      <c r="B3646" s="5" t="inlineStr">
        <is>
          <t>IMG_0143</t>
        </is>
      </c>
      <c r="C3646" s="5" t="inlineStr">
        <is>
          <t>CLASS U: BRICKWORK, BLOCKWORK AND MASONRY</t>
        </is>
      </c>
      <c r="D3646" s="5" t="inlineStr">
        <is>
          <t>04 LIGHTWEIGHT BLOCKWORK (section inferred; heading falls in missing pages)</t>
        </is>
      </c>
      <c r="E3646" s="5" t="inlineStr">
        <is>
          <t>Ancillaries</t>
        </is>
      </c>
      <c r="F3646" s="5" t="inlineStr">
        <is>
          <t>built-in pipes and ducts, cross-sectional area 0.25-0.5 m2; excluding supply; blockwork 215 mm thick</t>
        </is>
      </c>
      <c r="G3646" s="6" t="inlineStr">
        <is>
          <t>nr</t>
        </is>
      </c>
      <c r="H3646" s="7" t="n">
        <v>0.3</v>
      </c>
      <c r="I3646" s="8" t="n">
        <v>50.58</v>
      </c>
      <c r="J3646" s="8" t="n">
        <v>3.5</v>
      </c>
      <c r="K3646" s="8" t="n">
        <v>4.87</v>
      </c>
      <c r="L3646" s="8" t="n">
        <v>0</v>
      </c>
      <c r="M3646" s="9">
        <f>ROUND(SUM(I3646:L3646),2)</f>
        <v/>
      </c>
      <c r="N3646" s="10">
        <f>ROUND(I3646*'Irish Basis'!$C$6*'Irish Basis'!$C$5,2)</f>
        <v/>
      </c>
      <c r="O3646" s="10">
        <f>ROUND(J3646*'Irish Basis'!$C$7*'Irish Basis'!$C$5,2)</f>
        <v/>
      </c>
      <c r="P3646" s="10">
        <f>ROUND(K3646*'Irish Basis'!$C$8*'Irish Basis'!$C$5,2)</f>
        <v/>
      </c>
      <c r="Q3646" s="10">
        <f>ROUND(L3646*'Irish Basis'!$C$12*'Irish Basis'!$C$5,2)</f>
        <v/>
      </c>
      <c r="R3646" s="11">
        <f>ROUND(SUM(N3646:Q3646),2)</f>
        <v/>
      </c>
      <c r="S3646" s="5" t="inlineStr">
        <is>
          <t>Stated build-up</t>
        </is>
      </c>
      <c r="T3646" s="12" t="inlineStr">
        <is>
          <t>High</t>
        </is>
      </c>
      <c r="U3646" s="8" t="n">
        <v>58.95</v>
      </c>
      <c r="V3646" s="13">
        <f>IF(U3646="","",ROUND(M3646-U3646,2))</f>
        <v/>
      </c>
      <c r="W3646" s="5" t="n"/>
      <c r="X3646" s="5" t="inlineStr">
        <is>
          <t>Labour + plant + material as published; reconciles to the published rate.</t>
        </is>
      </c>
    </row>
    <row r="3647" ht="13" customHeight="1">
      <c r="A3647" s="4" t="n">
        <v>5541</v>
      </c>
      <c r="B3647" s="5" t="inlineStr">
        <is>
          <t>IMG_0143</t>
        </is>
      </c>
      <c r="C3647" s="5" t="inlineStr">
        <is>
          <t>CLASS U: BRICKWORK, BLOCKWORK AND MASONRY</t>
        </is>
      </c>
      <c r="D3647" s="5" t="inlineStr">
        <is>
          <t>05 DENSE CONCRETE BLOCKWORK</t>
        </is>
      </c>
      <c r="E3647" s="5" t="inlineStr">
        <is>
          <t>Dense concrete blocks; 7 N/mm2; in cement mortar designation (iii); Walls, built vertical and straight</t>
        </is>
      </c>
      <c r="F3647" s="5" t="inlineStr">
        <is>
          <t>100 mm thick</t>
        </is>
      </c>
      <c r="G3647" s="6" t="inlineStr">
        <is>
          <t>m2</t>
        </is>
      </c>
      <c r="H3647" s="7" t="n">
        <v>0.19</v>
      </c>
      <c r="I3647" s="8" t="n">
        <v>32.03</v>
      </c>
      <c r="J3647" s="8" t="n">
        <v>2.27</v>
      </c>
      <c r="K3647" s="8" t="n">
        <v>11.77</v>
      </c>
      <c r="L3647" s="8" t="n">
        <v>0</v>
      </c>
      <c r="M3647" s="9">
        <f>ROUND(SUM(I3647:L3647),2)</f>
        <v/>
      </c>
      <c r="N3647" s="10">
        <f>ROUND(I3647*'Irish Basis'!$C$6*'Irish Basis'!$C$5,2)</f>
        <v/>
      </c>
      <c r="O3647" s="10">
        <f>ROUND(J3647*'Irish Basis'!$C$7*'Irish Basis'!$C$5,2)</f>
        <v/>
      </c>
      <c r="P3647" s="10">
        <f>ROUND(K3647*'Irish Basis'!$C$8*'Irish Basis'!$C$5,2)</f>
        <v/>
      </c>
      <c r="Q3647" s="10">
        <f>ROUND(L3647*'Irish Basis'!$C$12*'Irish Basis'!$C$5,2)</f>
        <v/>
      </c>
      <c r="R3647" s="11">
        <f>ROUND(SUM(N3647:Q3647),2)</f>
        <v/>
      </c>
      <c r="S3647" s="5" t="inlineStr">
        <is>
          <t>Stated build-up</t>
        </is>
      </c>
      <c r="T3647" s="12" t="inlineStr">
        <is>
          <t>High</t>
        </is>
      </c>
      <c r="U3647" s="8" t="n">
        <v>46.07</v>
      </c>
      <c r="V3647" s="13">
        <f>IF(U3647="","",ROUND(M3647-U3647,2))</f>
        <v/>
      </c>
      <c r="W3647" s="5" t="n"/>
      <c r="X3647" s="5" t="inlineStr">
        <is>
          <t>Labour + plant + material as published; reconciles to the published rate.</t>
        </is>
      </c>
    </row>
    <row r="3648" ht="13" customHeight="1">
      <c r="A3648" s="4" t="n">
        <v>5542</v>
      </c>
      <c r="B3648" s="5" t="inlineStr">
        <is>
          <t>IMG_0143</t>
        </is>
      </c>
      <c r="C3648" s="5" t="inlineStr">
        <is>
          <t>CLASS U: BRICKWORK, BLOCKWORK AND MASONRY</t>
        </is>
      </c>
      <c r="D3648" s="5" t="inlineStr">
        <is>
          <t>05 DENSE CONCRETE BLOCKWORK</t>
        </is>
      </c>
      <c r="E3648" s="5" t="inlineStr">
        <is>
          <t>Dense concrete blocks; 7 N/mm2; in cement mortar designation (iii); Walls, built vertical and straight</t>
        </is>
      </c>
      <c r="F3648" s="5" t="inlineStr">
        <is>
          <t>140 mm thick</t>
        </is>
      </c>
      <c r="G3648" s="6" t="inlineStr">
        <is>
          <t>m2</t>
        </is>
      </c>
      <c r="H3648" s="7" t="n">
        <v>0.25</v>
      </c>
      <c r="I3648" s="8" t="n">
        <v>42.15</v>
      </c>
      <c r="J3648" s="8" t="n">
        <v>2.94</v>
      </c>
      <c r="K3648" s="8" t="n">
        <v>18.71</v>
      </c>
      <c r="L3648" s="8" t="n">
        <v>0</v>
      </c>
      <c r="M3648" s="9">
        <f>ROUND(SUM(I3648:L3648),2)</f>
        <v/>
      </c>
      <c r="N3648" s="10">
        <f>ROUND(I3648*'Irish Basis'!$C$6*'Irish Basis'!$C$5,2)</f>
        <v/>
      </c>
      <c r="O3648" s="10">
        <f>ROUND(J3648*'Irish Basis'!$C$7*'Irish Basis'!$C$5,2)</f>
        <v/>
      </c>
      <c r="P3648" s="10">
        <f>ROUND(K3648*'Irish Basis'!$C$8*'Irish Basis'!$C$5,2)</f>
        <v/>
      </c>
      <c r="Q3648" s="10">
        <f>ROUND(L3648*'Irish Basis'!$C$12*'Irish Basis'!$C$5,2)</f>
        <v/>
      </c>
      <c r="R3648" s="11">
        <f>ROUND(SUM(N3648:Q3648),2)</f>
        <v/>
      </c>
      <c r="S3648" s="5" t="inlineStr">
        <is>
          <t>Stated build-up</t>
        </is>
      </c>
      <c r="T3648" s="12" t="inlineStr">
        <is>
          <t>High</t>
        </is>
      </c>
      <c r="U3648" s="8" t="n">
        <v>63.8</v>
      </c>
      <c r="V3648" s="13">
        <f>IF(U3648="","",ROUND(M3648-U3648,2))</f>
        <v/>
      </c>
      <c r="W3648" s="5" t="n"/>
      <c r="X3648" s="5" t="inlineStr">
        <is>
          <t>Labour + plant + material as published; reconciles to the published rate.</t>
        </is>
      </c>
    </row>
    <row r="3649" ht="13" customHeight="1">
      <c r="A3649" s="4" t="n">
        <v>5543</v>
      </c>
      <c r="B3649" s="5" t="inlineStr">
        <is>
          <t>IMG_0143</t>
        </is>
      </c>
      <c r="C3649" s="5" t="inlineStr">
        <is>
          <t>CLASS U: BRICKWORK, BLOCKWORK AND MASONRY</t>
        </is>
      </c>
      <c r="D3649" s="5" t="inlineStr">
        <is>
          <t>05 DENSE CONCRETE BLOCKWORK</t>
        </is>
      </c>
      <c r="E3649" s="5" t="inlineStr">
        <is>
          <t>Dense concrete blocks; 7 N/mm2; in cement mortar designation (iii); Walls, built vertical and straight</t>
        </is>
      </c>
      <c r="F3649" s="5" t="inlineStr">
        <is>
          <t>215 mm thick</t>
        </is>
      </c>
      <c r="G3649" s="6" t="inlineStr">
        <is>
          <t>m2</t>
        </is>
      </c>
      <c r="H3649" s="7" t="n">
        <v>0.34</v>
      </c>
      <c r="I3649" s="8" t="n">
        <v>57.32</v>
      </c>
      <c r="J3649" s="8" t="n">
        <v>4.04</v>
      </c>
      <c r="K3649" s="8" t="n">
        <v>23.84</v>
      </c>
      <c r="L3649" s="8" t="n">
        <v>0</v>
      </c>
      <c r="M3649" s="9">
        <f>ROUND(SUM(I3649:L3649),2)</f>
        <v/>
      </c>
      <c r="N3649" s="10">
        <f>ROUND(I3649*'Irish Basis'!$C$6*'Irish Basis'!$C$5,2)</f>
        <v/>
      </c>
      <c r="O3649" s="10">
        <f>ROUND(J3649*'Irish Basis'!$C$7*'Irish Basis'!$C$5,2)</f>
        <v/>
      </c>
      <c r="P3649" s="10">
        <f>ROUND(K3649*'Irish Basis'!$C$8*'Irish Basis'!$C$5,2)</f>
        <v/>
      </c>
      <c r="Q3649" s="10">
        <f>ROUND(L3649*'Irish Basis'!$C$12*'Irish Basis'!$C$5,2)</f>
        <v/>
      </c>
      <c r="R3649" s="11">
        <f>ROUND(SUM(N3649:Q3649),2)</f>
        <v/>
      </c>
      <c r="S3649" s="5" t="inlineStr">
        <is>
          <t>Stated build-up</t>
        </is>
      </c>
      <c r="T3649" s="12" t="inlineStr">
        <is>
          <t>High</t>
        </is>
      </c>
      <c r="U3649" s="8" t="n">
        <v>85.2</v>
      </c>
      <c r="V3649" s="13">
        <f>IF(U3649="","",ROUND(M3649-U3649,2))</f>
        <v/>
      </c>
      <c r="W3649" s="5" t="n"/>
      <c r="X3649" s="5" t="inlineStr">
        <is>
          <t>Labour + plant + material as published; reconciles to the published rate.</t>
        </is>
      </c>
    </row>
    <row r="3650" ht="13" customHeight="1">
      <c r="A3650" s="4" t="n">
        <v>5545</v>
      </c>
      <c r="B3650" s="5" t="inlineStr">
        <is>
          <t>IMG_0143</t>
        </is>
      </c>
      <c r="C3650" s="5" t="inlineStr">
        <is>
          <t>CLASS U: BRICKWORK, BLOCKWORK AND MASONRY</t>
        </is>
      </c>
      <c r="D3650" s="5" t="inlineStr">
        <is>
          <t>05 DENSE CONCRETE BLOCKWORK</t>
        </is>
      </c>
      <c r="E3650" s="5" t="inlineStr">
        <is>
          <t>Walls, built vertical and curved</t>
        </is>
      </c>
      <c r="F3650" s="5" t="inlineStr">
        <is>
          <t>100 mm thick</t>
        </is>
      </c>
      <c r="G3650" s="6" t="inlineStr">
        <is>
          <t>m2</t>
        </is>
      </c>
      <c r="H3650" s="7" t="n">
        <v>0.25</v>
      </c>
      <c r="I3650" s="8" t="n">
        <v>42.15</v>
      </c>
      <c r="J3650" s="8" t="n">
        <v>3.02</v>
      </c>
      <c r="K3650" s="8" t="n">
        <v>11.81</v>
      </c>
      <c r="L3650" s="8" t="n">
        <v>0</v>
      </c>
      <c r="M3650" s="9">
        <f>ROUND(SUM(I3650:L3650),2)</f>
        <v/>
      </c>
      <c r="N3650" s="10">
        <f>ROUND(I3650*'Irish Basis'!$C$6*'Irish Basis'!$C$5,2)</f>
        <v/>
      </c>
      <c r="O3650" s="10">
        <f>ROUND(J3650*'Irish Basis'!$C$7*'Irish Basis'!$C$5,2)</f>
        <v/>
      </c>
      <c r="P3650" s="10">
        <f>ROUND(K3650*'Irish Basis'!$C$8*'Irish Basis'!$C$5,2)</f>
        <v/>
      </c>
      <c r="Q3650" s="10">
        <f>ROUND(L3650*'Irish Basis'!$C$12*'Irish Basis'!$C$5,2)</f>
        <v/>
      </c>
      <c r="R3650" s="11">
        <f>ROUND(SUM(N3650:Q3650),2)</f>
        <v/>
      </c>
      <c r="S3650" s="5" t="inlineStr">
        <is>
          <t>Stated build-up</t>
        </is>
      </c>
      <c r="T3650" s="12" t="inlineStr">
        <is>
          <t>High</t>
        </is>
      </c>
      <c r="U3650" s="8" t="n">
        <v>56.98</v>
      </c>
      <c r="V3650" s="13">
        <f>IF(U3650="","",ROUND(M3650-U3650,2))</f>
        <v/>
      </c>
      <c r="W3650" s="5" t="n"/>
      <c r="X3650" s="5" t="inlineStr">
        <is>
          <t>Labour + plant + material as published; reconciles to the published rate.</t>
        </is>
      </c>
    </row>
    <row r="3651" ht="13" customHeight="1">
      <c r="A3651" s="4" t="n">
        <v>5546</v>
      </c>
      <c r="B3651" s="5" t="inlineStr">
        <is>
          <t>IMG_0143</t>
        </is>
      </c>
      <c r="C3651" s="5" t="inlineStr">
        <is>
          <t>CLASS U: BRICKWORK, BLOCKWORK AND MASONRY</t>
        </is>
      </c>
      <c r="D3651" s="5" t="inlineStr">
        <is>
          <t>05 DENSE CONCRETE BLOCKWORK</t>
        </is>
      </c>
      <c r="E3651" s="5" t="inlineStr">
        <is>
          <t>Walls, built vertical and curved</t>
        </is>
      </c>
      <c r="F3651" s="5" t="inlineStr">
        <is>
          <t>140 mm thick</t>
        </is>
      </c>
      <c r="G3651" s="6" t="inlineStr">
        <is>
          <t>m2</t>
        </is>
      </c>
      <c r="H3651" s="7" t="n">
        <v>0.33</v>
      </c>
      <c r="I3651" s="8" t="n">
        <v>55.63</v>
      </c>
      <c r="J3651" s="8" t="n">
        <v>3.91</v>
      </c>
      <c r="K3651" s="8" t="n">
        <v>18.71</v>
      </c>
      <c r="L3651" s="8" t="n">
        <v>0</v>
      </c>
      <c r="M3651" s="9">
        <f>ROUND(SUM(I3651:L3651),2)</f>
        <v/>
      </c>
      <c r="N3651" s="10">
        <f>ROUND(I3651*'Irish Basis'!$C$6*'Irish Basis'!$C$5,2)</f>
        <v/>
      </c>
      <c r="O3651" s="10">
        <f>ROUND(J3651*'Irish Basis'!$C$7*'Irish Basis'!$C$5,2)</f>
        <v/>
      </c>
      <c r="P3651" s="10">
        <f>ROUND(K3651*'Irish Basis'!$C$8*'Irish Basis'!$C$5,2)</f>
        <v/>
      </c>
      <c r="Q3651" s="10">
        <f>ROUND(L3651*'Irish Basis'!$C$12*'Irish Basis'!$C$5,2)</f>
        <v/>
      </c>
      <c r="R3651" s="11">
        <f>ROUND(SUM(N3651:Q3651),2)</f>
        <v/>
      </c>
      <c r="S3651" s="5" t="inlineStr">
        <is>
          <t>Stated build-up</t>
        </is>
      </c>
      <c r="T3651" s="12" t="inlineStr">
        <is>
          <t>High</t>
        </is>
      </c>
      <c r="U3651" s="8" t="n">
        <v>78.26000000000001</v>
      </c>
      <c r="V3651" s="13">
        <f>IF(U3651="","",ROUND(M3651-U3651,2))</f>
        <v/>
      </c>
      <c r="W3651" s="5" t="n"/>
      <c r="X3651" s="5" t="inlineStr">
        <is>
          <t>Labour + plant + material as published; reconciles to the published rate.</t>
        </is>
      </c>
    </row>
    <row r="3652" ht="13" customHeight="1">
      <c r="A3652" s="4" t="n">
        <v>5547</v>
      </c>
      <c r="B3652" s="5" t="inlineStr">
        <is>
          <t>IMG_0143</t>
        </is>
      </c>
      <c r="C3652" s="5" t="inlineStr">
        <is>
          <t>CLASS U: BRICKWORK, BLOCKWORK AND MASONRY</t>
        </is>
      </c>
      <c r="D3652" s="5" t="inlineStr">
        <is>
          <t>05 DENSE CONCRETE BLOCKWORK</t>
        </is>
      </c>
      <c r="E3652" s="5" t="inlineStr">
        <is>
          <t>Walls, built vertical and curved</t>
        </is>
      </c>
      <c r="F3652" s="5" t="inlineStr">
        <is>
          <t>215 mm thick</t>
        </is>
      </c>
      <c r="G3652" s="6" t="inlineStr">
        <is>
          <t>m2</t>
        </is>
      </c>
      <c r="H3652" s="7" t="n">
        <v>0.45</v>
      </c>
      <c r="I3652" s="8" t="n">
        <v>75.86</v>
      </c>
      <c r="J3652" s="8" t="n">
        <v>5.37</v>
      </c>
      <c r="K3652" s="8" t="n">
        <v>23.89</v>
      </c>
      <c r="L3652" s="8" t="n">
        <v>0</v>
      </c>
      <c r="M3652" s="9">
        <f>ROUND(SUM(I3652:L3652),2)</f>
        <v/>
      </c>
      <c r="N3652" s="10">
        <f>ROUND(I3652*'Irish Basis'!$C$6*'Irish Basis'!$C$5,2)</f>
        <v/>
      </c>
      <c r="O3652" s="10">
        <f>ROUND(J3652*'Irish Basis'!$C$7*'Irish Basis'!$C$5,2)</f>
        <v/>
      </c>
      <c r="P3652" s="10">
        <f>ROUND(K3652*'Irish Basis'!$C$8*'Irish Basis'!$C$5,2)</f>
        <v/>
      </c>
      <c r="Q3652" s="10">
        <f>ROUND(L3652*'Irish Basis'!$C$12*'Irish Basis'!$C$5,2)</f>
        <v/>
      </c>
      <c r="R3652" s="11">
        <f>ROUND(SUM(N3652:Q3652),2)</f>
        <v/>
      </c>
      <c r="S3652" s="5" t="inlineStr">
        <is>
          <t>Stated build-up</t>
        </is>
      </c>
      <c r="T3652" s="12" t="inlineStr">
        <is>
          <t>High</t>
        </is>
      </c>
      <c r="U3652" s="8" t="n">
        <v>105.12</v>
      </c>
      <c r="V3652" s="13">
        <f>IF(U3652="","",ROUND(M3652-U3652,2))</f>
        <v/>
      </c>
      <c r="W3652" s="5" t="n"/>
      <c r="X3652" s="5" t="inlineStr">
        <is>
          <t>Labour + plant + material as published; reconciles to the published rate.</t>
        </is>
      </c>
    </row>
    <row r="3653" ht="13" customHeight="1">
      <c r="A3653" s="4" t="n">
        <v>5549</v>
      </c>
      <c r="B3653" s="5" t="inlineStr">
        <is>
          <t>IMG_0143</t>
        </is>
      </c>
      <c r="C3653" s="5" t="inlineStr">
        <is>
          <t>CLASS U: BRICKWORK, BLOCKWORK AND MASONRY</t>
        </is>
      </c>
      <c r="D3653" s="5" t="inlineStr">
        <is>
          <t>05 DENSE CONCRETE BLOCKWORK</t>
        </is>
      </c>
      <c r="E3653" s="5" t="inlineStr">
        <is>
          <t>Walls, built vertical in facework to concrete</t>
        </is>
      </c>
      <c r="F3653" s="5" t="inlineStr">
        <is>
          <t>100 mm thick</t>
        </is>
      </c>
      <c r="G3653" s="6" t="inlineStr">
        <is>
          <t>m2</t>
        </is>
      </c>
      <c r="H3653" s="7" t="n">
        <v>0.2</v>
      </c>
      <c r="I3653" s="8" t="n">
        <v>33.72</v>
      </c>
      <c r="J3653" s="8" t="n">
        <v>2.34</v>
      </c>
      <c r="K3653" s="8" t="n">
        <v>14.64</v>
      </c>
      <c r="L3653" s="8" t="n">
        <v>0</v>
      </c>
      <c r="M3653" s="9">
        <f>ROUND(SUM(I3653:L3653),2)</f>
        <v/>
      </c>
      <c r="N3653" s="10">
        <f>ROUND(I3653*'Irish Basis'!$C$6*'Irish Basis'!$C$5,2)</f>
        <v/>
      </c>
      <c r="O3653" s="10">
        <f>ROUND(J3653*'Irish Basis'!$C$7*'Irish Basis'!$C$5,2)</f>
        <v/>
      </c>
      <c r="P3653" s="10">
        <f>ROUND(K3653*'Irish Basis'!$C$8*'Irish Basis'!$C$5,2)</f>
        <v/>
      </c>
      <c r="Q3653" s="10">
        <f>ROUND(L3653*'Irish Basis'!$C$12*'Irish Basis'!$C$5,2)</f>
        <v/>
      </c>
      <c r="R3653" s="11">
        <f>ROUND(SUM(N3653:Q3653),2)</f>
        <v/>
      </c>
      <c r="S3653" s="5" t="inlineStr">
        <is>
          <t>Stated build-up</t>
        </is>
      </c>
      <c r="T3653" s="12" t="inlineStr">
        <is>
          <t>High</t>
        </is>
      </c>
      <c r="U3653" s="8" t="n">
        <v>50.7</v>
      </c>
      <c r="V3653" s="13">
        <f>IF(U3653="","",ROUND(M3653-U3653,2))</f>
        <v/>
      </c>
      <c r="W3653" s="5" t="n"/>
      <c r="X3653" s="5" t="inlineStr">
        <is>
          <t>Labour + plant + material as published; reconciles to the published rate.</t>
        </is>
      </c>
    </row>
    <row r="3654" ht="13" customHeight="1">
      <c r="A3654" s="4" t="n">
        <v>5550</v>
      </c>
      <c r="B3654" s="5" t="inlineStr">
        <is>
          <t>IMG_0143</t>
        </is>
      </c>
      <c r="C3654" s="5" t="inlineStr">
        <is>
          <t>CLASS U: BRICKWORK, BLOCKWORK AND MASONRY</t>
        </is>
      </c>
      <c r="D3654" s="5" t="inlineStr">
        <is>
          <t>05 DENSE CONCRETE BLOCKWORK</t>
        </is>
      </c>
      <c r="E3654" s="5" t="inlineStr">
        <is>
          <t>Walls, built vertical in facework to concrete</t>
        </is>
      </c>
      <c r="F3654" s="5" t="inlineStr">
        <is>
          <t>140 mm thick</t>
        </is>
      </c>
      <c r="G3654" s="6" t="inlineStr">
        <is>
          <t>m2</t>
        </is>
      </c>
      <c r="H3654" s="7" t="n">
        <v>0.26</v>
      </c>
      <c r="I3654" s="8" t="n">
        <v>43.83</v>
      </c>
      <c r="J3654" s="8" t="n">
        <v>3.03</v>
      </c>
      <c r="K3654" s="8" t="n">
        <v>22.02</v>
      </c>
      <c r="L3654" s="8" t="n">
        <v>0</v>
      </c>
      <c r="M3654" s="9">
        <f>ROUND(SUM(I3654:L3654),2)</f>
        <v/>
      </c>
      <c r="N3654" s="10">
        <f>ROUND(I3654*'Irish Basis'!$C$6*'Irish Basis'!$C$5,2)</f>
        <v/>
      </c>
      <c r="O3654" s="10">
        <f>ROUND(J3654*'Irish Basis'!$C$7*'Irish Basis'!$C$5,2)</f>
        <v/>
      </c>
      <c r="P3654" s="10">
        <f>ROUND(K3654*'Irish Basis'!$C$8*'Irish Basis'!$C$5,2)</f>
        <v/>
      </c>
      <c r="Q3654" s="10">
        <f>ROUND(L3654*'Irish Basis'!$C$12*'Irish Basis'!$C$5,2)</f>
        <v/>
      </c>
      <c r="R3654" s="11">
        <f>ROUND(SUM(N3654:Q3654),2)</f>
        <v/>
      </c>
      <c r="S3654" s="5" t="inlineStr">
        <is>
          <t>Stated build-up</t>
        </is>
      </c>
      <c r="T3654" s="12" t="inlineStr">
        <is>
          <t>High</t>
        </is>
      </c>
      <c r="U3654" s="8" t="n">
        <v>68.88</v>
      </c>
      <c r="V3654" s="13">
        <f>IF(U3654="","",ROUND(M3654-U3654,2))</f>
        <v/>
      </c>
      <c r="W3654" s="5" t="n"/>
      <c r="X3654" s="5" t="inlineStr">
        <is>
          <t>Labour + plant + material as published; reconciles to the published rate.</t>
        </is>
      </c>
    </row>
    <row r="3655" ht="13" customHeight="1">
      <c r="A3655" s="4" t="n">
        <v>5551</v>
      </c>
      <c r="B3655" s="5" t="inlineStr">
        <is>
          <t>IMG_0143</t>
        </is>
      </c>
      <c r="C3655" s="5" t="inlineStr">
        <is>
          <t>CLASS U: BRICKWORK, BLOCKWORK AND MASONRY</t>
        </is>
      </c>
      <c r="D3655" s="5" t="inlineStr">
        <is>
          <t>05 DENSE CONCRETE BLOCKWORK</t>
        </is>
      </c>
      <c r="E3655" s="5" t="inlineStr">
        <is>
          <t>Walls, built vertical in facework to concrete</t>
        </is>
      </c>
      <c r="F3655" s="5" t="inlineStr">
        <is>
          <t>215 mm thick</t>
        </is>
      </c>
      <c r="G3655" s="6" t="inlineStr">
        <is>
          <t>m2</t>
        </is>
      </c>
      <c r="H3655" s="7" t="n">
        <v>0.35</v>
      </c>
      <c r="I3655" s="8" t="n">
        <v>59.01</v>
      </c>
      <c r="J3655" s="8" t="n">
        <v>4.16</v>
      </c>
      <c r="K3655" s="8" t="n">
        <v>26.48</v>
      </c>
      <c r="L3655" s="8" t="n">
        <v>0</v>
      </c>
      <c r="M3655" s="9">
        <f>ROUND(SUM(I3655:L3655),2)</f>
        <v/>
      </c>
      <c r="N3655" s="10">
        <f>ROUND(I3655*'Irish Basis'!$C$6*'Irish Basis'!$C$5,2)</f>
        <v/>
      </c>
      <c r="O3655" s="10">
        <f>ROUND(J3655*'Irish Basis'!$C$7*'Irish Basis'!$C$5,2)</f>
        <v/>
      </c>
      <c r="P3655" s="10">
        <f>ROUND(K3655*'Irish Basis'!$C$8*'Irish Basis'!$C$5,2)</f>
        <v/>
      </c>
      <c r="Q3655" s="10">
        <f>ROUND(L3655*'Irish Basis'!$C$12*'Irish Basis'!$C$5,2)</f>
        <v/>
      </c>
      <c r="R3655" s="11">
        <f>ROUND(SUM(N3655:Q3655),2)</f>
        <v/>
      </c>
      <c r="S3655" s="5" t="inlineStr">
        <is>
          <t>Stated build-up</t>
        </is>
      </c>
      <c r="T3655" s="12" t="inlineStr">
        <is>
          <t>High</t>
        </is>
      </c>
      <c r="U3655" s="8" t="n">
        <v>89.65000000000001</v>
      </c>
      <c r="V3655" s="13">
        <f>IF(U3655="","",ROUND(M3655-U3655,2))</f>
        <v/>
      </c>
      <c r="W3655" s="5" t="n"/>
      <c r="X3655" s="5" t="inlineStr">
        <is>
          <t>Labour + plant + material as published; reconciles to the published rate.</t>
        </is>
      </c>
    </row>
    <row r="3656" ht="13" customHeight="1">
      <c r="A3656" s="4" t="n">
        <v>5553</v>
      </c>
      <c r="B3656" s="5" t="inlineStr">
        <is>
          <t>IMG_0143</t>
        </is>
      </c>
      <c r="C3656" s="5" t="inlineStr">
        <is>
          <t>CLASS U: BRICKWORK, BLOCKWORK AND MASONRY</t>
        </is>
      </c>
      <c r="D3656" s="5" t="inlineStr">
        <is>
          <t>05 DENSE CONCRETE BLOCKWORK</t>
        </is>
      </c>
      <c r="E3656" s="5" t="inlineStr">
        <is>
          <t>Walls, as casings to metal sections, built vertical and straight</t>
        </is>
      </c>
      <c r="F3656" s="5" t="inlineStr">
        <is>
          <t>100 mm thick</t>
        </is>
      </c>
      <c r="G3656" s="6" t="inlineStr">
        <is>
          <t>m2</t>
        </is>
      </c>
      <c r="H3656" s="7" t="n">
        <v>0.23</v>
      </c>
      <c r="I3656" s="8" t="n">
        <v>38.78</v>
      </c>
      <c r="J3656" s="8" t="n">
        <v>2.73</v>
      </c>
      <c r="K3656" s="8" t="n">
        <v>14.64</v>
      </c>
      <c r="L3656" s="8" t="n">
        <v>0</v>
      </c>
      <c r="M3656" s="9">
        <f>ROUND(SUM(I3656:L3656),2)</f>
        <v/>
      </c>
      <c r="N3656" s="10">
        <f>ROUND(I3656*'Irish Basis'!$C$6*'Irish Basis'!$C$5,2)</f>
        <v/>
      </c>
      <c r="O3656" s="10">
        <f>ROUND(J3656*'Irish Basis'!$C$7*'Irish Basis'!$C$5,2)</f>
        <v/>
      </c>
      <c r="P3656" s="10">
        <f>ROUND(K3656*'Irish Basis'!$C$8*'Irish Basis'!$C$5,2)</f>
        <v/>
      </c>
      <c r="Q3656" s="10">
        <f>ROUND(L3656*'Irish Basis'!$C$12*'Irish Basis'!$C$5,2)</f>
        <v/>
      </c>
      <c r="R3656" s="11">
        <f>ROUND(SUM(N3656:Q3656),2)</f>
        <v/>
      </c>
      <c r="S3656" s="5" t="inlineStr">
        <is>
          <t>Stated build-up</t>
        </is>
      </c>
      <c r="T3656" s="12" t="inlineStr">
        <is>
          <t>High</t>
        </is>
      </c>
      <c r="U3656" s="8" t="n">
        <v>56.14</v>
      </c>
      <c r="V3656" s="13">
        <f>IF(U3656="","",ROUND(M3656-U3656,2))</f>
        <v/>
      </c>
      <c r="W3656" s="5" t="n"/>
      <c r="X3656" s="5" t="inlineStr">
        <is>
          <t>Labour + plant + material as published; reconciles to the published rate.</t>
        </is>
      </c>
    </row>
    <row r="3657" ht="13" customHeight="1">
      <c r="A3657" s="4" t="n">
        <v>5554</v>
      </c>
      <c r="B3657" s="5" t="inlineStr">
        <is>
          <t>IMG_0143</t>
        </is>
      </c>
      <c r="C3657" s="5" t="inlineStr">
        <is>
          <t>CLASS U: BRICKWORK, BLOCKWORK AND MASONRY</t>
        </is>
      </c>
      <c r="D3657" s="5" t="inlineStr">
        <is>
          <t>05 DENSE CONCRETE BLOCKWORK</t>
        </is>
      </c>
      <c r="E3657" s="5" t="inlineStr">
        <is>
          <t>Walls, as casings to metal sections, built vertical and straight</t>
        </is>
      </c>
      <c r="F3657" s="5" t="inlineStr">
        <is>
          <t>140 mm thick</t>
        </is>
      </c>
      <c r="G3657" s="6" t="inlineStr">
        <is>
          <t>m2</t>
        </is>
      </c>
      <c r="H3657" s="7" t="n">
        <v>0.3</v>
      </c>
      <c r="I3657" s="8" t="n">
        <v>50.58</v>
      </c>
      <c r="J3657" s="8" t="n">
        <v>3.5</v>
      </c>
      <c r="K3657" s="8" t="n">
        <v>22.02</v>
      </c>
      <c r="L3657" s="8" t="n">
        <v>0</v>
      </c>
      <c r="M3657" s="9">
        <f>ROUND(SUM(I3657:L3657),2)</f>
        <v/>
      </c>
      <c r="N3657" s="10">
        <f>ROUND(I3657*'Irish Basis'!$C$6*'Irish Basis'!$C$5,2)</f>
        <v/>
      </c>
      <c r="O3657" s="10">
        <f>ROUND(J3657*'Irish Basis'!$C$7*'Irish Basis'!$C$5,2)</f>
        <v/>
      </c>
      <c r="P3657" s="10">
        <f>ROUND(K3657*'Irish Basis'!$C$8*'Irish Basis'!$C$5,2)</f>
        <v/>
      </c>
      <c r="Q3657" s="10">
        <f>ROUND(L3657*'Irish Basis'!$C$12*'Irish Basis'!$C$5,2)</f>
        <v/>
      </c>
      <c r="R3657" s="11">
        <f>ROUND(SUM(N3657:Q3657),2)</f>
        <v/>
      </c>
      <c r="S3657" s="5" t="inlineStr">
        <is>
          <t>Stated build-up</t>
        </is>
      </c>
      <c r="T3657" s="12" t="inlineStr">
        <is>
          <t>High</t>
        </is>
      </c>
      <c r="U3657" s="8" t="n">
        <v>76.09999999999999</v>
      </c>
      <c r="V3657" s="13">
        <f>IF(U3657="","",ROUND(M3657-U3657,2))</f>
        <v/>
      </c>
      <c r="W3657" s="5" t="n"/>
      <c r="X3657" s="5" t="inlineStr">
        <is>
          <t>Labour + plant + material as published; reconciles to the published rate.</t>
        </is>
      </c>
    </row>
    <row r="3658" ht="13" customHeight="1">
      <c r="A3658" s="4" t="n">
        <v>5556</v>
      </c>
      <c r="B3658" s="5" t="inlineStr">
        <is>
          <t>IMG_0143</t>
        </is>
      </c>
      <c r="C3658" s="5" t="inlineStr">
        <is>
          <t>CLASS U: BRICKWORK, BLOCKWORK AND MASONRY</t>
        </is>
      </c>
      <c r="D3658" s="5" t="inlineStr">
        <is>
          <t>05 DENSE CONCRETE BLOCKWORK</t>
        </is>
      </c>
      <c r="E3658" s="5" t="inlineStr">
        <is>
          <t>Columns and piers</t>
        </is>
      </c>
      <c r="F3658" s="5" t="inlineStr">
        <is>
          <t>440 x 100 mm</t>
        </is>
      </c>
      <c r="G3658" s="6" t="inlineStr">
        <is>
          <t>m</t>
        </is>
      </c>
      <c r="H3658" s="7" t="n">
        <v>0.08</v>
      </c>
      <c r="I3658" s="8" t="n">
        <v>13.49</v>
      </c>
      <c r="J3658" s="8" t="n">
        <v>0.9399999999999999</v>
      </c>
      <c r="K3658" s="8" t="n">
        <v>4.69</v>
      </c>
      <c r="L3658" s="8" t="n">
        <v>0</v>
      </c>
      <c r="M3658" s="9">
        <f>ROUND(SUM(I3658:L3658),2)</f>
        <v/>
      </c>
      <c r="N3658" s="10">
        <f>ROUND(I3658*'Irish Basis'!$C$6*'Irish Basis'!$C$5,2)</f>
        <v/>
      </c>
      <c r="O3658" s="10">
        <f>ROUND(J3658*'Irish Basis'!$C$7*'Irish Basis'!$C$5,2)</f>
        <v/>
      </c>
      <c r="P3658" s="10">
        <f>ROUND(K3658*'Irish Basis'!$C$8*'Irish Basis'!$C$5,2)</f>
        <v/>
      </c>
      <c r="Q3658" s="10">
        <f>ROUND(L3658*'Irish Basis'!$C$12*'Irish Basis'!$C$5,2)</f>
        <v/>
      </c>
      <c r="R3658" s="11">
        <f>ROUND(SUM(N3658:Q3658),2)</f>
        <v/>
      </c>
      <c r="S3658" s="5" t="inlineStr">
        <is>
          <t>Stated build-up</t>
        </is>
      </c>
      <c r="T3658" s="12" t="inlineStr">
        <is>
          <t>High</t>
        </is>
      </c>
      <c r="U3658" s="8" t="n">
        <v>19.12</v>
      </c>
      <c r="V3658" s="13">
        <f>IF(U3658="","",ROUND(M3658-U3658,2))</f>
        <v/>
      </c>
      <c r="W3658" s="5" t="n"/>
      <c r="X3658" s="5" t="inlineStr">
        <is>
          <t>Labour + plant + material as published; reconciles to the published rate.</t>
        </is>
      </c>
    </row>
    <row r="3659" ht="13" customHeight="1">
      <c r="A3659" s="4" t="n">
        <v>5557</v>
      </c>
      <c r="B3659" s="5" t="inlineStr">
        <is>
          <t>IMG_0143</t>
        </is>
      </c>
      <c r="C3659" s="5" t="inlineStr">
        <is>
          <t>CLASS U: BRICKWORK, BLOCKWORK AND MASONRY</t>
        </is>
      </c>
      <c r="D3659" s="5" t="inlineStr">
        <is>
          <t>05 DENSE CONCRETE BLOCKWORK</t>
        </is>
      </c>
      <c r="E3659" s="5" t="inlineStr">
        <is>
          <t>Columns and piers</t>
        </is>
      </c>
      <c r="F3659" s="5" t="inlineStr">
        <is>
          <t>890 x 140 mm thick</t>
        </is>
      </c>
      <c r="G3659" s="6" t="inlineStr">
        <is>
          <t>m</t>
        </is>
      </c>
      <c r="H3659" s="7" t="n">
        <v>0.22</v>
      </c>
      <c r="I3659" s="8" t="n">
        <v>37.09</v>
      </c>
      <c r="J3659" s="8" t="n">
        <v>2.62</v>
      </c>
      <c r="K3659" s="8" t="n">
        <v>16.83</v>
      </c>
      <c r="L3659" s="8" t="n">
        <v>0</v>
      </c>
      <c r="M3659" s="9">
        <f>ROUND(SUM(I3659:L3659),2)</f>
        <v/>
      </c>
      <c r="N3659" s="10">
        <f>ROUND(I3659*'Irish Basis'!$C$6*'Irish Basis'!$C$5,2)</f>
        <v/>
      </c>
      <c r="O3659" s="10">
        <f>ROUND(J3659*'Irish Basis'!$C$7*'Irish Basis'!$C$5,2)</f>
        <v/>
      </c>
      <c r="P3659" s="10">
        <f>ROUND(K3659*'Irish Basis'!$C$8*'Irish Basis'!$C$5,2)</f>
        <v/>
      </c>
      <c r="Q3659" s="10">
        <f>ROUND(L3659*'Irish Basis'!$C$12*'Irish Basis'!$C$5,2)</f>
        <v/>
      </c>
      <c r="R3659" s="11">
        <f>ROUND(SUM(N3659:Q3659),2)</f>
        <v/>
      </c>
      <c r="S3659" s="5" t="inlineStr">
        <is>
          <t>Stated build-up</t>
        </is>
      </c>
      <c r="T3659" s="12" t="inlineStr">
        <is>
          <t>High</t>
        </is>
      </c>
      <c r="U3659" s="8" t="n">
        <v>56.53</v>
      </c>
      <c r="V3659" s="13">
        <f>IF(U3659="","",ROUND(M3659-U3659,2))</f>
        <v/>
      </c>
      <c r="W3659" s="5" t="n"/>
      <c r="X3659" s="5" t="inlineStr">
        <is>
          <t>Labour + plant + material as published; reconciles to the published rate.</t>
        </is>
      </c>
    </row>
    <row r="3660" ht="13" customHeight="1">
      <c r="A3660" s="4" t="n">
        <v>5559</v>
      </c>
      <c r="B3660" s="5" t="inlineStr">
        <is>
          <t>IMG_0143</t>
        </is>
      </c>
      <c r="C3660" s="5" t="inlineStr">
        <is>
          <t>CLASS U: BRICKWORK, BLOCKWORK AND MASONRY</t>
        </is>
      </c>
      <c r="D3660" s="5" t="inlineStr">
        <is>
          <t>05 DENSE CONCRETE BLOCKWORK</t>
        </is>
      </c>
      <c r="E3660" s="5" t="inlineStr">
        <is>
          <t>Ancillaries</t>
        </is>
      </c>
      <c r="F3660" s="5" t="inlineStr">
        <is>
          <t>built-in pipes and ducts, cross-sectional area not exceeding 0.05 m2; excluding supply; blockwork 100 mm thick</t>
        </is>
      </c>
      <c r="G3660" s="6" t="inlineStr">
        <is>
          <t>nr</t>
        </is>
      </c>
      <c r="H3660" s="7" t="n">
        <v>0.05</v>
      </c>
      <c r="I3660" s="8" t="n">
        <v>8.43</v>
      </c>
      <c r="J3660" s="8" t="n">
        <v>0.54</v>
      </c>
      <c r="K3660" s="8" t="n">
        <v>0.44</v>
      </c>
      <c r="L3660" s="8" t="n">
        <v>0</v>
      </c>
      <c r="M3660" s="9">
        <f>ROUND(SUM(I3660:L3660),2)</f>
        <v/>
      </c>
      <c r="N3660" s="10">
        <f>ROUND(I3660*'Irish Basis'!$C$6*'Irish Basis'!$C$5,2)</f>
        <v/>
      </c>
      <c r="O3660" s="10">
        <f>ROUND(J3660*'Irish Basis'!$C$7*'Irish Basis'!$C$5,2)</f>
        <v/>
      </c>
      <c r="P3660" s="10">
        <f>ROUND(K3660*'Irish Basis'!$C$8*'Irish Basis'!$C$5,2)</f>
        <v/>
      </c>
      <c r="Q3660" s="10">
        <f>ROUND(L3660*'Irish Basis'!$C$12*'Irish Basis'!$C$5,2)</f>
        <v/>
      </c>
      <c r="R3660" s="11">
        <f>ROUND(SUM(N3660:Q3660),2)</f>
        <v/>
      </c>
      <c r="S3660" s="5" t="inlineStr">
        <is>
          <t>Stated build-up</t>
        </is>
      </c>
      <c r="T3660" s="12" t="inlineStr">
        <is>
          <t>High</t>
        </is>
      </c>
      <c r="U3660" s="8" t="n">
        <v>9.4</v>
      </c>
      <c r="V3660" s="13">
        <f>IF(U3660="","",ROUND(M3660-U3660,2))</f>
        <v/>
      </c>
      <c r="W3660" s="5" t="n"/>
      <c r="X3660" s="5" t="inlineStr">
        <is>
          <t>Labour + plant + material as published; reconciles to the published rate.</t>
        </is>
      </c>
    </row>
    <row r="3661" ht="13" customHeight="1">
      <c r="A3661" s="4" t="n">
        <v>5560</v>
      </c>
      <c r="B3661" s="5" t="inlineStr">
        <is>
          <t>IMG_0143</t>
        </is>
      </c>
      <c r="C3661" s="5" t="inlineStr">
        <is>
          <t>CLASS U: BRICKWORK, BLOCKWORK AND MASONRY</t>
        </is>
      </c>
      <c r="D3661" s="5" t="inlineStr">
        <is>
          <t>05 DENSE CONCRETE BLOCKWORK</t>
        </is>
      </c>
      <c r="E3661" s="5" t="inlineStr">
        <is>
          <t>Ancillaries</t>
        </is>
      </c>
      <c r="F3661" s="5" t="inlineStr">
        <is>
          <t>built-in pipes and ducts, cross-sectional area not exceeding 0.05 m2; excluding supply; blockwork 140 mm thick</t>
        </is>
      </c>
      <c r="G3661" s="6" t="inlineStr">
        <is>
          <t>nr</t>
        </is>
      </c>
      <c r="H3661" s="7" t="n">
        <v>0.1</v>
      </c>
      <c r="I3661" s="8" t="n">
        <v>16.86</v>
      </c>
      <c r="J3661" s="8" t="n">
        <v>1.19</v>
      </c>
      <c r="K3661" s="8" t="n">
        <v>1.27</v>
      </c>
      <c r="L3661" s="8" t="n">
        <v>0</v>
      </c>
      <c r="M3661" s="9">
        <f>ROUND(SUM(I3661:L3661),2)</f>
        <v/>
      </c>
      <c r="N3661" s="10">
        <f>ROUND(I3661*'Irish Basis'!$C$6*'Irish Basis'!$C$5,2)</f>
        <v/>
      </c>
      <c r="O3661" s="10">
        <f>ROUND(J3661*'Irish Basis'!$C$7*'Irish Basis'!$C$5,2)</f>
        <v/>
      </c>
      <c r="P3661" s="10">
        <f>ROUND(K3661*'Irish Basis'!$C$8*'Irish Basis'!$C$5,2)</f>
        <v/>
      </c>
      <c r="Q3661" s="10">
        <f>ROUND(L3661*'Irish Basis'!$C$12*'Irish Basis'!$C$5,2)</f>
        <v/>
      </c>
      <c r="R3661" s="11">
        <f>ROUND(SUM(N3661:Q3661),2)</f>
        <v/>
      </c>
      <c r="S3661" s="5" t="inlineStr">
        <is>
          <t>Stated build-up</t>
        </is>
      </c>
      <c r="T3661" s="12" t="inlineStr">
        <is>
          <t>High</t>
        </is>
      </c>
      <c r="U3661" s="8" t="n">
        <v>19.32</v>
      </c>
      <c r="V3661" s="13">
        <f>IF(U3661="","",ROUND(M3661-U3661,2))</f>
        <v/>
      </c>
      <c r="W3661" s="5" t="n"/>
      <c r="X3661" s="5" t="inlineStr">
        <is>
          <t>Labour + plant + material as published; reconciles to the published rate.</t>
        </is>
      </c>
    </row>
    <row r="3662" ht="13" customHeight="1">
      <c r="A3662" s="4" t="n">
        <v>5561</v>
      </c>
      <c r="B3662" s="5" t="inlineStr">
        <is>
          <t>IMG_0143</t>
        </is>
      </c>
      <c r="C3662" s="5" t="inlineStr">
        <is>
          <t>CLASS U: BRICKWORK, BLOCKWORK AND MASONRY</t>
        </is>
      </c>
      <c r="D3662" s="5" t="inlineStr">
        <is>
          <t>05 DENSE CONCRETE BLOCKWORK</t>
        </is>
      </c>
      <c r="E3662" s="5" t="inlineStr">
        <is>
          <t>Ancillaries</t>
        </is>
      </c>
      <c r="F3662" s="5" t="inlineStr">
        <is>
          <t>built-in pipes and ducts, cross-sectional area not exceeding 0.05 m2; excluding supply; blockwork 215 mm thick</t>
        </is>
      </c>
      <c r="G3662" s="6" t="inlineStr">
        <is>
          <t>nr</t>
        </is>
      </c>
      <c r="H3662" s="7" t="n">
        <v>0.14</v>
      </c>
      <c r="I3662" s="8" t="n">
        <v>23.6</v>
      </c>
      <c r="J3662" s="8" t="n">
        <v>1.6</v>
      </c>
      <c r="K3662" s="8" t="n">
        <v>1.5</v>
      </c>
      <c r="L3662" s="8" t="n">
        <v>0</v>
      </c>
      <c r="M3662" s="9">
        <f>ROUND(SUM(I3662:L3662),2)</f>
        <v/>
      </c>
      <c r="N3662" s="10">
        <f>ROUND(I3662*'Irish Basis'!$C$6*'Irish Basis'!$C$5,2)</f>
        <v/>
      </c>
      <c r="O3662" s="10">
        <f>ROUND(J3662*'Irish Basis'!$C$7*'Irish Basis'!$C$5,2)</f>
        <v/>
      </c>
      <c r="P3662" s="10">
        <f>ROUND(K3662*'Irish Basis'!$C$8*'Irish Basis'!$C$5,2)</f>
        <v/>
      </c>
      <c r="Q3662" s="10">
        <f>ROUND(L3662*'Irish Basis'!$C$12*'Irish Basis'!$C$5,2)</f>
        <v/>
      </c>
      <c r="R3662" s="11">
        <f>ROUND(SUM(N3662:Q3662),2)</f>
        <v/>
      </c>
      <c r="S3662" s="5" t="inlineStr">
        <is>
          <t>Stated build-up</t>
        </is>
      </c>
      <c r="T3662" s="12" t="inlineStr">
        <is>
          <t>High</t>
        </is>
      </c>
      <c r="U3662" s="8" t="n">
        <v>26.7</v>
      </c>
      <c r="V3662" s="13">
        <f>IF(U3662="","",ROUND(M3662-U3662,2))</f>
        <v/>
      </c>
      <c r="W3662" s="5" t="n"/>
      <c r="X3662" s="5" t="inlineStr">
        <is>
          <t>Labour + plant + material as published; reconciles to the published rate.</t>
        </is>
      </c>
    </row>
    <row r="3663" ht="13" customHeight="1">
      <c r="A3663" s="4" t="n">
        <v>5562</v>
      </c>
      <c r="B3663" s="5" t="inlineStr">
        <is>
          <t>IMG_0143</t>
        </is>
      </c>
      <c r="C3663" s="5" t="inlineStr">
        <is>
          <t>CLASS U: BRICKWORK, BLOCKWORK AND MASONRY</t>
        </is>
      </c>
      <c r="D3663" s="5" t="inlineStr">
        <is>
          <t>05 DENSE CONCRETE BLOCKWORK</t>
        </is>
      </c>
      <c r="E3663" s="5" t="inlineStr">
        <is>
          <t>Ancillaries</t>
        </is>
      </c>
      <c r="F3663" s="5" t="inlineStr">
        <is>
          <t>built-in pipes and ducts, cross-sectional area 0.05-0.25 m2; excluding supply; blockwork 100 mm thick</t>
        </is>
      </c>
      <c r="G3663" s="6" t="inlineStr">
        <is>
          <t>nr</t>
        </is>
      </c>
      <c r="H3663" s="7" t="n">
        <v>0.14</v>
      </c>
      <c r="I3663" s="8" t="n">
        <v>23.6</v>
      </c>
      <c r="J3663" s="8" t="n">
        <v>1.6</v>
      </c>
      <c r="K3663" s="8" t="n">
        <v>1.58</v>
      </c>
      <c r="L3663" s="8" t="n">
        <v>0</v>
      </c>
      <c r="M3663" s="9">
        <f>ROUND(SUM(I3663:L3663),2)</f>
        <v/>
      </c>
      <c r="N3663" s="10">
        <f>ROUND(I3663*'Irish Basis'!$C$6*'Irish Basis'!$C$5,2)</f>
        <v/>
      </c>
      <c r="O3663" s="10">
        <f>ROUND(J3663*'Irish Basis'!$C$7*'Irish Basis'!$C$5,2)</f>
        <v/>
      </c>
      <c r="P3663" s="10">
        <f>ROUND(K3663*'Irish Basis'!$C$8*'Irish Basis'!$C$5,2)</f>
        <v/>
      </c>
      <c r="Q3663" s="10">
        <f>ROUND(L3663*'Irish Basis'!$C$12*'Irish Basis'!$C$5,2)</f>
        <v/>
      </c>
      <c r="R3663" s="11">
        <f>ROUND(SUM(N3663:Q3663),2)</f>
        <v/>
      </c>
      <c r="S3663" s="5" t="inlineStr">
        <is>
          <t>Stated build-up</t>
        </is>
      </c>
      <c r="T3663" s="12" t="inlineStr">
        <is>
          <t>High</t>
        </is>
      </c>
      <c r="U3663" s="8" t="n">
        <v>26.79</v>
      </c>
      <c r="V3663" s="13">
        <f>IF(U3663="","",ROUND(M3663-U3663,2))</f>
        <v/>
      </c>
      <c r="W3663" s="5" t="n"/>
      <c r="X3663" s="5" t="inlineStr">
        <is>
          <t>Labour + plant + material as published; reconciles to the published rate.</t>
        </is>
      </c>
    </row>
    <row r="3664" ht="13" customHeight="1">
      <c r="A3664" s="4" t="n">
        <v>5563</v>
      </c>
      <c r="B3664" s="5" t="inlineStr">
        <is>
          <t>IMG_0143</t>
        </is>
      </c>
      <c r="C3664" s="5" t="inlineStr">
        <is>
          <t>CLASS U: BRICKWORK, BLOCKWORK AND MASONRY</t>
        </is>
      </c>
      <c r="D3664" s="5" t="inlineStr">
        <is>
          <t>05 DENSE CONCRETE BLOCKWORK</t>
        </is>
      </c>
      <c r="E3664" s="5" t="inlineStr">
        <is>
          <t>Ancillaries</t>
        </is>
      </c>
      <c r="F3664" s="5" t="inlineStr">
        <is>
          <t>built-in pipes and ducts, cross-sectional area 0.05-0.25 m2; excluding supply; blockwork 140 mm thick</t>
        </is>
      </c>
      <c r="G3664" s="6" t="inlineStr">
        <is>
          <t>nr</t>
        </is>
      </c>
      <c r="H3664" s="7" t="n">
        <v>0.19</v>
      </c>
      <c r="I3664" s="8" t="n">
        <v>32.03</v>
      </c>
      <c r="J3664" s="8" t="n">
        <v>2.26</v>
      </c>
      <c r="K3664" s="8" t="n">
        <v>2.7</v>
      </c>
      <c r="L3664" s="8" t="n">
        <v>0</v>
      </c>
      <c r="M3664" s="9">
        <f>ROUND(SUM(I3664:L3664),2)</f>
        <v/>
      </c>
      <c r="N3664" s="10">
        <f>ROUND(I3664*'Irish Basis'!$C$6*'Irish Basis'!$C$5,2)</f>
        <v/>
      </c>
      <c r="O3664" s="10">
        <f>ROUND(J3664*'Irish Basis'!$C$7*'Irish Basis'!$C$5,2)</f>
        <v/>
      </c>
      <c r="P3664" s="10">
        <f>ROUND(K3664*'Irish Basis'!$C$8*'Irish Basis'!$C$5,2)</f>
        <v/>
      </c>
      <c r="Q3664" s="10">
        <f>ROUND(L3664*'Irish Basis'!$C$12*'Irish Basis'!$C$5,2)</f>
        <v/>
      </c>
      <c r="R3664" s="11">
        <f>ROUND(SUM(N3664:Q3664),2)</f>
        <v/>
      </c>
      <c r="S3664" s="5" t="inlineStr">
        <is>
          <t>Stated build-up</t>
        </is>
      </c>
      <c r="T3664" s="12" t="inlineStr">
        <is>
          <t>High</t>
        </is>
      </c>
      <c r="U3664" s="8" t="n">
        <v>36.99</v>
      </c>
      <c r="V3664" s="13">
        <f>IF(U3664="","",ROUND(M3664-U3664,2))</f>
        <v/>
      </c>
      <c r="W3664" s="5" t="n"/>
      <c r="X3664" s="5" t="inlineStr">
        <is>
          <t>Labour + plant + material as published; reconciles to the published rate.</t>
        </is>
      </c>
    </row>
    <row r="3665" ht="13" customHeight="1">
      <c r="A3665" s="4" t="n">
        <v>5564</v>
      </c>
      <c r="B3665" s="5" t="inlineStr">
        <is>
          <t>IMG_0143</t>
        </is>
      </c>
      <c r="C3665" s="5" t="inlineStr">
        <is>
          <t>CLASS U: BRICKWORK, BLOCKWORK AND MASONRY</t>
        </is>
      </c>
      <c r="D3665" s="5" t="inlineStr">
        <is>
          <t>05 DENSE CONCRETE BLOCKWORK</t>
        </is>
      </c>
      <c r="E3665" s="5" t="inlineStr">
        <is>
          <t>Ancillaries</t>
        </is>
      </c>
      <c r="F3665" s="5" t="inlineStr">
        <is>
          <t>built-in pipes and ducts, cross-sectional area 0.05-0.25 m2; excluding supply; blockwork 215 mm thick</t>
        </is>
      </c>
      <c r="G3665" s="6" t="inlineStr">
        <is>
          <t>nr</t>
        </is>
      </c>
      <c r="H3665" s="7" t="n">
        <v>0.27</v>
      </c>
      <c r="I3665" s="8" t="n">
        <v>45.52</v>
      </c>
      <c r="J3665" s="8" t="n">
        <v>3.21</v>
      </c>
      <c r="K3665" s="8" t="n">
        <v>3.04</v>
      </c>
      <c r="L3665" s="8" t="n">
        <v>0</v>
      </c>
      <c r="M3665" s="9">
        <f>ROUND(SUM(I3665:L3665),2)</f>
        <v/>
      </c>
      <c r="N3665" s="10">
        <f>ROUND(I3665*'Irish Basis'!$C$6*'Irish Basis'!$C$5,2)</f>
        <v/>
      </c>
      <c r="O3665" s="10">
        <f>ROUND(J3665*'Irish Basis'!$C$7*'Irish Basis'!$C$5,2)</f>
        <v/>
      </c>
      <c r="P3665" s="10">
        <f>ROUND(K3665*'Irish Basis'!$C$8*'Irish Basis'!$C$5,2)</f>
        <v/>
      </c>
      <c r="Q3665" s="10">
        <f>ROUND(L3665*'Irish Basis'!$C$12*'Irish Basis'!$C$5,2)</f>
        <v/>
      </c>
      <c r="R3665" s="11">
        <f>ROUND(SUM(N3665:Q3665),2)</f>
        <v/>
      </c>
      <c r="S3665" s="5" t="inlineStr">
        <is>
          <t>Stated build-up</t>
        </is>
      </c>
      <c r="T3665" s="12" t="inlineStr">
        <is>
          <t>High</t>
        </is>
      </c>
      <c r="U3665" s="8" t="n">
        <v>51.76</v>
      </c>
      <c r="V3665" s="13">
        <f>IF(U3665="","",ROUND(M3665-U3665,2))</f>
        <v/>
      </c>
      <c r="W3665" s="5" t="n"/>
      <c r="X3665" s="5" t="inlineStr">
        <is>
          <t>Labour + plant + material as published; reconciles to the published rate.</t>
        </is>
      </c>
    </row>
    <row r="3666" ht="13" customHeight="1">
      <c r="A3666" s="4" t="n">
        <v>5565</v>
      </c>
      <c r="B3666" s="5" t="inlineStr">
        <is>
          <t>IMG_0143</t>
        </is>
      </c>
      <c r="C3666" s="5" t="inlineStr">
        <is>
          <t>CLASS U: BRICKWORK, BLOCKWORK AND MASONRY</t>
        </is>
      </c>
      <c r="D3666" s="5" t="inlineStr">
        <is>
          <t>05 DENSE CONCRETE BLOCKWORK</t>
        </is>
      </c>
      <c r="E3666" s="5" t="inlineStr">
        <is>
          <t>Ancillaries</t>
        </is>
      </c>
      <c r="F3666" s="5" t="inlineStr">
        <is>
          <t>built-in pipes and ducts, cross-sectional area 0.25-0.5 m2; excluding supply; blockwork 100 mm thick</t>
        </is>
      </c>
      <c r="G3666" s="6" t="inlineStr">
        <is>
          <t>nr</t>
        </is>
      </c>
      <c r="H3666" s="7" t="n">
        <v>0.16</v>
      </c>
      <c r="I3666" s="8" t="n">
        <v>26.97</v>
      </c>
      <c r="J3666" s="8" t="n">
        <v>1.93</v>
      </c>
      <c r="K3666" s="8" t="n">
        <v>1.95</v>
      </c>
      <c r="L3666" s="8" t="n">
        <v>0</v>
      </c>
      <c r="M3666" s="9">
        <f>ROUND(SUM(I3666:L3666),2)</f>
        <v/>
      </c>
      <c r="N3666" s="10">
        <f>ROUND(I3666*'Irish Basis'!$C$6*'Irish Basis'!$C$5,2)</f>
        <v/>
      </c>
      <c r="O3666" s="10">
        <f>ROUND(J3666*'Irish Basis'!$C$7*'Irish Basis'!$C$5,2)</f>
        <v/>
      </c>
      <c r="P3666" s="10">
        <f>ROUND(K3666*'Irish Basis'!$C$8*'Irish Basis'!$C$5,2)</f>
        <v/>
      </c>
      <c r="Q3666" s="10">
        <f>ROUND(L3666*'Irish Basis'!$C$12*'Irish Basis'!$C$5,2)</f>
        <v/>
      </c>
      <c r="R3666" s="11">
        <f>ROUND(SUM(N3666:Q3666),2)</f>
        <v/>
      </c>
      <c r="S3666" s="5" t="inlineStr">
        <is>
          <t>Stated build-up</t>
        </is>
      </c>
      <c r="T3666" s="12" t="inlineStr">
        <is>
          <t>High</t>
        </is>
      </c>
      <c r="U3666" s="8" t="n">
        <v>30.86</v>
      </c>
      <c r="V3666" s="13">
        <f>IF(U3666="","",ROUND(M3666-U3666,2))</f>
        <v/>
      </c>
      <c r="W3666" s="5" t="n"/>
      <c r="X3666" s="5" t="inlineStr">
        <is>
          <t>Labour + plant + material as published; reconciles to the published rate.</t>
        </is>
      </c>
    </row>
    <row r="3667" ht="13" customHeight="1">
      <c r="A3667" s="4" t="n">
        <v>5566</v>
      </c>
      <c r="B3667" s="5" t="inlineStr">
        <is>
          <t>IMG_0143</t>
        </is>
      </c>
      <c r="C3667" s="5" t="inlineStr">
        <is>
          <t>CLASS U: BRICKWORK, BLOCKWORK AND MASONRY</t>
        </is>
      </c>
      <c r="D3667" s="5" t="inlineStr">
        <is>
          <t>05 DENSE CONCRETE BLOCKWORK</t>
        </is>
      </c>
      <c r="E3667" s="5" t="inlineStr">
        <is>
          <t>Ancillaries</t>
        </is>
      </c>
      <c r="F3667" s="5" t="inlineStr">
        <is>
          <t>built-in pipes and ducts, cross-sectional area 0.25-0.5 m2; excluding supply; blockwork 140 mm thick</t>
        </is>
      </c>
      <c r="G3667" s="6" t="inlineStr">
        <is>
          <t>nr</t>
        </is>
      </c>
      <c r="H3667" s="7" t="n">
        <v>0.23</v>
      </c>
      <c r="I3667" s="8" t="n">
        <v>38.78</v>
      </c>
      <c r="J3667" s="8" t="n">
        <v>2.73</v>
      </c>
      <c r="K3667" s="8" t="n">
        <v>2.75</v>
      </c>
      <c r="L3667" s="8" t="n">
        <v>0</v>
      </c>
      <c r="M3667" s="9">
        <f>ROUND(SUM(I3667:L3667),2)</f>
        <v/>
      </c>
      <c r="N3667" s="10">
        <f>ROUND(I3667*'Irish Basis'!$C$6*'Irish Basis'!$C$5,2)</f>
        <v/>
      </c>
      <c r="O3667" s="10">
        <f>ROUND(J3667*'Irish Basis'!$C$7*'Irish Basis'!$C$5,2)</f>
        <v/>
      </c>
      <c r="P3667" s="10">
        <f>ROUND(K3667*'Irish Basis'!$C$8*'Irish Basis'!$C$5,2)</f>
        <v/>
      </c>
      <c r="Q3667" s="10">
        <f>ROUND(L3667*'Irish Basis'!$C$12*'Irish Basis'!$C$5,2)</f>
        <v/>
      </c>
      <c r="R3667" s="11">
        <f>ROUND(SUM(N3667:Q3667),2)</f>
        <v/>
      </c>
      <c r="S3667" s="5" t="inlineStr">
        <is>
          <t>Stated build-up</t>
        </is>
      </c>
      <c r="T3667" s="12" t="inlineStr">
        <is>
          <t>High</t>
        </is>
      </c>
      <c r="U3667" s="8" t="n">
        <v>44.26</v>
      </c>
      <c r="V3667" s="13">
        <f>IF(U3667="","",ROUND(M3667-U3667,2))</f>
        <v/>
      </c>
      <c r="W3667" s="5" t="n"/>
      <c r="X3667" s="5" t="inlineStr">
        <is>
          <t>Labour + plant + material as published; reconciles to the published rate.</t>
        </is>
      </c>
    </row>
    <row r="3668" ht="13" customHeight="1">
      <c r="A3668" s="4" t="n">
        <v>5567</v>
      </c>
      <c r="B3668" s="5" t="inlineStr">
        <is>
          <t>IMG_0143</t>
        </is>
      </c>
      <c r="C3668" s="5" t="inlineStr">
        <is>
          <t>CLASS U: BRICKWORK, BLOCKWORK AND MASONRY</t>
        </is>
      </c>
      <c r="D3668" s="5" t="inlineStr">
        <is>
          <t>05 DENSE CONCRETE BLOCKWORK</t>
        </is>
      </c>
      <c r="E3668" s="5" t="inlineStr">
        <is>
          <t>Ancillaries</t>
        </is>
      </c>
      <c r="F3668" s="5" t="inlineStr">
        <is>
          <t>built-in pipes and ducts, cross-sectional area 0.25-0.5 m2; excluding supply; blockwork 215 mm thick</t>
        </is>
      </c>
      <c r="G3668" s="6" t="inlineStr">
        <is>
          <t>nr</t>
        </is>
      </c>
      <c r="H3668" s="7" t="n">
        <v>0.32</v>
      </c>
      <c r="I3668" s="8" t="n">
        <v>53.95</v>
      </c>
      <c r="J3668" s="8" t="n">
        <v>3.8</v>
      </c>
      <c r="K3668" s="8" t="n">
        <v>3.61</v>
      </c>
      <c r="L3668" s="8" t="n">
        <v>0</v>
      </c>
      <c r="M3668" s="9">
        <f>ROUND(SUM(I3668:L3668),2)</f>
        <v/>
      </c>
      <c r="N3668" s="10">
        <f>ROUND(I3668*'Irish Basis'!$C$6*'Irish Basis'!$C$5,2)</f>
        <v/>
      </c>
      <c r="O3668" s="10">
        <f>ROUND(J3668*'Irish Basis'!$C$7*'Irish Basis'!$C$5,2)</f>
        <v/>
      </c>
      <c r="P3668" s="10">
        <f>ROUND(K3668*'Irish Basis'!$C$8*'Irish Basis'!$C$5,2)</f>
        <v/>
      </c>
      <c r="Q3668" s="10">
        <f>ROUND(L3668*'Irish Basis'!$C$12*'Irish Basis'!$C$5,2)</f>
        <v/>
      </c>
      <c r="R3668" s="11">
        <f>ROUND(SUM(N3668:Q3668),2)</f>
        <v/>
      </c>
      <c r="S3668" s="5" t="inlineStr">
        <is>
          <t>Stated build-up</t>
        </is>
      </c>
      <c r="T3668" s="12" t="inlineStr">
        <is>
          <t>High</t>
        </is>
      </c>
      <c r="U3668" s="8" t="n">
        <v>61.36</v>
      </c>
      <c r="V3668" s="13">
        <f>IF(U3668="","",ROUND(M3668-U3668,2))</f>
        <v/>
      </c>
      <c r="W3668" s="5" t="n"/>
      <c r="X3668" s="5" t="inlineStr">
        <is>
          <t>Labour + plant + material as published; reconciles to the published rate.</t>
        </is>
      </c>
    </row>
    <row r="3669" ht="13" customHeight="1">
      <c r="A3669" s="4" t="n">
        <v>5570</v>
      </c>
      <c r="B3669" s="5" t="inlineStr">
        <is>
          <t>IMG_0143</t>
        </is>
      </c>
      <c r="C3669" s="5" t="inlineStr">
        <is>
          <t>CLASS U: BRICKWORK, BLOCKWORK AND MASONRY</t>
        </is>
      </c>
      <c r="D3669" s="5" t="inlineStr">
        <is>
          <t>06 ARTIFICIAL STONE BLOCKWORK</t>
        </is>
      </c>
      <c r="E3669" s="5" t="inlineStr">
        <is>
          <t>Reconstituted stone masonry blocks; Bradstone 100 bed weathered Cotswold or North Cerney rough hewn rockfaced blocks; in coloured cement-lime mortar designation (iii); Thickness 100 mm vertical facing</t>
        </is>
      </c>
      <c r="F3669" s="5" t="inlineStr">
        <is>
          <t>vertical straight walls</t>
        </is>
      </c>
      <c r="G3669" s="6" t="inlineStr">
        <is>
          <t>m2</t>
        </is>
      </c>
      <c r="H3669" s="7" t="n">
        <v>0.3</v>
      </c>
      <c r="I3669" s="8" t="n">
        <v>50.58</v>
      </c>
      <c r="J3669" s="8" t="n">
        <v>3.56</v>
      </c>
      <c r="K3669" s="8" t="n">
        <v>83.20999999999999</v>
      </c>
      <c r="L3669" s="8" t="n">
        <v>0</v>
      </c>
      <c r="M3669" s="9">
        <f>ROUND(SUM(I3669:L3669),2)</f>
        <v/>
      </c>
      <c r="N3669" s="10">
        <f>ROUND(I3669*'Irish Basis'!$C$6*'Irish Basis'!$C$5,2)</f>
        <v/>
      </c>
      <c r="O3669" s="10">
        <f>ROUND(J3669*'Irish Basis'!$C$7*'Irish Basis'!$C$5,2)</f>
        <v/>
      </c>
      <c r="P3669" s="10">
        <f>ROUND(K3669*'Irish Basis'!$C$8*'Irish Basis'!$C$5,2)</f>
        <v/>
      </c>
      <c r="Q3669" s="10">
        <f>ROUND(L3669*'Irish Basis'!$C$12*'Irish Basis'!$C$5,2)</f>
        <v/>
      </c>
      <c r="R3669" s="11">
        <f>ROUND(SUM(N3669:Q3669),2)</f>
        <v/>
      </c>
      <c r="S3669" s="5" t="inlineStr">
        <is>
          <t>Stated build-up</t>
        </is>
      </c>
      <c r="T3669" s="12" t="inlineStr">
        <is>
          <t>High</t>
        </is>
      </c>
      <c r="U3669" s="8" t="n">
        <v>137.34</v>
      </c>
      <c r="V3669" s="13">
        <f>IF(U3669="","",ROUND(M3669-U3669,2))</f>
        <v/>
      </c>
      <c r="W3669" s="5" t="n"/>
      <c r="X3669" s="5" t="inlineStr">
        <is>
          <t>Labour + plant + material as published; reconciles to the published rate.</t>
        </is>
      </c>
    </row>
    <row r="3670" ht="13" customHeight="1">
      <c r="A3670" s="4" t="n">
        <v>5571</v>
      </c>
      <c r="B3670" s="5" t="inlineStr">
        <is>
          <t>IMG_0143</t>
        </is>
      </c>
      <c r="C3670" s="5" t="inlineStr">
        <is>
          <t>CLASS U: BRICKWORK, BLOCKWORK AND MASONRY</t>
        </is>
      </c>
      <c r="D3670" s="5" t="inlineStr">
        <is>
          <t>06 ARTIFICIAL STONE BLOCKWORK</t>
        </is>
      </c>
      <c r="E3670" s="5" t="inlineStr">
        <is>
          <t>Reconstituted stone masonry blocks; Bradstone 100 bed weathered Cotswold or North Cerney rough hewn rockfaced blocks; in coloured cement-lime mortar designation (iii); Thickness 100 mm vertical facing</t>
        </is>
      </c>
      <c r="F3670" s="5" t="inlineStr">
        <is>
          <t>vertical curved walls</t>
        </is>
      </c>
      <c r="G3670" s="6" t="inlineStr">
        <is>
          <t>m2</t>
        </is>
      </c>
      <c r="H3670" s="7" t="n">
        <v>0.39</v>
      </c>
      <c r="I3670" s="8" t="n">
        <v>65.75</v>
      </c>
      <c r="J3670" s="8" t="n">
        <v>4.63</v>
      </c>
      <c r="K3670" s="8" t="n">
        <v>83.20999999999999</v>
      </c>
      <c r="L3670" s="8" t="n">
        <v>0</v>
      </c>
      <c r="M3670" s="9">
        <f>ROUND(SUM(I3670:L3670),2)</f>
        <v/>
      </c>
      <c r="N3670" s="10">
        <f>ROUND(I3670*'Irish Basis'!$C$6*'Irish Basis'!$C$5,2)</f>
        <v/>
      </c>
      <c r="O3670" s="10">
        <f>ROUND(J3670*'Irish Basis'!$C$7*'Irish Basis'!$C$5,2)</f>
        <v/>
      </c>
      <c r="P3670" s="10">
        <f>ROUND(K3670*'Irish Basis'!$C$8*'Irish Basis'!$C$5,2)</f>
        <v/>
      </c>
      <c r="Q3670" s="10">
        <f>ROUND(L3670*'Irish Basis'!$C$12*'Irish Basis'!$C$5,2)</f>
        <v/>
      </c>
      <c r="R3670" s="11">
        <f>ROUND(SUM(N3670:Q3670),2)</f>
        <v/>
      </c>
      <c r="S3670" s="5" t="inlineStr">
        <is>
          <t>Stated build-up</t>
        </is>
      </c>
      <c r="T3670" s="12" t="inlineStr">
        <is>
          <t>High</t>
        </is>
      </c>
      <c r="U3670" s="8" t="n">
        <v>153.59</v>
      </c>
      <c r="V3670" s="13">
        <f>IF(U3670="","",ROUND(M3670-U3670,2))</f>
        <v/>
      </c>
      <c r="W3670" s="5" t="n"/>
      <c r="X3670" s="5" t="inlineStr">
        <is>
          <t>Labour + plant + material as published; reconciles to the published rate.</t>
        </is>
      </c>
    </row>
    <row r="3671" ht="13" customHeight="1">
      <c r="A3671" s="4" t="n">
        <v>5572</v>
      </c>
      <c r="B3671" s="5" t="inlineStr">
        <is>
          <t>IMG_0143</t>
        </is>
      </c>
      <c r="C3671" s="5" t="inlineStr">
        <is>
          <t>CLASS U: BRICKWORK, BLOCKWORK AND MASONRY</t>
        </is>
      </c>
      <c r="D3671" s="5" t="inlineStr">
        <is>
          <t>06 ARTIFICIAL STONE BLOCKWORK</t>
        </is>
      </c>
      <c r="E3671" s="5" t="inlineStr">
        <is>
          <t>Reconstituted stone masonry blocks; Bradstone 100 bed weathered Cotswold or North Cerney rough hewn rockfaced blocks; in coloured cement-lime mortar designation (iii); Thickness 100 mm vertical facing</t>
        </is>
      </c>
      <c r="F3671" s="5" t="inlineStr">
        <is>
          <t>vertical facework to concrete</t>
        </is>
      </c>
      <c r="G3671" s="6" t="inlineStr">
        <is>
          <t>m2</t>
        </is>
      </c>
      <c r="H3671" s="7" t="n">
        <v>0.31</v>
      </c>
      <c r="I3671" s="8" t="n">
        <v>52.26</v>
      </c>
      <c r="J3671" s="8" t="n">
        <v>3.7</v>
      </c>
      <c r="K3671" s="8" t="n">
        <v>83.25</v>
      </c>
      <c r="L3671" s="8" t="n">
        <v>0</v>
      </c>
      <c r="M3671" s="9">
        <f>ROUND(SUM(I3671:L3671),2)</f>
        <v/>
      </c>
      <c r="N3671" s="10">
        <f>ROUND(I3671*'Irish Basis'!$C$6*'Irish Basis'!$C$5,2)</f>
        <v/>
      </c>
      <c r="O3671" s="10">
        <f>ROUND(J3671*'Irish Basis'!$C$7*'Irish Basis'!$C$5,2)</f>
        <v/>
      </c>
      <c r="P3671" s="10">
        <f>ROUND(K3671*'Irish Basis'!$C$8*'Irish Basis'!$C$5,2)</f>
        <v/>
      </c>
      <c r="Q3671" s="10">
        <f>ROUND(L3671*'Irish Basis'!$C$12*'Irish Basis'!$C$5,2)</f>
        <v/>
      </c>
      <c r="R3671" s="11">
        <f>ROUND(SUM(N3671:Q3671),2)</f>
        <v/>
      </c>
      <c r="S3671" s="5" t="inlineStr">
        <is>
          <t>Stated build-up</t>
        </is>
      </c>
      <c r="T3671" s="12" t="inlineStr">
        <is>
          <t>High</t>
        </is>
      </c>
      <c r="U3671" s="8" t="n">
        <v>139.22</v>
      </c>
      <c r="V3671" s="13">
        <f>IF(U3671="","",ROUND(M3671-U3671,2))</f>
        <v/>
      </c>
      <c r="W3671" s="5" t="n"/>
      <c r="X3671" s="5" t="inlineStr">
        <is>
          <t>Labour + plant + material as published; reconciles to the published rate.</t>
        </is>
      </c>
    </row>
    <row r="3672" ht="13" customHeight="1">
      <c r="A3672" s="4" t="n">
        <v>5573</v>
      </c>
      <c r="B3672" s="5" t="inlineStr">
        <is>
          <t>IMG_0143</t>
        </is>
      </c>
      <c r="C3672" s="5" t="inlineStr">
        <is>
          <t>CLASS U: BRICKWORK, BLOCKWORK AND MASONRY</t>
        </is>
      </c>
      <c r="D3672" s="5" t="inlineStr">
        <is>
          <t>06 ARTIFICIAL STONE BLOCKWORK</t>
        </is>
      </c>
      <c r="E3672" s="5" t="inlineStr">
        <is>
          <t>Reconstituted stone masonry blocks; Bradstone 100 bed weathered Cotswold or North Cerney rough hewn rockfaced blocks; in coloured cement-lime mortar designation (iii); Thickness 100 mm vertical facing</t>
        </is>
      </c>
      <c r="F3672" s="5" t="inlineStr">
        <is>
          <t>casing to metal sections</t>
        </is>
      </c>
      <c r="G3672" s="6" t="inlineStr">
        <is>
          <t>m2</t>
        </is>
      </c>
      <c r="H3672" s="7" t="n">
        <v>0.4</v>
      </c>
      <c r="I3672" s="8" t="n">
        <v>67.44</v>
      </c>
      <c r="J3672" s="8" t="n">
        <v>4.75</v>
      </c>
      <c r="K3672" s="8" t="n">
        <v>83.25</v>
      </c>
      <c r="L3672" s="8" t="n">
        <v>0</v>
      </c>
      <c r="M3672" s="9">
        <f>ROUND(SUM(I3672:L3672),2)</f>
        <v/>
      </c>
      <c r="N3672" s="10">
        <f>ROUND(I3672*'Irish Basis'!$C$6*'Irish Basis'!$C$5,2)</f>
        <v/>
      </c>
      <c r="O3672" s="10">
        <f>ROUND(J3672*'Irish Basis'!$C$7*'Irish Basis'!$C$5,2)</f>
        <v/>
      </c>
      <c r="P3672" s="10">
        <f>ROUND(K3672*'Irish Basis'!$C$8*'Irish Basis'!$C$5,2)</f>
        <v/>
      </c>
      <c r="Q3672" s="10">
        <f>ROUND(L3672*'Irish Basis'!$C$12*'Irish Basis'!$C$5,2)</f>
        <v/>
      </c>
      <c r="R3672" s="11">
        <f>ROUND(SUM(N3672:Q3672),2)</f>
        <v/>
      </c>
      <c r="S3672" s="5" t="inlineStr">
        <is>
          <t>Stated build-up</t>
        </is>
      </c>
      <c r="T3672" s="12" t="inlineStr">
        <is>
          <t>High</t>
        </is>
      </c>
      <c r="U3672" s="8" t="n">
        <v>155.44</v>
      </c>
      <c r="V3672" s="13">
        <f>IF(U3672="","",ROUND(M3672-U3672,2))</f>
        <v/>
      </c>
      <c r="W3672" s="5" t="n"/>
      <c r="X3672" s="5" t="inlineStr">
        <is>
          <t>Labour + plant + material as published; reconciles to the published rate.</t>
        </is>
      </c>
    </row>
    <row r="3673" ht="13" customHeight="1">
      <c r="A3673" s="4" t="n">
        <v>5575</v>
      </c>
      <c r="B3673" s="5" t="inlineStr">
        <is>
          <t>IMG_0143</t>
        </is>
      </c>
      <c r="C3673" s="5" t="inlineStr">
        <is>
          <t>CLASS U: BRICKWORK, BLOCKWORK AND MASONRY</t>
        </is>
      </c>
      <c r="D3673" s="5" t="inlineStr">
        <is>
          <t>06 ARTIFICIAL STONE BLOCKWORK</t>
        </is>
      </c>
      <c r="E3673" s="5" t="inlineStr">
        <is>
          <t>Ancillaries</t>
        </is>
      </c>
      <c r="F3673" s="5" t="inlineStr">
        <is>
          <t>built-in pipes and ducts, cross-sectional area not exceeding 0.05 m2; excluding supply</t>
        </is>
      </c>
      <c r="G3673" s="6" t="inlineStr">
        <is>
          <t>nr</t>
        </is>
      </c>
      <c r="H3673" s="7" t="n">
        <v>0.07000000000000001</v>
      </c>
      <c r="I3673" s="8" t="n">
        <v>11.8</v>
      </c>
      <c r="J3673" s="8" t="n">
        <v>0.83</v>
      </c>
      <c r="K3673" s="8" t="n">
        <v>0.83</v>
      </c>
      <c r="L3673" s="8" t="n">
        <v>0</v>
      </c>
      <c r="M3673" s="9">
        <f>ROUND(SUM(I3673:L3673),2)</f>
        <v/>
      </c>
      <c r="N3673" s="10">
        <f>ROUND(I3673*'Irish Basis'!$C$6*'Irish Basis'!$C$5,2)</f>
        <v/>
      </c>
      <c r="O3673" s="10">
        <f>ROUND(J3673*'Irish Basis'!$C$7*'Irish Basis'!$C$5,2)</f>
        <v/>
      </c>
      <c r="P3673" s="10">
        <f>ROUND(K3673*'Irish Basis'!$C$8*'Irish Basis'!$C$5,2)</f>
        <v/>
      </c>
      <c r="Q3673" s="10">
        <f>ROUND(L3673*'Irish Basis'!$C$12*'Irish Basis'!$C$5,2)</f>
        <v/>
      </c>
      <c r="R3673" s="11">
        <f>ROUND(SUM(N3673:Q3673),2)</f>
        <v/>
      </c>
      <c r="S3673" s="5" t="inlineStr">
        <is>
          <t>Stated build-up</t>
        </is>
      </c>
      <c r="T3673" s="12" t="inlineStr">
        <is>
          <t>High</t>
        </is>
      </c>
      <c r="U3673" s="8" t="n">
        <v>13.46</v>
      </c>
      <c r="V3673" s="13">
        <f>IF(U3673="","",ROUND(M3673-U3673,2))</f>
        <v/>
      </c>
      <c r="W3673" s="5" t="n"/>
      <c r="X3673" s="5" t="inlineStr">
        <is>
          <t>Labour + plant + material as published; reconciles to the published rate.</t>
        </is>
      </c>
    </row>
    <row r="3674" ht="13" customHeight="1">
      <c r="A3674" s="4" t="n">
        <v>5576</v>
      </c>
      <c r="B3674" s="5" t="inlineStr">
        <is>
          <t>IMG_0143</t>
        </is>
      </c>
      <c r="C3674" s="5" t="inlineStr">
        <is>
          <t>CLASS U: BRICKWORK, BLOCKWORK AND MASONRY</t>
        </is>
      </c>
      <c r="D3674" s="5" t="inlineStr">
        <is>
          <t>06 ARTIFICIAL STONE BLOCKWORK</t>
        </is>
      </c>
      <c r="E3674" s="5" t="inlineStr">
        <is>
          <t>Ancillaries</t>
        </is>
      </c>
      <c r="F3674" s="5" t="inlineStr">
        <is>
          <t>built-in pipes and ducts, cross-sectional area 0.05-0.25 m2; excluding supply</t>
        </is>
      </c>
      <c r="G3674" s="6" t="inlineStr">
        <is>
          <t>nr</t>
        </is>
      </c>
      <c r="H3674" s="7" t="n">
        <v>0.22</v>
      </c>
      <c r="I3674" s="8" t="n">
        <v>37.09</v>
      </c>
      <c r="J3674" s="8" t="n">
        <v>2.62</v>
      </c>
      <c r="K3674" s="8" t="n">
        <v>8.67</v>
      </c>
      <c r="L3674" s="8" t="n">
        <v>0</v>
      </c>
      <c r="M3674" s="9">
        <f>ROUND(SUM(I3674:L3674),2)</f>
        <v/>
      </c>
      <c r="N3674" s="10">
        <f>ROUND(I3674*'Irish Basis'!$C$6*'Irish Basis'!$C$5,2)</f>
        <v/>
      </c>
      <c r="O3674" s="10">
        <f>ROUND(J3674*'Irish Basis'!$C$7*'Irish Basis'!$C$5,2)</f>
        <v/>
      </c>
      <c r="P3674" s="10">
        <f>ROUND(K3674*'Irish Basis'!$C$8*'Irish Basis'!$C$5,2)</f>
        <v/>
      </c>
      <c r="Q3674" s="10">
        <f>ROUND(L3674*'Irish Basis'!$C$12*'Irish Basis'!$C$5,2)</f>
        <v/>
      </c>
      <c r="R3674" s="11">
        <f>ROUND(SUM(N3674:Q3674),2)</f>
        <v/>
      </c>
      <c r="S3674" s="5" t="inlineStr">
        <is>
          <t>Stated build-up</t>
        </is>
      </c>
      <c r="T3674" s="12" t="inlineStr">
        <is>
          <t>High</t>
        </is>
      </c>
      <c r="U3674" s="8" t="n">
        <v>48.38</v>
      </c>
      <c r="V3674" s="13">
        <f>IF(U3674="","",ROUND(M3674-U3674,2))</f>
        <v/>
      </c>
      <c r="W3674" s="5" t="n"/>
      <c r="X3674" s="5" t="inlineStr">
        <is>
          <t>Labour + plant + material as published; reconciles to the published rate.</t>
        </is>
      </c>
    </row>
    <row r="3675" ht="13" customHeight="1">
      <c r="A3675" s="4" t="n">
        <v>5577</v>
      </c>
      <c r="B3675" s="5" t="inlineStr">
        <is>
          <t>IMG_0143</t>
        </is>
      </c>
      <c r="C3675" s="5" t="inlineStr">
        <is>
          <t>CLASS U: BRICKWORK, BLOCKWORK AND MASONRY</t>
        </is>
      </c>
      <c r="D3675" s="5" t="inlineStr">
        <is>
          <t>06 ARTIFICIAL STONE BLOCKWORK</t>
        </is>
      </c>
      <c r="E3675" s="5" t="inlineStr">
        <is>
          <t>Ancillaries</t>
        </is>
      </c>
      <c r="F3675" s="5" t="inlineStr">
        <is>
          <t>built-in pipes and ducts, cross-sectional area 0.25-0.5 m2; excluding supply</t>
        </is>
      </c>
      <c r="G3675" s="6" t="inlineStr">
        <is>
          <t>nr</t>
        </is>
      </c>
      <c r="H3675" s="7" t="n">
        <v>0.26</v>
      </c>
      <c r="I3675" s="8" t="n">
        <v>43.83</v>
      </c>
      <c r="J3675" s="8" t="n">
        <v>3.09</v>
      </c>
      <c r="K3675" s="8" t="n">
        <v>10.88</v>
      </c>
      <c r="L3675" s="8" t="n">
        <v>0</v>
      </c>
      <c r="M3675" s="9">
        <f>ROUND(SUM(I3675:L3675),2)</f>
        <v/>
      </c>
      <c r="N3675" s="10">
        <f>ROUND(I3675*'Irish Basis'!$C$6*'Irish Basis'!$C$5,2)</f>
        <v/>
      </c>
      <c r="O3675" s="10">
        <f>ROUND(J3675*'Irish Basis'!$C$7*'Irish Basis'!$C$5,2)</f>
        <v/>
      </c>
      <c r="P3675" s="10">
        <f>ROUND(K3675*'Irish Basis'!$C$8*'Irish Basis'!$C$5,2)</f>
        <v/>
      </c>
      <c r="Q3675" s="10">
        <f>ROUND(L3675*'Irish Basis'!$C$12*'Irish Basis'!$C$5,2)</f>
        <v/>
      </c>
      <c r="R3675" s="11">
        <f>ROUND(SUM(N3675:Q3675),2)</f>
        <v/>
      </c>
      <c r="S3675" s="5" t="inlineStr">
        <is>
          <t>Stated build-up</t>
        </is>
      </c>
      <c r="T3675" s="12" t="inlineStr">
        <is>
          <t>High</t>
        </is>
      </c>
      <c r="U3675" s="8" t="n">
        <v>57.8</v>
      </c>
      <c r="V3675" s="13">
        <f>IF(U3675="","",ROUND(M3675-U3675,2))</f>
        <v/>
      </c>
      <c r="W3675" s="5" t="n"/>
      <c r="X3675" s="5" t="inlineStr">
        <is>
          <t>Labour + plant + material as published; reconciles to the published rate.</t>
        </is>
      </c>
    </row>
    <row r="3676" ht="13" customHeight="1">
      <c r="A3676" s="4" t="n">
        <v>5581</v>
      </c>
      <c r="B3676" s="5" t="inlineStr">
        <is>
          <t>IMG_0145</t>
        </is>
      </c>
      <c r="C3676" s="5" t="inlineStr">
        <is>
          <t>CLASS U: BRICKWORK, BLOCKWORK AND MASONRY</t>
        </is>
      </c>
      <c r="D3676" s="5" t="inlineStr">
        <is>
          <t>ANCILLARIES (section continues from missing page)</t>
        </is>
      </c>
      <c r="E3676" s="5" t="inlineStr">
        <is>
          <t>Movement joints (continued)</t>
        </is>
      </c>
      <c r="F3676" s="5" t="inlineStr">
        <is>
          <t>movement joints; 12 mm filler 90 wide; 12 x 12 mm sealant one side</t>
        </is>
      </c>
      <c r="G3676" s="6" t="inlineStr">
        <is>
          <t>m</t>
        </is>
      </c>
      <c r="H3676" s="7" t="n">
        <v>0.06</v>
      </c>
      <c r="I3676" s="8" t="n">
        <v>10.12</v>
      </c>
      <c r="J3676" s="8" t="n">
        <v>0.65</v>
      </c>
      <c r="K3676" s="8" t="n">
        <v>1</v>
      </c>
      <c r="L3676" s="8" t="n">
        <v>0</v>
      </c>
      <c r="M3676" s="9">
        <f>ROUND(SUM(I3676:L3676),2)</f>
        <v/>
      </c>
      <c r="N3676" s="10">
        <f>ROUND(I3676*'Irish Basis'!$C$6*'Irish Basis'!$C$5,2)</f>
        <v/>
      </c>
      <c r="O3676" s="10">
        <f>ROUND(J3676*'Irish Basis'!$C$7*'Irish Basis'!$C$5,2)</f>
        <v/>
      </c>
      <c r="P3676" s="10">
        <f>ROUND(K3676*'Irish Basis'!$C$8*'Irish Basis'!$C$5,2)</f>
        <v/>
      </c>
      <c r="Q3676" s="10">
        <f>ROUND(L3676*'Irish Basis'!$C$12*'Irish Basis'!$C$5,2)</f>
        <v/>
      </c>
      <c r="R3676" s="11">
        <f>ROUND(SUM(N3676:Q3676),2)</f>
        <v/>
      </c>
      <c r="S3676" s="5" t="inlineStr">
        <is>
          <t>Stated build-up</t>
        </is>
      </c>
      <c r="T3676" s="12" t="inlineStr">
        <is>
          <t>High</t>
        </is>
      </c>
      <c r="U3676" s="8" t="n">
        <v>11.77</v>
      </c>
      <c r="V3676" s="13">
        <f>IF(U3676="","",ROUND(M3676-U3676,2))</f>
        <v/>
      </c>
      <c r="W3676" s="5" t="n"/>
      <c r="X3676" s="5" t="inlineStr">
        <is>
          <t>Labour + plant + material as published; reconciles to the published rate.</t>
        </is>
      </c>
    </row>
    <row r="3677" ht="13" customHeight="1">
      <c r="A3677" s="4" t="n">
        <v>5582</v>
      </c>
      <c r="B3677" s="5" t="inlineStr">
        <is>
          <t>IMG_0145</t>
        </is>
      </c>
      <c r="C3677" s="5" t="inlineStr">
        <is>
          <t>CLASS U: BRICKWORK, BLOCKWORK AND MASONRY</t>
        </is>
      </c>
      <c r="D3677" s="5" t="inlineStr">
        <is>
          <t>ANCILLARIES (section continues from missing page)</t>
        </is>
      </c>
      <c r="E3677" s="5" t="inlineStr">
        <is>
          <t>Movement joints (continued)</t>
        </is>
      </c>
      <c r="F3677" s="5" t="inlineStr">
        <is>
          <t>movement joints; 12 mm filler 200 wide; 12 x 12 mm sealant one side</t>
        </is>
      </c>
      <c r="G3677" s="6" t="inlineStr">
        <is>
          <t>m</t>
        </is>
      </c>
      <c r="H3677" s="7" t="n">
        <v>0.07000000000000001</v>
      </c>
      <c r="I3677" s="8" t="n">
        <v>11.8</v>
      </c>
      <c r="J3677" s="8" t="n">
        <v>0.77</v>
      </c>
      <c r="K3677" s="8" t="n">
        <v>1.5</v>
      </c>
      <c r="L3677" s="8" t="n">
        <v>0</v>
      </c>
      <c r="M3677" s="9">
        <f>ROUND(SUM(I3677:L3677),2)</f>
        <v/>
      </c>
      <c r="N3677" s="10">
        <f>ROUND(I3677*'Irish Basis'!$C$6*'Irish Basis'!$C$5,2)</f>
        <v/>
      </c>
      <c r="O3677" s="10">
        <f>ROUND(J3677*'Irish Basis'!$C$7*'Irish Basis'!$C$5,2)</f>
        <v/>
      </c>
      <c r="P3677" s="10">
        <f>ROUND(K3677*'Irish Basis'!$C$8*'Irish Basis'!$C$5,2)</f>
        <v/>
      </c>
      <c r="Q3677" s="10">
        <f>ROUND(L3677*'Irish Basis'!$C$12*'Irish Basis'!$C$5,2)</f>
        <v/>
      </c>
      <c r="R3677" s="11">
        <f>ROUND(SUM(N3677:Q3677),2)</f>
        <v/>
      </c>
      <c r="S3677" s="5" t="inlineStr">
        <is>
          <t>Stated build-up</t>
        </is>
      </c>
      <c r="T3677" s="12" t="inlineStr">
        <is>
          <t>High</t>
        </is>
      </c>
      <c r="U3677" s="8" t="n">
        <v>14.08</v>
      </c>
      <c r="V3677" s="13">
        <f>IF(U3677="","",ROUND(M3677-U3677,2))</f>
        <v/>
      </c>
      <c r="W3677" s="5" t="n"/>
      <c r="X3677" s="5" t="inlineStr">
        <is>
          <t>Labour + plant + material as published; reconciles to the published rate.</t>
        </is>
      </c>
    </row>
    <row r="3678" ht="13" customHeight="1">
      <c r="A3678" s="4" t="n">
        <v>5584</v>
      </c>
      <c r="B3678" s="5" t="inlineStr">
        <is>
          <t>IMG_0145</t>
        </is>
      </c>
      <c r="C3678" s="5" t="inlineStr">
        <is>
          <t>CLASS U: BRICKWORK, BLOCKWORK AND MASONRY</t>
        </is>
      </c>
      <c r="D3678" s="5" t="inlineStr">
        <is>
          <t>ANCILLARIES (section continues from missing page)</t>
        </is>
      </c>
      <c r="E3678" s="5" t="inlineStr">
        <is>
          <t>Dritherm cavity insulation; Infills</t>
        </is>
      </c>
      <c r="F3678" s="5" t="inlineStr">
        <is>
          <t>50 mm thick</t>
        </is>
      </c>
      <c r="G3678" s="6" t="inlineStr">
        <is>
          <t>m2</t>
        </is>
      </c>
      <c r="H3678" s="7" t="n">
        <v>0.04</v>
      </c>
      <c r="I3678" s="8" t="n">
        <v>6.74</v>
      </c>
      <c r="J3678" s="8" t="n">
        <v>0.47</v>
      </c>
      <c r="K3678" s="8" t="n">
        <v>7.79</v>
      </c>
      <c r="L3678" s="8" t="n">
        <v>0</v>
      </c>
      <c r="M3678" s="9">
        <f>ROUND(SUM(I3678:L3678),2)</f>
        <v/>
      </c>
      <c r="N3678" s="10">
        <f>ROUND(I3678*'Irish Basis'!$C$6*'Irish Basis'!$C$5,2)</f>
        <v/>
      </c>
      <c r="O3678" s="10">
        <f>ROUND(J3678*'Irish Basis'!$C$7*'Irish Basis'!$C$5,2)</f>
        <v/>
      </c>
      <c r="P3678" s="10">
        <f>ROUND(K3678*'Irish Basis'!$C$8*'Irish Basis'!$C$5,2)</f>
        <v/>
      </c>
      <c r="Q3678" s="10">
        <f>ROUND(L3678*'Irish Basis'!$C$12*'Irish Basis'!$C$5,2)</f>
        <v/>
      </c>
      <c r="R3678" s="11">
        <f>ROUND(SUM(N3678:Q3678),2)</f>
        <v/>
      </c>
      <c r="S3678" s="5" t="inlineStr">
        <is>
          <t>Stated build-up</t>
        </is>
      </c>
      <c r="T3678" s="12" t="inlineStr">
        <is>
          <t>High</t>
        </is>
      </c>
      <c r="U3678" s="8" t="n">
        <v>15.01</v>
      </c>
      <c r="V3678" s="13">
        <f>IF(U3678="","",ROUND(M3678-U3678,2))</f>
        <v/>
      </c>
      <c r="W3678" s="5" t="n"/>
      <c r="X3678" s="5" t="inlineStr">
        <is>
          <t>Labour + plant + material as published; reconciles to the published rate.</t>
        </is>
      </c>
    </row>
    <row r="3679" ht="13" customHeight="1">
      <c r="A3679" s="4" t="n">
        <v>5585</v>
      </c>
      <c r="B3679" s="5" t="inlineStr">
        <is>
          <t>IMG_0145</t>
        </is>
      </c>
      <c r="C3679" s="5" t="inlineStr">
        <is>
          <t>CLASS U: BRICKWORK, BLOCKWORK AND MASONRY</t>
        </is>
      </c>
      <c r="D3679" s="5" t="inlineStr">
        <is>
          <t>ANCILLARIES (section continues from missing page)</t>
        </is>
      </c>
      <c r="E3679" s="5" t="inlineStr">
        <is>
          <t>Dritherm cavity insulation; Infills</t>
        </is>
      </c>
      <c r="F3679" s="5" t="inlineStr">
        <is>
          <t>75 mm thick</t>
        </is>
      </c>
      <c r="G3679" s="6" t="inlineStr">
        <is>
          <t>m2</t>
        </is>
      </c>
      <c r="H3679" s="7" t="n">
        <v>0.05</v>
      </c>
      <c r="I3679" s="8" t="n">
        <v>8.43</v>
      </c>
      <c r="J3679" s="8" t="n">
        <v>0.54</v>
      </c>
      <c r="K3679" s="8" t="n">
        <v>10.69</v>
      </c>
      <c r="L3679" s="8" t="n">
        <v>0</v>
      </c>
      <c r="M3679" s="9">
        <f>ROUND(SUM(I3679:L3679),2)</f>
        <v/>
      </c>
      <c r="N3679" s="10">
        <f>ROUND(I3679*'Irish Basis'!$C$6*'Irish Basis'!$C$5,2)</f>
        <v/>
      </c>
      <c r="O3679" s="10">
        <f>ROUND(J3679*'Irish Basis'!$C$7*'Irish Basis'!$C$5,2)</f>
        <v/>
      </c>
      <c r="P3679" s="10">
        <f>ROUND(K3679*'Irish Basis'!$C$8*'Irish Basis'!$C$5,2)</f>
        <v/>
      </c>
      <c r="Q3679" s="10">
        <f>ROUND(L3679*'Irish Basis'!$C$12*'Irish Basis'!$C$5,2)</f>
        <v/>
      </c>
      <c r="R3679" s="11">
        <f>ROUND(SUM(N3679:Q3679),2)</f>
        <v/>
      </c>
      <c r="S3679" s="5" t="inlineStr">
        <is>
          <t>Stated build-up</t>
        </is>
      </c>
      <c r="T3679" s="12" t="inlineStr">
        <is>
          <t>High</t>
        </is>
      </c>
      <c r="U3679" s="8" t="n">
        <v>19.66</v>
      </c>
      <c r="V3679" s="13">
        <f>IF(U3679="","",ROUND(M3679-U3679,2))</f>
        <v/>
      </c>
      <c r="W3679" s="5" t="n"/>
      <c r="X3679" s="5" t="inlineStr">
        <is>
          <t>Labour + plant + material as published; reconciles to the published rate.</t>
        </is>
      </c>
    </row>
    <row r="3680" ht="13" customHeight="1">
      <c r="A3680" s="4" t="n">
        <v>5587</v>
      </c>
      <c r="B3680" s="5" t="inlineStr">
        <is>
          <t>IMG_0145</t>
        </is>
      </c>
      <c r="C3680" s="5" t="inlineStr">
        <is>
          <t>CLASS U: BRICKWORK, BLOCKWORK AND MASONRY</t>
        </is>
      </c>
      <c r="D3680" s="5" t="inlineStr">
        <is>
          <t>ANCILLARIES (section continues from missing page)</t>
        </is>
      </c>
      <c r="E3680" s="5" t="inlineStr">
        <is>
          <t>Concrete; Infills</t>
        </is>
      </c>
      <c r="F3680" s="5" t="inlineStr">
        <is>
          <t>50 mm thick</t>
        </is>
      </c>
      <c r="G3680" s="6" t="inlineStr">
        <is>
          <t>m2</t>
        </is>
      </c>
      <c r="H3680" s="7" t="n">
        <v>0.06</v>
      </c>
      <c r="I3680" s="8" t="n">
        <v>10.12</v>
      </c>
      <c r="J3680" s="8" t="n">
        <v>0.68</v>
      </c>
      <c r="K3680" s="8" t="n">
        <v>7.61</v>
      </c>
      <c r="L3680" s="8" t="n">
        <v>0</v>
      </c>
      <c r="M3680" s="9">
        <f>ROUND(SUM(I3680:L3680),2)</f>
        <v/>
      </c>
      <c r="N3680" s="10">
        <f>ROUND(I3680*'Irish Basis'!$C$6*'Irish Basis'!$C$5,2)</f>
        <v/>
      </c>
      <c r="O3680" s="10">
        <f>ROUND(J3680*'Irish Basis'!$C$7*'Irish Basis'!$C$5,2)</f>
        <v/>
      </c>
      <c r="P3680" s="10">
        <f>ROUND(K3680*'Irish Basis'!$C$8*'Irish Basis'!$C$5,2)</f>
        <v/>
      </c>
      <c r="Q3680" s="10">
        <f>ROUND(L3680*'Irish Basis'!$C$12*'Irish Basis'!$C$5,2)</f>
        <v/>
      </c>
      <c r="R3680" s="11">
        <f>ROUND(SUM(N3680:Q3680),2)</f>
        <v/>
      </c>
      <c r="S3680" s="5" t="inlineStr">
        <is>
          <t>Stated build-up</t>
        </is>
      </c>
      <c r="T3680" s="12" t="inlineStr">
        <is>
          <t>High</t>
        </is>
      </c>
      <c r="U3680" s="8" t="n">
        <v>18.4</v>
      </c>
      <c r="V3680" s="13">
        <f>IF(U3680="","",ROUND(M3680-U3680,2))</f>
        <v/>
      </c>
      <c r="W3680" s="5" t="n"/>
      <c r="X3680" s="5" t="inlineStr">
        <is>
          <t>Labour + plant + material as published; reconciles to the published rate.</t>
        </is>
      </c>
    </row>
    <row r="3681" ht="13" customHeight="1">
      <c r="A3681" s="4" t="n">
        <v>5589</v>
      </c>
      <c r="B3681" s="5" t="inlineStr">
        <is>
          <t>IMG_0145</t>
        </is>
      </c>
      <c r="C3681" s="5" t="inlineStr">
        <is>
          <t>CLASS U: BRICKWORK, BLOCKWORK AND MASONRY</t>
        </is>
      </c>
      <c r="D3681" s="5" t="inlineStr">
        <is>
          <t>ANCILLARIES (section continues from missing page)</t>
        </is>
      </c>
      <c r="E3681" s="5" t="inlineStr">
        <is>
          <t>Galvanized steel wall ties; Fixings and ties</t>
        </is>
      </c>
      <c r="F3681" s="5" t="inlineStr">
        <is>
          <t>vertical twist strip type; 900 mm horizontal and 450 mm vertical staggered spacings</t>
        </is>
      </c>
      <c r="G3681" s="6" t="inlineStr">
        <is>
          <t>m2</t>
        </is>
      </c>
      <c r="H3681" s="7" t="n">
        <v>0.02</v>
      </c>
      <c r="I3681" s="8" t="n">
        <v>3.37</v>
      </c>
      <c r="J3681" s="8" t="n">
        <v>0.18</v>
      </c>
      <c r="K3681" s="8" t="n">
        <v>1.73</v>
      </c>
      <c r="L3681" s="8" t="n">
        <v>0</v>
      </c>
      <c r="M3681" s="9">
        <f>ROUND(SUM(I3681:L3681),2)</f>
        <v/>
      </c>
      <c r="N3681" s="10">
        <f>ROUND(I3681*'Irish Basis'!$C$6*'Irish Basis'!$C$5,2)</f>
        <v/>
      </c>
      <c r="O3681" s="10">
        <f>ROUND(J3681*'Irish Basis'!$C$7*'Irish Basis'!$C$5,2)</f>
        <v/>
      </c>
      <c r="P3681" s="10">
        <f>ROUND(K3681*'Irish Basis'!$C$8*'Irish Basis'!$C$5,2)</f>
        <v/>
      </c>
      <c r="Q3681" s="10">
        <f>ROUND(L3681*'Irish Basis'!$C$12*'Irish Basis'!$C$5,2)</f>
        <v/>
      </c>
      <c r="R3681" s="11">
        <f>ROUND(SUM(N3681:Q3681),2)</f>
        <v/>
      </c>
      <c r="S3681" s="5" t="inlineStr">
        <is>
          <t>Stated build-up</t>
        </is>
      </c>
      <c r="T3681" s="12" t="inlineStr">
        <is>
          <t>High</t>
        </is>
      </c>
      <c r="U3681" s="8" t="n">
        <v>5.28</v>
      </c>
      <c r="V3681" s="13">
        <f>IF(U3681="","",ROUND(M3681-U3681,2))</f>
        <v/>
      </c>
      <c r="W3681" s="5" t="n"/>
      <c r="X3681" s="5" t="inlineStr">
        <is>
          <t>Labour + plant + material as published; reconciles to the published rate.</t>
        </is>
      </c>
    </row>
    <row r="3682" ht="13" customHeight="1">
      <c r="A3682" s="4" t="n">
        <v>5591</v>
      </c>
      <c r="B3682" s="5" t="inlineStr">
        <is>
          <t>IMG_0145</t>
        </is>
      </c>
      <c r="C3682" s="5" t="inlineStr">
        <is>
          <t>CLASS U: BRICKWORK, BLOCKWORK AND MASONRY</t>
        </is>
      </c>
      <c r="D3682" s="5" t="inlineStr">
        <is>
          <t>ANCILLARIES (section continues from missing page)</t>
        </is>
      </c>
      <c r="E3682" s="5" t="inlineStr">
        <is>
          <t>Stainless steel wall ties; Fixings and ties</t>
        </is>
      </c>
      <c r="F3682" s="5" t="inlineStr">
        <is>
          <t>vertical twist strip type; 900 mm horizontal and 450 mm vertical staggered spacings</t>
        </is>
      </c>
      <c r="G3682" s="6" t="inlineStr">
        <is>
          <t>m2</t>
        </is>
      </c>
      <c r="H3682" s="7" t="n">
        <v>0.02</v>
      </c>
      <c r="I3682" s="8" t="n">
        <v>3.37</v>
      </c>
      <c r="J3682" s="8" t="n">
        <v>0.18</v>
      </c>
      <c r="K3682" s="8" t="n">
        <v>3.8</v>
      </c>
      <c r="L3682" s="8" t="n">
        <v>0</v>
      </c>
      <c r="M3682" s="9">
        <f>ROUND(SUM(I3682:L3682),2)</f>
        <v/>
      </c>
      <c r="N3682" s="10">
        <f>ROUND(I3682*'Irish Basis'!$C$6*'Irish Basis'!$C$5,2)</f>
        <v/>
      </c>
      <c r="O3682" s="10">
        <f>ROUND(J3682*'Irish Basis'!$C$7*'Irish Basis'!$C$5,2)</f>
        <v/>
      </c>
      <c r="P3682" s="10">
        <f>ROUND(K3682*'Irish Basis'!$C$8*'Irish Basis'!$C$5,2)</f>
        <v/>
      </c>
      <c r="Q3682" s="10">
        <f>ROUND(L3682*'Irish Basis'!$C$12*'Irish Basis'!$C$5,2)</f>
        <v/>
      </c>
      <c r="R3682" s="11">
        <f>ROUND(SUM(N3682:Q3682),2)</f>
        <v/>
      </c>
      <c r="S3682" s="5" t="inlineStr">
        <is>
          <t>Stated build-up</t>
        </is>
      </c>
      <c r="T3682" s="12" t="inlineStr">
        <is>
          <t>High</t>
        </is>
      </c>
      <c r="U3682" s="8" t="n">
        <v>7.35</v>
      </c>
      <c r="V3682" s="13">
        <f>IF(U3682="","",ROUND(M3682-U3682,2))</f>
        <v/>
      </c>
      <c r="W3682" s="5" t="n"/>
      <c r="X3682" s="5" t="inlineStr">
        <is>
          <t>Labour + plant + material as published; reconciles to the published rate.</t>
        </is>
      </c>
    </row>
    <row r="3683" ht="13" customHeight="1">
      <c r="A3683" s="4" t="n">
        <v>5609</v>
      </c>
      <c r="B3683" s="5" t="inlineStr">
        <is>
          <t>IMG_0145</t>
        </is>
      </c>
      <c r="C3683" s="5" t="inlineStr">
        <is>
          <t>CLASS V: PAINTING</t>
        </is>
      </c>
      <c r="D3683" s="5" t="inlineStr">
        <is>
          <t>01 IRON BASED PRIMER PAINT</t>
        </is>
      </c>
      <c r="E3683" s="5" t="inlineStr">
        <is>
          <t>One coat iron oxide primer; Metal</t>
        </is>
      </c>
      <c r="F3683" s="5" t="inlineStr">
        <is>
          <t>upper surfaces inclined at an angle ne 30 deg to the horizontal</t>
        </is>
      </c>
      <c r="G3683" s="6" t="inlineStr">
        <is>
          <t>m2</t>
        </is>
      </c>
      <c r="H3683" s="7" t="n">
        <v>0.03</v>
      </c>
      <c r="I3683" s="8" t="n">
        <v>3.46</v>
      </c>
      <c r="J3683" s="8" t="n">
        <v>0.58</v>
      </c>
      <c r="K3683" s="8" t="n">
        <v>0.86</v>
      </c>
      <c r="L3683" s="8" t="n">
        <v>0</v>
      </c>
      <c r="M3683" s="9">
        <f>ROUND(SUM(I3683:L3683),2)</f>
        <v/>
      </c>
      <c r="N3683" s="10">
        <f>ROUND(I3683*'Irish Basis'!$C$6*'Irish Basis'!$C$5,2)</f>
        <v/>
      </c>
      <c r="O3683" s="10">
        <f>ROUND(J3683*'Irish Basis'!$C$7*'Irish Basis'!$C$5,2)</f>
        <v/>
      </c>
      <c r="P3683" s="10">
        <f>ROUND(K3683*'Irish Basis'!$C$8*'Irish Basis'!$C$5,2)</f>
        <v/>
      </c>
      <c r="Q3683" s="10">
        <f>ROUND(L3683*'Irish Basis'!$C$12*'Irish Basis'!$C$5,2)</f>
        <v/>
      </c>
      <c r="R3683" s="11">
        <f>ROUND(SUM(N3683:Q3683),2)</f>
        <v/>
      </c>
      <c r="S3683" s="5" t="inlineStr">
        <is>
          <t>Stated build-up</t>
        </is>
      </c>
      <c r="T3683" s="12" t="inlineStr">
        <is>
          <t>High</t>
        </is>
      </c>
      <c r="U3683" s="8" t="n">
        <v>4.9</v>
      </c>
      <c r="V3683" s="13">
        <f>IF(U3683="","",ROUND(M3683-U3683,2))</f>
        <v/>
      </c>
      <c r="W3683" s="5" t="n"/>
      <c r="X3683" s="5" t="inlineStr">
        <is>
          <t>Labour + plant + material as published; reconciles to the published rate.</t>
        </is>
      </c>
    </row>
    <row r="3684" ht="13" customHeight="1">
      <c r="A3684" s="4" t="n">
        <v>5610</v>
      </c>
      <c r="B3684" s="5" t="inlineStr">
        <is>
          <t>IMG_0145</t>
        </is>
      </c>
      <c r="C3684" s="5" t="inlineStr">
        <is>
          <t>CLASS V: PAINTING</t>
        </is>
      </c>
      <c r="D3684" s="5" t="inlineStr">
        <is>
          <t>01 IRON BASED PRIMER PAINT</t>
        </is>
      </c>
      <c r="E3684" s="5" t="inlineStr">
        <is>
          <t>One coat iron oxide primer; Metal</t>
        </is>
      </c>
      <c r="F3684" s="5" t="inlineStr">
        <is>
          <t>upper surfaces inclined at an angle 30-60 deg to the horizontal</t>
        </is>
      </c>
      <c r="G3684" s="6" t="inlineStr">
        <is>
          <t>m2</t>
        </is>
      </c>
      <c r="H3684" s="7" t="n">
        <v>0.03</v>
      </c>
      <c r="I3684" s="8" t="n">
        <v>3.46</v>
      </c>
      <c r="J3684" s="8" t="n">
        <v>0.58</v>
      </c>
      <c r="K3684" s="8" t="n">
        <v>0.86</v>
      </c>
      <c r="L3684" s="8" t="n">
        <v>0</v>
      </c>
      <c r="M3684" s="9">
        <f>ROUND(SUM(I3684:L3684),2)</f>
        <v/>
      </c>
      <c r="N3684" s="10">
        <f>ROUND(I3684*'Irish Basis'!$C$6*'Irish Basis'!$C$5,2)</f>
        <v/>
      </c>
      <c r="O3684" s="10">
        <f>ROUND(J3684*'Irish Basis'!$C$7*'Irish Basis'!$C$5,2)</f>
        <v/>
      </c>
      <c r="P3684" s="10">
        <f>ROUND(K3684*'Irish Basis'!$C$8*'Irish Basis'!$C$5,2)</f>
        <v/>
      </c>
      <c r="Q3684" s="10">
        <f>ROUND(L3684*'Irish Basis'!$C$12*'Irish Basis'!$C$5,2)</f>
        <v/>
      </c>
      <c r="R3684" s="11">
        <f>ROUND(SUM(N3684:Q3684),2)</f>
        <v/>
      </c>
      <c r="S3684" s="5" t="inlineStr">
        <is>
          <t>Stated build-up</t>
        </is>
      </c>
      <c r="T3684" s="12" t="inlineStr">
        <is>
          <t>High</t>
        </is>
      </c>
      <c r="U3684" s="8" t="n">
        <v>4.9</v>
      </c>
      <c r="V3684" s="13">
        <f>IF(U3684="","",ROUND(M3684-U3684,2))</f>
        <v/>
      </c>
      <c r="W3684" s="5" t="n"/>
      <c r="X3684" s="5" t="inlineStr">
        <is>
          <t>Labour + plant + material as published; reconciles to the published rate.</t>
        </is>
      </c>
    </row>
    <row r="3685" ht="13" customHeight="1">
      <c r="A3685" s="4" t="n">
        <v>5611</v>
      </c>
      <c r="B3685" s="5" t="inlineStr">
        <is>
          <t>IMG_0145</t>
        </is>
      </c>
      <c r="C3685" s="5" t="inlineStr">
        <is>
          <t>CLASS V: PAINTING</t>
        </is>
      </c>
      <c r="D3685" s="5" t="inlineStr">
        <is>
          <t>01 IRON BASED PRIMER PAINT</t>
        </is>
      </c>
      <c r="E3685" s="5" t="inlineStr">
        <is>
          <t>One coat iron oxide primer; Metal</t>
        </is>
      </c>
      <c r="F3685" s="5" t="inlineStr">
        <is>
          <t>surfaces inclined at an angle exceeding 60 deg to the horizontal</t>
        </is>
      </c>
      <c r="G3685" s="6" t="inlineStr">
        <is>
          <t>m2</t>
        </is>
      </c>
      <c r="H3685" s="7" t="n">
        <v>0.03</v>
      </c>
      <c r="I3685" s="8" t="n">
        <v>3.46</v>
      </c>
      <c r="J3685" s="8" t="n">
        <v>0.58</v>
      </c>
      <c r="K3685" s="8" t="n">
        <v>0.86</v>
      </c>
      <c r="L3685" s="8" t="n">
        <v>0</v>
      </c>
      <c r="M3685" s="9">
        <f>ROUND(SUM(I3685:L3685),2)</f>
        <v/>
      </c>
      <c r="N3685" s="10">
        <f>ROUND(I3685*'Irish Basis'!$C$6*'Irish Basis'!$C$5,2)</f>
        <v/>
      </c>
      <c r="O3685" s="10">
        <f>ROUND(J3685*'Irish Basis'!$C$7*'Irish Basis'!$C$5,2)</f>
        <v/>
      </c>
      <c r="P3685" s="10">
        <f>ROUND(K3685*'Irish Basis'!$C$8*'Irish Basis'!$C$5,2)</f>
        <v/>
      </c>
      <c r="Q3685" s="10">
        <f>ROUND(L3685*'Irish Basis'!$C$12*'Irish Basis'!$C$5,2)</f>
        <v/>
      </c>
      <c r="R3685" s="11">
        <f>ROUND(SUM(N3685:Q3685),2)</f>
        <v/>
      </c>
      <c r="S3685" s="5" t="inlineStr">
        <is>
          <t>Stated build-up</t>
        </is>
      </c>
      <c r="T3685" s="12" t="inlineStr">
        <is>
          <t>High</t>
        </is>
      </c>
      <c r="U3685" s="8" t="n">
        <v>4.9</v>
      </c>
      <c r="V3685" s="13">
        <f>IF(U3685="","",ROUND(M3685-U3685,2))</f>
        <v/>
      </c>
      <c r="W3685" s="5" t="n"/>
      <c r="X3685" s="5" t="inlineStr">
        <is>
          <t>Labour + plant + material as published; reconciles to the published rate.</t>
        </is>
      </c>
    </row>
    <row r="3686" ht="13" customHeight="1">
      <c r="A3686" s="4" t="n">
        <v>5612</v>
      </c>
      <c r="B3686" s="5" t="inlineStr">
        <is>
          <t>IMG_0145</t>
        </is>
      </c>
      <c r="C3686" s="5" t="inlineStr">
        <is>
          <t>CLASS V: PAINTING</t>
        </is>
      </c>
      <c r="D3686" s="5" t="inlineStr">
        <is>
          <t>01 IRON BASED PRIMER PAINT</t>
        </is>
      </c>
      <c r="E3686" s="5" t="inlineStr">
        <is>
          <t>One coat iron oxide primer; Metal</t>
        </is>
      </c>
      <c r="F3686" s="5" t="inlineStr">
        <is>
          <t>soffit surfaces and lower surfaces inclined at an angle ne 60 deg to the horizontal</t>
        </is>
      </c>
      <c r="G3686" s="6" t="inlineStr">
        <is>
          <t>m2</t>
        </is>
      </c>
      <c r="H3686" s="7" t="n">
        <v>0.03</v>
      </c>
      <c r="I3686" s="8" t="n">
        <v>4.2</v>
      </c>
      <c r="J3686" s="8" t="n">
        <v>0.71</v>
      </c>
      <c r="K3686" s="8" t="n">
        <v>0.86</v>
      </c>
      <c r="L3686" s="8" t="n">
        <v>0</v>
      </c>
      <c r="M3686" s="9">
        <f>ROUND(SUM(I3686:L3686),2)</f>
        <v/>
      </c>
      <c r="N3686" s="10">
        <f>ROUND(I3686*'Irish Basis'!$C$6*'Irish Basis'!$C$5,2)</f>
        <v/>
      </c>
      <c r="O3686" s="10">
        <f>ROUND(J3686*'Irish Basis'!$C$7*'Irish Basis'!$C$5,2)</f>
        <v/>
      </c>
      <c r="P3686" s="10">
        <f>ROUND(K3686*'Irish Basis'!$C$8*'Irish Basis'!$C$5,2)</f>
        <v/>
      </c>
      <c r="Q3686" s="10">
        <f>ROUND(L3686*'Irish Basis'!$C$12*'Irish Basis'!$C$5,2)</f>
        <v/>
      </c>
      <c r="R3686" s="11">
        <f>ROUND(SUM(N3686:Q3686),2)</f>
        <v/>
      </c>
      <c r="S3686" s="5" t="inlineStr">
        <is>
          <t>Stated build-up</t>
        </is>
      </c>
      <c r="T3686" s="12" t="inlineStr">
        <is>
          <t>High</t>
        </is>
      </c>
      <c r="U3686" s="8" t="n">
        <v>5.77</v>
      </c>
      <c r="V3686" s="13">
        <f>IF(U3686="","",ROUND(M3686-U3686,2))</f>
        <v/>
      </c>
      <c r="W3686" s="5" t="n"/>
      <c r="X3686" s="5" t="inlineStr">
        <is>
          <t>Labour + plant + material as published; reconciles to the published rate.</t>
        </is>
      </c>
    </row>
    <row r="3687" ht="13" customHeight="1">
      <c r="A3687" s="4" t="n">
        <v>5613</v>
      </c>
      <c r="B3687" s="5" t="inlineStr">
        <is>
          <t>IMG_0145</t>
        </is>
      </c>
      <c r="C3687" s="5" t="inlineStr">
        <is>
          <t>CLASS V: PAINTING</t>
        </is>
      </c>
      <c r="D3687" s="5" t="inlineStr">
        <is>
          <t>01 IRON BASED PRIMER PAINT</t>
        </is>
      </c>
      <c r="E3687" s="5" t="inlineStr">
        <is>
          <t>One coat iron oxide primer; Metal</t>
        </is>
      </c>
      <c r="F3687" s="5" t="inlineStr">
        <is>
          <t>surfaces of width ne 300 mm</t>
        </is>
      </c>
      <c r="G3687" s="6" t="inlineStr">
        <is>
          <t>m</t>
        </is>
      </c>
      <c r="H3687" s="7" t="n">
        <v>0.01</v>
      </c>
      <c r="I3687" s="8" t="n">
        <v>1.9</v>
      </c>
      <c r="J3687" s="8" t="n">
        <v>0.25</v>
      </c>
      <c r="K3687" s="8" t="n">
        <v>0.26</v>
      </c>
      <c r="L3687" s="8" t="n">
        <v>0</v>
      </c>
      <c r="M3687" s="9">
        <f>ROUND(SUM(I3687:L3687),2)</f>
        <v/>
      </c>
      <c r="N3687" s="10">
        <f>ROUND(I3687*'Irish Basis'!$C$6*'Irish Basis'!$C$5,2)</f>
        <v/>
      </c>
      <c r="O3687" s="10">
        <f>ROUND(J3687*'Irish Basis'!$C$7*'Irish Basis'!$C$5,2)</f>
        <v/>
      </c>
      <c r="P3687" s="10">
        <f>ROUND(K3687*'Irish Basis'!$C$8*'Irish Basis'!$C$5,2)</f>
        <v/>
      </c>
      <c r="Q3687" s="10">
        <f>ROUND(L3687*'Irish Basis'!$C$12*'Irish Basis'!$C$5,2)</f>
        <v/>
      </c>
      <c r="R3687" s="11">
        <f>ROUND(SUM(N3687:Q3687),2)</f>
        <v/>
      </c>
      <c r="S3687" s="5" t="inlineStr">
        <is>
          <t>Stated build-up</t>
        </is>
      </c>
      <c r="T3687" s="12" t="inlineStr">
        <is>
          <t>High</t>
        </is>
      </c>
      <c r="U3687" s="8" t="n">
        <v>2.4</v>
      </c>
      <c r="V3687" s="13">
        <f>IF(U3687="","",ROUND(M3687-U3687,2))</f>
        <v/>
      </c>
      <c r="W3687" s="5" t="n"/>
      <c r="X3687" s="5" t="inlineStr">
        <is>
          <t>Labour + plant + material as published; reconciles to the published rate.</t>
        </is>
      </c>
    </row>
    <row r="3688" ht="13" customHeight="1">
      <c r="A3688" s="4" t="n">
        <v>5614</v>
      </c>
      <c r="B3688" s="5" t="inlineStr">
        <is>
          <t>IMG_0145</t>
        </is>
      </c>
      <c r="C3688" s="5" t="inlineStr">
        <is>
          <t>CLASS V: PAINTING</t>
        </is>
      </c>
      <c r="D3688" s="5" t="inlineStr">
        <is>
          <t>01 IRON BASED PRIMER PAINT</t>
        </is>
      </c>
      <c r="E3688" s="5" t="inlineStr">
        <is>
          <t>One coat iron oxide primer; Metal</t>
        </is>
      </c>
      <c r="F3688" s="5" t="inlineStr">
        <is>
          <t>surfaces of width 300 mm-1 m</t>
        </is>
      </c>
      <c r="G3688" s="6" t="inlineStr">
        <is>
          <t>m</t>
        </is>
      </c>
      <c r="H3688" s="7" t="n">
        <v>0.03</v>
      </c>
      <c r="I3688" s="8" t="n">
        <v>3.39</v>
      </c>
      <c r="J3688" s="8" t="n">
        <v>0.58</v>
      </c>
      <c r="K3688" s="8" t="n">
        <v>0.57</v>
      </c>
      <c r="L3688" s="8" t="n">
        <v>0</v>
      </c>
      <c r="M3688" s="9">
        <f>ROUND(SUM(I3688:L3688),2)</f>
        <v/>
      </c>
      <c r="N3688" s="10">
        <f>ROUND(I3688*'Irish Basis'!$C$6*'Irish Basis'!$C$5,2)</f>
        <v/>
      </c>
      <c r="O3688" s="10">
        <f>ROUND(J3688*'Irish Basis'!$C$7*'Irish Basis'!$C$5,2)</f>
        <v/>
      </c>
      <c r="P3688" s="10">
        <f>ROUND(K3688*'Irish Basis'!$C$8*'Irish Basis'!$C$5,2)</f>
        <v/>
      </c>
      <c r="Q3688" s="10">
        <f>ROUND(L3688*'Irish Basis'!$C$12*'Irish Basis'!$C$5,2)</f>
        <v/>
      </c>
      <c r="R3688" s="11">
        <f>ROUND(SUM(N3688:Q3688),2)</f>
        <v/>
      </c>
      <c r="S3688" s="5" t="inlineStr">
        <is>
          <t>Stated build-up</t>
        </is>
      </c>
      <c r="T3688" s="12" t="inlineStr">
        <is>
          <t>High</t>
        </is>
      </c>
      <c r="U3688" s="8" t="n">
        <v>4.54</v>
      </c>
      <c r="V3688" s="13">
        <f>IF(U3688="","",ROUND(M3688-U3688,2))</f>
        <v/>
      </c>
      <c r="W3688" s="5" t="n"/>
      <c r="X3688" s="5" t="inlineStr">
        <is>
          <t>Labour + plant + material as published; reconciles to the published rate.</t>
        </is>
      </c>
    </row>
    <row r="3689" ht="13" customHeight="1">
      <c r="A3689" s="4" t="n">
        <v>5615</v>
      </c>
      <c r="B3689" s="5" t="inlineStr">
        <is>
          <t>IMG_0145</t>
        </is>
      </c>
      <c r="C3689" s="5" t="inlineStr">
        <is>
          <t>CLASS V: PAINTING</t>
        </is>
      </c>
      <c r="D3689" s="5" t="inlineStr">
        <is>
          <t>01 IRON BASED PRIMER PAINT</t>
        </is>
      </c>
      <c r="E3689" s="5" t="inlineStr">
        <is>
          <t>One coat iron oxide primer; Metal</t>
        </is>
      </c>
      <c r="F3689" s="5" t="inlineStr">
        <is>
          <t>pipework</t>
        </is>
      </c>
      <c r="G3689" s="6" t="inlineStr">
        <is>
          <t>m2</t>
        </is>
      </c>
      <c r="H3689" s="7" t="n">
        <v>0.03</v>
      </c>
      <c r="I3689" s="8" t="n">
        <v>4.11</v>
      </c>
      <c r="J3689" s="8" t="n">
        <v>0.6899999999999999</v>
      </c>
      <c r="K3689" s="8" t="n">
        <v>0.86</v>
      </c>
      <c r="L3689" s="8" t="n">
        <v>0</v>
      </c>
      <c r="M3689" s="9">
        <f>ROUND(SUM(I3689:L3689),2)</f>
        <v/>
      </c>
      <c r="N3689" s="10">
        <f>ROUND(I3689*'Irish Basis'!$C$6*'Irish Basis'!$C$5,2)</f>
        <v/>
      </c>
      <c r="O3689" s="10">
        <f>ROUND(J3689*'Irish Basis'!$C$7*'Irish Basis'!$C$5,2)</f>
        <v/>
      </c>
      <c r="P3689" s="10">
        <f>ROUND(K3689*'Irish Basis'!$C$8*'Irish Basis'!$C$5,2)</f>
        <v/>
      </c>
      <c r="Q3689" s="10">
        <f>ROUND(L3689*'Irish Basis'!$C$12*'Irish Basis'!$C$5,2)</f>
        <v/>
      </c>
      <c r="R3689" s="11">
        <f>ROUND(SUM(N3689:Q3689),2)</f>
        <v/>
      </c>
      <c r="S3689" s="5" t="inlineStr">
        <is>
          <t>Stated build-up</t>
        </is>
      </c>
      <c r="T3689" s="12" t="inlineStr">
        <is>
          <t>High</t>
        </is>
      </c>
      <c r="U3689" s="8" t="n">
        <v>5.66</v>
      </c>
      <c r="V3689" s="13">
        <f>IF(U3689="","",ROUND(M3689-U3689,2))</f>
        <v/>
      </c>
      <c r="W3689" s="5" t="n"/>
      <c r="X3689" s="5" t="inlineStr">
        <is>
          <t>Labour + plant + material as published; reconciles to the published rate.</t>
        </is>
      </c>
    </row>
    <row r="3690" ht="13" customHeight="1">
      <c r="A3690" s="4" t="n">
        <v>5618</v>
      </c>
      <c r="B3690" s="5" t="inlineStr">
        <is>
          <t>IMG_0145</t>
        </is>
      </c>
      <c r="C3690" s="5" t="inlineStr">
        <is>
          <t>CLASS V: PAINTING</t>
        </is>
      </c>
      <c r="D3690" s="5" t="inlineStr">
        <is>
          <t>02 ETCH PRIMER PRIMER PAINT</t>
        </is>
      </c>
      <c r="E3690" s="5" t="inlineStr">
        <is>
          <t>One coat calcium plumbate primer; Metal</t>
        </is>
      </c>
      <c r="F3690" s="5" t="inlineStr">
        <is>
          <t>upper surfaces inclined at an angle ne 30 deg to the horizontal</t>
        </is>
      </c>
      <c r="G3690" s="6" t="inlineStr">
        <is>
          <t>m2</t>
        </is>
      </c>
      <c r="H3690" s="7" t="n">
        <v>0.03</v>
      </c>
      <c r="I3690" s="8" t="n">
        <v>3.39</v>
      </c>
      <c r="J3690" s="8" t="n">
        <v>0.58</v>
      </c>
      <c r="K3690" s="8" t="n">
        <v>3.4</v>
      </c>
      <c r="L3690" s="8" t="n">
        <v>0</v>
      </c>
      <c r="M3690" s="9">
        <f>ROUND(SUM(I3690:L3690),2)</f>
        <v/>
      </c>
      <c r="N3690" s="10">
        <f>ROUND(I3690*'Irish Basis'!$C$6*'Irish Basis'!$C$5,2)</f>
        <v/>
      </c>
      <c r="O3690" s="10">
        <f>ROUND(J3690*'Irish Basis'!$C$7*'Irish Basis'!$C$5,2)</f>
        <v/>
      </c>
      <c r="P3690" s="10">
        <f>ROUND(K3690*'Irish Basis'!$C$8*'Irish Basis'!$C$5,2)</f>
        <v/>
      </c>
      <c r="Q3690" s="10">
        <f>ROUND(L3690*'Irish Basis'!$C$12*'Irish Basis'!$C$5,2)</f>
        <v/>
      </c>
      <c r="R3690" s="11">
        <f>ROUND(SUM(N3690:Q3690),2)</f>
        <v/>
      </c>
      <c r="S3690" s="5" t="inlineStr">
        <is>
          <t>Stated build-up</t>
        </is>
      </c>
      <c r="T3690" s="12" t="inlineStr">
        <is>
          <t>High</t>
        </is>
      </c>
      <c r="U3690" s="8" t="n">
        <v>7.37</v>
      </c>
      <c r="V3690" s="13">
        <f>IF(U3690="","",ROUND(M3690-U3690,2))</f>
        <v/>
      </c>
      <c r="W3690" s="5" t="n"/>
      <c r="X3690" s="5" t="inlineStr">
        <is>
          <t>Labour + plant + material as published; reconciles to the published rate.</t>
        </is>
      </c>
    </row>
    <row r="3691" ht="13" customHeight="1">
      <c r="A3691" s="4" t="n">
        <v>5619</v>
      </c>
      <c r="B3691" s="5" t="inlineStr">
        <is>
          <t>IMG_0145</t>
        </is>
      </c>
      <c r="C3691" s="5" t="inlineStr">
        <is>
          <t>CLASS V: PAINTING</t>
        </is>
      </c>
      <c r="D3691" s="5" t="inlineStr">
        <is>
          <t>02 ETCH PRIMER PRIMER PAINT</t>
        </is>
      </c>
      <c r="E3691" s="5" t="inlineStr">
        <is>
          <t>One coat calcium plumbate primer; Metal</t>
        </is>
      </c>
      <c r="F3691" s="5" t="inlineStr">
        <is>
          <t>upper surfaces inclined at an angle 30-60 deg to the horizontal</t>
        </is>
      </c>
      <c r="G3691" s="6" t="inlineStr">
        <is>
          <t>m2</t>
        </is>
      </c>
      <c r="H3691" s="7" t="n">
        <v>0.03</v>
      </c>
      <c r="I3691" s="8" t="n">
        <v>3.39</v>
      </c>
      <c r="J3691" s="8" t="n">
        <v>0.58</v>
      </c>
      <c r="K3691" s="8" t="n">
        <v>3.4</v>
      </c>
      <c r="L3691" s="8" t="n">
        <v>0</v>
      </c>
      <c r="M3691" s="9">
        <f>ROUND(SUM(I3691:L3691),2)</f>
        <v/>
      </c>
      <c r="N3691" s="10">
        <f>ROUND(I3691*'Irish Basis'!$C$6*'Irish Basis'!$C$5,2)</f>
        <v/>
      </c>
      <c r="O3691" s="10">
        <f>ROUND(J3691*'Irish Basis'!$C$7*'Irish Basis'!$C$5,2)</f>
        <v/>
      </c>
      <c r="P3691" s="10">
        <f>ROUND(K3691*'Irish Basis'!$C$8*'Irish Basis'!$C$5,2)</f>
        <v/>
      </c>
      <c r="Q3691" s="10">
        <f>ROUND(L3691*'Irish Basis'!$C$12*'Irish Basis'!$C$5,2)</f>
        <v/>
      </c>
      <c r="R3691" s="11">
        <f>ROUND(SUM(N3691:Q3691),2)</f>
        <v/>
      </c>
      <c r="S3691" s="5" t="inlineStr">
        <is>
          <t>Stated build-up</t>
        </is>
      </c>
      <c r="T3691" s="12" t="inlineStr">
        <is>
          <t>High</t>
        </is>
      </c>
      <c r="U3691" s="8" t="n">
        <v>7.37</v>
      </c>
      <c r="V3691" s="13">
        <f>IF(U3691="","",ROUND(M3691-U3691,2))</f>
        <v/>
      </c>
      <c r="W3691" s="5" t="n"/>
      <c r="X3691" s="5" t="inlineStr">
        <is>
          <t>Labour + plant + material as published; reconciles to the published rate.</t>
        </is>
      </c>
    </row>
    <row r="3692" ht="13" customHeight="1">
      <c r="A3692" s="4" t="n">
        <v>5620</v>
      </c>
      <c r="B3692" s="5" t="inlineStr">
        <is>
          <t>IMG_0145</t>
        </is>
      </c>
      <c r="C3692" s="5" t="inlineStr">
        <is>
          <t>CLASS V: PAINTING</t>
        </is>
      </c>
      <c r="D3692" s="5" t="inlineStr">
        <is>
          <t>02 ETCH PRIMER PRIMER PAINT</t>
        </is>
      </c>
      <c r="E3692" s="5" t="inlineStr">
        <is>
          <t>One coat calcium plumbate primer; Metal</t>
        </is>
      </c>
      <c r="F3692" s="5" t="inlineStr">
        <is>
          <t>surfaces inclined at an angle exceeding 60 deg to the horizontal</t>
        </is>
      </c>
      <c r="G3692" s="6" t="inlineStr">
        <is>
          <t>m2</t>
        </is>
      </c>
      <c r="H3692" s="7" t="n">
        <v>0.03</v>
      </c>
      <c r="I3692" s="8" t="n">
        <v>3.39</v>
      </c>
      <c r="J3692" s="8" t="n">
        <v>0.58</v>
      </c>
      <c r="K3692" s="8" t="n">
        <v>3.4</v>
      </c>
      <c r="L3692" s="8" t="n">
        <v>0</v>
      </c>
      <c r="M3692" s="9">
        <f>ROUND(SUM(I3692:L3692),2)</f>
        <v/>
      </c>
      <c r="N3692" s="10">
        <f>ROUND(I3692*'Irish Basis'!$C$6*'Irish Basis'!$C$5,2)</f>
        <v/>
      </c>
      <c r="O3692" s="10">
        <f>ROUND(J3692*'Irish Basis'!$C$7*'Irish Basis'!$C$5,2)</f>
        <v/>
      </c>
      <c r="P3692" s="10">
        <f>ROUND(K3692*'Irish Basis'!$C$8*'Irish Basis'!$C$5,2)</f>
        <v/>
      </c>
      <c r="Q3692" s="10">
        <f>ROUND(L3692*'Irish Basis'!$C$12*'Irish Basis'!$C$5,2)</f>
        <v/>
      </c>
      <c r="R3692" s="11">
        <f>ROUND(SUM(N3692:Q3692),2)</f>
        <v/>
      </c>
      <c r="S3692" s="5" t="inlineStr">
        <is>
          <t>Stated build-up</t>
        </is>
      </c>
      <c r="T3692" s="12" t="inlineStr">
        <is>
          <t>High</t>
        </is>
      </c>
      <c r="U3692" s="8" t="n">
        <v>7.37</v>
      </c>
      <c r="V3692" s="13">
        <f>IF(U3692="","",ROUND(M3692-U3692,2))</f>
        <v/>
      </c>
      <c r="W3692" s="5" t="n"/>
      <c r="X3692" s="5" t="inlineStr">
        <is>
          <t>Labour + plant + material as published; reconciles to the published rate.</t>
        </is>
      </c>
    </row>
    <row r="3693" ht="13" customHeight="1">
      <c r="A3693" s="4" t="n">
        <v>5621</v>
      </c>
      <c r="B3693" s="5" t="inlineStr">
        <is>
          <t>IMG_0145</t>
        </is>
      </c>
      <c r="C3693" s="5" t="inlineStr">
        <is>
          <t>CLASS V: PAINTING</t>
        </is>
      </c>
      <c r="D3693" s="5" t="inlineStr">
        <is>
          <t>02 ETCH PRIMER PRIMER PAINT</t>
        </is>
      </c>
      <c r="E3693" s="5" t="inlineStr">
        <is>
          <t>One coat calcium plumbate primer; Metal</t>
        </is>
      </c>
      <c r="F3693" s="5" t="inlineStr">
        <is>
          <t>soffit surfaces and lower surfaces inclined at an angle ne 60 deg to the horizontal</t>
        </is>
      </c>
      <c r="G3693" s="6" t="inlineStr">
        <is>
          <t>m2</t>
        </is>
      </c>
      <c r="H3693" s="7" t="n">
        <v>0.03</v>
      </c>
      <c r="I3693" s="8" t="n">
        <v>4.07</v>
      </c>
      <c r="J3693" s="8" t="n">
        <v>0.71</v>
      </c>
      <c r="K3693" s="8" t="n">
        <v>3.4</v>
      </c>
      <c r="L3693" s="8" t="n">
        <v>0</v>
      </c>
      <c r="M3693" s="9">
        <f>ROUND(SUM(I3693:L3693),2)</f>
        <v/>
      </c>
      <c r="N3693" s="10">
        <f>ROUND(I3693*'Irish Basis'!$C$6*'Irish Basis'!$C$5,2)</f>
        <v/>
      </c>
      <c r="O3693" s="10">
        <f>ROUND(J3693*'Irish Basis'!$C$7*'Irish Basis'!$C$5,2)</f>
        <v/>
      </c>
      <c r="P3693" s="10">
        <f>ROUND(K3693*'Irish Basis'!$C$8*'Irish Basis'!$C$5,2)</f>
        <v/>
      </c>
      <c r="Q3693" s="10">
        <f>ROUND(L3693*'Irish Basis'!$C$12*'Irish Basis'!$C$5,2)</f>
        <v/>
      </c>
      <c r="R3693" s="11">
        <f>ROUND(SUM(N3693:Q3693),2)</f>
        <v/>
      </c>
      <c r="S3693" s="5" t="inlineStr">
        <is>
          <t>Stated build-up</t>
        </is>
      </c>
      <c r="T3693" s="12" t="inlineStr">
        <is>
          <t>High</t>
        </is>
      </c>
      <c r="U3693" s="8" t="n">
        <v>8.18</v>
      </c>
      <c r="V3693" s="13">
        <f>IF(U3693="","",ROUND(M3693-U3693,2))</f>
        <v/>
      </c>
      <c r="W3693" s="5" t="n"/>
      <c r="X3693" s="5" t="inlineStr">
        <is>
          <t>Labour + plant + material as published; reconciles to the published rate.</t>
        </is>
      </c>
    </row>
    <row r="3694" ht="13" customHeight="1">
      <c r="A3694" s="4" t="n">
        <v>5622</v>
      </c>
      <c r="B3694" s="5" t="inlineStr">
        <is>
          <t>IMG_0145</t>
        </is>
      </c>
      <c r="C3694" s="5" t="inlineStr">
        <is>
          <t>CLASS V: PAINTING</t>
        </is>
      </c>
      <c r="D3694" s="5" t="inlineStr">
        <is>
          <t>02 ETCH PRIMER PRIMER PAINT</t>
        </is>
      </c>
      <c r="E3694" s="5" t="inlineStr">
        <is>
          <t>One coat calcium plumbate primer; Metal</t>
        </is>
      </c>
      <c r="F3694" s="5" t="inlineStr">
        <is>
          <t>surfaces of width ne 300 mm</t>
        </is>
      </c>
      <c r="G3694" s="6" t="inlineStr">
        <is>
          <t>m</t>
        </is>
      </c>
      <c r="H3694" s="7" t="n">
        <v>0.01</v>
      </c>
      <c r="I3694" s="8" t="n">
        <v>1.36</v>
      </c>
      <c r="J3694" s="8" t="n">
        <v>0.25</v>
      </c>
      <c r="K3694" s="8" t="n">
        <v>1.02</v>
      </c>
      <c r="L3694" s="8" t="n">
        <v>0</v>
      </c>
      <c r="M3694" s="9">
        <f>ROUND(SUM(I3694:L3694),2)</f>
        <v/>
      </c>
      <c r="N3694" s="10">
        <f>ROUND(I3694*'Irish Basis'!$C$6*'Irish Basis'!$C$5,2)</f>
        <v/>
      </c>
      <c r="O3694" s="10">
        <f>ROUND(J3694*'Irish Basis'!$C$7*'Irish Basis'!$C$5,2)</f>
        <v/>
      </c>
      <c r="P3694" s="10">
        <f>ROUND(K3694*'Irish Basis'!$C$8*'Irish Basis'!$C$5,2)</f>
        <v/>
      </c>
      <c r="Q3694" s="10">
        <f>ROUND(L3694*'Irish Basis'!$C$12*'Irish Basis'!$C$5,2)</f>
        <v/>
      </c>
      <c r="R3694" s="11">
        <f>ROUND(SUM(N3694:Q3694),2)</f>
        <v/>
      </c>
      <c r="S3694" s="5" t="inlineStr">
        <is>
          <t>Stated build-up</t>
        </is>
      </c>
      <c r="T3694" s="12" t="inlineStr">
        <is>
          <t>High</t>
        </is>
      </c>
      <c r="U3694" s="8" t="n">
        <v>2.62</v>
      </c>
      <c r="V3694" s="13">
        <f>IF(U3694="","",ROUND(M3694-U3694,2))</f>
        <v/>
      </c>
      <c r="W3694" s="5" t="n"/>
      <c r="X3694" s="5" t="inlineStr">
        <is>
          <t>Labour + plant + material as published; reconciles to the published rate.</t>
        </is>
      </c>
    </row>
    <row r="3695" ht="13" customHeight="1">
      <c r="A3695" s="4" t="n">
        <v>5623</v>
      </c>
      <c r="B3695" s="5" t="inlineStr">
        <is>
          <t>IMG_0145</t>
        </is>
      </c>
      <c r="C3695" s="5" t="inlineStr">
        <is>
          <t>CLASS V: PAINTING</t>
        </is>
      </c>
      <c r="D3695" s="5" t="inlineStr">
        <is>
          <t>02 ETCH PRIMER PRIMER PAINT</t>
        </is>
      </c>
      <c r="E3695" s="5" t="inlineStr">
        <is>
          <t>One coat calcium plumbate primer; Metal</t>
        </is>
      </c>
      <c r="F3695" s="5" t="inlineStr">
        <is>
          <t>surfaces of width 300 mm-1 m</t>
        </is>
      </c>
      <c r="G3695" s="6" t="inlineStr">
        <is>
          <t>m</t>
        </is>
      </c>
      <c r="H3695" s="7" t="n">
        <v>0.03</v>
      </c>
      <c r="I3695" s="8" t="n">
        <v>3.39</v>
      </c>
      <c r="J3695" s="8" t="n">
        <v>0.58</v>
      </c>
      <c r="K3695" s="8" t="n">
        <v>2.21</v>
      </c>
      <c r="L3695" s="8" t="n">
        <v>0</v>
      </c>
      <c r="M3695" s="9">
        <f>ROUND(SUM(I3695:L3695),2)</f>
        <v/>
      </c>
      <c r="N3695" s="10">
        <f>ROUND(I3695*'Irish Basis'!$C$6*'Irish Basis'!$C$5,2)</f>
        <v/>
      </c>
      <c r="O3695" s="10">
        <f>ROUND(J3695*'Irish Basis'!$C$7*'Irish Basis'!$C$5,2)</f>
        <v/>
      </c>
      <c r="P3695" s="10">
        <f>ROUND(K3695*'Irish Basis'!$C$8*'Irish Basis'!$C$5,2)</f>
        <v/>
      </c>
      <c r="Q3695" s="10">
        <f>ROUND(L3695*'Irish Basis'!$C$12*'Irish Basis'!$C$5,2)</f>
        <v/>
      </c>
      <c r="R3695" s="11">
        <f>ROUND(SUM(N3695:Q3695),2)</f>
        <v/>
      </c>
      <c r="S3695" s="5" t="inlineStr">
        <is>
          <t>Stated build-up</t>
        </is>
      </c>
      <c r="T3695" s="12" t="inlineStr">
        <is>
          <t>High</t>
        </is>
      </c>
      <c r="U3695" s="8" t="n">
        <v>6.18</v>
      </c>
      <c r="V3695" s="13">
        <f>IF(U3695="","",ROUND(M3695-U3695,2))</f>
        <v/>
      </c>
      <c r="W3695" s="5" t="n"/>
      <c r="X3695" s="5" t="inlineStr">
        <is>
          <t>Labour + plant + material as published; reconciles to the published rate.</t>
        </is>
      </c>
    </row>
    <row r="3696" ht="13" customHeight="1">
      <c r="A3696" s="4" t="n">
        <v>5624</v>
      </c>
      <c r="B3696" s="5" t="inlineStr">
        <is>
          <t>IMG_0145</t>
        </is>
      </c>
      <c r="C3696" s="5" t="inlineStr">
        <is>
          <t>CLASS V: PAINTING</t>
        </is>
      </c>
      <c r="D3696" s="5" t="inlineStr">
        <is>
          <t>02 ETCH PRIMER PRIMER PAINT</t>
        </is>
      </c>
      <c r="E3696" s="5" t="inlineStr">
        <is>
          <t>One coat calcium plumbate primer; Metal</t>
        </is>
      </c>
      <c r="F3696" s="5" t="inlineStr">
        <is>
          <t>pipework</t>
        </is>
      </c>
      <c r="G3696" s="6" t="inlineStr">
        <is>
          <t>m2</t>
        </is>
      </c>
      <c r="H3696" s="7" t="n">
        <v>0.03</v>
      </c>
      <c r="I3696" s="8" t="n">
        <v>4.07</v>
      </c>
      <c r="J3696" s="8" t="n">
        <v>0.6899999999999999</v>
      </c>
      <c r="K3696" s="8" t="n">
        <v>3.4</v>
      </c>
      <c r="L3696" s="8" t="n">
        <v>0</v>
      </c>
      <c r="M3696" s="9">
        <f>ROUND(SUM(I3696:L3696),2)</f>
        <v/>
      </c>
      <c r="N3696" s="10">
        <f>ROUND(I3696*'Irish Basis'!$C$6*'Irish Basis'!$C$5,2)</f>
        <v/>
      </c>
      <c r="O3696" s="10">
        <f>ROUND(J3696*'Irish Basis'!$C$7*'Irish Basis'!$C$5,2)</f>
        <v/>
      </c>
      <c r="P3696" s="10">
        <f>ROUND(K3696*'Irish Basis'!$C$8*'Irish Basis'!$C$5,2)</f>
        <v/>
      </c>
      <c r="Q3696" s="10">
        <f>ROUND(L3696*'Irish Basis'!$C$12*'Irish Basis'!$C$5,2)</f>
        <v/>
      </c>
      <c r="R3696" s="11">
        <f>ROUND(SUM(N3696:Q3696),2)</f>
        <v/>
      </c>
      <c r="S3696" s="5" t="inlineStr">
        <is>
          <t>Stated build-up</t>
        </is>
      </c>
      <c r="T3696" s="12" t="inlineStr">
        <is>
          <t>High</t>
        </is>
      </c>
      <c r="U3696" s="8" t="n">
        <v>8.16</v>
      </c>
      <c r="V3696" s="13">
        <f>IF(U3696="","",ROUND(M3696-U3696,2))</f>
        <v/>
      </c>
      <c r="W3696" s="5" t="n"/>
      <c r="X3696" s="5" t="inlineStr">
        <is>
          <t>Labour + plant + material as published; reconciles to the published rate.</t>
        </is>
      </c>
    </row>
    <row r="3697" ht="13" customHeight="1">
      <c r="A3697" s="4" t="n">
        <v>5626</v>
      </c>
      <c r="B3697" s="5" t="inlineStr">
        <is>
          <t>IMG_0145</t>
        </is>
      </c>
      <c r="C3697" s="5" t="inlineStr">
        <is>
          <t>CLASS V: PAINTING</t>
        </is>
      </c>
      <c r="D3697" s="5" t="inlineStr">
        <is>
          <t>02 ETCH PRIMER PRIMER PAINT</t>
        </is>
      </c>
      <c r="E3697" s="5" t="inlineStr">
        <is>
          <t>One coat acrylic wood primer; Timber</t>
        </is>
      </c>
      <c r="F3697" s="5" t="inlineStr">
        <is>
          <t>upper surfaces inclined at an angle ne 30 deg to the horizontal</t>
        </is>
      </c>
      <c r="G3697" s="6" t="inlineStr">
        <is>
          <t>m2</t>
        </is>
      </c>
      <c r="H3697" s="7" t="n">
        <v>0.02</v>
      </c>
      <c r="I3697" s="8" t="n">
        <v>2.71</v>
      </c>
      <c r="J3697" s="8" t="n">
        <v>0.47</v>
      </c>
      <c r="K3697" s="8" t="n">
        <v>1.38</v>
      </c>
      <c r="L3697" s="8" t="n">
        <v>0</v>
      </c>
      <c r="M3697" s="9">
        <f>ROUND(SUM(I3697:L3697),2)</f>
        <v/>
      </c>
      <c r="N3697" s="10">
        <f>ROUND(I3697*'Irish Basis'!$C$6*'Irish Basis'!$C$5,2)</f>
        <v/>
      </c>
      <c r="O3697" s="10">
        <f>ROUND(J3697*'Irish Basis'!$C$7*'Irish Basis'!$C$5,2)</f>
        <v/>
      </c>
      <c r="P3697" s="10">
        <f>ROUND(K3697*'Irish Basis'!$C$8*'Irish Basis'!$C$5,2)</f>
        <v/>
      </c>
      <c r="Q3697" s="10">
        <f>ROUND(L3697*'Irish Basis'!$C$12*'Irish Basis'!$C$5,2)</f>
        <v/>
      </c>
      <c r="R3697" s="11">
        <f>ROUND(SUM(N3697:Q3697),2)</f>
        <v/>
      </c>
      <c r="S3697" s="5" t="inlineStr">
        <is>
          <t>Stated build-up</t>
        </is>
      </c>
      <c r="T3697" s="12" t="inlineStr">
        <is>
          <t>High</t>
        </is>
      </c>
      <c r="U3697" s="8" t="n">
        <v>4.56</v>
      </c>
      <c r="V3697" s="13">
        <f>IF(U3697="","",ROUND(M3697-U3697,2))</f>
        <v/>
      </c>
      <c r="W3697" s="5" t="n"/>
      <c r="X3697" s="5" t="inlineStr">
        <is>
          <t>Labour + plant + material as published; reconciles to the published rate.</t>
        </is>
      </c>
    </row>
    <row r="3698" ht="13" customHeight="1">
      <c r="A3698" s="4" t="n">
        <v>5627</v>
      </c>
      <c r="B3698" s="5" t="inlineStr">
        <is>
          <t>IMG_0145</t>
        </is>
      </c>
      <c r="C3698" s="5" t="inlineStr">
        <is>
          <t>CLASS V: PAINTING</t>
        </is>
      </c>
      <c r="D3698" s="5" t="inlineStr">
        <is>
          <t>02 ETCH PRIMER PRIMER PAINT</t>
        </is>
      </c>
      <c r="E3698" s="5" t="inlineStr">
        <is>
          <t>One coat acrylic wood primer; Timber</t>
        </is>
      </c>
      <c r="F3698" s="5" t="inlineStr">
        <is>
          <t>upper surfaces inclined at an angle 30-60 deg to the horizontal</t>
        </is>
      </c>
      <c r="G3698" s="6" t="inlineStr">
        <is>
          <t>m2</t>
        </is>
      </c>
      <c r="H3698" s="7" t="n">
        <v>0.02</v>
      </c>
      <c r="I3698" s="8" t="n">
        <v>2.71</v>
      </c>
      <c r="J3698" s="8" t="n">
        <v>0.47</v>
      </c>
      <c r="K3698" s="8" t="n">
        <v>1.38</v>
      </c>
      <c r="L3698" s="8" t="n">
        <v>0</v>
      </c>
      <c r="M3698" s="9">
        <f>ROUND(SUM(I3698:L3698),2)</f>
        <v/>
      </c>
      <c r="N3698" s="10">
        <f>ROUND(I3698*'Irish Basis'!$C$6*'Irish Basis'!$C$5,2)</f>
        <v/>
      </c>
      <c r="O3698" s="10">
        <f>ROUND(J3698*'Irish Basis'!$C$7*'Irish Basis'!$C$5,2)</f>
        <v/>
      </c>
      <c r="P3698" s="10">
        <f>ROUND(K3698*'Irish Basis'!$C$8*'Irish Basis'!$C$5,2)</f>
        <v/>
      </c>
      <c r="Q3698" s="10">
        <f>ROUND(L3698*'Irish Basis'!$C$12*'Irish Basis'!$C$5,2)</f>
        <v/>
      </c>
      <c r="R3698" s="11">
        <f>ROUND(SUM(N3698:Q3698),2)</f>
        <v/>
      </c>
      <c r="S3698" s="5" t="inlineStr">
        <is>
          <t>Stated build-up</t>
        </is>
      </c>
      <c r="T3698" s="12" t="inlineStr">
        <is>
          <t>High</t>
        </is>
      </c>
      <c r="U3698" s="8" t="n">
        <v>4.56</v>
      </c>
      <c r="V3698" s="13">
        <f>IF(U3698="","",ROUND(M3698-U3698,2))</f>
        <v/>
      </c>
      <c r="W3698" s="5" t="n"/>
      <c r="X3698" s="5" t="inlineStr">
        <is>
          <t>Labour + plant + material as published; reconciles to the published rate.</t>
        </is>
      </c>
    </row>
    <row r="3699" ht="13" customHeight="1">
      <c r="A3699" s="4" t="n">
        <v>5628</v>
      </c>
      <c r="B3699" s="5" t="inlineStr">
        <is>
          <t>IMG_0145</t>
        </is>
      </c>
      <c r="C3699" s="5" t="inlineStr">
        <is>
          <t>CLASS V: PAINTING</t>
        </is>
      </c>
      <c r="D3699" s="5" t="inlineStr">
        <is>
          <t>02 ETCH PRIMER PRIMER PAINT</t>
        </is>
      </c>
      <c r="E3699" s="5" t="inlineStr">
        <is>
          <t>One coat acrylic wood primer; Timber</t>
        </is>
      </c>
      <c r="F3699" s="5" t="inlineStr">
        <is>
          <t>surfaces inclined at an angle exceeding 60 deg to the horizontal</t>
        </is>
      </c>
      <c r="G3699" s="6" t="inlineStr">
        <is>
          <t>m2</t>
        </is>
      </c>
      <c r="H3699" s="7" t="n">
        <v>0.02</v>
      </c>
      <c r="I3699" s="8" t="n">
        <v>2.71</v>
      </c>
      <c r="J3699" s="8" t="n">
        <v>0.45</v>
      </c>
      <c r="K3699" s="8" t="n">
        <v>1.38</v>
      </c>
      <c r="L3699" s="8" t="n">
        <v>0</v>
      </c>
      <c r="M3699" s="9">
        <f>ROUND(SUM(I3699:L3699),2)</f>
        <v/>
      </c>
      <c r="N3699" s="10">
        <f>ROUND(I3699*'Irish Basis'!$C$6*'Irish Basis'!$C$5,2)</f>
        <v/>
      </c>
      <c r="O3699" s="10">
        <f>ROUND(J3699*'Irish Basis'!$C$7*'Irish Basis'!$C$5,2)</f>
        <v/>
      </c>
      <c r="P3699" s="10">
        <f>ROUND(K3699*'Irish Basis'!$C$8*'Irish Basis'!$C$5,2)</f>
        <v/>
      </c>
      <c r="Q3699" s="10">
        <f>ROUND(L3699*'Irish Basis'!$C$12*'Irish Basis'!$C$5,2)</f>
        <v/>
      </c>
      <c r="R3699" s="11">
        <f>ROUND(SUM(N3699:Q3699),2)</f>
        <v/>
      </c>
      <c r="S3699" s="5" t="inlineStr">
        <is>
          <t>Stated build-up</t>
        </is>
      </c>
      <c r="T3699" s="12" t="inlineStr">
        <is>
          <t>High</t>
        </is>
      </c>
      <c r="U3699" s="8" t="n">
        <v>4.54</v>
      </c>
      <c r="V3699" s="13">
        <f>IF(U3699="","",ROUND(M3699-U3699,2))</f>
        <v/>
      </c>
      <c r="W3699" s="5" t="n"/>
      <c r="X3699" s="5" t="inlineStr">
        <is>
          <t>Labour + plant + material as published; reconciles to the published rate.</t>
        </is>
      </c>
    </row>
    <row r="3700" ht="13" customHeight="1">
      <c r="A3700" s="4" t="n">
        <v>5629</v>
      </c>
      <c r="B3700" s="5" t="inlineStr">
        <is>
          <t>IMG_0145</t>
        </is>
      </c>
      <c r="C3700" s="5" t="inlineStr">
        <is>
          <t>CLASS V: PAINTING</t>
        </is>
      </c>
      <c r="D3700" s="5" t="inlineStr">
        <is>
          <t>02 ETCH PRIMER PRIMER PAINT</t>
        </is>
      </c>
      <c r="E3700" s="5" t="inlineStr">
        <is>
          <t>One coat acrylic wood primer; Timber</t>
        </is>
      </c>
      <c r="F3700" s="5" t="inlineStr">
        <is>
          <t>soffit surfaces and lower surfaces inclined at an angle ne 60 deg to the horizontal</t>
        </is>
      </c>
      <c r="G3700" s="6" t="inlineStr">
        <is>
          <t>m2</t>
        </is>
      </c>
      <c r="H3700" s="7" t="n">
        <v>0.03</v>
      </c>
      <c r="I3700" s="8" t="n">
        <v>3.39</v>
      </c>
      <c r="J3700" s="8" t="n">
        <v>0.58</v>
      </c>
      <c r="K3700" s="8" t="n">
        <v>1.38</v>
      </c>
      <c r="L3700" s="8" t="n">
        <v>0</v>
      </c>
      <c r="M3700" s="9">
        <f>ROUND(SUM(I3700:L3700),2)</f>
        <v/>
      </c>
      <c r="N3700" s="10">
        <f>ROUND(I3700*'Irish Basis'!$C$6*'Irish Basis'!$C$5,2)</f>
        <v/>
      </c>
      <c r="O3700" s="10">
        <f>ROUND(J3700*'Irish Basis'!$C$7*'Irish Basis'!$C$5,2)</f>
        <v/>
      </c>
      <c r="P3700" s="10">
        <f>ROUND(K3700*'Irish Basis'!$C$8*'Irish Basis'!$C$5,2)</f>
        <v/>
      </c>
      <c r="Q3700" s="10">
        <f>ROUND(L3700*'Irish Basis'!$C$12*'Irish Basis'!$C$5,2)</f>
        <v/>
      </c>
      <c r="R3700" s="11">
        <f>ROUND(SUM(N3700:Q3700),2)</f>
        <v/>
      </c>
      <c r="S3700" s="5" t="inlineStr">
        <is>
          <t>Stated build-up</t>
        </is>
      </c>
      <c r="T3700" s="12" t="inlineStr">
        <is>
          <t>High</t>
        </is>
      </c>
      <c r="U3700" s="8" t="n">
        <v>5.35</v>
      </c>
      <c r="V3700" s="13">
        <f>IF(U3700="","",ROUND(M3700-U3700,2))</f>
        <v/>
      </c>
      <c r="W3700" s="5" t="n"/>
      <c r="X3700" s="5" t="inlineStr">
        <is>
          <t>Labour + plant + material as published; reconciles to the published rate.</t>
        </is>
      </c>
    </row>
    <row r="3701" ht="13" customHeight="1">
      <c r="A3701" s="4" t="n">
        <v>5630</v>
      </c>
      <c r="B3701" s="5" t="inlineStr">
        <is>
          <t>IMG_0145</t>
        </is>
      </c>
      <c r="C3701" s="5" t="inlineStr">
        <is>
          <t>CLASS V: PAINTING</t>
        </is>
      </c>
      <c r="D3701" s="5" t="inlineStr">
        <is>
          <t>02 ETCH PRIMER PRIMER PAINT</t>
        </is>
      </c>
      <c r="E3701" s="5" t="inlineStr">
        <is>
          <t>One coat acrylic wood primer; Timber</t>
        </is>
      </c>
      <c r="F3701" s="5" t="inlineStr">
        <is>
          <t>surfaces of width ne 300 mm</t>
        </is>
      </c>
      <c r="G3701" s="6" t="inlineStr">
        <is>
          <t>m</t>
        </is>
      </c>
      <c r="H3701" s="7" t="n">
        <v>0.01</v>
      </c>
      <c r="I3701" s="8" t="n">
        <v>1.36</v>
      </c>
      <c r="J3701" s="8" t="n">
        <v>0.23</v>
      </c>
      <c r="K3701" s="8" t="n">
        <v>0.41</v>
      </c>
      <c r="L3701" s="8" t="n">
        <v>0</v>
      </c>
      <c r="M3701" s="9">
        <f>ROUND(SUM(I3701:L3701),2)</f>
        <v/>
      </c>
      <c r="N3701" s="10">
        <f>ROUND(I3701*'Irish Basis'!$C$6*'Irish Basis'!$C$5,2)</f>
        <v/>
      </c>
      <c r="O3701" s="10">
        <f>ROUND(J3701*'Irish Basis'!$C$7*'Irish Basis'!$C$5,2)</f>
        <v/>
      </c>
      <c r="P3701" s="10">
        <f>ROUND(K3701*'Irish Basis'!$C$8*'Irish Basis'!$C$5,2)</f>
        <v/>
      </c>
      <c r="Q3701" s="10">
        <f>ROUND(L3701*'Irish Basis'!$C$12*'Irish Basis'!$C$5,2)</f>
        <v/>
      </c>
      <c r="R3701" s="11">
        <f>ROUND(SUM(N3701:Q3701),2)</f>
        <v/>
      </c>
      <c r="S3701" s="5" t="inlineStr">
        <is>
          <t>Stated build-up</t>
        </is>
      </c>
      <c r="T3701" s="12" t="inlineStr">
        <is>
          <t>High</t>
        </is>
      </c>
      <c r="U3701" s="8" t="n">
        <v>2</v>
      </c>
      <c r="V3701" s="13">
        <f>IF(U3701="","",ROUND(M3701-U3701,2))</f>
        <v/>
      </c>
      <c r="W3701" s="5" t="n"/>
      <c r="X3701" s="5" t="inlineStr">
        <is>
          <t>Labour + plant + material as published; reconciles to the published rate.</t>
        </is>
      </c>
    </row>
    <row r="3702" ht="13" customHeight="1">
      <c r="A3702" s="4" t="n">
        <v>5631</v>
      </c>
      <c r="B3702" s="5" t="inlineStr">
        <is>
          <t>IMG_0145</t>
        </is>
      </c>
      <c r="C3702" s="5" t="inlineStr">
        <is>
          <t>CLASS V: PAINTING</t>
        </is>
      </c>
      <c r="D3702" s="5" t="inlineStr">
        <is>
          <t>02 ETCH PRIMER PRIMER PAINT</t>
        </is>
      </c>
      <c r="E3702" s="5" t="inlineStr">
        <is>
          <t>One coat acrylic wood primer; Timber</t>
        </is>
      </c>
      <c r="F3702" s="5" t="inlineStr">
        <is>
          <t>surfaces of width 300 mm-1000 mm</t>
        </is>
      </c>
      <c r="G3702" s="6" t="inlineStr">
        <is>
          <t>m</t>
        </is>
      </c>
      <c r="H3702" s="7" t="n">
        <v>0.03</v>
      </c>
      <c r="I3702" s="8" t="n">
        <v>3.39</v>
      </c>
      <c r="J3702" s="8" t="n">
        <v>0.58</v>
      </c>
      <c r="K3702" s="8" t="n">
        <v>0.9</v>
      </c>
      <c r="L3702" s="8" t="n">
        <v>0</v>
      </c>
      <c r="M3702" s="9">
        <f>ROUND(SUM(I3702:L3702),2)</f>
        <v/>
      </c>
      <c r="N3702" s="10">
        <f>ROUND(I3702*'Irish Basis'!$C$6*'Irish Basis'!$C$5,2)</f>
        <v/>
      </c>
      <c r="O3702" s="10">
        <f>ROUND(J3702*'Irish Basis'!$C$7*'Irish Basis'!$C$5,2)</f>
        <v/>
      </c>
      <c r="P3702" s="10">
        <f>ROUND(K3702*'Irish Basis'!$C$8*'Irish Basis'!$C$5,2)</f>
        <v/>
      </c>
      <c r="Q3702" s="10">
        <f>ROUND(L3702*'Irish Basis'!$C$12*'Irish Basis'!$C$5,2)</f>
        <v/>
      </c>
      <c r="R3702" s="11">
        <f>ROUND(SUM(N3702:Q3702),2)</f>
        <v/>
      </c>
      <c r="S3702" s="5" t="inlineStr">
        <is>
          <t>Stated build-up</t>
        </is>
      </c>
      <c r="T3702" s="12" t="inlineStr">
        <is>
          <t>High</t>
        </is>
      </c>
      <c r="U3702" s="8" t="n">
        <v>4.87</v>
      </c>
      <c r="V3702" s="13">
        <f>IF(U3702="","",ROUND(M3702-U3702,2))</f>
        <v/>
      </c>
      <c r="W3702" s="5" t="n"/>
      <c r="X3702" s="5" t="inlineStr">
        <is>
          <t>Labour + plant + material as published; reconciles to the published rate.</t>
        </is>
      </c>
    </row>
    <row r="3703" ht="13" customHeight="1">
      <c r="A3703" s="4" t="n">
        <v>5634</v>
      </c>
      <c r="B3703" s="5" t="inlineStr">
        <is>
          <t>IMG_0145</t>
        </is>
      </c>
      <c r="C3703" s="5" t="inlineStr">
        <is>
          <t>CLASS V: PAINTING</t>
        </is>
      </c>
      <c r="D3703" s="5" t="inlineStr">
        <is>
          <t>04 GLOSS PAINT</t>
        </is>
      </c>
      <c r="E3703" s="5" t="inlineStr">
        <is>
          <t>One coat calcium plumbate primer; one undercoat and one finishing coat of gloss paint; Metal</t>
        </is>
      </c>
      <c r="F3703" s="5" t="inlineStr">
        <is>
          <t>upper surfaces inclined at an angle ne 30 deg to the horizontal</t>
        </is>
      </c>
      <c r="G3703" s="6" t="inlineStr">
        <is>
          <t>m2</t>
        </is>
      </c>
      <c r="H3703" s="7" t="n">
        <v>0.07000000000000001</v>
      </c>
      <c r="I3703" s="8" t="n">
        <v>9.49</v>
      </c>
      <c r="J3703" s="8" t="n">
        <v>1.65</v>
      </c>
      <c r="K3703" s="8" t="n">
        <v>5.1</v>
      </c>
      <c r="L3703" s="8" t="n">
        <v>0</v>
      </c>
      <c r="M3703" s="9">
        <f>ROUND(SUM(I3703:L3703),2)</f>
        <v/>
      </c>
      <c r="N3703" s="10">
        <f>ROUND(I3703*'Irish Basis'!$C$6*'Irish Basis'!$C$5,2)</f>
        <v/>
      </c>
      <c r="O3703" s="10">
        <f>ROUND(J3703*'Irish Basis'!$C$7*'Irish Basis'!$C$5,2)</f>
        <v/>
      </c>
      <c r="P3703" s="10">
        <f>ROUND(K3703*'Irish Basis'!$C$8*'Irish Basis'!$C$5,2)</f>
        <v/>
      </c>
      <c r="Q3703" s="10">
        <f>ROUND(L3703*'Irish Basis'!$C$12*'Irish Basis'!$C$5,2)</f>
        <v/>
      </c>
      <c r="R3703" s="11">
        <f>ROUND(SUM(N3703:Q3703),2)</f>
        <v/>
      </c>
      <c r="S3703" s="5" t="inlineStr">
        <is>
          <t>Stated build-up</t>
        </is>
      </c>
      <c r="T3703" s="12" t="inlineStr">
        <is>
          <t>High</t>
        </is>
      </c>
      <c r="U3703" s="8" t="n">
        <v>16.25</v>
      </c>
      <c r="V3703" s="13">
        <f>IF(U3703="","",ROUND(M3703-U3703,2))</f>
        <v/>
      </c>
      <c r="W3703" s="5" t="n"/>
      <c r="X3703" s="5" t="inlineStr">
        <is>
          <t>Labour + plant + material as published; reconciles to the published rate.</t>
        </is>
      </c>
    </row>
    <row r="3704" ht="13" customHeight="1">
      <c r="A3704" s="4" t="n">
        <v>5635</v>
      </c>
      <c r="B3704" s="5" t="inlineStr">
        <is>
          <t>IMG_0145</t>
        </is>
      </c>
      <c r="C3704" s="5" t="inlineStr">
        <is>
          <t>CLASS V: PAINTING</t>
        </is>
      </c>
      <c r="D3704" s="5" t="inlineStr">
        <is>
          <t>04 GLOSS PAINT</t>
        </is>
      </c>
      <c r="E3704" s="5" t="inlineStr">
        <is>
          <t>One coat calcium plumbate primer; one undercoat and one finishing coat of gloss paint; Metal</t>
        </is>
      </c>
      <c r="F3704" s="5" t="inlineStr">
        <is>
          <t>upper surfaces inclined at an angle 30-60 deg to the horizontal</t>
        </is>
      </c>
      <c r="G3704" s="6" t="inlineStr">
        <is>
          <t>m2</t>
        </is>
      </c>
      <c r="H3704" s="7" t="n">
        <v>0.08</v>
      </c>
      <c r="I3704" s="8" t="n">
        <v>10.17</v>
      </c>
      <c r="J3704" s="8" t="n">
        <v>1.76</v>
      </c>
      <c r="K3704" s="8" t="n">
        <v>5.1</v>
      </c>
      <c r="L3704" s="8" t="n">
        <v>0</v>
      </c>
      <c r="M3704" s="9">
        <f>ROUND(SUM(I3704:L3704),2)</f>
        <v/>
      </c>
      <c r="N3704" s="10">
        <f>ROUND(I3704*'Irish Basis'!$C$6*'Irish Basis'!$C$5,2)</f>
        <v/>
      </c>
      <c r="O3704" s="10">
        <f>ROUND(J3704*'Irish Basis'!$C$7*'Irish Basis'!$C$5,2)</f>
        <v/>
      </c>
      <c r="P3704" s="10">
        <f>ROUND(K3704*'Irish Basis'!$C$8*'Irish Basis'!$C$5,2)</f>
        <v/>
      </c>
      <c r="Q3704" s="10">
        <f>ROUND(L3704*'Irish Basis'!$C$12*'Irish Basis'!$C$5,2)</f>
        <v/>
      </c>
      <c r="R3704" s="11">
        <f>ROUND(SUM(N3704:Q3704),2)</f>
        <v/>
      </c>
      <c r="S3704" s="5" t="inlineStr">
        <is>
          <t>Stated build-up</t>
        </is>
      </c>
      <c r="T3704" s="12" t="inlineStr">
        <is>
          <t>High</t>
        </is>
      </c>
      <c r="U3704" s="8" t="n">
        <v>17.04</v>
      </c>
      <c r="V3704" s="13">
        <f>IF(U3704="","",ROUND(M3704-U3704,2))</f>
        <v/>
      </c>
      <c r="W3704" s="5" t="n"/>
      <c r="X3704" s="5" t="inlineStr">
        <is>
          <t>Labour + plant + material as published; reconciles to the published rate.</t>
        </is>
      </c>
    </row>
    <row r="3705" ht="13" customHeight="1">
      <c r="A3705" s="4" t="n">
        <v>5636</v>
      </c>
      <c r="B3705" s="5" t="inlineStr">
        <is>
          <t>IMG_0145</t>
        </is>
      </c>
      <c r="C3705" s="5" t="inlineStr">
        <is>
          <t>CLASS V: PAINTING</t>
        </is>
      </c>
      <c r="D3705" s="5" t="inlineStr">
        <is>
          <t>04 GLOSS PAINT</t>
        </is>
      </c>
      <c r="E3705" s="5" t="inlineStr">
        <is>
          <t>One coat calcium plumbate primer; one undercoat and one finishing coat of gloss paint; Metal</t>
        </is>
      </c>
      <c r="F3705" s="5" t="inlineStr">
        <is>
          <t>surfaces inclined at an angle exceeding 60 deg to the horizontal</t>
        </is>
      </c>
      <c r="G3705" s="6" t="inlineStr">
        <is>
          <t>m2</t>
        </is>
      </c>
      <c r="H3705" s="7" t="n">
        <v>0.08</v>
      </c>
      <c r="I3705" s="8" t="n">
        <v>10.85</v>
      </c>
      <c r="J3705" s="8" t="n">
        <v>1.88</v>
      </c>
      <c r="K3705" s="8" t="n">
        <v>5.1</v>
      </c>
      <c r="L3705" s="8" t="n">
        <v>0</v>
      </c>
      <c r="M3705" s="9">
        <f>ROUND(SUM(I3705:L3705),2)</f>
        <v/>
      </c>
      <c r="N3705" s="10">
        <f>ROUND(I3705*'Irish Basis'!$C$6*'Irish Basis'!$C$5,2)</f>
        <v/>
      </c>
      <c r="O3705" s="10">
        <f>ROUND(J3705*'Irish Basis'!$C$7*'Irish Basis'!$C$5,2)</f>
        <v/>
      </c>
      <c r="P3705" s="10">
        <f>ROUND(K3705*'Irish Basis'!$C$8*'Irish Basis'!$C$5,2)</f>
        <v/>
      </c>
      <c r="Q3705" s="10">
        <f>ROUND(L3705*'Irish Basis'!$C$12*'Irish Basis'!$C$5,2)</f>
        <v/>
      </c>
      <c r="R3705" s="11">
        <f>ROUND(SUM(N3705:Q3705),2)</f>
        <v/>
      </c>
      <c r="S3705" s="5" t="inlineStr">
        <is>
          <t>Stated build-up</t>
        </is>
      </c>
      <c r="T3705" s="12" t="inlineStr">
        <is>
          <t>High</t>
        </is>
      </c>
      <c r="U3705" s="8" t="n">
        <v>17.83</v>
      </c>
      <c r="V3705" s="13">
        <f>IF(U3705="","",ROUND(M3705-U3705,2))</f>
        <v/>
      </c>
      <c r="W3705" s="5" t="n"/>
      <c r="X3705" s="5" t="inlineStr">
        <is>
          <t>Labour + plant + material as published; reconciles to the published rate.</t>
        </is>
      </c>
    </row>
    <row r="3706" ht="13" customHeight="1">
      <c r="A3706" s="4" t="n">
        <v>5637</v>
      </c>
      <c r="B3706" s="5" t="inlineStr">
        <is>
          <t>IMG_0145</t>
        </is>
      </c>
      <c r="C3706" s="5" t="inlineStr">
        <is>
          <t>CLASS V: PAINTING</t>
        </is>
      </c>
      <c r="D3706" s="5" t="inlineStr">
        <is>
          <t>04 GLOSS PAINT</t>
        </is>
      </c>
      <c r="E3706" s="5" t="inlineStr">
        <is>
          <t>One coat calcium plumbate primer; one undercoat and one finishing coat of gloss paint; Metal</t>
        </is>
      </c>
      <c r="F3706" s="5" t="inlineStr">
        <is>
          <t>soffit surfaces and lower surfaces inclined at an angle ne 60 deg to the horizontal</t>
        </is>
      </c>
      <c r="G3706" s="6" t="inlineStr">
        <is>
          <t>m2</t>
        </is>
      </c>
      <c r="H3706" s="7" t="n">
        <v>0.09</v>
      </c>
      <c r="I3706" s="8" t="n">
        <v>11.53</v>
      </c>
      <c r="J3706" s="8" t="n">
        <v>1.99</v>
      </c>
      <c r="K3706" s="8" t="n">
        <v>5.1</v>
      </c>
      <c r="L3706" s="8" t="n">
        <v>0</v>
      </c>
      <c r="M3706" s="9">
        <f>ROUND(SUM(I3706:L3706),2)</f>
        <v/>
      </c>
      <c r="N3706" s="10">
        <f>ROUND(I3706*'Irish Basis'!$C$6*'Irish Basis'!$C$5,2)</f>
        <v/>
      </c>
      <c r="O3706" s="10">
        <f>ROUND(J3706*'Irish Basis'!$C$7*'Irish Basis'!$C$5,2)</f>
        <v/>
      </c>
      <c r="P3706" s="10">
        <f>ROUND(K3706*'Irish Basis'!$C$8*'Irish Basis'!$C$5,2)</f>
        <v/>
      </c>
      <c r="Q3706" s="10">
        <f>ROUND(L3706*'Irish Basis'!$C$12*'Irish Basis'!$C$5,2)</f>
        <v/>
      </c>
      <c r="R3706" s="11">
        <f>ROUND(SUM(N3706:Q3706),2)</f>
        <v/>
      </c>
      <c r="S3706" s="5" t="inlineStr">
        <is>
          <t>Stated build-up</t>
        </is>
      </c>
      <c r="T3706" s="12" t="inlineStr">
        <is>
          <t>High</t>
        </is>
      </c>
      <c r="U3706" s="8" t="n">
        <v>18.62</v>
      </c>
      <c r="V3706" s="13">
        <f>IF(U3706="","",ROUND(M3706-U3706,2))</f>
        <v/>
      </c>
      <c r="W3706" s="5" t="n"/>
      <c r="X3706" s="5" t="inlineStr">
        <is>
          <t>Labour + plant + material as published; reconciles to the published rate.</t>
        </is>
      </c>
    </row>
    <row r="3707" ht="13" customHeight="1">
      <c r="A3707" s="4" t="n">
        <v>5638</v>
      </c>
      <c r="B3707" s="5" t="inlineStr">
        <is>
          <t>IMG_0145</t>
        </is>
      </c>
      <c r="C3707" s="5" t="inlineStr">
        <is>
          <t>CLASS V: PAINTING</t>
        </is>
      </c>
      <c r="D3707" s="5" t="inlineStr">
        <is>
          <t>04 GLOSS PAINT</t>
        </is>
      </c>
      <c r="E3707" s="5" t="inlineStr">
        <is>
          <t>One coat calcium plumbate primer; one undercoat and one finishing coat of gloss paint; Metal</t>
        </is>
      </c>
      <c r="F3707" s="5" t="inlineStr">
        <is>
          <t>surfaces of width ne 300 mm</t>
        </is>
      </c>
      <c r="G3707" s="6" t="inlineStr">
        <is>
          <t>m</t>
        </is>
      </c>
      <c r="H3707" s="7" t="n">
        <v>0.03</v>
      </c>
      <c r="I3707" s="8" t="n">
        <v>3.39</v>
      </c>
      <c r="J3707" s="8" t="n">
        <v>0.58</v>
      </c>
      <c r="K3707" s="8" t="n">
        <v>1.53</v>
      </c>
      <c r="L3707" s="8" t="n">
        <v>0</v>
      </c>
      <c r="M3707" s="9">
        <f>ROUND(SUM(I3707:L3707),2)</f>
        <v/>
      </c>
      <c r="N3707" s="10">
        <f>ROUND(I3707*'Irish Basis'!$C$6*'Irish Basis'!$C$5,2)</f>
        <v/>
      </c>
      <c r="O3707" s="10">
        <f>ROUND(J3707*'Irish Basis'!$C$7*'Irish Basis'!$C$5,2)</f>
        <v/>
      </c>
      <c r="P3707" s="10">
        <f>ROUND(K3707*'Irish Basis'!$C$8*'Irish Basis'!$C$5,2)</f>
        <v/>
      </c>
      <c r="Q3707" s="10">
        <f>ROUND(L3707*'Irish Basis'!$C$12*'Irish Basis'!$C$5,2)</f>
        <v/>
      </c>
      <c r="R3707" s="11">
        <f>ROUND(SUM(N3707:Q3707),2)</f>
        <v/>
      </c>
      <c r="S3707" s="5" t="inlineStr">
        <is>
          <t>Stated build-up</t>
        </is>
      </c>
      <c r="T3707" s="12" t="inlineStr">
        <is>
          <t>High</t>
        </is>
      </c>
      <c r="U3707" s="8" t="n">
        <v>5.5</v>
      </c>
      <c r="V3707" s="13">
        <f>IF(U3707="","",ROUND(M3707-U3707,2))</f>
        <v/>
      </c>
      <c r="W3707" s="5" t="n"/>
      <c r="X3707" s="5" t="inlineStr">
        <is>
          <t>Labour + plant + material as published; reconciles to the published rate.</t>
        </is>
      </c>
    </row>
    <row r="3708" ht="13" customHeight="1">
      <c r="A3708" s="4" t="n">
        <v>5639</v>
      </c>
      <c r="B3708" s="5" t="inlineStr">
        <is>
          <t>IMG_0145</t>
        </is>
      </c>
      <c r="C3708" s="5" t="inlineStr">
        <is>
          <t>CLASS V: PAINTING</t>
        </is>
      </c>
      <c r="D3708" s="5" t="inlineStr">
        <is>
          <t>04 GLOSS PAINT</t>
        </is>
      </c>
      <c r="E3708" s="5" t="inlineStr">
        <is>
          <t>One coat calcium plumbate primer; one undercoat and one finishing coat of gloss paint; Metal</t>
        </is>
      </c>
      <c r="F3708" s="5" t="inlineStr">
        <is>
          <t>surfaces of width 300 mm-1000 mm</t>
        </is>
      </c>
      <c r="G3708" s="6" t="inlineStr">
        <is>
          <t>m</t>
        </is>
      </c>
      <c r="H3708" s="7" t="n">
        <v>0.05</v>
      </c>
      <c r="I3708" s="8" t="n">
        <v>6.78</v>
      </c>
      <c r="J3708" s="8" t="n">
        <v>1.18</v>
      </c>
      <c r="K3708" s="8" t="n">
        <v>3.31</v>
      </c>
      <c r="L3708" s="8" t="n">
        <v>0</v>
      </c>
      <c r="M3708" s="9">
        <f>ROUND(SUM(I3708:L3708),2)</f>
        <v/>
      </c>
      <c r="N3708" s="10">
        <f>ROUND(I3708*'Irish Basis'!$C$6*'Irish Basis'!$C$5,2)</f>
        <v/>
      </c>
      <c r="O3708" s="10">
        <f>ROUND(J3708*'Irish Basis'!$C$7*'Irish Basis'!$C$5,2)</f>
        <v/>
      </c>
      <c r="P3708" s="10">
        <f>ROUND(K3708*'Irish Basis'!$C$8*'Irish Basis'!$C$5,2)</f>
        <v/>
      </c>
      <c r="Q3708" s="10">
        <f>ROUND(L3708*'Irish Basis'!$C$12*'Irish Basis'!$C$5,2)</f>
        <v/>
      </c>
      <c r="R3708" s="11">
        <f>ROUND(SUM(N3708:Q3708),2)</f>
        <v/>
      </c>
      <c r="S3708" s="5" t="inlineStr">
        <is>
          <t>Stated build-up</t>
        </is>
      </c>
      <c r="T3708" s="12" t="inlineStr">
        <is>
          <t>High</t>
        </is>
      </c>
      <c r="U3708" s="8" t="n">
        <v>11.28</v>
      </c>
      <c r="V3708" s="13">
        <f>IF(U3708="","",ROUND(M3708-U3708,2))</f>
        <v/>
      </c>
      <c r="W3708" s="5" t="n"/>
      <c r="X3708" s="5" t="inlineStr">
        <is>
          <t>Labour + plant + material as published; reconciles to the published rate.</t>
        </is>
      </c>
    </row>
    <row r="3709" ht="13" customHeight="1">
      <c r="A3709" s="4" t="n">
        <v>5640</v>
      </c>
      <c r="B3709" s="5" t="inlineStr">
        <is>
          <t>IMG_0145</t>
        </is>
      </c>
      <c r="C3709" s="5" t="inlineStr">
        <is>
          <t>CLASS V: PAINTING</t>
        </is>
      </c>
      <c r="D3709" s="5" t="inlineStr">
        <is>
          <t>04 GLOSS PAINT</t>
        </is>
      </c>
      <c r="E3709" s="5" t="inlineStr">
        <is>
          <t>One coat calcium plumbate primer; one undercoat and one finishing coat of gloss paint; Metal</t>
        </is>
      </c>
      <c r="F3709" s="5" t="inlineStr">
        <is>
          <t>Metal sections</t>
        </is>
      </c>
      <c r="G3709" s="6" t="inlineStr">
        <is>
          <t>m2</t>
        </is>
      </c>
      <c r="H3709" s="7" t="n">
        <v>0.09</v>
      </c>
      <c r="I3709" s="8" t="n">
        <v>12.21</v>
      </c>
      <c r="J3709" s="8" t="n">
        <v>2.05</v>
      </c>
      <c r="K3709" s="8" t="n">
        <v>5.1</v>
      </c>
      <c r="L3709" s="8" t="n">
        <v>0</v>
      </c>
      <c r="M3709" s="9">
        <f>ROUND(SUM(I3709:L3709),2)</f>
        <v/>
      </c>
      <c r="N3709" s="10">
        <f>ROUND(I3709*'Irish Basis'!$C$6*'Irish Basis'!$C$5,2)</f>
        <v/>
      </c>
      <c r="O3709" s="10">
        <f>ROUND(J3709*'Irish Basis'!$C$7*'Irish Basis'!$C$5,2)</f>
        <v/>
      </c>
      <c r="P3709" s="10">
        <f>ROUND(K3709*'Irish Basis'!$C$8*'Irish Basis'!$C$5,2)</f>
        <v/>
      </c>
      <c r="Q3709" s="10">
        <f>ROUND(L3709*'Irish Basis'!$C$12*'Irish Basis'!$C$5,2)</f>
        <v/>
      </c>
      <c r="R3709" s="11">
        <f>ROUND(SUM(N3709:Q3709),2)</f>
        <v/>
      </c>
      <c r="S3709" s="5" t="inlineStr">
        <is>
          <t>Stated build-up</t>
        </is>
      </c>
      <c r="T3709" s="12" t="inlineStr">
        <is>
          <t>High</t>
        </is>
      </c>
      <c r="U3709" s="8" t="n">
        <v>19.35</v>
      </c>
      <c r="V3709" s="13">
        <f>IF(U3709="","",ROUND(M3709-U3709,2))</f>
        <v/>
      </c>
      <c r="W3709" s="5" t="n"/>
      <c r="X3709" s="5" t="inlineStr">
        <is>
          <t>Labour + plant + material as published; reconciles to the published rate.</t>
        </is>
      </c>
    </row>
    <row r="3710" ht="13" customHeight="1">
      <c r="A3710" s="4" t="n">
        <v>5641</v>
      </c>
      <c r="B3710" s="5" t="inlineStr">
        <is>
          <t>IMG_0145</t>
        </is>
      </c>
      <c r="C3710" s="5" t="inlineStr">
        <is>
          <t>CLASS V: PAINTING</t>
        </is>
      </c>
      <c r="D3710" s="5" t="inlineStr">
        <is>
          <t>04 GLOSS PAINT</t>
        </is>
      </c>
      <c r="E3710" s="5" t="inlineStr">
        <is>
          <t>One coat calcium plumbate primer; one undercoat and one finishing coat of gloss paint; Metal</t>
        </is>
      </c>
      <c r="F3710" s="5" t="inlineStr">
        <is>
          <t>Pipework</t>
        </is>
      </c>
      <c r="G3710" s="6" t="inlineStr">
        <is>
          <t>m2</t>
        </is>
      </c>
      <c r="H3710" s="7" t="n">
        <v>0.09</v>
      </c>
      <c r="I3710" s="8" t="n">
        <v>12.21</v>
      </c>
      <c r="J3710" s="8" t="n">
        <v>2.05</v>
      </c>
      <c r="K3710" s="8" t="n">
        <v>5.1</v>
      </c>
      <c r="L3710" s="8" t="n">
        <v>0</v>
      </c>
      <c r="M3710" s="9">
        <f>ROUND(SUM(I3710:L3710),2)</f>
        <v/>
      </c>
      <c r="N3710" s="10">
        <f>ROUND(I3710*'Irish Basis'!$C$6*'Irish Basis'!$C$5,2)</f>
        <v/>
      </c>
      <c r="O3710" s="10">
        <f>ROUND(J3710*'Irish Basis'!$C$7*'Irish Basis'!$C$5,2)</f>
        <v/>
      </c>
      <c r="P3710" s="10">
        <f>ROUND(K3710*'Irish Basis'!$C$8*'Irish Basis'!$C$5,2)</f>
        <v/>
      </c>
      <c r="Q3710" s="10">
        <f>ROUND(L3710*'Irish Basis'!$C$12*'Irish Basis'!$C$5,2)</f>
        <v/>
      </c>
      <c r="R3710" s="11">
        <f>ROUND(SUM(N3710:Q3710),2)</f>
        <v/>
      </c>
      <c r="S3710" s="5" t="inlineStr">
        <is>
          <t>Stated build-up</t>
        </is>
      </c>
      <c r="T3710" s="12" t="inlineStr">
        <is>
          <t>High</t>
        </is>
      </c>
      <c r="U3710" s="8" t="n">
        <v>19.35</v>
      </c>
      <c r="V3710" s="13">
        <f>IF(U3710="","",ROUND(M3710-U3710,2))</f>
        <v/>
      </c>
      <c r="W3710" s="5" t="n"/>
      <c r="X3710" s="5" t="inlineStr">
        <is>
          <t>Labour + plant + material as published; reconciles to the published rate.</t>
        </is>
      </c>
    </row>
    <row r="3711" ht="13" customHeight="1">
      <c r="A3711" s="4" t="n">
        <v>5643</v>
      </c>
      <c r="B3711" s="5" t="inlineStr">
        <is>
          <t>IMG_0145</t>
        </is>
      </c>
      <c r="C3711" s="5" t="inlineStr">
        <is>
          <t>CLASS V: PAINTING</t>
        </is>
      </c>
      <c r="D3711" s="5" t="inlineStr">
        <is>
          <t>04 GLOSS PAINT</t>
        </is>
      </c>
      <c r="E3711" s="5" t="inlineStr">
        <is>
          <t>One coat acrylic wood primer; one undercoat and one finishing coat of gloss paint; Timber</t>
        </is>
      </c>
      <c r="F3711" s="5" t="inlineStr">
        <is>
          <t>upper surfaces inclined at an angle ne 30 deg to the horizontal</t>
        </is>
      </c>
      <c r="G3711" s="6" t="inlineStr">
        <is>
          <t>m2</t>
        </is>
      </c>
      <c r="H3711" s="7" t="n">
        <v>0.07000000000000001</v>
      </c>
      <c r="I3711" s="8" t="n">
        <v>8.82</v>
      </c>
      <c r="J3711" s="8" t="n">
        <v>1.4</v>
      </c>
      <c r="K3711" s="8" t="n">
        <v>3.08</v>
      </c>
      <c r="L3711" s="8" t="n">
        <v>0</v>
      </c>
      <c r="M3711" s="9">
        <f>ROUND(SUM(I3711:L3711),2)</f>
        <v/>
      </c>
      <c r="N3711" s="10">
        <f>ROUND(I3711*'Irish Basis'!$C$6*'Irish Basis'!$C$5,2)</f>
        <v/>
      </c>
      <c r="O3711" s="10">
        <f>ROUND(J3711*'Irish Basis'!$C$7*'Irish Basis'!$C$5,2)</f>
        <v/>
      </c>
      <c r="P3711" s="10">
        <f>ROUND(K3711*'Irish Basis'!$C$8*'Irish Basis'!$C$5,2)</f>
        <v/>
      </c>
      <c r="Q3711" s="10">
        <f>ROUND(L3711*'Irish Basis'!$C$12*'Irish Basis'!$C$5,2)</f>
        <v/>
      </c>
      <c r="R3711" s="11">
        <f>ROUND(SUM(N3711:Q3711),2)</f>
        <v/>
      </c>
      <c r="S3711" s="5" t="inlineStr">
        <is>
          <t>Stated build-up</t>
        </is>
      </c>
      <c r="T3711" s="12" t="inlineStr">
        <is>
          <t>High</t>
        </is>
      </c>
      <c r="U3711" s="8" t="n">
        <v>13.3</v>
      </c>
      <c r="V3711" s="13">
        <f>IF(U3711="","",ROUND(M3711-U3711,2))</f>
        <v/>
      </c>
      <c r="W3711" s="5" t="n"/>
      <c r="X3711" s="5" t="inlineStr">
        <is>
          <t>Labour + plant + material as published; reconciles to the published rate.</t>
        </is>
      </c>
    </row>
    <row r="3712" ht="13" customHeight="1">
      <c r="A3712" s="4" t="n">
        <v>5644</v>
      </c>
      <c r="B3712" s="5" t="inlineStr">
        <is>
          <t>IMG_0145</t>
        </is>
      </c>
      <c r="C3712" s="5" t="inlineStr">
        <is>
          <t>CLASS V: PAINTING</t>
        </is>
      </c>
      <c r="D3712" s="5" t="inlineStr">
        <is>
          <t>04 GLOSS PAINT</t>
        </is>
      </c>
      <c r="E3712" s="5" t="inlineStr">
        <is>
          <t>One coat acrylic wood primer; one undercoat and one finishing coat of gloss paint; Timber</t>
        </is>
      </c>
      <c r="F3712" s="5" t="inlineStr">
        <is>
          <t>upper surfaces inclined at an angle 30-60 deg to the horizontal</t>
        </is>
      </c>
      <c r="G3712" s="6" t="inlineStr">
        <is>
          <t>m2</t>
        </is>
      </c>
      <c r="H3712" s="7" t="n">
        <v>0.07000000000000001</v>
      </c>
      <c r="I3712" s="8" t="n">
        <v>9.49</v>
      </c>
      <c r="J3712" s="8" t="n">
        <v>1.65</v>
      </c>
      <c r="K3712" s="8" t="n">
        <v>3.08</v>
      </c>
      <c r="L3712" s="8" t="n">
        <v>0</v>
      </c>
      <c r="M3712" s="9">
        <f>ROUND(SUM(I3712:L3712),2)</f>
        <v/>
      </c>
      <c r="N3712" s="10">
        <f>ROUND(I3712*'Irish Basis'!$C$6*'Irish Basis'!$C$5,2)</f>
        <v/>
      </c>
      <c r="O3712" s="10">
        <f>ROUND(J3712*'Irish Basis'!$C$7*'Irish Basis'!$C$5,2)</f>
        <v/>
      </c>
      <c r="P3712" s="10">
        <f>ROUND(K3712*'Irish Basis'!$C$8*'Irish Basis'!$C$5,2)</f>
        <v/>
      </c>
      <c r="Q3712" s="10">
        <f>ROUND(L3712*'Irish Basis'!$C$12*'Irish Basis'!$C$5,2)</f>
        <v/>
      </c>
      <c r="R3712" s="11">
        <f>ROUND(SUM(N3712:Q3712),2)</f>
        <v/>
      </c>
      <c r="S3712" s="5" t="inlineStr">
        <is>
          <t>Stated build-up</t>
        </is>
      </c>
      <c r="T3712" s="12" t="inlineStr">
        <is>
          <t>High</t>
        </is>
      </c>
      <c r="U3712" s="8" t="n">
        <v>14.23</v>
      </c>
      <c r="V3712" s="13">
        <f>IF(U3712="","",ROUND(M3712-U3712,2))</f>
        <v/>
      </c>
      <c r="W3712" s="5" t="n"/>
      <c r="X3712" s="5" t="inlineStr">
        <is>
          <t>Labour + plant + material as published; reconciles to the published rate.</t>
        </is>
      </c>
    </row>
    <row r="3713" ht="13" customHeight="1">
      <c r="A3713" s="4" t="n">
        <v>5645</v>
      </c>
      <c r="B3713" s="5" t="inlineStr">
        <is>
          <t>IMG_0145</t>
        </is>
      </c>
      <c r="C3713" s="5" t="inlineStr">
        <is>
          <t>CLASS V: PAINTING</t>
        </is>
      </c>
      <c r="D3713" s="5" t="inlineStr">
        <is>
          <t>04 GLOSS PAINT</t>
        </is>
      </c>
      <c r="E3713" s="5" t="inlineStr">
        <is>
          <t>One coat acrylic wood primer; one undercoat and one finishing coat of gloss paint; Timber</t>
        </is>
      </c>
      <c r="F3713" s="5" t="inlineStr">
        <is>
          <t>surfaces inclined at an angle exceeding 60 deg to the horizontal</t>
        </is>
      </c>
      <c r="G3713" s="6" t="inlineStr">
        <is>
          <t>m2</t>
        </is>
      </c>
      <c r="H3713" s="7" t="n">
        <v>0.08</v>
      </c>
      <c r="I3713" s="8" t="n">
        <v>10.17</v>
      </c>
      <c r="J3713" s="8" t="n">
        <v>1.76</v>
      </c>
      <c r="K3713" s="8" t="n">
        <v>3.1</v>
      </c>
      <c r="L3713" s="8" t="n">
        <v>0</v>
      </c>
      <c r="M3713" s="9">
        <f>ROUND(SUM(I3713:L3713),2)</f>
        <v/>
      </c>
      <c r="N3713" s="10">
        <f>ROUND(I3713*'Irish Basis'!$C$6*'Irish Basis'!$C$5,2)</f>
        <v/>
      </c>
      <c r="O3713" s="10">
        <f>ROUND(J3713*'Irish Basis'!$C$7*'Irish Basis'!$C$5,2)</f>
        <v/>
      </c>
      <c r="P3713" s="10">
        <f>ROUND(K3713*'Irish Basis'!$C$8*'Irish Basis'!$C$5,2)</f>
        <v/>
      </c>
      <c r="Q3713" s="10">
        <f>ROUND(L3713*'Irish Basis'!$C$12*'Irish Basis'!$C$5,2)</f>
        <v/>
      </c>
      <c r="R3713" s="11">
        <f>ROUND(SUM(N3713:Q3713),2)</f>
        <v/>
      </c>
      <c r="S3713" s="5" t="inlineStr">
        <is>
          <t>Stated build-up</t>
        </is>
      </c>
      <c r="T3713" s="12" t="inlineStr">
        <is>
          <t>High</t>
        </is>
      </c>
      <c r="U3713" s="8" t="n">
        <v>15.04</v>
      </c>
      <c r="V3713" s="13">
        <f>IF(U3713="","",ROUND(M3713-U3713,2))</f>
        <v/>
      </c>
      <c r="W3713" s="5" t="n"/>
      <c r="X3713" s="5" t="inlineStr">
        <is>
          <t>Labour + plant + material as published; reconciles to the published rate.</t>
        </is>
      </c>
    </row>
    <row r="3714" ht="13" customHeight="1">
      <c r="A3714" s="4" t="n">
        <v>5646</v>
      </c>
      <c r="B3714" s="5" t="inlineStr">
        <is>
          <t>IMG_0145</t>
        </is>
      </c>
      <c r="C3714" s="5" t="inlineStr">
        <is>
          <t>CLASS V: PAINTING</t>
        </is>
      </c>
      <c r="D3714" s="5" t="inlineStr">
        <is>
          <t>04 GLOSS PAINT</t>
        </is>
      </c>
      <c r="E3714" s="5" t="inlineStr">
        <is>
          <t>One coat acrylic wood primer; one undercoat and one finishing coat of gloss paint; Timber</t>
        </is>
      </c>
      <c r="F3714" s="5" t="inlineStr">
        <is>
          <t>soffit surfaces and lower surfaces inclined at an angle ne 60 deg to the horizontal</t>
        </is>
      </c>
      <c r="G3714" s="6" t="inlineStr">
        <is>
          <t>m2</t>
        </is>
      </c>
      <c r="H3714" s="7" t="n">
        <v>0.08</v>
      </c>
      <c r="I3714" s="8" t="n">
        <v>10.85</v>
      </c>
      <c r="J3714" s="8" t="n">
        <v>1.88</v>
      </c>
      <c r="K3714" s="8" t="n">
        <v>3.08</v>
      </c>
      <c r="L3714" s="8" t="n">
        <v>0</v>
      </c>
      <c r="M3714" s="9">
        <f>ROUND(SUM(I3714:L3714),2)</f>
        <v/>
      </c>
      <c r="N3714" s="10">
        <f>ROUND(I3714*'Irish Basis'!$C$6*'Irish Basis'!$C$5,2)</f>
        <v/>
      </c>
      <c r="O3714" s="10">
        <f>ROUND(J3714*'Irish Basis'!$C$7*'Irish Basis'!$C$5,2)</f>
        <v/>
      </c>
      <c r="P3714" s="10">
        <f>ROUND(K3714*'Irish Basis'!$C$8*'Irish Basis'!$C$5,2)</f>
        <v/>
      </c>
      <c r="Q3714" s="10">
        <f>ROUND(L3714*'Irish Basis'!$C$12*'Irish Basis'!$C$5,2)</f>
        <v/>
      </c>
      <c r="R3714" s="11">
        <f>ROUND(SUM(N3714:Q3714),2)</f>
        <v/>
      </c>
      <c r="S3714" s="5" t="inlineStr">
        <is>
          <t>Stated build-up</t>
        </is>
      </c>
      <c r="T3714" s="12" t="inlineStr">
        <is>
          <t>High</t>
        </is>
      </c>
      <c r="U3714" s="8" t="n">
        <v>15.81</v>
      </c>
      <c r="V3714" s="13">
        <f>IF(U3714="","",ROUND(M3714-U3714,2))</f>
        <v/>
      </c>
      <c r="W3714" s="5" t="n"/>
      <c r="X3714" s="5" t="inlineStr">
        <is>
          <t>Labour + plant + material as published; reconciles to the published rate.</t>
        </is>
      </c>
    </row>
    <row r="3715" ht="13" customHeight="1">
      <c r="A3715" s="4" t="n">
        <v>5648</v>
      </c>
      <c r="B3715" s="5" t="inlineStr">
        <is>
          <t>IMG_0146</t>
        </is>
      </c>
      <c r="C3715" s="5" t="inlineStr">
        <is>
          <t>CLASS V: PAINTING</t>
        </is>
      </c>
      <c r="D3715" s="5" t="inlineStr">
        <is>
          <t>04 GLOSS PAINT</t>
        </is>
      </c>
      <c r="E3715" s="5" t="inlineStr">
        <is>
          <t>One coat acrylic wood primer; one undercoat and one finishing coat of gloss paint; Timber (continued)</t>
        </is>
      </c>
      <c r="F3715" s="5" t="inlineStr">
        <is>
          <t>surfaces of width ne 300 mm</t>
        </is>
      </c>
      <c r="G3715" s="6" t="inlineStr">
        <is>
          <t>m</t>
        </is>
      </c>
      <c r="H3715" s="7" t="n">
        <v>0.03</v>
      </c>
      <c r="I3715" s="8" t="n">
        <v>3.39</v>
      </c>
      <c r="J3715" s="8" t="n">
        <v>0.41</v>
      </c>
      <c r="K3715" s="8" t="n">
        <v>0.92</v>
      </c>
      <c r="L3715" s="8" t="n">
        <v>0</v>
      </c>
      <c r="M3715" s="9">
        <f>ROUND(SUM(I3715:L3715),2)</f>
        <v/>
      </c>
      <c r="N3715" s="10">
        <f>ROUND(I3715*'Irish Basis'!$C$6*'Irish Basis'!$C$5,2)</f>
        <v/>
      </c>
      <c r="O3715" s="10">
        <f>ROUND(J3715*'Irish Basis'!$C$7*'Irish Basis'!$C$5,2)</f>
        <v/>
      </c>
      <c r="P3715" s="10">
        <f>ROUND(K3715*'Irish Basis'!$C$8*'Irish Basis'!$C$5,2)</f>
        <v/>
      </c>
      <c r="Q3715" s="10">
        <f>ROUND(L3715*'Irish Basis'!$C$12*'Irish Basis'!$C$5,2)</f>
        <v/>
      </c>
      <c r="R3715" s="11">
        <f>ROUND(SUM(N3715:Q3715),2)</f>
        <v/>
      </c>
      <c r="S3715" s="5" t="inlineStr">
        <is>
          <t>Stated build-up</t>
        </is>
      </c>
      <c r="T3715" s="12" t="inlineStr">
        <is>
          <t>High</t>
        </is>
      </c>
      <c r="U3715" s="8" t="n">
        <v>4.72</v>
      </c>
      <c r="V3715" s="13">
        <f>IF(U3715="","",ROUND(M3715-U3715,2))</f>
        <v/>
      </c>
      <c r="W3715" s="5" t="n"/>
      <c r="X3715" s="5" t="inlineStr">
        <is>
          <t>Labour + plant + material as published; reconciles to the published rate.</t>
        </is>
      </c>
    </row>
    <row r="3716" ht="13" customHeight="1">
      <c r="A3716" s="4" t="n">
        <v>5649</v>
      </c>
      <c r="B3716" s="5" t="inlineStr">
        <is>
          <t>IMG_0146</t>
        </is>
      </c>
      <c r="C3716" s="5" t="inlineStr">
        <is>
          <t>CLASS V: PAINTING</t>
        </is>
      </c>
      <c r="D3716" s="5" t="inlineStr">
        <is>
          <t>04 GLOSS PAINT</t>
        </is>
      </c>
      <c r="E3716" s="5" t="inlineStr">
        <is>
          <t>One coat acrylic wood primer; one undercoat and one finishing coat of gloss paint; Timber (continued)</t>
        </is>
      </c>
      <c r="F3716" s="5" t="inlineStr">
        <is>
          <t>surfaces of width 300 mm-1000 mm</t>
        </is>
      </c>
      <c r="G3716" s="6" t="inlineStr">
        <is>
          <t>m</t>
        </is>
      </c>
      <c r="H3716" s="7" t="n">
        <v>0.05</v>
      </c>
      <c r="I3716" s="8" t="n">
        <v>6.78</v>
      </c>
      <c r="J3716" s="8" t="n">
        <v>1.18</v>
      </c>
      <c r="K3716" s="8" t="n">
        <v>2</v>
      </c>
      <c r="L3716" s="8" t="n">
        <v>0</v>
      </c>
      <c r="M3716" s="9">
        <f>ROUND(SUM(I3716:L3716),2)</f>
        <v/>
      </c>
      <c r="N3716" s="10">
        <f>ROUND(I3716*'Irish Basis'!$C$6*'Irish Basis'!$C$5,2)</f>
        <v/>
      </c>
      <c r="O3716" s="10">
        <f>ROUND(J3716*'Irish Basis'!$C$7*'Irish Basis'!$C$5,2)</f>
        <v/>
      </c>
      <c r="P3716" s="10">
        <f>ROUND(K3716*'Irish Basis'!$C$8*'Irish Basis'!$C$5,2)</f>
        <v/>
      </c>
      <c r="Q3716" s="10">
        <f>ROUND(L3716*'Irish Basis'!$C$12*'Irish Basis'!$C$5,2)</f>
        <v/>
      </c>
      <c r="R3716" s="11">
        <f>ROUND(SUM(N3716:Q3716),2)</f>
        <v/>
      </c>
      <c r="S3716" s="5" t="inlineStr">
        <is>
          <t>Stated build-up</t>
        </is>
      </c>
      <c r="T3716" s="12" t="inlineStr">
        <is>
          <t>High</t>
        </is>
      </c>
      <c r="U3716" s="8" t="n">
        <v>9.960000000000001</v>
      </c>
      <c r="V3716" s="13">
        <f>IF(U3716="","",ROUND(M3716-U3716,2))</f>
        <v/>
      </c>
      <c r="W3716" s="5" t="n"/>
      <c r="X3716" s="5" t="inlineStr">
        <is>
          <t>Labour + plant + material as published; reconciles to the published rate.</t>
        </is>
      </c>
    </row>
    <row r="3717" ht="13" customHeight="1">
      <c r="A3717" s="4" t="n">
        <v>5651</v>
      </c>
      <c r="B3717" s="5" t="inlineStr">
        <is>
          <t>IMG_0146</t>
        </is>
      </c>
      <c r="C3717" s="5" t="inlineStr">
        <is>
          <t>CLASS V: PAINTING</t>
        </is>
      </c>
      <c r="D3717" s="5" t="inlineStr">
        <is>
          <t>04 GLOSS PAINT</t>
        </is>
      </c>
      <c r="E3717" s="5" t="inlineStr">
        <is>
          <t>One coat calcium plumbate primer; two undercoats and one finishing coat of gloss paint; Metal</t>
        </is>
      </c>
      <c r="F3717" s="5" t="inlineStr">
        <is>
          <t>upper surfaces inclined at an angle ne 30 deg to the horizontal</t>
        </is>
      </c>
      <c r="G3717" s="6" t="inlineStr">
        <is>
          <t>m2</t>
        </is>
      </c>
      <c r="H3717" s="7" t="n">
        <v>0.06</v>
      </c>
      <c r="I3717" s="8" t="n">
        <v>8.140000000000001</v>
      </c>
      <c r="J3717" s="8" t="n">
        <v>1.41</v>
      </c>
      <c r="K3717" s="8" t="n">
        <v>5.96</v>
      </c>
      <c r="L3717" s="8" t="n">
        <v>0</v>
      </c>
      <c r="M3717" s="9">
        <f>ROUND(SUM(I3717:L3717),2)</f>
        <v/>
      </c>
      <c r="N3717" s="10">
        <f>ROUND(I3717*'Irish Basis'!$C$6*'Irish Basis'!$C$5,2)</f>
        <v/>
      </c>
      <c r="O3717" s="10">
        <f>ROUND(J3717*'Irish Basis'!$C$7*'Irish Basis'!$C$5,2)</f>
        <v/>
      </c>
      <c r="P3717" s="10">
        <f>ROUND(K3717*'Irish Basis'!$C$8*'Irish Basis'!$C$5,2)</f>
        <v/>
      </c>
      <c r="Q3717" s="10">
        <f>ROUND(L3717*'Irish Basis'!$C$12*'Irish Basis'!$C$5,2)</f>
        <v/>
      </c>
      <c r="R3717" s="11">
        <f>ROUND(SUM(N3717:Q3717),2)</f>
        <v/>
      </c>
      <c r="S3717" s="5" t="inlineStr">
        <is>
          <t>Stated build-up</t>
        </is>
      </c>
      <c r="T3717" s="12" t="inlineStr">
        <is>
          <t>High</t>
        </is>
      </c>
      <c r="U3717" s="8" t="n">
        <v>15.5</v>
      </c>
      <c r="V3717" s="13">
        <f>IF(U3717="","",ROUND(M3717-U3717,2))</f>
        <v/>
      </c>
      <c r="W3717" s="5" t="n"/>
      <c r="X3717" s="5" t="inlineStr">
        <is>
          <t>Labour + plant + material as published; reconciles to the published rate.</t>
        </is>
      </c>
    </row>
    <row r="3718" ht="13" customHeight="1">
      <c r="A3718" s="4" t="n">
        <v>5652</v>
      </c>
      <c r="B3718" s="5" t="inlineStr">
        <is>
          <t>IMG_0146</t>
        </is>
      </c>
      <c r="C3718" s="5" t="inlineStr">
        <is>
          <t>CLASS V: PAINTING</t>
        </is>
      </c>
      <c r="D3718" s="5" t="inlineStr">
        <is>
          <t>04 GLOSS PAINT</t>
        </is>
      </c>
      <c r="E3718" s="5" t="inlineStr">
        <is>
          <t>One coat calcium plumbate primer; two undercoats and one finishing coat of gloss paint; Metal</t>
        </is>
      </c>
      <c r="F3718" s="5" t="inlineStr">
        <is>
          <t>upper surfaces inclined at an angle 30-60 deg to the horizontal</t>
        </is>
      </c>
      <c r="G3718" s="6" t="inlineStr">
        <is>
          <t>m2</t>
        </is>
      </c>
      <c r="H3718" s="7" t="n">
        <v>0.07000000000000001</v>
      </c>
      <c r="I3718" s="8" t="n">
        <v>8.82</v>
      </c>
      <c r="J3718" s="8" t="n">
        <v>1.52</v>
      </c>
      <c r="K3718" s="8" t="n">
        <v>5.96</v>
      </c>
      <c r="L3718" s="8" t="n">
        <v>0</v>
      </c>
      <c r="M3718" s="9">
        <f>ROUND(SUM(I3718:L3718),2)</f>
        <v/>
      </c>
      <c r="N3718" s="10">
        <f>ROUND(I3718*'Irish Basis'!$C$6*'Irish Basis'!$C$5,2)</f>
        <v/>
      </c>
      <c r="O3718" s="10">
        <f>ROUND(J3718*'Irish Basis'!$C$7*'Irish Basis'!$C$5,2)</f>
        <v/>
      </c>
      <c r="P3718" s="10">
        <f>ROUND(K3718*'Irish Basis'!$C$8*'Irish Basis'!$C$5,2)</f>
        <v/>
      </c>
      <c r="Q3718" s="10">
        <f>ROUND(L3718*'Irish Basis'!$C$12*'Irish Basis'!$C$5,2)</f>
        <v/>
      </c>
      <c r="R3718" s="11">
        <f>ROUND(SUM(N3718:Q3718),2)</f>
        <v/>
      </c>
      <c r="S3718" s="5" t="inlineStr">
        <is>
          <t>Stated build-up</t>
        </is>
      </c>
      <c r="T3718" s="12" t="inlineStr">
        <is>
          <t>High</t>
        </is>
      </c>
      <c r="U3718" s="8" t="n">
        <v>16.29</v>
      </c>
      <c r="V3718" s="13">
        <f>IF(U3718="","",ROUND(M3718-U3718,2))</f>
        <v/>
      </c>
      <c r="W3718" s="5" t="n"/>
      <c r="X3718" s="5" t="inlineStr">
        <is>
          <t>Labour + plant + material as published; reconciles to the published rate.</t>
        </is>
      </c>
    </row>
    <row r="3719" ht="13" customHeight="1">
      <c r="A3719" s="4" t="n">
        <v>5653</v>
      </c>
      <c r="B3719" s="5" t="inlineStr">
        <is>
          <t>IMG_0146</t>
        </is>
      </c>
      <c r="C3719" s="5" t="inlineStr">
        <is>
          <t>CLASS V: PAINTING</t>
        </is>
      </c>
      <c r="D3719" s="5" t="inlineStr">
        <is>
          <t>04 GLOSS PAINT</t>
        </is>
      </c>
      <c r="E3719" s="5" t="inlineStr">
        <is>
          <t>One coat calcium plumbate primer; two undercoats and one finishing coat of gloss paint; Metal</t>
        </is>
      </c>
      <c r="F3719" s="5" t="inlineStr">
        <is>
          <t>surfaces inclined at an angle exceeding 60 deg to the horizontal</t>
        </is>
      </c>
      <c r="G3719" s="6" t="inlineStr">
        <is>
          <t>m2</t>
        </is>
      </c>
      <c r="H3719" s="7" t="n">
        <v>0.07000000000000001</v>
      </c>
      <c r="I3719" s="8" t="n">
        <v>9.49</v>
      </c>
      <c r="J3719" s="8" t="n">
        <v>1.65</v>
      </c>
      <c r="K3719" s="8" t="n">
        <v>5.96</v>
      </c>
      <c r="L3719" s="8" t="n">
        <v>0</v>
      </c>
      <c r="M3719" s="9">
        <f>ROUND(SUM(I3719:L3719),2)</f>
        <v/>
      </c>
      <c r="N3719" s="10">
        <f>ROUND(I3719*'Irish Basis'!$C$6*'Irish Basis'!$C$5,2)</f>
        <v/>
      </c>
      <c r="O3719" s="10">
        <f>ROUND(J3719*'Irish Basis'!$C$7*'Irish Basis'!$C$5,2)</f>
        <v/>
      </c>
      <c r="P3719" s="10">
        <f>ROUND(K3719*'Irish Basis'!$C$8*'Irish Basis'!$C$5,2)</f>
        <v/>
      </c>
      <c r="Q3719" s="10">
        <f>ROUND(L3719*'Irish Basis'!$C$12*'Irish Basis'!$C$5,2)</f>
        <v/>
      </c>
      <c r="R3719" s="11">
        <f>ROUND(SUM(N3719:Q3719),2)</f>
        <v/>
      </c>
      <c r="S3719" s="5" t="inlineStr">
        <is>
          <t>Stated build-up</t>
        </is>
      </c>
      <c r="T3719" s="12" t="inlineStr">
        <is>
          <t>High</t>
        </is>
      </c>
      <c r="U3719" s="8" t="n">
        <v>17.11</v>
      </c>
      <c r="V3719" s="13">
        <f>IF(U3719="","",ROUND(M3719-U3719,2))</f>
        <v/>
      </c>
      <c r="W3719" s="5" t="n"/>
      <c r="X3719" s="5" t="inlineStr">
        <is>
          <t>Labour + plant + material as published; reconciles to the published rate.</t>
        </is>
      </c>
    </row>
    <row r="3720" ht="13" customHeight="1">
      <c r="A3720" s="4" t="n">
        <v>5654</v>
      </c>
      <c r="B3720" s="5" t="inlineStr">
        <is>
          <t>IMG_0146</t>
        </is>
      </c>
      <c r="C3720" s="5" t="inlineStr">
        <is>
          <t>CLASS V: PAINTING</t>
        </is>
      </c>
      <c r="D3720" s="5" t="inlineStr">
        <is>
          <t>04 GLOSS PAINT</t>
        </is>
      </c>
      <c r="E3720" s="5" t="inlineStr">
        <is>
          <t>One coat calcium plumbate primer; two undercoats and one finishing coat of gloss paint; Metal</t>
        </is>
      </c>
      <c r="F3720" s="5" t="inlineStr">
        <is>
          <t>soffit surfaces and lower surfaces inclined at an angle ne 60 deg to the horizontal</t>
        </is>
      </c>
      <c r="G3720" s="6" t="inlineStr">
        <is>
          <t>m2</t>
        </is>
      </c>
      <c r="H3720" s="7" t="n">
        <v>0.08</v>
      </c>
      <c r="I3720" s="8" t="n">
        <v>10.17</v>
      </c>
      <c r="J3720" s="8" t="n">
        <v>1.76</v>
      </c>
      <c r="K3720" s="8" t="n">
        <v>5.81</v>
      </c>
      <c r="L3720" s="8" t="n">
        <v>0</v>
      </c>
      <c r="M3720" s="9">
        <f>ROUND(SUM(I3720:L3720),2)</f>
        <v/>
      </c>
      <c r="N3720" s="10">
        <f>ROUND(I3720*'Irish Basis'!$C$6*'Irish Basis'!$C$5,2)</f>
        <v/>
      </c>
      <c r="O3720" s="10">
        <f>ROUND(J3720*'Irish Basis'!$C$7*'Irish Basis'!$C$5,2)</f>
        <v/>
      </c>
      <c r="P3720" s="10">
        <f>ROUND(K3720*'Irish Basis'!$C$8*'Irish Basis'!$C$5,2)</f>
        <v/>
      </c>
      <c r="Q3720" s="10">
        <f>ROUND(L3720*'Irish Basis'!$C$12*'Irish Basis'!$C$5,2)</f>
        <v/>
      </c>
      <c r="R3720" s="11">
        <f>ROUND(SUM(N3720:Q3720),2)</f>
        <v/>
      </c>
      <c r="S3720" s="5" t="inlineStr">
        <is>
          <t>Stated build-up</t>
        </is>
      </c>
      <c r="T3720" s="12" t="inlineStr">
        <is>
          <t>High</t>
        </is>
      </c>
      <c r="U3720" s="8" t="n">
        <v>17.74</v>
      </c>
      <c r="V3720" s="13">
        <f>IF(U3720="","",ROUND(M3720-U3720,2))</f>
        <v/>
      </c>
      <c r="W3720" s="5" t="n"/>
      <c r="X3720" s="5" t="inlineStr">
        <is>
          <t>Labour + plant + material as published; reconciles to the published rate.</t>
        </is>
      </c>
    </row>
    <row r="3721" ht="13" customHeight="1">
      <c r="A3721" s="4" t="n">
        <v>5655</v>
      </c>
      <c r="B3721" s="5" t="inlineStr">
        <is>
          <t>IMG_0146</t>
        </is>
      </c>
      <c r="C3721" s="5" t="inlineStr">
        <is>
          <t>CLASS V: PAINTING</t>
        </is>
      </c>
      <c r="D3721" s="5" t="inlineStr">
        <is>
          <t>04 GLOSS PAINT</t>
        </is>
      </c>
      <c r="E3721" s="5" t="inlineStr">
        <is>
          <t>One coat calcium plumbate primer; two undercoats and one finishing coat of gloss paint; Metal</t>
        </is>
      </c>
      <c r="F3721" s="5" t="inlineStr">
        <is>
          <t>surfaces of width ne 300 mm</t>
        </is>
      </c>
      <c r="G3721" s="6" t="inlineStr">
        <is>
          <t>m</t>
        </is>
      </c>
      <c r="H3721" s="7" t="n">
        <v>0.03</v>
      </c>
      <c r="I3721" s="8" t="n">
        <v>4.07</v>
      </c>
      <c r="J3721" s="8" t="n">
        <v>0.71</v>
      </c>
      <c r="K3721" s="8" t="n">
        <v>1.79</v>
      </c>
      <c r="L3721" s="8" t="n">
        <v>0</v>
      </c>
      <c r="M3721" s="9">
        <f>ROUND(SUM(I3721:L3721),2)</f>
        <v/>
      </c>
      <c r="N3721" s="10">
        <f>ROUND(I3721*'Irish Basis'!$C$6*'Irish Basis'!$C$5,2)</f>
        <v/>
      </c>
      <c r="O3721" s="10">
        <f>ROUND(J3721*'Irish Basis'!$C$7*'Irish Basis'!$C$5,2)</f>
        <v/>
      </c>
      <c r="P3721" s="10">
        <f>ROUND(K3721*'Irish Basis'!$C$8*'Irish Basis'!$C$5,2)</f>
        <v/>
      </c>
      <c r="Q3721" s="10">
        <f>ROUND(L3721*'Irish Basis'!$C$12*'Irish Basis'!$C$5,2)</f>
        <v/>
      </c>
      <c r="R3721" s="11">
        <f>ROUND(SUM(N3721:Q3721),2)</f>
        <v/>
      </c>
      <c r="S3721" s="5" t="inlineStr">
        <is>
          <t>Stated build-up</t>
        </is>
      </c>
      <c r="T3721" s="12" t="inlineStr">
        <is>
          <t>High</t>
        </is>
      </c>
      <c r="U3721" s="8" t="n">
        <v>6.57</v>
      </c>
      <c r="V3721" s="13">
        <f>IF(U3721="","",ROUND(M3721-U3721,2))</f>
        <v/>
      </c>
      <c r="W3721" s="5" t="n"/>
      <c r="X3721" s="5" t="inlineStr">
        <is>
          <t>Labour + plant + material as published; reconciles to the published rate.</t>
        </is>
      </c>
    </row>
    <row r="3722" ht="13" customHeight="1">
      <c r="A3722" s="4" t="n">
        <v>5656</v>
      </c>
      <c r="B3722" s="5" t="inlineStr">
        <is>
          <t>IMG_0146</t>
        </is>
      </c>
      <c r="C3722" s="5" t="inlineStr">
        <is>
          <t>CLASS V: PAINTING</t>
        </is>
      </c>
      <c r="D3722" s="5" t="inlineStr">
        <is>
          <t>04 GLOSS PAINT</t>
        </is>
      </c>
      <c r="E3722" s="5" t="inlineStr">
        <is>
          <t>One coat calcium plumbate primer; two undercoats and one finishing coat of gloss paint; Metal</t>
        </is>
      </c>
      <c r="F3722" s="5" t="inlineStr">
        <is>
          <t>surfaces of width 300 mm-1000 mm</t>
        </is>
      </c>
      <c r="G3722" s="6" t="inlineStr">
        <is>
          <t>m</t>
        </is>
      </c>
      <c r="H3722" s="7" t="n">
        <v>0.06</v>
      </c>
      <c r="I3722" s="8" t="n">
        <v>8.140000000000001</v>
      </c>
      <c r="J3722" s="8" t="n">
        <v>1.41</v>
      </c>
      <c r="K3722" s="8" t="n">
        <v>3.87</v>
      </c>
      <c r="L3722" s="8" t="n">
        <v>0</v>
      </c>
      <c r="M3722" s="9">
        <f>ROUND(SUM(I3722:L3722),2)</f>
        <v/>
      </c>
      <c r="N3722" s="10">
        <f>ROUND(I3722*'Irish Basis'!$C$6*'Irish Basis'!$C$5,2)</f>
        <v/>
      </c>
      <c r="O3722" s="10">
        <f>ROUND(J3722*'Irish Basis'!$C$7*'Irish Basis'!$C$5,2)</f>
        <v/>
      </c>
      <c r="P3722" s="10">
        <f>ROUND(K3722*'Irish Basis'!$C$8*'Irish Basis'!$C$5,2)</f>
        <v/>
      </c>
      <c r="Q3722" s="10">
        <f>ROUND(L3722*'Irish Basis'!$C$12*'Irish Basis'!$C$5,2)</f>
        <v/>
      </c>
      <c r="R3722" s="11">
        <f>ROUND(SUM(N3722:Q3722),2)</f>
        <v/>
      </c>
      <c r="S3722" s="5" t="inlineStr">
        <is>
          <t>Stated build-up</t>
        </is>
      </c>
      <c r="T3722" s="12" t="inlineStr">
        <is>
          <t>High</t>
        </is>
      </c>
      <c r="U3722" s="8" t="n">
        <v>13.41</v>
      </c>
      <c r="V3722" s="13">
        <f>IF(U3722="","",ROUND(M3722-U3722,2))</f>
        <v/>
      </c>
      <c r="W3722" s="5" t="n"/>
      <c r="X3722" s="5" t="inlineStr">
        <is>
          <t>Labour + plant + material as published; reconciles to the published rate.</t>
        </is>
      </c>
    </row>
    <row r="3723" ht="13" customHeight="1">
      <c r="A3723" s="4" t="n">
        <v>5658</v>
      </c>
      <c r="B3723" s="5" t="inlineStr">
        <is>
          <t>IMG_0146</t>
        </is>
      </c>
      <c r="C3723" s="5" t="inlineStr">
        <is>
          <t>CLASS V: PAINTING</t>
        </is>
      </c>
      <c r="D3723" s="5" t="inlineStr">
        <is>
          <t>04 GLOSS PAINT</t>
        </is>
      </c>
      <c r="E3723" s="5" t="inlineStr">
        <is>
          <t>One coat acrylic wood primer; two undercoats and one finishing coat of gloss paint; Timber</t>
        </is>
      </c>
      <c r="F3723" s="5" t="inlineStr">
        <is>
          <t>upper surfaces inclined at an angle ne 30 deg to the horizontal</t>
        </is>
      </c>
      <c r="G3723" s="6" t="inlineStr">
        <is>
          <t>m2</t>
        </is>
      </c>
      <c r="H3723" s="7" t="n">
        <v>0.07000000000000001</v>
      </c>
      <c r="I3723" s="8" t="n">
        <v>8.82</v>
      </c>
      <c r="J3723" s="8" t="n">
        <v>1.52</v>
      </c>
      <c r="K3723" s="8" t="n">
        <v>3.94</v>
      </c>
      <c r="L3723" s="8" t="n">
        <v>0</v>
      </c>
      <c r="M3723" s="9">
        <f>ROUND(SUM(I3723:L3723),2)</f>
        <v/>
      </c>
      <c r="N3723" s="10">
        <f>ROUND(I3723*'Irish Basis'!$C$6*'Irish Basis'!$C$5,2)</f>
        <v/>
      </c>
      <c r="O3723" s="10">
        <f>ROUND(J3723*'Irish Basis'!$C$7*'Irish Basis'!$C$5,2)</f>
        <v/>
      </c>
      <c r="P3723" s="10">
        <f>ROUND(K3723*'Irish Basis'!$C$8*'Irish Basis'!$C$5,2)</f>
        <v/>
      </c>
      <c r="Q3723" s="10">
        <f>ROUND(L3723*'Irish Basis'!$C$12*'Irish Basis'!$C$5,2)</f>
        <v/>
      </c>
      <c r="R3723" s="11">
        <f>ROUND(SUM(N3723:Q3723),2)</f>
        <v/>
      </c>
      <c r="S3723" s="5" t="inlineStr">
        <is>
          <t>Stated build-up</t>
        </is>
      </c>
      <c r="T3723" s="12" t="inlineStr">
        <is>
          <t>High</t>
        </is>
      </c>
      <c r="U3723" s="8" t="n">
        <v>14.27</v>
      </c>
      <c r="V3723" s="13">
        <f>IF(U3723="","",ROUND(M3723-U3723,2))</f>
        <v/>
      </c>
      <c r="W3723" s="5" t="n"/>
      <c r="X3723" s="5" t="inlineStr">
        <is>
          <t>Labour + plant + material as published; reconciles to the published rate.</t>
        </is>
      </c>
    </row>
    <row r="3724" ht="13" customHeight="1">
      <c r="A3724" s="4" t="n">
        <v>5659</v>
      </c>
      <c r="B3724" s="5" t="inlineStr">
        <is>
          <t>IMG_0146</t>
        </is>
      </c>
      <c r="C3724" s="5" t="inlineStr">
        <is>
          <t>CLASS V: PAINTING</t>
        </is>
      </c>
      <c r="D3724" s="5" t="inlineStr">
        <is>
          <t>04 GLOSS PAINT</t>
        </is>
      </c>
      <c r="E3724" s="5" t="inlineStr">
        <is>
          <t>One coat acrylic wood primer; two undercoats and one finishing coat of gloss paint; Timber</t>
        </is>
      </c>
      <c r="F3724" s="5" t="inlineStr">
        <is>
          <t>upper surfaces inclined at an angle 30-60 deg to the horizontal</t>
        </is>
      </c>
      <c r="G3724" s="6" t="inlineStr">
        <is>
          <t>m2</t>
        </is>
      </c>
      <c r="H3724" s="7" t="n">
        <v>0.07000000000000001</v>
      </c>
      <c r="I3724" s="8" t="n">
        <v>9.49</v>
      </c>
      <c r="J3724" s="8" t="n">
        <v>1.65</v>
      </c>
      <c r="K3724" s="8" t="n">
        <v>3.94</v>
      </c>
      <c r="L3724" s="8" t="n">
        <v>0</v>
      </c>
      <c r="M3724" s="9">
        <f>ROUND(SUM(I3724:L3724),2)</f>
        <v/>
      </c>
      <c r="N3724" s="10">
        <f>ROUND(I3724*'Irish Basis'!$C$6*'Irish Basis'!$C$5,2)</f>
        <v/>
      </c>
      <c r="O3724" s="10">
        <f>ROUND(J3724*'Irish Basis'!$C$7*'Irish Basis'!$C$5,2)</f>
        <v/>
      </c>
      <c r="P3724" s="10">
        <f>ROUND(K3724*'Irish Basis'!$C$8*'Irish Basis'!$C$5,2)</f>
        <v/>
      </c>
      <c r="Q3724" s="10">
        <f>ROUND(L3724*'Irish Basis'!$C$12*'Irish Basis'!$C$5,2)</f>
        <v/>
      </c>
      <c r="R3724" s="11">
        <f>ROUND(SUM(N3724:Q3724),2)</f>
        <v/>
      </c>
      <c r="S3724" s="5" t="inlineStr">
        <is>
          <t>Stated build-up</t>
        </is>
      </c>
      <c r="T3724" s="12" t="inlineStr">
        <is>
          <t>High</t>
        </is>
      </c>
      <c r="U3724" s="8" t="n">
        <v>15.08</v>
      </c>
      <c r="V3724" s="13">
        <f>IF(U3724="","",ROUND(M3724-U3724,2))</f>
        <v/>
      </c>
      <c r="W3724" s="5" t="n"/>
      <c r="X3724" s="5" t="inlineStr">
        <is>
          <t>Labour + plant + material as published; reconciles to the published rate.</t>
        </is>
      </c>
    </row>
    <row r="3725" ht="13" customHeight="1">
      <c r="A3725" s="4" t="n">
        <v>5660</v>
      </c>
      <c r="B3725" s="5" t="inlineStr">
        <is>
          <t>IMG_0146</t>
        </is>
      </c>
      <c r="C3725" s="5" t="inlineStr">
        <is>
          <t>CLASS V: PAINTING</t>
        </is>
      </c>
      <c r="D3725" s="5" t="inlineStr">
        <is>
          <t>04 GLOSS PAINT</t>
        </is>
      </c>
      <c r="E3725" s="5" t="inlineStr">
        <is>
          <t>One coat acrylic wood primer; two undercoats and one finishing coat of gloss paint; Timber</t>
        </is>
      </c>
      <c r="F3725" s="5" t="inlineStr">
        <is>
          <t>surfaces inclined at an angle exceeding 60 deg to the horizontal</t>
        </is>
      </c>
      <c r="G3725" s="6" t="inlineStr">
        <is>
          <t>m2</t>
        </is>
      </c>
      <c r="H3725" s="7" t="n">
        <v>0.08</v>
      </c>
      <c r="I3725" s="8" t="n">
        <v>10.17</v>
      </c>
      <c r="J3725" s="8" t="n">
        <v>1.76</v>
      </c>
      <c r="K3725" s="8" t="n">
        <v>3.96</v>
      </c>
      <c r="L3725" s="8" t="n">
        <v>0</v>
      </c>
      <c r="M3725" s="9">
        <f>ROUND(SUM(I3725:L3725),2)</f>
        <v/>
      </c>
      <c r="N3725" s="10">
        <f>ROUND(I3725*'Irish Basis'!$C$6*'Irish Basis'!$C$5,2)</f>
        <v/>
      </c>
      <c r="O3725" s="10">
        <f>ROUND(J3725*'Irish Basis'!$C$7*'Irish Basis'!$C$5,2)</f>
        <v/>
      </c>
      <c r="P3725" s="10">
        <f>ROUND(K3725*'Irish Basis'!$C$8*'Irish Basis'!$C$5,2)</f>
        <v/>
      </c>
      <c r="Q3725" s="10">
        <f>ROUND(L3725*'Irish Basis'!$C$12*'Irish Basis'!$C$5,2)</f>
        <v/>
      </c>
      <c r="R3725" s="11">
        <f>ROUND(SUM(N3725:Q3725),2)</f>
        <v/>
      </c>
      <c r="S3725" s="5" t="inlineStr">
        <is>
          <t>Stated build-up</t>
        </is>
      </c>
      <c r="T3725" s="12" t="inlineStr">
        <is>
          <t>High</t>
        </is>
      </c>
      <c r="U3725" s="8" t="n">
        <v>15.89</v>
      </c>
      <c r="V3725" s="13">
        <f>IF(U3725="","",ROUND(M3725-U3725,2))</f>
        <v/>
      </c>
      <c r="W3725" s="5" t="n"/>
      <c r="X3725" s="5" t="inlineStr">
        <is>
          <t>Labour + plant + material as published; reconciles to the published rate.</t>
        </is>
      </c>
    </row>
    <row r="3726" ht="13" customHeight="1">
      <c r="A3726" s="4" t="n">
        <v>5661</v>
      </c>
      <c r="B3726" s="5" t="inlineStr">
        <is>
          <t>IMG_0146</t>
        </is>
      </c>
      <c r="C3726" s="5" t="inlineStr">
        <is>
          <t>CLASS V: PAINTING</t>
        </is>
      </c>
      <c r="D3726" s="5" t="inlineStr">
        <is>
          <t>04 GLOSS PAINT</t>
        </is>
      </c>
      <c r="E3726" s="5" t="inlineStr">
        <is>
          <t>One coat acrylic wood primer; two undercoats and one finishing coat of gloss paint; Timber</t>
        </is>
      </c>
      <c r="F3726" s="5" t="inlineStr">
        <is>
          <t>soffit surfaces and lower surfaces inclined at an angle ne 60 deg to the horizontal</t>
        </is>
      </c>
      <c r="G3726" s="6" t="inlineStr">
        <is>
          <t>m2</t>
        </is>
      </c>
      <c r="H3726" s="7" t="n">
        <v>0.08</v>
      </c>
      <c r="I3726" s="8" t="n">
        <v>10.85</v>
      </c>
      <c r="J3726" s="8" t="n">
        <v>1.76</v>
      </c>
      <c r="K3726" s="8" t="n">
        <v>3.94</v>
      </c>
      <c r="L3726" s="8" t="n">
        <v>0</v>
      </c>
      <c r="M3726" s="9">
        <f>ROUND(SUM(I3726:L3726),2)</f>
        <v/>
      </c>
      <c r="N3726" s="10">
        <f>ROUND(I3726*'Irish Basis'!$C$6*'Irish Basis'!$C$5,2)</f>
        <v/>
      </c>
      <c r="O3726" s="10">
        <f>ROUND(J3726*'Irish Basis'!$C$7*'Irish Basis'!$C$5,2)</f>
        <v/>
      </c>
      <c r="P3726" s="10">
        <f>ROUND(K3726*'Irish Basis'!$C$8*'Irish Basis'!$C$5,2)</f>
        <v/>
      </c>
      <c r="Q3726" s="10">
        <f>ROUND(L3726*'Irish Basis'!$C$12*'Irish Basis'!$C$5,2)</f>
        <v/>
      </c>
      <c r="R3726" s="11">
        <f>ROUND(SUM(N3726:Q3726),2)</f>
        <v/>
      </c>
      <c r="S3726" s="5" t="inlineStr">
        <is>
          <t>Stated build-up</t>
        </is>
      </c>
      <c r="T3726" s="12" t="inlineStr">
        <is>
          <t>High</t>
        </is>
      </c>
      <c r="U3726" s="8" t="n">
        <v>16.55</v>
      </c>
      <c r="V3726" s="13">
        <f>IF(U3726="","",ROUND(M3726-U3726,2))</f>
        <v/>
      </c>
      <c r="W3726" s="5" t="n"/>
      <c r="X3726" s="5" t="inlineStr">
        <is>
          <t>Labour + plant + material as published; reconciles to the published rate.</t>
        </is>
      </c>
    </row>
    <row r="3727" ht="13" customHeight="1">
      <c r="A3727" s="4" t="n">
        <v>5662</v>
      </c>
      <c r="B3727" s="5" t="inlineStr">
        <is>
          <t>IMG_0146</t>
        </is>
      </c>
      <c r="C3727" s="5" t="inlineStr">
        <is>
          <t>CLASS V: PAINTING</t>
        </is>
      </c>
      <c r="D3727" s="5" t="inlineStr">
        <is>
          <t>04 GLOSS PAINT</t>
        </is>
      </c>
      <c r="E3727" s="5" t="inlineStr">
        <is>
          <t>One coat acrylic wood primer; two undercoats and one finishing coat of gloss paint; Timber</t>
        </is>
      </c>
      <c r="F3727" s="5" t="inlineStr">
        <is>
          <t>surfaces of width ne 300 mm</t>
        </is>
      </c>
      <c r="G3727" s="6" t="inlineStr">
        <is>
          <t>m</t>
        </is>
      </c>
      <c r="H3727" s="7" t="n">
        <v>0.03</v>
      </c>
      <c r="I3727" s="8" t="n">
        <v>4.07</v>
      </c>
      <c r="J3727" s="8" t="n">
        <v>1.65</v>
      </c>
      <c r="K3727" s="8" t="n">
        <v>1.18</v>
      </c>
      <c r="L3727" s="8" t="n">
        <v>0</v>
      </c>
      <c r="M3727" s="9">
        <f>ROUND(SUM(I3727:L3727),2)</f>
        <v/>
      </c>
      <c r="N3727" s="10">
        <f>ROUND(I3727*'Irish Basis'!$C$6*'Irish Basis'!$C$5,2)</f>
        <v/>
      </c>
      <c r="O3727" s="10">
        <f>ROUND(J3727*'Irish Basis'!$C$7*'Irish Basis'!$C$5,2)</f>
        <v/>
      </c>
      <c r="P3727" s="10">
        <f>ROUND(K3727*'Irish Basis'!$C$8*'Irish Basis'!$C$5,2)</f>
        <v/>
      </c>
      <c r="Q3727" s="10">
        <f>ROUND(L3727*'Irish Basis'!$C$12*'Irish Basis'!$C$5,2)</f>
        <v/>
      </c>
      <c r="R3727" s="11">
        <f>ROUND(SUM(N3727:Q3727),2)</f>
        <v/>
      </c>
      <c r="S3727" s="5" t="inlineStr">
        <is>
          <t>Stated build-up</t>
        </is>
      </c>
      <c r="T3727" s="12" t="inlineStr">
        <is>
          <t>High</t>
        </is>
      </c>
      <c r="U3727" s="8" t="n">
        <v>6.9</v>
      </c>
      <c r="V3727" s="13">
        <f>IF(U3727="","",ROUND(M3727-U3727,2))</f>
        <v/>
      </c>
      <c r="W3727" s="5" t="n"/>
      <c r="X3727" s="5" t="inlineStr">
        <is>
          <t>Labour + plant + material as published; reconciles to the published rate.</t>
        </is>
      </c>
    </row>
    <row r="3728" ht="13" customHeight="1">
      <c r="A3728" s="4" t="n">
        <v>5663</v>
      </c>
      <c r="B3728" s="5" t="inlineStr">
        <is>
          <t>IMG_0146</t>
        </is>
      </c>
      <c r="C3728" s="5" t="inlineStr">
        <is>
          <t>CLASS V: PAINTING</t>
        </is>
      </c>
      <c r="D3728" s="5" t="inlineStr">
        <is>
          <t>04 GLOSS PAINT</t>
        </is>
      </c>
      <c r="E3728" s="5" t="inlineStr">
        <is>
          <t>One coat acrylic wood primer; two undercoats and one finishing coat of gloss paint; Timber</t>
        </is>
      </c>
      <c r="F3728" s="5" t="inlineStr">
        <is>
          <t>surfaces of width 300 mm-1000 mm</t>
        </is>
      </c>
      <c r="G3728" s="6" t="inlineStr">
        <is>
          <t>m</t>
        </is>
      </c>
      <c r="H3728" s="7" t="n">
        <v>0.06</v>
      </c>
      <c r="I3728" s="8" t="n">
        <v>8.140000000000001</v>
      </c>
      <c r="J3728" s="8" t="n">
        <v>1.41</v>
      </c>
      <c r="K3728" s="8" t="n">
        <v>2.56</v>
      </c>
      <c r="L3728" s="8" t="n">
        <v>0</v>
      </c>
      <c r="M3728" s="9">
        <f>ROUND(SUM(I3728:L3728),2)</f>
        <v/>
      </c>
      <c r="N3728" s="10">
        <f>ROUND(I3728*'Irish Basis'!$C$6*'Irish Basis'!$C$5,2)</f>
        <v/>
      </c>
      <c r="O3728" s="10">
        <f>ROUND(J3728*'Irish Basis'!$C$7*'Irish Basis'!$C$5,2)</f>
        <v/>
      </c>
      <c r="P3728" s="10">
        <f>ROUND(K3728*'Irish Basis'!$C$8*'Irish Basis'!$C$5,2)</f>
        <v/>
      </c>
      <c r="Q3728" s="10">
        <f>ROUND(L3728*'Irish Basis'!$C$12*'Irish Basis'!$C$5,2)</f>
        <v/>
      </c>
      <c r="R3728" s="11">
        <f>ROUND(SUM(N3728:Q3728),2)</f>
        <v/>
      </c>
      <c r="S3728" s="5" t="inlineStr">
        <is>
          <t>Stated build-up</t>
        </is>
      </c>
      <c r="T3728" s="12" t="inlineStr">
        <is>
          <t>High</t>
        </is>
      </c>
      <c r="U3728" s="8" t="n">
        <v>12.1</v>
      </c>
      <c r="V3728" s="13">
        <f>IF(U3728="","",ROUND(M3728-U3728,2))</f>
        <v/>
      </c>
      <c r="W3728" s="5" t="n"/>
      <c r="X3728" s="5" t="inlineStr">
        <is>
          <t>Labour + plant + material as published; reconciles to the published rate.</t>
        </is>
      </c>
    </row>
    <row r="3729" ht="13" customHeight="1">
      <c r="A3729" s="4" t="n">
        <v>5665</v>
      </c>
      <c r="B3729" s="5" t="inlineStr">
        <is>
          <t>IMG_0146</t>
        </is>
      </c>
      <c r="C3729" s="5" t="inlineStr">
        <is>
          <t>CLASS V: PAINTING</t>
        </is>
      </c>
      <c r="D3729" s="5" t="inlineStr">
        <is>
          <t>04 GLOSS PAINT</t>
        </is>
      </c>
      <c r="E3729" s="5" t="inlineStr">
        <is>
          <t>One coat alkali resisting primer; two undercoats and one finishing coat of gloss paint; Smooth concrete</t>
        </is>
      </c>
      <c r="F3729" s="5" t="inlineStr">
        <is>
          <t>upper surfaces inclined at an angle ne 30 deg to the horizontal</t>
        </is>
      </c>
      <c r="G3729" s="6" t="inlineStr">
        <is>
          <t>m2</t>
        </is>
      </c>
      <c r="H3729" s="7" t="n">
        <v>0.04</v>
      </c>
      <c r="I3729" s="8" t="n">
        <v>4.75</v>
      </c>
      <c r="J3729" s="8" t="n">
        <v>0.83</v>
      </c>
      <c r="K3729" s="8" t="n">
        <v>4.35</v>
      </c>
      <c r="L3729" s="8" t="n">
        <v>0</v>
      </c>
      <c r="M3729" s="9">
        <f>ROUND(SUM(I3729:L3729),2)</f>
        <v/>
      </c>
      <c r="N3729" s="10">
        <f>ROUND(I3729*'Irish Basis'!$C$6*'Irish Basis'!$C$5,2)</f>
        <v/>
      </c>
      <c r="O3729" s="10">
        <f>ROUND(J3729*'Irish Basis'!$C$7*'Irish Basis'!$C$5,2)</f>
        <v/>
      </c>
      <c r="P3729" s="10">
        <f>ROUND(K3729*'Irish Basis'!$C$8*'Irish Basis'!$C$5,2)</f>
        <v/>
      </c>
      <c r="Q3729" s="10">
        <f>ROUND(L3729*'Irish Basis'!$C$12*'Irish Basis'!$C$5,2)</f>
        <v/>
      </c>
      <c r="R3729" s="11">
        <f>ROUND(SUM(N3729:Q3729),2)</f>
        <v/>
      </c>
      <c r="S3729" s="5" t="inlineStr">
        <is>
          <t>Stated build-up</t>
        </is>
      </c>
      <c r="T3729" s="12" t="inlineStr">
        <is>
          <t>High</t>
        </is>
      </c>
      <c r="U3729" s="8" t="n">
        <v>9.92</v>
      </c>
      <c r="V3729" s="13">
        <f>IF(U3729="","",ROUND(M3729-U3729,2))</f>
        <v/>
      </c>
      <c r="W3729" s="5" t="n"/>
      <c r="X3729" s="5" t="inlineStr">
        <is>
          <t>Labour + plant + material as published; reconciles to the published rate.</t>
        </is>
      </c>
    </row>
    <row r="3730" ht="13" customHeight="1">
      <c r="A3730" s="4" t="n">
        <v>5666</v>
      </c>
      <c r="B3730" s="5" t="inlineStr">
        <is>
          <t>IMG_0146</t>
        </is>
      </c>
      <c r="C3730" s="5" t="inlineStr">
        <is>
          <t>CLASS V: PAINTING</t>
        </is>
      </c>
      <c r="D3730" s="5" t="inlineStr">
        <is>
          <t>04 GLOSS PAINT</t>
        </is>
      </c>
      <c r="E3730" s="5" t="inlineStr">
        <is>
          <t>One coat alkali resisting primer; two undercoats and one finishing coat of gloss paint; Smooth concrete</t>
        </is>
      </c>
      <c r="F3730" s="5" t="inlineStr">
        <is>
          <t>upper surfaces inclined at an angle 30-60 deg to the horizontal</t>
        </is>
      </c>
      <c r="G3730" s="6" t="inlineStr">
        <is>
          <t>m2</t>
        </is>
      </c>
      <c r="H3730" s="7" t="n">
        <v>0.04</v>
      </c>
      <c r="I3730" s="8" t="n">
        <v>5.43</v>
      </c>
      <c r="J3730" s="8" t="n">
        <v>0.9399999999999999</v>
      </c>
      <c r="K3730" s="8" t="n">
        <v>4.35</v>
      </c>
      <c r="L3730" s="8" t="n">
        <v>0</v>
      </c>
      <c r="M3730" s="9">
        <f>ROUND(SUM(I3730:L3730),2)</f>
        <v/>
      </c>
      <c r="N3730" s="10">
        <f>ROUND(I3730*'Irish Basis'!$C$6*'Irish Basis'!$C$5,2)</f>
        <v/>
      </c>
      <c r="O3730" s="10">
        <f>ROUND(J3730*'Irish Basis'!$C$7*'Irish Basis'!$C$5,2)</f>
        <v/>
      </c>
      <c r="P3730" s="10">
        <f>ROUND(K3730*'Irish Basis'!$C$8*'Irish Basis'!$C$5,2)</f>
        <v/>
      </c>
      <c r="Q3730" s="10">
        <f>ROUND(L3730*'Irish Basis'!$C$12*'Irish Basis'!$C$5,2)</f>
        <v/>
      </c>
      <c r="R3730" s="11">
        <f>ROUND(SUM(N3730:Q3730),2)</f>
        <v/>
      </c>
      <c r="S3730" s="5" t="inlineStr">
        <is>
          <t>Stated build-up</t>
        </is>
      </c>
      <c r="T3730" s="12" t="inlineStr">
        <is>
          <t>High</t>
        </is>
      </c>
      <c r="U3730" s="8" t="n">
        <v>10.71</v>
      </c>
      <c r="V3730" s="13">
        <f>IF(U3730="","",ROUND(M3730-U3730,2))</f>
        <v/>
      </c>
      <c r="W3730" s="5" t="n"/>
      <c r="X3730" s="5" t="inlineStr">
        <is>
          <t>Labour + plant + material as published; reconciles to the published rate.</t>
        </is>
      </c>
    </row>
    <row r="3731" ht="13" customHeight="1">
      <c r="A3731" s="4" t="n">
        <v>5667</v>
      </c>
      <c r="B3731" s="5" t="inlineStr">
        <is>
          <t>IMG_0146</t>
        </is>
      </c>
      <c r="C3731" s="5" t="inlineStr">
        <is>
          <t>CLASS V: PAINTING</t>
        </is>
      </c>
      <c r="D3731" s="5" t="inlineStr">
        <is>
          <t>04 GLOSS PAINT</t>
        </is>
      </c>
      <c r="E3731" s="5" t="inlineStr">
        <is>
          <t>One coat alkali resisting primer; two undercoats and one finishing coat of gloss paint; Smooth concrete</t>
        </is>
      </c>
      <c r="F3731" s="5" t="inlineStr">
        <is>
          <t>surfaces inclined at an angle exceeding 60 deg to the horizontal</t>
        </is>
      </c>
      <c r="G3731" s="6" t="inlineStr">
        <is>
          <t>m2</t>
        </is>
      </c>
      <c r="H3731" s="7" t="n">
        <v>0.05</v>
      </c>
      <c r="I3731" s="8" t="n">
        <v>6.1</v>
      </c>
      <c r="J3731" s="8" t="n">
        <v>1.05</v>
      </c>
      <c r="K3731" s="8" t="n">
        <v>4.38</v>
      </c>
      <c r="L3731" s="8" t="n">
        <v>0</v>
      </c>
      <c r="M3731" s="9">
        <f>ROUND(SUM(I3731:L3731),2)</f>
        <v/>
      </c>
      <c r="N3731" s="10">
        <f>ROUND(I3731*'Irish Basis'!$C$6*'Irish Basis'!$C$5,2)</f>
        <v/>
      </c>
      <c r="O3731" s="10">
        <f>ROUND(J3731*'Irish Basis'!$C$7*'Irish Basis'!$C$5,2)</f>
        <v/>
      </c>
      <c r="P3731" s="10">
        <f>ROUND(K3731*'Irish Basis'!$C$8*'Irish Basis'!$C$5,2)</f>
        <v/>
      </c>
      <c r="Q3731" s="10">
        <f>ROUND(L3731*'Irish Basis'!$C$12*'Irish Basis'!$C$5,2)</f>
        <v/>
      </c>
      <c r="R3731" s="11">
        <f>ROUND(SUM(N3731:Q3731),2)</f>
        <v/>
      </c>
      <c r="S3731" s="5" t="inlineStr">
        <is>
          <t>Stated build-up</t>
        </is>
      </c>
      <c r="T3731" s="12" t="inlineStr">
        <is>
          <t>High</t>
        </is>
      </c>
      <c r="U3731" s="8" t="n">
        <v>11.53</v>
      </c>
      <c r="V3731" s="13">
        <f>IF(U3731="","",ROUND(M3731-U3731,2))</f>
        <v/>
      </c>
      <c r="W3731" s="5" t="n"/>
      <c r="X3731" s="5" t="inlineStr">
        <is>
          <t>Labour + plant + material as published; reconciles to the published rate.</t>
        </is>
      </c>
    </row>
    <row r="3732" ht="13" customHeight="1">
      <c r="A3732" s="4" t="n">
        <v>5668</v>
      </c>
      <c r="B3732" s="5" t="inlineStr">
        <is>
          <t>IMG_0146</t>
        </is>
      </c>
      <c r="C3732" s="5" t="inlineStr">
        <is>
          <t>CLASS V: PAINTING</t>
        </is>
      </c>
      <c r="D3732" s="5" t="inlineStr">
        <is>
          <t>04 GLOSS PAINT</t>
        </is>
      </c>
      <c r="E3732" s="5" t="inlineStr">
        <is>
          <t>One coat alkali resisting primer; two undercoats and one finishing coat of gloss paint; Smooth concrete</t>
        </is>
      </c>
      <c r="F3732" s="5" t="inlineStr">
        <is>
          <t>soffit surfaces and lower surfaces inclined at an angle ne 60 deg to the horizontal</t>
        </is>
      </c>
      <c r="G3732" s="6" t="inlineStr">
        <is>
          <t>m2</t>
        </is>
      </c>
      <c r="H3732" s="7" t="n">
        <v>0.05</v>
      </c>
      <c r="I3732" s="8" t="n">
        <v>6.78</v>
      </c>
      <c r="J3732" s="8" t="n">
        <v>1.18</v>
      </c>
      <c r="K3732" s="8" t="n">
        <v>4.35</v>
      </c>
      <c r="L3732" s="8" t="n">
        <v>0</v>
      </c>
      <c r="M3732" s="9">
        <f>ROUND(SUM(I3732:L3732),2)</f>
        <v/>
      </c>
      <c r="N3732" s="10">
        <f>ROUND(I3732*'Irish Basis'!$C$6*'Irish Basis'!$C$5,2)</f>
        <v/>
      </c>
      <c r="O3732" s="10">
        <f>ROUND(J3732*'Irish Basis'!$C$7*'Irish Basis'!$C$5,2)</f>
        <v/>
      </c>
      <c r="P3732" s="10">
        <f>ROUND(K3732*'Irish Basis'!$C$8*'Irish Basis'!$C$5,2)</f>
        <v/>
      </c>
      <c r="Q3732" s="10">
        <f>ROUND(L3732*'Irish Basis'!$C$12*'Irish Basis'!$C$5,2)</f>
        <v/>
      </c>
      <c r="R3732" s="11">
        <f>ROUND(SUM(N3732:Q3732),2)</f>
        <v/>
      </c>
      <c r="S3732" s="5" t="inlineStr">
        <is>
          <t>Stated build-up</t>
        </is>
      </c>
      <c r="T3732" s="12" t="inlineStr">
        <is>
          <t>High</t>
        </is>
      </c>
      <c r="U3732" s="8" t="n">
        <v>12.31</v>
      </c>
      <c r="V3732" s="13">
        <f>IF(U3732="","",ROUND(M3732-U3732,2))</f>
        <v/>
      </c>
      <c r="W3732" s="5" t="n"/>
      <c r="X3732" s="5" t="inlineStr">
        <is>
          <t>Labour + plant + material as published; reconciles to the published rate.</t>
        </is>
      </c>
    </row>
    <row r="3733" ht="13" customHeight="1">
      <c r="A3733" s="4" t="n">
        <v>5669</v>
      </c>
      <c r="B3733" s="5" t="inlineStr">
        <is>
          <t>IMG_0146</t>
        </is>
      </c>
      <c r="C3733" s="5" t="inlineStr">
        <is>
          <t>CLASS V: PAINTING</t>
        </is>
      </c>
      <c r="D3733" s="5" t="inlineStr">
        <is>
          <t>04 GLOSS PAINT</t>
        </is>
      </c>
      <c r="E3733" s="5" t="inlineStr">
        <is>
          <t>One coat alkali resisting primer; two undercoats and one finishing coat of gloss paint; Smooth concrete</t>
        </is>
      </c>
      <c r="F3733" s="5" t="inlineStr">
        <is>
          <t>surfaces of width ne 300 mm</t>
        </is>
      </c>
      <c r="G3733" s="6" t="inlineStr">
        <is>
          <t>m</t>
        </is>
      </c>
      <c r="H3733" s="7" t="n">
        <v>0.02</v>
      </c>
      <c r="I3733" s="8" t="n">
        <v>2.03</v>
      </c>
      <c r="J3733" s="8" t="n">
        <v>0.36</v>
      </c>
      <c r="K3733" s="8" t="n">
        <v>1.3</v>
      </c>
      <c r="L3733" s="8" t="n">
        <v>0</v>
      </c>
      <c r="M3733" s="9">
        <f>ROUND(SUM(I3733:L3733),2)</f>
        <v/>
      </c>
      <c r="N3733" s="10">
        <f>ROUND(I3733*'Irish Basis'!$C$6*'Irish Basis'!$C$5,2)</f>
        <v/>
      </c>
      <c r="O3733" s="10">
        <f>ROUND(J3733*'Irish Basis'!$C$7*'Irish Basis'!$C$5,2)</f>
        <v/>
      </c>
      <c r="P3733" s="10">
        <f>ROUND(K3733*'Irish Basis'!$C$8*'Irish Basis'!$C$5,2)</f>
        <v/>
      </c>
      <c r="Q3733" s="10">
        <f>ROUND(L3733*'Irish Basis'!$C$12*'Irish Basis'!$C$5,2)</f>
        <v/>
      </c>
      <c r="R3733" s="11">
        <f>ROUND(SUM(N3733:Q3733),2)</f>
        <v/>
      </c>
      <c r="S3733" s="5" t="inlineStr">
        <is>
          <t>Stated build-up</t>
        </is>
      </c>
      <c r="T3733" s="12" t="inlineStr">
        <is>
          <t>High</t>
        </is>
      </c>
      <c r="U3733" s="8" t="n">
        <v>3.7</v>
      </c>
      <c r="V3733" s="13">
        <f>IF(U3733="","",ROUND(M3733-U3733,2))</f>
        <v/>
      </c>
      <c r="W3733" s="5" t="n"/>
      <c r="X3733" s="5" t="inlineStr">
        <is>
          <t>Labour + plant + material as published; reconciles to the published rate.</t>
        </is>
      </c>
    </row>
    <row r="3734" ht="13" customHeight="1">
      <c r="A3734" s="4" t="n">
        <v>5670</v>
      </c>
      <c r="B3734" s="5" t="inlineStr">
        <is>
          <t>IMG_0146</t>
        </is>
      </c>
      <c r="C3734" s="5" t="inlineStr">
        <is>
          <t>CLASS V: PAINTING</t>
        </is>
      </c>
      <c r="D3734" s="5" t="inlineStr">
        <is>
          <t>04 GLOSS PAINT</t>
        </is>
      </c>
      <c r="E3734" s="5" t="inlineStr">
        <is>
          <t>One coat alkali resisting primer; two undercoats and one finishing coat of gloss paint; Smooth concrete</t>
        </is>
      </c>
      <c r="F3734" s="5" t="inlineStr">
        <is>
          <t>surfaces of width 300 mm-1000 mm</t>
        </is>
      </c>
      <c r="G3734" s="6" t="inlineStr">
        <is>
          <t>m</t>
        </is>
      </c>
      <c r="H3734" s="7" t="n">
        <v>0.03</v>
      </c>
      <c r="I3734" s="8" t="n">
        <v>4.07</v>
      </c>
      <c r="J3734" s="8" t="n">
        <v>0.71</v>
      </c>
      <c r="K3734" s="8" t="n">
        <v>2.82</v>
      </c>
      <c r="L3734" s="8" t="n">
        <v>0</v>
      </c>
      <c r="M3734" s="9">
        <f>ROUND(SUM(I3734:L3734),2)</f>
        <v/>
      </c>
      <c r="N3734" s="10">
        <f>ROUND(I3734*'Irish Basis'!$C$6*'Irish Basis'!$C$5,2)</f>
        <v/>
      </c>
      <c r="O3734" s="10">
        <f>ROUND(J3734*'Irish Basis'!$C$7*'Irish Basis'!$C$5,2)</f>
        <v/>
      </c>
      <c r="P3734" s="10">
        <f>ROUND(K3734*'Irish Basis'!$C$8*'Irish Basis'!$C$5,2)</f>
        <v/>
      </c>
      <c r="Q3734" s="10">
        <f>ROUND(L3734*'Irish Basis'!$C$12*'Irish Basis'!$C$5,2)</f>
        <v/>
      </c>
      <c r="R3734" s="11">
        <f>ROUND(SUM(N3734:Q3734),2)</f>
        <v/>
      </c>
      <c r="S3734" s="5" t="inlineStr">
        <is>
          <t>Stated build-up</t>
        </is>
      </c>
      <c r="T3734" s="12" t="inlineStr">
        <is>
          <t>High</t>
        </is>
      </c>
      <c r="U3734" s="8" t="n">
        <v>7.61</v>
      </c>
      <c r="V3734" s="13">
        <f>IF(U3734="","",ROUND(M3734-U3734,2))</f>
        <v/>
      </c>
      <c r="W3734" s="5" t="n"/>
      <c r="X3734" s="5" t="inlineStr">
        <is>
          <t>Labour + plant + material as published; reconciles to the published rate.</t>
        </is>
      </c>
    </row>
    <row r="3735" ht="13" customHeight="1">
      <c r="A3735" s="4" t="n">
        <v>5672</v>
      </c>
      <c r="B3735" s="5" t="inlineStr">
        <is>
          <t>IMG_0146</t>
        </is>
      </c>
      <c r="C3735" s="5" t="inlineStr">
        <is>
          <t>CLASS V: PAINTING</t>
        </is>
      </c>
      <c r="D3735" s="5" t="inlineStr">
        <is>
          <t>04 GLOSS PAINT</t>
        </is>
      </c>
      <c r="E3735" s="5" t="inlineStr">
        <is>
          <t>Brickwork and rough concrete</t>
        </is>
      </c>
      <c r="F3735" s="5" t="inlineStr">
        <is>
          <t>upper surfaces inclined at an angle ne 30 deg to the horizontal</t>
        </is>
      </c>
      <c r="G3735" s="6" t="inlineStr">
        <is>
          <t>m2</t>
        </is>
      </c>
      <c r="H3735" s="7" t="n">
        <v>0.04</v>
      </c>
      <c r="I3735" s="8" t="n">
        <v>5.43</v>
      </c>
      <c r="J3735" s="8" t="n">
        <v>0.9399999999999999</v>
      </c>
      <c r="K3735" s="8" t="n">
        <v>4.43</v>
      </c>
      <c r="L3735" s="8" t="n">
        <v>0</v>
      </c>
      <c r="M3735" s="9">
        <f>ROUND(SUM(I3735:L3735),2)</f>
        <v/>
      </c>
      <c r="N3735" s="10">
        <f>ROUND(I3735*'Irish Basis'!$C$6*'Irish Basis'!$C$5,2)</f>
        <v/>
      </c>
      <c r="O3735" s="10">
        <f>ROUND(J3735*'Irish Basis'!$C$7*'Irish Basis'!$C$5,2)</f>
        <v/>
      </c>
      <c r="P3735" s="10">
        <f>ROUND(K3735*'Irish Basis'!$C$8*'Irish Basis'!$C$5,2)</f>
        <v/>
      </c>
      <c r="Q3735" s="10">
        <f>ROUND(L3735*'Irish Basis'!$C$12*'Irish Basis'!$C$5,2)</f>
        <v/>
      </c>
      <c r="R3735" s="11">
        <f>ROUND(SUM(N3735:Q3735),2)</f>
        <v/>
      </c>
      <c r="S3735" s="5" t="inlineStr">
        <is>
          <t>Stated build-up</t>
        </is>
      </c>
      <c r="T3735" s="12" t="inlineStr">
        <is>
          <t>High</t>
        </is>
      </c>
      <c r="U3735" s="8" t="n">
        <v>10.79</v>
      </c>
      <c r="V3735" s="13">
        <f>IF(U3735="","",ROUND(M3735-U3735,2))</f>
        <v/>
      </c>
      <c r="W3735" s="5" t="n"/>
      <c r="X3735" s="5" t="inlineStr">
        <is>
          <t>Labour + plant + material as published; reconciles to the published rate.</t>
        </is>
      </c>
    </row>
    <row r="3736" ht="13" customHeight="1">
      <c r="A3736" s="4" t="n">
        <v>5673</v>
      </c>
      <c r="B3736" s="5" t="inlineStr">
        <is>
          <t>IMG_0146</t>
        </is>
      </c>
      <c r="C3736" s="5" t="inlineStr">
        <is>
          <t>CLASS V: PAINTING</t>
        </is>
      </c>
      <c r="D3736" s="5" t="inlineStr">
        <is>
          <t>04 GLOSS PAINT</t>
        </is>
      </c>
      <c r="E3736" s="5" t="inlineStr">
        <is>
          <t>Brickwork and rough concrete</t>
        </is>
      </c>
      <c r="F3736" s="5" t="inlineStr">
        <is>
          <t>upper surfaces inclined at an angle 30-60 deg to the horizontal</t>
        </is>
      </c>
      <c r="G3736" s="6" t="inlineStr">
        <is>
          <t>m2</t>
        </is>
      </c>
      <c r="H3736" s="7" t="n">
        <v>0.05</v>
      </c>
      <c r="I3736" s="8" t="n">
        <v>6.1</v>
      </c>
      <c r="J3736" s="8" t="n">
        <v>1.05</v>
      </c>
      <c r="K3736" s="8" t="n">
        <v>4.48</v>
      </c>
      <c r="L3736" s="8" t="n">
        <v>0</v>
      </c>
      <c r="M3736" s="9">
        <f>ROUND(SUM(I3736:L3736),2)</f>
        <v/>
      </c>
      <c r="N3736" s="10">
        <f>ROUND(I3736*'Irish Basis'!$C$6*'Irish Basis'!$C$5,2)</f>
        <v/>
      </c>
      <c r="O3736" s="10">
        <f>ROUND(J3736*'Irish Basis'!$C$7*'Irish Basis'!$C$5,2)</f>
        <v/>
      </c>
      <c r="P3736" s="10">
        <f>ROUND(K3736*'Irish Basis'!$C$8*'Irish Basis'!$C$5,2)</f>
        <v/>
      </c>
      <c r="Q3736" s="10">
        <f>ROUND(L3736*'Irish Basis'!$C$12*'Irish Basis'!$C$5,2)</f>
        <v/>
      </c>
      <c r="R3736" s="11">
        <f>ROUND(SUM(N3736:Q3736),2)</f>
        <v/>
      </c>
      <c r="S3736" s="5" t="inlineStr">
        <is>
          <t>Stated build-up</t>
        </is>
      </c>
      <c r="T3736" s="12" t="inlineStr">
        <is>
          <t>High</t>
        </is>
      </c>
      <c r="U3736" s="8" t="n">
        <v>11.63</v>
      </c>
      <c r="V3736" s="13">
        <f>IF(U3736="","",ROUND(M3736-U3736,2))</f>
        <v/>
      </c>
      <c r="W3736" s="5" t="n"/>
      <c r="X3736" s="5" t="inlineStr">
        <is>
          <t>Labour + plant + material as published; reconciles to the published rate.</t>
        </is>
      </c>
    </row>
    <row r="3737" ht="13" customHeight="1">
      <c r="A3737" s="4" t="n">
        <v>5674</v>
      </c>
      <c r="B3737" s="5" t="inlineStr">
        <is>
          <t>IMG_0146</t>
        </is>
      </c>
      <c r="C3737" s="5" t="inlineStr">
        <is>
          <t>CLASS V: PAINTING</t>
        </is>
      </c>
      <c r="D3737" s="5" t="inlineStr">
        <is>
          <t>04 GLOSS PAINT</t>
        </is>
      </c>
      <c r="E3737" s="5" t="inlineStr">
        <is>
          <t>Brickwork and rough concrete</t>
        </is>
      </c>
      <c r="F3737" s="5" t="inlineStr">
        <is>
          <t>surfaces inclined at an angle exceeding 60 deg to the horizontal</t>
        </is>
      </c>
      <c r="G3737" s="6" t="inlineStr">
        <is>
          <t>m2</t>
        </is>
      </c>
      <c r="H3737" s="7" t="n">
        <v>0.05</v>
      </c>
      <c r="I3737" s="8" t="n">
        <v>6.78</v>
      </c>
      <c r="J3737" s="8" t="n">
        <v>1.18</v>
      </c>
      <c r="K3737" s="8" t="n">
        <v>4.62</v>
      </c>
      <c r="L3737" s="8" t="n">
        <v>0</v>
      </c>
      <c r="M3737" s="9">
        <f>ROUND(SUM(I3737:L3737),2)</f>
        <v/>
      </c>
      <c r="N3737" s="10">
        <f>ROUND(I3737*'Irish Basis'!$C$6*'Irish Basis'!$C$5,2)</f>
        <v/>
      </c>
      <c r="O3737" s="10">
        <f>ROUND(J3737*'Irish Basis'!$C$7*'Irish Basis'!$C$5,2)</f>
        <v/>
      </c>
      <c r="P3737" s="10">
        <f>ROUND(K3737*'Irish Basis'!$C$8*'Irish Basis'!$C$5,2)</f>
        <v/>
      </c>
      <c r="Q3737" s="10">
        <f>ROUND(L3737*'Irish Basis'!$C$12*'Irish Basis'!$C$5,2)</f>
        <v/>
      </c>
      <c r="R3737" s="11">
        <f>ROUND(SUM(N3737:Q3737),2)</f>
        <v/>
      </c>
      <c r="S3737" s="5" t="inlineStr">
        <is>
          <t>Stated build-up</t>
        </is>
      </c>
      <c r="T3737" s="12" t="inlineStr">
        <is>
          <t>High</t>
        </is>
      </c>
      <c r="U3737" s="8" t="n">
        <v>12.59</v>
      </c>
      <c r="V3737" s="13">
        <f>IF(U3737="","",ROUND(M3737-U3737,2))</f>
        <v/>
      </c>
      <c r="W3737" s="5" t="n"/>
      <c r="X3737" s="5" t="inlineStr">
        <is>
          <t>Labour + plant + material as published; reconciles to the published rate.</t>
        </is>
      </c>
    </row>
    <row r="3738" ht="13" customHeight="1">
      <c r="A3738" s="4" t="n">
        <v>5675</v>
      </c>
      <c r="B3738" s="5" t="inlineStr">
        <is>
          <t>IMG_0146</t>
        </is>
      </c>
      <c r="C3738" s="5" t="inlineStr">
        <is>
          <t>CLASS V: PAINTING</t>
        </is>
      </c>
      <c r="D3738" s="5" t="inlineStr">
        <is>
          <t>04 GLOSS PAINT</t>
        </is>
      </c>
      <c r="E3738" s="5" t="inlineStr">
        <is>
          <t>Brickwork and rough concrete</t>
        </is>
      </c>
      <c r="F3738" s="5" t="inlineStr">
        <is>
          <t>soffit surfaces and lower surfaces inclined at an angle ne 60 deg to the horizontal</t>
        </is>
      </c>
      <c r="G3738" s="6" t="inlineStr">
        <is>
          <t>m2</t>
        </is>
      </c>
      <c r="H3738" s="7" t="n">
        <v>0.06</v>
      </c>
      <c r="I3738" s="8" t="n">
        <v>7.46</v>
      </c>
      <c r="J3738" s="8" t="n">
        <v>1.3</v>
      </c>
      <c r="K3738" s="8" t="n">
        <v>4.62</v>
      </c>
      <c r="L3738" s="8" t="n">
        <v>0</v>
      </c>
      <c r="M3738" s="9">
        <f>ROUND(SUM(I3738:L3738),2)</f>
        <v/>
      </c>
      <c r="N3738" s="10">
        <f>ROUND(I3738*'Irish Basis'!$C$6*'Irish Basis'!$C$5,2)</f>
        <v/>
      </c>
      <c r="O3738" s="10">
        <f>ROUND(J3738*'Irish Basis'!$C$7*'Irish Basis'!$C$5,2)</f>
        <v/>
      </c>
      <c r="P3738" s="10">
        <f>ROUND(K3738*'Irish Basis'!$C$8*'Irish Basis'!$C$5,2)</f>
        <v/>
      </c>
      <c r="Q3738" s="10">
        <f>ROUND(L3738*'Irish Basis'!$C$12*'Irish Basis'!$C$5,2)</f>
        <v/>
      </c>
      <c r="R3738" s="11">
        <f>ROUND(SUM(N3738:Q3738),2)</f>
        <v/>
      </c>
      <c r="S3738" s="5" t="inlineStr">
        <is>
          <t>Stated build-up</t>
        </is>
      </c>
      <c r="T3738" s="12" t="inlineStr">
        <is>
          <t>High</t>
        </is>
      </c>
      <c r="U3738" s="8" t="n">
        <v>13.38</v>
      </c>
      <c r="V3738" s="13">
        <f>IF(U3738="","",ROUND(M3738-U3738,2))</f>
        <v/>
      </c>
      <c r="W3738" s="5" t="n"/>
      <c r="X3738" s="5" t="inlineStr">
        <is>
          <t>Labour + plant + material as published; reconciles to the published rate.</t>
        </is>
      </c>
    </row>
    <row r="3739" ht="13" customHeight="1">
      <c r="A3739" s="4" t="n">
        <v>5676</v>
      </c>
      <c r="B3739" s="5" t="inlineStr">
        <is>
          <t>IMG_0146</t>
        </is>
      </c>
      <c r="C3739" s="5" t="inlineStr">
        <is>
          <t>CLASS V: PAINTING</t>
        </is>
      </c>
      <c r="D3739" s="5" t="inlineStr">
        <is>
          <t>04 GLOSS PAINT</t>
        </is>
      </c>
      <c r="E3739" s="5" t="inlineStr">
        <is>
          <t>Brickwork and rough concrete</t>
        </is>
      </c>
      <c r="F3739" s="5" t="inlineStr">
        <is>
          <t>surfaces of width ne 300 mm</t>
        </is>
      </c>
      <c r="G3739" s="6" t="inlineStr">
        <is>
          <t>m</t>
        </is>
      </c>
      <c r="H3739" s="7" t="n">
        <v>0.02</v>
      </c>
      <c r="I3739" s="8" t="n">
        <v>2.71</v>
      </c>
      <c r="J3739" s="8" t="n">
        <v>0.47</v>
      </c>
      <c r="K3739" s="8" t="n">
        <v>1.39</v>
      </c>
      <c r="L3739" s="8" t="n">
        <v>0</v>
      </c>
      <c r="M3739" s="9">
        <f>ROUND(SUM(I3739:L3739),2)</f>
        <v/>
      </c>
      <c r="N3739" s="10">
        <f>ROUND(I3739*'Irish Basis'!$C$6*'Irish Basis'!$C$5,2)</f>
        <v/>
      </c>
      <c r="O3739" s="10">
        <f>ROUND(J3739*'Irish Basis'!$C$7*'Irish Basis'!$C$5,2)</f>
        <v/>
      </c>
      <c r="P3739" s="10">
        <f>ROUND(K3739*'Irish Basis'!$C$8*'Irish Basis'!$C$5,2)</f>
        <v/>
      </c>
      <c r="Q3739" s="10">
        <f>ROUND(L3739*'Irish Basis'!$C$12*'Irish Basis'!$C$5,2)</f>
        <v/>
      </c>
      <c r="R3739" s="11">
        <f>ROUND(SUM(N3739:Q3739),2)</f>
        <v/>
      </c>
      <c r="S3739" s="5" t="inlineStr">
        <is>
          <t>Stated build-up</t>
        </is>
      </c>
      <c r="T3739" s="12" t="inlineStr">
        <is>
          <t>High</t>
        </is>
      </c>
      <c r="U3739" s="8" t="n">
        <v>4.57</v>
      </c>
      <c r="V3739" s="13">
        <f>IF(U3739="","",ROUND(M3739-U3739,2))</f>
        <v/>
      </c>
      <c r="W3739" s="5" t="n"/>
      <c r="X3739" s="5" t="inlineStr">
        <is>
          <t>Labour + plant + material as published; reconciles to the published rate.</t>
        </is>
      </c>
    </row>
    <row r="3740" ht="13" customHeight="1">
      <c r="A3740" s="4" t="n">
        <v>5677</v>
      </c>
      <c r="B3740" s="5" t="inlineStr">
        <is>
          <t>IMG_0146</t>
        </is>
      </c>
      <c r="C3740" s="5" t="inlineStr">
        <is>
          <t>CLASS V: PAINTING</t>
        </is>
      </c>
      <c r="D3740" s="5" t="inlineStr">
        <is>
          <t>04 GLOSS PAINT</t>
        </is>
      </c>
      <c r="E3740" s="5" t="inlineStr">
        <is>
          <t>Brickwork and rough concrete</t>
        </is>
      </c>
      <c r="F3740" s="5" t="inlineStr">
        <is>
          <t>surfaces of width 300 mm-1000 mm</t>
        </is>
      </c>
      <c r="G3740" s="6" t="inlineStr">
        <is>
          <t>m</t>
        </is>
      </c>
      <c r="H3740" s="7" t="n">
        <v>0.04</v>
      </c>
      <c r="I3740" s="8" t="n">
        <v>4.75</v>
      </c>
      <c r="J3740" s="8" t="n">
        <v>0.83</v>
      </c>
      <c r="K3740" s="8" t="n">
        <v>2.97</v>
      </c>
      <c r="L3740" s="8" t="n">
        <v>0</v>
      </c>
      <c r="M3740" s="9">
        <f>ROUND(SUM(I3740:L3740),2)</f>
        <v/>
      </c>
      <c r="N3740" s="10">
        <f>ROUND(I3740*'Irish Basis'!$C$6*'Irish Basis'!$C$5,2)</f>
        <v/>
      </c>
      <c r="O3740" s="10">
        <f>ROUND(J3740*'Irish Basis'!$C$7*'Irish Basis'!$C$5,2)</f>
        <v/>
      </c>
      <c r="P3740" s="10">
        <f>ROUND(K3740*'Irish Basis'!$C$8*'Irish Basis'!$C$5,2)</f>
        <v/>
      </c>
      <c r="Q3740" s="10">
        <f>ROUND(L3740*'Irish Basis'!$C$12*'Irish Basis'!$C$5,2)</f>
        <v/>
      </c>
      <c r="R3740" s="11">
        <f>ROUND(SUM(N3740:Q3740),2)</f>
        <v/>
      </c>
      <c r="S3740" s="5" t="inlineStr">
        <is>
          <t>Stated build-up</t>
        </is>
      </c>
      <c r="T3740" s="12" t="inlineStr">
        <is>
          <t>High</t>
        </is>
      </c>
      <c r="U3740" s="8" t="n">
        <v>8.550000000000001</v>
      </c>
      <c r="V3740" s="13">
        <f>IF(U3740="","",ROUND(M3740-U3740,2))</f>
        <v/>
      </c>
      <c r="W3740" s="5" t="n"/>
      <c r="X3740" s="5" t="inlineStr">
        <is>
          <t>Labour + plant + material as published; reconciles to the published rate.</t>
        </is>
      </c>
    </row>
    <row r="3741" ht="13" customHeight="1">
      <c r="A3741" s="4" t="n">
        <v>5679</v>
      </c>
      <c r="B3741" s="5" t="inlineStr">
        <is>
          <t>IMG_0146</t>
        </is>
      </c>
      <c r="C3741" s="5" t="inlineStr">
        <is>
          <t>CLASS V: PAINTING</t>
        </is>
      </c>
      <c r="D3741" s="5" t="inlineStr">
        <is>
          <t>04 GLOSS PAINT</t>
        </is>
      </c>
      <c r="E3741" s="5" t="inlineStr">
        <is>
          <t>Blockwork</t>
        </is>
      </c>
      <c r="F3741" s="5" t="inlineStr">
        <is>
          <t>upper surfaces inclined at an angle ne 30 deg to the horizontal</t>
        </is>
      </c>
      <c r="G3741" s="6" t="inlineStr">
        <is>
          <t>m2</t>
        </is>
      </c>
      <c r="H3741" s="7" t="n">
        <v>0.06</v>
      </c>
      <c r="I3741" s="8" t="n">
        <v>7.46</v>
      </c>
      <c r="J3741" s="8" t="n">
        <v>1.3</v>
      </c>
      <c r="K3741" s="8" t="n">
        <v>4.62</v>
      </c>
      <c r="L3741" s="8" t="n">
        <v>0</v>
      </c>
      <c r="M3741" s="9">
        <f>ROUND(SUM(I3741:L3741),2)</f>
        <v/>
      </c>
      <c r="N3741" s="10">
        <f>ROUND(I3741*'Irish Basis'!$C$6*'Irish Basis'!$C$5,2)</f>
        <v/>
      </c>
      <c r="O3741" s="10">
        <f>ROUND(J3741*'Irish Basis'!$C$7*'Irish Basis'!$C$5,2)</f>
        <v/>
      </c>
      <c r="P3741" s="10">
        <f>ROUND(K3741*'Irish Basis'!$C$8*'Irish Basis'!$C$5,2)</f>
        <v/>
      </c>
      <c r="Q3741" s="10">
        <f>ROUND(L3741*'Irish Basis'!$C$12*'Irish Basis'!$C$5,2)</f>
        <v/>
      </c>
      <c r="R3741" s="11">
        <f>ROUND(SUM(N3741:Q3741),2)</f>
        <v/>
      </c>
      <c r="S3741" s="5" t="inlineStr">
        <is>
          <t>Stated build-up</t>
        </is>
      </c>
      <c r="T3741" s="12" t="inlineStr">
        <is>
          <t>High</t>
        </is>
      </c>
      <c r="U3741" s="8" t="n">
        <v>13.38</v>
      </c>
      <c r="V3741" s="13">
        <f>IF(U3741="","",ROUND(M3741-U3741,2))</f>
        <v/>
      </c>
      <c r="W3741" s="5" t="n"/>
      <c r="X3741" s="5" t="inlineStr">
        <is>
          <t>Labour + plant + material as published; reconciles to the published rate.</t>
        </is>
      </c>
    </row>
    <row r="3742" ht="13" customHeight="1">
      <c r="A3742" s="4" t="n">
        <v>5680</v>
      </c>
      <c r="B3742" s="5" t="inlineStr">
        <is>
          <t>IMG_0146</t>
        </is>
      </c>
      <c r="C3742" s="5" t="inlineStr">
        <is>
          <t>CLASS V: PAINTING</t>
        </is>
      </c>
      <c r="D3742" s="5" t="inlineStr">
        <is>
          <t>04 GLOSS PAINT</t>
        </is>
      </c>
      <c r="E3742" s="5" t="inlineStr">
        <is>
          <t>Blockwork</t>
        </is>
      </c>
      <c r="F3742" s="5" t="inlineStr">
        <is>
          <t>soffit surfaces and lower surfaces inclined at an angle ne 60 deg to the horizontal</t>
        </is>
      </c>
      <c r="G3742" s="6" t="inlineStr">
        <is>
          <t>m2</t>
        </is>
      </c>
      <c r="H3742" s="7" t="n">
        <v>0.06</v>
      </c>
      <c r="I3742" s="8" t="n">
        <v>8.140000000000001</v>
      </c>
      <c r="J3742" s="8" t="n">
        <v>1.41</v>
      </c>
      <c r="K3742" s="8" t="n">
        <v>4.62</v>
      </c>
      <c r="L3742" s="8" t="n">
        <v>0</v>
      </c>
      <c r="M3742" s="9">
        <f>ROUND(SUM(I3742:L3742),2)</f>
        <v/>
      </c>
      <c r="N3742" s="10">
        <f>ROUND(I3742*'Irish Basis'!$C$6*'Irish Basis'!$C$5,2)</f>
        <v/>
      </c>
      <c r="O3742" s="10">
        <f>ROUND(J3742*'Irish Basis'!$C$7*'Irish Basis'!$C$5,2)</f>
        <v/>
      </c>
      <c r="P3742" s="10">
        <f>ROUND(K3742*'Irish Basis'!$C$8*'Irish Basis'!$C$5,2)</f>
        <v/>
      </c>
      <c r="Q3742" s="10">
        <f>ROUND(L3742*'Irish Basis'!$C$12*'Irish Basis'!$C$5,2)</f>
        <v/>
      </c>
      <c r="R3742" s="11">
        <f>ROUND(SUM(N3742:Q3742),2)</f>
        <v/>
      </c>
      <c r="S3742" s="5" t="inlineStr">
        <is>
          <t>Stated build-up</t>
        </is>
      </c>
      <c r="T3742" s="12" t="inlineStr">
        <is>
          <t>High</t>
        </is>
      </c>
      <c r="U3742" s="8" t="n">
        <v>14.17</v>
      </c>
      <c r="V3742" s="13">
        <f>IF(U3742="","",ROUND(M3742-U3742,2))</f>
        <v/>
      </c>
      <c r="W3742" s="5" t="n"/>
      <c r="X3742" s="5" t="inlineStr">
        <is>
          <t>Labour + plant + material as published; reconciles to the published rate.</t>
        </is>
      </c>
    </row>
    <row r="3743" ht="13" customHeight="1">
      <c r="A3743" s="4" t="n">
        <v>5681</v>
      </c>
      <c r="B3743" s="5" t="inlineStr">
        <is>
          <t>IMG_0146</t>
        </is>
      </c>
      <c r="C3743" s="5" t="inlineStr">
        <is>
          <t>CLASS V: PAINTING</t>
        </is>
      </c>
      <c r="D3743" s="5" t="inlineStr">
        <is>
          <t>04 GLOSS PAINT</t>
        </is>
      </c>
      <c r="E3743" s="5" t="inlineStr">
        <is>
          <t>Blockwork</t>
        </is>
      </c>
      <c r="F3743" s="5" t="inlineStr">
        <is>
          <t>surfaces of width ne 300 mm</t>
        </is>
      </c>
      <c r="G3743" s="6" t="inlineStr">
        <is>
          <t>m</t>
        </is>
      </c>
      <c r="H3743" s="7" t="n">
        <v>0.03</v>
      </c>
      <c r="I3743" s="8" t="n">
        <v>3.39</v>
      </c>
      <c r="J3743" s="8" t="n">
        <v>0.58</v>
      </c>
      <c r="K3743" s="8" t="n">
        <v>1.39</v>
      </c>
      <c r="L3743" s="8" t="n">
        <v>0</v>
      </c>
      <c r="M3743" s="9">
        <f>ROUND(SUM(I3743:L3743),2)</f>
        <v/>
      </c>
      <c r="N3743" s="10">
        <f>ROUND(I3743*'Irish Basis'!$C$6*'Irish Basis'!$C$5,2)</f>
        <v/>
      </c>
      <c r="O3743" s="10">
        <f>ROUND(J3743*'Irish Basis'!$C$7*'Irish Basis'!$C$5,2)</f>
        <v/>
      </c>
      <c r="P3743" s="10">
        <f>ROUND(K3743*'Irish Basis'!$C$8*'Irish Basis'!$C$5,2)</f>
        <v/>
      </c>
      <c r="Q3743" s="10">
        <f>ROUND(L3743*'Irish Basis'!$C$12*'Irish Basis'!$C$5,2)</f>
        <v/>
      </c>
      <c r="R3743" s="11">
        <f>ROUND(SUM(N3743:Q3743),2)</f>
        <v/>
      </c>
      <c r="S3743" s="5" t="inlineStr">
        <is>
          <t>Stated build-up</t>
        </is>
      </c>
      <c r="T3743" s="12" t="inlineStr">
        <is>
          <t>High</t>
        </is>
      </c>
      <c r="U3743" s="8" t="n">
        <v>5.36</v>
      </c>
      <c r="V3743" s="13">
        <f>IF(U3743="","",ROUND(M3743-U3743,2))</f>
        <v/>
      </c>
      <c r="W3743" s="5" t="n"/>
      <c r="X3743" s="5" t="inlineStr">
        <is>
          <t>Labour + plant + material as published; reconciles to the published rate.</t>
        </is>
      </c>
    </row>
    <row r="3744" ht="13" customHeight="1">
      <c r="A3744" s="4" t="n">
        <v>5682</v>
      </c>
      <c r="B3744" s="5" t="inlineStr">
        <is>
          <t>IMG_0146</t>
        </is>
      </c>
      <c r="C3744" s="5" t="inlineStr">
        <is>
          <t>CLASS V: PAINTING</t>
        </is>
      </c>
      <c r="D3744" s="5" t="inlineStr">
        <is>
          <t>04 GLOSS PAINT</t>
        </is>
      </c>
      <c r="E3744" s="5" t="inlineStr">
        <is>
          <t>Blockwork</t>
        </is>
      </c>
      <c r="F3744" s="5" t="inlineStr">
        <is>
          <t>surfaces of width 300 mm-1000 mm</t>
        </is>
      </c>
      <c r="G3744" s="6" t="inlineStr">
        <is>
          <t>m</t>
        </is>
      </c>
      <c r="H3744" s="7" t="n">
        <v>0.04</v>
      </c>
      <c r="I3744" s="8" t="n">
        <v>5.43</v>
      </c>
      <c r="J3744" s="8" t="n">
        <v>0.9399999999999999</v>
      </c>
      <c r="K3744" s="8" t="n">
        <v>3</v>
      </c>
      <c r="L3744" s="8" t="n">
        <v>0</v>
      </c>
      <c r="M3744" s="9">
        <f>ROUND(SUM(I3744:L3744),2)</f>
        <v/>
      </c>
      <c r="N3744" s="10">
        <f>ROUND(I3744*'Irish Basis'!$C$6*'Irish Basis'!$C$5,2)</f>
        <v/>
      </c>
      <c r="O3744" s="10">
        <f>ROUND(J3744*'Irish Basis'!$C$7*'Irish Basis'!$C$5,2)</f>
        <v/>
      </c>
      <c r="P3744" s="10">
        <f>ROUND(K3744*'Irish Basis'!$C$8*'Irish Basis'!$C$5,2)</f>
        <v/>
      </c>
      <c r="Q3744" s="10">
        <f>ROUND(L3744*'Irish Basis'!$C$12*'Irish Basis'!$C$5,2)</f>
        <v/>
      </c>
      <c r="R3744" s="11">
        <f>ROUND(SUM(N3744:Q3744),2)</f>
        <v/>
      </c>
      <c r="S3744" s="5" t="inlineStr">
        <is>
          <t>Stated build-up</t>
        </is>
      </c>
      <c r="T3744" s="12" t="inlineStr">
        <is>
          <t>High</t>
        </is>
      </c>
      <c r="U3744" s="8" t="n">
        <v>9.369999999999999</v>
      </c>
      <c r="V3744" s="13">
        <f>IF(U3744="","",ROUND(M3744-U3744,2))</f>
        <v/>
      </c>
      <c r="W3744" s="5" t="n"/>
      <c r="X3744" s="5" t="inlineStr">
        <is>
          <t>Labour + plant + material as published; reconciles to the published rate.</t>
        </is>
      </c>
    </row>
    <row r="3745" ht="13" customHeight="1">
      <c r="A3745" s="4" t="n">
        <v>5684</v>
      </c>
      <c r="B3745" s="5" t="inlineStr">
        <is>
          <t>IMG_0146</t>
        </is>
      </c>
      <c r="C3745" s="5" t="inlineStr">
        <is>
          <t>CLASS V: PAINTING</t>
        </is>
      </c>
      <c r="D3745" s="5" t="inlineStr">
        <is>
          <t>04 GLOSS PAINT</t>
        </is>
      </c>
      <c r="E3745" s="5" t="inlineStr">
        <is>
          <t>Two coats anti-condensation paint; Metal</t>
        </is>
      </c>
      <c r="F3745" s="5" t="inlineStr">
        <is>
          <t>upper surfaces inclined at an angle ne 30 deg to the horizontal</t>
        </is>
      </c>
      <c r="G3745" s="6" t="inlineStr">
        <is>
          <t>m2</t>
        </is>
      </c>
      <c r="H3745" s="7" t="n">
        <v>0.08</v>
      </c>
      <c r="I3745" s="8" t="n">
        <v>10.17</v>
      </c>
      <c r="J3745" s="8" t="n">
        <v>1.76</v>
      </c>
      <c r="K3745" s="8" t="n">
        <v>7.92</v>
      </c>
      <c r="L3745" s="8" t="n">
        <v>0</v>
      </c>
      <c r="M3745" s="9">
        <f>ROUND(SUM(I3745:L3745),2)</f>
        <v/>
      </c>
      <c r="N3745" s="10">
        <f>ROUND(I3745*'Irish Basis'!$C$6*'Irish Basis'!$C$5,2)</f>
        <v/>
      </c>
      <c r="O3745" s="10">
        <f>ROUND(J3745*'Irish Basis'!$C$7*'Irish Basis'!$C$5,2)</f>
        <v/>
      </c>
      <c r="P3745" s="10">
        <f>ROUND(K3745*'Irish Basis'!$C$8*'Irish Basis'!$C$5,2)</f>
        <v/>
      </c>
      <c r="Q3745" s="10">
        <f>ROUND(L3745*'Irish Basis'!$C$12*'Irish Basis'!$C$5,2)</f>
        <v/>
      </c>
      <c r="R3745" s="11">
        <f>ROUND(SUM(N3745:Q3745),2)</f>
        <v/>
      </c>
      <c r="S3745" s="5" t="inlineStr">
        <is>
          <t>Stated build-up</t>
        </is>
      </c>
      <c r="T3745" s="12" t="inlineStr">
        <is>
          <t>High</t>
        </is>
      </c>
      <c r="U3745" s="8" t="n">
        <v>19.86</v>
      </c>
      <c r="V3745" s="13">
        <f>IF(U3745="","",ROUND(M3745-U3745,2))</f>
        <v/>
      </c>
      <c r="W3745" s="5" t="n"/>
      <c r="X3745" s="5" t="inlineStr">
        <is>
          <t>Labour + plant + material as published; reconciles to the published rate.</t>
        </is>
      </c>
    </row>
    <row r="3746" ht="13" customHeight="1">
      <c r="A3746" s="4" t="n">
        <v>5685</v>
      </c>
      <c r="B3746" s="5" t="inlineStr">
        <is>
          <t>IMG_0146</t>
        </is>
      </c>
      <c r="C3746" s="5" t="inlineStr">
        <is>
          <t>CLASS V: PAINTING</t>
        </is>
      </c>
      <c r="D3746" s="5" t="inlineStr">
        <is>
          <t>04 GLOSS PAINT</t>
        </is>
      </c>
      <c r="E3746" s="5" t="inlineStr">
        <is>
          <t>Two coats anti-condensation paint; Metal</t>
        </is>
      </c>
      <c r="F3746" s="5" t="inlineStr">
        <is>
          <t>upper surfaces inclined at an angle 30-60 deg to the horizontal</t>
        </is>
      </c>
      <c r="G3746" s="6" t="inlineStr">
        <is>
          <t>m2</t>
        </is>
      </c>
      <c r="H3746" s="7" t="n">
        <v>0.08</v>
      </c>
      <c r="I3746" s="8" t="n">
        <v>10.17</v>
      </c>
      <c r="J3746" s="8" t="n">
        <v>1.76</v>
      </c>
      <c r="K3746" s="8" t="n">
        <v>7.92</v>
      </c>
      <c r="L3746" s="8" t="n">
        <v>0</v>
      </c>
      <c r="M3746" s="9">
        <f>ROUND(SUM(I3746:L3746),2)</f>
        <v/>
      </c>
      <c r="N3746" s="10">
        <f>ROUND(I3746*'Irish Basis'!$C$6*'Irish Basis'!$C$5,2)</f>
        <v/>
      </c>
      <c r="O3746" s="10">
        <f>ROUND(J3746*'Irish Basis'!$C$7*'Irish Basis'!$C$5,2)</f>
        <v/>
      </c>
      <c r="P3746" s="10">
        <f>ROUND(K3746*'Irish Basis'!$C$8*'Irish Basis'!$C$5,2)</f>
        <v/>
      </c>
      <c r="Q3746" s="10">
        <f>ROUND(L3746*'Irish Basis'!$C$12*'Irish Basis'!$C$5,2)</f>
        <v/>
      </c>
      <c r="R3746" s="11">
        <f>ROUND(SUM(N3746:Q3746),2)</f>
        <v/>
      </c>
      <c r="S3746" s="5" t="inlineStr">
        <is>
          <t>Stated build-up</t>
        </is>
      </c>
      <c r="T3746" s="12" t="inlineStr">
        <is>
          <t>High</t>
        </is>
      </c>
      <c r="U3746" s="8" t="n">
        <v>19.86</v>
      </c>
      <c r="V3746" s="13">
        <f>IF(U3746="","",ROUND(M3746-U3746,2))</f>
        <v/>
      </c>
      <c r="W3746" s="5" t="n"/>
      <c r="X3746" s="5" t="inlineStr">
        <is>
          <t>Labour + plant + material as published; reconciles to the published rate.</t>
        </is>
      </c>
    </row>
    <row r="3747" ht="13" customHeight="1">
      <c r="A3747" s="4" t="n">
        <v>5686</v>
      </c>
      <c r="B3747" s="5" t="inlineStr">
        <is>
          <t>IMG_0146</t>
        </is>
      </c>
      <c r="C3747" s="5" t="inlineStr">
        <is>
          <t>CLASS V: PAINTING</t>
        </is>
      </c>
      <c r="D3747" s="5" t="inlineStr">
        <is>
          <t>04 GLOSS PAINT</t>
        </is>
      </c>
      <c r="E3747" s="5" t="inlineStr">
        <is>
          <t>Two coats anti-condensation paint; Metal</t>
        </is>
      </c>
      <c r="F3747" s="5" t="inlineStr">
        <is>
          <t>surfaces inclined at an angle exceeding 60 deg to the horizontal</t>
        </is>
      </c>
      <c r="G3747" s="6" t="inlineStr">
        <is>
          <t>m2</t>
        </is>
      </c>
      <c r="H3747" s="7" t="n">
        <v>0.08</v>
      </c>
      <c r="I3747" s="8" t="n">
        <v>10.17</v>
      </c>
      <c r="J3747" s="8" t="n">
        <v>1.76</v>
      </c>
      <c r="K3747" s="8" t="n">
        <v>7.92</v>
      </c>
      <c r="L3747" s="8" t="n">
        <v>0</v>
      </c>
      <c r="M3747" s="9">
        <f>ROUND(SUM(I3747:L3747),2)</f>
        <v/>
      </c>
      <c r="N3747" s="10">
        <f>ROUND(I3747*'Irish Basis'!$C$6*'Irish Basis'!$C$5,2)</f>
        <v/>
      </c>
      <c r="O3747" s="10">
        <f>ROUND(J3747*'Irish Basis'!$C$7*'Irish Basis'!$C$5,2)</f>
        <v/>
      </c>
      <c r="P3747" s="10">
        <f>ROUND(K3747*'Irish Basis'!$C$8*'Irish Basis'!$C$5,2)</f>
        <v/>
      </c>
      <c r="Q3747" s="10">
        <f>ROUND(L3747*'Irish Basis'!$C$12*'Irish Basis'!$C$5,2)</f>
        <v/>
      </c>
      <c r="R3747" s="11">
        <f>ROUND(SUM(N3747:Q3747),2)</f>
        <v/>
      </c>
      <c r="S3747" s="5" t="inlineStr">
        <is>
          <t>Stated build-up</t>
        </is>
      </c>
      <c r="T3747" s="12" t="inlineStr">
        <is>
          <t>High</t>
        </is>
      </c>
      <c r="U3747" s="8" t="n">
        <v>19.86</v>
      </c>
      <c r="V3747" s="13">
        <f>IF(U3747="","",ROUND(M3747-U3747,2))</f>
        <v/>
      </c>
      <c r="W3747" s="5" t="n"/>
      <c r="X3747" s="5" t="inlineStr">
        <is>
          <t>Labour + plant + material as published; reconciles to the published rate.</t>
        </is>
      </c>
    </row>
    <row r="3748" ht="13" customHeight="1">
      <c r="A3748" s="4" t="n">
        <v>5687</v>
      </c>
      <c r="B3748" s="5" t="inlineStr">
        <is>
          <t>IMG_0146</t>
        </is>
      </c>
      <c r="C3748" s="5" t="inlineStr">
        <is>
          <t>CLASS V: PAINTING</t>
        </is>
      </c>
      <c r="D3748" s="5" t="inlineStr">
        <is>
          <t>04 GLOSS PAINT</t>
        </is>
      </c>
      <c r="E3748" s="5" t="inlineStr">
        <is>
          <t>Two coats anti-condensation paint; Metal</t>
        </is>
      </c>
      <c r="F3748" s="5" t="inlineStr">
        <is>
          <t>soffit surfaces and lower surfaces inclined at an angle ne 60 deg to the horizontal</t>
        </is>
      </c>
      <c r="G3748" s="6" t="inlineStr">
        <is>
          <t>m2</t>
        </is>
      </c>
      <c r="H3748" s="7" t="n">
        <v>0.08</v>
      </c>
      <c r="I3748" s="8" t="n">
        <v>10.85</v>
      </c>
      <c r="J3748" s="8" t="n">
        <v>1.88</v>
      </c>
      <c r="K3748" s="8" t="n">
        <v>7.92</v>
      </c>
      <c r="L3748" s="8" t="n">
        <v>0</v>
      </c>
      <c r="M3748" s="9">
        <f>ROUND(SUM(I3748:L3748),2)</f>
        <v/>
      </c>
      <c r="N3748" s="10">
        <f>ROUND(I3748*'Irish Basis'!$C$6*'Irish Basis'!$C$5,2)</f>
        <v/>
      </c>
      <c r="O3748" s="10">
        <f>ROUND(J3748*'Irish Basis'!$C$7*'Irish Basis'!$C$5,2)</f>
        <v/>
      </c>
      <c r="P3748" s="10">
        <f>ROUND(K3748*'Irish Basis'!$C$8*'Irish Basis'!$C$5,2)</f>
        <v/>
      </c>
      <c r="Q3748" s="10">
        <f>ROUND(L3748*'Irish Basis'!$C$12*'Irish Basis'!$C$5,2)</f>
        <v/>
      </c>
      <c r="R3748" s="11">
        <f>ROUND(SUM(N3748:Q3748),2)</f>
        <v/>
      </c>
      <c r="S3748" s="5" t="inlineStr">
        <is>
          <t>Stated build-up</t>
        </is>
      </c>
      <c r="T3748" s="12" t="inlineStr">
        <is>
          <t>High</t>
        </is>
      </c>
      <c r="U3748" s="8" t="n">
        <v>20.65</v>
      </c>
      <c r="V3748" s="13">
        <f>IF(U3748="","",ROUND(M3748-U3748,2))</f>
        <v/>
      </c>
      <c r="W3748" s="5" t="n"/>
      <c r="X3748" s="5" t="inlineStr">
        <is>
          <t>Labour + plant + material as published; reconciles to the published rate.</t>
        </is>
      </c>
    </row>
    <row r="3749" ht="13" customHeight="1">
      <c r="A3749" s="4" t="n">
        <v>5688</v>
      </c>
      <c r="B3749" s="5" t="inlineStr">
        <is>
          <t>IMG_0146</t>
        </is>
      </c>
      <c r="C3749" s="5" t="inlineStr">
        <is>
          <t>CLASS V: PAINTING</t>
        </is>
      </c>
      <c r="D3749" s="5" t="inlineStr">
        <is>
          <t>04 GLOSS PAINT</t>
        </is>
      </c>
      <c r="E3749" s="5" t="inlineStr">
        <is>
          <t>Two coats anti-condensation paint; Metal</t>
        </is>
      </c>
      <c r="F3749" s="5" t="inlineStr">
        <is>
          <t>surfaces of width ne 300 mm</t>
        </is>
      </c>
      <c r="G3749" s="6" t="inlineStr">
        <is>
          <t>m</t>
        </is>
      </c>
      <c r="H3749" s="7" t="n">
        <v>0.03</v>
      </c>
      <c r="I3749" s="8" t="n">
        <v>4.07</v>
      </c>
      <c r="J3749" s="8" t="n">
        <v>0.71</v>
      </c>
      <c r="K3749" s="8" t="n">
        <v>2.38</v>
      </c>
      <c r="L3749" s="8" t="n">
        <v>0</v>
      </c>
      <c r="M3749" s="9">
        <f>ROUND(SUM(I3749:L3749),2)</f>
        <v/>
      </c>
      <c r="N3749" s="10">
        <f>ROUND(I3749*'Irish Basis'!$C$6*'Irish Basis'!$C$5,2)</f>
        <v/>
      </c>
      <c r="O3749" s="10">
        <f>ROUND(J3749*'Irish Basis'!$C$7*'Irish Basis'!$C$5,2)</f>
        <v/>
      </c>
      <c r="P3749" s="10">
        <f>ROUND(K3749*'Irish Basis'!$C$8*'Irish Basis'!$C$5,2)</f>
        <v/>
      </c>
      <c r="Q3749" s="10">
        <f>ROUND(L3749*'Irish Basis'!$C$12*'Irish Basis'!$C$5,2)</f>
        <v/>
      </c>
      <c r="R3749" s="11">
        <f>ROUND(SUM(N3749:Q3749),2)</f>
        <v/>
      </c>
      <c r="S3749" s="5" t="inlineStr">
        <is>
          <t>Stated build-up</t>
        </is>
      </c>
      <c r="T3749" s="12" t="inlineStr">
        <is>
          <t>High</t>
        </is>
      </c>
      <c r="U3749" s="8" t="n">
        <v>7.16</v>
      </c>
      <c r="V3749" s="13">
        <f>IF(U3749="","",ROUND(M3749-U3749,2))</f>
        <v/>
      </c>
      <c r="W3749" s="5" t="n"/>
      <c r="X3749" s="5" t="inlineStr">
        <is>
          <t>Labour + plant + material as published; reconciles to the published rate.</t>
        </is>
      </c>
    </row>
    <row r="3750" ht="13" customHeight="1">
      <c r="A3750" s="4" t="n">
        <v>5689</v>
      </c>
      <c r="B3750" s="5" t="inlineStr">
        <is>
          <t>IMG_0146</t>
        </is>
      </c>
      <c r="C3750" s="5" t="inlineStr">
        <is>
          <t>CLASS V: PAINTING</t>
        </is>
      </c>
      <c r="D3750" s="5" t="inlineStr">
        <is>
          <t>04 GLOSS PAINT</t>
        </is>
      </c>
      <c r="E3750" s="5" t="inlineStr">
        <is>
          <t>Two coats anti-condensation paint; Metal</t>
        </is>
      </c>
      <c r="F3750" s="5" t="inlineStr">
        <is>
          <t>surfaces of width 300 mm-1000 mm</t>
        </is>
      </c>
      <c r="G3750" s="6" t="inlineStr">
        <is>
          <t>m</t>
        </is>
      </c>
      <c r="H3750" s="7" t="n">
        <v>0.05</v>
      </c>
      <c r="I3750" s="8" t="n">
        <v>6.78</v>
      </c>
      <c r="J3750" s="8" t="n">
        <v>1.18</v>
      </c>
      <c r="K3750" s="8" t="n">
        <v>5.15</v>
      </c>
      <c r="L3750" s="8" t="n">
        <v>0</v>
      </c>
      <c r="M3750" s="9">
        <f>ROUND(SUM(I3750:L3750),2)</f>
        <v/>
      </c>
      <c r="N3750" s="10">
        <f>ROUND(I3750*'Irish Basis'!$C$6*'Irish Basis'!$C$5,2)</f>
        <v/>
      </c>
      <c r="O3750" s="10">
        <f>ROUND(J3750*'Irish Basis'!$C$7*'Irish Basis'!$C$5,2)</f>
        <v/>
      </c>
      <c r="P3750" s="10">
        <f>ROUND(K3750*'Irish Basis'!$C$8*'Irish Basis'!$C$5,2)</f>
        <v/>
      </c>
      <c r="Q3750" s="10">
        <f>ROUND(L3750*'Irish Basis'!$C$12*'Irish Basis'!$C$5,2)</f>
        <v/>
      </c>
      <c r="R3750" s="11">
        <f>ROUND(SUM(N3750:Q3750),2)</f>
        <v/>
      </c>
      <c r="S3750" s="5" t="inlineStr">
        <is>
          <t>Stated build-up</t>
        </is>
      </c>
      <c r="T3750" s="12" t="inlineStr">
        <is>
          <t>High</t>
        </is>
      </c>
      <c r="U3750" s="8" t="n">
        <v>13.11</v>
      </c>
      <c r="V3750" s="13">
        <f>IF(U3750="","",ROUND(M3750-U3750,2))</f>
        <v/>
      </c>
      <c r="W3750" s="5" t="n"/>
      <c r="X3750" s="5" t="inlineStr">
        <is>
          <t>Labour + plant + material as published; reconciles to the published rate.</t>
        </is>
      </c>
    </row>
    <row r="3751" ht="13" customHeight="1">
      <c r="A3751" s="4" t="n">
        <v>5690</v>
      </c>
      <c r="B3751" s="5" t="inlineStr">
        <is>
          <t>IMG_0146</t>
        </is>
      </c>
      <c r="C3751" s="5" t="inlineStr">
        <is>
          <t>CLASS V: PAINTING</t>
        </is>
      </c>
      <c r="D3751" s="5" t="inlineStr">
        <is>
          <t>04 GLOSS PAINT</t>
        </is>
      </c>
      <c r="E3751" s="5" t="inlineStr">
        <is>
          <t>Two coats anti-condensation paint; Metal</t>
        </is>
      </c>
      <c r="F3751" s="5" t="inlineStr">
        <is>
          <t>Metal sections</t>
        </is>
      </c>
      <c r="G3751" s="6" t="inlineStr">
        <is>
          <t>m2</t>
        </is>
      </c>
      <c r="H3751" s="7" t="n">
        <v>0.09</v>
      </c>
      <c r="I3751" s="8" t="n">
        <v>12.21</v>
      </c>
      <c r="J3751" s="8" t="n">
        <v>2.1</v>
      </c>
      <c r="K3751" s="8" t="n">
        <v>7.92</v>
      </c>
      <c r="L3751" s="8" t="n">
        <v>0</v>
      </c>
      <c r="M3751" s="9">
        <f>ROUND(SUM(I3751:L3751),2)</f>
        <v/>
      </c>
      <c r="N3751" s="10">
        <f>ROUND(I3751*'Irish Basis'!$C$6*'Irish Basis'!$C$5,2)</f>
        <v/>
      </c>
      <c r="O3751" s="10">
        <f>ROUND(J3751*'Irish Basis'!$C$7*'Irish Basis'!$C$5,2)</f>
        <v/>
      </c>
      <c r="P3751" s="10">
        <f>ROUND(K3751*'Irish Basis'!$C$8*'Irish Basis'!$C$5,2)</f>
        <v/>
      </c>
      <c r="Q3751" s="10">
        <f>ROUND(L3751*'Irish Basis'!$C$12*'Irish Basis'!$C$5,2)</f>
        <v/>
      </c>
      <c r="R3751" s="11">
        <f>ROUND(SUM(N3751:Q3751),2)</f>
        <v/>
      </c>
      <c r="S3751" s="5" t="inlineStr">
        <is>
          <t>Stated build-up</t>
        </is>
      </c>
      <c r="T3751" s="12" t="inlineStr">
        <is>
          <t>High</t>
        </is>
      </c>
      <c r="U3751" s="8" t="n">
        <v>22.23</v>
      </c>
      <c r="V3751" s="13">
        <f>IF(U3751="","",ROUND(M3751-U3751,2))</f>
        <v/>
      </c>
      <c r="W3751" s="5" t="n"/>
      <c r="X3751" s="5" t="inlineStr">
        <is>
          <t>Labour + plant + material as published; reconciles to the published rate.</t>
        </is>
      </c>
    </row>
    <row r="3752" ht="13" customHeight="1">
      <c r="A3752" s="4" t="n">
        <v>5693</v>
      </c>
      <c r="B3752" s="5" t="inlineStr">
        <is>
          <t>IMG_0146</t>
        </is>
      </c>
      <c r="C3752" s="5" t="inlineStr">
        <is>
          <t>CLASS V: PAINTING</t>
        </is>
      </c>
      <c r="D3752" s="5" t="inlineStr">
        <is>
          <t>05 EMULSION PAINT</t>
        </is>
      </c>
      <c r="E3752" s="5" t="inlineStr">
        <is>
          <t>One thinned coat, two coats vinyl emulsion paint; Smooth concrete</t>
        </is>
      </c>
      <c r="F3752" s="5" t="inlineStr">
        <is>
          <t>upper surfaces inclined at an angle ne 30 deg to the horizontal</t>
        </is>
      </c>
      <c r="G3752" s="6" t="inlineStr">
        <is>
          <t>m2</t>
        </is>
      </c>
      <c r="H3752" s="7" t="n">
        <v>0.07000000000000001</v>
      </c>
      <c r="I3752" s="8" t="n">
        <v>8.82</v>
      </c>
      <c r="J3752" s="8" t="n">
        <v>1.52</v>
      </c>
      <c r="K3752" s="8" t="n">
        <v>2.23</v>
      </c>
      <c r="L3752" s="8" t="n">
        <v>0</v>
      </c>
      <c r="M3752" s="9">
        <f>ROUND(SUM(I3752:L3752),2)</f>
        <v/>
      </c>
      <c r="N3752" s="10">
        <f>ROUND(I3752*'Irish Basis'!$C$6*'Irish Basis'!$C$5,2)</f>
        <v/>
      </c>
      <c r="O3752" s="10">
        <f>ROUND(J3752*'Irish Basis'!$C$7*'Irish Basis'!$C$5,2)</f>
        <v/>
      </c>
      <c r="P3752" s="10">
        <f>ROUND(K3752*'Irish Basis'!$C$8*'Irish Basis'!$C$5,2)</f>
        <v/>
      </c>
      <c r="Q3752" s="10">
        <f>ROUND(L3752*'Irish Basis'!$C$12*'Irish Basis'!$C$5,2)</f>
        <v/>
      </c>
      <c r="R3752" s="11">
        <f>ROUND(SUM(N3752:Q3752),2)</f>
        <v/>
      </c>
      <c r="S3752" s="5" t="inlineStr">
        <is>
          <t>Stated build-up</t>
        </is>
      </c>
      <c r="T3752" s="12" t="inlineStr">
        <is>
          <t>High</t>
        </is>
      </c>
      <c r="U3752" s="8" t="n">
        <v>12.56</v>
      </c>
      <c r="V3752" s="13">
        <f>IF(U3752="","",ROUND(M3752-U3752,2))</f>
        <v/>
      </c>
      <c r="W3752" s="5" t="n"/>
      <c r="X3752" s="5" t="inlineStr">
        <is>
          <t>Labour + plant + material as published; reconciles to the published rate.</t>
        </is>
      </c>
    </row>
    <row r="3753" ht="13" customHeight="1">
      <c r="A3753" s="4" t="n">
        <v>5694</v>
      </c>
      <c r="B3753" s="5" t="inlineStr">
        <is>
          <t>IMG_0146</t>
        </is>
      </c>
      <c r="C3753" s="5" t="inlineStr">
        <is>
          <t>CLASS V: PAINTING</t>
        </is>
      </c>
      <c r="D3753" s="5" t="inlineStr">
        <is>
          <t>05 EMULSION PAINT</t>
        </is>
      </c>
      <c r="E3753" s="5" t="inlineStr">
        <is>
          <t>One thinned coat, two coats vinyl emulsion paint; Smooth concrete</t>
        </is>
      </c>
      <c r="F3753" s="5" t="inlineStr">
        <is>
          <t>upper surfaces inclined at an angle 30-60 deg to the horizontal</t>
        </is>
      </c>
      <c r="G3753" s="6" t="inlineStr">
        <is>
          <t>m2</t>
        </is>
      </c>
      <c r="H3753" s="7" t="n">
        <v>0.07000000000000001</v>
      </c>
      <c r="I3753" s="8" t="n">
        <v>9.49</v>
      </c>
      <c r="J3753" s="8" t="n">
        <v>1.65</v>
      </c>
      <c r="K3753" s="8" t="n">
        <v>2.23</v>
      </c>
      <c r="L3753" s="8" t="n">
        <v>0</v>
      </c>
      <c r="M3753" s="9">
        <f>ROUND(SUM(I3753:L3753),2)</f>
        <v/>
      </c>
      <c r="N3753" s="10">
        <f>ROUND(I3753*'Irish Basis'!$C$6*'Irish Basis'!$C$5,2)</f>
        <v/>
      </c>
      <c r="O3753" s="10">
        <f>ROUND(J3753*'Irish Basis'!$C$7*'Irish Basis'!$C$5,2)</f>
        <v/>
      </c>
      <c r="P3753" s="10">
        <f>ROUND(K3753*'Irish Basis'!$C$8*'Irish Basis'!$C$5,2)</f>
        <v/>
      </c>
      <c r="Q3753" s="10">
        <f>ROUND(L3753*'Irish Basis'!$C$12*'Irish Basis'!$C$5,2)</f>
        <v/>
      </c>
      <c r="R3753" s="11">
        <f>ROUND(SUM(N3753:Q3753),2)</f>
        <v/>
      </c>
      <c r="S3753" s="5" t="inlineStr">
        <is>
          <t>Stated build-up</t>
        </is>
      </c>
      <c r="T3753" s="12" t="inlineStr">
        <is>
          <t>High</t>
        </is>
      </c>
      <c r="U3753" s="8" t="n">
        <v>13.37</v>
      </c>
      <c r="V3753" s="13">
        <f>IF(U3753="","",ROUND(M3753-U3753,2))</f>
        <v/>
      </c>
      <c r="W3753" s="5" t="n"/>
      <c r="X3753" s="5" t="inlineStr">
        <is>
          <t>Labour + plant + material as published; reconciles to the published rate.</t>
        </is>
      </c>
    </row>
    <row r="3754" ht="13" customHeight="1">
      <c r="A3754" s="4" t="n">
        <v>5695</v>
      </c>
      <c r="B3754" s="5" t="inlineStr">
        <is>
          <t>IMG_0146</t>
        </is>
      </c>
      <c r="C3754" s="5" t="inlineStr">
        <is>
          <t>CLASS V: PAINTING</t>
        </is>
      </c>
      <c r="D3754" s="5" t="inlineStr">
        <is>
          <t>05 EMULSION PAINT</t>
        </is>
      </c>
      <c r="E3754" s="5" t="inlineStr">
        <is>
          <t>One thinned coat, two coats vinyl emulsion paint; Smooth concrete</t>
        </is>
      </c>
      <c r="F3754" s="5" t="inlineStr">
        <is>
          <t>surfaces inclined at an angle exceeding 60 deg to the horizontal</t>
        </is>
      </c>
      <c r="G3754" s="6" t="inlineStr">
        <is>
          <t>m2</t>
        </is>
      </c>
      <c r="H3754" s="7" t="n">
        <v>0.08</v>
      </c>
      <c r="I3754" s="8" t="n">
        <v>10.17</v>
      </c>
      <c r="J3754" s="8" t="n">
        <v>1.76</v>
      </c>
      <c r="K3754" s="8" t="n">
        <v>2.23</v>
      </c>
      <c r="L3754" s="8" t="n">
        <v>0</v>
      </c>
      <c r="M3754" s="9">
        <f>ROUND(SUM(I3754:L3754),2)</f>
        <v/>
      </c>
      <c r="N3754" s="10">
        <f>ROUND(I3754*'Irish Basis'!$C$6*'Irish Basis'!$C$5,2)</f>
        <v/>
      </c>
      <c r="O3754" s="10">
        <f>ROUND(J3754*'Irish Basis'!$C$7*'Irish Basis'!$C$5,2)</f>
        <v/>
      </c>
      <c r="P3754" s="10">
        <f>ROUND(K3754*'Irish Basis'!$C$8*'Irish Basis'!$C$5,2)</f>
        <v/>
      </c>
      <c r="Q3754" s="10">
        <f>ROUND(L3754*'Irish Basis'!$C$12*'Irish Basis'!$C$5,2)</f>
        <v/>
      </c>
      <c r="R3754" s="11">
        <f>ROUND(SUM(N3754:Q3754),2)</f>
        <v/>
      </c>
      <c r="S3754" s="5" t="inlineStr">
        <is>
          <t>Stated build-up</t>
        </is>
      </c>
      <c r="T3754" s="12" t="inlineStr">
        <is>
          <t>High</t>
        </is>
      </c>
      <c r="U3754" s="8" t="n">
        <v>14.16</v>
      </c>
      <c r="V3754" s="13">
        <f>IF(U3754="","",ROUND(M3754-U3754,2))</f>
        <v/>
      </c>
      <c r="W3754" s="5" t="n"/>
      <c r="X3754" s="5" t="inlineStr">
        <is>
          <t>Labour + plant + material as published; reconciles to the published rate.</t>
        </is>
      </c>
    </row>
    <row r="3755" ht="13" customHeight="1">
      <c r="A3755" s="4" t="n">
        <v>5696</v>
      </c>
      <c r="B3755" s="5" t="inlineStr">
        <is>
          <t>IMG_0146</t>
        </is>
      </c>
      <c r="C3755" s="5" t="inlineStr">
        <is>
          <t>CLASS V: PAINTING</t>
        </is>
      </c>
      <c r="D3755" s="5" t="inlineStr">
        <is>
          <t>05 EMULSION PAINT</t>
        </is>
      </c>
      <c r="E3755" s="5" t="inlineStr">
        <is>
          <t>One thinned coat, two coats vinyl emulsion paint; Smooth concrete</t>
        </is>
      </c>
      <c r="F3755" s="5" t="inlineStr">
        <is>
          <t>soffit surfaces and lower surfaces inclined at an angle ne 60 deg to the horizontal</t>
        </is>
      </c>
      <c r="G3755" s="6" t="inlineStr">
        <is>
          <t>m2</t>
        </is>
      </c>
      <c r="H3755" s="7" t="n">
        <v>0.08</v>
      </c>
      <c r="I3755" s="8" t="n">
        <v>10.85</v>
      </c>
      <c r="J3755" s="8" t="n">
        <v>1.88</v>
      </c>
      <c r="K3755" s="8" t="n">
        <v>2.23</v>
      </c>
      <c r="L3755" s="8" t="n">
        <v>0</v>
      </c>
      <c r="M3755" s="9">
        <f>ROUND(SUM(I3755:L3755),2)</f>
        <v/>
      </c>
      <c r="N3755" s="10">
        <f>ROUND(I3755*'Irish Basis'!$C$6*'Irish Basis'!$C$5,2)</f>
        <v/>
      </c>
      <c r="O3755" s="10">
        <f>ROUND(J3755*'Irish Basis'!$C$7*'Irish Basis'!$C$5,2)</f>
        <v/>
      </c>
      <c r="P3755" s="10">
        <f>ROUND(K3755*'Irish Basis'!$C$8*'Irish Basis'!$C$5,2)</f>
        <v/>
      </c>
      <c r="Q3755" s="10">
        <f>ROUND(L3755*'Irish Basis'!$C$12*'Irish Basis'!$C$5,2)</f>
        <v/>
      </c>
      <c r="R3755" s="11">
        <f>ROUND(SUM(N3755:Q3755),2)</f>
        <v/>
      </c>
      <c r="S3755" s="5" t="inlineStr">
        <is>
          <t>Stated build-up</t>
        </is>
      </c>
      <c r="T3755" s="12" t="inlineStr">
        <is>
          <t>High</t>
        </is>
      </c>
      <c r="U3755" s="8" t="n">
        <v>14.95</v>
      </c>
      <c r="V3755" s="13">
        <f>IF(U3755="","",ROUND(M3755-U3755,2))</f>
        <v/>
      </c>
      <c r="W3755" s="5" t="n"/>
      <c r="X3755" s="5" t="inlineStr">
        <is>
          <t>Labour + plant + material as published; reconciles to the published rate.</t>
        </is>
      </c>
    </row>
    <row r="3756" ht="13" customHeight="1">
      <c r="A3756" s="4" t="n">
        <v>5697</v>
      </c>
      <c r="B3756" s="5" t="inlineStr">
        <is>
          <t>IMG_0146</t>
        </is>
      </c>
      <c r="C3756" s="5" t="inlineStr">
        <is>
          <t>CLASS V: PAINTING</t>
        </is>
      </c>
      <c r="D3756" s="5" t="inlineStr">
        <is>
          <t>05 EMULSION PAINT</t>
        </is>
      </c>
      <c r="E3756" s="5" t="inlineStr">
        <is>
          <t>One thinned coat, two coats vinyl emulsion paint; Smooth concrete</t>
        </is>
      </c>
      <c r="F3756" s="5" t="inlineStr">
        <is>
          <t>surfaces of width ne 300 mm</t>
        </is>
      </c>
      <c r="G3756" s="6" t="inlineStr">
        <is>
          <t>m</t>
        </is>
      </c>
      <c r="H3756" s="7" t="n">
        <v>0.03</v>
      </c>
      <c r="I3756" s="8" t="n">
        <v>4.07</v>
      </c>
      <c r="J3756" s="8" t="n">
        <v>0.71</v>
      </c>
      <c r="K3756" s="8" t="n">
        <v>0.67</v>
      </c>
      <c r="L3756" s="8" t="n">
        <v>0</v>
      </c>
      <c r="M3756" s="9">
        <f>ROUND(SUM(I3756:L3756),2)</f>
        <v/>
      </c>
      <c r="N3756" s="10">
        <f>ROUND(I3756*'Irish Basis'!$C$6*'Irish Basis'!$C$5,2)</f>
        <v/>
      </c>
      <c r="O3756" s="10">
        <f>ROUND(J3756*'Irish Basis'!$C$7*'Irish Basis'!$C$5,2)</f>
        <v/>
      </c>
      <c r="P3756" s="10">
        <f>ROUND(K3756*'Irish Basis'!$C$8*'Irish Basis'!$C$5,2)</f>
        <v/>
      </c>
      <c r="Q3756" s="10">
        <f>ROUND(L3756*'Irish Basis'!$C$12*'Irish Basis'!$C$5,2)</f>
        <v/>
      </c>
      <c r="R3756" s="11">
        <f>ROUND(SUM(N3756:Q3756),2)</f>
        <v/>
      </c>
      <c r="S3756" s="5" t="inlineStr">
        <is>
          <t>Stated build-up</t>
        </is>
      </c>
      <c r="T3756" s="12" t="inlineStr">
        <is>
          <t>High</t>
        </is>
      </c>
      <c r="U3756" s="8" t="n">
        <v>5.45</v>
      </c>
      <c r="V3756" s="13">
        <f>IF(U3756="","",ROUND(M3756-U3756,2))</f>
        <v/>
      </c>
      <c r="W3756" s="5" t="n"/>
      <c r="X3756" s="5" t="inlineStr">
        <is>
          <t>Labour + plant + material as published; reconciles to the published rate.</t>
        </is>
      </c>
    </row>
    <row r="3757" ht="13" customHeight="1">
      <c r="A3757" s="4" t="n">
        <v>5698</v>
      </c>
      <c r="B3757" s="5" t="inlineStr">
        <is>
          <t>IMG_0146</t>
        </is>
      </c>
      <c r="C3757" s="5" t="inlineStr">
        <is>
          <t>CLASS V: PAINTING</t>
        </is>
      </c>
      <c r="D3757" s="5" t="inlineStr">
        <is>
          <t>05 EMULSION PAINT</t>
        </is>
      </c>
      <c r="E3757" s="5" t="inlineStr">
        <is>
          <t>One thinned coat, two coats vinyl emulsion paint; Smooth concrete</t>
        </is>
      </c>
      <c r="F3757" s="5" t="inlineStr">
        <is>
          <t>surfaces of width 300 mm-1000 mm</t>
        </is>
      </c>
      <c r="G3757" s="6" t="inlineStr">
        <is>
          <t>m</t>
        </is>
      </c>
      <c r="H3757" s="7" t="n">
        <v>0.07000000000000001</v>
      </c>
      <c r="I3757" s="8" t="n">
        <v>9.49</v>
      </c>
      <c r="J3757" s="8" t="n">
        <v>1.65</v>
      </c>
      <c r="K3757" s="8" t="n">
        <v>1.45</v>
      </c>
      <c r="L3757" s="8" t="n">
        <v>0</v>
      </c>
      <c r="M3757" s="9">
        <f>ROUND(SUM(I3757:L3757),2)</f>
        <v/>
      </c>
      <c r="N3757" s="10">
        <f>ROUND(I3757*'Irish Basis'!$C$6*'Irish Basis'!$C$5,2)</f>
        <v/>
      </c>
      <c r="O3757" s="10">
        <f>ROUND(J3757*'Irish Basis'!$C$7*'Irish Basis'!$C$5,2)</f>
        <v/>
      </c>
      <c r="P3757" s="10">
        <f>ROUND(K3757*'Irish Basis'!$C$8*'Irish Basis'!$C$5,2)</f>
        <v/>
      </c>
      <c r="Q3757" s="10">
        <f>ROUND(L3757*'Irish Basis'!$C$12*'Irish Basis'!$C$5,2)</f>
        <v/>
      </c>
      <c r="R3757" s="11">
        <f>ROUND(SUM(N3757:Q3757),2)</f>
        <v/>
      </c>
      <c r="S3757" s="5" t="inlineStr">
        <is>
          <t>Stated build-up</t>
        </is>
      </c>
      <c r="T3757" s="12" t="inlineStr">
        <is>
          <t>High</t>
        </is>
      </c>
      <c r="U3757" s="8" t="n">
        <v>12.59</v>
      </c>
      <c r="V3757" s="13">
        <f>IF(U3757="","",ROUND(M3757-U3757,2))</f>
        <v/>
      </c>
      <c r="W3757" s="5" t="n"/>
      <c r="X3757" s="5" t="inlineStr">
        <is>
          <t>Labour + plant + material as published; reconciles to the published rate.</t>
        </is>
      </c>
    </row>
    <row r="3758" ht="13" customHeight="1">
      <c r="A3758" s="4" t="n">
        <v>5700</v>
      </c>
      <c r="B3758" s="5" t="inlineStr">
        <is>
          <t>IMG_0146</t>
        </is>
      </c>
      <c r="C3758" s="5" t="inlineStr">
        <is>
          <t>CLASS V: PAINTING</t>
        </is>
      </c>
      <c r="D3758" s="5" t="inlineStr">
        <is>
          <t>05 EMULSION PAINT</t>
        </is>
      </c>
      <c r="E3758" s="5" t="inlineStr">
        <is>
          <t>Brickwork and rough concrete</t>
        </is>
      </c>
      <c r="F3758" s="5" t="inlineStr">
        <is>
          <t>upper surfaces inclined at an angle ne 30 deg to the horizontal</t>
        </is>
      </c>
      <c r="G3758" s="6" t="inlineStr">
        <is>
          <t>m2</t>
        </is>
      </c>
      <c r="H3758" s="7" t="n">
        <v>0.08</v>
      </c>
      <c r="I3758" s="8" t="n">
        <v>10.17</v>
      </c>
      <c r="J3758" s="8" t="n">
        <v>1.76</v>
      </c>
      <c r="K3758" s="8" t="n">
        <v>2.29</v>
      </c>
      <c r="L3758" s="8" t="n">
        <v>0</v>
      </c>
      <c r="M3758" s="9">
        <f>ROUND(SUM(I3758:L3758),2)</f>
        <v/>
      </c>
      <c r="N3758" s="10">
        <f>ROUND(I3758*'Irish Basis'!$C$6*'Irish Basis'!$C$5,2)</f>
        <v/>
      </c>
      <c r="O3758" s="10">
        <f>ROUND(J3758*'Irish Basis'!$C$7*'Irish Basis'!$C$5,2)</f>
        <v/>
      </c>
      <c r="P3758" s="10">
        <f>ROUND(K3758*'Irish Basis'!$C$8*'Irish Basis'!$C$5,2)</f>
        <v/>
      </c>
      <c r="Q3758" s="10">
        <f>ROUND(L3758*'Irish Basis'!$C$12*'Irish Basis'!$C$5,2)</f>
        <v/>
      </c>
      <c r="R3758" s="11">
        <f>ROUND(SUM(N3758:Q3758),2)</f>
        <v/>
      </c>
      <c r="S3758" s="5" t="inlineStr">
        <is>
          <t>Stated build-up</t>
        </is>
      </c>
      <c r="T3758" s="12" t="inlineStr">
        <is>
          <t>High</t>
        </is>
      </c>
      <c r="U3758" s="8" t="n">
        <v>14.23</v>
      </c>
      <c r="V3758" s="13">
        <f>IF(U3758="","",ROUND(M3758-U3758,2))</f>
        <v/>
      </c>
      <c r="W3758" s="5" t="n"/>
      <c r="X3758" s="5" t="inlineStr">
        <is>
          <t>Labour + plant + material as published; reconciles to the published rate.</t>
        </is>
      </c>
    </row>
    <row r="3759" ht="13" customHeight="1">
      <c r="A3759" s="4" t="n">
        <v>5701</v>
      </c>
      <c r="B3759" s="5" t="inlineStr">
        <is>
          <t>IMG_0146</t>
        </is>
      </c>
      <c r="C3759" s="5" t="inlineStr">
        <is>
          <t>CLASS V: PAINTING</t>
        </is>
      </c>
      <c r="D3759" s="5" t="inlineStr">
        <is>
          <t>05 EMULSION PAINT</t>
        </is>
      </c>
      <c r="E3759" s="5" t="inlineStr">
        <is>
          <t>Brickwork and rough concrete</t>
        </is>
      </c>
      <c r="F3759" s="5" t="inlineStr">
        <is>
          <t>upper surfaces inclined at an angle 30-60 deg to the horizontal</t>
        </is>
      </c>
      <c r="G3759" s="6" t="inlineStr">
        <is>
          <t>m2</t>
        </is>
      </c>
      <c r="H3759" s="7" t="n">
        <v>0.08</v>
      </c>
      <c r="I3759" s="8" t="n">
        <v>10.85</v>
      </c>
      <c r="J3759" s="8" t="n">
        <v>1.88</v>
      </c>
      <c r="K3759" s="8" t="n">
        <v>2.29</v>
      </c>
      <c r="L3759" s="8" t="n">
        <v>0</v>
      </c>
      <c r="M3759" s="9">
        <f>ROUND(SUM(I3759:L3759),2)</f>
        <v/>
      </c>
      <c r="N3759" s="10">
        <f>ROUND(I3759*'Irish Basis'!$C$6*'Irish Basis'!$C$5,2)</f>
        <v/>
      </c>
      <c r="O3759" s="10">
        <f>ROUND(J3759*'Irish Basis'!$C$7*'Irish Basis'!$C$5,2)</f>
        <v/>
      </c>
      <c r="P3759" s="10">
        <f>ROUND(K3759*'Irish Basis'!$C$8*'Irish Basis'!$C$5,2)</f>
        <v/>
      </c>
      <c r="Q3759" s="10">
        <f>ROUND(L3759*'Irish Basis'!$C$12*'Irish Basis'!$C$5,2)</f>
        <v/>
      </c>
      <c r="R3759" s="11">
        <f>ROUND(SUM(N3759:Q3759),2)</f>
        <v/>
      </c>
      <c r="S3759" s="5" t="inlineStr">
        <is>
          <t>Stated build-up</t>
        </is>
      </c>
      <c r="T3759" s="12" t="inlineStr">
        <is>
          <t>High</t>
        </is>
      </c>
      <c r="U3759" s="8" t="n">
        <v>15.02</v>
      </c>
      <c r="V3759" s="13">
        <f>IF(U3759="","",ROUND(M3759-U3759,2))</f>
        <v/>
      </c>
      <c r="W3759" s="5" t="n"/>
      <c r="X3759" s="5" t="inlineStr">
        <is>
          <t>Labour + plant + material as published; reconciles to the published rate.</t>
        </is>
      </c>
    </row>
    <row r="3760" ht="13" customHeight="1">
      <c r="A3760" s="4" t="n">
        <v>5702</v>
      </c>
      <c r="B3760" s="5" t="inlineStr">
        <is>
          <t>IMG_0146</t>
        </is>
      </c>
      <c r="C3760" s="5" t="inlineStr">
        <is>
          <t>CLASS V: PAINTING</t>
        </is>
      </c>
      <c r="D3760" s="5" t="inlineStr">
        <is>
          <t>05 EMULSION PAINT</t>
        </is>
      </c>
      <c r="E3760" s="5" t="inlineStr">
        <is>
          <t>Brickwork and rough concrete</t>
        </is>
      </c>
      <c r="F3760" s="5" t="inlineStr">
        <is>
          <t>surfaces inclined at an angle exceeding 60 deg to the horizontal</t>
        </is>
      </c>
      <c r="G3760" s="6" t="inlineStr">
        <is>
          <t>m2</t>
        </is>
      </c>
      <c r="H3760" s="7" t="n">
        <v>0.09</v>
      </c>
      <c r="I3760" s="8" t="n">
        <v>11.53</v>
      </c>
      <c r="J3760" s="8" t="n">
        <v>1.99</v>
      </c>
      <c r="K3760" s="8" t="n">
        <v>2.29</v>
      </c>
      <c r="L3760" s="8" t="n">
        <v>0</v>
      </c>
      <c r="M3760" s="9">
        <f>ROUND(SUM(I3760:L3760),2)</f>
        <v/>
      </c>
      <c r="N3760" s="10">
        <f>ROUND(I3760*'Irish Basis'!$C$6*'Irish Basis'!$C$5,2)</f>
        <v/>
      </c>
      <c r="O3760" s="10">
        <f>ROUND(J3760*'Irish Basis'!$C$7*'Irish Basis'!$C$5,2)</f>
        <v/>
      </c>
      <c r="P3760" s="10">
        <f>ROUND(K3760*'Irish Basis'!$C$8*'Irish Basis'!$C$5,2)</f>
        <v/>
      </c>
      <c r="Q3760" s="10">
        <f>ROUND(L3760*'Irish Basis'!$C$12*'Irish Basis'!$C$5,2)</f>
        <v/>
      </c>
      <c r="R3760" s="11">
        <f>ROUND(SUM(N3760:Q3760),2)</f>
        <v/>
      </c>
      <c r="S3760" s="5" t="inlineStr">
        <is>
          <t>Stated build-up</t>
        </is>
      </c>
      <c r="T3760" s="12" t="inlineStr">
        <is>
          <t>High</t>
        </is>
      </c>
      <c r="U3760" s="8" t="n">
        <v>15.81</v>
      </c>
      <c r="V3760" s="13">
        <f>IF(U3760="","",ROUND(M3760-U3760,2))</f>
        <v/>
      </c>
      <c r="W3760" s="5" t="n"/>
      <c r="X3760" s="5" t="inlineStr">
        <is>
          <t>Labour + plant + material as published; reconciles to the published rate.</t>
        </is>
      </c>
    </row>
    <row r="3761" ht="13" customHeight="1">
      <c r="A3761" s="4" t="n">
        <v>5703</v>
      </c>
      <c r="B3761" s="5" t="inlineStr">
        <is>
          <t>IMG_0146</t>
        </is>
      </c>
      <c r="C3761" s="5" t="inlineStr">
        <is>
          <t>CLASS V: PAINTING</t>
        </is>
      </c>
      <c r="D3761" s="5" t="inlineStr">
        <is>
          <t>05 EMULSION PAINT</t>
        </is>
      </c>
      <c r="E3761" s="5" t="inlineStr">
        <is>
          <t>Brickwork and rough concrete</t>
        </is>
      </c>
      <c r="F3761" s="5" t="inlineStr">
        <is>
          <t>soffit surfaces and lower surfaces inclined at an angle ne 60 deg to the horizontal</t>
        </is>
      </c>
      <c r="G3761" s="6" t="inlineStr">
        <is>
          <t>m2</t>
        </is>
      </c>
      <c r="H3761" s="7" t="n">
        <v>0.09</v>
      </c>
      <c r="I3761" s="8" t="n">
        <v>12.21</v>
      </c>
      <c r="J3761" s="8" t="n">
        <v>2.1</v>
      </c>
      <c r="K3761" s="8" t="n">
        <v>2.29</v>
      </c>
      <c r="L3761" s="8" t="n">
        <v>0</v>
      </c>
      <c r="M3761" s="9">
        <f>ROUND(SUM(I3761:L3761),2)</f>
        <v/>
      </c>
      <c r="N3761" s="10">
        <f>ROUND(I3761*'Irish Basis'!$C$6*'Irish Basis'!$C$5,2)</f>
        <v/>
      </c>
      <c r="O3761" s="10">
        <f>ROUND(J3761*'Irish Basis'!$C$7*'Irish Basis'!$C$5,2)</f>
        <v/>
      </c>
      <c r="P3761" s="10">
        <f>ROUND(K3761*'Irish Basis'!$C$8*'Irish Basis'!$C$5,2)</f>
        <v/>
      </c>
      <c r="Q3761" s="10">
        <f>ROUND(L3761*'Irish Basis'!$C$12*'Irish Basis'!$C$5,2)</f>
        <v/>
      </c>
      <c r="R3761" s="11">
        <f>ROUND(SUM(N3761:Q3761),2)</f>
        <v/>
      </c>
      <c r="S3761" s="5" t="inlineStr">
        <is>
          <t>Stated build-up</t>
        </is>
      </c>
      <c r="T3761" s="12" t="inlineStr">
        <is>
          <t>High</t>
        </is>
      </c>
      <c r="U3761" s="8" t="n">
        <v>16.6</v>
      </c>
      <c r="V3761" s="13">
        <f>IF(U3761="","",ROUND(M3761-U3761,2))</f>
        <v/>
      </c>
      <c r="W3761" s="5" t="n"/>
      <c r="X3761" s="5" t="inlineStr">
        <is>
          <t>Labour + plant + material as published; reconciles to the published rate.</t>
        </is>
      </c>
    </row>
    <row r="3762" ht="13" customHeight="1">
      <c r="A3762" s="4" t="n">
        <v>5704</v>
      </c>
      <c r="B3762" s="5" t="inlineStr">
        <is>
          <t>IMG_0146</t>
        </is>
      </c>
      <c r="C3762" s="5" t="inlineStr">
        <is>
          <t>CLASS V: PAINTING</t>
        </is>
      </c>
      <c r="D3762" s="5" t="inlineStr">
        <is>
          <t>05 EMULSION PAINT</t>
        </is>
      </c>
      <c r="E3762" s="5" t="inlineStr">
        <is>
          <t>Brickwork and rough concrete</t>
        </is>
      </c>
      <c r="F3762" s="5" t="inlineStr">
        <is>
          <t>surfaces of width ne 300 mm</t>
        </is>
      </c>
      <c r="G3762" s="6" t="inlineStr">
        <is>
          <t>m</t>
        </is>
      </c>
      <c r="H3762" s="7" t="n">
        <v>0.03</v>
      </c>
      <c r="I3762" s="8" t="n">
        <v>4.07</v>
      </c>
      <c r="J3762" s="8" t="n">
        <v>0.71</v>
      </c>
      <c r="K3762" s="8" t="n">
        <v>0.6899999999999999</v>
      </c>
      <c r="L3762" s="8" t="n">
        <v>0</v>
      </c>
      <c r="M3762" s="9">
        <f>ROUND(SUM(I3762:L3762),2)</f>
        <v/>
      </c>
      <c r="N3762" s="10">
        <f>ROUND(I3762*'Irish Basis'!$C$6*'Irish Basis'!$C$5,2)</f>
        <v/>
      </c>
      <c r="O3762" s="10">
        <f>ROUND(J3762*'Irish Basis'!$C$7*'Irish Basis'!$C$5,2)</f>
        <v/>
      </c>
      <c r="P3762" s="10">
        <f>ROUND(K3762*'Irish Basis'!$C$8*'Irish Basis'!$C$5,2)</f>
        <v/>
      </c>
      <c r="Q3762" s="10">
        <f>ROUND(L3762*'Irish Basis'!$C$12*'Irish Basis'!$C$5,2)</f>
        <v/>
      </c>
      <c r="R3762" s="11">
        <f>ROUND(SUM(N3762:Q3762),2)</f>
        <v/>
      </c>
      <c r="S3762" s="5" t="inlineStr">
        <is>
          <t>Stated build-up</t>
        </is>
      </c>
      <c r="T3762" s="12" t="inlineStr">
        <is>
          <t>High</t>
        </is>
      </c>
      <c r="U3762" s="8" t="n">
        <v>5.47</v>
      </c>
      <c r="V3762" s="13">
        <f>IF(U3762="","",ROUND(M3762-U3762,2))</f>
        <v/>
      </c>
      <c r="W3762" s="5" t="n"/>
      <c r="X3762" s="5" t="inlineStr">
        <is>
          <t>Labour + plant + material as published; reconciles to the published rate.</t>
        </is>
      </c>
    </row>
    <row r="3763" ht="13" customHeight="1">
      <c r="A3763" s="4" t="n">
        <v>5705</v>
      </c>
      <c r="B3763" s="5" t="inlineStr">
        <is>
          <t>IMG_0146</t>
        </is>
      </c>
      <c r="C3763" s="5" t="inlineStr">
        <is>
          <t>CLASS V: PAINTING</t>
        </is>
      </c>
      <c r="D3763" s="5" t="inlineStr">
        <is>
          <t>05 EMULSION PAINT</t>
        </is>
      </c>
      <c r="E3763" s="5" t="inlineStr">
        <is>
          <t>Brickwork and rough concrete</t>
        </is>
      </c>
      <c r="F3763" s="5" t="inlineStr">
        <is>
          <t>surfaces of width 300 mm-1000 mm</t>
        </is>
      </c>
      <c r="G3763" s="6" t="inlineStr">
        <is>
          <t>m</t>
        </is>
      </c>
      <c r="H3763" s="7" t="n">
        <v>0.08</v>
      </c>
      <c r="I3763" s="8" t="n">
        <v>10.85</v>
      </c>
      <c r="J3763" s="8" t="n">
        <v>1.88</v>
      </c>
      <c r="K3763" s="8" t="n">
        <v>1.58</v>
      </c>
      <c r="L3763" s="8" t="n">
        <v>0</v>
      </c>
      <c r="M3763" s="9">
        <f>ROUND(SUM(I3763:L3763),2)</f>
        <v/>
      </c>
      <c r="N3763" s="10">
        <f>ROUND(I3763*'Irish Basis'!$C$6*'Irish Basis'!$C$5,2)</f>
        <v/>
      </c>
      <c r="O3763" s="10">
        <f>ROUND(J3763*'Irish Basis'!$C$7*'Irish Basis'!$C$5,2)</f>
        <v/>
      </c>
      <c r="P3763" s="10">
        <f>ROUND(K3763*'Irish Basis'!$C$8*'Irish Basis'!$C$5,2)</f>
        <v/>
      </c>
      <c r="Q3763" s="10">
        <f>ROUND(L3763*'Irish Basis'!$C$12*'Irish Basis'!$C$5,2)</f>
        <v/>
      </c>
      <c r="R3763" s="11">
        <f>ROUND(SUM(N3763:Q3763),2)</f>
        <v/>
      </c>
      <c r="S3763" s="5" t="inlineStr">
        <is>
          <t>Stated build-up</t>
        </is>
      </c>
      <c r="T3763" s="12" t="inlineStr">
        <is>
          <t>High</t>
        </is>
      </c>
      <c r="U3763" s="8" t="n">
        <v>14.31</v>
      </c>
      <c r="V3763" s="13">
        <f>IF(U3763="","",ROUND(M3763-U3763,2))</f>
        <v/>
      </c>
      <c r="W3763" s="5" t="n"/>
      <c r="X3763" s="5" t="inlineStr">
        <is>
          <t>Labour + plant + material as published; reconciles to the published rate.</t>
        </is>
      </c>
    </row>
    <row r="3764" ht="13" customHeight="1">
      <c r="A3764" s="4" t="n">
        <v>5707</v>
      </c>
      <c r="B3764" s="5" t="inlineStr">
        <is>
          <t>IMG_0146</t>
        </is>
      </c>
      <c r="C3764" s="5" t="inlineStr">
        <is>
          <t>CLASS V: PAINTING</t>
        </is>
      </c>
      <c r="D3764" s="5" t="inlineStr">
        <is>
          <t>05 EMULSION PAINT</t>
        </is>
      </c>
      <c r="E3764" s="5" t="inlineStr">
        <is>
          <t>Blockwork</t>
        </is>
      </c>
      <c r="F3764" s="5" t="inlineStr">
        <is>
          <t>surfaces inclined at an angle exceeding 60 deg to the horizontal</t>
        </is>
      </c>
      <c r="G3764" s="6" t="inlineStr">
        <is>
          <t>m2</t>
        </is>
      </c>
      <c r="H3764" s="7" t="n">
        <v>0.09</v>
      </c>
      <c r="I3764" s="8" t="n">
        <v>12.21</v>
      </c>
      <c r="J3764" s="8" t="n">
        <v>2.1</v>
      </c>
      <c r="K3764" s="8" t="n">
        <v>2.35</v>
      </c>
      <c r="L3764" s="8" t="n">
        <v>0</v>
      </c>
      <c r="M3764" s="9">
        <f>ROUND(SUM(I3764:L3764),2)</f>
        <v/>
      </c>
      <c r="N3764" s="10">
        <f>ROUND(I3764*'Irish Basis'!$C$6*'Irish Basis'!$C$5,2)</f>
        <v/>
      </c>
      <c r="O3764" s="10">
        <f>ROUND(J3764*'Irish Basis'!$C$7*'Irish Basis'!$C$5,2)</f>
        <v/>
      </c>
      <c r="P3764" s="10">
        <f>ROUND(K3764*'Irish Basis'!$C$8*'Irish Basis'!$C$5,2)</f>
        <v/>
      </c>
      <c r="Q3764" s="10">
        <f>ROUND(L3764*'Irish Basis'!$C$12*'Irish Basis'!$C$5,2)</f>
        <v/>
      </c>
      <c r="R3764" s="11">
        <f>ROUND(SUM(N3764:Q3764),2)</f>
        <v/>
      </c>
      <c r="S3764" s="5" t="inlineStr">
        <is>
          <t>Stated build-up</t>
        </is>
      </c>
      <c r="T3764" s="12" t="inlineStr">
        <is>
          <t>High</t>
        </is>
      </c>
      <c r="U3764" s="8" t="n">
        <v>16.66</v>
      </c>
      <c r="V3764" s="13">
        <f>IF(U3764="","",ROUND(M3764-U3764,2))</f>
        <v/>
      </c>
      <c r="W3764" s="5" t="n"/>
      <c r="X3764" s="5" t="inlineStr">
        <is>
          <t>Labour + plant + material as published; reconciles to the published rate.</t>
        </is>
      </c>
    </row>
    <row r="3765" ht="13" customHeight="1">
      <c r="A3765" s="4" t="n">
        <v>5708</v>
      </c>
      <c r="B3765" s="5" t="inlineStr">
        <is>
          <t>IMG_0146</t>
        </is>
      </c>
      <c r="C3765" s="5" t="inlineStr">
        <is>
          <t>CLASS V: PAINTING</t>
        </is>
      </c>
      <c r="D3765" s="5" t="inlineStr">
        <is>
          <t>05 EMULSION PAINT</t>
        </is>
      </c>
      <c r="E3765" s="5" t="inlineStr">
        <is>
          <t>Blockwork</t>
        </is>
      </c>
      <c r="F3765" s="5" t="inlineStr">
        <is>
          <t>soffit surfaces and lower surfaces inclined at an angle ne 60 deg to the horizontal</t>
        </is>
      </c>
      <c r="G3765" s="6" t="inlineStr">
        <is>
          <t>m2</t>
        </is>
      </c>
      <c r="H3765" s="7" t="n">
        <v>0.1</v>
      </c>
      <c r="I3765" s="8" t="n">
        <v>13.56</v>
      </c>
      <c r="J3765" s="8" t="n">
        <v>2.35</v>
      </c>
      <c r="K3765" s="8" t="n">
        <v>2.35</v>
      </c>
      <c r="L3765" s="8" t="n">
        <v>0</v>
      </c>
      <c r="M3765" s="9">
        <f>ROUND(SUM(I3765:L3765),2)</f>
        <v/>
      </c>
      <c r="N3765" s="10">
        <f>ROUND(I3765*'Irish Basis'!$C$6*'Irish Basis'!$C$5,2)</f>
        <v/>
      </c>
      <c r="O3765" s="10">
        <f>ROUND(J3765*'Irish Basis'!$C$7*'Irish Basis'!$C$5,2)</f>
        <v/>
      </c>
      <c r="P3765" s="10">
        <f>ROUND(K3765*'Irish Basis'!$C$8*'Irish Basis'!$C$5,2)</f>
        <v/>
      </c>
      <c r="Q3765" s="10">
        <f>ROUND(L3765*'Irish Basis'!$C$12*'Irish Basis'!$C$5,2)</f>
        <v/>
      </c>
      <c r="R3765" s="11">
        <f>ROUND(SUM(N3765:Q3765),2)</f>
        <v/>
      </c>
      <c r="S3765" s="5" t="inlineStr">
        <is>
          <t>Stated build-up</t>
        </is>
      </c>
      <c r="T3765" s="12" t="inlineStr">
        <is>
          <t>High</t>
        </is>
      </c>
      <c r="U3765" s="8" t="n">
        <v>18.26</v>
      </c>
      <c r="V3765" s="13">
        <f>IF(U3765="","",ROUND(M3765-U3765,2))</f>
        <v/>
      </c>
      <c r="W3765" s="5" t="n"/>
      <c r="X3765" s="5" t="inlineStr">
        <is>
          <t>Labour + plant + material as published; reconciles to the published rate.</t>
        </is>
      </c>
    </row>
    <row r="3766" ht="13" customHeight="1">
      <c r="A3766" s="4" t="n">
        <v>5709</v>
      </c>
      <c r="B3766" s="5" t="inlineStr">
        <is>
          <t>IMG_0146</t>
        </is>
      </c>
      <c r="C3766" s="5" t="inlineStr">
        <is>
          <t>CLASS V: PAINTING</t>
        </is>
      </c>
      <c r="D3766" s="5" t="inlineStr">
        <is>
          <t>05 EMULSION PAINT</t>
        </is>
      </c>
      <c r="E3766" s="5" t="inlineStr">
        <is>
          <t>Blockwork</t>
        </is>
      </c>
      <c r="F3766" s="5" t="inlineStr">
        <is>
          <t>surfaces of width ne 300 mm</t>
        </is>
      </c>
      <c r="G3766" s="6" t="inlineStr">
        <is>
          <t>m</t>
        </is>
      </c>
      <c r="H3766" s="7" t="n">
        <v>0.04</v>
      </c>
      <c r="I3766" s="8" t="n">
        <v>5.43</v>
      </c>
      <c r="J3766" s="8" t="n">
        <v>0.9399999999999999</v>
      </c>
      <c r="K3766" s="8" t="n">
        <v>0.7</v>
      </c>
      <c r="L3766" s="8" t="n">
        <v>0</v>
      </c>
      <c r="M3766" s="9">
        <f>ROUND(SUM(I3766:L3766),2)</f>
        <v/>
      </c>
      <c r="N3766" s="10">
        <f>ROUND(I3766*'Irish Basis'!$C$6*'Irish Basis'!$C$5,2)</f>
        <v/>
      </c>
      <c r="O3766" s="10">
        <f>ROUND(J3766*'Irish Basis'!$C$7*'Irish Basis'!$C$5,2)</f>
        <v/>
      </c>
      <c r="P3766" s="10">
        <f>ROUND(K3766*'Irish Basis'!$C$8*'Irish Basis'!$C$5,2)</f>
        <v/>
      </c>
      <c r="Q3766" s="10">
        <f>ROUND(L3766*'Irish Basis'!$C$12*'Irish Basis'!$C$5,2)</f>
        <v/>
      </c>
      <c r="R3766" s="11">
        <f>ROUND(SUM(N3766:Q3766),2)</f>
        <v/>
      </c>
      <c r="S3766" s="5" t="inlineStr">
        <is>
          <t>Stated build-up</t>
        </is>
      </c>
      <c r="T3766" s="12" t="inlineStr">
        <is>
          <t>High</t>
        </is>
      </c>
      <c r="U3766" s="8" t="n">
        <v>7.07</v>
      </c>
      <c r="V3766" s="13">
        <f>IF(U3766="","",ROUND(M3766-U3766,2))</f>
        <v/>
      </c>
      <c r="W3766" s="5" t="n"/>
      <c r="X3766" s="5" t="inlineStr">
        <is>
          <t>Labour + plant + material as published; reconciles to the published rate.</t>
        </is>
      </c>
    </row>
    <row r="3767" ht="13" customHeight="1">
      <c r="A3767" s="4" t="n">
        <v>5710</v>
      </c>
      <c r="B3767" s="5" t="inlineStr">
        <is>
          <t>IMG_0146</t>
        </is>
      </c>
      <c r="C3767" s="5" t="inlineStr">
        <is>
          <t>CLASS V: PAINTING</t>
        </is>
      </c>
      <c r="D3767" s="5" t="inlineStr">
        <is>
          <t>05 EMULSION PAINT</t>
        </is>
      </c>
      <c r="E3767" s="5" t="inlineStr">
        <is>
          <t>Blockwork</t>
        </is>
      </c>
      <c r="F3767" s="5" t="inlineStr">
        <is>
          <t>surfaces of width 300 mm-1000 mm</t>
        </is>
      </c>
      <c r="G3767" s="6" t="inlineStr">
        <is>
          <t>m</t>
        </is>
      </c>
      <c r="H3767" s="7" t="n">
        <v>0.08</v>
      </c>
      <c r="I3767" s="8" t="n">
        <v>10.85</v>
      </c>
      <c r="J3767" s="8" t="n">
        <v>1.88</v>
      </c>
      <c r="K3767" s="8" t="n">
        <v>1.53</v>
      </c>
      <c r="L3767" s="8" t="n">
        <v>0</v>
      </c>
      <c r="M3767" s="9">
        <f>ROUND(SUM(I3767:L3767),2)</f>
        <v/>
      </c>
      <c r="N3767" s="10">
        <f>ROUND(I3767*'Irish Basis'!$C$6*'Irish Basis'!$C$5,2)</f>
        <v/>
      </c>
      <c r="O3767" s="10">
        <f>ROUND(J3767*'Irish Basis'!$C$7*'Irish Basis'!$C$5,2)</f>
        <v/>
      </c>
      <c r="P3767" s="10">
        <f>ROUND(K3767*'Irish Basis'!$C$8*'Irish Basis'!$C$5,2)</f>
        <v/>
      </c>
      <c r="Q3767" s="10">
        <f>ROUND(L3767*'Irish Basis'!$C$12*'Irish Basis'!$C$5,2)</f>
        <v/>
      </c>
      <c r="R3767" s="11">
        <f>ROUND(SUM(N3767:Q3767),2)</f>
        <v/>
      </c>
      <c r="S3767" s="5" t="inlineStr">
        <is>
          <t>Stated build-up</t>
        </is>
      </c>
      <c r="T3767" s="12" t="inlineStr">
        <is>
          <t>High</t>
        </is>
      </c>
      <c r="U3767" s="8" t="n">
        <v>14.25</v>
      </c>
      <c r="V3767" s="13">
        <f>IF(U3767="","",ROUND(M3767-U3767,2))</f>
        <v/>
      </c>
      <c r="W3767" s="5" t="n"/>
      <c r="X3767" s="5" t="inlineStr">
        <is>
          <t>Labour + plant + material as published; reconciles to the published rate.</t>
        </is>
      </c>
    </row>
    <row r="3768" ht="13" customHeight="1">
      <c r="A3768" s="4" t="n">
        <v>5713</v>
      </c>
      <c r="B3768" s="5" t="inlineStr">
        <is>
          <t>IMG_0146</t>
        </is>
      </c>
      <c r="C3768" s="5" t="inlineStr">
        <is>
          <t>CLASS V: PAINTING</t>
        </is>
      </c>
      <c r="D3768" s="5" t="inlineStr">
        <is>
          <t>06 CEMENT PAINT</t>
        </is>
      </c>
      <c r="E3768" s="5" t="inlineStr">
        <is>
          <t>Two coats masonry paint; Smooth concrete</t>
        </is>
      </c>
      <c r="F3768" s="5" t="inlineStr">
        <is>
          <t>upper surfaces inclined at an angle ne 30 deg to the horizontal</t>
        </is>
      </c>
      <c r="G3768" s="6" t="inlineStr">
        <is>
          <t>m2</t>
        </is>
      </c>
      <c r="H3768" s="7" t="n">
        <v>0.07000000000000001</v>
      </c>
      <c r="I3768" s="8" t="n">
        <v>8.82</v>
      </c>
      <c r="J3768" s="8" t="n">
        <v>1.52</v>
      </c>
      <c r="K3768" s="8" t="n">
        <v>1.43</v>
      </c>
      <c r="L3768" s="8" t="n">
        <v>0</v>
      </c>
      <c r="M3768" s="9">
        <f>ROUND(SUM(I3768:L3768),2)</f>
        <v/>
      </c>
      <c r="N3768" s="10">
        <f>ROUND(I3768*'Irish Basis'!$C$6*'Irish Basis'!$C$5,2)</f>
        <v/>
      </c>
      <c r="O3768" s="10">
        <f>ROUND(J3768*'Irish Basis'!$C$7*'Irish Basis'!$C$5,2)</f>
        <v/>
      </c>
      <c r="P3768" s="10">
        <f>ROUND(K3768*'Irish Basis'!$C$8*'Irish Basis'!$C$5,2)</f>
        <v/>
      </c>
      <c r="Q3768" s="10">
        <f>ROUND(L3768*'Irish Basis'!$C$12*'Irish Basis'!$C$5,2)</f>
        <v/>
      </c>
      <c r="R3768" s="11">
        <f>ROUND(SUM(N3768:Q3768),2)</f>
        <v/>
      </c>
      <c r="S3768" s="5" t="inlineStr">
        <is>
          <t>Stated build-up</t>
        </is>
      </c>
      <c r="T3768" s="12" t="inlineStr">
        <is>
          <t>High</t>
        </is>
      </c>
      <c r="U3768" s="8" t="n">
        <v>11.76</v>
      </c>
      <c r="V3768" s="13">
        <f>IF(U3768="","",ROUND(M3768-U3768,2))</f>
        <v/>
      </c>
      <c r="W3768" s="5" t="n"/>
      <c r="X3768" s="5" t="inlineStr">
        <is>
          <t>Labour + plant + material as published; reconciles to the published rate.</t>
        </is>
      </c>
    </row>
    <row r="3769" ht="13" customHeight="1">
      <c r="A3769" s="4" t="n">
        <v>5714</v>
      </c>
      <c r="B3769" s="5" t="inlineStr">
        <is>
          <t>IMG_0146</t>
        </is>
      </c>
      <c r="C3769" s="5" t="inlineStr">
        <is>
          <t>CLASS V: PAINTING</t>
        </is>
      </c>
      <c r="D3769" s="5" t="inlineStr">
        <is>
          <t>06 CEMENT PAINT</t>
        </is>
      </c>
      <c r="E3769" s="5" t="inlineStr">
        <is>
          <t>Two coats masonry paint; Smooth concrete</t>
        </is>
      </c>
      <c r="F3769" s="5" t="inlineStr">
        <is>
          <t>upper surfaces inclined at an angle 30-60 deg to the horizontal</t>
        </is>
      </c>
      <c r="G3769" s="6" t="inlineStr">
        <is>
          <t>m2</t>
        </is>
      </c>
      <c r="H3769" s="7" t="n">
        <v>0.07000000000000001</v>
      </c>
      <c r="I3769" s="8" t="n">
        <v>9.49</v>
      </c>
      <c r="J3769" s="8" t="n">
        <v>1.65</v>
      </c>
      <c r="K3769" s="8" t="n">
        <v>1.43</v>
      </c>
      <c r="L3769" s="8" t="n">
        <v>0</v>
      </c>
      <c r="M3769" s="9">
        <f>ROUND(SUM(I3769:L3769),2)</f>
        <v/>
      </c>
      <c r="N3769" s="10">
        <f>ROUND(I3769*'Irish Basis'!$C$6*'Irish Basis'!$C$5,2)</f>
        <v/>
      </c>
      <c r="O3769" s="10">
        <f>ROUND(J3769*'Irish Basis'!$C$7*'Irish Basis'!$C$5,2)</f>
        <v/>
      </c>
      <c r="P3769" s="10">
        <f>ROUND(K3769*'Irish Basis'!$C$8*'Irish Basis'!$C$5,2)</f>
        <v/>
      </c>
      <c r="Q3769" s="10">
        <f>ROUND(L3769*'Irish Basis'!$C$12*'Irish Basis'!$C$5,2)</f>
        <v/>
      </c>
      <c r="R3769" s="11">
        <f>ROUND(SUM(N3769:Q3769),2)</f>
        <v/>
      </c>
      <c r="S3769" s="5" t="inlineStr">
        <is>
          <t>Stated build-up</t>
        </is>
      </c>
      <c r="T3769" s="12" t="inlineStr">
        <is>
          <t>High</t>
        </is>
      </c>
      <c r="U3769" s="8" t="n">
        <v>12.57</v>
      </c>
      <c r="V3769" s="13">
        <f>IF(U3769="","",ROUND(M3769-U3769,2))</f>
        <v/>
      </c>
      <c r="W3769" s="5" t="n"/>
      <c r="X3769" s="5" t="inlineStr">
        <is>
          <t>Labour + plant + material as published; reconciles to the published rate.</t>
        </is>
      </c>
    </row>
    <row r="3770" ht="13" customHeight="1">
      <c r="A3770" s="4" t="n">
        <v>5715</v>
      </c>
      <c r="B3770" s="5" t="inlineStr">
        <is>
          <t>IMG_0146</t>
        </is>
      </c>
      <c r="C3770" s="5" t="inlineStr">
        <is>
          <t>CLASS V: PAINTING</t>
        </is>
      </c>
      <c r="D3770" s="5" t="inlineStr">
        <is>
          <t>06 CEMENT PAINT</t>
        </is>
      </c>
      <c r="E3770" s="5" t="inlineStr">
        <is>
          <t>Two coats masonry paint; Smooth concrete</t>
        </is>
      </c>
      <c r="F3770" s="5" t="inlineStr">
        <is>
          <t>surfaces inclined at an angle exceeding 60 deg to the horizontal</t>
        </is>
      </c>
      <c r="G3770" s="6" t="inlineStr">
        <is>
          <t>m2</t>
        </is>
      </c>
      <c r="H3770" s="7" t="n">
        <v>0.08</v>
      </c>
      <c r="I3770" s="8" t="n">
        <v>10.17</v>
      </c>
      <c r="J3770" s="8" t="n">
        <v>1.76</v>
      </c>
      <c r="K3770" s="8" t="n">
        <v>1.43</v>
      </c>
      <c r="L3770" s="8" t="n">
        <v>0</v>
      </c>
      <c r="M3770" s="9">
        <f>ROUND(SUM(I3770:L3770),2)</f>
        <v/>
      </c>
      <c r="N3770" s="10">
        <f>ROUND(I3770*'Irish Basis'!$C$6*'Irish Basis'!$C$5,2)</f>
        <v/>
      </c>
      <c r="O3770" s="10">
        <f>ROUND(J3770*'Irish Basis'!$C$7*'Irish Basis'!$C$5,2)</f>
        <v/>
      </c>
      <c r="P3770" s="10">
        <f>ROUND(K3770*'Irish Basis'!$C$8*'Irish Basis'!$C$5,2)</f>
        <v/>
      </c>
      <c r="Q3770" s="10">
        <f>ROUND(L3770*'Irish Basis'!$C$12*'Irish Basis'!$C$5,2)</f>
        <v/>
      </c>
      <c r="R3770" s="11">
        <f>ROUND(SUM(N3770:Q3770),2)</f>
        <v/>
      </c>
      <c r="S3770" s="5" t="inlineStr">
        <is>
          <t>Stated build-up</t>
        </is>
      </c>
      <c r="T3770" s="12" t="inlineStr">
        <is>
          <t>High</t>
        </is>
      </c>
      <c r="U3770" s="8" t="n">
        <v>13.36</v>
      </c>
      <c r="V3770" s="13">
        <f>IF(U3770="","",ROUND(M3770-U3770,2))</f>
        <v/>
      </c>
      <c r="W3770" s="5" t="n"/>
      <c r="X3770" s="5" t="inlineStr">
        <is>
          <t>Labour + plant + material as published; reconciles to the published rate.</t>
        </is>
      </c>
    </row>
    <row r="3771" ht="13" customHeight="1">
      <c r="A3771" s="4" t="n">
        <v>5716</v>
      </c>
      <c r="B3771" s="5" t="inlineStr">
        <is>
          <t>IMG_0146</t>
        </is>
      </c>
      <c r="C3771" s="5" t="inlineStr">
        <is>
          <t>CLASS V: PAINTING</t>
        </is>
      </c>
      <c r="D3771" s="5" t="inlineStr">
        <is>
          <t>06 CEMENT PAINT</t>
        </is>
      </c>
      <c r="E3771" s="5" t="inlineStr">
        <is>
          <t>Two coats masonry paint; Smooth concrete</t>
        </is>
      </c>
      <c r="F3771" s="5" t="inlineStr">
        <is>
          <t>soffit surfaces and lower surfaces inclined at an angle ne 60 deg to the horizontal</t>
        </is>
      </c>
      <c r="G3771" s="6" t="inlineStr">
        <is>
          <t>m2</t>
        </is>
      </c>
      <c r="H3771" s="7" t="n">
        <v>0.08</v>
      </c>
      <c r="I3771" s="8" t="n">
        <v>10.85</v>
      </c>
      <c r="J3771" s="8" t="n">
        <v>1.88</v>
      </c>
      <c r="K3771" s="8" t="n">
        <v>1.43</v>
      </c>
      <c r="L3771" s="8" t="n">
        <v>0</v>
      </c>
      <c r="M3771" s="9">
        <f>ROUND(SUM(I3771:L3771),2)</f>
        <v/>
      </c>
      <c r="N3771" s="10">
        <f>ROUND(I3771*'Irish Basis'!$C$6*'Irish Basis'!$C$5,2)</f>
        <v/>
      </c>
      <c r="O3771" s="10">
        <f>ROUND(J3771*'Irish Basis'!$C$7*'Irish Basis'!$C$5,2)</f>
        <v/>
      </c>
      <c r="P3771" s="10">
        <f>ROUND(K3771*'Irish Basis'!$C$8*'Irish Basis'!$C$5,2)</f>
        <v/>
      </c>
      <c r="Q3771" s="10">
        <f>ROUND(L3771*'Irish Basis'!$C$12*'Irish Basis'!$C$5,2)</f>
        <v/>
      </c>
      <c r="R3771" s="11">
        <f>ROUND(SUM(N3771:Q3771),2)</f>
        <v/>
      </c>
      <c r="S3771" s="5" t="inlineStr">
        <is>
          <t>Stated build-up</t>
        </is>
      </c>
      <c r="T3771" s="12" t="inlineStr">
        <is>
          <t>High</t>
        </is>
      </c>
      <c r="U3771" s="8" t="n">
        <v>14.15</v>
      </c>
      <c r="V3771" s="13">
        <f>IF(U3771="","",ROUND(M3771-U3771,2))</f>
        <v/>
      </c>
      <c r="W3771" s="5" t="n"/>
      <c r="X3771" s="5" t="inlineStr">
        <is>
          <t>Labour + plant + material as published; reconciles to the published rate.</t>
        </is>
      </c>
    </row>
    <row r="3772" ht="13" customHeight="1">
      <c r="A3772" s="4" t="n">
        <v>5717</v>
      </c>
      <c r="B3772" s="5" t="inlineStr">
        <is>
          <t>IMG_0146</t>
        </is>
      </c>
      <c r="C3772" s="5" t="inlineStr">
        <is>
          <t>CLASS V: PAINTING</t>
        </is>
      </c>
      <c r="D3772" s="5" t="inlineStr">
        <is>
          <t>06 CEMENT PAINT</t>
        </is>
      </c>
      <c r="E3772" s="5" t="inlineStr">
        <is>
          <t>Two coats masonry paint; Smooth concrete</t>
        </is>
      </c>
      <c r="F3772" s="5" t="inlineStr">
        <is>
          <t>surfaces of width ne 300 mm</t>
        </is>
      </c>
      <c r="G3772" s="6" t="inlineStr">
        <is>
          <t>m</t>
        </is>
      </c>
      <c r="H3772" s="7" t="n">
        <v>0.03</v>
      </c>
      <c r="I3772" s="8" t="n">
        <v>4.07</v>
      </c>
      <c r="J3772" s="8" t="n">
        <v>0.71</v>
      </c>
      <c r="K3772" s="8" t="n">
        <v>0.43</v>
      </c>
      <c r="L3772" s="8" t="n">
        <v>0</v>
      </c>
      <c r="M3772" s="9">
        <f>ROUND(SUM(I3772:L3772),2)</f>
        <v/>
      </c>
      <c r="N3772" s="10">
        <f>ROUND(I3772*'Irish Basis'!$C$6*'Irish Basis'!$C$5,2)</f>
        <v/>
      </c>
      <c r="O3772" s="10">
        <f>ROUND(J3772*'Irish Basis'!$C$7*'Irish Basis'!$C$5,2)</f>
        <v/>
      </c>
      <c r="P3772" s="10">
        <f>ROUND(K3772*'Irish Basis'!$C$8*'Irish Basis'!$C$5,2)</f>
        <v/>
      </c>
      <c r="Q3772" s="10">
        <f>ROUND(L3772*'Irish Basis'!$C$12*'Irish Basis'!$C$5,2)</f>
        <v/>
      </c>
      <c r="R3772" s="11">
        <f>ROUND(SUM(N3772:Q3772),2)</f>
        <v/>
      </c>
      <c r="S3772" s="5" t="inlineStr">
        <is>
          <t>Stated build-up</t>
        </is>
      </c>
      <c r="T3772" s="12" t="inlineStr">
        <is>
          <t>High</t>
        </is>
      </c>
      <c r="U3772" s="8" t="n">
        <v>5.21</v>
      </c>
      <c r="V3772" s="13">
        <f>IF(U3772="","",ROUND(M3772-U3772,2))</f>
        <v/>
      </c>
      <c r="W3772" s="5" t="n"/>
      <c r="X3772" s="5" t="inlineStr">
        <is>
          <t>Labour + plant + material as published; reconciles to the published rate.</t>
        </is>
      </c>
    </row>
    <row r="3773" ht="13" customHeight="1">
      <c r="A3773" s="4" t="n">
        <v>5718</v>
      </c>
      <c r="B3773" s="5" t="inlineStr">
        <is>
          <t>IMG_0146</t>
        </is>
      </c>
      <c r="C3773" s="5" t="inlineStr">
        <is>
          <t>CLASS V: PAINTING</t>
        </is>
      </c>
      <c r="D3773" s="5" t="inlineStr">
        <is>
          <t>06 CEMENT PAINT</t>
        </is>
      </c>
      <c r="E3773" s="5" t="inlineStr">
        <is>
          <t>Two coats masonry paint; Smooth concrete</t>
        </is>
      </c>
      <c r="F3773" s="5" t="inlineStr">
        <is>
          <t>surfaces of width 300 mm-1000 mm</t>
        </is>
      </c>
      <c r="G3773" s="6" t="inlineStr">
        <is>
          <t>m</t>
        </is>
      </c>
      <c r="H3773" s="7" t="n">
        <v>0.07000000000000001</v>
      </c>
      <c r="I3773" s="8" t="n">
        <v>9.49</v>
      </c>
      <c r="J3773" s="8" t="n">
        <v>1.65</v>
      </c>
      <c r="K3773" s="8" t="n">
        <v>0.93</v>
      </c>
      <c r="L3773" s="8" t="n">
        <v>0</v>
      </c>
      <c r="M3773" s="9">
        <f>ROUND(SUM(I3773:L3773),2)</f>
        <v/>
      </c>
      <c r="N3773" s="10">
        <f>ROUND(I3773*'Irish Basis'!$C$6*'Irish Basis'!$C$5,2)</f>
        <v/>
      </c>
      <c r="O3773" s="10">
        <f>ROUND(J3773*'Irish Basis'!$C$7*'Irish Basis'!$C$5,2)</f>
        <v/>
      </c>
      <c r="P3773" s="10">
        <f>ROUND(K3773*'Irish Basis'!$C$8*'Irish Basis'!$C$5,2)</f>
        <v/>
      </c>
      <c r="Q3773" s="10">
        <f>ROUND(L3773*'Irish Basis'!$C$12*'Irish Basis'!$C$5,2)</f>
        <v/>
      </c>
      <c r="R3773" s="11">
        <f>ROUND(SUM(N3773:Q3773),2)</f>
        <v/>
      </c>
      <c r="S3773" s="5" t="inlineStr">
        <is>
          <t>Stated build-up</t>
        </is>
      </c>
      <c r="T3773" s="12" t="inlineStr">
        <is>
          <t>High</t>
        </is>
      </c>
      <c r="U3773" s="8" t="n">
        <v>12.07</v>
      </c>
      <c r="V3773" s="13">
        <f>IF(U3773="","",ROUND(M3773-U3773,2))</f>
        <v/>
      </c>
      <c r="W3773" s="5" t="n"/>
      <c r="X3773" s="5" t="inlineStr">
        <is>
          <t>Labour + plant + material as published; reconciles to the published rate.</t>
        </is>
      </c>
    </row>
    <row r="3774" ht="13" customHeight="1">
      <c r="A3774" s="4" t="n">
        <v>5720</v>
      </c>
      <c r="B3774" s="5" t="inlineStr">
        <is>
          <t>IMG_0146</t>
        </is>
      </c>
      <c r="C3774" s="5" t="inlineStr">
        <is>
          <t>CLASS V: PAINTING</t>
        </is>
      </c>
      <c r="D3774" s="5" t="inlineStr">
        <is>
          <t>06 CEMENT PAINT</t>
        </is>
      </c>
      <c r="E3774" s="5" t="inlineStr">
        <is>
          <t>Brickwork and rough concrete</t>
        </is>
      </c>
      <c r="F3774" s="5" t="inlineStr">
        <is>
          <t>upper surfaces inclined at an angle ne 30 deg to the horizontal</t>
        </is>
      </c>
      <c r="G3774" s="6" t="inlineStr">
        <is>
          <t>m2</t>
        </is>
      </c>
      <c r="H3774" s="7" t="n">
        <v>0.08</v>
      </c>
      <c r="I3774" s="8" t="n">
        <v>10.17</v>
      </c>
      <c r="J3774" s="8" t="n">
        <v>1.76</v>
      </c>
      <c r="K3774" s="8" t="n">
        <v>1.64</v>
      </c>
      <c r="L3774" s="8" t="n">
        <v>0</v>
      </c>
      <c r="M3774" s="9">
        <f>ROUND(SUM(I3774:L3774),2)</f>
        <v/>
      </c>
      <c r="N3774" s="10">
        <f>ROUND(I3774*'Irish Basis'!$C$6*'Irish Basis'!$C$5,2)</f>
        <v/>
      </c>
      <c r="O3774" s="10">
        <f>ROUND(J3774*'Irish Basis'!$C$7*'Irish Basis'!$C$5,2)</f>
        <v/>
      </c>
      <c r="P3774" s="10">
        <f>ROUND(K3774*'Irish Basis'!$C$8*'Irish Basis'!$C$5,2)</f>
        <v/>
      </c>
      <c r="Q3774" s="10">
        <f>ROUND(L3774*'Irish Basis'!$C$12*'Irish Basis'!$C$5,2)</f>
        <v/>
      </c>
      <c r="R3774" s="11">
        <f>ROUND(SUM(N3774:Q3774),2)</f>
        <v/>
      </c>
      <c r="S3774" s="5" t="inlineStr">
        <is>
          <t>Stated build-up</t>
        </is>
      </c>
      <c r="T3774" s="12" t="inlineStr">
        <is>
          <t>High</t>
        </is>
      </c>
      <c r="U3774" s="8" t="n">
        <v>13.58</v>
      </c>
      <c r="V3774" s="13">
        <f>IF(U3774="","",ROUND(M3774-U3774,2))</f>
        <v/>
      </c>
      <c r="W3774" s="5" t="n"/>
      <c r="X3774" s="5" t="inlineStr">
        <is>
          <t>Labour + plant + material as published; reconciles to the published rate.</t>
        </is>
      </c>
    </row>
    <row r="3775" ht="13" customHeight="1">
      <c r="A3775" s="4" t="n">
        <v>5721</v>
      </c>
      <c r="B3775" s="5" t="inlineStr">
        <is>
          <t>IMG_0146</t>
        </is>
      </c>
      <c r="C3775" s="5" t="inlineStr">
        <is>
          <t>CLASS V: PAINTING</t>
        </is>
      </c>
      <c r="D3775" s="5" t="inlineStr">
        <is>
          <t>06 CEMENT PAINT</t>
        </is>
      </c>
      <c r="E3775" s="5" t="inlineStr">
        <is>
          <t>Brickwork and rough concrete</t>
        </is>
      </c>
      <c r="F3775" s="5" t="inlineStr">
        <is>
          <t>upper surfaces inclined at an angle 30-60 deg to the horizontal</t>
        </is>
      </c>
      <c r="G3775" s="6" t="inlineStr">
        <is>
          <t>m2</t>
        </is>
      </c>
      <c r="H3775" s="7" t="n">
        <v>0.08</v>
      </c>
      <c r="I3775" s="8" t="n">
        <v>10.85</v>
      </c>
      <c r="J3775" s="8" t="n">
        <v>1.88</v>
      </c>
      <c r="K3775" s="8" t="n">
        <v>1.64</v>
      </c>
      <c r="L3775" s="8" t="n">
        <v>0</v>
      </c>
      <c r="M3775" s="9">
        <f>ROUND(SUM(I3775:L3775),2)</f>
        <v/>
      </c>
      <c r="N3775" s="10">
        <f>ROUND(I3775*'Irish Basis'!$C$6*'Irish Basis'!$C$5,2)</f>
        <v/>
      </c>
      <c r="O3775" s="10">
        <f>ROUND(J3775*'Irish Basis'!$C$7*'Irish Basis'!$C$5,2)</f>
        <v/>
      </c>
      <c r="P3775" s="10">
        <f>ROUND(K3775*'Irish Basis'!$C$8*'Irish Basis'!$C$5,2)</f>
        <v/>
      </c>
      <c r="Q3775" s="10">
        <f>ROUND(L3775*'Irish Basis'!$C$12*'Irish Basis'!$C$5,2)</f>
        <v/>
      </c>
      <c r="R3775" s="11">
        <f>ROUND(SUM(N3775:Q3775),2)</f>
        <v/>
      </c>
      <c r="S3775" s="5" t="inlineStr">
        <is>
          <t>Stated build-up</t>
        </is>
      </c>
      <c r="T3775" s="12" t="inlineStr">
        <is>
          <t>High</t>
        </is>
      </c>
      <c r="U3775" s="8" t="n">
        <v>14.37</v>
      </c>
      <c r="V3775" s="13">
        <f>IF(U3775="","",ROUND(M3775-U3775,2))</f>
        <v/>
      </c>
      <c r="W3775" s="5" t="n"/>
      <c r="X3775" s="5" t="inlineStr">
        <is>
          <t>Labour + plant + material as published; reconciles to the published rate.</t>
        </is>
      </c>
    </row>
    <row r="3776" ht="13" customHeight="1">
      <c r="A3776" s="4" t="n">
        <v>5722</v>
      </c>
      <c r="B3776" s="5" t="inlineStr">
        <is>
          <t>IMG_0146</t>
        </is>
      </c>
      <c r="C3776" s="5" t="inlineStr">
        <is>
          <t>CLASS V: PAINTING</t>
        </is>
      </c>
      <c r="D3776" s="5" t="inlineStr">
        <is>
          <t>06 CEMENT PAINT</t>
        </is>
      </c>
      <c r="E3776" s="5" t="inlineStr">
        <is>
          <t>Brickwork and rough concrete</t>
        </is>
      </c>
      <c r="F3776" s="5" t="inlineStr">
        <is>
          <t>surfaces inclined at an angle exceeding 60 deg to the horizontal</t>
        </is>
      </c>
      <c r="G3776" s="6" t="inlineStr">
        <is>
          <t>m2</t>
        </is>
      </c>
      <c r="H3776" s="7" t="n">
        <v>0.09</v>
      </c>
      <c r="I3776" s="8" t="n">
        <v>11.53</v>
      </c>
      <c r="J3776" s="8" t="n">
        <v>1.99</v>
      </c>
      <c r="K3776" s="8" t="n">
        <v>1.64</v>
      </c>
      <c r="L3776" s="8" t="n">
        <v>0</v>
      </c>
      <c r="M3776" s="9">
        <f>ROUND(SUM(I3776:L3776),2)</f>
        <v/>
      </c>
      <c r="N3776" s="10">
        <f>ROUND(I3776*'Irish Basis'!$C$6*'Irish Basis'!$C$5,2)</f>
        <v/>
      </c>
      <c r="O3776" s="10">
        <f>ROUND(J3776*'Irish Basis'!$C$7*'Irish Basis'!$C$5,2)</f>
        <v/>
      </c>
      <c r="P3776" s="10">
        <f>ROUND(K3776*'Irish Basis'!$C$8*'Irish Basis'!$C$5,2)</f>
        <v/>
      </c>
      <c r="Q3776" s="10">
        <f>ROUND(L3776*'Irish Basis'!$C$12*'Irish Basis'!$C$5,2)</f>
        <v/>
      </c>
      <c r="R3776" s="11">
        <f>ROUND(SUM(N3776:Q3776),2)</f>
        <v/>
      </c>
      <c r="S3776" s="5" t="inlineStr">
        <is>
          <t>Stated build-up</t>
        </is>
      </c>
      <c r="T3776" s="12" t="inlineStr">
        <is>
          <t>High</t>
        </is>
      </c>
      <c r="U3776" s="8" t="n">
        <v>15.16</v>
      </c>
      <c r="V3776" s="13">
        <f>IF(U3776="","",ROUND(M3776-U3776,2))</f>
        <v/>
      </c>
      <c r="W3776" s="5" t="n"/>
      <c r="X3776" s="5" t="inlineStr">
        <is>
          <t>Labour + plant + material as published; reconciles to the published rate.</t>
        </is>
      </c>
    </row>
    <row r="3777" ht="13" customHeight="1">
      <c r="A3777" s="4" t="n">
        <v>5723</v>
      </c>
      <c r="B3777" s="5" t="inlineStr">
        <is>
          <t>IMG_0146</t>
        </is>
      </c>
      <c r="C3777" s="5" t="inlineStr">
        <is>
          <t>CLASS V: PAINTING</t>
        </is>
      </c>
      <c r="D3777" s="5" t="inlineStr">
        <is>
          <t>06 CEMENT PAINT</t>
        </is>
      </c>
      <c r="E3777" s="5" t="inlineStr">
        <is>
          <t>Brickwork and rough concrete</t>
        </is>
      </c>
      <c r="F3777" s="5" t="inlineStr">
        <is>
          <t>soffit surfaces and lower surfaces inclined at an angle ne 60 deg to the horizontal</t>
        </is>
      </c>
      <c r="G3777" s="6" t="inlineStr">
        <is>
          <t>m2</t>
        </is>
      </c>
      <c r="H3777" s="7" t="n">
        <v>0.09</v>
      </c>
      <c r="I3777" s="8" t="n">
        <v>12.21</v>
      </c>
      <c r="J3777" s="8" t="n">
        <v>2.1</v>
      </c>
      <c r="K3777" s="8" t="n">
        <v>1.64</v>
      </c>
      <c r="L3777" s="8" t="n">
        <v>0</v>
      </c>
      <c r="M3777" s="9">
        <f>ROUND(SUM(I3777:L3777),2)</f>
        <v/>
      </c>
      <c r="N3777" s="10">
        <f>ROUND(I3777*'Irish Basis'!$C$6*'Irish Basis'!$C$5,2)</f>
        <v/>
      </c>
      <c r="O3777" s="10">
        <f>ROUND(J3777*'Irish Basis'!$C$7*'Irish Basis'!$C$5,2)</f>
        <v/>
      </c>
      <c r="P3777" s="10">
        <f>ROUND(K3777*'Irish Basis'!$C$8*'Irish Basis'!$C$5,2)</f>
        <v/>
      </c>
      <c r="Q3777" s="10">
        <f>ROUND(L3777*'Irish Basis'!$C$12*'Irish Basis'!$C$5,2)</f>
        <v/>
      </c>
      <c r="R3777" s="11">
        <f>ROUND(SUM(N3777:Q3777),2)</f>
        <v/>
      </c>
      <c r="S3777" s="5" t="inlineStr">
        <is>
          <t>Stated build-up</t>
        </is>
      </c>
      <c r="T3777" s="12" t="inlineStr">
        <is>
          <t>High</t>
        </is>
      </c>
      <c r="U3777" s="8" t="n">
        <v>15.95</v>
      </c>
      <c r="V3777" s="13">
        <f>IF(U3777="","",ROUND(M3777-U3777,2))</f>
        <v/>
      </c>
      <c r="W3777" s="5" t="n"/>
      <c r="X3777" s="5" t="inlineStr">
        <is>
          <t>Labour + plant + material as published; reconciles to the published rate.</t>
        </is>
      </c>
    </row>
    <row r="3778" ht="13" customHeight="1">
      <c r="A3778" s="4" t="n">
        <v>5724</v>
      </c>
      <c r="B3778" s="5" t="inlineStr">
        <is>
          <t>IMG_0146</t>
        </is>
      </c>
      <c r="C3778" s="5" t="inlineStr">
        <is>
          <t>CLASS V: PAINTING</t>
        </is>
      </c>
      <c r="D3778" s="5" t="inlineStr">
        <is>
          <t>06 CEMENT PAINT</t>
        </is>
      </c>
      <c r="E3778" s="5" t="inlineStr">
        <is>
          <t>Brickwork and rough concrete</t>
        </is>
      </c>
      <c r="F3778" s="5" t="inlineStr">
        <is>
          <t>surfaces of width ne 300 mm</t>
        </is>
      </c>
      <c r="G3778" s="6" t="inlineStr">
        <is>
          <t>m</t>
        </is>
      </c>
      <c r="H3778" s="7" t="n">
        <v>0.03</v>
      </c>
      <c r="I3778" s="8" t="n">
        <v>4.07</v>
      </c>
      <c r="J3778" s="8" t="n">
        <v>0.71</v>
      </c>
      <c r="K3778" s="8" t="n">
        <v>0.49</v>
      </c>
      <c r="L3778" s="8" t="n">
        <v>0</v>
      </c>
      <c r="M3778" s="9">
        <f>ROUND(SUM(I3778:L3778),2)</f>
        <v/>
      </c>
      <c r="N3778" s="10">
        <f>ROUND(I3778*'Irish Basis'!$C$6*'Irish Basis'!$C$5,2)</f>
        <v/>
      </c>
      <c r="O3778" s="10">
        <f>ROUND(J3778*'Irish Basis'!$C$7*'Irish Basis'!$C$5,2)</f>
        <v/>
      </c>
      <c r="P3778" s="10">
        <f>ROUND(K3778*'Irish Basis'!$C$8*'Irish Basis'!$C$5,2)</f>
        <v/>
      </c>
      <c r="Q3778" s="10">
        <f>ROUND(L3778*'Irish Basis'!$C$12*'Irish Basis'!$C$5,2)</f>
        <v/>
      </c>
      <c r="R3778" s="11">
        <f>ROUND(SUM(N3778:Q3778),2)</f>
        <v/>
      </c>
      <c r="S3778" s="5" t="inlineStr">
        <is>
          <t>Stated build-up</t>
        </is>
      </c>
      <c r="T3778" s="12" t="inlineStr">
        <is>
          <t>High</t>
        </is>
      </c>
      <c r="U3778" s="8" t="n">
        <v>5.28</v>
      </c>
      <c r="V3778" s="13">
        <f>IF(U3778="","",ROUND(M3778-U3778,2))</f>
        <v/>
      </c>
      <c r="W3778" s="5" t="n"/>
      <c r="X3778" s="5" t="inlineStr">
        <is>
          <t>Labour + plant + material as published; reconciles to the published rate.</t>
        </is>
      </c>
    </row>
    <row r="3779" ht="13" customHeight="1">
      <c r="A3779" s="4" t="n">
        <v>5787</v>
      </c>
      <c r="B3779" s="5" t="inlineStr">
        <is>
          <t>IMG_0148</t>
        </is>
      </c>
      <c r="C3779" s="5" t="inlineStr">
        <is>
          <t>CLASS W: WATERPROOFING</t>
        </is>
      </c>
      <c r="D3779" s="5" t="inlineStr">
        <is>
          <t>01 DAMP-PROOFING</t>
        </is>
      </c>
      <c r="E3779" s="5" t="inlineStr">
        <is>
          <t>Waterproof sheeting; 0.3 mm polythene sheet</t>
        </is>
      </c>
      <c r="F3779" s="5" t="inlineStr">
        <is>
          <t>ne 300 mm wide</t>
        </is>
      </c>
      <c r="G3779" s="6" t="inlineStr">
        <is>
          <t>m</t>
        </is>
      </c>
      <c r="H3779" s="7" t="n">
        <v>0.01</v>
      </c>
      <c r="I3779" s="8" t="n">
        <v>0.22</v>
      </c>
      <c r="J3779" s="8" t="n">
        <v>0.06</v>
      </c>
      <c r="K3779" s="8" t="n">
        <v>0.6</v>
      </c>
      <c r="L3779" s="8" t="n">
        <v>0</v>
      </c>
      <c r="M3779" s="9">
        <f>ROUND(SUM(I3779:L3779),2)</f>
        <v/>
      </c>
      <c r="N3779" s="10">
        <f>ROUND(I3779*'Irish Basis'!$C$6*'Irish Basis'!$C$5,2)</f>
        <v/>
      </c>
      <c r="O3779" s="10">
        <f>ROUND(J3779*'Irish Basis'!$C$7*'Irish Basis'!$C$5,2)</f>
        <v/>
      </c>
      <c r="P3779" s="10">
        <f>ROUND(K3779*'Irish Basis'!$C$8*'Irish Basis'!$C$5,2)</f>
        <v/>
      </c>
      <c r="Q3779" s="10">
        <f>ROUND(L3779*'Irish Basis'!$C$12*'Irish Basis'!$C$5,2)</f>
        <v/>
      </c>
      <c r="R3779" s="11">
        <f>ROUND(SUM(N3779:Q3779),2)</f>
        <v/>
      </c>
      <c r="S3779" s="5" t="inlineStr">
        <is>
          <t>Stated build-up</t>
        </is>
      </c>
      <c r="T3779" s="12" t="inlineStr">
        <is>
          <t>High</t>
        </is>
      </c>
      <c r="U3779" s="8" t="n">
        <v>0.89</v>
      </c>
      <c r="V3779" s="13">
        <f>IF(U3779="","",ROUND(M3779-U3779,2))</f>
        <v/>
      </c>
      <c r="W3779" s="5" t="n"/>
      <c r="X3779" s="5" t="inlineStr">
        <is>
          <t>Labour + plant + material as published; reconciles to the published rate.</t>
        </is>
      </c>
    </row>
    <row r="3780" ht="13" customHeight="1">
      <c r="A3780" s="4" t="n">
        <v>5788</v>
      </c>
      <c r="B3780" s="5" t="inlineStr">
        <is>
          <t>IMG_0148</t>
        </is>
      </c>
      <c r="C3780" s="5" t="inlineStr">
        <is>
          <t>CLASS W: WATERPROOFING</t>
        </is>
      </c>
      <c r="D3780" s="5" t="inlineStr">
        <is>
          <t>01 DAMP-PROOFING</t>
        </is>
      </c>
      <c r="E3780" s="5" t="inlineStr">
        <is>
          <t>Waterproof sheeting; 0.3 mm polythene sheet</t>
        </is>
      </c>
      <c r="F3780" s="5" t="inlineStr">
        <is>
          <t>300 mm-1 m wide</t>
        </is>
      </c>
      <c r="G3780" s="6" t="inlineStr">
        <is>
          <t>m</t>
        </is>
      </c>
      <c r="H3780" s="7" t="n">
        <v>0.01</v>
      </c>
      <c r="I3780" s="8" t="n">
        <v>0.25</v>
      </c>
      <c r="J3780" s="8" t="n">
        <v>0.07000000000000001</v>
      </c>
      <c r="K3780" s="8" t="n">
        <v>1.21</v>
      </c>
      <c r="L3780" s="8" t="n">
        <v>0</v>
      </c>
      <c r="M3780" s="9">
        <f>ROUND(SUM(I3780:L3780),2)</f>
        <v/>
      </c>
      <c r="N3780" s="10">
        <f>ROUND(I3780*'Irish Basis'!$C$6*'Irish Basis'!$C$5,2)</f>
        <v/>
      </c>
      <c r="O3780" s="10">
        <f>ROUND(J3780*'Irish Basis'!$C$7*'Irish Basis'!$C$5,2)</f>
        <v/>
      </c>
      <c r="P3780" s="10">
        <f>ROUND(K3780*'Irish Basis'!$C$8*'Irish Basis'!$C$5,2)</f>
        <v/>
      </c>
      <c r="Q3780" s="10">
        <f>ROUND(L3780*'Irish Basis'!$C$12*'Irish Basis'!$C$5,2)</f>
        <v/>
      </c>
      <c r="R3780" s="11">
        <f>ROUND(SUM(N3780:Q3780),2)</f>
        <v/>
      </c>
      <c r="S3780" s="5" t="inlineStr">
        <is>
          <t>Stated build-up</t>
        </is>
      </c>
      <c r="T3780" s="12" t="inlineStr">
        <is>
          <t>High</t>
        </is>
      </c>
      <c r="U3780" s="8" t="n">
        <v>1.52</v>
      </c>
      <c r="V3780" s="13">
        <f>IF(U3780="","",ROUND(M3780-U3780,2))</f>
        <v/>
      </c>
      <c r="W3780" s="5" t="n"/>
      <c r="X3780" s="5" t="inlineStr">
        <is>
          <t>Labour + plant + material as published; reconciles to the published rate.</t>
        </is>
      </c>
    </row>
    <row r="3781" ht="13" customHeight="1">
      <c r="A3781" s="4" t="n">
        <v>5789</v>
      </c>
      <c r="B3781" s="5" t="inlineStr">
        <is>
          <t>IMG_0148</t>
        </is>
      </c>
      <c r="C3781" s="5" t="inlineStr">
        <is>
          <t>CLASS W: WATERPROOFING</t>
        </is>
      </c>
      <c r="D3781" s="5" t="inlineStr">
        <is>
          <t>01 DAMP-PROOFING</t>
        </is>
      </c>
      <c r="E3781" s="5" t="inlineStr">
        <is>
          <t>Waterproof sheeting; 0.3 mm polythene sheet</t>
        </is>
      </c>
      <c r="F3781" s="5" t="inlineStr">
        <is>
          <t>on horizontal or included surfaces</t>
        </is>
      </c>
      <c r="G3781" s="6" t="inlineStr">
        <is>
          <t>m2</t>
        </is>
      </c>
      <c r="H3781" s="7" t="n">
        <v>0.01</v>
      </c>
      <c r="I3781" s="8" t="n">
        <v>0.3</v>
      </c>
      <c r="J3781" s="8" t="n">
        <v>0.08</v>
      </c>
      <c r="K3781" s="8" t="n">
        <v>1.84</v>
      </c>
      <c r="L3781" s="8" t="n">
        <v>0</v>
      </c>
      <c r="M3781" s="9">
        <f>ROUND(SUM(I3781:L3781),2)</f>
        <v/>
      </c>
      <c r="N3781" s="10">
        <f>ROUND(I3781*'Irish Basis'!$C$6*'Irish Basis'!$C$5,2)</f>
        <v/>
      </c>
      <c r="O3781" s="10">
        <f>ROUND(J3781*'Irish Basis'!$C$7*'Irish Basis'!$C$5,2)</f>
        <v/>
      </c>
      <c r="P3781" s="10">
        <f>ROUND(K3781*'Irish Basis'!$C$8*'Irish Basis'!$C$5,2)</f>
        <v/>
      </c>
      <c r="Q3781" s="10">
        <f>ROUND(L3781*'Irish Basis'!$C$12*'Irish Basis'!$C$5,2)</f>
        <v/>
      </c>
      <c r="R3781" s="11">
        <f>ROUND(SUM(N3781:Q3781),2)</f>
        <v/>
      </c>
      <c r="S3781" s="5" t="inlineStr">
        <is>
          <t>Stated build-up</t>
        </is>
      </c>
      <c r="T3781" s="12" t="inlineStr">
        <is>
          <t>High</t>
        </is>
      </c>
      <c r="U3781" s="8" t="n">
        <v>2.22</v>
      </c>
      <c r="V3781" s="13">
        <f>IF(U3781="","",ROUND(M3781-U3781,2))</f>
        <v/>
      </c>
      <c r="W3781" s="5" t="n"/>
      <c r="X3781" s="5" t="inlineStr">
        <is>
          <t>Labour + plant + material as published; reconciles to the published rate.</t>
        </is>
      </c>
    </row>
    <row r="3782" ht="13" customHeight="1">
      <c r="A3782" s="4" t="n">
        <v>5790</v>
      </c>
      <c r="B3782" s="5" t="inlineStr">
        <is>
          <t>IMG_0148</t>
        </is>
      </c>
      <c r="C3782" s="5" t="inlineStr">
        <is>
          <t>CLASS W: WATERPROOFING</t>
        </is>
      </c>
      <c r="D3782" s="5" t="inlineStr">
        <is>
          <t>01 DAMP-PROOFING</t>
        </is>
      </c>
      <c r="E3782" s="5" t="inlineStr">
        <is>
          <t>Waterproof sheeting; 0.3 mm polythene sheet</t>
        </is>
      </c>
      <c r="F3782" s="5" t="inlineStr">
        <is>
          <t>on vertical surfaces</t>
        </is>
      </c>
      <c r="G3782" s="6" t="inlineStr">
        <is>
          <t>m2</t>
        </is>
      </c>
      <c r="H3782" s="7" t="n">
        <v>0.01</v>
      </c>
      <c r="I3782" s="8" t="n">
        <v>0.25</v>
      </c>
      <c r="J3782" s="8" t="n">
        <v>0.07000000000000001</v>
      </c>
      <c r="K3782" s="8" t="n">
        <v>1.84</v>
      </c>
      <c r="L3782" s="8" t="n">
        <v>0</v>
      </c>
      <c r="M3782" s="9">
        <f>ROUND(SUM(I3782:L3782),2)</f>
        <v/>
      </c>
      <c r="N3782" s="10">
        <f>ROUND(I3782*'Irish Basis'!$C$6*'Irish Basis'!$C$5,2)</f>
        <v/>
      </c>
      <c r="O3782" s="10">
        <f>ROUND(J3782*'Irish Basis'!$C$7*'Irish Basis'!$C$5,2)</f>
        <v/>
      </c>
      <c r="P3782" s="10">
        <f>ROUND(K3782*'Irish Basis'!$C$8*'Irish Basis'!$C$5,2)</f>
        <v/>
      </c>
      <c r="Q3782" s="10">
        <f>ROUND(L3782*'Irish Basis'!$C$12*'Irish Basis'!$C$5,2)</f>
        <v/>
      </c>
      <c r="R3782" s="11">
        <f>ROUND(SUM(N3782:Q3782),2)</f>
        <v/>
      </c>
      <c r="S3782" s="5" t="inlineStr">
        <is>
          <t>Stated build-up</t>
        </is>
      </c>
      <c r="T3782" s="12" t="inlineStr">
        <is>
          <t>High</t>
        </is>
      </c>
      <c r="U3782" s="8" t="n">
        <v>2.15</v>
      </c>
      <c r="V3782" s="13">
        <f>IF(U3782="","",ROUND(M3782-U3782,2))</f>
        <v/>
      </c>
      <c r="W3782" s="5" t="n"/>
      <c r="X3782" s="5" t="inlineStr">
        <is>
          <t>Labour + plant + material as published; reconciles to the published rate.</t>
        </is>
      </c>
    </row>
    <row r="3783" ht="13" customHeight="1">
      <c r="A3783" s="4" t="n">
        <v>5793</v>
      </c>
      <c r="B3783" s="5" t="inlineStr">
        <is>
          <t>IMG_0148</t>
        </is>
      </c>
      <c r="C3783" s="5" t="inlineStr">
        <is>
          <t>CLASS W: WATERPROOFING</t>
        </is>
      </c>
      <c r="D3783" s="5" t="inlineStr">
        <is>
          <t>02 TANKING</t>
        </is>
      </c>
      <c r="E3783" s="5" t="inlineStr">
        <is>
          <t>Asphalt; 13 mm Mastic asphalt to BS 6925, Type T 1097; two coats; on concrete surface</t>
        </is>
      </c>
      <c r="F3783" s="5" t="inlineStr">
        <is>
          <t>upper surfaces inclined at an angle ne 30 deg to the horizontal</t>
        </is>
      </c>
      <c r="G3783" s="6" t="inlineStr">
        <is>
          <t>m2</t>
        </is>
      </c>
      <c r="H3783" s="7" t="n">
        <v>0.45</v>
      </c>
      <c r="I3783" s="8" t="n">
        <v>27.98</v>
      </c>
      <c r="J3783" s="8" t="n">
        <v>16.17</v>
      </c>
      <c r="K3783" s="8" t="n">
        <v>17.23</v>
      </c>
      <c r="L3783" s="8" t="n">
        <v>0</v>
      </c>
      <c r="M3783" s="9">
        <f>ROUND(SUM(I3783:L3783),2)</f>
        <v/>
      </c>
      <c r="N3783" s="10">
        <f>ROUND(I3783*'Irish Basis'!$C$6*'Irish Basis'!$C$5,2)</f>
        <v/>
      </c>
      <c r="O3783" s="10">
        <f>ROUND(J3783*'Irish Basis'!$C$7*'Irish Basis'!$C$5,2)</f>
        <v/>
      </c>
      <c r="P3783" s="10">
        <f>ROUND(K3783*'Irish Basis'!$C$8*'Irish Basis'!$C$5,2)</f>
        <v/>
      </c>
      <c r="Q3783" s="10">
        <f>ROUND(L3783*'Irish Basis'!$C$12*'Irish Basis'!$C$5,2)</f>
        <v/>
      </c>
      <c r="R3783" s="11">
        <f>ROUND(SUM(N3783:Q3783),2)</f>
        <v/>
      </c>
      <c r="S3783" s="5" t="inlineStr">
        <is>
          <t>Stated build-up</t>
        </is>
      </c>
      <c r="T3783" s="12" t="inlineStr">
        <is>
          <t>High</t>
        </is>
      </c>
      <c r="U3783" s="8" t="n">
        <v>61.39</v>
      </c>
      <c r="V3783" s="13">
        <f>IF(U3783="","",ROUND(M3783-U3783,2))</f>
        <v/>
      </c>
      <c r="W3783" s="5" t="n"/>
      <c r="X3783" s="5" t="inlineStr">
        <is>
          <t>Labour + plant + material as published; reconciles to the published rate.</t>
        </is>
      </c>
    </row>
    <row r="3784" ht="13" customHeight="1">
      <c r="A3784" s="4" t="n">
        <v>5794</v>
      </c>
      <c r="B3784" s="5" t="inlineStr">
        <is>
          <t>IMG_0148</t>
        </is>
      </c>
      <c r="C3784" s="5" t="inlineStr">
        <is>
          <t>CLASS W: WATERPROOFING</t>
        </is>
      </c>
      <c r="D3784" s="5" t="inlineStr">
        <is>
          <t>02 TANKING</t>
        </is>
      </c>
      <c r="E3784" s="5" t="inlineStr">
        <is>
          <t>Asphalt; 13 mm Mastic asphalt to BS 6925, Type T 1097; two coats; on concrete surface</t>
        </is>
      </c>
      <c r="F3784" s="5" t="inlineStr">
        <is>
          <t>upper surfaces inclined at an angle 30-60 deg to the horizontal</t>
        </is>
      </c>
      <c r="G3784" s="6" t="inlineStr">
        <is>
          <t>m2</t>
        </is>
      </c>
      <c r="H3784" s="7" t="n">
        <v>0.6</v>
      </c>
      <c r="I3784" s="8" t="n">
        <v>37.31</v>
      </c>
      <c r="J3784" s="8" t="n">
        <v>21.56</v>
      </c>
      <c r="K3784" s="8" t="n">
        <v>17.23</v>
      </c>
      <c r="L3784" s="8" t="n">
        <v>0</v>
      </c>
      <c r="M3784" s="9">
        <f>ROUND(SUM(I3784:L3784),2)</f>
        <v/>
      </c>
      <c r="N3784" s="10">
        <f>ROUND(I3784*'Irish Basis'!$C$6*'Irish Basis'!$C$5,2)</f>
        <v/>
      </c>
      <c r="O3784" s="10">
        <f>ROUND(J3784*'Irish Basis'!$C$7*'Irish Basis'!$C$5,2)</f>
        <v/>
      </c>
      <c r="P3784" s="10">
        <f>ROUND(K3784*'Irish Basis'!$C$8*'Irish Basis'!$C$5,2)</f>
        <v/>
      </c>
      <c r="Q3784" s="10">
        <f>ROUND(L3784*'Irish Basis'!$C$12*'Irish Basis'!$C$5,2)</f>
        <v/>
      </c>
      <c r="R3784" s="11">
        <f>ROUND(SUM(N3784:Q3784),2)</f>
        <v/>
      </c>
      <c r="S3784" s="5" t="inlineStr">
        <is>
          <t>Stated build-up</t>
        </is>
      </c>
      <c r="T3784" s="12" t="inlineStr">
        <is>
          <t>High</t>
        </is>
      </c>
      <c r="U3784" s="8" t="n">
        <v>76.11</v>
      </c>
      <c r="V3784" s="13">
        <f>IF(U3784="","",ROUND(M3784-U3784,2))</f>
        <v/>
      </c>
      <c r="W3784" s="5" t="n"/>
      <c r="X3784" s="5" t="inlineStr">
        <is>
          <t>Labour + plant + material as published; reconciles to the published rate.</t>
        </is>
      </c>
    </row>
    <row r="3785" ht="13" customHeight="1">
      <c r="A3785" s="4" t="n">
        <v>5795</v>
      </c>
      <c r="B3785" s="5" t="inlineStr">
        <is>
          <t>IMG_0148</t>
        </is>
      </c>
      <c r="C3785" s="5" t="inlineStr">
        <is>
          <t>CLASS W: WATERPROOFING</t>
        </is>
      </c>
      <c r="D3785" s="5" t="inlineStr">
        <is>
          <t>02 TANKING</t>
        </is>
      </c>
      <c r="E3785" s="5" t="inlineStr">
        <is>
          <t>Asphalt; 13 mm Mastic asphalt to BS 6925, Type T 1097; two coats; on concrete surface</t>
        </is>
      </c>
      <c r="F3785" s="5" t="inlineStr">
        <is>
          <t>upper surfaces inclined at an angle exceeding 60 deg to the horizontal</t>
        </is>
      </c>
      <c r="G3785" s="6" t="inlineStr">
        <is>
          <t>m2</t>
        </is>
      </c>
      <c r="H3785" s="7" t="n">
        <v>1</v>
      </c>
      <c r="I3785" s="8" t="n">
        <v>62.18</v>
      </c>
      <c r="J3785" s="8" t="n">
        <v>35.94</v>
      </c>
      <c r="K3785" s="8" t="n">
        <v>17.23</v>
      </c>
      <c r="L3785" s="8" t="n">
        <v>0</v>
      </c>
      <c r="M3785" s="9">
        <f>ROUND(SUM(I3785:L3785),2)</f>
        <v/>
      </c>
      <c r="N3785" s="10">
        <f>ROUND(I3785*'Irish Basis'!$C$6*'Irish Basis'!$C$5,2)</f>
        <v/>
      </c>
      <c r="O3785" s="10">
        <f>ROUND(J3785*'Irish Basis'!$C$7*'Irish Basis'!$C$5,2)</f>
        <v/>
      </c>
      <c r="P3785" s="10">
        <f>ROUND(K3785*'Irish Basis'!$C$8*'Irish Basis'!$C$5,2)</f>
        <v/>
      </c>
      <c r="Q3785" s="10">
        <f>ROUND(L3785*'Irish Basis'!$C$12*'Irish Basis'!$C$5,2)</f>
        <v/>
      </c>
      <c r="R3785" s="11">
        <f>ROUND(SUM(N3785:Q3785),2)</f>
        <v/>
      </c>
      <c r="S3785" s="5" t="inlineStr">
        <is>
          <t>Stated build-up</t>
        </is>
      </c>
      <c r="T3785" s="12" t="inlineStr">
        <is>
          <t>High</t>
        </is>
      </c>
      <c r="U3785" s="8" t="n">
        <v>115.36</v>
      </c>
      <c r="V3785" s="13">
        <f>IF(U3785="","",ROUND(M3785-U3785,2))</f>
        <v/>
      </c>
      <c r="W3785" s="5" t="n"/>
      <c r="X3785" s="5" t="inlineStr">
        <is>
          <t>Labour + plant + material as published; reconciles to the published rate.</t>
        </is>
      </c>
    </row>
    <row r="3786" ht="13" customHeight="1">
      <c r="A3786" s="4" t="n">
        <v>5796</v>
      </c>
      <c r="B3786" s="5" t="inlineStr">
        <is>
          <t>IMG_0148</t>
        </is>
      </c>
      <c r="C3786" s="5" t="inlineStr">
        <is>
          <t>CLASS W: WATERPROOFING</t>
        </is>
      </c>
      <c r="D3786" s="5" t="inlineStr">
        <is>
          <t>02 TANKING</t>
        </is>
      </c>
      <c r="E3786" s="5" t="inlineStr">
        <is>
          <t>Asphalt; 13 mm Mastic asphalt to BS 6925, Type T 1097; two coats; on concrete surface</t>
        </is>
      </c>
      <c r="F3786" s="5" t="inlineStr">
        <is>
          <t>curved surfaces</t>
        </is>
      </c>
      <c r="G3786" s="6" t="inlineStr">
        <is>
          <t>m2</t>
        </is>
      </c>
      <c r="H3786" s="7" t="n">
        <v>1.2</v>
      </c>
      <c r="I3786" s="8" t="n">
        <v>74.62</v>
      </c>
      <c r="J3786" s="8" t="n">
        <v>43.13</v>
      </c>
      <c r="K3786" s="8" t="n">
        <v>17.23</v>
      </c>
      <c r="L3786" s="8" t="n">
        <v>0</v>
      </c>
      <c r="M3786" s="9">
        <f>ROUND(SUM(I3786:L3786),2)</f>
        <v/>
      </c>
      <c r="N3786" s="10">
        <f>ROUND(I3786*'Irish Basis'!$C$6*'Irish Basis'!$C$5,2)</f>
        <v/>
      </c>
      <c r="O3786" s="10">
        <f>ROUND(J3786*'Irish Basis'!$C$7*'Irish Basis'!$C$5,2)</f>
        <v/>
      </c>
      <c r="P3786" s="10">
        <f>ROUND(K3786*'Irish Basis'!$C$8*'Irish Basis'!$C$5,2)</f>
        <v/>
      </c>
      <c r="Q3786" s="10">
        <f>ROUND(L3786*'Irish Basis'!$C$12*'Irish Basis'!$C$5,2)</f>
        <v/>
      </c>
      <c r="R3786" s="11">
        <f>ROUND(SUM(N3786:Q3786),2)</f>
        <v/>
      </c>
      <c r="S3786" s="5" t="inlineStr">
        <is>
          <t>Stated build-up</t>
        </is>
      </c>
      <c r="T3786" s="12" t="inlineStr">
        <is>
          <t>High</t>
        </is>
      </c>
      <c r="U3786" s="8" t="n">
        <v>134.98</v>
      </c>
      <c r="V3786" s="13">
        <f>IF(U3786="","",ROUND(M3786-U3786,2))</f>
        <v/>
      </c>
      <c r="W3786" s="5" t="n"/>
      <c r="X3786" s="5" t="inlineStr">
        <is>
          <t>Labour + plant + material as published; reconciles to the published rate.</t>
        </is>
      </c>
    </row>
    <row r="3787" ht="13" customHeight="1">
      <c r="A3787" s="4" t="n">
        <v>5797</v>
      </c>
      <c r="B3787" s="5" t="inlineStr">
        <is>
          <t>IMG_0148</t>
        </is>
      </c>
      <c r="C3787" s="5" t="inlineStr">
        <is>
          <t>CLASS W: WATERPROOFING</t>
        </is>
      </c>
      <c r="D3787" s="5" t="inlineStr">
        <is>
          <t>02 TANKING</t>
        </is>
      </c>
      <c r="E3787" s="5" t="inlineStr">
        <is>
          <t>Asphalt; 13 mm Mastic asphalt to BS 6925, Type T 1097; two coats; on concrete surface</t>
        </is>
      </c>
      <c r="F3787" s="5" t="inlineStr">
        <is>
          <t>domed surfaces</t>
        </is>
      </c>
      <c r="G3787" s="6" t="inlineStr">
        <is>
          <t>m2</t>
        </is>
      </c>
      <c r="H3787" s="7" t="n">
        <v>1.5</v>
      </c>
      <c r="I3787" s="8" t="n">
        <v>93.27</v>
      </c>
      <c r="J3787" s="8" t="n">
        <v>53.91</v>
      </c>
      <c r="K3787" s="8" t="n">
        <v>17.23</v>
      </c>
      <c r="L3787" s="8" t="n">
        <v>0</v>
      </c>
      <c r="M3787" s="9">
        <f>ROUND(SUM(I3787:L3787),2)</f>
        <v/>
      </c>
      <c r="N3787" s="10">
        <f>ROUND(I3787*'Irish Basis'!$C$6*'Irish Basis'!$C$5,2)</f>
        <v/>
      </c>
      <c r="O3787" s="10">
        <f>ROUND(J3787*'Irish Basis'!$C$7*'Irish Basis'!$C$5,2)</f>
        <v/>
      </c>
      <c r="P3787" s="10">
        <f>ROUND(K3787*'Irish Basis'!$C$8*'Irish Basis'!$C$5,2)</f>
        <v/>
      </c>
      <c r="Q3787" s="10">
        <f>ROUND(L3787*'Irish Basis'!$C$12*'Irish Basis'!$C$5,2)</f>
        <v/>
      </c>
      <c r="R3787" s="11">
        <f>ROUND(SUM(N3787:Q3787),2)</f>
        <v/>
      </c>
      <c r="S3787" s="5" t="inlineStr">
        <is>
          <t>Stated build-up</t>
        </is>
      </c>
      <c r="T3787" s="12" t="inlineStr">
        <is>
          <t>High</t>
        </is>
      </c>
      <c r="U3787" s="8" t="n">
        <v>164.42</v>
      </c>
      <c r="V3787" s="13">
        <f>IF(U3787="","",ROUND(M3787-U3787,2))</f>
        <v/>
      </c>
      <c r="W3787" s="5" t="n"/>
      <c r="X3787" s="5" t="inlineStr">
        <is>
          <t>Labour + plant + material as published; reconciles to the published rate.</t>
        </is>
      </c>
    </row>
    <row r="3788" ht="13" customHeight="1">
      <c r="A3788" s="4" t="n">
        <v>5798</v>
      </c>
      <c r="B3788" s="5" t="inlineStr">
        <is>
          <t>IMG_0148</t>
        </is>
      </c>
      <c r="C3788" s="5" t="inlineStr">
        <is>
          <t>CLASS W: WATERPROOFING</t>
        </is>
      </c>
      <c r="D3788" s="5" t="inlineStr">
        <is>
          <t>02 TANKING</t>
        </is>
      </c>
      <c r="E3788" s="5" t="inlineStr">
        <is>
          <t>Asphalt; 13 mm Mastic asphalt to BS 6925, Type T 1097; two coats; on concrete surface</t>
        </is>
      </c>
      <c r="F3788" s="5" t="inlineStr">
        <is>
          <t>ne 300 mm wide</t>
        </is>
      </c>
      <c r="G3788" s="6" t="inlineStr">
        <is>
          <t>m</t>
        </is>
      </c>
      <c r="H3788" s="7" t="n">
        <v>0.2</v>
      </c>
      <c r="I3788" s="8" t="n">
        <v>12.44</v>
      </c>
      <c r="J3788" s="8" t="n">
        <v>7.19</v>
      </c>
      <c r="K3788" s="8" t="n">
        <v>5.19</v>
      </c>
      <c r="L3788" s="8" t="n">
        <v>0</v>
      </c>
      <c r="M3788" s="9">
        <f>ROUND(SUM(I3788:L3788),2)</f>
        <v/>
      </c>
      <c r="N3788" s="10">
        <f>ROUND(I3788*'Irish Basis'!$C$6*'Irish Basis'!$C$5,2)</f>
        <v/>
      </c>
      <c r="O3788" s="10">
        <f>ROUND(J3788*'Irish Basis'!$C$7*'Irish Basis'!$C$5,2)</f>
        <v/>
      </c>
      <c r="P3788" s="10">
        <f>ROUND(K3788*'Irish Basis'!$C$8*'Irish Basis'!$C$5,2)</f>
        <v/>
      </c>
      <c r="Q3788" s="10">
        <f>ROUND(L3788*'Irish Basis'!$C$12*'Irish Basis'!$C$5,2)</f>
        <v/>
      </c>
      <c r="R3788" s="11">
        <f>ROUND(SUM(N3788:Q3788),2)</f>
        <v/>
      </c>
      <c r="S3788" s="5" t="inlineStr">
        <is>
          <t>Stated build-up</t>
        </is>
      </c>
      <c r="T3788" s="12" t="inlineStr">
        <is>
          <t>High</t>
        </is>
      </c>
      <c r="U3788" s="8" t="n">
        <v>24.82</v>
      </c>
      <c r="V3788" s="13">
        <f>IF(U3788="","",ROUND(M3788-U3788,2))</f>
        <v/>
      </c>
      <c r="W3788" s="5" t="n"/>
      <c r="X3788" s="5" t="inlineStr">
        <is>
          <t>Labour + plant + material as published; reconciles to the published rate.</t>
        </is>
      </c>
    </row>
    <row r="3789" ht="13" customHeight="1">
      <c r="A3789" s="4" t="n">
        <v>5799</v>
      </c>
      <c r="B3789" s="5" t="inlineStr">
        <is>
          <t>IMG_0148</t>
        </is>
      </c>
      <c r="C3789" s="5" t="inlineStr">
        <is>
          <t>CLASS W: WATERPROOFING</t>
        </is>
      </c>
      <c r="D3789" s="5" t="inlineStr">
        <is>
          <t>02 TANKING</t>
        </is>
      </c>
      <c r="E3789" s="5" t="inlineStr">
        <is>
          <t>Asphalt; 13 mm Mastic asphalt to BS 6925, Type T 1097; two coats; on concrete surface</t>
        </is>
      </c>
      <c r="F3789" s="5" t="inlineStr">
        <is>
          <t>300 mm-1 m wide</t>
        </is>
      </c>
      <c r="G3789" s="6" t="inlineStr">
        <is>
          <t>m</t>
        </is>
      </c>
      <c r="H3789" s="7" t="n">
        <v>0.45</v>
      </c>
      <c r="I3789" s="8" t="n">
        <v>27.98</v>
      </c>
      <c r="J3789" s="8" t="n">
        <v>16.17</v>
      </c>
      <c r="K3789" s="8" t="n">
        <v>17.23</v>
      </c>
      <c r="L3789" s="8" t="n">
        <v>0</v>
      </c>
      <c r="M3789" s="9">
        <f>ROUND(SUM(I3789:L3789),2)</f>
        <v/>
      </c>
      <c r="N3789" s="10">
        <f>ROUND(I3789*'Irish Basis'!$C$6*'Irish Basis'!$C$5,2)</f>
        <v/>
      </c>
      <c r="O3789" s="10">
        <f>ROUND(J3789*'Irish Basis'!$C$7*'Irish Basis'!$C$5,2)</f>
        <v/>
      </c>
      <c r="P3789" s="10">
        <f>ROUND(K3789*'Irish Basis'!$C$8*'Irish Basis'!$C$5,2)</f>
        <v/>
      </c>
      <c r="Q3789" s="10">
        <f>ROUND(L3789*'Irish Basis'!$C$12*'Irish Basis'!$C$5,2)</f>
        <v/>
      </c>
      <c r="R3789" s="11">
        <f>ROUND(SUM(N3789:Q3789),2)</f>
        <v/>
      </c>
      <c r="S3789" s="5" t="inlineStr">
        <is>
          <t>Stated build-up</t>
        </is>
      </c>
      <c r="T3789" s="12" t="inlineStr">
        <is>
          <t>High</t>
        </is>
      </c>
      <c r="U3789" s="8" t="n">
        <v>61.39</v>
      </c>
      <c r="V3789" s="13">
        <f>IF(U3789="","",ROUND(M3789-U3789,2))</f>
        <v/>
      </c>
      <c r="W3789" s="5" t="n"/>
      <c r="X3789" s="5" t="inlineStr">
        <is>
          <t>Labour + plant + material as published; reconciles to the published rate.</t>
        </is>
      </c>
    </row>
    <row r="3790" ht="13" customHeight="1">
      <c r="A3790" s="4" t="n">
        <v>5801</v>
      </c>
      <c r="B3790" s="5" t="inlineStr">
        <is>
          <t>IMG_0148</t>
        </is>
      </c>
      <c r="C3790" s="5" t="inlineStr">
        <is>
          <t>CLASS W: WATERPROOFING</t>
        </is>
      </c>
      <c r="D3790" s="5" t="inlineStr">
        <is>
          <t>02 TANKING</t>
        </is>
      </c>
      <c r="E3790" s="5" t="inlineStr">
        <is>
          <t>20 mm Mastic asphalt to BS 6925, Type T 1097; two coats; on concrete surface</t>
        </is>
      </c>
      <c r="F3790" s="5" t="inlineStr">
        <is>
          <t>upper surfaces inclined at an angle ne 30 deg to the horizontal</t>
        </is>
      </c>
      <c r="G3790" s="6" t="inlineStr">
        <is>
          <t>m2</t>
        </is>
      </c>
      <c r="H3790" s="7" t="n">
        <v>0.5</v>
      </c>
      <c r="I3790" s="8" t="n">
        <v>31.09</v>
      </c>
      <c r="J3790" s="8" t="n">
        <v>17.97</v>
      </c>
      <c r="K3790" s="8" t="n">
        <v>26.52</v>
      </c>
      <c r="L3790" s="8" t="n">
        <v>0</v>
      </c>
      <c r="M3790" s="9">
        <f>ROUND(SUM(I3790:L3790),2)</f>
        <v/>
      </c>
      <c r="N3790" s="10">
        <f>ROUND(I3790*'Irish Basis'!$C$6*'Irish Basis'!$C$5,2)</f>
        <v/>
      </c>
      <c r="O3790" s="10">
        <f>ROUND(J3790*'Irish Basis'!$C$7*'Irish Basis'!$C$5,2)</f>
        <v/>
      </c>
      <c r="P3790" s="10">
        <f>ROUND(K3790*'Irish Basis'!$C$8*'Irish Basis'!$C$5,2)</f>
        <v/>
      </c>
      <c r="Q3790" s="10">
        <f>ROUND(L3790*'Irish Basis'!$C$12*'Irish Basis'!$C$5,2)</f>
        <v/>
      </c>
      <c r="R3790" s="11">
        <f>ROUND(SUM(N3790:Q3790),2)</f>
        <v/>
      </c>
      <c r="S3790" s="5" t="inlineStr">
        <is>
          <t>Stated build-up</t>
        </is>
      </c>
      <c r="T3790" s="12" t="inlineStr">
        <is>
          <t>High</t>
        </is>
      </c>
      <c r="U3790" s="8" t="n">
        <v>75.58</v>
      </c>
      <c r="V3790" s="13">
        <f>IF(U3790="","",ROUND(M3790-U3790,2))</f>
        <v/>
      </c>
      <c r="W3790" s="5" t="n"/>
      <c r="X3790" s="5" t="inlineStr">
        <is>
          <t>Labour + plant + material as published; reconciles to the published rate.</t>
        </is>
      </c>
    </row>
    <row r="3791" ht="13" customHeight="1">
      <c r="A3791" s="4" t="n">
        <v>5802</v>
      </c>
      <c r="B3791" s="5" t="inlineStr">
        <is>
          <t>IMG_0148</t>
        </is>
      </c>
      <c r="C3791" s="5" t="inlineStr">
        <is>
          <t>CLASS W: WATERPROOFING</t>
        </is>
      </c>
      <c r="D3791" s="5" t="inlineStr">
        <is>
          <t>02 TANKING</t>
        </is>
      </c>
      <c r="E3791" s="5" t="inlineStr">
        <is>
          <t>20 mm Mastic asphalt to BS 6925, Type T 1097; two coats; on concrete surface</t>
        </is>
      </c>
      <c r="F3791" s="5" t="inlineStr">
        <is>
          <t>upper surfaces inclined at an angle 30-60 deg to the horizontal</t>
        </is>
      </c>
      <c r="G3791" s="6" t="inlineStr">
        <is>
          <t>m2</t>
        </is>
      </c>
      <c r="H3791" s="7" t="n">
        <v>0.7</v>
      </c>
      <c r="I3791" s="8" t="n">
        <v>43.53</v>
      </c>
      <c r="J3791" s="8" t="n">
        <v>25.16</v>
      </c>
      <c r="K3791" s="8" t="n">
        <v>26.52</v>
      </c>
      <c r="L3791" s="8" t="n">
        <v>0</v>
      </c>
      <c r="M3791" s="9">
        <f>ROUND(SUM(I3791:L3791),2)</f>
        <v/>
      </c>
      <c r="N3791" s="10">
        <f>ROUND(I3791*'Irish Basis'!$C$6*'Irish Basis'!$C$5,2)</f>
        <v/>
      </c>
      <c r="O3791" s="10">
        <f>ROUND(J3791*'Irish Basis'!$C$7*'Irish Basis'!$C$5,2)</f>
        <v/>
      </c>
      <c r="P3791" s="10">
        <f>ROUND(K3791*'Irish Basis'!$C$8*'Irish Basis'!$C$5,2)</f>
        <v/>
      </c>
      <c r="Q3791" s="10">
        <f>ROUND(L3791*'Irish Basis'!$C$12*'Irish Basis'!$C$5,2)</f>
        <v/>
      </c>
      <c r="R3791" s="11">
        <f>ROUND(SUM(N3791:Q3791),2)</f>
        <v/>
      </c>
      <c r="S3791" s="5" t="inlineStr">
        <is>
          <t>Stated build-up</t>
        </is>
      </c>
      <c r="T3791" s="12" t="inlineStr">
        <is>
          <t>High</t>
        </is>
      </c>
      <c r="U3791" s="8" t="n">
        <v>95.2</v>
      </c>
      <c r="V3791" s="13">
        <f>IF(U3791="","",ROUND(M3791-U3791,2))</f>
        <v/>
      </c>
      <c r="W3791" s="5" t="n"/>
      <c r="X3791" s="5" t="inlineStr">
        <is>
          <t>Labour + plant + material as published; reconciles to the published rate.</t>
        </is>
      </c>
    </row>
    <row r="3792" ht="13" customHeight="1">
      <c r="A3792" s="4" t="n">
        <v>5803</v>
      </c>
      <c r="B3792" s="5" t="inlineStr">
        <is>
          <t>IMG_0148</t>
        </is>
      </c>
      <c r="C3792" s="5" t="inlineStr">
        <is>
          <t>CLASS W: WATERPROOFING</t>
        </is>
      </c>
      <c r="D3792" s="5" t="inlineStr">
        <is>
          <t>02 TANKING</t>
        </is>
      </c>
      <c r="E3792" s="5" t="inlineStr">
        <is>
          <t>20 mm Mastic asphalt to BS 6925, Type T 1097; two coats; on concrete surface</t>
        </is>
      </c>
      <c r="F3792" s="5" t="inlineStr">
        <is>
          <t>upper surfaces inclined at an angle exceeding 60 deg to the horizontal</t>
        </is>
      </c>
      <c r="G3792" s="6" t="inlineStr">
        <is>
          <t>m2</t>
        </is>
      </c>
      <c r="H3792" s="7" t="n">
        <v>1.2</v>
      </c>
      <c r="I3792" s="8" t="n">
        <v>74.62</v>
      </c>
      <c r="J3792" s="8" t="n">
        <v>43.13</v>
      </c>
      <c r="K3792" s="8" t="n">
        <v>26.52</v>
      </c>
      <c r="L3792" s="8" t="n">
        <v>0</v>
      </c>
      <c r="M3792" s="9">
        <f>ROUND(SUM(I3792:L3792),2)</f>
        <v/>
      </c>
      <c r="N3792" s="10">
        <f>ROUND(I3792*'Irish Basis'!$C$6*'Irish Basis'!$C$5,2)</f>
        <v/>
      </c>
      <c r="O3792" s="10">
        <f>ROUND(J3792*'Irish Basis'!$C$7*'Irish Basis'!$C$5,2)</f>
        <v/>
      </c>
      <c r="P3792" s="10">
        <f>ROUND(K3792*'Irish Basis'!$C$8*'Irish Basis'!$C$5,2)</f>
        <v/>
      </c>
      <c r="Q3792" s="10">
        <f>ROUND(L3792*'Irish Basis'!$C$12*'Irish Basis'!$C$5,2)</f>
        <v/>
      </c>
      <c r="R3792" s="11">
        <f>ROUND(SUM(N3792:Q3792),2)</f>
        <v/>
      </c>
      <c r="S3792" s="5" t="inlineStr">
        <is>
          <t>Stated build-up</t>
        </is>
      </c>
      <c r="T3792" s="12" t="inlineStr">
        <is>
          <t>High</t>
        </is>
      </c>
      <c r="U3792" s="8" t="n">
        <v>144.26</v>
      </c>
      <c r="V3792" s="13">
        <f>IF(U3792="","",ROUND(M3792-U3792,2))</f>
        <v/>
      </c>
      <c r="W3792" s="5" t="n"/>
      <c r="X3792" s="5" t="inlineStr">
        <is>
          <t>Labour + plant + material as published; reconciles to the published rate.</t>
        </is>
      </c>
    </row>
    <row r="3793" ht="13" customHeight="1">
      <c r="A3793" s="4" t="n">
        <v>5804</v>
      </c>
      <c r="B3793" s="5" t="inlineStr">
        <is>
          <t>IMG_0148</t>
        </is>
      </c>
      <c r="C3793" s="5" t="inlineStr">
        <is>
          <t>CLASS W: WATERPROOFING</t>
        </is>
      </c>
      <c r="D3793" s="5" t="inlineStr">
        <is>
          <t>02 TANKING</t>
        </is>
      </c>
      <c r="E3793" s="5" t="inlineStr">
        <is>
          <t>20 mm Mastic asphalt to BS 6925, Type T 1097; two coats; on concrete surface</t>
        </is>
      </c>
      <c r="F3793" s="5" t="inlineStr">
        <is>
          <t>curved surfaces</t>
        </is>
      </c>
      <c r="G3793" s="6" t="inlineStr">
        <is>
          <t>m2</t>
        </is>
      </c>
      <c r="H3793" s="7" t="n">
        <v>1.4</v>
      </c>
      <c r="I3793" s="8" t="n">
        <v>87.05</v>
      </c>
      <c r="J3793" s="8" t="n">
        <v>50.31</v>
      </c>
      <c r="K3793" s="8" t="n">
        <v>26.51</v>
      </c>
      <c r="L3793" s="8" t="n">
        <v>0</v>
      </c>
      <c r="M3793" s="9">
        <f>ROUND(SUM(I3793:L3793),2)</f>
        <v/>
      </c>
      <c r="N3793" s="10">
        <f>ROUND(I3793*'Irish Basis'!$C$6*'Irish Basis'!$C$5,2)</f>
        <v/>
      </c>
      <c r="O3793" s="10">
        <f>ROUND(J3793*'Irish Basis'!$C$7*'Irish Basis'!$C$5,2)</f>
        <v/>
      </c>
      <c r="P3793" s="10">
        <f>ROUND(K3793*'Irish Basis'!$C$8*'Irish Basis'!$C$5,2)</f>
        <v/>
      </c>
      <c r="Q3793" s="10">
        <f>ROUND(L3793*'Irish Basis'!$C$12*'Irish Basis'!$C$5,2)</f>
        <v/>
      </c>
      <c r="R3793" s="11">
        <f>ROUND(SUM(N3793:Q3793),2)</f>
        <v/>
      </c>
      <c r="S3793" s="5" t="inlineStr">
        <is>
          <t>Stated build-up</t>
        </is>
      </c>
      <c r="T3793" s="12" t="inlineStr">
        <is>
          <t>High</t>
        </is>
      </c>
      <c r="U3793" s="8" t="n">
        <v>163.88</v>
      </c>
      <c r="V3793" s="13">
        <f>IF(U3793="","",ROUND(M3793-U3793,2))</f>
        <v/>
      </c>
      <c r="W3793" s="5" t="n"/>
      <c r="X3793" s="5" t="inlineStr">
        <is>
          <t>Labour + plant + material as published; reconciles to the published rate.</t>
        </is>
      </c>
    </row>
    <row r="3794" ht="13" customHeight="1">
      <c r="A3794" s="4" t="n">
        <v>5805</v>
      </c>
      <c r="B3794" s="5" t="inlineStr">
        <is>
          <t>IMG_0148</t>
        </is>
      </c>
      <c r="C3794" s="5" t="inlineStr">
        <is>
          <t>CLASS W: WATERPROOFING</t>
        </is>
      </c>
      <c r="D3794" s="5" t="inlineStr">
        <is>
          <t>02 TANKING</t>
        </is>
      </c>
      <c r="E3794" s="5" t="inlineStr">
        <is>
          <t>20 mm Mastic asphalt to BS 6925, Type T 1097; two coats; on concrete surface</t>
        </is>
      </c>
      <c r="F3794" s="5" t="inlineStr">
        <is>
          <t>domed surfaces</t>
        </is>
      </c>
      <c r="G3794" s="6" t="inlineStr">
        <is>
          <t>m2</t>
        </is>
      </c>
      <c r="H3794" s="7" t="n">
        <v>1.75</v>
      </c>
      <c r="I3794" s="8" t="n">
        <v>108.82</v>
      </c>
      <c r="J3794" s="8" t="n">
        <v>62.89</v>
      </c>
      <c r="K3794" s="8" t="n">
        <v>26.52</v>
      </c>
      <c r="L3794" s="8" t="n">
        <v>0</v>
      </c>
      <c r="M3794" s="9">
        <f>ROUND(SUM(I3794:L3794),2)</f>
        <v/>
      </c>
      <c r="N3794" s="10">
        <f>ROUND(I3794*'Irish Basis'!$C$6*'Irish Basis'!$C$5,2)</f>
        <v/>
      </c>
      <c r="O3794" s="10">
        <f>ROUND(J3794*'Irish Basis'!$C$7*'Irish Basis'!$C$5,2)</f>
        <v/>
      </c>
      <c r="P3794" s="10">
        <f>ROUND(K3794*'Irish Basis'!$C$8*'Irish Basis'!$C$5,2)</f>
        <v/>
      </c>
      <c r="Q3794" s="10">
        <f>ROUND(L3794*'Irish Basis'!$C$12*'Irish Basis'!$C$5,2)</f>
        <v/>
      </c>
      <c r="R3794" s="11">
        <f>ROUND(SUM(N3794:Q3794),2)</f>
        <v/>
      </c>
      <c r="S3794" s="5" t="inlineStr">
        <is>
          <t>Stated build-up</t>
        </is>
      </c>
      <c r="T3794" s="12" t="inlineStr">
        <is>
          <t>High</t>
        </is>
      </c>
      <c r="U3794" s="8" t="n">
        <v>198.23</v>
      </c>
      <c r="V3794" s="13">
        <f>IF(U3794="","",ROUND(M3794-U3794,2))</f>
        <v/>
      </c>
      <c r="W3794" s="5" t="n"/>
      <c r="X3794" s="5" t="inlineStr">
        <is>
          <t>Labour + plant + material as published; reconciles to the published rate.</t>
        </is>
      </c>
    </row>
    <row r="3795" ht="13" customHeight="1">
      <c r="A3795" s="4" t="n">
        <v>5806</v>
      </c>
      <c r="B3795" s="5" t="inlineStr">
        <is>
          <t>IMG_0148</t>
        </is>
      </c>
      <c r="C3795" s="5" t="inlineStr">
        <is>
          <t>CLASS W: WATERPROOFING</t>
        </is>
      </c>
      <c r="D3795" s="5" t="inlineStr">
        <is>
          <t>02 TANKING</t>
        </is>
      </c>
      <c r="E3795" s="5" t="inlineStr">
        <is>
          <t>20 mm Mastic asphalt to BS 6925, Type T 1097; two coats; on concrete surface</t>
        </is>
      </c>
      <c r="F3795" s="5" t="inlineStr">
        <is>
          <t>ne 300 mm wide</t>
        </is>
      </c>
      <c r="G3795" s="6" t="inlineStr">
        <is>
          <t>m</t>
        </is>
      </c>
      <c r="H3795" s="7" t="n">
        <v>0.23</v>
      </c>
      <c r="I3795" s="8" t="n">
        <v>14.3</v>
      </c>
      <c r="J3795" s="8" t="n">
        <v>8.27</v>
      </c>
      <c r="K3795" s="8" t="n">
        <v>7.95</v>
      </c>
      <c r="L3795" s="8" t="n">
        <v>0</v>
      </c>
      <c r="M3795" s="9">
        <f>ROUND(SUM(I3795:L3795),2)</f>
        <v/>
      </c>
      <c r="N3795" s="10">
        <f>ROUND(I3795*'Irish Basis'!$C$6*'Irish Basis'!$C$5,2)</f>
        <v/>
      </c>
      <c r="O3795" s="10">
        <f>ROUND(J3795*'Irish Basis'!$C$7*'Irish Basis'!$C$5,2)</f>
        <v/>
      </c>
      <c r="P3795" s="10">
        <f>ROUND(K3795*'Irish Basis'!$C$8*'Irish Basis'!$C$5,2)</f>
        <v/>
      </c>
      <c r="Q3795" s="10">
        <f>ROUND(L3795*'Irish Basis'!$C$12*'Irish Basis'!$C$5,2)</f>
        <v/>
      </c>
      <c r="R3795" s="11">
        <f>ROUND(SUM(N3795:Q3795),2)</f>
        <v/>
      </c>
      <c r="S3795" s="5" t="inlineStr">
        <is>
          <t>Stated build-up</t>
        </is>
      </c>
      <c r="T3795" s="12" t="inlineStr">
        <is>
          <t>High</t>
        </is>
      </c>
      <c r="U3795" s="8" t="n">
        <v>30.52</v>
      </c>
      <c r="V3795" s="13">
        <f>IF(U3795="","",ROUND(M3795-U3795,2))</f>
        <v/>
      </c>
      <c r="W3795" s="5" t="n"/>
      <c r="X3795" s="5" t="inlineStr">
        <is>
          <t>Labour + plant + material as published; reconciles to the published rate.</t>
        </is>
      </c>
    </row>
    <row r="3796" ht="13" customHeight="1">
      <c r="A3796" s="4" t="n">
        <v>5807</v>
      </c>
      <c r="B3796" s="5" t="inlineStr">
        <is>
          <t>IMG_0148</t>
        </is>
      </c>
      <c r="C3796" s="5" t="inlineStr">
        <is>
          <t>CLASS W: WATERPROOFING</t>
        </is>
      </c>
      <c r="D3796" s="5" t="inlineStr">
        <is>
          <t>02 TANKING</t>
        </is>
      </c>
      <c r="E3796" s="5" t="inlineStr">
        <is>
          <t>20 mm Mastic asphalt to BS 6925, Type T 1097; two coats; on concrete surface</t>
        </is>
      </c>
      <c r="F3796" s="5" t="inlineStr">
        <is>
          <t>300 mm-1 m wide</t>
        </is>
      </c>
      <c r="G3796" s="6" t="inlineStr">
        <is>
          <t>m</t>
        </is>
      </c>
      <c r="H3796" s="7" t="n">
        <v>0.5</v>
      </c>
      <c r="I3796" s="8" t="n">
        <v>31.09</v>
      </c>
      <c r="J3796" s="8" t="n">
        <v>17.97</v>
      </c>
      <c r="K3796" s="8" t="n">
        <v>26.52</v>
      </c>
      <c r="L3796" s="8" t="n">
        <v>0</v>
      </c>
      <c r="M3796" s="9">
        <f>ROUND(SUM(I3796:L3796),2)</f>
        <v/>
      </c>
      <c r="N3796" s="10">
        <f>ROUND(I3796*'Irish Basis'!$C$6*'Irish Basis'!$C$5,2)</f>
        <v/>
      </c>
      <c r="O3796" s="10">
        <f>ROUND(J3796*'Irish Basis'!$C$7*'Irish Basis'!$C$5,2)</f>
        <v/>
      </c>
      <c r="P3796" s="10">
        <f>ROUND(K3796*'Irish Basis'!$C$8*'Irish Basis'!$C$5,2)</f>
        <v/>
      </c>
      <c r="Q3796" s="10">
        <f>ROUND(L3796*'Irish Basis'!$C$12*'Irish Basis'!$C$5,2)</f>
        <v/>
      </c>
      <c r="R3796" s="11">
        <f>ROUND(SUM(N3796:Q3796),2)</f>
        <v/>
      </c>
      <c r="S3796" s="5" t="inlineStr">
        <is>
          <t>Stated build-up</t>
        </is>
      </c>
      <c r="T3796" s="12" t="inlineStr">
        <is>
          <t>High</t>
        </is>
      </c>
      <c r="U3796" s="8" t="n">
        <v>75.58</v>
      </c>
      <c r="V3796" s="13">
        <f>IF(U3796="","",ROUND(M3796-U3796,2))</f>
        <v/>
      </c>
      <c r="W3796" s="5" t="n"/>
      <c r="X3796" s="5" t="inlineStr">
        <is>
          <t>Labour + plant + material as published; reconciles to the published rate.</t>
        </is>
      </c>
    </row>
    <row r="3797" ht="13" customHeight="1">
      <c r="A3797" s="4" t="n">
        <v>5809</v>
      </c>
      <c r="B3797" s="5" t="inlineStr">
        <is>
          <t>IMG_0148</t>
        </is>
      </c>
      <c r="C3797" s="5" t="inlineStr">
        <is>
          <t>CLASS W: WATERPROOFING</t>
        </is>
      </c>
      <c r="D3797" s="5" t="inlineStr">
        <is>
          <t>02 TANKING</t>
        </is>
      </c>
      <c r="E3797" s="5" t="inlineStr">
        <is>
          <t>13 mm Mastic asphalt to BS 6925, Type T 1097; two coats; on brickwork surface; raking joints to form key</t>
        </is>
      </c>
      <c r="F3797" s="5" t="inlineStr">
        <is>
          <t>upper surfaces inclined at an angle 30-60 deg to the horizontal</t>
        </is>
      </c>
      <c r="G3797" s="6" t="inlineStr">
        <is>
          <t>m2</t>
        </is>
      </c>
      <c r="H3797" s="7" t="n">
        <v>0.9</v>
      </c>
      <c r="I3797" s="8" t="n">
        <v>55.96</v>
      </c>
      <c r="J3797" s="8" t="n">
        <v>21.79</v>
      </c>
      <c r="K3797" s="8" t="n">
        <v>26.63</v>
      </c>
      <c r="L3797" s="8" t="n">
        <v>0</v>
      </c>
      <c r="M3797" s="9">
        <f>ROUND(SUM(I3797:L3797),2)</f>
        <v/>
      </c>
      <c r="N3797" s="10">
        <f>ROUND(I3797*'Irish Basis'!$C$6*'Irish Basis'!$C$5,2)</f>
        <v/>
      </c>
      <c r="O3797" s="10">
        <f>ROUND(J3797*'Irish Basis'!$C$7*'Irish Basis'!$C$5,2)</f>
        <v/>
      </c>
      <c r="P3797" s="10">
        <f>ROUND(K3797*'Irish Basis'!$C$8*'Irish Basis'!$C$5,2)</f>
        <v/>
      </c>
      <c r="Q3797" s="10">
        <f>ROUND(L3797*'Irish Basis'!$C$12*'Irish Basis'!$C$5,2)</f>
        <v/>
      </c>
      <c r="R3797" s="11">
        <f>ROUND(SUM(N3797:Q3797),2)</f>
        <v/>
      </c>
      <c r="S3797" s="5" t="inlineStr">
        <is>
          <t>Stated build-up</t>
        </is>
      </c>
      <c r="T3797" s="12" t="inlineStr">
        <is>
          <t>High</t>
        </is>
      </c>
      <c r="U3797" s="8" t="n">
        <v>104.38</v>
      </c>
      <c r="V3797" s="13">
        <f>IF(U3797="","",ROUND(M3797-U3797,2))</f>
        <v/>
      </c>
      <c r="W3797" s="5" t="n"/>
      <c r="X3797" s="5" t="inlineStr">
        <is>
          <t>Labour + plant + material as published; reconciles to the published rate.</t>
        </is>
      </c>
    </row>
  </sheetData>
  <autoFilter ref="A4:X3797"/>
  <pageMargins left="0.75" right="0.75" top="1" bottom="1" header="0.5" footer="0.5"/>
</worksheet>
</file>

<file path=xl/worksheets/sheet2.xml><?xml version="1.0" encoding="utf-8"?>
<worksheet xmlns="http://schemas.openxmlformats.org/spreadsheetml/2006/main">
  <sheetPr>
    <outlinePr summaryBelow="1" summaryRight="1"/>
    <pageSetUpPr/>
  </sheetPr>
  <dimension ref="B1:H34"/>
  <sheetViews>
    <sheetView showGridLines="0" workbookViewId="0">
      <selection activeCell="A1" sqref="A1"/>
    </sheetView>
  </sheetViews>
  <sheetFormatPr baseColWidth="8" defaultRowHeight="15"/>
  <cols>
    <col width="4" customWidth="1" min="1" max="1"/>
    <col width="44" customWidth="1" min="2" max="2"/>
    <col width="15" customWidth="1" min="3" max="3"/>
    <col width="26" customWidth="1" min="4" max="4"/>
    <col width="13" customWidth="1" min="5" max="5"/>
    <col width="13" customWidth="1" min="6" max="6"/>
    <col width="11" customWidth="1" min="7" max="7"/>
    <col width="88" customWidth="1" min="8" max="8"/>
  </cols>
  <sheetData>
    <row r="1">
      <c r="B1" s="1" t="inlineStr">
        <is>
          <t>Irish Basis — conversion inputs</t>
        </is>
      </c>
    </row>
    <row r="2">
      <c r="B2" s="2" t="inlineStr">
        <is>
          <t>Every rate on 'Derived Rates' is converted to euro from these cells. Change one and all 3,793 items re-cost.</t>
        </is>
      </c>
    </row>
    <row r="4">
      <c r="B4" s="19" t="inlineStr">
        <is>
          <t>Conversion inputs — edit the yellow cells</t>
        </is>
      </c>
      <c r="C4" s="20" t="n"/>
      <c r="D4" s="20" t="n"/>
      <c r="E4" s="20" t="n"/>
      <c r="F4" s="20" t="n"/>
      <c r="G4" s="20" t="n"/>
      <c r="H4" s="20" t="n"/>
    </row>
    <row r="5">
      <c r="B5" s="21" t="inlineStr">
        <is>
          <t>GBP → EUR exchange rate</t>
        </is>
      </c>
      <c r="C5" s="22" t="n">
        <v>1.1694</v>
      </c>
      <c r="H5" s="23" t="inlineStr">
        <is>
          <t>Spot rate, August 2026. The 2026 year-to-date average is 1.1562 — use that instead for a budget or a fixed-price tender.</t>
        </is>
      </c>
    </row>
    <row r="6">
      <c r="B6" s="21" t="inlineStr">
        <is>
          <t>Labour factor (Ireland ÷ UK)</t>
        </is>
      </c>
      <c r="C6" s="24">
        <f>G19</f>
        <v/>
      </c>
      <c r="H6" s="23" t="inlineStr">
        <is>
          <t>Calculated from the grade comparison below, so it follows the exchange rate. Overwrite with your own number if you have better evidence.</t>
        </is>
      </c>
    </row>
    <row r="7">
      <c r="B7" s="21" t="inlineStr">
        <is>
          <t>Plant factor (Ireland ÷ UK)</t>
        </is>
      </c>
      <c r="C7" s="22" t="n">
        <v>1</v>
      </c>
      <c r="H7" s="23" t="inlineStr">
        <is>
          <t>ASSUMPTION — set to parity. No published Ireland-vs-UK plant differential was found. Plant is internationally traded capital equipment and the two hire markets share the same major suppliers. This is the weakest input here; override it if you have hire-desk quotes.</t>
        </is>
      </c>
    </row>
    <row r="8">
      <c r="B8" s="21" t="inlineStr">
        <is>
          <t>Material factor (Ireland ÷ UK)</t>
        </is>
      </c>
      <c r="C8" s="22" t="n">
        <v>1</v>
      </c>
      <c r="H8" s="23" t="inlineStr">
        <is>
          <t>ASSUMPTION — set to parity. No published Ireland-vs-UK price-LEVEL series exists (Eurostat's construction PLIs dropped the UK after Brexit). Irish material inflation is running below the UK (3.2% vs 6.0% y/y to June 2026), so the gap is narrowing, not widening. Override with your own supplier data.</t>
        </is>
      </c>
    </row>
    <row r="9">
      <c r="B9" s="21" t="inlineStr">
        <is>
          <t>Sub-contract mix — labour share</t>
        </is>
      </c>
      <c r="C9" s="25" t="n">
        <v>0.35</v>
      </c>
      <c r="H9" s="23" t="inlineStr">
        <is>
          <t>The assumed make-up of a specialist sub-contract package. Specialist trades (piling, tunnelling, demolition) are more labour and plant intensive than the book average.</t>
        </is>
      </c>
    </row>
    <row r="10">
      <c r="B10" s="21" t="inlineStr">
        <is>
          <t>Sub-contract mix — plant share</t>
        </is>
      </c>
      <c r="C10" s="25" t="n">
        <v>0.3</v>
      </c>
    </row>
    <row r="11">
      <c r="B11" s="21" t="inlineStr">
        <is>
          <t>Sub-contract mix — material share</t>
        </is>
      </c>
      <c r="C11" s="25" t="n">
        <v>0.35</v>
      </c>
    </row>
    <row r="12">
      <c r="B12" s="26" t="inlineStr">
        <is>
          <t>Sub-contract factor (calculated)</t>
        </is>
      </c>
      <c r="C12" s="24">
        <f>ROUND(C9*C6+C10*C7+C11*C8,4)</f>
        <v/>
      </c>
      <c r="H12" s="23" t="inlineStr">
        <is>
          <t>Blended from the three factors above using that mix. Applies to the 653 items carried as all-in specialist rates.</t>
        </is>
      </c>
    </row>
    <row r="14">
      <c r="B14" s="19" t="inlineStr">
        <is>
          <t>How the labour factor was derived</t>
        </is>
      </c>
      <c r="C14" s="20" t="n"/>
      <c r="D14" s="20" t="n"/>
      <c r="E14" s="20" t="n"/>
      <c r="F14" s="20" t="n"/>
      <c r="G14" s="20" t="n"/>
      <c r="H14" s="20" t="n"/>
    </row>
    <row r="15">
      <c r="B15" s="27" t="inlineStr">
        <is>
          <t>Irish grade (SEO)</t>
        </is>
      </c>
      <c r="C15" s="27" t="inlineStr">
        <is>
          <t>Ireland €/hr</t>
        </is>
      </c>
      <c r="D15" s="27" t="inlineStr">
        <is>
          <t>UK equivalent (CIJC)</t>
        </is>
      </c>
      <c r="E15" s="27" t="inlineStr">
        <is>
          <t>UK £/hr</t>
        </is>
      </c>
      <c r="F15" s="27" t="inlineStr">
        <is>
          <t>UK €/hr</t>
        </is>
      </c>
      <c r="G15" s="27" t="inlineStr">
        <is>
          <t>Ratio</t>
        </is>
      </c>
    </row>
    <row r="16">
      <c r="B16" s="21" t="inlineStr">
        <is>
          <t>Craftsperson</t>
        </is>
      </c>
      <c r="C16" s="28" t="n">
        <v>23.74</v>
      </c>
      <c r="D16" s="29" t="inlineStr">
        <is>
          <t>Craft rate</t>
        </is>
      </c>
      <c r="E16" s="30" t="n">
        <v>16.4</v>
      </c>
      <c r="F16" s="31">
        <f>ROUND(E16*$C$5,2)</f>
        <v/>
      </c>
      <c r="G16" s="32">
        <f>ROUND(C16/F16,4)</f>
        <v/>
      </c>
    </row>
    <row r="17">
      <c r="B17" s="21" t="inlineStr">
        <is>
          <t>Category A (skilled operative)</t>
        </is>
      </c>
      <c r="C17" s="28" t="n">
        <v>23.03</v>
      </c>
      <c r="D17" s="29" t="inlineStr">
        <is>
          <t>Skill Rate 3</t>
        </is>
      </c>
      <c r="E17" s="30" t="n">
        <v>14.07</v>
      </c>
      <c r="F17" s="31">
        <f>ROUND(E17*$C$5,2)</f>
        <v/>
      </c>
      <c r="G17" s="32">
        <f>ROUND(C17/F17,4)</f>
        <v/>
      </c>
    </row>
    <row r="18">
      <c r="B18" s="21" t="inlineStr">
        <is>
          <t>Category B (general operative)</t>
        </is>
      </c>
      <c r="C18" s="28" t="n">
        <v>21.37</v>
      </c>
      <c r="D18" s="29" t="inlineStr">
        <is>
          <t>General operative</t>
        </is>
      </c>
      <c r="E18" s="30" t="n">
        <v>13.18</v>
      </c>
      <c r="F18" s="31">
        <f>ROUND(E18*$C$5,2)</f>
        <v/>
      </c>
      <c r="G18" s="32">
        <f>ROUND(C18/F18,4)</f>
        <v/>
      </c>
    </row>
    <row r="19">
      <c r="B19" s="33" t="inlineStr">
        <is>
          <t>Blended (equal weight)</t>
        </is>
      </c>
      <c r="C19" s="34" t="n"/>
      <c r="D19" s="34" t="n"/>
      <c r="E19" s="34" t="n"/>
      <c r="F19" s="34" t="n"/>
      <c r="G19" s="35">
        <f>ROUND(AVERAGE(G16:G18),4)</f>
        <v/>
      </c>
      <c r="H19" s="23" t="inlineStr">
        <is>
          <t>Irish statutory construction rates run about a third above the UK equivalents once converted to euro. These are BASIC rates: employer on-costs differ too (UK NI 15% vs Irish PRSI ~11.25%), which would trim the premium slightly. Refine with your own all-in rates if you have them.</t>
        </is>
      </c>
    </row>
    <row r="21">
      <c r="B21" s="19" t="inlineStr">
        <is>
          <t>Evidence behind each factor</t>
        </is>
      </c>
      <c r="C21" s="20" t="n"/>
      <c r="D21" s="20" t="n"/>
      <c r="E21" s="20" t="n"/>
      <c r="F21" s="20" t="n"/>
      <c r="G21" s="20" t="n"/>
      <c r="H21" s="20" t="n"/>
    </row>
    <row r="22" ht="30" customHeight="1">
      <c r="B22" s="26" t="inlineStr">
        <is>
          <t>Labour</t>
        </is>
      </c>
      <c r="C22" s="36" t="inlineStr">
        <is>
          <t>Strong — statutory rates both sides, current, like-for-like grades</t>
        </is>
      </c>
      <c r="D22" s="37" t="n"/>
      <c r="E22" s="37" t="n"/>
      <c r="F22" s="37" t="n"/>
      <c r="G22" s="38" t="n"/>
      <c r="H22" s="23" t="inlineStr">
        <is>
          <t>Ireland: Sectoral Employment Order (Construction), rates effective 1 August 2026. UK: CIJC Working Rule Agreement, rates effective 20 July 2026.</t>
        </is>
      </c>
    </row>
    <row r="23" ht="30" customHeight="1">
      <c r="B23" s="26" t="inlineStr">
        <is>
          <t>Exchange rate</t>
        </is>
      </c>
      <c r="C23" s="36" t="inlineStr">
        <is>
          <t>Strong — observable market rate</t>
        </is>
      </c>
      <c r="D23" s="37" t="n"/>
      <c r="E23" s="37" t="n"/>
      <c r="F23" s="37" t="n"/>
      <c r="G23" s="38" t="n"/>
      <c r="H23" s="23" t="inlineStr">
        <is>
          <t>GBP/EUR spot, August 2026 (~1.1694); 2026 year-to-date average 1.1562.</t>
        </is>
      </c>
    </row>
    <row r="24" ht="30" customHeight="1">
      <c r="B24" s="26" t="inlineStr">
        <is>
          <t>Plant</t>
        </is>
      </c>
      <c r="C24" s="36" t="inlineStr">
        <is>
          <t>Weak — assumption, no source found</t>
        </is>
      </c>
      <c r="D24" s="37" t="n"/>
      <c r="E24" s="37" t="n"/>
      <c r="F24" s="37" t="n"/>
      <c r="G24" s="38" t="n"/>
      <c r="H24" s="23" t="inlineStr">
        <is>
          <t>No published Ireland-vs-UK plant hire differential located. Consumer hire-price guides for the two markets are not like-for-like on machine size.</t>
        </is>
      </c>
    </row>
    <row r="25" ht="30" customHeight="1">
      <c r="B25" s="26" t="inlineStr">
        <is>
          <t>Material</t>
        </is>
      </c>
      <c r="C25" s="36" t="inlineStr">
        <is>
          <t>Weak — assumption, no source found</t>
        </is>
      </c>
      <c r="D25" s="37" t="n"/>
      <c r="E25" s="37" t="n"/>
      <c r="F25" s="37" t="n"/>
      <c r="G25" s="38" t="n"/>
      <c r="H25" s="23" t="inlineStr">
        <is>
          <t>No Ireland-vs-UK price-LEVEL series exists post-Brexit. Inflation RATES are available and diverging (CSO Ireland 3.2%, UK 6.0% y/y to June 2026) but rates of change cannot establish a level difference.</t>
        </is>
      </c>
    </row>
    <row r="26" ht="30" customHeight="1">
      <c r="B26" s="26" t="inlineStr">
        <is>
          <t>Cross-check</t>
        </is>
      </c>
      <c r="C26" s="36" t="inlineStr">
        <is>
          <t>Top-down sanity check</t>
        </is>
      </c>
      <c r="D26" s="37" t="n"/>
      <c r="E26" s="37" t="n"/>
      <c r="F26" s="37" t="n"/>
      <c r="G26" s="38" t="n"/>
      <c r="H26" s="23" t="inlineStr">
        <is>
          <t>Arcadis International Construction Costs 2025 ranks Dublin 9th globally and Bristol 8th, with London 2nd — so overall Irish construction cost sits close to a major UK regional city, below London. A labour-led premium with materials near parity is consistent with that.</t>
        </is>
      </c>
    </row>
    <row r="28">
      <c r="B28" s="19" t="inlineStr">
        <is>
          <t>Sources</t>
        </is>
      </c>
      <c r="C28" s="20" t="n"/>
      <c r="D28" s="20" t="n"/>
      <c r="E28" s="20" t="n"/>
      <c r="F28" s="20" t="n"/>
      <c r="G28" s="20" t="n"/>
      <c r="H28" s="20" t="n"/>
    </row>
    <row r="29" ht="26" customHeight="1">
      <c r="B29" s="39" t="inlineStr">
        <is>
          <t>•</t>
        </is>
      </c>
      <c r="C29" s="40" t="inlineStr">
        <is>
          <t>Sectoral Employment Order (Construction Sector), Ireland — rates from 1 Aug 2026: Craftsperson €23.74, Category A €23.03, Category B €21.37, New Entrant €17.28.</t>
        </is>
      </c>
    </row>
    <row r="30" ht="26" customHeight="1">
      <c r="B30" s="39" t="inlineStr">
        <is>
          <t>•</t>
        </is>
      </c>
      <c r="C30" s="40" t="inlineStr">
        <is>
          <t>CIJC Working Rule Agreement, UK — rates from 20 Jul 2026: Craft £16.40, Skill Rate 3 £14.07, General Operative £13.18.</t>
        </is>
      </c>
    </row>
    <row r="31" ht="26" customHeight="1">
      <c r="B31" s="39" t="inlineStr">
        <is>
          <t>•</t>
        </is>
      </c>
      <c r="C31" s="40" t="inlineStr">
        <is>
          <t>GBP/EUR exchange rate, August 2026 — spot ~1.1694, 2026 YTD average 1.1562.</t>
        </is>
      </c>
    </row>
    <row r="32" ht="26" customHeight="1">
      <c r="B32" s="39" t="inlineStr">
        <is>
          <t>•</t>
        </is>
      </c>
      <c r="C32" s="40" t="inlineStr">
        <is>
          <t>CSO Ireland Wholesale Price Index (building and construction materials) and UK building materials index — 3.2% vs 6.0% year-on-year to June 2026.</t>
        </is>
      </c>
    </row>
    <row r="33" ht="26" customHeight="1">
      <c r="B33" s="39" t="inlineStr">
        <is>
          <t>•</t>
        </is>
      </c>
      <c r="C33" s="40" t="inlineStr">
        <is>
          <t>Arcadis International Construction Costs 2025 — Dublin 9th, Bristol 8th, London 2nd of 100 locations.</t>
        </is>
      </c>
    </row>
    <row r="34" ht="26" customHeight="1">
      <c r="B34" s="39" t="inlineStr">
        <is>
          <t>•</t>
        </is>
      </c>
      <c r="C34" s="40" t="inlineStr">
        <is>
          <t>SCSI Tender Price Index, February 2026 — Irish commercial construction inflation 3% in H1 2026.</t>
        </is>
      </c>
    </row>
  </sheetData>
  <mergeCells count="11">
    <mergeCell ref="C33:H33"/>
    <mergeCell ref="C32:H32"/>
    <mergeCell ref="C24:G24"/>
    <mergeCell ref="C25:G25"/>
    <mergeCell ref="C31:H31"/>
    <mergeCell ref="C34:H34"/>
    <mergeCell ref="C23:G23"/>
    <mergeCell ref="C22:G22"/>
    <mergeCell ref="C29:H29"/>
    <mergeCell ref="C30:H30"/>
    <mergeCell ref="C26:G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35"/>
  <sheetViews>
    <sheetView showGridLines="0" workbookViewId="0">
      <pane ySplit="4" topLeftCell="A5" activePane="bottomLeft" state="frozen"/>
      <selection pane="bottomLeft" activeCell="A1" sqref="A1"/>
    </sheetView>
  </sheetViews>
  <sheetFormatPr baseColWidth="8" defaultRowHeight="15"/>
  <cols>
    <col width="7" customWidth="1" min="1" max="1"/>
    <col width="11" customWidth="1" min="2" max="2"/>
    <col width="30" customWidth="1" min="3" max="3"/>
    <col width="30" customWidth="1" min="4" max="4"/>
    <col width="42" customWidth="1" min="5" max="5"/>
    <col width="52" customWidth="1" min="6" max="6"/>
    <col width="8" customWidth="1" min="7" max="7"/>
    <col width="9" customWidth="1" min="8" max="8"/>
    <col width="12" customWidth="1" min="9" max="9"/>
    <col width="12" customWidth="1" min="10" max="10"/>
    <col width="12" customWidth="1" min="11" max="11"/>
    <col width="13" customWidth="1" min="12" max="12"/>
    <col width="14" customWidth="1" min="13" max="13"/>
    <col width="12" customWidth="1" min="14" max="14"/>
    <col width="12" customWidth="1" min="15" max="15"/>
    <col width="12" customWidth="1" min="16" max="16"/>
    <col width="13" customWidth="1" min="17" max="17"/>
    <col width="15" customWidth="1" min="18" max="18"/>
    <col width="30" customWidth="1" min="19" max="19"/>
    <col width="15" customWidth="1" min="20" max="20"/>
    <col width="15" customWidth="1" min="21" max="21"/>
    <col width="11" customWidth="1" min="22" max="22"/>
    <col width="26" customWidth="1" min="23" max="23"/>
    <col width="95" customWidth="1" min="24" max="24"/>
  </cols>
  <sheetData>
    <row r="1">
      <c r="A1" s="1" t="inlineStr">
        <is>
          <t>Review Queue — items needing a human check</t>
        </is>
      </c>
    </row>
    <row r="2">
      <c r="A2" s="2" t="inlineStr">
        <is>
          <t>131 of 3793 derived items. These are carried in 'Derived Rates' at the values shown; review before relying on them.</t>
        </is>
      </c>
    </row>
    <row r="4" ht="30" customHeight="1">
      <c r="A4" s="3" t="inlineStr">
        <is>
          <t>Ref</t>
        </is>
      </c>
      <c r="B4" s="3" t="inlineStr">
        <is>
          <t>Page</t>
        </is>
      </c>
      <c r="C4" s="3" t="inlineStr">
        <is>
          <t>Class</t>
        </is>
      </c>
      <c r="D4" s="3" t="inlineStr">
        <is>
          <t>Section</t>
        </is>
      </c>
      <c r="E4" s="3" t="inlineStr">
        <is>
          <t>Sub-heading</t>
        </is>
      </c>
      <c r="F4" s="3" t="inlineStr">
        <is>
          <t>Item</t>
        </is>
      </c>
      <c r="G4" s="3" t="inlineStr">
        <is>
          <t>Unit</t>
        </is>
      </c>
      <c r="H4" s="3" t="inlineStr">
        <is>
          <t>Gang hrs</t>
        </is>
      </c>
      <c r="I4" s="3" t="inlineStr">
        <is>
          <t>Labour £</t>
        </is>
      </c>
      <c r="J4" s="3" t="inlineStr">
        <is>
          <t>Plant £</t>
        </is>
      </c>
      <c r="K4" s="3" t="inlineStr">
        <is>
          <t>Material £</t>
        </is>
      </c>
      <c r="L4" s="3" t="inlineStr">
        <is>
          <t>Sub-contract £</t>
        </is>
      </c>
      <c r="M4" s="3" t="inlineStr">
        <is>
          <t>UK COST £</t>
        </is>
      </c>
      <c r="N4" s="3" t="inlineStr">
        <is>
          <t>Labour €</t>
        </is>
      </c>
      <c r="O4" s="3" t="inlineStr">
        <is>
          <t>Plant €</t>
        </is>
      </c>
      <c r="P4" s="3" t="inlineStr">
        <is>
          <t>Material €</t>
        </is>
      </c>
      <c r="Q4" s="3" t="inlineStr">
        <is>
          <t>Sub-contract €</t>
        </is>
      </c>
      <c r="R4" s="3" t="inlineStr">
        <is>
          <t>IRISH COST €</t>
        </is>
      </c>
      <c r="S4" s="3" t="inlineStr">
        <is>
          <t>Derivation basis</t>
        </is>
      </c>
      <c r="T4" s="3" t="inlineStr">
        <is>
          <t>Confidence</t>
        </is>
      </c>
      <c r="U4" s="3" t="inlineStr">
        <is>
          <t>Published rate £ (superseded)</t>
        </is>
      </c>
      <c r="V4" s="3" t="inlineStr">
        <is>
          <t>Variance £</t>
        </is>
      </c>
      <c r="W4" s="3" t="inlineStr">
        <is>
          <t>Flag</t>
        </is>
      </c>
      <c r="X4" s="3" t="inlineStr">
        <is>
          <t>Derivation note</t>
        </is>
      </c>
    </row>
    <row r="5">
      <c r="A5" s="4" t="n">
        <v>319</v>
      </c>
      <c r="B5" s="5" t="inlineStr">
        <is>
          <t>IMG_0069</t>
        </is>
      </c>
      <c r="C5" s="5" t="inlineStr">
        <is>
          <t>CLASS C: GEOTECHNICAL AND OTHER SPECIALIST PROCESSES</t>
        </is>
      </c>
      <c r="D5" s="5" t="inlineStr">
        <is>
          <t>05 DIAPHRAGM WALLS</t>
        </is>
      </c>
      <c r="E5" s="36" t="inlineStr"/>
      <c r="F5" s="36" t="inlineStr">
        <is>
          <t>Establishment of standard plant and equipment including bentonite storage tanks and removal on completion</t>
        </is>
      </c>
      <c r="G5" s="6" t="inlineStr">
        <is>
          <t>item</t>
        </is>
      </c>
      <c r="H5" s="7" t="n"/>
      <c r="I5" s="8" t="n">
        <v>0</v>
      </c>
      <c r="J5" s="8" t="n">
        <v>0</v>
      </c>
      <c r="K5" s="8" t="n">
        <v>0</v>
      </c>
      <c r="L5" s="8" t="n">
        <v>549099.11</v>
      </c>
      <c r="M5" s="8" t="n">
        <v>549099.11</v>
      </c>
      <c r="N5" s="41" t="n">
        <v>0</v>
      </c>
      <c r="O5" s="41" t="n">
        <v>0</v>
      </c>
      <c r="P5" s="41" t="n">
        <v>0</v>
      </c>
      <c r="Q5" s="41" t="n">
        <v>718843</v>
      </c>
      <c r="R5" s="41" t="n">
        <v>718843</v>
      </c>
      <c r="S5" s="5" t="inlineStr">
        <is>
          <t>All-in specialist rate</t>
        </is>
      </c>
      <c r="T5" s="6" t="inlineStr">
        <is>
          <t>All-in (not split)</t>
        </is>
      </c>
      <c r="U5" s="8" t="n">
        <v>549099.11</v>
      </c>
      <c r="V5" s="8" t="n">
        <v>0</v>
      </c>
      <c r="W5" s="5" t="inlineStr">
        <is>
          <t>Probable source error — verify</t>
        </is>
      </c>
      <c r="X5" s="36" t="inlineStr">
        <is>
          <t>Source publishes a specialist/sub-contract all-in rate; no labour/plant/material build-up exists to derive from. This is 28x the next highest item in the class (£19,700.58) and out of line with comparable rates in the same section — likely a mis-read digit in the source scan. Verify before use.</t>
        </is>
      </c>
    </row>
    <row r="6">
      <c r="A6" s="4" t="n">
        <v>370</v>
      </c>
      <c r="B6" s="5" t="inlineStr">
        <is>
          <t>IMG_0070</t>
        </is>
      </c>
      <c r="C6" s="5" t="inlineStr">
        <is>
          <t>CLASS C: GEOTECHNICAL AND OTHER SPECIALIST PROCESSES</t>
        </is>
      </c>
      <c r="D6" s="5" t="inlineStr">
        <is>
          <t>08 VIBRO-FLOTATION AND DYNAMIC COMPACTION</t>
        </is>
      </c>
      <c r="E6" s="36" t="inlineStr">
        <is>
          <t>Vibro flotation</t>
        </is>
      </c>
      <c r="F6" s="36" t="inlineStr">
        <is>
          <t>Depth not exceeding 5 m</t>
        </is>
      </c>
      <c r="G6" s="6" t="inlineStr">
        <is>
          <t>m</t>
        </is>
      </c>
      <c r="H6" s="7" t="n">
        <v>0.6</v>
      </c>
      <c r="I6" s="8" t="n">
        <v>19.07</v>
      </c>
      <c r="J6" s="8" t="n">
        <v>56.33</v>
      </c>
      <c r="K6" s="8" t="n">
        <v>0</v>
      </c>
      <c r="L6" s="8" t="n">
        <v>2436.35</v>
      </c>
      <c r="M6" s="8" t="n">
        <v>2511.75</v>
      </c>
      <c r="N6" s="41" t="n">
        <v>29.91</v>
      </c>
      <c r="O6" s="41" t="n">
        <v>65.87</v>
      </c>
      <c r="P6" s="41" t="n">
        <v>0</v>
      </c>
      <c r="Q6" s="41" t="n">
        <v>3189.5</v>
      </c>
      <c r="R6" s="41" t="n">
        <v>3285.29</v>
      </c>
      <c r="S6" s="5" t="inlineStr">
        <is>
          <t>Stated components + specialist balance</t>
        </is>
      </c>
      <c r="T6" s="6" t="inlineStr">
        <is>
          <t>Medium</t>
        </is>
      </c>
      <c r="U6" s="8" t="n">
        <v>2511.75</v>
      </c>
      <c r="V6" s="8" t="n">
        <v>0</v>
      </c>
      <c r="W6" s="5" t="inlineStr">
        <is>
          <t>Large unexplained balance</t>
        </is>
      </c>
      <c r="X6" s="36" t="inlineStr">
        <is>
          <t>Published plant/labour retained; the £2,436.35 balance of the specialist all-in rate is not broken down in the source.</t>
        </is>
      </c>
    </row>
    <row r="7">
      <c r="A7" s="4" t="n">
        <v>371</v>
      </c>
      <c r="B7" s="5" t="inlineStr">
        <is>
          <t>IMG_0070</t>
        </is>
      </c>
      <c r="C7" s="5" t="inlineStr">
        <is>
          <t>CLASS C: GEOTECHNICAL AND OTHER SPECIALIST PROCESSES</t>
        </is>
      </c>
      <c r="D7" s="5" t="inlineStr">
        <is>
          <t>08 VIBRO-FLOTATION AND DYNAMIC COMPACTION</t>
        </is>
      </c>
      <c r="E7" s="36" t="inlineStr">
        <is>
          <t>Vibro flotation</t>
        </is>
      </c>
      <c r="F7" s="36" t="inlineStr">
        <is>
          <t>Depth: 5 m-10 m</t>
        </is>
      </c>
      <c r="G7" s="6" t="inlineStr">
        <is>
          <t>m</t>
        </is>
      </c>
      <c r="H7" s="7" t="n">
        <v>1.5</v>
      </c>
      <c r="I7" s="8" t="n">
        <v>47.69</v>
      </c>
      <c r="J7" s="8" t="n">
        <v>29.8</v>
      </c>
      <c r="K7" s="8" t="n">
        <v>0</v>
      </c>
      <c r="L7" s="8" t="n">
        <v>3070.38</v>
      </c>
      <c r="M7" s="8" t="n">
        <v>3147.87</v>
      </c>
      <c r="N7" s="41" t="n">
        <v>74.81</v>
      </c>
      <c r="O7" s="41" t="n">
        <v>34.85</v>
      </c>
      <c r="P7" s="41" t="n">
        <v>0</v>
      </c>
      <c r="Q7" s="41" t="n">
        <v>4019.53</v>
      </c>
      <c r="R7" s="41" t="n">
        <v>4129.19</v>
      </c>
      <c r="S7" s="5" t="inlineStr">
        <is>
          <t>Stated components + specialist balance</t>
        </is>
      </c>
      <c r="T7" s="6" t="inlineStr">
        <is>
          <t>Medium</t>
        </is>
      </c>
      <c r="U7" s="8" t="n">
        <v>3147.87</v>
      </c>
      <c r="V7" s="8" t="n">
        <v>0</v>
      </c>
      <c r="W7" s="5" t="inlineStr">
        <is>
          <t>Large unexplained balance</t>
        </is>
      </c>
      <c r="X7" s="36" t="inlineStr">
        <is>
          <t>Published plant/labour retained; the £3,070.38 balance of the specialist all-in rate is not broken down in the source.</t>
        </is>
      </c>
    </row>
    <row r="8">
      <c r="A8" s="4" t="n">
        <v>372</v>
      </c>
      <c r="B8" s="5" t="inlineStr">
        <is>
          <t>IMG_0070</t>
        </is>
      </c>
      <c r="C8" s="5" t="inlineStr">
        <is>
          <t>CLASS C: GEOTECHNICAL AND OTHER SPECIALIST PROCESSES</t>
        </is>
      </c>
      <c r="D8" s="5" t="inlineStr">
        <is>
          <t>08 VIBRO-FLOTATION AND DYNAMIC COMPACTION</t>
        </is>
      </c>
      <c r="E8" s="36" t="inlineStr">
        <is>
          <t>Vibro flotation</t>
        </is>
      </c>
      <c r="F8" s="36" t="inlineStr">
        <is>
          <t>Depth: 10 m-20 m</t>
        </is>
      </c>
      <c r="G8" s="6" t="inlineStr">
        <is>
          <t>m</t>
        </is>
      </c>
      <c r="H8" s="7" t="n">
        <v>1.5</v>
      </c>
      <c r="I8" s="8" t="n">
        <v>47.69</v>
      </c>
      <c r="J8" s="8" t="n">
        <v>53.89</v>
      </c>
      <c r="K8" s="8" t="n">
        <v>0</v>
      </c>
      <c r="L8" s="8" t="n">
        <v>4283.89</v>
      </c>
      <c r="M8" s="8" t="n">
        <v>4385.47</v>
      </c>
      <c r="N8" s="41" t="n">
        <v>74.81</v>
      </c>
      <c r="O8" s="41" t="n">
        <v>63.02</v>
      </c>
      <c r="P8" s="41" t="n">
        <v>0</v>
      </c>
      <c r="Q8" s="41" t="n">
        <v>5608.18</v>
      </c>
      <c r="R8" s="41" t="n">
        <v>5746</v>
      </c>
      <c r="S8" s="5" t="inlineStr">
        <is>
          <t>Stated components + specialist balance</t>
        </is>
      </c>
      <c r="T8" s="6" t="inlineStr">
        <is>
          <t>Medium</t>
        </is>
      </c>
      <c r="U8" s="8" t="n">
        <v>4385.47</v>
      </c>
      <c r="V8" s="8" t="n">
        <v>0</v>
      </c>
      <c r="W8" s="5" t="inlineStr">
        <is>
          <t>Large unexplained balance</t>
        </is>
      </c>
      <c r="X8" s="36" t="inlineStr">
        <is>
          <t>Published plant/labour retained; the £4,283.89 balance of the specialist all-in rate is not broken down in the source.</t>
        </is>
      </c>
    </row>
    <row r="9">
      <c r="A9" s="4" t="n">
        <v>373</v>
      </c>
      <c r="B9" s="5" t="inlineStr">
        <is>
          <t>IMG_0070</t>
        </is>
      </c>
      <c r="C9" s="5" t="inlineStr">
        <is>
          <t>CLASS C: GEOTECHNICAL AND OTHER SPECIALIST PROCESSES</t>
        </is>
      </c>
      <c r="D9" s="5" t="inlineStr">
        <is>
          <t>08 VIBRO-FLOTATION AND DYNAMIC COMPACTION</t>
        </is>
      </c>
      <c r="E9" s="36" t="inlineStr">
        <is>
          <t>Vibro flotation</t>
        </is>
      </c>
      <c r="F9" s="36" t="inlineStr">
        <is>
          <t>Depth: 30 m-40 m</t>
        </is>
      </c>
      <c r="G9" s="6" t="inlineStr">
        <is>
          <t>m</t>
        </is>
      </c>
      <c r="H9" s="7" t="n">
        <v>3</v>
      </c>
      <c r="I9" s="8" t="n">
        <v>95.37</v>
      </c>
      <c r="J9" s="8" t="n">
        <v>59.59</v>
      </c>
      <c r="K9" s="8" t="n">
        <v>0</v>
      </c>
      <c r="L9" s="8" t="n">
        <v>6924.55</v>
      </c>
      <c r="M9" s="8" t="n">
        <v>7079.51</v>
      </c>
      <c r="N9" s="41" t="n">
        <v>149.6</v>
      </c>
      <c r="O9" s="41" t="n">
        <v>69.68000000000001</v>
      </c>
      <c r="P9" s="41" t="n">
        <v>0</v>
      </c>
      <c r="Q9" s="41" t="n">
        <v>9065.15</v>
      </c>
      <c r="R9" s="41" t="n">
        <v>9284.43</v>
      </c>
      <c r="S9" s="5" t="inlineStr">
        <is>
          <t>Stated components + specialist balance</t>
        </is>
      </c>
      <c r="T9" s="6" t="inlineStr">
        <is>
          <t>Medium</t>
        </is>
      </c>
      <c r="U9" s="8" t="n">
        <v>7079.51</v>
      </c>
      <c r="V9" s="8" t="n">
        <v>0</v>
      </c>
      <c r="W9" s="5" t="inlineStr">
        <is>
          <t>Large unexplained balance</t>
        </is>
      </c>
      <c r="X9" s="36" t="inlineStr">
        <is>
          <t>Published plant/labour retained; the £6,924.55 balance of the specialist all-in rate is not broken down in the source.</t>
        </is>
      </c>
    </row>
    <row r="10">
      <c r="A10" s="4" t="n">
        <v>589</v>
      </c>
      <c r="B10" s="5" t="inlineStr">
        <is>
          <t>IMG_0073</t>
        </is>
      </c>
      <c r="C10" s="5" t="inlineStr">
        <is>
          <t>CLASS E: EARTHWORKS</t>
        </is>
      </c>
      <c r="D10" s="5" t="inlineStr">
        <is>
          <t>01 EXCAVATION BY DREDGING</t>
        </is>
      </c>
      <c r="E10" s="36" t="inlineStr">
        <is>
          <t>In tidal locations, creating new channels on approaches to quays and similar locations or within dock systems</t>
        </is>
      </c>
      <c r="F10" s="36" t="inlineStr">
        <is>
          <t>approximate daily cost of backhoe dredger and two hopper barges £12,500; average production 100 m3/hr, 1,500 m3/day; locate, load, deposit and relocate</t>
        </is>
      </c>
      <c r="G10" s="6" t="inlineStr">
        <is>
          <t>m3</t>
        </is>
      </c>
      <c r="H10" s="7" t="n"/>
      <c r="I10" s="8" t="n">
        <v>4.13</v>
      </c>
      <c r="J10" s="8" t="n">
        <v>8.710000000000001</v>
      </c>
      <c r="K10" s="8" t="n">
        <v>0</v>
      </c>
      <c r="L10" s="8" t="n">
        <v>0</v>
      </c>
      <c r="M10" s="8" t="n">
        <v>12.84</v>
      </c>
      <c r="N10" s="41" t="n">
        <v>6.48</v>
      </c>
      <c r="O10" s="41" t="n">
        <v>10.19</v>
      </c>
      <c r="P10" s="41" t="n">
        <v>0</v>
      </c>
      <c r="Q10" s="41" t="n">
        <v>0</v>
      </c>
      <c r="R10" s="41" t="n">
        <v>16.66</v>
      </c>
      <c r="S10" s="5" t="inlineStr">
        <is>
          <t>Apportioned (class)</t>
        </is>
      </c>
      <c r="T10" s="6" t="inlineStr">
        <is>
          <t>Low</t>
        </is>
      </c>
      <c r="U10" s="8" t="n">
        <v>12.84</v>
      </c>
      <c r="V10" s="8" t="n">
        <v>0</v>
      </c>
      <c r="W10" s="5" t="inlineStr">
        <is>
          <t>Apportioned at class level</t>
        </is>
      </c>
      <c r="X10" s="36" t="inlineStr">
        <is>
          <t>Split from published rate using median L/P/M shares of 306 comparable build-ups at class level (32/68/0).</t>
        </is>
      </c>
    </row>
    <row r="11">
      <c r="A11" s="4" t="n">
        <v>592</v>
      </c>
      <c r="B11" s="5" t="inlineStr">
        <is>
          <t>IMG_0073</t>
        </is>
      </c>
      <c r="C11" s="5" t="inlineStr">
        <is>
          <t>CLASS E: EARTHWORKS</t>
        </is>
      </c>
      <c r="D11" s="5" t="inlineStr">
        <is>
          <t>01 EXCAVATION BY DREDGING</t>
        </is>
      </c>
      <c r="E11" s="36" t="inlineStr">
        <is>
          <t>For general bed lowering or in maintaining shipping channels in rivers, estuaries or deltas</t>
        </is>
      </c>
      <c r="F11" s="36" t="inlineStr">
        <is>
          <t>locate, load, deposit and relocate</t>
        </is>
      </c>
      <c r="G11" s="6" t="inlineStr">
        <is>
          <t>tonne</t>
        </is>
      </c>
      <c r="H11" s="7" t="n"/>
      <c r="I11" s="8" t="n">
        <v>1.67</v>
      </c>
      <c r="J11" s="8" t="n">
        <v>3.53</v>
      </c>
      <c r="K11" s="8" t="n">
        <v>0</v>
      </c>
      <c r="L11" s="8" t="n">
        <v>0</v>
      </c>
      <c r="M11" s="8" t="n">
        <v>5.2</v>
      </c>
      <c r="N11" s="41" t="n">
        <v>2.62</v>
      </c>
      <c r="O11" s="41" t="n">
        <v>4.13</v>
      </c>
      <c r="P11" s="41" t="n">
        <v>0</v>
      </c>
      <c r="Q11" s="41" t="n">
        <v>0</v>
      </c>
      <c r="R11" s="41" t="n">
        <v>6.75</v>
      </c>
      <c r="S11" s="5" t="inlineStr">
        <is>
          <t>Apportioned (class)</t>
        </is>
      </c>
      <c r="T11" s="6" t="inlineStr">
        <is>
          <t>Low</t>
        </is>
      </c>
      <c r="U11" s="8" t="n">
        <v>5.2</v>
      </c>
      <c r="V11" s="8" t="n">
        <v>0</v>
      </c>
      <c r="W11" s="5" t="inlineStr">
        <is>
          <t>Apportioned at class level</t>
        </is>
      </c>
      <c r="X11" s="36" t="inlineStr">
        <is>
          <t>Split from published rate using median L/P/M shares of 306 comparable build-ups at class level (32/68/0).</t>
        </is>
      </c>
    </row>
    <row r="12">
      <c r="A12" s="4" t="n">
        <v>595</v>
      </c>
      <c r="B12" s="5" t="inlineStr">
        <is>
          <t>IMG_0073</t>
        </is>
      </c>
      <c r="C12" s="5" t="inlineStr">
        <is>
          <t>CLASS E: EARTHWORKS</t>
        </is>
      </c>
      <c r="D12" s="5" t="inlineStr">
        <is>
          <t>01 EXCAVATION BY DREDGING</t>
        </is>
      </c>
      <c r="E12" s="36" t="inlineStr">
        <is>
          <t>Harbour bed control</t>
        </is>
      </c>
      <c r="F12" s="36" t="inlineStr">
        <is>
          <t>average pumping capacity of silt/sand type materials containing maximum 30% volume of solids would be about 8,000 m3/day based on 24 hour working. Daily cost (hire basis) in the region of £20,000 including all floating equipment and discharge pipes, maintenance and all labour and plant to service but excluding mobilization/ initial set-up and demobilization costs (minimum £10,000).</t>
        </is>
      </c>
      <c r="G12" s="6" t="inlineStr">
        <is>
          <t>m3</t>
        </is>
      </c>
      <c r="H12" s="7" t="n"/>
      <c r="I12" s="8" t="n">
        <v>1.54</v>
      </c>
      <c r="J12" s="8" t="n">
        <v>3.25</v>
      </c>
      <c r="K12" s="8" t="n">
        <v>0</v>
      </c>
      <c r="L12" s="8" t="n">
        <v>0</v>
      </c>
      <c r="M12" s="8" t="n">
        <v>4.79</v>
      </c>
      <c r="N12" s="41" t="n">
        <v>2.42</v>
      </c>
      <c r="O12" s="41" t="n">
        <v>3.8</v>
      </c>
      <c r="P12" s="41" t="n">
        <v>0</v>
      </c>
      <c r="Q12" s="41" t="n">
        <v>0</v>
      </c>
      <c r="R12" s="41" t="n">
        <v>6.22</v>
      </c>
      <c r="S12" s="5" t="inlineStr">
        <is>
          <t>Apportioned (class)</t>
        </is>
      </c>
      <c r="T12" s="6" t="inlineStr">
        <is>
          <t>Low</t>
        </is>
      </c>
      <c r="U12" s="8" t="n">
        <v>4.79</v>
      </c>
      <c r="V12" s="8" t="n">
        <v>0</v>
      </c>
      <c r="W12" s="5" t="inlineStr">
        <is>
          <t>Apportioned at class level</t>
        </is>
      </c>
      <c r="X12" s="36" t="inlineStr">
        <is>
          <t>Split from published rate using median L/P/M shares of 306 comparable build-ups at class level (32/68/0).</t>
        </is>
      </c>
    </row>
    <row r="13">
      <c r="A13" s="4" t="n">
        <v>598</v>
      </c>
      <c r="B13" s="5" t="inlineStr">
        <is>
          <t>IMG_0073</t>
        </is>
      </c>
      <c r="C13" s="5" t="inlineStr">
        <is>
          <t>CLASS E: EARTHWORKS</t>
        </is>
      </c>
      <c r="D13" s="5" t="inlineStr">
        <is>
          <t>01 EXCAVATION BY DREDGING</t>
        </is>
      </c>
      <c r="E13" s="36" t="inlineStr">
        <is>
          <t>For use in lakes, canals, rivers, industrial lagoons and from silted locations in dock systems</t>
        </is>
      </c>
      <c r="F13" s="36" t="inlineStr">
        <is>
          <t>average pumping output 30 m3 per hour and approximate average costs (excluding mobilization and demobilization costs ranging between £3,000 and £6,000 apiece)</t>
        </is>
      </c>
      <c r="G13" s="6" t="inlineStr">
        <is>
          <t>m3</t>
        </is>
      </c>
      <c r="H13" s="7" t="n"/>
      <c r="I13" s="8" t="n">
        <v>2.84</v>
      </c>
      <c r="J13" s="8" t="n">
        <v>5.97</v>
      </c>
      <c r="K13" s="8" t="n">
        <v>0</v>
      </c>
      <c r="L13" s="8" t="n">
        <v>0</v>
      </c>
      <c r="M13" s="8" t="n">
        <v>8.81</v>
      </c>
      <c r="N13" s="41" t="n">
        <v>4.45</v>
      </c>
      <c r="O13" s="41" t="n">
        <v>6.98</v>
      </c>
      <c r="P13" s="41" t="n">
        <v>0</v>
      </c>
      <c r="Q13" s="41" t="n">
        <v>0</v>
      </c>
      <c r="R13" s="41" t="n">
        <v>11.44</v>
      </c>
      <c r="S13" s="5" t="inlineStr">
        <is>
          <t>Apportioned (class)</t>
        </is>
      </c>
      <c r="T13" s="6" t="inlineStr">
        <is>
          <t>Low</t>
        </is>
      </c>
      <c r="U13" s="8" t="n">
        <v>8.81</v>
      </c>
      <c r="V13" s="8" t="n">
        <v>0</v>
      </c>
      <c r="W13" s="5" t="inlineStr">
        <is>
          <t>Apportioned at class level</t>
        </is>
      </c>
      <c r="X13" s="36" t="inlineStr">
        <is>
          <t>Split from published rate using median L/P/M shares of 306 comparable build-ups at class level (32/68/0).</t>
        </is>
      </c>
    </row>
    <row r="14">
      <c r="A14" s="4" t="n">
        <v>1713</v>
      </c>
      <c r="B14" s="5" t="inlineStr">
        <is>
          <t>IMG_0090</t>
        </is>
      </c>
      <c r="C14" s="5" t="inlineStr">
        <is>
          <t>CLASS H: PRECAST CONCRETE</t>
        </is>
      </c>
      <c r="D14" s="5" t="inlineStr">
        <is>
          <t>02 PRESTRESSED PRE-TENSIONED BEAMS</t>
        </is>
      </c>
      <c r="E14" s="36" t="inlineStr">
        <is>
          <t>Bridge beams; Inverted 'T' Beams, flange width 495 mm</t>
        </is>
      </c>
      <c r="F14" s="36" t="inlineStr">
        <is>
          <t>section T1; 8 m long, 380 mm deep; mass 1.88t</t>
        </is>
      </c>
      <c r="G14" s="6" t="inlineStr">
        <is>
          <t>nr</t>
        </is>
      </c>
      <c r="H14" s="7" t="n"/>
      <c r="I14" s="8" t="n">
        <v>845.9299999999999</v>
      </c>
      <c r="J14" s="8" t="n">
        <v>0</v>
      </c>
      <c r="K14" s="8" t="n">
        <v>974.65</v>
      </c>
      <c r="L14" s="8" t="n">
        <v>0</v>
      </c>
      <c r="M14" s="8" t="n">
        <v>1820.58</v>
      </c>
      <c r="N14" s="41" t="n">
        <v>1326.95</v>
      </c>
      <c r="O14" s="41" t="n">
        <v>0</v>
      </c>
      <c r="P14" s="41" t="n">
        <v>1139.76</v>
      </c>
      <c r="Q14" s="41" t="n">
        <v>0</v>
      </c>
      <c r="R14" s="41" t="n">
        <v>2466.71</v>
      </c>
      <c r="S14" s="5" t="inlineStr">
        <is>
          <t>Apportioned (class)</t>
        </is>
      </c>
      <c r="T14" s="6" t="inlineStr">
        <is>
          <t>Low</t>
        </is>
      </c>
      <c r="U14" s="8" t="n">
        <v>1820.58</v>
      </c>
      <c r="V14" s="8" t="n">
        <v>0</v>
      </c>
      <c r="W14" s="5" t="inlineStr">
        <is>
          <t>Apportioned at class level</t>
        </is>
      </c>
      <c r="X14" s="36" t="inlineStr">
        <is>
          <t>Split from published rate using median L/P/M shares of 19 comparable build-ups at class level (46/0/54).</t>
        </is>
      </c>
    </row>
    <row r="15">
      <c r="A15" s="4" t="n">
        <v>1714</v>
      </c>
      <c r="B15" s="5" t="inlineStr">
        <is>
          <t>IMG_0090</t>
        </is>
      </c>
      <c r="C15" s="5" t="inlineStr">
        <is>
          <t>CLASS H: PRECAST CONCRETE</t>
        </is>
      </c>
      <c r="D15" s="5" t="inlineStr">
        <is>
          <t>02 PRESTRESSED PRE-TENSIONED BEAMS</t>
        </is>
      </c>
      <c r="E15" s="36" t="inlineStr">
        <is>
          <t>Bridge beams; Inverted 'T' Beams, flange width 495 mm</t>
        </is>
      </c>
      <c r="F15" s="36" t="inlineStr">
        <is>
          <t>section T2; 9 m long, 420 mm deep; mass 2.29t</t>
        </is>
      </c>
      <c r="G15" s="6" t="inlineStr">
        <is>
          <t>nr</t>
        </is>
      </c>
      <c r="H15" s="7" t="n"/>
      <c r="I15" s="8" t="n">
        <v>1042.66</v>
      </c>
      <c r="J15" s="8" t="n">
        <v>0</v>
      </c>
      <c r="K15" s="8" t="n">
        <v>1201.3</v>
      </c>
      <c r="L15" s="8" t="n">
        <v>0</v>
      </c>
      <c r="M15" s="8" t="n">
        <v>2243.96</v>
      </c>
      <c r="N15" s="41" t="n">
        <v>1635.55</v>
      </c>
      <c r="O15" s="41" t="n">
        <v>0</v>
      </c>
      <c r="P15" s="41" t="n">
        <v>1404.8</v>
      </c>
      <c r="Q15" s="41" t="n">
        <v>0</v>
      </c>
      <c r="R15" s="41" t="n">
        <v>3040.35</v>
      </c>
      <c r="S15" s="5" t="inlineStr">
        <is>
          <t>Apportioned (class)</t>
        </is>
      </c>
      <c r="T15" s="6" t="inlineStr">
        <is>
          <t>Low</t>
        </is>
      </c>
      <c r="U15" s="8" t="n">
        <v>2243.96</v>
      </c>
      <c r="V15" s="8" t="n">
        <v>0</v>
      </c>
      <c r="W15" s="5" t="inlineStr">
        <is>
          <t>Apportioned at class level</t>
        </is>
      </c>
      <c r="X15" s="36" t="inlineStr">
        <is>
          <t>Split from published rate using median L/P/M shares of 19 comparable build-ups at class level (46/0/54).</t>
        </is>
      </c>
    </row>
    <row r="16">
      <c r="A16" s="4" t="n">
        <v>1715</v>
      </c>
      <c r="B16" s="5" t="inlineStr">
        <is>
          <t>IMG_0090</t>
        </is>
      </c>
      <c r="C16" s="5" t="inlineStr">
        <is>
          <t>CLASS H: PRECAST CONCRETE</t>
        </is>
      </c>
      <c r="D16" s="5" t="inlineStr">
        <is>
          <t>02 PRESTRESSED PRE-TENSIONED BEAMS</t>
        </is>
      </c>
      <c r="E16" s="36" t="inlineStr">
        <is>
          <t>Bridge beams; Inverted 'T' Beams, flange width 495 mm</t>
        </is>
      </c>
      <c r="F16" s="36" t="inlineStr">
        <is>
          <t>section T3; 11 m long, 535 mm deep; mass 3.02t</t>
        </is>
      </c>
      <c r="G16" s="6" t="inlineStr">
        <is>
          <t>nr</t>
        </is>
      </c>
      <c r="H16" s="7" t="n"/>
      <c r="I16" s="8" t="n">
        <v>1229.55</v>
      </c>
      <c r="J16" s="8" t="n">
        <v>0</v>
      </c>
      <c r="K16" s="8" t="n">
        <v>1416.63</v>
      </c>
      <c r="L16" s="8" t="n">
        <v>0</v>
      </c>
      <c r="M16" s="8" t="n">
        <v>2646.18</v>
      </c>
      <c r="N16" s="41" t="n">
        <v>1928.71</v>
      </c>
      <c r="O16" s="41" t="n">
        <v>0</v>
      </c>
      <c r="P16" s="41" t="n">
        <v>1656.61</v>
      </c>
      <c r="Q16" s="41" t="n">
        <v>0</v>
      </c>
      <c r="R16" s="41" t="n">
        <v>3585.32</v>
      </c>
      <c r="S16" s="5" t="inlineStr">
        <is>
          <t>Apportioned (class)</t>
        </is>
      </c>
      <c r="T16" s="6" t="inlineStr">
        <is>
          <t>Low</t>
        </is>
      </c>
      <c r="U16" s="8" t="n">
        <v>2646.18</v>
      </c>
      <c r="V16" s="8" t="n">
        <v>0</v>
      </c>
      <c r="W16" s="5" t="inlineStr">
        <is>
          <t>Apportioned at class level</t>
        </is>
      </c>
      <c r="X16" s="36" t="inlineStr">
        <is>
          <t>Split from published rate using median L/P/M shares of 19 comparable build-ups at class level (46/0/54).</t>
        </is>
      </c>
    </row>
    <row r="17">
      <c r="A17" s="4" t="n">
        <v>1716</v>
      </c>
      <c r="B17" s="5" t="inlineStr">
        <is>
          <t>IMG_0090</t>
        </is>
      </c>
      <c r="C17" s="5" t="inlineStr">
        <is>
          <t>CLASS H: PRECAST CONCRETE</t>
        </is>
      </c>
      <c r="D17" s="5" t="inlineStr">
        <is>
          <t>02 PRESTRESSED PRE-TENSIONED BEAMS</t>
        </is>
      </c>
      <c r="E17" s="36" t="inlineStr">
        <is>
          <t>Bridge beams; Inverted 'T' Beams, flange width 495 mm</t>
        </is>
      </c>
      <c r="F17" s="36" t="inlineStr">
        <is>
          <t>section T4; 12 m long, 575 mm deep; mass 3.54t</t>
        </is>
      </c>
      <c r="G17" s="6" t="inlineStr">
        <is>
          <t>nr</t>
        </is>
      </c>
      <c r="H17" s="7" t="n"/>
      <c r="I17" s="8" t="n">
        <v>1278.74</v>
      </c>
      <c r="J17" s="8" t="n">
        <v>0</v>
      </c>
      <c r="K17" s="8" t="n">
        <v>1473.31</v>
      </c>
      <c r="L17" s="8" t="n">
        <v>0</v>
      </c>
      <c r="M17" s="8" t="n">
        <v>2752.05</v>
      </c>
      <c r="N17" s="41" t="n">
        <v>2005.87</v>
      </c>
      <c r="O17" s="41" t="n">
        <v>0</v>
      </c>
      <c r="P17" s="41" t="n">
        <v>1722.89</v>
      </c>
      <c r="Q17" s="41" t="n">
        <v>0</v>
      </c>
      <c r="R17" s="41" t="n">
        <v>3728.76</v>
      </c>
      <c r="S17" s="5" t="inlineStr">
        <is>
          <t>Apportioned (class)</t>
        </is>
      </c>
      <c r="T17" s="6" t="inlineStr">
        <is>
          <t>Low</t>
        </is>
      </c>
      <c r="U17" s="8" t="n">
        <v>2752.05</v>
      </c>
      <c r="V17" s="8" t="n">
        <v>0</v>
      </c>
      <c r="W17" s="5" t="inlineStr">
        <is>
          <t>Apportioned at class level</t>
        </is>
      </c>
      <c r="X17" s="36" t="inlineStr">
        <is>
          <t>Split from published rate using median L/P/M shares of 19 comparable build-ups at class level (46/0/54).</t>
        </is>
      </c>
    </row>
    <row r="18">
      <c r="A18" s="4" t="n">
        <v>1717</v>
      </c>
      <c r="B18" s="5" t="inlineStr">
        <is>
          <t>IMG_0090</t>
        </is>
      </c>
      <c r="C18" s="5" t="inlineStr">
        <is>
          <t>CLASS H: PRECAST CONCRETE</t>
        </is>
      </c>
      <c r="D18" s="5" t="inlineStr">
        <is>
          <t>02 PRESTRESSED PRE-TENSIONED BEAMS</t>
        </is>
      </c>
      <c r="E18" s="36" t="inlineStr">
        <is>
          <t>Bridge beams; Inverted 'T' Beams, flange width 495 mm</t>
        </is>
      </c>
      <c r="F18" s="36" t="inlineStr">
        <is>
          <t>section T5; 13 m long, 615 mm deep; mass 4.08t</t>
        </is>
      </c>
      <c r="G18" s="6" t="inlineStr">
        <is>
          <t>nr</t>
        </is>
      </c>
      <c r="H18" s="7" t="n"/>
      <c r="I18" s="8" t="n">
        <v>1426.28</v>
      </c>
      <c r="J18" s="8" t="n">
        <v>0</v>
      </c>
      <c r="K18" s="8" t="n">
        <v>1643.3</v>
      </c>
      <c r="L18" s="8" t="n">
        <v>0</v>
      </c>
      <c r="M18" s="8" t="n">
        <v>3069.58</v>
      </c>
      <c r="N18" s="41" t="n">
        <v>2237.31</v>
      </c>
      <c r="O18" s="41" t="n">
        <v>0</v>
      </c>
      <c r="P18" s="41" t="n">
        <v>1921.68</v>
      </c>
      <c r="Q18" s="41" t="n">
        <v>0</v>
      </c>
      <c r="R18" s="41" t="n">
        <v>4158.99</v>
      </c>
      <c r="S18" s="5" t="inlineStr">
        <is>
          <t>Apportioned (class)</t>
        </is>
      </c>
      <c r="T18" s="6" t="inlineStr">
        <is>
          <t>Low</t>
        </is>
      </c>
      <c r="U18" s="8" t="n">
        <v>3069.58</v>
      </c>
      <c r="V18" s="8" t="n">
        <v>0</v>
      </c>
      <c r="W18" s="5" t="inlineStr">
        <is>
          <t>Apportioned at class level</t>
        </is>
      </c>
      <c r="X18" s="36" t="inlineStr">
        <is>
          <t>Split from published rate using median L/P/M shares of 19 comparable build-ups at class level (46/0/54).</t>
        </is>
      </c>
    </row>
    <row r="19">
      <c r="A19" s="4" t="n">
        <v>1718</v>
      </c>
      <c r="B19" s="5" t="inlineStr">
        <is>
          <t>IMG_0090</t>
        </is>
      </c>
      <c r="C19" s="5" t="inlineStr">
        <is>
          <t>CLASS H: PRECAST CONCRETE</t>
        </is>
      </c>
      <c r="D19" s="5" t="inlineStr">
        <is>
          <t>02 PRESTRESSED PRE-TENSIONED BEAMS</t>
        </is>
      </c>
      <c r="E19" s="36" t="inlineStr">
        <is>
          <t>Bridge beams; Inverted 'T' Beams, flange width 495 mm</t>
        </is>
      </c>
      <c r="F19" s="36" t="inlineStr">
        <is>
          <t>section T6; 13 m long, 655 mm deep; mass 4.33t</t>
        </is>
      </c>
      <c r="G19" s="6" t="inlineStr">
        <is>
          <t>nr</t>
        </is>
      </c>
      <c r="H19" s="7" t="n"/>
      <c r="I19" s="8" t="n">
        <v>1426.29</v>
      </c>
      <c r="J19" s="8" t="n">
        <v>0</v>
      </c>
      <c r="K19" s="8" t="n">
        <v>1643.31</v>
      </c>
      <c r="L19" s="8" t="n">
        <v>0</v>
      </c>
      <c r="M19" s="8" t="n">
        <v>3069.6</v>
      </c>
      <c r="N19" s="41" t="n">
        <v>2237.33</v>
      </c>
      <c r="O19" s="41" t="n">
        <v>0</v>
      </c>
      <c r="P19" s="41" t="n">
        <v>1921.69</v>
      </c>
      <c r="Q19" s="41" t="n">
        <v>0</v>
      </c>
      <c r="R19" s="41" t="n">
        <v>4159.01</v>
      </c>
      <c r="S19" s="5" t="inlineStr">
        <is>
          <t>Apportioned (class)</t>
        </is>
      </c>
      <c r="T19" s="6" t="inlineStr">
        <is>
          <t>Low</t>
        </is>
      </c>
      <c r="U19" s="8" t="n">
        <v>3069.6</v>
      </c>
      <c r="V19" s="8" t="n">
        <v>0</v>
      </c>
      <c r="W19" s="5" t="inlineStr">
        <is>
          <t>Apportioned at class level</t>
        </is>
      </c>
      <c r="X19" s="36" t="inlineStr">
        <is>
          <t>Split from published rate using median L/P/M shares of 19 comparable build-ups at class level (46/0/54).</t>
        </is>
      </c>
    </row>
    <row r="20">
      <c r="A20" s="4" t="n">
        <v>1719</v>
      </c>
      <c r="B20" s="5" t="inlineStr">
        <is>
          <t>IMG_0090</t>
        </is>
      </c>
      <c r="C20" s="5" t="inlineStr">
        <is>
          <t>CLASS H: PRECAST CONCRETE</t>
        </is>
      </c>
      <c r="D20" s="5" t="inlineStr">
        <is>
          <t>02 PRESTRESSED PRE-TENSIONED BEAMS</t>
        </is>
      </c>
      <c r="E20" s="36" t="inlineStr">
        <is>
          <t>Bridge beams; Inverted 'T' Beams, flange width 495 mm</t>
        </is>
      </c>
      <c r="F20" s="36" t="inlineStr">
        <is>
          <t>section T7; 14 m long, 695 mm deep; mass 4.95t</t>
        </is>
      </c>
      <c r="G20" s="6" t="inlineStr">
        <is>
          <t>nr</t>
        </is>
      </c>
      <c r="H20" s="7" t="n"/>
      <c r="I20" s="8" t="n">
        <v>1524.65</v>
      </c>
      <c r="J20" s="8" t="n">
        <v>0</v>
      </c>
      <c r="K20" s="8" t="n">
        <v>1756.64</v>
      </c>
      <c r="L20" s="8" t="n">
        <v>0</v>
      </c>
      <c r="M20" s="8" t="n">
        <v>3281.29</v>
      </c>
      <c r="N20" s="41" t="n">
        <v>2391.62</v>
      </c>
      <c r="O20" s="41" t="n">
        <v>0</v>
      </c>
      <c r="P20" s="41" t="n">
        <v>2054.21</v>
      </c>
      <c r="Q20" s="41" t="n">
        <v>0</v>
      </c>
      <c r="R20" s="41" t="n">
        <v>4445.83</v>
      </c>
      <c r="S20" s="5" t="inlineStr">
        <is>
          <t>Apportioned (class)</t>
        </is>
      </c>
      <c r="T20" s="6" t="inlineStr">
        <is>
          <t>Low</t>
        </is>
      </c>
      <c r="U20" s="8" t="n">
        <v>3281.29</v>
      </c>
      <c r="V20" s="8" t="n">
        <v>0</v>
      </c>
      <c r="W20" s="5" t="inlineStr">
        <is>
          <t>Apportioned at class level</t>
        </is>
      </c>
      <c r="X20" s="36" t="inlineStr">
        <is>
          <t>Split from published rate using median L/P/M shares of 19 comparable build-ups at class level (46/0/54).</t>
        </is>
      </c>
    </row>
    <row r="21">
      <c r="A21" s="4" t="n">
        <v>1720</v>
      </c>
      <c r="B21" s="5" t="inlineStr">
        <is>
          <t>IMG_0090</t>
        </is>
      </c>
      <c r="C21" s="5" t="inlineStr">
        <is>
          <t>CLASS H: PRECAST CONCRETE</t>
        </is>
      </c>
      <c r="D21" s="5" t="inlineStr">
        <is>
          <t>02 PRESTRESSED PRE-TENSIONED BEAMS</t>
        </is>
      </c>
      <c r="E21" s="36" t="inlineStr">
        <is>
          <t>Bridge beams; Inverted 'T' Beams, flange width 495 mm</t>
        </is>
      </c>
      <c r="F21" s="36" t="inlineStr">
        <is>
          <t>section T8; 15 m long, 735 mm deep; mass 5.60t</t>
        </is>
      </c>
      <c r="G21" s="6" t="inlineStr">
        <is>
          <t>nr</t>
        </is>
      </c>
      <c r="H21" s="7" t="n"/>
      <c r="I21" s="8" t="n">
        <v>1721.38</v>
      </c>
      <c r="J21" s="8" t="n">
        <v>0</v>
      </c>
      <c r="K21" s="8" t="n">
        <v>1983.29</v>
      </c>
      <c r="L21" s="8" t="n">
        <v>0</v>
      </c>
      <c r="M21" s="8" t="n">
        <v>3704.67</v>
      </c>
      <c r="N21" s="41" t="n">
        <v>2700.21</v>
      </c>
      <c r="O21" s="41" t="n">
        <v>0</v>
      </c>
      <c r="P21" s="41" t="n">
        <v>2319.26</v>
      </c>
      <c r="Q21" s="41" t="n">
        <v>0</v>
      </c>
      <c r="R21" s="41" t="n">
        <v>5019.47</v>
      </c>
      <c r="S21" s="5" t="inlineStr">
        <is>
          <t>Apportioned (class)</t>
        </is>
      </c>
      <c r="T21" s="6" t="inlineStr">
        <is>
          <t>Low</t>
        </is>
      </c>
      <c r="U21" s="8" t="n">
        <v>3704.67</v>
      </c>
      <c r="V21" s="8" t="n">
        <v>0</v>
      </c>
      <c r="W21" s="5" t="inlineStr">
        <is>
          <t>Apportioned at class level</t>
        </is>
      </c>
      <c r="X21" s="36" t="inlineStr">
        <is>
          <t>Split from published rate using median L/P/M shares of 19 comparable build-ups at class level (46/0/54).</t>
        </is>
      </c>
    </row>
    <row r="22">
      <c r="A22" s="4" t="n">
        <v>1721</v>
      </c>
      <c r="B22" s="5" t="inlineStr">
        <is>
          <t>IMG_0090</t>
        </is>
      </c>
      <c r="C22" s="5" t="inlineStr">
        <is>
          <t>CLASS H: PRECAST CONCRETE</t>
        </is>
      </c>
      <c r="D22" s="5" t="inlineStr">
        <is>
          <t>02 PRESTRESSED PRE-TENSIONED BEAMS</t>
        </is>
      </c>
      <c r="E22" s="36" t="inlineStr">
        <is>
          <t>Bridge beams; Inverted 'T' Beams, flange width 495 mm</t>
        </is>
      </c>
      <c r="F22" s="36" t="inlineStr">
        <is>
          <t>section T9; 16 m long, 775 mm deep; mass 6.28t</t>
        </is>
      </c>
      <c r="G22" s="6" t="inlineStr">
        <is>
          <t>nr</t>
        </is>
      </c>
      <c r="H22" s="7" t="n"/>
      <c r="I22" s="8" t="n">
        <v>1770.55</v>
      </c>
      <c r="J22" s="8" t="n">
        <v>0</v>
      </c>
      <c r="K22" s="8" t="n">
        <v>2039.95</v>
      </c>
      <c r="L22" s="8" t="n">
        <v>0</v>
      </c>
      <c r="M22" s="8" t="n">
        <v>3810.5</v>
      </c>
      <c r="N22" s="41" t="n">
        <v>2777.34</v>
      </c>
      <c r="O22" s="41" t="n">
        <v>0</v>
      </c>
      <c r="P22" s="41" t="n">
        <v>2385.52</v>
      </c>
      <c r="Q22" s="41" t="n">
        <v>0</v>
      </c>
      <c r="R22" s="41" t="n">
        <v>5162.86</v>
      </c>
      <c r="S22" s="5" t="inlineStr">
        <is>
          <t>Apportioned (class)</t>
        </is>
      </c>
      <c r="T22" s="6" t="inlineStr">
        <is>
          <t>Low</t>
        </is>
      </c>
      <c r="U22" s="8" t="n">
        <v>3810.5</v>
      </c>
      <c r="V22" s="8" t="n">
        <v>0</v>
      </c>
      <c r="W22" s="5" t="inlineStr">
        <is>
          <t>Apportioned at class level</t>
        </is>
      </c>
      <c r="X22" s="36" t="inlineStr">
        <is>
          <t>Split from published rate using median L/P/M shares of 19 comparable build-ups at class level (46/0/54).</t>
        </is>
      </c>
    </row>
    <row r="23">
      <c r="A23" s="4" t="n">
        <v>1722</v>
      </c>
      <c r="B23" s="5" t="inlineStr">
        <is>
          <t>IMG_0090</t>
        </is>
      </c>
      <c r="C23" s="5" t="inlineStr">
        <is>
          <t>CLASS H: PRECAST CONCRETE</t>
        </is>
      </c>
      <c r="D23" s="5" t="inlineStr">
        <is>
          <t>02 PRESTRESSED PRE-TENSIONED BEAMS</t>
        </is>
      </c>
      <c r="E23" s="36" t="inlineStr">
        <is>
          <t>Bridge beams; Inverted 'T' Beams, flange width 495 mm</t>
        </is>
      </c>
      <c r="F23" s="36" t="inlineStr">
        <is>
          <t>section T10; 18 m long, 815 mm deep; mass 7.43t</t>
        </is>
      </c>
      <c r="G23" s="6" t="inlineStr">
        <is>
          <t>nr</t>
        </is>
      </c>
      <c r="H23" s="7" t="n"/>
      <c r="I23" s="8" t="n">
        <v>2085.31</v>
      </c>
      <c r="J23" s="8" t="n">
        <v>0</v>
      </c>
      <c r="K23" s="8" t="n">
        <v>2402.59</v>
      </c>
      <c r="L23" s="8" t="n">
        <v>0</v>
      </c>
      <c r="M23" s="8" t="n">
        <v>4487.9</v>
      </c>
      <c r="N23" s="41" t="n">
        <v>3271.09</v>
      </c>
      <c r="O23" s="41" t="n">
        <v>0</v>
      </c>
      <c r="P23" s="41" t="n">
        <v>2809.59</v>
      </c>
      <c r="Q23" s="41" t="n">
        <v>0</v>
      </c>
      <c r="R23" s="41" t="n">
        <v>6080.68</v>
      </c>
      <c r="S23" s="5" t="inlineStr">
        <is>
          <t>Apportioned (class)</t>
        </is>
      </c>
      <c r="T23" s="6" t="inlineStr">
        <is>
          <t>Low</t>
        </is>
      </c>
      <c r="U23" s="8" t="n">
        <v>4487.9</v>
      </c>
      <c r="V23" s="8" t="n">
        <v>0</v>
      </c>
      <c r="W23" s="5" t="inlineStr">
        <is>
          <t>Apportioned at class level</t>
        </is>
      </c>
      <c r="X23" s="36" t="inlineStr">
        <is>
          <t>Split from published rate using median L/P/M shares of 19 comparable build-ups at class level (46/0/54).</t>
        </is>
      </c>
    </row>
    <row r="24">
      <c r="A24" s="4" t="n">
        <v>1724</v>
      </c>
      <c r="B24" s="5" t="inlineStr">
        <is>
          <t>IMG_0090</t>
        </is>
      </c>
      <c r="C24" s="5" t="inlineStr">
        <is>
          <t>CLASS H: PRECAST CONCRETE</t>
        </is>
      </c>
      <c r="D24" s="5" t="inlineStr">
        <is>
          <t>02 PRESTRESSED PRE-TENSIONED BEAMS</t>
        </is>
      </c>
      <c r="E24" s="36" t="inlineStr">
        <is>
          <t>'M' beams, flange width 970 mm</t>
        </is>
      </c>
      <c r="F24" s="36" t="inlineStr">
        <is>
          <t>section M2; 17 m long, 720 mm deep; mass 12.95t</t>
        </is>
      </c>
      <c r="G24" s="6" t="inlineStr">
        <is>
          <t>nr</t>
        </is>
      </c>
      <c r="H24" s="7" t="n"/>
      <c r="I24" s="8" t="n">
        <v>4721.48</v>
      </c>
      <c r="J24" s="8" t="n">
        <v>0</v>
      </c>
      <c r="K24" s="8" t="n">
        <v>5439.87</v>
      </c>
      <c r="L24" s="8" t="n">
        <v>0</v>
      </c>
      <c r="M24" s="8" t="n">
        <v>10161.35</v>
      </c>
      <c r="N24" s="41" t="n">
        <v>7406.27</v>
      </c>
      <c r="O24" s="41" t="n">
        <v>0</v>
      </c>
      <c r="P24" s="41" t="n">
        <v>6361.38</v>
      </c>
      <c r="Q24" s="41" t="n">
        <v>0</v>
      </c>
      <c r="R24" s="41" t="n">
        <v>13767.65</v>
      </c>
      <c r="S24" s="5" t="inlineStr">
        <is>
          <t>Apportioned (class)</t>
        </is>
      </c>
      <c r="T24" s="6" t="inlineStr">
        <is>
          <t>Low</t>
        </is>
      </c>
      <c r="U24" s="8" t="n">
        <v>10161.35</v>
      </c>
      <c r="V24" s="8" t="n">
        <v>0</v>
      </c>
      <c r="W24" s="5" t="inlineStr">
        <is>
          <t>Apportioned at class level</t>
        </is>
      </c>
      <c r="X24" s="36" t="inlineStr">
        <is>
          <t>Split from published rate using median L/P/M shares of 19 comparable build-ups at class level (46/0/54).</t>
        </is>
      </c>
    </row>
    <row r="25">
      <c r="A25" s="4" t="n">
        <v>1725</v>
      </c>
      <c r="B25" s="5" t="inlineStr">
        <is>
          <t>IMG_0090</t>
        </is>
      </c>
      <c r="C25" s="5" t="inlineStr">
        <is>
          <t>CLASS H: PRECAST CONCRETE</t>
        </is>
      </c>
      <c r="D25" s="5" t="inlineStr">
        <is>
          <t>02 PRESTRESSED PRE-TENSIONED BEAMS</t>
        </is>
      </c>
      <c r="E25" s="36" t="inlineStr">
        <is>
          <t>'M' beams, flange width 970 mm</t>
        </is>
      </c>
      <c r="F25" s="36" t="inlineStr">
        <is>
          <t>section M3; 18 m long, 800 mm deep; mass 15.11t</t>
        </is>
      </c>
      <c r="G25" s="6" t="inlineStr">
        <is>
          <t>nr</t>
        </is>
      </c>
      <c r="H25" s="7" t="n"/>
      <c r="I25" s="8" t="n">
        <v>4377.2</v>
      </c>
      <c r="J25" s="8" t="n">
        <v>0</v>
      </c>
      <c r="K25" s="8" t="n">
        <v>5043.21</v>
      </c>
      <c r="L25" s="8" t="n">
        <v>0</v>
      </c>
      <c r="M25" s="8" t="n">
        <v>9420.41</v>
      </c>
      <c r="N25" s="41" t="n">
        <v>6866.22</v>
      </c>
      <c r="O25" s="41" t="n">
        <v>0</v>
      </c>
      <c r="P25" s="41" t="n">
        <v>5897.53</v>
      </c>
      <c r="Q25" s="41" t="n">
        <v>0</v>
      </c>
      <c r="R25" s="41" t="n">
        <v>12763.75</v>
      </c>
      <c r="S25" s="5" t="inlineStr">
        <is>
          <t>Apportioned (class)</t>
        </is>
      </c>
      <c r="T25" s="6" t="inlineStr">
        <is>
          <t>Low</t>
        </is>
      </c>
      <c r="U25" s="8" t="n">
        <v>9420.41</v>
      </c>
      <c r="V25" s="8" t="n">
        <v>0</v>
      </c>
      <c r="W25" s="5" t="inlineStr">
        <is>
          <t>Apportioned at class level</t>
        </is>
      </c>
      <c r="X25" s="36" t="inlineStr">
        <is>
          <t>Split from published rate using median L/P/M shares of 19 comparable build-ups at class level (46/0/54).</t>
        </is>
      </c>
    </row>
    <row r="26">
      <c r="A26" s="4" t="n">
        <v>1726</v>
      </c>
      <c r="B26" s="5" t="inlineStr">
        <is>
          <t>IMG_0090</t>
        </is>
      </c>
      <c r="C26" s="5" t="inlineStr">
        <is>
          <t>CLASS H: PRECAST CONCRETE</t>
        </is>
      </c>
      <c r="D26" s="5" t="inlineStr">
        <is>
          <t>02 PRESTRESSED PRE-TENSIONED BEAMS</t>
        </is>
      </c>
      <c r="E26" s="36" t="inlineStr">
        <is>
          <t>'M' beams, flange width 970 mm</t>
        </is>
      </c>
      <c r="F26" s="36" t="inlineStr">
        <is>
          <t>section M6; 22 m long, 1040 mm deep; mass 20.48t</t>
        </is>
      </c>
      <c r="G26" s="6" t="inlineStr">
        <is>
          <t>nr</t>
        </is>
      </c>
      <c r="H26" s="7" t="n"/>
      <c r="I26" s="8" t="n">
        <v>7101.86</v>
      </c>
      <c r="J26" s="8" t="n">
        <v>0</v>
      </c>
      <c r="K26" s="8" t="n">
        <v>8182.43</v>
      </c>
      <c r="L26" s="8" t="n">
        <v>0</v>
      </c>
      <c r="M26" s="8" t="n">
        <v>15284.29</v>
      </c>
      <c r="N26" s="41" t="n">
        <v>11140.21</v>
      </c>
      <c r="O26" s="41" t="n">
        <v>0</v>
      </c>
      <c r="P26" s="41" t="n">
        <v>9568.530000000001</v>
      </c>
      <c r="Q26" s="41" t="n">
        <v>0</v>
      </c>
      <c r="R26" s="41" t="n">
        <v>20708.75</v>
      </c>
      <c r="S26" s="5" t="inlineStr">
        <is>
          <t>Apportioned (class)</t>
        </is>
      </c>
      <c r="T26" s="6" t="inlineStr">
        <is>
          <t>Low</t>
        </is>
      </c>
      <c r="U26" s="8" t="n">
        <v>15284.29</v>
      </c>
      <c r="V26" s="8" t="n">
        <v>0</v>
      </c>
      <c r="W26" s="5" t="inlineStr">
        <is>
          <t>Apportioned at class level</t>
        </is>
      </c>
      <c r="X26" s="36" t="inlineStr">
        <is>
          <t>Split from published rate using median L/P/M shares of 19 comparable build-ups at class level (46/0/54).</t>
        </is>
      </c>
    </row>
    <row r="27">
      <c r="A27" s="4" t="n">
        <v>1727</v>
      </c>
      <c r="B27" s="5" t="inlineStr">
        <is>
          <t>IMG_0090</t>
        </is>
      </c>
      <c r="C27" s="5" t="inlineStr">
        <is>
          <t>CLASS H: PRECAST CONCRETE</t>
        </is>
      </c>
      <c r="D27" s="5" t="inlineStr">
        <is>
          <t>02 PRESTRESSED PRE-TENSIONED BEAMS</t>
        </is>
      </c>
      <c r="E27" s="36" t="inlineStr">
        <is>
          <t>'M' beams, flange width 970 mm</t>
        </is>
      </c>
      <c r="F27" s="36" t="inlineStr">
        <is>
          <t>section M8; 25 m long, 1200 mm deep; mass 23.68t</t>
        </is>
      </c>
      <c r="G27" s="6" t="inlineStr">
        <is>
          <t>nr</t>
        </is>
      </c>
      <c r="H27" s="7" t="n"/>
      <c r="I27" s="8" t="n">
        <v>9147.73</v>
      </c>
      <c r="J27" s="8" t="n">
        <v>0</v>
      </c>
      <c r="K27" s="8" t="n">
        <v>10539.59</v>
      </c>
      <c r="L27" s="8" t="n">
        <v>0</v>
      </c>
      <c r="M27" s="8" t="n">
        <v>19687.32</v>
      </c>
      <c r="N27" s="41" t="n">
        <v>14349.43</v>
      </c>
      <c r="O27" s="41" t="n">
        <v>0</v>
      </c>
      <c r="P27" s="41" t="n">
        <v>12325</v>
      </c>
      <c r="Q27" s="41" t="n">
        <v>0</v>
      </c>
      <c r="R27" s="41" t="n">
        <v>26674.43</v>
      </c>
      <c r="S27" s="5" t="inlineStr">
        <is>
          <t>Apportioned (class)</t>
        </is>
      </c>
      <c r="T27" s="6" t="inlineStr">
        <is>
          <t>Low</t>
        </is>
      </c>
      <c r="U27" s="8" t="n">
        <v>19687.32</v>
      </c>
      <c r="V27" s="8" t="n">
        <v>0</v>
      </c>
      <c r="W27" s="5" t="inlineStr">
        <is>
          <t>Apportioned at class level</t>
        </is>
      </c>
      <c r="X27" s="36" t="inlineStr">
        <is>
          <t>Split from published rate using median L/P/M shares of 19 comparable build-ups at class level (46/0/54).</t>
        </is>
      </c>
    </row>
    <row r="28">
      <c r="A28" s="4" t="n">
        <v>1729</v>
      </c>
      <c r="B28" s="5" t="inlineStr">
        <is>
          <t>IMG_0090</t>
        </is>
      </c>
      <c r="C28" s="5" t="inlineStr">
        <is>
          <t>CLASS H: PRECAST CONCRETE</t>
        </is>
      </c>
      <c r="D28" s="5" t="inlineStr">
        <is>
          <t>02 PRESTRESSED PRE-TENSIONED BEAMS</t>
        </is>
      </c>
      <c r="E28" s="36" t="inlineStr">
        <is>
          <t>'U' beams, base width 970 mm</t>
        </is>
      </c>
      <c r="F28" s="36" t="inlineStr">
        <is>
          <t>section U3; 16 m long, 900 mm deep; mass 19.24t</t>
        </is>
      </c>
      <c r="G28" s="6" t="inlineStr">
        <is>
          <t>nr</t>
        </is>
      </c>
      <c r="H28" s="7" t="n"/>
      <c r="I28" s="8" t="n">
        <v>7475.66</v>
      </c>
      <c r="J28" s="8" t="n">
        <v>0</v>
      </c>
      <c r="K28" s="8" t="n">
        <v>8613.110000000001</v>
      </c>
      <c r="L28" s="8" t="n">
        <v>0</v>
      </c>
      <c r="M28" s="8" t="n">
        <v>16088.77</v>
      </c>
      <c r="N28" s="41" t="n">
        <v>11726.57</v>
      </c>
      <c r="O28" s="41" t="n">
        <v>0</v>
      </c>
      <c r="P28" s="41" t="n">
        <v>10072.17</v>
      </c>
      <c r="Q28" s="41" t="n">
        <v>0</v>
      </c>
      <c r="R28" s="41" t="n">
        <v>21798.74</v>
      </c>
      <c r="S28" s="5" t="inlineStr">
        <is>
          <t>Apportioned (class)</t>
        </is>
      </c>
      <c r="T28" s="6" t="inlineStr">
        <is>
          <t>Low</t>
        </is>
      </c>
      <c r="U28" s="8" t="n">
        <v>16088.77</v>
      </c>
      <c r="V28" s="8" t="n">
        <v>0</v>
      </c>
      <c r="W28" s="5" t="inlineStr">
        <is>
          <t>Apportioned at class level</t>
        </is>
      </c>
      <c r="X28" s="36" t="inlineStr">
        <is>
          <t>Split from published rate using median L/P/M shares of 19 comparable build-ups at class level (46/0/54).</t>
        </is>
      </c>
    </row>
    <row r="29">
      <c r="A29" s="4" t="n">
        <v>1730</v>
      </c>
      <c r="B29" s="5" t="inlineStr">
        <is>
          <t>IMG_0090</t>
        </is>
      </c>
      <c r="C29" s="5" t="inlineStr">
        <is>
          <t>CLASS H: PRECAST CONCRETE</t>
        </is>
      </c>
      <c r="D29" s="5" t="inlineStr">
        <is>
          <t>02 PRESTRESSED PRE-TENSIONED BEAMS</t>
        </is>
      </c>
      <c r="E29" s="36" t="inlineStr">
        <is>
          <t>'U' beams, base width 970 mm</t>
        </is>
      </c>
      <c r="F29" s="36" t="inlineStr">
        <is>
          <t>section U5; 20 m long, 1000 mm deep; mass 25.64t</t>
        </is>
      </c>
      <c r="G29" s="6" t="inlineStr">
        <is>
          <t>nr</t>
        </is>
      </c>
      <c r="H29" s="7" t="n"/>
      <c r="I29" s="8" t="n">
        <v>9393.76</v>
      </c>
      <c r="J29" s="8" t="n">
        <v>0</v>
      </c>
      <c r="K29" s="8" t="n">
        <v>10823.05</v>
      </c>
      <c r="L29" s="8" t="n">
        <v>0</v>
      </c>
      <c r="M29" s="8" t="n">
        <v>20216.81</v>
      </c>
      <c r="N29" s="41" t="n">
        <v>14735.36</v>
      </c>
      <c r="O29" s="41" t="n">
        <v>0</v>
      </c>
      <c r="P29" s="41" t="n">
        <v>12656.47</v>
      </c>
      <c r="Q29" s="41" t="n">
        <v>0</v>
      </c>
      <c r="R29" s="41" t="n">
        <v>27391.84</v>
      </c>
      <c r="S29" s="5" t="inlineStr">
        <is>
          <t>Apportioned (class)</t>
        </is>
      </c>
      <c r="T29" s="6" t="inlineStr">
        <is>
          <t>Low</t>
        </is>
      </c>
      <c r="U29" s="8" t="n">
        <v>20216.81</v>
      </c>
      <c r="V29" s="8" t="n">
        <v>0</v>
      </c>
      <c r="W29" s="5" t="inlineStr">
        <is>
          <t>Apportioned at class level</t>
        </is>
      </c>
      <c r="X29" s="36" t="inlineStr">
        <is>
          <t>Split from published rate using median L/P/M shares of 19 comparable build-ups at class level (46/0/54).</t>
        </is>
      </c>
    </row>
    <row r="30">
      <c r="A30" s="4" t="n">
        <v>1731</v>
      </c>
      <c r="B30" s="5" t="inlineStr">
        <is>
          <t>IMG_0090</t>
        </is>
      </c>
      <c r="C30" s="5" t="inlineStr">
        <is>
          <t>CLASS H: PRECAST CONCRETE</t>
        </is>
      </c>
      <c r="D30" s="5" t="inlineStr">
        <is>
          <t>02 PRESTRESSED PRE-TENSIONED BEAMS</t>
        </is>
      </c>
      <c r="E30" s="36" t="inlineStr">
        <is>
          <t>'U' beams, base width 970 mm</t>
        </is>
      </c>
      <c r="F30" s="36" t="inlineStr">
        <is>
          <t>section U8; 24 m long, 1200 mm deep; mass 34.56t</t>
        </is>
      </c>
      <c r="G30" s="6" t="inlineStr">
        <is>
          <t>nr</t>
        </is>
      </c>
      <c r="H30" s="7" t="n"/>
      <c r="I30" s="8" t="n">
        <v>10426.59</v>
      </c>
      <c r="J30" s="8" t="n">
        <v>0</v>
      </c>
      <c r="K30" s="8" t="n">
        <v>12013.04</v>
      </c>
      <c r="L30" s="8" t="n">
        <v>0</v>
      </c>
      <c r="M30" s="8" t="n">
        <v>22439.63</v>
      </c>
      <c r="N30" s="41" t="n">
        <v>16355.49</v>
      </c>
      <c r="O30" s="41" t="n">
        <v>0</v>
      </c>
      <c r="P30" s="41" t="n">
        <v>14048.05</v>
      </c>
      <c r="Q30" s="41" t="n">
        <v>0</v>
      </c>
      <c r="R30" s="41" t="n">
        <v>30403.54</v>
      </c>
      <c r="S30" s="5" t="inlineStr">
        <is>
          <t>Apportioned (class)</t>
        </is>
      </c>
      <c r="T30" s="6" t="inlineStr">
        <is>
          <t>Low</t>
        </is>
      </c>
      <c r="U30" s="8" t="n">
        <v>22439.63</v>
      </c>
      <c r="V30" s="8" t="n">
        <v>0</v>
      </c>
      <c r="W30" s="5" t="inlineStr">
        <is>
          <t>Apportioned at class level</t>
        </is>
      </c>
      <c r="X30" s="36" t="inlineStr">
        <is>
          <t>Split from published rate using median L/P/M shares of 19 comparable build-ups at class level (46/0/54).</t>
        </is>
      </c>
    </row>
    <row r="31">
      <c r="A31" s="4" t="n">
        <v>1732</v>
      </c>
      <c r="B31" s="5" t="inlineStr">
        <is>
          <t>IMG_0090</t>
        </is>
      </c>
      <c r="C31" s="5" t="inlineStr">
        <is>
          <t>CLASS H: PRECAST CONCRETE</t>
        </is>
      </c>
      <c r="D31" s="5" t="inlineStr">
        <is>
          <t>02 PRESTRESSED PRE-TENSIONED BEAMS</t>
        </is>
      </c>
      <c r="E31" s="36" t="inlineStr">
        <is>
          <t>'U' beams, base width 970 mm</t>
        </is>
      </c>
      <c r="F31" s="36" t="inlineStr">
        <is>
          <t>section U12; 30 m long, 1600 mm deep; mass 52.74t</t>
        </is>
      </c>
      <c r="G31" s="6" t="inlineStr">
        <is>
          <t>nr</t>
        </is>
      </c>
      <c r="H31" s="7" t="n"/>
      <c r="I31" s="8" t="n">
        <v>17385.83</v>
      </c>
      <c r="J31" s="8" t="n">
        <v>0</v>
      </c>
      <c r="K31" s="8" t="n">
        <v>20031.16</v>
      </c>
      <c r="L31" s="8" t="n">
        <v>0</v>
      </c>
      <c r="M31" s="8" t="n">
        <v>37416.99</v>
      </c>
      <c r="N31" s="41" t="n">
        <v>27271.99</v>
      </c>
      <c r="O31" s="41" t="n">
        <v>0</v>
      </c>
      <c r="P31" s="41" t="n">
        <v>23424.44</v>
      </c>
      <c r="Q31" s="41" t="n">
        <v>0</v>
      </c>
      <c r="R31" s="41" t="n">
        <v>50696.43</v>
      </c>
      <c r="S31" s="5" t="inlineStr">
        <is>
          <t>Apportioned (class)</t>
        </is>
      </c>
      <c r="T31" s="6" t="inlineStr">
        <is>
          <t>Low</t>
        </is>
      </c>
      <c r="U31" s="8" t="n">
        <v>37416.99</v>
      </c>
      <c r="V31" s="8" t="n">
        <v>0</v>
      </c>
      <c r="W31" s="5" t="inlineStr">
        <is>
          <t>Apportioned at class level</t>
        </is>
      </c>
      <c r="X31" s="36" t="inlineStr">
        <is>
          <t>Split from published rate using median L/P/M shares of 19 comparable build-ups at class level (46/0/54).</t>
        </is>
      </c>
    </row>
    <row r="32">
      <c r="A32" s="4" t="n">
        <v>3245</v>
      </c>
      <c r="B32" s="5" t="inlineStr">
        <is>
          <t>IMG_0109</t>
        </is>
      </c>
      <c r="C32" s="5" t="inlineStr">
        <is>
          <t>CLASS L: PIPEWORK SUPPORTS AND PROTECTION, ANCILLARIES TO LAYING AND EXCAVATION</t>
        </is>
      </c>
      <c r="D32" s="5" t="inlineStr">
        <is>
          <t>02 SPECIAL PIPE LAYING METHODS</t>
        </is>
      </c>
      <c r="E32" s="36" t="inlineStr">
        <is>
          <t>Pipe Jacking; Provision of all plant, equipment and labour establishing</t>
        </is>
      </c>
      <c r="F32" s="36" t="inlineStr">
        <is>
          <t>thrust pit; 6 m x 4 m x 8 m deep</t>
        </is>
      </c>
      <c r="G32" s="6" t="inlineStr">
        <is>
          <t>item</t>
        </is>
      </c>
      <c r="H32" s="7" t="n"/>
      <c r="I32" s="8" t="n">
        <v>11723.88</v>
      </c>
      <c r="J32" s="8" t="n">
        <v>10528.52</v>
      </c>
      <c r="K32" s="8" t="n">
        <v>22355.16</v>
      </c>
      <c r="L32" s="8" t="n">
        <v>0</v>
      </c>
      <c r="M32" s="8" t="n">
        <v>44607.57</v>
      </c>
      <c r="N32" s="41" t="n">
        <v>18390.47</v>
      </c>
      <c r="O32" s="41" t="n">
        <v>12312.05</v>
      </c>
      <c r="P32" s="41" t="n">
        <v>26142.12</v>
      </c>
      <c r="Q32" s="41" t="n">
        <v>0</v>
      </c>
      <c r="R32" s="41" t="n">
        <v>56844.64</v>
      </c>
      <c r="S32" s="5" t="inlineStr">
        <is>
          <t>Apportioned (class)</t>
        </is>
      </c>
      <c r="T32" s="6" t="inlineStr">
        <is>
          <t>Low</t>
        </is>
      </c>
      <c r="U32" s="8" t="n">
        <v>44607.57</v>
      </c>
      <c r="V32" s="8" t="n">
        <v>0</v>
      </c>
      <c r="W32" s="5" t="inlineStr">
        <is>
          <t>Apportioned at class level</t>
        </is>
      </c>
      <c r="X32" s="36" t="inlineStr">
        <is>
          <t>Split from published rate using median L/P/M shares of 73 comparable build-ups at class level (26/24/50).</t>
        </is>
      </c>
    </row>
    <row r="33">
      <c r="A33" s="4" t="n">
        <v>3246</v>
      </c>
      <c r="B33" s="5" t="inlineStr">
        <is>
          <t>IMG_0109</t>
        </is>
      </c>
      <c r="C33" s="5" t="inlineStr">
        <is>
          <t>CLASS L: PIPEWORK SUPPORTS AND PROTECTION, ANCILLARIES TO LAYING AND EXCAVATION</t>
        </is>
      </c>
      <c r="D33" s="5" t="inlineStr">
        <is>
          <t>02 SPECIAL PIPE LAYING METHODS</t>
        </is>
      </c>
      <c r="E33" s="36" t="inlineStr">
        <is>
          <t>Pipe Jacking; Provision of all plant, equipment and labour establishing</t>
        </is>
      </c>
      <c r="F33" s="36" t="inlineStr">
        <is>
          <t>reception pit; 4 m x 4 m x 8 m deep</t>
        </is>
      </c>
      <c r="G33" s="6" t="inlineStr">
        <is>
          <t>item</t>
        </is>
      </c>
      <c r="H33" s="7" t="n"/>
      <c r="I33" s="8" t="n">
        <v>8597.52</v>
      </c>
      <c r="J33" s="8" t="n">
        <v>7720.92</v>
      </c>
      <c r="K33" s="8" t="n">
        <v>16393.79</v>
      </c>
      <c r="L33" s="8" t="n">
        <v>0</v>
      </c>
      <c r="M33" s="8" t="n">
        <v>32712.22</v>
      </c>
      <c r="N33" s="41" t="n">
        <v>13486.35</v>
      </c>
      <c r="O33" s="41" t="n">
        <v>9028.84</v>
      </c>
      <c r="P33" s="41" t="n">
        <v>19170.9</v>
      </c>
      <c r="Q33" s="41" t="n">
        <v>0</v>
      </c>
      <c r="R33" s="41" t="n">
        <v>41686.1</v>
      </c>
      <c r="S33" s="5" t="inlineStr">
        <is>
          <t>Apportioned (class)</t>
        </is>
      </c>
      <c r="T33" s="6" t="inlineStr">
        <is>
          <t>Low</t>
        </is>
      </c>
      <c r="U33" s="8" t="n">
        <v>32712.22</v>
      </c>
      <c r="V33" s="8" t="n">
        <v>0</v>
      </c>
      <c r="W33" s="5" t="inlineStr">
        <is>
          <t>Apportioned at class level</t>
        </is>
      </c>
      <c r="X33" s="36" t="inlineStr">
        <is>
          <t>Split from published rate using median L/P/M shares of 73 comparable build-ups at class level (26/24/50).</t>
        </is>
      </c>
    </row>
    <row r="34">
      <c r="A34" s="4" t="n">
        <v>3247</v>
      </c>
      <c r="B34" s="5" t="inlineStr">
        <is>
          <t>IMG_0109</t>
        </is>
      </c>
      <c r="C34" s="5" t="inlineStr">
        <is>
          <t>CLASS L: PIPEWORK SUPPORTS AND PROTECTION, ANCILLARIES TO LAYING AND EXCAVATION</t>
        </is>
      </c>
      <c r="D34" s="5" t="inlineStr">
        <is>
          <t>02 SPECIAL PIPE LAYING METHODS</t>
        </is>
      </c>
      <c r="E34" s="36" t="inlineStr">
        <is>
          <t>Pipe Jacking; Provision of all plant, equipment and labour establishing</t>
        </is>
      </c>
      <c r="F34" s="36" t="inlineStr">
        <is>
          <t>mobilize and set up pipe jacking equipment</t>
        </is>
      </c>
      <c r="G34" s="6" t="inlineStr">
        <is>
          <t>item</t>
        </is>
      </c>
      <c r="H34" s="7" t="n"/>
      <c r="I34" s="8" t="n">
        <v>17160.88</v>
      </c>
      <c r="J34" s="8" t="n">
        <v>15411.17</v>
      </c>
      <c r="K34" s="8" t="n">
        <v>32722.46</v>
      </c>
      <c r="L34" s="8" t="n">
        <v>0</v>
      </c>
      <c r="M34" s="8" t="n">
        <v>65294.51</v>
      </c>
      <c r="N34" s="41" t="n">
        <v>26919.13</v>
      </c>
      <c r="O34" s="41" t="n">
        <v>18021.82</v>
      </c>
      <c r="P34" s="41" t="n">
        <v>38265.64</v>
      </c>
      <c r="Q34" s="41" t="n">
        <v>0</v>
      </c>
      <c r="R34" s="41" t="n">
        <v>83206.59</v>
      </c>
      <c r="S34" s="5" t="inlineStr">
        <is>
          <t>Apportioned (class)</t>
        </is>
      </c>
      <c r="T34" s="6" t="inlineStr">
        <is>
          <t>Low</t>
        </is>
      </c>
      <c r="U34" s="8" t="n">
        <v>65294.51</v>
      </c>
      <c r="V34" s="8" t="n">
        <v>0</v>
      </c>
      <c r="W34" s="5" t="inlineStr">
        <is>
          <t>Apportioned at class level</t>
        </is>
      </c>
      <c r="X34" s="36" t="inlineStr">
        <is>
          <t>Split from published rate using median L/P/M shares of 73 comparable build-ups at class level (26/24/50).</t>
        </is>
      </c>
    </row>
    <row r="35">
      <c r="A35" s="4" t="n">
        <v>3249</v>
      </c>
      <c r="B35" s="5" t="inlineStr">
        <is>
          <t>IMG_0109</t>
        </is>
      </c>
      <c r="C35" s="5" t="inlineStr">
        <is>
          <t>CLASS L: PIPEWORK SUPPORTS AND PROTECTION, ANCILLARIES TO LAYING AND EXCAVATION</t>
        </is>
      </c>
      <c r="D35" s="5" t="inlineStr">
        <is>
          <t>02 SPECIAL PIPE LAYING METHODS</t>
        </is>
      </c>
      <c r="E35" s="36" t="inlineStr">
        <is>
          <t>Pipe jacking, excluding the cost of non-drainage materials; concrete pipes BS 5911 Part 1 Class 120 with rebated joints, steel reinforcing band; length not exceeding 50 m; in sand and gravel</t>
        </is>
      </c>
      <c r="F35" s="36" t="inlineStr">
        <is>
          <t>900 mm nominal bore</t>
        </is>
      </c>
      <c r="G35" s="6" t="inlineStr">
        <is>
          <t>m</t>
        </is>
      </c>
      <c r="H35" s="7" t="n"/>
      <c r="I35" s="8" t="n">
        <v>929.83</v>
      </c>
      <c r="J35" s="8" t="n">
        <v>835.02</v>
      </c>
      <c r="K35" s="8" t="n">
        <v>1773</v>
      </c>
      <c r="L35" s="8" t="n">
        <v>0</v>
      </c>
      <c r="M35" s="8" t="n">
        <v>3537.86</v>
      </c>
      <c r="N35" s="41" t="n">
        <v>1458.56</v>
      </c>
      <c r="O35" s="41" t="n">
        <v>976.47</v>
      </c>
      <c r="P35" s="41" t="n">
        <v>2073.35</v>
      </c>
      <c r="Q35" s="41" t="n">
        <v>0</v>
      </c>
      <c r="R35" s="41" t="n">
        <v>4508.38</v>
      </c>
      <c r="S35" s="5" t="inlineStr">
        <is>
          <t>Apportioned (class)</t>
        </is>
      </c>
      <c r="T35" s="6" t="inlineStr">
        <is>
          <t>Low</t>
        </is>
      </c>
      <c r="U35" s="8" t="n">
        <v>3537.86</v>
      </c>
      <c r="V35" s="8" t="n">
        <v>0</v>
      </c>
      <c r="W35" s="5" t="inlineStr">
        <is>
          <t>Apportioned at class level</t>
        </is>
      </c>
      <c r="X35" s="36" t="inlineStr">
        <is>
          <t>Split from published rate using median L/P/M shares of 73 comparable build-ups at class level (26/24/50).</t>
        </is>
      </c>
    </row>
    <row r="36">
      <c r="A36" s="4" t="n">
        <v>3250</v>
      </c>
      <c r="B36" s="5" t="inlineStr">
        <is>
          <t>IMG_0109</t>
        </is>
      </c>
      <c r="C36" s="5" t="inlineStr">
        <is>
          <t>CLASS L: PIPEWORK SUPPORTS AND PROTECTION, ANCILLARIES TO LAYING AND EXCAVATION</t>
        </is>
      </c>
      <c r="D36" s="5" t="inlineStr">
        <is>
          <t>02 SPECIAL PIPE LAYING METHODS</t>
        </is>
      </c>
      <c r="E36" s="36" t="inlineStr">
        <is>
          <t>Pipe jacking, excluding the cost of non-drainage materials; concrete pipes BS 5911 Part 1 Class 120 with rebated joints, steel reinforcing band; length not exceeding 50 m; in sand and gravel</t>
        </is>
      </c>
      <c r="F36" s="36" t="inlineStr">
        <is>
          <t>1200 mm nominal bore</t>
        </is>
      </c>
      <c r="G36" s="6" t="inlineStr">
        <is>
          <t>m</t>
        </is>
      </c>
      <c r="H36" s="7" t="n"/>
      <c r="I36" s="8" t="n">
        <v>1076.48</v>
      </c>
      <c r="J36" s="8" t="n">
        <v>966.72</v>
      </c>
      <c r="K36" s="8" t="n">
        <v>2052.64</v>
      </c>
      <c r="L36" s="8" t="n">
        <v>0</v>
      </c>
      <c r="M36" s="8" t="n">
        <v>4095.85</v>
      </c>
      <c r="N36" s="41" t="n">
        <v>1688.6</v>
      </c>
      <c r="O36" s="41" t="n">
        <v>1130.48</v>
      </c>
      <c r="P36" s="41" t="n">
        <v>2400.36</v>
      </c>
      <c r="Q36" s="41" t="n">
        <v>0</v>
      </c>
      <c r="R36" s="41" t="n">
        <v>5219.44</v>
      </c>
      <c r="S36" s="5" t="inlineStr">
        <is>
          <t>Apportioned (class)</t>
        </is>
      </c>
      <c r="T36" s="6" t="inlineStr">
        <is>
          <t>Low</t>
        </is>
      </c>
      <c r="U36" s="8" t="n">
        <v>4095.85</v>
      </c>
      <c r="V36" s="8" t="n">
        <v>0</v>
      </c>
      <c r="W36" s="5" t="inlineStr">
        <is>
          <t>Apportioned at class level</t>
        </is>
      </c>
      <c r="X36" s="36" t="inlineStr">
        <is>
          <t>Split from published rate using median L/P/M shares of 73 comparable build-ups at class level (26/24/50).</t>
        </is>
      </c>
    </row>
    <row r="37">
      <c r="A37" s="4" t="n">
        <v>3251</v>
      </c>
      <c r="B37" s="5" t="inlineStr">
        <is>
          <t>IMG_0109</t>
        </is>
      </c>
      <c r="C37" s="5" t="inlineStr">
        <is>
          <t>CLASS L: PIPEWORK SUPPORTS AND PROTECTION, ANCILLARIES TO LAYING AND EXCAVATION</t>
        </is>
      </c>
      <c r="D37" s="5" t="inlineStr">
        <is>
          <t>02 SPECIAL PIPE LAYING METHODS</t>
        </is>
      </c>
      <c r="E37" s="36" t="inlineStr">
        <is>
          <t>Pipe jacking, excluding the cost of non-drainage materials; concrete pipes BS 5911 Part 1 Class 120 with rebated joints, steel reinforcing band; length not exceeding 50 m; in sand and gravel</t>
        </is>
      </c>
      <c r="F37" s="36" t="inlineStr">
        <is>
          <t>1500 mm nominal bore</t>
        </is>
      </c>
      <c r="G37" s="6" t="inlineStr">
        <is>
          <t>m</t>
        </is>
      </c>
      <c r="H37" s="7" t="n"/>
      <c r="I37" s="8" t="n">
        <v>796.77</v>
      </c>
      <c r="J37" s="8" t="n">
        <v>715.53</v>
      </c>
      <c r="K37" s="8" t="n">
        <v>1519.28</v>
      </c>
      <c r="L37" s="8" t="n">
        <v>0</v>
      </c>
      <c r="M37" s="8" t="n">
        <v>3031.58</v>
      </c>
      <c r="N37" s="41" t="n">
        <v>1249.84</v>
      </c>
      <c r="O37" s="41" t="n">
        <v>836.74</v>
      </c>
      <c r="P37" s="41" t="n">
        <v>1776.65</v>
      </c>
      <c r="Q37" s="41" t="n">
        <v>0</v>
      </c>
      <c r="R37" s="41" t="n">
        <v>3863.23</v>
      </c>
      <c r="S37" s="5" t="inlineStr">
        <is>
          <t>Apportioned (class)</t>
        </is>
      </c>
      <c r="T37" s="6" t="inlineStr">
        <is>
          <t>Low</t>
        </is>
      </c>
      <c r="U37" s="8" t="n">
        <v>3031.58</v>
      </c>
      <c r="V37" s="8" t="n">
        <v>0</v>
      </c>
      <c r="W37" s="5" t="inlineStr">
        <is>
          <t>Apportioned at class level</t>
        </is>
      </c>
      <c r="X37" s="36" t="inlineStr">
        <is>
          <t>Split from published rate using median L/P/M shares of 73 comparable build-ups at class level (26/24/50).</t>
        </is>
      </c>
    </row>
    <row r="38">
      <c r="A38" s="4" t="n">
        <v>3252</v>
      </c>
      <c r="B38" s="5" t="inlineStr">
        <is>
          <t>IMG_0109</t>
        </is>
      </c>
      <c r="C38" s="5" t="inlineStr">
        <is>
          <t>CLASS L: PIPEWORK SUPPORTS AND PROTECTION, ANCILLARIES TO LAYING AND EXCAVATION</t>
        </is>
      </c>
      <c r="D38" s="5" t="inlineStr">
        <is>
          <t>02 SPECIAL PIPE LAYING METHODS</t>
        </is>
      </c>
      <c r="E38" s="36" t="inlineStr">
        <is>
          <t>Pipe jacking, excluding the cost of non-drainage materials; concrete pipes BS 5911 Part 1 Class 120 with rebated joints, steel reinforcing band; length not exceeding 50 m; in sand and gravel</t>
        </is>
      </c>
      <c r="F38" s="36" t="inlineStr">
        <is>
          <t>1800 mm nominal bore</t>
        </is>
      </c>
      <c r="G38" s="6" t="inlineStr">
        <is>
          <t>m</t>
        </is>
      </c>
      <c r="H38" s="7" t="n"/>
      <c r="I38" s="8" t="n">
        <v>847.99</v>
      </c>
      <c r="J38" s="8" t="n">
        <v>761.53</v>
      </c>
      <c r="K38" s="8" t="n">
        <v>1616.95</v>
      </c>
      <c r="L38" s="8" t="n">
        <v>0</v>
      </c>
      <c r="M38" s="8" t="n">
        <v>3226.47</v>
      </c>
      <c r="N38" s="41" t="n">
        <v>1330.19</v>
      </c>
      <c r="O38" s="41" t="n">
        <v>890.53</v>
      </c>
      <c r="P38" s="41" t="n">
        <v>1890.86</v>
      </c>
      <c r="Q38" s="41" t="n">
        <v>0</v>
      </c>
      <c r="R38" s="41" t="n">
        <v>4111.58</v>
      </c>
      <c r="S38" s="5" t="inlineStr">
        <is>
          <t>Apportioned (class)</t>
        </is>
      </c>
      <c r="T38" s="6" t="inlineStr">
        <is>
          <t>Low</t>
        </is>
      </c>
      <c r="U38" s="8" t="n">
        <v>3226.47</v>
      </c>
      <c r="V38" s="8" t="n">
        <v>0</v>
      </c>
      <c r="W38" s="5" t="inlineStr">
        <is>
          <t>Apportioned at class level</t>
        </is>
      </c>
      <c r="X38" s="36" t="inlineStr">
        <is>
          <t>Split from published rate using median L/P/M shares of 73 comparable build-ups at class level (26/24/50).</t>
        </is>
      </c>
    </row>
    <row r="39">
      <c r="A39" s="4" t="n">
        <v>3438</v>
      </c>
      <c r="B39" s="5" t="inlineStr">
        <is>
          <t>IMG_0112</t>
        </is>
      </c>
      <c r="C39" s="5" t="inlineStr">
        <is>
          <t>CLASS N: MISCELLANEOUS METALWORK</t>
        </is>
      </c>
      <c r="D39" s="5" t="inlineStr">
        <is>
          <t>01 MILD STEEL</t>
        </is>
      </c>
      <c r="E39" s="36" t="inlineStr">
        <is>
          <t>Mild steel</t>
        </is>
      </c>
      <c r="F39" s="36" t="inlineStr">
        <is>
          <t>Stairways and landings</t>
        </is>
      </c>
      <c r="G39" s="6" t="inlineStr">
        <is>
          <t>t</t>
        </is>
      </c>
      <c r="H39" s="7" t="n"/>
      <c r="I39" s="8" t="n">
        <v>1417.68</v>
      </c>
      <c r="J39" s="8" t="n">
        <v>0</v>
      </c>
      <c r="K39" s="8" t="n">
        <v>7872.83</v>
      </c>
      <c r="L39" s="8" t="n">
        <v>0</v>
      </c>
      <c r="M39" s="8" t="n">
        <v>9290.51</v>
      </c>
      <c r="N39" s="41" t="n">
        <v>2223.82</v>
      </c>
      <c r="O39" s="41" t="n">
        <v>0</v>
      </c>
      <c r="P39" s="41" t="n">
        <v>9206.49</v>
      </c>
      <c r="Q39" s="41" t="n">
        <v>0</v>
      </c>
      <c r="R39" s="41" t="n">
        <v>11430.31</v>
      </c>
      <c r="S39" s="5" t="inlineStr">
        <is>
          <t>Apportioned (class)</t>
        </is>
      </c>
      <c r="T39" s="6" t="inlineStr">
        <is>
          <t>Low</t>
        </is>
      </c>
      <c r="U39" s="8" t="n">
        <v>9290.51</v>
      </c>
      <c r="V39" s="8" t="n">
        <v>0</v>
      </c>
      <c r="W39" s="5" t="inlineStr">
        <is>
          <t>Apportioned at class level</t>
        </is>
      </c>
      <c r="X39" s="36" t="inlineStr">
        <is>
          <t>Split from published rate using median L/P/M shares of 48 comparable build-ups at class level (15/0/85).</t>
        </is>
      </c>
    </row>
    <row r="40">
      <c r="A40" s="4" t="n">
        <v>3439</v>
      </c>
      <c r="B40" s="5" t="inlineStr">
        <is>
          <t>IMG_0112</t>
        </is>
      </c>
      <c r="C40" s="5" t="inlineStr">
        <is>
          <t>CLASS N: MISCELLANEOUS METALWORK</t>
        </is>
      </c>
      <c r="D40" s="5" t="inlineStr">
        <is>
          <t>01 MILD STEEL</t>
        </is>
      </c>
      <c r="E40" s="36" t="inlineStr">
        <is>
          <t>Mild steel</t>
        </is>
      </c>
      <c r="F40" s="36" t="inlineStr">
        <is>
          <t>Walkways and platforms</t>
        </is>
      </c>
      <c r="G40" s="6" t="inlineStr">
        <is>
          <t>t</t>
        </is>
      </c>
      <c r="H40" s="7" t="n"/>
      <c r="I40" s="8" t="n">
        <v>1514.69</v>
      </c>
      <c r="J40" s="8" t="n">
        <v>0</v>
      </c>
      <c r="K40" s="8" t="n">
        <v>8411.559999999999</v>
      </c>
      <c r="L40" s="8" t="n">
        <v>0</v>
      </c>
      <c r="M40" s="8" t="n">
        <v>9926.25</v>
      </c>
      <c r="N40" s="41" t="n">
        <v>2375.99</v>
      </c>
      <c r="O40" s="41" t="n">
        <v>0</v>
      </c>
      <c r="P40" s="41" t="n">
        <v>9836.48</v>
      </c>
      <c r="Q40" s="41" t="n">
        <v>0</v>
      </c>
      <c r="R40" s="41" t="n">
        <v>12212.47</v>
      </c>
      <c r="S40" s="5" t="inlineStr">
        <is>
          <t>Apportioned (class)</t>
        </is>
      </c>
      <c r="T40" s="6" t="inlineStr">
        <is>
          <t>Low</t>
        </is>
      </c>
      <c r="U40" s="8" t="n">
        <v>9926.25</v>
      </c>
      <c r="V40" s="8" t="n">
        <v>0</v>
      </c>
      <c r="W40" s="5" t="inlineStr">
        <is>
          <t>Apportioned at class level</t>
        </is>
      </c>
      <c r="X40" s="36" t="inlineStr">
        <is>
          <t>Split from published rate using median L/P/M shares of 48 comparable build-ups at class level (15/0/85).</t>
        </is>
      </c>
    </row>
    <row r="41">
      <c r="A41" s="4" t="n">
        <v>3441</v>
      </c>
      <c r="B41" s="5" t="inlineStr">
        <is>
          <t>IMG_0112</t>
        </is>
      </c>
      <c r="C41" s="5" t="inlineStr">
        <is>
          <t>CLASS N: MISCELLANEOUS METALWORK</t>
        </is>
      </c>
      <c r="D41" s="5" t="inlineStr">
        <is>
          <t>01 MILD STEEL</t>
        </is>
      </c>
      <c r="E41" s="36" t="inlineStr">
        <is>
          <t>Ladders</t>
        </is>
      </c>
      <c r="F41" s="36" t="inlineStr">
        <is>
          <t>cat ladder; 64 x 13 mm bar strings; 19 mm rungs at 250 mm centres; 450 mm wide with safety hoops</t>
        </is>
      </c>
      <c r="G41" s="6" t="inlineStr">
        <is>
          <t>m</t>
        </is>
      </c>
      <c r="H41" s="7" t="n"/>
      <c r="I41" s="8" t="n">
        <v>26.02</v>
      </c>
      <c r="J41" s="8" t="n">
        <v>0</v>
      </c>
      <c r="K41" s="8" t="n">
        <v>144.47</v>
      </c>
      <c r="L41" s="8" t="n">
        <v>0</v>
      </c>
      <c r="M41" s="8" t="n">
        <v>170.49</v>
      </c>
      <c r="N41" s="41" t="n">
        <v>40.82</v>
      </c>
      <c r="O41" s="41" t="n">
        <v>0</v>
      </c>
      <c r="P41" s="41" t="n">
        <v>168.94</v>
      </c>
      <c r="Q41" s="41" t="n">
        <v>0</v>
      </c>
      <c r="R41" s="41" t="n">
        <v>209.76</v>
      </c>
      <c r="S41" s="5" t="inlineStr">
        <is>
          <t>Apportioned (class)</t>
        </is>
      </c>
      <c r="T41" s="6" t="inlineStr">
        <is>
          <t>Low</t>
        </is>
      </c>
      <c r="U41" s="8" t="n">
        <v>170.49</v>
      </c>
      <c r="V41" s="8" t="n">
        <v>0</v>
      </c>
      <c r="W41" s="5" t="inlineStr">
        <is>
          <t>Apportioned at class level</t>
        </is>
      </c>
      <c r="X41" s="36" t="inlineStr">
        <is>
          <t>Split from published rate using median L/P/M shares of 48 comparable build-ups at class level (15/0/85).</t>
        </is>
      </c>
    </row>
    <row r="42">
      <c r="A42" s="4" t="n">
        <v>3443</v>
      </c>
      <c r="B42" s="5" t="inlineStr">
        <is>
          <t>IMG_0112</t>
        </is>
      </c>
      <c r="C42" s="5" t="inlineStr">
        <is>
          <t>CLASS N: MISCELLANEOUS METALWORK</t>
        </is>
      </c>
      <c r="D42" s="5" t="inlineStr">
        <is>
          <t>01 MILD STEEL</t>
        </is>
      </c>
      <c r="E42" s="36" t="inlineStr">
        <is>
          <t>Miscellaneous framing</t>
        </is>
      </c>
      <c r="F42" s="36" t="inlineStr">
        <is>
          <t>angle section; 200 x 200 x 16 mm (equal)</t>
        </is>
      </c>
      <c r="G42" s="6" t="inlineStr">
        <is>
          <t>m</t>
        </is>
      </c>
      <c r="H42" s="7" t="n"/>
      <c r="I42" s="8" t="n">
        <v>62.94</v>
      </c>
      <c r="J42" s="8" t="n">
        <v>0</v>
      </c>
      <c r="K42" s="8" t="n">
        <v>349.51</v>
      </c>
      <c r="L42" s="8" t="n">
        <v>0</v>
      </c>
      <c r="M42" s="8" t="n">
        <v>412.45</v>
      </c>
      <c r="N42" s="41" t="n">
        <v>98.73</v>
      </c>
      <c r="O42" s="41" t="n">
        <v>0</v>
      </c>
      <c r="P42" s="41" t="n">
        <v>408.72</v>
      </c>
      <c r="Q42" s="41" t="n">
        <v>0</v>
      </c>
      <c r="R42" s="41" t="n">
        <v>507.45</v>
      </c>
      <c r="S42" s="5" t="inlineStr">
        <is>
          <t>Apportioned (class)</t>
        </is>
      </c>
      <c r="T42" s="6" t="inlineStr">
        <is>
          <t>Low</t>
        </is>
      </c>
      <c r="U42" s="8" t="n">
        <v>412.45</v>
      </c>
      <c r="V42" s="8" t="n">
        <v>0</v>
      </c>
      <c r="W42" s="5" t="inlineStr">
        <is>
          <t>Apportioned at class level</t>
        </is>
      </c>
      <c r="X42" s="36" t="inlineStr">
        <is>
          <t>Split from published rate using median L/P/M shares of 48 comparable build-ups at class level (15/0/85).</t>
        </is>
      </c>
    </row>
    <row r="43">
      <c r="A43" s="4" t="n">
        <v>3444</v>
      </c>
      <c r="B43" s="5" t="inlineStr">
        <is>
          <t>IMG_0112</t>
        </is>
      </c>
      <c r="C43" s="5" t="inlineStr">
        <is>
          <t>CLASS N: MISCELLANEOUS METALWORK</t>
        </is>
      </c>
      <c r="D43" s="5" t="inlineStr">
        <is>
          <t>01 MILD STEEL</t>
        </is>
      </c>
      <c r="E43" s="36" t="inlineStr">
        <is>
          <t>Miscellaneous framing</t>
        </is>
      </c>
      <c r="F43" s="36" t="inlineStr">
        <is>
          <t>angle section; 150 x 150 x 10 mm (equal)</t>
        </is>
      </c>
      <c r="G43" s="6" t="inlineStr">
        <is>
          <t>m</t>
        </is>
      </c>
      <c r="H43" s="7" t="n"/>
      <c r="I43" s="8" t="n">
        <v>29.09</v>
      </c>
      <c r="J43" s="8" t="n">
        <v>0</v>
      </c>
      <c r="K43" s="8" t="n">
        <v>161.57</v>
      </c>
      <c r="L43" s="8" t="n">
        <v>0</v>
      </c>
      <c r="M43" s="8" t="n">
        <v>190.66</v>
      </c>
      <c r="N43" s="41" t="n">
        <v>45.63</v>
      </c>
      <c r="O43" s="41" t="n">
        <v>0</v>
      </c>
      <c r="P43" s="41" t="n">
        <v>188.94</v>
      </c>
      <c r="Q43" s="41" t="n">
        <v>0</v>
      </c>
      <c r="R43" s="41" t="n">
        <v>234.57</v>
      </c>
      <c r="S43" s="5" t="inlineStr">
        <is>
          <t>Apportioned (class)</t>
        </is>
      </c>
      <c r="T43" s="6" t="inlineStr">
        <is>
          <t>Low</t>
        </is>
      </c>
      <c r="U43" s="8" t="n">
        <v>190.66</v>
      </c>
      <c r="V43" s="8" t="n">
        <v>0</v>
      </c>
      <c r="W43" s="5" t="inlineStr">
        <is>
          <t>Apportioned at class level</t>
        </is>
      </c>
      <c r="X43" s="36" t="inlineStr">
        <is>
          <t>Split from published rate using median L/P/M shares of 48 comparable build-ups at class level (15/0/85).</t>
        </is>
      </c>
    </row>
    <row r="44">
      <c r="A44" s="4" t="n">
        <v>3445</v>
      </c>
      <c r="B44" s="5" t="inlineStr">
        <is>
          <t>IMG_0112</t>
        </is>
      </c>
      <c r="C44" s="5" t="inlineStr">
        <is>
          <t>CLASS N: MISCELLANEOUS METALWORK</t>
        </is>
      </c>
      <c r="D44" s="5" t="inlineStr">
        <is>
          <t>01 MILD STEEL</t>
        </is>
      </c>
      <c r="E44" s="36" t="inlineStr">
        <is>
          <t>Miscellaneous framing</t>
        </is>
      </c>
      <c r="F44" s="36" t="inlineStr">
        <is>
          <t>angle section; 100 x 100 x 12 mm (equal)</t>
        </is>
      </c>
      <c r="G44" s="6" t="inlineStr">
        <is>
          <t>m</t>
        </is>
      </c>
      <c r="H44" s="7" t="n"/>
      <c r="I44" s="8" t="n">
        <v>52.25</v>
      </c>
      <c r="J44" s="8" t="n">
        <v>0</v>
      </c>
      <c r="K44" s="8" t="n">
        <v>290.16</v>
      </c>
      <c r="L44" s="8" t="n">
        <v>0</v>
      </c>
      <c r="M44" s="8" t="n">
        <v>342.41</v>
      </c>
      <c r="N44" s="41" t="n">
        <v>81.95999999999999</v>
      </c>
      <c r="O44" s="41" t="n">
        <v>0</v>
      </c>
      <c r="P44" s="41" t="n">
        <v>339.31</v>
      </c>
      <c r="Q44" s="41" t="n">
        <v>0</v>
      </c>
      <c r="R44" s="41" t="n">
        <v>421.27</v>
      </c>
      <c r="S44" s="5" t="inlineStr">
        <is>
          <t>Apportioned (class)</t>
        </is>
      </c>
      <c r="T44" s="6" t="inlineStr">
        <is>
          <t>Low</t>
        </is>
      </c>
      <c r="U44" s="8" t="n">
        <v>342.41</v>
      </c>
      <c r="V44" s="8" t="n">
        <v>0</v>
      </c>
      <c r="W44" s="5" t="inlineStr">
        <is>
          <t>Apportioned at class level</t>
        </is>
      </c>
      <c r="X44" s="36" t="inlineStr">
        <is>
          <t>Split from published rate using median L/P/M shares of 48 comparable build-ups at class level (15/0/85).</t>
        </is>
      </c>
    </row>
    <row r="45">
      <c r="A45" s="4" t="n">
        <v>3446</v>
      </c>
      <c r="B45" s="5" t="inlineStr">
        <is>
          <t>IMG_0112</t>
        </is>
      </c>
      <c r="C45" s="5" t="inlineStr">
        <is>
          <t>CLASS N: MISCELLANEOUS METALWORK</t>
        </is>
      </c>
      <c r="D45" s="5" t="inlineStr">
        <is>
          <t>01 MILD STEEL</t>
        </is>
      </c>
      <c r="E45" s="36" t="inlineStr">
        <is>
          <t>Miscellaneous framing</t>
        </is>
      </c>
      <c r="F45" s="36" t="inlineStr">
        <is>
          <t>angle section; 200 x 150 x 15 mm (unequal)</t>
        </is>
      </c>
      <c r="G45" s="6" t="inlineStr">
        <is>
          <t>m</t>
        </is>
      </c>
      <c r="H45" s="7" t="n"/>
      <c r="I45" s="8" t="n">
        <v>41.56</v>
      </c>
      <c r="J45" s="8" t="n">
        <v>0</v>
      </c>
      <c r="K45" s="8" t="n">
        <v>230.79</v>
      </c>
      <c r="L45" s="8" t="n">
        <v>0</v>
      </c>
      <c r="M45" s="8" t="n">
        <v>272.35</v>
      </c>
      <c r="N45" s="41" t="n">
        <v>65.19</v>
      </c>
      <c r="O45" s="41" t="n">
        <v>0</v>
      </c>
      <c r="P45" s="41" t="n">
        <v>269.89</v>
      </c>
      <c r="Q45" s="41" t="n">
        <v>0</v>
      </c>
      <c r="R45" s="41" t="n">
        <v>335.08</v>
      </c>
      <c r="S45" s="5" t="inlineStr">
        <is>
          <t>Apportioned (class)</t>
        </is>
      </c>
      <c r="T45" s="6" t="inlineStr">
        <is>
          <t>Low</t>
        </is>
      </c>
      <c r="U45" s="8" t="n">
        <v>272.35</v>
      </c>
      <c r="V45" s="8" t="n">
        <v>0</v>
      </c>
      <c r="W45" s="5" t="inlineStr">
        <is>
          <t>Apportioned at class level</t>
        </is>
      </c>
      <c r="X45" s="36" t="inlineStr">
        <is>
          <t>Split from published rate using median L/P/M shares of 48 comparable build-ups at class level (15/0/85).</t>
        </is>
      </c>
    </row>
    <row r="46">
      <c r="A46" s="4" t="n">
        <v>3447</v>
      </c>
      <c r="B46" s="5" t="inlineStr">
        <is>
          <t>IMG_0112</t>
        </is>
      </c>
      <c r="C46" s="5" t="inlineStr">
        <is>
          <t>CLASS N: MISCELLANEOUS METALWORK</t>
        </is>
      </c>
      <c r="D46" s="5" t="inlineStr">
        <is>
          <t>01 MILD STEEL</t>
        </is>
      </c>
      <c r="E46" s="36" t="inlineStr">
        <is>
          <t>Miscellaneous framing</t>
        </is>
      </c>
      <c r="F46" s="36" t="inlineStr">
        <is>
          <t>angle section; 150 x 75 x 10 mm (unequal)</t>
        </is>
      </c>
      <c r="G46" s="6" t="inlineStr">
        <is>
          <t>m</t>
        </is>
      </c>
      <c r="H46" s="7" t="n"/>
      <c r="I46" s="8" t="n">
        <v>22.02</v>
      </c>
      <c r="J46" s="8" t="n">
        <v>0</v>
      </c>
      <c r="K46" s="8" t="n">
        <v>122.27</v>
      </c>
      <c r="L46" s="8" t="n">
        <v>0</v>
      </c>
      <c r="M46" s="8" t="n">
        <v>144.29</v>
      </c>
      <c r="N46" s="41" t="n">
        <v>34.54</v>
      </c>
      <c r="O46" s="41" t="n">
        <v>0</v>
      </c>
      <c r="P46" s="41" t="n">
        <v>142.98</v>
      </c>
      <c r="Q46" s="41" t="n">
        <v>0</v>
      </c>
      <c r="R46" s="41" t="n">
        <v>177.52</v>
      </c>
      <c r="S46" s="5" t="inlineStr">
        <is>
          <t>Apportioned (class)</t>
        </is>
      </c>
      <c r="T46" s="6" t="inlineStr">
        <is>
          <t>Low</t>
        </is>
      </c>
      <c r="U46" s="8" t="n">
        <v>144.29</v>
      </c>
      <c r="V46" s="8" t="n">
        <v>0</v>
      </c>
      <c r="W46" s="5" t="inlineStr">
        <is>
          <t>Apportioned at class level</t>
        </is>
      </c>
      <c r="X46" s="36" t="inlineStr">
        <is>
          <t>Split from published rate using median L/P/M shares of 48 comparable build-ups at class level (15/0/85).</t>
        </is>
      </c>
    </row>
    <row r="47">
      <c r="A47" s="4" t="n">
        <v>3448</v>
      </c>
      <c r="B47" s="5" t="inlineStr">
        <is>
          <t>IMG_0112</t>
        </is>
      </c>
      <c r="C47" s="5" t="inlineStr">
        <is>
          <t>CLASS N: MISCELLANEOUS METALWORK</t>
        </is>
      </c>
      <c r="D47" s="5" t="inlineStr">
        <is>
          <t>01 MILD STEEL</t>
        </is>
      </c>
      <c r="E47" s="36" t="inlineStr">
        <is>
          <t>Miscellaneous framing</t>
        </is>
      </c>
      <c r="F47" s="36" t="inlineStr">
        <is>
          <t>universal beams; 914 x 419 mm</t>
        </is>
      </c>
      <c r="G47" s="6" t="inlineStr">
        <is>
          <t>m</t>
        </is>
      </c>
      <c r="H47" s="7" t="n"/>
      <c r="I47" s="8" t="n">
        <v>486.89</v>
      </c>
      <c r="J47" s="8" t="n">
        <v>0</v>
      </c>
      <c r="K47" s="8" t="n">
        <v>2703.83</v>
      </c>
      <c r="L47" s="8" t="n">
        <v>0</v>
      </c>
      <c r="M47" s="8" t="n">
        <v>3190.72</v>
      </c>
      <c r="N47" s="41" t="n">
        <v>763.75</v>
      </c>
      <c r="O47" s="41" t="n">
        <v>0</v>
      </c>
      <c r="P47" s="41" t="n">
        <v>3161.86</v>
      </c>
      <c r="Q47" s="41" t="n">
        <v>0</v>
      </c>
      <c r="R47" s="41" t="n">
        <v>3925.61</v>
      </c>
      <c r="S47" s="5" t="inlineStr">
        <is>
          <t>Apportioned (class)</t>
        </is>
      </c>
      <c r="T47" s="6" t="inlineStr">
        <is>
          <t>Low</t>
        </is>
      </c>
      <c r="U47" s="8" t="n">
        <v>3190.72</v>
      </c>
      <c r="V47" s="8" t="n">
        <v>0</v>
      </c>
      <c r="W47" s="5" t="inlineStr">
        <is>
          <t>Apportioned at class level</t>
        </is>
      </c>
      <c r="X47" s="36" t="inlineStr">
        <is>
          <t>Split from published rate using median L/P/M shares of 48 comparable build-ups at class level (15/0/85).</t>
        </is>
      </c>
    </row>
    <row r="48">
      <c r="A48" s="4" t="n">
        <v>3449</v>
      </c>
      <c r="B48" s="5" t="inlineStr">
        <is>
          <t>IMG_0112</t>
        </is>
      </c>
      <c r="C48" s="5" t="inlineStr">
        <is>
          <t>CLASS N: MISCELLANEOUS METALWORK</t>
        </is>
      </c>
      <c r="D48" s="5" t="inlineStr">
        <is>
          <t>01 MILD STEEL</t>
        </is>
      </c>
      <c r="E48" s="36" t="inlineStr">
        <is>
          <t>Miscellaneous framing</t>
        </is>
      </c>
      <c r="F48" s="36" t="inlineStr">
        <is>
          <t>universal beams; 533 x 210 mm</t>
        </is>
      </c>
      <c r="G48" s="6" t="inlineStr">
        <is>
          <t>m</t>
        </is>
      </c>
      <c r="H48" s="7" t="n"/>
      <c r="I48" s="8" t="n">
        <v>166.25</v>
      </c>
      <c r="J48" s="8" t="n">
        <v>0</v>
      </c>
      <c r="K48" s="8" t="n">
        <v>923.26</v>
      </c>
      <c r="L48" s="8" t="n">
        <v>0</v>
      </c>
      <c r="M48" s="8" t="n">
        <v>1089.51</v>
      </c>
      <c r="N48" s="41" t="n">
        <v>260.79</v>
      </c>
      <c r="O48" s="41" t="n">
        <v>0</v>
      </c>
      <c r="P48" s="41" t="n">
        <v>1079.66</v>
      </c>
      <c r="Q48" s="41" t="n">
        <v>0</v>
      </c>
      <c r="R48" s="41" t="n">
        <v>1340.45</v>
      </c>
      <c r="S48" s="5" t="inlineStr">
        <is>
          <t>Apportioned (class)</t>
        </is>
      </c>
      <c r="T48" s="6" t="inlineStr">
        <is>
          <t>Low</t>
        </is>
      </c>
      <c r="U48" s="8" t="n">
        <v>1089.51</v>
      </c>
      <c r="V48" s="8" t="n">
        <v>0</v>
      </c>
      <c r="W48" s="5" t="inlineStr">
        <is>
          <t>Apportioned at class level</t>
        </is>
      </c>
      <c r="X48" s="36" t="inlineStr">
        <is>
          <t>Split from published rate using median L/P/M shares of 48 comparable build-ups at class level (15/0/85).</t>
        </is>
      </c>
    </row>
    <row r="49">
      <c r="A49" s="4" t="n">
        <v>3450</v>
      </c>
      <c r="B49" s="5" t="inlineStr">
        <is>
          <t>IMG_0112</t>
        </is>
      </c>
      <c r="C49" s="5" t="inlineStr">
        <is>
          <t>CLASS N: MISCELLANEOUS METALWORK</t>
        </is>
      </c>
      <c r="D49" s="5" t="inlineStr">
        <is>
          <t>01 MILD STEEL</t>
        </is>
      </c>
      <c r="E49" s="36" t="inlineStr">
        <is>
          <t>Miscellaneous framing</t>
        </is>
      </c>
      <c r="F49" s="36" t="inlineStr">
        <is>
          <t>universal joists; 127 x 76 mm</t>
        </is>
      </c>
      <c r="G49" s="6" t="inlineStr">
        <is>
          <t>m</t>
        </is>
      </c>
      <c r="H49" s="7" t="n"/>
      <c r="I49" s="8" t="n">
        <v>17.81</v>
      </c>
      <c r="J49" s="8" t="n">
        <v>0</v>
      </c>
      <c r="K49" s="8" t="n">
        <v>98.92</v>
      </c>
      <c r="L49" s="8" t="n">
        <v>0</v>
      </c>
      <c r="M49" s="8" t="n">
        <v>116.73</v>
      </c>
      <c r="N49" s="41" t="n">
        <v>27.94</v>
      </c>
      <c r="O49" s="41" t="n">
        <v>0</v>
      </c>
      <c r="P49" s="41" t="n">
        <v>115.68</v>
      </c>
      <c r="Q49" s="41" t="n">
        <v>0</v>
      </c>
      <c r="R49" s="41" t="n">
        <v>143.61</v>
      </c>
      <c r="S49" s="5" t="inlineStr">
        <is>
          <t>Apportioned (class)</t>
        </is>
      </c>
      <c r="T49" s="6" t="inlineStr">
        <is>
          <t>Low</t>
        </is>
      </c>
      <c r="U49" s="8" t="n">
        <v>116.73</v>
      </c>
      <c r="V49" s="8" t="n">
        <v>0</v>
      </c>
      <c r="W49" s="5" t="inlineStr">
        <is>
          <t>Apportioned at class level</t>
        </is>
      </c>
      <c r="X49" s="36" t="inlineStr">
        <is>
          <t>Split from published rate using median L/P/M shares of 48 comparable build-ups at class level (15/0/85).</t>
        </is>
      </c>
    </row>
    <row r="50">
      <c r="A50" s="4" t="n">
        <v>3451</v>
      </c>
      <c r="B50" s="5" t="inlineStr">
        <is>
          <t>IMG_0112</t>
        </is>
      </c>
      <c r="C50" s="5" t="inlineStr">
        <is>
          <t>CLASS N: MISCELLANEOUS METALWORK</t>
        </is>
      </c>
      <c r="D50" s="5" t="inlineStr">
        <is>
          <t>01 MILD STEEL</t>
        </is>
      </c>
      <c r="E50" s="36" t="inlineStr">
        <is>
          <t>Miscellaneous framing</t>
        </is>
      </c>
      <c r="F50" s="36" t="inlineStr">
        <is>
          <t>channel section; 381 x 102 mm</t>
        </is>
      </c>
      <c r="G50" s="6" t="inlineStr">
        <is>
          <t>m</t>
        </is>
      </c>
      <c r="H50" s="7" t="n"/>
      <c r="I50" s="8" t="n">
        <v>76</v>
      </c>
      <c r="J50" s="8" t="n">
        <v>0</v>
      </c>
      <c r="K50" s="8" t="n">
        <v>422.05</v>
      </c>
      <c r="L50" s="8" t="n">
        <v>0</v>
      </c>
      <c r="M50" s="8" t="n">
        <v>498.05</v>
      </c>
      <c r="N50" s="41" t="n">
        <v>119.22</v>
      </c>
      <c r="O50" s="41" t="n">
        <v>0</v>
      </c>
      <c r="P50" s="41" t="n">
        <v>493.55</v>
      </c>
      <c r="Q50" s="41" t="n">
        <v>0</v>
      </c>
      <c r="R50" s="41" t="n">
        <v>612.76</v>
      </c>
      <c r="S50" s="5" t="inlineStr">
        <is>
          <t>Apportioned (class)</t>
        </is>
      </c>
      <c r="T50" s="6" t="inlineStr">
        <is>
          <t>Low</t>
        </is>
      </c>
      <c r="U50" s="8" t="n">
        <v>498.05</v>
      </c>
      <c r="V50" s="8" t="n">
        <v>0</v>
      </c>
      <c r="W50" s="5" t="inlineStr">
        <is>
          <t>Apportioned at class level</t>
        </is>
      </c>
      <c r="X50" s="36" t="inlineStr">
        <is>
          <t>Split from published rate using median L/P/M shares of 48 comparable build-ups at class level (15/0/85).</t>
        </is>
      </c>
    </row>
    <row r="51">
      <c r="A51" s="4" t="n">
        <v>3452</v>
      </c>
      <c r="B51" s="5" t="inlineStr">
        <is>
          <t>IMG_0112</t>
        </is>
      </c>
      <c r="C51" s="5" t="inlineStr">
        <is>
          <t>CLASS N: MISCELLANEOUS METALWORK</t>
        </is>
      </c>
      <c r="D51" s="5" t="inlineStr">
        <is>
          <t>01 MILD STEEL</t>
        </is>
      </c>
      <c r="E51" s="36" t="inlineStr">
        <is>
          <t>Miscellaneous framing</t>
        </is>
      </c>
      <c r="F51" s="36" t="inlineStr">
        <is>
          <t>channel section; 254 x 76 mm</t>
        </is>
      </c>
      <c r="G51" s="6" t="inlineStr">
        <is>
          <t>m</t>
        </is>
      </c>
      <c r="H51" s="7" t="n"/>
      <c r="I51" s="8" t="n">
        <v>39.19</v>
      </c>
      <c r="J51" s="8" t="n">
        <v>0</v>
      </c>
      <c r="K51" s="8" t="n">
        <v>217.62</v>
      </c>
      <c r="L51" s="8" t="n">
        <v>0</v>
      </c>
      <c r="M51" s="8" t="n">
        <v>256.81</v>
      </c>
      <c r="N51" s="41" t="n">
        <v>61.47</v>
      </c>
      <c r="O51" s="41" t="n">
        <v>0</v>
      </c>
      <c r="P51" s="41" t="n">
        <v>254.48</v>
      </c>
      <c r="Q51" s="41" t="n">
        <v>0</v>
      </c>
      <c r="R51" s="41" t="n">
        <v>315.96</v>
      </c>
      <c r="S51" s="5" t="inlineStr">
        <is>
          <t>Apportioned (class)</t>
        </is>
      </c>
      <c r="T51" s="6" t="inlineStr">
        <is>
          <t>Low</t>
        </is>
      </c>
      <c r="U51" s="8" t="n">
        <v>256.81</v>
      </c>
      <c r="V51" s="8" t="n">
        <v>0</v>
      </c>
      <c r="W51" s="5" t="inlineStr">
        <is>
          <t>Apportioned at class level</t>
        </is>
      </c>
      <c r="X51" s="36" t="inlineStr">
        <is>
          <t>Split from published rate using median L/P/M shares of 48 comparable build-ups at class level (15/0/85).</t>
        </is>
      </c>
    </row>
    <row r="52">
      <c r="A52" s="4" t="n">
        <v>3453</v>
      </c>
      <c r="B52" s="5" t="inlineStr">
        <is>
          <t>IMG_0112</t>
        </is>
      </c>
      <c r="C52" s="5" t="inlineStr">
        <is>
          <t>CLASS N: MISCELLANEOUS METALWORK</t>
        </is>
      </c>
      <c r="D52" s="5" t="inlineStr">
        <is>
          <t>01 MILD STEEL</t>
        </is>
      </c>
      <c r="E52" s="36" t="inlineStr">
        <is>
          <t>Miscellaneous framing</t>
        </is>
      </c>
      <c r="F52" s="36" t="inlineStr">
        <is>
          <t>channel section; 152 x 76 mm</t>
        </is>
      </c>
      <c r="G52" s="6" t="inlineStr">
        <is>
          <t>m</t>
        </is>
      </c>
      <c r="H52" s="7" t="n"/>
      <c r="I52" s="8" t="n">
        <v>24.94</v>
      </c>
      <c r="J52" s="8" t="n">
        <v>0</v>
      </c>
      <c r="K52" s="8" t="n">
        <v>138.48</v>
      </c>
      <c r="L52" s="8" t="n">
        <v>0</v>
      </c>
      <c r="M52" s="8" t="n">
        <v>163.42</v>
      </c>
      <c r="N52" s="41" t="n">
        <v>39.12</v>
      </c>
      <c r="O52" s="41" t="n">
        <v>0</v>
      </c>
      <c r="P52" s="41" t="n">
        <v>161.94</v>
      </c>
      <c r="Q52" s="41" t="n">
        <v>0</v>
      </c>
      <c r="R52" s="41" t="n">
        <v>201.06</v>
      </c>
      <c r="S52" s="5" t="inlineStr">
        <is>
          <t>Apportioned (class)</t>
        </is>
      </c>
      <c r="T52" s="6" t="inlineStr">
        <is>
          <t>Low</t>
        </is>
      </c>
      <c r="U52" s="8" t="n">
        <v>163.42</v>
      </c>
      <c r="V52" s="8" t="n">
        <v>0</v>
      </c>
      <c r="W52" s="5" t="inlineStr">
        <is>
          <t>Apportioned at class level</t>
        </is>
      </c>
      <c r="X52" s="36" t="inlineStr">
        <is>
          <t>Split from published rate using median L/P/M shares of 48 comparable build-ups at class level (15/0/85).</t>
        </is>
      </c>
    </row>
    <row r="53">
      <c r="A53" s="4" t="n">
        <v>3454</v>
      </c>
      <c r="B53" s="5" t="inlineStr">
        <is>
          <t>IMG_0112</t>
        </is>
      </c>
      <c r="C53" s="5" t="inlineStr">
        <is>
          <t>CLASS N: MISCELLANEOUS METALWORK</t>
        </is>
      </c>
      <c r="D53" s="5" t="inlineStr">
        <is>
          <t>01 MILD STEEL</t>
        </is>
      </c>
      <c r="E53" s="36" t="inlineStr">
        <is>
          <t>Miscellaneous framing</t>
        </is>
      </c>
      <c r="F53" s="36" t="inlineStr">
        <is>
          <t>tubular section; 100 x 100 x 10 mm</t>
        </is>
      </c>
      <c r="G53" s="6" t="inlineStr">
        <is>
          <t>m</t>
        </is>
      </c>
      <c r="H53" s="7" t="n"/>
      <c r="I53" s="8" t="n">
        <v>35.63</v>
      </c>
      <c r="J53" s="8" t="n">
        <v>0</v>
      </c>
      <c r="K53" s="8" t="n">
        <v>197.86</v>
      </c>
      <c r="L53" s="8" t="n">
        <v>0</v>
      </c>
      <c r="M53" s="8" t="n">
        <v>233.49</v>
      </c>
      <c r="N53" s="41" t="n">
        <v>55.89</v>
      </c>
      <c r="O53" s="41" t="n">
        <v>0</v>
      </c>
      <c r="P53" s="41" t="n">
        <v>231.38</v>
      </c>
      <c r="Q53" s="41" t="n">
        <v>0</v>
      </c>
      <c r="R53" s="41" t="n">
        <v>287.27</v>
      </c>
      <c r="S53" s="5" t="inlineStr">
        <is>
          <t>Apportioned (class)</t>
        </is>
      </c>
      <c r="T53" s="6" t="inlineStr">
        <is>
          <t>Low</t>
        </is>
      </c>
      <c r="U53" s="8" t="n">
        <v>233.49</v>
      </c>
      <c r="V53" s="8" t="n">
        <v>0</v>
      </c>
      <c r="W53" s="5" t="inlineStr">
        <is>
          <t>Apportioned at class level</t>
        </is>
      </c>
      <c r="X53" s="36" t="inlineStr">
        <is>
          <t>Split from published rate using median L/P/M shares of 48 comparable build-ups at class level (15/0/85).</t>
        </is>
      </c>
    </row>
    <row r="54">
      <c r="A54" s="4" t="n">
        <v>3455</v>
      </c>
      <c r="B54" s="5" t="inlineStr">
        <is>
          <t>IMG_0112</t>
        </is>
      </c>
      <c r="C54" s="5" t="inlineStr">
        <is>
          <t>CLASS N: MISCELLANEOUS METALWORK</t>
        </is>
      </c>
      <c r="D54" s="5" t="inlineStr">
        <is>
          <t>01 MILD STEEL</t>
        </is>
      </c>
      <c r="E54" s="36" t="inlineStr">
        <is>
          <t>Miscellaneous framing</t>
        </is>
      </c>
      <c r="F54" s="36" t="inlineStr">
        <is>
          <t>tubular section; 200 x 200 x 15 mm</t>
        </is>
      </c>
      <c r="G54" s="6" t="inlineStr">
        <is>
          <t>m</t>
        </is>
      </c>
      <c r="H54" s="7" t="n"/>
      <c r="I54" s="8" t="n">
        <v>118.76</v>
      </c>
      <c r="J54" s="8" t="n">
        <v>0</v>
      </c>
      <c r="K54" s="8" t="n">
        <v>659.49</v>
      </c>
      <c r="L54" s="8" t="n">
        <v>0</v>
      </c>
      <c r="M54" s="8" t="n">
        <v>778.25</v>
      </c>
      <c r="N54" s="41" t="n">
        <v>186.29</v>
      </c>
      <c r="O54" s="41" t="n">
        <v>0</v>
      </c>
      <c r="P54" s="41" t="n">
        <v>771.21</v>
      </c>
      <c r="Q54" s="41" t="n">
        <v>0</v>
      </c>
      <c r="R54" s="41" t="n">
        <v>957.5</v>
      </c>
      <c r="S54" s="5" t="inlineStr">
        <is>
          <t>Apportioned (class)</t>
        </is>
      </c>
      <c r="T54" s="6" t="inlineStr">
        <is>
          <t>Low</t>
        </is>
      </c>
      <c r="U54" s="8" t="n">
        <v>778.25</v>
      </c>
      <c r="V54" s="8" t="n">
        <v>0</v>
      </c>
      <c r="W54" s="5" t="inlineStr">
        <is>
          <t>Apportioned at class level</t>
        </is>
      </c>
      <c r="X54" s="36" t="inlineStr">
        <is>
          <t>Split from published rate using median L/P/M shares of 48 comparable build-ups at class level (15/0/85).</t>
        </is>
      </c>
    </row>
    <row r="55">
      <c r="A55" s="4" t="n">
        <v>3456</v>
      </c>
      <c r="B55" s="5" t="inlineStr">
        <is>
          <t>IMG_0112</t>
        </is>
      </c>
      <c r="C55" s="5" t="inlineStr">
        <is>
          <t>CLASS N: MISCELLANEOUS METALWORK</t>
        </is>
      </c>
      <c r="D55" s="5" t="inlineStr">
        <is>
          <t>01 MILD STEEL</t>
        </is>
      </c>
      <c r="E55" s="36" t="inlineStr">
        <is>
          <t>Miscellaneous framing</t>
        </is>
      </c>
      <c r="F55" s="36" t="inlineStr">
        <is>
          <t>tubular section; 76.1 x 5.0 mm</t>
        </is>
      </c>
      <c r="G55" s="6" t="inlineStr">
        <is>
          <t>m</t>
        </is>
      </c>
      <c r="H55" s="7" t="n"/>
      <c r="I55" s="8" t="n">
        <v>12.35</v>
      </c>
      <c r="J55" s="8" t="n">
        <v>0</v>
      </c>
      <c r="K55" s="8" t="n">
        <v>68.56999999999999</v>
      </c>
      <c r="L55" s="8" t="n">
        <v>0</v>
      </c>
      <c r="M55" s="8" t="n">
        <v>80.92</v>
      </c>
      <c r="N55" s="41" t="n">
        <v>19.37</v>
      </c>
      <c r="O55" s="41" t="n">
        <v>0</v>
      </c>
      <c r="P55" s="41" t="n">
        <v>80.19</v>
      </c>
      <c r="Q55" s="41" t="n">
        <v>0</v>
      </c>
      <c r="R55" s="41" t="n">
        <v>99.56</v>
      </c>
      <c r="S55" s="5" t="inlineStr">
        <is>
          <t>Apportioned (class)</t>
        </is>
      </c>
      <c r="T55" s="6" t="inlineStr">
        <is>
          <t>Low</t>
        </is>
      </c>
      <c r="U55" s="8" t="n">
        <v>80.92</v>
      </c>
      <c r="V55" s="8" t="n">
        <v>0</v>
      </c>
      <c r="W55" s="5" t="inlineStr">
        <is>
          <t>Apportioned at class level</t>
        </is>
      </c>
      <c r="X55" s="36" t="inlineStr">
        <is>
          <t>Split from published rate using median L/P/M shares of 48 comparable build-ups at class level (15/0/85).</t>
        </is>
      </c>
    </row>
    <row r="56">
      <c r="A56" s="4" t="n">
        <v>3457</v>
      </c>
      <c r="B56" s="5" t="inlineStr">
        <is>
          <t>IMG_0112</t>
        </is>
      </c>
      <c r="C56" s="5" t="inlineStr">
        <is>
          <t>CLASS N: MISCELLANEOUS METALWORK</t>
        </is>
      </c>
      <c r="D56" s="5" t="inlineStr">
        <is>
          <t>01 MILD STEEL</t>
        </is>
      </c>
      <c r="E56" s="36" t="inlineStr">
        <is>
          <t>Miscellaneous framing</t>
        </is>
      </c>
      <c r="F56" s="36" t="inlineStr">
        <is>
          <t>tubular section; 139.7 x 6.3 mm</t>
        </is>
      </c>
      <c r="G56" s="6" t="inlineStr">
        <is>
          <t>m</t>
        </is>
      </c>
      <c r="H56" s="7" t="n"/>
      <c r="I56" s="8" t="n">
        <v>34.44</v>
      </c>
      <c r="J56" s="8" t="n">
        <v>0</v>
      </c>
      <c r="K56" s="8" t="n">
        <v>191.26</v>
      </c>
      <c r="L56" s="8" t="n">
        <v>0</v>
      </c>
      <c r="M56" s="8" t="n">
        <v>225.7</v>
      </c>
      <c r="N56" s="41" t="n">
        <v>54.02</v>
      </c>
      <c r="O56" s="41" t="n">
        <v>0</v>
      </c>
      <c r="P56" s="41" t="n">
        <v>223.66</v>
      </c>
      <c r="Q56" s="41" t="n">
        <v>0</v>
      </c>
      <c r="R56" s="41" t="n">
        <v>277.68</v>
      </c>
      <c r="S56" s="5" t="inlineStr">
        <is>
          <t>Apportioned (class)</t>
        </is>
      </c>
      <c r="T56" s="6" t="inlineStr">
        <is>
          <t>Low</t>
        </is>
      </c>
      <c r="U56" s="8" t="n">
        <v>225.7</v>
      </c>
      <c r="V56" s="8" t="n">
        <v>0</v>
      </c>
      <c r="W56" s="5" t="inlineStr">
        <is>
          <t>Apportioned at class level</t>
        </is>
      </c>
      <c r="X56" s="36" t="inlineStr">
        <is>
          <t>Split from published rate using median L/P/M shares of 48 comparable build-ups at class level (15/0/85).</t>
        </is>
      </c>
    </row>
    <row r="57">
      <c r="A57" s="4" t="n">
        <v>3459</v>
      </c>
      <c r="B57" s="5" t="inlineStr">
        <is>
          <t>IMG_0112</t>
        </is>
      </c>
      <c r="C57" s="5" t="inlineStr">
        <is>
          <t>CLASS N: MISCELLANEOUS METALWORK</t>
        </is>
      </c>
      <c r="D57" s="5" t="inlineStr">
        <is>
          <t>01 MILD STEEL</t>
        </is>
      </c>
      <c r="E57" s="36" t="inlineStr">
        <is>
          <t>Mild steel; galvanized; Handrails</t>
        </is>
      </c>
      <c r="F57" s="36" t="inlineStr">
        <is>
          <t>76 mm dia. tubular handrail, 48 mm dia. standards at 750 mm centres, 48 mm dia. middle rail, 1070 mm high overall</t>
        </is>
      </c>
      <c r="G57" s="6" t="inlineStr">
        <is>
          <t>m</t>
        </is>
      </c>
      <c r="H57" s="7" t="n"/>
      <c r="I57" s="8" t="n">
        <v>30.65</v>
      </c>
      <c r="J57" s="8" t="n">
        <v>0</v>
      </c>
      <c r="K57" s="8" t="n">
        <v>170.19</v>
      </c>
      <c r="L57" s="8" t="n">
        <v>0</v>
      </c>
      <c r="M57" s="8" t="n">
        <v>200.84</v>
      </c>
      <c r="N57" s="41" t="n">
        <v>48.08</v>
      </c>
      <c r="O57" s="41" t="n">
        <v>0</v>
      </c>
      <c r="P57" s="41" t="n">
        <v>199.02</v>
      </c>
      <c r="Q57" s="41" t="n">
        <v>0</v>
      </c>
      <c r="R57" s="41" t="n">
        <v>247.1</v>
      </c>
      <c r="S57" s="5" t="inlineStr">
        <is>
          <t>Apportioned (class)</t>
        </is>
      </c>
      <c r="T57" s="6" t="inlineStr">
        <is>
          <t>Low</t>
        </is>
      </c>
      <c r="U57" s="8" t="n">
        <v>200.84</v>
      </c>
      <c r="V57" s="8" t="n">
        <v>0</v>
      </c>
      <c r="W57" s="5" t="inlineStr">
        <is>
          <t>Apportioned at class level</t>
        </is>
      </c>
      <c r="X57" s="36" t="inlineStr">
        <is>
          <t>Split from published rate using median L/P/M shares of 48 comparable build-ups at class level (15/0/85).</t>
        </is>
      </c>
    </row>
    <row r="58">
      <c r="A58" s="4" t="n">
        <v>3461</v>
      </c>
      <c r="B58" s="5" t="inlineStr">
        <is>
          <t>IMG_0112</t>
        </is>
      </c>
      <c r="C58" s="5" t="inlineStr">
        <is>
          <t>CLASS N: MISCELLANEOUS METALWORK</t>
        </is>
      </c>
      <c r="D58" s="5" t="inlineStr">
        <is>
          <t>01 MILD STEEL</t>
        </is>
      </c>
      <c r="E58" s="36" t="inlineStr">
        <is>
          <t>Plate flooring</t>
        </is>
      </c>
      <c r="F58" s="36" t="inlineStr">
        <is>
          <t>8 mm (on plain) Durbar pattern floor plates, maximum weight each panel 50 kg</t>
        </is>
      </c>
      <c r="G58" s="6" t="inlineStr">
        <is>
          <t>m2</t>
        </is>
      </c>
      <c r="H58" s="7" t="n"/>
      <c r="I58" s="8" t="n">
        <v>82.64</v>
      </c>
      <c r="J58" s="8" t="n">
        <v>0</v>
      </c>
      <c r="K58" s="8" t="n">
        <v>458.91</v>
      </c>
      <c r="L58" s="8" t="n">
        <v>0</v>
      </c>
      <c r="M58" s="8" t="n">
        <v>541.55</v>
      </c>
      <c r="N58" s="41" t="n">
        <v>129.63</v>
      </c>
      <c r="O58" s="41" t="n">
        <v>0</v>
      </c>
      <c r="P58" s="41" t="n">
        <v>536.65</v>
      </c>
      <c r="Q58" s="41" t="n">
        <v>0</v>
      </c>
      <c r="R58" s="41" t="n">
        <v>666.28</v>
      </c>
      <c r="S58" s="5" t="inlineStr">
        <is>
          <t>Apportioned (class)</t>
        </is>
      </c>
      <c r="T58" s="6" t="inlineStr">
        <is>
          <t>Low</t>
        </is>
      </c>
      <c r="U58" s="8" t="n">
        <v>541.55</v>
      </c>
      <c r="V58" s="8" t="n">
        <v>0</v>
      </c>
      <c r="W58" s="5" t="inlineStr">
        <is>
          <t>Apportioned at class level</t>
        </is>
      </c>
      <c r="X58" s="36" t="inlineStr">
        <is>
          <t>Split from published rate using median L/P/M shares of 48 comparable build-ups at class level (15/0/85).</t>
        </is>
      </c>
    </row>
    <row r="59">
      <c r="A59" s="4" t="n">
        <v>3463</v>
      </c>
      <c r="B59" s="5" t="inlineStr">
        <is>
          <t>IMG_0112</t>
        </is>
      </c>
      <c r="C59" s="5" t="inlineStr">
        <is>
          <t>CLASS N: MISCELLANEOUS METALWORK</t>
        </is>
      </c>
      <c r="D59" s="5" t="inlineStr">
        <is>
          <t>01 MILD STEEL</t>
        </is>
      </c>
      <c r="E59" s="36" t="inlineStr">
        <is>
          <t>Mild steel; internally and externally acid dipped, rinse and hot dip galvanized, epoxy internal paint; Uncovered tanks</t>
        </is>
      </c>
      <c r="F59" s="36" t="inlineStr">
        <is>
          <t>1600 litre capacity open top water tank</t>
        </is>
      </c>
      <c r="G59" s="6" t="inlineStr">
        <is>
          <t>nr</t>
        </is>
      </c>
      <c r="H59" s="7" t="n"/>
      <c r="I59" s="8" t="n">
        <v>284.38</v>
      </c>
      <c r="J59" s="8" t="n">
        <v>0</v>
      </c>
      <c r="K59" s="8" t="n">
        <v>1579.25</v>
      </c>
      <c r="L59" s="8" t="n">
        <v>0</v>
      </c>
      <c r="M59" s="8" t="n">
        <v>1863.63</v>
      </c>
      <c r="N59" s="41" t="n">
        <v>446.09</v>
      </c>
      <c r="O59" s="41" t="n">
        <v>0</v>
      </c>
      <c r="P59" s="41" t="n">
        <v>1846.77</v>
      </c>
      <c r="Q59" s="41" t="n">
        <v>0</v>
      </c>
      <c r="R59" s="41" t="n">
        <v>2292.86</v>
      </c>
      <c r="S59" s="5" t="inlineStr">
        <is>
          <t>Apportioned (class)</t>
        </is>
      </c>
      <c r="T59" s="6" t="inlineStr">
        <is>
          <t>Low</t>
        </is>
      </c>
      <c r="U59" s="8" t="n">
        <v>1863.63</v>
      </c>
      <c r="V59" s="8" t="n">
        <v>0</v>
      </c>
      <c r="W59" s="5" t="inlineStr">
        <is>
          <t>Apportioned at class level</t>
        </is>
      </c>
      <c r="X59" s="36" t="inlineStr">
        <is>
          <t>Split from published rate using median L/P/M shares of 48 comparable build-ups at class level (15/0/85).</t>
        </is>
      </c>
    </row>
    <row r="60">
      <c r="A60" s="4" t="n">
        <v>3464</v>
      </c>
      <c r="B60" s="5" t="inlineStr">
        <is>
          <t>IMG_0112</t>
        </is>
      </c>
      <c r="C60" s="5" t="inlineStr">
        <is>
          <t>CLASS N: MISCELLANEOUS METALWORK</t>
        </is>
      </c>
      <c r="D60" s="5" t="inlineStr">
        <is>
          <t>01 MILD STEEL</t>
        </is>
      </c>
      <c r="E60" s="36" t="inlineStr">
        <is>
          <t>Mild steel; internally and externally acid dipped, rinse and hot dip galvanized, epoxy internal paint; Uncovered tanks</t>
        </is>
      </c>
      <c r="F60" s="36" t="inlineStr">
        <is>
          <t>18180 litre capacity open top water tank</t>
        </is>
      </c>
      <c r="G60" s="6" t="inlineStr">
        <is>
          <t>nr</t>
        </is>
      </c>
      <c r="H60" s="7" t="n"/>
      <c r="I60" s="8" t="n">
        <v>2716.8</v>
      </c>
      <c r="J60" s="8" t="n">
        <v>0</v>
      </c>
      <c r="K60" s="8" t="n">
        <v>15087.29</v>
      </c>
      <c r="L60" s="8" t="n">
        <v>0</v>
      </c>
      <c r="M60" s="8" t="n">
        <v>17804.09</v>
      </c>
      <c r="N60" s="41" t="n">
        <v>4261.66</v>
      </c>
      <c r="O60" s="41" t="n">
        <v>0</v>
      </c>
      <c r="P60" s="41" t="n">
        <v>17643.08</v>
      </c>
      <c r="Q60" s="41" t="n">
        <v>0</v>
      </c>
      <c r="R60" s="41" t="n">
        <v>21904.74</v>
      </c>
      <c r="S60" s="5" t="inlineStr">
        <is>
          <t>Apportioned (class)</t>
        </is>
      </c>
      <c r="T60" s="6" t="inlineStr">
        <is>
          <t>Low</t>
        </is>
      </c>
      <c r="U60" s="8" t="n">
        <v>17804.09</v>
      </c>
      <c r="V60" s="8" t="n">
        <v>0</v>
      </c>
      <c r="W60" s="5" t="inlineStr">
        <is>
          <t>Apportioned at class level</t>
        </is>
      </c>
      <c r="X60" s="36" t="inlineStr">
        <is>
          <t>Split from published rate using median L/P/M shares of 48 comparable build-ups at class level (15/0/85).</t>
        </is>
      </c>
    </row>
    <row r="61">
      <c r="A61" s="4" t="n">
        <v>3466</v>
      </c>
      <c r="B61" s="5" t="inlineStr">
        <is>
          <t>IMG_0112</t>
        </is>
      </c>
      <c r="C61" s="5" t="inlineStr">
        <is>
          <t>CLASS N: MISCELLANEOUS METALWORK</t>
        </is>
      </c>
      <c r="D61" s="5" t="inlineStr">
        <is>
          <t>01 MILD STEEL</t>
        </is>
      </c>
      <c r="E61" s="36" t="inlineStr">
        <is>
          <t>Covered tanks</t>
        </is>
      </c>
      <c r="F61" s="36" t="inlineStr">
        <is>
          <t>1600 litre capacity open top water tank with loose fitting lid</t>
        </is>
      </c>
      <c r="G61" s="6" t="inlineStr">
        <is>
          <t>nr</t>
        </is>
      </c>
      <c r="H61" s="7" t="n"/>
      <c r="I61" s="8" t="n">
        <v>382.69</v>
      </c>
      <c r="J61" s="8" t="n">
        <v>0</v>
      </c>
      <c r="K61" s="8" t="n">
        <v>2125.22</v>
      </c>
      <c r="L61" s="8" t="n">
        <v>0</v>
      </c>
      <c r="M61" s="8" t="n">
        <v>2507.91</v>
      </c>
      <c r="N61" s="41" t="n">
        <v>600.3</v>
      </c>
      <c r="O61" s="41" t="n">
        <v>0</v>
      </c>
      <c r="P61" s="41" t="n">
        <v>2485.23</v>
      </c>
      <c r="Q61" s="41" t="n">
        <v>0</v>
      </c>
      <c r="R61" s="41" t="n">
        <v>3085.53</v>
      </c>
      <c r="S61" s="5" t="inlineStr">
        <is>
          <t>Apportioned (class)</t>
        </is>
      </c>
      <c r="T61" s="6" t="inlineStr">
        <is>
          <t>Low</t>
        </is>
      </c>
      <c r="U61" s="8" t="n">
        <v>2507.91</v>
      </c>
      <c r="V61" s="8" t="n">
        <v>0</v>
      </c>
      <c r="W61" s="5" t="inlineStr">
        <is>
          <t>Apportioned at class level</t>
        </is>
      </c>
      <c r="X61" s="36" t="inlineStr">
        <is>
          <t>Split from published rate using median L/P/M shares of 48 comparable build-ups at class level (15/0/85).</t>
        </is>
      </c>
    </row>
    <row r="62">
      <c r="A62" s="4" t="n">
        <v>3467</v>
      </c>
      <c r="B62" s="5" t="inlineStr">
        <is>
          <t>IMG_0112</t>
        </is>
      </c>
      <c r="C62" s="5" t="inlineStr">
        <is>
          <t>CLASS N: MISCELLANEOUS METALWORK</t>
        </is>
      </c>
      <c r="D62" s="5" t="inlineStr">
        <is>
          <t>01 MILD STEEL</t>
        </is>
      </c>
      <c r="E62" s="36" t="inlineStr">
        <is>
          <t>Covered tanks</t>
        </is>
      </c>
      <c r="F62" s="36" t="inlineStr">
        <is>
          <t>18180 litre capacity open top water tank with loose fitting lid</t>
        </is>
      </c>
      <c r="G62" s="6" t="inlineStr">
        <is>
          <t>nr</t>
        </is>
      </c>
      <c r="H62" s="7" t="n"/>
      <c r="I62" s="8" t="n">
        <v>2436.56</v>
      </c>
      <c r="J62" s="8" t="n">
        <v>0</v>
      </c>
      <c r="K62" s="8" t="n">
        <v>13531.04</v>
      </c>
      <c r="L62" s="8" t="n">
        <v>0</v>
      </c>
      <c r="M62" s="8" t="n">
        <v>15967.6</v>
      </c>
      <c r="N62" s="41" t="n">
        <v>3822.07</v>
      </c>
      <c r="O62" s="41" t="n">
        <v>0</v>
      </c>
      <c r="P62" s="41" t="n">
        <v>15823.2</v>
      </c>
      <c r="Q62" s="41" t="n">
        <v>0</v>
      </c>
      <c r="R62" s="41" t="n">
        <v>19645.27</v>
      </c>
      <c r="S62" s="5" t="inlineStr">
        <is>
          <t>Apportioned (class)</t>
        </is>
      </c>
      <c r="T62" s="6" t="inlineStr">
        <is>
          <t>Low</t>
        </is>
      </c>
      <c r="U62" s="8" t="n">
        <v>15967.6</v>
      </c>
      <c r="V62" s="8" t="n">
        <v>0</v>
      </c>
      <c r="W62" s="5" t="inlineStr">
        <is>
          <t>Apportioned at class level</t>
        </is>
      </c>
      <c r="X62" s="36" t="inlineStr">
        <is>
          <t>Split from published rate using median L/P/M shares of 48 comparable build-ups at class level (15/0/85).</t>
        </is>
      </c>
    </row>
    <row r="63">
      <c r="A63" s="4" t="n">
        <v>3469</v>
      </c>
      <c r="B63" s="5" t="inlineStr">
        <is>
          <t>IMG_0112</t>
        </is>
      </c>
      <c r="C63" s="5" t="inlineStr">
        <is>
          <t>CLASS N: MISCELLANEOUS METALWORK</t>
        </is>
      </c>
      <c r="D63" s="5" t="inlineStr">
        <is>
          <t>01 MILD STEEL</t>
        </is>
      </c>
      <c r="E63" s="36" t="inlineStr">
        <is>
          <t>Corrugated steel plates to BS 1449 Pt 1, Gr H4, sealed and bolted; BS729 hot dip galvanized, epoxy internal and external paint; Uncovered tanks</t>
        </is>
      </c>
      <c r="F63" s="36" t="inlineStr">
        <is>
          <t>713 m3 capacity bolted cylindrical open top tank</t>
        </is>
      </c>
      <c r="G63" s="6" t="inlineStr">
        <is>
          <t>nr</t>
        </is>
      </c>
      <c r="H63" s="7" t="n"/>
      <c r="I63" s="8" t="n">
        <v>10454.93</v>
      </c>
      <c r="J63" s="8" t="n">
        <v>0</v>
      </c>
      <c r="K63" s="8" t="n">
        <v>58059.62</v>
      </c>
      <c r="L63" s="8" t="n">
        <v>0</v>
      </c>
      <c r="M63" s="8" t="n">
        <v>68514.55</v>
      </c>
      <c r="N63" s="41" t="n">
        <v>16399.95</v>
      </c>
      <c r="O63" s="41" t="n">
        <v>0</v>
      </c>
      <c r="P63" s="41" t="n">
        <v>67894.92</v>
      </c>
      <c r="Q63" s="41" t="n">
        <v>0</v>
      </c>
      <c r="R63" s="41" t="n">
        <v>84294.87</v>
      </c>
      <c r="S63" s="5" t="inlineStr">
        <is>
          <t>Apportioned (class)</t>
        </is>
      </c>
      <c r="T63" s="6" t="inlineStr">
        <is>
          <t>Low</t>
        </is>
      </c>
      <c r="U63" s="8" t="n">
        <v>68514.55</v>
      </c>
      <c r="V63" s="8" t="n">
        <v>0</v>
      </c>
      <c r="W63" s="5" t="inlineStr">
        <is>
          <t>Apportioned at class level</t>
        </is>
      </c>
      <c r="X63" s="36" t="inlineStr">
        <is>
          <t>Split from published rate using median L/P/M shares of 48 comparable build-ups at class level (15/0/85).</t>
        </is>
      </c>
    </row>
    <row r="64">
      <c r="A64" s="4" t="n">
        <v>4018</v>
      </c>
      <c r="B64" s="5" t="inlineStr">
        <is>
          <t>IMG_0120</t>
        </is>
      </c>
      <c r="C64" s="5" t="inlineStr">
        <is>
          <t>CLASS P: PILES</t>
        </is>
      </c>
      <c r="D64" s="5" t="inlineStr">
        <is>
          <t>06 ISOLATED STEEL PILES</t>
        </is>
      </c>
      <c r="E64" s="36" t="inlineStr">
        <is>
          <t>Mass 45 kg/m; 203 x 203 mm</t>
        </is>
      </c>
      <c r="F64" s="36" t="inlineStr">
        <is>
          <t>number of piles: length 10 m</t>
        </is>
      </c>
      <c r="G64" s="6" t="inlineStr">
        <is>
          <t>nr</t>
        </is>
      </c>
      <c r="H64" s="7" t="n"/>
      <c r="I64" s="8" t="n">
        <v>0</v>
      </c>
      <c r="J64" s="8" t="n">
        <v>862.55</v>
      </c>
      <c r="K64" s="8" t="n">
        <v>0</v>
      </c>
      <c r="L64" s="8" t="n">
        <v>8635.73</v>
      </c>
      <c r="M64" s="8" t="n">
        <v>9498.280000000001</v>
      </c>
      <c r="N64" s="41" t="n">
        <v>0</v>
      </c>
      <c r="O64" s="41" t="n">
        <v>1008.67</v>
      </c>
      <c r="P64" s="41" t="n">
        <v>0</v>
      </c>
      <c r="Q64" s="41" t="n">
        <v>11305.31</v>
      </c>
      <c r="R64" s="41" t="n">
        <v>12313.97</v>
      </c>
      <c r="S64" s="5" t="inlineStr">
        <is>
          <t>Stated components + specialist balance</t>
        </is>
      </c>
      <c r="T64" s="6" t="inlineStr">
        <is>
          <t>Medium</t>
        </is>
      </c>
      <c r="U64" s="8" t="n">
        <v>9498.280000000001</v>
      </c>
      <c r="V64" s="8" t="n">
        <v>0</v>
      </c>
      <c r="W64" s="5" t="inlineStr">
        <is>
          <t>Large unexplained balance</t>
        </is>
      </c>
      <c r="X64" s="36" t="inlineStr">
        <is>
          <t>Published plant/labour retained; the £8,635.73 balance of the specialist all-in rate is not broken down in the source.</t>
        </is>
      </c>
    </row>
    <row r="65">
      <c r="A65" s="4" t="n">
        <v>4019</v>
      </c>
      <c r="B65" s="5" t="inlineStr">
        <is>
          <t>IMG_0120</t>
        </is>
      </c>
      <c r="C65" s="5" t="inlineStr">
        <is>
          <t>CLASS P: PILES</t>
        </is>
      </c>
      <c r="D65" s="5" t="inlineStr">
        <is>
          <t>06 ISOLATED STEEL PILES</t>
        </is>
      </c>
      <c r="E65" s="36" t="inlineStr">
        <is>
          <t>Mass 45 kg/m; 203 x 203 mm</t>
        </is>
      </c>
      <c r="F65" s="36" t="inlineStr">
        <is>
          <t>number of piles: length 15 m</t>
        </is>
      </c>
      <c r="G65" s="6" t="inlineStr">
        <is>
          <t>nr</t>
        </is>
      </c>
      <c r="H65" s="7" t="n"/>
      <c r="I65" s="8" t="n">
        <v>0</v>
      </c>
      <c r="J65" s="8" t="n">
        <v>1379.81</v>
      </c>
      <c r="K65" s="8" t="n">
        <v>0</v>
      </c>
      <c r="L65" s="8" t="n">
        <v>8635.74</v>
      </c>
      <c r="M65" s="8" t="n">
        <v>10015.55</v>
      </c>
      <c r="N65" s="41" t="n">
        <v>0</v>
      </c>
      <c r="O65" s="41" t="n">
        <v>1613.55</v>
      </c>
      <c r="P65" s="41" t="n">
        <v>0</v>
      </c>
      <c r="Q65" s="41" t="n">
        <v>11305.32</v>
      </c>
      <c r="R65" s="41" t="n">
        <v>12918.87</v>
      </c>
      <c r="S65" s="5" t="inlineStr">
        <is>
          <t>Stated components + specialist balance</t>
        </is>
      </c>
      <c r="T65" s="6" t="inlineStr">
        <is>
          <t>Medium</t>
        </is>
      </c>
      <c r="U65" s="8" t="n">
        <v>10015.55</v>
      </c>
      <c r="V65" s="8" t="n">
        <v>0</v>
      </c>
      <c r="W65" s="5" t="inlineStr">
        <is>
          <t>Large unexplained balance</t>
        </is>
      </c>
      <c r="X65" s="36" t="inlineStr">
        <is>
          <t>Published plant/labour retained; the £8,635.74 balance of the specialist all-in rate is not broken down in the source.</t>
        </is>
      </c>
    </row>
    <row r="66">
      <c r="A66" s="4" t="n">
        <v>4020</v>
      </c>
      <c r="B66" s="5" t="inlineStr">
        <is>
          <t>IMG_0120</t>
        </is>
      </c>
      <c r="C66" s="5" t="inlineStr">
        <is>
          <t>CLASS P: PILES</t>
        </is>
      </c>
      <c r="D66" s="5" t="inlineStr">
        <is>
          <t>06 ISOLATED STEEL PILES</t>
        </is>
      </c>
      <c r="E66" s="36" t="inlineStr">
        <is>
          <t>Mass 45 kg/m; 203 x 203 mm</t>
        </is>
      </c>
      <c r="F66" s="36" t="inlineStr">
        <is>
          <t>number of piles: length 20 m</t>
        </is>
      </c>
      <c r="G66" s="6" t="inlineStr">
        <is>
          <t>nr</t>
        </is>
      </c>
      <c r="H66" s="7" t="n"/>
      <c r="I66" s="8" t="n">
        <v>0</v>
      </c>
      <c r="J66" s="8" t="n">
        <v>1839.75</v>
      </c>
      <c r="K66" s="8" t="n">
        <v>0</v>
      </c>
      <c r="L66" s="8" t="n">
        <v>8635.73</v>
      </c>
      <c r="M66" s="8" t="n">
        <v>10475.48</v>
      </c>
      <c r="N66" s="41" t="n">
        <v>0</v>
      </c>
      <c r="O66" s="41" t="n">
        <v>2151.4</v>
      </c>
      <c r="P66" s="41" t="n">
        <v>0</v>
      </c>
      <c r="Q66" s="41" t="n">
        <v>11305.31</v>
      </c>
      <c r="R66" s="41" t="n">
        <v>13456.71</v>
      </c>
      <c r="S66" s="5" t="inlineStr">
        <is>
          <t>Stated components + specialist balance</t>
        </is>
      </c>
      <c r="T66" s="6" t="inlineStr">
        <is>
          <t>Medium</t>
        </is>
      </c>
      <c r="U66" s="8" t="n">
        <v>10475.48</v>
      </c>
      <c r="V66" s="8" t="n">
        <v>0</v>
      </c>
      <c r="W66" s="5" t="inlineStr">
        <is>
          <t>Large unexplained balance</t>
        </is>
      </c>
      <c r="X66" s="36" t="inlineStr">
        <is>
          <t>Published plant/labour retained; the £8,635.73 balance of the specialist all-in rate is not broken down in the source.</t>
        </is>
      </c>
    </row>
    <row r="67">
      <c r="A67" s="4" t="n">
        <v>4024</v>
      </c>
      <c r="B67" s="5" t="inlineStr">
        <is>
          <t>IMG_0120</t>
        </is>
      </c>
      <c r="C67" s="5" t="inlineStr">
        <is>
          <t>CLASS P: PILES</t>
        </is>
      </c>
      <c r="D67" s="5" t="inlineStr">
        <is>
          <t>06 ISOLATED STEEL PILES</t>
        </is>
      </c>
      <c r="E67" s="36" t="inlineStr">
        <is>
          <t>Mass 54 kg/m; 203 x 203 mm</t>
        </is>
      </c>
      <c r="F67" s="36" t="inlineStr">
        <is>
          <t>number of piles; length 10 m</t>
        </is>
      </c>
      <c r="G67" s="6" t="inlineStr">
        <is>
          <t>nr</t>
        </is>
      </c>
      <c r="H67" s="7" t="n"/>
      <c r="I67" s="8" t="n">
        <v>0</v>
      </c>
      <c r="J67" s="8" t="n">
        <v>1035.06</v>
      </c>
      <c r="K67" s="8" t="n">
        <v>0</v>
      </c>
      <c r="L67" s="8" t="n">
        <v>8635.73</v>
      </c>
      <c r="M67" s="8" t="n">
        <v>9670.790000000001</v>
      </c>
      <c r="N67" s="41" t="n">
        <v>0</v>
      </c>
      <c r="O67" s="41" t="n">
        <v>1210.4</v>
      </c>
      <c r="P67" s="41" t="n">
        <v>0</v>
      </c>
      <c r="Q67" s="41" t="n">
        <v>11305.31</v>
      </c>
      <c r="R67" s="41" t="n">
        <v>12515.71</v>
      </c>
      <c r="S67" s="5" t="inlineStr">
        <is>
          <t>Stated components + specialist balance</t>
        </is>
      </c>
      <c r="T67" s="6" t="inlineStr">
        <is>
          <t>Medium</t>
        </is>
      </c>
      <c r="U67" s="8" t="n">
        <v>9670.790000000001</v>
      </c>
      <c r="V67" s="8" t="n">
        <v>0</v>
      </c>
      <c r="W67" s="5" t="inlineStr">
        <is>
          <t>Large unexplained balance</t>
        </is>
      </c>
      <c r="X67" s="36" t="inlineStr">
        <is>
          <t>Published plant/labour retained; the £8,635.73 balance of the specialist all-in rate is not broken down in the source.</t>
        </is>
      </c>
    </row>
    <row r="68">
      <c r="A68" s="4" t="n">
        <v>4025</v>
      </c>
      <c r="B68" s="5" t="inlineStr">
        <is>
          <t>IMG_0120</t>
        </is>
      </c>
      <c r="C68" s="5" t="inlineStr">
        <is>
          <t>CLASS P: PILES</t>
        </is>
      </c>
      <c r="D68" s="5" t="inlineStr">
        <is>
          <t>06 ISOLATED STEEL PILES</t>
        </is>
      </c>
      <c r="E68" s="36" t="inlineStr">
        <is>
          <t>Mass 54 kg/m; 203 x 203 mm</t>
        </is>
      </c>
      <c r="F68" s="36" t="inlineStr">
        <is>
          <t>number of piles; length 15 m</t>
        </is>
      </c>
      <c r="G68" s="6" t="inlineStr">
        <is>
          <t>nr</t>
        </is>
      </c>
      <c r="H68" s="7" t="n"/>
      <c r="I68" s="8" t="n">
        <v>0</v>
      </c>
      <c r="J68" s="8" t="n">
        <v>1655.78</v>
      </c>
      <c r="K68" s="8" t="n">
        <v>0</v>
      </c>
      <c r="L68" s="8" t="n">
        <v>8635.73</v>
      </c>
      <c r="M68" s="8" t="n">
        <v>10291.51</v>
      </c>
      <c r="N68" s="41" t="n">
        <v>0</v>
      </c>
      <c r="O68" s="41" t="n">
        <v>1936.27</v>
      </c>
      <c r="P68" s="41" t="n">
        <v>0</v>
      </c>
      <c r="Q68" s="41" t="n">
        <v>11305.31</v>
      </c>
      <c r="R68" s="41" t="n">
        <v>13241.58</v>
      </c>
      <c r="S68" s="5" t="inlineStr">
        <is>
          <t>Stated components + specialist balance</t>
        </is>
      </c>
      <c r="T68" s="6" t="inlineStr">
        <is>
          <t>Medium</t>
        </is>
      </c>
      <c r="U68" s="8" t="n">
        <v>10291.51</v>
      </c>
      <c r="V68" s="8" t="n">
        <v>0</v>
      </c>
      <c r="W68" s="5" t="inlineStr">
        <is>
          <t>Large unexplained balance</t>
        </is>
      </c>
      <c r="X68" s="36" t="inlineStr">
        <is>
          <t>Published plant/labour retained; the £8,635.73 balance of the specialist all-in rate is not broken down in the source.</t>
        </is>
      </c>
    </row>
    <row r="69">
      <c r="A69" s="4" t="n">
        <v>4026</v>
      </c>
      <c r="B69" s="5" t="inlineStr">
        <is>
          <t>IMG_0120</t>
        </is>
      </c>
      <c r="C69" s="5" t="inlineStr">
        <is>
          <t>CLASS P: PILES</t>
        </is>
      </c>
      <c r="D69" s="5" t="inlineStr">
        <is>
          <t>06 ISOLATED STEEL PILES</t>
        </is>
      </c>
      <c r="E69" s="36" t="inlineStr">
        <is>
          <t>Mass 54 kg/m; 203 x 203 mm</t>
        </is>
      </c>
      <c r="F69" s="36" t="inlineStr">
        <is>
          <t>number of piles; length 20 m</t>
        </is>
      </c>
      <c r="G69" s="6" t="inlineStr">
        <is>
          <t>nr</t>
        </is>
      </c>
      <c r="H69" s="7" t="n"/>
      <c r="I69" s="8" t="n">
        <v>0</v>
      </c>
      <c r="J69" s="8" t="n">
        <v>2207.7</v>
      </c>
      <c r="K69" s="8" t="n">
        <v>0</v>
      </c>
      <c r="L69" s="8" t="n">
        <v>7213.9</v>
      </c>
      <c r="M69" s="8" t="n">
        <v>9421.6</v>
      </c>
      <c r="N69" s="41" t="n">
        <v>0</v>
      </c>
      <c r="O69" s="41" t="n">
        <v>2581.68</v>
      </c>
      <c r="P69" s="41" t="n">
        <v>0</v>
      </c>
      <c r="Q69" s="41" t="n">
        <v>9443.940000000001</v>
      </c>
      <c r="R69" s="41" t="n">
        <v>12025.63</v>
      </c>
      <c r="S69" s="5" t="inlineStr">
        <is>
          <t>Stated components + specialist balance</t>
        </is>
      </c>
      <c r="T69" s="6" t="inlineStr">
        <is>
          <t>Medium</t>
        </is>
      </c>
      <c r="U69" s="8" t="n">
        <v>9421.6</v>
      </c>
      <c r="V69" s="8" t="n">
        <v>0</v>
      </c>
      <c r="W69" s="5" t="inlineStr">
        <is>
          <t>Large unexplained balance</t>
        </is>
      </c>
      <c r="X69" s="36" t="inlineStr">
        <is>
          <t>Published plant/labour retained; the £7,213.90 balance of the specialist all-in rate is not broken down in the source.</t>
        </is>
      </c>
    </row>
    <row r="70">
      <c r="A70" s="4" t="n">
        <v>4030</v>
      </c>
      <c r="B70" s="5" t="inlineStr">
        <is>
          <t>IMG_0120</t>
        </is>
      </c>
      <c r="C70" s="5" t="inlineStr">
        <is>
          <t>CLASS P: PILES</t>
        </is>
      </c>
      <c r="D70" s="5" t="inlineStr">
        <is>
          <t>06 ISOLATED STEEL PILES</t>
        </is>
      </c>
      <c r="E70" s="36" t="inlineStr">
        <is>
          <t>Mass 63 kg/m; 254 x 254 mm</t>
        </is>
      </c>
      <c r="F70" s="36" t="inlineStr">
        <is>
          <t>number of piles; length 10 m</t>
        </is>
      </c>
      <c r="G70" s="6" t="inlineStr">
        <is>
          <t>nr</t>
        </is>
      </c>
      <c r="H70" s="7" t="n"/>
      <c r="I70" s="8" t="n">
        <v>0</v>
      </c>
      <c r="J70" s="8" t="n">
        <v>1207.57</v>
      </c>
      <c r="K70" s="8" t="n">
        <v>0</v>
      </c>
      <c r="L70" s="8" t="n">
        <v>7213.9</v>
      </c>
      <c r="M70" s="8" t="n">
        <v>8421.469999999999</v>
      </c>
      <c r="N70" s="41" t="n">
        <v>0</v>
      </c>
      <c r="O70" s="41" t="n">
        <v>1412.13</v>
      </c>
      <c r="P70" s="41" t="n">
        <v>0</v>
      </c>
      <c r="Q70" s="41" t="n">
        <v>9443.940000000001</v>
      </c>
      <c r="R70" s="41" t="n">
        <v>10856.08</v>
      </c>
      <c r="S70" s="5" t="inlineStr">
        <is>
          <t>Stated components + specialist balance</t>
        </is>
      </c>
      <c r="T70" s="6" t="inlineStr">
        <is>
          <t>Medium</t>
        </is>
      </c>
      <c r="U70" s="8" t="n">
        <v>8421.469999999999</v>
      </c>
      <c r="V70" s="8" t="n">
        <v>0</v>
      </c>
      <c r="W70" s="5" t="inlineStr">
        <is>
          <t>Large unexplained balance</t>
        </is>
      </c>
      <c r="X70" s="36" t="inlineStr">
        <is>
          <t>Published plant/labour retained; the £7,213.90 balance of the specialist all-in rate is not broken down in the source.</t>
        </is>
      </c>
    </row>
    <row r="71">
      <c r="A71" s="4" t="n">
        <v>4031</v>
      </c>
      <c r="B71" s="5" t="inlineStr">
        <is>
          <t>IMG_0120</t>
        </is>
      </c>
      <c r="C71" s="5" t="inlineStr">
        <is>
          <t>CLASS P: PILES</t>
        </is>
      </c>
      <c r="D71" s="5" t="inlineStr">
        <is>
          <t>06 ISOLATED STEEL PILES</t>
        </is>
      </c>
      <c r="E71" s="36" t="inlineStr">
        <is>
          <t>Mass 63 kg/m; 254 x 254 mm</t>
        </is>
      </c>
      <c r="F71" s="36" t="inlineStr">
        <is>
          <t>number of piles; length 15 m</t>
        </is>
      </c>
      <c r="G71" s="6" t="inlineStr">
        <is>
          <t>nr</t>
        </is>
      </c>
      <c r="H71" s="7" t="n"/>
      <c r="I71" s="8" t="n">
        <v>0</v>
      </c>
      <c r="J71" s="8" t="n">
        <v>1931.74</v>
      </c>
      <c r="K71" s="8" t="n">
        <v>0</v>
      </c>
      <c r="L71" s="8" t="n">
        <v>7213.9</v>
      </c>
      <c r="M71" s="8" t="n">
        <v>9145.639999999999</v>
      </c>
      <c r="N71" s="41" t="n">
        <v>0</v>
      </c>
      <c r="O71" s="41" t="n">
        <v>2258.98</v>
      </c>
      <c r="P71" s="41" t="n">
        <v>0</v>
      </c>
      <c r="Q71" s="41" t="n">
        <v>9443.940000000001</v>
      </c>
      <c r="R71" s="41" t="n">
        <v>11702.92</v>
      </c>
      <c r="S71" s="5" t="inlineStr">
        <is>
          <t>Stated components + specialist balance</t>
        </is>
      </c>
      <c r="T71" s="6" t="inlineStr">
        <is>
          <t>Medium</t>
        </is>
      </c>
      <c r="U71" s="8" t="n">
        <v>9145.639999999999</v>
      </c>
      <c r="V71" s="8" t="n">
        <v>0</v>
      </c>
      <c r="W71" s="5" t="inlineStr">
        <is>
          <t>Large unexplained balance</t>
        </is>
      </c>
      <c r="X71" s="36" t="inlineStr">
        <is>
          <t>Published plant/labour retained; the £7,213.90 balance of the specialist all-in rate is not broken down in the source.</t>
        </is>
      </c>
    </row>
    <row r="72">
      <c r="A72" s="4" t="n">
        <v>4036</v>
      </c>
      <c r="B72" s="5" t="inlineStr">
        <is>
          <t>IMG_0120</t>
        </is>
      </c>
      <c r="C72" s="5" t="inlineStr">
        <is>
          <t>CLASS P: PILES</t>
        </is>
      </c>
      <c r="D72" s="5" t="inlineStr">
        <is>
          <t>06 ISOLATED STEEL PILES</t>
        </is>
      </c>
      <c r="E72" s="36" t="inlineStr">
        <is>
          <t>Mass 71 kg/m; 254 x 254 mm</t>
        </is>
      </c>
      <c r="F72" s="36" t="inlineStr">
        <is>
          <t>number of piles; length 10 m</t>
        </is>
      </c>
      <c r="G72" s="6" t="inlineStr">
        <is>
          <t>nr</t>
        </is>
      </c>
      <c r="H72" s="7" t="n"/>
      <c r="I72" s="8" t="n">
        <v>0</v>
      </c>
      <c r="J72" s="8" t="n">
        <v>1360.91</v>
      </c>
      <c r="K72" s="8" t="n">
        <v>0</v>
      </c>
      <c r="L72" s="8" t="n">
        <v>7213.9</v>
      </c>
      <c r="M72" s="8" t="n">
        <v>8574.809999999999</v>
      </c>
      <c r="N72" s="41" t="n">
        <v>0</v>
      </c>
      <c r="O72" s="41" t="n">
        <v>1591.45</v>
      </c>
      <c r="P72" s="41" t="n">
        <v>0</v>
      </c>
      <c r="Q72" s="41" t="n">
        <v>9443.940000000001</v>
      </c>
      <c r="R72" s="41" t="n">
        <v>11035.39</v>
      </c>
      <c r="S72" s="5" t="inlineStr">
        <is>
          <t>Stated components + specialist balance</t>
        </is>
      </c>
      <c r="T72" s="6" t="inlineStr">
        <is>
          <t>Medium</t>
        </is>
      </c>
      <c r="U72" s="8" t="n">
        <v>8574.809999999999</v>
      </c>
      <c r="V72" s="8" t="n">
        <v>0</v>
      </c>
      <c r="W72" s="5" t="inlineStr">
        <is>
          <t>Large unexplained balance</t>
        </is>
      </c>
      <c r="X72" s="36" t="inlineStr">
        <is>
          <t>Published plant/labour retained; the £7,213.90 balance of the specialist all-in rate is not broken down in the source.</t>
        </is>
      </c>
    </row>
    <row r="73">
      <c r="A73" s="4" t="n">
        <v>4037</v>
      </c>
      <c r="B73" s="5" t="inlineStr">
        <is>
          <t>IMG_0120</t>
        </is>
      </c>
      <c r="C73" s="5" t="inlineStr">
        <is>
          <t>CLASS P: PILES</t>
        </is>
      </c>
      <c r="D73" s="5" t="inlineStr">
        <is>
          <t>06 ISOLATED STEEL PILES</t>
        </is>
      </c>
      <c r="E73" s="36" t="inlineStr">
        <is>
          <t>Mass 71 kg/m; 254 x 254 mm</t>
        </is>
      </c>
      <c r="F73" s="36" t="inlineStr">
        <is>
          <t>number of piles; length 15 m</t>
        </is>
      </c>
      <c r="G73" s="6" t="inlineStr">
        <is>
          <t>nr</t>
        </is>
      </c>
      <c r="H73" s="7" t="n"/>
      <c r="I73" s="8" t="n">
        <v>0</v>
      </c>
      <c r="J73" s="8" t="n">
        <v>2177.04</v>
      </c>
      <c r="K73" s="8" t="n">
        <v>0</v>
      </c>
      <c r="L73" s="8" t="n">
        <v>7213.9</v>
      </c>
      <c r="M73" s="8" t="n">
        <v>9390.940000000001</v>
      </c>
      <c r="N73" s="41" t="n">
        <v>0</v>
      </c>
      <c r="O73" s="41" t="n">
        <v>2545.83</v>
      </c>
      <c r="P73" s="41" t="n">
        <v>0</v>
      </c>
      <c r="Q73" s="41" t="n">
        <v>9443.940000000001</v>
      </c>
      <c r="R73" s="41" t="n">
        <v>11989.78</v>
      </c>
      <c r="S73" s="5" t="inlineStr">
        <is>
          <t>Stated components + specialist balance</t>
        </is>
      </c>
      <c r="T73" s="6" t="inlineStr">
        <is>
          <t>Medium</t>
        </is>
      </c>
      <c r="U73" s="8" t="n">
        <v>9390.940000000001</v>
      </c>
      <c r="V73" s="8" t="n">
        <v>0</v>
      </c>
      <c r="W73" s="5" t="inlineStr">
        <is>
          <t>Large unexplained balance</t>
        </is>
      </c>
      <c r="X73" s="36" t="inlineStr">
        <is>
          <t>Published plant/labour retained; the £7,213.90 balance of the specialist all-in rate is not broken down in the source.</t>
        </is>
      </c>
    </row>
    <row r="74">
      <c r="A74" s="4" t="n">
        <v>4042</v>
      </c>
      <c r="B74" s="5" t="inlineStr">
        <is>
          <t>IMG_0120</t>
        </is>
      </c>
      <c r="C74" s="5" t="inlineStr">
        <is>
          <t>CLASS P: PILES</t>
        </is>
      </c>
      <c r="D74" s="5" t="inlineStr">
        <is>
          <t>06 ISOLATED STEEL PILES</t>
        </is>
      </c>
      <c r="E74" s="36" t="inlineStr">
        <is>
          <t>Mass 85 kg/m; 254 x 254 mm</t>
        </is>
      </c>
      <c r="F74" s="36" t="inlineStr">
        <is>
          <t>number of piles; length 10 m</t>
        </is>
      </c>
      <c r="G74" s="6" t="inlineStr">
        <is>
          <t>nr</t>
        </is>
      </c>
      <c r="H74" s="7" t="n"/>
      <c r="I74" s="8" t="n">
        <v>0</v>
      </c>
      <c r="J74" s="8" t="n">
        <v>1629.26</v>
      </c>
      <c r="K74" s="8" t="n">
        <v>0</v>
      </c>
      <c r="L74" s="8" t="n">
        <v>7213.9</v>
      </c>
      <c r="M74" s="8" t="n">
        <v>8843.16</v>
      </c>
      <c r="N74" s="41" t="n">
        <v>0</v>
      </c>
      <c r="O74" s="41" t="n">
        <v>1905.26</v>
      </c>
      <c r="P74" s="41" t="n">
        <v>0</v>
      </c>
      <c r="Q74" s="41" t="n">
        <v>9443.940000000001</v>
      </c>
      <c r="R74" s="41" t="n">
        <v>11349.2</v>
      </c>
      <c r="S74" s="5" t="inlineStr">
        <is>
          <t>Stated components + specialist balance</t>
        </is>
      </c>
      <c r="T74" s="6" t="inlineStr">
        <is>
          <t>Medium</t>
        </is>
      </c>
      <c r="U74" s="8" t="n">
        <v>8843.16</v>
      </c>
      <c r="V74" s="8" t="n">
        <v>0</v>
      </c>
      <c r="W74" s="5" t="inlineStr">
        <is>
          <t>Large unexplained balance</t>
        </is>
      </c>
      <c r="X74" s="36" t="inlineStr">
        <is>
          <t>Published plant/labour retained; the £7,213.90 balance of the specialist all-in rate is not broken down in the source.</t>
        </is>
      </c>
    </row>
    <row r="75">
      <c r="A75" s="4" t="n">
        <v>4048</v>
      </c>
      <c r="B75" s="5" t="inlineStr">
        <is>
          <t>IMG_0120</t>
        </is>
      </c>
      <c r="C75" s="5" t="inlineStr">
        <is>
          <t>CLASS P: PILES</t>
        </is>
      </c>
      <c r="D75" s="5" t="inlineStr">
        <is>
          <t>06 ISOLATED STEEL PILES</t>
        </is>
      </c>
      <c r="E75" s="36" t="inlineStr">
        <is>
          <t>Mass 79 kg/m; 305 x 305 mm</t>
        </is>
      </c>
      <c r="F75" s="36" t="inlineStr">
        <is>
          <t>number of piles; length 10 m</t>
        </is>
      </c>
      <c r="G75" s="6" t="inlineStr">
        <is>
          <t>nr</t>
        </is>
      </c>
      <c r="H75" s="7" t="n"/>
      <c r="I75" s="8" t="n">
        <v>0</v>
      </c>
      <c r="J75" s="8" t="n">
        <v>1514.25</v>
      </c>
      <c r="K75" s="8" t="n">
        <v>0</v>
      </c>
      <c r="L75" s="8" t="n">
        <v>8635.73</v>
      </c>
      <c r="M75" s="8" t="n">
        <v>10149.98</v>
      </c>
      <c r="N75" s="41" t="n">
        <v>0</v>
      </c>
      <c r="O75" s="41" t="n">
        <v>1770.76</v>
      </c>
      <c r="P75" s="41" t="n">
        <v>0</v>
      </c>
      <c r="Q75" s="41" t="n">
        <v>11305.31</v>
      </c>
      <c r="R75" s="41" t="n">
        <v>13076.07</v>
      </c>
      <c r="S75" s="5" t="inlineStr">
        <is>
          <t>Stated components + specialist balance</t>
        </is>
      </c>
      <c r="T75" s="6" t="inlineStr">
        <is>
          <t>Medium</t>
        </is>
      </c>
      <c r="U75" s="8" t="n">
        <v>10149.98</v>
      </c>
      <c r="V75" s="8" t="n">
        <v>0</v>
      </c>
      <c r="W75" s="5" t="inlineStr">
        <is>
          <t>Large unexplained balance</t>
        </is>
      </c>
      <c r="X75" s="36" t="inlineStr">
        <is>
          <t>Published plant/labour retained; the £8,635.73 balance of the specialist all-in rate is not broken down in the source.</t>
        </is>
      </c>
    </row>
    <row r="76">
      <c r="A76" s="4" t="n">
        <v>4049</v>
      </c>
      <c r="B76" s="5" t="inlineStr">
        <is>
          <t>IMG_0120</t>
        </is>
      </c>
      <c r="C76" s="5" t="inlineStr">
        <is>
          <t>CLASS P: PILES</t>
        </is>
      </c>
      <c r="D76" s="5" t="inlineStr">
        <is>
          <t>06 ISOLATED STEEL PILES</t>
        </is>
      </c>
      <c r="E76" s="36" t="inlineStr">
        <is>
          <t>Mass 79 kg/m; 305 x 305 mm</t>
        </is>
      </c>
      <c r="F76" s="36" t="inlineStr">
        <is>
          <t>number of piles; length 15 m</t>
        </is>
      </c>
      <c r="G76" s="6" t="inlineStr">
        <is>
          <t>nr</t>
        </is>
      </c>
      <c r="H76" s="7" t="n"/>
      <c r="I76" s="8" t="n">
        <v>0</v>
      </c>
      <c r="J76" s="8" t="n">
        <v>2422.34</v>
      </c>
      <c r="K76" s="8" t="n">
        <v>0</v>
      </c>
      <c r="L76" s="8" t="n">
        <v>8635.73</v>
      </c>
      <c r="M76" s="8" t="n">
        <v>11058.07</v>
      </c>
      <c r="N76" s="41" t="n">
        <v>0</v>
      </c>
      <c r="O76" s="41" t="n">
        <v>2832.68</v>
      </c>
      <c r="P76" s="41" t="n">
        <v>0</v>
      </c>
      <c r="Q76" s="41" t="n">
        <v>11305.31</v>
      </c>
      <c r="R76" s="41" t="n">
        <v>14137.99</v>
      </c>
      <c r="S76" s="5" t="inlineStr">
        <is>
          <t>Stated components + specialist balance</t>
        </is>
      </c>
      <c r="T76" s="6" t="inlineStr">
        <is>
          <t>Medium</t>
        </is>
      </c>
      <c r="U76" s="8" t="n">
        <v>11058.07</v>
      </c>
      <c r="V76" s="8" t="n">
        <v>0</v>
      </c>
      <c r="W76" s="5" t="inlineStr">
        <is>
          <t>Large unexplained balance</t>
        </is>
      </c>
      <c r="X76" s="36" t="inlineStr">
        <is>
          <t>Published plant/labour retained; the £8,635.73 balance of the specialist all-in rate is not broken down in the source.</t>
        </is>
      </c>
    </row>
    <row r="77">
      <c r="A77" s="4" t="n">
        <v>4054</v>
      </c>
      <c r="B77" s="5" t="inlineStr">
        <is>
          <t>IMG_0120</t>
        </is>
      </c>
      <c r="C77" s="5" t="inlineStr">
        <is>
          <t>CLASS P: PILES</t>
        </is>
      </c>
      <c r="D77" s="5" t="inlineStr">
        <is>
          <t>06 ISOLATED STEEL PILES</t>
        </is>
      </c>
      <c r="E77" s="36" t="inlineStr">
        <is>
          <t>Mass 95 kg/m; 305 x 305 mm</t>
        </is>
      </c>
      <c r="F77" s="36" t="inlineStr">
        <is>
          <t>number of piles; length 10 m</t>
        </is>
      </c>
      <c r="G77" s="6" t="inlineStr">
        <is>
          <t>nr</t>
        </is>
      </c>
      <c r="H77" s="7" t="n"/>
      <c r="I77" s="8" t="n">
        <v>0</v>
      </c>
      <c r="J77" s="8" t="n">
        <v>1820.94</v>
      </c>
      <c r="K77" s="8" t="n">
        <v>0</v>
      </c>
      <c r="L77" s="8" t="n">
        <v>8635.73</v>
      </c>
      <c r="M77" s="8" t="n">
        <v>10456.67</v>
      </c>
      <c r="N77" s="41" t="n">
        <v>0</v>
      </c>
      <c r="O77" s="41" t="n">
        <v>2129.41</v>
      </c>
      <c r="P77" s="41" t="n">
        <v>0</v>
      </c>
      <c r="Q77" s="41" t="n">
        <v>11305.31</v>
      </c>
      <c r="R77" s="41" t="n">
        <v>13434.71</v>
      </c>
      <c r="S77" s="5" t="inlineStr">
        <is>
          <t>Stated components + specialist balance</t>
        </is>
      </c>
      <c r="T77" s="6" t="inlineStr">
        <is>
          <t>Medium</t>
        </is>
      </c>
      <c r="U77" s="8" t="n">
        <v>10456.67</v>
      </c>
      <c r="V77" s="8" t="n">
        <v>0</v>
      </c>
      <c r="W77" s="5" t="inlineStr">
        <is>
          <t>Large unexplained balance</t>
        </is>
      </c>
      <c r="X77" s="36" t="inlineStr">
        <is>
          <t>Published plant/labour retained; the £8,635.73 balance of the specialist all-in rate is not broken down in the source.</t>
        </is>
      </c>
    </row>
    <row r="78">
      <c r="A78" s="4" t="n">
        <v>4060</v>
      </c>
      <c r="B78" s="5" t="inlineStr">
        <is>
          <t>IMG_0120</t>
        </is>
      </c>
      <c r="C78" s="5" t="inlineStr">
        <is>
          <t>CLASS P: PILES</t>
        </is>
      </c>
      <c r="D78" s="5" t="inlineStr">
        <is>
          <t>06 ISOLATED STEEL PILES</t>
        </is>
      </c>
      <c r="E78" s="36" t="inlineStr">
        <is>
          <t>Mass 110 kg/m; 305 x 305 mm</t>
        </is>
      </c>
      <c r="F78" s="36" t="inlineStr">
        <is>
          <t>number of piles; length 10 m</t>
        </is>
      </c>
      <c r="G78" s="6" t="inlineStr">
        <is>
          <t>nr</t>
        </is>
      </c>
      <c r="H78" s="7" t="n"/>
      <c r="I78" s="8" t="n">
        <v>0</v>
      </c>
      <c r="J78" s="8" t="n">
        <v>2108.45</v>
      </c>
      <c r="K78" s="8" t="n">
        <v>0</v>
      </c>
      <c r="L78" s="8" t="n">
        <v>7213.9</v>
      </c>
      <c r="M78" s="8" t="n">
        <v>9322.35</v>
      </c>
      <c r="N78" s="41" t="n">
        <v>0</v>
      </c>
      <c r="O78" s="41" t="n">
        <v>2465.62</v>
      </c>
      <c r="P78" s="41" t="n">
        <v>0</v>
      </c>
      <c r="Q78" s="41" t="n">
        <v>9443.940000000001</v>
      </c>
      <c r="R78" s="41" t="n">
        <v>11909.57</v>
      </c>
      <c r="S78" s="5" t="inlineStr">
        <is>
          <t>Stated components + specialist balance</t>
        </is>
      </c>
      <c r="T78" s="6" t="inlineStr">
        <is>
          <t>Medium</t>
        </is>
      </c>
      <c r="U78" s="8" t="n">
        <v>9322.35</v>
      </c>
      <c r="V78" s="8" t="n">
        <v>0</v>
      </c>
      <c r="W78" s="5" t="inlineStr">
        <is>
          <t>Large unexplained balance</t>
        </is>
      </c>
      <c r="X78" s="36" t="inlineStr">
        <is>
          <t>Published plant/labour retained; the £7,213.90 balance of the specialist all-in rate is not broken down in the source.</t>
        </is>
      </c>
    </row>
    <row r="79">
      <c r="A79" s="4" t="n">
        <v>4091</v>
      </c>
      <c r="B79" s="5" t="inlineStr">
        <is>
          <t>IMG_0121</t>
        </is>
      </c>
      <c r="C79" s="5" t="inlineStr">
        <is>
          <t>CLASS P: PILES</t>
        </is>
      </c>
      <c r="D79" s="5" t="inlineStr">
        <is>
          <t>06 ISOLATED STEEL PILES</t>
        </is>
      </c>
      <c r="E79" s="36" t="inlineStr">
        <is>
          <t>Mass 109 kg/m; 356 x 368 mm (continued)</t>
        </is>
      </c>
      <c r="F79" s="36" t="inlineStr">
        <is>
          <t>number of piles; length 10 m</t>
        </is>
      </c>
      <c r="G79" s="6" t="inlineStr">
        <is>
          <t>nr</t>
        </is>
      </c>
      <c r="H79" s="7" t="n"/>
      <c r="I79" s="8" t="n">
        <v>0</v>
      </c>
      <c r="J79" s="8" t="n">
        <v>2120.87</v>
      </c>
      <c r="K79" s="8" t="n">
        <v>0</v>
      </c>
      <c r="L79" s="8" t="n">
        <v>7213.9</v>
      </c>
      <c r="M79" s="8" t="n">
        <v>9334.77</v>
      </c>
      <c r="N79" s="41" t="n">
        <v>0</v>
      </c>
      <c r="O79" s="41" t="n">
        <v>2480.15</v>
      </c>
      <c r="P79" s="41" t="n">
        <v>0</v>
      </c>
      <c r="Q79" s="41" t="n">
        <v>9443.940000000001</v>
      </c>
      <c r="R79" s="41" t="n">
        <v>11924.09</v>
      </c>
      <c r="S79" s="5" t="inlineStr">
        <is>
          <t>Stated components + specialist balance</t>
        </is>
      </c>
      <c r="T79" s="6" t="inlineStr">
        <is>
          <t>Medium</t>
        </is>
      </c>
      <c r="U79" s="8" t="n">
        <v>9334.77</v>
      </c>
      <c r="V79" s="8" t="n">
        <v>0</v>
      </c>
      <c r="W79" s="5" t="inlineStr">
        <is>
          <t>Large unexplained balance</t>
        </is>
      </c>
      <c r="X79" s="36" t="inlineStr">
        <is>
          <t>Published plant/labour retained; the £7,213.90 balance of the specialist all-in rate is not broken down in the source.</t>
        </is>
      </c>
    </row>
    <row r="80">
      <c r="A80" s="4" t="n">
        <v>4287</v>
      </c>
      <c r="B80" s="5" t="inlineStr">
        <is>
          <t>IMG_0123</t>
        </is>
      </c>
      <c r="C80" s="5" t="inlineStr">
        <is>
          <t>CLASS Q: PILING ANCILLARIES</t>
        </is>
      </c>
      <c r="D80" s="5" t="inlineStr">
        <is>
          <t>03 PREFORMED CONCRETE PILES</t>
        </is>
      </c>
      <c r="E80" s="36" t="inlineStr">
        <is>
          <t>General; Preparing heads</t>
        </is>
      </c>
      <c r="F80" s="36" t="inlineStr">
        <is>
          <t>235 x 235 mm piles</t>
        </is>
      </c>
      <c r="G80" s="6" t="inlineStr">
        <is>
          <t>nr</t>
        </is>
      </c>
      <c r="H80" s="7" t="n"/>
      <c r="I80" s="8" t="n">
        <v>14.61</v>
      </c>
      <c r="J80" s="8" t="n">
        <v>5.07</v>
      </c>
      <c r="K80" s="8" t="n">
        <v>29.91</v>
      </c>
      <c r="L80" s="8" t="n">
        <v>0</v>
      </c>
      <c r="M80" s="8" t="n">
        <v>49.59</v>
      </c>
      <c r="N80" s="41" t="n">
        <v>22.92</v>
      </c>
      <c r="O80" s="41" t="n">
        <v>5.93</v>
      </c>
      <c r="P80" s="41" t="n">
        <v>34.98</v>
      </c>
      <c r="Q80" s="41" t="n">
        <v>0</v>
      </c>
      <c r="R80" s="41" t="n">
        <v>63.82</v>
      </c>
      <c r="S80" s="5" t="inlineStr">
        <is>
          <t>Apportioned (class)</t>
        </is>
      </c>
      <c r="T80" s="6" t="inlineStr">
        <is>
          <t>Low</t>
        </is>
      </c>
      <c r="U80" s="8" t="n">
        <v>49.59</v>
      </c>
      <c r="V80" s="8" t="n">
        <v>0</v>
      </c>
      <c r="W80" s="5" t="inlineStr">
        <is>
          <t>Apportioned at class level</t>
        </is>
      </c>
      <c r="X80" s="36" t="inlineStr">
        <is>
          <t>Split from published rate using median L/P/M shares of 69 comparable build-ups at class level (29/10/60).</t>
        </is>
      </c>
    </row>
    <row r="81">
      <c r="A81" s="4" t="n">
        <v>4288</v>
      </c>
      <c r="B81" s="5" t="inlineStr">
        <is>
          <t>IMG_0123</t>
        </is>
      </c>
      <c r="C81" s="5" t="inlineStr">
        <is>
          <t>CLASS Q: PILING ANCILLARIES</t>
        </is>
      </c>
      <c r="D81" s="5" t="inlineStr">
        <is>
          <t>03 PREFORMED CONCRETE PILES</t>
        </is>
      </c>
      <c r="E81" s="36" t="inlineStr">
        <is>
          <t>General; Preparing heads</t>
        </is>
      </c>
      <c r="F81" s="36" t="inlineStr">
        <is>
          <t>275 x 275 mm piles</t>
        </is>
      </c>
      <c r="G81" s="6" t="inlineStr">
        <is>
          <t>nr</t>
        </is>
      </c>
      <c r="H81" s="7" t="n"/>
      <c r="I81" s="8" t="n">
        <v>19.96</v>
      </c>
      <c r="J81" s="8" t="n">
        <v>6.93</v>
      </c>
      <c r="K81" s="8" t="n">
        <v>40.88</v>
      </c>
      <c r="L81" s="8" t="n">
        <v>0</v>
      </c>
      <c r="M81" s="8" t="n">
        <v>67.78</v>
      </c>
      <c r="N81" s="41" t="n">
        <v>31.31</v>
      </c>
      <c r="O81" s="41" t="n">
        <v>8.1</v>
      </c>
      <c r="P81" s="41" t="n">
        <v>47.81</v>
      </c>
      <c r="Q81" s="41" t="n">
        <v>0</v>
      </c>
      <c r="R81" s="41" t="n">
        <v>87.22</v>
      </c>
      <c r="S81" s="5" t="inlineStr">
        <is>
          <t>Apportioned (class)</t>
        </is>
      </c>
      <c r="T81" s="6" t="inlineStr">
        <is>
          <t>Low</t>
        </is>
      </c>
      <c r="U81" s="8" t="n">
        <v>67.78</v>
      </c>
      <c r="V81" s="8" t="n">
        <v>0</v>
      </c>
      <c r="W81" s="5" t="inlineStr">
        <is>
          <t>Apportioned at class level</t>
        </is>
      </c>
      <c r="X81" s="36" t="inlineStr">
        <is>
          <t>Split from published rate using median L/P/M shares of 69 comparable build-ups at class level (29/10/60).</t>
        </is>
      </c>
    </row>
    <row r="82">
      <c r="A82" s="4" t="n">
        <v>4289</v>
      </c>
      <c r="B82" s="5" t="inlineStr">
        <is>
          <t>IMG_0123</t>
        </is>
      </c>
      <c r="C82" s="5" t="inlineStr">
        <is>
          <t>CLASS Q: PILING ANCILLARIES</t>
        </is>
      </c>
      <c r="D82" s="5" t="inlineStr">
        <is>
          <t>03 PREFORMED CONCRETE PILES</t>
        </is>
      </c>
      <c r="E82" s="36" t="inlineStr">
        <is>
          <t>General; Preparing heads</t>
        </is>
      </c>
      <c r="F82" s="36" t="inlineStr">
        <is>
          <t>350 x 350 mm piles</t>
        </is>
      </c>
      <c r="G82" s="6" t="inlineStr">
        <is>
          <t>nr</t>
        </is>
      </c>
      <c r="H82" s="7" t="n"/>
      <c r="I82" s="8" t="n">
        <v>30.91</v>
      </c>
      <c r="J82" s="8" t="n">
        <v>10.73</v>
      </c>
      <c r="K82" s="8" t="n">
        <v>63.31</v>
      </c>
      <c r="L82" s="8" t="n">
        <v>0</v>
      </c>
      <c r="M82" s="8" t="n">
        <v>104.96</v>
      </c>
      <c r="N82" s="41" t="n">
        <v>48.49</v>
      </c>
      <c r="O82" s="41" t="n">
        <v>12.55</v>
      </c>
      <c r="P82" s="41" t="n">
        <v>74.03</v>
      </c>
      <c r="Q82" s="41" t="n">
        <v>0</v>
      </c>
      <c r="R82" s="41" t="n">
        <v>135.07</v>
      </c>
      <c r="S82" s="5" t="inlineStr">
        <is>
          <t>Apportioned (class)</t>
        </is>
      </c>
      <c r="T82" s="6" t="inlineStr">
        <is>
          <t>Low</t>
        </is>
      </c>
      <c r="U82" s="8" t="n">
        <v>104.96</v>
      </c>
      <c r="V82" s="8" t="n">
        <v>0</v>
      </c>
      <c r="W82" s="5" t="inlineStr">
        <is>
          <t>Apportioned at class level</t>
        </is>
      </c>
      <c r="X82" s="36" t="inlineStr">
        <is>
          <t>Split from published rate using median L/P/M shares of 69 comparable build-ups at class level (29/10/60).</t>
        </is>
      </c>
    </row>
    <row r="83">
      <c r="A83" s="4" t="n">
        <v>4292</v>
      </c>
      <c r="B83" s="5" t="inlineStr">
        <is>
          <t>IMG_0123</t>
        </is>
      </c>
      <c r="C83" s="5" t="inlineStr">
        <is>
          <t>CLASS Q: PILING ANCILLARIES</t>
        </is>
      </c>
      <c r="D83" s="5" t="inlineStr">
        <is>
          <t>04 TIMBER PILES</t>
        </is>
      </c>
      <c r="E83" s="36" t="inlineStr">
        <is>
          <t>Douglas Fir; Cutting off surplus lengths</t>
        </is>
      </c>
      <c r="F83" s="36" t="inlineStr">
        <is>
          <t>cross-sectional area: 0.025-0.05 m2</t>
        </is>
      </c>
      <c r="G83" s="6" t="inlineStr">
        <is>
          <t>nr</t>
        </is>
      </c>
      <c r="H83" s="7" t="n"/>
      <c r="I83" s="8" t="n">
        <v>1.34</v>
      </c>
      <c r="J83" s="8" t="n">
        <v>0.46</v>
      </c>
      <c r="K83" s="8" t="n">
        <v>2.74</v>
      </c>
      <c r="L83" s="8" t="n">
        <v>0</v>
      </c>
      <c r="M83" s="8" t="n">
        <v>4.54</v>
      </c>
      <c r="N83" s="41" t="n">
        <v>2.1</v>
      </c>
      <c r="O83" s="41" t="n">
        <v>0.54</v>
      </c>
      <c r="P83" s="41" t="n">
        <v>3.2</v>
      </c>
      <c r="Q83" s="41" t="n">
        <v>0</v>
      </c>
      <c r="R83" s="41" t="n">
        <v>5.84</v>
      </c>
      <c r="S83" s="5" t="inlineStr">
        <is>
          <t>Apportioned (class)</t>
        </is>
      </c>
      <c r="T83" s="6" t="inlineStr">
        <is>
          <t>Low</t>
        </is>
      </c>
      <c r="U83" s="8" t="n">
        <v>4.54</v>
      </c>
      <c r="V83" s="8" t="n">
        <v>0</v>
      </c>
      <c r="W83" s="5" t="inlineStr">
        <is>
          <t>Apportioned at class level</t>
        </is>
      </c>
      <c r="X83" s="36" t="inlineStr">
        <is>
          <t>Split from published rate using median L/P/M shares of 69 comparable build-ups at class level (29/10/60).</t>
        </is>
      </c>
    </row>
    <row r="84">
      <c r="A84" s="4" t="n">
        <v>4293</v>
      </c>
      <c r="B84" s="5" t="inlineStr">
        <is>
          <t>IMG_0123</t>
        </is>
      </c>
      <c r="C84" s="5" t="inlineStr">
        <is>
          <t>CLASS Q: PILING ANCILLARIES</t>
        </is>
      </c>
      <c r="D84" s="5" t="inlineStr">
        <is>
          <t>04 TIMBER PILES</t>
        </is>
      </c>
      <c r="E84" s="36" t="inlineStr">
        <is>
          <t>Douglas Fir; Cutting off surplus lengths</t>
        </is>
      </c>
      <c r="F84" s="36" t="inlineStr">
        <is>
          <t>cross-sectional area: 0.05-0.1 m2</t>
        </is>
      </c>
      <c r="G84" s="6" t="inlineStr">
        <is>
          <t>nr</t>
        </is>
      </c>
      <c r="H84" s="7" t="n"/>
      <c r="I84" s="8" t="n">
        <v>2.3</v>
      </c>
      <c r="J84" s="8" t="n">
        <v>0.8</v>
      </c>
      <c r="K84" s="8" t="n">
        <v>4.72</v>
      </c>
      <c r="L84" s="8" t="n">
        <v>0</v>
      </c>
      <c r="M84" s="8" t="n">
        <v>7.82</v>
      </c>
      <c r="N84" s="41" t="n">
        <v>3.61</v>
      </c>
      <c r="O84" s="41" t="n">
        <v>0.9399999999999999</v>
      </c>
      <c r="P84" s="41" t="n">
        <v>5.52</v>
      </c>
      <c r="Q84" s="41" t="n">
        <v>0</v>
      </c>
      <c r="R84" s="41" t="n">
        <v>10.06</v>
      </c>
      <c r="S84" s="5" t="inlineStr">
        <is>
          <t>Apportioned (class)</t>
        </is>
      </c>
      <c r="T84" s="6" t="inlineStr">
        <is>
          <t>Low</t>
        </is>
      </c>
      <c r="U84" s="8" t="n">
        <v>7.82</v>
      </c>
      <c r="V84" s="8" t="n">
        <v>0</v>
      </c>
      <c r="W84" s="5" t="inlineStr">
        <is>
          <t>Apportioned at class level</t>
        </is>
      </c>
      <c r="X84" s="36" t="inlineStr">
        <is>
          <t>Split from published rate using median L/P/M shares of 69 comparable build-ups at class level (29/10/60).</t>
        </is>
      </c>
    </row>
    <row r="85">
      <c r="A85" s="4" t="n">
        <v>4294</v>
      </c>
      <c r="B85" s="5" t="inlineStr">
        <is>
          <t>IMG_0123</t>
        </is>
      </c>
      <c r="C85" s="5" t="inlineStr">
        <is>
          <t>CLASS Q: PILING ANCILLARIES</t>
        </is>
      </c>
      <c r="D85" s="5" t="inlineStr">
        <is>
          <t>04 TIMBER PILES</t>
        </is>
      </c>
      <c r="E85" s="36" t="inlineStr">
        <is>
          <t>Douglas Fir; Cutting off surplus lengths</t>
        </is>
      </c>
      <c r="F85" s="36" t="inlineStr">
        <is>
          <t>cross-sectional area: 0.1-0.15 m2</t>
        </is>
      </c>
      <c r="G85" s="6" t="inlineStr">
        <is>
          <t>nr</t>
        </is>
      </c>
      <c r="H85" s="7" t="n"/>
      <c r="I85" s="8" t="n">
        <v>2.98</v>
      </c>
      <c r="J85" s="8" t="n">
        <v>1.03</v>
      </c>
      <c r="K85" s="8" t="n">
        <v>6.1</v>
      </c>
      <c r="L85" s="8" t="n">
        <v>0</v>
      </c>
      <c r="M85" s="8" t="n">
        <v>10.12</v>
      </c>
      <c r="N85" s="41" t="n">
        <v>4.67</v>
      </c>
      <c r="O85" s="41" t="n">
        <v>1.2</v>
      </c>
      <c r="P85" s="41" t="n">
        <v>7.13</v>
      </c>
      <c r="Q85" s="41" t="n">
        <v>0</v>
      </c>
      <c r="R85" s="41" t="n">
        <v>13.01</v>
      </c>
      <c r="S85" s="5" t="inlineStr">
        <is>
          <t>Apportioned (class)</t>
        </is>
      </c>
      <c r="T85" s="6" t="inlineStr">
        <is>
          <t>Low</t>
        </is>
      </c>
      <c r="U85" s="8" t="n">
        <v>10.12</v>
      </c>
      <c r="V85" s="8" t="n">
        <v>0</v>
      </c>
      <c r="W85" s="5" t="inlineStr">
        <is>
          <t>Apportioned at class level</t>
        </is>
      </c>
      <c r="X85" s="36" t="inlineStr">
        <is>
          <t>Split from published rate using median L/P/M shares of 69 comparable build-ups at class level (29/10/60).</t>
        </is>
      </c>
    </row>
    <row r="86">
      <c r="A86" s="4" t="n">
        <v>4295</v>
      </c>
      <c r="B86" s="5" t="inlineStr">
        <is>
          <t>IMG_0123</t>
        </is>
      </c>
      <c r="C86" s="5" t="inlineStr">
        <is>
          <t>CLASS Q: PILING ANCILLARIES</t>
        </is>
      </c>
      <c r="D86" s="5" t="inlineStr">
        <is>
          <t>04 TIMBER PILES</t>
        </is>
      </c>
      <c r="E86" s="36" t="inlineStr">
        <is>
          <t>Douglas Fir; Cutting off surplus lengths</t>
        </is>
      </c>
      <c r="F86" s="36" t="inlineStr">
        <is>
          <t>cross-sectional area: 0.15-0.25 m2</t>
        </is>
      </c>
      <c r="G86" s="6" t="inlineStr">
        <is>
          <t>nr</t>
        </is>
      </c>
      <c r="H86" s="7" t="n"/>
      <c r="I86" s="8" t="n">
        <v>5.82</v>
      </c>
      <c r="J86" s="8" t="n">
        <v>2.02</v>
      </c>
      <c r="K86" s="8" t="n">
        <v>11.92</v>
      </c>
      <c r="L86" s="8" t="n">
        <v>0</v>
      </c>
      <c r="M86" s="8" t="n">
        <v>19.76</v>
      </c>
      <c r="N86" s="41" t="n">
        <v>9.130000000000001</v>
      </c>
      <c r="O86" s="41" t="n">
        <v>2.36</v>
      </c>
      <c r="P86" s="41" t="n">
        <v>13.94</v>
      </c>
      <c r="Q86" s="41" t="n">
        <v>0</v>
      </c>
      <c r="R86" s="41" t="n">
        <v>25.43</v>
      </c>
      <c r="S86" s="5" t="inlineStr">
        <is>
          <t>Apportioned (class)</t>
        </is>
      </c>
      <c r="T86" s="6" t="inlineStr">
        <is>
          <t>Low</t>
        </is>
      </c>
      <c r="U86" s="8" t="n">
        <v>19.76</v>
      </c>
      <c r="V86" s="8" t="n">
        <v>0</v>
      </c>
      <c r="W86" s="5" t="inlineStr">
        <is>
          <t>Apportioned at class level</t>
        </is>
      </c>
      <c r="X86" s="36" t="inlineStr">
        <is>
          <t>Split from published rate using median L/P/M shares of 69 comparable build-ups at class level (29/10/60).</t>
        </is>
      </c>
    </row>
    <row r="87">
      <c r="A87" s="4" t="n">
        <v>4297</v>
      </c>
      <c r="B87" s="5" t="inlineStr">
        <is>
          <t>IMG_0123</t>
        </is>
      </c>
      <c r="C87" s="5" t="inlineStr">
        <is>
          <t>CLASS Q: PILING ANCILLARIES</t>
        </is>
      </c>
      <c r="D87" s="5" t="inlineStr">
        <is>
          <t>04 TIMBER PILES</t>
        </is>
      </c>
      <c r="E87" s="36" t="inlineStr">
        <is>
          <t>Douglas Fir; Preparing heads</t>
        </is>
      </c>
      <c r="F87" s="36" t="inlineStr">
        <is>
          <t>cross-sectional area: 0.025-0.05 m2</t>
        </is>
      </c>
      <c r="G87" s="6" t="inlineStr">
        <is>
          <t>nr</t>
        </is>
      </c>
      <c r="H87" s="7" t="n"/>
      <c r="I87" s="8" t="n">
        <v>1.34</v>
      </c>
      <c r="J87" s="8" t="n">
        <v>0.46</v>
      </c>
      <c r="K87" s="8" t="n">
        <v>2.74</v>
      </c>
      <c r="L87" s="8" t="n">
        <v>0</v>
      </c>
      <c r="M87" s="8" t="n">
        <v>4.54</v>
      </c>
      <c r="N87" s="41" t="n">
        <v>2.1</v>
      </c>
      <c r="O87" s="41" t="n">
        <v>0.54</v>
      </c>
      <c r="P87" s="41" t="n">
        <v>3.2</v>
      </c>
      <c r="Q87" s="41" t="n">
        <v>0</v>
      </c>
      <c r="R87" s="41" t="n">
        <v>5.84</v>
      </c>
      <c r="S87" s="5" t="inlineStr">
        <is>
          <t>Apportioned (class)</t>
        </is>
      </c>
      <c r="T87" s="6" t="inlineStr">
        <is>
          <t>Low</t>
        </is>
      </c>
      <c r="U87" s="8" t="n">
        <v>4.54</v>
      </c>
      <c r="V87" s="8" t="n">
        <v>0</v>
      </c>
      <c r="W87" s="5" t="inlineStr">
        <is>
          <t>Apportioned at class level</t>
        </is>
      </c>
      <c r="X87" s="36" t="inlineStr">
        <is>
          <t>Split from published rate using median L/P/M shares of 69 comparable build-ups at class level (29/10/60).</t>
        </is>
      </c>
    </row>
    <row r="88">
      <c r="A88" s="4" t="n">
        <v>4298</v>
      </c>
      <c r="B88" s="5" t="inlineStr">
        <is>
          <t>IMG_0123</t>
        </is>
      </c>
      <c r="C88" s="5" t="inlineStr">
        <is>
          <t>CLASS Q: PILING ANCILLARIES</t>
        </is>
      </c>
      <c r="D88" s="5" t="inlineStr">
        <is>
          <t>04 TIMBER PILES</t>
        </is>
      </c>
      <c r="E88" s="36" t="inlineStr">
        <is>
          <t>Douglas Fir; Preparing heads</t>
        </is>
      </c>
      <c r="F88" s="36" t="inlineStr">
        <is>
          <t>cross-sectional area: 0.05-0.1 m2</t>
        </is>
      </c>
      <c r="G88" s="6" t="inlineStr">
        <is>
          <t>nr</t>
        </is>
      </c>
      <c r="H88" s="7" t="n"/>
      <c r="I88" s="8" t="n">
        <v>2.3</v>
      </c>
      <c r="J88" s="8" t="n">
        <v>0.8</v>
      </c>
      <c r="K88" s="8" t="n">
        <v>4.72</v>
      </c>
      <c r="L88" s="8" t="n">
        <v>0</v>
      </c>
      <c r="M88" s="8" t="n">
        <v>7.82</v>
      </c>
      <c r="N88" s="41" t="n">
        <v>3.61</v>
      </c>
      <c r="O88" s="41" t="n">
        <v>0.9399999999999999</v>
      </c>
      <c r="P88" s="41" t="n">
        <v>5.52</v>
      </c>
      <c r="Q88" s="41" t="n">
        <v>0</v>
      </c>
      <c r="R88" s="41" t="n">
        <v>10.06</v>
      </c>
      <c r="S88" s="5" t="inlineStr">
        <is>
          <t>Apportioned (class)</t>
        </is>
      </c>
      <c r="T88" s="6" t="inlineStr">
        <is>
          <t>Low</t>
        </is>
      </c>
      <c r="U88" s="8" t="n">
        <v>7.82</v>
      </c>
      <c r="V88" s="8" t="n">
        <v>0</v>
      </c>
      <c r="W88" s="5" t="inlineStr">
        <is>
          <t>Apportioned at class level</t>
        </is>
      </c>
      <c r="X88" s="36" t="inlineStr">
        <is>
          <t>Split from published rate using median L/P/M shares of 69 comparable build-ups at class level (29/10/60).</t>
        </is>
      </c>
    </row>
    <row r="89">
      <c r="A89" s="4" t="n">
        <v>4299</v>
      </c>
      <c r="B89" s="5" t="inlineStr">
        <is>
          <t>IMG_0123</t>
        </is>
      </c>
      <c r="C89" s="5" t="inlineStr">
        <is>
          <t>CLASS Q: PILING ANCILLARIES</t>
        </is>
      </c>
      <c r="D89" s="5" t="inlineStr">
        <is>
          <t>04 TIMBER PILES</t>
        </is>
      </c>
      <c r="E89" s="36" t="inlineStr">
        <is>
          <t>Douglas Fir; Preparing heads</t>
        </is>
      </c>
      <c r="F89" s="36" t="inlineStr">
        <is>
          <t>cross-sectional area: 0.1-0.15 m2</t>
        </is>
      </c>
      <c r="G89" s="6" t="inlineStr">
        <is>
          <t>nr</t>
        </is>
      </c>
      <c r="H89" s="7" t="n"/>
      <c r="I89" s="8" t="n">
        <v>2.98</v>
      </c>
      <c r="J89" s="8" t="n">
        <v>1.03</v>
      </c>
      <c r="K89" s="8" t="n">
        <v>6.1</v>
      </c>
      <c r="L89" s="8" t="n">
        <v>0</v>
      </c>
      <c r="M89" s="8" t="n">
        <v>10.12</v>
      </c>
      <c r="N89" s="41" t="n">
        <v>4.67</v>
      </c>
      <c r="O89" s="41" t="n">
        <v>1.2</v>
      </c>
      <c r="P89" s="41" t="n">
        <v>7.13</v>
      </c>
      <c r="Q89" s="41" t="n">
        <v>0</v>
      </c>
      <c r="R89" s="41" t="n">
        <v>13.01</v>
      </c>
      <c r="S89" s="5" t="inlineStr">
        <is>
          <t>Apportioned (class)</t>
        </is>
      </c>
      <c r="T89" s="6" t="inlineStr">
        <is>
          <t>Low</t>
        </is>
      </c>
      <c r="U89" s="8" t="n">
        <v>10.12</v>
      </c>
      <c r="V89" s="8" t="n">
        <v>0</v>
      </c>
      <c r="W89" s="5" t="inlineStr">
        <is>
          <t>Apportioned at class level</t>
        </is>
      </c>
      <c r="X89" s="36" t="inlineStr">
        <is>
          <t>Split from published rate using median L/P/M shares of 69 comparable build-ups at class level (29/10/60).</t>
        </is>
      </c>
    </row>
    <row r="90">
      <c r="A90" s="4" t="n">
        <v>4300</v>
      </c>
      <c r="B90" s="5" t="inlineStr">
        <is>
          <t>IMG_0123</t>
        </is>
      </c>
      <c r="C90" s="5" t="inlineStr">
        <is>
          <t>CLASS Q: PILING ANCILLARIES</t>
        </is>
      </c>
      <c r="D90" s="5" t="inlineStr">
        <is>
          <t>04 TIMBER PILES</t>
        </is>
      </c>
      <c r="E90" s="36" t="inlineStr">
        <is>
          <t>Douglas Fir; Preparing heads</t>
        </is>
      </c>
      <c r="F90" s="36" t="inlineStr">
        <is>
          <t>cross-sectional area: 0.15-0.25 m2</t>
        </is>
      </c>
      <c r="G90" s="6" t="inlineStr">
        <is>
          <t>nr</t>
        </is>
      </c>
      <c r="H90" s="7" t="n"/>
      <c r="I90" s="8" t="n">
        <v>5.82</v>
      </c>
      <c r="J90" s="8" t="n">
        <v>2.02</v>
      </c>
      <c r="K90" s="8" t="n">
        <v>11.92</v>
      </c>
      <c r="L90" s="8" t="n">
        <v>0</v>
      </c>
      <c r="M90" s="8" t="n">
        <v>19.76</v>
      </c>
      <c r="N90" s="41" t="n">
        <v>9.130000000000001</v>
      </c>
      <c r="O90" s="41" t="n">
        <v>2.36</v>
      </c>
      <c r="P90" s="41" t="n">
        <v>13.94</v>
      </c>
      <c r="Q90" s="41" t="n">
        <v>0</v>
      </c>
      <c r="R90" s="41" t="n">
        <v>25.43</v>
      </c>
      <c r="S90" s="5" t="inlineStr">
        <is>
          <t>Apportioned (class)</t>
        </is>
      </c>
      <c r="T90" s="6" t="inlineStr">
        <is>
          <t>Low</t>
        </is>
      </c>
      <c r="U90" s="8" t="n">
        <v>19.76</v>
      </c>
      <c r="V90" s="8" t="n">
        <v>0</v>
      </c>
      <c r="W90" s="5" t="inlineStr">
        <is>
          <t>Apportioned at class level</t>
        </is>
      </c>
      <c r="X90" s="36" t="inlineStr">
        <is>
          <t>Split from published rate using median L/P/M shares of 69 comparable build-ups at class level (29/10/60).</t>
        </is>
      </c>
    </row>
    <row r="91">
      <c r="A91" s="4" t="n">
        <v>4302</v>
      </c>
      <c r="B91" s="5" t="inlineStr">
        <is>
          <t>IMG_0123</t>
        </is>
      </c>
      <c r="C91" s="5" t="inlineStr">
        <is>
          <t>CLASS Q: PILING ANCILLARIES</t>
        </is>
      </c>
      <c r="D91" s="5" t="inlineStr">
        <is>
          <t>04 TIMBER PILES</t>
        </is>
      </c>
      <c r="E91" s="36" t="inlineStr">
        <is>
          <t>Greenheart; Cutting off surplus lengths</t>
        </is>
      </c>
      <c r="F91" s="36" t="inlineStr">
        <is>
          <t>cross-sectional area: 0.025-0.05 m2</t>
        </is>
      </c>
      <c r="G91" s="6" t="inlineStr">
        <is>
          <t>nr</t>
        </is>
      </c>
      <c r="H91" s="7" t="n"/>
      <c r="I91" s="8" t="n">
        <v>4.85</v>
      </c>
      <c r="J91" s="8" t="n">
        <v>1.68</v>
      </c>
      <c r="K91" s="8" t="n">
        <v>9.93</v>
      </c>
      <c r="L91" s="8" t="n">
        <v>0</v>
      </c>
      <c r="M91" s="8" t="n">
        <v>16.47</v>
      </c>
      <c r="N91" s="41" t="n">
        <v>7.61</v>
      </c>
      <c r="O91" s="41" t="n">
        <v>1.96</v>
      </c>
      <c r="P91" s="41" t="n">
        <v>11.61</v>
      </c>
      <c r="Q91" s="41" t="n">
        <v>0</v>
      </c>
      <c r="R91" s="41" t="n">
        <v>21.18</v>
      </c>
      <c r="S91" s="5" t="inlineStr">
        <is>
          <t>Apportioned (class)</t>
        </is>
      </c>
      <c r="T91" s="6" t="inlineStr">
        <is>
          <t>Low</t>
        </is>
      </c>
      <c r="U91" s="8" t="n">
        <v>16.47</v>
      </c>
      <c r="V91" s="8" t="n">
        <v>0</v>
      </c>
      <c r="W91" s="5" t="inlineStr">
        <is>
          <t>Apportioned at class level</t>
        </is>
      </c>
      <c r="X91" s="36" t="inlineStr">
        <is>
          <t>Split from published rate using median L/P/M shares of 69 comparable build-ups at class level (29/10/60).</t>
        </is>
      </c>
    </row>
    <row r="92">
      <c r="A92" s="4" t="n">
        <v>4303</v>
      </c>
      <c r="B92" s="5" t="inlineStr">
        <is>
          <t>IMG_0123</t>
        </is>
      </c>
      <c r="C92" s="5" t="inlineStr">
        <is>
          <t>CLASS Q: PILING ANCILLARIES</t>
        </is>
      </c>
      <c r="D92" s="5" t="inlineStr">
        <is>
          <t>04 TIMBER PILES</t>
        </is>
      </c>
      <c r="E92" s="36" t="inlineStr">
        <is>
          <t>Greenheart; Cutting off surplus lengths</t>
        </is>
      </c>
      <c r="F92" s="36" t="inlineStr">
        <is>
          <t>cross-sectional area: 0.05-0.1 m2</t>
        </is>
      </c>
      <c r="G92" s="6" t="inlineStr">
        <is>
          <t>nr</t>
        </is>
      </c>
      <c r="H92" s="7" t="n"/>
      <c r="I92" s="8" t="n">
        <v>4.85</v>
      </c>
      <c r="J92" s="8" t="n">
        <v>1.68</v>
      </c>
      <c r="K92" s="8" t="n">
        <v>9.93</v>
      </c>
      <c r="L92" s="8" t="n">
        <v>0</v>
      </c>
      <c r="M92" s="8" t="n">
        <v>16.47</v>
      </c>
      <c r="N92" s="41" t="n">
        <v>7.61</v>
      </c>
      <c r="O92" s="41" t="n">
        <v>1.96</v>
      </c>
      <c r="P92" s="41" t="n">
        <v>11.61</v>
      </c>
      <c r="Q92" s="41" t="n">
        <v>0</v>
      </c>
      <c r="R92" s="41" t="n">
        <v>21.18</v>
      </c>
      <c r="S92" s="5" t="inlineStr">
        <is>
          <t>Apportioned (class)</t>
        </is>
      </c>
      <c r="T92" s="6" t="inlineStr">
        <is>
          <t>Low</t>
        </is>
      </c>
      <c r="U92" s="8" t="n">
        <v>16.47</v>
      </c>
      <c r="V92" s="8" t="n">
        <v>0</v>
      </c>
      <c r="W92" s="5" t="inlineStr">
        <is>
          <t>Apportioned at class level</t>
        </is>
      </c>
      <c r="X92" s="36" t="inlineStr">
        <is>
          <t>Split from published rate using median L/P/M shares of 69 comparable build-ups at class level (29/10/60).</t>
        </is>
      </c>
    </row>
    <row r="93">
      <c r="A93" s="4" t="n">
        <v>4304</v>
      </c>
      <c r="B93" s="5" t="inlineStr">
        <is>
          <t>IMG_0123</t>
        </is>
      </c>
      <c r="C93" s="5" t="inlineStr">
        <is>
          <t>CLASS Q: PILING ANCILLARIES</t>
        </is>
      </c>
      <c r="D93" s="5" t="inlineStr">
        <is>
          <t>04 TIMBER PILES</t>
        </is>
      </c>
      <c r="E93" s="36" t="inlineStr">
        <is>
          <t>Greenheart; Cutting off surplus lengths</t>
        </is>
      </c>
      <c r="F93" s="36" t="inlineStr">
        <is>
          <t>cross-sectional area: 0.1-0.15 m2</t>
        </is>
      </c>
      <c r="G93" s="6" t="inlineStr">
        <is>
          <t>nr</t>
        </is>
      </c>
      <c r="H93" s="7" t="n"/>
      <c r="I93" s="8" t="n">
        <v>6.07</v>
      </c>
      <c r="J93" s="8" t="n">
        <v>2.11</v>
      </c>
      <c r="K93" s="8" t="n">
        <v>12.43</v>
      </c>
      <c r="L93" s="8" t="n">
        <v>0</v>
      </c>
      <c r="M93" s="8" t="n">
        <v>20.61</v>
      </c>
      <c r="N93" s="41" t="n">
        <v>9.52</v>
      </c>
      <c r="O93" s="41" t="n">
        <v>2.47</v>
      </c>
      <c r="P93" s="41" t="n">
        <v>14.54</v>
      </c>
      <c r="Q93" s="41" t="n">
        <v>0</v>
      </c>
      <c r="R93" s="41" t="n">
        <v>26.52</v>
      </c>
      <c r="S93" s="5" t="inlineStr">
        <is>
          <t>Apportioned (class)</t>
        </is>
      </c>
      <c r="T93" s="6" t="inlineStr">
        <is>
          <t>Low</t>
        </is>
      </c>
      <c r="U93" s="8" t="n">
        <v>20.61</v>
      </c>
      <c r="V93" s="8" t="n">
        <v>0</v>
      </c>
      <c r="W93" s="5" t="inlineStr">
        <is>
          <t>Apportioned at class level</t>
        </is>
      </c>
      <c r="X93" s="36" t="inlineStr">
        <is>
          <t>Split from published rate using median L/P/M shares of 69 comparable build-ups at class level (29/10/60).</t>
        </is>
      </c>
    </row>
    <row r="94">
      <c r="A94" s="4" t="n">
        <v>4305</v>
      </c>
      <c r="B94" s="5" t="inlineStr">
        <is>
          <t>IMG_0123</t>
        </is>
      </c>
      <c r="C94" s="5" t="inlineStr">
        <is>
          <t>CLASS Q: PILING ANCILLARIES</t>
        </is>
      </c>
      <c r="D94" s="5" t="inlineStr">
        <is>
          <t>04 TIMBER PILES</t>
        </is>
      </c>
      <c r="E94" s="36" t="inlineStr">
        <is>
          <t>Greenheart; Cutting off surplus lengths</t>
        </is>
      </c>
      <c r="F94" s="36" t="inlineStr">
        <is>
          <t>cross-sectional area: 0.15-0.25 m2</t>
        </is>
      </c>
      <c r="G94" s="6" t="inlineStr">
        <is>
          <t>nr</t>
        </is>
      </c>
      <c r="H94" s="7" t="n"/>
      <c r="I94" s="8" t="n">
        <v>10.92</v>
      </c>
      <c r="J94" s="8" t="n">
        <v>3.79</v>
      </c>
      <c r="K94" s="8" t="n">
        <v>22.37</v>
      </c>
      <c r="L94" s="8" t="n">
        <v>0</v>
      </c>
      <c r="M94" s="8" t="n">
        <v>37.08</v>
      </c>
      <c r="N94" s="41" t="n">
        <v>17.13</v>
      </c>
      <c r="O94" s="41" t="n">
        <v>4.43</v>
      </c>
      <c r="P94" s="41" t="n">
        <v>26.16</v>
      </c>
      <c r="Q94" s="41" t="n">
        <v>0</v>
      </c>
      <c r="R94" s="41" t="n">
        <v>47.72</v>
      </c>
      <c r="S94" s="5" t="inlineStr">
        <is>
          <t>Apportioned (class)</t>
        </is>
      </c>
      <c r="T94" s="6" t="inlineStr">
        <is>
          <t>Low</t>
        </is>
      </c>
      <c r="U94" s="8" t="n">
        <v>37.08</v>
      </c>
      <c r="V94" s="8" t="n">
        <v>0</v>
      </c>
      <c r="W94" s="5" t="inlineStr">
        <is>
          <t>Apportioned at class level</t>
        </is>
      </c>
      <c r="X94" s="36" t="inlineStr">
        <is>
          <t>Split from published rate using median L/P/M shares of 69 comparable build-ups at class level (29/10/60).</t>
        </is>
      </c>
    </row>
    <row r="95">
      <c r="A95" s="4" t="n">
        <v>4307</v>
      </c>
      <c r="B95" s="5" t="inlineStr">
        <is>
          <t>IMG_0123</t>
        </is>
      </c>
      <c r="C95" s="5" t="inlineStr">
        <is>
          <t>CLASS Q: PILING ANCILLARIES</t>
        </is>
      </c>
      <c r="D95" s="5" t="inlineStr">
        <is>
          <t>04 TIMBER PILES</t>
        </is>
      </c>
      <c r="E95" s="36" t="inlineStr">
        <is>
          <t>Greenheart; Preparing heads</t>
        </is>
      </c>
      <c r="F95" s="36" t="inlineStr">
        <is>
          <t>cross-sectional area: 0.025-0.05 m2</t>
        </is>
      </c>
      <c r="G95" s="6" t="inlineStr">
        <is>
          <t>nr</t>
        </is>
      </c>
      <c r="H95" s="7" t="n"/>
      <c r="I95" s="8" t="n">
        <v>4.85</v>
      </c>
      <c r="J95" s="8" t="n">
        <v>1.68</v>
      </c>
      <c r="K95" s="8" t="n">
        <v>9.93</v>
      </c>
      <c r="L95" s="8" t="n">
        <v>0</v>
      </c>
      <c r="M95" s="8" t="n">
        <v>16.47</v>
      </c>
      <c r="N95" s="41" t="n">
        <v>7.61</v>
      </c>
      <c r="O95" s="41" t="n">
        <v>1.96</v>
      </c>
      <c r="P95" s="41" t="n">
        <v>11.61</v>
      </c>
      <c r="Q95" s="41" t="n">
        <v>0</v>
      </c>
      <c r="R95" s="41" t="n">
        <v>21.18</v>
      </c>
      <c r="S95" s="5" t="inlineStr">
        <is>
          <t>Apportioned (class)</t>
        </is>
      </c>
      <c r="T95" s="6" t="inlineStr">
        <is>
          <t>Low</t>
        </is>
      </c>
      <c r="U95" s="8" t="n">
        <v>16.47</v>
      </c>
      <c r="V95" s="8" t="n">
        <v>0</v>
      </c>
      <c r="W95" s="5" t="inlineStr">
        <is>
          <t>Apportioned at class level</t>
        </is>
      </c>
      <c r="X95" s="36" t="inlineStr">
        <is>
          <t>Split from published rate using median L/P/M shares of 69 comparable build-ups at class level (29/10/60).</t>
        </is>
      </c>
    </row>
    <row r="96">
      <c r="A96" s="4" t="n">
        <v>4308</v>
      </c>
      <c r="B96" s="5" t="inlineStr">
        <is>
          <t>IMG_0123</t>
        </is>
      </c>
      <c r="C96" s="5" t="inlineStr">
        <is>
          <t>CLASS Q: PILING ANCILLARIES</t>
        </is>
      </c>
      <c r="D96" s="5" t="inlineStr">
        <is>
          <t>04 TIMBER PILES</t>
        </is>
      </c>
      <c r="E96" s="36" t="inlineStr">
        <is>
          <t>Greenheart; Preparing heads</t>
        </is>
      </c>
      <c r="F96" s="36" t="inlineStr">
        <is>
          <t>cross-sectional area: 0.05-0.1 m2</t>
        </is>
      </c>
      <c r="G96" s="6" t="inlineStr">
        <is>
          <t>nr</t>
        </is>
      </c>
      <c r="H96" s="7" t="n"/>
      <c r="I96" s="8" t="n">
        <v>4.85</v>
      </c>
      <c r="J96" s="8" t="n">
        <v>1.68</v>
      </c>
      <c r="K96" s="8" t="n">
        <v>9.93</v>
      </c>
      <c r="L96" s="8" t="n">
        <v>0</v>
      </c>
      <c r="M96" s="8" t="n">
        <v>16.47</v>
      </c>
      <c r="N96" s="41" t="n">
        <v>7.61</v>
      </c>
      <c r="O96" s="41" t="n">
        <v>1.96</v>
      </c>
      <c r="P96" s="41" t="n">
        <v>11.61</v>
      </c>
      <c r="Q96" s="41" t="n">
        <v>0</v>
      </c>
      <c r="R96" s="41" t="n">
        <v>21.18</v>
      </c>
      <c r="S96" s="5" t="inlineStr">
        <is>
          <t>Apportioned (class)</t>
        </is>
      </c>
      <c r="T96" s="6" t="inlineStr">
        <is>
          <t>Low</t>
        </is>
      </c>
      <c r="U96" s="8" t="n">
        <v>16.47</v>
      </c>
      <c r="V96" s="8" t="n">
        <v>0</v>
      </c>
      <c r="W96" s="5" t="inlineStr">
        <is>
          <t>Apportioned at class level</t>
        </is>
      </c>
      <c r="X96" s="36" t="inlineStr">
        <is>
          <t>Split from published rate using median L/P/M shares of 69 comparable build-ups at class level (29/10/60).</t>
        </is>
      </c>
    </row>
    <row r="97">
      <c r="A97" s="4" t="n">
        <v>4309</v>
      </c>
      <c r="B97" s="5" t="inlineStr">
        <is>
          <t>IMG_0123</t>
        </is>
      </c>
      <c r="C97" s="5" t="inlineStr">
        <is>
          <t>CLASS Q: PILING ANCILLARIES</t>
        </is>
      </c>
      <c r="D97" s="5" t="inlineStr">
        <is>
          <t>04 TIMBER PILES</t>
        </is>
      </c>
      <c r="E97" s="36" t="inlineStr">
        <is>
          <t>Greenheart; Preparing heads</t>
        </is>
      </c>
      <c r="F97" s="36" t="inlineStr">
        <is>
          <t>cross-sectional area: 0.1-0.15 m2</t>
        </is>
      </c>
      <c r="G97" s="6" t="inlineStr">
        <is>
          <t>nr</t>
        </is>
      </c>
      <c r="H97" s="7" t="n"/>
      <c r="I97" s="8" t="n">
        <v>6.07</v>
      </c>
      <c r="J97" s="8" t="n">
        <v>2.11</v>
      </c>
      <c r="K97" s="8" t="n">
        <v>12.43</v>
      </c>
      <c r="L97" s="8" t="n">
        <v>0</v>
      </c>
      <c r="M97" s="8" t="n">
        <v>20.61</v>
      </c>
      <c r="N97" s="41" t="n">
        <v>9.52</v>
      </c>
      <c r="O97" s="41" t="n">
        <v>2.47</v>
      </c>
      <c r="P97" s="41" t="n">
        <v>14.54</v>
      </c>
      <c r="Q97" s="41" t="n">
        <v>0</v>
      </c>
      <c r="R97" s="41" t="n">
        <v>26.52</v>
      </c>
      <c r="S97" s="5" t="inlineStr">
        <is>
          <t>Apportioned (class)</t>
        </is>
      </c>
      <c r="T97" s="6" t="inlineStr">
        <is>
          <t>Low</t>
        </is>
      </c>
      <c r="U97" s="8" t="n">
        <v>20.61</v>
      </c>
      <c r="V97" s="8" t="n">
        <v>0</v>
      </c>
      <c r="W97" s="5" t="inlineStr">
        <is>
          <t>Apportioned at class level</t>
        </is>
      </c>
      <c r="X97" s="36" t="inlineStr">
        <is>
          <t>Split from published rate using median L/P/M shares of 69 comparable build-ups at class level (29/10/60).</t>
        </is>
      </c>
    </row>
    <row r="98">
      <c r="A98" s="4" t="n">
        <v>4310</v>
      </c>
      <c r="B98" s="5" t="inlineStr">
        <is>
          <t>IMG_0123</t>
        </is>
      </c>
      <c r="C98" s="5" t="inlineStr">
        <is>
          <t>CLASS Q: PILING ANCILLARIES</t>
        </is>
      </c>
      <c r="D98" s="5" t="inlineStr">
        <is>
          <t>04 TIMBER PILES</t>
        </is>
      </c>
      <c r="E98" s="36" t="inlineStr">
        <is>
          <t>Greenheart; Preparing heads</t>
        </is>
      </c>
      <c r="F98" s="36" t="inlineStr">
        <is>
          <t>cross-sectional area: 0.15-0.25 m2</t>
        </is>
      </c>
      <c r="G98" s="6" t="inlineStr">
        <is>
          <t>nr</t>
        </is>
      </c>
      <c r="H98" s="7" t="n"/>
      <c r="I98" s="8" t="n">
        <v>10.92</v>
      </c>
      <c r="J98" s="8" t="n">
        <v>3.79</v>
      </c>
      <c r="K98" s="8" t="n">
        <v>22.37</v>
      </c>
      <c r="L98" s="8" t="n">
        <v>0</v>
      </c>
      <c r="M98" s="8" t="n">
        <v>37.08</v>
      </c>
      <c r="N98" s="41" t="n">
        <v>17.13</v>
      </c>
      <c r="O98" s="41" t="n">
        <v>4.43</v>
      </c>
      <c r="P98" s="41" t="n">
        <v>26.16</v>
      </c>
      <c r="Q98" s="41" t="n">
        <v>0</v>
      </c>
      <c r="R98" s="41" t="n">
        <v>47.72</v>
      </c>
      <c r="S98" s="5" t="inlineStr">
        <is>
          <t>Apportioned (class)</t>
        </is>
      </c>
      <c r="T98" s="6" t="inlineStr">
        <is>
          <t>Low</t>
        </is>
      </c>
      <c r="U98" s="8" t="n">
        <v>37.08</v>
      </c>
      <c r="V98" s="8" t="n">
        <v>0</v>
      </c>
      <c r="W98" s="5" t="inlineStr">
        <is>
          <t>Apportioned at class level</t>
        </is>
      </c>
      <c r="X98" s="36" t="inlineStr">
        <is>
          <t>Split from published rate using median L/P/M shares of 69 comparable build-ups at class level (29/10/60).</t>
        </is>
      </c>
    </row>
    <row r="99">
      <c r="A99" s="4" t="n">
        <v>4369</v>
      </c>
      <c r="B99" s="5" t="inlineStr">
        <is>
          <t>IMG_0124</t>
        </is>
      </c>
      <c r="C99" s="5" t="inlineStr">
        <is>
          <t>CLASS Q: PILING ANCILLARIES</t>
        </is>
      </c>
      <c r="D99" s="5" t="inlineStr">
        <is>
          <t>06 INTERLOCKING STEEL PILES</t>
        </is>
      </c>
      <c r="E99" s="36" t="inlineStr">
        <is>
          <t>Number of pile extensions; Cutting off surplus lengths</t>
        </is>
      </c>
      <c r="F99" s="36" t="inlineStr">
        <is>
          <t>section modulus 500-800 cm3/m</t>
        </is>
      </c>
      <c r="G99" s="6" t="inlineStr">
        <is>
          <t>m</t>
        </is>
      </c>
      <c r="H99" s="7" t="n"/>
      <c r="I99" s="8" t="n">
        <v>11.28</v>
      </c>
      <c r="J99" s="8" t="n">
        <v>3.92</v>
      </c>
      <c r="K99" s="8" t="n">
        <v>23.11</v>
      </c>
      <c r="L99" s="8" t="n">
        <v>0</v>
      </c>
      <c r="M99" s="8" t="n">
        <v>38.31</v>
      </c>
      <c r="N99" s="41" t="n">
        <v>17.69</v>
      </c>
      <c r="O99" s="41" t="n">
        <v>4.58</v>
      </c>
      <c r="P99" s="41" t="n">
        <v>27.02</v>
      </c>
      <c r="Q99" s="41" t="n">
        <v>0</v>
      </c>
      <c r="R99" s="41" t="n">
        <v>49.3</v>
      </c>
      <c r="S99" s="5" t="inlineStr">
        <is>
          <t>Apportioned (class)</t>
        </is>
      </c>
      <c r="T99" s="6" t="inlineStr">
        <is>
          <t>Low</t>
        </is>
      </c>
      <c r="U99" s="8" t="n">
        <v>38.31</v>
      </c>
      <c r="V99" s="8" t="n">
        <v>0</v>
      </c>
      <c r="W99" s="5" t="inlineStr">
        <is>
          <t>Apportioned at class level</t>
        </is>
      </c>
      <c r="X99" s="36" t="inlineStr">
        <is>
          <t>Split from published rate using median L/P/M shares of 69 comparable build-ups at class level (29/10/60).</t>
        </is>
      </c>
    </row>
    <row r="100">
      <c r="A100" s="4" t="n">
        <v>4370</v>
      </c>
      <c r="B100" s="5" t="inlineStr">
        <is>
          <t>IMG_0124</t>
        </is>
      </c>
      <c r="C100" s="5" t="inlineStr">
        <is>
          <t>CLASS Q: PILING ANCILLARIES</t>
        </is>
      </c>
      <c r="D100" s="5" t="inlineStr">
        <is>
          <t>06 INTERLOCKING STEEL PILES</t>
        </is>
      </c>
      <c r="E100" s="36" t="inlineStr">
        <is>
          <t>Number of pile extensions; Cutting off surplus lengths</t>
        </is>
      </c>
      <c r="F100" s="36" t="inlineStr">
        <is>
          <t>section modulus 800-1200 cm3/m</t>
        </is>
      </c>
      <c r="G100" s="6" t="inlineStr">
        <is>
          <t>m</t>
        </is>
      </c>
      <c r="H100" s="7" t="n"/>
      <c r="I100" s="8" t="n">
        <v>11.51</v>
      </c>
      <c r="J100" s="8" t="n">
        <v>4</v>
      </c>
      <c r="K100" s="8" t="n">
        <v>23.57</v>
      </c>
      <c r="L100" s="8" t="n">
        <v>0</v>
      </c>
      <c r="M100" s="8" t="n">
        <v>39.08</v>
      </c>
      <c r="N100" s="41" t="n">
        <v>18.05</v>
      </c>
      <c r="O100" s="41" t="n">
        <v>4.68</v>
      </c>
      <c r="P100" s="41" t="n">
        <v>27.56</v>
      </c>
      <c r="Q100" s="41" t="n">
        <v>0</v>
      </c>
      <c r="R100" s="41" t="n">
        <v>50.3</v>
      </c>
      <c r="S100" s="5" t="inlineStr">
        <is>
          <t>Apportioned (class)</t>
        </is>
      </c>
      <c r="T100" s="6" t="inlineStr">
        <is>
          <t>Low</t>
        </is>
      </c>
      <c r="U100" s="8" t="n">
        <v>39.08</v>
      </c>
      <c r="V100" s="8" t="n">
        <v>0</v>
      </c>
      <c r="W100" s="5" t="inlineStr">
        <is>
          <t>Apportioned at class level</t>
        </is>
      </c>
      <c r="X100" s="36" t="inlineStr">
        <is>
          <t>Split from published rate using median L/P/M shares of 69 comparable build-ups at class level (29/10/60).</t>
        </is>
      </c>
    </row>
    <row r="101">
      <c r="A101" s="4" t="n">
        <v>4371</v>
      </c>
      <c r="B101" s="5" t="inlineStr">
        <is>
          <t>IMG_0124</t>
        </is>
      </c>
      <c r="C101" s="5" t="inlineStr">
        <is>
          <t>CLASS Q: PILING ANCILLARIES</t>
        </is>
      </c>
      <c r="D101" s="5" t="inlineStr">
        <is>
          <t>06 INTERLOCKING STEEL PILES</t>
        </is>
      </c>
      <c r="E101" s="36" t="inlineStr">
        <is>
          <t>Number of pile extensions; Cutting off surplus lengths</t>
        </is>
      </c>
      <c r="F101" s="36" t="inlineStr">
        <is>
          <t>section modulus 1200-2000 cm3/m</t>
        </is>
      </c>
      <c r="G101" s="6" t="inlineStr">
        <is>
          <t>m</t>
        </is>
      </c>
      <c r="H101" s="7" t="n"/>
      <c r="I101" s="8" t="n">
        <v>11.28</v>
      </c>
      <c r="J101" s="8" t="n">
        <v>3.92</v>
      </c>
      <c r="K101" s="8" t="n">
        <v>23.11</v>
      </c>
      <c r="L101" s="8" t="n">
        <v>0</v>
      </c>
      <c r="M101" s="8" t="n">
        <v>38.31</v>
      </c>
      <c r="N101" s="41" t="n">
        <v>17.69</v>
      </c>
      <c r="O101" s="41" t="n">
        <v>4.58</v>
      </c>
      <c r="P101" s="41" t="n">
        <v>27.02</v>
      </c>
      <c r="Q101" s="41" t="n">
        <v>0</v>
      </c>
      <c r="R101" s="41" t="n">
        <v>49.3</v>
      </c>
      <c r="S101" s="5" t="inlineStr">
        <is>
          <t>Apportioned (class)</t>
        </is>
      </c>
      <c r="T101" s="6" t="inlineStr">
        <is>
          <t>Low</t>
        </is>
      </c>
      <c r="U101" s="8" t="n">
        <v>38.31</v>
      </c>
      <c r="V101" s="8" t="n">
        <v>0</v>
      </c>
      <c r="W101" s="5" t="inlineStr">
        <is>
          <t>Apportioned at class level</t>
        </is>
      </c>
      <c r="X101" s="36" t="inlineStr">
        <is>
          <t>Split from published rate using median L/P/M shares of 69 comparable build-ups at class level (29/10/60).</t>
        </is>
      </c>
    </row>
    <row r="102">
      <c r="A102" s="4" t="n">
        <v>4372</v>
      </c>
      <c r="B102" s="5" t="inlineStr">
        <is>
          <t>IMG_0124</t>
        </is>
      </c>
      <c r="C102" s="5" t="inlineStr">
        <is>
          <t>CLASS Q: PILING ANCILLARIES</t>
        </is>
      </c>
      <c r="D102" s="5" t="inlineStr">
        <is>
          <t>06 INTERLOCKING STEEL PILES</t>
        </is>
      </c>
      <c r="E102" s="36" t="inlineStr">
        <is>
          <t>Number of pile extensions; Cutting off surplus lengths</t>
        </is>
      </c>
      <c r="F102" s="36" t="inlineStr">
        <is>
          <t>section modulus 2000-3000 cm3/m</t>
        </is>
      </c>
      <c r="G102" s="6" t="inlineStr">
        <is>
          <t>m</t>
        </is>
      </c>
      <c r="H102" s="7" t="n"/>
      <c r="I102" s="8" t="n">
        <v>11.28</v>
      </c>
      <c r="J102" s="8" t="n">
        <v>3.92</v>
      </c>
      <c r="K102" s="8" t="n">
        <v>23.11</v>
      </c>
      <c r="L102" s="8" t="n">
        <v>0</v>
      </c>
      <c r="M102" s="8" t="n">
        <v>38.31</v>
      </c>
      <c r="N102" s="41" t="n">
        <v>17.69</v>
      </c>
      <c r="O102" s="41" t="n">
        <v>4.58</v>
      </c>
      <c r="P102" s="41" t="n">
        <v>27.02</v>
      </c>
      <c r="Q102" s="41" t="n">
        <v>0</v>
      </c>
      <c r="R102" s="41" t="n">
        <v>49.3</v>
      </c>
      <c r="S102" s="5" t="inlineStr">
        <is>
          <t>Apportioned (class)</t>
        </is>
      </c>
      <c r="T102" s="6" t="inlineStr">
        <is>
          <t>Low</t>
        </is>
      </c>
      <c r="U102" s="8" t="n">
        <v>38.31</v>
      </c>
      <c r="V102" s="8" t="n">
        <v>0</v>
      </c>
      <c r="W102" s="5" t="inlineStr">
        <is>
          <t>Apportioned at class level</t>
        </is>
      </c>
      <c r="X102" s="36" t="inlineStr">
        <is>
          <t>Split from published rate using median L/P/M shares of 69 comparable build-ups at class level (29/10/60).</t>
        </is>
      </c>
    </row>
    <row r="103">
      <c r="A103" s="4" t="n">
        <v>4373</v>
      </c>
      <c r="B103" s="5" t="inlineStr">
        <is>
          <t>IMG_0124</t>
        </is>
      </c>
      <c r="C103" s="5" t="inlineStr">
        <is>
          <t>CLASS Q: PILING ANCILLARIES</t>
        </is>
      </c>
      <c r="D103" s="5" t="inlineStr">
        <is>
          <t>06 INTERLOCKING STEEL PILES</t>
        </is>
      </c>
      <c r="E103" s="36" t="inlineStr">
        <is>
          <t>Number of pile extensions; Cutting off surplus lengths</t>
        </is>
      </c>
      <c r="F103" s="36" t="inlineStr">
        <is>
          <t>section modulus 3000-4000 cm3/m</t>
        </is>
      </c>
      <c r="G103" s="6" t="inlineStr">
        <is>
          <t>m</t>
        </is>
      </c>
      <c r="H103" s="7" t="n"/>
      <c r="I103" s="8" t="n">
        <v>11.28</v>
      </c>
      <c r="J103" s="8" t="n">
        <v>3.92</v>
      </c>
      <c r="K103" s="8" t="n">
        <v>23.11</v>
      </c>
      <c r="L103" s="8" t="n">
        <v>0</v>
      </c>
      <c r="M103" s="8" t="n">
        <v>38.31</v>
      </c>
      <c r="N103" s="41" t="n">
        <v>17.69</v>
      </c>
      <c r="O103" s="41" t="n">
        <v>4.58</v>
      </c>
      <c r="P103" s="41" t="n">
        <v>27.02</v>
      </c>
      <c r="Q103" s="41" t="n">
        <v>0</v>
      </c>
      <c r="R103" s="41" t="n">
        <v>49.3</v>
      </c>
      <c r="S103" s="5" t="inlineStr">
        <is>
          <t>Apportioned (class)</t>
        </is>
      </c>
      <c r="T103" s="6" t="inlineStr">
        <is>
          <t>Low</t>
        </is>
      </c>
      <c r="U103" s="8" t="n">
        <v>38.31</v>
      </c>
      <c r="V103" s="8" t="n">
        <v>0</v>
      </c>
      <c r="W103" s="5" t="inlineStr">
        <is>
          <t>Apportioned at class level</t>
        </is>
      </c>
      <c r="X103" s="36" t="inlineStr">
        <is>
          <t>Split from published rate using median L/P/M shares of 69 comparable build-ups at class level (29/10/60).</t>
        </is>
      </c>
    </row>
    <row r="104">
      <c r="A104" s="4" t="n">
        <v>4375</v>
      </c>
      <c r="B104" s="5" t="inlineStr">
        <is>
          <t>IMG_0124</t>
        </is>
      </c>
      <c r="C104" s="5" t="inlineStr">
        <is>
          <t>CLASS Q: PILING ANCILLARIES</t>
        </is>
      </c>
      <c r="D104" s="5" t="inlineStr">
        <is>
          <t>06 INTERLOCKING STEEL PILES</t>
        </is>
      </c>
      <c r="E104" s="36" t="inlineStr">
        <is>
          <t>Extract piling and stacking on site</t>
        </is>
      </c>
      <c r="F104" s="36" t="inlineStr">
        <is>
          <t>section modulus 500-800 cm3/m</t>
        </is>
      </c>
      <c r="G104" s="6" t="inlineStr">
        <is>
          <t>m2</t>
        </is>
      </c>
      <c r="H104" s="7" t="n"/>
      <c r="I104" s="8" t="n">
        <v>17.77</v>
      </c>
      <c r="J104" s="8" t="n">
        <v>6.17</v>
      </c>
      <c r="K104" s="8" t="n">
        <v>36.38</v>
      </c>
      <c r="L104" s="8" t="n">
        <v>0</v>
      </c>
      <c r="M104" s="8" t="n">
        <v>60.32</v>
      </c>
      <c r="N104" s="41" t="n">
        <v>27.87</v>
      </c>
      <c r="O104" s="41" t="n">
        <v>7.22</v>
      </c>
      <c r="P104" s="41" t="n">
        <v>42.54</v>
      </c>
      <c r="Q104" s="41" t="n">
        <v>0</v>
      </c>
      <c r="R104" s="41" t="n">
        <v>77.63</v>
      </c>
      <c r="S104" s="5" t="inlineStr">
        <is>
          <t>Apportioned (class)</t>
        </is>
      </c>
      <c r="T104" s="6" t="inlineStr">
        <is>
          <t>Low</t>
        </is>
      </c>
      <c r="U104" s="8" t="n">
        <v>60.32</v>
      </c>
      <c r="V104" s="8" t="n">
        <v>0</v>
      </c>
      <c r="W104" s="5" t="inlineStr">
        <is>
          <t>Apportioned at class level</t>
        </is>
      </c>
      <c r="X104" s="36" t="inlineStr">
        <is>
          <t>Split from published rate using median L/P/M shares of 69 comparable build-ups at class level (29/10/60).</t>
        </is>
      </c>
    </row>
    <row r="105">
      <c r="A105" s="4" t="n">
        <v>4376</v>
      </c>
      <c r="B105" s="5" t="inlineStr">
        <is>
          <t>IMG_0124</t>
        </is>
      </c>
      <c r="C105" s="5" t="inlineStr">
        <is>
          <t>CLASS Q: PILING ANCILLARIES</t>
        </is>
      </c>
      <c r="D105" s="5" t="inlineStr">
        <is>
          <t>06 INTERLOCKING STEEL PILES</t>
        </is>
      </c>
      <c r="E105" s="36" t="inlineStr">
        <is>
          <t>Extract piling and stacking on site</t>
        </is>
      </c>
      <c r="F105" s="36" t="inlineStr">
        <is>
          <t>section modulus 800-1200 cm3/m</t>
        </is>
      </c>
      <c r="G105" s="6" t="inlineStr">
        <is>
          <t>m2</t>
        </is>
      </c>
      <c r="H105" s="7" t="n"/>
      <c r="I105" s="8" t="n">
        <v>8.880000000000001</v>
      </c>
      <c r="J105" s="8" t="n">
        <v>3.08</v>
      </c>
      <c r="K105" s="8" t="n">
        <v>18.19</v>
      </c>
      <c r="L105" s="8" t="n">
        <v>0</v>
      </c>
      <c r="M105" s="8" t="n">
        <v>30.16</v>
      </c>
      <c r="N105" s="41" t="n">
        <v>13.93</v>
      </c>
      <c r="O105" s="41" t="n">
        <v>3.6</v>
      </c>
      <c r="P105" s="41" t="n">
        <v>21.27</v>
      </c>
      <c r="Q105" s="41" t="n">
        <v>0</v>
      </c>
      <c r="R105" s="41" t="n">
        <v>38.8</v>
      </c>
      <c r="S105" s="5" t="inlineStr">
        <is>
          <t>Apportioned (class)</t>
        </is>
      </c>
      <c r="T105" s="6" t="inlineStr">
        <is>
          <t>Low</t>
        </is>
      </c>
      <c r="U105" s="8" t="n">
        <v>30.16</v>
      </c>
      <c r="V105" s="8" t="n">
        <v>0</v>
      </c>
      <c r="W105" s="5" t="inlineStr">
        <is>
          <t>Apportioned at class level</t>
        </is>
      </c>
      <c r="X105" s="36" t="inlineStr">
        <is>
          <t>Split from published rate using median L/P/M shares of 69 comparable build-ups at class level (29/10/60).</t>
        </is>
      </c>
    </row>
    <row r="106">
      <c r="A106" s="4" t="n">
        <v>4377</v>
      </c>
      <c r="B106" s="5" t="inlineStr">
        <is>
          <t>IMG_0124</t>
        </is>
      </c>
      <c r="C106" s="5" t="inlineStr">
        <is>
          <t>CLASS Q: PILING ANCILLARIES</t>
        </is>
      </c>
      <c r="D106" s="5" t="inlineStr">
        <is>
          <t>06 INTERLOCKING STEEL PILES</t>
        </is>
      </c>
      <c r="E106" s="36" t="inlineStr">
        <is>
          <t>Extract piling and stacking on site</t>
        </is>
      </c>
      <c r="F106" s="36" t="inlineStr">
        <is>
          <t>section modulus 1200-2000 cm3/m</t>
        </is>
      </c>
      <c r="G106" s="6" t="inlineStr">
        <is>
          <t>m2</t>
        </is>
      </c>
      <c r="H106" s="7" t="n"/>
      <c r="I106" s="8" t="n">
        <v>8.880000000000001</v>
      </c>
      <c r="J106" s="8" t="n">
        <v>3.08</v>
      </c>
      <c r="K106" s="8" t="n">
        <v>18.19</v>
      </c>
      <c r="L106" s="8" t="n">
        <v>0</v>
      </c>
      <c r="M106" s="8" t="n">
        <v>30.16</v>
      </c>
      <c r="N106" s="41" t="n">
        <v>13.93</v>
      </c>
      <c r="O106" s="41" t="n">
        <v>3.6</v>
      </c>
      <c r="P106" s="41" t="n">
        <v>21.27</v>
      </c>
      <c r="Q106" s="41" t="n">
        <v>0</v>
      </c>
      <c r="R106" s="41" t="n">
        <v>38.8</v>
      </c>
      <c r="S106" s="5" t="inlineStr">
        <is>
          <t>Apportioned (class)</t>
        </is>
      </c>
      <c r="T106" s="6" t="inlineStr">
        <is>
          <t>Low</t>
        </is>
      </c>
      <c r="U106" s="8" t="n">
        <v>30.16</v>
      </c>
      <c r="V106" s="8" t="n">
        <v>0</v>
      </c>
      <c r="W106" s="5" t="inlineStr">
        <is>
          <t>Apportioned at class level</t>
        </is>
      </c>
      <c r="X106" s="36" t="inlineStr">
        <is>
          <t>Split from published rate using median L/P/M shares of 69 comparable build-ups at class level (29/10/60).</t>
        </is>
      </c>
    </row>
    <row r="107">
      <c r="A107" s="4" t="n">
        <v>4378</v>
      </c>
      <c r="B107" s="5" t="inlineStr">
        <is>
          <t>IMG_0124</t>
        </is>
      </c>
      <c r="C107" s="5" t="inlineStr">
        <is>
          <t>CLASS Q: PILING ANCILLARIES</t>
        </is>
      </c>
      <c r="D107" s="5" t="inlineStr">
        <is>
          <t>06 INTERLOCKING STEEL PILES</t>
        </is>
      </c>
      <c r="E107" s="36" t="inlineStr">
        <is>
          <t>Extract piling and stacking on site</t>
        </is>
      </c>
      <c r="F107" s="36" t="inlineStr">
        <is>
          <t>section modulus 2000-3000 cm3/m</t>
        </is>
      </c>
      <c r="G107" s="6" t="inlineStr">
        <is>
          <t>m2</t>
        </is>
      </c>
      <c r="H107" s="7" t="n"/>
      <c r="I107" s="8" t="n">
        <v>8.880000000000001</v>
      </c>
      <c r="J107" s="8" t="n">
        <v>3.08</v>
      </c>
      <c r="K107" s="8" t="n">
        <v>18.19</v>
      </c>
      <c r="L107" s="8" t="n">
        <v>0</v>
      </c>
      <c r="M107" s="8" t="n">
        <v>30.16</v>
      </c>
      <c r="N107" s="41" t="n">
        <v>13.93</v>
      </c>
      <c r="O107" s="41" t="n">
        <v>3.6</v>
      </c>
      <c r="P107" s="41" t="n">
        <v>21.27</v>
      </c>
      <c r="Q107" s="41" t="n">
        <v>0</v>
      </c>
      <c r="R107" s="41" t="n">
        <v>38.8</v>
      </c>
      <c r="S107" s="5" t="inlineStr">
        <is>
          <t>Apportioned (class)</t>
        </is>
      </c>
      <c r="T107" s="6" t="inlineStr">
        <is>
          <t>Low</t>
        </is>
      </c>
      <c r="U107" s="8" t="n">
        <v>30.16</v>
      </c>
      <c r="V107" s="8" t="n">
        <v>0</v>
      </c>
      <c r="W107" s="5" t="inlineStr">
        <is>
          <t>Apportioned at class level</t>
        </is>
      </c>
      <c r="X107" s="36" t="inlineStr">
        <is>
          <t>Split from published rate using median L/P/M shares of 69 comparable build-ups at class level (29/10/60).</t>
        </is>
      </c>
    </row>
    <row r="108">
      <c r="A108" s="4" t="n">
        <v>4379</v>
      </c>
      <c r="B108" s="5" t="inlineStr">
        <is>
          <t>IMG_0124</t>
        </is>
      </c>
      <c r="C108" s="5" t="inlineStr">
        <is>
          <t>CLASS Q: PILING ANCILLARIES</t>
        </is>
      </c>
      <c r="D108" s="5" t="inlineStr">
        <is>
          <t>06 INTERLOCKING STEEL PILES</t>
        </is>
      </c>
      <c r="E108" s="36" t="inlineStr">
        <is>
          <t>Extract piling and stacking on site</t>
        </is>
      </c>
      <c r="F108" s="36" t="inlineStr">
        <is>
          <t>section modulus 3000-4000 cm3/m</t>
        </is>
      </c>
      <c r="G108" s="6" t="inlineStr">
        <is>
          <t>m2</t>
        </is>
      </c>
      <c r="H108" s="7" t="n"/>
      <c r="I108" s="8" t="n">
        <v>8.880000000000001</v>
      </c>
      <c r="J108" s="8" t="n">
        <v>3.08</v>
      </c>
      <c r="K108" s="8" t="n">
        <v>18.19</v>
      </c>
      <c r="L108" s="8" t="n">
        <v>0</v>
      </c>
      <c r="M108" s="8" t="n">
        <v>30.16</v>
      </c>
      <c r="N108" s="41" t="n">
        <v>13.93</v>
      </c>
      <c r="O108" s="41" t="n">
        <v>3.6</v>
      </c>
      <c r="P108" s="41" t="n">
        <v>21.27</v>
      </c>
      <c r="Q108" s="41" t="n">
        <v>0</v>
      </c>
      <c r="R108" s="41" t="n">
        <v>38.8</v>
      </c>
      <c r="S108" s="5" t="inlineStr">
        <is>
          <t>Apportioned (class)</t>
        </is>
      </c>
      <c r="T108" s="6" t="inlineStr">
        <is>
          <t>Low</t>
        </is>
      </c>
      <c r="U108" s="8" t="n">
        <v>30.16</v>
      </c>
      <c r="V108" s="8" t="n">
        <v>0</v>
      </c>
      <c r="W108" s="5" t="inlineStr">
        <is>
          <t>Apportioned at class level</t>
        </is>
      </c>
      <c r="X108" s="36" t="inlineStr">
        <is>
          <t>Split from published rate using median L/P/M shares of 69 comparable build-ups at class level (29/10/60).</t>
        </is>
      </c>
    </row>
    <row r="109">
      <c r="A109" s="4" t="n">
        <v>4385</v>
      </c>
      <c r="B109" s="5" t="inlineStr">
        <is>
          <t>IMG_0125</t>
        </is>
      </c>
      <c r="C109" s="5" t="inlineStr">
        <is>
          <t>CLASS Q: PILING ANCILLARIES</t>
        </is>
      </c>
      <c r="D109" s="5" t="inlineStr">
        <is>
          <t>06 INTERLOCKING STEEL PILES</t>
        </is>
      </c>
      <c r="E109" s="36" t="inlineStr">
        <is>
          <t>Arcelor Mittal U section steel piles; Cutting off surplus lengths</t>
        </is>
      </c>
      <c r="F109" s="36" t="inlineStr">
        <is>
          <t>section modulus 500-800 cm3/m</t>
        </is>
      </c>
      <c r="G109" s="6" t="inlineStr">
        <is>
          <t>m</t>
        </is>
      </c>
      <c r="H109" s="7" t="n"/>
      <c r="I109" s="8" t="n">
        <v>11.28</v>
      </c>
      <c r="J109" s="8" t="n">
        <v>3.92</v>
      </c>
      <c r="K109" s="8" t="n">
        <v>23.11</v>
      </c>
      <c r="L109" s="8" t="n">
        <v>0</v>
      </c>
      <c r="M109" s="8" t="n">
        <v>38.31</v>
      </c>
      <c r="N109" s="41" t="n">
        <v>17.69</v>
      </c>
      <c r="O109" s="41" t="n">
        <v>4.58</v>
      </c>
      <c r="P109" s="41" t="n">
        <v>27.02</v>
      </c>
      <c r="Q109" s="41" t="n">
        <v>0</v>
      </c>
      <c r="R109" s="41" t="n">
        <v>49.3</v>
      </c>
      <c r="S109" s="5" t="inlineStr">
        <is>
          <t>Apportioned (class)</t>
        </is>
      </c>
      <c r="T109" s="6" t="inlineStr">
        <is>
          <t>Low</t>
        </is>
      </c>
      <c r="U109" s="8" t="n">
        <v>38.31</v>
      </c>
      <c r="V109" s="8" t="n">
        <v>0</v>
      </c>
      <c r="W109" s="5" t="inlineStr">
        <is>
          <t>Apportioned at class level</t>
        </is>
      </c>
      <c r="X109" s="36" t="inlineStr">
        <is>
          <t>Split from published rate using median L/P/M shares of 69 comparable build-ups at class level (29/10/60).</t>
        </is>
      </c>
    </row>
    <row r="110">
      <c r="A110" s="4" t="n">
        <v>4386</v>
      </c>
      <c r="B110" s="5" t="inlineStr">
        <is>
          <t>IMG_0125</t>
        </is>
      </c>
      <c r="C110" s="5" t="inlineStr">
        <is>
          <t>CLASS Q: PILING ANCILLARIES</t>
        </is>
      </c>
      <c r="D110" s="5" t="inlineStr">
        <is>
          <t>06 INTERLOCKING STEEL PILES</t>
        </is>
      </c>
      <c r="E110" s="36" t="inlineStr">
        <is>
          <t>Arcelor Mittal U section steel piles; Cutting off surplus lengths</t>
        </is>
      </c>
      <c r="F110" s="36" t="inlineStr">
        <is>
          <t>section modulus 800-1200 cm3/m</t>
        </is>
      </c>
      <c r="G110" s="6" t="inlineStr">
        <is>
          <t>m</t>
        </is>
      </c>
      <c r="H110" s="7" t="n"/>
      <c r="I110" s="8" t="n">
        <v>11.51</v>
      </c>
      <c r="J110" s="8" t="n">
        <v>4</v>
      </c>
      <c r="K110" s="8" t="n">
        <v>23.57</v>
      </c>
      <c r="L110" s="8" t="n">
        <v>0</v>
      </c>
      <c r="M110" s="8" t="n">
        <v>39.08</v>
      </c>
      <c r="N110" s="41" t="n">
        <v>18.05</v>
      </c>
      <c r="O110" s="41" t="n">
        <v>4.68</v>
      </c>
      <c r="P110" s="41" t="n">
        <v>27.56</v>
      </c>
      <c r="Q110" s="41" t="n">
        <v>0</v>
      </c>
      <c r="R110" s="41" t="n">
        <v>50.3</v>
      </c>
      <c r="S110" s="5" t="inlineStr">
        <is>
          <t>Apportioned (class)</t>
        </is>
      </c>
      <c r="T110" s="6" t="inlineStr">
        <is>
          <t>Low</t>
        </is>
      </c>
      <c r="U110" s="8" t="n">
        <v>39.08</v>
      </c>
      <c r="V110" s="8" t="n">
        <v>0</v>
      </c>
      <c r="W110" s="5" t="inlineStr">
        <is>
          <t>Apportioned at class level</t>
        </is>
      </c>
      <c r="X110" s="36" t="inlineStr">
        <is>
          <t>Split from published rate using median L/P/M shares of 69 comparable build-ups at class level (29/10/60).</t>
        </is>
      </c>
    </row>
    <row r="111">
      <c r="A111" s="4" t="n">
        <v>4387</v>
      </c>
      <c r="B111" s="5" t="inlineStr">
        <is>
          <t>IMG_0125</t>
        </is>
      </c>
      <c r="C111" s="5" t="inlineStr">
        <is>
          <t>CLASS Q: PILING ANCILLARIES</t>
        </is>
      </c>
      <c r="D111" s="5" t="inlineStr">
        <is>
          <t>06 INTERLOCKING STEEL PILES</t>
        </is>
      </c>
      <c r="E111" s="36" t="inlineStr">
        <is>
          <t>Arcelor Mittal U section steel piles; Cutting off surplus lengths</t>
        </is>
      </c>
      <c r="F111" s="36" t="inlineStr">
        <is>
          <t>section modulus 1200-2000 cm3/m</t>
        </is>
      </c>
      <c r="G111" s="6" t="inlineStr">
        <is>
          <t>m</t>
        </is>
      </c>
      <c r="H111" s="7" t="n"/>
      <c r="I111" s="8" t="n">
        <v>11.28</v>
      </c>
      <c r="J111" s="8" t="n">
        <v>3.92</v>
      </c>
      <c r="K111" s="8" t="n">
        <v>23.11</v>
      </c>
      <c r="L111" s="8" t="n">
        <v>0</v>
      </c>
      <c r="M111" s="8" t="n">
        <v>38.31</v>
      </c>
      <c r="N111" s="41" t="n">
        <v>17.69</v>
      </c>
      <c r="O111" s="41" t="n">
        <v>4.58</v>
      </c>
      <c r="P111" s="41" t="n">
        <v>27.02</v>
      </c>
      <c r="Q111" s="41" t="n">
        <v>0</v>
      </c>
      <c r="R111" s="41" t="n">
        <v>49.3</v>
      </c>
      <c r="S111" s="5" t="inlineStr">
        <is>
          <t>Apportioned (class)</t>
        </is>
      </c>
      <c r="T111" s="6" t="inlineStr">
        <is>
          <t>Low</t>
        </is>
      </c>
      <c r="U111" s="8" t="n">
        <v>38.31</v>
      </c>
      <c r="V111" s="8" t="n">
        <v>0</v>
      </c>
      <c r="W111" s="5" t="inlineStr">
        <is>
          <t>Apportioned at class level</t>
        </is>
      </c>
      <c r="X111" s="36" t="inlineStr">
        <is>
          <t>Split from published rate using median L/P/M shares of 69 comparable build-ups at class level (29/10/60).</t>
        </is>
      </c>
    </row>
    <row r="112">
      <c r="A112" s="4" t="n">
        <v>4388</v>
      </c>
      <c r="B112" s="5" t="inlineStr">
        <is>
          <t>IMG_0125</t>
        </is>
      </c>
      <c r="C112" s="5" t="inlineStr">
        <is>
          <t>CLASS Q: PILING ANCILLARIES</t>
        </is>
      </c>
      <c r="D112" s="5" t="inlineStr">
        <is>
          <t>06 INTERLOCKING STEEL PILES</t>
        </is>
      </c>
      <c r="E112" s="36" t="inlineStr">
        <is>
          <t>Arcelor Mittal U section steel piles; Cutting off surplus lengths</t>
        </is>
      </c>
      <c r="F112" s="36" t="inlineStr">
        <is>
          <t>section modulus 2000-3000 cm3/m</t>
        </is>
      </c>
      <c r="G112" s="6" t="inlineStr">
        <is>
          <t>m</t>
        </is>
      </c>
      <c r="H112" s="7" t="n"/>
      <c r="I112" s="8" t="n">
        <v>11.28</v>
      </c>
      <c r="J112" s="8" t="n">
        <v>3.92</v>
      </c>
      <c r="K112" s="8" t="n">
        <v>23.11</v>
      </c>
      <c r="L112" s="8" t="n">
        <v>0</v>
      </c>
      <c r="M112" s="8" t="n">
        <v>38.31</v>
      </c>
      <c r="N112" s="41" t="n">
        <v>17.69</v>
      </c>
      <c r="O112" s="41" t="n">
        <v>4.58</v>
      </c>
      <c r="P112" s="41" t="n">
        <v>27.02</v>
      </c>
      <c r="Q112" s="41" t="n">
        <v>0</v>
      </c>
      <c r="R112" s="41" t="n">
        <v>49.3</v>
      </c>
      <c r="S112" s="5" t="inlineStr">
        <is>
          <t>Apportioned (class)</t>
        </is>
      </c>
      <c r="T112" s="6" t="inlineStr">
        <is>
          <t>Low</t>
        </is>
      </c>
      <c r="U112" s="8" t="n">
        <v>38.31</v>
      </c>
      <c r="V112" s="8" t="n">
        <v>0</v>
      </c>
      <c r="W112" s="5" t="inlineStr">
        <is>
          <t>Apportioned at class level</t>
        </is>
      </c>
      <c r="X112" s="36" t="inlineStr">
        <is>
          <t>Split from published rate using median L/P/M shares of 69 comparable build-ups at class level (29/10/60).</t>
        </is>
      </c>
    </row>
    <row r="113">
      <c r="A113" s="4" t="n">
        <v>4389</v>
      </c>
      <c r="B113" s="5" t="inlineStr">
        <is>
          <t>IMG_0125</t>
        </is>
      </c>
      <c r="C113" s="5" t="inlineStr">
        <is>
          <t>CLASS Q: PILING ANCILLARIES</t>
        </is>
      </c>
      <c r="D113" s="5" t="inlineStr">
        <is>
          <t>06 INTERLOCKING STEEL PILES</t>
        </is>
      </c>
      <c r="E113" s="36" t="inlineStr">
        <is>
          <t>Arcelor Mittal U section steel piles; Cutting off surplus lengths</t>
        </is>
      </c>
      <c r="F113" s="36" t="inlineStr">
        <is>
          <t>section modulus 3000-4000 cm3/m</t>
        </is>
      </c>
      <c r="G113" s="6" t="inlineStr">
        <is>
          <t>m</t>
        </is>
      </c>
      <c r="H113" s="7" t="n"/>
      <c r="I113" s="8" t="n">
        <v>11.28</v>
      </c>
      <c r="J113" s="8" t="n">
        <v>3.92</v>
      </c>
      <c r="K113" s="8" t="n">
        <v>23.11</v>
      </c>
      <c r="L113" s="8" t="n">
        <v>0</v>
      </c>
      <c r="M113" s="8" t="n">
        <v>38.31</v>
      </c>
      <c r="N113" s="41" t="n">
        <v>17.69</v>
      </c>
      <c r="O113" s="41" t="n">
        <v>4.58</v>
      </c>
      <c r="P113" s="41" t="n">
        <v>27.02</v>
      </c>
      <c r="Q113" s="41" t="n">
        <v>0</v>
      </c>
      <c r="R113" s="41" t="n">
        <v>49.3</v>
      </c>
      <c r="S113" s="5" t="inlineStr">
        <is>
          <t>Apportioned (class)</t>
        </is>
      </c>
      <c r="T113" s="6" t="inlineStr">
        <is>
          <t>Low</t>
        </is>
      </c>
      <c r="U113" s="8" t="n">
        <v>38.31</v>
      </c>
      <c r="V113" s="8" t="n">
        <v>0</v>
      </c>
      <c r="W113" s="5" t="inlineStr">
        <is>
          <t>Apportioned at class level</t>
        </is>
      </c>
      <c r="X113" s="36" t="inlineStr">
        <is>
          <t>Split from published rate using median L/P/M shares of 69 comparable build-ups at class level (29/10/60).</t>
        </is>
      </c>
    </row>
    <row r="114">
      <c r="A114" s="4" t="n">
        <v>4391</v>
      </c>
      <c r="B114" s="5" t="inlineStr">
        <is>
          <t>IMG_0125</t>
        </is>
      </c>
      <c r="C114" s="5" t="inlineStr">
        <is>
          <t>CLASS Q: PILING ANCILLARIES</t>
        </is>
      </c>
      <c r="D114" s="5" t="inlineStr">
        <is>
          <t>06 INTERLOCKING STEEL PILES</t>
        </is>
      </c>
      <c r="E114" s="36" t="inlineStr">
        <is>
          <t>Extract piling and stack on site</t>
        </is>
      </c>
      <c r="F114" s="36" t="inlineStr">
        <is>
          <t>section modulus 500-800 cm3/m</t>
        </is>
      </c>
      <c r="G114" s="6" t="inlineStr">
        <is>
          <t>m2</t>
        </is>
      </c>
      <c r="H114" s="7" t="n"/>
      <c r="I114" s="8" t="n">
        <v>8.880000000000001</v>
      </c>
      <c r="J114" s="8" t="n">
        <v>3.08</v>
      </c>
      <c r="K114" s="8" t="n">
        <v>18.19</v>
      </c>
      <c r="L114" s="8" t="n">
        <v>0</v>
      </c>
      <c r="M114" s="8" t="n">
        <v>30.16</v>
      </c>
      <c r="N114" s="41" t="n">
        <v>13.93</v>
      </c>
      <c r="O114" s="41" t="n">
        <v>3.6</v>
      </c>
      <c r="P114" s="41" t="n">
        <v>21.27</v>
      </c>
      <c r="Q114" s="41" t="n">
        <v>0</v>
      </c>
      <c r="R114" s="41" t="n">
        <v>38.8</v>
      </c>
      <c r="S114" s="5" t="inlineStr">
        <is>
          <t>Apportioned (class)</t>
        </is>
      </c>
      <c r="T114" s="6" t="inlineStr">
        <is>
          <t>Low</t>
        </is>
      </c>
      <c r="U114" s="8" t="n">
        <v>30.16</v>
      </c>
      <c r="V114" s="8" t="n">
        <v>0</v>
      </c>
      <c r="W114" s="5" t="inlineStr">
        <is>
          <t>Apportioned at class level</t>
        </is>
      </c>
      <c r="X114" s="36" t="inlineStr">
        <is>
          <t>Split from published rate using median L/P/M shares of 69 comparable build-ups at class level (29/10/60).</t>
        </is>
      </c>
    </row>
    <row r="115">
      <c r="A115" s="4" t="n">
        <v>4392</v>
      </c>
      <c r="B115" s="5" t="inlineStr">
        <is>
          <t>IMG_0125</t>
        </is>
      </c>
      <c r="C115" s="5" t="inlineStr">
        <is>
          <t>CLASS Q: PILING ANCILLARIES</t>
        </is>
      </c>
      <c r="D115" s="5" t="inlineStr">
        <is>
          <t>06 INTERLOCKING STEEL PILES</t>
        </is>
      </c>
      <c r="E115" s="36" t="inlineStr">
        <is>
          <t>Extract piling and stack on site</t>
        </is>
      </c>
      <c r="F115" s="36" t="inlineStr">
        <is>
          <t>section modulus 800-1200 cm3/m</t>
        </is>
      </c>
      <c r="G115" s="6" t="inlineStr">
        <is>
          <t>m2</t>
        </is>
      </c>
      <c r="H115" s="7" t="n"/>
      <c r="I115" s="8" t="n">
        <v>8.880000000000001</v>
      </c>
      <c r="J115" s="8" t="n">
        <v>3.08</v>
      </c>
      <c r="K115" s="8" t="n">
        <v>18.19</v>
      </c>
      <c r="L115" s="8" t="n">
        <v>0</v>
      </c>
      <c r="M115" s="8" t="n">
        <v>30.16</v>
      </c>
      <c r="N115" s="41" t="n">
        <v>13.93</v>
      </c>
      <c r="O115" s="41" t="n">
        <v>3.6</v>
      </c>
      <c r="P115" s="41" t="n">
        <v>21.27</v>
      </c>
      <c r="Q115" s="41" t="n">
        <v>0</v>
      </c>
      <c r="R115" s="41" t="n">
        <v>38.8</v>
      </c>
      <c r="S115" s="5" t="inlineStr">
        <is>
          <t>Apportioned (class)</t>
        </is>
      </c>
      <c r="T115" s="6" t="inlineStr">
        <is>
          <t>Low</t>
        </is>
      </c>
      <c r="U115" s="8" t="n">
        <v>30.16</v>
      </c>
      <c r="V115" s="8" t="n">
        <v>0</v>
      </c>
      <c r="W115" s="5" t="inlineStr">
        <is>
          <t>Apportioned at class level</t>
        </is>
      </c>
      <c r="X115" s="36" t="inlineStr">
        <is>
          <t>Split from published rate using median L/P/M shares of 69 comparable build-ups at class level (29/10/60).</t>
        </is>
      </c>
    </row>
    <row r="116">
      <c r="A116" s="4" t="n">
        <v>4393</v>
      </c>
      <c r="B116" s="5" t="inlineStr">
        <is>
          <t>IMG_0125</t>
        </is>
      </c>
      <c r="C116" s="5" t="inlineStr">
        <is>
          <t>CLASS Q: PILING ANCILLARIES</t>
        </is>
      </c>
      <c r="D116" s="5" t="inlineStr">
        <is>
          <t>06 INTERLOCKING STEEL PILES</t>
        </is>
      </c>
      <c r="E116" s="36" t="inlineStr">
        <is>
          <t>Extract piling and stack on site</t>
        </is>
      </c>
      <c r="F116" s="36" t="inlineStr">
        <is>
          <t>section modulus 800-1200 cm3/m PU12</t>
        </is>
      </c>
      <c r="G116" s="6" t="inlineStr">
        <is>
          <t>m2</t>
        </is>
      </c>
      <c r="H116" s="7" t="n"/>
      <c r="I116" s="8" t="n">
        <v>8.880000000000001</v>
      </c>
      <c r="J116" s="8" t="n">
        <v>3.08</v>
      </c>
      <c r="K116" s="8" t="n">
        <v>18.19</v>
      </c>
      <c r="L116" s="8" t="n">
        <v>0</v>
      </c>
      <c r="M116" s="8" t="n">
        <v>30.16</v>
      </c>
      <c r="N116" s="41" t="n">
        <v>13.93</v>
      </c>
      <c r="O116" s="41" t="n">
        <v>3.6</v>
      </c>
      <c r="P116" s="41" t="n">
        <v>21.27</v>
      </c>
      <c r="Q116" s="41" t="n">
        <v>0</v>
      </c>
      <c r="R116" s="41" t="n">
        <v>38.8</v>
      </c>
      <c r="S116" s="5" t="inlineStr">
        <is>
          <t>Apportioned (class)</t>
        </is>
      </c>
      <c r="T116" s="6" t="inlineStr">
        <is>
          <t>Low</t>
        </is>
      </c>
      <c r="U116" s="8" t="n">
        <v>30.16</v>
      </c>
      <c r="V116" s="8" t="n">
        <v>0</v>
      </c>
      <c r="W116" s="5" t="inlineStr">
        <is>
          <t>Apportioned at class level</t>
        </is>
      </c>
      <c r="X116" s="36" t="inlineStr">
        <is>
          <t>Split from published rate using median L/P/M shares of 69 comparable build-ups at class level (29/10/60).</t>
        </is>
      </c>
    </row>
    <row r="117">
      <c r="A117" s="4" t="n">
        <v>4394</v>
      </c>
      <c r="B117" s="5" t="inlineStr">
        <is>
          <t>IMG_0125</t>
        </is>
      </c>
      <c r="C117" s="5" t="inlineStr">
        <is>
          <t>CLASS Q: PILING ANCILLARIES</t>
        </is>
      </c>
      <c r="D117" s="5" t="inlineStr">
        <is>
          <t>06 INTERLOCKING STEEL PILES</t>
        </is>
      </c>
      <c r="E117" s="36" t="inlineStr">
        <is>
          <t>Extract piling and stack on site</t>
        </is>
      </c>
      <c r="F117" s="36" t="inlineStr">
        <is>
          <t>section modulus 800-1200 cm3/m PU18</t>
        </is>
      </c>
      <c r="G117" s="6" t="inlineStr">
        <is>
          <t>m2</t>
        </is>
      </c>
      <c r="H117" s="7" t="n"/>
      <c r="I117" s="8" t="n">
        <v>8.880000000000001</v>
      </c>
      <c r="J117" s="8" t="n">
        <v>3.08</v>
      </c>
      <c r="K117" s="8" t="n">
        <v>18.19</v>
      </c>
      <c r="L117" s="8" t="n">
        <v>0</v>
      </c>
      <c r="M117" s="8" t="n">
        <v>30.16</v>
      </c>
      <c r="N117" s="41" t="n">
        <v>13.93</v>
      </c>
      <c r="O117" s="41" t="n">
        <v>3.6</v>
      </c>
      <c r="P117" s="41" t="n">
        <v>21.27</v>
      </c>
      <c r="Q117" s="41" t="n">
        <v>0</v>
      </c>
      <c r="R117" s="41" t="n">
        <v>38.8</v>
      </c>
      <c r="S117" s="5" t="inlineStr">
        <is>
          <t>Apportioned (class)</t>
        </is>
      </c>
      <c r="T117" s="6" t="inlineStr">
        <is>
          <t>Low</t>
        </is>
      </c>
      <c r="U117" s="8" t="n">
        <v>30.16</v>
      </c>
      <c r="V117" s="8" t="n">
        <v>0</v>
      </c>
      <c r="W117" s="5" t="inlineStr">
        <is>
          <t>Apportioned at class level</t>
        </is>
      </c>
      <c r="X117" s="36" t="inlineStr">
        <is>
          <t>Split from published rate using median L/P/M shares of 69 comparable build-ups at class level (29/10/60).</t>
        </is>
      </c>
    </row>
    <row r="118">
      <c r="A118" s="4" t="n">
        <v>4395</v>
      </c>
      <c r="B118" s="5" t="inlineStr">
        <is>
          <t>IMG_0125</t>
        </is>
      </c>
      <c r="C118" s="5" t="inlineStr">
        <is>
          <t>CLASS Q: PILING ANCILLARIES</t>
        </is>
      </c>
      <c r="D118" s="5" t="inlineStr">
        <is>
          <t>06 INTERLOCKING STEEL PILES</t>
        </is>
      </c>
      <c r="E118" s="36" t="inlineStr">
        <is>
          <t>Extract piling and stack on site</t>
        </is>
      </c>
      <c r="F118" s="36" t="inlineStr">
        <is>
          <t>section modulus 2000-3000 cm3/m</t>
        </is>
      </c>
      <c r="G118" s="6" t="inlineStr">
        <is>
          <t>m2</t>
        </is>
      </c>
      <c r="H118" s="7" t="n"/>
      <c r="I118" s="8" t="n">
        <v>8.880000000000001</v>
      </c>
      <c r="J118" s="8" t="n">
        <v>3.08</v>
      </c>
      <c r="K118" s="8" t="n">
        <v>18.19</v>
      </c>
      <c r="L118" s="8" t="n">
        <v>0</v>
      </c>
      <c r="M118" s="8" t="n">
        <v>30.16</v>
      </c>
      <c r="N118" s="41" t="n">
        <v>13.93</v>
      </c>
      <c r="O118" s="41" t="n">
        <v>3.6</v>
      </c>
      <c r="P118" s="41" t="n">
        <v>21.27</v>
      </c>
      <c r="Q118" s="41" t="n">
        <v>0</v>
      </c>
      <c r="R118" s="41" t="n">
        <v>38.8</v>
      </c>
      <c r="S118" s="5" t="inlineStr">
        <is>
          <t>Apportioned (class)</t>
        </is>
      </c>
      <c r="T118" s="6" t="inlineStr">
        <is>
          <t>Low</t>
        </is>
      </c>
      <c r="U118" s="8" t="n">
        <v>30.16</v>
      </c>
      <c r="V118" s="8" t="n">
        <v>0</v>
      </c>
      <c r="W118" s="5" t="inlineStr">
        <is>
          <t>Apportioned at class level</t>
        </is>
      </c>
      <c r="X118" s="36" t="inlineStr">
        <is>
          <t>Split from published rate using median L/P/M shares of 69 comparable build-ups at class level (29/10/60).</t>
        </is>
      </c>
    </row>
    <row r="119">
      <c r="A119" s="4" t="n">
        <v>4396</v>
      </c>
      <c r="B119" s="5" t="inlineStr">
        <is>
          <t>IMG_0125</t>
        </is>
      </c>
      <c r="C119" s="5" t="inlineStr">
        <is>
          <t>CLASS Q: PILING ANCILLARIES</t>
        </is>
      </c>
      <c r="D119" s="5" t="inlineStr">
        <is>
          <t>06 INTERLOCKING STEEL PILES</t>
        </is>
      </c>
      <c r="E119" s="36" t="inlineStr">
        <is>
          <t>Extract piling and stack on site</t>
        </is>
      </c>
      <c r="F119" s="36" t="inlineStr">
        <is>
          <t>section modulus 3000-4000 cm3/m</t>
        </is>
      </c>
      <c r="G119" s="6" t="inlineStr">
        <is>
          <t>m2</t>
        </is>
      </c>
      <c r="H119" s="7" t="n"/>
      <c r="I119" s="8" t="n">
        <v>8.880000000000001</v>
      </c>
      <c r="J119" s="8" t="n">
        <v>3.08</v>
      </c>
      <c r="K119" s="8" t="n">
        <v>18.19</v>
      </c>
      <c r="L119" s="8" t="n">
        <v>0</v>
      </c>
      <c r="M119" s="8" t="n">
        <v>30.16</v>
      </c>
      <c r="N119" s="41" t="n">
        <v>13.93</v>
      </c>
      <c r="O119" s="41" t="n">
        <v>3.6</v>
      </c>
      <c r="P119" s="41" t="n">
        <v>21.27</v>
      </c>
      <c r="Q119" s="41" t="n">
        <v>0</v>
      </c>
      <c r="R119" s="41" t="n">
        <v>38.8</v>
      </c>
      <c r="S119" s="5" t="inlineStr">
        <is>
          <t>Apportioned (class)</t>
        </is>
      </c>
      <c r="T119" s="6" t="inlineStr">
        <is>
          <t>Low</t>
        </is>
      </c>
      <c r="U119" s="8" t="n">
        <v>30.16</v>
      </c>
      <c r="V119" s="8" t="n">
        <v>0</v>
      </c>
      <c r="W119" s="5" t="inlineStr">
        <is>
          <t>Apportioned at class level</t>
        </is>
      </c>
      <c r="X119" s="36" t="inlineStr">
        <is>
          <t>Split from published rate using median L/P/M shares of 69 comparable build-ups at class level (29/10/60).</t>
        </is>
      </c>
    </row>
    <row r="120">
      <c r="A120" s="4" t="n">
        <v>4399</v>
      </c>
      <c r="B120" s="5" t="inlineStr">
        <is>
          <t>IMG_0125</t>
        </is>
      </c>
      <c r="C120" s="5" t="inlineStr">
        <is>
          <t>CLASS Q: PILING ANCILLARIES</t>
        </is>
      </c>
      <c r="D120" s="5" t="inlineStr">
        <is>
          <t>07 OBSTRUCTIONS</t>
        </is>
      </c>
      <c r="E120" s="36" t="inlineStr">
        <is>
          <t>General</t>
        </is>
      </c>
      <c r="F120" s="36" t="inlineStr">
        <is>
          <t>Obstructions</t>
        </is>
      </c>
      <c r="G120" s="6" t="inlineStr">
        <is>
          <t>hr</t>
        </is>
      </c>
      <c r="H120" s="7" t="n"/>
      <c r="I120" s="8" t="n">
        <v>48.39</v>
      </c>
      <c r="J120" s="8" t="n">
        <v>16.8</v>
      </c>
      <c r="K120" s="8" t="n">
        <v>99.09</v>
      </c>
      <c r="L120" s="8" t="n">
        <v>0</v>
      </c>
      <c r="M120" s="8" t="n">
        <v>164.28</v>
      </c>
      <c r="N120" s="41" t="n">
        <v>75.91</v>
      </c>
      <c r="O120" s="41" t="n">
        <v>19.65</v>
      </c>
      <c r="P120" s="41" t="n">
        <v>115.88</v>
      </c>
      <c r="Q120" s="41" t="n">
        <v>0</v>
      </c>
      <c r="R120" s="41" t="n">
        <v>211.43</v>
      </c>
      <c r="S120" s="5" t="inlineStr">
        <is>
          <t>Apportioned (class)</t>
        </is>
      </c>
      <c r="T120" s="6" t="inlineStr">
        <is>
          <t>Low</t>
        </is>
      </c>
      <c r="U120" s="8" t="n">
        <v>164.28</v>
      </c>
      <c r="V120" s="8" t="n">
        <v>0</v>
      </c>
      <c r="W120" s="5" t="inlineStr">
        <is>
          <t>Apportioned at class level</t>
        </is>
      </c>
      <c r="X120" s="36" t="inlineStr">
        <is>
          <t>Split from published rate using median L/P/M shares of 69 comparable build-ups at class level (29/10/60).</t>
        </is>
      </c>
    </row>
    <row r="121">
      <c r="A121" s="4" t="n">
        <v>4405</v>
      </c>
      <c r="B121" s="5" t="inlineStr">
        <is>
          <t>IMG_0125</t>
        </is>
      </c>
      <c r="C121" s="5" t="inlineStr">
        <is>
          <t>CLASS Q: PILING ANCILLARIES</t>
        </is>
      </c>
      <c r="D121" s="5" t="inlineStr">
        <is>
          <t>08 PILE TESTS</t>
        </is>
      </c>
      <c r="E121" s="36" t="inlineStr">
        <is>
          <t>Cast in place; Pile tests; 500 mm dia. working pile; maximum test load of 600kN using non-working tension piles as reaction tripod</t>
        </is>
      </c>
      <c r="F121" s="36" t="inlineStr">
        <is>
          <t>Make, cure and test concrete cubes; tripod</t>
        </is>
      </c>
      <c r="G121" s="6" t="inlineStr">
        <is>
          <t>nr</t>
        </is>
      </c>
      <c r="H121" s="7" t="n"/>
      <c r="I121" s="8" t="n">
        <v>0</v>
      </c>
      <c r="J121" s="8" t="n">
        <v>0</v>
      </c>
      <c r="K121" s="8" t="n">
        <v>0</v>
      </c>
      <c r="L121" s="8" t="n">
        <v>21.63</v>
      </c>
      <c r="M121" s="8" t="n">
        <v>21.63</v>
      </c>
      <c r="N121" s="41" t="n">
        <v>0</v>
      </c>
      <c r="O121" s="41" t="n">
        <v>0</v>
      </c>
      <c r="P121" s="41" t="n">
        <v>0</v>
      </c>
      <c r="Q121" s="41" t="n">
        <v>28.32</v>
      </c>
      <c r="R121" s="41" t="n">
        <v>28.32</v>
      </c>
      <c r="S121" s="5" t="inlineStr">
        <is>
          <t>All-in specialist rate</t>
        </is>
      </c>
      <c r="T121" s="6" t="inlineStr">
        <is>
          <t>All-in (not split)</t>
        </is>
      </c>
      <c r="U121" s="8" t="n">
        <v>21.63</v>
      </c>
      <c r="V121" s="8" t="n">
        <v>0</v>
      </c>
      <c r="W121" s="5" t="inlineStr">
        <is>
          <t>Outlier vs comparable items</t>
        </is>
      </c>
      <c r="X121" s="36" t="inlineStr">
        <is>
          <t>Source publishes a specialist/sub-contract all-in rate; no labour/plant/material build-up exists to derive from. Derived cost is far from the median of comparable items in this group (£3,390.89) — check the source figure.</t>
        </is>
      </c>
    </row>
    <row r="122">
      <c r="A122" s="4" t="n">
        <v>4415</v>
      </c>
      <c r="B122" s="5" t="inlineStr">
        <is>
          <t>IMG_0125</t>
        </is>
      </c>
      <c r="C122" s="5" t="inlineStr">
        <is>
          <t>CLASS Q: PILING ANCILLARIES</t>
        </is>
      </c>
      <c r="D122" s="5" t="inlineStr">
        <is>
          <t>08 PILE TESTS</t>
        </is>
      </c>
      <c r="E122" s="36" t="inlineStr">
        <is>
          <t>Pile tests; working pile; maximum test load of 1.5 times working load; second and subsequent piles</t>
        </is>
      </c>
      <c r="F122" s="36" t="inlineStr">
        <is>
          <t>Make, cure and test concrete cubes</t>
        </is>
      </c>
      <c r="G122" s="6" t="inlineStr">
        <is>
          <t>nr</t>
        </is>
      </c>
      <c r="H122" s="7" t="n"/>
      <c r="I122" s="8" t="n">
        <v>0</v>
      </c>
      <c r="J122" s="8" t="n">
        <v>0</v>
      </c>
      <c r="K122" s="8" t="n">
        <v>0</v>
      </c>
      <c r="L122" s="8" t="n">
        <v>36.58</v>
      </c>
      <c r="M122" s="8" t="n">
        <v>36.58</v>
      </c>
      <c r="N122" s="41" t="n">
        <v>0</v>
      </c>
      <c r="O122" s="41" t="n">
        <v>0</v>
      </c>
      <c r="P122" s="41" t="n">
        <v>0</v>
      </c>
      <c r="Q122" s="41" t="n">
        <v>47.89</v>
      </c>
      <c r="R122" s="41" t="n">
        <v>47.89</v>
      </c>
      <c r="S122" s="5" t="inlineStr">
        <is>
          <t>All-in specialist rate</t>
        </is>
      </c>
      <c r="T122" s="6" t="inlineStr">
        <is>
          <t>All-in (not split)</t>
        </is>
      </c>
      <c r="U122" s="8" t="n">
        <v>36.58</v>
      </c>
      <c r="V122" s="8" t="n">
        <v>0</v>
      </c>
      <c r="W122" s="5" t="inlineStr">
        <is>
          <t>Outlier vs comparable items</t>
        </is>
      </c>
      <c r="X122" s="36" t="inlineStr">
        <is>
          <t>Source publishes a specialist/sub-contract all-in rate; no labour/plant/material build-up exists to derive from. Derived cost is far from the median of comparable items in this group (£3,875.18) — check the source figure.</t>
        </is>
      </c>
    </row>
    <row r="123">
      <c r="A123" s="4" t="n">
        <v>4430</v>
      </c>
      <c r="B123" s="5" t="inlineStr">
        <is>
          <t>IMG_0125</t>
        </is>
      </c>
      <c r="C123" s="5" t="inlineStr">
        <is>
          <t>CLASS Q: PILING ANCILLARIES</t>
        </is>
      </c>
      <c r="D123" s="5" t="inlineStr">
        <is>
          <t>08 PILE TESTS</t>
        </is>
      </c>
      <c r="E123" s="36" t="inlineStr">
        <is>
          <t>Pile tests; 430 mm dia. working pile; maximum test load of 1125kN using non-working tension piles as reaction; subsequent piles</t>
        </is>
      </c>
      <c r="F123" s="36" t="inlineStr">
        <is>
          <t>Pile tests; working pile; electronic integrity testing; each pile (minimum 40 piles per visit)</t>
        </is>
      </c>
      <c r="G123" s="6" t="inlineStr">
        <is>
          <t>nr</t>
        </is>
      </c>
      <c r="H123" s="7" t="n"/>
      <c r="I123" s="8" t="n">
        <v>0</v>
      </c>
      <c r="J123" s="8" t="n">
        <v>0</v>
      </c>
      <c r="K123" s="8" t="n">
        <v>0</v>
      </c>
      <c r="L123" s="8" t="n">
        <v>21.73</v>
      </c>
      <c r="M123" s="8" t="n">
        <v>21.73</v>
      </c>
      <c r="N123" s="41" t="n">
        <v>0</v>
      </c>
      <c r="O123" s="41" t="n">
        <v>0</v>
      </c>
      <c r="P123" s="41" t="n">
        <v>0</v>
      </c>
      <c r="Q123" s="41" t="n">
        <v>28.45</v>
      </c>
      <c r="R123" s="41" t="n">
        <v>28.45</v>
      </c>
      <c r="S123" s="5" t="inlineStr">
        <is>
          <t>All-in specialist rate</t>
        </is>
      </c>
      <c r="T123" s="6" t="inlineStr">
        <is>
          <t>All-in (not split)</t>
        </is>
      </c>
      <c r="U123" s="8" t="n">
        <v>21.73</v>
      </c>
      <c r="V123" s="8" t="n">
        <v>0</v>
      </c>
      <c r="W123" s="5" t="inlineStr">
        <is>
          <t>Outlier vs comparable items</t>
        </is>
      </c>
      <c r="X123" s="36" t="inlineStr">
        <is>
          <t>Source publishes a specialist/sub-contract all-in rate; no labour/plant/material build-up exists to derive from. Derived cost is far from the median of comparable items in this group (£1,170.81) — check the source figure.</t>
        </is>
      </c>
    </row>
    <row r="124">
      <c r="A124" s="4" t="n">
        <v>4431</v>
      </c>
      <c r="B124" s="5" t="inlineStr">
        <is>
          <t>IMG_0125</t>
        </is>
      </c>
      <c r="C124" s="5" t="inlineStr">
        <is>
          <t>CLASS Q: PILING ANCILLARIES</t>
        </is>
      </c>
      <c r="D124" s="5" t="inlineStr">
        <is>
          <t>08 PILE TESTS</t>
        </is>
      </c>
      <c r="E124" s="36" t="inlineStr">
        <is>
          <t>Pile tests; 430 mm dia. working pile; maximum test load of 1125kN using non-working tension piles as reaction; subsequent piles</t>
        </is>
      </c>
      <c r="F124" s="36" t="inlineStr">
        <is>
          <t>Make cure and test concrete cubes</t>
        </is>
      </c>
      <c r="G124" s="6" t="inlineStr">
        <is>
          <t>nr</t>
        </is>
      </c>
      <c r="H124" s="7" t="n"/>
      <c r="I124" s="8" t="n">
        <v>0</v>
      </c>
      <c r="J124" s="8" t="n">
        <v>0</v>
      </c>
      <c r="K124" s="8" t="n">
        <v>0</v>
      </c>
      <c r="L124" s="8" t="n">
        <v>15.94</v>
      </c>
      <c r="M124" s="8" t="n">
        <v>15.94</v>
      </c>
      <c r="N124" s="41" t="n">
        <v>0</v>
      </c>
      <c r="O124" s="41" t="n">
        <v>0</v>
      </c>
      <c r="P124" s="41" t="n">
        <v>0</v>
      </c>
      <c r="Q124" s="41" t="n">
        <v>20.87</v>
      </c>
      <c r="R124" s="41" t="n">
        <v>20.87</v>
      </c>
      <c r="S124" s="5" t="inlineStr">
        <is>
          <t>All-in specialist rate</t>
        </is>
      </c>
      <c r="T124" s="6" t="inlineStr">
        <is>
          <t>All-in (not split)</t>
        </is>
      </c>
      <c r="U124" s="8" t="n">
        <v>15.94</v>
      </c>
      <c r="V124" s="8" t="n">
        <v>0</v>
      </c>
      <c r="W124" s="5" t="inlineStr">
        <is>
          <t>Outlier vs comparable items</t>
        </is>
      </c>
      <c r="X124" s="36" t="inlineStr">
        <is>
          <t>Source publishes a specialist/sub-contract all-in rate; no labour/plant/material build-up exists to derive from. Derived cost is far from the median of comparable items in this group (£1,170.81) — check the source figure.</t>
        </is>
      </c>
    </row>
    <row r="125">
      <c r="A125" s="4" t="n">
        <v>4883</v>
      </c>
      <c r="B125" s="5" t="inlineStr">
        <is>
          <t>IMG_0131</t>
        </is>
      </c>
      <c r="C125" s="5" t="inlineStr">
        <is>
          <t>CLASS R: ROADS AND PAVINGS</t>
        </is>
      </c>
      <c r="D125" s="5" t="inlineStr">
        <is>
          <t>08 ANCILLARIES</t>
        </is>
      </c>
      <c r="E125" s="36" t="inlineStr">
        <is>
          <t>Standard reflectorized traffic signs</t>
        </is>
      </c>
      <c r="F125" s="36" t="inlineStr">
        <is>
          <t>extra for fixing singly to one face only</t>
        </is>
      </c>
      <c r="G125" s="6" t="inlineStr">
        <is>
          <t>nr</t>
        </is>
      </c>
      <c r="H125" s="7" t="n">
        <v>0.01</v>
      </c>
      <c r="I125" s="8" t="n">
        <v>1.14</v>
      </c>
      <c r="J125" s="8" t="n">
        <v>0.63</v>
      </c>
      <c r="K125" s="8" t="n">
        <v>0</v>
      </c>
      <c r="L125" s="8" t="n">
        <v>0</v>
      </c>
      <c r="M125" s="8" t="n">
        <v>1.77</v>
      </c>
      <c r="N125" s="41" t="n">
        <v>1.79</v>
      </c>
      <c r="O125" s="41" t="n">
        <v>0.74</v>
      </c>
      <c r="P125" s="41" t="n">
        <v>0</v>
      </c>
      <c r="Q125" s="41" t="n">
        <v>0</v>
      </c>
      <c r="R125" s="41" t="n">
        <v>2.52</v>
      </c>
      <c r="S125" s="5" t="inlineStr">
        <is>
          <t>Stated build-up</t>
        </is>
      </c>
      <c r="T125" s="6" t="inlineStr">
        <is>
          <t>High</t>
        </is>
      </c>
      <c r="U125" s="8" t="n">
        <v>1.78</v>
      </c>
      <c r="V125" s="8" t="n">
        <v>-0.01</v>
      </c>
      <c r="W125" s="5" t="inlineStr">
        <is>
          <t>Outlier vs comparable items</t>
        </is>
      </c>
      <c r="X125" s="36" t="inlineStr">
        <is>
          <t>Labour + plant + material as published; reconciles to the published rate. Derived cost is far from the median of comparable items in this group (£71.87) — check the source figure.</t>
        </is>
      </c>
    </row>
    <row r="126">
      <c r="A126" s="4" t="n">
        <v>4891</v>
      </c>
      <c r="B126" s="5" t="inlineStr">
        <is>
          <t>IMG_0131</t>
        </is>
      </c>
      <c r="C126" s="5" t="inlineStr">
        <is>
          <t>CLASS R: ROADS AND PAVINGS</t>
        </is>
      </c>
      <c r="D126" s="5" t="inlineStr">
        <is>
          <t>08 ANCILLARIES</t>
        </is>
      </c>
      <c r="E126" s="36" t="inlineStr">
        <is>
          <t>Standard two post signs; 1200 x 400 mm</t>
        </is>
      </c>
      <c r="F126" s="36" t="inlineStr">
        <is>
          <t>extra for fixing singly to one face only</t>
        </is>
      </c>
      <c r="G126" s="6" t="inlineStr">
        <is>
          <t>nr</t>
        </is>
      </c>
      <c r="H126" s="7" t="n">
        <v>0.02</v>
      </c>
      <c r="I126" s="8" t="n">
        <v>2.28</v>
      </c>
      <c r="J126" s="8" t="n">
        <v>1.32</v>
      </c>
      <c r="K126" s="8" t="n">
        <v>0</v>
      </c>
      <c r="L126" s="8" t="n">
        <v>0</v>
      </c>
      <c r="M126" s="8" t="n">
        <v>3.6</v>
      </c>
      <c r="N126" s="41" t="n">
        <v>3.58</v>
      </c>
      <c r="O126" s="41" t="n">
        <v>1.54</v>
      </c>
      <c r="P126" s="41" t="n">
        <v>0</v>
      </c>
      <c r="Q126" s="41" t="n">
        <v>0</v>
      </c>
      <c r="R126" s="41" t="n">
        <v>5.12</v>
      </c>
      <c r="S126" s="5" t="inlineStr">
        <is>
          <t>Stated build-up</t>
        </is>
      </c>
      <c r="T126" s="6" t="inlineStr">
        <is>
          <t>High</t>
        </is>
      </c>
      <c r="U126" s="8" t="n">
        <v>3.6</v>
      </c>
      <c r="V126" s="8" t="n">
        <v>0</v>
      </c>
      <c r="W126" s="5" t="inlineStr">
        <is>
          <t>Outlier vs comparable items</t>
        </is>
      </c>
      <c r="X126" s="36" t="inlineStr">
        <is>
          <t>Labour + plant + material as published; reconciles to the published rate. Derived cost is far from the median of comparable items in this group (£175.15) — check the source figure.</t>
        </is>
      </c>
    </row>
    <row r="127">
      <c r="A127" s="4" t="n">
        <v>5252</v>
      </c>
      <c r="B127" s="5" t="inlineStr">
        <is>
          <t>IMG_0137</t>
        </is>
      </c>
      <c r="C127" s="5" t="inlineStr">
        <is>
          <t>CLASS T: TUNNELS</t>
        </is>
      </c>
      <c r="D127" s="5" t="inlineStr">
        <is>
          <t>03 IN SITU LINING TO SHAFTS</t>
        </is>
      </c>
      <c r="E127" s="36" t="inlineStr">
        <is>
          <t>Constructed in situ concrete</t>
        </is>
      </c>
      <c r="F127" s="36" t="inlineStr">
        <is>
          <t>Provision of complete standard shaft in in situ concrete; including piling, walls, floors, roof, drainage, finishes etc.</t>
        </is>
      </c>
      <c r="G127" s="6" t="inlineStr">
        <is>
          <t>nr</t>
        </is>
      </c>
      <c r="H127" s="7" t="n"/>
      <c r="I127" s="8" t="n">
        <v>0</v>
      </c>
      <c r="J127" s="8" t="n">
        <v>0</v>
      </c>
      <c r="K127" s="8" t="n">
        <v>0</v>
      </c>
      <c r="L127" s="8" t="n">
        <v>50182993.52</v>
      </c>
      <c r="M127" s="8" t="n">
        <v>50182993.52</v>
      </c>
      <c r="N127" s="41" t="n">
        <v>0</v>
      </c>
      <c r="O127" s="41" t="n">
        <v>0</v>
      </c>
      <c r="P127" s="41" t="n">
        <v>0</v>
      </c>
      <c r="Q127" s="41" t="n">
        <v>65696142.9</v>
      </c>
      <c r="R127" s="41" t="n">
        <v>65696142.9</v>
      </c>
      <c r="S127" s="5" t="inlineStr">
        <is>
          <t>All-in specialist rate</t>
        </is>
      </c>
      <c r="T127" s="6" t="inlineStr">
        <is>
          <t>All-in (not split)</t>
        </is>
      </c>
      <c r="U127" s="8" t="n">
        <v>50182993.52</v>
      </c>
      <c r="V127" s="8" t="n">
        <v>0</v>
      </c>
      <c r="W127" s="5" t="inlineStr">
        <is>
          <t>Probable source error — verify</t>
        </is>
      </c>
      <c r="X127" s="36" t="inlineStr">
        <is>
          <t>Source publishes a specialist/sub-contract all-in rate; no labour/plant/material build-up exists to derive from. This is 20x the next highest item in the class (£2,534,723.45) and out of line with comparable rates in the same section — likely a mis-read digit in the source scan. Verify before use.</t>
        </is>
      </c>
    </row>
    <row r="128">
      <c r="A128" s="4" t="n">
        <v>5266</v>
      </c>
      <c r="B128" s="5" t="inlineStr">
        <is>
          <t>IMG_0137</t>
        </is>
      </c>
      <c r="C128" s="5" t="inlineStr">
        <is>
          <t>CLASS T: TUNNELS</t>
        </is>
      </c>
      <c r="D128" s="5" t="inlineStr">
        <is>
          <t>03 IN SITU LINING TO SHAFTS</t>
        </is>
      </c>
      <c r="E128" s="36" t="inlineStr">
        <is>
          <t>Depressurization allowances</t>
        </is>
      </c>
      <c r="F128" s="36" t="inlineStr">
        <is>
          <t>Depressurization measures allowances</t>
        </is>
      </c>
      <c r="G128" s="6" t="inlineStr">
        <is>
          <t>nr</t>
        </is>
      </c>
      <c r="H128" s="7" t="n"/>
      <c r="I128" s="8" t="n">
        <v>0</v>
      </c>
      <c r="J128" s="8" t="n">
        <v>0</v>
      </c>
      <c r="K128" s="8" t="n">
        <v>0</v>
      </c>
      <c r="L128" s="8" t="n">
        <v>752744.9</v>
      </c>
      <c r="M128" s="8" t="n">
        <v>752744.9</v>
      </c>
      <c r="N128" s="41" t="n">
        <v>0</v>
      </c>
      <c r="O128" s="41" t="n">
        <v>0</v>
      </c>
      <c r="P128" s="41" t="n">
        <v>0</v>
      </c>
      <c r="Q128" s="41" t="n">
        <v>985442.14</v>
      </c>
      <c r="R128" s="41" t="n">
        <v>985442.14</v>
      </c>
      <c r="S128" s="5" t="inlineStr">
        <is>
          <t>All-in specialist rate</t>
        </is>
      </c>
      <c r="T128" s="6" t="inlineStr">
        <is>
          <t>All-in (not split)</t>
        </is>
      </c>
      <c r="U128" s="8" t="n">
        <v>752744.9</v>
      </c>
      <c r="V128" s="8" t="n">
        <v>0</v>
      </c>
      <c r="W128" s="5" t="inlineStr">
        <is>
          <t>High value — verify</t>
        </is>
      </c>
      <c r="X128" s="36" t="inlineStr">
        <is>
          <t>Source publishes a specialist/sub-contract all-in rate; no labour/plant/material build-up exists to derive from. Unit rate of £250,000 or more — plausible for major specialist works but worth verifying against the source.</t>
        </is>
      </c>
    </row>
    <row r="129">
      <c r="A129" s="4" t="n">
        <v>5339</v>
      </c>
      <c r="B129" s="5" t="inlineStr">
        <is>
          <t>IMG_0138</t>
        </is>
      </c>
      <c r="C129" s="5" t="inlineStr">
        <is>
          <t>CLASS T: TUNNELS</t>
        </is>
      </c>
      <c r="D129" s="5" t="inlineStr">
        <is>
          <t>09 VIADUCTS</t>
        </is>
      </c>
      <c r="E129" s="36" t="inlineStr">
        <is>
          <t>Permanent casings each length</t>
        </is>
      </c>
      <c r="F129" s="36" t="inlineStr">
        <is>
          <t>In situ Reinforced Concrete Piers on piles; off shore standard vertical pier</t>
        </is>
      </c>
      <c r="G129" s="6" t="inlineStr">
        <is>
          <t>nr</t>
        </is>
      </c>
      <c r="H129" s="7" t="n"/>
      <c r="I129" s="8" t="n">
        <v>0</v>
      </c>
      <c r="J129" s="8" t="n">
        <v>0</v>
      </c>
      <c r="K129" s="8" t="n">
        <v>0</v>
      </c>
      <c r="L129" s="8" t="n">
        <v>646688.97</v>
      </c>
      <c r="M129" s="8" t="n">
        <v>646688.97</v>
      </c>
      <c r="N129" s="41" t="n">
        <v>0</v>
      </c>
      <c r="O129" s="41" t="n">
        <v>0</v>
      </c>
      <c r="P129" s="41" t="n">
        <v>0</v>
      </c>
      <c r="Q129" s="41" t="n">
        <v>846600.97</v>
      </c>
      <c r="R129" s="41" t="n">
        <v>846600.97</v>
      </c>
      <c r="S129" s="5" t="inlineStr">
        <is>
          <t>All-in specialist rate</t>
        </is>
      </c>
      <c r="T129" s="6" t="inlineStr">
        <is>
          <t>All-in (not split)</t>
        </is>
      </c>
      <c r="U129" s="8" t="n">
        <v>646688.97</v>
      </c>
      <c r="V129" s="8" t="n">
        <v>0</v>
      </c>
      <c r="W129" s="5" t="inlineStr">
        <is>
          <t>High value — verify</t>
        </is>
      </c>
      <c r="X129" s="36" t="inlineStr">
        <is>
          <t>Source publishes a specialist/sub-contract all-in rate; no labour/plant/material build-up exists to derive from. Unit rate of £250,000 or more — plausible for major specialist works but worth verifying against the source.</t>
        </is>
      </c>
    </row>
    <row r="130">
      <c r="A130" s="4" t="n">
        <v>5340</v>
      </c>
      <c r="B130" s="5" t="inlineStr">
        <is>
          <t>IMG_0138</t>
        </is>
      </c>
      <c r="C130" s="5" t="inlineStr">
        <is>
          <t>CLASS T: TUNNELS</t>
        </is>
      </c>
      <c r="D130" s="5" t="inlineStr">
        <is>
          <t>09 VIADUCTS</t>
        </is>
      </c>
      <c r="E130" s="36" t="inlineStr">
        <is>
          <t>Permanent casings each length</t>
        </is>
      </c>
      <c r="F130" s="36" t="inlineStr">
        <is>
          <t>V shaped pier</t>
        </is>
      </c>
      <c r="G130" s="6" t="inlineStr">
        <is>
          <t>nr</t>
        </is>
      </c>
      <c r="H130" s="7" t="n"/>
      <c r="I130" s="8" t="n">
        <v>0</v>
      </c>
      <c r="J130" s="8" t="n">
        <v>0</v>
      </c>
      <c r="K130" s="8" t="n">
        <v>0</v>
      </c>
      <c r="L130" s="8" t="n">
        <v>2534723.45</v>
      </c>
      <c r="M130" s="8" t="n">
        <v>2534723.45</v>
      </c>
      <c r="N130" s="41" t="n">
        <v>0</v>
      </c>
      <c r="O130" s="41" t="n">
        <v>0</v>
      </c>
      <c r="P130" s="41" t="n">
        <v>0</v>
      </c>
      <c r="Q130" s="41" t="n">
        <v>3318286.58</v>
      </c>
      <c r="R130" s="41" t="n">
        <v>3318286.58</v>
      </c>
      <c r="S130" s="5" t="inlineStr">
        <is>
          <t>All-in specialist rate</t>
        </is>
      </c>
      <c r="T130" s="6" t="inlineStr">
        <is>
          <t>All-in (not split)</t>
        </is>
      </c>
      <c r="U130" s="8" t="n">
        <v>2534723.45</v>
      </c>
      <c r="V130" s="8" t="n">
        <v>0</v>
      </c>
      <c r="W130" s="5" t="inlineStr">
        <is>
          <t>High value — verify</t>
        </is>
      </c>
      <c r="X130" s="36" t="inlineStr">
        <is>
          <t>Source publishes a specialist/sub-contract all-in rate; no labour/plant/material build-up exists to derive from. Unit rate of £250,000 or more — plausible for major specialist works but worth verifying against the source.</t>
        </is>
      </c>
    </row>
    <row r="131">
      <c r="A131" s="4" t="n">
        <v>5341</v>
      </c>
      <c r="B131" s="5" t="inlineStr">
        <is>
          <t>IMG_0138</t>
        </is>
      </c>
      <c r="C131" s="5" t="inlineStr">
        <is>
          <t>CLASS T: TUNNELS</t>
        </is>
      </c>
      <c r="D131" s="5" t="inlineStr">
        <is>
          <t>09 VIADUCTS</t>
        </is>
      </c>
      <c r="E131" s="36" t="inlineStr">
        <is>
          <t>Permanent casings each length</t>
        </is>
      </c>
      <c r="F131" s="36" t="inlineStr">
        <is>
          <t>fixed buttress 3 legs pier</t>
        </is>
      </c>
      <c r="G131" s="6" t="inlineStr">
        <is>
          <t>nr</t>
        </is>
      </c>
      <c r="H131" s="7" t="n"/>
      <c r="I131" s="8" t="n">
        <v>0</v>
      </c>
      <c r="J131" s="8" t="n">
        <v>0</v>
      </c>
      <c r="K131" s="8" t="n">
        <v>0</v>
      </c>
      <c r="L131" s="8" t="n">
        <v>1189313.05</v>
      </c>
      <c r="M131" s="8" t="n">
        <v>1189313.05</v>
      </c>
      <c r="N131" s="41" t="n">
        <v>0</v>
      </c>
      <c r="O131" s="41" t="n">
        <v>0</v>
      </c>
      <c r="P131" s="41" t="n">
        <v>0</v>
      </c>
      <c r="Q131" s="41" t="n">
        <v>1556967.3</v>
      </c>
      <c r="R131" s="41" t="n">
        <v>1556967.3</v>
      </c>
      <c r="S131" s="5" t="inlineStr">
        <is>
          <t>All-in specialist rate</t>
        </is>
      </c>
      <c r="T131" s="6" t="inlineStr">
        <is>
          <t>All-in (not split)</t>
        </is>
      </c>
      <c r="U131" s="8" t="n">
        <v>1189313.05</v>
      </c>
      <c r="V131" s="8" t="n">
        <v>0</v>
      </c>
      <c r="W131" s="5" t="inlineStr">
        <is>
          <t>High value — verify</t>
        </is>
      </c>
      <c r="X131" s="36" t="inlineStr">
        <is>
          <t>Source publishes a specialist/sub-contract all-in rate; no labour/plant/material build-up exists to derive from. Unit rate of £250,000 or more — plausible for major specialist works but worth verifying against the source.</t>
        </is>
      </c>
    </row>
    <row r="132">
      <c r="A132" s="4" t="n">
        <v>5343</v>
      </c>
      <c r="B132" s="5" t="inlineStr">
        <is>
          <t>IMG_0138</t>
        </is>
      </c>
      <c r="C132" s="5" t="inlineStr">
        <is>
          <t>CLASS T: TUNNELS</t>
        </is>
      </c>
      <c r="D132" s="5" t="inlineStr">
        <is>
          <t>09 VIADUCTS</t>
        </is>
      </c>
      <c r="E132" s="36" t="inlineStr">
        <is>
          <t>In situ Reinforced Concrete Piers on piles; on shore</t>
        </is>
      </c>
      <c r="F132" s="36" t="inlineStr">
        <is>
          <t>standard vertical pier</t>
        </is>
      </c>
      <c r="G132" s="6" t="inlineStr">
        <is>
          <t>nr</t>
        </is>
      </c>
      <c r="H132" s="7" t="n"/>
      <c r="I132" s="8" t="n">
        <v>0</v>
      </c>
      <c r="J132" s="8" t="n">
        <v>0</v>
      </c>
      <c r="K132" s="8" t="n">
        <v>0</v>
      </c>
      <c r="L132" s="8" t="n">
        <v>624389.35</v>
      </c>
      <c r="M132" s="8" t="n">
        <v>624389.35</v>
      </c>
      <c r="N132" s="41" t="n">
        <v>0</v>
      </c>
      <c r="O132" s="41" t="n">
        <v>0</v>
      </c>
      <c r="P132" s="41" t="n">
        <v>0</v>
      </c>
      <c r="Q132" s="41" t="n">
        <v>817407.83</v>
      </c>
      <c r="R132" s="41" t="n">
        <v>817407.83</v>
      </c>
      <c r="S132" s="5" t="inlineStr">
        <is>
          <t>All-in specialist rate</t>
        </is>
      </c>
      <c r="T132" s="6" t="inlineStr">
        <is>
          <t>All-in (not split)</t>
        </is>
      </c>
      <c r="U132" s="8" t="n">
        <v>624389.35</v>
      </c>
      <c r="V132" s="8" t="n">
        <v>0</v>
      </c>
      <c r="W132" s="5" t="inlineStr">
        <is>
          <t>High value — verify</t>
        </is>
      </c>
      <c r="X132" s="36" t="inlineStr">
        <is>
          <t>Source publishes a specialist/sub-contract all-in rate; no labour/plant/material build-up exists to derive from. Unit rate of £250,000 or more — plausible for major specialist works but worth verifying against the source.</t>
        </is>
      </c>
    </row>
    <row r="133">
      <c r="A133" s="4" t="n">
        <v>5344</v>
      </c>
      <c r="B133" s="5" t="inlineStr">
        <is>
          <t>IMG_0138</t>
        </is>
      </c>
      <c r="C133" s="5" t="inlineStr">
        <is>
          <t>CLASS T: TUNNELS</t>
        </is>
      </c>
      <c r="D133" s="5" t="inlineStr">
        <is>
          <t>09 VIADUCTS</t>
        </is>
      </c>
      <c r="E133" s="36" t="inlineStr">
        <is>
          <t>In situ Reinforced Concrete Piers on piles; on shore</t>
        </is>
      </c>
      <c r="F133" s="36" t="inlineStr">
        <is>
          <t>fixed vertical pier</t>
        </is>
      </c>
      <c r="G133" s="6" t="inlineStr">
        <is>
          <t>nr</t>
        </is>
      </c>
      <c r="H133" s="7" t="n"/>
      <c r="I133" s="8" t="n">
        <v>0</v>
      </c>
      <c r="J133" s="8" t="n">
        <v>0</v>
      </c>
      <c r="K133" s="8" t="n">
        <v>0</v>
      </c>
      <c r="L133" s="8" t="n">
        <v>1273456.95</v>
      </c>
      <c r="M133" s="8" t="n">
        <v>1273456.95</v>
      </c>
      <c r="N133" s="41" t="n">
        <v>0</v>
      </c>
      <c r="O133" s="41" t="n">
        <v>0</v>
      </c>
      <c r="P133" s="41" t="n">
        <v>0</v>
      </c>
      <c r="Q133" s="41" t="n">
        <v>1667122.74</v>
      </c>
      <c r="R133" s="41" t="n">
        <v>1667122.74</v>
      </c>
      <c r="S133" s="5" t="inlineStr">
        <is>
          <t>All-in specialist rate</t>
        </is>
      </c>
      <c r="T133" s="6" t="inlineStr">
        <is>
          <t>All-in (not split)</t>
        </is>
      </c>
      <c r="U133" s="8" t="n">
        <v>1273456.95</v>
      </c>
      <c r="V133" s="8" t="n">
        <v>0</v>
      </c>
      <c r="W133" s="5" t="inlineStr">
        <is>
          <t>High value — verify</t>
        </is>
      </c>
      <c r="X133" s="36" t="inlineStr">
        <is>
          <t>Source publishes a specialist/sub-contract all-in rate; no labour/plant/material build-up exists to derive from. Unit rate of £250,000 or more — plausible for major specialist works but worth verifying against the source.</t>
        </is>
      </c>
    </row>
    <row r="134">
      <c r="A134" s="4" t="n">
        <v>5345</v>
      </c>
      <c r="B134" s="5" t="inlineStr">
        <is>
          <t>IMG_0138</t>
        </is>
      </c>
      <c r="C134" s="5" t="inlineStr">
        <is>
          <t>CLASS T: TUNNELS</t>
        </is>
      </c>
      <c r="D134" s="5" t="inlineStr">
        <is>
          <t>09 VIADUCTS</t>
        </is>
      </c>
      <c r="E134" s="36" t="inlineStr">
        <is>
          <t>In situ Reinforced Concrete Piers on piles; on shore</t>
        </is>
      </c>
      <c r="F134" s="36" t="inlineStr">
        <is>
          <t>expansion buttress pier</t>
        </is>
      </c>
      <c r="G134" s="6" t="inlineStr">
        <is>
          <t>nr</t>
        </is>
      </c>
      <c r="H134" s="7" t="n"/>
      <c r="I134" s="8" t="n">
        <v>0</v>
      </c>
      <c r="J134" s="8" t="n">
        <v>0</v>
      </c>
      <c r="K134" s="8" t="n">
        <v>0</v>
      </c>
      <c r="L134" s="8" t="n">
        <v>859362.22</v>
      </c>
      <c r="M134" s="8" t="n">
        <v>859362.22</v>
      </c>
      <c r="N134" s="41" t="n">
        <v>0</v>
      </c>
      <c r="O134" s="41" t="n">
        <v>0</v>
      </c>
      <c r="P134" s="41" t="n">
        <v>0</v>
      </c>
      <c r="Q134" s="41" t="n">
        <v>1125018.24</v>
      </c>
      <c r="R134" s="41" t="n">
        <v>1125018.24</v>
      </c>
      <c r="S134" s="5" t="inlineStr">
        <is>
          <t>All-in specialist rate</t>
        </is>
      </c>
      <c r="T134" s="6" t="inlineStr">
        <is>
          <t>All-in (not split)</t>
        </is>
      </c>
      <c r="U134" s="8" t="n">
        <v>859362.22</v>
      </c>
      <c r="V134" s="8" t="n">
        <v>0</v>
      </c>
      <c r="W134" s="5" t="inlineStr">
        <is>
          <t>High value — verify</t>
        </is>
      </c>
      <c r="X134" s="36" t="inlineStr">
        <is>
          <t>Source publishes a specialist/sub-contract all-in rate; no labour/plant/material build-up exists to derive from. Unit rate of £250,000 or more — plausible for major specialist works but worth verifying against the source.</t>
        </is>
      </c>
    </row>
    <row r="135">
      <c r="A135" s="4" t="n">
        <v>5346</v>
      </c>
      <c r="B135" s="5" t="inlineStr">
        <is>
          <t>IMG_0138</t>
        </is>
      </c>
      <c r="C135" s="5" t="inlineStr">
        <is>
          <t>CLASS T: TUNNELS</t>
        </is>
      </c>
      <c r="D135" s="5" t="inlineStr">
        <is>
          <t>09 VIADUCTS</t>
        </is>
      </c>
      <c r="E135" s="36" t="inlineStr">
        <is>
          <t>In situ Reinforced Concrete Piers on piles; on shore</t>
        </is>
      </c>
      <c r="F135" s="36" t="inlineStr">
        <is>
          <t>fixed buttress 3 legs pier</t>
        </is>
      </c>
      <c r="G135" s="6" t="inlineStr">
        <is>
          <t>nr</t>
        </is>
      </c>
      <c r="H135" s="7" t="n"/>
      <c r="I135" s="8" t="n">
        <v>0</v>
      </c>
      <c r="J135" s="8" t="n">
        <v>0</v>
      </c>
      <c r="K135" s="8" t="n">
        <v>0</v>
      </c>
      <c r="L135" s="8" t="n">
        <v>1184853.13</v>
      </c>
      <c r="M135" s="8" t="n">
        <v>1184853.13</v>
      </c>
      <c r="N135" s="41" t="n">
        <v>0</v>
      </c>
      <c r="O135" s="41" t="n">
        <v>0</v>
      </c>
      <c r="P135" s="41" t="n">
        <v>0</v>
      </c>
      <c r="Q135" s="41" t="n">
        <v>1551128.68</v>
      </c>
      <c r="R135" s="41" t="n">
        <v>1551128.68</v>
      </c>
      <c r="S135" s="5" t="inlineStr">
        <is>
          <t>All-in specialist rate</t>
        </is>
      </c>
      <c r="T135" s="6" t="inlineStr">
        <is>
          <t>All-in (not split)</t>
        </is>
      </c>
      <c r="U135" s="8" t="n">
        <v>1184853.13</v>
      </c>
      <c r="V135" s="8" t="n">
        <v>0</v>
      </c>
      <c r="W135" s="5" t="inlineStr">
        <is>
          <t>High value — verify</t>
        </is>
      </c>
      <c r="X135" s="36" t="inlineStr">
        <is>
          <t>Source publishes a specialist/sub-contract all-in rate; no labour/plant/material build-up exists to derive from. Unit rate of £250,000 or more — plausible for major specialist works but worth verifying against the source.</t>
        </is>
      </c>
    </row>
  </sheetData>
  <autoFilter ref="A4:X1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47"/>
  <sheetViews>
    <sheetView showGridLines="0" workbookViewId="0">
      <pane ySplit="4" topLeftCell="A5" activePane="bottomLeft" state="frozen"/>
      <selection pane="bottomLeft" activeCell="A1" sqref="A1"/>
    </sheetView>
  </sheetViews>
  <sheetFormatPr baseColWidth="8" defaultRowHeight="15"/>
  <cols>
    <col width="7" customWidth="1" min="1" max="1"/>
    <col width="11" customWidth="1" min="2" max="2"/>
    <col width="30" customWidth="1" min="3" max="3"/>
    <col width="22" customWidth="1" min="4" max="4"/>
    <col width="46" customWidth="1" min="5" max="5"/>
    <col width="52" customWidth="1" min="6" max="6"/>
    <col width="12" customWidth="1" min="7" max="7"/>
    <col width="12" customWidth="1" min="8" max="8"/>
    <col width="12" customWidth="1" min="9" max="9"/>
  </cols>
  <sheetData>
    <row r="1">
      <c r="A1" s="1" t="inlineStr">
        <is>
          <t>Resource Rates — labour gang and plant build-ups</t>
        </is>
      </c>
    </row>
    <row r="2">
      <c r="A2" s="2" t="inlineStr">
        <is>
          <t>The hourly labour-gang and plant rates published in the source. These are cost INPUTS, not priceable items, and are excluded from 'Derived Rates'. Rows reading 'Total Gang Rate/Hour' or 'Total Rate/Hour' are the composite rates.</t>
        </is>
      </c>
    </row>
    <row r="4" ht="30" customHeight="1">
      <c r="A4" s="3" t="inlineStr">
        <is>
          <t>Ref</t>
        </is>
      </c>
      <c r="B4" s="3" t="inlineStr">
        <is>
          <t>Page</t>
        </is>
      </c>
      <c r="C4" s="3" t="inlineStr">
        <is>
          <t>Class</t>
        </is>
      </c>
      <c r="D4" s="3" t="inlineStr">
        <is>
          <t>Resource type</t>
        </is>
      </c>
      <c r="E4" s="3" t="inlineStr">
        <is>
          <t>Gang / plant spread</t>
        </is>
      </c>
      <c r="F4" s="3" t="inlineStr">
        <is>
          <t>Resource</t>
        </is>
      </c>
      <c r="G4" s="3" t="inlineStr">
        <is>
          <t>Labour £/hr</t>
        </is>
      </c>
      <c r="H4" s="3" t="inlineStr">
        <is>
          <t>Plant £/hr</t>
        </is>
      </c>
      <c r="I4" s="3" t="inlineStr">
        <is>
          <t>Material £</t>
        </is>
      </c>
    </row>
    <row r="5">
      <c r="A5" s="4" t="n">
        <v>107</v>
      </c>
      <c r="B5" s="5" t="inlineStr">
        <is>
          <t>IMG_0066</t>
        </is>
      </c>
      <c r="C5" s="5" t="inlineStr">
        <is>
          <t>CLASS B: GROUND INVESTIGATION</t>
        </is>
      </c>
      <c r="D5" s="5" t="inlineStr">
        <is>
          <t>RESOURCES - LABOUR</t>
        </is>
      </c>
      <c r="E5" s="5" t="inlineStr">
        <is>
          <t>Labour Gang Build-up Rate; Trial hole gang</t>
        </is>
      </c>
      <c r="F5" s="5" t="inlineStr">
        <is>
          <t>1 ganger or chargehand (skill rate 4)</t>
        </is>
      </c>
      <c r="G5" s="8" t="n">
        <v>31.39</v>
      </c>
      <c r="H5" s="8" t="n"/>
      <c r="I5" s="8" t="n"/>
    </row>
    <row r="6">
      <c r="A6" s="4" t="n">
        <v>108</v>
      </c>
      <c r="B6" s="5" t="inlineStr">
        <is>
          <t>IMG_0066</t>
        </is>
      </c>
      <c r="C6" s="5" t="inlineStr">
        <is>
          <t>CLASS B: GROUND INVESTIGATION</t>
        </is>
      </c>
      <c r="D6" s="5" t="inlineStr">
        <is>
          <t>RESOURCES - LABOUR</t>
        </is>
      </c>
      <c r="E6" s="5" t="inlineStr">
        <is>
          <t>Labour Gang Build-up Rate; Trial hole gang</t>
        </is>
      </c>
      <c r="F6" s="5" t="inlineStr">
        <is>
          <t>1 skilled operative (skill rate 4)</t>
        </is>
      </c>
      <c r="G6" s="8" t="n">
        <v>29.49</v>
      </c>
      <c r="H6" s="8" t="n"/>
      <c r="I6" s="8" t="n"/>
    </row>
    <row r="7">
      <c r="A7" s="4" t="n">
        <v>109</v>
      </c>
      <c r="B7" s="5" t="inlineStr">
        <is>
          <t>IMG_0066</t>
        </is>
      </c>
      <c r="C7" s="5" t="inlineStr">
        <is>
          <t>CLASS B: GROUND INVESTIGATION</t>
        </is>
      </c>
      <c r="D7" s="5" t="inlineStr">
        <is>
          <t>RESOURCES - LABOUR</t>
        </is>
      </c>
      <c r="E7" s="5" t="inlineStr">
        <is>
          <t>Labour Gang Build-up Rate; Trial hole gang</t>
        </is>
      </c>
      <c r="F7" s="5" t="inlineStr">
        <is>
          <t>2 unskilled operatives (general)</t>
        </is>
      </c>
      <c r="G7" s="8" t="n">
        <v>49.35</v>
      </c>
      <c r="H7" s="8" t="n"/>
      <c r="I7" s="8" t="n"/>
    </row>
    <row r="8">
      <c r="A8" s="4" t="n">
        <v>110</v>
      </c>
      <c r="B8" s="5" t="inlineStr">
        <is>
          <t>IMG_0066</t>
        </is>
      </c>
      <c r="C8" s="5" t="inlineStr">
        <is>
          <t>CLASS B: GROUND INVESTIGATION</t>
        </is>
      </c>
      <c r="D8" s="5" t="inlineStr">
        <is>
          <t>RESOURCES - LABOUR</t>
        </is>
      </c>
      <c r="E8" s="5" t="inlineStr">
        <is>
          <t>Labour Gang Build-up Rate; Trial hole gang</t>
        </is>
      </c>
      <c r="F8" s="5" t="inlineStr">
        <is>
          <t>1 plant operator (skill rate 3)</t>
        </is>
      </c>
      <c r="G8" s="8" t="n">
        <v>38.96</v>
      </c>
      <c r="H8" s="8" t="n"/>
      <c r="I8" s="8" t="n"/>
    </row>
    <row r="9">
      <c r="A9" s="42" t="n">
        <v>111</v>
      </c>
      <c r="B9" s="43" t="inlineStr">
        <is>
          <t>IMG_0066</t>
        </is>
      </c>
      <c r="C9" s="43" t="inlineStr">
        <is>
          <t>CLASS B: GROUND INVESTIGATION</t>
        </is>
      </c>
      <c r="D9" s="43" t="inlineStr">
        <is>
          <t>RESOURCES - LABOUR</t>
        </is>
      </c>
      <c r="E9" s="43" t="inlineStr">
        <is>
          <t>Labour Gang Build-up Rate; Trial hole gang</t>
        </is>
      </c>
      <c r="F9" s="43" t="inlineStr">
        <is>
          <t>Total Gang Rate/Hour</t>
        </is>
      </c>
      <c r="G9" s="44" t="n">
        <v>135.41</v>
      </c>
      <c r="H9" s="44" t="n"/>
      <c r="I9" s="44" t="n"/>
    </row>
    <row r="10">
      <c r="A10" s="4" t="n">
        <v>114</v>
      </c>
      <c r="B10" s="5" t="inlineStr">
        <is>
          <t>IMG_0066</t>
        </is>
      </c>
      <c r="C10" s="5" t="inlineStr">
        <is>
          <t>CLASS B: GROUND INVESTIGATION</t>
        </is>
      </c>
      <c r="D10" s="5" t="inlineStr">
        <is>
          <t>RESOURCES - PLANT</t>
        </is>
      </c>
      <c r="E10" s="5" t="inlineStr">
        <is>
          <t>Plant Resources Build-up Rate; Trial holes</t>
        </is>
      </c>
      <c r="F10" s="5" t="inlineStr">
        <is>
          <t>8 tonne wheeled backacter</t>
        </is>
      </c>
      <c r="G10" s="8" t="n"/>
      <c r="H10" s="8" t="n">
        <v>72.40000000000001</v>
      </c>
      <c r="I10" s="8" t="n"/>
    </row>
    <row r="11">
      <c r="A11" s="4" t="n">
        <v>115</v>
      </c>
      <c r="B11" s="5" t="inlineStr">
        <is>
          <t>IMG_0066</t>
        </is>
      </c>
      <c r="C11" s="5" t="inlineStr">
        <is>
          <t>CLASS B: GROUND INVESTIGATION</t>
        </is>
      </c>
      <c r="D11" s="5" t="inlineStr">
        <is>
          <t>RESOURCES - PLANT</t>
        </is>
      </c>
      <c r="E11" s="5" t="inlineStr">
        <is>
          <t>Plant Resources Build-up Rate; Trial holes</t>
        </is>
      </c>
      <c r="F11" s="5" t="inlineStr">
        <is>
          <t>3 tonne dumper</t>
        </is>
      </c>
      <c r="G11" s="8" t="n"/>
      <c r="H11" s="8" t="n">
        <v>21.07</v>
      </c>
      <c r="I11" s="8" t="n"/>
    </row>
    <row r="12">
      <c r="A12" s="4" t="n">
        <v>116</v>
      </c>
      <c r="B12" s="5" t="inlineStr">
        <is>
          <t>IMG_0066</t>
        </is>
      </c>
      <c r="C12" s="5" t="inlineStr">
        <is>
          <t>CLASS B: GROUND INVESTIGATION</t>
        </is>
      </c>
      <c r="D12" s="5" t="inlineStr">
        <is>
          <t>RESOURCES - PLANT</t>
        </is>
      </c>
      <c r="E12" s="5" t="inlineStr">
        <is>
          <t>Plant Resources Build-up Rate; Trial holes</t>
        </is>
      </c>
      <c r="F12" s="5" t="inlineStr">
        <is>
          <t>3.7 m3/min compressor, 2 tool</t>
        </is>
      </c>
      <c r="G12" s="8" t="n"/>
      <c r="H12" s="8" t="n">
        <v>21.22</v>
      </c>
      <c r="I12" s="8" t="n"/>
    </row>
    <row r="13">
      <c r="A13" s="4" t="n">
        <v>117</v>
      </c>
      <c r="B13" s="5" t="inlineStr">
        <is>
          <t>IMG_0066</t>
        </is>
      </c>
      <c r="C13" s="5" t="inlineStr">
        <is>
          <t>CLASS B: GROUND INVESTIGATION</t>
        </is>
      </c>
      <c r="D13" s="5" t="inlineStr">
        <is>
          <t>RESOURCES - PLANT</t>
        </is>
      </c>
      <c r="E13" s="5" t="inlineStr">
        <is>
          <t>Plant Resources Build-up Rate; Trial holes</t>
        </is>
      </c>
      <c r="F13" s="5" t="inlineStr">
        <is>
          <t>two 2.4 m3/min road breakers</t>
        </is>
      </c>
      <c r="G13" s="8" t="n"/>
      <c r="H13" s="8" t="n">
        <v>16.6</v>
      </c>
      <c r="I13" s="8" t="n"/>
    </row>
    <row r="14">
      <c r="A14" s="4" t="n">
        <v>118</v>
      </c>
      <c r="B14" s="5" t="inlineStr">
        <is>
          <t>IMG_0066</t>
        </is>
      </c>
      <c r="C14" s="5" t="inlineStr">
        <is>
          <t>CLASS B: GROUND INVESTIGATION</t>
        </is>
      </c>
      <c r="D14" s="5" t="inlineStr">
        <is>
          <t>RESOURCES - PLANT</t>
        </is>
      </c>
      <c r="E14" s="5" t="inlineStr">
        <is>
          <t>Plant Resources Build-up Rate; Trial holes</t>
        </is>
      </c>
      <c r="F14" s="5" t="inlineStr">
        <is>
          <t>extra 50 ft / 15 m hose</t>
        </is>
      </c>
      <c r="G14" s="8" t="n"/>
      <c r="H14" s="8" t="n">
        <v>0.53</v>
      </c>
      <c r="I14" s="8" t="n"/>
    </row>
    <row r="15">
      <c r="A15" s="4" t="n">
        <v>119</v>
      </c>
      <c r="B15" s="5" t="inlineStr">
        <is>
          <t>IMG_0066</t>
        </is>
      </c>
      <c r="C15" s="5" t="inlineStr">
        <is>
          <t>CLASS B: GROUND INVESTIGATION</t>
        </is>
      </c>
      <c r="D15" s="5" t="inlineStr">
        <is>
          <t>RESOURCES - PLANT</t>
        </is>
      </c>
      <c r="E15" s="5" t="inlineStr">
        <is>
          <t>Plant Resources Build-up Rate; Trial holes</t>
        </is>
      </c>
      <c r="F15" s="5" t="inlineStr">
        <is>
          <t>plate compactors; vibrating compaction; plate 180 kg/ 600 mm</t>
        </is>
      </c>
      <c r="G15" s="8" t="n"/>
      <c r="H15" s="8" t="n">
        <v>4.92</v>
      </c>
      <c r="I15" s="8" t="n"/>
    </row>
    <row r="16">
      <c r="A16" s="42" t="n">
        <v>120</v>
      </c>
      <c r="B16" s="43" t="inlineStr">
        <is>
          <t>IMG_0066</t>
        </is>
      </c>
      <c r="C16" s="43" t="inlineStr">
        <is>
          <t>CLASS B: GROUND INVESTIGATION</t>
        </is>
      </c>
      <c r="D16" s="43" t="inlineStr">
        <is>
          <t>RESOURCES - PLANT</t>
        </is>
      </c>
      <c r="E16" s="43" t="inlineStr">
        <is>
          <t>Plant Resources Build-up Rate; Trial holes</t>
        </is>
      </c>
      <c r="F16" s="43" t="inlineStr">
        <is>
          <t>Total Rate/Hour</t>
        </is>
      </c>
      <c r="G16" s="44" t="n"/>
      <c r="H16" s="44" t="n">
        <v>136.73</v>
      </c>
      <c r="I16" s="44" t="n"/>
    </row>
    <row r="17">
      <c r="A17" s="4" t="n">
        <v>527</v>
      </c>
      <c r="B17" s="5" t="inlineStr">
        <is>
          <t>IMG_0072</t>
        </is>
      </c>
      <c r="C17" s="5" t="inlineStr">
        <is>
          <t>CLASS E: EARTHWORKS</t>
        </is>
      </c>
      <c r="D17" s="5" t="inlineStr">
        <is>
          <t>RESOURCES - LABOUR</t>
        </is>
      </c>
      <c r="E17" s="5" t="inlineStr">
        <is>
          <t>Labour Gang Build-up Rates; Excavation for cuttings gang</t>
        </is>
      </c>
      <c r="F17" s="5" t="inlineStr">
        <is>
          <t>1 plant operator (skill rate 1) - 33% of time</t>
        </is>
      </c>
      <c r="G17" s="8" t="n">
        <v>17.5</v>
      </c>
      <c r="H17" s="8" t="n"/>
      <c r="I17" s="8" t="n"/>
    </row>
    <row r="18">
      <c r="A18" s="4" t="n">
        <v>528</v>
      </c>
      <c r="B18" s="5" t="inlineStr">
        <is>
          <t>IMG_0072</t>
        </is>
      </c>
      <c r="C18" s="5" t="inlineStr">
        <is>
          <t>CLASS E: EARTHWORKS</t>
        </is>
      </c>
      <c r="D18" s="5" t="inlineStr">
        <is>
          <t>RESOURCES - LABOUR</t>
        </is>
      </c>
      <c r="E18" s="5" t="inlineStr">
        <is>
          <t>Labour Gang Build-up Rates; Excavation for cuttings gang</t>
        </is>
      </c>
      <c r="F18" s="5" t="inlineStr">
        <is>
          <t>1 plant operator (skill rate 2) - 66% of time</t>
        </is>
      </c>
      <c r="G18" s="8" t="n">
        <v>29.63</v>
      </c>
      <c r="H18" s="8" t="n"/>
      <c r="I18" s="8" t="n"/>
    </row>
    <row r="19">
      <c r="A19" s="4" t="n">
        <v>529</v>
      </c>
      <c r="B19" s="5" t="inlineStr">
        <is>
          <t>IMG_0072</t>
        </is>
      </c>
      <c r="C19" s="5" t="inlineStr">
        <is>
          <t>CLASS E: EARTHWORKS</t>
        </is>
      </c>
      <c r="D19" s="5" t="inlineStr">
        <is>
          <t>RESOURCES - LABOUR</t>
        </is>
      </c>
      <c r="E19" s="5" t="inlineStr">
        <is>
          <t>Labour Gang Build-up Rates; Excavation for cuttings gang</t>
        </is>
      </c>
      <c r="F19" s="5" t="inlineStr">
        <is>
          <t>1 banksman (skill rate 4)</t>
        </is>
      </c>
      <c r="G19" s="8" t="n">
        <v>29.49</v>
      </c>
      <c r="H19" s="8" t="n"/>
      <c r="I19" s="8" t="n"/>
    </row>
    <row r="20">
      <c r="A20" s="42" t="n">
        <v>530</v>
      </c>
      <c r="B20" s="43" t="inlineStr">
        <is>
          <t>IMG_0072</t>
        </is>
      </c>
      <c r="C20" s="43" t="inlineStr">
        <is>
          <t>CLASS E: EARTHWORKS</t>
        </is>
      </c>
      <c r="D20" s="43" t="inlineStr">
        <is>
          <t>RESOURCES - LABOUR</t>
        </is>
      </c>
      <c r="E20" s="43" t="inlineStr">
        <is>
          <t>Labour Gang Build-up Rates; Excavation for cuttings gang</t>
        </is>
      </c>
      <c r="F20" s="43" t="inlineStr">
        <is>
          <t>Total Gang Rate/Hour</t>
        </is>
      </c>
      <c r="G20" s="44" t="n">
        <v>73.78</v>
      </c>
      <c r="H20" s="44" t="n"/>
      <c r="I20" s="44" t="n"/>
    </row>
    <row r="21">
      <c r="A21" s="4" t="n">
        <v>532</v>
      </c>
      <c r="B21" s="5" t="inlineStr">
        <is>
          <t>IMG_0072</t>
        </is>
      </c>
      <c r="C21" s="5" t="inlineStr">
        <is>
          <t>CLASS E: EARTHWORKS</t>
        </is>
      </c>
      <c r="D21" s="5" t="inlineStr">
        <is>
          <t>RESOURCES - LABOUR</t>
        </is>
      </c>
      <c r="E21" s="5" t="inlineStr">
        <is>
          <t>Excavation for foundations gang</t>
        </is>
      </c>
      <c r="F21" s="5" t="inlineStr">
        <is>
          <t>1 plant operator (skill rate 3) - 33% of time</t>
        </is>
      </c>
      <c r="G21" s="8" t="n">
        <v>12.86</v>
      </c>
      <c r="H21" s="8" t="n"/>
      <c r="I21" s="8" t="n"/>
    </row>
    <row r="22">
      <c r="A22" s="4" t="n">
        <v>533</v>
      </c>
      <c r="B22" s="5" t="inlineStr">
        <is>
          <t>IMG_0072</t>
        </is>
      </c>
      <c r="C22" s="5" t="inlineStr">
        <is>
          <t>CLASS E: EARTHWORKS</t>
        </is>
      </c>
      <c r="D22" s="5" t="inlineStr">
        <is>
          <t>RESOURCES - LABOUR</t>
        </is>
      </c>
      <c r="E22" s="5" t="inlineStr">
        <is>
          <t>Excavation for foundations gang</t>
        </is>
      </c>
      <c r="F22" s="5" t="inlineStr">
        <is>
          <t>1 plant operator (skill rate 2) - 66% of time</t>
        </is>
      </c>
      <c r="G22" s="8" t="n">
        <v>29.63</v>
      </c>
      <c r="H22" s="8" t="n"/>
      <c r="I22" s="8" t="n"/>
    </row>
    <row r="23">
      <c r="A23" s="4" t="n">
        <v>534</v>
      </c>
      <c r="B23" s="5" t="inlineStr">
        <is>
          <t>IMG_0072</t>
        </is>
      </c>
      <c r="C23" s="5" t="inlineStr">
        <is>
          <t>CLASS E: EARTHWORKS</t>
        </is>
      </c>
      <c r="D23" s="5" t="inlineStr">
        <is>
          <t>RESOURCES - LABOUR</t>
        </is>
      </c>
      <c r="E23" s="5" t="inlineStr">
        <is>
          <t>Excavation for foundations gang</t>
        </is>
      </c>
      <c r="F23" s="5" t="inlineStr">
        <is>
          <t>1 banksman (skill rate 4)</t>
        </is>
      </c>
      <c r="G23" s="8" t="n">
        <v>29.49</v>
      </c>
      <c r="H23" s="8" t="n"/>
      <c r="I23" s="8" t="n"/>
    </row>
    <row r="24">
      <c r="A24" s="42" t="n">
        <v>535</v>
      </c>
      <c r="B24" s="43" t="inlineStr">
        <is>
          <t>IMG_0072</t>
        </is>
      </c>
      <c r="C24" s="43" t="inlineStr">
        <is>
          <t>CLASS E: EARTHWORKS</t>
        </is>
      </c>
      <c r="D24" s="43" t="inlineStr">
        <is>
          <t>RESOURCES - LABOUR</t>
        </is>
      </c>
      <c r="E24" s="43" t="inlineStr">
        <is>
          <t>Excavation for foundations gang</t>
        </is>
      </c>
      <c r="F24" s="43" t="inlineStr">
        <is>
          <t>Total Gang Rate/Hour</t>
        </is>
      </c>
      <c r="G24" s="44" t="n">
        <v>65.53</v>
      </c>
      <c r="H24" s="44" t="n"/>
      <c r="I24" s="44" t="n"/>
    </row>
    <row r="25">
      <c r="A25" s="4" t="n">
        <v>537</v>
      </c>
      <c r="B25" s="5" t="inlineStr">
        <is>
          <t>IMG_0072</t>
        </is>
      </c>
      <c r="C25" s="5" t="inlineStr">
        <is>
          <t>CLASS E: EARTHWORKS</t>
        </is>
      </c>
      <c r="D25" s="5" t="inlineStr">
        <is>
          <t>RESOURCES - LABOUR</t>
        </is>
      </c>
      <c r="E25" s="5" t="inlineStr">
        <is>
          <t>General excavation gang</t>
        </is>
      </c>
      <c r="F25" s="5" t="inlineStr">
        <is>
          <t>1 plant operator (skill rate 3)</t>
        </is>
      </c>
      <c r="G25" s="8" t="n">
        <v>38.96</v>
      </c>
      <c r="H25" s="8" t="n"/>
      <c r="I25" s="8" t="n"/>
    </row>
    <row r="26">
      <c r="A26" s="4" t="n">
        <v>538</v>
      </c>
      <c r="B26" s="5" t="inlineStr">
        <is>
          <t>IMG_0072</t>
        </is>
      </c>
      <c r="C26" s="5" t="inlineStr">
        <is>
          <t>CLASS E: EARTHWORKS</t>
        </is>
      </c>
      <c r="D26" s="5" t="inlineStr">
        <is>
          <t>RESOURCES - LABOUR</t>
        </is>
      </c>
      <c r="E26" s="5" t="inlineStr">
        <is>
          <t>General excavation gang</t>
        </is>
      </c>
      <c r="F26" s="5" t="inlineStr">
        <is>
          <t>1 plant operator (skill rate 3) - 25% of time</t>
        </is>
      </c>
      <c r="G26" s="8" t="n">
        <v>9.74</v>
      </c>
      <c r="H26" s="8" t="n"/>
      <c r="I26" s="8" t="n"/>
    </row>
    <row r="27">
      <c r="A27" s="4" t="n">
        <v>539</v>
      </c>
      <c r="B27" s="5" t="inlineStr">
        <is>
          <t>IMG_0072</t>
        </is>
      </c>
      <c r="C27" s="5" t="inlineStr">
        <is>
          <t>CLASS E: EARTHWORKS</t>
        </is>
      </c>
      <c r="D27" s="5" t="inlineStr">
        <is>
          <t>RESOURCES - LABOUR</t>
        </is>
      </c>
      <c r="E27" s="5" t="inlineStr">
        <is>
          <t>General excavation gang</t>
        </is>
      </c>
      <c r="F27" s="5" t="inlineStr">
        <is>
          <t>1 banksman (skill rate 4)</t>
        </is>
      </c>
      <c r="G27" s="8" t="n">
        <v>29.49</v>
      </c>
      <c r="H27" s="8" t="n"/>
      <c r="I27" s="8" t="n"/>
    </row>
    <row r="28">
      <c r="A28" s="42" t="n">
        <v>540</v>
      </c>
      <c r="B28" s="43" t="inlineStr">
        <is>
          <t>IMG_0072</t>
        </is>
      </c>
      <c r="C28" s="43" t="inlineStr">
        <is>
          <t>CLASS E: EARTHWORKS</t>
        </is>
      </c>
      <c r="D28" s="43" t="inlineStr">
        <is>
          <t>RESOURCES - LABOUR</t>
        </is>
      </c>
      <c r="E28" s="43" t="inlineStr">
        <is>
          <t>General excavation gang</t>
        </is>
      </c>
      <c r="F28" s="43" t="inlineStr">
        <is>
          <t>Total Gang Rate/Hour</t>
        </is>
      </c>
      <c r="G28" s="44" t="n">
        <v>69.76000000000001</v>
      </c>
      <c r="H28" s="44" t="n"/>
      <c r="I28" s="44" t="n"/>
    </row>
    <row r="29">
      <c r="A29" s="4" t="n">
        <v>542</v>
      </c>
      <c r="B29" s="5" t="inlineStr">
        <is>
          <t>IMG_0072</t>
        </is>
      </c>
      <c r="C29" s="5" t="inlineStr">
        <is>
          <t>CLASS E: EARTHWORKS</t>
        </is>
      </c>
      <c r="D29" s="5" t="inlineStr">
        <is>
          <t>RESOURCES - LABOUR</t>
        </is>
      </c>
      <c r="E29" s="5" t="inlineStr">
        <is>
          <t>Filling gang</t>
        </is>
      </c>
      <c r="F29" s="5" t="inlineStr">
        <is>
          <t>1 plant operator (skill rate 4)</t>
        </is>
      </c>
      <c r="G29" s="8" t="n">
        <v>31.74</v>
      </c>
      <c r="H29" s="8" t="n"/>
      <c r="I29" s="8" t="n"/>
    </row>
    <row r="30">
      <c r="A30" s="4" t="n">
        <v>543</v>
      </c>
      <c r="B30" s="5" t="inlineStr">
        <is>
          <t>IMG_0072</t>
        </is>
      </c>
      <c r="C30" s="5" t="inlineStr">
        <is>
          <t>CLASS E: EARTHWORKS</t>
        </is>
      </c>
      <c r="D30" s="5" t="inlineStr">
        <is>
          <t>RESOURCES - LABOUR</t>
        </is>
      </c>
      <c r="E30" s="5" t="inlineStr">
        <is>
          <t>Filling gang</t>
        </is>
      </c>
      <c r="F30" s="5" t="inlineStr">
        <is>
          <t>2 unskilled operatives (general)</t>
        </is>
      </c>
      <c r="G30" s="8" t="n">
        <v>49.35</v>
      </c>
      <c r="H30" s="8" t="n"/>
      <c r="I30" s="8" t="n"/>
    </row>
    <row r="31">
      <c r="A31" s="42" t="n">
        <v>544</v>
      </c>
      <c r="B31" s="43" t="inlineStr">
        <is>
          <t>IMG_0072</t>
        </is>
      </c>
      <c r="C31" s="43" t="inlineStr">
        <is>
          <t>CLASS E: EARTHWORKS</t>
        </is>
      </c>
      <c r="D31" s="43" t="inlineStr">
        <is>
          <t>RESOURCES - LABOUR</t>
        </is>
      </c>
      <c r="E31" s="43" t="inlineStr">
        <is>
          <t>Filling gang</t>
        </is>
      </c>
      <c r="F31" s="43" t="inlineStr">
        <is>
          <t>Total Gang Rate/Hour</t>
        </is>
      </c>
      <c r="G31" s="44" t="n">
        <v>80.64</v>
      </c>
      <c r="H31" s="44" t="n"/>
      <c r="I31" s="44" t="n"/>
    </row>
    <row r="32">
      <c r="A32" s="4" t="n">
        <v>546</v>
      </c>
      <c r="B32" s="5" t="inlineStr">
        <is>
          <t>IMG_0072</t>
        </is>
      </c>
      <c r="C32" s="5" t="inlineStr">
        <is>
          <t>CLASS E: EARTHWORKS</t>
        </is>
      </c>
      <c r="D32" s="5" t="inlineStr">
        <is>
          <t>RESOURCES - LABOUR</t>
        </is>
      </c>
      <c r="E32" s="5" t="inlineStr">
        <is>
          <t>Treatment of filled surfaces gang</t>
        </is>
      </c>
      <c r="F32" s="5" t="inlineStr">
        <is>
          <t>1 plant operator (skill rate 2)</t>
        </is>
      </c>
      <c r="G32" s="8" t="n">
        <v>44.9</v>
      </c>
      <c r="H32" s="8" t="n"/>
      <c r="I32" s="8" t="n"/>
    </row>
    <row r="33">
      <c r="A33" s="42" t="n">
        <v>547</v>
      </c>
      <c r="B33" s="43" t="inlineStr">
        <is>
          <t>IMG_0072</t>
        </is>
      </c>
      <c r="C33" s="43" t="inlineStr">
        <is>
          <t>CLASS E: EARTHWORKS</t>
        </is>
      </c>
      <c r="D33" s="43" t="inlineStr">
        <is>
          <t>RESOURCES - LABOUR</t>
        </is>
      </c>
      <c r="E33" s="43" t="inlineStr">
        <is>
          <t>Treatment of filled surfaces gang</t>
        </is>
      </c>
      <c r="F33" s="43" t="inlineStr">
        <is>
          <t>Total Gang Rate/Hour</t>
        </is>
      </c>
      <c r="G33" s="44" t="n">
        <v>43.65</v>
      </c>
      <c r="H33" s="44" t="n"/>
      <c r="I33" s="44" t="n"/>
    </row>
    <row r="34">
      <c r="A34" s="4" t="n">
        <v>549</v>
      </c>
      <c r="B34" s="5" t="inlineStr">
        <is>
          <t>IMG_0072</t>
        </is>
      </c>
      <c r="C34" s="5" t="inlineStr">
        <is>
          <t>CLASS E: EARTHWORKS</t>
        </is>
      </c>
      <c r="D34" s="5" t="inlineStr">
        <is>
          <t>RESOURCES - LABOUR</t>
        </is>
      </c>
      <c r="E34" s="5" t="inlineStr">
        <is>
          <t>Geotextiles (light sheets) gang</t>
        </is>
      </c>
      <c r="F34" s="5" t="inlineStr">
        <is>
          <t>1 ganger/chargehand (skill rate 4) - 20% of time</t>
        </is>
      </c>
      <c r="G34" s="8" t="n">
        <v>6.28</v>
      </c>
      <c r="H34" s="8" t="n"/>
      <c r="I34" s="8" t="n"/>
    </row>
    <row r="35">
      <c r="A35" s="4" t="n">
        <v>550</v>
      </c>
      <c r="B35" s="5" t="inlineStr">
        <is>
          <t>IMG_0072</t>
        </is>
      </c>
      <c r="C35" s="5" t="inlineStr">
        <is>
          <t>CLASS E: EARTHWORKS</t>
        </is>
      </c>
      <c r="D35" s="5" t="inlineStr">
        <is>
          <t>RESOURCES - LABOUR</t>
        </is>
      </c>
      <c r="E35" s="5" t="inlineStr">
        <is>
          <t>Geotextiles (light sheets) gang</t>
        </is>
      </c>
      <c r="F35" s="5" t="inlineStr">
        <is>
          <t>2 unskilled operatives (general)</t>
        </is>
      </c>
      <c r="G35" s="8" t="n">
        <v>49.35</v>
      </c>
      <c r="H35" s="8" t="n"/>
      <c r="I35" s="8" t="n"/>
    </row>
    <row r="36">
      <c r="A36" s="42" t="n">
        <v>551</v>
      </c>
      <c r="B36" s="43" t="inlineStr">
        <is>
          <t>IMG_0072</t>
        </is>
      </c>
      <c r="C36" s="43" t="inlineStr">
        <is>
          <t>CLASS E: EARTHWORKS</t>
        </is>
      </c>
      <c r="D36" s="43" t="inlineStr">
        <is>
          <t>RESOURCES - LABOUR</t>
        </is>
      </c>
      <c r="E36" s="43" t="inlineStr">
        <is>
          <t>Geotextiles (light sheets) gang</t>
        </is>
      </c>
      <c r="F36" s="43" t="inlineStr">
        <is>
          <t>Total Gang Rate/Hour</t>
        </is>
      </c>
      <c r="G36" s="44" t="n">
        <v>53.54</v>
      </c>
      <c r="H36" s="44" t="n"/>
      <c r="I36" s="44" t="n"/>
    </row>
    <row r="37">
      <c r="A37" s="4" t="n">
        <v>553</v>
      </c>
      <c r="B37" s="5" t="inlineStr">
        <is>
          <t>IMG_0072</t>
        </is>
      </c>
      <c r="C37" s="5" t="inlineStr">
        <is>
          <t>CLASS E: EARTHWORKS</t>
        </is>
      </c>
      <c r="D37" s="5" t="inlineStr">
        <is>
          <t>RESOURCES - LABOUR</t>
        </is>
      </c>
      <c r="E37" s="5" t="inlineStr">
        <is>
          <t>Geotextiles (medium sheets) gang</t>
        </is>
      </c>
      <c r="F37" s="5" t="inlineStr">
        <is>
          <t>1 ganger/chargehand (skill rate 4) - 20% of time</t>
        </is>
      </c>
      <c r="G37" s="8" t="n">
        <v>6.28</v>
      </c>
      <c r="H37" s="8" t="n"/>
      <c r="I37" s="8" t="n"/>
    </row>
    <row r="38">
      <c r="A38" s="4" t="n">
        <v>554</v>
      </c>
      <c r="B38" s="5" t="inlineStr">
        <is>
          <t>IMG_0072</t>
        </is>
      </c>
      <c r="C38" s="5" t="inlineStr">
        <is>
          <t>CLASS E: EARTHWORKS</t>
        </is>
      </c>
      <c r="D38" s="5" t="inlineStr">
        <is>
          <t>RESOURCES - LABOUR</t>
        </is>
      </c>
      <c r="E38" s="5" t="inlineStr">
        <is>
          <t>Geotextiles (medium sheets) gang</t>
        </is>
      </c>
      <c r="F38" s="5" t="inlineStr">
        <is>
          <t>3 unskilled operatives (general)</t>
        </is>
      </c>
      <c r="G38" s="8" t="n">
        <v>74.03</v>
      </c>
      <c r="H38" s="8" t="n"/>
      <c r="I38" s="8" t="n"/>
    </row>
    <row r="39">
      <c r="A39" s="42" t="n">
        <v>555</v>
      </c>
      <c r="B39" s="43" t="inlineStr">
        <is>
          <t>IMG_0072</t>
        </is>
      </c>
      <c r="C39" s="43" t="inlineStr">
        <is>
          <t>CLASS E: EARTHWORKS</t>
        </is>
      </c>
      <c r="D39" s="43" t="inlineStr">
        <is>
          <t>RESOURCES - LABOUR</t>
        </is>
      </c>
      <c r="E39" s="43" t="inlineStr">
        <is>
          <t>Geotextiles (medium sheets) gang</t>
        </is>
      </c>
      <c r="F39" s="43" t="inlineStr">
        <is>
          <t>Total Gang Rate/Hour</t>
        </is>
      </c>
      <c r="G39" s="44" t="n">
        <v>77.67</v>
      </c>
      <c r="H39" s="44" t="n"/>
      <c r="I39" s="44" t="n"/>
    </row>
    <row r="40">
      <c r="A40" s="4" t="n">
        <v>558</v>
      </c>
      <c r="B40" s="5" t="inlineStr">
        <is>
          <t>IMG_0073</t>
        </is>
      </c>
      <c r="C40" s="5" t="inlineStr">
        <is>
          <t>CLASS E: EARTHWORKS</t>
        </is>
      </c>
      <c r="D40" s="5" t="inlineStr">
        <is>
          <t>RESOURCES - LABOUR</t>
        </is>
      </c>
      <c r="E40" s="5" t="inlineStr">
        <is>
          <t>Geotextiles (heavy sheets) gang (continued)</t>
        </is>
      </c>
      <c r="F40" s="5" t="inlineStr">
        <is>
          <t>1 ganger/chargehand (skill rate 4) - 20% of time</t>
        </is>
      </c>
      <c r="G40" s="8" t="n">
        <v>6.28</v>
      </c>
      <c r="H40" s="8" t="n"/>
      <c r="I40" s="8" t="n"/>
    </row>
    <row r="41">
      <c r="A41" s="4" t="n">
        <v>559</v>
      </c>
      <c r="B41" s="5" t="inlineStr">
        <is>
          <t>IMG_0073</t>
        </is>
      </c>
      <c r="C41" s="5" t="inlineStr">
        <is>
          <t>CLASS E: EARTHWORKS</t>
        </is>
      </c>
      <c r="D41" s="5" t="inlineStr">
        <is>
          <t>RESOURCES - LABOUR</t>
        </is>
      </c>
      <c r="E41" s="5" t="inlineStr">
        <is>
          <t>Geotextiles (heavy sheets) gang (continued)</t>
        </is>
      </c>
      <c r="F41" s="5" t="inlineStr">
        <is>
          <t>2 unskilled operatives (general)</t>
        </is>
      </c>
      <c r="G41" s="8" t="n">
        <v>49.35</v>
      </c>
      <c r="H41" s="8" t="n"/>
      <c r="I41" s="8" t="n"/>
    </row>
    <row r="42">
      <c r="A42" s="4" t="n">
        <v>560</v>
      </c>
      <c r="B42" s="5" t="inlineStr">
        <is>
          <t>IMG_0073</t>
        </is>
      </c>
      <c r="C42" s="5" t="inlineStr">
        <is>
          <t>CLASS E: EARTHWORKS</t>
        </is>
      </c>
      <c r="D42" s="5" t="inlineStr">
        <is>
          <t>RESOURCES - LABOUR</t>
        </is>
      </c>
      <c r="E42" s="5" t="inlineStr">
        <is>
          <t>Geotextiles (heavy sheets) gang (continued)</t>
        </is>
      </c>
      <c r="F42" s="5" t="inlineStr">
        <is>
          <t>1 plant operator (skill rate 3)</t>
        </is>
      </c>
      <c r="G42" s="8" t="n">
        <v>38.96</v>
      </c>
      <c r="H42" s="8" t="n"/>
      <c r="I42" s="8" t="n"/>
    </row>
    <row r="43">
      <c r="A43" s="42" t="n">
        <v>561</v>
      </c>
      <c r="B43" s="43" t="inlineStr">
        <is>
          <t>IMG_0073</t>
        </is>
      </c>
      <c r="C43" s="43" t="inlineStr">
        <is>
          <t>CLASS E: EARTHWORKS</t>
        </is>
      </c>
      <c r="D43" s="43" t="inlineStr">
        <is>
          <t>RESOURCES - LABOUR</t>
        </is>
      </c>
      <c r="E43" s="43" t="inlineStr">
        <is>
          <t>Geotextiles (heavy sheets) gang (continued)</t>
        </is>
      </c>
      <c r="F43" s="43" t="inlineStr">
        <is>
          <t>Total Gang Rate/Hour</t>
        </is>
      </c>
      <c r="G43" s="44" t="n">
        <v>89.45</v>
      </c>
      <c r="H43" s="44" t="n"/>
      <c r="I43" s="44" t="n"/>
    </row>
    <row r="44">
      <c r="A44" s="4" t="n">
        <v>563</v>
      </c>
      <c r="B44" s="5" t="inlineStr">
        <is>
          <t>IMG_0073</t>
        </is>
      </c>
      <c r="C44" s="5" t="inlineStr">
        <is>
          <t>CLASS E: EARTHWORKS</t>
        </is>
      </c>
      <c r="D44" s="5" t="inlineStr">
        <is>
          <t>RESOURCES - LABOUR</t>
        </is>
      </c>
      <c r="E44" s="5" t="inlineStr">
        <is>
          <t>Horticultural works gang</t>
        </is>
      </c>
      <c r="F44" s="5" t="inlineStr">
        <is>
          <t>1 skilled operative (skill rate 4)</t>
        </is>
      </c>
      <c r="G44" s="8" t="n">
        <v>29.49</v>
      </c>
      <c r="H44" s="8" t="n"/>
      <c r="I44" s="8" t="n"/>
    </row>
    <row r="45">
      <c r="A45" s="4" t="n">
        <v>564</v>
      </c>
      <c r="B45" s="5" t="inlineStr">
        <is>
          <t>IMG_0073</t>
        </is>
      </c>
      <c r="C45" s="5" t="inlineStr">
        <is>
          <t>CLASS E: EARTHWORKS</t>
        </is>
      </c>
      <c r="D45" s="5" t="inlineStr">
        <is>
          <t>RESOURCES - LABOUR</t>
        </is>
      </c>
      <c r="E45" s="5" t="inlineStr">
        <is>
          <t>Horticultural works gang</t>
        </is>
      </c>
      <c r="F45" s="5" t="inlineStr">
        <is>
          <t>1 unskilled operative (general)</t>
        </is>
      </c>
      <c r="G45" s="8" t="n">
        <v>24.68</v>
      </c>
      <c r="H45" s="8" t="n"/>
      <c r="I45" s="8" t="n"/>
    </row>
    <row r="46">
      <c r="A46" s="42" t="n">
        <v>565</v>
      </c>
      <c r="B46" s="43" t="inlineStr">
        <is>
          <t>IMG_0073</t>
        </is>
      </c>
      <c r="C46" s="43" t="inlineStr">
        <is>
          <t>CLASS E: EARTHWORKS</t>
        </is>
      </c>
      <c r="D46" s="43" t="inlineStr">
        <is>
          <t>RESOURCES - LABOUR</t>
        </is>
      </c>
      <c r="E46" s="43" t="inlineStr">
        <is>
          <t>Horticultural works gang</t>
        </is>
      </c>
      <c r="F46" s="43" t="inlineStr">
        <is>
          <t>Total Gang Rate/Hour</t>
        </is>
      </c>
      <c r="G46" s="44" t="n">
        <v>49</v>
      </c>
      <c r="H46" s="44" t="n"/>
      <c r="I46" s="44" t="n"/>
    </row>
    <row r="47">
      <c r="A47" s="4" t="n">
        <v>568</v>
      </c>
      <c r="B47" s="5" t="inlineStr">
        <is>
          <t>IMG_0073</t>
        </is>
      </c>
      <c r="C47" s="5" t="inlineStr">
        <is>
          <t>CLASS E: EARTHWORKS</t>
        </is>
      </c>
      <c r="D47" s="5" t="inlineStr">
        <is>
          <t>RESOURCES - PLANT</t>
        </is>
      </c>
      <c r="E47" s="5" t="inlineStr">
        <is>
          <t>Plant Resources Build-up Rate; Excavation for foundations</t>
        </is>
      </c>
      <c r="F47" s="5" t="inlineStr">
        <is>
          <t>hydraulic Backacter - 21 tonne (33% of time)</t>
        </is>
      </c>
      <c r="G47" s="8" t="n"/>
      <c r="H47" s="8" t="n">
        <v>39</v>
      </c>
      <c r="I47" s="8" t="n"/>
    </row>
    <row r="48">
      <c r="A48" s="4" t="n">
        <v>569</v>
      </c>
      <c r="B48" s="5" t="inlineStr">
        <is>
          <t>IMG_0073</t>
        </is>
      </c>
      <c r="C48" s="5" t="inlineStr">
        <is>
          <t>CLASS E: EARTHWORKS</t>
        </is>
      </c>
      <c r="D48" s="5" t="inlineStr">
        <is>
          <t>RESOURCES - PLANT</t>
        </is>
      </c>
      <c r="E48" s="5" t="inlineStr">
        <is>
          <t>Plant Resources Build-up Rate; Excavation for foundations</t>
        </is>
      </c>
      <c r="F48" s="5" t="inlineStr">
        <is>
          <t>hydraulic Backacter - 14.5 tonne (33% of time)</t>
        </is>
      </c>
      <c r="G48" s="8" t="n"/>
      <c r="H48" s="8" t="n">
        <v>32.18</v>
      </c>
      <c r="I48" s="8" t="n"/>
    </row>
    <row r="49">
      <c r="A49" s="4" t="n">
        <v>570</v>
      </c>
      <c r="B49" s="5" t="inlineStr">
        <is>
          <t>IMG_0073</t>
        </is>
      </c>
      <c r="C49" s="5" t="inlineStr">
        <is>
          <t>CLASS E: EARTHWORKS</t>
        </is>
      </c>
      <c r="D49" s="5" t="inlineStr">
        <is>
          <t>RESOURCES - PLANT</t>
        </is>
      </c>
      <c r="E49" s="5" t="inlineStr">
        <is>
          <t>Plant Resources Build-up Rate; Excavation for foundations</t>
        </is>
      </c>
      <c r="F49" s="5" t="inlineStr">
        <is>
          <t>1000 kg hydraulic breaker (33% of time)</t>
        </is>
      </c>
      <c r="G49" s="8" t="n"/>
      <c r="H49" s="8" t="n">
        <v>10.03</v>
      </c>
      <c r="I49" s="8" t="n"/>
    </row>
    <row r="50">
      <c r="A50" s="4" t="n">
        <v>571</v>
      </c>
      <c r="B50" s="5" t="inlineStr">
        <is>
          <t>IMG_0073</t>
        </is>
      </c>
      <c r="C50" s="5" t="inlineStr">
        <is>
          <t>CLASS E: EARTHWORKS</t>
        </is>
      </c>
      <c r="D50" s="5" t="inlineStr">
        <is>
          <t>RESOURCES - PLANT</t>
        </is>
      </c>
      <c r="E50" s="5" t="inlineStr">
        <is>
          <t>Plant Resources Build-up Rate; Excavation for foundations</t>
        </is>
      </c>
      <c r="F50" s="5" t="inlineStr">
        <is>
          <t>tractor loader - 0.80 m3 (33% of time)</t>
        </is>
      </c>
      <c r="G50" s="8" t="n"/>
      <c r="H50" s="8" t="n">
        <v>26.11</v>
      </c>
      <c r="I50" s="8" t="n"/>
    </row>
    <row r="51">
      <c r="A51" s="42" t="n">
        <v>572</v>
      </c>
      <c r="B51" s="43" t="inlineStr">
        <is>
          <t>IMG_0073</t>
        </is>
      </c>
      <c r="C51" s="43" t="inlineStr">
        <is>
          <t>CLASS E: EARTHWORKS</t>
        </is>
      </c>
      <c r="D51" s="43" t="inlineStr">
        <is>
          <t>RESOURCES - PLANT</t>
        </is>
      </c>
      <c r="E51" s="43" t="inlineStr">
        <is>
          <t>Plant Resources Build-up Rate; Excavation for foundations</t>
        </is>
      </c>
      <c r="F51" s="43" t="inlineStr">
        <is>
          <t>Total Rate/Hour</t>
        </is>
      </c>
      <c r="G51" s="44" t="n"/>
      <c r="H51" s="44" t="n">
        <v>107.32</v>
      </c>
      <c r="I51" s="44" t="n"/>
    </row>
    <row r="52">
      <c r="A52" s="4" t="n">
        <v>574</v>
      </c>
      <c r="B52" s="5" t="inlineStr">
        <is>
          <t>IMG_0073</t>
        </is>
      </c>
      <c r="C52" s="5" t="inlineStr">
        <is>
          <t>CLASS E: EARTHWORKS</t>
        </is>
      </c>
      <c r="D52" s="5" t="inlineStr">
        <is>
          <t>RESOURCES - PLANT</t>
        </is>
      </c>
      <c r="E52" s="5" t="inlineStr">
        <is>
          <t>Filling</t>
        </is>
      </c>
      <c r="F52" s="5" t="inlineStr">
        <is>
          <t>1.5 m3 tractor loader</t>
        </is>
      </c>
      <c r="G52" s="8" t="n"/>
      <c r="H52" s="8" t="n">
        <v>132.28</v>
      </c>
      <c r="I52" s="8" t="n"/>
    </row>
    <row r="53">
      <c r="A53" s="4" t="n">
        <v>575</v>
      </c>
      <c r="B53" s="5" t="inlineStr">
        <is>
          <t>IMG_0073</t>
        </is>
      </c>
      <c r="C53" s="5" t="inlineStr">
        <is>
          <t>CLASS E: EARTHWORKS</t>
        </is>
      </c>
      <c r="D53" s="5" t="inlineStr">
        <is>
          <t>RESOURCES - PLANT</t>
        </is>
      </c>
      <c r="E53" s="5" t="inlineStr">
        <is>
          <t>Filling</t>
        </is>
      </c>
      <c r="F53" s="5" t="inlineStr">
        <is>
          <t>6t vibratory roller</t>
        </is>
      </c>
      <c r="G53" s="8" t="n"/>
      <c r="H53" s="8" t="n">
        <v>50.62</v>
      </c>
      <c r="I53" s="8" t="n"/>
    </row>
    <row r="54">
      <c r="A54" s="4" t="n">
        <v>576</v>
      </c>
      <c r="B54" s="5" t="inlineStr">
        <is>
          <t>IMG_0073</t>
        </is>
      </c>
      <c r="C54" s="5" t="inlineStr">
        <is>
          <t>CLASS E: EARTHWORKS</t>
        </is>
      </c>
      <c r="D54" s="5" t="inlineStr">
        <is>
          <t>RESOURCES - PLANT</t>
        </is>
      </c>
      <c r="E54" s="5" t="inlineStr">
        <is>
          <t>Filling</t>
        </is>
      </c>
      <c r="F54" s="5" t="inlineStr">
        <is>
          <t>pedestrian Roller, Bomag BW35</t>
        </is>
      </c>
      <c r="G54" s="8" t="n"/>
      <c r="H54" s="8" t="n">
        <v>10.84</v>
      </c>
      <c r="I54" s="8" t="n"/>
    </row>
    <row r="55">
      <c r="A55" s="42" t="n">
        <v>577</v>
      </c>
      <c r="B55" s="43" t="inlineStr">
        <is>
          <t>IMG_0073</t>
        </is>
      </c>
      <c r="C55" s="43" t="inlineStr">
        <is>
          <t>CLASS E: EARTHWORKS</t>
        </is>
      </c>
      <c r="D55" s="43" t="inlineStr">
        <is>
          <t>RESOURCES - PLANT</t>
        </is>
      </c>
      <c r="E55" s="43" t="inlineStr">
        <is>
          <t>Filling</t>
        </is>
      </c>
      <c r="F55" s="43" t="inlineStr">
        <is>
          <t>Total Rate/Hour</t>
        </is>
      </c>
      <c r="G55" s="44" t="n"/>
      <c r="H55" s="44" t="n">
        <v>193.74</v>
      </c>
      <c r="I55" s="44" t="n"/>
    </row>
    <row r="56">
      <c r="A56" s="4" t="n">
        <v>579</v>
      </c>
      <c r="B56" s="5" t="inlineStr">
        <is>
          <t>IMG_0073</t>
        </is>
      </c>
      <c r="C56" s="5" t="inlineStr">
        <is>
          <t>CLASS E: EARTHWORKS</t>
        </is>
      </c>
      <c r="D56" s="5" t="inlineStr">
        <is>
          <t>RESOURCES - PLANT</t>
        </is>
      </c>
      <c r="E56" s="5" t="inlineStr">
        <is>
          <t>Treatment of filled surfaces</t>
        </is>
      </c>
      <c r="F56" s="5" t="inlineStr">
        <is>
          <t>1.5 m3 tractor loader</t>
        </is>
      </c>
      <c r="G56" s="8" t="n"/>
      <c r="H56" s="8" t="n">
        <v>132.28</v>
      </c>
      <c r="I56" s="8" t="n"/>
    </row>
    <row r="57">
      <c r="A57" s="4" t="n">
        <v>580</v>
      </c>
      <c r="B57" s="5" t="inlineStr">
        <is>
          <t>IMG_0073</t>
        </is>
      </c>
      <c r="C57" s="5" t="inlineStr">
        <is>
          <t>CLASS E: EARTHWORKS</t>
        </is>
      </c>
      <c r="D57" s="5" t="inlineStr">
        <is>
          <t>RESOURCES - PLANT</t>
        </is>
      </c>
      <c r="E57" s="5" t="inlineStr">
        <is>
          <t>Treatment of filled surfaces</t>
        </is>
      </c>
      <c r="F57" s="5" t="inlineStr">
        <is>
          <t>pedestrian Roller, Bomag BW35</t>
        </is>
      </c>
      <c r="G57" s="8" t="n"/>
      <c r="H57" s="8" t="n">
        <v>10.84</v>
      </c>
      <c r="I57" s="8" t="n"/>
    </row>
    <row r="58">
      <c r="A58" s="42" t="n">
        <v>581</v>
      </c>
      <c r="B58" s="43" t="inlineStr">
        <is>
          <t>IMG_0073</t>
        </is>
      </c>
      <c r="C58" s="43" t="inlineStr">
        <is>
          <t>CLASS E: EARTHWORKS</t>
        </is>
      </c>
      <c r="D58" s="43" t="inlineStr">
        <is>
          <t>RESOURCES - PLANT</t>
        </is>
      </c>
      <c r="E58" s="43" t="inlineStr">
        <is>
          <t>Treatment of filled surfaces</t>
        </is>
      </c>
      <c r="F58" s="43" t="inlineStr">
        <is>
          <t>Total Rate/Hour</t>
        </is>
      </c>
      <c r="G58" s="44" t="n"/>
      <c r="H58" s="44" t="n">
        <v>143.11</v>
      </c>
      <c r="I58" s="44" t="n"/>
    </row>
    <row r="59">
      <c r="A59" s="4" t="n">
        <v>583</v>
      </c>
      <c r="B59" s="5" t="inlineStr">
        <is>
          <t>IMG_0073</t>
        </is>
      </c>
      <c r="C59" s="5" t="inlineStr">
        <is>
          <t>CLASS E: EARTHWORKS</t>
        </is>
      </c>
      <c r="D59" s="5" t="inlineStr">
        <is>
          <t>RESOURCES - PLANT</t>
        </is>
      </c>
      <c r="E59" s="5" t="inlineStr">
        <is>
          <t>Geotextiles (heavy sheets)</t>
        </is>
      </c>
      <c r="F59" s="5" t="inlineStr">
        <is>
          <t>1.5 m3 tractor loader</t>
        </is>
      </c>
      <c r="G59" s="8" t="n"/>
      <c r="H59" s="8" t="n">
        <v>132.28</v>
      </c>
      <c r="I59" s="8" t="n"/>
    </row>
    <row r="60">
      <c r="A60" s="42" t="n">
        <v>584</v>
      </c>
      <c r="B60" s="43" t="inlineStr">
        <is>
          <t>IMG_0073</t>
        </is>
      </c>
      <c r="C60" s="43" t="inlineStr">
        <is>
          <t>CLASS E: EARTHWORKS</t>
        </is>
      </c>
      <c r="D60" s="43" t="inlineStr">
        <is>
          <t>RESOURCES - PLANT</t>
        </is>
      </c>
      <c r="E60" s="43" t="inlineStr">
        <is>
          <t>Geotextiles (heavy sheets)</t>
        </is>
      </c>
      <c r="F60" s="43" t="inlineStr">
        <is>
          <t>Total Rate/Hour</t>
        </is>
      </c>
      <c r="G60" s="44" t="n"/>
      <c r="H60" s="44" t="n">
        <v>132.28</v>
      </c>
      <c r="I60" s="44" t="n"/>
    </row>
    <row r="61">
      <c r="A61" s="4" t="n">
        <v>1050</v>
      </c>
      <c r="B61" s="5" t="inlineStr">
        <is>
          <t>IMG_0080</t>
        </is>
      </c>
      <c r="C61" s="5" t="inlineStr">
        <is>
          <t>CLASS F: IN SITU CONCRETE</t>
        </is>
      </c>
      <c r="D61" s="5" t="inlineStr">
        <is>
          <t>RESOURCES - LABOUR</t>
        </is>
      </c>
      <c r="E61" s="5" t="inlineStr">
        <is>
          <t>Labour Gang Build-up Rates; Concrete gang</t>
        </is>
      </c>
      <c r="F61" s="5" t="inlineStr">
        <is>
          <t>1 ganger or chargehand (skill rate 4)</t>
        </is>
      </c>
      <c r="G61" s="8" t="n">
        <v>31.39</v>
      </c>
      <c r="H61" s="8" t="n"/>
      <c r="I61" s="8" t="n"/>
    </row>
    <row r="62">
      <c r="A62" s="4" t="n">
        <v>1051</v>
      </c>
      <c r="B62" s="5" t="inlineStr">
        <is>
          <t>IMG_0080</t>
        </is>
      </c>
      <c r="C62" s="5" t="inlineStr">
        <is>
          <t>CLASS F: IN SITU CONCRETE</t>
        </is>
      </c>
      <c r="D62" s="5" t="inlineStr">
        <is>
          <t>RESOURCES - LABOUR</t>
        </is>
      </c>
      <c r="E62" s="5" t="inlineStr">
        <is>
          <t>Labour Gang Build-up Rates; Concrete gang</t>
        </is>
      </c>
      <c r="F62" s="5" t="inlineStr">
        <is>
          <t>2 skilled operatives (skill rate 4)</t>
        </is>
      </c>
      <c r="G62" s="8" t="n">
        <v>58.99</v>
      </c>
      <c r="H62" s="8" t="n"/>
      <c r="I62" s="8" t="n"/>
    </row>
    <row r="63">
      <c r="A63" s="4" t="n">
        <v>1052</v>
      </c>
      <c r="B63" s="5" t="inlineStr">
        <is>
          <t>IMG_0080</t>
        </is>
      </c>
      <c r="C63" s="5" t="inlineStr">
        <is>
          <t>CLASS F: IN SITU CONCRETE</t>
        </is>
      </c>
      <c r="D63" s="5" t="inlineStr">
        <is>
          <t>RESOURCES - LABOUR</t>
        </is>
      </c>
      <c r="E63" s="5" t="inlineStr">
        <is>
          <t>Labour Gang Build-up Rates; Concrete gang</t>
        </is>
      </c>
      <c r="F63" s="5" t="inlineStr">
        <is>
          <t>4 unskilled operatives (general)</t>
        </is>
      </c>
      <c r="G63" s="8" t="n">
        <v>98.7</v>
      </c>
      <c r="H63" s="8" t="n"/>
      <c r="I63" s="8" t="n"/>
    </row>
    <row r="64">
      <c r="A64" s="4" t="n">
        <v>1053</v>
      </c>
      <c r="B64" s="5" t="inlineStr">
        <is>
          <t>IMG_0080</t>
        </is>
      </c>
      <c r="C64" s="5" t="inlineStr">
        <is>
          <t>CLASS F: IN SITU CONCRETE</t>
        </is>
      </c>
      <c r="D64" s="5" t="inlineStr">
        <is>
          <t>RESOURCES - LABOUR</t>
        </is>
      </c>
      <c r="E64" s="5" t="inlineStr">
        <is>
          <t>Labour Gang Build-up Rates; Concrete gang</t>
        </is>
      </c>
      <c r="F64" s="5" t="inlineStr">
        <is>
          <t>1 plant operator (skill rate 3) - 25% of time</t>
        </is>
      </c>
      <c r="G64" s="8" t="n">
        <v>9.74</v>
      </c>
      <c r="H64" s="8" t="n"/>
      <c r="I64" s="8" t="n"/>
    </row>
    <row r="65">
      <c r="A65" s="42" t="n">
        <v>1054</v>
      </c>
      <c r="B65" s="43" t="inlineStr">
        <is>
          <t>IMG_0080</t>
        </is>
      </c>
      <c r="C65" s="43" t="inlineStr">
        <is>
          <t>CLASS F: IN SITU CONCRETE</t>
        </is>
      </c>
      <c r="D65" s="43" t="inlineStr">
        <is>
          <t>RESOURCES - LABOUR</t>
        </is>
      </c>
      <c r="E65" s="43" t="inlineStr">
        <is>
          <t>Labour Gang Build-up Rates; Concrete gang</t>
        </is>
      </c>
      <c r="F65" s="43" t="inlineStr">
        <is>
          <t>Total Gang Rate/Hour</t>
        </is>
      </c>
      <c r="G65" s="44" t="n">
        <v>181.61</v>
      </c>
      <c r="H65" s="44" t="n"/>
      <c r="I65" s="44" t="n"/>
    </row>
    <row r="66">
      <c r="A66" s="4" t="n">
        <v>1058</v>
      </c>
      <c r="B66" s="5" t="inlineStr">
        <is>
          <t>IMG_0080</t>
        </is>
      </c>
      <c r="C66" s="5" t="inlineStr">
        <is>
          <t>CLASS F: IN SITU CONCRETE</t>
        </is>
      </c>
      <c r="D66" s="5" t="inlineStr">
        <is>
          <t>RESOURCES - MATERIAL</t>
        </is>
      </c>
      <c r="E66" s="5" t="inlineStr">
        <is>
          <t>Material Resources Build-up Rate</t>
        </is>
      </c>
      <c r="F66" s="5" t="inlineStr">
        <is>
          <t>delivery to site for each additional mile from the concrete plant further than 5 miles (8 km)</t>
        </is>
      </c>
      <c r="G66" s="8" t="n"/>
      <c r="H66" s="8" t="n"/>
      <c r="I66" s="8" t="n">
        <v>3.51</v>
      </c>
    </row>
    <row r="67">
      <c r="A67" s="4" t="n">
        <v>1059</v>
      </c>
      <c r="B67" s="5" t="inlineStr">
        <is>
          <t>IMG_0080</t>
        </is>
      </c>
      <c r="C67" s="5" t="inlineStr">
        <is>
          <t>CLASS F: IN SITU CONCRETE</t>
        </is>
      </c>
      <c r="D67" s="5" t="inlineStr">
        <is>
          <t>RESOURCES - MATERIAL</t>
        </is>
      </c>
      <c r="E67" s="5" t="inlineStr">
        <is>
          <t>Material Resources Build-up Rate</t>
        </is>
      </c>
      <c r="F67" s="5" t="inlineStr">
        <is>
          <t>mix design, per trial mix</t>
        </is>
      </c>
      <c r="G67" s="8" t="n"/>
      <c r="H67" s="8" t="n"/>
      <c r="I67" s="8" t="n">
        <v>392.73</v>
      </c>
    </row>
    <row r="68">
      <c r="A68" s="4" t="n">
        <v>1060</v>
      </c>
      <c r="B68" s="5" t="inlineStr">
        <is>
          <t>IMG_0080</t>
        </is>
      </c>
      <c r="C68" s="5" t="inlineStr">
        <is>
          <t>CLASS F: IN SITU CONCRETE</t>
        </is>
      </c>
      <c r="D68" s="5" t="inlineStr">
        <is>
          <t>RESOURCES - MATERIAL</t>
        </is>
      </c>
      <c r="E68" s="5" t="inlineStr">
        <is>
          <t>Material Resources Build-up Rate</t>
        </is>
      </c>
      <c r="F68" s="5" t="inlineStr">
        <is>
          <t>part loads, per m3 below full load</t>
        </is>
      </c>
      <c r="G68" s="8" t="n"/>
      <c r="H68" s="8" t="n"/>
      <c r="I68" s="8" t="n">
        <v>44.07</v>
      </c>
    </row>
    <row r="69">
      <c r="A69" s="4" t="n">
        <v>1061</v>
      </c>
      <c r="B69" s="5" t="inlineStr">
        <is>
          <t>IMG_0080</t>
        </is>
      </c>
      <c r="C69" s="5" t="inlineStr">
        <is>
          <t>CLASS F: IN SITU CONCRETE</t>
        </is>
      </c>
      <c r="D69" s="5" t="inlineStr">
        <is>
          <t>RESOURCES - MATERIAL</t>
        </is>
      </c>
      <c r="E69" s="5" t="inlineStr">
        <is>
          <t>Material Resources Build-up Rate</t>
        </is>
      </c>
      <c r="F69" s="5" t="inlineStr">
        <is>
          <t>waiting time (in excess of 6 mins/m3 'norm' discharge time)</t>
        </is>
      </c>
      <c r="G69" s="8" t="n"/>
      <c r="H69" s="8" t="n"/>
      <c r="I69" s="8" t="n">
        <v>136.26</v>
      </c>
    </row>
    <row r="70">
      <c r="A70" s="4" t="n">
        <v>1062</v>
      </c>
      <c r="B70" s="5" t="inlineStr">
        <is>
          <t>IMG_0080</t>
        </is>
      </c>
      <c r="C70" s="5" t="inlineStr">
        <is>
          <t>CLASS F: IN SITU CONCRETE</t>
        </is>
      </c>
      <c r="D70" s="5" t="inlineStr">
        <is>
          <t>RESOURCES - MATERIAL</t>
        </is>
      </c>
      <c r="E70" s="5" t="inlineStr">
        <is>
          <t>Material Resources Build-up Rate</t>
        </is>
      </c>
      <c r="F70" s="5" t="inlineStr">
        <is>
          <t>making and testing concrete cube</t>
        </is>
      </c>
      <c r="G70" s="8" t="n">
        <v>16.98</v>
      </c>
      <c r="H70" s="8" t="n"/>
      <c r="I70" s="8" t="n"/>
    </row>
    <row r="71">
      <c r="A71" s="4" t="n">
        <v>1063</v>
      </c>
      <c r="B71" s="5" t="inlineStr">
        <is>
          <t>IMG_0080</t>
        </is>
      </c>
      <c r="C71" s="5" t="inlineStr">
        <is>
          <t>CLASS F: IN SITU CONCRETE</t>
        </is>
      </c>
      <c r="D71" s="5" t="inlineStr">
        <is>
          <t>RESOURCES - MATERIAL</t>
        </is>
      </c>
      <c r="E71" s="5" t="inlineStr">
        <is>
          <t>Material Resources Build-up Rate</t>
        </is>
      </c>
      <c r="F71" s="5" t="inlineStr">
        <is>
          <t>pumping from ready mix truck to point of placing at the rate of 25 m3/hour</t>
        </is>
      </c>
      <c r="G71" s="8" t="n">
        <v>2.59</v>
      </c>
      <c r="H71" s="8" t="n">
        <v>9.65</v>
      </c>
      <c r="I71" s="8" t="n"/>
    </row>
    <row r="72">
      <c r="A72" s="4" t="n">
        <v>1064</v>
      </c>
      <c r="B72" s="5" t="inlineStr">
        <is>
          <t>IMG_0080</t>
        </is>
      </c>
      <c r="C72" s="5" t="inlineStr">
        <is>
          <t>CLASS F: IN SITU CONCRETE</t>
        </is>
      </c>
      <c r="D72" s="5" t="inlineStr">
        <is>
          <t>RESOURCES - MATERIAL</t>
        </is>
      </c>
      <c r="E72" s="5" t="inlineStr">
        <is>
          <t>Material Resources Build-up Rate</t>
        </is>
      </c>
      <c r="F72" s="5" t="inlineStr">
        <is>
          <t>pumping from ready mix truck to point of placing at the rate of 45 m3/hour</t>
        </is>
      </c>
      <c r="G72" s="8" t="n">
        <v>1.25</v>
      </c>
      <c r="H72" s="8" t="n">
        <v>10.17</v>
      </c>
      <c r="I72" s="8" t="n"/>
    </row>
    <row r="73">
      <c r="A73" s="4" t="n">
        <v>1067</v>
      </c>
      <c r="B73" s="5" t="inlineStr">
        <is>
          <t>IMG_0080</t>
        </is>
      </c>
      <c r="C73" s="5" t="inlineStr">
        <is>
          <t>CLASS F: IN SITU CONCRETE</t>
        </is>
      </c>
      <c r="D73" s="5" t="inlineStr">
        <is>
          <t>RESOURCES - PLANT</t>
        </is>
      </c>
      <c r="E73" s="5" t="inlineStr">
        <is>
          <t>Plant Resources Build-up Rate; Concrete</t>
        </is>
      </c>
      <c r="F73" s="5" t="inlineStr">
        <is>
          <t>10t Crane (50% of time)</t>
        </is>
      </c>
      <c r="G73" s="8" t="n"/>
      <c r="H73" s="8" t="n">
        <v>41.34</v>
      </c>
      <c r="I73" s="8" t="n"/>
    </row>
    <row r="74">
      <c r="A74" s="4" t="n">
        <v>1068</v>
      </c>
      <c r="B74" s="5" t="inlineStr">
        <is>
          <t>IMG_0080</t>
        </is>
      </c>
      <c r="C74" s="5" t="inlineStr">
        <is>
          <t>CLASS F: IN SITU CONCRETE</t>
        </is>
      </c>
      <c r="D74" s="5" t="inlineStr">
        <is>
          <t>RESOURCES - PLANT</t>
        </is>
      </c>
      <c r="E74" s="5" t="inlineStr">
        <is>
          <t>Plant Resources Build-up Rate; Concrete</t>
        </is>
      </c>
      <c r="F74" s="5" t="inlineStr">
        <is>
          <t>1.00 m3 concrete skip (50% of time)</t>
        </is>
      </c>
      <c r="G74" s="8" t="n"/>
      <c r="H74" s="8" t="n">
        <v>2.6</v>
      </c>
      <c r="I74" s="8" t="n"/>
    </row>
    <row r="75">
      <c r="A75" s="4" t="n">
        <v>1069</v>
      </c>
      <c r="B75" s="5" t="inlineStr">
        <is>
          <t>IMG_0080</t>
        </is>
      </c>
      <c r="C75" s="5" t="inlineStr">
        <is>
          <t>CLASS F: IN SITU CONCRETE</t>
        </is>
      </c>
      <c r="D75" s="5" t="inlineStr">
        <is>
          <t>RESOURCES - PLANT</t>
        </is>
      </c>
      <c r="E75" s="5" t="inlineStr">
        <is>
          <t>Plant Resources Build-up Rate; Concrete</t>
        </is>
      </c>
      <c r="F75" s="5" t="inlineStr">
        <is>
          <t>11.30 m3/min compressor, 2 tool</t>
        </is>
      </c>
      <c r="G75" s="8" t="n"/>
      <c r="H75" s="8" t="n">
        <v>83.23999999999999</v>
      </c>
      <c r="I75" s="8" t="n"/>
    </row>
    <row r="76">
      <c r="A76" s="4" t="n">
        <v>1070</v>
      </c>
      <c r="B76" s="5" t="inlineStr">
        <is>
          <t>IMG_0080</t>
        </is>
      </c>
      <c r="C76" s="5" t="inlineStr">
        <is>
          <t>CLASS F: IN SITU CONCRETE</t>
        </is>
      </c>
      <c r="D76" s="5" t="inlineStr">
        <is>
          <t>RESOURCES - PLANT</t>
        </is>
      </c>
      <c r="E76" s="5" t="inlineStr">
        <is>
          <t>Plant Resources Build-up Rate; Concrete</t>
        </is>
      </c>
      <c r="F76" s="5" t="inlineStr">
        <is>
          <t>four 54 mm poker vibrators</t>
        </is>
      </c>
      <c r="G76" s="8" t="n"/>
      <c r="H76" s="8" t="n">
        <v>9.550000000000001</v>
      </c>
      <c r="I76" s="8" t="n"/>
    </row>
    <row r="77">
      <c r="A77" s="42" t="n">
        <v>1071</v>
      </c>
      <c r="B77" s="43" t="inlineStr">
        <is>
          <t>IMG_0080</t>
        </is>
      </c>
      <c r="C77" s="43" t="inlineStr">
        <is>
          <t>CLASS F: IN SITU CONCRETE</t>
        </is>
      </c>
      <c r="D77" s="43" t="inlineStr">
        <is>
          <t>RESOURCES - PLANT</t>
        </is>
      </c>
      <c r="E77" s="43" t="inlineStr">
        <is>
          <t>Plant Resources Build-up Rate; Concrete</t>
        </is>
      </c>
      <c r="F77" s="43" t="inlineStr">
        <is>
          <t>Total Rate/Hour</t>
        </is>
      </c>
      <c r="G77" s="44" t="n"/>
      <c r="H77" s="44" t="n">
        <v>136.73</v>
      </c>
      <c r="I77" s="44" t="n"/>
    </row>
    <row r="78">
      <c r="A78" s="4" t="n">
        <v>1275</v>
      </c>
      <c r="B78" s="5" t="inlineStr">
        <is>
          <t>IMG_0083</t>
        </is>
      </c>
      <c r="C78" s="5" t="inlineStr">
        <is>
          <t>CLASS G: CONCRETE ANCILLARIES</t>
        </is>
      </c>
      <c r="D78" s="5" t="inlineStr">
        <is>
          <t>RESOURCES - LABOUR</t>
        </is>
      </c>
      <c r="E78" s="5" t="inlineStr">
        <is>
          <t>Labour Resources Build-up Rate; Formwork gang - small areas</t>
        </is>
      </c>
      <c r="F78" s="5" t="inlineStr">
        <is>
          <t>1 joiner (craftsman)</t>
        </is>
      </c>
      <c r="G78" s="8" t="n">
        <v>33.9</v>
      </c>
      <c r="H78" s="8" t="n"/>
      <c r="I78" s="8" t="n"/>
    </row>
    <row r="79">
      <c r="A79" s="4" t="n">
        <v>1276</v>
      </c>
      <c r="B79" s="5" t="inlineStr">
        <is>
          <t>IMG_0083</t>
        </is>
      </c>
      <c r="C79" s="5" t="inlineStr">
        <is>
          <t>CLASS G: CONCRETE ANCILLARIES</t>
        </is>
      </c>
      <c r="D79" s="5" t="inlineStr">
        <is>
          <t>RESOURCES - LABOUR</t>
        </is>
      </c>
      <c r="E79" s="5" t="inlineStr">
        <is>
          <t>Labour Resources Build-up Rate; Formwork gang - small areas</t>
        </is>
      </c>
      <c r="F79" s="5" t="inlineStr">
        <is>
          <t>1 unskilled operative (general)</t>
        </is>
      </c>
      <c r="G79" s="8" t="n">
        <v>24.68</v>
      </c>
      <c r="H79" s="8" t="n"/>
      <c r="I79" s="8" t="n"/>
    </row>
    <row r="80">
      <c r="A80" s="42" t="n">
        <v>1277</v>
      </c>
      <c r="B80" s="43" t="inlineStr">
        <is>
          <t>IMG_0083</t>
        </is>
      </c>
      <c r="C80" s="43" t="inlineStr">
        <is>
          <t>CLASS G: CONCRETE ANCILLARIES</t>
        </is>
      </c>
      <c r="D80" s="43" t="inlineStr">
        <is>
          <t>RESOURCES - LABOUR</t>
        </is>
      </c>
      <c r="E80" s="43" t="inlineStr">
        <is>
          <t>Labour Resources Build-up Rate; Formwork gang - small areas</t>
        </is>
      </c>
      <c r="F80" s="43" t="inlineStr">
        <is>
          <t>Total Gang Rate/Hour</t>
        </is>
      </c>
      <c r="G80" s="44" t="n">
        <v>56.31</v>
      </c>
      <c r="H80" s="44" t="n"/>
      <c r="I80" s="44" t="n"/>
    </row>
    <row r="81">
      <c r="A81" s="4" t="n">
        <v>1279</v>
      </c>
      <c r="B81" s="5" t="inlineStr">
        <is>
          <t>IMG_0083</t>
        </is>
      </c>
      <c r="C81" s="5" t="inlineStr">
        <is>
          <t>CLASS G: CONCRETE ANCILLARIES</t>
        </is>
      </c>
      <c r="D81" s="5" t="inlineStr">
        <is>
          <t>RESOURCES - LABOUR</t>
        </is>
      </c>
      <c r="E81" s="5" t="inlineStr">
        <is>
          <t>Formwork gang - large areas</t>
        </is>
      </c>
      <c r="F81" s="5" t="inlineStr">
        <is>
          <t>1 foreman joiner (craftsman)</t>
        </is>
      </c>
      <c r="G81" s="8" t="n">
        <v>33.9</v>
      </c>
      <c r="H81" s="8" t="n"/>
      <c r="I81" s="8" t="n"/>
    </row>
    <row r="82">
      <c r="A82" s="4" t="n">
        <v>1280</v>
      </c>
      <c r="B82" s="5" t="inlineStr">
        <is>
          <t>IMG_0083</t>
        </is>
      </c>
      <c r="C82" s="5" t="inlineStr">
        <is>
          <t>CLASS G: CONCRETE ANCILLARIES</t>
        </is>
      </c>
      <c r="D82" s="5" t="inlineStr">
        <is>
          <t>RESOURCES - LABOUR</t>
        </is>
      </c>
      <c r="E82" s="5" t="inlineStr">
        <is>
          <t>Formwork gang - large areas</t>
        </is>
      </c>
      <c r="F82" s="5" t="inlineStr">
        <is>
          <t>2 joiners (craftsman)</t>
        </is>
      </c>
      <c r="G82" s="8" t="n">
        <v>58.99</v>
      </c>
      <c r="H82" s="8" t="n"/>
      <c r="I82" s="8" t="n"/>
    </row>
    <row r="83">
      <c r="A83" s="4" t="n">
        <v>1281</v>
      </c>
      <c r="B83" s="5" t="inlineStr">
        <is>
          <t>IMG_0083</t>
        </is>
      </c>
      <c r="C83" s="5" t="inlineStr">
        <is>
          <t>CLASS G: CONCRETE ANCILLARIES</t>
        </is>
      </c>
      <c r="D83" s="5" t="inlineStr">
        <is>
          <t>RESOURCES - LABOUR</t>
        </is>
      </c>
      <c r="E83" s="5" t="inlineStr">
        <is>
          <t>Formwork gang - large areas</t>
        </is>
      </c>
      <c r="F83" s="5" t="inlineStr">
        <is>
          <t>1 unskilled operative (general)</t>
        </is>
      </c>
      <c r="G83" s="8" t="n">
        <v>24.68</v>
      </c>
      <c r="H83" s="8" t="n"/>
      <c r="I83" s="8" t="n"/>
    </row>
    <row r="84">
      <c r="A84" s="42" t="n">
        <v>1282</v>
      </c>
      <c r="B84" s="43" t="inlineStr">
        <is>
          <t>IMG_0083</t>
        </is>
      </c>
      <c r="C84" s="43" t="inlineStr">
        <is>
          <t>CLASS G: CONCRETE ANCILLARIES</t>
        </is>
      </c>
      <c r="D84" s="43" t="inlineStr">
        <is>
          <t>RESOURCES - LABOUR</t>
        </is>
      </c>
      <c r="E84" s="43" t="inlineStr">
        <is>
          <t>Formwork gang - large areas</t>
        </is>
      </c>
      <c r="F84" s="43" t="inlineStr">
        <is>
          <t>Total Gang Rate/Hour</t>
        </is>
      </c>
      <c r="G84" s="44" t="n">
        <v>112.45</v>
      </c>
      <c r="H84" s="44" t="n"/>
      <c r="I84" s="44" t="n"/>
    </row>
    <row r="85">
      <c r="A85" s="4" t="n">
        <v>1284</v>
      </c>
      <c r="B85" s="5" t="inlineStr">
        <is>
          <t>IMG_0083</t>
        </is>
      </c>
      <c r="C85" s="5" t="inlineStr">
        <is>
          <t>CLASS G: CONCRETE ANCILLARIES</t>
        </is>
      </c>
      <c r="D85" s="5" t="inlineStr">
        <is>
          <t>RESOURCES - LABOUR</t>
        </is>
      </c>
      <c r="E85" s="5" t="inlineStr">
        <is>
          <t>Reinforcement gang</t>
        </is>
      </c>
      <c r="F85" s="5" t="inlineStr">
        <is>
          <t>1 foreman steel fixer (craftsman)</t>
        </is>
      </c>
      <c r="G85" s="8" t="n">
        <v>33.9</v>
      </c>
      <c r="H85" s="8" t="n"/>
      <c r="I85" s="8" t="n"/>
    </row>
    <row r="86">
      <c r="A86" s="4" t="n">
        <v>1285</v>
      </c>
      <c r="B86" s="5" t="inlineStr">
        <is>
          <t>IMG_0083</t>
        </is>
      </c>
      <c r="C86" s="5" t="inlineStr">
        <is>
          <t>CLASS G: CONCRETE ANCILLARIES</t>
        </is>
      </c>
      <c r="D86" s="5" t="inlineStr">
        <is>
          <t>RESOURCES - LABOUR</t>
        </is>
      </c>
      <c r="E86" s="5" t="inlineStr">
        <is>
          <t>Reinforcement gang</t>
        </is>
      </c>
      <c r="F86" s="5" t="inlineStr">
        <is>
          <t>4 steel fixers (craftsman)</t>
        </is>
      </c>
      <c r="G86" s="8" t="n">
        <v>117.98</v>
      </c>
      <c r="H86" s="8" t="n"/>
      <c r="I86" s="8" t="n"/>
    </row>
    <row r="87">
      <c r="A87" s="4" t="n">
        <v>1286</v>
      </c>
      <c r="B87" s="5" t="inlineStr">
        <is>
          <t>IMG_0083</t>
        </is>
      </c>
      <c r="C87" s="5" t="inlineStr">
        <is>
          <t>CLASS G: CONCRETE ANCILLARIES</t>
        </is>
      </c>
      <c r="D87" s="5" t="inlineStr">
        <is>
          <t>RESOURCES - LABOUR</t>
        </is>
      </c>
      <c r="E87" s="5" t="inlineStr">
        <is>
          <t>Reinforcement gang</t>
        </is>
      </c>
      <c r="F87" s="5" t="inlineStr">
        <is>
          <t>1 unskilled operative (general)</t>
        </is>
      </c>
      <c r="G87" s="8" t="n">
        <v>24.68</v>
      </c>
      <c r="H87" s="8" t="n"/>
      <c r="I87" s="8" t="n"/>
    </row>
    <row r="88">
      <c r="A88" s="42" t="n">
        <v>1287</v>
      </c>
      <c r="B88" s="43" t="inlineStr">
        <is>
          <t>IMG_0083</t>
        </is>
      </c>
      <c r="C88" s="43" t="inlineStr">
        <is>
          <t>CLASS G: CONCRETE ANCILLARIES</t>
        </is>
      </c>
      <c r="D88" s="43" t="inlineStr">
        <is>
          <t>RESOURCES - LABOUR</t>
        </is>
      </c>
      <c r="E88" s="43" t="inlineStr">
        <is>
          <t>Reinforcement gang</t>
        </is>
      </c>
      <c r="F88" s="43" t="inlineStr">
        <is>
          <t>Total Gang Rate/Hour</t>
        </is>
      </c>
      <c r="G88" s="44" t="n">
        <v>168.59</v>
      </c>
      <c r="H88" s="44" t="n"/>
      <c r="I88" s="44" t="n"/>
    </row>
    <row r="89">
      <c r="A89" s="4" t="n">
        <v>1289</v>
      </c>
      <c r="B89" s="5" t="inlineStr">
        <is>
          <t>IMG_0083</t>
        </is>
      </c>
      <c r="C89" s="5" t="inlineStr">
        <is>
          <t>CLASS G: CONCRETE ANCILLARIES</t>
        </is>
      </c>
      <c r="D89" s="5" t="inlineStr">
        <is>
          <t>RESOURCES - LABOUR</t>
        </is>
      </c>
      <c r="E89" s="5" t="inlineStr">
        <is>
          <t>Reinforcement - on-site bending/baling gang</t>
        </is>
      </c>
      <c r="F89" s="5" t="inlineStr">
        <is>
          <t>1 steel fixer (craftsman)</t>
        </is>
      </c>
      <c r="G89" s="8" t="n">
        <v>29.49</v>
      </c>
      <c r="H89" s="8" t="n"/>
      <c r="I89" s="8" t="n"/>
    </row>
    <row r="90">
      <c r="A90" s="4" t="n">
        <v>1290</v>
      </c>
      <c r="B90" s="5" t="inlineStr">
        <is>
          <t>IMG_0083</t>
        </is>
      </c>
      <c r="C90" s="5" t="inlineStr">
        <is>
          <t>CLASS G: CONCRETE ANCILLARIES</t>
        </is>
      </c>
      <c r="D90" s="5" t="inlineStr">
        <is>
          <t>RESOURCES - LABOUR</t>
        </is>
      </c>
      <c r="E90" s="5" t="inlineStr">
        <is>
          <t>Reinforcement - on-site bending/baling gang</t>
        </is>
      </c>
      <c r="F90" s="5" t="inlineStr">
        <is>
          <t>1 unskilled operative (general)</t>
        </is>
      </c>
      <c r="G90" s="8" t="n">
        <v>24.68</v>
      </c>
      <c r="H90" s="8" t="n"/>
      <c r="I90" s="8" t="n"/>
    </row>
    <row r="91">
      <c r="A91" s="42" t="n">
        <v>1291</v>
      </c>
      <c r="B91" s="43" t="inlineStr">
        <is>
          <t>IMG_0083</t>
        </is>
      </c>
      <c r="C91" s="43" t="inlineStr">
        <is>
          <t>CLASS G: CONCRETE ANCILLARIES</t>
        </is>
      </c>
      <c r="D91" s="43" t="inlineStr">
        <is>
          <t>RESOURCES - LABOUR</t>
        </is>
      </c>
      <c r="E91" s="43" t="inlineStr">
        <is>
          <t>Reinforcement - on-site bending/baling gang</t>
        </is>
      </c>
      <c r="F91" s="43" t="inlineStr">
        <is>
          <t>Total Gang Rate/Hour</t>
        </is>
      </c>
      <c r="G91" s="44" t="n">
        <v>52.2</v>
      </c>
      <c r="H91" s="44" t="n"/>
      <c r="I91" s="44" t="n"/>
    </row>
    <row r="92">
      <c r="A92" s="4" t="n">
        <v>1293</v>
      </c>
      <c r="B92" s="5" t="inlineStr">
        <is>
          <t>IMG_0083</t>
        </is>
      </c>
      <c r="C92" s="5" t="inlineStr">
        <is>
          <t>CLASS G: CONCRETE ANCILLARIES</t>
        </is>
      </c>
      <c r="D92" s="5" t="inlineStr">
        <is>
          <t>RESOURCES - LABOUR</t>
        </is>
      </c>
      <c r="E92" s="5" t="inlineStr">
        <is>
          <t>Joints gang</t>
        </is>
      </c>
      <c r="F92" s="5" t="inlineStr">
        <is>
          <t>1 ganger/chargehand (skill rate 4)</t>
        </is>
      </c>
      <c r="G92" s="8" t="n">
        <v>31.39</v>
      </c>
      <c r="H92" s="8" t="n"/>
      <c r="I92" s="8" t="n"/>
    </row>
    <row r="93">
      <c r="A93" s="4" t="n">
        <v>1294</v>
      </c>
      <c r="B93" s="5" t="inlineStr">
        <is>
          <t>IMG_0083</t>
        </is>
      </c>
      <c r="C93" s="5" t="inlineStr">
        <is>
          <t>CLASS G: CONCRETE ANCILLARIES</t>
        </is>
      </c>
      <c r="D93" s="5" t="inlineStr">
        <is>
          <t>RESOURCES - LABOUR</t>
        </is>
      </c>
      <c r="E93" s="5" t="inlineStr">
        <is>
          <t>Joints gang</t>
        </is>
      </c>
      <c r="F93" s="5" t="inlineStr">
        <is>
          <t>1 skilled operative (skill rate 4)</t>
        </is>
      </c>
      <c r="G93" s="8" t="n">
        <v>29.49</v>
      </c>
      <c r="H93" s="8" t="n"/>
      <c r="I93" s="8" t="n"/>
    </row>
    <row r="94">
      <c r="A94" s="4" t="n">
        <v>1295</v>
      </c>
      <c r="B94" s="5" t="inlineStr">
        <is>
          <t>IMG_0083</t>
        </is>
      </c>
      <c r="C94" s="5" t="inlineStr">
        <is>
          <t>CLASS G: CONCRETE ANCILLARIES</t>
        </is>
      </c>
      <c r="D94" s="5" t="inlineStr">
        <is>
          <t>RESOURCES - LABOUR</t>
        </is>
      </c>
      <c r="E94" s="5" t="inlineStr">
        <is>
          <t>Joints gang</t>
        </is>
      </c>
      <c r="F94" s="5" t="inlineStr">
        <is>
          <t>1 unskilled operative (general)</t>
        </is>
      </c>
      <c r="G94" s="8" t="n">
        <v>24.68</v>
      </c>
      <c r="H94" s="8" t="n"/>
      <c r="I94" s="8" t="n"/>
    </row>
    <row r="95">
      <c r="A95" s="42" t="n">
        <v>1296</v>
      </c>
      <c r="B95" s="43" t="inlineStr">
        <is>
          <t>IMG_0083</t>
        </is>
      </c>
      <c r="C95" s="43" t="inlineStr">
        <is>
          <t>CLASS G: CONCRETE ANCILLARIES</t>
        </is>
      </c>
      <c r="D95" s="43" t="inlineStr">
        <is>
          <t>RESOURCES - LABOUR</t>
        </is>
      </c>
      <c r="E95" s="43" t="inlineStr">
        <is>
          <t>Joints gang</t>
        </is>
      </c>
      <c r="F95" s="43" t="inlineStr">
        <is>
          <t>Total Gang Rate/Hour</t>
        </is>
      </c>
      <c r="G95" s="44" t="n">
        <v>75.37</v>
      </c>
      <c r="H95" s="44" t="n"/>
      <c r="I95" s="44" t="n"/>
    </row>
    <row r="96">
      <c r="A96" s="4" t="n">
        <v>1298</v>
      </c>
      <c r="B96" s="5" t="inlineStr">
        <is>
          <t>IMG_0083</t>
        </is>
      </c>
      <c r="C96" s="5" t="inlineStr">
        <is>
          <t>CLASS G: CONCRETE ANCILLARIES</t>
        </is>
      </c>
      <c r="D96" s="5" t="inlineStr">
        <is>
          <t>RESOURCES - LABOUR</t>
        </is>
      </c>
      <c r="E96" s="5" t="inlineStr">
        <is>
          <t>Concrete accessories gang</t>
        </is>
      </c>
      <c r="F96" s="5" t="inlineStr">
        <is>
          <t>1 ganger/chargehand (skill rate 4)</t>
        </is>
      </c>
      <c r="G96" s="8" t="n">
        <v>31.39</v>
      </c>
      <c r="H96" s="8" t="n"/>
      <c r="I96" s="8" t="n"/>
    </row>
    <row r="97">
      <c r="A97" s="4" t="n">
        <v>1299</v>
      </c>
      <c r="B97" s="5" t="inlineStr">
        <is>
          <t>IMG_0083</t>
        </is>
      </c>
      <c r="C97" s="5" t="inlineStr">
        <is>
          <t>CLASS G: CONCRETE ANCILLARIES</t>
        </is>
      </c>
      <c r="D97" s="5" t="inlineStr">
        <is>
          <t>RESOURCES - LABOUR</t>
        </is>
      </c>
      <c r="E97" s="5" t="inlineStr">
        <is>
          <t>Concrete accessories gang</t>
        </is>
      </c>
      <c r="F97" s="5" t="inlineStr">
        <is>
          <t>1 skilled operative (skill rate 4)</t>
        </is>
      </c>
      <c r="G97" s="8" t="n">
        <v>29.49</v>
      </c>
      <c r="H97" s="8" t="n"/>
      <c r="I97" s="8" t="n"/>
    </row>
    <row r="98">
      <c r="A98" s="4" t="n">
        <v>1300</v>
      </c>
      <c r="B98" s="5" t="inlineStr">
        <is>
          <t>IMG_0083</t>
        </is>
      </c>
      <c r="C98" s="5" t="inlineStr">
        <is>
          <t>CLASS G: CONCRETE ANCILLARIES</t>
        </is>
      </c>
      <c r="D98" s="5" t="inlineStr">
        <is>
          <t>RESOURCES - LABOUR</t>
        </is>
      </c>
      <c r="E98" s="5" t="inlineStr">
        <is>
          <t>Concrete accessories gang</t>
        </is>
      </c>
      <c r="F98" s="5" t="inlineStr">
        <is>
          <t>1 unskilled operative (general)</t>
        </is>
      </c>
      <c r="G98" s="8" t="n">
        <v>24.68</v>
      </c>
      <c r="H98" s="8" t="n"/>
      <c r="I98" s="8" t="n"/>
    </row>
    <row r="99">
      <c r="A99" s="42" t="n">
        <v>1301</v>
      </c>
      <c r="B99" s="43" t="inlineStr">
        <is>
          <t>IMG_0083</t>
        </is>
      </c>
      <c r="C99" s="43" t="inlineStr">
        <is>
          <t>CLASS G: CONCRETE ANCILLARIES</t>
        </is>
      </c>
      <c r="D99" s="43" t="inlineStr">
        <is>
          <t>RESOURCES - LABOUR</t>
        </is>
      </c>
      <c r="E99" s="43" t="inlineStr">
        <is>
          <t>Concrete accessories gang</t>
        </is>
      </c>
      <c r="F99" s="43" t="inlineStr">
        <is>
          <t>Total Gang Rate/Hour</t>
        </is>
      </c>
      <c r="G99" s="44" t="n">
        <v>75.37</v>
      </c>
      <c r="H99" s="44" t="n"/>
      <c r="I99" s="44" t="n"/>
    </row>
    <row r="100">
      <c r="A100" s="4" t="n">
        <v>1305</v>
      </c>
      <c r="B100" s="5" t="inlineStr">
        <is>
          <t>IMG_0083</t>
        </is>
      </c>
      <c r="C100" s="5" t="inlineStr">
        <is>
          <t>CLASS G: CONCRETE ANCILLARIES</t>
        </is>
      </c>
      <c r="D100" s="5" t="inlineStr">
        <is>
          <t>RESOURCES - MATERIAL</t>
        </is>
      </c>
      <c r="E100" s="5" t="inlineStr">
        <is>
          <t>Material Resources Build-up Rate; Reinforcement; supply only ex works materials rates</t>
        </is>
      </c>
      <c r="F100" s="5" t="inlineStr">
        <is>
          <t>Reinforcement; high tensile steel bars; straight; T12</t>
        </is>
      </c>
      <c r="G100" s="8" t="n"/>
      <c r="H100" s="8" t="n"/>
      <c r="I100" s="8" t="n">
        <v>1150.73</v>
      </c>
    </row>
    <row r="101">
      <c r="A101" s="4" t="n">
        <v>1307</v>
      </c>
      <c r="B101" s="5" t="inlineStr">
        <is>
          <t>IMG_0083</t>
        </is>
      </c>
      <c r="C101" s="5" t="inlineStr">
        <is>
          <t>CLASS G: CONCRETE ANCILLARIES</t>
        </is>
      </c>
      <c r="D101" s="5" t="inlineStr">
        <is>
          <t>RESOURCES - MATERIAL</t>
        </is>
      </c>
      <c r="E101" s="5" t="inlineStr">
        <is>
          <t>Material Resources Build-up Rate; Reinforcement; supply only ex works materials rates</t>
        </is>
      </c>
      <c r="F101" s="5" t="inlineStr">
        <is>
          <t>Stainless steel bars; straight</t>
        </is>
      </c>
      <c r="G101" s="8" t="n"/>
      <c r="H101" s="8" t="n"/>
      <c r="I101" s="8" t="n">
        <v>6277.35</v>
      </c>
    </row>
    <row r="102">
      <c r="A102" s="4" t="n">
        <v>1308</v>
      </c>
      <c r="B102" s="5" t="inlineStr">
        <is>
          <t>IMG_0083</t>
        </is>
      </c>
      <c r="C102" s="5" t="inlineStr">
        <is>
          <t>CLASS G: CONCRETE ANCILLARIES</t>
        </is>
      </c>
      <c r="D102" s="5" t="inlineStr">
        <is>
          <t>RESOURCES - MATERIAL</t>
        </is>
      </c>
      <c r="E102" s="5" t="inlineStr">
        <is>
          <t>Material Resources Build-up Rate; Reinforcement; supply only ex works materials rates</t>
        </is>
      </c>
      <c r="F102" s="5" t="inlineStr">
        <is>
          <t>Stainless steel bars; bent</t>
        </is>
      </c>
      <c r="G102" s="8" t="n"/>
      <c r="H102" s="8" t="n"/>
      <c r="I102" s="8" t="n">
        <v>6277.35</v>
      </c>
    </row>
    <row r="103">
      <c r="A103" s="4" t="n">
        <v>1310</v>
      </c>
      <c r="B103" s="5" t="inlineStr">
        <is>
          <t>IMG_0083</t>
        </is>
      </c>
      <c r="C103" s="5" t="inlineStr">
        <is>
          <t>CLASS G: CONCRETE ANCILLARIES</t>
        </is>
      </c>
      <c r="D103" s="5" t="inlineStr">
        <is>
          <t>RESOURCES - MATERIAL</t>
        </is>
      </c>
      <c r="E103" s="5" t="inlineStr">
        <is>
          <t>Welded fabric to BS 4483 in sheets 4.80 x 2.40</t>
        </is>
      </c>
      <c r="F103" s="5" t="inlineStr">
        <is>
          <t>A98</t>
        </is>
      </c>
      <c r="G103" s="8" t="n"/>
      <c r="H103" s="8" t="n"/>
      <c r="I103" s="8" t="n">
        <v>6.2</v>
      </c>
    </row>
    <row r="104">
      <c r="A104" s="4" t="n">
        <v>1311</v>
      </c>
      <c r="B104" s="5" t="inlineStr">
        <is>
          <t>IMG_0083</t>
        </is>
      </c>
      <c r="C104" s="5" t="inlineStr">
        <is>
          <t>CLASS G: CONCRETE ANCILLARIES</t>
        </is>
      </c>
      <c r="D104" s="5" t="inlineStr">
        <is>
          <t>RESOURCES - MATERIAL</t>
        </is>
      </c>
      <c r="E104" s="5" t="inlineStr">
        <is>
          <t>Welded fabric to BS 4483 in sheets 4.80 x 2.40</t>
        </is>
      </c>
      <c r="F104" s="5" t="inlineStr">
        <is>
          <t>A142</t>
        </is>
      </c>
      <c r="G104" s="8" t="n"/>
      <c r="H104" s="8" t="n"/>
      <c r="I104" s="8" t="n">
        <v>5.1</v>
      </c>
    </row>
    <row r="105">
      <c r="A105" s="4" t="n">
        <v>1312</v>
      </c>
      <c r="B105" s="5" t="inlineStr">
        <is>
          <t>IMG_0083</t>
        </is>
      </c>
      <c r="C105" s="5" t="inlineStr">
        <is>
          <t>CLASS G: CONCRETE ANCILLARIES</t>
        </is>
      </c>
      <c r="D105" s="5" t="inlineStr">
        <is>
          <t>RESOURCES - MATERIAL</t>
        </is>
      </c>
      <c r="E105" s="5" t="inlineStr">
        <is>
          <t>Welded fabric to BS 4483 in sheets 4.80 x 2.40</t>
        </is>
      </c>
      <c r="F105" s="5" t="inlineStr">
        <is>
          <t>A193</t>
        </is>
      </c>
      <c r="G105" s="8" t="n"/>
      <c r="H105" s="8" t="n"/>
      <c r="I105" s="8" t="n">
        <v>7.26</v>
      </c>
    </row>
    <row r="106">
      <c r="A106" s="4" t="n">
        <v>1313</v>
      </c>
      <c r="B106" s="5" t="inlineStr">
        <is>
          <t>IMG_0083</t>
        </is>
      </c>
      <c r="C106" s="5" t="inlineStr">
        <is>
          <t>CLASS G: CONCRETE ANCILLARIES</t>
        </is>
      </c>
      <c r="D106" s="5" t="inlineStr">
        <is>
          <t>RESOURCES - MATERIAL</t>
        </is>
      </c>
      <c r="E106" s="5" t="inlineStr">
        <is>
          <t>Welded fabric to BS 4483 in sheets 4.80 x 2.40</t>
        </is>
      </c>
      <c r="F106" s="5" t="inlineStr">
        <is>
          <t>A252</t>
        </is>
      </c>
      <c r="G106" s="8" t="n"/>
      <c r="H106" s="8" t="n"/>
      <c r="I106" s="8" t="n">
        <v>8.039999999999999</v>
      </c>
    </row>
    <row r="107">
      <c r="A107" s="4" t="n">
        <v>1314</v>
      </c>
      <c r="B107" s="5" t="inlineStr">
        <is>
          <t>IMG_0083</t>
        </is>
      </c>
      <c r="C107" s="5" t="inlineStr">
        <is>
          <t>CLASS G: CONCRETE ANCILLARIES</t>
        </is>
      </c>
      <c r="D107" s="5" t="inlineStr">
        <is>
          <t>RESOURCES - MATERIAL</t>
        </is>
      </c>
      <c r="E107" s="5" t="inlineStr">
        <is>
          <t>Welded fabric to BS 4483 in sheets 4.80 x 2.40</t>
        </is>
      </c>
      <c r="F107" s="5" t="inlineStr">
        <is>
          <t>A393</t>
        </is>
      </c>
      <c r="G107" s="8" t="n"/>
      <c r="H107" s="8" t="n"/>
      <c r="I107" s="8" t="n">
        <v>12.36</v>
      </c>
    </row>
    <row r="108">
      <c r="A108" s="4" t="n">
        <v>1315</v>
      </c>
      <c r="B108" s="5" t="inlineStr">
        <is>
          <t>IMG_0083</t>
        </is>
      </c>
      <c r="C108" s="5" t="inlineStr">
        <is>
          <t>CLASS G: CONCRETE ANCILLARIES</t>
        </is>
      </c>
      <c r="D108" s="5" t="inlineStr">
        <is>
          <t>RESOURCES - MATERIAL</t>
        </is>
      </c>
      <c r="E108" s="5" t="inlineStr">
        <is>
          <t>Welded fabric to BS 4483 in sheets 4.80 x 2.40</t>
        </is>
      </c>
      <c r="F108" s="5" t="inlineStr">
        <is>
          <t>B196</t>
        </is>
      </c>
      <c r="G108" s="8" t="n"/>
      <c r="H108" s="8" t="n"/>
      <c r="I108" s="8" t="n">
        <v>13.58</v>
      </c>
    </row>
    <row r="109">
      <c r="A109" s="4" t="n">
        <v>1316</v>
      </c>
      <c r="B109" s="5" t="inlineStr">
        <is>
          <t>IMG_0083</t>
        </is>
      </c>
      <c r="C109" s="5" t="inlineStr">
        <is>
          <t>CLASS G: CONCRETE ANCILLARIES</t>
        </is>
      </c>
      <c r="D109" s="5" t="inlineStr">
        <is>
          <t>RESOURCES - MATERIAL</t>
        </is>
      </c>
      <c r="E109" s="5" t="inlineStr">
        <is>
          <t>Welded fabric to BS 4483 in sheets 4.80 x 2.40</t>
        </is>
      </c>
      <c r="F109" s="5" t="inlineStr">
        <is>
          <t>B283</t>
        </is>
      </c>
      <c r="G109" s="8" t="n"/>
      <c r="H109" s="8" t="n"/>
      <c r="I109" s="8" t="n">
        <v>10.96</v>
      </c>
    </row>
    <row r="110">
      <c r="A110" s="4" t="n">
        <v>1317</v>
      </c>
      <c r="B110" s="5" t="inlineStr">
        <is>
          <t>IMG_0083</t>
        </is>
      </c>
      <c r="C110" s="5" t="inlineStr">
        <is>
          <t>CLASS G: CONCRETE ANCILLARIES</t>
        </is>
      </c>
      <c r="D110" s="5" t="inlineStr">
        <is>
          <t>RESOURCES - MATERIAL</t>
        </is>
      </c>
      <c r="E110" s="5" t="inlineStr">
        <is>
          <t>Welded fabric to BS 4483 in sheets 4.80 x 2.40</t>
        </is>
      </c>
      <c r="F110" s="5" t="inlineStr">
        <is>
          <t>B385</t>
        </is>
      </c>
      <c r="G110" s="8" t="n"/>
      <c r="H110" s="8" t="n"/>
      <c r="I110" s="8" t="n">
        <v>11.7</v>
      </c>
    </row>
    <row r="111">
      <c r="A111" s="4" t="n">
        <v>1318</v>
      </c>
      <c r="B111" s="5" t="inlineStr">
        <is>
          <t>IMG_0083</t>
        </is>
      </c>
      <c r="C111" s="5" t="inlineStr">
        <is>
          <t>CLASS G: CONCRETE ANCILLARIES</t>
        </is>
      </c>
      <c r="D111" s="5" t="inlineStr">
        <is>
          <t>RESOURCES - MATERIAL</t>
        </is>
      </c>
      <c r="E111" s="5" t="inlineStr">
        <is>
          <t>Welded fabric to BS 4483 in sheets 4.80 x 2.40</t>
        </is>
      </c>
      <c r="F111" s="5" t="inlineStr">
        <is>
          <t>B503</t>
        </is>
      </c>
      <c r="G111" s="8" t="n"/>
      <c r="H111" s="8" t="n"/>
      <c r="I111" s="8" t="n">
        <v>16.83</v>
      </c>
    </row>
    <row r="112">
      <c r="A112" s="4" t="n">
        <v>1319</v>
      </c>
      <c r="B112" s="5" t="inlineStr">
        <is>
          <t>IMG_0083</t>
        </is>
      </c>
      <c r="C112" s="5" t="inlineStr">
        <is>
          <t>CLASS G: CONCRETE ANCILLARIES</t>
        </is>
      </c>
      <c r="D112" s="5" t="inlineStr">
        <is>
          <t>RESOURCES - MATERIAL</t>
        </is>
      </c>
      <c r="E112" s="5" t="inlineStr">
        <is>
          <t>Welded fabric to BS 4483 in sheets 4.80 x 2.40</t>
        </is>
      </c>
      <c r="F112" s="5" t="inlineStr">
        <is>
          <t>B785</t>
        </is>
      </c>
      <c r="G112" s="8" t="n"/>
      <c r="H112" s="8" t="n"/>
      <c r="I112" s="8" t="n">
        <v>21.75</v>
      </c>
    </row>
    <row r="113">
      <c r="A113" s="4" t="n">
        <v>1320</v>
      </c>
      <c r="B113" s="5" t="inlineStr">
        <is>
          <t>IMG_0083</t>
        </is>
      </c>
      <c r="C113" s="5" t="inlineStr">
        <is>
          <t>CLASS G: CONCRETE ANCILLARIES</t>
        </is>
      </c>
      <c r="D113" s="5" t="inlineStr">
        <is>
          <t>RESOURCES - MATERIAL</t>
        </is>
      </c>
      <c r="E113" s="5" t="inlineStr">
        <is>
          <t>Welded fabric to BS 4483 in sheets 4.80 x 2.40</t>
        </is>
      </c>
      <c r="F113" s="5" t="inlineStr">
        <is>
          <t>B1131</t>
        </is>
      </c>
      <c r="G113" s="8" t="n"/>
      <c r="H113" s="8" t="n"/>
      <c r="I113" s="8" t="n">
        <v>28.62</v>
      </c>
    </row>
    <row r="114">
      <c r="A114" s="4" t="n">
        <v>1321</v>
      </c>
      <c r="B114" s="5" t="inlineStr">
        <is>
          <t>IMG_0083</t>
        </is>
      </c>
      <c r="C114" s="5" t="inlineStr">
        <is>
          <t>CLASS G: CONCRETE ANCILLARIES</t>
        </is>
      </c>
      <c r="D114" s="5" t="inlineStr">
        <is>
          <t>RESOURCES - MATERIAL</t>
        </is>
      </c>
      <c r="E114" s="5" t="inlineStr">
        <is>
          <t>Welded fabric to BS 4483 in sheets 4.80 x 2.40</t>
        </is>
      </c>
      <c r="F114" s="5" t="inlineStr">
        <is>
          <t>C283</t>
        </is>
      </c>
      <c r="G114" s="8" t="n"/>
      <c r="H114" s="8" t="n"/>
      <c r="I114" s="8" t="n">
        <v>6.68</v>
      </c>
    </row>
    <row r="115">
      <c r="A115" s="4" t="n">
        <v>1322</v>
      </c>
      <c r="B115" s="5" t="inlineStr">
        <is>
          <t>IMG_0083</t>
        </is>
      </c>
      <c r="C115" s="5" t="inlineStr">
        <is>
          <t>CLASS G: CONCRETE ANCILLARIES</t>
        </is>
      </c>
      <c r="D115" s="5" t="inlineStr">
        <is>
          <t>RESOURCES - MATERIAL</t>
        </is>
      </c>
      <c r="E115" s="5" t="inlineStr">
        <is>
          <t>Welded fabric to BS 4483 in sheets 4.80 x 2.40</t>
        </is>
      </c>
      <c r="F115" s="5" t="inlineStr">
        <is>
          <t>C385</t>
        </is>
      </c>
      <c r="G115" s="8" t="n"/>
      <c r="H115" s="8" t="n"/>
      <c r="I115" s="8" t="n">
        <v>8.77</v>
      </c>
    </row>
    <row r="116">
      <c r="A116" s="4" t="n">
        <v>1323</v>
      </c>
      <c r="B116" s="5" t="inlineStr">
        <is>
          <t>IMG_0083</t>
        </is>
      </c>
      <c r="C116" s="5" t="inlineStr">
        <is>
          <t>CLASS G: CONCRETE ANCILLARIES</t>
        </is>
      </c>
      <c r="D116" s="5" t="inlineStr">
        <is>
          <t>RESOURCES - MATERIAL</t>
        </is>
      </c>
      <c r="E116" s="5" t="inlineStr">
        <is>
          <t>Welded fabric to BS 4483 in sheets 4.80 x 2.40</t>
        </is>
      </c>
      <c r="F116" s="5" t="inlineStr">
        <is>
          <t>C363</t>
        </is>
      </c>
      <c r="G116" s="8" t="n"/>
      <c r="H116" s="8" t="n"/>
      <c r="I116" s="8" t="n">
        <v>13.95</v>
      </c>
    </row>
    <row r="117">
      <c r="A117" s="4" t="n">
        <v>1324</v>
      </c>
      <c r="B117" s="5" t="inlineStr">
        <is>
          <t>IMG_0083</t>
        </is>
      </c>
      <c r="C117" s="5" t="inlineStr">
        <is>
          <t>CLASS G: CONCRETE ANCILLARIES</t>
        </is>
      </c>
      <c r="D117" s="5" t="inlineStr">
        <is>
          <t>RESOURCES - MATERIAL</t>
        </is>
      </c>
      <c r="E117" s="5" t="inlineStr">
        <is>
          <t>Welded fabric to BS 4483 in sheets 4.80 x 2.40</t>
        </is>
      </c>
      <c r="F117" s="5" t="inlineStr">
        <is>
          <t>C503</t>
        </is>
      </c>
      <c r="G117" s="8" t="n"/>
      <c r="H117" s="8" t="n"/>
      <c r="I117" s="8" t="n">
        <v>11.12</v>
      </c>
    </row>
    <row r="118">
      <c r="A118" s="4" t="n">
        <v>1325</v>
      </c>
      <c r="B118" s="5" t="inlineStr">
        <is>
          <t>IMG_0083</t>
        </is>
      </c>
      <c r="C118" s="5" t="inlineStr">
        <is>
          <t>CLASS G: CONCRETE ANCILLARIES</t>
        </is>
      </c>
      <c r="D118" s="5" t="inlineStr">
        <is>
          <t>RESOURCES - MATERIAL</t>
        </is>
      </c>
      <c r="E118" s="5" t="inlineStr">
        <is>
          <t>Welded fabric to BS 4483 in sheets 4.80 x 2.40</t>
        </is>
      </c>
      <c r="F118" s="5" t="inlineStr">
        <is>
          <t>C785</t>
        </is>
      </c>
      <c r="G118" s="8" t="n"/>
      <c r="H118" s="8" t="n"/>
      <c r="I118" s="8" t="n">
        <v>15.82</v>
      </c>
    </row>
    <row r="119">
      <c r="A119" s="4" t="n">
        <v>1326</v>
      </c>
      <c r="B119" s="5" t="inlineStr">
        <is>
          <t>IMG_0083</t>
        </is>
      </c>
      <c r="C119" s="5" t="inlineStr">
        <is>
          <t>CLASS G: CONCRETE ANCILLARIES</t>
        </is>
      </c>
      <c r="D119" s="5" t="inlineStr">
        <is>
          <t>RESOURCES - MATERIAL</t>
        </is>
      </c>
      <c r="E119" s="5" t="inlineStr">
        <is>
          <t>Welded fabric to BS 4483 in sheets 4.80 x 2.40</t>
        </is>
      </c>
      <c r="F119" s="5" t="inlineStr">
        <is>
          <t>D49</t>
        </is>
      </c>
      <c r="G119" s="8" t="n"/>
      <c r="H119" s="8" t="n"/>
      <c r="I119" s="8" t="n">
        <v>1.58</v>
      </c>
    </row>
    <row r="120">
      <c r="A120" s="4" t="n">
        <v>1327</v>
      </c>
      <c r="B120" s="5" t="inlineStr">
        <is>
          <t>IMG_0083</t>
        </is>
      </c>
      <c r="C120" s="5" t="inlineStr">
        <is>
          <t>CLASS G: CONCRETE ANCILLARIES</t>
        </is>
      </c>
      <c r="D120" s="5" t="inlineStr">
        <is>
          <t>RESOURCES - MATERIAL</t>
        </is>
      </c>
      <c r="E120" s="5" t="inlineStr">
        <is>
          <t>Welded fabric to BS 4483 in sheets 4.80 x 2.40</t>
        </is>
      </c>
      <c r="F120" s="5" t="inlineStr">
        <is>
          <t>D98</t>
        </is>
      </c>
      <c r="G120" s="8" t="n"/>
      <c r="H120" s="8" t="n"/>
      <c r="I120" s="8" t="n">
        <v>3.17</v>
      </c>
    </row>
    <row r="121">
      <c r="A121" s="4" t="n">
        <v>1329</v>
      </c>
      <c r="B121" s="5" t="inlineStr">
        <is>
          <t>IMG_0083</t>
        </is>
      </c>
      <c r="C121" s="5" t="inlineStr">
        <is>
          <t>CLASS G: CONCRETE ANCILLARIES</t>
        </is>
      </c>
      <c r="D121" s="5" t="inlineStr">
        <is>
          <t>RESOURCES - MATERIAL</t>
        </is>
      </c>
      <c r="E121" s="5" t="inlineStr">
        <is>
          <t>Reinforcement couplers, Lenton type; Type A; one bar twistable</t>
        </is>
      </c>
      <c r="F121" s="5" t="inlineStr">
        <is>
          <t>12 mm dia.</t>
        </is>
      </c>
      <c r="G121" s="8" t="n"/>
      <c r="H121" s="8" t="n"/>
      <c r="I121" s="8" t="n">
        <v>5.91</v>
      </c>
    </row>
    <row r="122">
      <c r="A122" s="4" t="n">
        <v>1330</v>
      </c>
      <c r="B122" s="5" t="inlineStr">
        <is>
          <t>IMG_0083</t>
        </is>
      </c>
      <c r="C122" s="5" t="inlineStr">
        <is>
          <t>CLASS G: CONCRETE ANCILLARIES</t>
        </is>
      </c>
      <c r="D122" s="5" t="inlineStr">
        <is>
          <t>RESOURCES - MATERIAL</t>
        </is>
      </c>
      <c r="E122" s="5" t="inlineStr">
        <is>
          <t>Reinforcement couplers, Lenton type; Type A; one bar twistable</t>
        </is>
      </c>
      <c r="F122" s="5" t="inlineStr">
        <is>
          <t>16 mm dia.</t>
        </is>
      </c>
      <c r="G122" s="8" t="n"/>
      <c r="H122" s="8" t="n"/>
      <c r="I122" s="8" t="n">
        <v>7.53</v>
      </c>
    </row>
    <row r="123">
      <c r="A123" s="4" t="n">
        <v>1331</v>
      </c>
      <c r="B123" s="5" t="inlineStr">
        <is>
          <t>IMG_0083</t>
        </is>
      </c>
      <c r="C123" s="5" t="inlineStr">
        <is>
          <t>CLASS G: CONCRETE ANCILLARIES</t>
        </is>
      </c>
      <c r="D123" s="5" t="inlineStr">
        <is>
          <t>RESOURCES - MATERIAL</t>
        </is>
      </c>
      <c r="E123" s="5" t="inlineStr">
        <is>
          <t>Reinforcement couplers, Lenton type; Type A; one bar twistable</t>
        </is>
      </c>
      <c r="F123" s="5" t="inlineStr">
        <is>
          <t>20 mm dia.</t>
        </is>
      </c>
      <c r="G123" s="8" t="n"/>
      <c r="H123" s="8" t="n"/>
      <c r="I123" s="8" t="n">
        <v>13.75</v>
      </c>
    </row>
    <row r="124">
      <c r="A124" s="4" t="n">
        <v>1332</v>
      </c>
      <c r="B124" s="5" t="inlineStr">
        <is>
          <t>IMG_0083</t>
        </is>
      </c>
      <c r="C124" s="5" t="inlineStr">
        <is>
          <t>CLASS G: CONCRETE ANCILLARIES</t>
        </is>
      </c>
      <c r="D124" s="5" t="inlineStr">
        <is>
          <t>RESOURCES - MATERIAL</t>
        </is>
      </c>
      <c r="E124" s="5" t="inlineStr">
        <is>
          <t>Reinforcement couplers, Lenton type; Type A; one bar twistable</t>
        </is>
      </c>
      <c r="F124" s="5" t="inlineStr">
        <is>
          <t>25 mm dia.</t>
        </is>
      </c>
      <c r="G124" s="8" t="n"/>
      <c r="H124" s="8" t="n"/>
      <c r="I124" s="8" t="n">
        <v>21.43</v>
      </c>
    </row>
    <row r="125">
      <c r="A125" s="4" t="n">
        <v>1333</v>
      </c>
      <c r="B125" s="5" t="inlineStr">
        <is>
          <t>IMG_0083</t>
        </is>
      </c>
      <c r="C125" s="5" t="inlineStr">
        <is>
          <t>CLASS G: CONCRETE ANCILLARIES</t>
        </is>
      </c>
      <c r="D125" s="5" t="inlineStr">
        <is>
          <t>RESOURCES - MATERIAL</t>
        </is>
      </c>
      <c r="E125" s="5" t="inlineStr">
        <is>
          <t>Reinforcement couplers, Lenton type; Type A; one bar twistable</t>
        </is>
      </c>
      <c r="F125" s="5" t="inlineStr">
        <is>
          <t>32 mm dia.</t>
        </is>
      </c>
      <c r="G125" s="8" t="n"/>
      <c r="H125" s="8" t="n"/>
      <c r="I125" s="8" t="n">
        <v>29.07</v>
      </c>
    </row>
    <row r="126">
      <c r="A126" s="4" t="n">
        <v>1334</v>
      </c>
      <c r="B126" s="5" t="inlineStr">
        <is>
          <t>IMG_0083</t>
        </is>
      </c>
      <c r="C126" s="5" t="inlineStr">
        <is>
          <t>CLASS G: CONCRETE ANCILLARIES</t>
        </is>
      </c>
      <c r="D126" s="5" t="inlineStr">
        <is>
          <t>RESOURCES - MATERIAL</t>
        </is>
      </c>
      <c r="E126" s="5" t="inlineStr">
        <is>
          <t>Reinforcement couplers, Lenton type; Type A; one bar twistable</t>
        </is>
      </c>
      <c r="F126" s="5" t="inlineStr">
        <is>
          <t>40 mm dia.</t>
        </is>
      </c>
      <c r="G126" s="8" t="n"/>
      <c r="H126" s="8" t="n"/>
      <c r="I126" s="8" t="n">
        <v>41.95</v>
      </c>
    </row>
    <row r="127">
      <c r="A127" s="4" t="n">
        <v>1336</v>
      </c>
      <c r="B127" s="5" t="inlineStr">
        <is>
          <t>IMG_0084</t>
        </is>
      </c>
      <c r="C127" s="5" t="inlineStr">
        <is>
          <t>CLASS G: CONCRETE ANCILLARIES</t>
        </is>
      </c>
      <c r="D127" s="5" t="inlineStr">
        <is>
          <t>RESOURCES - MATERIAL</t>
        </is>
      </c>
      <c r="E127" s="5" t="inlineStr">
        <is>
          <t>Reinforcement couplers, Lenton type; Type B; no bar twistable</t>
        </is>
      </c>
      <c r="F127" s="5" t="inlineStr">
        <is>
          <t>12 mm dia.</t>
        </is>
      </c>
      <c r="G127" s="8" t="n"/>
      <c r="H127" s="8" t="n"/>
      <c r="I127" s="8" t="n">
        <v>35.5</v>
      </c>
    </row>
    <row r="128">
      <c r="A128" s="4" t="n">
        <v>1337</v>
      </c>
      <c r="B128" s="5" t="inlineStr">
        <is>
          <t>IMG_0084</t>
        </is>
      </c>
      <c r="C128" s="5" t="inlineStr">
        <is>
          <t>CLASS G: CONCRETE ANCILLARIES</t>
        </is>
      </c>
      <c r="D128" s="5" t="inlineStr">
        <is>
          <t>RESOURCES - MATERIAL</t>
        </is>
      </c>
      <c r="E128" s="5" t="inlineStr">
        <is>
          <t>Reinforcement couplers, Lenton type; Type B; no bar twistable</t>
        </is>
      </c>
      <c r="F128" s="5" t="inlineStr">
        <is>
          <t>16 mm dia.</t>
        </is>
      </c>
      <c r="G128" s="8" t="n"/>
      <c r="H128" s="8" t="n"/>
      <c r="I128" s="8" t="n">
        <v>41.69</v>
      </c>
    </row>
    <row r="129">
      <c r="A129" s="4" t="n">
        <v>1338</v>
      </c>
      <c r="B129" s="5" t="inlineStr">
        <is>
          <t>IMG_0084</t>
        </is>
      </c>
      <c r="C129" s="5" t="inlineStr">
        <is>
          <t>CLASS G: CONCRETE ANCILLARIES</t>
        </is>
      </c>
      <c r="D129" s="5" t="inlineStr">
        <is>
          <t>RESOURCES - MATERIAL</t>
        </is>
      </c>
      <c r="E129" s="5" t="inlineStr">
        <is>
          <t>Reinforcement couplers, Lenton type; Type B; no bar twistable</t>
        </is>
      </c>
      <c r="F129" s="5" t="inlineStr">
        <is>
          <t>20 mm dia.</t>
        </is>
      </c>
      <c r="G129" s="8" t="n"/>
      <c r="H129" s="8" t="n"/>
      <c r="I129" s="8" t="n">
        <v>44.6</v>
      </c>
    </row>
    <row r="130">
      <c r="A130" s="4" t="n">
        <v>1339</v>
      </c>
      <c r="B130" s="5" t="inlineStr">
        <is>
          <t>IMG_0084</t>
        </is>
      </c>
      <c r="C130" s="5" t="inlineStr">
        <is>
          <t>CLASS G: CONCRETE ANCILLARIES</t>
        </is>
      </c>
      <c r="D130" s="5" t="inlineStr">
        <is>
          <t>RESOURCES - MATERIAL</t>
        </is>
      </c>
      <c r="E130" s="5" t="inlineStr">
        <is>
          <t>Reinforcement couplers, Lenton type; Type B; no bar twistable</t>
        </is>
      </c>
      <c r="F130" s="5" t="inlineStr">
        <is>
          <t>25 mm dia.</t>
        </is>
      </c>
      <c r="G130" s="8" t="n"/>
      <c r="H130" s="8" t="n"/>
      <c r="I130" s="8" t="n">
        <v>52.74</v>
      </c>
    </row>
    <row r="131">
      <c r="A131" s="4" t="n">
        <v>1340</v>
      </c>
      <c r="B131" s="5" t="inlineStr">
        <is>
          <t>IMG_0084</t>
        </is>
      </c>
      <c r="C131" s="5" t="inlineStr">
        <is>
          <t>CLASS G: CONCRETE ANCILLARIES</t>
        </is>
      </c>
      <c r="D131" s="5" t="inlineStr">
        <is>
          <t>RESOURCES - MATERIAL</t>
        </is>
      </c>
      <c r="E131" s="5" t="inlineStr">
        <is>
          <t>Reinforcement couplers, Lenton type; Type B; no bar twistable</t>
        </is>
      </c>
      <c r="F131" s="5" t="inlineStr">
        <is>
          <t>32 mm dia.</t>
        </is>
      </c>
      <c r="G131" s="8" t="n"/>
      <c r="H131" s="8" t="n"/>
      <c r="I131" s="8" t="n">
        <v>71.04000000000001</v>
      </c>
    </row>
    <row r="132">
      <c r="A132" s="4" t="n">
        <v>1341</v>
      </c>
      <c r="B132" s="5" t="inlineStr">
        <is>
          <t>IMG_0084</t>
        </is>
      </c>
      <c r="C132" s="5" t="inlineStr">
        <is>
          <t>CLASS G: CONCRETE ANCILLARIES</t>
        </is>
      </c>
      <c r="D132" s="5" t="inlineStr">
        <is>
          <t>RESOURCES - MATERIAL</t>
        </is>
      </c>
      <c r="E132" s="5" t="inlineStr">
        <is>
          <t>Reinforcement couplers, Lenton type; Type B; no bar twistable</t>
        </is>
      </c>
      <c r="F132" s="5" t="inlineStr">
        <is>
          <t>40 mm dia.</t>
        </is>
      </c>
      <c r="G132" s="8" t="n"/>
      <c r="H132" s="8" t="n"/>
      <c r="I132" s="8" t="n">
        <v>107.67</v>
      </c>
    </row>
    <row r="133">
      <c r="A133" s="4" t="n">
        <v>1343</v>
      </c>
      <c r="B133" s="5" t="inlineStr">
        <is>
          <t>IMG_0084</t>
        </is>
      </c>
      <c r="C133" s="5" t="inlineStr">
        <is>
          <t>CLASS G: CONCRETE ANCILLARIES</t>
        </is>
      </c>
      <c r="D133" s="5" t="inlineStr">
        <is>
          <t>RESOURCES - MATERIAL</t>
        </is>
      </c>
      <c r="E133" s="5" t="inlineStr">
        <is>
          <t>extra for threaded bar at factory</t>
        </is>
      </c>
      <c r="F133" s="5" t="inlineStr">
        <is>
          <t>12 mm dia.</t>
        </is>
      </c>
      <c r="G133" s="8" t="n"/>
      <c r="H133" s="8" t="n"/>
      <c r="I133" s="8" t="n">
        <v>3.94</v>
      </c>
    </row>
    <row r="134">
      <c r="A134" s="4" t="n">
        <v>1344</v>
      </c>
      <c r="B134" s="5" t="inlineStr">
        <is>
          <t>IMG_0084</t>
        </is>
      </c>
      <c r="C134" s="5" t="inlineStr">
        <is>
          <t>CLASS G: CONCRETE ANCILLARIES</t>
        </is>
      </c>
      <c r="D134" s="5" t="inlineStr">
        <is>
          <t>RESOURCES - MATERIAL</t>
        </is>
      </c>
      <c r="E134" s="5" t="inlineStr">
        <is>
          <t>extra for threaded bar at factory</t>
        </is>
      </c>
      <c r="F134" s="5" t="inlineStr">
        <is>
          <t>16 mm dia.</t>
        </is>
      </c>
      <c r="G134" s="8" t="n"/>
      <c r="H134" s="8" t="n"/>
      <c r="I134" s="8" t="n">
        <v>4.39</v>
      </c>
    </row>
    <row r="135">
      <c r="A135" s="4" t="n">
        <v>1345</v>
      </c>
      <c r="B135" s="5" t="inlineStr">
        <is>
          <t>IMG_0084</t>
        </is>
      </c>
      <c r="C135" s="5" t="inlineStr">
        <is>
          <t>CLASS G: CONCRETE ANCILLARIES</t>
        </is>
      </c>
      <c r="D135" s="5" t="inlineStr">
        <is>
          <t>RESOURCES - MATERIAL</t>
        </is>
      </c>
      <c r="E135" s="5" t="inlineStr">
        <is>
          <t>extra for threaded bar at factory</t>
        </is>
      </c>
      <c r="F135" s="5" t="inlineStr">
        <is>
          <t>20 mm dia.</t>
        </is>
      </c>
      <c r="G135" s="8" t="n"/>
      <c r="H135" s="8" t="n"/>
      <c r="I135" s="8" t="n">
        <v>5.19</v>
      </c>
    </row>
    <row r="136">
      <c r="A136" s="4" t="n">
        <v>1346</v>
      </c>
      <c r="B136" s="5" t="inlineStr">
        <is>
          <t>IMG_0084</t>
        </is>
      </c>
      <c r="C136" s="5" t="inlineStr">
        <is>
          <t>CLASS G: CONCRETE ANCILLARIES</t>
        </is>
      </c>
      <c r="D136" s="5" t="inlineStr">
        <is>
          <t>RESOURCES - MATERIAL</t>
        </is>
      </c>
      <c r="E136" s="5" t="inlineStr">
        <is>
          <t>extra for threaded bar at factory</t>
        </is>
      </c>
      <c r="F136" s="5" t="inlineStr">
        <is>
          <t>25 mm dia.</t>
        </is>
      </c>
      <c r="G136" s="8" t="n"/>
      <c r="H136" s="8" t="n"/>
      <c r="I136" s="8" t="n">
        <v>5.91</v>
      </c>
    </row>
    <row r="137">
      <c r="A137" s="4" t="n">
        <v>1347</v>
      </c>
      <c r="B137" s="5" t="inlineStr">
        <is>
          <t>IMG_0084</t>
        </is>
      </c>
      <c r="C137" s="5" t="inlineStr">
        <is>
          <t>CLASS G: CONCRETE ANCILLARIES</t>
        </is>
      </c>
      <c r="D137" s="5" t="inlineStr">
        <is>
          <t>RESOURCES - MATERIAL</t>
        </is>
      </c>
      <c r="E137" s="5" t="inlineStr">
        <is>
          <t>extra for threaded bar at factory</t>
        </is>
      </c>
      <c r="F137" s="5" t="inlineStr">
        <is>
          <t>32 mm dia.</t>
        </is>
      </c>
      <c r="G137" s="8" t="n"/>
      <c r="H137" s="8" t="n"/>
      <c r="I137" s="8" t="n">
        <v>7.87</v>
      </c>
    </row>
    <row r="138">
      <c r="A138" s="4" t="n">
        <v>1348</v>
      </c>
      <c r="B138" s="5" t="inlineStr">
        <is>
          <t>IMG_0084</t>
        </is>
      </c>
      <c r="C138" s="5" t="inlineStr">
        <is>
          <t>CLASS G: CONCRETE ANCILLARIES</t>
        </is>
      </c>
      <c r="D138" s="5" t="inlineStr">
        <is>
          <t>RESOURCES - MATERIAL</t>
        </is>
      </c>
      <c r="E138" s="5" t="inlineStr">
        <is>
          <t>extra for threaded bar at factory</t>
        </is>
      </c>
      <c r="F138" s="5" t="inlineStr">
        <is>
          <t>40 mm dia.</t>
        </is>
      </c>
      <c r="G138" s="8" t="n"/>
      <c r="H138" s="8" t="n"/>
      <c r="I138" s="8" t="n">
        <v>10.15</v>
      </c>
    </row>
    <row r="139">
      <c r="A139" s="4" t="n">
        <v>1351</v>
      </c>
      <c r="B139" s="5" t="inlineStr">
        <is>
          <t>IMG_0084</t>
        </is>
      </c>
      <c r="C139" s="5" t="inlineStr">
        <is>
          <t>CLASS G: CONCRETE ANCILLARIES</t>
        </is>
      </c>
      <c r="D139" s="5" t="inlineStr">
        <is>
          <t>RESOURCES - PLANT</t>
        </is>
      </c>
      <c r="E139" s="5" t="inlineStr">
        <is>
          <t>Plant Resources Build-up Rate; Formwork - small areas</t>
        </is>
      </c>
      <c r="F139" s="5" t="inlineStr">
        <is>
          <t>20t crawler crane - 50% of time</t>
        </is>
      </c>
      <c r="G139" s="8" t="n"/>
      <c r="H139" s="8" t="n">
        <v>29.52</v>
      </c>
      <c r="I139" s="8" t="n"/>
    </row>
    <row r="140">
      <c r="A140" s="4" t="n">
        <v>1352</v>
      </c>
      <c r="B140" s="5" t="inlineStr">
        <is>
          <t>IMG_0084</t>
        </is>
      </c>
      <c r="C140" s="5" t="inlineStr">
        <is>
          <t>CLASS G: CONCRETE ANCILLARIES</t>
        </is>
      </c>
      <c r="D140" s="5" t="inlineStr">
        <is>
          <t>RESOURCES - PLANT</t>
        </is>
      </c>
      <c r="E140" s="5" t="inlineStr">
        <is>
          <t>Plant Resources Build-up Rate; Formwork - small areas</t>
        </is>
      </c>
      <c r="F140" s="5" t="inlineStr">
        <is>
          <t>22" dia. saw bench</t>
        </is>
      </c>
      <c r="G140" s="8" t="n"/>
      <c r="H140" s="8" t="n">
        <v>5.09</v>
      </c>
      <c r="I140" s="8" t="n"/>
    </row>
    <row r="141">
      <c r="A141" s="4" t="n">
        <v>1353</v>
      </c>
      <c r="B141" s="5" t="inlineStr">
        <is>
          <t>IMG_0084</t>
        </is>
      </c>
      <c r="C141" s="5" t="inlineStr">
        <is>
          <t>CLASS G: CONCRETE ANCILLARIES</t>
        </is>
      </c>
      <c r="D141" s="5" t="inlineStr">
        <is>
          <t>RESOURCES - PLANT</t>
        </is>
      </c>
      <c r="E141" s="5" t="inlineStr">
        <is>
          <t>Plant Resources Build-up Rate; Formwork - small areas</t>
        </is>
      </c>
      <c r="F141" s="5" t="inlineStr">
        <is>
          <t>allowance for small power tools</t>
        </is>
      </c>
      <c r="G141" s="8" t="n"/>
      <c r="H141" s="8" t="n">
        <v>1.15</v>
      </c>
      <c r="I141" s="8" t="n"/>
    </row>
    <row r="142">
      <c r="A142" s="42" t="n">
        <v>1354</v>
      </c>
      <c r="B142" s="43" t="inlineStr">
        <is>
          <t>IMG_0084</t>
        </is>
      </c>
      <c r="C142" s="43" t="inlineStr">
        <is>
          <t>CLASS G: CONCRETE ANCILLARIES</t>
        </is>
      </c>
      <c r="D142" s="43" t="inlineStr">
        <is>
          <t>RESOURCES - PLANT</t>
        </is>
      </c>
      <c r="E142" s="43" t="inlineStr">
        <is>
          <t>Plant Resources Build-up Rate; Formwork - small areas</t>
        </is>
      </c>
      <c r="F142" s="43" t="inlineStr">
        <is>
          <t>Total Rate/Hour</t>
        </is>
      </c>
      <c r="G142" s="44" t="n"/>
      <c r="H142" s="44" t="n">
        <v>35.77</v>
      </c>
      <c r="I142" s="44" t="n"/>
    </row>
    <row r="143">
      <c r="A143" s="4" t="n">
        <v>1356</v>
      </c>
      <c r="B143" s="5" t="inlineStr">
        <is>
          <t>IMG_0084</t>
        </is>
      </c>
      <c r="C143" s="5" t="inlineStr">
        <is>
          <t>CLASS G: CONCRETE ANCILLARIES</t>
        </is>
      </c>
      <c r="D143" s="5" t="inlineStr">
        <is>
          <t>RESOURCES - PLANT</t>
        </is>
      </c>
      <c r="E143" s="5" t="inlineStr">
        <is>
          <t>Formwork - large areas</t>
        </is>
      </c>
      <c r="F143" s="5" t="inlineStr">
        <is>
          <t>20t crawler crane - 25% of time</t>
        </is>
      </c>
      <c r="G143" s="8" t="n"/>
      <c r="H143" s="8" t="n">
        <v>14.76</v>
      </c>
      <c r="I143" s="8" t="n"/>
    </row>
    <row r="144">
      <c r="A144" s="4" t="n">
        <v>1357</v>
      </c>
      <c r="B144" s="5" t="inlineStr">
        <is>
          <t>IMG_0084</t>
        </is>
      </c>
      <c r="C144" s="5" t="inlineStr">
        <is>
          <t>CLASS G: CONCRETE ANCILLARIES</t>
        </is>
      </c>
      <c r="D144" s="5" t="inlineStr">
        <is>
          <t>RESOURCES - PLANT</t>
        </is>
      </c>
      <c r="E144" s="5" t="inlineStr">
        <is>
          <t>Formwork - large areas</t>
        </is>
      </c>
      <c r="F144" s="5" t="inlineStr">
        <is>
          <t>22" dia. saw bench</t>
        </is>
      </c>
      <c r="G144" s="8" t="n"/>
      <c r="H144" s="8" t="n">
        <v>5.09</v>
      </c>
      <c r="I144" s="8" t="n"/>
    </row>
    <row r="145">
      <c r="A145" s="4" t="n">
        <v>1358</v>
      </c>
      <c r="B145" s="5" t="inlineStr">
        <is>
          <t>IMG_0084</t>
        </is>
      </c>
      <c r="C145" s="5" t="inlineStr">
        <is>
          <t>CLASS G: CONCRETE ANCILLARIES</t>
        </is>
      </c>
      <c r="D145" s="5" t="inlineStr">
        <is>
          <t>RESOURCES - PLANT</t>
        </is>
      </c>
      <c r="E145" s="5" t="inlineStr">
        <is>
          <t>Formwork - large areas</t>
        </is>
      </c>
      <c r="F145" s="5" t="inlineStr">
        <is>
          <t>allowance for small power tools</t>
        </is>
      </c>
      <c r="G145" s="8" t="n"/>
      <c r="H145" s="8" t="n">
        <v>1.15</v>
      </c>
      <c r="I145" s="8" t="n"/>
    </row>
    <row r="146">
      <c r="A146" s="42" t="n">
        <v>1359</v>
      </c>
      <c r="B146" s="43" t="inlineStr">
        <is>
          <t>IMG_0084</t>
        </is>
      </c>
      <c r="C146" s="43" t="inlineStr">
        <is>
          <t>CLASS G: CONCRETE ANCILLARIES</t>
        </is>
      </c>
      <c r="D146" s="43" t="inlineStr">
        <is>
          <t>RESOURCES - PLANT</t>
        </is>
      </c>
      <c r="E146" s="43" t="inlineStr">
        <is>
          <t>Formwork - large areas</t>
        </is>
      </c>
      <c r="F146" s="43" t="inlineStr">
        <is>
          <t>Total Rate/Hour</t>
        </is>
      </c>
      <c r="G146" s="44" t="n"/>
      <c r="H146" s="44" t="n">
        <v>21.01</v>
      </c>
      <c r="I146" s="44" t="n"/>
    </row>
    <row r="147">
      <c r="A147" s="4" t="n">
        <v>1361</v>
      </c>
      <c r="B147" s="5" t="inlineStr">
        <is>
          <t>IMG_0084</t>
        </is>
      </c>
      <c r="C147" s="5" t="inlineStr">
        <is>
          <t>CLASS G: CONCRETE ANCILLARIES</t>
        </is>
      </c>
      <c r="D147" s="5" t="inlineStr">
        <is>
          <t>RESOURCES - PLANT</t>
        </is>
      </c>
      <c r="E147" s="5" t="inlineStr">
        <is>
          <t>Reinforcement</t>
        </is>
      </c>
      <c r="F147" s="5" t="inlineStr">
        <is>
          <t>30 t crawler crane - 25% of time</t>
        </is>
      </c>
      <c r="G147" s="8" t="n"/>
      <c r="H147" s="8" t="n">
        <v>15.47</v>
      </c>
      <c r="I147" s="8" t="n"/>
    </row>
    <row r="148">
      <c r="A148" s="4" t="n">
        <v>1362</v>
      </c>
      <c r="B148" s="5" t="inlineStr">
        <is>
          <t>IMG_0084</t>
        </is>
      </c>
      <c r="C148" s="5" t="inlineStr">
        <is>
          <t>CLASS G: CONCRETE ANCILLARIES</t>
        </is>
      </c>
      <c r="D148" s="5" t="inlineStr">
        <is>
          <t>RESOURCES - PLANT</t>
        </is>
      </c>
      <c r="E148" s="5" t="inlineStr">
        <is>
          <t>Reinforcement</t>
        </is>
      </c>
      <c r="F148" s="5" t="inlineStr">
        <is>
          <t>bar cropper</t>
        </is>
      </c>
      <c r="G148" s="8" t="n"/>
      <c r="H148" s="8" t="n">
        <v>5.7</v>
      </c>
      <c r="I148" s="8" t="n"/>
    </row>
    <row r="149">
      <c r="A149" s="4" t="n">
        <v>1363</v>
      </c>
      <c r="B149" s="5" t="inlineStr">
        <is>
          <t>IMG_0084</t>
        </is>
      </c>
      <c r="C149" s="5" t="inlineStr">
        <is>
          <t>CLASS G: CONCRETE ANCILLARIES</t>
        </is>
      </c>
      <c r="D149" s="5" t="inlineStr">
        <is>
          <t>RESOURCES - PLANT</t>
        </is>
      </c>
      <c r="E149" s="5" t="inlineStr">
        <is>
          <t>Reinforcement</t>
        </is>
      </c>
      <c r="F149" s="5" t="inlineStr">
        <is>
          <t>small power tools</t>
        </is>
      </c>
      <c r="G149" s="8" t="n"/>
      <c r="H149" s="8" t="n">
        <v>2.16</v>
      </c>
      <c r="I149" s="8" t="n"/>
    </row>
    <row r="150">
      <c r="A150" s="4" t="n">
        <v>1364</v>
      </c>
      <c r="B150" s="5" t="inlineStr">
        <is>
          <t>IMG_0084</t>
        </is>
      </c>
      <c r="C150" s="5" t="inlineStr">
        <is>
          <t>CLASS G: CONCRETE ANCILLARIES</t>
        </is>
      </c>
      <c r="D150" s="5" t="inlineStr">
        <is>
          <t>RESOURCES - PLANT</t>
        </is>
      </c>
      <c r="E150" s="5" t="inlineStr">
        <is>
          <t>Reinforcement</t>
        </is>
      </c>
      <c r="F150" s="5" t="inlineStr">
        <is>
          <t>support acrows, tirfors, kentledge, etc.</t>
        </is>
      </c>
      <c r="G150" s="8" t="n"/>
      <c r="H150" s="8" t="n">
        <v>0.96</v>
      </c>
      <c r="I150" s="8" t="n"/>
    </row>
    <row r="151">
      <c r="A151" s="42" t="n">
        <v>1365</v>
      </c>
      <c r="B151" s="43" t="inlineStr">
        <is>
          <t>IMG_0084</t>
        </is>
      </c>
      <c r="C151" s="43" t="inlineStr">
        <is>
          <t>CLASS G: CONCRETE ANCILLARIES</t>
        </is>
      </c>
      <c r="D151" s="43" t="inlineStr">
        <is>
          <t>RESOURCES - PLANT</t>
        </is>
      </c>
      <c r="E151" s="43" t="inlineStr">
        <is>
          <t>Reinforcement</t>
        </is>
      </c>
      <c r="F151" s="43" t="inlineStr">
        <is>
          <t>Total Rate/Hour</t>
        </is>
      </c>
      <c r="G151" s="44" t="n"/>
      <c r="H151" s="44" t="n">
        <v>24.29</v>
      </c>
      <c r="I151" s="44" t="n"/>
    </row>
    <row r="152">
      <c r="A152" s="4" t="n">
        <v>1761</v>
      </c>
      <c r="B152" s="5" t="inlineStr">
        <is>
          <t>IMG_0091</t>
        </is>
      </c>
      <c r="C152" s="5" t="inlineStr">
        <is>
          <t>CLASS I: PIPEWORK - PIPES</t>
        </is>
      </c>
      <c r="D152" s="5" t="inlineStr">
        <is>
          <t>RESOURCES - LABOUR</t>
        </is>
      </c>
      <c r="E152" s="5" t="inlineStr">
        <is>
          <t>Labour Resources Build-up Rate; Drainage/pipework gang (small bore)</t>
        </is>
      </c>
      <c r="F152" s="5" t="inlineStr">
        <is>
          <t>1 ganger/chargehand (skill rate 4) - 50% of time</t>
        </is>
      </c>
      <c r="G152" s="8" t="n"/>
      <c r="H152" s="8" t="n"/>
      <c r="I152" s="8" t="n"/>
    </row>
    <row r="153">
      <c r="A153" s="4" t="n">
        <v>1762</v>
      </c>
      <c r="B153" s="5" t="inlineStr">
        <is>
          <t>IMG_0091</t>
        </is>
      </c>
      <c r="C153" s="5" t="inlineStr">
        <is>
          <t>CLASS I: PIPEWORK - PIPES</t>
        </is>
      </c>
      <c r="D153" s="5" t="inlineStr">
        <is>
          <t>RESOURCES - LABOUR</t>
        </is>
      </c>
      <c r="E153" s="5" t="inlineStr">
        <is>
          <t>Labour Resources Build-up Rate; Drainage/pipework gang (small bore)</t>
        </is>
      </c>
      <c r="F153" s="5" t="inlineStr">
        <is>
          <t>1 skilled operative (skill rate 4)</t>
        </is>
      </c>
      <c r="G153" s="8" t="n"/>
      <c r="H153" s="8" t="n"/>
      <c r="I153" s="8" t="n"/>
    </row>
    <row r="154">
      <c r="A154" s="4" t="n">
        <v>1763</v>
      </c>
      <c r="B154" s="5" t="inlineStr">
        <is>
          <t>IMG_0091</t>
        </is>
      </c>
      <c r="C154" s="5" t="inlineStr">
        <is>
          <t>CLASS I: PIPEWORK - PIPES</t>
        </is>
      </c>
      <c r="D154" s="5" t="inlineStr">
        <is>
          <t>RESOURCES - LABOUR</t>
        </is>
      </c>
      <c r="E154" s="5" t="inlineStr">
        <is>
          <t>Labour Resources Build-up Rate; Drainage/pipework gang (small bore)</t>
        </is>
      </c>
      <c r="F154" s="5" t="inlineStr">
        <is>
          <t>2 unskilled operatives (general)</t>
        </is>
      </c>
      <c r="G154" s="8" t="n"/>
      <c r="H154" s="8" t="n"/>
      <c r="I154" s="8" t="n"/>
    </row>
    <row r="155">
      <c r="A155" s="4" t="n">
        <v>1764</v>
      </c>
      <c r="B155" s="5" t="inlineStr">
        <is>
          <t>IMG_0091</t>
        </is>
      </c>
      <c r="C155" s="5" t="inlineStr">
        <is>
          <t>CLASS I: PIPEWORK - PIPES</t>
        </is>
      </c>
      <c r="D155" s="5" t="inlineStr">
        <is>
          <t>RESOURCES - LABOUR</t>
        </is>
      </c>
      <c r="E155" s="5" t="inlineStr">
        <is>
          <t>Labour Resources Build-up Rate; Drainage/pipework gang (small bore)</t>
        </is>
      </c>
      <c r="F155" s="5" t="inlineStr">
        <is>
          <t>1 plant operator (skill rate 3)</t>
        </is>
      </c>
      <c r="G155" s="8" t="n"/>
      <c r="H155" s="8" t="n"/>
      <c r="I155" s="8" t="n"/>
    </row>
    <row r="156">
      <c r="A156" s="4" t="n">
        <v>1765</v>
      </c>
      <c r="B156" s="5" t="inlineStr">
        <is>
          <t>IMG_0091</t>
        </is>
      </c>
      <c r="C156" s="5" t="inlineStr">
        <is>
          <t>CLASS I: PIPEWORK - PIPES</t>
        </is>
      </c>
      <c r="D156" s="5" t="inlineStr">
        <is>
          <t>RESOURCES - LABOUR</t>
        </is>
      </c>
      <c r="E156" s="5" t="inlineStr">
        <is>
          <t>Labour Resources Build-up Rate; Drainage/pipework gang (small bore)</t>
        </is>
      </c>
      <c r="F156" s="5" t="inlineStr">
        <is>
          <t>1 plant operator (skill rate 3) - 50% of time</t>
        </is>
      </c>
      <c r="G156" s="8" t="n"/>
      <c r="H156" s="8" t="n"/>
      <c r="I156" s="8" t="n"/>
    </row>
    <row r="157">
      <c r="A157" s="42" t="n">
        <v>1766</v>
      </c>
      <c r="B157" s="43" t="inlineStr">
        <is>
          <t>IMG_0091</t>
        </is>
      </c>
      <c r="C157" s="43" t="inlineStr">
        <is>
          <t>CLASS I: PIPEWORK - PIPES</t>
        </is>
      </c>
      <c r="D157" s="43" t="inlineStr">
        <is>
          <t>RESOURCES - LABOUR</t>
        </is>
      </c>
      <c r="E157" s="43" t="inlineStr">
        <is>
          <t>Labour Resources Build-up Rate; Drainage/pipework gang (small bore)</t>
        </is>
      </c>
      <c r="F157" s="43" t="inlineStr">
        <is>
          <t>Total Gang Rate/Hour</t>
        </is>
      </c>
      <c r="G157" s="44" t="n"/>
      <c r="H157" s="44" t="n"/>
      <c r="I157" s="44" t="n"/>
    </row>
    <row r="158">
      <c r="A158" s="4" t="n">
        <v>1768</v>
      </c>
      <c r="B158" s="5" t="inlineStr">
        <is>
          <t>IMG_0091</t>
        </is>
      </c>
      <c r="C158" s="5" t="inlineStr">
        <is>
          <t>CLASS I: PIPEWORK - PIPES</t>
        </is>
      </c>
      <c r="D158" s="5" t="inlineStr">
        <is>
          <t>RESOURCES - LABOUR</t>
        </is>
      </c>
      <c r="E158" s="5" t="inlineStr">
        <is>
          <t>Drainage/pipework gang (small bore - not in trenches)</t>
        </is>
      </c>
      <c r="F158" s="5" t="inlineStr">
        <is>
          <t>1 ganger/chargehand (skill rate 4) - 50% of time</t>
        </is>
      </c>
      <c r="G158" s="8" t="n"/>
      <c r="H158" s="8" t="n"/>
      <c r="I158" s="8" t="n"/>
    </row>
    <row r="159">
      <c r="A159" s="4" t="n">
        <v>1769</v>
      </c>
      <c r="B159" s="5" t="inlineStr">
        <is>
          <t>IMG_0091</t>
        </is>
      </c>
      <c r="C159" s="5" t="inlineStr">
        <is>
          <t>CLASS I: PIPEWORK - PIPES</t>
        </is>
      </c>
      <c r="D159" s="5" t="inlineStr">
        <is>
          <t>RESOURCES - LABOUR</t>
        </is>
      </c>
      <c r="E159" s="5" t="inlineStr">
        <is>
          <t>Drainage/pipework gang (small bore - not in trenches)</t>
        </is>
      </c>
      <c r="F159" s="5" t="inlineStr">
        <is>
          <t>1 skilled operative (skill rate 4)</t>
        </is>
      </c>
      <c r="G159" s="8" t="n"/>
      <c r="H159" s="8" t="n"/>
      <c r="I159" s="8" t="n"/>
    </row>
    <row r="160">
      <c r="A160" s="4" t="n">
        <v>1770</v>
      </c>
      <c r="B160" s="5" t="inlineStr">
        <is>
          <t>IMG_0091</t>
        </is>
      </c>
      <c r="C160" s="5" t="inlineStr">
        <is>
          <t>CLASS I: PIPEWORK - PIPES</t>
        </is>
      </c>
      <c r="D160" s="5" t="inlineStr">
        <is>
          <t>RESOURCES - LABOUR</t>
        </is>
      </c>
      <c r="E160" s="5" t="inlineStr">
        <is>
          <t>Drainage/pipework gang (small bore - not in trenches)</t>
        </is>
      </c>
      <c r="F160" s="5" t="inlineStr">
        <is>
          <t>2 unskilled operatives (general)</t>
        </is>
      </c>
      <c r="G160" s="8" t="n"/>
      <c r="H160" s="8" t="n"/>
      <c r="I160" s="8" t="n"/>
    </row>
    <row r="161">
      <c r="A161" s="42" t="n">
        <v>1771</v>
      </c>
      <c r="B161" s="43" t="inlineStr">
        <is>
          <t>IMG_0091</t>
        </is>
      </c>
      <c r="C161" s="43" t="inlineStr">
        <is>
          <t>CLASS I: PIPEWORK - PIPES</t>
        </is>
      </c>
      <c r="D161" s="43" t="inlineStr">
        <is>
          <t>RESOURCES - LABOUR</t>
        </is>
      </c>
      <c r="E161" s="43" t="inlineStr">
        <is>
          <t>Drainage/pipework gang (small bore - not in trenches)</t>
        </is>
      </c>
      <c r="F161" s="43" t="inlineStr">
        <is>
          <t>Total Gang Rate/Hour</t>
        </is>
      </c>
      <c r="G161" s="44" t="n"/>
      <c r="H161" s="44" t="n"/>
      <c r="I161" s="44" t="n"/>
    </row>
    <row r="162">
      <c r="A162" s="4" t="n">
        <v>1773</v>
      </c>
      <c r="B162" s="5" t="inlineStr">
        <is>
          <t>IMG_0091</t>
        </is>
      </c>
      <c r="C162" s="5" t="inlineStr">
        <is>
          <t>CLASS I: PIPEWORK - PIPES</t>
        </is>
      </c>
      <c r="D162" s="5" t="inlineStr">
        <is>
          <t>RESOURCES - LABOUR</t>
        </is>
      </c>
      <c r="E162" s="5" t="inlineStr">
        <is>
          <t>Drainage/pipework gang (large bore); relates to pipes exceeding 700 mm dia.</t>
        </is>
      </c>
      <c r="F162" s="5" t="inlineStr">
        <is>
          <t>1 ganger/chargehand (skill rate 4) - 50% of time</t>
        </is>
      </c>
      <c r="G162" s="8" t="n"/>
      <c r="H162" s="8" t="n"/>
      <c r="I162" s="8" t="n"/>
    </row>
    <row r="163">
      <c r="A163" s="4" t="n">
        <v>1774</v>
      </c>
      <c r="B163" s="5" t="inlineStr">
        <is>
          <t>IMG_0091</t>
        </is>
      </c>
      <c r="C163" s="5" t="inlineStr">
        <is>
          <t>CLASS I: PIPEWORK - PIPES</t>
        </is>
      </c>
      <c r="D163" s="5" t="inlineStr">
        <is>
          <t>RESOURCES - LABOUR</t>
        </is>
      </c>
      <c r="E163" s="5" t="inlineStr">
        <is>
          <t>Drainage/pipework gang (large bore); relates to pipes exceeding 700 mm dia.</t>
        </is>
      </c>
      <c r="F163" s="5" t="inlineStr">
        <is>
          <t>1 skilled operative (skill rate 4)</t>
        </is>
      </c>
      <c r="G163" s="8" t="n"/>
      <c r="H163" s="8" t="n"/>
      <c r="I163" s="8" t="n"/>
    </row>
    <row r="164">
      <c r="A164" s="4" t="n">
        <v>1775</v>
      </c>
      <c r="B164" s="5" t="inlineStr">
        <is>
          <t>IMG_0091</t>
        </is>
      </c>
      <c r="C164" s="5" t="inlineStr">
        <is>
          <t>CLASS I: PIPEWORK - PIPES</t>
        </is>
      </c>
      <c r="D164" s="5" t="inlineStr">
        <is>
          <t>RESOURCES - LABOUR</t>
        </is>
      </c>
      <c r="E164" s="5" t="inlineStr">
        <is>
          <t>Drainage/pipework gang (large bore); relates to pipes exceeding 700 mm dia.</t>
        </is>
      </c>
      <c r="F164" s="5" t="inlineStr">
        <is>
          <t>2 unskilled operatives (general)</t>
        </is>
      </c>
      <c r="G164" s="8" t="n"/>
      <c r="H164" s="8" t="n"/>
      <c r="I164" s="8" t="n"/>
    </row>
    <row r="165">
      <c r="A165" s="4" t="n">
        <v>1776</v>
      </c>
      <c r="B165" s="5" t="inlineStr">
        <is>
          <t>IMG_0091</t>
        </is>
      </c>
      <c r="C165" s="5" t="inlineStr">
        <is>
          <t>CLASS I: PIPEWORK - PIPES</t>
        </is>
      </c>
      <c r="D165" s="5" t="inlineStr">
        <is>
          <t>RESOURCES - LABOUR</t>
        </is>
      </c>
      <c r="E165" s="5" t="inlineStr">
        <is>
          <t>Drainage/pipework gang (large bore); relates to pipes exceeding 700 mm dia.</t>
        </is>
      </c>
      <c r="F165" s="5" t="inlineStr">
        <is>
          <t>1 plant operator (skill rate 3)</t>
        </is>
      </c>
      <c r="G165" s="8" t="n"/>
      <c r="H165" s="8" t="n"/>
      <c r="I165" s="8" t="n"/>
    </row>
    <row r="166">
      <c r="A166" s="42" t="n">
        <v>1777</v>
      </c>
      <c r="B166" s="43" t="inlineStr">
        <is>
          <t>IMG_0091</t>
        </is>
      </c>
      <c r="C166" s="43" t="inlineStr">
        <is>
          <t>CLASS I: PIPEWORK - PIPES</t>
        </is>
      </c>
      <c r="D166" s="43" t="inlineStr">
        <is>
          <t>RESOURCES - LABOUR</t>
        </is>
      </c>
      <c r="E166" s="43" t="inlineStr">
        <is>
          <t>Drainage/pipework gang (large bore); relates to pipes exceeding 700 mm dia.</t>
        </is>
      </c>
      <c r="F166" s="43" t="inlineStr">
        <is>
          <t>Total Gang Rate/Hour</t>
        </is>
      </c>
      <c r="G166" s="44" t="n"/>
      <c r="H166" s="44" t="n"/>
      <c r="I166" s="44" t="n"/>
    </row>
    <row r="167">
      <c r="A167" s="4" t="n">
        <v>1779</v>
      </c>
      <c r="B167" s="5" t="inlineStr">
        <is>
          <t>IMG_0091</t>
        </is>
      </c>
      <c r="C167" s="5" t="inlineStr">
        <is>
          <t>CLASS I: PIPEWORK - PIPES</t>
        </is>
      </c>
      <c r="D167" s="5" t="inlineStr">
        <is>
          <t>RESOURCES - LABOUR</t>
        </is>
      </c>
      <c r="E167" s="5" t="inlineStr">
        <is>
          <t>Drainage/pipework gang (large bore - not in trenches); relates to pipes exceeding 700 mm dia.</t>
        </is>
      </c>
      <c r="F167" s="5" t="inlineStr">
        <is>
          <t>1 ganger/chargehand (skill rate 4) - 50% of time</t>
        </is>
      </c>
      <c r="G167" s="8" t="n"/>
      <c r="H167" s="8" t="n"/>
      <c r="I167" s="8" t="n"/>
    </row>
    <row r="168">
      <c r="A168" s="4" t="n">
        <v>1780</v>
      </c>
      <c r="B168" s="5" t="inlineStr">
        <is>
          <t>IMG_0091</t>
        </is>
      </c>
      <c r="C168" s="5" t="inlineStr">
        <is>
          <t>CLASS I: PIPEWORK - PIPES</t>
        </is>
      </c>
      <c r="D168" s="5" t="inlineStr">
        <is>
          <t>RESOURCES - LABOUR</t>
        </is>
      </c>
      <c r="E168" s="5" t="inlineStr">
        <is>
          <t>Drainage/pipework gang (large bore - not in trenches); relates to pipes exceeding 700 mm dia.</t>
        </is>
      </c>
      <c r="F168" s="5" t="inlineStr">
        <is>
          <t>1 skilled operative (skill rate 4)</t>
        </is>
      </c>
      <c r="G168" s="8" t="n"/>
      <c r="H168" s="8" t="n"/>
      <c r="I168" s="8" t="n"/>
    </row>
    <row r="169">
      <c r="A169" s="4" t="n">
        <v>1781</v>
      </c>
      <c r="B169" s="5" t="inlineStr">
        <is>
          <t>IMG_0091</t>
        </is>
      </c>
      <c r="C169" s="5" t="inlineStr">
        <is>
          <t>CLASS I: PIPEWORK - PIPES</t>
        </is>
      </c>
      <c r="D169" s="5" t="inlineStr">
        <is>
          <t>RESOURCES - LABOUR</t>
        </is>
      </c>
      <c r="E169" s="5" t="inlineStr">
        <is>
          <t>Drainage/pipework gang (large bore - not in trenches); relates to pipes exceeding 700 mm dia.</t>
        </is>
      </c>
      <c r="F169" s="5" t="inlineStr">
        <is>
          <t>2 unskilled operatives (general)</t>
        </is>
      </c>
      <c r="G169" s="8" t="n"/>
      <c r="H169" s="8" t="n"/>
      <c r="I169" s="8" t="n"/>
    </row>
    <row r="170">
      <c r="A170" s="42" t="n">
        <v>1782</v>
      </c>
      <c r="B170" s="43" t="inlineStr">
        <is>
          <t>IMG_0091</t>
        </is>
      </c>
      <c r="C170" s="43" t="inlineStr">
        <is>
          <t>CLASS I: PIPEWORK - PIPES</t>
        </is>
      </c>
      <c r="D170" s="43" t="inlineStr">
        <is>
          <t>RESOURCES - LABOUR</t>
        </is>
      </c>
      <c r="E170" s="43" t="inlineStr">
        <is>
          <t>Drainage/pipework gang (large bore - not in trenches); relates to pipes exceeding 700 mm dia.</t>
        </is>
      </c>
      <c r="F170" s="43" t="inlineStr">
        <is>
          <t>Total Gang Rate/Hour</t>
        </is>
      </c>
      <c r="G170" s="44" t="n"/>
      <c r="H170" s="44" t="n"/>
      <c r="I170" s="44" t="n"/>
    </row>
    <row r="171">
      <c r="A171" s="4" t="n">
        <v>1786</v>
      </c>
      <c r="B171" s="5" t="inlineStr">
        <is>
          <t>IMG_0091</t>
        </is>
      </c>
      <c r="C171" s="5" t="inlineStr">
        <is>
          <t>CLASS I: PIPEWORK - PIPES</t>
        </is>
      </c>
      <c r="D171" s="5" t="inlineStr">
        <is>
          <t>RESOURCES - MATERIAL</t>
        </is>
      </c>
      <c r="E171" s="5" t="inlineStr">
        <is>
          <t>Clayware Pipes and Fittings; Vitrified clay; socketed pipes to BS EN 295; Straight pipes</t>
        </is>
      </c>
      <c r="F171" s="5" t="inlineStr">
        <is>
          <t>100 mm dia.</t>
        </is>
      </c>
      <c r="G171" s="8" t="n"/>
      <c r="H171" s="8" t="n"/>
      <c r="I171" s="8" t="n">
        <v>14.05</v>
      </c>
    </row>
    <row r="172">
      <c r="A172" s="4" t="n">
        <v>1787</v>
      </c>
      <c r="B172" s="5" t="inlineStr">
        <is>
          <t>IMG_0091</t>
        </is>
      </c>
      <c r="C172" s="5" t="inlineStr">
        <is>
          <t>CLASS I: PIPEWORK - PIPES</t>
        </is>
      </c>
      <c r="D172" s="5" t="inlineStr">
        <is>
          <t>RESOURCES - MATERIAL</t>
        </is>
      </c>
      <c r="E172" s="5" t="inlineStr">
        <is>
          <t>Clayware Pipes and Fittings; Vitrified clay; socketed pipes to BS EN 295; Straight pipes</t>
        </is>
      </c>
      <c r="F172" s="5" t="inlineStr">
        <is>
          <t>150 mm dia.</t>
        </is>
      </c>
      <c r="G172" s="8" t="n"/>
      <c r="H172" s="8" t="n"/>
      <c r="I172" s="8" t="n">
        <v>21.4</v>
      </c>
    </row>
    <row r="173">
      <c r="A173" s="4" t="n">
        <v>1788</v>
      </c>
      <c r="B173" s="5" t="inlineStr">
        <is>
          <t>IMG_0091</t>
        </is>
      </c>
      <c r="C173" s="5" t="inlineStr">
        <is>
          <t>CLASS I: PIPEWORK - PIPES</t>
        </is>
      </c>
      <c r="D173" s="5" t="inlineStr">
        <is>
          <t>RESOURCES - MATERIAL</t>
        </is>
      </c>
      <c r="E173" s="5" t="inlineStr">
        <is>
          <t>Clayware Pipes and Fittings; Vitrified clay; socketed pipes to BS EN 295; Straight pipes</t>
        </is>
      </c>
      <c r="F173" s="5" t="inlineStr">
        <is>
          <t>225 mm dia.</t>
        </is>
      </c>
      <c r="G173" s="8" t="n"/>
      <c r="H173" s="8" t="n"/>
      <c r="I173" s="8" t="n">
        <v>48.06</v>
      </c>
    </row>
    <row r="174">
      <c r="A174" s="4" t="n">
        <v>1789</v>
      </c>
      <c r="B174" s="5" t="inlineStr">
        <is>
          <t>IMG_0091</t>
        </is>
      </c>
      <c r="C174" s="5" t="inlineStr">
        <is>
          <t>CLASS I: PIPEWORK - PIPES</t>
        </is>
      </c>
      <c r="D174" s="5" t="inlineStr">
        <is>
          <t>RESOURCES - MATERIAL</t>
        </is>
      </c>
      <c r="E174" s="5" t="inlineStr">
        <is>
          <t>Clayware Pipes and Fittings; Vitrified clay; socketed pipes to BS EN 295; Straight pipes</t>
        </is>
      </c>
      <c r="F174" s="5" t="inlineStr">
        <is>
          <t>300 mm dia.</t>
        </is>
      </c>
      <c r="G174" s="8" t="n"/>
      <c r="H174" s="8" t="n"/>
      <c r="I174" s="8" t="n">
        <v>58.33</v>
      </c>
    </row>
    <row r="175">
      <c r="A175" s="4" t="n">
        <v>1790</v>
      </c>
      <c r="B175" s="5" t="inlineStr">
        <is>
          <t>IMG_0091</t>
        </is>
      </c>
      <c r="C175" s="5" t="inlineStr">
        <is>
          <t>CLASS I: PIPEWORK - PIPES</t>
        </is>
      </c>
      <c r="D175" s="5" t="inlineStr">
        <is>
          <t>RESOURCES - MATERIAL</t>
        </is>
      </c>
      <c r="E175" s="5" t="inlineStr">
        <is>
          <t>Clayware Pipes and Fittings; Vitrified clay; socketed pipes to BS EN 295; Straight pipes</t>
        </is>
      </c>
      <c r="F175" s="5" t="inlineStr">
        <is>
          <t>400 mm dia.</t>
        </is>
      </c>
      <c r="G175" s="8" t="n"/>
      <c r="H175" s="8" t="n"/>
      <c r="I175" s="8" t="n">
        <v>193.26</v>
      </c>
    </row>
    <row r="176">
      <c r="A176" s="4" t="n">
        <v>1791</v>
      </c>
      <c r="B176" s="5" t="inlineStr">
        <is>
          <t>IMG_0091</t>
        </is>
      </c>
      <c r="C176" s="5" t="inlineStr">
        <is>
          <t>CLASS I: PIPEWORK - PIPES</t>
        </is>
      </c>
      <c r="D176" s="5" t="inlineStr">
        <is>
          <t>RESOURCES - MATERIAL</t>
        </is>
      </c>
      <c r="E176" s="5" t="inlineStr">
        <is>
          <t>Clayware Pipes and Fittings; Vitrified clay; socketed pipes to BS EN 295; Straight pipes</t>
        </is>
      </c>
      <c r="F176" s="5" t="inlineStr">
        <is>
          <t>450 mm dia.</t>
        </is>
      </c>
      <c r="G176" s="8" t="n"/>
      <c r="H176" s="8" t="n"/>
      <c r="I176" s="8" t="n">
        <v>216.25</v>
      </c>
    </row>
    <row r="177">
      <c r="A177" s="4" t="n">
        <v>1793</v>
      </c>
      <c r="B177" s="5" t="inlineStr">
        <is>
          <t>IMG_0091</t>
        </is>
      </c>
      <c r="C177" s="5" t="inlineStr">
        <is>
          <t>CLASS I: PIPEWORK - PIPES</t>
        </is>
      </c>
      <c r="D177" s="5" t="inlineStr">
        <is>
          <t>RESOURCES - MATERIAL</t>
        </is>
      </c>
      <c r="E177" s="5" t="inlineStr">
        <is>
          <t>Vitrified clay; plain ended pipes to BS EN 295; Straight pipes</t>
        </is>
      </c>
      <c r="F177" s="5" t="inlineStr">
        <is>
          <t>1.6 m lengths; 100 mm dia.</t>
        </is>
      </c>
      <c r="G177" s="8" t="n"/>
      <c r="H177" s="8" t="n"/>
      <c r="I177" s="8" t="n">
        <v>17.27</v>
      </c>
    </row>
    <row r="178">
      <c r="A178" s="4" t="n">
        <v>1794</v>
      </c>
      <c r="B178" s="5" t="inlineStr">
        <is>
          <t>IMG_0091</t>
        </is>
      </c>
      <c r="C178" s="5" t="inlineStr">
        <is>
          <t>CLASS I: PIPEWORK - PIPES</t>
        </is>
      </c>
      <c r="D178" s="5" t="inlineStr">
        <is>
          <t>RESOURCES - MATERIAL</t>
        </is>
      </c>
      <c r="E178" s="5" t="inlineStr">
        <is>
          <t>Vitrified clay; plain ended pipes to BS EN 295; Straight pipes</t>
        </is>
      </c>
      <c r="F178" s="5" t="inlineStr">
        <is>
          <t>1.75 m lengths; 150 mm dia.</t>
        </is>
      </c>
      <c r="G178" s="8" t="n"/>
      <c r="H178" s="8" t="n"/>
      <c r="I178" s="8" t="n">
        <v>33.14</v>
      </c>
    </row>
    <row r="179">
      <c r="A179" s="4" t="n">
        <v>1795</v>
      </c>
      <c r="B179" s="5" t="inlineStr">
        <is>
          <t>IMG_0091</t>
        </is>
      </c>
      <c r="C179" s="5" t="inlineStr">
        <is>
          <t>CLASS I: PIPEWORK - PIPES</t>
        </is>
      </c>
      <c r="D179" s="5" t="inlineStr">
        <is>
          <t>RESOURCES - MATERIAL</t>
        </is>
      </c>
      <c r="E179" s="5" t="inlineStr">
        <is>
          <t>Vitrified clay; plain ended pipes to BS EN 295; Straight pipes</t>
        </is>
      </c>
      <c r="F179" s="5" t="inlineStr">
        <is>
          <t>1.75 m lengths; 225 mm dia.</t>
        </is>
      </c>
      <c r="G179" s="8" t="n"/>
      <c r="H179" s="8" t="n"/>
      <c r="I179" s="8" t="n">
        <v>106.05</v>
      </c>
    </row>
    <row r="180">
      <c r="A180" s="4" t="n">
        <v>1796</v>
      </c>
      <c r="B180" s="5" t="inlineStr">
        <is>
          <t>IMG_0091</t>
        </is>
      </c>
      <c r="C180" s="5" t="inlineStr">
        <is>
          <t>CLASS I: PIPEWORK - PIPES</t>
        </is>
      </c>
      <c r="D180" s="5" t="inlineStr">
        <is>
          <t>RESOURCES - MATERIAL</t>
        </is>
      </c>
      <c r="E180" s="5" t="inlineStr">
        <is>
          <t>Vitrified clay; plain ended pipes to BS EN 295; Straight pipes</t>
        </is>
      </c>
      <c r="F180" s="5" t="inlineStr">
        <is>
          <t>1.75 m lengths; 300 mm dia.</t>
        </is>
      </c>
      <c r="G180" s="8" t="n"/>
      <c r="H180" s="8" t="n"/>
      <c r="I180" s="8" t="n">
        <v>169.14</v>
      </c>
    </row>
    <row r="181">
      <c r="A181" s="4" t="n">
        <v>1798</v>
      </c>
      <c r="B181" s="5" t="inlineStr">
        <is>
          <t>IMG_0091</t>
        </is>
      </c>
      <c r="C181" s="5" t="inlineStr">
        <is>
          <t>CLASS I: PIPEWORK - PIPES</t>
        </is>
      </c>
      <c r="D181" s="5" t="inlineStr">
        <is>
          <t>RESOURCES - MATERIAL</t>
        </is>
      </c>
      <c r="E181" s="5" t="inlineStr">
        <is>
          <t>Couplings</t>
        </is>
      </c>
      <c r="F181" s="5" t="inlineStr">
        <is>
          <t>polypropylene coupling, 100 mm dia.</t>
        </is>
      </c>
      <c r="G181" s="8" t="n"/>
      <c r="H181" s="8" t="n"/>
      <c r="I181" s="8" t="n">
        <v>20.11</v>
      </c>
    </row>
    <row r="182">
      <c r="A182" s="4" t="n">
        <v>1799</v>
      </c>
      <c r="B182" s="5" t="inlineStr">
        <is>
          <t>IMG_0091</t>
        </is>
      </c>
      <c r="C182" s="5" t="inlineStr">
        <is>
          <t>CLASS I: PIPEWORK - PIPES</t>
        </is>
      </c>
      <c r="D182" s="5" t="inlineStr">
        <is>
          <t>RESOURCES - MATERIAL</t>
        </is>
      </c>
      <c r="E182" s="5" t="inlineStr">
        <is>
          <t>Couplings</t>
        </is>
      </c>
      <c r="F182" s="5" t="inlineStr">
        <is>
          <t>polypropylene coupling, 150 mm dia.</t>
        </is>
      </c>
      <c r="G182" s="8" t="n"/>
      <c r="H182" s="8" t="n"/>
      <c r="I182" s="8" t="n">
        <v>37.96</v>
      </c>
    </row>
    <row r="183">
      <c r="A183" s="4" t="n">
        <v>1800</v>
      </c>
      <c r="B183" s="5" t="inlineStr">
        <is>
          <t>IMG_0091</t>
        </is>
      </c>
      <c r="C183" s="5" t="inlineStr">
        <is>
          <t>CLASS I: PIPEWORK - PIPES</t>
        </is>
      </c>
      <c r="D183" s="5" t="inlineStr">
        <is>
          <t>RESOURCES - MATERIAL</t>
        </is>
      </c>
      <c r="E183" s="5" t="inlineStr">
        <is>
          <t>Couplings</t>
        </is>
      </c>
      <c r="F183" s="5" t="inlineStr">
        <is>
          <t>polypropylene coupling, 225 mm dia.</t>
        </is>
      </c>
      <c r="G183" s="8" t="n"/>
      <c r="H183" s="8" t="n"/>
      <c r="I183" s="8" t="n">
        <v>42.73</v>
      </c>
    </row>
    <row r="184">
      <c r="A184" s="4" t="n">
        <v>1801</v>
      </c>
      <c r="B184" s="5" t="inlineStr">
        <is>
          <t>IMG_0091</t>
        </is>
      </c>
      <c r="C184" s="5" t="inlineStr">
        <is>
          <t>CLASS I: PIPEWORK - PIPES</t>
        </is>
      </c>
      <c r="D184" s="5" t="inlineStr">
        <is>
          <t>RESOURCES - MATERIAL</t>
        </is>
      </c>
      <c r="E184" s="5" t="inlineStr">
        <is>
          <t>Couplings</t>
        </is>
      </c>
      <c r="F184" s="5" t="inlineStr">
        <is>
          <t>polypropylene coupling, 300 mm dia.</t>
        </is>
      </c>
      <c r="G184" s="8" t="n"/>
      <c r="H184" s="8" t="n"/>
      <c r="I184" s="8" t="n">
        <v>87.70999999999999</v>
      </c>
    </row>
    <row r="185">
      <c r="A185" s="4" t="n">
        <v>1803</v>
      </c>
      <c r="B185" s="5" t="inlineStr">
        <is>
          <t>IMG_0091</t>
        </is>
      </c>
      <c r="C185" s="5" t="inlineStr">
        <is>
          <t>CLASS I: PIPEWORK - PIPES</t>
        </is>
      </c>
      <c r="D185" s="5" t="inlineStr">
        <is>
          <t>RESOURCES - MATERIAL</t>
        </is>
      </c>
      <c r="E185" s="5" t="inlineStr">
        <is>
          <t>Tapers</t>
        </is>
      </c>
      <c r="F185" s="5" t="inlineStr">
        <is>
          <t>plain end; taper reducer, 225-150 mm</t>
        </is>
      </c>
      <c r="G185" s="8" t="n"/>
      <c r="H185" s="8" t="n"/>
      <c r="I185" s="8" t="n">
        <v>242.15</v>
      </c>
    </row>
    <row r="186">
      <c r="A186" s="4" t="n">
        <v>1804</v>
      </c>
      <c r="B186" s="5" t="inlineStr">
        <is>
          <t>IMG_0091</t>
        </is>
      </c>
      <c r="C186" s="5" t="inlineStr">
        <is>
          <t>CLASS I: PIPEWORK - PIPES</t>
        </is>
      </c>
      <c r="D186" s="5" t="inlineStr">
        <is>
          <t>RESOURCES - MATERIAL</t>
        </is>
      </c>
      <c r="E186" s="5" t="inlineStr">
        <is>
          <t>Tapers</t>
        </is>
      </c>
      <c r="F186" s="5" t="inlineStr">
        <is>
          <t>plain end; taper reducer, 150-100 mm</t>
        </is>
      </c>
      <c r="G186" s="8" t="n"/>
      <c r="H186" s="8" t="n"/>
      <c r="I186" s="8" t="n">
        <v>117.09</v>
      </c>
    </row>
    <row r="187">
      <c r="A187" s="4" t="n">
        <v>1806</v>
      </c>
      <c r="B187" s="5" t="inlineStr">
        <is>
          <t>IMG_0091</t>
        </is>
      </c>
      <c r="C187" s="5" t="inlineStr">
        <is>
          <t>CLASS I: PIPEWORK - PIPES</t>
        </is>
      </c>
      <c r="D187" s="5" t="inlineStr">
        <is>
          <t>RESOURCES - MATERIAL</t>
        </is>
      </c>
      <c r="E187" s="5" t="inlineStr">
        <is>
          <t>Field drains to BS 1196, butt joints, nominal bore; Hepworth</t>
        </is>
      </c>
      <c r="F187" s="5" t="inlineStr">
        <is>
          <t>300 mm lengths; 75 mm dia.</t>
        </is>
      </c>
      <c r="G187" s="8" t="n"/>
      <c r="H187" s="8" t="n"/>
      <c r="I187" s="8" t="n">
        <v>4.84</v>
      </c>
    </row>
    <row r="188">
      <c r="A188" s="4" t="n">
        <v>1807</v>
      </c>
      <c r="B188" s="5" t="inlineStr">
        <is>
          <t>IMG_0091</t>
        </is>
      </c>
      <c r="C188" s="5" t="inlineStr">
        <is>
          <t>CLASS I: PIPEWORK - PIPES</t>
        </is>
      </c>
      <c r="D188" s="5" t="inlineStr">
        <is>
          <t>RESOURCES - MATERIAL</t>
        </is>
      </c>
      <c r="E188" s="5" t="inlineStr">
        <is>
          <t>Field drains to BS 1196, butt joints, nominal bore; Hepworth</t>
        </is>
      </c>
      <c r="F188" s="5" t="inlineStr">
        <is>
          <t>300 mm lengths; 100 mm dia.</t>
        </is>
      </c>
      <c r="G188" s="8" t="n"/>
      <c r="H188" s="8" t="n"/>
      <c r="I188" s="8" t="n">
        <v>6.79</v>
      </c>
    </row>
    <row r="189">
      <c r="A189" s="4" t="n">
        <v>1808</v>
      </c>
      <c r="B189" s="5" t="inlineStr">
        <is>
          <t>IMG_0091</t>
        </is>
      </c>
      <c r="C189" s="5" t="inlineStr">
        <is>
          <t>CLASS I: PIPEWORK - PIPES</t>
        </is>
      </c>
      <c r="D189" s="5" t="inlineStr">
        <is>
          <t>RESOURCES - MATERIAL</t>
        </is>
      </c>
      <c r="E189" s="5" t="inlineStr">
        <is>
          <t>Field drains to BS 1196, butt joints, nominal bore; Hepworth</t>
        </is>
      </c>
      <c r="F189" s="5" t="inlineStr">
        <is>
          <t>300 mm lengths; 150 mm dia.</t>
        </is>
      </c>
      <c r="G189" s="8" t="n"/>
      <c r="H189" s="8" t="n"/>
      <c r="I189" s="8" t="n">
        <v>13.86</v>
      </c>
    </row>
    <row r="190">
      <c r="A190" s="4" t="n">
        <v>1809</v>
      </c>
      <c r="B190" s="5" t="inlineStr">
        <is>
          <t>IMG_0091</t>
        </is>
      </c>
      <c r="C190" s="5" t="inlineStr">
        <is>
          <t>CLASS I: PIPEWORK - PIPES</t>
        </is>
      </c>
      <c r="D190" s="5" t="inlineStr">
        <is>
          <t>RESOURCES - MATERIAL</t>
        </is>
      </c>
      <c r="E190" s="5" t="inlineStr">
        <is>
          <t>Field drains to BS 1196, butt joints, nominal bore; Hepworth</t>
        </is>
      </c>
      <c r="F190" s="5" t="inlineStr">
        <is>
          <t>300 mm lengths; 225 mm dia.</t>
        </is>
      </c>
      <c r="G190" s="8" t="n"/>
      <c r="H190" s="8" t="n"/>
      <c r="I190" s="8" t="n">
        <v>35.67</v>
      </c>
    </row>
    <row r="191">
      <c r="A191" s="4" t="n">
        <v>1811</v>
      </c>
      <c r="B191" s="5" t="inlineStr">
        <is>
          <t>IMG_0091</t>
        </is>
      </c>
      <c r="C191" s="5" t="inlineStr">
        <is>
          <t>CLASS I: PIPEWORK - PIPES</t>
        </is>
      </c>
      <c r="D191" s="5" t="inlineStr">
        <is>
          <t>RESOURCES - MATERIAL</t>
        </is>
      </c>
      <c r="E191" s="5" t="inlineStr">
        <is>
          <t>Perforated vitrified clay sleeved pipe, BS EN295; Hepline</t>
        </is>
      </c>
      <c r="F191" s="5" t="inlineStr">
        <is>
          <t>1.6 m lengths; 100 mm dia.</t>
        </is>
      </c>
      <c r="G191" s="8" t="n"/>
      <c r="H191" s="8" t="n"/>
      <c r="I191" s="8" t="n">
        <v>45.22</v>
      </c>
    </row>
    <row r="192">
      <c r="A192" s="4" t="n">
        <v>1812</v>
      </c>
      <c r="B192" s="5" t="inlineStr">
        <is>
          <t>IMG_0091</t>
        </is>
      </c>
      <c r="C192" s="5" t="inlineStr">
        <is>
          <t>CLASS I: PIPEWORK - PIPES</t>
        </is>
      </c>
      <c r="D192" s="5" t="inlineStr">
        <is>
          <t>RESOURCES - MATERIAL</t>
        </is>
      </c>
      <c r="E192" s="5" t="inlineStr">
        <is>
          <t>Perforated vitrified clay sleeved pipe, BS EN295; Hepline</t>
        </is>
      </c>
      <c r="F192" s="5" t="inlineStr">
        <is>
          <t>1.75 m lngth; 150 mm dia.</t>
        </is>
      </c>
      <c r="G192" s="8" t="n"/>
      <c r="H192" s="8" t="n"/>
      <c r="I192" s="8" t="n">
        <v>87.29000000000001</v>
      </c>
    </row>
    <row r="193">
      <c r="A193" s="4" t="n">
        <v>1813</v>
      </c>
      <c r="B193" s="5" t="inlineStr">
        <is>
          <t>IMG_0091</t>
        </is>
      </c>
      <c r="C193" s="5" t="inlineStr">
        <is>
          <t>CLASS I: PIPEWORK - PIPES</t>
        </is>
      </c>
      <c r="D193" s="5" t="inlineStr">
        <is>
          <t>RESOURCES - MATERIAL</t>
        </is>
      </c>
      <c r="E193" s="5" t="inlineStr">
        <is>
          <t>Perforated vitrified clay sleeved pipe, BS EN295; Hepline</t>
        </is>
      </c>
      <c r="F193" s="5" t="inlineStr">
        <is>
          <t>1.75 m lngth; 225 mm dia.</t>
        </is>
      </c>
      <c r="G193" s="8" t="n"/>
      <c r="H193" s="8" t="n"/>
      <c r="I193" s="8" t="n">
        <v>102.8</v>
      </c>
    </row>
    <row r="194">
      <c r="A194" s="4" t="n">
        <v>1814</v>
      </c>
      <c r="B194" s="5" t="inlineStr">
        <is>
          <t>IMG_0091</t>
        </is>
      </c>
      <c r="C194" s="5" t="inlineStr">
        <is>
          <t>CLASS I: PIPEWORK - PIPES</t>
        </is>
      </c>
      <c r="D194" s="5" t="inlineStr">
        <is>
          <t>RESOURCES - MATERIAL</t>
        </is>
      </c>
      <c r="E194" s="5" t="inlineStr">
        <is>
          <t>Perforated vitrified clay sleeved pipe, BS EN295; Hepline</t>
        </is>
      </c>
      <c r="F194" s="5" t="inlineStr">
        <is>
          <t>1.75 m lngth; 300 mm dia.</t>
        </is>
      </c>
      <c r="G194" s="8" t="n"/>
      <c r="H194" s="8" t="n"/>
      <c r="I194" s="8" t="n">
        <v>259.23</v>
      </c>
    </row>
    <row r="195">
      <c r="A195" s="4" t="n">
        <v>1816</v>
      </c>
      <c r="B195" s="5" t="inlineStr">
        <is>
          <t>IMG_0091</t>
        </is>
      </c>
      <c r="C195" s="5" t="inlineStr">
        <is>
          <t>CLASS I: PIPEWORK - PIPES</t>
        </is>
      </c>
      <c r="D195" s="5" t="inlineStr">
        <is>
          <t>RESOURCES - MATERIAL</t>
        </is>
      </c>
      <c r="E195" s="5" t="inlineStr">
        <is>
          <t>Concrete pipes; Concrete pipes, BS5911 Class L</t>
        </is>
      </c>
      <c r="F195" s="5" t="inlineStr">
        <is>
          <t>300 mm dia.</t>
        </is>
      </c>
      <c r="G195" s="8" t="n"/>
      <c r="H195" s="8" t="n"/>
      <c r="I195" s="8" t="n">
        <v>40.13</v>
      </c>
    </row>
    <row r="196">
      <c r="A196" s="4" t="n">
        <v>1817</v>
      </c>
      <c r="B196" s="5" t="inlineStr">
        <is>
          <t>IMG_0091</t>
        </is>
      </c>
      <c r="C196" s="5" t="inlineStr">
        <is>
          <t>CLASS I: PIPEWORK - PIPES</t>
        </is>
      </c>
      <c r="D196" s="5" t="inlineStr">
        <is>
          <t>RESOURCES - MATERIAL</t>
        </is>
      </c>
      <c r="E196" s="5" t="inlineStr">
        <is>
          <t>Concrete pipes; Concrete pipes, BS5911 Class L</t>
        </is>
      </c>
      <c r="F196" s="5" t="inlineStr">
        <is>
          <t>375 mm dia.</t>
        </is>
      </c>
      <c r="G196" s="8" t="n"/>
      <c r="H196" s="8" t="n"/>
      <c r="I196" s="8" t="n">
        <v>49.63</v>
      </c>
    </row>
    <row r="197">
      <c r="A197" s="4" t="n">
        <v>1818</v>
      </c>
      <c r="B197" s="5" t="inlineStr">
        <is>
          <t>IMG_0091</t>
        </is>
      </c>
      <c r="C197" s="5" t="inlineStr">
        <is>
          <t>CLASS I: PIPEWORK - PIPES</t>
        </is>
      </c>
      <c r="D197" s="5" t="inlineStr">
        <is>
          <t>RESOURCES - MATERIAL</t>
        </is>
      </c>
      <c r="E197" s="5" t="inlineStr">
        <is>
          <t>Concrete pipes; Concrete pipes, BS5911 Class L</t>
        </is>
      </c>
      <c r="F197" s="5" t="inlineStr">
        <is>
          <t>450 mm dia.</t>
        </is>
      </c>
      <c r="G197" s="8" t="n"/>
      <c r="H197" s="8" t="n"/>
      <c r="I197" s="8" t="n">
        <v>58.56</v>
      </c>
    </row>
    <row r="198">
      <c r="A198" s="4" t="n">
        <v>1819</v>
      </c>
      <c r="B198" s="5" t="inlineStr">
        <is>
          <t>IMG_0091</t>
        </is>
      </c>
      <c r="C198" s="5" t="inlineStr">
        <is>
          <t>CLASS I: PIPEWORK - PIPES</t>
        </is>
      </c>
      <c r="D198" s="5" t="inlineStr">
        <is>
          <t>RESOURCES - MATERIAL</t>
        </is>
      </c>
      <c r="E198" s="5" t="inlineStr">
        <is>
          <t>Concrete pipes; Concrete pipes, BS5911 Class L</t>
        </is>
      </c>
      <c r="F198" s="5" t="inlineStr">
        <is>
          <t>525 mm dia.</t>
        </is>
      </c>
      <c r="G198" s="8" t="n"/>
      <c r="H198" s="8" t="n"/>
      <c r="I198" s="8" t="n">
        <v>76.89</v>
      </c>
    </row>
    <row r="199">
      <c r="A199" s="4" t="n">
        <v>1820</v>
      </c>
      <c r="B199" s="5" t="inlineStr">
        <is>
          <t>IMG_0091</t>
        </is>
      </c>
      <c r="C199" s="5" t="inlineStr">
        <is>
          <t>CLASS I: PIPEWORK - PIPES</t>
        </is>
      </c>
      <c r="D199" s="5" t="inlineStr">
        <is>
          <t>RESOURCES - MATERIAL</t>
        </is>
      </c>
      <c r="E199" s="5" t="inlineStr">
        <is>
          <t>Concrete pipes; Concrete pipes, BS5911 Class L</t>
        </is>
      </c>
      <c r="F199" s="5" t="inlineStr">
        <is>
          <t>750 mm dia.</t>
        </is>
      </c>
      <c r="G199" s="8" t="n"/>
      <c r="H199" s="8" t="n"/>
      <c r="I199" s="8" t="n">
        <v>190.22</v>
      </c>
    </row>
    <row r="200">
      <c r="A200" s="4" t="n">
        <v>1821</v>
      </c>
      <c r="B200" s="5" t="inlineStr">
        <is>
          <t>IMG_0091</t>
        </is>
      </c>
      <c r="C200" s="5" t="inlineStr">
        <is>
          <t>CLASS I: PIPEWORK - PIPES</t>
        </is>
      </c>
      <c r="D200" s="5" t="inlineStr">
        <is>
          <t>RESOURCES - MATERIAL</t>
        </is>
      </c>
      <c r="E200" s="5" t="inlineStr">
        <is>
          <t>Concrete pipes; Concrete pipes, BS5911 Class L</t>
        </is>
      </c>
      <c r="F200" s="5" t="inlineStr">
        <is>
          <t>900 mm dia.</t>
        </is>
      </c>
      <c r="G200" s="8" t="n"/>
      <c r="H200" s="8" t="n"/>
      <c r="I200" s="8" t="n">
        <v>255.18</v>
      </c>
    </row>
    <row r="201">
      <c r="A201" s="4" t="n">
        <v>1822</v>
      </c>
      <c r="B201" s="5" t="inlineStr">
        <is>
          <t>IMG_0091</t>
        </is>
      </c>
      <c r="C201" s="5" t="inlineStr">
        <is>
          <t>CLASS I: PIPEWORK - PIPES</t>
        </is>
      </c>
      <c r="D201" s="5" t="inlineStr">
        <is>
          <t>RESOURCES - MATERIAL</t>
        </is>
      </c>
      <c r="E201" s="5" t="inlineStr">
        <is>
          <t>Concrete pipes; Concrete pipes, BS5911 Class L</t>
        </is>
      </c>
      <c r="F201" s="5" t="inlineStr">
        <is>
          <t>1200 mm dia.</t>
        </is>
      </c>
      <c r="G201" s="8" t="n"/>
      <c r="H201" s="8" t="n"/>
      <c r="I201" s="8" t="n">
        <v>436.65</v>
      </c>
    </row>
    <row r="202">
      <c r="A202" s="4" t="n">
        <v>1823</v>
      </c>
      <c r="B202" s="5" t="inlineStr">
        <is>
          <t>IMG_0091</t>
        </is>
      </c>
      <c r="C202" s="5" t="inlineStr">
        <is>
          <t>CLASS I: PIPEWORK - PIPES</t>
        </is>
      </c>
      <c r="D202" s="5" t="inlineStr">
        <is>
          <t>RESOURCES - MATERIAL</t>
        </is>
      </c>
      <c r="E202" s="5" t="inlineStr">
        <is>
          <t>Concrete pipes; Concrete pipes, BS5911 Class L</t>
        </is>
      </c>
      <c r="F202" s="5" t="inlineStr">
        <is>
          <t>1500 mm dia.</t>
        </is>
      </c>
      <c r="G202" s="8" t="n"/>
      <c r="H202" s="8" t="n"/>
      <c r="I202" s="8" t="n">
        <v>773.36</v>
      </c>
    </row>
    <row r="203">
      <c r="A203" s="4" t="n">
        <v>1824</v>
      </c>
      <c r="B203" s="5" t="inlineStr">
        <is>
          <t>IMG_0091</t>
        </is>
      </c>
      <c r="C203" s="5" t="inlineStr">
        <is>
          <t>CLASS I: PIPEWORK - PIPES</t>
        </is>
      </c>
      <c r="D203" s="5" t="inlineStr">
        <is>
          <t>RESOURCES - MATERIAL</t>
        </is>
      </c>
      <c r="E203" s="5" t="inlineStr">
        <is>
          <t>Concrete pipes; Concrete pipes, BS5911 Class L</t>
        </is>
      </c>
      <c r="F203" s="5" t="inlineStr">
        <is>
          <t>1800 mm dia.</t>
        </is>
      </c>
      <c r="G203" s="8" t="n"/>
      <c r="H203" s="8" t="n"/>
      <c r="I203" s="8" t="n">
        <v>1075.62</v>
      </c>
    </row>
    <row r="204">
      <c r="A204" s="4" t="n">
        <v>1825</v>
      </c>
      <c r="B204" s="5" t="inlineStr">
        <is>
          <t>IMG_0091</t>
        </is>
      </c>
      <c r="C204" s="5" t="inlineStr">
        <is>
          <t>CLASS I: PIPEWORK - PIPES</t>
        </is>
      </c>
      <c r="D204" s="5" t="inlineStr">
        <is>
          <t>RESOURCES - MATERIAL</t>
        </is>
      </c>
      <c r="E204" s="5" t="inlineStr">
        <is>
          <t>Concrete pipes; Concrete pipes, BS5911 Class L</t>
        </is>
      </c>
      <c r="F204" s="5" t="inlineStr">
        <is>
          <t>2100 mm dia.</t>
        </is>
      </c>
      <c r="G204" s="8" t="n"/>
      <c r="H204" s="8" t="n"/>
      <c r="I204" s="8" t="n">
        <v>1295.83</v>
      </c>
    </row>
    <row r="205">
      <c r="A205" s="4" t="n">
        <v>1827</v>
      </c>
      <c r="B205" s="5" t="inlineStr">
        <is>
          <t>IMG_0091</t>
        </is>
      </c>
      <c r="C205" s="5" t="inlineStr">
        <is>
          <t>CLASS I: PIPEWORK - PIPES</t>
        </is>
      </c>
      <c r="D205" s="5" t="inlineStr">
        <is>
          <t>RESOURCES - MATERIAL</t>
        </is>
      </c>
      <c r="E205" s="5" t="inlineStr">
        <is>
          <t>Bends</t>
        </is>
      </c>
      <c r="F205" s="5" t="inlineStr">
        <is>
          <t>bend; 300 mm dia.; &lt;45 deg</t>
        </is>
      </c>
      <c r="G205" s="8" t="n"/>
      <c r="H205" s="8" t="n"/>
      <c r="I205" s="8" t="n">
        <v>400.79</v>
      </c>
    </row>
    <row r="206">
      <c r="A206" s="4" t="n">
        <v>1828</v>
      </c>
      <c r="B206" s="5" t="inlineStr">
        <is>
          <t>IMG_0091</t>
        </is>
      </c>
      <c r="C206" s="5" t="inlineStr">
        <is>
          <t>CLASS I: PIPEWORK - PIPES</t>
        </is>
      </c>
      <c r="D206" s="5" t="inlineStr">
        <is>
          <t>RESOURCES - MATERIAL</t>
        </is>
      </c>
      <c r="E206" s="5" t="inlineStr">
        <is>
          <t>Bends</t>
        </is>
      </c>
      <c r="F206" s="5" t="inlineStr">
        <is>
          <t>bend; 375 mm dia.; &lt;45 deg</t>
        </is>
      </c>
      <c r="G206" s="8" t="n"/>
      <c r="H206" s="8" t="n"/>
      <c r="I206" s="8" t="n">
        <v>496.14</v>
      </c>
    </row>
    <row r="207">
      <c r="A207" s="4" t="n">
        <v>1829</v>
      </c>
      <c r="B207" s="5" t="inlineStr">
        <is>
          <t>IMG_0091</t>
        </is>
      </c>
      <c r="C207" s="5" t="inlineStr">
        <is>
          <t>CLASS I: PIPEWORK - PIPES</t>
        </is>
      </c>
      <c r="D207" s="5" t="inlineStr">
        <is>
          <t>RESOURCES - MATERIAL</t>
        </is>
      </c>
      <c r="E207" s="5" t="inlineStr">
        <is>
          <t>Bends</t>
        </is>
      </c>
      <c r="F207" s="5" t="inlineStr">
        <is>
          <t>bend; 450 mm dia.; &lt;45 deg</t>
        </is>
      </c>
      <c r="G207" s="8" t="n"/>
      <c r="H207" s="8" t="n"/>
      <c r="I207" s="8" t="n">
        <v>585.79</v>
      </c>
    </row>
    <row r="208">
      <c r="A208" s="4" t="n">
        <v>1830</v>
      </c>
      <c r="B208" s="5" t="inlineStr">
        <is>
          <t>IMG_0091</t>
        </is>
      </c>
      <c r="C208" s="5" t="inlineStr">
        <is>
          <t>CLASS I: PIPEWORK - PIPES</t>
        </is>
      </c>
      <c r="D208" s="5" t="inlineStr">
        <is>
          <t>RESOURCES - MATERIAL</t>
        </is>
      </c>
      <c r="E208" s="5" t="inlineStr">
        <is>
          <t>Bends</t>
        </is>
      </c>
      <c r="F208" s="5" t="inlineStr">
        <is>
          <t>bend; 525 mm dia.; &lt;45 deg</t>
        </is>
      </c>
      <c r="G208" s="8" t="n"/>
      <c r="H208" s="8" t="n"/>
      <c r="I208" s="8" t="n">
        <v>768.78</v>
      </c>
    </row>
    <row r="209">
      <c r="A209" s="4" t="n">
        <v>1831</v>
      </c>
      <c r="B209" s="5" t="inlineStr">
        <is>
          <t>IMG_0091</t>
        </is>
      </c>
      <c r="C209" s="5" t="inlineStr">
        <is>
          <t>CLASS I: PIPEWORK - PIPES</t>
        </is>
      </c>
      <c r="D209" s="5" t="inlineStr">
        <is>
          <t>RESOURCES - MATERIAL</t>
        </is>
      </c>
      <c r="E209" s="5" t="inlineStr">
        <is>
          <t>Bends</t>
        </is>
      </c>
      <c r="F209" s="5" t="inlineStr">
        <is>
          <t>bend; 750 mm dia.; &lt;45 deg</t>
        </is>
      </c>
      <c r="G209" s="8" t="n"/>
      <c r="H209" s="8" t="n"/>
      <c r="I209" s="8" t="n">
        <v>1902.42</v>
      </c>
    </row>
    <row r="210">
      <c r="A210" s="4" t="n">
        <v>1832</v>
      </c>
      <c r="B210" s="5" t="inlineStr">
        <is>
          <t>IMG_0091</t>
        </is>
      </c>
      <c r="C210" s="5" t="inlineStr">
        <is>
          <t>CLASS I: PIPEWORK - PIPES</t>
        </is>
      </c>
      <c r="D210" s="5" t="inlineStr">
        <is>
          <t>RESOURCES - MATERIAL</t>
        </is>
      </c>
      <c r="E210" s="5" t="inlineStr">
        <is>
          <t>Bends</t>
        </is>
      </c>
      <c r="F210" s="5" t="inlineStr">
        <is>
          <t>bend; 900 mm dia.; 45-90 deg</t>
        </is>
      </c>
      <c r="G210" s="8" t="n"/>
      <c r="H210" s="8" t="n"/>
      <c r="I210" s="8" t="n">
        <v>2365.12</v>
      </c>
    </row>
    <row r="211">
      <c r="A211" s="4" t="n">
        <v>1833</v>
      </c>
      <c r="B211" s="5" t="inlineStr">
        <is>
          <t>IMG_0091</t>
        </is>
      </c>
      <c r="C211" s="5" t="inlineStr">
        <is>
          <t>CLASS I: PIPEWORK - PIPES</t>
        </is>
      </c>
      <c r="D211" s="5" t="inlineStr">
        <is>
          <t>RESOURCES - MATERIAL</t>
        </is>
      </c>
      <c r="E211" s="5" t="inlineStr">
        <is>
          <t>Bends</t>
        </is>
      </c>
      <c r="F211" s="5" t="inlineStr">
        <is>
          <t>bend; 1200 mm dia.; &lt;45 deg</t>
        </is>
      </c>
      <c r="G211" s="8" t="n"/>
      <c r="H211" s="8" t="n"/>
      <c r="I211" s="8" t="n">
        <v>4366.2</v>
      </c>
    </row>
    <row r="212">
      <c r="A212" s="4" t="n">
        <v>1834</v>
      </c>
      <c r="B212" s="5" t="inlineStr">
        <is>
          <t>IMG_0091</t>
        </is>
      </c>
      <c r="C212" s="5" t="inlineStr">
        <is>
          <t>CLASS I: PIPEWORK - PIPES</t>
        </is>
      </c>
      <c r="D212" s="5" t="inlineStr">
        <is>
          <t>RESOURCES - MATERIAL</t>
        </is>
      </c>
      <c r="E212" s="5" t="inlineStr">
        <is>
          <t>Bends</t>
        </is>
      </c>
      <c r="F212" s="5" t="inlineStr">
        <is>
          <t>bend; 1500 mm dia.; &lt;45 deg</t>
        </is>
      </c>
      <c r="G212" s="8" t="n"/>
      <c r="H212" s="8" t="n"/>
      <c r="I212" s="8" t="n">
        <v>7733.06</v>
      </c>
    </row>
    <row r="213">
      <c r="A213" s="4" t="n">
        <v>1835</v>
      </c>
      <c r="B213" s="5" t="inlineStr">
        <is>
          <t>IMG_0091</t>
        </is>
      </c>
      <c r="C213" s="5" t="inlineStr">
        <is>
          <t>CLASS I: PIPEWORK - PIPES</t>
        </is>
      </c>
      <c r="D213" s="5" t="inlineStr">
        <is>
          <t>RESOURCES - MATERIAL</t>
        </is>
      </c>
      <c r="E213" s="5" t="inlineStr">
        <is>
          <t>Bends</t>
        </is>
      </c>
      <c r="F213" s="5" t="inlineStr">
        <is>
          <t>bend; 1800 mm dia.; &lt;45 deg</t>
        </is>
      </c>
      <c r="G213" s="8" t="n"/>
      <c r="H213" s="8" t="n"/>
      <c r="I213" s="8" t="n">
        <v>10756.12</v>
      </c>
    </row>
    <row r="214">
      <c r="A214" s="4" t="n">
        <v>1836</v>
      </c>
      <c r="B214" s="5" t="inlineStr">
        <is>
          <t>IMG_0091</t>
        </is>
      </c>
      <c r="C214" s="5" t="inlineStr">
        <is>
          <t>CLASS I: PIPEWORK - PIPES</t>
        </is>
      </c>
      <c r="D214" s="5" t="inlineStr">
        <is>
          <t>RESOURCES - MATERIAL</t>
        </is>
      </c>
      <c r="E214" s="5" t="inlineStr">
        <is>
          <t>Bends</t>
        </is>
      </c>
      <c r="F214" s="5" t="inlineStr">
        <is>
          <t>bend; 2100 mm dia.; &lt;45 deg</t>
        </is>
      </c>
      <c r="G214" s="8" t="n"/>
      <c r="H214" s="8" t="n"/>
      <c r="I214" s="8" t="n">
        <v>12946.25</v>
      </c>
    </row>
    <row r="215">
      <c r="A215" s="4" t="n">
        <v>1838</v>
      </c>
      <c r="B215" s="5" t="inlineStr">
        <is>
          <t>IMG_0091</t>
        </is>
      </c>
      <c r="C215" s="5" t="inlineStr">
        <is>
          <t>CLASS I: PIPEWORK - PIPES</t>
        </is>
      </c>
      <c r="D215" s="5" t="inlineStr">
        <is>
          <t>RESOURCES - MATERIAL</t>
        </is>
      </c>
      <c r="E215" s="5" t="inlineStr">
        <is>
          <t>Cast Iron Pipes and Fittings; Cast iron drain BS EN 877; plain end</t>
        </is>
      </c>
      <c r="F215" s="5" t="inlineStr">
        <is>
          <t>70 mm dia.</t>
        </is>
      </c>
      <c r="G215" s="8" t="n"/>
      <c r="H215" s="8" t="n"/>
      <c r="I215" s="8" t="n">
        <v>33.22</v>
      </c>
    </row>
    <row r="216">
      <c r="A216" s="4" t="n">
        <v>1839</v>
      </c>
      <c r="B216" s="5" t="inlineStr">
        <is>
          <t>IMG_0091</t>
        </is>
      </c>
      <c r="C216" s="5" t="inlineStr">
        <is>
          <t>CLASS I: PIPEWORK - PIPES</t>
        </is>
      </c>
      <c r="D216" s="5" t="inlineStr">
        <is>
          <t>RESOURCES - MATERIAL</t>
        </is>
      </c>
      <c r="E216" s="5" t="inlineStr">
        <is>
          <t>Cast Iron Pipes and Fittings; Cast iron drain BS EN 877; plain end</t>
        </is>
      </c>
      <c r="F216" s="5" t="inlineStr">
        <is>
          <t>100 mm dia.</t>
        </is>
      </c>
      <c r="G216" s="8" t="n"/>
      <c r="H216" s="8" t="n"/>
      <c r="I216" s="8" t="n">
        <v>40.7</v>
      </c>
    </row>
    <row r="217">
      <c r="A217" s="4" t="n">
        <v>1840</v>
      </c>
      <c r="B217" s="5" t="inlineStr">
        <is>
          <t>IMG_0091</t>
        </is>
      </c>
      <c r="C217" s="5" t="inlineStr">
        <is>
          <t>CLASS I: PIPEWORK - PIPES</t>
        </is>
      </c>
      <c r="D217" s="5" t="inlineStr">
        <is>
          <t>RESOURCES - MATERIAL</t>
        </is>
      </c>
      <c r="E217" s="5" t="inlineStr">
        <is>
          <t>Cast Iron Pipes and Fittings; Cast iron drain BS EN 877; plain end</t>
        </is>
      </c>
      <c r="F217" s="5" t="inlineStr">
        <is>
          <t>150 mm dia.</t>
        </is>
      </c>
      <c r="G217" s="8" t="n"/>
      <c r="H217" s="8" t="n"/>
      <c r="I217" s="8" t="n">
        <v>17.02</v>
      </c>
    </row>
    <row r="218">
      <c r="A218" s="4" t="n">
        <v>1841</v>
      </c>
      <c r="B218" s="5" t="inlineStr">
        <is>
          <t>IMG_0091</t>
        </is>
      </c>
      <c r="C218" s="5" t="inlineStr">
        <is>
          <t>CLASS I: PIPEWORK - PIPES</t>
        </is>
      </c>
      <c r="D218" s="5" t="inlineStr">
        <is>
          <t>RESOURCES - MATERIAL</t>
        </is>
      </c>
      <c r="E218" s="5" t="inlineStr">
        <is>
          <t>Cast Iron Pipes and Fittings; Cast iron drain BS EN 877; plain end</t>
        </is>
      </c>
      <c r="F218" s="5" t="inlineStr">
        <is>
          <t>250 mm dia.</t>
        </is>
      </c>
      <c r="G218" s="8" t="n"/>
      <c r="H218" s="8" t="n"/>
      <c r="I218" s="8" t="n">
        <v>153.55</v>
      </c>
    </row>
    <row r="219">
      <c r="A219" s="4" t="n">
        <v>1844</v>
      </c>
      <c r="B219" s="5" t="inlineStr">
        <is>
          <t>IMG_0092</t>
        </is>
      </c>
      <c r="C219" s="5" t="inlineStr">
        <is>
          <t>CLASS I: PIPEWORK - PIPES</t>
        </is>
      </c>
      <c r="D219" s="5" t="inlineStr">
        <is>
          <t>RESOURCES - MATERIAL</t>
        </is>
      </c>
      <c r="E219" s="5" t="inlineStr">
        <is>
          <t>Cast iron couplings complete with stainless steel nuts and bolts and synthetic rubber gaskets (continued)</t>
        </is>
      </c>
      <c r="F219" s="5" t="inlineStr">
        <is>
          <t>70 mm dia.</t>
        </is>
      </c>
      <c r="G219" s="8" t="n"/>
      <c r="H219" s="8" t="n"/>
      <c r="I219" s="8" t="n">
        <v>14.49</v>
      </c>
    </row>
    <row r="220">
      <c r="A220" s="4" t="n">
        <v>1845</v>
      </c>
      <c r="B220" s="5" t="inlineStr">
        <is>
          <t>IMG_0092</t>
        </is>
      </c>
      <c r="C220" s="5" t="inlineStr">
        <is>
          <t>CLASS I: PIPEWORK - PIPES</t>
        </is>
      </c>
      <c r="D220" s="5" t="inlineStr">
        <is>
          <t>RESOURCES - MATERIAL</t>
        </is>
      </c>
      <c r="E220" s="5" t="inlineStr">
        <is>
          <t>Cast iron couplings complete with stainless steel nuts and bolts and synthetic rubber gaskets (continued)</t>
        </is>
      </c>
      <c r="F220" s="5" t="inlineStr">
        <is>
          <t>100 mm dia.</t>
        </is>
      </c>
      <c r="G220" s="8" t="n"/>
      <c r="H220" s="8" t="n"/>
      <c r="I220" s="8" t="n">
        <v>19.02</v>
      </c>
    </row>
    <row r="221">
      <c r="A221" s="4" t="n">
        <v>1846</v>
      </c>
      <c r="B221" s="5" t="inlineStr">
        <is>
          <t>IMG_0092</t>
        </is>
      </c>
      <c r="C221" s="5" t="inlineStr">
        <is>
          <t>CLASS I: PIPEWORK - PIPES</t>
        </is>
      </c>
      <c r="D221" s="5" t="inlineStr">
        <is>
          <t>RESOURCES - MATERIAL</t>
        </is>
      </c>
      <c r="E221" s="5" t="inlineStr">
        <is>
          <t>Cast iron couplings complete with stainless steel nuts and bolts and synthetic rubber gaskets (continued)</t>
        </is>
      </c>
      <c r="F221" s="5" t="inlineStr">
        <is>
          <t>150 mm dia.</t>
        </is>
      </c>
      <c r="G221" s="8" t="n"/>
      <c r="H221" s="8" t="n"/>
      <c r="I221" s="8" t="n">
        <v>23.63</v>
      </c>
    </row>
    <row r="222">
      <c r="A222" s="4" t="n">
        <v>1847</v>
      </c>
      <c r="B222" s="5" t="inlineStr">
        <is>
          <t>IMG_0092</t>
        </is>
      </c>
      <c r="C222" s="5" t="inlineStr">
        <is>
          <t>CLASS I: PIPEWORK - PIPES</t>
        </is>
      </c>
      <c r="D222" s="5" t="inlineStr">
        <is>
          <t>RESOURCES - MATERIAL</t>
        </is>
      </c>
      <c r="E222" s="5" t="inlineStr">
        <is>
          <t>Cast iron couplings complete with stainless steel nuts and bolts and synthetic rubber gaskets (continued)</t>
        </is>
      </c>
      <c r="F222" s="5" t="inlineStr">
        <is>
          <t>250 mm dia.</t>
        </is>
      </c>
      <c r="G222" s="8" t="n"/>
      <c r="H222" s="8" t="n"/>
      <c r="I222" s="8" t="n">
        <v>122.18</v>
      </c>
    </row>
    <row r="223">
      <c r="A223" s="4" t="n">
        <v>1849</v>
      </c>
      <c r="B223" s="5" t="inlineStr">
        <is>
          <t>IMG_0092</t>
        </is>
      </c>
      <c r="C223" s="5" t="inlineStr">
        <is>
          <t>CLASS I: PIPEWORK - PIPES</t>
        </is>
      </c>
      <c r="D223" s="5" t="inlineStr">
        <is>
          <t>RESOURCES - MATERIAL</t>
        </is>
      </c>
      <c r="E223" s="5" t="inlineStr">
        <is>
          <t>Bends; 45 deg</t>
        </is>
      </c>
      <c r="F223" s="5" t="inlineStr">
        <is>
          <t>70 mm dia.</t>
        </is>
      </c>
      <c r="G223" s="8" t="n"/>
      <c r="H223" s="8" t="n"/>
      <c r="I223" s="8" t="n">
        <v>25.85</v>
      </c>
    </row>
    <row r="224">
      <c r="A224" s="4" t="n">
        <v>1850</v>
      </c>
      <c r="B224" s="5" t="inlineStr">
        <is>
          <t>IMG_0092</t>
        </is>
      </c>
      <c r="C224" s="5" t="inlineStr">
        <is>
          <t>CLASS I: PIPEWORK - PIPES</t>
        </is>
      </c>
      <c r="D224" s="5" t="inlineStr">
        <is>
          <t>RESOURCES - MATERIAL</t>
        </is>
      </c>
      <c r="E224" s="5" t="inlineStr">
        <is>
          <t>Bends; 45 deg</t>
        </is>
      </c>
      <c r="F224" s="5" t="inlineStr">
        <is>
          <t>100 mm dia.</t>
        </is>
      </c>
      <c r="G224" s="8" t="n"/>
      <c r="H224" s="8" t="n"/>
      <c r="I224" s="8" t="n">
        <v>36.75</v>
      </c>
    </row>
    <row r="225">
      <c r="A225" s="4" t="n">
        <v>1851</v>
      </c>
      <c r="B225" s="5" t="inlineStr">
        <is>
          <t>IMG_0092</t>
        </is>
      </c>
      <c r="C225" s="5" t="inlineStr">
        <is>
          <t>CLASS I: PIPEWORK - PIPES</t>
        </is>
      </c>
      <c r="D225" s="5" t="inlineStr">
        <is>
          <t>RESOURCES - MATERIAL</t>
        </is>
      </c>
      <c r="E225" s="5" t="inlineStr">
        <is>
          <t>Bends; 45 deg</t>
        </is>
      </c>
      <c r="F225" s="5" t="inlineStr">
        <is>
          <t>150 mm dia.</t>
        </is>
      </c>
      <c r="G225" s="8" t="n"/>
      <c r="H225" s="8" t="n"/>
      <c r="I225" s="8" t="n">
        <v>54.99</v>
      </c>
    </row>
    <row r="226">
      <c r="A226" s="4" t="n">
        <v>1852</v>
      </c>
      <c r="B226" s="5" t="inlineStr">
        <is>
          <t>IMG_0092</t>
        </is>
      </c>
      <c r="C226" s="5" t="inlineStr">
        <is>
          <t>CLASS I: PIPEWORK - PIPES</t>
        </is>
      </c>
      <c r="D226" s="5" t="inlineStr">
        <is>
          <t>RESOURCES - MATERIAL</t>
        </is>
      </c>
      <c r="E226" s="5" t="inlineStr">
        <is>
          <t>Bends; 45 deg</t>
        </is>
      </c>
      <c r="F226" s="5" t="inlineStr">
        <is>
          <t>250 mm dia.</t>
        </is>
      </c>
      <c r="G226" s="8" t="n"/>
      <c r="H226" s="8" t="n"/>
      <c r="I226" s="8" t="n">
        <v>319.6</v>
      </c>
    </row>
    <row r="227">
      <c r="A227" s="4" t="n">
        <v>1854</v>
      </c>
      <c r="B227" s="5" t="inlineStr">
        <is>
          <t>IMG_0092</t>
        </is>
      </c>
      <c r="C227" s="5" t="inlineStr">
        <is>
          <t>CLASS I: PIPEWORK - PIPES</t>
        </is>
      </c>
      <c r="D227" s="5" t="inlineStr">
        <is>
          <t>RESOURCES - MATERIAL</t>
        </is>
      </c>
      <c r="E227" s="5" t="inlineStr">
        <is>
          <t>Bends; short radius; 87.5 deg</t>
        </is>
      </c>
      <c r="F227" s="5" t="inlineStr">
        <is>
          <t>70 mm dia.</t>
        </is>
      </c>
      <c r="G227" s="8" t="n"/>
      <c r="H227" s="8" t="n"/>
      <c r="I227" s="8" t="n">
        <v>50.15</v>
      </c>
    </row>
    <row r="228">
      <c r="A228" s="4" t="n">
        <v>1855</v>
      </c>
      <c r="B228" s="5" t="inlineStr">
        <is>
          <t>IMG_0092</t>
        </is>
      </c>
      <c r="C228" s="5" t="inlineStr">
        <is>
          <t>CLASS I: PIPEWORK - PIPES</t>
        </is>
      </c>
      <c r="D228" s="5" t="inlineStr">
        <is>
          <t>RESOURCES - MATERIAL</t>
        </is>
      </c>
      <c r="E228" s="5" t="inlineStr">
        <is>
          <t>Bends; short radius; 87.5 deg</t>
        </is>
      </c>
      <c r="F228" s="5" t="inlineStr">
        <is>
          <t>100 mm dia.</t>
        </is>
      </c>
      <c r="G228" s="8" t="n"/>
      <c r="H228" s="8" t="n"/>
      <c r="I228" s="8" t="n">
        <v>73.25</v>
      </c>
    </row>
    <row r="229">
      <c r="A229" s="4" t="n">
        <v>1856</v>
      </c>
      <c r="B229" s="5" t="inlineStr">
        <is>
          <t>IMG_0092</t>
        </is>
      </c>
      <c r="C229" s="5" t="inlineStr">
        <is>
          <t>CLASS I: PIPEWORK - PIPES</t>
        </is>
      </c>
      <c r="D229" s="5" t="inlineStr">
        <is>
          <t>RESOURCES - MATERIAL</t>
        </is>
      </c>
      <c r="E229" s="5" t="inlineStr">
        <is>
          <t>Bends; short radius; 87.5 deg</t>
        </is>
      </c>
      <c r="F229" s="5" t="inlineStr">
        <is>
          <t>150 mm dia.</t>
        </is>
      </c>
      <c r="G229" s="8" t="n"/>
      <c r="H229" s="8" t="n"/>
      <c r="I229" s="8" t="n">
        <v>128.9</v>
      </c>
    </row>
    <row r="230">
      <c r="A230" s="4" t="n">
        <v>1857</v>
      </c>
      <c r="B230" s="5" t="inlineStr">
        <is>
          <t>IMG_0092</t>
        </is>
      </c>
      <c r="C230" s="5" t="inlineStr">
        <is>
          <t>CLASS I: PIPEWORK - PIPES</t>
        </is>
      </c>
      <c r="D230" s="5" t="inlineStr">
        <is>
          <t>RESOURCES - MATERIAL</t>
        </is>
      </c>
      <c r="E230" s="5" t="inlineStr">
        <is>
          <t>Bends; short radius; 87.5 deg</t>
        </is>
      </c>
      <c r="F230" s="5" t="inlineStr">
        <is>
          <t>250 mm dia.</t>
        </is>
      </c>
      <c r="G230" s="8" t="n"/>
      <c r="H230" s="8" t="n"/>
      <c r="I230" s="8" t="n">
        <v>321.38</v>
      </c>
    </row>
    <row r="231">
      <c r="A231" s="4" t="n">
        <v>1859</v>
      </c>
      <c r="B231" s="5" t="inlineStr">
        <is>
          <t>IMG_0092</t>
        </is>
      </c>
      <c r="C231" s="5" t="inlineStr">
        <is>
          <t>CLASS I: PIPEWORK - PIPES</t>
        </is>
      </c>
      <c r="D231" s="5" t="inlineStr">
        <is>
          <t>RESOURCES - MATERIAL</t>
        </is>
      </c>
      <c r="E231" s="5" t="inlineStr">
        <is>
          <t>Single junction x 45 deg</t>
        </is>
      </c>
      <c r="F231" s="5" t="inlineStr">
        <is>
          <t>70 x 70 mm dia.</t>
        </is>
      </c>
      <c r="G231" s="8" t="n"/>
      <c r="H231" s="8" t="n"/>
      <c r="I231" s="8" t="n">
        <v>38.94</v>
      </c>
    </row>
    <row r="232">
      <c r="A232" s="4" t="n">
        <v>1860</v>
      </c>
      <c r="B232" s="5" t="inlineStr">
        <is>
          <t>IMG_0092</t>
        </is>
      </c>
      <c r="C232" s="5" t="inlineStr">
        <is>
          <t>CLASS I: PIPEWORK - PIPES</t>
        </is>
      </c>
      <c r="D232" s="5" t="inlineStr">
        <is>
          <t>RESOURCES - MATERIAL</t>
        </is>
      </c>
      <c r="E232" s="5" t="inlineStr">
        <is>
          <t>Single junction x 45 deg</t>
        </is>
      </c>
      <c r="F232" s="5" t="inlineStr">
        <is>
          <t>100 x 100 mm dia.</t>
        </is>
      </c>
      <c r="G232" s="8" t="n"/>
      <c r="H232" s="8" t="n"/>
      <c r="I232" s="8" t="n">
        <v>58.25</v>
      </c>
    </row>
    <row r="233">
      <c r="A233" s="4" t="n">
        <v>1861</v>
      </c>
      <c r="B233" s="5" t="inlineStr">
        <is>
          <t>IMG_0092</t>
        </is>
      </c>
      <c r="C233" s="5" t="inlineStr">
        <is>
          <t>CLASS I: PIPEWORK - PIPES</t>
        </is>
      </c>
      <c r="D233" s="5" t="inlineStr">
        <is>
          <t>RESOURCES - MATERIAL</t>
        </is>
      </c>
      <c r="E233" s="5" t="inlineStr">
        <is>
          <t>Single junction x 45 deg</t>
        </is>
      </c>
      <c r="F233" s="5" t="inlineStr">
        <is>
          <t>150 x 150 mm dia.</t>
        </is>
      </c>
      <c r="G233" s="8" t="n"/>
      <c r="H233" s="8" t="n"/>
      <c r="I233" s="8" t="n">
        <v>136.94</v>
      </c>
    </row>
    <row r="234">
      <c r="A234" s="4" t="n">
        <v>1862</v>
      </c>
      <c r="B234" s="5" t="inlineStr">
        <is>
          <t>IMG_0092</t>
        </is>
      </c>
      <c r="C234" s="5" t="inlineStr">
        <is>
          <t>CLASS I: PIPEWORK - PIPES</t>
        </is>
      </c>
      <c r="D234" s="5" t="inlineStr">
        <is>
          <t>RESOURCES - MATERIAL</t>
        </is>
      </c>
      <c r="E234" s="5" t="inlineStr">
        <is>
          <t>Single junction x 45 deg</t>
        </is>
      </c>
      <c r="F234" s="5" t="inlineStr">
        <is>
          <t>250 x 250 mm dia.</t>
        </is>
      </c>
      <c r="G234" s="8" t="n"/>
      <c r="H234" s="8" t="n"/>
      <c r="I234" s="8" t="n">
        <v>840.99</v>
      </c>
    </row>
    <row r="235">
      <c r="A235" s="4" t="n">
        <v>1864</v>
      </c>
      <c r="B235" s="5" t="inlineStr">
        <is>
          <t>IMG_0092</t>
        </is>
      </c>
      <c r="C235" s="5" t="inlineStr">
        <is>
          <t>CLASS I: PIPEWORK - PIPES</t>
        </is>
      </c>
      <c r="D235" s="5" t="inlineStr">
        <is>
          <t>RESOURCES - MATERIAL</t>
        </is>
      </c>
      <c r="E235" s="5" t="inlineStr">
        <is>
          <t>Taper reducer pipes</t>
        </is>
      </c>
      <c r="F235" s="5" t="inlineStr">
        <is>
          <t>70 mm dia.</t>
        </is>
      </c>
      <c r="G235" s="8" t="n"/>
      <c r="H235" s="8" t="n"/>
      <c r="I235" s="8" t="n">
        <v>36.63</v>
      </c>
    </row>
    <row r="236">
      <c r="A236" s="4" t="n">
        <v>1865</v>
      </c>
      <c r="B236" s="5" t="inlineStr">
        <is>
          <t>IMG_0092</t>
        </is>
      </c>
      <c r="C236" s="5" t="inlineStr">
        <is>
          <t>CLASS I: PIPEWORK - PIPES</t>
        </is>
      </c>
      <c r="D236" s="5" t="inlineStr">
        <is>
          <t>RESOURCES - MATERIAL</t>
        </is>
      </c>
      <c r="E236" s="5" t="inlineStr">
        <is>
          <t>Taper reducer pipes</t>
        </is>
      </c>
      <c r="F236" s="5" t="inlineStr">
        <is>
          <t>100 mm dia.</t>
        </is>
      </c>
      <c r="G236" s="8" t="n"/>
      <c r="H236" s="8" t="n"/>
      <c r="I236" s="8" t="n">
        <v>43.07</v>
      </c>
    </row>
    <row r="237">
      <c r="A237" s="4" t="n">
        <v>1866</v>
      </c>
      <c r="B237" s="5" t="inlineStr">
        <is>
          <t>IMG_0092</t>
        </is>
      </c>
      <c r="C237" s="5" t="inlineStr">
        <is>
          <t>CLASS I: PIPEWORK - PIPES</t>
        </is>
      </c>
      <c r="D237" s="5" t="inlineStr">
        <is>
          <t>RESOURCES - MATERIAL</t>
        </is>
      </c>
      <c r="E237" s="5" t="inlineStr">
        <is>
          <t>Taper reducer pipes</t>
        </is>
      </c>
      <c r="F237" s="5" t="inlineStr">
        <is>
          <t>150 mm dia.</t>
        </is>
      </c>
      <c r="G237" s="8" t="n"/>
      <c r="H237" s="8" t="n"/>
      <c r="I237" s="8" t="n">
        <v>82.67</v>
      </c>
    </row>
    <row r="238">
      <c r="A238" s="4" t="n">
        <v>1867</v>
      </c>
      <c r="B238" s="5" t="inlineStr">
        <is>
          <t>IMG_0092</t>
        </is>
      </c>
      <c r="C238" s="5" t="inlineStr">
        <is>
          <t>CLASS I: PIPEWORK - PIPES</t>
        </is>
      </c>
      <c r="D238" s="5" t="inlineStr">
        <is>
          <t>RESOURCES - MATERIAL</t>
        </is>
      </c>
      <c r="E238" s="5" t="inlineStr">
        <is>
          <t>Taper reducer pipes</t>
        </is>
      </c>
      <c r="F238" s="5" t="inlineStr">
        <is>
          <t>250 mm dia.</t>
        </is>
      </c>
      <c r="G238" s="8" t="n"/>
      <c r="H238" s="8" t="n"/>
      <c r="I238" s="8" t="n">
        <v>246.99</v>
      </c>
    </row>
    <row r="239">
      <c r="A239" s="4" t="n">
        <v>1870</v>
      </c>
      <c r="B239" s="5" t="inlineStr">
        <is>
          <t>IMG_0092</t>
        </is>
      </c>
      <c r="C239" s="5" t="inlineStr">
        <is>
          <t>CLASS I: PIPEWORK - PIPES</t>
        </is>
      </c>
      <c r="D239" s="5" t="inlineStr">
        <is>
          <t>RESOURCES - PLANT</t>
        </is>
      </c>
      <c r="E239" s="5" t="inlineStr">
        <is>
          <t>Plant Resources Build-up Rate; Field drains</t>
        </is>
      </c>
      <c r="F239" s="5" t="inlineStr">
        <is>
          <t>0.4 m3 hydraulic backacter</t>
        </is>
      </c>
      <c r="G239" s="8" t="n">
        <v>77.52</v>
      </c>
      <c r="H239" s="8" t="n"/>
      <c r="I239" s="8" t="n"/>
    </row>
    <row r="240">
      <c r="A240" s="4" t="n">
        <v>1871</v>
      </c>
      <c r="B240" s="5" t="inlineStr">
        <is>
          <t>IMG_0092</t>
        </is>
      </c>
      <c r="C240" s="5" t="inlineStr">
        <is>
          <t>CLASS I: PIPEWORK - PIPES</t>
        </is>
      </c>
      <c r="D240" s="5" t="inlineStr">
        <is>
          <t>RESOURCES - PLANT</t>
        </is>
      </c>
      <c r="E240" s="5" t="inlineStr">
        <is>
          <t>Plant Resources Build-up Rate; Field drains</t>
        </is>
      </c>
      <c r="F240" s="5" t="inlineStr">
        <is>
          <t>2t dumper - 30% of time</t>
        </is>
      </c>
      <c r="G240" s="8" t="n">
        <v>3.92</v>
      </c>
      <c r="H240" s="8" t="n"/>
      <c r="I240" s="8" t="n"/>
    </row>
    <row r="241">
      <c r="A241" s="4" t="n">
        <v>1872</v>
      </c>
      <c r="B241" s="5" t="inlineStr">
        <is>
          <t>IMG_0092</t>
        </is>
      </c>
      <c r="C241" s="5" t="inlineStr">
        <is>
          <t>CLASS I: PIPEWORK - PIPES</t>
        </is>
      </c>
      <c r="D241" s="5" t="inlineStr">
        <is>
          <t>RESOURCES - PLANT</t>
        </is>
      </c>
      <c r="E241" s="5" t="inlineStr">
        <is>
          <t>Plant Resources Build-up Rate; Field drains</t>
        </is>
      </c>
      <c r="F241" s="5" t="inlineStr">
        <is>
          <t>Stihl saw, 12", petrol - 30% of time</t>
        </is>
      </c>
      <c r="G241" s="8" t="n">
        <v>0.37</v>
      </c>
      <c r="H241" s="8" t="n"/>
      <c r="I241" s="8" t="n"/>
    </row>
    <row r="242">
      <c r="A242" s="4" t="n">
        <v>1873</v>
      </c>
      <c r="B242" s="5" t="inlineStr">
        <is>
          <t>IMG_0092</t>
        </is>
      </c>
      <c r="C242" s="5" t="inlineStr">
        <is>
          <t>CLASS I: PIPEWORK - PIPES</t>
        </is>
      </c>
      <c r="D242" s="5" t="inlineStr">
        <is>
          <t>RESOURCES - PLANT</t>
        </is>
      </c>
      <c r="E242" s="5" t="inlineStr">
        <is>
          <t>Plant Resources Build-up Rate; Field drains</t>
        </is>
      </c>
      <c r="F242" s="5" t="inlineStr">
        <is>
          <t>small pump - 30% of time</t>
        </is>
      </c>
      <c r="G242" s="8" t="n">
        <v>2.36</v>
      </c>
      <c r="H242" s="8" t="n"/>
      <c r="I242" s="8" t="n"/>
    </row>
    <row r="243">
      <c r="A243" s="42" t="n">
        <v>1874</v>
      </c>
      <c r="B243" s="43" t="inlineStr">
        <is>
          <t>IMG_0092</t>
        </is>
      </c>
      <c r="C243" s="43" t="inlineStr">
        <is>
          <t>CLASS I: PIPEWORK - PIPES</t>
        </is>
      </c>
      <c r="D243" s="43" t="inlineStr">
        <is>
          <t>RESOURCES - PLANT</t>
        </is>
      </c>
      <c r="E243" s="43" t="inlineStr">
        <is>
          <t>Plant Resources Build-up Rate; Field drains</t>
        </is>
      </c>
      <c r="F243" s="43" t="inlineStr">
        <is>
          <t>Total Rate/Hour</t>
        </is>
      </c>
      <c r="G243" s="44" t="n">
        <v>84.16</v>
      </c>
      <c r="H243" s="44" t="n"/>
      <c r="I243" s="44" t="n"/>
    </row>
    <row r="244">
      <c r="A244" s="4" t="n">
        <v>1877</v>
      </c>
      <c r="B244" s="5" t="inlineStr">
        <is>
          <t>IMG_0092</t>
        </is>
      </c>
      <c r="C244" s="5" t="inlineStr">
        <is>
          <t>CLASS I: PIPEWORK - PIPES</t>
        </is>
      </c>
      <c r="D244" s="5" t="inlineStr">
        <is>
          <t>RESOURCES - PLANT</t>
        </is>
      </c>
      <c r="E244" s="5" t="inlineStr">
        <is>
          <t>Field drains (not in trenches)</t>
        </is>
      </c>
      <c r="F244" s="5" t="inlineStr">
        <is>
          <t>2t dumper - 30% of time</t>
        </is>
      </c>
      <c r="G244" s="8" t="n">
        <v>3.92</v>
      </c>
      <c r="H244" s="8" t="n"/>
      <c r="I244" s="8" t="n"/>
    </row>
    <row r="245">
      <c r="A245" s="4" t="n">
        <v>1878</v>
      </c>
      <c r="B245" s="5" t="inlineStr">
        <is>
          <t>IMG_0092</t>
        </is>
      </c>
      <c r="C245" s="5" t="inlineStr">
        <is>
          <t>CLASS I: PIPEWORK - PIPES</t>
        </is>
      </c>
      <c r="D245" s="5" t="inlineStr">
        <is>
          <t>RESOURCES - PLANT</t>
        </is>
      </c>
      <c r="E245" s="5" t="inlineStr">
        <is>
          <t>Field drains (not in trenches)</t>
        </is>
      </c>
      <c r="F245" s="5" t="inlineStr">
        <is>
          <t>Stihl saw, 12", petrol - 30% of time</t>
        </is>
      </c>
      <c r="G245" s="8" t="n">
        <v>0.37</v>
      </c>
      <c r="H245" s="8" t="n"/>
      <c r="I245" s="8" t="n"/>
    </row>
    <row r="246">
      <c r="A246" s="42" t="n">
        <v>1879</v>
      </c>
      <c r="B246" s="43" t="inlineStr">
        <is>
          <t>IMG_0092</t>
        </is>
      </c>
      <c r="C246" s="43" t="inlineStr">
        <is>
          <t>CLASS I: PIPEWORK - PIPES</t>
        </is>
      </c>
      <c r="D246" s="43" t="inlineStr">
        <is>
          <t>RESOURCES - PLANT</t>
        </is>
      </c>
      <c r="E246" s="43" t="inlineStr">
        <is>
          <t>Field drains (not in trenches)</t>
        </is>
      </c>
      <c r="F246" s="43" t="inlineStr">
        <is>
          <t>Total Rate/Hour</t>
        </is>
      </c>
      <c r="G246" s="44" t="n">
        <v>4.28</v>
      </c>
      <c r="H246" s="44" t="n"/>
      <c r="I246" s="44" t="n"/>
    </row>
    <row r="247">
      <c r="A247" s="4" t="n">
        <v>1881</v>
      </c>
      <c r="B247" s="5" t="inlineStr">
        <is>
          <t>IMG_0092</t>
        </is>
      </c>
      <c r="C247" s="5" t="inlineStr">
        <is>
          <t>CLASS I: PIPEWORK - PIPES</t>
        </is>
      </c>
      <c r="D247" s="5" t="inlineStr">
        <is>
          <t>RESOURCES - PLANT</t>
        </is>
      </c>
      <c r="E247" s="5" t="inlineStr">
        <is>
          <t>Drains/sewers (small bore)</t>
        </is>
      </c>
      <c r="F247" s="5" t="inlineStr">
        <is>
          <t>1.0 m3 hydraulic backacter</t>
        </is>
      </c>
      <c r="G247" s="8" t="n">
        <v>117.01</v>
      </c>
      <c r="H247" s="8" t="n"/>
      <c r="I247" s="8" t="n"/>
    </row>
    <row r="248">
      <c r="A248" s="4" t="n">
        <v>1882</v>
      </c>
      <c r="B248" s="5" t="inlineStr">
        <is>
          <t>IMG_0092</t>
        </is>
      </c>
      <c r="C248" s="5" t="inlineStr">
        <is>
          <t>CLASS I: PIPEWORK - PIPES</t>
        </is>
      </c>
      <c r="D248" s="5" t="inlineStr">
        <is>
          <t>RESOURCES - PLANT</t>
        </is>
      </c>
      <c r="E248" s="5" t="inlineStr">
        <is>
          <t>Drains/sewers (small bore)</t>
        </is>
      </c>
      <c r="F248" s="5" t="inlineStr">
        <is>
          <t>2t dumper - 30% of time</t>
        </is>
      </c>
      <c r="G248" s="8" t="n">
        <v>3.92</v>
      </c>
      <c r="H248" s="8" t="n"/>
      <c r="I248" s="8" t="n"/>
    </row>
    <row r="249">
      <c r="A249" s="4" t="n">
        <v>1883</v>
      </c>
      <c r="B249" s="5" t="inlineStr">
        <is>
          <t>IMG_0092</t>
        </is>
      </c>
      <c r="C249" s="5" t="inlineStr">
        <is>
          <t>CLASS I: PIPEWORK - PIPES</t>
        </is>
      </c>
      <c r="D249" s="5" t="inlineStr">
        <is>
          <t>RESOURCES - PLANT</t>
        </is>
      </c>
      <c r="E249" s="5" t="inlineStr">
        <is>
          <t>Drains/sewers (small bore)</t>
        </is>
      </c>
      <c r="F249" s="5" t="inlineStr">
        <is>
          <t>2.80 m3/min compressor, 2 tool - 30% of time</t>
        </is>
      </c>
      <c r="G249" s="8" t="n">
        <v>6.03</v>
      </c>
      <c r="H249" s="8" t="n"/>
      <c r="I249" s="8" t="n"/>
    </row>
    <row r="250">
      <c r="A250" s="4" t="n">
        <v>1884</v>
      </c>
      <c r="B250" s="5" t="inlineStr">
        <is>
          <t>IMG_0092</t>
        </is>
      </c>
      <c r="C250" s="5" t="inlineStr">
        <is>
          <t>CLASS I: PIPEWORK - PIPES</t>
        </is>
      </c>
      <c r="D250" s="5" t="inlineStr">
        <is>
          <t>RESOURCES - PLANT</t>
        </is>
      </c>
      <c r="E250" s="5" t="inlineStr">
        <is>
          <t>Drains/sewers (small bore)</t>
        </is>
      </c>
      <c r="F250" s="5" t="inlineStr">
        <is>
          <t>disc saw - 30% of time</t>
        </is>
      </c>
      <c r="G250" s="8" t="n">
        <v>0.43</v>
      </c>
      <c r="H250" s="8" t="n"/>
      <c r="I250" s="8" t="n"/>
    </row>
    <row r="251">
      <c r="A251" s="4" t="n">
        <v>1885</v>
      </c>
      <c r="B251" s="5" t="inlineStr">
        <is>
          <t>IMG_0092</t>
        </is>
      </c>
      <c r="C251" s="5" t="inlineStr">
        <is>
          <t>CLASS I: PIPEWORK - PIPES</t>
        </is>
      </c>
      <c r="D251" s="5" t="inlineStr">
        <is>
          <t>RESOURCES - PLANT</t>
        </is>
      </c>
      <c r="E251" s="5" t="inlineStr">
        <is>
          <t>Drains/sewers (small bore)</t>
        </is>
      </c>
      <c r="F251" s="5" t="inlineStr">
        <is>
          <t>extra 50ft / 15 m hose - 30% of time</t>
        </is>
      </c>
      <c r="G251" s="8" t="n">
        <v>0.16</v>
      </c>
      <c r="H251" s="8" t="n"/>
      <c r="I251" s="8" t="n"/>
    </row>
    <row r="252">
      <c r="A252" s="4" t="n">
        <v>1886</v>
      </c>
      <c r="B252" s="5" t="inlineStr">
        <is>
          <t>IMG_0092</t>
        </is>
      </c>
      <c r="C252" s="5" t="inlineStr">
        <is>
          <t>CLASS I: PIPEWORK - PIPES</t>
        </is>
      </c>
      <c r="D252" s="5" t="inlineStr">
        <is>
          <t>RESOURCES - PLANT</t>
        </is>
      </c>
      <c r="E252" s="5" t="inlineStr">
        <is>
          <t>Drains/sewers (small bore)</t>
        </is>
      </c>
      <c r="F252" s="5" t="inlineStr">
        <is>
          <t>small pump - 30% of time</t>
        </is>
      </c>
      <c r="G252" s="8" t="n">
        <v>2.36</v>
      </c>
      <c r="H252" s="8" t="n"/>
      <c r="I252" s="8" t="n"/>
    </row>
    <row r="253">
      <c r="A253" s="4" t="n">
        <v>1887</v>
      </c>
      <c r="B253" s="5" t="inlineStr">
        <is>
          <t>IMG_0092</t>
        </is>
      </c>
      <c r="C253" s="5" t="inlineStr">
        <is>
          <t>CLASS I: PIPEWORK - PIPES</t>
        </is>
      </c>
      <c r="D253" s="5" t="inlineStr">
        <is>
          <t>RESOURCES - PLANT</t>
        </is>
      </c>
      <c r="E253" s="5" t="inlineStr">
        <is>
          <t>Drains/sewers (small bore)</t>
        </is>
      </c>
      <c r="F253" s="5" t="inlineStr">
        <is>
          <t>sundry tools - 30% of time</t>
        </is>
      </c>
      <c r="G253" s="8" t="n">
        <v>0.57</v>
      </c>
      <c r="H253" s="8" t="n"/>
      <c r="I253" s="8" t="n"/>
    </row>
    <row r="254">
      <c r="A254" s="42" t="n">
        <v>1888</v>
      </c>
      <c r="B254" s="43" t="inlineStr">
        <is>
          <t>IMG_0092</t>
        </is>
      </c>
      <c r="C254" s="43" t="inlineStr">
        <is>
          <t>CLASS I: PIPEWORK - PIPES</t>
        </is>
      </c>
      <c r="D254" s="43" t="inlineStr">
        <is>
          <t>RESOURCES - PLANT</t>
        </is>
      </c>
      <c r="E254" s="43" t="inlineStr">
        <is>
          <t>Drains/sewers (small bore)</t>
        </is>
      </c>
      <c r="F254" s="43" t="inlineStr">
        <is>
          <t>Total Rate/Hour</t>
        </is>
      </c>
      <c r="G254" s="44" t="n">
        <v>130.47</v>
      </c>
      <c r="H254" s="44" t="n"/>
      <c r="I254" s="44" t="n"/>
    </row>
    <row r="255">
      <c r="A255" s="4" t="n">
        <v>1891</v>
      </c>
      <c r="B255" s="5" t="inlineStr">
        <is>
          <t>IMG_0092</t>
        </is>
      </c>
      <c r="C255" s="5" t="inlineStr">
        <is>
          <t>CLASS I: PIPEWORK - PIPES</t>
        </is>
      </c>
      <c r="D255" s="5" t="inlineStr">
        <is>
          <t>RESOURCES - PLANT</t>
        </is>
      </c>
      <c r="E255" s="5" t="inlineStr">
        <is>
          <t>Drains/sewers (small bore - not in trenches)</t>
        </is>
      </c>
      <c r="F255" s="5" t="inlineStr">
        <is>
          <t>2t dumper - 30% of time</t>
        </is>
      </c>
      <c r="G255" s="8" t="n">
        <v>3.92</v>
      </c>
      <c r="H255" s="8" t="n"/>
      <c r="I255" s="8" t="n"/>
    </row>
    <row r="256">
      <c r="A256" s="4" t="n">
        <v>1892</v>
      </c>
      <c r="B256" s="5" t="inlineStr">
        <is>
          <t>IMG_0092</t>
        </is>
      </c>
      <c r="C256" s="5" t="inlineStr">
        <is>
          <t>CLASS I: PIPEWORK - PIPES</t>
        </is>
      </c>
      <c r="D256" s="5" t="inlineStr">
        <is>
          <t>RESOURCES - PLANT</t>
        </is>
      </c>
      <c r="E256" s="5" t="inlineStr">
        <is>
          <t>Drains/sewers (small bore - not in trenches)</t>
        </is>
      </c>
      <c r="F256" s="5" t="inlineStr">
        <is>
          <t>2.80 m3/min compressor, 2 tool - 30% of time</t>
        </is>
      </c>
      <c r="G256" s="8" t="n">
        <v>6.03</v>
      </c>
      <c r="H256" s="8" t="n"/>
      <c r="I256" s="8" t="n"/>
    </row>
    <row r="257">
      <c r="A257" s="4" t="n">
        <v>1893</v>
      </c>
      <c r="B257" s="5" t="inlineStr">
        <is>
          <t>IMG_0092</t>
        </is>
      </c>
      <c r="C257" s="5" t="inlineStr">
        <is>
          <t>CLASS I: PIPEWORK - PIPES</t>
        </is>
      </c>
      <c r="D257" s="5" t="inlineStr">
        <is>
          <t>RESOURCES - PLANT</t>
        </is>
      </c>
      <c r="E257" s="5" t="inlineStr">
        <is>
          <t>Drains/sewers (small bore - not in trenches)</t>
        </is>
      </c>
      <c r="F257" s="5" t="inlineStr">
        <is>
          <t>disc saw - 30% of time</t>
        </is>
      </c>
      <c r="G257" s="8" t="n">
        <v>0.43</v>
      </c>
      <c r="H257" s="8" t="n"/>
      <c r="I257" s="8" t="n"/>
    </row>
    <row r="258">
      <c r="A258" s="4" t="n">
        <v>1894</v>
      </c>
      <c r="B258" s="5" t="inlineStr">
        <is>
          <t>IMG_0092</t>
        </is>
      </c>
      <c r="C258" s="5" t="inlineStr">
        <is>
          <t>CLASS I: PIPEWORK - PIPES</t>
        </is>
      </c>
      <c r="D258" s="5" t="inlineStr">
        <is>
          <t>RESOURCES - PLANT</t>
        </is>
      </c>
      <c r="E258" s="5" t="inlineStr">
        <is>
          <t>Drains/sewers (small bore - not in trenches)</t>
        </is>
      </c>
      <c r="F258" s="5" t="inlineStr">
        <is>
          <t>extra 50ft / 15 m hose - 30% of time</t>
        </is>
      </c>
      <c r="G258" s="8" t="n">
        <v>0.16</v>
      </c>
      <c r="H258" s="8" t="n"/>
      <c r="I258" s="8" t="n"/>
    </row>
    <row r="259">
      <c r="A259" s="4" t="n">
        <v>1895</v>
      </c>
      <c r="B259" s="5" t="inlineStr">
        <is>
          <t>IMG_0092</t>
        </is>
      </c>
      <c r="C259" s="5" t="inlineStr">
        <is>
          <t>CLASS I: PIPEWORK - PIPES</t>
        </is>
      </c>
      <c r="D259" s="5" t="inlineStr">
        <is>
          <t>RESOURCES - PLANT</t>
        </is>
      </c>
      <c r="E259" s="5" t="inlineStr">
        <is>
          <t>Drains/sewers (small bore - not in trenches)</t>
        </is>
      </c>
      <c r="F259" s="5" t="inlineStr">
        <is>
          <t>sundry tools - 30% of time</t>
        </is>
      </c>
      <c r="G259" s="8" t="n">
        <v>0.57</v>
      </c>
      <c r="H259" s="8" t="n"/>
      <c r="I259" s="8" t="n"/>
    </row>
    <row r="260">
      <c r="A260" s="42" t="n">
        <v>1896</v>
      </c>
      <c r="B260" s="43" t="inlineStr">
        <is>
          <t>IMG_0092</t>
        </is>
      </c>
      <c r="C260" s="43" t="inlineStr">
        <is>
          <t>CLASS I: PIPEWORK - PIPES</t>
        </is>
      </c>
      <c r="D260" s="43" t="inlineStr">
        <is>
          <t>RESOURCES - PLANT</t>
        </is>
      </c>
      <c r="E260" s="43" t="inlineStr">
        <is>
          <t>Drains/sewers (small bore - not in trenches)</t>
        </is>
      </c>
      <c r="F260" s="43" t="inlineStr">
        <is>
          <t>Total Rate/Hour</t>
        </is>
      </c>
      <c r="G260" s="44" t="n">
        <v>11.1</v>
      </c>
      <c r="H260" s="44" t="n"/>
      <c r="I260" s="44" t="n"/>
    </row>
    <row r="261">
      <c r="A261" s="4" t="n">
        <v>1898</v>
      </c>
      <c r="B261" s="5" t="inlineStr">
        <is>
          <t>IMG_0092</t>
        </is>
      </c>
      <c r="C261" s="5" t="inlineStr">
        <is>
          <t>CLASS I: PIPEWORK - PIPES</t>
        </is>
      </c>
      <c r="D261" s="5" t="inlineStr">
        <is>
          <t>RESOURCES - PLANT</t>
        </is>
      </c>
      <c r="E261" s="5" t="inlineStr">
        <is>
          <t>Drains/sewers (large bore)</t>
        </is>
      </c>
      <c r="F261" s="5" t="inlineStr">
        <is>
          <t>1.0 m3 hydraulic backacter</t>
        </is>
      </c>
      <c r="G261" s="8" t="n">
        <v>117.01</v>
      </c>
      <c r="H261" s="8" t="n"/>
      <c r="I261" s="8" t="n"/>
    </row>
    <row r="262">
      <c r="A262" s="4" t="n">
        <v>1899</v>
      </c>
      <c r="B262" s="5" t="inlineStr">
        <is>
          <t>IMG_0092</t>
        </is>
      </c>
      <c r="C262" s="5" t="inlineStr">
        <is>
          <t>CLASS I: PIPEWORK - PIPES</t>
        </is>
      </c>
      <c r="D262" s="5" t="inlineStr">
        <is>
          <t>RESOURCES - PLANT</t>
        </is>
      </c>
      <c r="E262" s="5" t="inlineStr">
        <is>
          <t>Drains/sewers (large bore)</t>
        </is>
      </c>
      <c r="F262" s="5" t="inlineStr">
        <is>
          <t>20t crawler crane - 50% of time</t>
        </is>
      </c>
      <c r="G262" s="8" t="n">
        <v>29.52</v>
      </c>
      <c r="H262" s="8" t="n"/>
      <c r="I262" s="8" t="n"/>
    </row>
    <row r="263">
      <c r="A263" s="4" t="n">
        <v>1900</v>
      </c>
      <c r="B263" s="5" t="inlineStr">
        <is>
          <t>IMG_0092</t>
        </is>
      </c>
      <c r="C263" s="5" t="inlineStr">
        <is>
          <t>CLASS I: PIPEWORK - PIPES</t>
        </is>
      </c>
      <c r="D263" s="5" t="inlineStr">
        <is>
          <t>RESOURCES - PLANT</t>
        </is>
      </c>
      <c r="E263" s="5" t="inlineStr">
        <is>
          <t>Drains/sewers (large bore)</t>
        </is>
      </c>
      <c r="F263" s="5" t="inlineStr">
        <is>
          <t>2t dumper (30% of time)</t>
        </is>
      </c>
      <c r="G263" s="8" t="n">
        <v>3.92</v>
      </c>
      <c r="H263" s="8" t="n"/>
      <c r="I263" s="8" t="n"/>
    </row>
    <row r="264">
      <c r="A264" s="4" t="n">
        <v>1901</v>
      </c>
      <c r="B264" s="5" t="inlineStr">
        <is>
          <t>IMG_0092</t>
        </is>
      </c>
      <c r="C264" s="5" t="inlineStr">
        <is>
          <t>CLASS I: PIPEWORK - PIPES</t>
        </is>
      </c>
      <c r="D264" s="5" t="inlineStr">
        <is>
          <t>RESOURCES - PLANT</t>
        </is>
      </c>
      <c r="E264" s="5" t="inlineStr">
        <is>
          <t>Drains/sewers (large bore)</t>
        </is>
      </c>
      <c r="F264" s="5" t="inlineStr">
        <is>
          <t>2.80 m3/min compressor, 2 tool - 30% of time</t>
        </is>
      </c>
      <c r="G264" s="8" t="n">
        <v>6.03</v>
      </c>
      <c r="H264" s="8" t="n"/>
      <c r="I264" s="8" t="n"/>
    </row>
    <row r="265">
      <c r="A265" s="4" t="n">
        <v>1902</v>
      </c>
      <c r="B265" s="5" t="inlineStr">
        <is>
          <t>IMG_0092</t>
        </is>
      </c>
      <c r="C265" s="5" t="inlineStr">
        <is>
          <t>CLASS I: PIPEWORK - PIPES</t>
        </is>
      </c>
      <c r="D265" s="5" t="inlineStr">
        <is>
          <t>RESOURCES - PLANT</t>
        </is>
      </c>
      <c r="E265" s="5" t="inlineStr">
        <is>
          <t>Drains/sewers (large bore)</t>
        </is>
      </c>
      <c r="F265" s="5" t="inlineStr">
        <is>
          <t>disc saw - 30% of time</t>
        </is>
      </c>
      <c r="G265" s="8" t="n">
        <v>0.43</v>
      </c>
      <c r="H265" s="8" t="n"/>
      <c r="I265" s="8" t="n"/>
    </row>
    <row r="266">
      <c r="A266" s="4" t="n">
        <v>1903</v>
      </c>
      <c r="B266" s="5" t="inlineStr">
        <is>
          <t>IMG_0092</t>
        </is>
      </c>
      <c r="C266" s="5" t="inlineStr">
        <is>
          <t>CLASS I: PIPEWORK - PIPES</t>
        </is>
      </c>
      <c r="D266" s="5" t="inlineStr">
        <is>
          <t>RESOURCES - PLANT</t>
        </is>
      </c>
      <c r="E266" s="5" t="inlineStr">
        <is>
          <t>Drains/sewers (large bore)</t>
        </is>
      </c>
      <c r="F266" s="5" t="inlineStr">
        <is>
          <t>extra 50ft / 15 m hose - 30% of time</t>
        </is>
      </c>
      <c r="G266" s="8" t="n">
        <v>0.16</v>
      </c>
      <c r="H266" s="8" t="n"/>
      <c r="I266" s="8" t="n"/>
    </row>
    <row r="267">
      <c r="A267" s="4" t="n">
        <v>1904</v>
      </c>
      <c r="B267" s="5" t="inlineStr">
        <is>
          <t>IMG_0092</t>
        </is>
      </c>
      <c r="C267" s="5" t="inlineStr">
        <is>
          <t>CLASS I: PIPEWORK - PIPES</t>
        </is>
      </c>
      <c r="D267" s="5" t="inlineStr">
        <is>
          <t>RESOURCES - PLANT</t>
        </is>
      </c>
      <c r="E267" s="5" t="inlineStr">
        <is>
          <t>Drains/sewers (large bore)</t>
        </is>
      </c>
      <c r="F267" s="5" t="inlineStr">
        <is>
          <t>small pump - 30% of time</t>
        </is>
      </c>
      <c r="G267" s="8" t="n">
        <v>2.36</v>
      </c>
      <c r="H267" s="8" t="n"/>
      <c r="I267" s="8" t="n"/>
    </row>
    <row r="268">
      <c r="A268" s="4" t="n">
        <v>1905</v>
      </c>
      <c r="B268" s="5" t="inlineStr">
        <is>
          <t>IMG_0092</t>
        </is>
      </c>
      <c r="C268" s="5" t="inlineStr">
        <is>
          <t>CLASS I: PIPEWORK - PIPES</t>
        </is>
      </c>
      <c r="D268" s="5" t="inlineStr">
        <is>
          <t>RESOURCES - PLANT</t>
        </is>
      </c>
      <c r="E268" s="5" t="inlineStr">
        <is>
          <t>Drains/sewers (large bore)</t>
        </is>
      </c>
      <c r="F268" s="5" t="inlineStr">
        <is>
          <t>sundry tools - 30% of time</t>
        </is>
      </c>
      <c r="G268" s="8" t="n">
        <v>0.57</v>
      </c>
      <c r="H268" s="8" t="n"/>
      <c r="I268" s="8" t="n"/>
    </row>
    <row r="269">
      <c r="A269" s="42" t="n">
        <v>1906</v>
      </c>
      <c r="B269" s="43" t="inlineStr">
        <is>
          <t>IMG_0092</t>
        </is>
      </c>
      <c r="C269" s="43" t="inlineStr">
        <is>
          <t>CLASS I: PIPEWORK - PIPES</t>
        </is>
      </c>
      <c r="D269" s="43" t="inlineStr">
        <is>
          <t>RESOURCES - PLANT</t>
        </is>
      </c>
      <c r="E269" s="43" t="inlineStr">
        <is>
          <t>Drains/sewers (large bore)</t>
        </is>
      </c>
      <c r="F269" s="43" t="inlineStr">
        <is>
          <t>Total Rate/Hour</t>
        </is>
      </c>
      <c r="G269" s="44" t="n">
        <v>159.99</v>
      </c>
      <c r="H269" s="44" t="n"/>
      <c r="I269" s="44" t="n"/>
    </row>
    <row r="270">
      <c r="A270" s="4" t="n">
        <v>1909</v>
      </c>
      <c r="B270" s="5" t="inlineStr">
        <is>
          <t>IMG_0092</t>
        </is>
      </c>
      <c r="C270" s="5" t="inlineStr">
        <is>
          <t>CLASS I: PIPEWORK - PIPES</t>
        </is>
      </c>
      <c r="D270" s="5" t="inlineStr">
        <is>
          <t>RESOURCES - PLANT</t>
        </is>
      </c>
      <c r="E270" s="5" t="inlineStr">
        <is>
          <t>Drains/sewers (large bore - not in trenches)</t>
        </is>
      </c>
      <c r="F270" s="5" t="inlineStr">
        <is>
          <t>2t dumper (30% of time)</t>
        </is>
      </c>
      <c r="G270" s="8" t="n">
        <v>3.92</v>
      </c>
      <c r="H270" s="8" t="n"/>
      <c r="I270" s="8" t="n"/>
    </row>
    <row r="271">
      <c r="A271" s="4" t="n">
        <v>1910</v>
      </c>
      <c r="B271" s="5" t="inlineStr">
        <is>
          <t>IMG_0092</t>
        </is>
      </c>
      <c r="C271" s="5" t="inlineStr">
        <is>
          <t>CLASS I: PIPEWORK - PIPES</t>
        </is>
      </c>
      <c r="D271" s="5" t="inlineStr">
        <is>
          <t>RESOURCES - PLANT</t>
        </is>
      </c>
      <c r="E271" s="5" t="inlineStr">
        <is>
          <t>Drains/sewers (large bore - not in trenches)</t>
        </is>
      </c>
      <c r="F271" s="5" t="inlineStr">
        <is>
          <t>2.80 m3/min compressor, 2 tool - 30% of time</t>
        </is>
      </c>
      <c r="G271" s="8" t="n">
        <v>6.03</v>
      </c>
      <c r="H271" s="8" t="n"/>
      <c r="I271" s="8" t="n"/>
    </row>
    <row r="272">
      <c r="A272" s="4" t="n">
        <v>1911</v>
      </c>
      <c r="B272" s="5" t="inlineStr">
        <is>
          <t>IMG_0092</t>
        </is>
      </c>
      <c r="C272" s="5" t="inlineStr">
        <is>
          <t>CLASS I: PIPEWORK - PIPES</t>
        </is>
      </c>
      <c r="D272" s="5" t="inlineStr">
        <is>
          <t>RESOURCES - PLANT</t>
        </is>
      </c>
      <c r="E272" s="5" t="inlineStr">
        <is>
          <t>Drains/sewers (large bore - not in trenches)</t>
        </is>
      </c>
      <c r="F272" s="5" t="inlineStr">
        <is>
          <t>disc saw - 30% of time</t>
        </is>
      </c>
      <c r="G272" s="8" t="n">
        <v>0.43</v>
      </c>
      <c r="H272" s="8" t="n"/>
      <c r="I272" s="8" t="n"/>
    </row>
    <row r="273">
      <c r="A273" s="4" t="n">
        <v>1912</v>
      </c>
      <c r="B273" s="5" t="inlineStr">
        <is>
          <t>IMG_0092</t>
        </is>
      </c>
      <c r="C273" s="5" t="inlineStr">
        <is>
          <t>CLASS I: PIPEWORK - PIPES</t>
        </is>
      </c>
      <c r="D273" s="5" t="inlineStr">
        <is>
          <t>RESOURCES - PLANT</t>
        </is>
      </c>
      <c r="E273" s="5" t="inlineStr">
        <is>
          <t>Drains/sewers (large bore - not in trenches)</t>
        </is>
      </c>
      <c r="F273" s="5" t="inlineStr">
        <is>
          <t>extra 50ft / 15 m hose - 30% of time</t>
        </is>
      </c>
      <c r="G273" s="8" t="n">
        <v>0.16</v>
      </c>
      <c r="H273" s="8" t="n"/>
      <c r="I273" s="8" t="n"/>
    </row>
    <row r="274">
      <c r="A274" s="4" t="n">
        <v>1913</v>
      </c>
      <c r="B274" s="5" t="inlineStr">
        <is>
          <t>IMG_0092</t>
        </is>
      </c>
      <c r="C274" s="5" t="inlineStr">
        <is>
          <t>CLASS I: PIPEWORK - PIPES</t>
        </is>
      </c>
      <c r="D274" s="5" t="inlineStr">
        <is>
          <t>RESOURCES - PLANT</t>
        </is>
      </c>
      <c r="E274" s="5" t="inlineStr">
        <is>
          <t>Drains/sewers (large bore - not in trenches)</t>
        </is>
      </c>
      <c r="F274" s="5" t="inlineStr">
        <is>
          <t>sundry tools - 30% of time</t>
        </is>
      </c>
      <c r="G274" s="8" t="n">
        <v>0.57</v>
      </c>
      <c r="H274" s="8" t="n"/>
      <c r="I274" s="8" t="n"/>
    </row>
    <row r="275">
      <c r="A275" s="42" t="n">
        <v>1914</v>
      </c>
      <c r="B275" s="43" t="inlineStr">
        <is>
          <t>IMG_0092</t>
        </is>
      </c>
      <c r="C275" s="43" t="inlineStr">
        <is>
          <t>CLASS I: PIPEWORK - PIPES</t>
        </is>
      </c>
      <c r="D275" s="43" t="inlineStr">
        <is>
          <t>RESOURCES - PLANT</t>
        </is>
      </c>
      <c r="E275" s="43" t="inlineStr">
        <is>
          <t>Drains/sewers (large bore - not in trenches)</t>
        </is>
      </c>
      <c r="F275" s="43" t="inlineStr">
        <is>
          <t>Total Rate/Hour</t>
        </is>
      </c>
      <c r="G275" s="44" t="n">
        <v>11.1</v>
      </c>
      <c r="H275" s="44" t="n"/>
      <c r="I275" s="44" t="n"/>
    </row>
    <row r="276">
      <c r="A276" s="4" t="n">
        <v>1917</v>
      </c>
      <c r="B276" s="5" t="inlineStr">
        <is>
          <t>IMG_0092</t>
        </is>
      </c>
      <c r="C276" s="5" t="inlineStr">
        <is>
          <t>CLASS I: PIPEWORK - PIPES</t>
        </is>
      </c>
      <c r="D276" s="5" t="inlineStr">
        <is>
          <t>RESOURCES - PLANT</t>
        </is>
      </c>
      <c r="E276" s="5" t="inlineStr">
        <is>
          <t>Trench supports</t>
        </is>
      </c>
      <c r="F276" s="5" t="inlineStr">
        <is>
          <t>ne 1.50 m deep</t>
        </is>
      </c>
      <c r="G276" s="8" t="n">
        <v>5.25</v>
      </c>
      <c r="H276" s="8" t="n"/>
      <c r="I276" s="8" t="n"/>
    </row>
    <row r="277">
      <c r="A277" s="4" t="n">
        <v>1918</v>
      </c>
      <c r="B277" s="5" t="inlineStr">
        <is>
          <t>IMG_0092</t>
        </is>
      </c>
      <c r="C277" s="5" t="inlineStr">
        <is>
          <t>CLASS I: PIPEWORK - PIPES</t>
        </is>
      </c>
      <c r="D277" s="5" t="inlineStr">
        <is>
          <t>RESOURCES - PLANT</t>
        </is>
      </c>
      <c r="E277" s="5" t="inlineStr">
        <is>
          <t>Trench supports</t>
        </is>
      </c>
      <c r="F277" s="5" t="inlineStr">
        <is>
          <t>1.50-2.00 m deep</t>
        </is>
      </c>
      <c r="G277" s="8" t="n">
        <v>7.32</v>
      </c>
      <c r="H277" s="8" t="n"/>
      <c r="I277" s="8" t="n"/>
    </row>
    <row r="278">
      <c r="A278" s="4" t="n">
        <v>1919</v>
      </c>
      <c r="B278" s="5" t="inlineStr">
        <is>
          <t>IMG_0092</t>
        </is>
      </c>
      <c r="C278" s="5" t="inlineStr">
        <is>
          <t>CLASS I: PIPEWORK - PIPES</t>
        </is>
      </c>
      <c r="D278" s="5" t="inlineStr">
        <is>
          <t>RESOURCES - PLANT</t>
        </is>
      </c>
      <c r="E278" s="5" t="inlineStr">
        <is>
          <t>Trench supports</t>
        </is>
      </c>
      <c r="F278" s="5" t="inlineStr">
        <is>
          <t>2.00-2.50 m deep</t>
        </is>
      </c>
      <c r="G278" s="8" t="n">
        <v>7</v>
      </c>
      <c r="H278" s="8" t="n"/>
      <c r="I278" s="8" t="n"/>
    </row>
    <row r="279">
      <c r="A279" s="4" t="n">
        <v>1920</v>
      </c>
      <c r="B279" s="5" t="inlineStr">
        <is>
          <t>IMG_0092</t>
        </is>
      </c>
      <c r="C279" s="5" t="inlineStr">
        <is>
          <t>CLASS I: PIPEWORK - PIPES</t>
        </is>
      </c>
      <c r="D279" s="5" t="inlineStr">
        <is>
          <t>RESOURCES - PLANT</t>
        </is>
      </c>
      <c r="E279" s="5" t="inlineStr">
        <is>
          <t>Trench supports</t>
        </is>
      </c>
      <c r="F279" s="5" t="inlineStr">
        <is>
          <t>2.50-3.00 m deep</t>
        </is>
      </c>
      <c r="G279" s="8" t="n">
        <v>8.619999999999999</v>
      </c>
      <c r="H279" s="8" t="n"/>
      <c r="I279" s="8" t="n"/>
    </row>
    <row r="280">
      <c r="A280" s="4" t="n">
        <v>1921</v>
      </c>
      <c r="B280" s="5" t="inlineStr">
        <is>
          <t>IMG_0092</t>
        </is>
      </c>
      <c r="C280" s="5" t="inlineStr">
        <is>
          <t>CLASS I: PIPEWORK - PIPES</t>
        </is>
      </c>
      <c r="D280" s="5" t="inlineStr">
        <is>
          <t>RESOURCES - PLANT</t>
        </is>
      </c>
      <c r="E280" s="5" t="inlineStr">
        <is>
          <t>Trench supports</t>
        </is>
      </c>
      <c r="F280" s="5" t="inlineStr">
        <is>
          <t>3.00-3.50 m deep</t>
        </is>
      </c>
      <c r="G280" s="8" t="n">
        <v>10.47</v>
      </c>
      <c r="H280" s="8" t="n"/>
      <c r="I280" s="8" t="n"/>
    </row>
    <row r="281">
      <c r="A281" s="4" t="n">
        <v>1922</v>
      </c>
      <c r="B281" s="5" t="inlineStr">
        <is>
          <t>IMG_0092</t>
        </is>
      </c>
      <c r="C281" s="5" t="inlineStr">
        <is>
          <t>CLASS I: PIPEWORK - PIPES</t>
        </is>
      </c>
      <c r="D281" s="5" t="inlineStr">
        <is>
          <t>RESOURCES - PLANT</t>
        </is>
      </c>
      <c r="E281" s="5" t="inlineStr">
        <is>
          <t>Trench supports</t>
        </is>
      </c>
      <c r="F281" s="5" t="inlineStr">
        <is>
          <t>3.50-4.00 m deep</t>
        </is>
      </c>
      <c r="G281" s="8" t="n">
        <v>11.53</v>
      </c>
      <c r="H281" s="8" t="n"/>
      <c r="I281" s="8" t="n"/>
    </row>
    <row r="282">
      <c r="A282" s="4" t="n">
        <v>1923</v>
      </c>
      <c r="B282" s="5" t="inlineStr">
        <is>
          <t>IMG_0092</t>
        </is>
      </c>
      <c r="C282" s="5" t="inlineStr">
        <is>
          <t>CLASS I: PIPEWORK - PIPES</t>
        </is>
      </c>
      <c r="D282" s="5" t="inlineStr">
        <is>
          <t>RESOURCES - PLANT</t>
        </is>
      </c>
      <c r="E282" s="5" t="inlineStr">
        <is>
          <t>Trench supports</t>
        </is>
      </c>
      <c r="F282" s="5" t="inlineStr">
        <is>
          <t>4.00-4.50 m deep</t>
        </is>
      </c>
      <c r="G282" s="8" t="n">
        <v>12.91</v>
      </c>
      <c r="H282" s="8" t="n"/>
      <c r="I282" s="8" t="n"/>
    </row>
    <row r="283">
      <c r="A283" s="4" t="n">
        <v>1924</v>
      </c>
      <c r="B283" s="5" t="inlineStr">
        <is>
          <t>IMG_0092</t>
        </is>
      </c>
      <c r="C283" s="5" t="inlineStr">
        <is>
          <t>CLASS I: PIPEWORK - PIPES</t>
        </is>
      </c>
      <c r="D283" s="5" t="inlineStr">
        <is>
          <t>RESOURCES - PLANT</t>
        </is>
      </c>
      <c r="E283" s="5" t="inlineStr">
        <is>
          <t>Trench supports</t>
        </is>
      </c>
      <c r="F283" s="5" t="inlineStr">
        <is>
          <t>4.50-5.00 m deep</t>
        </is>
      </c>
      <c r="G283" s="8" t="n">
        <v>22.88</v>
      </c>
      <c r="H283" s="8" t="n"/>
      <c r="I283" s="8" t="n"/>
    </row>
    <row r="284">
      <c r="A284" s="4" t="n">
        <v>1925</v>
      </c>
      <c r="B284" s="5" t="inlineStr">
        <is>
          <t>IMG_0092</t>
        </is>
      </c>
      <c r="C284" s="5" t="inlineStr">
        <is>
          <t>CLASS I: PIPEWORK - PIPES</t>
        </is>
      </c>
      <c r="D284" s="5" t="inlineStr">
        <is>
          <t>RESOURCES - PLANT</t>
        </is>
      </c>
      <c r="E284" s="5" t="inlineStr">
        <is>
          <t>Trench supports</t>
        </is>
      </c>
      <c r="F284" s="5" t="inlineStr">
        <is>
          <t>5.00-5.50 m deep</t>
        </is>
      </c>
      <c r="G284" s="8" t="n">
        <v>31.51</v>
      </c>
      <c r="H284" s="8" t="n"/>
      <c r="I284" s="8" t="n"/>
    </row>
    <row r="285">
      <c r="A285" s="4" t="n">
        <v>2694</v>
      </c>
      <c r="B285" s="5" t="inlineStr">
        <is>
          <t>IMG_0102</t>
        </is>
      </c>
      <c r="C285" s="5" t="inlineStr">
        <is>
          <t>CLASS J: PIPEWORK - FITTINGS AND VALVES</t>
        </is>
      </c>
      <c r="D285" s="5" t="inlineStr">
        <is>
          <t>RESOURCES - LABOUR</t>
        </is>
      </c>
      <c r="E285" s="5" t="inlineStr">
        <is>
          <t>Labour Resources Build-up Rate; Fittings and valves gang</t>
        </is>
      </c>
      <c r="F285" s="5" t="inlineStr">
        <is>
          <t>1 ganger/chargehand (skill rate 4) - 50% of time</t>
        </is>
      </c>
      <c r="G285" s="8" t="n">
        <v>15.69</v>
      </c>
      <c r="H285" s="8" t="n"/>
      <c r="I285" s="8" t="n"/>
    </row>
    <row r="286">
      <c r="A286" s="4" t="n">
        <v>2695</v>
      </c>
      <c r="B286" s="5" t="inlineStr">
        <is>
          <t>IMG_0102</t>
        </is>
      </c>
      <c r="C286" s="5" t="inlineStr">
        <is>
          <t>CLASS J: PIPEWORK - FITTINGS AND VALVES</t>
        </is>
      </c>
      <c r="D286" s="5" t="inlineStr">
        <is>
          <t>RESOURCES - LABOUR</t>
        </is>
      </c>
      <c r="E286" s="5" t="inlineStr">
        <is>
          <t>Labour Resources Build-up Rate; Fittings and valves gang</t>
        </is>
      </c>
      <c r="F286" s="5" t="inlineStr">
        <is>
          <t>1 skilled operative (skill rate 4)</t>
        </is>
      </c>
      <c r="G286" s="8" t="n">
        <v>29.49</v>
      </c>
      <c r="H286" s="8" t="n"/>
      <c r="I286" s="8" t="n"/>
    </row>
    <row r="287">
      <c r="A287" s="4" t="n">
        <v>2696</v>
      </c>
      <c r="B287" s="5" t="inlineStr">
        <is>
          <t>IMG_0102</t>
        </is>
      </c>
      <c r="C287" s="5" t="inlineStr">
        <is>
          <t>CLASS J: PIPEWORK - FITTINGS AND VALVES</t>
        </is>
      </c>
      <c r="D287" s="5" t="inlineStr">
        <is>
          <t>RESOURCES - LABOUR</t>
        </is>
      </c>
      <c r="E287" s="5" t="inlineStr">
        <is>
          <t>Labour Resources Build-up Rate; Fittings and valves gang</t>
        </is>
      </c>
      <c r="F287" s="5" t="inlineStr">
        <is>
          <t>2 unskilled operatives (general)</t>
        </is>
      </c>
      <c r="G287" s="8" t="n">
        <v>49.35</v>
      </c>
      <c r="H287" s="8" t="n"/>
      <c r="I287" s="8" t="n"/>
    </row>
    <row r="288">
      <c r="A288" s="4" t="n">
        <v>2697</v>
      </c>
      <c r="B288" s="5" t="inlineStr">
        <is>
          <t>IMG_0102</t>
        </is>
      </c>
      <c r="C288" s="5" t="inlineStr">
        <is>
          <t>CLASS J: PIPEWORK - FITTINGS AND VALVES</t>
        </is>
      </c>
      <c r="D288" s="5" t="inlineStr">
        <is>
          <t>RESOURCES - LABOUR</t>
        </is>
      </c>
      <c r="E288" s="5" t="inlineStr">
        <is>
          <t>Labour Resources Build-up Rate; Fittings and valves gang</t>
        </is>
      </c>
      <c r="F288" s="5" t="inlineStr">
        <is>
          <t>1 plant operator (skill rate 3)</t>
        </is>
      </c>
      <c r="G288" s="8" t="n">
        <v>38.96</v>
      </c>
      <c r="H288" s="8" t="n"/>
      <c r="I288" s="8" t="n"/>
    </row>
    <row r="289">
      <c r="A289" s="42" t="n">
        <v>2698</v>
      </c>
      <c r="B289" s="43" t="inlineStr">
        <is>
          <t>IMG_0102</t>
        </is>
      </c>
      <c r="C289" s="43" t="inlineStr">
        <is>
          <t>CLASS J: PIPEWORK - FITTINGS AND VALVES</t>
        </is>
      </c>
      <c r="D289" s="43" t="inlineStr">
        <is>
          <t>RESOURCES - LABOUR</t>
        </is>
      </c>
      <c r="E289" s="43" t="inlineStr">
        <is>
          <t>Labour Resources Build-up Rate; Fittings and valves gang</t>
        </is>
      </c>
      <c r="F289" s="43" t="inlineStr">
        <is>
          <t>Total Gang Rate/Hour</t>
        </is>
      </c>
      <c r="G289" s="44" t="n">
        <v>122.23</v>
      </c>
      <c r="H289" s="44" t="n"/>
      <c r="I289" s="44" t="n"/>
    </row>
    <row r="290">
      <c r="A290" s="4" t="n">
        <v>2701</v>
      </c>
      <c r="B290" s="5" t="inlineStr">
        <is>
          <t>IMG_0102</t>
        </is>
      </c>
      <c r="C290" s="5" t="inlineStr">
        <is>
          <t>CLASS J: PIPEWORK - FITTINGS AND VALVES</t>
        </is>
      </c>
      <c r="D290" s="5" t="inlineStr">
        <is>
          <t>RESOURCES - PLANT</t>
        </is>
      </c>
      <c r="E290" s="5" t="inlineStr">
        <is>
          <t>Plant Resources Build-up Rate; Fittings and valves</t>
        </is>
      </c>
      <c r="F290" s="5" t="inlineStr">
        <is>
          <t>1.0 m3 hydraulic backacter</t>
        </is>
      </c>
      <c r="G290" s="8" t="n"/>
      <c r="H290" s="8" t="n">
        <v>117.01</v>
      </c>
      <c r="I290" s="8" t="n"/>
    </row>
    <row r="291">
      <c r="A291" s="4" t="n">
        <v>2702</v>
      </c>
      <c r="B291" s="5" t="inlineStr">
        <is>
          <t>IMG_0102</t>
        </is>
      </c>
      <c r="C291" s="5" t="inlineStr">
        <is>
          <t>CLASS J: PIPEWORK - FITTINGS AND VALVES</t>
        </is>
      </c>
      <c r="D291" s="5" t="inlineStr">
        <is>
          <t>RESOURCES - PLANT</t>
        </is>
      </c>
      <c r="E291" s="5" t="inlineStr">
        <is>
          <t>Plant Resources Build-up Rate; Fittings and valves</t>
        </is>
      </c>
      <c r="F291" s="5" t="inlineStr">
        <is>
          <t>disc saw - 30% of time</t>
        </is>
      </c>
      <c r="G291" s="8" t="n"/>
      <c r="H291" s="8" t="n">
        <v>0.43</v>
      </c>
      <c r="I291" s="8" t="n"/>
    </row>
    <row r="292">
      <c r="A292" s="4" t="n">
        <v>2703</v>
      </c>
      <c r="B292" s="5" t="inlineStr">
        <is>
          <t>IMG_0102</t>
        </is>
      </c>
      <c r="C292" s="5" t="inlineStr">
        <is>
          <t>CLASS J: PIPEWORK - FITTINGS AND VALVES</t>
        </is>
      </c>
      <c r="D292" s="5" t="inlineStr">
        <is>
          <t>RESOURCES - PLANT</t>
        </is>
      </c>
      <c r="E292" s="5" t="inlineStr">
        <is>
          <t>Plant Resources Build-up Rate; Fittings and valves</t>
        </is>
      </c>
      <c r="F292" s="5" t="inlineStr">
        <is>
          <t>2.80 m3/min compressor, 2 tool - 30% of time</t>
        </is>
      </c>
      <c r="G292" s="8" t="n"/>
      <c r="H292" s="8" t="n">
        <v>6.03</v>
      </c>
      <c r="I292" s="8" t="n"/>
    </row>
    <row r="293">
      <c r="A293" s="4" t="n">
        <v>2704</v>
      </c>
      <c r="B293" s="5" t="inlineStr">
        <is>
          <t>IMG_0102</t>
        </is>
      </c>
      <c r="C293" s="5" t="inlineStr">
        <is>
          <t>CLASS J: PIPEWORK - FITTINGS AND VALVES</t>
        </is>
      </c>
      <c r="D293" s="5" t="inlineStr">
        <is>
          <t>RESOURCES - PLANT</t>
        </is>
      </c>
      <c r="E293" s="5" t="inlineStr">
        <is>
          <t>Plant Resources Build-up Rate; Fittings and valves</t>
        </is>
      </c>
      <c r="F293" s="5" t="inlineStr">
        <is>
          <t>2t dumper - 30% of time</t>
        </is>
      </c>
      <c r="G293" s="8" t="n"/>
      <c r="H293" s="8" t="n">
        <v>3.92</v>
      </c>
      <c r="I293" s="8" t="n"/>
    </row>
    <row r="294">
      <c r="A294" s="4" t="n">
        <v>2705</v>
      </c>
      <c r="B294" s="5" t="inlineStr">
        <is>
          <t>IMG_0102</t>
        </is>
      </c>
      <c r="C294" s="5" t="inlineStr">
        <is>
          <t>CLASS J: PIPEWORK - FITTINGS AND VALVES</t>
        </is>
      </c>
      <c r="D294" s="5" t="inlineStr">
        <is>
          <t>RESOURCES - PLANT</t>
        </is>
      </c>
      <c r="E294" s="5" t="inlineStr">
        <is>
          <t>Plant Resources Build-up Rate; Fittings and valves</t>
        </is>
      </c>
      <c r="F294" s="5" t="inlineStr">
        <is>
          <t>compressor tools, extra 50ft / 15 m hose - 30% of time</t>
        </is>
      </c>
      <c r="G294" s="8" t="n"/>
      <c r="H294" s="8" t="n">
        <v>0.16</v>
      </c>
      <c r="I294" s="8" t="n"/>
    </row>
    <row r="295">
      <c r="A295" s="4" t="n">
        <v>2706</v>
      </c>
      <c r="B295" s="5" t="inlineStr">
        <is>
          <t>IMG_0102</t>
        </is>
      </c>
      <c r="C295" s="5" t="inlineStr">
        <is>
          <t>CLASS J: PIPEWORK - FITTINGS AND VALVES</t>
        </is>
      </c>
      <c r="D295" s="5" t="inlineStr">
        <is>
          <t>RESOURCES - PLANT</t>
        </is>
      </c>
      <c r="E295" s="5" t="inlineStr">
        <is>
          <t>Plant Resources Build-up Rate; Fittings and valves</t>
        </is>
      </c>
      <c r="F295" s="5" t="inlineStr">
        <is>
          <t>small pump - 30% of time</t>
        </is>
      </c>
      <c r="G295" s="8" t="n"/>
      <c r="H295" s="8" t="n">
        <v>2.36</v>
      </c>
      <c r="I295" s="8" t="n"/>
    </row>
    <row r="296">
      <c r="A296" s="4" t="n">
        <v>2707</v>
      </c>
      <c r="B296" s="5" t="inlineStr">
        <is>
          <t>IMG_0102</t>
        </is>
      </c>
      <c r="C296" s="5" t="inlineStr">
        <is>
          <t>CLASS J: PIPEWORK - FITTINGS AND VALVES</t>
        </is>
      </c>
      <c r="D296" s="5" t="inlineStr">
        <is>
          <t>RESOURCES - PLANT</t>
        </is>
      </c>
      <c r="E296" s="5" t="inlineStr">
        <is>
          <t>Plant Resources Build-up Rate; Fittings and valves</t>
        </is>
      </c>
      <c r="F296" s="5" t="inlineStr">
        <is>
          <t>sundry tools - 30% of time</t>
        </is>
      </c>
      <c r="G296" s="8" t="n"/>
      <c r="H296" s="8" t="n">
        <v>0.57</v>
      </c>
      <c r="I296" s="8" t="n"/>
    </row>
    <row r="297">
      <c r="A297" s="42" t="n">
        <v>2708</v>
      </c>
      <c r="B297" s="43" t="inlineStr">
        <is>
          <t>IMG_0102</t>
        </is>
      </c>
      <c r="C297" s="43" t="inlineStr">
        <is>
          <t>CLASS J: PIPEWORK - FITTINGS AND VALVES</t>
        </is>
      </c>
      <c r="D297" s="43" t="inlineStr">
        <is>
          <t>RESOURCES - PLANT</t>
        </is>
      </c>
      <c r="E297" s="43" t="inlineStr">
        <is>
          <t>Plant Resources Build-up Rate; Fittings and valves</t>
        </is>
      </c>
      <c r="F297" s="43" t="inlineStr">
        <is>
          <t>Total Rate/Hour</t>
        </is>
      </c>
      <c r="G297" s="44" t="n"/>
      <c r="H297" s="44" t="n">
        <v>130.47</v>
      </c>
      <c r="I297" s="44" t="n"/>
    </row>
    <row r="298">
      <c r="A298" s="4" t="n">
        <v>2728</v>
      </c>
      <c r="B298" s="5" t="inlineStr">
        <is>
          <t>IMG_0102</t>
        </is>
      </c>
      <c r="C298" s="5" t="inlineStr">
        <is>
          <t>CLASS K: PIPEWORK - MANHOLES AND PIPEWORK ANCILLARIES</t>
        </is>
      </c>
      <c r="D298" s="5" t="inlineStr">
        <is>
          <t>RESOURCES - LABOUR</t>
        </is>
      </c>
      <c r="E298" s="5" t="inlineStr">
        <is>
          <t>Labour Resources Build-up Rate; Gullies gang</t>
        </is>
      </c>
      <c r="F298" s="5" t="inlineStr">
        <is>
          <t>1 chargehand pipelayer (skill rate 4) - 50% of time</t>
        </is>
      </c>
      <c r="G298" s="8" t="n">
        <v>15.69</v>
      </c>
      <c r="H298" s="8" t="n"/>
      <c r="I298" s="8" t="n"/>
    </row>
    <row r="299">
      <c r="A299" s="4" t="n">
        <v>2729</v>
      </c>
      <c r="B299" s="5" t="inlineStr">
        <is>
          <t>IMG_0102</t>
        </is>
      </c>
      <c r="C299" s="5" t="inlineStr">
        <is>
          <t>CLASS K: PIPEWORK - MANHOLES AND PIPEWORK ANCILLARIES</t>
        </is>
      </c>
      <c r="D299" s="5" t="inlineStr">
        <is>
          <t>RESOURCES - LABOUR</t>
        </is>
      </c>
      <c r="E299" s="5" t="inlineStr">
        <is>
          <t>Labour Resources Build-up Rate; Gullies gang</t>
        </is>
      </c>
      <c r="F299" s="5" t="inlineStr">
        <is>
          <t>1 skilled operative (skill rate 4)</t>
        </is>
      </c>
      <c r="G299" s="8" t="n">
        <v>29.49</v>
      </c>
      <c r="H299" s="8" t="n"/>
      <c r="I299" s="8" t="n"/>
    </row>
    <row r="300">
      <c r="A300" s="4" t="n">
        <v>2730</v>
      </c>
      <c r="B300" s="5" t="inlineStr">
        <is>
          <t>IMG_0102</t>
        </is>
      </c>
      <c r="C300" s="5" t="inlineStr">
        <is>
          <t>CLASS K: PIPEWORK - MANHOLES AND PIPEWORK ANCILLARIES</t>
        </is>
      </c>
      <c r="D300" s="5" t="inlineStr">
        <is>
          <t>RESOURCES - LABOUR</t>
        </is>
      </c>
      <c r="E300" s="5" t="inlineStr">
        <is>
          <t>Labour Resources Build-up Rate; Gullies gang</t>
        </is>
      </c>
      <c r="F300" s="5" t="inlineStr">
        <is>
          <t>2 unskilled operatives (general)</t>
        </is>
      </c>
      <c r="G300" s="8" t="n">
        <v>49.35</v>
      </c>
      <c r="H300" s="8" t="n"/>
      <c r="I300" s="8" t="n"/>
    </row>
    <row r="301">
      <c r="A301" s="4" t="n">
        <v>2731</v>
      </c>
      <c r="B301" s="5" t="inlineStr">
        <is>
          <t>IMG_0102</t>
        </is>
      </c>
      <c r="C301" s="5" t="inlineStr">
        <is>
          <t>CLASS K: PIPEWORK - MANHOLES AND PIPEWORK ANCILLARIES</t>
        </is>
      </c>
      <c r="D301" s="5" t="inlineStr">
        <is>
          <t>RESOURCES - LABOUR</t>
        </is>
      </c>
      <c r="E301" s="5" t="inlineStr">
        <is>
          <t>Labour Resources Build-up Rate; Gullies gang</t>
        </is>
      </c>
      <c r="F301" s="5" t="inlineStr">
        <is>
          <t>1 plant operator (skill rate 3)</t>
        </is>
      </c>
      <c r="G301" s="8" t="n">
        <v>38.96</v>
      </c>
      <c r="H301" s="8" t="n"/>
      <c r="I301" s="8" t="n"/>
    </row>
    <row r="302">
      <c r="A302" s="42" t="n">
        <v>2732</v>
      </c>
      <c r="B302" s="43" t="inlineStr">
        <is>
          <t>IMG_0102</t>
        </is>
      </c>
      <c r="C302" s="43" t="inlineStr">
        <is>
          <t>CLASS K: PIPEWORK - MANHOLES AND PIPEWORK ANCILLARIES</t>
        </is>
      </c>
      <c r="D302" s="43" t="inlineStr">
        <is>
          <t>RESOURCES - LABOUR</t>
        </is>
      </c>
      <c r="E302" s="43" t="inlineStr">
        <is>
          <t>Labour Resources Build-up Rate; Gullies gang</t>
        </is>
      </c>
      <c r="F302" s="43" t="inlineStr">
        <is>
          <t>Total Gang Rate/Hour</t>
        </is>
      </c>
      <c r="G302" s="44" t="n">
        <v>122.23</v>
      </c>
      <c r="H302" s="44" t="n"/>
      <c r="I302" s="44" t="n"/>
    </row>
    <row r="303">
      <c r="A303" s="4" t="n">
        <v>2734</v>
      </c>
      <c r="B303" s="5" t="inlineStr">
        <is>
          <t>IMG_0102</t>
        </is>
      </c>
      <c r="C303" s="5" t="inlineStr">
        <is>
          <t>CLASS K: PIPEWORK - MANHOLES AND PIPEWORK ANCILLARIES</t>
        </is>
      </c>
      <c r="D303" s="5" t="inlineStr">
        <is>
          <t>RESOURCES - LABOUR</t>
        </is>
      </c>
      <c r="E303" s="5" t="inlineStr">
        <is>
          <t>French/rubble drains, ditches and trenches gang; ducts and metal culverts gang</t>
        </is>
      </c>
      <c r="F303" s="5" t="inlineStr">
        <is>
          <t>1 chargehand pipelayer (skill rate 4) - 50% of time</t>
        </is>
      </c>
      <c r="G303" s="8" t="n">
        <v>15.69</v>
      </c>
      <c r="H303" s="8" t="n"/>
      <c r="I303" s="8" t="n"/>
    </row>
    <row r="304">
      <c r="A304" s="4" t="n">
        <v>2735</v>
      </c>
      <c r="B304" s="5" t="inlineStr">
        <is>
          <t>IMG_0102</t>
        </is>
      </c>
      <c r="C304" s="5" t="inlineStr">
        <is>
          <t>CLASS K: PIPEWORK - MANHOLES AND PIPEWORK ANCILLARIES</t>
        </is>
      </c>
      <c r="D304" s="5" t="inlineStr">
        <is>
          <t>RESOURCES - LABOUR</t>
        </is>
      </c>
      <c r="E304" s="5" t="inlineStr">
        <is>
          <t>French/rubble drains, ditches and trenches gang; ducts and metal culverts gang</t>
        </is>
      </c>
      <c r="F304" s="5" t="inlineStr">
        <is>
          <t>1 skilled operative (skill rate 4)</t>
        </is>
      </c>
      <c r="G304" s="8" t="n">
        <v>29.49</v>
      </c>
      <c r="H304" s="8" t="n"/>
      <c r="I304" s="8" t="n"/>
    </row>
    <row r="305">
      <c r="A305" s="4" t="n">
        <v>2736</v>
      </c>
      <c r="B305" s="5" t="inlineStr">
        <is>
          <t>IMG_0102</t>
        </is>
      </c>
      <c r="C305" s="5" t="inlineStr">
        <is>
          <t>CLASS K: PIPEWORK - MANHOLES AND PIPEWORK ANCILLARIES</t>
        </is>
      </c>
      <c r="D305" s="5" t="inlineStr">
        <is>
          <t>RESOURCES - LABOUR</t>
        </is>
      </c>
      <c r="E305" s="5" t="inlineStr">
        <is>
          <t>French/rubble drains, ditches and trenches gang; ducts and metal culverts gang</t>
        </is>
      </c>
      <c r="F305" s="5" t="inlineStr">
        <is>
          <t>2 unskilled operatives (general)</t>
        </is>
      </c>
      <c r="G305" s="8" t="n">
        <v>49.35</v>
      </c>
      <c r="H305" s="8" t="n"/>
      <c r="I305" s="8" t="n"/>
    </row>
    <row r="306">
      <c r="A306" s="4" t="n">
        <v>2737</v>
      </c>
      <c r="B306" s="5" t="inlineStr">
        <is>
          <t>IMG_0102</t>
        </is>
      </c>
      <c r="C306" s="5" t="inlineStr">
        <is>
          <t>CLASS K: PIPEWORK - MANHOLES AND PIPEWORK ANCILLARIES</t>
        </is>
      </c>
      <c r="D306" s="5" t="inlineStr">
        <is>
          <t>RESOURCES - LABOUR</t>
        </is>
      </c>
      <c r="E306" s="5" t="inlineStr">
        <is>
          <t>French/rubble drains, ditches and trenches gang; ducts and metal culverts gang</t>
        </is>
      </c>
      <c r="F306" s="5" t="inlineStr">
        <is>
          <t>1 plant operator (skill rate 3)</t>
        </is>
      </c>
      <c r="G306" s="8" t="n">
        <v>38.96</v>
      </c>
      <c r="H306" s="8" t="n"/>
      <c r="I306" s="8" t="n"/>
    </row>
    <row r="307">
      <c r="A307" s="42" t="n">
        <v>2738</v>
      </c>
      <c r="B307" s="43" t="inlineStr">
        <is>
          <t>IMG_0102</t>
        </is>
      </c>
      <c r="C307" s="43" t="inlineStr">
        <is>
          <t>CLASS K: PIPEWORK - MANHOLES AND PIPEWORK ANCILLARIES</t>
        </is>
      </c>
      <c r="D307" s="43" t="inlineStr">
        <is>
          <t>RESOURCES - LABOUR</t>
        </is>
      </c>
      <c r="E307" s="43" t="inlineStr">
        <is>
          <t>French/rubble drains, ditches and trenches gang; ducts and metal culverts gang</t>
        </is>
      </c>
      <c r="F307" s="43" t="inlineStr">
        <is>
          <t>Total Gang Rate/Hour</t>
        </is>
      </c>
      <c r="G307" s="44" t="n">
        <v>122.23</v>
      </c>
      <c r="H307" s="44" t="n"/>
      <c r="I307" s="44" t="n"/>
    </row>
    <row r="308">
      <c r="A308" s="4" t="n">
        <v>2742</v>
      </c>
      <c r="B308" s="5" t="inlineStr">
        <is>
          <t>IMG_0102</t>
        </is>
      </c>
      <c r="C308" s="5" t="inlineStr">
        <is>
          <t>CLASS K: PIPEWORK - MANHOLES AND PIPEWORK ANCILLARIES</t>
        </is>
      </c>
      <c r="D308" s="5" t="inlineStr">
        <is>
          <t>RESOURCES - MATERIAL</t>
        </is>
      </c>
      <c r="E308" s="5" t="inlineStr">
        <is>
          <t>Vitrified clay road gullies etc.</t>
        </is>
      </c>
      <c r="F308" s="5" t="inlineStr">
        <is>
          <t>Clay road gully; 450 mm dia. x 900 mm deep</t>
        </is>
      </c>
      <c r="G308" s="8" t="n"/>
      <c r="H308" s="8" t="n"/>
      <c r="I308" s="8" t="n">
        <v>761.59</v>
      </c>
    </row>
    <row r="309">
      <c r="A309" s="4" t="n">
        <v>2743</v>
      </c>
      <c r="B309" s="5" t="inlineStr">
        <is>
          <t>IMG_0102</t>
        </is>
      </c>
      <c r="C309" s="5" t="inlineStr">
        <is>
          <t>CLASS K: PIPEWORK - MANHOLES AND PIPEWORK ANCILLARIES</t>
        </is>
      </c>
      <c r="D309" s="5" t="inlineStr">
        <is>
          <t>RESOURCES - MATERIAL</t>
        </is>
      </c>
      <c r="E309" s="5" t="inlineStr">
        <is>
          <t>Vitrified clay road gullies etc.</t>
        </is>
      </c>
      <c r="F309" s="5" t="inlineStr">
        <is>
          <t>C.I. gully grating and frame; 434 x 434 mm to clay</t>
        </is>
      </c>
      <c r="G309" s="8" t="n"/>
      <c r="H309" s="8" t="n"/>
      <c r="I309" s="8" t="n">
        <v>108.76</v>
      </c>
    </row>
    <row r="310">
      <c r="A310" s="4" t="n">
        <v>2744</v>
      </c>
      <c r="B310" s="5" t="inlineStr">
        <is>
          <t>IMG_0102</t>
        </is>
      </c>
      <c r="C310" s="5" t="inlineStr">
        <is>
          <t>CLASS K: PIPEWORK - MANHOLES AND PIPEWORK ANCILLARIES</t>
        </is>
      </c>
      <c r="D310" s="5" t="inlineStr">
        <is>
          <t>RESOURCES - MATERIAL</t>
        </is>
      </c>
      <c r="E310" s="5" t="inlineStr">
        <is>
          <t>Vitrified clay road gullies etc.</t>
        </is>
      </c>
      <c r="F310" s="5" t="inlineStr">
        <is>
          <t>Clay yard gully; 225 mm dia.; including grating</t>
        </is>
      </c>
      <c r="G310" s="8" t="n"/>
      <c r="H310" s="8" t="n"/>
      <c r="I310" s="8" t="n">
        <v>696.78</v>
      </c>
    </row>
    <row r="311">
      <c r="A311" s="4" t="n">
        <v>2745</v>
      </c>
      <c r="B311" s="5" t="inlineStr">
        <is>
          <t>IMG_0102</t>
        </is>
      </c>
      <c r="C311" s="5" t="inlineStr">
        <is>
          <t>CLASS K: PIPEWORK - MANHOLES AND PIPEWORK ANCILLARIES</t>
        </is>
      </c>
      <c r="D311" s="5" t="inlineStr">
        <is>
          <t>RESOURCES - MATERIAL</t>
        </is>
      </c>
      <c r="E311" s="5" t="inlineStr">
        <is>
          <t>Vitrified clay road gullies etc.</t>
        </is>
      </c>
      <c r="F311" s="5" t="inlineStr">
        <is>
          <t>Clay grease interceptor; 600 x 450 mm</t>
        </is>
      </c>
      <c r="G311" s="8" t="n"/>
      <c r="H311" s="8" t="n"/>
      <c r="I311" s="8" t="n">
        <v>3768.79</v>
      </c>
    </row>
    <row r="312">
      <c r="A312" s="4" t="n">
        <v>2747</v>
      </c>
      <c r="B312" s="5" t="inlineStr">
        <is>
          <t>IMG_0102</t>
        </is>
      </c>
      <c r="C312" s="5" t="inlineStr">
        <is>
          <t>CLASS K: PIPEWORK - MANHOLES AND PIPEWORK ANCILLARIES</t>
        </is>
      </c>
      <c r="D312" s="5" t="inlineStr">
        <is>
          <t>RESOURCES - MATERIAL</t>
        </is>
      </c>
      <c r="E312" s="5" t="inlineStr">
        <is>
          <t>Culvert; Corrugated steel</t>
        </is>
      </c>
      <c r="F312" s="5" t="inlineStr">
        <is>
          <t>1.6 mm thick; 1000 mm dia.</t>
        </is>
      </c>
      <c r="G312" s="8" t="n"/>
      <c r="H312" s="8" t="n"/>
      <c r="I312" s="8" t="n">
        <v>172.51</v>
      </c>
    </row>
    <row r="313">
      <c r="A313" s="4" t="n">
        <v>2748</v>
      </c>
      <c r="B313" s="5" t="inlineStr">
        <is>
          <t>IMG_0102</t>
        </is>
      </c>
      <c r="C313" s="5" t="inlineStr">
        <is>
          <t>CLASS K: PIPEWORK - MANHOLES AND PIPEWORK ANCILLARIES</t>
        </is>
      </c>
      <c r="D313" s="5" t="inlineStr">
        <is>
          <t>RESOURCES - MATERIAL</t>
        </is>
      </c>
      <c r="E313" s="5" t="inlineStr">
        <is>
          <t>Culvert; Corrugated steel</t>
        </is>
      </c>
      <c r="F313" s="5" t="inlineStr">
        <is>
          <t>2.0 mm thick; 1600 mm dia.</t>
        </is>
      </c>
      <c r="G313" s="8" t="n"/>
      <c r="H313" s="8" t="n"/>
      <c r="I313" s="8" t="n">
        <v>275.16</v>
      </c>
    </row>
    <row r="314">
      <c r="A314" s="4" t="n">
        <v>2749</v>
      </c>
      <c r="B314" s="5" t="inlineStr">
        <is>
          <t>IMG_0102</t>
        </is>
      </c>
      <c r="C314" s="5" t="inlineStr">
        <is>
          <t>CLASS K: PIPEWORK - MANHOLES AND PIPEWORK ANCILLARIES</t>
        </is>
      </c>
      <c r="D314" s="5" t="inlineStr">
        <is>
          <t>RESOURCES - MATERIAL</t>
        </is>
      </c>
      <c r="E314" s="5" t="inlineStr">
        <is>
          <t>Culvert; Corrugated steel</t>
        </is>
      </c>
      <c r="F314" s="5" t="inlineStr">
        <is>
          <t>2.0 mm thick; 2000 mm dia.</t>
        </is>
      </c>
      <c r="G314" s="8" t="n"/>
      <c r="H314" s="8" t="n"/>
      <c r="I314" s="8" t="n">
        <v>594.72</v>
      </c>
    </row>
    <row r="315">
      <c r="A315" s="4" t="n">
        <v>2750</v>
      </c>
      <c r="B315" s="5" t="inlineStr">
        <is>
          <t>IMG_0102</t>
        </is>
      </c>
      <c r="C315" s="5" t="inlineStr">
        <is>
          <t>CLASS K: PIPEWORK - MANHOLES AND PIPEWORK ANCILLARIES</t>
        </is>
      </c>
      <c r="D315" s="5" t="inlineStr">
        <is>
          <t>RESOURCES - MATERIAL</t>
        </is>
      </c>
      <c r="E315" s="5" t="inlineStr">
        <is>
          <t>Culvert; Corrugated steel</t>
        </is>
      </c>
      <c r="F315" s="5" t="inlineStr">
        <is>
          <t>2.0 mm thick; 2200 mm dia.</t>
        </is>
      </c>
      <c r="G315" s="8" t="n"/>
      <c r="H315" s="8" t="n"/>
      <c r="I315" s="8" t="n">
        <v>671</v>
      </c>
    </row>
    <row r="316">
      <c r="A316" s="4" t="n">
        <v>2753</v>
      </c>
      <c r="B316" s="5" t="inlineStr">
        <is>
          <t>IMG_0102</t>
        </is>
      </c>
      <c r="C316" s="5" t="inlineStr">
        <is>
          <t>CLASS K: PIPEWORK - MANHOLES AND PIPEWORK ANCILLARIES</t>
        </is>
      </c>
      <c r="D316" s="5" t="inlineStr">
        <is>
          <t>RESOURCES - PLANT</t>
        </is>
      </c>
      <c r="E316" s="5" t="inlineStr">
        <is>
          <t>Plant Resources Build-up Rate; Gullies</t>
        </is>
      </c>
      <c r="F316" s="5" t="inlineStr">
        <is>
          <t>0.4 m3 hydraulic excavator</t>
        </is>
      </c>
      <c r="G316" s="8" t="n"/>
      <c r="H316" s="8" t="n">
        <v>77.52</v>
      </c>
      <c r="I316" s="8" t="n"/>
    </row>
    <row r="317">
      <c r="A317" s="4" t="n">
        <v>2754</v>
      </c>
      <c r="B317" s="5" t="inlineStr">
        <is>
          <t>IMG_0102</t>
        </is>
      </c>
      <c r="C317" s="5" t="inlineStr">
        <is>
          <t>CLASS K: PIPEWORK - MANHOLES AND PIPEWORK ANCILLARIES</t>
        </is>
      </c>
      <c r="D317" s="5" t="inlineStr">
        <is>
          <t>RESOURCES - PLANT</t>
        </is>
      </c>
      <c r="E317" s="5" t="inlineStr">
        <is>
          <t>Plant Resources Build-up Rate; Gullies</t>
        </is>
      </c>
      <c r="F317" s="5" t="inlineStr">
        <is>
          <t>2t dumper (30% of time)</t>
        </is>
      </c>
      <c r="G317" s="8" t="n"/>
      <c r="H317" s="8" t="n">
        <v>3.92</v>
      </c>
      <c r="I317" s="8" t="n"/>
    </row>
    <row r="318">
      <c r="A318" s="4" t="n">
        <v>2755</v>
      </c>
      <c r="B318" s="5" t="inlineStr">
        <is>
          <t>IMG_0102</t>
        </is>
      </c>
      <c r="C318" s="5" t="inlineStr">
        <is>
          <t>CLASS K: PIPEWORK - MANHOLES AND PIPEWORK ANCILLARIES</t>
        </is>
      </c>
      <c r="D318" s="5" t="inlineStr">
        <is>
          <t>RESOURCES - PLANT</t>
        </is>
      </c>
      <c r="E318" s="5" t="inlineStr">
        <is>
          <t>Plant Resources Build-up Rate; Gullies</t>
        </is>
      </c>
      <c r="F318" s="5" t="inlineStr">
        <is>
          <t>2.80 m3/min compressor, 2 tool (30% of time)</t>
        </is>
      </c>
      <c r="G318" s="8" t="n"/>
      <c r="H318" s="8" t="n">
        <v>6.03</v>
      </c>
      <c r="I318" s="8" t="n"/>
    </row>
    <row r="319">
      <c r="A319" s="4" t="n">
        <v>2757</v>
      </c>
      <c r="B319" s="5" t="inlineStr">
        <is>
          <t>IMG_0103</t>
        </is>
      </c>
      <c r="C319" s="5" t="inlineStr">
        <is>
          <t>CLASS K: PIPEWORK - MANHOLES AND PIPEWORK ANCILLARIES</t>
        </is>
      </c>
      <c r="D319" s="5" t="inlineStr">
        <is>
          <t>RESOURCES - PLANT</t>
        </is>
      </c>
      <c r="E319" s="5" t="inlineStr">
        <is>
          <t>Plant Resources Build-up Rate; Gullies (continued)</t>
        </is>
      </c>
      <c r="F319" s="5" t="inlineStr">
        <is>
          <t>compaction plate/roller (30% of time)</t>
        </is>
      </c>
      <c r="G319" s="8" t="n"/>
      <c r="H319" s="8" t="n">
        <v>1.48</v>
      </c>
      <c r="I319" s="8" t="n"/>
    </row>
    <row r="320">
      <c r="A320" s="4" t="n">
        <v>2758</v>
      </c>
      <c r="B320" s="5" t="inlineStr">
        <is>
          <t>IMG_0103</t>
        </is>
      </c>
      <c r="C320" s="5" t="inlineStr">
        <is>
          <t>CLASS K: PIPEWORK - MANHOLES AND PIPEWORK ANCILLARIES</t>
        </is>
      </c>
      <c r="D320" s="5" t="inlineStr">
        <is>
          <t>RESOURCES - PLANT</t>
        </is>
      </c>
      <c r="E320" s="5" t="inlineStr">
        <is>
          <t>Plant Resources Build-up Rate; Gullies (continued)</t>
        </is>
      </c>
      <c r="F320" s="5" t="inlineStr">
        <is>
          <t>2.40 m3/min road breaker (30% of time)</t>
        </is>
      </c>
      <c r="G320" s="8" t="n"/>
      <c r="H320" s="8" t="n">
        <v>2.49</v>
      </c>
      <c r="I320" s="8" t="n"/>
    </row>
    <row r="321">
      <c r="A321" s="4" t="n">
        <v>2759</v>
      </c>
      <c r="B321" s="5" t="inlineStr">
        <is>
          <t>IMG_0103</t>
        </is>
      </c>
      <c r="C321" s="5" t="inlineStr">
        <is>
          <t>CLASS K: PIPEWORK - MANHOLES AND PIPEWORK ANCILLARIES</t>
        </is>
      </c>
      <c r="D321" s="5" t="inlineStr">
        <is>
          <t>RESOURCES - PLANT</t>
        </is>
      </c>
      <c r="E321" s="5" t="inlineStr">
        <is>
          <t>Plant Resources Build-up Rate; Gullies (continued)</t>
        </is>
      </c>
      <c r="F321" s="5" t="inlineStr">
        <is>
          <t>54 mm poker vibrator (30% of time)</t>
        </is>
      </c>
      <c r="G321" s="8" t="n"/>
      <c r="H321" s="8" t="n">
        <v>0.72</v>
      </c>
      <c r="I321" s="8" t="n"/>
    </row>
    <row r="322">
      <c r="A322" s="4" t="n">
        <v>2760</v>
      </c>
      <c r="B322" s="5" t="inlineStr">
        <is>
          <t>IMG_0103</t>
        </is>
      </c>
      <c r="C322" s="5" t="inlineStr">
        <is>
          <t>CLASS K: PIPEWORK - MANHOLES AND PIPEWORK ANCILLARIES</t>
        </is>
      </c>
      <c r="D322" s="5" t="inlineStr">
        <is>
          <t>RESOURCES - PLANT</t>
        </is>
      </c>
      <c r="E322" s="5" t="inlineStr">
        <is>
          <t>Plant Resources Build-up Rate; Gullies (continued)</t>
        </is>
      </c>
      <c r="F322" s="5" t="inlineStr">
        <is>
          <t>extra 15ft / 50 m hose (30% of time)</t>
        </is>
      </c>
      <c r="G322" s="8" t="n"/>
      <c r="H322" s="8" t="n">
        <v>0.16</v>
      </c>
      <c r="I322" s="8" t="n"/>
    </row>
    <row r="323">
      <c r="A323" s="4" t="n">
        <v>2761</v>
      </c>
      <c r="B323" s="5" t="inlineStr">
        <is>
          <t>IMG_0103</t>
        </is>
      </c>
      <c r="C323" s="5" t="inlineStr">
        <is>
          <t>CLASS K: PIPEWORK - MANHOLES AND PIPEWORK ANCILLARIES</t>
        </is>
      </c>
      <c r="D323" s="5" t="inlineStr">
        <is>
          <t>RESOURCES - PLANT</t>
        </is>
      </c>
      <c r="E323" s="5" t="inlineStr">
        <is>
          <t>Plant Resources Build-up Rate; Gullies (continued)</t>
        </is>
      </c>
      <c r="F323" s="5" t="inlineStr">
        <is>
          <t>disc saw (30% of time)</t>
        </is>
      </c>
      <c r="G323" s="8" t="n"/>
      <c r="H323" s="8" t="n">
        <v>0.37</v>
      </c>
      <c r="I323" s="8" t="n"/>
    </row>
    <row r="324">
      <c r="A324" s="4" t="n">
        <v>2762</v>
      </c>
      <c r="B324" s="5" t="inlineStr">
        <is>
          <t>IMG_0103</t>
        </is>
      </c>
      <c r="C324" s="5" t="inlineStr">
        <is>
          <t>CLASS K: PIPEWORK - MANHOLES AND PIPEWORK ANCILLARIES</t>
        </is>
      </c>
      <c r="D324" s="5" t="inlineStr">
        <is>
          <t>RESOURCES - PLANT</t>
        </is>
      </c>
      <c r="E324" s="5" t="inlineStr">
        <is>
          <t>Plant Resources Build-up Rate; Gullies (continued)</t>
        </is>
      </c>
      <c r="F324" s="5" t="inlineStr">
        <is>
          <t>small pump (30% of time)</t>
        </is>
      </c>
      <c r="G324" s="8" t="n"/>
      <c r="H324" s="8" t="n">
        <v>2.36</v>
      </c>
      <c r="I324" s="8" t="n"/>
    </row>
    <row r="325">
      <c r="A325" s="42" t="n">
        <v>2763</v>
      </c>
      <c r="B325" s="43" t="inlineStr">
        <is>
          <t>IMG_0103</t>
        </is>
      </c>
      <c r="C325" s="43" t="inlineStr">
        <is>
          <t>CLASS K: PIPEWORK - MANHOLES AND PIPEWORK ANCILLARIES</t>
        </is>
      </c>
      <c r="D325" s="43" t="inlineStr">
        <is>
          <t>RESOURCES - PLANT</t>
        </is>
      </c>
      <c r="E325" s="43" t="inlineStr">
        <is>
          <t>Plant Resources Build-up Rate; Gullies (continued)</t>
        </is>
      </c>
      <c r="F325" s="43" t="inlineStr">
        <is>
          <t>Total Rate/Hour</t>
        </is>
      </c>
      <c r="G325" s="44" t="n"/>
      <c r="H325" s="44" t="n">
        <v>95.03</v>
      </c>
      <c r="I325" s="44" t="n"/>
    </row>
    <row r="326">
      <c r="A326" s="4" t="n">
        <v>2765</v>
      </c>
      <c r="B326" s="5" t="inlineStr">
        <is>
          <t>IMG_0103</t>
        </is>
      </c>
      <c r="C326" s="5" t="inlineStr">
        <is>
          <t>CLASS K: PIPEWORK - MANHOLES AND PIPEWORK ANCILLARIES</t>
        </is>
      </c>
      <c r="D326" s="5" t="inlineStr">
        <is>
          <t>RESOURCES - PLANT</t>
        </is>
      </c>
      <c r="E326" s="5" t="inlineStr">
        <is>
          <t>French/rubble drains, ditches and trenches; ducts and metal culverts</t>
        </is>
      </c>
      <c r="F326" s="5" t="inlineStr">
        <is>
          <t>0.4 m3 hydraulic backacter</t>
        </is>
      </c>
      <c r="G326" s="8" t="n"/>
      <c r="H326" s="8" t="n">
        <v>77.52</v>
      </c>
      <c r="I326" s="8" t="n"/>
    </row>
    <row r="327">
      <c r="A327" s="4" t="n">
        <v>2766</v>
      </c>
      <c r="B327" s="5" t="inlineStr">
        <is>
          <t>IMG_0103</t>
        </is>
      </c>
      <c r="C327" s="5" t="inlineStr">
        <is>
          <t>CLASS K: PIPEWORK - MANHOLES AND PIPEWORK ANCILLARIES</t>
        </is>
      </c>
      <c r="D327" s="5" t="inlineStr">
        <is>
          <t>RESOURCES - PLANT</t>
        </is>
      </c>
      <c r="E327" s="5" t="inlineStr">
        <is>
          <t>French/rubble drains, ditches and trenches; ducts and metal culverts</t>
        </is>
      </c>
      <c r="F327" s="5" t="inlineStr">
        <is>
          <t>2t dumper (30% of time)</t>
        </is>
      </c>
      <c r="G327" s="8" t="n"/>
      <c r="H327" s="8" t="n">
        <v>3.92</v>
      </c>
      <c r="I327" s="8" t="n"/>
    </row>
    <row r="328">
      <c r="A328" s="4" t="n">
        <v>2767</v>
      </c>
      <c r="B328" s="5" t="inlineStr">
        <is>
          <t>IMG_0103</t>
        </is>
      </c>
      <c r="C328" s="5" t="inlineStr">
        <is>
          <t>CLASS K: PIPEWORK - MANHOLES AND PIPEWORK ANCILLARIES</t>
        </is>
      </c>
      <c r="D328" s="5" t="inlineStr">
        <is>
          <t>RESOURCES - PLANT</t>
        </is>
      </c>
      <c r="E328" s="5" t="inlineStr">
        <is>
          <t>French/rubble drains, ditches and trenches; ducts and metal culverts</t>
        </is>
      </c>
      <c r="F328" s="5" t="inlineStr">
        <is>
          <t>disc saw (30% of time)</t>
        </is>
      </c>
      <c r="G328" s="8" t="n"/>
      <c r="H328" s="8" t="n">
        <v>0.37</v>
      </c>
      <c r="I328" s="8" t="n"/>
    </row>
    <row r="329">
      <c r="A329" s="4" t="n">
        <v>2768</v>
      </c>
      <c r="B329" s="5" t="inlineStr">
        <is>
          <t>IMG_0103</t>
        </is>
      </c>
      <c r="C329" s="5" t="inlineStr">
        <is>
          <t>CLASS K: PIPEWORK - MANHOLES AND PIPEWORK ANCILLARIES</t>
        </is>
      </c>
      <c r="D329" s="5" t="inlineStr">
        <is>
          <t>RESOURCES - PLANT</t>
        </is>
      </c>
      <c r="E329" s="5" t="inlineStr">
        <is>
          <t>French/rubble drains, ditches and trenches; ducts and metal culverts</t>
        </is>
      </c>
      <c r="F329" s="5" t="inlineStr">
        <is>
          <t>compaction plate/roller (30% of time)</t>
        </is>
      </c>
      <c r="G329" s="8" t="n"/>
      <c r="H329" s="8" t="n">
        <v>3.25</v>
      </c>
      <c r="I329" s="8" t="n"/>
    </row>
    <row r="330">
      <c r="A330" s="4" t="n">
        <v>2769</v>
      </c>
      <c r="B330" s="5" t="inlineStr">
        <is>
          <t>IMG_0103</t>
        </is>
      </c>
      <c r="C330" s="5" t="inlineStr">
        <is>
          <t>CLASS K: PIPEWORK - MANHOLES AND PIPEWORK ANCILLARIES</t>
        </is>
      </c>
      <c r="D330" s="5" t="inlineStr">
        <is>
          <t>RESOURCES - PLANT</t>
        </is>
      </c>
      <c r="E330" s="5" t="inlineStr">
        <is>
          <t>French/rubble drains, ditches and trenches; ducts and metal culverts</t>
        </is>
      </c>
      <c r="F330" s="5" t="inlineStr">
        <is>
          <t>2.80 m3/min compressor, 2 tool (30% of time)</t>
        </is>
      </c>
      <c r="G330" s="8" t="n"/>
      <c r="H330" s="8" t="n">
        <v>6.03</v>
      </c>
      <c r="I330" s="8" t="n"/>
    </row>
    <row r="331">
      <c r="A331" s="4" t="n">
        <v>2770</v>
      </c>
      <c r="B331" s="5" t="inlineStr">
        <is>
          <t>IMG_0103</t>
        </is>
      </c>
      <c r="C331" s="5" t="inlineStr">
        <is>
          <t>CLASS K: PIPEWORK - MANHOLES AND PIPEWORK ANCILLARIES</t>
        </is>
      </c>
      <c r="D331" s="5" t="inlineStr">
        <is>
          <t>RESOURCES - PLANT</t>
        </is>
      </c>
      <c r="E331" s="5" t="inlineStr">
        <is>
          <t>French/rubble drains, ditches and trenches; ducts and metal culverts</t>
        </is>
      </c>
      <c r="F331" s="5" t="inlineStr">
        <is>
          <t>small pump (30% of time)</t>
        </is>
      </c>
      <c r="G331" s="8" t="n"/>
      <c r="H331" s="8" t="n">
        <v>2.36</v>
      </c>
      <c r="I331" s="8" t="n"/>
    </row>
    <row r="332">
      <c r="A332" s="42" t="n">
        <v>2771</v>
      </c>
      <c r="B332" s="43" t="inlineStr">
        <is>
          <t>IMG_0103</t>
        </is>
      </c>
      <c r="C332" s="43" t="inlineStr">
        <is>
          <t>CLASS K: PIPEWORK - MANHOLES AND PIPEWORK ANCILLARIES</t>
        </is>
      </c>
      <c r="D332" s="43" t="inlineStr">
        <is>
          <t>RESOURCES - PLANT</t>
        </is>
      </c>
      <c r="E332" s="43" t="inlineStr">
        <is>
          <t>French/rubble drains, ditches and trenches; ducts and metal culverts</t>
        </is>
      </c>
      <c r="F332" s="43" t="inlineStr">
        <is>
          <t>Total Rate/Hour</t>
        </is>
      </c>
      <c r="G332" s="44" t="n"/>
      <c r="H332" s="44" t="n">
        <v>93.44</v>
      </c>
      <c r="I332" s="44" t="n"/>
    </row>
    <row r="333">
      <c r="A333" s="4" t="n">
        <v>3227</v>
      </c>
      <c r="B333" s="5" t="inlineStr">
        <is>
          <t>IMG_0109</t>
        </is>
      </c>
      <c r="C333" s="5" t="inlineStr">
        <is>
          <t>CLASS L: PIPEWORK SUPPORTS AND PROTECTION, ANCILLARIES TO LAYING AND EXCAVATION</t>
        </is>
      </c>
      <c r="D333" s="5" t="inlineStr">
        <is>
          <t>RESOURCES - LABOUR</t>
        </is>
      </c>
      <c r="E333" s="5" t="inlineStr">
        <is>
          <t>Labour Resources Build-up Rate; Supports and protection gang</t>
        </is>
      </c>
      <c r="F333" s="5" t="inlineStr">
        <is>
          <t>2 unskilled operatives (general)</t>
        </is>
      </c>
      <c r="G333" s="8" t="n">
        <v>49.35</v>
      </c>
      <c r="H333" s="8" t="n"/>
      <c r="I333" s="8" t="n"/>
    </row>
    <row r="334">
      <c r="A334" s="4" t="n">
        <v>3228</v>
      </c>
      <c r="B334" s="5" t="inlineStr">
        <is>
          <t>IMG_0109</t>
        </is>
      </c>
      <c r="C334" s="5" t="inlineStr">
        <is>
          <t>CLASS L: PIPEWORK SUPPORTS AND PROTECTION, ANCILLARIES TO LAYING AND EXCAVATION</t>
        </is>
      </c>
      <c r="D334" s="5" t="inlineStr">
        <is>
          <t>RESOURCES - LABOUR</t>
        </is>
      </c>
      <c r="E334" s="5" t="inlineStr">
        <is>
          <t>Labour Resources Build-up Rate; Supports and protection gang</t>
        </is>
      </c>
      <c r="F334" s="5" t="inlineStr">
        <is>
          <t>1 plant operator (skill rate 3)</t>
        </is>
      </c>
      <c r="G334" s="8" t="n">
        <v>38.96</v>
      </c>
      <c r="H334" s="8" t="n"/>
      <c r="I334" s="8" t="n"/>
    </row>
    <row r="335">
      <c r="A335" s="42" t="n">
        <v>3229</v>
      </c>
      <c r="B335" s="43" t="inlineStr">
        <is>
          <t>IMG_0109</t>
        </is>
      </c>
      <c r="C335" s="43" t="inlineStr">
        <is>
          <t>CLASS L: PIPEWORK SUPPORTS AND PROTECTION, ANCILLARIES TO LAYING AND EXCAVATION</t>
        </is>
      </c>
      <c r="D335" s="43" t="inlineStr">
        <is>
          <t>RESOURCES - LABOUR</t>
        </is>
      </c>
      <c r="E335" s="43" t="inlineStr">
        <is>
          <t>Labour Resources Build-up Rate; Supports and protection gang</t>
        </is>
      </c>
      <c r="F335" s="43" t="inlineStr">
        <is>
          <t>Total Gang Rate/Hour</t>
        </is>
      </c>
      <c r="G335" s="44" t="n">
        <v>84.18000000000001</v>
      </c>
      <c r="H335" s="44" t="n"/>
      <c r="I335" s="44" t="n"/>
    </row>
    <row r="336">
      <c r="A336" s="4" t="n">
        <v>3232</v>
      </c>
      <c r="B336" s="5" t="inlineStr">
        <is>
          <t>IMG_0109</t>
        </is>
      </c>
      <c r="C336" s="5" t="inlineStr">
        <is>
          <t>CLASS L: PIPEWORK SUPPORTS AND PROTECTION, ANCILLARIES TO LAYING AND EXCAVATION</t>
        </is>
      </c>
      <c r="D336" s="5" t="inlineStr">
        <is>
          <t>RESOURCES - PLANT</t>
        </is>
      </c>
      <c r="E336" s="5" t="inlineStr">
        <is>
          <t>Plant Resources Build-up Rate; Supports and protection</t>
        </is>
      </c>
      <c r="F336" s="5" t="inlineStr">
        <is>
          <t>0.40 m3 hydraulic backacter</t>
        </is>
      </c>
      <c r="G336" s="8" t="n"/>
      <c r="H336" s="8" t="n">
        <v>77.52</v>
      </c>
      <c r="I336" s="8" t="n"/>
    </row>
    <row r="337">
      <c r="A337" s="4" t="n">
        <v>3233</v>
      </c>
      <c r="B337" s="5" t="inlineStr">
        <is>
          <t>IMG_0109</t>
        </is>
      </c>
      <c r="C337" s="5" t="inlineStr">
        <is>
          <t>CLASS L: PIPEWORK SUPPORTS AND PROTECTION, ANCILLARIES TO LAYING AND EXCAVATION</t>
        </is>
      </c>
      <c r="D337" s="5" t="inlineStr">
        <is>
          <t>RESOURCES - PLANT</t>
        </is>
      </c>
      <c r="E337" s="5" t="inlineStr">
        <is>
          <t>Plant Resources Build-up Rate; Supports and protection</t>
        </is>
      </c>
      <c r="F337" s="5" t="inlineStr">
        <is>
          <t>Bomag BW 65S</t>
        </is>
      </c>
      <c r="G337" s="8" t="n"/>
      <c r="H337" s="8" t="n">
        <v>11.51</v>
      </c>
      <c r="I337" s="8" t="n"/>
    </row>
    <row r="338">
      <c r="A338" s="42" t="n">
        <v>3234</v>
      </c>
      <c r="B338" s="43" t="inlineStr">
        <is>
          <t>IMG_0109</t>
        </is>
      </c>
      <c r="C338" s="43" t="inlineStr">
        <is>
          <t>CLASS L: PIPEWORK SUPPORTS AND PROTECTION, ANCILLARIES TO LAYING AND EXCAVATION</t>
        </is>
      </c>
      <c r="D338" s="43" t="inlineStr">
        <is>
          <t>RESOURCES - PLANT</t>
        </is>
      </c>
      <c r="E338" s="43" t="inlineStr">
        <is>
          <t>Plant Resources Build-up Rate; Supports and protection</t>
        </is>
      </c>
      <c r="F338" s="43" t="inlineStr">
        <is>
          <t>Total Rate/Hour</t>
        </is>
      </c>
      <c r="G338" s="44" t="n"/>
      <c r="H338" s="44" t="n">
        <v>89.03</v>
      </c>
      <c r="I338" s="44" t="n"/>
    </row>
    <row r="339">
      <c r="A339" s="4" t="n">
        <v>3420</v>
      </c>
      <c r="B339" s="5" t="inlineStr">
        <is>
          <t>IMG_0111</t>
        </is>
      </c>
      <c r="C339" s="5" t="inlineStr">
        <is>
          <t>CLASS N: MISCELLANEOUS METALWORK</t>
        </is>
      </c>
      <c r="D339" s="5" t="inlineStr">
        <is>
          <t>RESOURCES - LABOUR</t>
        </is>
      </c>
      <c r="E339" s="5" t="inlineStr">
        <is>
          <t>Labour Resources Build-up Rate; Roofing - cladding gang</t>
        </is>
      </c>
      <c r="F339" s="5" t="inlineStr">
        <is>
          <t>1 ganger/chargehand (skill rate 3) - 50% of time</t>
        </is>
      </c>
      <c r="G339" s="8" t="n">
        <v>15.69</v>
      </c>
      <c r="H339" s="8" t="n"/>
      <c r="I339" s="8" t="n"/>
    </row>
    <row r="340">
      <c r="A340" s="4" t="n">
        <v>3421</v>
      </c>
      <c r="B340" s="5" t="inlineStr">
        <is>
          <t>IMG_0111</t>
        </is>
      </c>
      <c r="C340" s="5" t="inlineStr">
        <is>
          <t>CLASS N: MISCELLANEOUS METALWORK</t>
        </is>
      </c>
      <c r="D340" s="5" t="inlineStr">
        <is>
          <t>RESOURCES - LABOUR</t>
        </is>
      </c>
      <c r="E340" s="5" t="inlineStr">
        <is>
          <t>Labour Resources Build-up Rate; Roofing - cladding gang</t>
        </is>
      </c>
      <c r="F340" s="5" t="inlineStr">
        <is>
          <t>2 skilled operative (skill rate 3)</t>
        </is>
      </c>
      <c r="G340" s="8" t="n">
        <v>58.99</v>
      </c>
      <c r="H340" s="8" t="n"/>
      <c r="I340" s="8" t="n"/>
    </row>
    <row r="341">
      <c r="A341" s="4" t="n">
        <v>3423</v>
      </c>
      <c r="B341" s="5" t="inlineStr">
        <is>
          <t>IMG_0112</t>
        </is>
      </c>
      <c r="C341" s="5" t="inlineStr">
        <is>
          <t>CLASS N: MISCELLANEOUS METALWORK</t>
        </is>
      </c>
      <c r="D341" s="5" t="inlineStr">
        <is>
          <t>RESOURCES - LABOUR</t>
        </is>
      </c>
      <c r="E341" s="5" t="inlineStr">
        <is>
          <t>Roofing - cladding gang (continued)</t>
        </is>
      </c>
      <c r="F341" s="5" t="inlineStr">
        <is>
          <t>1 unskilled operative (general) - 50% of time</t>
        </is>
      </c>
      <c r="G341" s="8" t="n">
        <v>12.34</v>
      </c>
      <c r="H341" s="8" t="n"/>
      <c r="I341" s="8" t="n"/>
    </row>
    <row r="342">
      <c r="A342" s="42" t="n">
        <v>3424</v>
      </c>
      <c r="B342" s="43" t="inlineStr">
        <is>
          <t>IMG_0112</t>
        </is>
      </c>
      <c r="C342" s="43" t="inlineStr">
        <is>
          <t>CLASS N: MISCELLANEOUS METALWORK</t>
        </is>
      </c>
      <c r="D342" s="43" t="inlineStr">
        <is>
          <t>RESOURCES - LABOUR</t>
        </is>
      </c>
      <c r="E342" s="43" t="inlineStr">
        <is>
          <t>Roofing - cladding gang (continued)</t>
        </is>
      </c>
      <c r="F342" s="43" t="inlineStr">
        <is>
          <t>Total Gang Rate/Hour</t>
        </is>
      </c>
      <c r="G342" s="44" t="n">
        <v>81.93000000000001</v>
      </c>
      <c r="H342" s="44" t="n"/>
      <c r="I342" s="44" t="n"/>
    </row>
    <row r="343">
      <c r="A343" s="4" t="n">
        <v>3426</v>
      </c>
      <c r="B343" s="5" t="inlineStr">
        <is>
          <t>IMG_0112</t>
        </is>
      </c>
      <c r="C343" s="5" t="inlineStr">
        <is>
          <t>CLASS N: MISCELLANEOUS METALWORK</t>
        </is>
      </c>
      <c r="D343" s="5" t="inlineStr">
        <is>
          <t>RESOURCES - LABOUR</t>
        </is>
      </c>
      <c r="E343" s="5" t="inlineStr">
        <is>
          <t>Bridge bearing gang</t>
        </is>
      </c>
      <c r="F343" s="5" t="inlineStr">
        <is>
          <t>1 skilled operative (skill rate 4)</t>
        </is>
      </c>
      <c r="G343" s="8" t="n">
        <v>29.49</v>
      </c>
      <c r="H343" s="8" t="n"/>
      <c r="I343" s="8" t="n"/>
    </row>
    <row r="344">
      <c r="A344" s="4" t="n">
        <v>3427</v>
      </c>
      <c r="B344" s="5" t="inlineStr">
        <is>
          <t>IMG_0112</t>
        </is>
      </c>
      <c r="C344" s="5" t="inlineStr">
        <is>
          <t>CLASS N: MISCELLANEOUS METALWORK</t>
        </is>
      </c>
      <c r="D344" s="5" t="inlineStr">
        <is>
          <t>RESOURCES - LABOUR</t>
        </is>
      </c>
      <c r="E344" s="5" t="inlineStr">
        <is>
          <t>Bridge bearing gang</t>
        </is>
      </c>
      <c r="F344" s="5" t="inlineStr">
        <is>
          <t>2 unskilled operatives (general)</t>
        </is>
      </c>
      <c r="G344" s="8" t="n">
        <v>49.35</v>
      </c>
      <c r="H344" s="8" t="n"/>
      <c r="I344" s="8" t="n"/>
    </row>
    <row r="345">
      <c r="A345" s="42" t="n">
        <v>3428</v>
      </c>
      <c r="B345" s="43" t="inlineStr">
        <is>
          <t>IMG_0112</t>
        </is>
      </c>
      <c r="C345" s="43" t="inlineStr">
        <is>
          <t>CLASS N: MISCELLANEOUS METALWORK</t>
        </is>
      </c>
      <c r="D345" s="43" t="inlineStr">
        <is>
          <t>RESOURCES - LABOUR</t>
        </is>
      </c>
      <c r="E345" s="43" t="inlineStr">
        <is>
          <t>Bridge bearing gang</t>
        </is>
      </c>
      <c r="F345" s="43" t="inlineStr">
        <is>
          <t>Total Gang Rate/Hour</t>
        </is>
      </c>
      <c r="G345" s="44" t="n">
        <v>73.13</v>
      </c>
      <c r="H345" s="44" t="n"/>
      <c r="I345" s="44" t="n"/>
    </row>
    <row r="346">
      <c r="A346" s="4" t="n">
        <v>3431</v>
      </c>
      <c r="B346" s="5" t="inlineStr">
        <is>
          <t>IMG_0112</t>
        </is>
      </c>
      <c r="C346" s="5" t="inlineStr">
        <is>
          <t>CLASS N: MISCELLANEOUS METALWORK</t>
        </is>
      </c>
      <c r="D346" s="5" t="inlineStr">
        <is>
          <t>RESOURCES - PLANT</t>
        </is>
      </c>
      <c r="E346" s="5" t="inlineStr">
        <is>
          <t>Plant Resources Build-up Rate; Cladding to roofs</t>
        </is>
      </c>
      <c r="F346" s="5" t="inlineStr">
        <is>
          <t>15 m telescopic access platform - 50% of time</t>
        </is>
      </c>
      <c r="G346" s="8" t="n"/>
      <c r="H346" s="8" t="n">
        <v>36.05</v>
      </c>
      <c r="I346" s="8" t="n"/>
    </row>
    <row r="347">
      <c r="A347" s="42" t="n">
        <v>3432</v>
      </c>
      <c r="B347" s="43" t="inlineStr">
        <is>
          <t>IMG_0112</t>
        </is>
      </c>
      <c r="C347" s="43" t="inlineStr">
        <is>
          <t>CLASS N: MISCELLANEOUS METALWORK</t>
        </is>
      </c>
      <c r="D347" s="43" t="inlineStr">
        <is>
          <t>RESOURCES - PLANT</t>
        </is>
      </c>
      <c r="E347" s="43" t="inlineStr">
        <is>
          <t>Plant Resources Build-up Rate; Cladding to roofs</t>
        </is>
      </c>
      <c r="F347" s="43" t="inlineStr">
        <is>
          <t>Total Rate/Hour</t>
        </is>
      </c>
      <c r="G347" s="44" t="n"/>
      <c r="H347" s="44" t="n">
        <v>36.05</v>
      </c>
      <c r="I347" s="44" t="n"/>
    </row>
    <row r="348">
      <c r="A348" s="4" t="n">
        <v>3434</v>
      </c>
      <c r="B348" s="5" t="inlineStr">
        <is>
          <t>IMG_0112</t>
        </is>
      </c>
      <c r="C348" s="5" t="inlineStr">
        <is>
          <t>CLASS N: MISCELLANEOUS METALWORK</t>
        </is>
      </c>
      <c r="D348" s="5" t="inlineStr">
        <is>
          <t>RESOURCES - PLANT</t>
        </is>
      </c>
      <c r="E348" s="5" t="inlineStr">
        <is>
          <t>Cladding to walls</t>
        </is>
      </c>
      <c r="F348" s="5" t="inlineStr">
        <is>
          <t>15 m telescopic access platform</t>
        </is>
      </c>
      <c r="G348" s="8" t="n"/>
      <c r="H348" s="8" t="n">
        <v>62.49</v>
      </c>
      <c r="I348" s="8" t="n"/>
    </row>
    <row r="349">
      <c r="A349" s="42" t="n">
        <v>3435</v>
      </c>
      <c r="B349" s="43" t="inlineStr">
        <is>
          <t>IMG_0112</t>
        </is>
      </c>
      <c r="C349" s="43" t="inlineStr">
        <is>
          <t>CLASS N: MISCELLANEOUS METALWORK</t>
        </is>
      </c>
      <c r="D349" s="43" t="inlineStr">
        <is>
          <t>RESOURCES - PLANT</t>
        </is>
      </c>
      <c r="E349" s="43" t="inlineStr">
        <is>
          <t>Cladding to walls</t>
        </is>
      </c>
      <c r="F349" s="43" t="inlineStr">
        <is>
          <t>Total Rate/Hour</t>
        </is>
      </c>
      <c r="G349" s="44" t="n"/>
      <c r="H349" s="44" t="n">
        <v>62.49</v>
      </c>
      <c r="I349" s="44" t="n"/>
    </row>
    <row r="350">
      <c r="A350" s="4" t="n">
        <v>3556</v>
      </c>
      <c r="B350" s="5" t="inlineStr">
        <is>
          <t>IMG_0113</t>
        </is>
      </c>
      <c r="C350" s="5" t="inlineStr">
        <is>
          <t>CLASS O: TIMBER</t>
        </is>
      </c>
      <c r="D350" s="5" t="inlineStr">
        <is>
          <t>RESOURCES - LABOUR</t>
        </is>
      </c>
      <c r="E350" s="5" t="inlineStr">
        <is>
          <t>Labour Resources Build-up Rate; Timber gang</t>
        </is>
      </c>
      <c r="F350" s="5" t="inlineStr">
        <is>
          <t>1 foreman carpenter/joiner (craftsman)</t>
        </is>
      </c>
      <c r="G350" s="8" t="n">
        <v>33.9</v>
      </c>
      <c r="H350" s="8" t="n"/>
      <c r="I350" s="8" t="n"/>
    </row>
    <row r="351">
      <c r="A351" s="4" t="n">
        <v>3557</v>
      </c>
      <c r="B351" s="5" t="inlineStr">
        <is>
          <t>IMG_0113</t>
        </is>
      </c>
      <c r="C351" s="5" t="inlineStr">
        <is>
          <t>CLASS O: TIMBER</t>
        </is>
      </c>
      <c r="D351" s="5" t="inlineStr">
        <is>
          <t>RESOURCES - LABOUR</t>
        </is>
      </c>
      <c r="E351" s="5" t="inlineStr">
        <is>
          <t>Labour Resources Build-up Rate; Timber gang</t>
        </is>
      </c>
      <c r="F351" s="5" t="inlineStr">
        <is>
          <t>1 carpenter/joiner (craftsman)</t>
        </is>
      </c>
      <c r="G351" s="8" t="n">
        <v>29.49</v>
      </c>
      <c r="H351" s="8" t="n"/>
      <c r="I351" s="8" t="n"/>
    </row>
    <row r="352">
      <c r="A352" s="4" t="n">
        <v>3558</v>
      </c>
      <c r="B352" s="5" t="inlineStr">
        <is>
          <t>IMG_0113</t>
        </is>
      </c>
      <c r="C352" s="5" t="inlineStr">
        <is>
          <t>CLASS O: TIMBER</t>
        </is>
      </c>
      <c r="D352" s="5" t="inlineStr">
        <is>
          <t>RESOURCES - LABOUR</t>
        </is>
      </c>
      <c r="E352" s="5" t="inlineStr">
        <is>
          <t>Labour Resources Build-up Rate; Timber gang</t>
        </is>
      </c>
      <c r="F352" s="5" t="inlineStr">
        <is>
          <t>1 unskilled operative (general)</t>
        </is>
      </c>
      <c r="G352" s="8" t="n">
        <v>24.68</v>
      </c>
      <c r="H352" s="8" t="n"/>
      <c r="I352" s="8" t="n"/>
    </row>
    <row r="353">
      <c r="A353" s="4" t="n">
        <v>3559</v>
      </c>
      <c r="B353" s="5" t="inlineStr">
        <is>
          <t>IMG_0113</t>
        </is>
      </c>
      <c r="C353" s="5" t="inlineStr">
        <is>
          <t>CLASS O: TIMBER</t>
        </is>
      </c>
      <c r="D353" s="5" t="inlineStr">
        <is>
          <t>RESOURCES - LABOUR</t>
        </is>
      </c>
      <c r="E353" s="5" t="inlineStr">
        <is>
          <t>Labour Resources Build-up Rate; Timber gang</t>
        </is>
      </c>
      <c r="F353" s="5" t="inlineStr">
        <is>
          <t>1 plant operator (skill rate 3) - 50% of time</t>
        </is>
      </c>
      <c r="G353" s="8" t="n">
        <v>19.48</v>
      </c>
      <c r="H353" s="8" t="n"/>
      <c r="I353" s="8" t="n"/>
    </row>
    <row r="354">
      <c r="A354" s="42" t="n">
        <v>3560</v>
      </c>
      <c r="B354" s="43" t="inlineStr">
        <is>
          <t>IMG_0113</t>
        </is>
      </c>
      <c r="C354" s="43" t="inlineStr">
        <is>
          <t>CLASS O: TIMBER</t>
        </is>
      </c>
      <c r="D354" s="43" t="inlineStr">
        <is>
          <t>RESOURCES - LABOUR</t>
        </is>
      </c>
      <c r="E354" s="43" t="inlineStr">
        <is>
          <t>Labour Resources Build-up Rate; Timber gang</t>
        </is>
      </c>
      <c r="F354" s="43" t="inlineStr">
        <is>
          <t>Total Gang Rate/Hour</t>
        </is>
      </c>
      <c r="G354" s="44" t="n">
        <v>102.34</v>
      </c>
      <c r="H354" s="44" t="n"/>
      <c r="I354" s="44" t="n"/>
    </row>
    <row r="355">
      <c r="A355" s="4" t="n">
        <v>3562</v>
      </c>
      <c r="B355" s="5" t="inlineStr">
        <is>
          <t>IMG_0113</t>
        </is>
      </c>
      <c r="C355" s="5" t="inlineStr">
        <is>
          <t>CLASS O: TIMBER</t>
        </is>
      </c>
      <c r="D355" s="5" t="inlineStr">
        <is>
          <t>RESOURCES - LABOUR</t>
        </is>
      </c>
      <c r="E355" s="5" t="inlineStr">
        <is>
          <t>Timber fixings gang</t>
        </is>
      </c>
      <c r="F355" s="5" t="inlineStr">
        <is>
          <t>1 foreman carpenter/joiner (craftsman)</t>
        </is>
      </c>
      <c r="G355" s="8" t="n">
        <v>33.9</v>
      </c>
      <c r="H355" s="8" t="n"/>
      <c r="I355" s="8" t="n"/>
    </row>
    <row r="356">
      <c r="A356" s="4" t="n">
        <v>3563</v>
      </c>
      <c r="B356" s="5" t="inlineStr">
        <is>
          <t>IMG_0113</t>
        </is>
      </c>
      <c r="C356" s="5" t="inlineStr">
        <is>
          <t>CLASS O: TIMBER</t>
        </is>
      </c>
      <c r="D356" s="5" t="inlineStr">
        <is>
          <t>RESOURCES - LABOUR</t>
        </is>
      </c>
      <c r="E356" s="5" t="inlineStr">
        <is>
          <t>Timber fixings gang</t>
        </is>
      </c>
      <c r="F356" s="5" t="inlineStr">
        <is>
          <t>1 unskilled operative (general)</t>
        </is>
      </c>
      <c r="G356" s="8" t="n">
        <v>24.68</v>
      </c>
      <c r="H356" s="8" t="n"/>
      <c r="I356" s="8" t="n"/>
    </row>
    <row r="357">
      <c r="A357" s="42" t="n">
        <v>3564</v>
      </c>
      <c r="B357" s="43" t="inlineStr">
        <is>
          <t>IMG_0113</t>
        </is>
      </c>
      <c r="C357" s="43" t="inlineStr">
        <is>
          <t>CLASS O: TIMBER</t>
        </is>
      </c>
      <c r="D357" s="43" t="inlineStr">
        <is>
          <t>RESOURCES - LABOUR</t>
        </is>
      </c>
      <c r="E357" s="43" t="inlineStr">
        <is>
          <t>Timber fixings gang</t>
        </is>
      </c>
      <c r="F357" s="43" t="inlineStr">
        <is>
          <t>Total Gang Rate/Hour</t>
        </is>
      </c>
      <c r="G357" s="44" t="n">
        <v>57.31</v>
      </c>
      <c r="H357" s="44" t="n"/>
      <c r="I357" s="44" t="n"/>
    </row>
    <row r="358">
      <c r="A358" s="4" t="n">
        <v>3569</v>
      </c>
      <c r="B358" s="5" t="inlineStr">
        <is>
          <t>IMG_0114</t>
        </is>
      </c>
      <c r="C358" s="5" t="inlineStr">
        <is>
          <t>CLASS O: TIMBER</t>
        </is>
      </c>
      <c r="D358" s="5" t="inlineStr">
        <is>
          <t>RESOURCES - PLANT</t>
        </is>
      </c>
      <c r="E358" s="5" t="inlineStr">
        <is>
          <t>Labour Resources Build-up Rate; Timber</t>
        </is>
      </c>
      <c r="F358" s="5" t="inlineStr">
        <is>
          <t>tractor/trailer</t>
        </is>
      </c>
      <c r="G358" s="8" t="n"/>
      <c r="H358" s="8" t="n">
        <v>61.04</v>
      </c>
      <c r="I358" s="8" t="n"/>
    </row>
    <row r="359">
      <c r="A359" s="4" t="n">
        <v>3570</v>
      </c>
      <c r="B359" s="5" t="inlineStr">
        <is>
          <t>IMG_0114</t>
        </is>
      </c>
      <c r="C359" s="5" t="inlineStr">
        <is>
          <t>CLASS O: TIMBER</t>
        </is>
      </c>
      <c r="D359" s="5" t="inlineStr">
        <is>
          <t>RESOURCES - PLANT</t>
        </is>
      </c>
      <c r="E359" s="5" t="inlineStr">
        <is>
          <t>Labour Resources Build-up Rate; Timber</t>
        </is>
      </c>
      <c r="F359" s="5" t="inlineStr">
        <is>
          <t>10t crawler crane (25% of time)</t>
        </is>
      </c>
      <c r="G359" s="8" t="n"/>
      <c r="H359" s="8" t="n">
        <v>20.67</v>
      </c>
      <c r="I359" s="8" t="n"/>
    </row>
    <row r="360">
      <c r="A360" s="4" t="n">
        <v>3571</v>
      </c>
      <c r="B360" s="5" t="inlineStr">
        <is>
          <t>IMG_0114</t>
        </is>
      </c>
      <c r="C360" s="5" t="inlineStr">
        <is>
          <t>CLASS O: TIMBER</t>
        </is>
      </c>
      <c r="D360" s="5" t="inlineStr">
        <is>
          <t>RESOURCES - PLANT</t>
        </is>
      </c>
      <c r="E360" s="5" t="inlineStr">
        <is>
          <t>Labour Resources Build-up Rate; Timber</t>
        </is>
      </c>
      <c r="F360" s="5" t="inlineStr">
        <is>
          <t>5.6t rough terrain forklift (25% of time)</t>
        </is>
      </c>
      <c r="G360" s="8" t="n"/>
      <c r="H360" s="8" t="n">
        <v>11.32</v>
      </c>
      <c r="I360" s="8" t="n"/>
    </row>
    <row r="361">
      <c r="A361" s="4" t="n">
        <v>3572</v>
      </c>
      <c r="B361" s="5" t="inlineStr">
        <is>
          <t>IMG_0114</t>
        </is>
      </c>
      <c r="C361" s="5" t="inlineStr">
        <is>
          <t>CLASS O: TIMBER</t>
        </is>
      </c>
      <c r="D361" s="5" t="inlineStr">
        <is>
          <t>RESOURCES - PLANT</t>
        </is>
      </c>
      <c r="E361" s="5" t="inlineStr">
        <is>
          <t>Labour Resources Build-up Rate; Timber</t>
        </is>
      </c>
      <c r="F361" s="5" t="inlineStr">
        <is>
          <t>7.5 KVA diesel generator</t>
        </is>
      </c>
      <c r="G361" s="8" t="n"/>
      <c r="H361" s="8" t="n">
        <v>9.57</v>
      </c>
      <c r="I361" s="8" t="n"/>
    </row>
    <row r="362">
      <c r="A362" s="4" t="n">
        <v>3573</v>
      </c>
      <c r="B362" s="5" t="inlineStr">
        <is>
          <t>IMG_0114</t>
        </is>
      </c>
      <c r="C362" s="5" t="inlineStr">
        <is>
          <t>CLASS O: TIMBER</t>
        </is>
      </c>
      <c r="D362" s="5" t="inlineStr">
        <is>
          <t>RESOURCES - PLANT</t>
        </is>
      </c>
      <c r="E362" s="5" t="inlineStr">
        <is>
          <t>Labour Resources Build-up Rate; Timber</t>
        </is>
      </c>
      <c r="F362" s="5" t="inlineStr">
        <is>
          <t>two K637 rotary hammers</t>
        </is>
      </c>
      <c r="G362" s="8" t="n"/>
      <c r="H362" s="8" t="n">
        <v>1.68</v>
      </c>
      <c r="I362" s="8" t="n"/>
    </row>
    <row r="363">
      <c r="A363" s="4" t="n">
        <v>3574</v>
      </c>
      <c r="B363" s="5" t="inlineStr">
        <is>
          <t>IMG_0114</t>
        </is>
      </c>
      <c r="C363" s="5" t="inlineStr">
        <is>
          <t>CLASS O: TIMBER</t>
        </is>
      </c>
      <c r="D363" s="5" t="inlineStr">
        <is>
          <t>RESOURCES - PLANT</t>
        </is>
      </c>
      <c r="E363" s="5" t="inlineStr">
        <is>
          <t>Labour Resources Build-up Rate; Timber</t>
        </is>
      </c>
      <c r="F363" s="5" t="inlineStr">
        <is>
          <t>two electric screwdrivers</t>
        </is>
      </c>
      <c r="G363" s="8" t="n"/>
      <c r="H363" s="8" t="n">
        <v>3.87</v>
      </c>
      <c r="I363" s="8" t="n"/>
    </row>
    <row r="364">
      <c r="A364" s="42" t="n">
        <v>3575</v>
      </c>
      <c r="B364" s="43" t="inlineStr">
        <is>
          <t>IMG_0114</t>
        </is>
      </c>
      <c r="C364" s="43" t="inlineStr">
        <is>
          <t>CLASS O: TIMBER</t>
        </is>
      </c>
      <c r="D364" s="43" t="inlineStr">
        <is>
          <t>RESOURCES - PLANT</t>
        </is>
      </c>
      <c r="E364" s="43" t="inlineStr">
        <is>
          <t>Labour Resources Build-up Rate; Timber</t>
        </is>
      </c>
      <c r="F364" s="43" t="inlineStr">
        <is>
          <t>Total Gang Rate/Hour</t>
        </is>
      </c>
      <c r="G364" s="44" t="n"/>
      <c r="H364" s="44" t="n">
        <v>108.14</v>
      </c>
      <c r="I364" s="44" t="n"/>
    </row>
    <row r="365">
      <c r="A365" s="4" t="n">
        <v>4442</v>
      </c>
      <c r="B365" s="5" t="inlineStr">
        <is>
          <t>IMG_0125</t>
        </is>
      </c>
      <c r="C365" s="5" t="inlineStr">
        <is>
          <t>CLASS R: ROADS AND PAVINGS</t>
        </is>
      </c>
      <c r="D365" s="5" t="inlineStr">
        <is>
          <t>RESOURCES - LABOUR</t>
        </is>
      </c>
      <c r="E365" s="5" t="inlineStr">
        <is>
          <t>Labour Resources Build-up Rate; Subbase laying gang</t>
        </is>
      </c>
      <c r="F365" s="5" t="inlineStr">
        <is>
          <t>1 ganger/chargehand (skill rate 4)</t>
        </is>
      </c>
      <c r="G365" s="8" t="n">
        <v>31.39</v>
      </c>
      <c r="H365" s="8" t="n"/>
      <c r="I365" s="8" t="n"/>
    </row>
    <row r="366">
      <c r="A366" s="4" t="n">
        <v>4443</v>
      </c>
      <c r="B366" s="5" t="inlineStr">
        <is>
          <t>IMG_0125</t>
        </is>
      </c>
      <c r="C366" s="5" t="inlineStr">
        <is>
          <t>CLASS R: ROADS AND PAVINGS</t>
        </is>
      </c>
      <c r="D366" s="5" t="inlineStr">
        <is>
          <t>RESOURCES - LABOUR</t>
        </is>
      </c>
      <c r="E366" s="5" t="inlineStr">
        <is>
          <t>Labour Resources Build-up Rate; Subbase laying gang</t>
        </is>
      </c>
      <c r="F366" s="5" t="inlineStr">
        <is>
          <t>1 skilled operative (skill rate 4)</t>
        </is>
      </c>
      <c r="G366" s="8" t="n">
        <v>29.49</v>
      </c>
      <c r="H366" s="8" t="n"/>
      <c r="I366" s="8" t="n"/>
    </row>
    <row r="367">
      <c r="A367" s="4" t="n">
        <v>4444</v>
      </c>
      <c r="B367" s="5" t="inlineStr">
        <is>
          <t>IMG_0125</t>
        </is>
      </c>
      <c r="C367" s="5" t="inlineStr">
        <is>
          <t>CLASS R: ROADS AND PAVINGS</t>
        </is>
      </c>
      <c r="D367" s="5" t="inlineStr">
        <is>
          <t>RESOURCES - LABOUR</t>
        </is>
      </c>
      <c r="E367" s="5" t="inlineStr">
        <is>
          <t>Labour Resources Build-up Rate; Subbase laying gang</t>
        </is>
      </c>
      <c r="F367" s="5" t="inlineStr">
        <is>
          <t>2 unskilled operatives (general)</t>
        </is>
      </c>
      <c r="G367" s="8" t="n">
        <v>49.35</v>
      </c>
      <c r="H367" s="8" t="n"/>
      <c r="I367" s="8" t="n"/>
    </row>
    <row r="368">
      <c r="A368" s="4" t="n">
        <v>4446</v>
      </c>
      <c r="B368" s="5" t="inlineStr">
        <is>
          <t>IMG_0126</t>
        </is>
      </c>
      <c r="C368" s="5" t="inlineStr">
        <is>
          <t>CLASS R: ROADS AND PAVINGS</t>
        </is>
      </c>
      <c r="D368" s="5" t="inlineStr">
        <is>
          <t>RESOURCES - LABOUR</t>
        </is>
      </c>
      <c r="E368" s="5" t="inlineStr">
        <is>
          <t>Subbase laying gang (continued)</t>
        </is>
      </c>
      <c r="F368" s="5" t="inlineStr">
        <is>
          <t>1 plant operator (skill rate 2)</t>
        </is>
      </c>
      <c r="G368" s="8" t="n">
        <v>44.9</v>
      </c>
      <c r="H368" s="8" t="n"/>
      <c r="I368" s="8" t="n"/>
    </row>
    <row r="369">
      <c r="A369" s="4" t="n">
        <v>4447</v>
      </c>
      <c r="B369" s="5" t="inlineStr">
        <is>
          <t>IMG_0126</t>
        </is>
      </c>
      <c r="C369" s="5" t="inlineStr">
        <is>
          <t>CLASS R: ROADS AND PAVINGS</t>
        </is>
      </c>
      <c r="D369" s="5" t="inlineStr">
        <is>
          <t>RESOURCES - LABOUR</t>
        </is>
      </c>
      <c r="E369" s="5" t="inlineStr">
        <is>
          <t>Subbase laying gang (continued)</t>
        </is>
      </c>
      <c r="F369" s="5" t="inlineStr">
        <is>
          <t>1 plant operator (skill rate 3)</t>
        </is>
      </c>
      <c r="G369" s="8" t="n">
        <v>38.96</v>
      </c>
      <c r="H369" s="8" t="n"/>
      <c r="I369" s="8" t="n"/>
    </row>
    <row r="370">
      <c r="A370" s="42" t="n">
        <v>4448</v>
      </c>
      <c r="B370" s="43" t="inlineStr">
        <is>
          <t>IMG_0126</t>
        </is>
      </c>
      <c r="C370" s="43" t="inlineStr">
        <is>
          <t>CLASS R: ROADS AND PAVINGS</t>
        </is>
      </c>
      <c r="D370" s="43" t="inlineStr">
        <is>
          <t>RESOURCES - LABOUR</t>
        </is>
      </c>
      <c r="E370" s="43" t="inlineStr">
        <is>
          <t>Subbase laying gang (continued)</t>
        </is>
      </c>
      <c r="F370" s="43" t="inlineStr">
        <is>
          <t>Total Gang Rate/Hour</t>
        </is>
      </c>
      <c r="G370" s="44" t="n">
        <v>179.07</v>
      </c>
      <c r="H370" s="44" t="n"/>
      <c r="I370" s="44" t="n"/>
    </row>
    <row r="371">
      <c r="A371" s="4" t="n">
        <v>4450</v>
      </c>
      <c r="B371" s="5" t="inlineStr">
        <is>
          <t>IMG_0126</t>
        </is>
      </c>
      <c r="C371" s="5" t="inlineStr">
        <is>
          <t>CLASS R: ROADS AND PAVINGS</t>
        </is>
      </c>
      <c r="D371" s="5" t="inlineStr">
        <is>
          <t>RESOURCES - LABOUR</t>
        </is>
      </c>
      <c r="E371" s="5" t="inlineStr">
        <is>
          <t>Flexible paving gang</t>
        </is>
      </c>
      <c r="F371" s="5" t="inlineStr">
        <is>
          <t>1 ganger/chargehand (skill rate 4)</t>
        </is>
      </c>
      <c r="G371" s="8" t="n">
        <v>31.39</v>
      </c>
      <c r="H371" s="8" t="n"/>
      <c r="I371" s="8" t="n"/>
    </row>
    <row r="372">
      <c r="A372" s="4" t="n">
        <v>4451</v>
      </c>
      <c r="B372" s="5" t="inlineStr">
        <is>
          <t>IMG_0126</t>
        </is>
      </c>
      <c r="C372" s="5" t="inlineStr">
        <is>
          <t>CLASS R: ROADS AND PAVINGS</t>
        </is>
      </c>
      <c r="D372" s="5" t="inlineStr">
        <is>
          <t>RESOURCES - LABOUR</t>
        </is>
      </c>
      <c r="E372" s="5" t="inlineStr">
        <is>
          <t>Flexible paving gang</t>
        </is>
      </c>
      <c r="F372" s="5" t="inlineStr">
        <is>
          <t>2 skilled operatives (skill rate 4)</t>
        </is>
      </c>
      <c r="G372" s="8" t="n">
        <v>58.99</v>
      </c>
      <c r="H372" s="8" t="n"/>
      <c r="I372" s="8" t="n"/>
    </row>
    <row r="373">
      <c r="A373" s="4" t="n">
        <v>4452</v>
      </c>
      <c r="B373" s="5" t="inlineStr">
        <is>
          <t>IMG_0126</t>
        </is>
      </c>
      <c r="C373" s="5" t="inlineStr">
        <is>
          <t>CLASS R: ROADS AND PAVINGS</t>
        </is>
      </c>
      <c r="D373" s="5" t="inlineStr">
        <is>
          <t>RESOURCES - LABOUR</t>
        </is>
      </c>
      <c r="E373" s="5" t="inlineStr">
        <is>
          <t>Flexible paving gang</t>
        </is>
      </c>
      <c r="F373" s="5" t="inlineStr">
        <is>
          <t>4 unskilled operatives (general)</t>
        </is>
      </c>
      <c r="G373" s="8" t="n">
        <v>98.7</v>
      </c>
      <c r="H373" s="8" t="n"/>
      <c r="I373" s="8" t="n"/>
    </row>
    <row r="374">
      <c r="A374" s="4" t="n">
        <v>4453</v>
      </c>
      <c r="B374" s="5" t="inlineStr">
        <is>
          <t>IMG_0126</t>
        </is>
      </c>
      <c r="C374" s="5" t="inlineStr">
        <is>
          <t>CLASS R: ROADS AND PAVINGS</t>
        </is>
      </c>
      <c r="D374" s="5" t="inlineStr">
        <is>
          <t>RESOURCES - LABOUR</t>
        </is>
      </c>
      <c r="E374" s="5" t="inlineStr">
        <is>
          <t>Flexible paving gang</t>
        </is>
      </c>
      <c r="F374" s="5" t="inlineStr">
        <is>
          <t>4 plant operators (skill rate 3)</t>
        </is>
      </c>
      <c r="G374" s="8" t="n">
        <v>155.82</v>
      </c>
      <c r="H374" s="8" t="n"/>
      <c r="I374" s="8" t="n"/>
    </row>
    <row r="375">
      <c r="A375" s="42" t="n">
        <v>4454</v>
      </c>
      <c r="B375" s="43" t="inlineStr">
        <is>
          <t>IMG_0126</t>
        </is>
      </c>
      <c r="C375" s="43" t="inlineStr">
        <is>
          <t>CLASS R: ROADS AND PAVINGS</t>
        </is>
      </c>
      <c r="D375" s="43" t="inlineStr">
        <is>
          <t>RESOURCES - LABOUR</t>
        </is>
      </c>
      <c r="E375" s="43" t="inlineStr">
        <is>
          <t>Flexible paving gang</t>
        </is>
      </c>
      <c r="F375" s="43" t="inlineStr">
        <is>
          <t>Total Gang Rate/Hour</t>
        </is>
      </c>
      <c r="G375" s="44" t="n">
        <v>316.29</v>
      </c>
      <c r="H375" s="44" t="n"/>
      <c r="I375" s="44" t="n"/>
    </row>
    <row r="376">
      <c r="A376" s="4" t="n">
        <v>4456</v>
      </c>
      <c r="B376" s="5" t="inlineStr">
        <is>
          <t>IMG_0126</t>
        </is>
      </c>
      <c r="C376" s="5" t="inlineStr">
        <is>
          <t>CLASS R: ROADS AND PAVINGS</t>
        </is>
      </c>
      <c r="D376" s="5" t="inlineStr">
        <is>
          <t>RESOURCES - LABOUR</t>
        </is>
      </c>
      <c r="E376" s="5" t="inlineStr">
        <is>
          <t>Concrete paving gang</t>
        </is>
      </c>
      <c r="F376" s="5" t="inlineStr">
        <is>
          <t>1 ganger/chargehand (skill rate 4)</t>
        </is>
      </c>
      <c r="G376" s="8" t="n">
        <v>31.39</v>
      </c>
      <c r="H376" s="8" t="n"/>
      <c r="I376" s="8" t="n"/>
    </row>
    <row r="377">
      <c r="A377" s="4" t="n">
        <v>4457</v>
      </c>
      <c r="B377" s="5" t="inlineStr">
        <is>
          <t>IMG_0126</t>
        </is>
      </c>
      <c r="C377" s="5" t="inlineStr">
        <is>
          <t>CLASS R: ROADS AND PAVINGS</t>
        </is>
      </c>
      <c r="D377" s="5" t="inlineStr">
        <is>
          <t>RESOURCES - LABOUR</t>
        </is>
      </c>
      <c r="E377" s="5" t="inlineStr">
        <is>
          <t>Concrete paving gang</t>
        </is>
      </c>
      <c r="F377" s="5" t="inlineStr">
        <is>
          <t>2 skilled operatives (skill rate 4)</t>
        </is>
      </c>
      <c r="G377" s="8" t="n">
        <v>58.99</v>
      </c>
      <c r="H377" s="8" t="n"/>
      <c r="I377" s="8" t="n"/>
    </row>
    <row r="378">
      <c r="A378" s="4" t="n">
        <v>4458</v>
      </c>
      <c r="B378" s="5" t="inlineStr">
        <is>
          <t>IMG_0126</t>
        </is>
      </c>
      <c r="C378" s="5" t="inlineStr">
        <is>
          <t>CLASS R: ROADS AND PAVINGS</t>
        </is>
      </c>
      <c r="D378" s="5" t="inlineStr">
        <is>
          <t>RESOURCES - LABOUR</t>
        </is>
      </c>
      <c r="E378" s="5" t="inlineStr">
        <is>
          <t>Concrete paving gang</t>
        </is>
      </c>
      <c r="F378" s="5" t="inlineStr">
        <is>
          <t>4 unskilled operatives (general)</t>
        </is>
      </c>
      <c r="G378" s="8" t="n">
        <v>98.7</v>
      </c>
      <c r="H378" s="8" t="n"/>
      <c r="I378" s="8" t="n"/>
    </row>
    <row r="379">
      <c r="A379" s="4" t="n">
        <v>4459</v>
      </c>
      <c r="B379" s="5" t="inlineStr">
        <is>
          <t>IMG_0126</t>
        </is>
      </c>
      <c r="C379" s="5" t="inlineStr">
        <is>
          <t>CLASS R: ROADS AND PAVINGS</t>
        </is>
      </c>
      <c r="D379" s="5" t="inlineStr">
        <is>
          <t>RESOURCES - LABOUR</t>
        </is>
      </c>
      <c r="E379" s="5" t="inlineStr">
        <is>
          <t>Concrete paving gang</t>
        </is>
      </c>
      <c r="F379" s="5" t="inlineStr">
        <is>
          <t>1 plant operator (skill rate 2)</t>
        </is>
      </c>
      <c r="G379" s="8" t="n">
        <v>44.9</v>
      </c>
      <c r="H379" s="8" t="n"/>
      <c r="I379" s="8" t="n"/>
    </row>
    <row r="380">
      <c r="A380" s="4" t="n">
        <v>4460</v>
      </c>
      <c r="B380" s="5" t="inlineStr">
        <is>
          <t>IMG_0126</t>
        </is>
      </c>
      <c r="C380" s="5" t="inlineStr">
        <is>
          <t>CLASS R: ROADS AND PAVINGS</t>
        </is>
      </c>
      <c r="D380" s="5" t="inlineStr">
        <is>
          <t>RESOURCES - LABOUR</t>
        </is>
      </c>
      <c r="E380" s="5" t="inlineStr">
        <is>
          <t>Concrete paving gang</t>
        </is>
      </c>
      <c r="F380" s="5" t="inlineStr">
        <is>
          <t>1 plant operator (skill rate 3)</t>
        </is>
      </c>
      <c r="G380" s="8" t="n">
        <v>38.96</v>
      </c>
      <c r="H380" s="8" t="n"/>
      <c r="I380" s="8" t="n"/>
    </row>
    <row r="381">
      <c r="A381" s="42" t="n">
        <v>4461</v>
      </c>
      <c r="B381" s="43" t="inlineStr">
        <is>
          <t>IMG_0126</t>
        </is>
      </c>
      <c r="C381" s="43" t="inlineStr">
        <is>
          <t>CLASS R: ROADS AND PAVINGS</t>
        </is>
      </c>
      <c r="D381" s="43" t="inlineStr">
        <is>
          <t>RESOURCES - LABOUR</t>
        </is>
      </c>
      <c r="E381" s="43" t="inlineStr">
        <is>
          <t>Concrete paving gang</t>
        </is>
      </c>
      <c r="F381" s="43" t="inlineStr">
        <is>
          <t>Total Gang Rate/Hour</t>
        </is>
      </c>
      <c r="G381" s="44" t="n">
        <v>252.2</v>
      </c>
      <c r="H381" s="44" t="n"/>
      <c r="I381" s="44" t="n"/>
    </row>
    <row r="382">
      <c r="A382" s="4" t="n">
        <v>4463</v>
      </c>
      <c r="B382" s="5" t="inlineStr">
        <is>
          <t>IMG_0126</t>
        </is>
      </c>
      <c r="C382" s="5" t="inlineStr">
        <is>
          <t>CLASS R: ROADS AND PAVINGS</t>
        </is>
      </c>
      <c r="D382" s="5" t="inlineStr">
        <is>
          <t>RESOURCES - LABOUR</t>
        </is>
      </c>
      <c r="E382" s="5" t="inlineStr">
        <is>
          <t>Road surface spraying gang</t>
        </is>
      </c>
      <c r="F382" s="5" t="inlineStr">
        <is>
          <t>1 plant operator (skill rate 3)</t>
        </is>
      </c>
      <c r="G382" s="8" t="n">
        <v>38.96</v>
      </c>
      <c r="H382" s="8" t="n"/>
      <c r="I382" s="8" t="n"/>
    </row>
    <row r="383">
      <c r="A383" s="42" t="n">
        <v>4464</v>
      </c>
      <c r="B383" s="43" t="inlineStr">
        <is>
          <t>IMG_0126</t>
        </is>
      </c>
      <c r="C383" s="43" t="inlineStr">
        <is>
          <t>CLASS R: ROADS AND PAVINGS</t>
        </is>
      </c>
      <c r="D383" s="43" t="inlineStr">
        <is>
          <t>RESOURCES - LABOUR</t>
        </is>
      </c>
      <c r="E383" s="43" t="inlineStr">
        <is>
          <t>Road surface spraying gang</t>
        </is>
      </c>
      <c r="F383" s="43" t="inlineStr">
        <is>
          <t>Total Gang Rate/Hour</t>
        </is>
      </c>
      <c r="G383" s="44" t="n">
        <v>35.91</v>
      </c>
      <c r="H383" s="44" t="n"/>
      <c r="I383" s="44" t="n"/>
    </row>
    <row r="384">
      <c r="A384" s="4" t="n">
        <v>4466</v>
      </c>
      <c r="B384" s="5" t="inlineStr">
        <is>
          <t>IMG_0126</t>
        </is>
      </c>
      <c r="C384" s="5" t="inlineStr">
        <is>
          <t>CLASS R: ROADS AND PAVINGS</t>
        </is>
      </c>
      <c r="D384" s="5" t="inlineStr">
        <is>
          <t>RESOURCES - LABOUR</t>
        </is>
      </c>
      <c r="E384" s="5" t="inlineStr">
        <is>
          <t>Road chippings gang</t>
        </is>
      </c>
      <c r="F384" s="5" t="inlineStr">
        <is>
          <t>1 ganger/chargehand (skill rate 4) - 50% of time</t>
        </is>
      </c>
      <c r="G384" s="8" t="n">
        <v>15.69</v>
      </c>
      <c r="H384" s="8" t="n"/>
      <c r="I384" s="8" t="n"/>
    </row>
    <row r="385">
      <c r="A385" s="4" t="n">
        <v>4467</v>
      </c>
      <c r="B385" s="5" t="inlineStr">
        <is>
          <t>IMG_0126</t>
        </is>
      </c>
      <c r="C385" s="5" t="inlineStr">
        <is>
          <t>CLASS R: ROADS AND PAVINGS</t>
        </is>
      </c>
      <c r="D385" s="5" t="inlineStr">
        <is>
          <t>RESOURCES - LABOUR</t>
        </is>
      </c>
      <c r="E385" s="5" t="inlineStr">
        <is>
          <t>Road chippings gang</t>
        </is>
      </c>
      <c r="F385" s="5" t="inlineStr">
        <is>
          <t>1 skilled operative (skill rate 4)</t>
        </is>
      </c>
      <c r="G385" s="8" t="n">
        <v>29.49</v>
      </c>
      <c r="H385" s="8" t="n"/>
      <c r="I385" s="8" t="n"/>
    </row>
    <row r="386">
      <c r="A386" s="4" t="n">
        <v>4468</v>
      </c>
      <c r="B386" s="5" t="inlineStr">
        <is>
          <t>IMG_0126</t>
        </is>
      </c>
      <c r="C386" s="5" t="inlineStr">
        <is>
          <t>CLASS R: ROADS AND PAVINGS</t>
        </is>
      </c>
      <c r="D386" s="5" t="inlineStr">
        <is>
          <t>RESOURCES - LABOUR</t>
        </is>
      </c>
      <c r="E386" s="5" t="inlineStr">
        <is>
          <t>Road chippings gang</t>
        </is>
      </c>
      <c r="F386" s="5" t="inlineStr">
        <is>
          <t>2 unskilled operatives (general)</t>
        </is>
      </c>
      <c r="G386" s="8" t="n">
        <v>49.35</v>
      </c>
      <c r="H386" s="8" t="n"/>
      <c r="I386" s="8" t="n"/>
    </row>
    <row r="387">
      <c r="A387" s="4" t="n">
        <v>4469</v>
      </c>
      <c r="B387" s="5" t="inlineStr">
        <is>
          <t>IMG_0126</t>
        </is>
      </c>
      <c r="C387" s="5" t="inlineStr">
        <is>
          <t>CLASS R: ROADS AND PAVINGS</t>
        </is>
      </c>
      <c r="D387" s="5" t="inlineStr">
        <is>
          <t>RESOURCES - LABOUR</t>
        </is>
      </c>
      <c r="E387" s="5" t="inlineStr">
        <is>
          <t>Road chippings gang</t>
        </is>
      </c>
      <c r="F387" s="5" t="inlineStr">
        <is>
          <t>3 plant operators (skill rate 3)</t>
        </is>
      </c>
      <c r="G387" s="8" t="n">
        <v>116.87</v>
      </c>
      <c r="H387" s="8" t="n"/>
      <c r="I387" s="8" t="n"/>
    </row>
    <row r="388">
      <c r="A388" s="42" t="n">
        <v>4470</v>
      </c>
      <c r="B388" s="43" t="inlineStr">
        <is>
          <t>IMG_0126</t>
        </is>
      </c>
      <c r="C388" s="43" t="inlineStr">
        <is>
          <t>CLASS R: ROADS AND PAVINGS</t>
        </is>
      </c>
      <c r="D388" s="43" t="inlineStr">
        <is>
          <t>RESOURCES - LABOUR</t>
        </is>
      </c>
      <c r="E388" s="43" t="inlineStr">
        <is>
          <t>Road chippings gang</t>
        </is>
      </c>
      <c r="F388" s="43" t="inlineStr">
        <is>
          <t>Total Gang Rate/Hour</t>
        </is>
      </c>
      <c r="G388" s="44" t="n">
        <v>194.06</v>
      </c>
      <c r="H388" s="44" t="n"/>
      <c r="I388" s="44" t="n"/>
    </row>
    <row r="389">
      <c r="A389" s="4" t="n">
        <v>4472</v>
      </c>
      <c r="B389" s="5" t="inlineStr">
        <is>
          <t>IMG_0126</t>
        </is>
      </c>
      <c r="C389" s="5" t="inlineStr">
        <is>
          <t>CLASS R: ROADS AND PAVINGS</t>
        </is>
      </c>
      <c r="D389" s="5" t="inlineStr">
        <is>
          <t>RESOURCES - LABOUR</t>
        </is>
      </c>
      <c r="E389" s="5" t="inlineStr">
        <is>
          <t>Cutting slabs gang</t>
        </is>
      </c>
      <c r="F389" s="5" t="inlineStr">
        <is>
          <t>1 unskilled operative (generally)</t>
        </is>
      </c>
      <c r="G389" s="8" t="n">
        <v>24.68</v>
      </c>
      <c r="H389" s="8" t="n"/>
      <c r="I389" s="8" t="n"/>
    </row>
    <row r="390">
      <c r="A390" s="42" t="n">
        <v>4473</v>
      </c>
      <c r="B390" s="43" t="inlineStr">
        <is>
          <t>IMG_0126</t>
        </is>
      </c>
      <c r="C390" s="43" t="inlineStr">
        <is>
          <t>CLASS R: ROADS AND PAVINGS</t>
        </is>
      </c>
      <c r="D390" s="43" t="inlineStr">
        <is>
          <t>RESOURCES - LABOUR</t>
        </is>
      </c>
      <c r="E390" s="43" t="inlineStr">
        <is>
          <t>Cutting slabs gang</t>
        </is>
      </c>
      <c r="F390" s="43" t="inlineStr">
        <is>
          <t>Total Gang Rate/Hour</t>
        </is>
      </c>
      <c r="G390" s="44" t="n">
        <v>24.13</v>
      </c>
      <c r="H390" s="44" t="n"/>
      <c r="I390" s="44" t="n"/>
    </row>
    <row r="391">
      <c r="A391" s="4" t="n">
        <v>4475</v>
      </c>
      <c r="B391" s="5" t="inlineStr">
        <is>
          <t>IMG_0126</t>
        </is>
      </c>
      <c r="C391" s="5" t="inlineStr">
        <is>
          <t>CLASS R: ROADS AND PAVINGS</t>
        </is>
      </c>
      <c r="D391" s="5" t="inlineStr">
        <is>
          <t>RESOURCES - LABOUR</t>
        </is>
      </c>
      <c r="E391" s="5" t="inlineStr">
        <is>
          <t>Concrete filled joints gang</t>
        </is>
      </c>
      <c r="F391" s="5" t="inlineStr">
        <is>
          <t>1 ganger/chargehand (skill rate 4) - 50% of time</t>
        </is>
      </c>
      <c r="G391" s="8" t="n">
        <v>15.69</v>
      </c>
      <c r="H391" s="8" t="n"/>
      <c r="I391" s="8" t="n"/>
    </row>
    <row r="392">
      <c r="A392" s="4" t="n">
        <v>4476</v>
      </c>
      <c r="B392" s="5" t="inlineStr">
        <is>
          <t>IMG_0126</t>
        </is>
      </c>
      <c r="C392" s="5" t="inlineStr">
        <is>
          <t>CLASS R: ROADS AND PAVINGS</t>
        </is>
      </c>
      <c r="D392" s="5" t="inlineStr">
        <is>
          <t>RESOURCES - LABOUR</t>
        </is>
      </c>
      <c r="E392" s="5" t="inlineStr">
        <is>
          <t>Concrete filled joints gang</t>
        </is>
      </c>
      <c r="F392" s="5" t="inlineStr">
        <is>
          <t>1 skilled operatives (skill rate 4)</t>
        </is>
      </c>
      <c r="G392" s="8" t="n">
        <v>29.49</v>
      </c>
      <c r="H392" s="8" t="n"/>
      <c r="I392" s="8" t="n"/>
    </row>
    <row r="393">
      <c r="A393" s="4" t="n">
        <v>4477</v>
      </c>
      <c r="B393" s="5" t="inlineStr">
        <is>
          <t>IMG_0126</t>
        </is>
      </c>
      <c r="C393" s="5" t="inlineStr">
        <is>
          <t>CLASS R: ROADS AND PAVINGS</t>
        </is>
      </c>
      <c r="D393" s="5" t="inlineStr">
        <is>
          <t>RESOURCES - LABOUR</t>
        </is>
      </c>
      <c r="E393" s="5" t="inlineStr">
        <is>
          <t>Concrete filled joints gang</t>
        </is>
      </c>
      <c r="F393" s="5" t="inlineStr">
        <is>
          <t>2 unskilled operatives (general)</t>
        </is>
      </c>
      <c r="G393" s="8" t="n">
        <v>49.35</v>
      </c>
      <c r="H393" s="8" t="n"/>
      <c r="I393" s="8" t="n"/>
    </row>
    <row r="394">
      <c r="A394" s="42" t="n">
        <v>4478</v>
      </c>
      <c r="B394" s="43" t="inlineStr">
        <is>
          <t>IMG_0126</t>
        </is>
      </c>
      <c r="C394" s="43" t="inlineStr">
        <is>
          <t>CLASS R: ROADS AND PAVINGS</t>
        </is>
      </c>
      <c r="D394" s="43" t="inlineStr">
        <is>
          <t>RESOURCES - LABOUR</t>
        </is>
      </c>
      <c r="E394" s="43" t="inlineStr">
        <is>
          <t>Concrete filled joints gang</t>
        </is>
      </c>
      <c r="F394" s="43" t="inlineStr">
        <is>
          <t>Total Gang Rate/Hour</t>
        </is>
      </c>
      <c r="G394" s="44" t="n">
        <v>86.31999999999999</v>
      </c>
      <c r="H394" s="44" t="n"/>
      <c r="I394" s="44" t="n"/>
    </row>
    <row r="395">
      <c r="A395" s="4" t="n">
        <v>4480</v>
      </c>
      <c r="B395" s="5" t="inlineStr">
        <is>
          <t>IMG_0126</t>
        </is>
      </c>
      <c r="C395" s="5" t="inlineStr">
        <is>
          <t>CLASS R: ROADS AND PAVINGS</t>
        </is>
      </c>
      <c r="D395" s="5" t="inlineStr">
        <is>
          <t>RESOURCES - LABOUR</t>
        </is>
      </c>
      <c r="E395" s="5" t="inlineStr">
        <is>
          <t>Milling gang</t>
        </is>
      </c>
      <c r="F395" s="5" t="inlineStr">
        <is>
          <t>1 ganger/chargehand (skill rate 4)</t>
        </is>
      </c>
      <c r="G395" s="8" t="n">
        <v>31.39</v>
      </c>
      <c r="H395" s="8" t="n"/>
      <c r="I395" s="8" t="n"/>
    </row>
    <row r="396">
      <c r="A396" s="4" t="n">
        <v>4481</v>
      </c>
      <c r="B396" s="5" t="inlineStr">
        <is>
          <t>IMG_0126</t>
        </is>
      </c>
      <c r="C396" s="5" t="inlineStr">
        <is>
          <t>CLASS R: ROADS AND PAVINGS</t>
        </is>
      </c>
      <c r="D396" s="5" t="inlineStr">
        <is>
          <t>RESOURCES - LABOUR</t>
        </is>
      </c>
      <c r="E396" s="5" t="inlineStr">
        <is>
          <t>Milling gang</t>
        </is>
      </c>
      <c r="F396" s="5" t="inlineStr">
        <is>
          <t>2 skilled operatives (skill rate 4)</t>
        </is>
      </c>
      <c r="G396" s="8" t="n">
        <v>58.99</v>
      </c>
      <c r="H396" s="8" t="n"/>
      <c r="I396" s="8" t="n"/>
    </row>
    <row r="397">
      <c r="A397" s="4" t="n">
        <v>4482</v>
      </c>
      <c r="B397" s="5" t="inlineStr">
        <is>
          <t>IMG_0126</t>
        </is>
      </c>
      <c r="C397" s="5" t="inlineStr">
        <is>
          <t>CLASS R: ROADS AND PAVINGS</t>
        </is>
      </c>
      <c r="D397" s="5" t="inlineStr">
        <is>
          <t>RESOURCES - LABOUR</t>
        </is>
      </c>
      <c r="E397" s="5" t="inlineStr">
        <is>
          <t>Milling gang</t>
        </is>
      </c>
      <c r="F397" s="5" t="inlineStr">
        <is>
          <t>4 unskilled operatives (general)</t>
        </is>
      </c>
      <c r="G397" s="8" t="n">
        <v>98.7</v>
      </c>
      <c r="H397" s="8" t="n"/>
      <c r="I397" s="8" t="n"/>
    </row>
    <row r="398">
      <c r="A398" s="4" t="n">
        <v>4483</v>
      </c>
      <c r="B398" s="5" t="inlineStr">
        <is>
          <t>IMG_0126</t>
        </is>
      </c>
      <c r="C398" s="5" t="inlineStr">
        <is>
          <t>CLASS R: ROADS AND PAVINGS</t>
        </is>
      </c>
      <c r="D398" s="5" t="inlineStr">
        <is>
          <t>RESOURCES - LABOUR</t>
        </is>
      </c>
      <c r="E398" s="5" t="inlineStr">
        <is>
          <t>Milling gang</t>
        </is>
      </c>
      <c r="F398" s="5" t="inlineStr">
        <is>
          <t>1 plant operators (skill rate 3)</t>
        </is>
      </c>
      <c r="G398" s="8" t="n">
        <v>38.96</v>
      </c>
      <c r="H398" s="8" t="n"/>
      <c r="I398" s="8" t="n"/>
    </row>
    <row r="399">
      <c r="A399" s="4" t="n">
        <v>4484</v>
      </c>
      <c r="B399" s="5" t="inlineStr">
        <is>
          <t>IMG_0126</t>
        </is>
      </c>
      <c r="C399" s="5" t="inlineStr">
        <is>
          <t>CLASS R: ROADS AND PAVINGS</t>
        </is>
      </c>
      <c r="D399" s="5" t="inlineStr">
        <is>
          <t>RESOURCES - LABOUR</t>
        </is>
      </c>
      <c r="E399" s="5" t="inlineStr">
        <is>
          <t>Milling gang</t>
        </is>
      </c>
      <c r="F399" s="5" t="inlineStr">
        <is>
          <t>1 plant operator (skill rate 2)</t>
        </is>
      </c>
      <c r="G399" s="8" t="n">
        <v>44.9</v>
      </c>
      <c r="H399" s="8" t="n"/>
      <c r="I399" s="8" t="n"/>
    </row>
    <row r="400">
      <c r="A400" s="42" t="n">
        <v>4485</v>
      </c>
      <c r="B400" s="43" t="inlineStr">
        <is>
          <t>IMG_0126</t>
        </is>
      </c>
      <c r="C400" s="43" t="inlineStr">
        <is>
          <t>CLASS R: ROADS AND PAVINGS</t>
        </is>
      </c>
      <c r="D400" s="43" t="inlineStr">
        <is>
          <t>RESOURCES - LABOUR</t>
        </is>
      </c>
      <c r="E400" s="43" t="inlineStr">
        <is>
          <t>Milling gang</t>
        </is>
      </c>
      <c r="F400" s="43" t="inlineStr">
        <is>
          <t>Total Gang Rate/Hour</t>
        </is>
      </c>
      <c r="G400" s="44" t="n">
        <v>252.2</v>
      </c>
      <c r="H400" s="44" t="n"/>
      <c r="I400" s="44" t="n"/>
    </row>
    <row r="401">
      <c r="A401" s="4" t="n">
        <v>4487</v>
      </c>
      <c r="B401" s="5" t="inlineStr">
        <is>
          <t>IMG_0126</t>
        </is>
      </c>
      <c r="C401" s="5" t="inlineStr">
        <is>
          <t>CLASS R: ROADS AND PAVINGS</t>
        </is>
      </c>
      <c r="D401" s="5" t="inlineStr">
        <is>
          <t>RESOURCES - LABOUR</t>
        </is>
      </c>
      <c r="E401" s="5" t="inlineStr">
        <is>
          <t>Rake and compact planed material gang</t>
        </is>
      </c>
      <c r="F401" s="5" t="inlineStr">
        <is>
          <t>1 ganger/chargehand (skill rate 4)</t>
        </is>
      </c>
      <c r="G401" s="8" t="n">
        <v>31.39</v>
      </c>
      <c r="H401" s="8" t="n"/>
      <c r="I401" s="8" t="n"/>
    </row>
    <row r="402">
      <c r="A402" s="4" t="n">
        <v>4488</v>
      </c>
      <c r="B402" s="5" t="inlineStr">
        <is>
          <t>IMG_0126</t>
        </is>
      </c>
      <c r="C402" s="5" t="inlineStr">
        <is>
          <t>CLASS R: ROADS AND PAVINGS</t>
        </is>
      </c>
      <c r="D402" s="5" t="inlineStr">
        <is>
          <t>RESOURCES - LABOUR</t>
        </is>
      </c>
      <c r="E402" s="5" t="inlineStr">
        <is>
          <t>Rake and compact planed material gang</t>
        </is>
      </c>
      <c r="F402" s="5" t="inlineStr">
        <is>
          <t>1 skilled operatives (skill rate 4)</t>
        </is>
      </c>
      <c r="G402" s="8" t="n">
        <v>29.49</v>
      </c>
      <c r="H402" s="8" t="n"/>
      <c r="I402" s="8" t="n"/>
    </row>
    <row r="403">
      <c r="A403" s="4" t="n">
        <v>4489</v>
      </c>
      <c r="B403" s="5" t="inlineStr">
        <is>
          <t>IMG_0126</t>
        </is>
      </c>
      <c r="C403" s="5" t="inlineStr">
        <is>
          <t>CLASS R: ROADS AND PAVINGS</t>
        </is>
      </c>
      <c r="D403" s="5" t="inlineStr">
        <is>
          <t>RESOURCES - LABOUR</t>
        </is>
      </c>
      <c r="E403" s="5" t="inlineStr">
        <is>
          <t>Rake and compact planed material gang</t>
        </is>
      </c>
      <c r="F403" s="5" t="inlineStr">
        <is>
          <t>3 unskilled operatives (general)</t>
        </is>
      </c>
      <c r="G403" s="8" t="n">
        <v>74.03</v>
      </c>
      <c r="H403" s="8" t="n"/>
      <c r="I403" s="8" t="n"/>
    </row>
    <row r="404">
      <c r="A404" s="4" t="n">
        <v>4490</v>
      </c>
      <c r="B404" s="5" t="inlineStr">
        <is>
          <t>IMG_0126</t>
        </is>
      </c>
      <c r="C404" s="5" t="inlineStr">
        <is>
          <t>CLASS R: ROADS AND PAVINGS</t>
        </is>
      </c>
      <c r="D404" s="5" t="inlineStr">
        <is>
          <t>RESOURCES - LABOUR</t>
        </is>
      </c>
      <c r="E404" s="5" t="inlineStr">
        <is>
          <t>Rake and compact planed material gang</t>
        </is>
      </c>
      <c r="F404" s="5" t="inlineStr">
        <is>
          <t>1 plant operator (skill rate 3)</t>
        </is>
      </c>
      <c r="G404" s="8" t="n">
        <v>38.96</v>
      </c>
      <c r="H404" s="8" t="n"/>
      <c r="I404" s="8" t="n"/>
    </row>
    <row r="405">
      <c r="A405" s="4" t="n">
        <v>4491</v>
      </c>
      <c r="B405" s="5" t="inlineStr">
        <is>
          <t>IMG_0126</t>
        </is>
      </c>
      <c r="C405" s="5" t="inlineStr">
        <is>
          <t>CLASS R: ROADS AND PAVINGS</t>
        </is>
      </c>
      <c r="D405" s="5" t="inlineStr">
        <is>
          <t>RESOURCES - LABOUR</t>
        </is>
      </c>
      <c r="E405" s="5" t="inlineStr">
        <is>
          <t>Rake and compact planed material gang</t>
        </is>
      </c>
      <c r="F405" s="5" t="inlineStr">
        <is>
          <t>1 plant operator (skill rate 4)</t>
        </is>
      </c>
      <c r="G405" s="8" t="n">
        <v>31.74</v>
      </c>
      <c r="H405" s="8" t="n"/>
      <c r="I405" s="8" t="n"/>
    </row>
    <row r="406">
      <c r="A406" s="42" t="n">
        <v>4492</v>
      </c>
      <c r="B406" s="43" t="inlineStr">
        <is>
          <t>IMG_0126</t>
        </is>
      </c>
      <c r="C406" s="43" t="inlineStr">
        <is>
          <t>CLASS R: ROADS AND PAVINGS</t>
        </is>
      </c>
      <c r="D406" s="43" t="inlineStr">
        <is>
          <t>RESOURCES - LABOUR</t>
        </is>
      </c>
      <c r="E406" s="43" t="inlineStr">
        <is>
          <t>Rake and compact planed material gang</t>
        </is>
      </c>
      <c r="F406" s="43" t="inlineStr">
        <is>
          <t>Total Gang Rate/Hour</t>
        </is>
      </c>
      <c r="G406" s="44" t="n">
        <v>191.92</v>
      </c>
      <c r="H406" s="44" t="n"/>
      <c r="I406" s="44" t="n"/>
    </row>
    <row r="407">
      <c r="A407" s="4" t="n">
        <v>4494</v>
      </c>
      <c r="B407" s="5" t="inlineStr">
        <is>
          <t>IMG_0126</t>
        </is>
      </c>
      <c r="C407" s="5" t="inlineStr">
        <is>
          <t>CLASS R: ROADS AND PAVINGS</t>
        </is>
      </c>
      <c r="D407" s="5" t="inlineStr">
        <is>
          <t>RESOURCES - LABOUR</t>
        </is>
      </c>
      <c r="E407" s="5" t="inlineStr">
        <is>
          <t>Kerb laying gang</t>
        </is>
      </c>
      <c r="F407" s="5" t="inlineStr">
        <is>
          <t>3 skilled operatives (skill rate 4)</t>
        </is>
      </c>
      <c r="G407" s="8" t="n">
        <v>88.48</v>
      </c>
      <c r="H407" s="8" t="n"/>
      <c r="I407" s="8" t="n"/>
    </row>
    <row r="408">
      <c r="A408" s="4" t="n">
        <v>4495</v>
      </c>
      <c r="B408" s="5" t="inlineStr">
        <is>
          <t>IMG_0126</t>
        </is>
      </c>
      <c r="C408" s="5" t="inlineStr">
        <is>
          <t>CLASS R: ROADS AND PAVINGS</t>
        </is>
      </c>
      <c r="D408" s="5" t="inlineStr">
        <is>
          <t>RESOURCES - LABOUR</t>
        </is>
      </c>
      <c r="E408" s="5" t="inlineStr">
        <is>
          <t>Kerb laying gang</t>
        </is>
      </c>
      <c r="F408" s="5" t="inlineStr">
        <is>
          <t>1 unskilled operative (general)</t>
        </is>
      </c>
      <c r="G408" s="8" t="n">
        <v>24.68</v>
      </c>
      <c r="H408" s="8" t="n"/>
      <c r="I408" s="8" t="n"/>
    </row>
    <row r="409">
      <c r="A409" s="4" t="n">
        <v>4496</v>
      </c>
      <c r="B409" s="5" t="inlineStr">
        <is>
          <t>IMG_0126</t>
        </is>
      </c>
      <c r="C409" s="5" t="inlineStr">
        <is>
          <t>CLASS R: ROADS AND PAVINGS</t>
        </is>
      </c>
      <c r="D409" s="5" t="inlineStr">
        <is>
          <t>RESOURCES - LABOUR</t>
        </is>
      </c>
      <c r="E409" s="5" t="inlineStr">
        <is>
          <t>Kerb laying gang</t>
        </is>
      </c>
      <c r="F409" s="5" t="inlineStr">
        <is>
          <t>1 plant operator (skill rate 3) - 25% of time</t>
        </is>
      </c>
      <c r="G409" s="8" t="n">
        <v>9.74</v>
      </c>
      <c r="H409" s="8" t="n"/>
      <c r="I409" s="8" t="n"/>
    </row>
    <row r="410">
      <c r="A410" s="42" t="n">
        <v>4497</v>
      </c>
      <c r="B410" s="43" t="inlineStr">
        <is>
          <t>IMG_0126</t>
        </is>
      </c>
      <c r="C410" s="43" t="inlineStr">
        <is>
          <t>CLASS R: ROADS AND PAVINGS</t>
        </is>
      </c>
      <c r="D410" s="43" t="inlineStr">
        <is>
          <t>RESOURCES - LABOUR</t>
        </is>
      </c>
      <c r="E410" s="43" t="inlineStr">
        <is>
          <t>Kerb laying gang</t>
        </is>
      </c>
      <c r="F410" s="43" t="inlineStr">
        <is>
          <t>Total Gang Rate/Hour</t>
        </is>
      </c>
      <c r="G410" s="44" t="n">
        <v>107.71</v>
      </c>
      <c r="H410" s="44" t="n"/>
      <c r="I410" s="44" t="n"/>
    </row>
    <row r="411">
      <c r="A411" s="4" t="n">
        <v>4499</v>
      </c>
      <c r="B411" s="5" t="inlineStr">
        <is>
          <t>IMG_0126</t>
        </is>
      </c>
      <c r="C411" s="5" t="inlineStr">
        <is>
          <t>CLASS R: ROADS AND PAVINGS</t>
        </is>
      </c>
      <c r="D411" s="5" t="inlineStr">
        <is>
          <t>RESOURCES - LABOUR</t>
        </is>
      </c>
      <c r="E411" s="5" t="inlineStr">
        <is>
          <t>Path subbase, bitmac and gravel laying gang</t>
        </is>
      </c>
      <c r="F411" s="5" t="inlineStr">
        <is>
          <t>1 ganger/chargehand (skill rate 4)</t>
        </is>
      </c>
      <c r="G411" s="8" t="n">
        <v>31.39</v>
      </c>
      <c r="H411" s="8" t="n"/>
      <c r="I411" s="8" t="n"/>
    </row>
    <row r="412">
      <c r="A412" s="4" t="n">
        <v>4500</v>
      </c>
      <c r="B412" s="5" t="inlineStr">
        <is>
          <t>IMG_0126</t>
        </is>
      </c>
      <c r="C412" s="5" t="inlineStr">
        <is>
          <t>CLASS R: ROADS AND PAVINGS</t>
        </is>
      </c>
      <c r="D412" s="5" t="inlineStr">
        <is>
          <t>RESOURCES - LABOUR</t>
        </is>
      </c>
      <c r="E412" s="5" t="inlineStr">
        <is>
          <t>Path subbase, bitmac and gravel laying gang</t>
        </is>
      </c>
      <c r="F412" s="5" t="inlineStr">
        <is>
          <t>2 unskilled operatives (general)</t>
        </is>
      </c>
      <c r="G412" s="8" t="n">
        <v>49.35</v>
      </c>
      <c r="H412" s="8" t="n"/>
      <c r="I412" s="8" t="n"/>
    </row>
    <row r="413">
      <c r="A413" s="4" t="n">
        <v>4501</v>
      </c>
      <c r="B413" s="5" t="inlineStr">
        <is>
          <t>IMG_0126</t>
        </is>
      </c>
      <c r="C413" s="5" t="inlineStr">
        <is>
          <t>CLASS R: ROADS AND PAVINGS</t>
        </is>
      </c>
      <c r="D413" s="5" t="inlineStr">
        <is>
          <t>RESOURCES - LABOUR</t>
        </is>
      </c>
      <c r="E413" s="5" t="inlineStr">
        <is>
          <t>Path subbase, bitmac and gravel laying gang</t>
        </is>
      </c>
      <c r="F413" s="5" t="inlineStr">
        <is>
          <t>1 plant operator (skill rate 3)</t>
        </is>
      </c>
      <c r="G413" s="8" t="n">
        <v>38.96</v>
      </c>
      <c r="H413" s="8" t="n"/>
      <c r="I413" s="8" t="n"/>
    </row>
    <row r="414">
      <c r="A414" s="42" t="n">
        <v>4502</v>
      </c>
      <c r="B414" s="43" t="inlineStr">
        <is>
          <t>IMG_0126</t>
        </is>
      </c>
      <c r="C414" s="43" t="inlineStr">
        <is>
          <t>CLASS R: ROADS AND PAVINGS</t>
        </is>
      </c>
      <c r="D414" s="43" t="inlineStr">
        <is>
          <t>RESOURCES - LABOUR</t>
        </is>
      </c>
      <c r="E414" s="43" t="inlineStr">
        <is>
          <t>Path subbase, bitmac and gravel laying gang</t>
        </is>
      </c>
      <c r="F414" s="43" t="inlineStr">
        <is>
          <t>Total Gang Rate/Hour</t>
        </is>
      </c>
      <c r="G414" s="44" t="n">
        <v>110.55</v>
      </c>
      <c r="H414" s="44" t="n"/>
      <c r="I414" s="44" t="n"/>
    </row>
    <row r="415">
      <c r="A415" s="4" t="n">
        <v>4504</v>
      </c>
      <c r="B415" s="5" t="inlineStr">
        <is>
          <t>IMG_0126</t>
        </is>
      </c>
      <c r="C415" s="5" t="inlineStr">
        <is>
          <t>CLASS R: ROADS AND PAVINGS</t>
        </is>
      </c>
      <c r="D415" s="5" t="inlineStr">
        <is>
          <t>RESOURCES - LABOUR</t>
        </is>
      </c>
      <c r="E415" s="5" t="inlineStr">
        <is>
          <t>Paviors and flagging gang</t>
        </is>
      </c>
      <c r="F415" s="5" t="inlineStr">
        <is>
          <t>1 skilled operative (skill rate 4)</t>
        </is>
      </c>
      <c r="G415" s="8" t="n">
        <v>29.49</v>
      </c>
      <c r="H415" s="8" t="n"/>
      <c r="I415" s="8" t="n"/>
    </row>
    <row r="416">
      <c r="A416" s="4" t="n">
        <v>4505</v>
      </c>
      <c r="B416" s="5" t="inlineStr">
        <is>
          <t>IMG_0126</t>
        </is>
      </c>
      <c r="C416" s="5" t="inlineStr">
        <is>
          <t>CLASS R: ROADS AND PAVINGS</t>
        </is>
      </c>
      <c r="D416" s="5" t="inlineStr">
        <is>
          <t>RESOURCES - LABOUR</t>
        </is>
      </c>
      <c r="E416" s="5" t="inlineStr">
        <is>
          <t>Paviors and flagging gang</t>
        </is>
      </c>
      <c r="F416" s="5" t="inlineStr">
        <is>
          <t>1 unskilled operative (general)</t>
        </is>
      </c>
      <c r="G416" s="8" t="n">
        <v>24.68</v>
      </c>
      <c r="H416" s="8" t="n"/>
      <c r="I416" s="8" t="n"/>
    </row>
    <row r="417">
      <c r="A417" s="42" t="n">
        <v>4506</v>
      </c>
      <c r="B417" s="43" t="inlineStr">
        <is>
          <t>IMG_0126</t>
        </is>
      </c>
      <c r="C417" s="43" t="inlineStr">
        <is>
          <t>CLASS R: ROADS AND PAVINGS</t>
        </is>
      </c>
      <c r="D417" s="43" t="inlineStr">
        <is>
          <t>RESOURCES - LABOUR</t>
        </is>
      </c>
      <c r="E417" s="43" t="inlineStr">
        <is>
          <t>Paviors and flagging gang</t>
        </is>
      </c>
      <c r="F417" s="43" t="inlineStr">
        <is>
          <t>Total Gang Rate/Hour</t>
        </is>
      </c>
      <c r="G417" s="44" t="n">
        <v>49</v>
      </c>
      <c r="H417" s="44" t="n"/>
      <c r="I417" s="44" t="n"/>
    </row>
    <row r="418">
      <c r="A418" s="4" t="n">
        <v>4508</v>
      </c>
      <c r="B418" s="5" t="inlineStr">
        <is>
          <t>IMG_0126</t>
        </is>
      </c>
      <c r="C418" s="5" t="inlineStr">
        <is>
          <t>CLASS R: ROADS AND PAVINGS</t>
        </is>
      </c>
      <c r="D418" s="5" t="inlineStr">
        <is>
          <t>RESOURCES - LABOUR</t>
        </is>
      </c>
      <c r="E418" s="5" t="inlineStr">
        <is>
          <t>Traffic signs gang</t>
        </is>
      </c>
      <c r="F418" s="5" t="inlineStr">
        <is>
          <t>1 ganger/chargehand (skill rate 3)</t>
        </is>
      </c>
      <c r="G418" s="8" t="n">
        <v>31.39</v>
      </c>
      <c r="H418" s="8" t="n"/>
      <c r="I418" s="8" t="n"/>
    </row>
    <row r="419">
      <c r="A419" s="4" t="n">
        <v>4509</v>
      </c>
      <c r="B419" s="5" t="inlineStr">
        <is>
          <t>IMG_0126</t>
        </is>
      </c>
      <c r="C419" s="5" t="inlineStr">
        <is>
          <t>CLASS R: ROADS AND PAVINGS</t>
        </is>
      </c>
      <c r="D419" s="5" t="inlineStr">
        <is>
          <t>RESOURCES - LABOUR</t>
        </is>
      </c>
      <c r="E419" s="5" t="inlineStr">
        <is>
          <t>Traffic signs gang</t>
        </is>
      </c>
      <c r="F419" s="5" t="inlineStr">
        <is>
          <t>1 skilled operative (skill rate 3)</t>
        </is>
      </c>
      <c r="G419" s="8" t="n">
        <v>29.49</v>
      </c>
      <c r="H419" s="8" t="n"/>
      <c r="I419" s="8" t="n"/>
    </row>
    <row r="420">
      <c r="A420" s="4" t="n">
        <v>4510</v>
      </c>
      <c r="B420" s="5" t="inlineStr">
        <is>
          <t>IMG_0126</t>
        </is>
      </c>
      <c r="C420" s="5" t="inlineStr">
        <is>
          <t>CLASS R: ROADS AND PAVINGS</t>
        </is>
      </c>
      <c r="D420" s="5" t="inlineStr">
        <is>
          <t>RESOURCES - LABOUR</t>
        </is>
      </c>
      <c r="E420" s="5" t="inlineStr">
        <is>
          <t>Traffic signs gang</t>
        </is>
      </c>
      <c r="F420" s="5" t="inlineStr">
        <is>
          <t>2 unskilled operatives (general)</t>
        </is>
      </c>
      <c r="G420" s="8" t="n">
        <v>49.35</v>
      </c>
      <c r="H420" s="8" t="n"/>
      <c r="I420" s="8" t="n"/>
    </row>
    <row r="421">
      <c r="A421" s="4" t="n">
        <v>4511</v>
      </c>
      <c r="B421" s="5" t="inlineStr">
        <is>
          <t>IMG_0126</t>
        </is>
      </c>
      <c r="C421" s="5" t="inlineStr">
        <is>
          <t>CLASS R: ROADS AND PAVINGS</t>
        </is>
      </c>
      <c r="D421" s="5" t="inlineStr">
        <is>
          <t>RESOURCES - LABOUR</t>
        </is>
      </c>
      <c r="E421" s="5" t="inlineStr">
        <is>
          <t>Traffic signs gang</t>
        </is>
      </c>
      <c r="F421" s="5" t="inlineStr">
        <is>
          <t>1 plant operator (skill rate 3) - 25% of time</t>
        </is>
      </c>
      <c r="G421" s="8" t="n">
        <v>9.74</v>
      </c>
      <c r="H421" s="8" t="n"/>
      <c r="I421" s="8" t="n"/>
    </row>
    <row r="422">
      <c r="A422" s="42" t="n">
        <v>4512</v>
      </c>
      <c r="B422" s="43" t="inlineStr">
        <is>
          <t>IMG_0126</t>
        </is>
      </c>
      <c r="C422" s="43" t="inlineStr">
        <is>
          <t>CLASS R: ROADS AND PAVINGS</t>
        </is>
      </c>
      <c r="D422" s="43" t="inlineStr">
        <is>
          <t>RESOURCES - LABOUR</t>
        </is>
      </c>
      <c r="E422" s="43" t="inlineStr">
        <is>
          <t>Traffic signs gang</t>
        </is>
      </c>
      <c r="F422" s="43" t="inlineStr">
        <is>
          <t>Total Gang Rate/Hour</t>
        </is>
      </c>
      <c r="G422" s="44" t="n">
        <v>114.04</v>
      </c>
      <c r="H422" s="44" t="n"/>
      <c r="I422" s="44" t="n"/>
    </row>
    <row r="423">
      <c r="A423" s="4" t="n">
        <v>4515</v>
      </c>
      <c r="B423" s="5" t="inlineStr">
        <is>
          <t>IMG_0126</t>
        </is>
      </c>
      <c r="C423" s="5" t="inlineStr">
        <is>
          <t>CLASS R: ROADS AND PAVINGS</t>
        </is>
      </c>
      <c r="D423" s="5" t="inlineStr">
        <is>
          <t>RESOURCES - PLANT</t>
        </is>
      </c>
      <c r="E423" s="5" t="inlineStr">
        <is>
          <t>Plant Resources Build-up Rate; Subbase laying</t>
        </is>
      </c>
      <c r="F423" s="5" t="inlineStr">
        <is>
          <t>93 KW motor grader</t>
        </is>
      </c>
      <c r="G423" s="8" t="n"/>
      <c r="H423" s="8" t="n">
        <v>75.17</v>
      </c>
      <c r="I423" s="8" t="n"/>
    </row>
    <row r="424">
      <c r="A424" s="4" t="n">
        <v>4516</v>
      </c>
      <c r="B424" s="5" t="inlineStr">
        <is>
          <t>IMG_0126</t>
        </is>
      </c>
      <c r="C424" s="5" t="inlineStr">
        <is>
          <t>CLASS R: ROADS AND PAVINGS</t>
        </is>
      </c>
      <c r="D424" s="5" t="inlineStr">
        <is>
          <t>RESOURCES - PLANT</t>
        </is>
      </c>
      <c r="E424" s="5" t="inlineStr">
        <is>
          <t>Plant Resources Build-up Rate; Subbase laying</t>
        </is>
      </c>
      <c r="F424" s="5" t="inlineStr">
        <is>
          <t>0.80 m3 tractor loader</t>
        </is>
      </c>
      <c r="G424" s="8" t="n"/>
      <c r="H424" s="8" t="n">
        <v>78.34</v>
      </c>
      <c r="I424" s="8" t="n"/>
    </row>
    <row r="425">
      <c r="A425" s="4" t="n">
        <v>4517</v>
      </c>
      <c r="B425" s="5" t="inlineStr">
        <is>
          <t>IMG_0126</t>
        </is>
      </c>
      <c r="C425" s="5" t="inlineStr">
        <is>
          <t>CLASS R: ROADS AND PAVINGS</t>
        </is>
      </c>
      <c r="D425" s="5" t="inlineStr">
        <is>
          <t>RESOURCES - PLANT</t>
        </is>
      </c>
      <c r="E425" s="5" t="inlineStr">
        <is>
          <t>Plant Resources Build-up Rate; Subbase laying</t>
        </is>
      </c>
      <c r="F425" s="5" t="inlineStr">
        <is>
          <t>6t towed roller</t>
        </is>
      </c>
      <c r="G425" s="8" t="n"/>
      <c r="H425" s="8" t="n">
        <v>50.62</v>
      </c>
      <c r="I425" s="8" t="n"/>
    </row>
    <row r="426">
      <c r="A426" s="42" t="n">
        <v>4518</v>
      </c>
      <c r="B426" s="43" t="inlineStr">
        <is>
          <t>IMG_0126</t>
        </is>
      </c>
      <c r="C426" s="43" t="inlineStr">
        <is>
          <t>CLASS R: ROADS AND PAVINGS</t>
        </is>
      </c>
      <c r="D426" s="43" t="inlineStr">
        <is>
          <t>RESOURCES - PLANT</t>
        </is>
      </c>
      <c r="E426" s="43" t="inlineStr">
        <is>
          <t>Plant Resources Build-up Rate; Subbase laying</t>
        </is>
      </c>
      <c r="F426" s="43" t="inlineStr">
        <is>
          <t>Total Rate/Hour</t>
        </is>
      </c>
      <c r="G426" s="44" t="n"/>
      <c r="H426" s="44" t="n">
        <v>204.14</v>
      </c>
      <c r="I426" s="44" t="n"/>
    </row>
    <row r="427">
      <c r="A427" s="4" t="n">
        <v>4520</v>
      </c>
      <c r="B427" s="5" t="inlineStr">
        <is>
          <t>IMG_0126</t>
        </is>
      </c>
      <c r="C427" s="5" t="inlineStr">
        <is>
          <t>CLASS R: ROADS AND PAVINGS</t>
        </is>
      </c>
      <c r="D427" s="5" t="inlineStr">
        <is>
          <t>RESOURCES - PLANT</t>
        </is>
      </c>
      <c r="E427" s="5" t="inlineStr">
        <is>
          <t>Flexible paving</t>
        </is>
      </c>
      <c r="F427" s="5" t="inlineStr">
        <is>
          <t>2 asphalt pavers, 35 kW, 4.0 m</t>
        </is>
      </c>
      <c r="G427" s="8" t="n"/>
      <c r="H427" s="8" t="n">
        <v>152.19</v>
      </c>
      <c r="I427" s="8" t="n"/>
    </row>
    <row r="428">
      <c r="A428" s="4" t="n">
        <v>4521</v>
      </c>
      <c r="B428" s="5" t="inlineStr">
        <is>
          <t>IMG_0126</t>
        </is>
      </c>
      <c r="C428" s="5" t="inlineStr">
        <is>
          <t>CLASS R: ROADS AND PAVINGS</t>
        </is>
      </c>
      <c r="D428" s="5" t="inlineStr">
        <is>
          <t>RESOURCES - PLANT</t>
        </is>
      </c>
      <c r="E428" s="5" t="inlineStr">
        <is>
          <t>Flexible paving</t>
        </is>
      </c>
      <c r="F428" s="5" t="inlineStr">
        <is>
          <t>2 deadweight rollers, 3 point, 10 t</t>
        </is>
      </c>
      <c r="G428" s="8" t="n"/>
      <c r="H428" s="8" t="n">
        <v>162.24</v>
      </c>
      <c r="I428" s="8" t="n"/>
    </row>
    <row r="429">
      <c r="A429" s="4" t="n">
        <v>4522</v>
      </c>
      <c r="B429" s="5" t="inlineStr">
        <is>
          <t>IMG_0126</t>
        </is>
      </c>
      <c r="C429" s="5" t="inlineStr">
        <is>
          <t>CLASS R: ROADS AND PAVINGS</t>
        </is>
      </c>
      <c r="D429" s="5" t="inlineStr">
        <is>
          <t>RESOURCES - PLANT</t>
        </is>
      </c>
      <c r="E429" s="5" t="inlineStr">
        <is>
          <t>Flexible paving</t>
        </is>
      </c>
      <c r="F429" s="5" t="inlineStr">
        <is>
          <t>tractor with front bucket and integral 2 tool compressor</t>
        </is>
      </c>
      <c r="G429" s="8" t="n"/>
      <c r="H429" s="8" t="n">
        <v>256.02</v>
      </c>
      <c r="I429" s="8" t="n"/>
    </row>
    <row r="430">
      <c r="A430" s="4" t="n">
        <v>4523</v>
      </c>
      <c r="B430" s="5" t="inlineStr">
        <is>
          <t>IMG_0126</t>
        </is>
      </c>
      <c r="C430" s="5" t="inlineStr">
        <is>
          <t>CLASS R: ROADS AND PAVINGS</t>
        </is>
      </c>
      <c r="D430" s="5" t="inlineStr">
        <is>
          <t>RESOURCES - PLANT</t>
        </is>
      </c>
      <c r="E430" s="5" t="inlineStr">
        <is>
          <t>Flexible paving</t>
        </is>
      </c>
      <c r="F430" s="5" t="inlineStr">
        <is>
          <t>compressor tools: scabbler</t>
        </is>
      </c>
      <c r="G430" s="8" t="n"/>
      <c r="H430" s="8" t="n">
        <v>2.85</v>
      </c>
      <c r="I430" s="8" t="n"/>
    </row>
    <row r="431">
      <c r="A431" s="4" t="n">
        <v>4524</v>
      </c>
      <c r="B431" s="5" t="inlineStr">
        <is>
          <t>IMG_0126</t>
        </is>
      </c>
      <c r="C431" s="5" t="inlineStr">
        <is>
          <t>CLASS R: ROADS AND PAVINGS</t>
        </is>
      </c>
      <c r="D431" s="5" t="inlineStr">
        <is>
          <t>RESOURCES - PLANT</t>
        </is>
      </c>
      <c r="E431" s="5" t="inlineStr">
        <is>
          <t>Flexible paving</t>
        </is>
      </c>
      <c r="F431" s="5" t="inlineStr">
        <is>
          <t>tar sprayer, 100 litre</t>
        </is>
      </c>
      <c r="G431" s="8" t="n"/>
      <c r="H431" s="8" t="n">
        <v>31.66</v>
      </c>
      <c r="I431" s="8" t="n"/>
    </row>
    <row r="432">
      <c r="A432" s="4" t="n">
        <v>4525</v>
      </c>
      <c r="B432" s="5" t="inlineStr">
        <is>
          <t>IMG_0126</t>
        </is>
      </c>
      <c r="C432" s="5" t="inlineStr">
        <is>
          <t>CLASS R: ROADS AND PAVINGS</t>
        </is>
      </c>
      <c r="D432" s="5" t="inlineStr">
        <is>
          <t>RESOURCES - PLANT</t>
        </is>
      </c>
      <c r="E432" s="5" t="inlineStr">
        <is>
          <t>Flexible paving</t>
        </is>
      </c>
      <c r="F432" s="5" t="inlineStr">
        <is>
          <t>self-propelled chip spreader</t>
        </is>
      </c>
      <c r="G432" s="8" t="n"/>
      <c r="H432" s="8" t="n">
        <v>74.92</v>
      </c>
      <c r="I432" s="8" t="n"/>
    </row>
    <row r="433">
      <c r="A433" s="4" t="n">
        <v>4526</v>
      </c>
      <c r="B433" s="5" t="inlineStr">
        <is>
          <t>IMG_0126</t>
        </is>
      </c>
      <c r="C433" s="5" t="inlineStr">
        <is>
          <t>CLASS R: ROADS AND PAVINGS</t>
        </is>
      </c>
      <c r="D433" s="5" t="inlineStr">
        <is>
          <t>RESOURCES - PLANT</t>
        </is>
      </c>
      <c r="E433" s="5" t="inlineStr">
        <is>
          <t>Flexible paving</t>
        </is>
      </c>
      <c r="F433" s="5" t="inlineStr">
        <is>
          <t>channel (heat) iron</t>
        </is>
      </c>
      <c r="G433" s="8" t="n"/>
      <c r="H433" s="8" t="n">
        <v>10.3</v>
      </c>
      <c r="I433" s="8" t="n"/>
    </row>
    <row r="434">
      <c r="A434" s="42" t="n">
        <v>4527</v>
      </c>
      <c r="B434" s="43" t="inlineStr">
        <is>
          <t>IMG_0126</t>
        </is>
      </c>
      <c r="C434" s="43" t="inlineStr">
        <is>
          <t>CLASS R: ROADS AND PAVINGS</t>
        </is>
      </c>
      <c r="D434" s="43" t="inlineStr">
        <is>
          <t>RESOURCES - PLANT</t>
        </is>
      </c>
      <c r="E434" s="43" t="inlineStr">
        <is>
          <t>Flexible paving</t>
        </is>
      </c>
      <c r="F434" s="43" t="inlineStr">
        <is>
          <t>Total Rate/Hour</t>
        </is>
      </c>
      <c r="G434" s="44" t="n"/>
      <c r="H434" s="44" t="n">
        <v>690.17</v>
      </c>
      <c r="I434" s="44" t="n"/>
    </row>
    <row r="435">
      <c r="A435" s="4" t="n">
        <v>4529</v>
      </c>
      <c r="B435" s="5" t="inlineStr">
        <is>
          <t>IMG_0126</t>
        </is>
      </c>
      <c r="C435" s="5" t="inlineStr">
        <is>
          <t>CLASS R: ROADS AND PAVINGS</t>
        </is>
      </c>
      <c r="D435" s="5" t="inlineStr">
        <is>
          <t>RESOURCES - PLANT</t>
        </is>
      </c>
      <c r="E435" s="5" t="inlineStr">
        <is>
          <t>Concrete paving</t>
        </is>
      </c>
      <c r="F435" s="5" t="inlineStr">
        <is>
          <t>wheeled loader, 2.60 m2</t>
        </is>
      </c>
      <c r="G435" s="8" t="n"/>
      <c r="H435" s="8" t="n">
        <v>125.57</v>
      </c>
      <c r="I435" s="8" t="n"/>
    </row>
    <row r="436">
      <c r="A436" s="4" t="n">
        <v>4530</v>
      </c>
      <c r="B436" s="5" t="inlineStr">
        <is>
          <t>IMG_0126</t>
        </is>
      </c>
      <c r="C436" s="5" t="inlineStr">
        <is>
          <t>CLASS R: ROADS AND PAVINGS</t>
        </is>
      </c>
      <c r="D436" s="5" t="inlineStr">
        <is>
          <t>RESOURCES - PLANT</t>
        </is>
      </c>
      <c r="E436" s="5" t="inlineStr">
        <is>
          <t>Concrete paving</t>
        </is>
      </c>
      <c r="F436" s="5" t="inlineStr">
        <is>
          <t>concrete paver, 6.0 m</t>
        </is>
      </c>
      <c r="G436" s="8" t="n"/>
      <c r="H436" s="8" t="n">
        <v>372.25</v>
      </c>
      <c r="I436" s="8" t="n"/>
    </row>
    <row r="437">
      <c r="A437" s="4" t="n">
        <v>4531</v>
      </c>
      <c r="B437" s="5" t="inlineStr">
        <is>
          <t>IMG_0126</t>
        </is>
      </c>
      <c r="C437" s="5" t="inlineStr">
        <is>
          <t>CLASS R: ROADS AND PAVINGS</t>
        </is>
      </c>
      <c r="D437" s="5" t="inlineStr">
        <is>
          <t>RESOURCES - PLANT</t>
        </is>
      </c>
      <c r="E437" s="5" t="inlineStr">
        <is>
          <t>Concrete paving</t>
        </is>
      </c>
      <c r="F437" s="5" t="inlineStr">
        <is>
          <t>compaction slipform finisher</t>
        </is>
      </c>
      <c r="G437" s="8" t="n"/>
      <c r="H437" s="8" t="n">
        <v>72.7</v>
      </c>
      <c r="I437" s="8" t="n"/>
    </row>
    <row r="438">
      <c r="A438" s="42" t="n">
        <v>4532</v>
      </c>
      <c r="B438" s="43" t="inlineStr">
        <is>
          <t>IMG_0126</t>
        </is>
      </c>
      <c r="C438" s="43" t="inlineStr">
        <is>
          <t>CLASS R: ROADS AND PAVINGS</t>
        </is>
      </c>
      <c r="D438" s="43" t="inlineStr">
        <is>
          <t>RESOURCES - PLANT</t>
        </is>
      </c>
      <c r="E438" s="43" t="inlineStr">
        <is>
          <t>Concrete paving</t>
        </is>
      </c>
      <c r="F438" s="43" t="inlineStr">
        <is>
          <t>Total Rate/Hour</t>
        </is>
      </c>
      <c r="G438" s="44" t="n"/>
      <c r="H438" s="44" t="n">
        <v>570.51</v>
      </c>
      <c r="I438" s="44" t="n"/>
    </row>
    <row r="439">
      <c r="A439" s="4" t="n">
        <v>4534</v>
      </c>
      <c r="B439" s="5" t="inlineStr">
        <is>
          <t>IMG_0126</t>
        </is>
      </c>
      <c r="C439" s="5" t="inlineStr">
        <is>
          <t>CLASS R: ROADS AND PAVINGS</t>
        </is>
      </c>
      <c r="D439" s="5" t="inlineStr">
        <is>
          <t>RESOURCES - PLANT</t>
        </is>
      </c>
      <c r="E439" s="5" t="inlineStr">
        <is>
          <t>Road surface spraying</t>
        </is>
      </c>
      <c r="F439" s="5" t="inlineStr">
        <is>
          <t>tar sprayer, 100 litre</t>
        </is>
      </c>
      <c r="G439" s="8" t="n"/>
      <c r="H439" s="8" t="n">
        <v>31.66</v>
      </c>
      <c r="I439" s="8" t="n"/>
    </row>
    <row r="440">
      <c r="A440" s="42" t="n">
        <v>4536</v>
      </c>
      <c r="B440" s="43" t="inlineStr">
        <is>
          <t>IMG_0127</t>
        </is>
      </c>
      <c r="C440" s="43" t="inlineStr">
        <is>
          <t>CLASS R: ROADS AND PAVINGS</t>
        </is>
      </c>
      <c r="D440" s="43" t="inlineStr">
        <is>
          <t>RESOURCES - PLANT</t>
        </is>
      </c>
      <c r="E440" s="43" t="inlineStr">
        <is>
          <t>Road surface spraying (continued)</t>
        </is>
      </c>
      <c r="F440" s="43" t="inlineStr">
        <is>
          <t>Total Rate/Hour</t>
        </is>
      </c>
      <c r="G440" s="44" t="n"/>
      <c r="H440" s="44" t="n">
        <v>31.66</v>
      </c>
      <c r="I440" s="44" t="n"/>
    </row>
    <row r="441">
      <c r="A441" s="4" t="n">
        <v>4538</v>
      </c>
      <c r="B441" s="5" t="inlineStr">
        <is>
          <t>IMG_0127</t>
        </is>
      </c>
      <c r="C441" s="5" t="inlineStr">
        <is>
          <t>CLASS R: ROADS AND PAVINGS</t>
        </is>
      </c>
      <c r="D441" s="5" t="inlineStr">
        <is>
          <t>RESOURCES - PLANT</t>
        </is>
      </c>
      <c r="E441" s="5" t="inlineStr">
        <is>
          <t>Road chippings</t>
        </is>
      </c>
      <c r="F441" s="5" t="inlineStr">
        <is>
          <t>deadweight rollers, 3 point, 10 t</t>
        </is>
      </c>
      <c r="G441" s="8" t="n"/>
      <c r="H441" s="8" t="n">
        <v>81.12</v>
      </c>
      <c r="I441" s="8" t="n"/>
    </row>
    <row r="442">
      <c r="A442" s="4" t="n">
        <v>4539</v>
      </c>
      <c r="B442" s="5" t="inlineStr">
        <is>
          <t>IMG_0127</t>
        </is>
      </c>
      <c r="C442" s="5" t="inlineStr">
        <is>
          <t>CLASS R: ROADS AND PAVINGS</t>
        </is>
      </c>
      <c r="D442" s="5" t="inlineStr">
        <is>
          <t>RESOURCES - PLANT</t>
        </is>
      </c>
      <c r="E442" s="5" t="inlineStr">
        <is>
          <t>Road chippings</t>
        </is>
      </c>
      <c r="F442" s="5" t="inlineStr">
        <is>
          <t>tar sprayer, 100 litre</t>
        </is>
      </c>
      <c r="G442" s="8" t="n"/>
      <c r="H442" s="8" t="n">
        <v>31.66</v>
      </c>
      <c r="I442" s="8" t="n"/>
    </row>
    <row r="443">
      <c r="A443" s="4" t="n">
        <v>4540</v>
      </c>
      <c r="B443" s="5" t="inlineStr">
        <is>
          <t>IMG_0127</t>
        </is>
      </c>
      <c r="C443" s="5" t="inlineStr">
        <is>
          <t>CLASS R: ROADS AND PAVINGS</t>
        </is>
      </c>
      <c r="D443" s="5" t="inlineStr">
        <is>
          <t>RESOURCES - PLANT</t>
        </is>
      </c>
      <c r="E443" s="5" t="inlineStr">
        <is>
          <t>Road chippings</t>
        </is>
      </c>
      <c r="F443" s="5" t="inlineStr">
        <is>
          <t>self-propelled chip spreader</t>
        </is>
      </c>
      <c r="G443" s="8" t="n"/>
      <c r="H443" s="8" t="n">
        <v>74.92</v>
      </c>
      <c r="I443" s="8" t="n"/>
    </row>
    <row r="444">
      <c r="A444" s="4" t="n">
        <v>4541</v>
      </c>
      <c r="B444" s="5" t="inlineStr">
        <is>
          <t>IMG_0127</t>
        </is>
      </c>
      <c r="C444" s="5" t="inlineStr">
        <is>
          <t>CLASS R: ROADS AND PAVINGS</t>
        </is>
      </c>
      <c r="D444" s="5" t="inlineStr">
        <is>
          <t>RESOURCES - PLANT</t>
        </is>
      </c>
      <c r="E444" s="5" t="inlineStr">
        <is>
          <t>Road chippings</t>
        </is>
      </c>
      <c r="F444" s="5" t="inlineStr">
        <is>
          <t>channel (heat) iron</t>
        </is>
      </c>
      <c r="G444" s="8" t="n"/>
      <c r="H444" s="8" t="n">
        <v>10.3</v>
      </c>
      <c r="I444" s="8" t="n"/>
    </row>
    <row r="445">
      <c r="A445" s="42" t="n">
        <v>4542</v>
      </c>
      <c r="B445" s="43" t="inlineStr">
        <is>
          <t>IMG_0127</t>
        </is>
      </c>
      <c r="C445" s="43" t="inlineStr">
        <is>
          <t>CLASS R: ROADS AND PAVINGS</t>
        </is>
      </c>
      <c r="D445" s="43" t="inlineStr">
        <is>
          <t>RESOURCES - PLANT</t>
        </is>
      </c>
      <c r="E445" s="43" t="inlineStr">
        <is>
          <t>Road chippings</t>
        </is>
      </c>
      <c r="F445" s="43" t="inlineStr">
        <is>
          <t>Total Rate/Hour</t>
        </is>
      </c>
      <c r="G445" s="44" t="n"/>
      <c r="H445" s="44" t="n">
        <v>81.12</v>
      </c>
      <c r="I445" s="44" t="n"/>
    </row>
    <row r="446">
      <c r="A446" s="4" t="n">
        <v>4544</v>
      </c>
      <c r="B446" s="5" t="inlineStr">
        <is>
          <t>IMG_0127</t>
        </is>
      </c>
      <c r="C446" s="5" t="inlineStr">
        <is>
          <t>CLASS R: ROADS AND PAVINGS</t>
        </is>
      </c>
      <c r="D446" s="5" t="inlineStr">
        <is>
          <t>RESOURCES - PLANT</t>
        </is>
      </c>
      <c r="E446" s="5" t="inlineStr">
        <is>
          <t>Cutting slabs</t>
        </is>
      </c>
      <c r="F446" s="5" t="inlineStr">
        <is>
          <t>compressor, 65 cfm</t>
        </is>
      </c>
      <c r="G446" s="8" t="n"/>
      <c r="H446" s="8" t="n">
        <v>15.18</v>
      </c>
      <c r="I446" s="8" t="n"/>
    </row>
    <row r="447">
      <c r="A447" s="4" t="n">
        <v>4545</v>
      </c>
      <c r="B447" s="5" t="inlineStr">
        <is>
          <t>IMG_0127</t>
        </is>
      </c>
      <c r="C447" s="5" t="inlineStr">
        <is>
          <t>CLASS R: ROADS AND PAVINGS</t>
        </is>
      </c>
      <c r="D447" s="5" t="inlineStr">
        <is>
          <t>RESOURCES - PLANT</t>
        </is>
      </c>
      <c r="E447" s="5" t="inlineStr">
        <is>
          <t>Cutting slabs</t>
        </is>
      </c>
      <c r="F447" s="5" t="inlineStr">
        <is>
          <t>300 mm disc cutter</t>
        </is>
      </c>
      <c r="G447" s="8" t="n"/>
      <c r="H447" s="8" t="n">
        <v>1.43</v>
      </c>
      <c r="I447" s="8" t="n"/>
    </row>
    <row r="448">
      <c r="A448" s="42" t="n">
        <v>4546</v>
      </c>
      <c r="B448" s="43" t="inlineStr">
        <is>
          <t>IMG_0127</t>
        </is>
      </c>
      <c r="C448" s="43" t="inlineStr">
        <is>
          <t>CLASS R: ROADS AND PAVINGS</t>
        </is>
      </c>
      <c r="D448" s="43" t="inlineStr">
        <is>
          <t>RESOURCES - PLANT</t>
        </is>
      </c>
      <c r="E448" s="43" t="inlineStr">
        <is>
          <t>Cutting slabs</t>
        </is>
      </c>
      <c r="F448" s="43" t="inlineStr">
        <is>
          <t>Total Rate/Hour</t>
        </is>
      </c>
      <c r="G448" s="44" t="n"/>
      <c r="H448" s="44" t="n">
        <v>16.61</v>
      </c>
      <c r="I448" s="44" t="n"/>
    </row>
    <row r="449">
      <c r="A449" s="4" t="n">
        <v>4548</v>
      </c>
      <c r="B449" s="5" t="inlineStr">
        <is>
          <t>IMG_0127</t>
        </is>
      </c>
      <c r="C449" s="5" t="inlineStr">
        <is>
          <t>CLASS R: ROADS AND PAVINGS</t>
        </is>
      </c>
      <c r="D449" s="5" t="inlineStr">
        <is>
          <t>RESOURCES - PLANT</t>
        </is>
      </c>
      <c r="E449" s="5" t="inlineStr">
        <is>
          <t>Milling</t>
        </is>
      </c>
      <c r="F449" s="5" t="inlineStr">
        <is>
          <t>cold planer, 2.10 m</t>
        </is>
      </c>
      <c r="G449" s="8" t="n"/>
      <c r="H449" s="8" t="n">
        <v>445.58</v>
      </c>
      <c r="I449" s="8" t="n"/>
    </row>
    <row r="450">
      <c r="A450" s="4" t="n">
        <v>4549</v>
      </c>
      <c r="B450" s="5" t="inlineStr">
        <is>
          <t>IMG_0127</t>
        </is>
      </c>
      <c r="C450" s="5" t="inlineStr">
        <is>
          <t>CLASS R: ROADS AND PAVINGS</t>
        </is>
      </c>
      <c r="D450" s="5" t="inlineStr">
        <is>
          <t>RESOURCES - PLANT</t>
        </is>
      </c>
      <c r="E450" s="5" t="inlineStr">
        <is>
          <t>Milling</t>
        </is>
      </c>
      <c r="F450" s="5" t="inlineStr">
        <is>
          <t>wheeled loader, 2.60 m2</t>
        </is>
      </c>
      <c r="G450" s="8" t="n"/>
      <c r="H450" s="8" t="n">
        <v>125.57</v>
      </c>
      <c r="I450" s="8" t="n"/>
    </row>
    <row r="451">
      <c r="A451" s="42" t="n">
        <v>4550</v>
      </c>
      <c r="B451" s="43" t="inlineStr">
        <is>
          <t>IMG_0127</t>
        </is>
      </c>
      <c r="C451" s="43" t="inlineStr">
        <is>
          <t>CLASS R: ROADS AND PAVINGS</t>
        </is>
      </c>
      <c r="D451" s="43" t="inlineStr">
        <is>
          <t>RESOURCES - PLANT</t>
        </is>
      </c>
      <c r="E451" s="43" t="inlineStr">
        <is>
          <t>Milling</t>
        </is>
      </c>
      <c r="F451" s="43" t="inlineStr">
        <is>
          <t>Total Rate/Hour</t>
        </is>
      </c>
      <c r="G451" s="44" t="n"/>
      <c r="H451" s="44" t="n">
        <v>571.14</v>
      </c>
      <c r="I451" s="44" t="n"/>
    </row>
    <row r="452">
      <c r="A452" s="4" t="n">
        <v>4552</v>
      </c>
      <c r="B452" s="5" t="inlineStr">
        <is>
          <t>IMG_0127</t>
        </is>
      </c>
      <c r="C452" s="5" t="inlineStr">
        <is>
          <t>CLASS R: ROADS AND PAVINGS</t>
        </is>
      </c>
      <c r="D452" s="5" t="inlineStr">
        <is>
          <t>RESOURCES - PLANT</t>
        </is>
      </c>
      <c r="E452" s="5" t="inlineStr">
        <is>
          <t>Heat planing</t>
        </is>
      </c>
      <c r="F452" s="5" t="inlineStr">
        <is>
          <t>heat planer, 4.5 m</t>
        </is>
      </c>
      <c r="G452" s="8" t="n"/>
      <c r="H452" s="8" t="n">
        <v>172.24</v>
      </c>
      <c r="I452" s="8" t="n"/>
    </row>
    <row r="453">
      <c r="A453" s="4" t="n">
        <v>4553</v>
      </c>
      <c r="B453" s="5" t="inlineStr">
        <is>
          <t>IMG_0127</t>
        </is>
      </c>
      <c r="C453" s="5" t="inlineStr">
        <is>
          <t>CLASS R: ROADS AND PAVINGS</t>
        </is>
      </c>
      <c r="D453" s="5" t="inlineStr">
        <is>
          <t>RESOURCES - PLANT</t>
        </is>
      </c>
      <c r="E453" s="5" t="inlineStr">
        <is>
          <t>Heat planing</t>
        </is>
      </c>
      <c r="F453" s="5" t="inlineStr">
        <is>
          <t>wheeled loader, 2.60 m2</t>
        </is>
      </c>
      <c r="G453" s="8" t="n"/>
      <c r="H453" s="8" t="n">
        <v>125.57</v>
      </c>
      <c r="I453" s="8" t="n"/>
    </row>
    <row r="454">
      <c r="A454" s="42" t="n">
        <v>4554</v>
      </c>
      <c r="B454" s="43" t="inlineStr">
        <is>
          <t>IMG_0127</t>
        </is>
      </c>
      <c r="C454" s="43" t="inlineStr">
        <is>
          <t>CLASS R: ROADS AND PAVINGS</t>
        </is>
      </c>
      <c r="D454" s="43" t="inlineStr">
        <is>
          <t>RESOURCES - PLANT</t>
        </is>
      </c>
      <c r="E454" s="43" t="inlineStr">
        <is>
          <t>Heat planing</t>
        </is>
      </c>
      <c r="F454" s="43" t="inlineStr">
        <is>
          <t>Total Rate/Hour</t>
        </is>
      </c>
      <c r="G454" s="44" t="n"/>
      <c r="H454" s="44" t="n">
        <v>297.8</v>
      </c>
      <c r="I454" s="44" t="n"/>
    </row>
    <row r="455">
      <c r="A455" s="4" t="n">
        <v>4556</v>
      </c>
      <c r="B455" s="5" t="inlineStr">
        <is>
          <t>IMG_0127</t>
        </is>
      </c>
      <c r="C455" s="5" t="inlineStr">
        <is>
          <t>CLASS R: ROADS AND PAVINGS</t>
        </is>
      </c>
      <c r="D455" s="5" t="inlineStr">
        <is>
          <t>RESOURCES - PLANT</t>
        </is>
      </c>
      <c r="E455" s="5" t="inlineStr">
        <is>
          <t>Rake and compact planed material</t>
        </is>
      </c>
      <c r="F455" s="5" t="inlineStr">
        <is>
          <t>deadweight roller, 3 point, 10t</t>
        </is>
      </c>
      <c r="G455" s="8" t="n"/>
      <c r="H455" s="8" t="n">
        <v>81.12</v>
      </c>
      <c r="I455" s="8" t="n"/>
    </row>
    <row r="456">
      <c r="A456" s="4" t="n">
        <v>4557</v>
      </c>
      <c r="B456" s="5" t="inlineStr">
        <is>
          <t>IMG_0127</t>
        </is>
      </c>
      <c r="C456" s="5" t="inlineStr">
        <is>
          <t>CLASS R: ROADS AND PAVINGS</t>
        </is>
      </c>
      <c r="D456" s="5" t="inlineStr">
        <is>
          <t>RESOURCES - PLANT</t>
        </is>
      </c>
      <c r="E456" s="5" t="inlineStr">
        <is>
          <t>Rake and compact planed material</t>
        </is>
      </c>
      <c r="F456" s="5" t="inlineStr">
        <is>
          <t>tractor with front bucket and integral 2 tool compressor</t>
        </is>
      </c>
      <c r="G456" s="8" t="n"/>
      <c r="H456" s="8" t="n">
        <v>66.84999999999999</v>
      </c>
      <c r="I456" s="8" t="n"/>
    </row>
    <row r="457">
      <c r="A457" s="4" t="n">
        <v>4558</v>
      </c>
      <c r="B457" s="5" t="inlineStr">
        <is>
          <t>IMG_0127</t>
        </is>
      </c>
      <c r="C457" s="5" t="inlineStr">
        <is>
          <t>CLASS R: ROADS AND PAVINGS</t>
        </is>
      </c>
      <c r="D457" s="5" t="inlineStr">
        <is>
          <t>RESOURCES - PLANT</t>
        </is>
      </c>
      <c r="E457" s="5" t="inlineStr">
        <is>
          <t>Rake and compact planed material</t>
        </is>
      </c>
      <c r="F457" s="5" t="inlineStr">
        <is>
          <t>channel (heat) iron</t>
        </is>
      </c>
      <c r="G457" s="8" t="n"/>
      <c r="H457" s="8" t="n">
        <v>5.15</v>
      </c>
      <c r="I457" s="8" t="n"/>
    </row>
    <row r="458">
      <c r="A458" s="42" t="n">
        <v>4559</v>
      </c>
      <c r="B458" s="43" t="inlineStr">
        <is>
          <t>IMG_0127</t>
        </is>
      </c>
      <c r="C458" s="43" t="inlineStr">
        <is>
          <t>CLASS R: ROADS AND PAVINGS</t>
        </is>
      </c>
      <c r="D458" s="43" t="inlineStr">
        <is>
          <t>RESOURCES - PLANT</t>
        </is>
      </c>
      <c r="E458" s="43" t="inlineStr">
        <is>
          <t>Rake and compact planed material</t>
        </is>
      </c>
      <c r="F458" s="43" t="inlineStr">
        <is>
          <t>Total Rate/Hour</t>
        </is>
      </c>
      <c r="G458" s="44" t="n"/>
      <c r="H458" s="44" t="n">
        <v>153.12</v>
      </c>
      <c r="I458" s="44" t="n"/>
    </row>
    <row r="459">
      <c r="A459" s="4" t="n">
        <v>4561</v>
      </c>
      <c r="B459" s="5" t="inlineStr">
        <is>
          <t>IMG_0127</t>
        </is>
      </c>
      <c r="C459" s="5" t="inlineStr">
        <is>
          <t>CLASS R: ROADS AND PAVINGS</t>
        </is>
      </c>
      <c r="D459" s="5" t="inlineStr">
        <is>
          <t>RESOURCES - PLANT</t>
        </is>
      </c>
      <c r="E459" s="5" t="inlineStr">
        <is>
          <t>Kerb laying</t>
        </is>
      </c>
      <c r="F459" s="5" t="inlineStr">
        <is>
          <t>backhoe JCB 3CX (25% of time)</t>
        </is>
      </c>
      <c r="G459" s="8" t="n"/>
      <c r="H459" s="8" t="n">
        <v>17.02</v>
      </c>
      <c r="I459" s="8" t="n"/>
    </row>
    <row r="460">
      <c r="A460" s="4" t="n">
        <v>4562</v>
      </c>
      <c r="B460" s="5" t="inlineStr">
        <is>
          <t>IMG_0127</t>
        </is>
      </c>
      <c r="C460" s="5" t="inlineStr">
        <is>
          <t>CLASS R: ROADS AND PAVINGS</t>
        </is>
      </c>
      <c r="D460" s="5" t="inlineStr">
        <is>
          <t>RESOURCES - PLANT</t>
        </is>
      </c>
      <c r="E460" s="5" t="inlineStr">
        <is>
          <t>Kerb laying</t>
        </is>
      </c>
      <c r="F460" s="5" t="inlineStr">
        <is>
          <t>300 mm stihl saw</t>
        </is>
      </c>
      <c r="G460" s="8" t="n"/>
      <c r="H460" s="8" t="n">
        <v>1.22</v>
      </c>
      <c r="I460" s="8" t="n"/>
    </row>
    <row r="461">
      <c r="A461" s="4" t="n">
        <v>4563</v>
      </c>
      <c r="B461" s="5" t="inlineStr">
        <is>
          <t>IMG_0127</t>
        </is>
      </c>
      <c r="C461" s="5" t="inlineStr">
        <is>
          <t>CLASS R: ROADS AND PAVINGS</t>
        </is>
      </c>
      <c r="D461" s="5" t="inlineStr">
        <is>
          <t>RESOURCES - PLANT</t>
        </is>
      </c>
      <c r="E461" s="5" t="inlineStr">
        <is>
          <t>Kerb laying</t>
        </is>
      </c>
      <c r="F461" s="5" t="inlineStr">
        <is>
          <t>road forms</t>
        </is>
      </c>
      <c r="G461" s="8" t="n"/>
      <c r="H461" s="8" t="n">
        <v>3.56</v>
      </c>
      <c r="I461" s="8" t="n"/>
    </row>
    <row r="462">
      <c r="A462" s="42" t="n">
        <v>4564</v>
      </c>
      <c r="B462" s="43" t="inlineStr">
        <is>
          <t>IMG_0127</t>
        </is>
      </c>
      <c r="C462" s="43" t="inlineStr">
        <is>
          <t>CLASS R: ROADS AND PAVINGS</t>
        </is>
      </c>
      <c r="D462" s="43" t="inlineStr">
        <is>
          <t>RESOURCES - PLANT</t>
        </is>
      </c>
      <c r="E462" s="43" t="inlineStr">
        <is>
          <t>Kerb laying</t>
        </is>
      </c>
      <c r="F462" s="43" t="inlineStr">
        <is>
          <t>Total Rate/Hour</t>
        </is>
      </c>
      <c r="G462" s="44" t="n"/>
      <c r="H462" s="44" t="n">
        <v>18.24</v>
      </c>
      <c r="I462" s="44" t="n"/>
    </row>
    <row r="463">
      <c r="A463" s="4" t="n">
        <v>4566</v>
      </c>
      <c r="B463" s="5" t="inlineStr">
        <is>
          <t>IMG_0127</t>
        </is>
      </c>
      <c r="C463" s="5" t="inlineStr">
        <is>
          <t>CLASS R: ROADS AND PAVINGS</t>
        </is>
      </c>
      <c r="D463" s="5" t="inlineStr">
        <is>
          <t>RESOURCES - PLANT</t>
        </is>
      </c>
      <c r="E463" s="5" t="inlineStr">
        <is>
          <t>Path subbase, bitmac and gravel laying</t>
        </is>
      </c>
      <c r="F463" s="5" t="inlineStr">
        <is>
          <t>backhoe JCB 3CX</t>
        </is>
      </c>
      <c r="G463" s="8" t="n"/>
      <c r="H463" s="8" t="n">
        <v>68.08</v>
      </c>
      <c r="I463" s="8" t="n"/>
    </row>
    <row r="464">
      <c r="A464" s="4" t="n">
        <v>4567</v>
      </c>
      <c r="B464" s="5" t="inlineStr">
        <is>
          <t>IMG_0127</t>
        </is>
      </c>
      <c r="C464" s="5" t="inlineStr">
        <is>
          <t>CLASS R: ROADS AND PAVINGS</t>
        </is>
      </c>
      <c r="D464" s="5" t="inlineStr">
        <is>
          <t>RESOURCES - PLANT</t>
        </is>
      </c>
      <c r="E464" s="5" t="inlineStr">
        <is>
          <t>Path subbase, bitmac and gravel laying</t>
        </is>
      </c>
      <c r="F464" s="5" t="inlineStr">
        <is>
          <t>2 t dumper</t>
        </is>
      </c>
      <c r="G464" s="8" t="n"/>
      <c r="H464" s="8" t="n">
        <v>13.06</v>
      </c>
      <c r="I464" s="8" t="n"/>
    </row>
    <row r="465">
      <c r="A465" s="4" t="n">
        <v>4568</v>
      </c>
      <c r="B465" s="5" t="inlineStr">
        <is>
          <t>IMG_0127</t>
        </is>
      </c>
      <c r="C465" s="5" t="inlineStr">
        <is>
          <t>CLASS R: ROADS AND PAVINGS</t>
        </is>
      </c>
      <c r="D465" s="5" t="inlineStr">
        <is>
          <t>RESOURCES - PLANT</t>
        </is>
      </c>
      <c r="E465" s="5" t="inlineStr">
        <is>
          <t>Path subbase, bitmac and gravel laying</t>
        </is>
      </c>
      <c r="F465" s="5" t="inlineStr">
        <is>
          <t>pedestrian roller Bomag BW 90S</t>
        </is>
      </c>
      <c r="G465" s="8" t="n"/>
      <c r="H465" s="8" t="n">
        <v>16.47</v>
      </c>
      <c r="I465" s="8" t="n"/>
    </row>
    <row r="466">
      <c r="A466" s="42" t="n">
        <v>4569</v>
      </c>
      <c r="B466" s="43" t="inlineStr">
        <is>
          <t>IMG_0127</t>
        </is>
      </c>
      <c r="C466" s="43" t="inlineStr">
        <is>
          <t>CLASS R: ROADS AND PAVINGS</t>
        </is>
      </c>
      <c r="D466" s="43" t="inlineStr">
        <is>
          <t>RESOURCES - PLANT</t>
        </is>
      </c>
      <c r="E466" s="43" t="inlineStr">
        <is>
          <t>Path subbase, bitmac and gravel laying</t>
        </is>
      </c>
      <c r="F466" s="43" t="inlineStr">
        <is>
          <t>Total Rate/Hour</t>
        </is>
      </c>
      <c r="G466" s="44" t="n"/>
      <c r="H466" s="44" t="n">
        <v>97.61</v>
      </c>
      <c r="I466" s="44" t="n"/>
    </row>
    <row r="467">
      <c r="A467" s="4" t="n">
        <v>4571</v>
      </c>
      <c r="B467" s="5" t="inlineStr">
        <is>
          <t>IMG_0127</t>
        </is>
      </c>
      <c r="C467" s="5" t="inlineStr">
        <is>
          <t>CLASS R: ROADS AND PAVINGS</t>
        </is>
      </c>
      <c r="D467" s="5" t="inlineStr">
        <is>
          <t>RESOURCES - PLANT</t>
        </is>
      </c>
      <c r="E467" s="5" t="inlineStr">
        <is>
          <t>Paviors and flagging</t>
        </is>
      </c>
      <c r="F467" s="5" t="inlineStr">
        <is>
          <t>2 t dumper (33% of time)</t>
        </is>
      </c>
      <c r="G467" s="8" t="n"/>
      <c r="H467" s="8" t="n">
        <v>4.35</v>
      </c>
      <c r="I467" s="8" t="n"/>
    </row>
    <row r="468">
      <c r="A468" s="42" t="n">
        <v>4572</v>
      </c>
      <c r="B468" s="43" t="inlineStr">
        <is>
          <t>IMG_0127</t>
        </is>
      </c>
      <c r="C468" s="43" t="inlineStr">
        <is>
          <t>CLASS R: ROADS AND PAVINGS</t>
        </is>
      </c>
      <c r="D468" s="43" t="inlineStr">
        <is>
          <t>RESOURCES - PLANT</t>
        </is>
      </c>
      <c r="E468" s="43" t="inlineStr">
        <is>
          <t>Paviors and flagging</t>
        </is>
      </c>
      <c r="F468" s="43" t="inlineStr">
        <is>
          <t>Total Rate/Hour</t>
        </is>
      </c>
      <c r="G468" s="44" t="n"/>
      <c r="H468" s="44" t="n">
        <v>4.35</v>
      </c>
      <c r="I468" s="44" t="n"/>
    </row>
    <row r="469">
      <c r="A469" s="4" t="n">
        <v>4574</v>
      </c>
      <c r="B469" s="5" t="inlineStr">
        <is>
          <t>IMG_0127</t>
        </is>
      </c>
      <c r="C469" s="5" t="inlineStr">
        <is>
          <t>CLASS R: ROADS AND PAVINGS</t>
        </is>
      </c>
      <c r="D469" s="5" t="inlineStr">
        <is>
          <t>RESOURCES - PLANT</t>
        </is>
      </c>
      <c r="E469" s="5" t="inlineStr">
        <is>
          <t>Traffic signs</t>
        </is>
      </c>
      <c r="F469" s="5" t="inlineStr">
        <is>
          <t>JCB 3CX backhoe - 50% of time</t>
        </is>
      </c>
      <c r="G469" s="8" t="n"/>
      <c r="H469" s="8" t="n">
        <v>34.04</v>
      </c>
      <c r="I469" s="8" t="n"/>
    </row>
    <row r="470">
      <c r="A470" s="4" t="n">
        <v>4575</v>
      </c>
      <c r="B470" s="5" t="inlineStr">
        <is>
          <t>IMG_0127</t>
        </is>
      </c>
      <c r="C470" s="5" t="inlineStr">
        <is>
          <t>CLASS R: ROADS AND PAVINGS</t>
        </is>
      </c>
      <c r="D470" s="5" t="inlineStr">
        <is>
          <t>RESOURCES - PLANT</t>
        </is>
      </c>
      <c r="E470" s="5" t="inlineStr">
        <is>
          <t>Traffic signs</t>
        </is>
      </c>
      <c r="F470" s="5" t="inlineStr">
        <is>
          <t>125 cfm compressor - 50% of time</t>
        </is>
      </c>
      <c r="G470" s="8" t="n"/>
      <c r="H470" s="8" t="n">
        <v>10.61</v>
      </c>
      <c r="I470" s="8" t="n"/>
    </row>
    <row r="471">
      <c r="A471" s="4" t="n">
        <v>4576</v>
      </c>
      <c r="B471" s="5" t="inlineStr">
        <is>
          <t>IMG_0127</t>
        </is>
      </c>
      <c r="C471" s="5" t="inlineStr">
        <is>
          <t>CLASS R: ROADS AND PAVINGS</t>
        </is>
      </c>
      <c r="D471" s="5" t="inlineStr">
        <is>
          <t>RESOURCES - PLANT</t>
        </is>
      </c>
      <c r="E471" s="5" t="inlineStr">
        <is>
          <t>Traffic signs</t>
        </is>
      </c>
      <c r="F471" s="5" t="inlineStr">
        <is>
          <t>compressor tools: hand held hammer drill - 50% of time</t>
        </is>
      </c>
      <c r="G471" s="8" t="n"/>
      <c r="H471" s="8" t="n">
        <v>1.07</v>
      </c>
      <c r="I471" s="8" t="n"/>
    </row>
    <row r="472">
      <c r="A472" s="4" t="n">
        <v>4577</v>
      </c>
      <c r="B472" s="5" t="inlineStr">
        <is>
          <t>IMG_0127</t>
        </is>
      </c>
      <c r="C472" s="5" t="inlineStr">
        <is>
          <t>CLASS R: ROADS AND PAVINGS</t>
        </is>
      </c>
      <c r="D472" s="5" t="inlineStr">
        <is>
          <t>RESOURCES - PLANT</t>
        </is>
      </c>
      <c r="E472" s="5" t="inlineStr">
        <is>
          <t>Traffic signs</t>
        </is>
      </c>
      <c r="F472" s="5" t="inlineStr">
        <is>
          <t>compressor tools: clay spade - 50% of time</t>
        </is>
      </c>
      <c r="G472" s="8" t="n"/>
      <c r="H472" s="8" t="n">
        <v>1.68</v>
      </c>
      <c r="I472" s="8" t="n"/>
    </row>
    <row r="473">
      <c r="A473" s="4" t="n">
        <v>4578</v>
      </c>
      <c r="B473" s="5" t="inlineStr">
        <is>
          <t>IMG_0127</t>
        </is>
      </c>
      <c r="C473" s="5" t="inlineStr">
        <is>
          <t>CLASS R: ROADS AND PAVINGS</t>
        </is>
      </c>
      <c r="D473" s="5" t="inlineStr">
        <is>
          <t>RESOURCES - PLANT</t>
        </is>
      </c>
      <c r="E473" s="5" t="inlineStr">
        <is>
          <t>Traffic signs</t>
        </is>
      </c>
      <c r="F473" s="5" t="inlineStr">
        <is>
          <t>compressor tools: extra 15 m hose - 50% of time</t>
        </is>
      </c>
      <c r="G473" s="8" t="n"/>
      <c r="H473" s="8" t="n">
        <v>0.27</v>
      </c>
      <c r="I473" s="8" t="n"/>
    </row>
    <row r="474">
      <c r="A474" s="4" t="n">
        <v>4579</v>
      </c>
      <c r="B474" s="5" t="inlineStr">
        <is>
          <t>IMG_0127</t>
        </is>
      </c>
      <c r="C474" s="5" t="inlineStr">
        <is>
          <t>CLASS R: ROADS AND PAVINGS</t>
        </is>
      </c>
      <c r="D474" s="5" t="inlineStr">
        <is>
          <t>RESOURCES - PLANT</t>
        </is>
      </c>
      <c r="E474" s="5" t="inlineStr">
        <is>
          <t>Traffic signs</t>
        </is>
      </c>
      <c r="F474" s="5" t="inlineStr">
        <is>
          <t>8 t lorry with hiab lift - 50% of time</t>
        </is>
      </c>
      <c r="G474" s="8" t="n"/>
      <c r="H474" s="8" t="n">
        <v>28.43</v>
      </c>
      <c r="I474" s="8" t="n"/>
    </row>
    <row r="475">
      <c r="A475" s="42" t="n">
        <v>4580</v>
      </c>
      <c r="B475" s="43" t="inlineStr">
        <is>
          <t>IMG_0127</t>
        </is>
      </c>
      <c r="C475" s="43" t="inlineStr">
        <is>
          <t>CLASS R: ROADS AND PAVINGS</t>
        </is>
      </c>
      <c r="D475" s="43" t="inlineStr">
        <is>
          <t>RESOURCES - PLANT</t>
        </is>
      </c>
      <c r="E475" s="43" t="inlineStr">
        <is>
          <t>Traffic signs</t>
        </is>
      </c>
      <c r="F475" s="43" t="inlineStr">
        <is>
          <t>Total Rate/Hour</t>
        </is>
      </c>
      <c r="G475" s="44" t="n"/>
      <c r="H475" s="44" t="n">
        <v>76.09999999999999</v>
      </c>
      <c r="I475" s="44" t="n"/>
    </row>
    <row r="476">
      <c r="A476" s="4" t="n">
        <v>5356</v>
      </c>
      <c r="B476" s="5" t="inlineStr">
        <is>
          <t>IMG_0139</t>
        </is>
      </c>
      <c r="C476" s="5" t="inlineStr">
        <is>
          <t>CLASS U: BRICKWORK, BLOCKWORK AND MASONRY</t>
        </is>
      </c>
      <c r="D476" s="5" t="inlineStr">
        <is>
          <t>RESOURCES - LABOUR</t>
        </is>
      </c>
      <c r="E476" s="5" t="inlineStr">
        <is>
          <t>Brickwork, blockwork and masonry gang</t>
        </is>
      </c>
      <c r="F476" s="5" t="inlineStr">
        <is>
          <t>1 foreman bricklayer (craftsman)</t>
        </is>
      </c>
      <c r="G476" s="8" t="n">
        <v>34.79</v>
      </c>
      <c r="H476" s="8" t="n"/>
      <c r="I476" s="8" t="n"/>
    </row>
    <row r="477">
      <c r="A477" s="4" t="n">
        <v>5357</v>
      </c>
      <c r="B477" s="5" t="inlineStr">
        <is>
          <t>IMG_0139</t>
        </is>
      </c>
      <c r="C477" s="5" t="inlineStr">
        <is>
          <t>CLASS U: BRICKWORK, BLOCKWORK AND MASONRY</t>
        </is>
      </c>
      <c r="D477" s="5" t="inlineStr">
        <is>
          <t>RESOURCES - LABOUR</t>
        </is>
      </c>
      <c r="E477" s="5" t="inlineStr">
        <is>
          <t>Brickwork, blockwork and masonry gang</t>
        </is>
      </c>
      <c r="F477" s="5" t="inlineStr">
        <is>
          <t>4 bricklayers (craftsman)</t>
        </is>
      </c>
      <c r="G477" s="8" t="n">
        <v>117.98</v>
      </c>
      <c r="H477" s="8" t="n"/>
      <c r="I477" s="8" t="n"/>
    </row>
    <row r="478">
      <c r="A478" s="4" t="n">
        <v>5358</v>
      </c>
      <c r="B478" s="5" t="inlineStr">
        <is>
          <t>IMG_0139</t>
        </is>
      </c>
      <c r="C478" s="5" t="inlineStr">
        <is>
          <t>CLASS U: BRICKWORK, BLOCKWORK AND MASONRY</t>
        </is>
      </c>
      <c r="D478" s="5" t="inlineStr">
        <is>
          <t>RESOURCES - LABOUR</t>
        </is>
      </c>
      <c r="E478" s="5" t="inlineStr">
        <is>
          <t>Brickwork, blockwork and masonry gang</t>
        </is>
      </c>
      <c r="F478" s="5" t="inlineStr">
        <is>
          <t>1 unskilled operative (general)</t>
        </is>
      </c>
      <c r="G478" s="8" t="n">
        <v>24.68</v>
      </c>
      <c r="H478" s="8" t="n"/>
      <c r="I478" s="8" t="n"/>
    </row>
    <row r="479">
      <c r="A479" s="42" t="n">
        <v>5359</v>
      </c>
      <c r="B479" s="43" t="inlineStr">
        <is>
          <t>IMG_0139</t>
        </is>
      </c>
      <c r="C479" s="43" t="inlineStr">
        <is>
          <t>CLASS U: BRICKWORK, BLOCKWORK AND MASONRY</t>
        </is>
      </c>
      <c r="D479" s="43" t="inlineStr">
        <is>
          <t>RESOURCES - LABOUR</t>
        </is>
      </c>
      <c r="E479" s="43" t="inlineStr">
        <is>
          <t>Brickwork, blockwork and masonry gang</t>
        </is>
      </c>
      <c r="F479" s="43" t="inlineStr">
        <is>
          <t>Total Gang Rate/Hour</t>
        </is>
      </c>
      <c r="G479" s="44" t="n">
        <v>34.79</v>
      </c>
      <c r="H479" s="44" t="n"/>
      <c r="I479" s="44" t="n"/>
    </row>
    <row r="480">
      <c r="A480" s="4" t="n">
        <v>5363</v>
      </c>
      <c r="B480" s="5" t="inlineStr">
        <is>
          <t>IMG_0139</t>
        </is>
      </c>
      <c r="C480" s="5" t="inlineStr">
        <is>
          <t>CLASS U: BRICKWORK, BLOCKWORK AND MASONRY</t>
        </is>
      </c>
      <c r="D480" s="5" t="inlineStr">
        <is>
          <t>RESOURCES - MATERIAL</t>
        </is>
      </c>
      <c r="E480" s="5" t="inlineStr">
        <is>
          <t>Clay bricks</t>
        </is>
      </c>
      <c r="F480" s="5" t="inlineStr">
        <is>
          <t>Common bricks; PC £ per thousand</t>
        </is>
      </c>
      <c r="G480" s="8" t="n"/>
      <c r="H480" s="8" t="n"/>
      <c r="I480" s="8" t="n">
        <v>589.5700000000001</v>
      </c>
    </row>
    <row r="481">
      <c r="A481" s="4" t="n">
        <v>5364</v>
      </c>
      <c r="B481" s="5" t="inlineStr">
        <is>
          <t>IMG_0139</t>
        </is>
      </c>
      <c r="C481" s="5" t="inlineStr">
        <is>
          <t>CLASS U: BRICKWORK, BLOCKWORK AND MASONRY</t>
        </is>
      </c>
      <c r="D481" s="5" t="inlineStr">
        <is>
          <t>RESOURCES - MATERIAL</t>
        </is>
      </c>
      <c r="E481" s="5" t="inlineStr">
        <is>
          <t>Clay bricks</t>
        </is>
      </c>
      <c r="F481" s="5" t="inlineStr">
        <is>
          <t>Facing bricks; PC £ per thousand</t>
        </is>
      </c>
      <c r="G481" s="8" t="n"/>
      <c r="H481" s="8" t="n"/>
      <c r="I481" s="8" t="n">
        <v>971.91</v>
      </c>
    </row>
    <row r="482">
      <c r="A482" s="4" t="n">
        <v>5365</v>
      </c>
      <c r="B482" s="5" t="inlineStr">
        <is>
          <t>IMG_0139</t>
        </is>
      </c>
      <c r="C482" s="5" t="inlineStr">
        <is>
          <t>CLASS U: BRICKWORK, BLOCKWORK AND MASONRY</t>
        </is>
      </c>
      <c r="D482" s="5" t="inlineStr">
        <is>
          <t>RESOURCES - MATERIAL</t>
        </is>
      </c>
      <c r="E482" s="5" t="inlineStr">
        <is>
          <t>Clay bricks</t>
        </is>
      </c>
      <c r="F482" s="5" t="inlineStr">
        <is>
          <t>Class A engineering bricks; PC £ per thousand</t>
        </is>
      </c>
      <c r="G482" s="8" t="n"/>
      <c r="H482" s="8" t="n"/>
      <c r="I482" s="8" t="n">
        <v>795.26</v>
      </c>
    </row>
    <row r="483">
      <c r="A483" s="4" t="n">
        <v>5366</v>
      </c>
      <c r="B483" s="5" t="inlineStr">
        <is>
          <t>IMG_0139</t>
        </is>
      </c>
      <c r="C483" s="5" t="inlineStr">
        <is>
          <t>CLASS U: BRICKWORK, BLOCKWORK AND MASONRY</t>
        </is>
      </c>
      <c r="D483" s="5" t="inlineStr">
        <is>
          <t>RESOURCES - MATERIAL</t>
        </is>
      </c>
      <c r="E483" s="5" t="inlineStr">
        <is>
          <t>Clay bricks</t>
        </is>
      </c>
      <c r="F483" s="5" t="inlineStr">
        <is>
          <t>Class B engineering bricks; PC £ per thousand</t>
        </is>
      </c>
      <c r="G483" s="8" t="n"/>
      <c r="H483" s="8" t="n"/>
      <c r="I483" s="8" t="n">
        <v>741.6</v>
      </c>
    </row>
    <row r="484">
      <c r="A484" s="4" t="n">
        <v>5368</v>
      </c>
      <c r="B484" s="5" t="inlineStr">
        <is>
          <t>IMG_0139</t>
        </is>
      </c>
      <c r="C484" s="5" t="inlineStr">
        <is>
          <t>CLASS U: BRICKWORK, BLOCKWORK AND MASONRY</t>
        </is>
      </c>
      <c r="D484" s="5" t="inlineStr">
        <is>
          <t>RESOURCES - MATERIAL</t>
        </is>
      </c>
      <c r="E484" s="5" t="inlineStr">
        <is>
          <t>Concrete blocks to BS EN 771-3; Lightweight</t>
        </is>
      </c>
      <c r="F484" s="5" t="inlineStr">
        <is>
          <t>solid; 3.5 N/mm2; 100 mm thick</t>
        </is>
      </c>
      <c r="G484" s="8" t="n"/>
      <c r="H484" s="8" t="n"/>
      <c r="I484" s="8" t="n">
        <v>17.78</v>
      </c>
    </row>
    <row r="485">
      <c r="A485" s="4" t="n">
        <v>5369</v>
      </c>
      <c r="B485" s="5" t="inlineStr">
        <is>
          <t>IMG_0139</t>
        </is>
      </c>
      <c r="C485" s="5" t="inlineStr">
        <is>
          <t>CLASS U: BRICKWORK, BLOCKWORK AND MASONRY</t>
        </is>
      </c>
      <c r="D485" s="5" t="inlineStr">
        <is>
          <t>RESOURCES - MATERIAL</t>
        </is>
      </c>
      <c r="E485" s="5" t="inlineStr">
        <is>
          <t>Concrete blocks to BS EN 771-3; Lightweight</t>
        </is>
      </c>
      <c r="F485" s="5" t="inlineStr">
        <is>
          <t>solid; 3.5 N/mm2; 140 mm thick</t>
        </is>
      </c>
      <c r="G485" s="8" t="n"/>
      <c r="H485" s="8" t="n"/>
      <c r="I485" s="8" t="n">
        <v>21.95</v>
      </c>
    </row>
    <row r="486">
      <c r="A486" s="4" t="n">
        <v>5370</v>
      </c>
      <c r="B486" s="5" t="inlineStr">
        <is>
          <t>IMG_0139</t>
        </is>
      </c>
      <c r="C486" s="5" t="inlineStr">
        <is>
          <t>CLASS U: BRICKWORK, BLOCKWORK AND MASONRY</t>
        </is>
      </c>
      <c r="D486" s="5" t="inlineStr">
        <is>
          <t>RESOURCES - MATERIAL</t>
        </is>
      </c>
      <c r="E486" s="5" t="inlineStr">
        <is>
          <t>Concrete blocks to BS EN 771-3; Lightweight</t>
        </is>
      </c>
      <c r="F486" s="5" t="inlineStr">
        <is>
          <t>solid 3.5 N/mm2; 215 mm thick</t>
        </is>
      </c>
      <c r="G486" s="8" t="n"/>
      <c r="H486" s="8" t="n"/>
      <c r="I486" s="8" t="n">
        <v>31.63</v>
      </c>
    </row>
    <row r="487">
      <c r="A487" s="4" t="n">
        <v>5372</v>
      </c>
      <c r="B487" s="5" t="inlineStr">
        <is>
          <t>IMG_0139</t>
        </is>
      </c>
      <c r="C487" s="5" t="inlineStr">
        <is>
          <t>CLASS U: BRICKWORK, BLOCKWORK AND MASONRY</t>
        </is>
      </c>
      <c r="D487" s="5" t="inlineStr">
        <is>
          <t>RESOURCES - MATERIAL</t>
        </is>
      </c>
      <c r="E487" s="5" t="inlineStr">
        <is>
          <t>Dense</t>
        </is>
      </c>
      <c r="F487" s="5" t="inlineStr">
        <is>
          <t>solid 7 N/mm2; 100 mm thick</t>
        </is>
      </c>
      <c r="G487" s="8" t="n"/>
      <c r="H487" s="8" t="n"/>
      <c r="I487" s="8" t="n">
        <v>10.84</v>
      </c>
    </row>
    <row r="488">
      <c r="A488" s="4" t="n">
        <v>5373</v>
      </c>
      <c r="B488" s="5" t="inlineStr">
        <is>
          <t>IMG_0139</t>
        </is>
      </c>
      <c r="C488" s="5" t="inlineStr">
        <is>
          <t>CLASS U: BRICKWORK, BLOCKWORK AND MASONRY</t>
        </is>
      </c>
      <c r="D488" s="5" t="inlineStr">
        <is>
          <t>RESOURCES - MATERIAL</t>
        </is>
      </c>
      <c r="E488" s="5" t="inlineStr">
        <is>
          <t>Dense</t>
        </is>
      </c>
      <c r="F488" s="5" t="inlineStr">
        <is>
          <t>solid 7 N/mm2; 140 mm thick</t>
        </is>
      </c>
      <c r="G488" s="8" t="n"/>
      <c r="H488" s="8" t="n"/>
      <c r="I488" s="8" t="n">
        <v>17.43</v>
      </c>
    </row>
    <row r="489">
      <c r="A489" s="4" t="n">
        <v>5374</v>
      </c>
      <c r="B489" s="5" t="inlineStr">
        <is>
          <t>IMG_0139</t>
        </is>
      </c>
      <c r="C489" s="5" t="inlineStr">
        <is>
          <t>CLASS U: BRICKWORK, BLOCKWORK AND MASONRY</t>
        </is>
      </c>
      <c r="D489" s="5" t="inlineStr">
        <is>
          <t>RESOURCES - MATERIAL</t>
        </is>
      </c>
      <c r="E489" s="5" t="inlineStr">
        <is>
          <t>Dense</t>
        </is>
      </c>
      <c r="F489" s="5" t="inlineStr">
        <is>
          <t>solid 7 N/mm2; 215 mm thick</t>
        </is>
      </c>
      <c r="G489" s="8" t="n"/>
      <c r="H489" s="8" t="n"/>
      <c r="I489" s="8" t="n">
        <v>21.84</v>
      </c>
    </row>
    <row r="490">
      <c r="A490" s="4" t="n">
        <v>5377</v>
      </c>
      <c r="B490" s="5" t="inlineStr">
        <is>
          <t>IMG_0139</t>
        </is>
      </c>
      <c r="C490" s="5" t="inlineStr">
        <is>
          <t>CLASS U: BRICKWORK, BLOCKWORK AND MASONRY</t>
        </is>
      </c>
      <c r="D490" s="5" t="inlineStr">
        <is>
          <t>RESOURCES - PLANT</t>
        </is>
      </c>
      <c r="E490" s="5" t="inlineStr">
        <is>
          <t>Plant Resources Build-up Rate; Brickwork, blockwork and masonry</t>
        </is>
      </c>
      <c r="F490" s="5" t="inlineStr">
        <is>
          <t>2t dumper (50% of time)</t>
        </is>
      </c>
      <c r="G490" s="8" t="n"/>
      <c r="H490" s="8" t="n">
        <v>6.53</v>
      </c>
      <c r="I490" s="8" t="n"/>
    </row>
    <row r="491">
      <c r="A491" s="4" t="n">
        <v>5378</v>
      </c>
      <c r="B491" s="5" t="inlineStr">
        <is>
          <t>IMG_0139</t>
        </is>
      </c>
      <c r="C491" s="5" t="inlineStr">
        <is>
          <t>CLASS U: BRICKWORK, BLOCKWORK AND MASONRY</t>
        </is>
      </c>
      <c r="D491" s="5" t="inlineStr">
        <is>
          <t>RESOURCES - PLANT</t>
        </is>
      </c>
      <c r="E491" s="5" t="inlineStr">
        <is>
          <t>Plant Resources Build-up Rate; Brickwork, blockwork and masonry</t>
        </is>
      </c>
      <c r="F491" s="5" t="inlineStr">
        <is>
          <t>mixer (50% of time)</t>
        </is>
      </c>
      <c r="G491" s="8" t="n"/>
      <c r="H491" s="8" t="n">
        <v>2.28</v>
      </c>
      <c r="I491" s="8" t="n"/>
    </row>
    <row r="492">
      <c r="A492" s="4" t="n">
        <v>5379</v>
      </c>
      <c r="B492" s="5" t="inlineStr">
        <is>
          <t>IMG_0139</t>
        </is>
      </c>
      <c r="C492" s="5" t="inlineStr">
        <is>
          <t>CLASS U: BRICKWORK, BLOCKWORK AND MASONRY</t>
        </is>
      </c>
      <c r="D492" s="5" t="inlineStr">
        <is>
          <t>RESOURCES - PLANT</t>
        </is>
      </c>
      <c r="E492" s="5" t="inlineStr">
        <is>
          <t>Plant Resources Build-up Rate; Brickwork, blockwork and masonry</t>
        </is>
      </c>
      <c r="F492" s="5" t="inlineStr">
        <is>
          <t>small power tools</t>
        </is>
      </c>
      <c r="G492" s="8" t="n"/>
      <c r="H492" s="8" t="n">
        <v>1.16</v>
      </c>
      <c r="I492" s="8" t="n"/>
    </row>
    <row r="493">
      <c r="A493" s="4" t="n">
        <v>5380</v>
      </c>
      <c r="B493" s="5" t="inlineStr">
        <is>
          <t>IMG_0139</t>
        </is>
      </c>
      <c r="C493" s="5" t="inlineStr">
        <is>
          <t>CLASS U: BRICKWORK, BLOCKWORK AND MASONRY</t>
        </is>
      </c>
      <c r="D493" s="5" t="inlineStr">
        <is>
          <t>RESOURCES - PLANT</t>
        </is>
      </c>
      <c r="E493" s="5" t="inlineStr">
        <is>
          <t>Plant Resources Build-up Rate; Brickwork, blockwork and masonry</t>
        </is>
      </c>
      <c r="F493" s="5" t="inlineStr">
        <is>
          <t>scaffold, etc.</t>
        </is>
      </c>
      <c r="G493" s="8" t="n"/>
      <c r="H493" s="8" t="n">
        <v>1.9</v>
      </c>
      <c r="I493" s="8" t="n"/>
    </row>
    <row r="494">
      <c r="A494" s="42" t="n">
        <v>5381</v>
      </c>
      <c r="B494" s="43" t="inlineStr">
        <is>
          <t>IMG_0139</t>
        </is>
      </c>
      <c r="C494" s="43" t="inlineStr">
        <is>
          <t>CLASS U: BRICKWORK, BLOCKWORK AND MASONRY</t>
        </is>
      </c>
      <c r="D494" s="43" t="inlineStr">
        <is>
          <t>RESOURCES - PLANT</t>
        </is>
      </c>
      <c r="E494" s="43" t="inlineStr">
        <is>
          <t>Plant Resources Build-up Rate; Brickwork, blockwork and masonry</t>
        </is>
      </c>
      <c r="F494" s="43" t="inlineStr">
        <is>
          <t>Total Rate/Hour</t>
        </is>
      </c>
      <c r="G494" s="44" t="n"/>
      <c r="H494" s="44" t="n">
        <v>11.87</v>
      </c>
      <c r="I494" s="44" t="n"/>
    </row>
    <row r="495">
      <c r="A495" s="4" t="n">
        <v>5595</v>
      </c>
      <c r="B495" s="5" t="inlineStr">
        <is>
          <t>IMG_0145</t>
        </is>
      </c>
      <c r="C495" s="5" t="inlineStr">
        <is>
          <t>CLASS V: PAINTING</t>
        </is>
      </c>
      <c r="D495" s="5" t="inlineStr">
        <is>
          <t>RESOURCES - LABOUR</t>
        </is>
      </c>
      <c r="E495" s="5" t="inlineStr">
        <is>
          <t>Labour Resources Build-up Rate; Painting gang</t>
        </is>
      </c>
      <c r="F495" s="5" t="inlineStr">
        <is>
          <t>1 ganger (skill rate 3)</t>
        </is>
      </c>
      <c r="G495" s="8" t="n">
        <v>31.39</v>
      </c>
      <c r="H495" s="8" t="n"/>
      <c r="I495" s="8" t="n"/>
    </row>
    <row r="496">
      <c r="A496" s="4" t="n">
        <v>5596</v>
      </c>
      <c r="B496" s="5" t="inlineStr">
        <is>
          <t>IMG_0145</t>
        </is>
      </c>
      <c r="C496" s="5" t="inlineStr">
        <is>
          <t>CLASS V: PAINTING</t>
        </is>
      </c>
      <c r="D496" s="5" t="inlineStr">
        <is>
          <t>RESOURCES - LABOUR</t>
        </is>
      </c>
      <c r="E496" s="5" t="inlineStr">
        <is>
          <t>Labour Resources Build-up Rate; Painting gang</t>
        </is>
      </c>
      <c r="F496" s="5" t="inlineStr">
        <is>
          <t>3 painters (skill rate 3)</t>
        </is>
      </c>
      <c r="G496" s="8" t="n">
        <v>88.48</v>
      </c>
      <c r="H496" s="8" t="n"/>
      <c r="I496" s="8" t="n"/>
    </row>
    <row r="497">
      <c r="A497" s="4" t="n">
        <v>5597</v>
      </c>
      <c r="B497" s="5" t="inlineStr">
        <is>
          <t>IMG_0145</t>
        </is>
      </c>
      <c r="C497" s="5" t="inlineStr">
        <is>
          <t>CLASS V: PAINTING</t>
        </is>
      </c>
      <c r="D497" s="5" t="inlineStr">
        <is>
          <t>RESOURCES - LABOUR</t>
        </is>
      </c>
      <c r="E497" s="5" t="inlineStr">
        <is>
          <t>Labour Resources Build-up Rate; Painting gang</t>
        </is>
      </c>
      <c r="F497" s="5" t="inlineStr">
        <is>
          <t>1 unskilled operative (general)</t>
        </is>
      </c>
      <c r="G497" s="8" t="n">
        <v>24.68</v>
      </c>
      <c r="H497" s="8" t="n"/>
      <c r="I497" s="8" t="n"/>
    </row>
    <row r="498">
      <c r="A498" s="42" t="n">
        <v>5598</v>
      </c>
      <c r="B498" s="43" t="inlineStr">
        <is>
          <t>IMG_0145</t>
        </is>
      </c>
      <c r="C498" s="43" t="inlineStr">
        <is>
          <t>CLASS V: PAINTING</t>
        </is>
      </c>
      <c r="D498" s="43" t="inlineStr">
        <is>
          <t>RESOURCES - LABOUR</t>
        </is>
      </c>
      <c r="E498" s="43" t="inlineStr">
        <is>
          <t>Labour Resources Build-up Rate; Painting gang</t>
        </is>
      </c>
      <c r="F498" s="43" t="inlineStr">
        <is>
          <t>Total Gang Rate/Hour</t>
        </is>
      </c>
      <c r="G498" s="44" t="n">
        <v>135.64</v>
      </c>
      <c r="H498" s="44" t="n"/>
      <c r="I498" s="44" t="n"/>
    </row>
    <row r="499">
      <c r="A499" s="4" t="n">
        <v>5601</v>
      </c>
      <c r="B499" s="5" t="inlineStr">
        <is>
          <t>IMG_0145</t>
        </is>
      </c>
      <c r="C499" s="5" t="inlineStr">
        <is>
          <t>CLASS V: PAINTING</t>
        </is>
      </c>
      <c r="D499" s="5" t="inlineStr">
        <is>
          <t>RESOURCES - PLANT</t>
        </is>
      </c>
      <c r="E499" s="5" t="inlineStr">
        <is>
          <t>Plant Resources Build-up Rate; Painting</t>
        </is>
      </c>
      <c r="F499" s="5" t="inlineStr">
        <is>
          <t>1.5 KVA diesel generator</t>
        </is>
      </c>
      <c r="G499" s="8" t="n"/>
      <c r="H499" s="8" t="n">
        <v>5.76</v>
      </c>
      <c r="I499" s="8" t="n"/>
    </row>
    <row r="500">
      <c r="A500" s="4" t="n">
        <v>5602</v>
      </c>
      <c r="B500" s="5" t="inlineStr">
        <is>
          <t>IMG_0145</t>
        </is>
      </c>
      <c r="C500" s="5" t="inlineStr">
        <is>
          <t>CLASS V: PAINTING</t>
        </is>
      </c>
      <c r="D500" s="5" t="inlineStr">
        <is>
          <t>RESOURCES - PLANT</t>
        </is>
      </c>
      <c r="E500" s="5" t="inlineStr">
        <is>
          <t>Plant Resources Build-up Rate; Painting</t>
        </is>
      </c>
      <c r="F500" s="5" t="inlineStr">
        <is>
          <t>transformers/cables; junction box</t>
        </is>
      </c>
      <c r="G500" s="8" t="n"/>
      <c r="H500" s="8" t="n">
        <v>0.84</v>
      </c>
      <c r="I500" s="8" t="n"/>
    </row>
    <row r="501">
      <c r="A501" s="4" t="n">
        <v>5603</v>
      </c>
      <c r="B501" s="5" t="inlineStr">
        <is>
          <t>IMG_0145</t>
        </is>
      </c>
      <c r="C501" s="5" t="inlineStr">
        <is>
          <t>CLASS V: PAINTING</t>
        </is>
      </c>
      <c r="D501" s="5" t="inlineStr">
        <is>
          <t>RESOURCES - PLANT</t>
        </is>
      </c>
      <c r="E501" s="5" t="inlineStr">
        <is>
          <t>Plant Resources Build-up Rate; Painting</t>
        </is>
      </c>
      <c r="F501" s="5" t="inlineStr">
        <is>
          <t>125 mm electric grinder</t>
        </is>
      </c>
      <c r="G501" s="8" t="n"/>
      <c r="H501" s="8" t="n">
        <v>0.61</v>
      </c>
      <c r="I501" s="8" t="n"/>
    </row>
    <row r="502">
      <c r="A502" s="4" t="n">
        <v>5604</v>
      </c>
      <c r="B502" s="5" t="inlineStr">
        <is>
          <t>IMG_0145</t>
        </is>
      </c>
      <c r="C502" s="5" t="inlineStr">
        <is>
          <t>CLASS V: PAINTING</t>
        </is>
      </c>
      <c r="D502" s="5" t="inlineStr">
        <is>
          <t>RESOURCES - PLANT</t>
        </is>
      </c>
      <c r="E502" s="5" t="inlineStr">
        <is>
          <t>Plant Resources Build-up Rate; Painting</t>
        </is>
      </c>
      <c r="F502" s="5" t="inlineStr">
        <is>
          <t>transit van (50% of time)</t>
        </is>
      </c>
      <c r="G502" s="8" t="n"/>
      <c r="H502" s="8" t="n">
        <v>14.59</v>
      </c>
      <c r="I502" s="8" t="n"/>
    </row>
    <row r="503">
      <c r="A503" s="4" t="n">
        <v>5605</v>
      </c>
      <c r="B503" s="5" t="inlineStr">
        <is>
          <t>IMG_0145</t>
        </is>
      </c>
      <c r="C503" s="5" t="inlineStr">
        <is>
          <t>CLASS V: PAINTING</t>
        </is>
      </c>
      <c r="D503" s="5" t="inlineStr">
        <is>
          <t>RESOURCES - PLANT</t>
        </is>
      </c>
      <c r="E503" s="5" t="inlineStr">
        <is>
          <t>Plant Resources Build-up Rate; Painting</t>
        </is>
      </c>
      <c r="F503" s="5" t="inlineStr">
        <is>
          <t>ladders</t>
        </is>
      </c>
      <c r="G503" s="8" t="n"/>
      <c r="H503" s="8" t="n">
        <v>1.66</v>
      </c>
      <c r="I503" s="8" t="n"/>
    </row>
    <row r="504">
      <c r="A504" s="42" t="n">
        <v>5606</v>
      </c>
      <c r="B504" s="43" t="inlineStr">
        <is>
          <t>IMG_0145</t>
        </is>
      </c>
      <c r="C504" s="43" t="inlineStr">
        <is>
          <t>CLASS V: PAINTING</t>
        </is>
      </c>
      <c r="D504" s="43" t="inlineStr">
        <is>
          <t>RESOURCES - PLANT</t>
        </is>
      </c>
      <c r="E504" s="43" t="inlineStr">
        <is>
          <t>Plant Resources Build-up Rate; Painting</t>
        </is>
      </c>
      <c r="F504" s="43" t="inlineStr">
        <is>
          <t>Total Rate/Hour</t>
        </is>
      </c>
      <c r="G504" s="44" t="n"/>
      <c r="H504" s="44" t="n">
        <v>23.45</v>
      </c>
      <c r="I504" s="44" t="n"/>
    </row>
    <row r="505">
      <c r="A505" s="4" t="n">
        <v>5727</v>
      </c>
      <c r="B505" s="5" t="inlineStr">
        <is>
          <t>IMG_0148</t>
        </is>
      </c>
      <c r="C505" s="5" t="inlineStr">
        <is>
          <t>CLASS W: WATERPROOFING</t>
        </is>
      </c>
      <c r="D505" s="5" t="inlineStr">
        <is>
          <t>RESOURCES - LABOUR</t>
        </is>
      </c>
      <c r="E505" s="5" t="inlineStr">
        <is>
          <t>Damp-proofing gang (continued)</t>
        </is>
      </c>
      <c r="F505" s="5" t="inlineStr">
        <is>
          <t>1 skilled operative (skill rate 4)</t>
        </is>
      </c>
      <c r="G505" s="8" t="n">
        <v>29.49</v>
      </c>
      <c r="H505" s="8" t="n"/>
      <c r="I505" s="8" t="n"/>
    </row>
    <row r="506">
      <c r="A506" s="4" t="n">
        <v>5728</v>
      </c>
      <c r="B506" s="5" t="inlineStr">
        <is>
          <t>IMG_0148</t>
        </is>
      </c>
      <c r="C506" s="5" t="inlineStr">
        <is>
          <t>CLASS W: WATERPROOFING</t>
        </is>
      </c>
      <c r="D506" s="5" t="inlineStr">
        <is>
          <t>RESOURCES - LABOUR</t>
        </is>
      </c>
      <c r="E506" s="5" t="inlineStr">
        <is>
          <t>Damp-proofing gang (continued)</t>
        </is>
      </c>
      <c r="F506" s="5" t="inlineStr">
        <is>
          <t>1 unskilled labour (general)</t>
        </is>
      </c>
      <c r="G506" s="8" t="n">
        <v>24.68</v>
      </c>
      <c r="H506" s="8" t="n"/>
      <c r="I506" s="8" t="n"/>
    </row>
    <row r="507">
      <c r="A507" s="42" t="n">
        <v>5729</v>
      </c>
      <c r="B507" s="43" t="inlineStr">
        <is>
          <t>IMG_0148</t>
        </is>
      </c>
      <c r="C507" s="43" t="inlineStr">
        <is>
          <t>CLASS W: WATERPROOFING</t>
        </is>
      </c>
      <c r="D507" s="43" t="inlineStr">
        <is>
          <t>RESOURCES - LABOUR</t>
        </is>
      </c>
      <c r="E507" s="43" t="inlineStr">
        <is>
          <t>Damp-proofing gang (continued)</t>
        </is>
      </c>
      <c r="F507" s="43" t="inlineStr">
        <is>
          <t>Total Gang Rate/Hour</t>
        </is>
      </c>
      <c r="G507" s="44" t="n">
        <v>75.37</v>
      </c>
      <c r="H507" s="44" t="n"/>
      <c r="I507" s="44" t="n"/>
    </row>
    <row r="508">
      <c r="A508" s="4" t="n">
        <v>5731</v>
      </c>
      <c r="B508" s="5" t="inlineStr">
        <is>
          <t>IMG_0148</t>
        </is>
      </c>
      <c r="C508" s="5" t="inlineStr">
        <is>
          <t>CLASS W: WATERPROOFING</t>
        </is>
      </c>
      <c r="D508" s="5" t="inlineStr">
        <is>
          <t>RESOURCES - LABOUR</t>
        </is>
      </c>
      <c r="E508" s="5" t="inlineStr">
        <is>
          <t>Roofing - asphalt gang</t>
        </is>
      </c>
      <c r="F508" s="5" t="inlineStr">
        <is>
          <t>1 ganger/chargehand (skill rate 4) - 50% of time</t>
        </is>
      </c>
      <c r="G508" s="8" t="n">
        <v>15.69</v>
      </c>
      <c r="H508" s="8" t="n"/>
      <c r="I508" s="8" t="n"/>
    </row>
    <row r="509">
      <c r="A509" s="4" t="n">
        <v>5732</v>
      </c>
      <c r="B509" s="5" t="inlineStr">
        <is>
          <t>IMG_0148</t>
        </is>
      </c>
      <c r="C509" s="5" t="inlineStr">
        <is>
          <t>CLASS W: WATERPROOFING</t>
        </is>
      </c>
      <c r="D509" s="5" t="inlineStr">
        <is>
          <t>RESOURCES - LABOUR</t>
        </is>
      </c>
      <c r="E509" s="5" t="inlineStr">
        <is>
          <t>Roofing - asphalt gang</t>
        </is>
      </c>
      <c r="F509" s="5" t="inlineStr">
        <is>
          <t>1 skilled operative (skill rate 4)</t>
        </is>
      </c>
      <c r="G509" s="8" t="n">
        <v>29.49</v>
      </c>
      <c r="H509" s="8" t="n"/>
      <c r="I509" s="8" t="n"/>
    </row>
    <row r="510">
      <c r="A510" s="4" t="n">
        <v>5733</v>
      </c>
      <c r="B510" s="5" t="inlineStr">
        <is>
          <t>IMG_0148</t>
        </is>
      </c>
      <c r="C510" s="5" t="inlineStr">
        <is>
          <t>CLASS W: WATERPROOFING</t>
        </is>
      </c>
      <c r="D510" s="5" t="inlineStr">
        <is>
          <t>RESOURCES - LABOUR</t>
        </is>
      </c>
      <c r="E510" s="5" t="inlineStr">
        <is>
          <t>Roofing - asphalt gang</t>
        </is>
      </c>
      <c r="F510" s="5" t="inlineStr">
        <is>
          <t>1 unskilled operative (general)</t>
        </is>
      </c>
      <c r="G510" s="8" t="n">
        <v>24.68</v>
      </c>
      <c r="H510" s="8" t="n"/>
      <c r="I510" s="8" t="n"/>
    </row>
    <row r="511">
      <c r="A511" s="42" t="n">
        <v>5734</v>
      </c>
      <c r="B511" s="43" t="inlineStr">
        <is>
          <t>IMG_0148</t>
        </is>
      </c>
      <c r="C511" s="43" t="inlineStr">
        <is>
          <t>CLASS W: WATERPROOFING</t>
        </is>
      </c>
      <c r="D511" s="43" t="inlineStr">
        <is>
          <t>RESOURCES - LABOUR</t>
        </is>
      </c>
      <c r="E511" s="43" t="inlineStr">
        <is>
          <t>Roofing - asphalt gang</t>
        </is>
      </c>
      <c r="F511" s="43" t="inlineStr">
        <is>
          <t>Total Gang Rate/Hour</t>
        </is>
      </c>
      <c r="G511" s="44" t="n">
        <v>62.18</v>
      </c>
      <c r="H511" s="44" t="n"/>
      <c r="I511" s="44" t="n"/>
    </row>
    <row r="512">
      <c r="A512" s="4" t="n">
        <v>5736</v>
      </c>
      <c r="B512" s="5" t="inlineStr">
        <is>
          <t>IMG_0148</t>
        </is>
      </c>
      <c r="C512" s="5" t="inlineStr">
        <is>
          <t>CLASS W: WATERPROOFING</t>
        </is>
      </c>
      <c r="D512" s="5" t="inlineStr">
        <is>
          <t>RESOURCES - LABOUR</t>
        </is>
      </c>
      <c r="E512" s="5" t="inlineStr">
        <is>
          <t>Tanking - asphalt gang</t>
        </is>
      </c>
      <c r="F512" s="5" t="inlineStr">
        <is>
          <t>1 ganger/chargehand (skill rate 4) - 50% of time</t>
        </is>
      </c>
      <c r="G512" s="8" t="n">
        <v>15.69</v>
      </c>
      <c r="H512" s="8" t="n"/>
      <c r="I512" s="8" t="n"/>
    </row>
    <row r="513">
      <c r="A513" s="4" t="n">
        <v>5737</v>
      </c>
      <c r="B513" s="5" t="inlineStr">
        <is>
          <t>IMG_0148</t>
        </is>
      </c>
      <c r="C513" s="5" t="inlineStr">
        <is>
          <t>CLASS W: WATERPROOFING</t>
        </is>
      </c>
      <c r="D513" s="5" t="inlineStr">
        <is>
          <t>RESOURCES - LABOUR</t>
        </is>
      </c>
      <c r="E513" s="5" t="inlineStr">
        <is>
          <t>Tanking - asphalt gang</t>
        </is>
      </c>
      <c r="F513" s="5" t="inlineStr">
        <is>
          <t>1 skilled operative (skill rate 4)</t>
        </is>
      </c>
      <c r="G513" s="8" t="n">
        <v>29.49</v>
      </c>
      <c r="H513" s="8" t="n"/>
      <c r="I513" s="8" t="n"/>
    </row>
    <row r="514">
      <c r="A514" s="4" t="n">
        <v>5738</v>
      </c>
      <c r="B514" s="5" t="inlineStr">
        <is>
          <t>IMG_0148</t>
        </is>
      </c>
      <c r="C514" s="5" t="inlineStr">
        <is>
          <t>CLASS W: WATERPROOFING</t>
        </is>
      </c>
      <c r="D514" s="5" t="inlineStr">
        <is>
          <t>RESOURCES - LABOUR</t>
        </is>
      </c>
      <c r="E514" s="5" t="inlineStr">
        <is>
          <t>Tanking - asphalt gang</t>
        </is>
      </c>
      <c r="F514" s="5" t="inlineStr">
        <is>
          <t>1 unskilled operative (general)</t>
        </is>
      </c>
      <c r="G514" s="8" t="n">
        <v>24.68</v>
      </c>
      <c r="H514" s="8" t="n"/>
      <c r="I514" s="8" t="n"/>
    </row>
    <row r="515">
      <c r="A515" s="42" t="n">
        <v>5739</v>
      </c>
      <c r="B515" s="43" t="inlineStr">
        <is>
          <t>IMG_0148</t>
        </is>
      </c>
      <c r="C515" s="43" t="inlineStr">
        <is>
          <t>CLASS W: WATERPROOFING</t>
        </is>
      </c>
      <c r="D515" s="43" t="inlineStr">
        <is>
          <t>RESOURCES - LABOUR</t>
        </is>
      </c>
      <c r="E515" s="43" t="inlineStr">
        <is>
          <t>Tanking - asphalt gang</t>
        </is>
      </c>
      <c r="F515" s="43" t="inlineStr">
        <is>
          <t>Total Gang Rate/Hour</t>
        </is>
      </c>
      <c r="G515" s="44" t="n">
        <v>62.18</v>
      </c>
      <c r="H515" s="44" t="n"/>
      <c r="I515" s="44" t="n"/>
    </row>
    <row r="516">
      <c r="A516" s="4" t="n">
        <v>5741</v>
      </c>
      <c r="B516" s="5" t="inlineStr">
        <is>
          <t>IMG_0148</t>
        </is>
      </c>
      <c r="C516" s="5" t="inlineStr">
        <is>
          <t>CLASS W: WATERPROOFING</t>
        </is>
      </c>
      <c r="D516" s="5" t="inlineStr">
        <is>
          <t>RESOURCES - LABOUR</t>
        </is>
      </c>
      <c r="E516" s="5" t="inlineStr">
        <is>
          <t>Tanking - waterproof sheeting gang</t>
        </is>
      </c>
      <c r="F516" s="5" t="inlineStr">
        <is>
          <t>1 skilled operative (skill rate 4)</t>
        </is>
      </c>
      <c r="G516" s="8" t="n">
        <v>29.49</v>
      </c>
      <c r="H516" s="8" t="n"/>
      <c r="I516" s="8" t="n"/>
    </row>
    <row r="517">
      <c r="A517" s="42" t="n">
        <v>5742</v>
      </c>
      <c r="B517" s="43" t="inlineStr">
        <is>
          <t>IMG_0148</t>
        </is>
      </c>
      <c r="C517" s="43" t="inlineStr">
        <is>
          <t>CLASS W: WATERPROOFING</t>
        </is>
      </c>
      <c r="D517" s="43" t="inlineStr">
        <is>
          <t>RESOURCES - LABOUR</t>
        </is>
      </c>
      <c r="E517" s="43" t="inlineStr">
        <is>
          <t>Tanking - waterproof sheeting gang</t>
        </is>
      </c>
      <c r="F517" s="43" t="inlineStr">
        <is>
          <t>Total Gang Rate/Hour</t>
        </is>
      </c>
      <c r="G517" s="44" t="n">
        <v>24.86</v>
      </c>
      <c r="H517" s="44" t="n"/>
      <c r="I517" s="44" t="n"/>
    </row>
    <row r="518">
      <c r="A518" s="4" t="n">
        <v>5744</v>
      </c>
      <c r="B518" s="5" t="inlineStr">
        <is>
          <t>IMG_0148</t>
        </is>
      </c>
      <c r="C518" s="5" t="inlineStr">
        <is>
          <t>CLASS W: WATERPROOFING</t>
        </is>
      </c>
      <c r="D518" s="5" t="inlineStr">
        <is>
          <t>RESOURCES - LABOUR</t>
        </is>
      </c>
      <c r="E518" s="5" t="inlineStr">
        <is>
          <t>Tanking - rendering gang</t>
        </is>
      </c>
      <c r="F518" s="5" t="inlineStr">
        <is>
          <t>1 ganger/chargehand (skill rate 4)</t>
        </is>
      </c>
      <c r="G518" s="8" t="n">
        <v>31.39</v>
      </c>
      <c r="H518" s="8" t="n"/>
      <c r="I518" s="8" t="n"/>
    </row>
    <row r="519">
      <c r="A519" s="4" t="n">
        <v>5745</v>
      </c>
      <c r="B519" s="5" t="inlineStr">
        <is>
          <t>IMG_0148</t>
        </is>
      </c>
      <c r="C519" s="5" t="inlineStr">
        <is>
          <t>CLASS W: WATERPROOFING</t>
        </is>
      </c>
      <c r="D519" s="5" t="inlineStr">
        <is>
          <t>RESOURCES - LABOUR</t>
        </is>
      </c>
      <c r="E519" s="5" t="inlineStr">
        <is>
          <t>Tanking - rendering gang</t>
        </is>
      </c>
      <c r="F519" s="5" t="inlineStr">
        <is>
          <t>1 skilled operative (skill rate 4)</t>
        </is>
      </c>
      <c r="G519" s="8" t="n">
        <v>29.49</v>
      </c>
      <c r="H519" s="8" t="n"/>
      <c r="I519" s="8" t="n"/>
    </row>
    <row r="520">
      <c r="A520" s="4" t="n">
        <v>5746</v>
      </c>
      <c r="B520" s="5" t="inlineStr">
        <is>
          <t>IMG_0148</t>
        </is>
      </c>
      <c r="C520" s="5" t="inlineStr">
        <is>
          <t>CLASS W: WATERPROOFING</t>
        </is>
      </c>
      <c r="D520" s="5" t="inlineStr">
        <is>
          <t>RESOURCES - LABOUR</t>
        </is>
      </c>
      <c r="E520" s="5" t="inlineStr">
        <is>
          <t>Tanking - rendering gang</t>
        </is>
      </c>
      <c r="F520" s="5" t="inlineStr">
        <is>
          <t>1 unskilled operative (generally)</t>
        </is>
      </c>
      <c r="G520" s="8" t="n">
        <v>24.68</v>
      </c>
      <c r="H520" s="8" t="n"/>
      <c r="I520" s="8" t="n"/>
    </row>
    <row r="521">
      <c r="A521" s="42" t="n">
        <v>5747</v>
      </c>
      <c r="B521" s="43" t="inlineStr">
        <is>
          <t>IMG_0148</t>
        </is>
      </c>
      <c r="C521" s="43" t="inlineStr">
        <is>
          <t>CLASS W: WATERPROOFING</t>
        </is>
      </c>
      <c r="D521" s="43" t="inlineStr">
        <is>
          <t>RESOURCES - LABOUR</t>
        </is>
      </c>
      <c r="E521" s="43" t="inlineStr">
        <is>
          <t>Tanking - rendering gang</t>
        </is>
      </c>
      <c r="F521" s="43" t="inlineStr">
        <is>
          <t>Total Gang Rate/Hour</t>
        </is>
      </c>
      <c r="G521" s="44" t="n">
        <v>75.37</v>
      </c>
      <c r="H521" s="44" t="n"/>
      <c r="I521" s="44" t="n"/>
    </row>
    <row r="522">
      <c r="A522" s="4" t="n">
        <v>5749</v>
      </c>
      <c r="B522" s="5" t="inlineStr">
        <is>
          <t>IMG_0148</t>
        </is>
      </c>
      <c r="C522" s="5" t="inlineStr">
        <is>
          <t>CLASS W: WATERPROOFING</t>
        </is>
      </c>
      <c r="D522" s="5" t="inlineStr">
        <is>
          <t>RESOURCES - LABOUR</t>
        </is>
      </c>
      <c r="E522" s="5" t="inlineStr">
        <is>
          <t>Protective layers - flexible sheeting, sand and pea gravel coverings gang</t>
        </is>
      </c>
      <c r="F522" s="5" t="inlineStr">
        <is>
          <t>1 unskilled operative (generally)</t>
        </is>
      </c>
      <c r="G522" s="8" t="n">
        <v>24.68</v>
      </c>
      <c r="H522" s="8" t="n"/>
      <c r="I522" s="8" t="n"/>
    </row>
    <row r="523">
      <c r="A523" s="42" t="n">
        <v>5750</v>
      </c>
      <c r="B523" s="43" t="inlineStr">
        <is>
          <t>IMG_0148</t>
        </is>
      </c>
      <c r="C523" s="43" t="inlineStr">
        <is>
          <t>CLASS W: WATERPROOFING</t>
        </is>
      </c>
      <c r="D523" s="43" t="inlineStr">
        <is>
          <t>RESOURCES - LABOUR</t>
        </is>
      </c>
      <c r="E523" s="43" t="inlineStr">
        <is>
          <t>Protective layers - flexible sheeting, sand and pea gravel coverings gang</t>
        </is>
      </c>
      <c r="F523" s="43" t="inlineStr">
        <is>
          <t>Total Gang Rate/Hour</t>
        </is>
      </c>
      <c r="G523" s="44" t="n">
        <v>24.68</v>
      </c>
      <c r="H523" s="44" t="n"/>
      <c r="I523" s="44" t="n"/>
    </row>
    <row r="524">
      <c r="A524" s="4" t="n">
        <v>5752</v>
      </c>
      <c r="B524" s="5" t="inlineStr">
        <is>
          <t>IMG_0148</t>
        </is>
      </c>
      <c r="C524" s="5" t="inlineStr">
        <is>
          <t>CLASS W: WATERPROOFING</t>
        </is>
      </c>
      <c r="D524" s="5" t="inlineStr">
        <is>
          <t>RESOURCES - LABOUR</t>
        </is>
      </c>
      <c r="E524" s="5" t="inlineStr">
        <is>
          <t>Protective layers - screed gang</t>
        </is>
      </c>
      <c r="F524" s="5" t="inlineStr">
        <is>
          <t>1 ganger/chargehand (skill rate 4)</t>
        </is>
      </c>
      <c r="G524" s="8" t="n">
        <v>31.39</v>
      </c>
      <c r="H524" s="8" t="n"/>
      <c r="I524" s="8" t="n"/>
    </row>
    <row r="525">
      <c r="A525" s="4" t="n">
        <v>5753</v>
      </c>
      <c r="B525" s="5" t="inlineStr">
        <is>
          <t>IMG_0148</t>
        </is>
      </c>
      <c r="C525" s="5" t="inlineStr">
        <is>
          <t>CLASS W: WATERPROOFING</t>
        </is>
      </c>
      <c r="D525" s="5" t="inlineStr">
        <is>
          <t>RESOURCES - LABOUR</t>
        </is>
      </c>
      <c r="E525" s="5" t="inlineStr">
        <is>
          <t>Protective layers - screed gang</t>
        </is>
      </c>
      <c r="F525" s="5" t="inlineStr">
        <is>
          <t>1 skilled operative (skill rate 4)</t>
        </is>
      </c>
      <c r="G525" s="8" t="n">
        <v>29.49</v>
      </c>
      <c r="H525" s="8" t="n"/>
      <c r="I525" s="8" t="n"/>
    </row>
    <row r="526">
      <c r="A526" s="4" t="n">
        <v>5754</v>
      </c>
      <c r="B526" s="5" t="inlineStr">
        <is>
          <t>IMG_0148</t>
        </is>
      </c>
      <c r="C526" s="5" t="inlineStr">
        <is>
          <t>CLASS W: WATERPROOFING</t>
        </is>
      </c>
      <c r="D526" s="5" t="inlineStr">
        <is>
          <t>RESOURCES - LABOUR</t>
        </is>
      </c>
      <c r="E526" s="5" t="inlineStr">
        <is>
          <t>Protective layers - screed gang</t>
        </is>
      </c>
      <c r="F526" s="5" t="inlineStr">
        <is>
          <t>1 unskilled operative (general)</t>
        </is>
      </c>
      <c r="G526" s="8" t="n">
        <v>24.68</v>
      </c>
      <c r="H526" s="8" t="n"/>
      <c r="I526" s="8" t="n"/>
    </row>
    <row r="527">
      <c r="A527" s="42" t="n">
        <v>5755</v>
      </c>
      <c r="B527" s="43" t="inlineStr">
        <is>
          <t>IMG_0148</t>
        </is>
      </c>
      <c r="C527" s="43" t="inlineStr">
        <is>
          <t>CLASS W: WATERPROOFING</t>
        </is>
      </c>
      <c r="D527" s="43" t="inlineStr">
        <is>
          <t>RESOURCES - LABOUR</t>
        </is>
      </c>
      <c r="E527" s="43" t="inlineStr">
        <is>
          <t>Protective layers - screed gang</t>
        </is>
      </c>
      <c r="F527" s="43" t="inlineStr">
        <is>
          <t>Total Gang Rate/Hour</t>
        </is>
      </c>
      <c r="G527" s="44" t="n">
        <v>85.56</v>
      </c>
      <c r="H527" s="44" t="n"/>
      <c r="I527" s="44" t="n"/>
    </row>
    <row r="528">
      <c r="A528" s="4" t="n">
        <v>5757</v>
      </c>
      <c r="B528" s="5" t="inlineStr">
        <is>
          <t>IMG_0148</t>
        </is>
      </c>
      <c r="C528" s="5" t="inlineStr">
        <is>
          <t>CLASS W: WATERPROOFING</t>
        </is>
      </c>
      <c r="D528" s="5" t="inlineStr">
        <is>
          <t>RESOURCES - LABOUR</t>
        </is>
      </c>
      <c r="E528" s="5" t="inlineStr">
        <is>
          <t>Sprayed or brushed waterproofing gang</t>
        </is>
      </c>
      <c r="F528" s="5" t="inlineStr">
        <is>
          <t>1 ganger/chargehand (skill rate 4) - 30% of time</t>
        </is>
      </c>
      <c r="G528" s="8" t="n">
        <v>9.42</v>
      </c>
      <c r="H528" s="8" t="n"/>
      <c r="I528" s="8" t="n"/>
    </row>
    <row r="529">
      <c r="A529" s="4" t="n">
        <v>5758</v>
      </c>
      <c r="B529" s="5" t="inlineStr">
        <is>
          <t>IMG_0148</t>
        </is>
      </c>
      <c r="C529" s="5" t="inlineStr">
        <is>
          <t>CLASS W: WATERPROOFING</t>
        </is>
      </c>
      <c r="D529" s="5" t="inlineStr">
        <is>
          <t>RESOURCES - LABOUR</t>
        </is>
      </c>
      <c r="E529" s="5" t="inlineStr">
        <is>
          <t>Sprayed or brushed waterproofing gang</t>
        </is>
      </c>
      <c r="F529" s="5" t="inlineStr">
        <is>
          <t>1 skilled operative (skill rate 4)</t>
        </is>
      </c>
      <c r="G529" s="8" t="n">
        <v>29.49</v>
      </c>
      <c r="H529" s="8" t="n"/>
      <c r="I529" s="8" t="n"/>
    </row>
    <row r="530">
      <c r="A530" s="42" t="n">
        <v>5759</v>
      </c>
      <c r="B530" s="43" t="inlineStr">
        <is>
          <t>IMG_0148</t>
        </is>
      </c>
      <c r="C530" s="43" t="inlineStr">
        <is>
          <t>CLASS W: WATERPROOFING</t>
        </is>
      </c>
      <c r="D530" s="43" t="inlineStr">
        <is>
          <t>RESOURCES - LABOUR</t>
        </is>
      </c>
      <c r="E530" s="43" t="inlineStr">
        <is>
          <t>Sprayed or brushed waterproofing gang</t>
        </is>
      </c>
      <c r="F530" s="43" t="inlineStr">
        <is>
          <t>Total Gang Rate/Hour</t>
        </is>
      </c>
      <c r="G530" s="44" t="n">
        <v>32.77</v>
      </c>
      <c r="H530" s="44" t="n"/>
      <c r="I530" s="44" t="n"/>
    </row>
    <row r="531">
      <c r="A531" s="4" t="n">
        <v>5762</v>
      </c>
      <c r="B531" s="5" t="inlineStr">
        <is>
          <t>IMG_0148</t>
        </is>
      </c>
      <c r="C531" s="5" t="inlineStr">
        <is>
          <t>CLASS W: WATERPROOFING</t>
        </is>
      </c>
      <c r="D531" s="5" t="inlineStr">
        <is>
          <t>RESOURCES - PLANT</t>
        </is>
      </c>
      <c r="E531" s="5" t="inlineStr">
        <is>
          <t>Plant Resources Build-up Rate; Damp-proofing</t>
        </is>
      </c>
      <c r="F531" s="5" t="inlineStr">
        <is>
          <t>2t dumper (50% of time)</t>
        </is>
      </c>
      <c r="G531" s="8" t="n"/>
      <c r="H531" s="8" t="n">
        <v>6.53</v>
      </c>
      <c r="I531" s="8" t="n"/>
    </row>
    <row r="532">
      <c r="A532" s="42" t="n">
        <v>5763</v>
      </c>
      <c r="B532" s="43" t="inlineStr">
        <is>
          <t>IMG_0148</t>
        </is>
      </c>
      <c r="C532" s="43" t="inlineStr">
        <is>
          <t>CLASS W: WATERPROOFING</t>
        </is>
      </c>
      <c r="D532" s="43" t="inlineStr">
        <is>
          <t>RESOURCES - PLANT</t>
        </is>
      </c>
      <c r="E532" s="43" t="inlineStr">
        <is>
          <t>Plant Resources Build-up Rate; Damp-proofing</t>
        </is>
      </c>
      <c r="F532" s="43" t="inlineStr">
        <is>
          <t>Total Rate/Hour</t>
        </is>
      </c>
      <c r="G532" s="44" t="n"/>
      <c r="H532" s="44" t="n">
        <v>6.53</v>
      </c>
      <c r="I532" s="44" t="n"/>
    </row>
    <row r="533">
      <c r="A533" s="4" t="n">
        <v>5765</v>
      </c>
      <c r="B533" s="5" t="inlineStr">
        <is>
          <t>IMG_0148</t>
        </is>
      </c>
      <c r="C533" s="5" t="inlineStr">
        <is>
          <t>CLASS W: WATERPROOFING</t>
        </is>
      </c>
      <c r="D533" s="5" t="inlineStr">
        <is>
          <t>RESOURCES - PLANT</t>
        </is>
      </c>
      <c r="E533" s="5" t="inlineStr">
        <is>
          <t>Tanking - asphalt</t>
        </is>
      </c>
      <c r="F533" s="5" t="inlineStr">
        <is>
          <t>tar boiler (50% of time)</t>
        </is>
      </c>
      <c r="G533" s="8" t="n"/>
      <c r="H533" s="8" t="n">
        <v>26.73</v>
      </c>
      <c r="I533" s="8" t="n"/>
    </row>
    <row r="534">
      <c r="A534" s="4" t="n">
        <v>5766</v>
      </c>
      <c r="B534" s="5" t="inlineStr">
        <is>
          <t>IMG_0148</t>
        </is>
      </c>
      <c r="C534" s="5" t="inlineStr">
        <is>
          <t>CLASS W: WATERPROOFING</t>
        </is>
      </c>
      <c r="D534" s="5" t="inlineStr">
        <is>
          <t>RESOURCES - PLANT</t>
        </is>
      </c>
      <c r="E534" s="5" t="inlineStr">
        <is>
          <t>Tanking - asphalt</t>
        </is>
      </c>
      <c r="F534" s="5" t="inlineStr">
        <is>
          <t>2t dumper (50% of time)</t>
        </is>
      </c>
      <c r="G534" s="8" t="n"/>
      <c r="H534" s="8" t="n">
        <v>6.53</v>
      </c>
      <c r="I534" s="8" t="n"/>
    </row>
    <row r="535">
      <c r="A535" s="42" t="n">
        <v>5767</v>
      </c>
      <c r="B535" s="43" t="inlineStr">
        <is>
          <t>IMG_0148</t>
        </is>
      </c>
      <c r="C535" s="43" t="inlineStr">
        <is>
          <t>CLASS W: WATERPROOFING</t>
        </is>
      </c>
      <c r="D535" s="43" t="inlineStr">
        <is>
          <t>RESOURCES - PLANT</t>
        </is>
      </c>
      <c r="E535" s="43" t="inlineStr">
        <is>
          <t>Tanking - asphalt</t>
        </is>
      </c>
      <c r="F535" s="43" t="inlineStr">
        <is>
          <t>Total Rate/Hour</t>
        </is>
      </c>
      <c r="G535" s="44" t="n"/>
      <c r="H535" s="44" t="n">
        <v>33.26</v>
      </c>
      <c r="I535" s="44" t="n"/>
    </row>
    <row r="536">
      <c r="A536" s="4" t="n">
        <v>5769</v>
      </c>
      <c r="B536" s="5" t="inlineStr">
        <is>
          <t>IMG_0148</t>
        </is>
      </c>
      <c r="C536" s="5" t="inlineStr">
        <is>
          <t>CLASS W: WATERPROOFING</t>
        </is>
      </c>
      <c r="D536" s="5" t="inlineStr">
        <is>
          <t>RESOURCES - PLANT</t>
        </is>
      </c>
      <c r="E536" s="5" t="inlineStr">
        <is>
          <t>Tanking - waterproof sheeting</t>
        </is>
      </c>
      <c r="F536" s="5" t="inlineStr">
        <is>
          <t>2t dumper (50% of time)</t>
        </is>
      </c>
      <c r="G536" s="8" t="n"/>
      <c r="H536" s="8" t="n">
        <v>6.53</v>
      </c>
      <c r="I536" s="8" t="n"/>
    </row>
    <row r="537">
      <c r="A537" s="42" t="n">
        <v>5770</v>
      </c>
      <c r="B537" s="43" t="inlineStr">
        <is>
          <t>IMG_0148</t>
        </is>
      </c>
      <c r="C537" s="43" t="inlineStr">
        <is>
          <t>CLASS W: WATERPROOFING</t>
        </is>
      </c>
      <c r="D537" s="43" t="inlineStr">
        <is>
          <t>RESOURCES - PLANT</t>
        </is>
      </c>
      <c r="E537" s="43" t="inlineStr">
        <is>
          <t>Tanking - waterproof sheeting</t>
        </is>
      </c>
      <c r="F537" s="43" t="inlineStr">
        <is>
          <t>Total Rate/Hour</t>
        </is>
      </c>
      <c r="G537" s="44" t="n"/>
      <c r="H537" s="44" t="n">
        <v>6.53</v>
      </c>
      <c r="I537" s="44" t="n"/>
    </row>
    <row r="538">
      <c r="A538" s="4" t="n">
        <v>5772</v>
      </c>
      <c r="B538" s="5" t="inlineStr">
        <is>
          <t>IMG_0148</t>
        </is>
      </c>
      <c r="C538" s="5" t="inlineStr">
        <is>
          <t>CLASS W: WATERPROOFING</t>
        </is>
      </c>
      <c r="D538" s="5" t="inlineStr">
        <is>
          <t>RESOURCES - PLANT</t>
        </is>
      </c>
      <c r="E538" s="5" t="inlineStr">
        <is>
          <t>Tanking - rendering</t>
        </is>
      </c>
      <c r="F538" s="5" t="inlineStr">
        <is>
          <t>mixer</t>
        </is>
      </c>
      <c r="G538" s="8" t="n"/>
      <c r="H538" s="8" t="n">
        <v>84.56</v>
      </c>
      <c r="I538" s="8" t="n"/>
    </row>
    <row r="539">
      <c r="A539" s="4" t="n">
        <v>5773</v>
      </c>
      <c r="B539" s="5" t="inlineStr">
        <is>
          <t>IMG_0148</t>
        </is>
      </c>
      <c r="C539" s="5" t="inlineStr">
        <is>
          <t>CLASS W: WATERPROOFING</t>
        </is>
      </c>
      <c r="D539" s="5" t="inlineStr">
        <is>
          <t>RESOURCES - PLANT</t>
        </is>
      </c>
      <c r="E539" s="5" t="inlineStr">
        <is>
          <t>Tanking - rendering</t>
        </is>
      </c>
      <c r="F539" s="5" t="inlineStr">
        <is>
          <t>2t dumper (50% time)</t>
        </is>
      </c>
      <c r="G539" s="8" t="n"/>
      <c r="H539" s="8" t="n">
        <v>6.53</v>
      </c>
      <c r="I539" s="8" t="n"/>
    </row>
    <row r="540">
      <c r="A540" s="42" t="n">
        <v>5774</v>
      </c>
      <c r="B540" s="43" t="inlineStr">
        <is>
          <t>IMG_0148</t>
        </is>
      </c>
      <c r="C540" s="43" t="inlineStr">
        <is>
          <t>CLASS W: WATERPROOFING</t>
        </is>
      </c>
      <c r="D540" s="43" t="inlineStr">
        <is>
          <t>RESOURCES - PLANT</t>
        </is>
      </c>
      <c r="E540" s="43" t="inlineStr">
        <is>
          <t>Tanking - rendering</t>
        </is>
      </c>
      <c r="F540" s="43" t="inlineStr">
        <is>
          <t>Total Rate/Hour</t>
        </is>
      </c>
      <c r="G540" s="44" t="n"/>
      <c r="H540" s="44" t="n">
        <v>91.09</v>
      </c>
      <c r="I540" s="44" t="n"/>
    </row>
    <row r="541">
      <c r="A541" s="4" t="n">
        <v>5776</v>
      </c>
      <c r="B541" s="5" t="inlineStr">
        <is>
          <t>IMG_0148</t>
        </is>
      </c>
      <c r="C541" s="5" t="inlineStr">
        <is>
          <t>CLASS W: WATERPROOFING</t>
        </is>
      </c>
      <c r="D541" s="5" t="inlineStr">
        <is>
          <t>RESOURCES - PLANT</t>
        </is>
      </c>
      <c r="E541" s="5" t="inlineStr">
        <is>
          <t>Protective layers - flexible sheeting, sand and pea gravel coverings</t>
        </is>
      </c>
      <c r="F541" s="5" t="inlineStr">
        <is>
          <t>2t dumper (50% of time)</t>
        </is>
      </c>
      <c r="G541" s="8" t="n"/>
      <c r="H541" s="8" t="n">
        <v>6.53</v>
      </c>
      <c r="I541" s="8" t="n"/>
    </row>
    <row r="542">
      <c r="A542" s="42" t="n">
        <v>5777</v>
      </c>
      <c r="B542" s="43" t="inlineStr">
        <is>
          <t>IMG_0148</t>
        </is>
      </c>
      <c r="C542" s="43" t="inlineStr">
        <is>
          <t>CLASS W: WATERPROOFING</t>
        </is>
      </c>
      <c r="D542" s="43" t="inlineStr">
        <is>
          <t>RESOURCES - PLANT</t>
        </is>
      </c>
      <c r="E542" s="43" t="inlineStr">
        <is>
          <t>Protective layers - flexible sheeting, sand and pea gravel coverings</t>
        </is>
      </c>
      <c r="F542" s="43" t="inlineStr">
        <is>
          <t>Total Rate/Hour</t>
        </is>
      </c>
      <c r="G542" s="44" t="n"/>
      <c r="H542" s="44" t="n">
        <v>6.53</v>
      </c>
      <c r="I542" s="44" t="n"/>
    </row>
    <row r="543">
      <c r="A543" s="4" t="n">
        <v>5779</v>
      </c>
      <c r="B543" s="5" t="inlineStr">
        <is>
          <t>IMG_0148</t>
        </is>
      </c>
      <c r="C543" s="5" t="inlineStr">
        <is>
          <t>CLASS W: WATERPROOFING</t>
        </is>
      </c>
      <c r="D543" s="5" t="inlineStr">
        <is>
          <t>RESOURCES - PLANT</t>
        </is>
      </c>
      <c r="E543" s="5" t="inlineStr">
        <is>
          <t>Protective layers - screed</t>
        </is>
      </c>
      <c r="F543" s="5" t="inlineStr">
        <is>
          <t>mixer</t>
        </is>
      </c>
      <c r="G543" s="8" t="n"/>
      <c r="H543" s="8" t="n">
        <v>84.56</v>
      </c>
      <c r="I543" s="8" t="n"/>
    </row>
    <row r="544">
      <c r="A544" s="4" t="n">
        <v>5780</v>
      </c>
      <c r="B544" s="5" t="inlineStr">
        <is>
          <t>IMG_0148</t>
        </is>
      </c>
      <c r="C544" s="5" t="inlineStr">
        <is>
          <t>CLASS W: WATERPROOFING</t>
        </is>
      </c>
      <c r="D544" s="5" t="inlineStr">
        <is>
          <t>RESOURCES - PLANT</t>
        </is>
      </c>
      <c r="E544" s="5" t="inlineStr">
        <is>
          <t>Protective layers - screed</t>
        </is>
      </c>
      <c r="F544" s="5" t="inlineStr">
        <is>
          <t>2t dumper (50% time)</t>
        </is>
      </c>
      <c r="G544" s="8" t="n"/>
      <c r="H544" s="8" t="n">
        <v>6.53</v>
      </c>
      <c r="I544" s="8" t="n"/>
    </row>
    <row r="545">
      <c r="A545" s="42" t="n">
        <v>5781</v>
      </c>
      <c r="B545" s="43" t="inlineStr">
        <is>
          <t>IMG_0148</t>
        </is>
      </c>
      <c r="C545" s="43" t="inlineStr">
        <is>
          <t>CLASS W: WATERPROOFING</t>
        </is>
      </c>
      <c r="D545" s="43" t="inlineStr">
        <is>
          <t>RESOURCES - PLANT</t>
        </is>
      </c>
      <c r="E545" s="43" t="inlineStr">
        <is>
          <t>Protective layers - screed</t>
        </is>
      </c>
      <c r="F545" s="43" t="inlineStr">
        <is>
          <t>Total Rate/Hour</t>
        </is>
      </c>
      <c r="G545" s="44" t="n"/>
      <c r="H545" s="44" t="n">
        <v>91.09</v>
      </c>
      <c r="I545" s="44" t="n"/>
    </row>
    <row r="546">
      <c r="A546" s="4" t="n">
        <v>5783</v>
      </c>
      <c r="B546" s="5" t="inlineStr">
        <is>
          <t>IMG_0148</t>
        </is>
      </c>
      <c r="C546" s="5" t="inlineStr">
        <is>
          <t>CLASS W: WATERPROOFING</t>
        </is>
      </c>
      <c r="D546" s="5" t="inlineStr">
        <is>
          <t>RESOURCES - PLANT</t>
        </is>
      </c>
      <c r="E546" s="5" t="inlineStr">
        <is>
          <t>Sprayed or brushed waterproofing</t>
        </is>
      </c>
      <c r="F546" s="5" t="inlineStr">
        <is>
          <t>2t dumper (50% of time)</t>
        </is>
      </c>
      <c r="G546" s="8" t="n"/>
      <c r="H546" s="8" t="n">
        <v>6.53</v>
      </c>
      <c r="I546" s="8" t="n"/>
    </row>
    <row r="547">
      <c r="A547" s="42" t="n">
        <v>5784</v>
      </c>
      <c r="B547" s="43" t="inlineStr">
        <is>
          <t>IMG_0148</t>
        </is>
      </c>
      <c r="C547" s="43" t="inlineStr">
        <is>
          <t>CLASS W: WATERPROOFING</t>
        </is>
      </c>
      <c r="D547" s="43" t="inlineStr">
        <is>
          <t>RESOURCES - PLANT</t>
        </is>
      </c>
      <c r="E547" s="43" t="inlineStr">
        <is>
          <t>Sprayed or brushed waterproofing</t>
        </is>
      </c>
      <c r="F547" s="43" t="inlineStr">
        <is>
          <t>Total Rate/Hour</t>
        </is>
      </c>
      <c r="G547" s="44" t="n"/>
      <c r="H547" s="44" t="n">
        <v>6.53</v>
      </c>
      <c r="I547" s="44" t="n"/>
    </row>
  </sheetData>
  <autoFilter ref="A4:I5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7"/>
  <sheetViews>
    <sheetView showGridLines="0" workbookViewId="0">
      <pane ySplit="4" topLeftCell="A5" activePane="bottomLeft" state="frozen"/>
      <selection pane="bottomLeft" activeCell="A1" sqref="A1"/>
    </sheetView>
  </sheetViews>
  <sheetFormatPr baseColWidth="8" defaultRowHeight="15"/>
  <cols>
    <col width="7" customWidth="1" min="1" max="1"/>
    <col width="11" customWidth="1" min="2" max="2"/>
    <col width="30" customWidth="1" min="3" max="3"/>
    <col width="30" customWidth="1" min="4" max="4"/>
    <col width="42" customWidth="1" min="5" max="5"/>
    <col width="56" customWidth="1" min="6" max="6"/>
    <col width="8" customWidth="1" min="7" max="7"/>
    <col width="9" customWidth="1" min="8" max="8"/>
    <col width="12" customWidth="1" min="9" max="9"/>
    <col width="12" customWidth="1" min="10" max="10"/>
    <col width="12" customWidth="1" min="11" max="11"/>
    <col width="14" customWidth="1" min="12" max="12"/>
  </cols>
  <sheetData>
    <row r="1">
      <c r="A1" s="1" t="inlineStr">
        <is>
          <t>Preliminaries — CESMM Class A: General Items (EXCLUDED from the derivation)</t>
        </is>
      </c>
    </row>
    <row r="2">
      <c r="A2" s="2" t="inlineStr">
        <is>
          <t>Excluded as requested. Retained here unchanged so they can be brought back in later — preliminaries are normally priced as a project-level allowance rather than built into unit rates.</t>
        </is>
      </c>
    </row>
    <row r="4" ht="30" customHeight="1">
      <c r="A4" s="3" t="inlineStr">
        <is>
          <t>Ref</t>
        </is>
      </c>
      <c r="B4" s="3" t="inlineStr">
        <is>
          <t>Page</t>
        </is>
      </c>
      <c r="C4" s="3" t="inlineStr">
        <is>
          <t>Class</t>
        </is>
      </c>
      <c r="D4" s="3" t="inlineStr">
        <is>
          <t>Section</t>
        </is>
      </c>
      <c r="E4" s="3" t="inlineStr">
        <is>
          <t>Sub-heading</t>
        </is>
      </c>
      <c r="F4" s="3" t="inlineStr">
        <is>
          <t>Item</t>
        </is>
      </c>
      <c r="G4" s="3" t="inlineStr">
        <is>
          <t>Unit</t>
        </is>
      </c>
      <c r="H4" s="3" t="inlineStr">
        <is>
          <t>Gang hrs</t>
        </is>
      </c>
      <c r="I4" s="3" t="inlineStr">
        <is>
          <t>Labour £</t>
        </is>
      </c>
      <c r="J4" s="3" t="inlineStr">
        <is>
          <t>Plant £</t>
        </is>
      </c>
      <c r="K4" s="3" t="inlineStr">
        <is>
          <t>Material £</t>
        </is>
      </c>
      <c r="L4" s="3" t="inlineStr">
        <is>
          <t>Published rate £</t>
        </is>
      </c>
    </row>
    <row r="5">
      <c r="A5" s="4" t="n">
        <v>19</v>
      </c>
      <c r="B5" s="5" t="inlineStr">
        <is>
          <t>IMG_0065</t>
        </is>
      </c>
      <c r="C5" s="5" t="inlineStr">
        <is>
          <t>CLASS A: GENERAL ITEMS</t>
        </is>
      </c>
      <c r="D5" s="5" t="inlineStr">
        <is>
          <t>03 METHOD RELATED CHARGES</t>
        </is>
      </c>
      <c r="E5" s="36" t="inlineStr">
        <is>
          <t>Transport vehicles</t>
        </is>
      </c>
      <c r="F5" s="36" t="inlineStr">
        <is>
          <t>4 WD utility short wheelbase</t>
        </is>
      </c>
      <c r="G5" s="6" t="inlineStr">
        <is>
          <t>week</t>
        </is>
      </c>
      <c r="H5" s="7" t="n"/>
      <c r="I5" s="8" t="n"/>
      <c r="J5" s="8" t="n">
        <v>1369.23</v>
      </c>
      <c r="K5" s="8" t="n"/>
      <c r="L5" s="8" t="n">
        <v>1369.23</v>
      </c>
    </row>
    <row r="6">
      <c r="A6" s="4" t="n">
        <v>20</v>
      </c>
      <c r="B6" s="5" t="inlineStr">
        <is>
          <t>IMG_0065</t>
        </is>
      </c>
      <c r="C6" s="5" t="inlineStr">
        <is>
          <t>CLASS A: GENERAL ITEMS</t>
        </is>
      </c>
      <c r="D6" s="5" t="inlineStr">
        <is>
          <t>03 METHOD RELATED CHARGES</t>
        </is>
      </c>
      <c r="E6" s="36" t="inlineStr">
        <is>
          <t>Transport vehicles</t>
        </is>
      </c>
      <c r="F6" s="36" t="inlineStr">
        <is>
          <t>4 WD long wheelbase</t>
        </is>
      </c>
      <c r="G6" s="6" t="inlineStr">
        <is>
          <t>week</t>
        </is>
      </c>
      <c r="H6" s="7" t="n"/>
      <c r="I6" s="8" t="n"/>
      <c r="J6" s="8" t="n">
        <v>1206.77</v>
      </c>
      <c r="K6" s="8" t="n"/>
      <c r="L6" s="8" t="n">
        <v>1206.77</v>
      </c>
    </row>
    <row r="7">
      <c r="A7" s="4" t="n">
        <v>25</v>
      </c>
      <c r="B7" s="5" t="inlineStr">
        <is>
          <t>IMG_0065</t>
        </is>
      </c>
      <c r="C7" s="5" t="inlineStr">
        <is>
          <t>CLASS A: GENERAL ITEMS</t>
        </is>
      </c>
      <c r="D7" s="5" t="inlineStr">
        <is>
          <t>03 METHOD RELATED CHARGES</t>
        </is>
      </c>
      <c r="E7" s="36" t="inlineStr">
        <is>
          <t>Attendance upon the Engineer's staff</t>
        </is>
      </c>
      <c r="F7" s="36" t="inlineStr">
        <is>
          <t>Driver</t>
        </is>
      </c>
      <c r="G7" s="6" t="inlineStr">
        <is>
          <t>week</t>
        </is>
      </c>
      <c r="H7" s="7" t="n">
        <v>40</v>
      </c>
      <c r="I7" s="8" t="n">
        <v>1192.13</v>
      </c>
      <c r="J7" s="8" t="n"/>
      <c r="K7" s="8" t="n"/>
      <c r="L7" s="8" t="n">
        <v>1192.13</v>
      </c>
    </row>
    <row r="8">
      <c r="A8" s="4" t="n">
        <v>26</v>
      </c>
      <c r="B8" s="5" t="inlineStr">
        <is>
          <t>IMG_0065</t>
        </is>
      </c>
      <c r="C8" s="5" t="inlineStr">
        <is>
          <t>CLASS A: GENERAL ITEMS</t>
        </is>
      </c>
      <c r="D8" s="5" t="inlineStr">
        <is>
          <t>03 METHOD RELATED CHARGES</t>
        </is>
      </c>
      <c r="E8" s="36" t="inlineStr">
        <is>
          <t>Attendance upon the Engineer's staff</t>
        </is>
      </c>
      <c r="F8" s="36" t="inlineStr">
        <is>
          <t>Chainmen</t>
        </is>
      </c>
      <c r="G8" s="6" t="inlineStr">
        <is>
          <t>week</t>
        </is>
      </c>
      <c r="H8" s="7" t="n">
        <v>40</v>
      </c>
      <c r="I8" s="8" t="n">
        <v>937.35</v>
      </c>
      <c r="J8" s="8" t="n"/>
      <c r="K8" s="8" t="n"/>
      <c r="L8" s="8" t="n">
        <v>937.35</v>
      </c>
    </row>
    <row r="9">
      <c r="A9" s="4" t="n">
        <v>27</v>
      </c>
      <c r="B9" s="5" t="inlineStr">
        <is>
          <t>IMG_0065</t>
        </is>
      </c>
      <c r="C9" s="5" t="inlineStr">
        <is>
          <t>CLASS A: GENERAL ITEMS</t>
        </is>
      </c>
      <c r="D9" s="5" t="inlineStr">
        <is>
          <t>03 METHOD RELATED CHARGES</t>
        </is>
      </c>
      <c r="E9" s="36" t="inlineStr">
        <is>
          <t>Attendance upon the Engineer's staff</t>
        </is>
      </c>
      <c r="F9" s="36" t="inlineStr">
        <is>
          <t>Laboratory assistants</t>
        </is>
      </c>
      <c r="G9" s="6" t="inlineStr">
        <is>
          <t>week</t>
        </is>
      </c>
      <c r="H9" s="7" t="n">
        <v>40</v>
      </c>
      <c r="I9" s="8" t="n">
        <v>1284.96</v>
      </c>
      <c r="J9" s="8" t="n"/>
      <c r="K9" s="8" t="n"/>
      <c r="L9" s="8" t="n">
        <v>1284.96</v>
      </c>
    </row>
    <row r="10">
      <c r="A10" s="4" t="n">
        <v>34</v>
      </c>
      <c r="B10" s="5" t="inlineStr">
        <is>
          <t>IMG_0065</t>
        </is>
      </c>
      <c r="C10" s="5" t="inlineStr">
        <is>
          <t>CLASS A: GENERAL ITEMS</t>
        </is>
      </c>
      <c r="D10" s="5" t="inlineStr">
        <is>
          <t>METHOD RELATED CHARGES</t>
        </is>
      </c>
      <c r="E10" s="36" t="inlineStr">
        <is>
          <t>Offices; establishment and removal; Fixed Charge</t>
        </is>
      </c>
      <c r="F10" s="36" t="inlineStr">
        <is>
          <t>80 m2 mobile unit (10 staff x 8 m2)</t>
        </is>
      </c>
      <c r="G10" s="6" t="inlineStr">
        <is>
          <t>item</t>
        </is>
      </c>
      <c r="H10" s="7" t="n"/>
      <c r="I10" s="8" t="n"/>
      <c r="J10" s="8" t="n">
        <v>2307.7</v>
      </c>
      <c r="K10" s="8" t="n"/>
      <c r="L10" s="8" t="n">
        <v>2307.7</v>
      </c>
    </row>
    <row r="11">
      <c r="A11" s="4" t="n">
        <v>35</v>
      </c>
      <c r="B11" s="5" t="inlineStr">
        <is>
          <t>IMG_0065</t>
        </is>
      </c>
      <c r="C11" s="5" t="inlineStr">
        <is>
          <t>CLASS A: GENERAL ITEMS</t>
        </is>
      </c>
      <c r="D11" s="5" t="inlineStr">
        <is>
          <t>METHOD RELATED CHARGES</t>
        </is>
      </c>
      <c r="E11" s="36" t="inlineStr">
        <is>
          <t>Offices; establishment and removal; Fixed Charge</t>
        </is>
      </c>
      <c r="F11" s="36" t="inlineStr">
        <is>
          <t>10 m2 section units; two</t>
        </is>
      </c>
      <c r="G11" s="6" t="inlineStr">
        <is>
          <t>item</t>
        </is>
      </c>
      <c r="H11" s="7" t="n"/>
      <c r="I11" s="8" t="n"/>
      <c r="J11" s="8" t="n">
        <v>989.34</v>
      </c>
      <c r="K11" s="8" t="n"/>
      <c r="L11" s="8" t="n">
        <v>989.34</v>
      </c>
    </row>
    <row r="12">
      <c r="A12" s="4" t="n">
        <v>37</v>
      </c>
      <c r="B12" s="5" t="inlineStr">
        <is>
          <t>IMG_0065</t>
        </is>
      </c>
      <c r="C12" s="5" t="inlineStr">
        <is>
          <t>CLASS A: GENERAL ITEMS</t>
        </is>
      </c>
      <c r="D12" s="5" t="inlineStr">
        <is>
          <t>METHOD RELATED CHARGES</t>
        </is>
      </c>
      <c r="E12" s="36" t="inlineStr">
        <is>
          <t>Offices; maintaining; Time Related Charge</t>
        </is>
      </c>
      <c r="F12" s="36" t="inlineStr">
        <is>
          <t>80 m2 mobile unit (10 staff x 8 m2)</t>
        </is>
      </c>
      <c r="G12" s="6" t="inlineStr">
        <is>
          <t>week</t>
        </is>
      </c>
      <c r="H12" s="7" t="n"/>
      <c r="I12" s="8" t="n"/>
      <c r="J12" s="8" t="n">
        <v>593.6</v>
      </c>
      <c r="K12" s="8" t="n"/>
      <c r="L12" s="8" t="n">
        <v>593.6</v>
      </c>
    </row>
    <row r="13">
      <c r="A13" s="4" t="n">
        <v>38</v>
      </c>
      <c r="B13" s="5" t="inlineStr">
        <is>
          <t>IMG_0065</t>
        </is>
      </c>
      <c r="C13" s="5" t="inlineStr">
        <is>
          <t>CLASS A: GENERAL ITEMS</t>
        </is>
      </c>
      <c r="D13" s="5" t="inlineStr">
        <is>
          <t>METHOD RELATED CHARGES</t>
        </is>
      </c>
      <c r="E13" s="36" t="inlineStr">
        <is>
          <t>Offices; maintaining; Time Related Charge</t>
        </is>
      </c>
      <c r="F13" s="36" t="inlineStr">
        <is>
          <t>10 m2 section units; two</t>
        </is>
      </c>
      <c r="G13" s="6" t="inlineStr">
        <is>
          <t>week</t>
        </is>
      </c>
      <c r="H13" s="7" t="n"/>
      <c r="I13" s="8" t="n"/>
      <c r="J13" s="8" t="n">
        <v>329.77</v>
      </c>
      <c r="K13" s="8" t="n"/>
      <c r="L13" s="8" t="n">
        <v>329.77</v>
      </c>
    </row>
    <row r="14">
      <c r="A14" s="4" t="n">
        <v>40</v>
      </c>
      <c r="B14" s="5" t="inlineStr">
        <is>
          <t>IMG_0065</t>
        </is>
      </c>
      <c r="C14" s="5" t="inlineStr">
        <is>
          <t>CLASS A: GENERAL ITEMS</t>
        </is>
      </c>
      <c r="D14" s="5" t="inlineStr">
        <is>
          <t>METHOD RELATED CHARGES</t>
        </is>
      </c>
      <c r="E14" s="36" t="inlineStr">
        <is>
          <t>Stores; establishment and removal; Fixed Charge</t>
        </is>
      </c>
      <c r="F14" s="36" t="inlineStr">
        <is>
          <t>22 m2 section unit</t>
        </is>
      </c>
      <c r="G14" s="6" t="inlineStr">
        <is>
          <t>item</t>
        </is>
      </c>
      <c r="H14" s="7" t="n"/>
      <c r="I14" s="8" t="n"/>
      <c r="J14" s="8" t="n">
        <v>791.46</v>
      </c>
      <c r="K14" s="8" t="n"/>
      <c r="L14" s="8" t="n">
        <v>791.46</v>
      </c>
    </row>
    <row r="15">
      <c r="A15" s="4" t="n">
        <v>42</v>
      </c>
      <c r="B15" s="5" t="inlineStr">
        <is>
          <t>IMG_0065</t>
        </is>
      </c>
      <c r="C15" s="5" t="inlineStr">
        <is>
          <t>CLASS A: GENERAL ITEMS</t>
        </is>
      </c>
      <c r="D15" s="5" t="inlineStr">
        <is>
          <t>METHOD RELATED CHARGES</t>
        </is>
      </c>
      <c r="E15" s="36" t="inlineStr">
        <is>
          <t>Stores; maintaining; Time Related Charge</t>
        </is>
      </c>
      <c r="F15" s="36" t="inlineStr">
        <is>
          <t>22 m2 section unit</t>
        </is>
      </c>
      <c r="G15" s="6" t="inlineStr">
        <is>
          <t>item</t>
        </is>
      </c>
      <c r="H15" s="7" t="n"/>
      <c r="I15" s="8" t="n"/>
      <c r="J15" s="8" t="n">
        <v>131.93</v>
      </c>
      <c r="K15" s="8" t="n"/>
      <c r="L15" s="8" t="n">
        <v>131.93</v>
      </c>
    </row>
    <row r="16">
      <c r="A16" s="4" t="n">
        <v>44</v>
      </c>
      <c r="B16" s="5" t="inlineStr">
        <is>
          <t>IMG_0065</t>
        </is>
      </c>
      <c r="C16" s="5" t="inlineStr">
        <is>
          <t>CLASS A: GENERAL ITEMS</t>
        </is>
      </c>
      <c r="D16" s="5" t="inlineStr">
        <is>
          <t>METHOD RELATED CHARGES</t>
        </is>
      </c>
      <c r="E16" s="36" t="inlineStr">
        <is>
          <t>Canteens and messrooms; establishment and removal; Fixed Charge</t>
        </is>
      </c>
      <c r="F16" s="36" t="inlineStr">
        <is>
          <t>70 m2 mobile unit (70 men)</t>
        </is>
      </c>
      <c r="G16" s="6" t="inlineStr">
        <is>
          <t>item</t>
        </is>
      </c>
      <c r="H16" s="7" t="n"/>
      <c r="I16" s="8" t="n"/>
      <c r="J16" s="8" t="n">
        <v>1978.65</v>
      </c>
      <c r="K16" s="8" t="n"/>
      <c r="L16" s="8" t="n">
        <v>1978.65</v>
      </c>
    </row>
    <row r="17">
      <c r="A17" s="4" t="n">
        <v>46</v>
      </c>
      <c r="B17" s="5" t="inlineStr">
        <is>
          <t>IMG_0065</t>
        </is>
      </c>
      <c r="C17" s="5" t="inlineStr">
        <is>
          <t>CLASS A: GENERAL ITEMS</t>
        </is>
      </c>
      <c r="D17" s="5" t="inlineStr">
        <is>
          <t>METHOD RELATED CHARGES</t>
        </is>
      </c>
      <c r="E17" s="36" t="inlineStr">
        <is>
          <t>Canteens and messrooms; maintaining; Time Related Charge</t>
        </is>
      </c>
      <c r="F17" s="36" t="inlineStr">
        <is>
          <t>70 m2 mobile unit (70 men)</t>
        </is>
      </c>
      <c r="G17" s="6" t="inlineStr">
        <is>
          <t>week</t>
        </is>
      </c>
      <c r="H17" s="7" t="n"/>
      <c r="I17" s="8" t="n"/>
      <c r="J17" s="8" t="n">
        <v>560.61</v>
      </c>
      <c r="K17" s="8" t="n"/>
      <c r="L17" s="8" t="n">
        <v>560.61</v>
      </c>
    </row>
    <row r="18">
      <c r="A18" s="4" t="n">
        <v>50</v>
      </c>
      <c r="B18" s="5" t="inlineStr">
        <is>
          <t>IMG_0065</t>
        </is>
      </c>
      <c r="C18" s="5" t="inlineStr">
        <is>
          <t>CLASS A: GENERAL ITEMS</t>
        </is>
      </c>
      <c r="D18" s="5" t="inlineStr">
        <is>
          <t>METHOD RELATED CHARGES</t>
        </is>
      </c>
      <c r="E18" s="36" t="inlineStr">
        <is>
          <t>Transport</t>
        </is>
      </c>
      <c r="F18" s="36" t="inlineStr">
        <is>
          <t>wheeled tractor including driver</t>
        </is>
      </c>
      <c r="G18" s="6" t="inlineStr">
        <is>
          <t>week</t>
        </is>
      </c>
      <c r="H18" s="7" t="n">
        <v>40</v>
      </c>
      <c r="I18" s="8" t="n">
        <v>987</v>
      </c>
      <c r="J18" s="8" t="n">
        <v>1613.17</v>
      </c>
      <c r="K18" s="8" t="n"/>
      <c r="L18" s="8" t="n">
        <v>2600.17</v>
      </c>
    </row>
    <row r="19">
      <c r="A19" s="4" t="n">
        <v>51</v>
      </c>
      <c r="B19" s="5" t="inlineStr">
        <is>
          <t>IMG_0065</t>
        </is>
      </c>
      <c r="C19" s="5" t="inlineStr">
        <is>
          <t>CLASS A: GENERAL ITEMS</t>
        </is>
      </c>
      <c r="D19" s="5" t="inlineStr">
        <is>
          <t>METHOD RELATED CHARGES</t>
        </is>
      </c>
      <c r="E19" s="36" t="inlineStr">
        <is>
          <t>Transport</t>
        </is>
      </c>
      <c r="F19" s="36" t="inlineStr">
        <is>
          <t>trailer</t>
        </is>
      </c>
      <c r="G19" s="6" t="inlineStr">
        <is>
          <t>week</t>
        </is>
      </c>
      <c r="H19" s="7" t="n"/>
      <c r="I19" s="8" t="n"/>
      <c r="J19" s="8" t="n">
        <v>25.83</v>
      </c>
      <c r="K19" s="8" t="n"/>
      <c r="L19" s="8" t="n">
        <v>25.83</v>
      </c>
    </row>
    <row r="20">
      <c r="A20" s="4" t="n">
        <v>53</v>
      </c>
      <c r="B20" s="5" t="inlineStr">
        <is>
          <t>IMG_0065</t>
        </is>
      </c>
      <c r="C20" s="5" t="inlineStr">
        <is>
          <t>CLASS A: GENERAL ITEMS</t>
        </is>
      </c>
      <c r="D20" s="5" t="inlineStr">
        <is>
          <t>METHOD RELATED CHARGES</t>
        </is>
      </c>
      <c r="E20" s="36" t="inlineStr">
        <is>
          <t>Tractor</t>
        </is>
      </c>
      <c r="F20" s="36" t="inlineStr">
        <is>
          <t>hire charge</t>
        </is>
      </c>
      <c r="G20" s="6" t="inlineStr">
        <is>
          <t>week</t>
        </is>
      </c>
      <c r="H20" s="7" t="n"/>
      <c r="I20" s="8" t="n"/>
      <c r="J20" s="8" t="n">
        <v>890.5</v>
      </c>
      <c r="K20" s="8" t="n"/>
      <c r="L20" s="8" t="n">
        <v>890.5</v>
      </c>
    </row>
    <row r="21">
      <c r="A21" s="4" t="n">
        <v>54</v>
      </c>
      <c r="B21" s="5" t="inlineStr">
        <is>
          <t>IMG_0065</t>
        </is>
      </c>
      <c r="C21" s="5" t="inlineStr">
        <is>
          <t>CLASS A: GENERAL ITEMS</t>
        </is>
      </c>
      <c r="D21" s="5" t="inlineStr">
        <is>
          <t>METHOD RELATED CHARGES</t>
        </is>
      </c>
      <c r="E21" s="36" t="inlineStr">
        <is>
          <t>Tractor</t>
        </is>
      </c>
      <c r="F21" s="36" t="inlineStr">
        <is>
          <t>driver (skill rate 4)</t>
        </is>
      </c>
      <c r="G21" s="6" t="inlineStr">
        <is>
          <t>week</t>
        </is>
      </c>
      <c r="H21" s="7" t="n">
        <v>40</v>
      </c>
      <c r="I21" s="8" t="n">
        <v>1269.7</v>
      </c>
      <c r="J21" s="8" t="n"/>
      <c r="K21" s="8" t="n"/>
      <c r="L21" s="8" t="n">
        <v>1269.7</v>
      </c>
    </row>
    <row r="22">
      <c r="A22" s="4" t="n">
        <v>55</v>
      </c>
      <c r="B22" s="5" t="inlineStr">
        <is>
          <t>IMG_0065</t>
        </is>
      </c>
      <c r="C22" s="5" t="inlineStr">
        <is>
          <t>CLASS A: GENERAL ITEMS</t>
        </is>
      </c>
      <c r="D22" s="5" t="inlineStr">
        <is>
          <t>METHOD RELATED CHARGES</t>
        </is>
      </c>
      <c r="E22" s="36" t="inlineStr">
        <is>
          <t>Tractor</t>
        </is>
      </c>
      <c r="F22" s="36" t="inlineStr">
        <is>
          <t>fuel and consumables</t>
        </is>
      </c>
      <c r="G22" s="6" t="inlineStr">
        <is>
          <t>week</t>
        </is>
      </c>
      <c r="H22" s="7" t="n"/>
      <c r="I22" s="8" t="n"/>
      <c r="J22" s="8" t="n">
        <v>9839.26</v>
      </c>
      <c r="K22" s="8" t="n"/>
      <c r="L22" s="8" t="n">
        <v>9839.26</v>
      </c>
    </row>
    <row r="23">
      <c r="A23" s="4" t="n">
        <v>57</v>
      </c>
      <c r="B23" s="5" t="inlineStr">
        <is>
          <t>IMG_0065</t>
        </is>
      </c>
      <c r="C23" s="5" t="inlineStr">
        <is>
          <t>CLASS A: GENERAL ITEMS</t>
        </is>
      </c>
      <c r="D23" s="5" t="inlineStr">
        <is>
          <t>METHOD RELATED CHARGES</t>
        </is>
      </c>
      <c r="E23" s="36" t="inlineStr">
        <is>
          <t>Cranes</t>
        </is>
      </c>
      <c r="F23" s="36" t="inlineStr">
        <is>
          <t>10t Crane</t>
        </is>
      </c>
      <c r="G23" s="6" t="inlineStr">
        <is>
          <t>week</t>
        </is>
      </c>
      <c r="H23" s="7" t="n">
        <v>40</v>
      </c>
      <c r="I23" s="8" t="n">
        <v>1558.2</v>
      </c>
      <c r="J23" s="8" t="n">
        <v>3307.2</v>
      </c>
      <c r="K23" s="8" t="n"/>
      <c r="L23" s="8" t="n">
        <v>4865.4</v>
      </c>
    </row>
    <row r="24">
      <c r="A24" s="4" t="n">
        <v>59</v>
      </c>
      <c r="B24" s="5" t="inlineStr">
        <is>
          <t>IMG_0065</t>
        </is>
      </c>
      <c r="C24" s="5" t="inlineStr">
        <is>
          <t>CLASS A: GENERAL ITEMS</t>
        </is>
      </c>
      <c r="D24" s="5" t="inlineStr">
        <is>
          <t>METHOD RELATED CHARGES</t>
        </is>
      </c>
      <c r="E24" s="36" t="inlineStr">
        <is>
          <t>Miscellaneous</t>
        </is>
      </c>
      <c r="F24" s="36" t="inlineStr">
        <is>
          <t>sawbench</t>
        </is>
      </c>
      <c r="G24" s="6" t="inlineStr">
        <is>
          <t>week</t>
        </is>
      </c>
      <c r="H24" s="7" t="n"/>
      <c r="I24" s="8" t="n"/>
      <c r="J24" s="8" t="n">
        <v>90.73999999999999</v>
      </c>
      <c r="K24" s="8" t="n"/>
      <c r="L24" s="8" t="n">
        <v>90.73999999999999</v>
      </c>
    </row>
    <row r="25">
      <c r="A25" s="4" t="n">
        <v>60</v>
      </c>
      <c r="B25" s="5" t="inlineStr">
        <is>
          <t>IMG_0065</t>
        </is>
      </c>
      <c r="C25" s="5" t="inlineStr">
        <is>
          <t>CLASS A: GENERAL ITEMS</t>
        </is>
      </c>
      <c r="D25" s="5" t="inlineStr">
        <is>
          <t>METHOD RELATED CHARGES</t>
        </is>
      </c>
      <c r="E25" s="36" t="inlineStr">
        <is>
          <t>Miscellaneous</t>
        </is>
      </c>
      <c r="F25" s="36" t="inlineStr">
        <is>
          <t>concrete vibrator</t>
        </is>
      </c>
      <c r="G25" s="6" t="inlineStr">
        <is>
          <t>week</t>
        </is>
      </c>
      <c r="H25" s="7" t="n"/>
      <c r="I25" s="8" t="n"/>
      <c r="J25" s="8" t="n">
        <v>7237.78</v>
      </c>
      <c r="K25" s="8" t="n"/>
      <c r="L25" s="8" t="n">
        <v>7237.78</v>
      </c>
    </row>
    <row r="26">
      <c r="A26" s="4" t="n">
        <v>61</v>
      </c>
      <c r="B26" s="5" t="inlineStr">
        <is>
          <t>IMG_0065</t>
        </is>
      </c>
      <c r="C26" s="5" t="inlineStr">
        <is>
          <t>CLASS A: GENERAL ITEMS</t>
        </is>
      </c>
      <c r="D26" s="5" t="inlineStr">
        <is>
          <t>METHOD RELATED CHARGES</t>
        </is>
      </c>
      <c r="E26" s="36" t="inlineStr">
        <is>
          <t>Miscellaneous</t>
        </is>
      </c>
      <c r="F26" s="36" t="inlineStr">
        <is>
          <t>75 mm 750 l/min pump</t>
        </is>
      </c>
      <c r="G26" s="6" t="inlineStr">
        <is>
          <t>week</t>
        </is>
      </c>
      <c r="H26" s="7" t="n"/>
      <c r="I26" s="8" t="n"/>
      <c r="J26" s="8" t="n">
        <v>314.22</v>
      </c>
      <c r="K26" s="8" t="n"/>
      <c r="L26" s="8" t="n">
        <v>314.22</v>
      </c>
    </row>
    <row r="27">
      <c r="A27" s="4" t="n">
        <v>62</v>
      </c>
      <c r="B27" s="5" t="inlineStr">
        <is>
          <t>IMG_0065</t>
        </is>
      </c>
      <c r="C27" s="5" t="inlineStr">
        <is>
          <t>CLASS A: GENERAL ITEMS</t>
        </is>
      </c>
      <c r="D27" s="5" t="inlineStr">
        <is>
          <t>METHOD RELATED CHARGES</t>
        </is>
      </c>
      <c r="E27" s="36" t="inlineStr">
        <is>
          <t>Miscellaneous</t>
        </is>
      </c>
      <c r="F27" s="36" t="inlineStr">
        <is>
          <t>compressor; 22.10 m3/min, 216 kW, four tool</t>
        </is>
      </c>
      <c r="G27" s="6" t="inlineStr">
        <is>
          <t>week</t>
        </is>
      </c>
      <c r="H27" s="7" t="n"/>
      <c r="I27" s="8" t="n"/>
      <c r="J27" s="8" t="n">
        <v>7155.57</v>
      </c>
      <c r="K27" s="8" t="n"/>
      <c r="L27" s="8" t="n">
        <v>7155.57</v>
      </c>
    </row>
    <row r="28">
      <c r="A28" s="4" t="n">
        <v>64</v>
      </c>
      <c r="B28" s="5" t="inlineStr">
        <is>
          <t>IMG_0066</t>
        </is>
      </c>
      <c r="C28" s="5" t="inlineStr">
        <is>
          <t>CLASS A: GENERAL ITEMS</t>
        </is>
      </c>
      <c r="D28" s="5" t="inlineStr">
        <is>
          <t>METHOD RELATED CHARGES</t>
        </is>
      </c>
      <c r="E28" s="36" t="inlineStr">
        <is>
          <t>Plant; Miscellaneous (continued)</t>
        </is>
      </c>
      <c r="F28" s="36" t="inlineStr">
        <is>
          <t>plate compactor; 180 kg</t>
        </is>
      </c>
      <c r="G28" s="6" t="inlineStr">
        <is>
          <t>week</t>
        </is>
      </c>
      <c r="H28" s="7" t="n"/>
      <c r="I28" s="8" t="n"/>
      <c r="J28" s="8" t="n">
        <v>196.71</v>
      </c>
      <c r="K28" s="8" t="n"/>
      <c r="L28" s="8" t="n">
        <v>196.71</v>
      </c>
    </row>
    <row r="29">
      <c r="A29" s="4" t="n">
        <v>65</v>
      </c>
      <c r="B29" s="5" t="inlineStr">
        <is>
          <t>IMG_0066</t>
        </is>
      </c>
      <c r="C29" s="5" t="inlineStr">
        <is>
          <t>CLASS A: GENERAL ITEMS</t>
        </is>
      </c>
      <c r="D29" s="5" t="inlineStr">
        <is>
          <t>METHOD RELATED CHARGES</t>
        </is>
      </c>
      <c r="E29" s="36" t="inlineStr">
        <is>
          <t>Plant; Miscellaneous (continued)</t>
        </is>
      </c>
      <c r="F29" s="36" t="inlineStr">
        <is>
          <t>towed roller; BW6</t>
        </is>
      </c>
      <c r="G29" s="6" t="inlineStr">
        <is>
          <t>week</t>
        </is>
      </c>
      <c r="H29" s="7" t="n"/>
      <c r="I29" s="8" t="n"/>
      <c r="J29" s="8" t="n">
        <v>2024.96</v>
      </c>
      <c r="K29" s="8" t="n"/>
      <c r="L29" s="8" t="n">
        <v>2024.96</v>
      </c>
    </row>
    <row r="30">
      <c r="A30" s="4" t="n">
        <v>67</v>
      </c>
      <c r="B30" s="5" t="inlineStr">
        <is>
          <t>IMG_0066</t>
        </is>
      </c>
      <c r="C30" s="5" t="inlineStr">
        <is>
          <t>CLASS A: GENERAL ITEMS</t>
        </is>
      </c>
      <c r="D30" s="5" t="inlineStr">
        <is>
          <t>METHOD RELATED CHARGES</t>
        </is>
      </c>
      <c r="E30" s="36" t="inlineStr">
        <is>
          <t>Excavators etc.</t>
        </is>
      </c>
      <c r="F30" s="36" t="inlineStr">
        <is>
          <t>hydraulic backacter; 14.5 tonne; driver + banksman</t>
        </is>
      </c>
      <c r="G30" s="6" t="inlineStr">
        <is>
          <t>week</t>
        </is>
      </c>
      <c r="H30" s="7" t="n">
        <v>80</v>
      </c>
      <c r="I30" s="8" t="n">
        <v>2737.98</v>
      </c>
      <c r="J30" s="8" t="n">
        <v>3861.81</v>
      </c>
      <c r="K30" s="8" t="n"/>
      <c r="L30" s="8" t="n">
        <v>6599.79</v>
      </c>
    </row>
    <row r="31">
      <c r="A31" s="4" t="n">
        <v>68</v>
      </c>
      <c r="B31" s="5" t="inlineStr">
        <is>
          <t>IMG_0066</t>
        </is>
      </c>
      <c r="C31" s="5" t="inlineStr">
        <is>
          <t>CLASS A: GENERAL ITEMS</t>
        </is>
      </c>
      <c r="D31" s="5" t="inlineStr">
        <is>
          <t>METHOD RELATED CHARGES</t>
        </is>
      </c>
      <c r="E31" s="36" t="inlineStr">
        <is>
          <t>Excavators etc.</t>
        </is>
      </c>
      <c r="F31" s="36" t="inlineStr">
        <is>
          <t>bulldozer; D6; driver</t>
        </is>
      </c>
      <c r="G31" s="6" t="inlineStr">
        <is>
          <t>week</t>
        </is>
      </c>
      <c r="H31" s="7" t="n">
        <v>40</v>
      </c>
      <c r="I31" s="8" t="n">
        <v>1795.88</v>
      </c>
      <c r="J31" s="8" t="n">
        <v>6143.86</v>
      </c>
      <c r="K31" s="8" t="n"/>
      <c r="L31" s="8" t="n">
        <v>7939.74</v>
      </c>
    </row>
    <row r="32">
      <c r="A32" s="4" t="n">
        <v>69</v>
      </c>
      <c r="B32" s="5" t="inlineStr">
        <is>
          <t>IMG_0066</t>
        </is>
      </c>
      <c r="C32" s="5" t="inlineStr">
        <is>
          <t>CLASS A: GENERAL ITEMS</t>
        </is>
      </c>
      <c r="D32" s="5" t="inlineStr">
        <is>
          <t>METHOD RELATED CHARGES</t>
        </is>
      </c>
      <c r="E32" s="36" t="inlineStr">
        <is>
          <t>Excavators etc.</t>
        </is>
      </c>
      <c r="F32" s="36" t="inlineStr">
        <is>
          <t>loading shovel; CAT 939; driver</t>
        </is>
      </c>
      <c r="G32" s="6" t="inlineStr">
        <is>
          <t>week</t>
        </is>
      </c>
      <c r="H32" s="7" t="n">
        <v>40</v>
      </c>
      <c r="I32" s="8" t="n">
        <v>1558.2</v>
      </c>
      <c r="J32" s="8" t="n">
        <v>3133.7</v>
      </c>
      <c r="K32" s="8" t="n"/>
      <c r="L32" s="8" t="n">
        <v>4691.9</v>
      </c>
    </row>
    <row r="33">
      <c r="A33" s="4" t="n">
        <v>73</v>
      </c>
      <c r="B33" s="5" t="inlineStr">
        <is>
          <t>IMG_0066</t>
        </is>
      </c>
      <c r="C33" s="5" t="inlineStr">
        <is>
          <t>CLASS A: GENERAL ITEMS</t>
        </is>
      </c>
      <c r="D33" s="5" t="inlineStr">
        <is>
          <t>METHOD RELATED CHARGES</t>
        </is>
      </c>
      <c r="E33" s="36" t="inlineStr">
        <is>
          <t>Supervision for the duration of construction; Time Related Charge</t>
        </is>
      </c>
      <c r="F33" s="36" t="inlineStr">
        <is>
          <t>Agent</t>
        </is>
      </c>
      <c r="G33" s="6" t="inlineStr">
        <is>
          <t>week</t>
        </is>
      </c>
      <c r="H33" s="7" t="n">
        <v>40</v>
      </c>
      <c r="I33" s="8" t="n">
        <v>3438.18</v>
      </c>
      <c r="J33" s="8" t="n"/>
      <c r="K33" s="8" t="n"/>
      <c r="L33" s="8" t="n">
        <v>3438.18</v>
      </c>
    </row>
    <row r="34">
      <c r="A34" s="4" t="n">
        <v>74</v>
      </c>
      <c r="B34" s="5" t="inlineStr">
        <is>
          <t>IMG_0066</t>
        </is>
      </c>
      <c r="C34" s="5" t="inlineStr">
        <is>
          <t>CLASS A: GENERAL ITEMS</t>
        </is>
      </c>
      <c r="D34" s="5" t="inlineStr">
        <is>
          <t>METHOD RELATED CHARGES</t>
        </is>
      </c>
      <c r="E34" s="36" t="inlineStr">
        <is>
          <t>Supervision for the duration of construction; Time Related Charge</t>
        </is>
      </c>
      <c r="F34" s="36" t="inlineStr">
        <is>
          <t>Senior Engineer</t>
        </is>
      </c>
      <c r="G34" s="6" t="inlineStr">
        <is>
          <t>week</t>
        </is>
      </c>
      <c r="H34" s="7" t="n">
        <v>40</v>
      </c>
      <c r="I34" s="8" t="n">
        <v>2952.89</v>
      </c>
      <c r="J34" s="8" t="n"/>
      <c r="K34" s="8" t="n"/>
      <c r="L34" s="8" t="n">
        <v>2952.89</v>
      </c>
    </row>
    <row r="35">
      <c r="A35" s="4" t="n">
        <v>75</v>
      </c>
      <c r="B35" s="5" t="inlineStr">
        <is>
          <t>IMG_0066</t>
        </is>
      </c>
      <c r="C35" s="5" t="inlineStr">
        <is>
          <t>CLASS A: GENERAL ITEMS</t>
        </is>
      </c>
      <c r="D35" s="5" t="inlineStr">
        <is>
          <t>METHOD RELATED CHARGES</t>
        </is>
      </c>
      <c r="E35" s="36" t="inlineStr">
        <is>
          <t>Supervision for the duration of construction; Time Related Charge</t>
        </is>
      </c>
      <c r="F35" s="36" t="inlineStr">
        <is>
          <t>Engineers</t>
        </is>
      </c>
      <c r="G35" s="6" t="inlineStr">
        <is>
          <t>week</t>
        </is>
      </c>
      <c r="H35" s="7" t="n">
        <v>40</v>
      </c>
      <c r="I35" s="8" t="n">
        <v>2222.32</v>
      </c>
      <c r="J35" s="8" t="n"/>
      <c r="K35" s="8" t="n"/>
      <c r="L35" s="8" t="n">
        <v>2222.32</v>
      </c>
    </row>
    <row r="36">
      <c r="A36" s="4" t="n">
        <v>76</v>
      </c>
      <c r="B36" s="5" t="inlineStr">
        <is>
          <t>IMG_0066</t>
        </is>
      </c>
      <c r="C36" s="5" t="inlineStr">
        <is>
          <t>CLASS A: GENERAL ITEMS</t>
        </is>
      </c>
      <c r="D36" s="5" t="inlineStr">
        <is>
          <t>METHOD RELATED CHARGES</t>
        </is>
      </c>
      <c r="E36" s="36" t="inlineStr">
        <is>
          <t>Supervision for the duration of construction; Time Related Charge</t>
        </is>
      </c>
      <c r="F36" s="36" t="inlineStr">
        <is>
          <t>General Foreman</t>
        </is>
      </c>
      <c r="G36" s="6" t="inlineStr">
        <is>
          <t>week</t>
        </is>
      </c>
      <c r="H36" s="7" t="n">
        <v>40</v>
      </c>
      <c r="I36" s="8" t="n">
        <v>2745.59</v>
      </c>
      <c r="J36" s="8" t="n"/>
      <c r="K36" s="8" t="n"/>
      <c r="L36" s="8" t="n">
        <v>2745.59</v>
      </c>
    </row>
    <row r="37">
      <c r="A37" s="4" t="n">
        <v>78</v>
      </c>
      <c r="B37" s="5" t="inlineStr">
        <is>
          <t>IMG_0066</t>
        </is>
      </c>
      <c r="C37" s="5" t="inlineStr">
        <is>
          <t>CLASS A: GENERAL ITEMS</t>
        </is>
      </c>
      <c r="D37" s="5" t="inlineStr">
        <is>
          <t>METHOD RELATED CHARGES</t>
        </is>
      </c>
      <c r="E37" s="36" t="inlineStr">
        <is>
          <t>Administration for the duration of construction; Time Related Charge</t>
        </is>
      </c>
      <c r="F37" s="36" t="inlineStr">
        <is>
          <t>Office manager/Cost clerk</t>
        </is>
      </c>
      <c r="G37" s="6" t="inlineStr">
        <is>
          <t>week</t>
        </is>
      </c>
      <c r="H37" s="7" t="n">
        <v>40</v>
      </c>
      <c r="I37" s="8" t="n">
        <v>1562.95</v>
      </c>
      <c r="J37" s="8" t="n"/>
      <c r="K37" s="8" t="n"/>
      <c r="L37" s="8" t="n">
        <v>1562.95</v>
      </c>
    </row>
    <row r="38">
      <c r="A38" s="4" t="n">
        <v>79</v>
      </c>
      <c r="B38" s="5" t="inlineStr">
        <is>
          <t>IMG_0066</t>
        </is>
      </c>
      <c r="C38" s="5" t="inlineStr">
        <is>
          <t>CLASS A: GENERAL ITEMS</t>
        </is>
      </c>
      <c r="D38" s="5" t="inlineStr">
        <is>
          <t>METHOD RELATED CHARGES</t>
        </is>
      </c>
      <c r="E38" s="36" t="inlineStr">
        <is>
          <t>Administration for the duration of construction; Time Related Charge</t>
        </is>
      </c>
      <c r="F38" s="36" t="inlineStr">
        <is>
          <t>Timekeeper/Storeman/Checker</t>
        </is>
      </c>
      <c r="G38" s="6" t="inlineStr">
        <is>
          <t>week</t>
        </is>
      </c>
      <c r="H38" s="7" t="n">
        <v>40</v>
      </c>
      <c r="I38" s="8" t="n">
        <v>937.35</v>
      </c>
      <c r="J38" s="8" t="n"/>
      <c r="K38" s="8" t="n"/>
      <c r="L38" s="8" t="n">
        <v>937.35</v>
      </c>
    </row>
    <row r="39">
      <c r="A39" s="4" t="n">
        <v>80</v>
      </c>
      <c r="B39" s="5" t="inlineStr">
        <is>
          <t>IMG_0066</t>
        </is>
      </c>
      <c r="C39" s="5" t="inlineStr">
        <is>
          <t>CLASS A: GENERAL ITEMS</t>
        </is>
      </c>
      <c r="D39" s="5" t="inlineStr">
        <is>
          <t>METHOD RELATED CHARGES</t>
        </is>
      </c>
      <c r="E39" s="36" t="inlineStr">
        <is>
          <t>Administration for the duration of construction; Time Related Charge</t>
        </is>
      </c>
      <c r="F39" s="36" t="inlineStr">
        <is>
          <t>Typist/Telephonist</t>
        </is>
      </c>
      <c r="G39" s="6" t="inlineStr">
        <is>
          <t>week</t>
        </is>
      </c>
      <c r="H39" s="7" t="n">
        <v>40</v>
      </c>
      <c r="I39" s="8" t="n">
        <v>1273.89</v>
      </c>
      <c r="J39" s="8" t="n"/>
      <c r="K39" s="8" t="n"/>
      <c r="L39" s="8" t="n">
        <v>1273.89</v>
      </c>
    </row>
    <row r="40">
      <c r="A40" s="4" t="n">
        <v>81</v>
      </c>
      <c r="B40" s="5" t="inlineStr">
        <is>
          <t>IMG_0066</t>
        </is>
      </c>
      <c r="C40" s="5" t="inlineStr">
        <is>
          <t>CLASS A: GENERAL ITEMS</t>
        </is>
      </c>
      <c r="D40" s="5" t="inlineStr">
        <is>
          <t>METHOD RELATED CHARGES</t>
        </is>
      </c>
      <c r="E40" s="36" t="inlineStr">
        <is>
          <t>Administration for the duration of construction; Time Related Charge</t>
        </is>
      </c>
      <c r="F40" s="36" t="inlineStr">
        <is>
          <t>Security guard</t>
        </is>
      </c>
      <c r="G40" s="6" t="inlineStr">
        <is>
          <t>week</t>
        </is>
      </c>
      <c r="H40" s="7" t="n">
        <v>40</v>
      </c>
      <c r="I40" s="8" t="n">
        <v>888.29</v>
      </c>
      <c r="J40" s="8" t="n"/>
      <c r="K40" s="8" t="n"/>
      <c r="L40" s="8" t="n">
        <v>888.29</v>
      </c>
    </row>
    <row r="41">
      <c r="A41" s="4" t="n">
        <v>82</v>
      </c>
      <c r="B41" s="5" t="inlineStr">
        <is>
          <t>IMG_0066</t>
        </is>
      </c>
      <c r="C41" s="5" t="inlineStr">
        <is>
          <t>CLASS A: GENERAL ITEMS</t>
        </is>
      </c>
      <c r="D41" s="5" t="inlineStr">
        <is>
          <t>METHOD RELATED CHARGES</t>
        </is>
      </c>
      <c r="E41" s="36" t="inlineStr">
        <is>
          <t>Administration for the duration of construction; Time Related Charge</t>
        </is>
      </c>
      <c r="F41" s="36" t="inlineStr">
        <is>
          <t>Quantity Surveyor</t>
        </is>
      </c>
      <c r="G41" s="6" t="inlineStr">
        <is>
          <t>week</t>
        </is>
      </c>
      <c r="H41" s="7" t="n">
        <v>40</v>
      </c>
      <c r="I41" s="8" t="n">
        <v>2188.03</v>
      </c>
      <c r="J41" s="8" t="n"/>
      <c r="K41" s="8" t="n"/>
      <c r="L41" s="8" t="n">
        <v>2188.03</v>
      </c>
    </row>
    <row r="42">
      <c r="A42" s="4" t="n">
        <v>84</v>
      </c>
      <c r="B42" s="5" t="inlineStr">
        <is>
          <t>IMG_0066</t>
        </is>
      </c>
      <c r="C42" s="5" t="inlineStr">
        <is>
          <t>CLASS A: GENERAL ITEMS</t>
        </is>
      </c>
      <c r="D42" s="5" t="inlineStr">
        <is>
          <t>METHOD RELATED CHARGES</t>
        </is>
      </c>
      <c r="E42" s="36" t="inlineStr">
        <is>
          <t>Labour teams for the duration of construction; Time Related Charge</t>
        </is>
      </c>
      <c r="F42" s="36" t="inlineStr">
        <is>
          <t>General yard labour (part time); loading and offloading, clearing site rubbish etc.; ganger</t>
        </is>
      </c>
      <c r="G42" s="6" t="inlineStr">
        <is>
          <t>week</t>
        </is>
      </c>
      <c r="H42" s="7" t="n">
        <v>40</v>
      </c>
      <c r="I42" s="8" t="n">
        <v>1179.78</v>
      </c>
      <c r="J42" s="8" t="n"/>
      <c r="K42" s="8" t="n"/>
      <c r="L42" s="8" t="n">
        <v>1179.78</v>
      </c>
    </row>
    <row r="43">
      <c r="A43" s="4" t="n">
        <v>85</v>
      </c>
      <c r="B43" s="5" t="inlineStr">
        <is>
          <t>IMG_0066</t>
        </is>
      </c>
      <c r="C43" s="5" t="inlineStr">
        <is>
          <t>CLASS A: GENERAL ITEMS</t>
        </is>
      </c>
      <c r="D43" s="5" t="inlineStr">
        <is>
          <t>METHOD RELATED CHARGES</t>
        </is>
      </c>
      <c r="E43" s="36" t="inlineStr">
        <is>
          <t>Labour teams for the duration of construction; Time Related Charge</t>
        </is>
      </c>
      <c r="F43" s="36" t="inlineStr">
        <is>
          <t>General yard labour (part time); loading and offloading, clearing site rubbish etc.; four unskilled operatives</t>
        </is>
      </c>
      <c r="G43" s="6" t="inlineStr">
        <is>
          <t>week</t>
        </is>
      </c>
      <c r="H43" s="7" t="n">
        <v>160</v>
      </c>
      <c r="I43" s="8" t="n">
        <v>4719.12</v>
      </c>
      <c r="J43" s="8" t="n"/>
      <c r="K43" s="8" t="n"/>
      <c r="L43" s="8" t="n">
        <v>4719.12</v>
      </c>
    </row>
    <row r="44">
      <c r="A44" s="4" t="n">
        <v>86</v>
      </c>
      <c r="B44" s="5" t="inlineStr">
        <is>
          <t>IMG_0066</t>
        </is>
      </c>
      <c r="C44" s="5" t="inlineStr">
        <is>
          <t>CLASS A: GENERAL ITEMS</t>
        </is>
      </c>
      <c r="D44" s="5" t="inlineStr">
        <is>
          <t>METHOD RELATED CHARGES</t>
        </is>
      </c>
      <c r="E44" s="36" t="inlineStr">
        <is>
          <t>Labour teams for the duration of construction; Time Related Charge</t>
        </is>
      </c>
      <c r="F44" s="36" t="inlineStr">
        <is>
          <t>Maintenance of contractor's own plant; Fitter</t>
        </is>
      </c>
      <c r="G44" s="6" t="inlineStr">
        <is>
          <t>week</t>
        </is>
      </c>
      <c r="H44" s="7" t="n">
        <v>40</v>
      </c>
      <c r="I44" s="8" t="n">
        <v>1191.6</v>
      </c>
      <c r="J44" s="8" t="n"/>
      <c r="K44" s="8" t="n"/>
      <c r="L44" s="8" t="n">
        <v>1191.6</v>
      </c>
    </row>
    <row r="45">
      <c r="A45" s="4" t="n">
        <v>87</v>
      </c>
      <c r="B45" s="5" t="inlineStr">
        <is>
          <t>IMG_0066</t>
        </is>
      </c>
      <c r="C45" s="5" t="inlineStr">
        <is>
          <t>CLASS A: GENERAL ITEMS</t>
        </is>
      </c>
      <c r="D45" s="5" t="inlineStr">
        <is>
          <t>METHOD RELATED CHARGES</t>
        </is>
      </c>
      <c r="E45" s="36" t="inlineStr">
        <is>
          <t>Labour teams for the duration of construction; Time Related Charge</t>
        </is>
      </c>
      <c r="F45" s="36" t="inlineStr">
        <is>
          <t>Maintenance of contractor's own plant; Fitter's Mate</t>
        </is>
      </c>
      <c r="G45" s="6" t="inlineStr">
        <is>
          <t>week</t>
        </is>
      </c>
      <c r="H45" s="7" t="n">
        <v>40</v>
      </c>
      <c r="I45" s="8" t="n">
        <v>937.35</v>
      </c>
      <c r="J45" s="8" t="n"/>
      <c r="K45" s="8" t="n"/>
      <c r="L45" s="8" t="n">
        <v>937.35</v>
      </c>
    </row>
    <row r="46">
      <c r="A46" s="4" t="n">
        <v>90</v>
      </c>
      <c r="B46" s="5" t="inlineStr">
        <is>
          <t>IMG_0066</t>
        </is>
      </c>
      <c r="C46" s="5" t="inlineStr">
        <is>
          <t>CLASS A: GENERAL ITEMS</t>
        </is>
      </c>
      <c r="D46" s="5" t="inlineStr">
        <is>
          <t>METHOD RELATED CHARGES</t>
        </is>
      </c>
      <c r="E46" s="36" t="inlineStr">
        <is>
          <t>DE-WATERING</t>
        </is>
      </c>
      <c r="F46" s="36" t="inlineStr">
        <is>
          <t>1 nr diesel driven pump (WP 150/60 or similar) complete with allowance of £50 for fuel</t>
        </is>
      </c>
      <c r="G46" s="6" t="inlineStr">
        <is>
          <t>day</t>
        </is>
      </c>
      <c r="H46" s="7" t="n"/>
      <c r="I46" s="8" t="n"/>
      <c r="J46" s="8" t="n"/>
      <c r="K46" s="8" t="n"/>
      <c r="L46" s="8" t="n">
        <v>144.81</v>
      </c>
    </row>
    <row r="47">
      <c r="A47" s="4" t="n">
        <v>91</v>
      </c>
      <c r="B47" s="5" t="inlineStr">
        <is>
          <t>IMG_0066</t>
        </is>
      </c>
      <c r="C47" s="5" t="inlineStr">
        <is>
          <t>CLASS A: GENERAL ITEMS</t>
        </is>
      </c>
      <c r="D47" s="5" t="inlineStr">
        <is>
          <t>METHOD RELATED CHARGES</t>
        </is>
      </c>
      <c r="E47" s="36" t="inlineStr">
        <is>
          <t>DE-WATERING</t>
        </is>
      </c>
      <c r="F47" s="36" t="inlineStr">
        <is>
          <t>50 m of 150 mm dia. header pipe</t>
        </is>
      </c>
      <c r="G47" s="6" t="inlineStr">
        <is>
          <t>day</t>
        </is>
      </c>
      <c r="H47" s="7" t="n"/>
      <c r="I47" s="8" t="n"/>
      <c r="J47" s="8" t="n"/>
      <c r="K47" s="8" t="n"/>
      <c r="L47" s="8" t="n">
        <v>26.66</v>
      </c>
    </row>
    <row r="48">
      <c r="A48" s="4" t="n">
        <v>92</v>
      </c>
      <c r="B48" s="5" t="inlineStr">
        <is>
          <t>IMG_0066</t>
        </is>
      </c>
      <c r="C48" s="5" t="inlineStr">
        <is>
          <t>CLASS A: GENERAL ITEMS</t>
        </is>
      </c>
      <c r="D48" s="5" t="inlineStr">
        <is>
          <t>METHOD RELATED CHARGES</t>
        </is>
      </c>
      <c r="E48" s="36" t="inlineStr">
        <is>
          <t>DE-WATERING</t>
        </is>
      </c>
      <c r="F48" s="36" t="inlineStr">
        <is>
          <t>35 nr of disposable well points</t>
        </is>
      </c>
      <c r="G48" s="6" t="inlineStr">
        <is>
          <t>day</t>
        </is>
      </c>
      <c r="H48" s="7" t="n"/>
      <c r="I48" s="8" t="n"/>
      <c r="J48" s="8" t="n"/>
      <c r="K48" s="8" t="n"/>
      <c r="L48" s="8" t="n">
        <v>533.9299999999999</v>
      </c>
    </row>
    <row r="49">
      <c r="A49" s="4" t="n">
        <v>93</v>
      </c>
      <c r="B49" s="5" t="inlineStr">
        <is>
          <t>IMG_0066</t>
        </is>
      </c>
      <c r="C49" s="5" t="inlineStr">
        <is>
          <t>CLASS A: GENERAL ITEMS</t>
        </is>
      </c>
      <c r="D49" s="5" t="inlineStr">
        <is>
          <t>METHOD RELATED CHARGES</t>
        </is>
      </c>
      <c r="E49" s="36" t="inlineStr">
        <is>
          <t>DE-WATERING</t>
        </is>
      </c>
      <c r="F49" s="36" t="inlineStr">
        <is>
          <t>18 m of delivery pipe</t>
        </is>
      </c>
      <c r="G49" s="6" t="inlineStr">
        <is>
          <t>day</t>
        </is>
      </c>
      <c r="H49" s="7" t="n"/>
      <c r="I49" s="8" t="n"/>
      <c r="J49" s="8" t="n"/>
      <c r="K49" s="8" t="n"/>
      <c r="L49" s="8" t="n">
        <v>12.18</v>
      </c>
    </row>
    <row r="50">
      <c r="A50" s="4" t="n">
        <v>94</v>
      </c>
      <c r="B50" s="5" t="inlineStr">
        <is>
          <t>IMG_0066</t>
        </is>
      </c>
      <c r="C50" s="5" t="inlineStr">
        <is>
          <t>CLASS A: GENERAL ITEMS</t>
        </is>
      </c>
      <c r="D50" s="5" t="inlineStr">
        <is>
          <t>METHOD RELATED CHARGES</t>
        </is>
      </c>
      <c r="E50" s="36" t="inlineStr">
        <is>
          <t>DE-WATERING</t>
        </is>
      </c>
      <c r="F50" s="36" t="inlineStr">
        <is>
          <t>1 nr diesel driven standby pump</t>
        </is>
      </c>
      <c r="G50" s="6" t="inlineStr">
        <is>
          <t>day</t>
        </is>
      </c>
      <c r="H50" s="7" t="n"/>
      <c r="I50" s="8" t="n"/>
      <c r="J50" s="8" t="n"/>
      <c r="K50" s="8" t="n"/>
      <c r="L50" s="8" t="n">
        <v>83.81999999999999</v>
      </c>
    </row>
    <row r="51">
      <c r="A51" s="4" t="n">
        <v>95</v>
      </c>
      <c r="B51" s="5" t="inlineStr">
        <is>
          <t>IMG_0066</t>
        </is>
      </c>
      <c r="C51" s="5" t="inlineStr">
        <is>
          <t>CLASS A: GENERAL ITEMS</t>
        </is>
      </c>
      <c r="D51" s="5" t="inlineStr">
        <is>
          <t>METHOD RELATED CHARGES</t>
        </is>
      </c>
      <c r="E51" s="36" t="inlineStr">
        <is>
          <t>DE-WATERING</t>
        </is>
      </c>
      <c r="F51" s="36" t="inlineStr">
        <is>
          <t>1 nr jetting pump with hoses (for installation of wellpoints only)</t>
        </is>
      </c>
      <c r="G51" s="6" t="inlineStr">
        <is>
          <t>-</t>
        </is>
      </c>
      <c r="H51" s="7" t="n"/>
      <c r="I51" s="8" t="n"/>
      <c r="J51" s="8" t="n"/>
      <c r="K51" s="8" t="n"/>
      <c r="L51" s="8" t="n">
        <v>144.81</v>
      </c>
    </row>
    <row r="52">
      <c r="A52" s="4" t="n">
        <v>96</v>
      </c>
      <c r="B52" s="5" t="inlineStr">
        <is>
          <t>IMG_0066</t>
        </is>
      </c>
      <c r="C52" s="5" t="inlineStr">
        <is>
          <t>CLASS A: GENERAL ITEMS</t>
        </is>
      </c>
      <c r="D52" s="5" t="inlineStr">
        <is>
          <t>METHOD RELATED CHARGES</t>
        </is>
      </c>
      <c r="E52" s="36" t="inlineStr">
        <is>
          <t>DE-WATERING</t>
        </is>
      </c>
      <c r="F52" s="36" t="inlineStr">
        <is>
          <t>attendant labour and plant (2 hrs per day) inclusive of small dumper and bowser)</t>
        </is>
      </c>
      <c r="G52" s="6" t="inlineStr">
        <is>
          <t>-</t>
        </is>
      </c>
      <c r="H52" s="7" t="n"/>
      <c r="I52" s="8" t="n"/>
      <c r="J52" s="8" t="n"/>
      <c r="K52" s="8" t="n"/>
      <c r="L52" s="8" t="n">
        <v>49.09</v>
      </c>
    </row>
    <row r="53">
      <c r="A53" s="4" t="n">
        <v>98</v>
      </c>
      <c r="B53" s="5" t="inlineStr">
        <is>
          <t>IMG_0066</t>
        </is>
      </c>
      <c r="C53" s="5" t="inlineStr">
        <is>
          <t>CLASS A: GENERAL ITEMS</t>
        </is>
      </c>
      <c r="D53" s="5" t="inlineStr">
        <is>
          <t>METHOD RELATED CHARGES</t>
        </is>
      </c>
      <c r="E53" s="36" t="inlineStr">
        <is>
          <t>DE-WATERING</t>
        </is>
      </c>
      <c r="F53" s="36" t="inlineStr">
        <is>
          <t>Bring to site equipment and remove upon completion Installation costs</t>
        </is>
      </c>
      <c r="G53" s="6" t="inlineStr">
        <is>
          <t>item</t>
        </is>
      </c>
      <c r="H53" s="7" t="n"/>
      <c r="I53" s="8" t="n"/>
      <c r="J53" s="8" t="n"/>
      <c r="K53" s="8" t="n"/>
      <c r="L53" s="8" t="n">
        <v>6877.27</v>
      </c>
    </row>
    <row r="54">
      <c r="A54" s="4" t="n">
        <v>99</v>
      </c>
      <c r="B54" s="5" t="inlineStr">
        <is>
          <t>IMG_0066</t>
        </is>
      </c>
      <c r="C54" s="5" t="inlineStr">
        <is>
          <t>CLASS A: GENERAL ITEMS</t>
        </is>
      </c>
      <c r="D54" s="5" t="inlineStr">
        <is>
          <t>METHOD RELATED CHARGES</t>
        </is>
      </c>
      <c r="E54" s="36" t="inlineStr">
        <is>
          <t>DE-WATERING</t>
        </is>
      </c>
      <c r="F54" s="36" t="inlineStr">
        <is>
          <t>hire of jetting pump with hoses; 1 day</t>
        </is>
      </c>
      <c r="G54" s="6" t="inlineStr">
        <is>
          <t>item</t>
        </is>
      </c>
      <c r="H54" s="7" t="n"/>
      <c r="I54" s="8" t="n"/>
      <c r="J54" s="8" t="n"/>
      <c r="K54" s="8" t="n"/>
      <c r="L54" s="8" t="n">
        <v>144.81</v>
      </c>
    </row>
    <row r="55">
      <c r="A55" s="4" t="n">
        <v>100</v>
      </c>
      <c r="B55" s="5" t="inlineStr">
        <is>
          <t>IMG_0066</t>
        </is>
      </c>
      <c r="C55" s="5" t="inlineStr">
        <is>
          <t>CLASS A: GENERAL ITEMS</t>
        </is>
      </c>
      <c r="D55" s="5" t="inlineStr">
        <is>
          <t>METHOD RELATED CHARGES</t>
        </is>
      </c>
      <c r="E55" s="36" t="inlineStr">
        <is>
          <t>DE-WATERING</t>
        </is>
      </c>
      <c r="F55" s="36" t="inlineStr">
        <is>
          <t>purchase of well points; 35 Nr</t>
        </is>
      </c>
      <c r="G55" s="6" t="inlineStr">
        <is>
          <t>item</t>
        </is>
      </c>
      <c r="H55" s="7" t="n"/>
      <c r="I55" s="8" t="n"/>
      <c r="J55" s="8" t="n"/>
      <c r="K55" s="8" t="n"/>
      <c r="L55" s="8" t="n">
        <v>533.9299999999999</v>
      </c>
    </row>
    <row r="56">
      <c r="A56" s="4" t="n">
        <v>101</v>
      </c>
      <c r="B56" s="5" t="inlineStr">
        <is>
          <t>IMG_0066</t>
        </is>
      </c>
      <c r="C56" s="5" t="inlineStr">
        <is>
          <t>CLASS A: GENERAL ITEMS</t>
        </is>
      </c>
      <c r="D56" s="5" t="inlineStr">
        <is>
          <t>METHOD RELATED CHARGES</t>
        </is>
      </c>
      <c r="E56" s="36" t="inlineStr">
        <is>
          <t>DE-WATERING</t>
        </is>
      </c>
      <c r="F56" s="36" t="inlineStr">
        <is>
          <t>labour and plant; 10 hours</t>
        </is>
      </c>
      <c r="G56" s="6" t="inlineStr">
        <is>
          <t>item</t>
        </is>
      </c>
      <c r="H56" s="7" t="n"/>
      <c r="I56" s="8" t="n"/>
      <c r="J56" s="8" t="n"/>
      <c r="K56" s="8" t="n"/>
      <c r="L56" s="8" t="n">
        <v>490.93</v>
      </c>
    </row>
    <row r="57">
      <c r="A57" s="4" t="n">
        <v>103</v>
      </c>
      <c r="B57" s="5" t="inlineStr">
        <is>
          <t>IMG_0066</t>
        </is>
      </c>
      <c r="C57" s="5" t="inlineStr">
        <is>
          <t>CLASS A: GENERAL ITEMS</t>
        </is>
      </c>
      <c r="D57" s="5" t="inlineStr">
        <is>
          <t>METHOD RELATED CHARGES</t>
        </is>
      </c>
      <c r="E57" s="36" t="inlineStr">
        <is>
          <t>Operating costs</t>
        </is>
      </c>
      <c r="F57" s="36" t="inlineStr">
        <is>
          <t>hire of pump, header pipe, delivery pipe and standby pump complete with fuel etc. and 2 hours attendant labour and plant</t>
        </is>
      </c>
      <c r="G57" s="6" t="inlineStr">
        <is>
          <t>day</t>
        </is>
      </c>
      <c r="H57" s="7" t="n"/>
      <c r="I57" s="8" t="n"/>
      <c r="J57" s="8" t="n"/>
      <c r="K57" s="8" t="n"/>
      <c r="L57" s="8" t="n">
        <v>365.65</v>
      </c>
    </row>
  </sheetData>
  <autoFilter ref="A4:L57"/>
  <pageMargins left="0.75" right="0.75" top="1" bottom="1" header="0.5" footer="0.5"/>
</worksheet>
</file>

<file path=xl/worksheets/sheet6.xml><?xml version="1.0" encoding="utf-8"?>
<worksheet xmlns="http://schemas.openxmlformats.org/spreadsheetml/2006/main">
  <sheetPr>
    <outlinePr summaryBelow="1" summaryRight="1"/>
    <pageSetUpPr/>
  </sheetPr>
  <dimension ref="B1:E59"/>
  <sheetViews>
    <sheetView showGridLines="0" workbookViewId="0">
      <selection activeCell="A1" sqref="A1"/>
    </sheetView>
  </sheetViews>
  <sheetFormatPr baseColWidth="8" defaultRowHeight="15"/>
  <cols>
    <col width="4" customWidth="1" min="1" max="1"/>
    <col width="46" customWidth="1" min="2" max="2"/>
    <col width="14" customWidth="1" min="3" max="3"/>
    <col width="14" customWidth="1" min="4" max="4"/>
    <col width="104" customWidth="1" min="5" max="5"/>
  </cols>
  <sheetData>
    <row r="1">
      <c r="B1" s="1" t="inlineStr">
        <is>
          <t>Method &amp; Reconciliation</t>
        </is>
      </c>
    </row>
    <row r="2">
      <c r="B2" s="2" t="inlineStr">
        <is>
          <t>How each item's cost was derived, and how the derived costs reconcile to the source.</t>
        </is>
      </c>
    </row>
    <row r="4">
      <c r="B4" s="19" t="inlineStr">
        <is>
          <t>What changed</t>
        </is>
      </c>
      <c r="C4" s="20" t="n"/>
      <c r="D4" s="20" t="n"/>
      <c r="E4" s="20" t="n"/>
    </row>
    <row r="5">
      <c r="B5" s="5" t="inlineStr">
        <is>
          <t>The source's published all-in rate has been removed as the cost figure.</t>
        </is>
      </c>
      <c r="C5" s="45" t="n"/>
      <c r="D5" s="45" t="n"/>
      <c r="E5" s="36" t="inlineStr">
        <is>
          <t>It is retained on 'Derived Rates' column P, greyed as 'Published rate £ (superseded)', purely so every derivation can be audited. Delete column P if you want it gone entirely.</t>
        </is>
      </c>
    </row>
    <row r="6">
      <c r="B6" s="5" t="inlineStr">
        <is>
          <t>Cost is now built up as Labour + Plant + Material.</t>
        </is>
      </c>
      <c r="C6" s="45" t="n"/>
      <c r="D6" s="45" t="n"/>
      <c r="E6" s="36" t="inlineStr">
        <is>
          <t>Column M 'DERIVED COST £' is a live formula =ROUND(SUM(I:L),2). Edit any component and the cost recalculates.</t>
        </is>
      </c>
    </row>
    <row r="7">
      <c r="B7" s="5" t="inlineStr">
        <is>
          <t>A fourth column, Sub-contract £, carries specialist packages.</t>
        </is>
      </c>
      <c r="C7" s="45" t="n"/>
      <c r="D7" s="45" t="n"/>
      <c r="E7" s="36" t="inlineStr">
        <is>
          <t>Some CESMM classes are published only as all-in specialist rates with no build-up in the source. Splitting them into L/P/M would be invention, so the rate is carried whole in Sub-contract and flagged.</t>
        </is>
      </c>
    </row>
    <row r="8">
      <c r="B8" s="5" t="inlineStr">
        <is>
          <t>Costs converted to an Irish basis.</t>
        </is>
      </c>
      <c r="C8" s="45" t="n"/>
      <c r="D8" s="45" t="n"/>
      <c r="E8" s="36" t="inlineStr">
        <is>
          <t>Each resource category is factored separately and converted to euro — see the 'Irish Basis' sheet. Labour carries a researched Ireland/UK differential; plant and material sit at parity as stated assumptions. Columns N to R hold the euro figures and are live formulas off that sheet.</t>
        </is>
      </c>
    </row>
    <row r="9">
      <c r="B9" s="5" t="inlineStr">
        <is>
          <t>Preliminaries excluded.</t>
        </is>
      </c>
      <c r="C9" s="45" t="n"/>
      <c r="D9" s="45" t="n"/>
      <c r="E9" s="36" t="inlineStr">
        <is>
          <t>CESMM Class A: General Items (53 items) moved to 'Preliminaries (Excluded)'.</t>
        </is>
      </c>
    </row>
    <row r="10">
      <c r="B10" s="5" t="inlineStr">
        <is>
          <t>Resource build-ups separated.</t>
        </is>
      </c>
      <c r="C10" s="45" t="n"/>
      <c r="D10" s="45" t="n"/>
      <c r="E10" s="36" t="inlineStr">
        <is>
          <t>543 rows that looked like rates are actually labour-gang and plant hourly build-ups (the inputs behind the rates). Moved to 'Resource Rates' so they are not double-counted as priceable items.</t>
        </is>
      </c>
    </row>
    <row r="12">
      <c r="B12" s="19" t="inlineStr">
        <is>
          <t>Derivation basis — counts</t>
        </is>
      </c>
      <c r="C12" s="20" t="n"/>
      <c r="D12" s="20" t="n"/>
      <c r="E12" s="20" t="n"/>
    </row>
    <row r="13">
      <c r="B13" s="46" t="inlineStr">
        <is>
          <t>Basis</t>
        </is>
      </c>
      <c r="C13" s="47" t="inlineStr">
        <is>
          <t>Items</t>
        </is>
      </c>
      <c r="D13" s="47" t="inlineStr">
        <is>
          <t>% of items</t>
        </is>
      </c>
      <c r="E13" s="48" t="inlineStr">
        <is>
          <t>What it means</t>
        </is>
      </c>
    </row>
    <row r="14">
      <c r="B14" s="5" t="inlineStr">
        <is>
          <t>Stated build-up</t>
        </is>
      </c>
      <c r="C14" s="45" t="n">
        <v>2891</v>
      </c>
      <c r="D14" s="45" t="inlineStr">
        <is>
          <t>76.2%</t>
        </is>
      </c>
      <c r="E14" s="36" t="inlineStr">
        <is>
          <t>Labour, plant and material all published and reconciling to the published rate. Cost is taken straight from the build-up.</t>
        </is>
      </c>
    </row>
    <row r="15">
      <c r="B15" s="5" t="inlineStr">
        <is>
          <t>Material recovered as residual</t>
        </is>
      </c>
      <c r="C15" s="45" t="n">
        <v>27</v>
      </c>
      <c r="D15" s="45" t="inlineStr">
        <is>
          <t>0.7%</t>
        </is>
      </c>
      <c r="E15" s="36" t="inlineStr">
        <is>
          <t>Labour and plant published, material column missing from the source, but the published rate contains it. Material = rate − labour − plant. Verified against identical operations in the same section that do carry a material figure.</t>
        </is>
      </c>
    </row>
    <row r="16">
      <c r="B16" s="5" t="inlineStr">
        <is>
          <t>Stated components + specialist balance</t>
        </is>
      </c>
      <c r="C16" s="45" t="n">
        <v>52</v>
      </c>
      <c r="D16" s="45" t="inlineStr">
        <is>
          <t>1.4%</t>
        </is>
      </c>
      <c r="E16" s="36" t="inlineStr">
        <is>
          <t>Published plant (and sometimes labour) retained as real; the remaining balance of a specialist all-in rate is not broken down at source and sits in Sub-contract.</t>
        </is>
      </c>
    </row>
    <row r="17">
      <c r="B17" s="5" t="inlineStr">
        <is>
          <t>Apportioned (sub-heading)</t>
        </is>
      </c>
      <c r="C17" s="45" t="n">
        <v>11</v>
      </c>
      <c r="D17" s="45" t="inlineStr">
        <is>
          <t>0.3%</t>
        </is>
      </c>
      <c r="E17" s="36" t="inlineStr">
        <is>
          <t>No build-up published. Rate split using the median labour/plant/material shares of 3+ comparable build-ups in the same sub-heading.</t>
        </is>
      </c>
    </row>
    <row r="18">
      <c r="B18" s="5" t="inlineStr">
        <is>
          <t>Apportioned (section)</t>
        </is>
      </c>
      <c r="C18" s="45" t="n">
        <v>116</v>
      </c>
      <c r="D18" s="45" t="inlineStr">
        <is>
          <t>3.1%</t>
        </is>
      </c>
      <c r="E18" s="36" t="inlineStr">
        <is>
          <t>As above, using 5+ comparable build-ups in the same section.</t>
        </is>
      </c>
    </row>
    <row r="19">
      <c r="B19" s="5" t="inlineStr">
        <is>
          <t>Apportioned (class)</t>
        </is>
      </c>
      <c r="C19" s="45" t="n">
        <v>95</v>
      </c>
      <c r="D19" s="45" t="inlineStr">
        <is>
          <t>2.5%</t>
        </is>
      </c>
      <c r="E19" s="36" t="inlineStr">
        <is>
          <t>As above, using 10+ comparable build-ups elsewhere in the same CESMM class. Weakest apportionment — all such rows are in the Review Queue.</t>
        </is>
      </c>
    </row>
    <row r="20">
      <c r="B20" s="5" t="inlineStr">
        <is>
          <t>All-in specialist rate</t>
        </is>
      </c>
      <c r="C20" s="45" t="n">
        <v>601</v>
      </c>
      <c r="D20" s="45" t="inlineStr">
        <is>
          <t>15.8%</t>
        </is>
      </c>
      <c r="E20" s="36" t="inlineStr">
        <is>
          <t>Classes B, C, D, M, P and T (ground investigation, geotechnical processes, demolition, structural metalwork, piling, tunnelling) plus testing and professional-services sections. Spon's publishes these as sub-contract packages with no build-up, so the whole rate sits in Sub-contract, unsplit.</t>
        </is>
      </c>
    </row>
    <row r="21">
      <c r="B21" s="46" t="inlineStr">
        <is>
          <t>TOTAL</t>
        </is>
      </c>
      <c r="C21" s="47" t="n">
        <v>3793</v>
      </c>
      <c r="D21" s="47" t="inlineStr">
        <is>
          <t>100.0%</t>
        </is>
      </c>
      <c r="E21" s="48" t="n"/>
    </row>
    <row r="23">
      <c r="B23" s="19" t="inlineStr">
        <is>
          <t>Confidence</t>
        </is>
      </c>
      <c r="C23" s="20" t="n"/>
      <c r="D23" s="20" t="n"/>
      <c r="E23" s="20" t="n"/>
    </row>
    <row r="24">
      <c r="B24" s="46" t="inlineStr">
        <is>
          <t>Confidence</t>
        </is>
      </c>
      <c r="C24" s="47" t="inlineStr">
        <is>
          <t>Items</t>
        </is>
      </c>
      <c r="D24" s="47" t="inlineStr">
        <is>
          <t>% of items</t>
        </is>
      </c>
      <c r="E24" s="48" t="inlineStr">
        <is>
          <t>Basis</t>
        </is>
      </c>
    </row>
    <row r="25">
      <c r="B25" s="49" t="inlineStr">
        <is>
          <t>High</t>
        </is>
      </c>
      <c r="C25" s="45" t="n">
        <v>2891</v>
      </c>
      <c r="D25" s="45" t="inlineStr">
        <is>
          <t>76.2%</t>
        </is>
      </c>
      <c r="E25" s="36" t="inlineStr">
        <is>
          <t>Cost is the source's own published build-up.</t>
        </is>
      </c>
    </row>
    <row r="26">
      <c r="B26" s="50" t="inlineStr">
        <is>
          <t>Medium-High</t>
        </is>
      </c>
      <c r="C26" s="45" t="n">
        <v>27</v>
      </c>
      <c r="D26" s="45" t="inlineStr">
        <is>
          <t>0.7%</t>
        </is>
      </c>
      <c r="E26" s="36" t="inlineStr">
        <is>
          <t>One component recovered arithmetically and cross-checked against comparable items.</t>
        </is>
      </c>
    </row>
    <row r="27">
      <c r="B27" s="51" t="inlineStr">
        <is>
          <t>Medium</t>
        </is>
      </c>
      <c r="C27" s="45" t="n">
        <v>179</v>
      </c>
      <c r="D27" s="45" t="inlineStr">
        <is>
          <t>4.7%</t>
        </is>
      </c>
      <c r="E27" s="36" t="inlineStr">
        <is>
          <t>Apportioned from close comparables, or a specialist rate with real published components.</t>
        </is>
      </c>
    </row>
    <row r="28">
      <c r="B28" s="15" t="inlineStr">
        <is>
          <t>Low</t>
        </is>
      </c>
      <c r="C28" s="45" t="n">
        <v>95</v>
      </c>
      <c r="D28" s="45" t="inlineStr">
        <is>
          <t>2.5%</t>
        </is>
      </c>
      <c r="E28" s="36" t="inlineStr">
        <is>
          <t>Apportioned from class-level comparables only — treat as indicative.</t>
        </is>
      </c>
    </row>
    <row r="29">
      <c r="B29" s="52" t="inlineStr">
        <is>
          <t>All-in (not split)</t>
        </is>
      </c>
      <c r="C29" s="45" t="n">
        <v>601</v>
      </c>
      <c r="D29" s="45" t="inlineStr">
        <is>
          <t>15.8%</t>
        </is>
      </c>
      <c r="E29" s="36" t="inlineStr">
        <is>
          <t>Total cost is correct and equals the published rate; the labour/plant/material split does not exist in the source and has not been invented.</t>
        </is>
      </c>
    </row>
    <row r="31">
      <c r="B31" s="19" t="inlineStr">
        <is>
          <t>Reconciliation to source (live formulas over 'Derived Rates')</t>
        </is>
      </c>
      <c r="C31" s="20" t="n"/>
      <c r="D31" s="20" t="n"/>
      <c r="E31" s="20" t="n"/>
    </row>
    <row r="32">
      <c r="B32" s="46" t="inlineStr">
        <is>
          <t>Check</t>
        </is>
      </c>
      <c r="C32" s="47" t="inlineStr">
        <is>
          <t>Value</t>
        </is>
      </c>
      <c r="D32" s="47" t="inlineStr"/>
      <c r="E32" s="48" t="inlineStr">
        <is>
          <t>Expected</t>
        </is>
      </c>
    </row>
    <row r="33">
      <c r="B33" s="5" t="inlineStr">
        <is>
          <t>Priceable items carried</t>
        </is>
      </c>
      <c r="C33" s="53">
        <f>COUNTA('Derived Rates'!A5:A3797)</f>
        <v/>
      </c>
      <c r="D33" s="45" t="n"/>
      <c r="E33" s="36" t="inlineStr">
        <is>
          <t>3,793 — every non-preliminary, non-resource rate row</t>
        </is>
      </c>
    </row>
    <row r="34">
      <c r="B34" s="5" t="inlineStr">
        <is>
          <t>Control total — UK cost (£)</t>
        </is>
      </c>
      <c r="C34" s="54">
        <f>ROUND(SUM('Derived Rates'!M5:M3797),2)</f>
        <v/>
      </c>
      <c r="D34" s="45" t="n"/>
      <c r="E34" s="36" t="inlineStr">
        <is>
          <t>RECONCILIATION ONLY — this adds together rates in different units (£/m, £/nr, £/m3), so it is not a project cost. Its only purpose is to prove that no cost was lost or invented in the derivation.</t>
        </is>
      </c>
    </row>
    <row r="35">
      <c r="B35" s="5" t="inlineStr">
        <is>
          <t>Control total — published rates (£)</t>
        </is>
      </c>
      <c r="C35" s="54">
        <f>ROUND(SUM('Derived Rates'!U5:U3797),2)</f>
        <v/>
      </c>
      <c r="D35" s="45" t="n"/>
      <c r="E35" s="36" t="inlineStr">
        <is>
          <t>The same sum over the superseded published rates.</t>
        </is>
      </c>
    </row>
    <row r="36">
      <c r="B36" s="5" t="inlineStr">
        <is>
          <t>Total variance (derived − published)</t>
        </is>
      </c>
      <c r="C36" s="54">
        <f>ROUND(SUM('Derived Rates'!M5:M3797)-SUM('Derived Rates'!U5:U3797),2)</f>
        <v/>
      </c>
      <c r="D36" s="45" t="n"/>
      <c r="E36" s="36" t="inlineStr">
        <is>
          <t>£0.00 — the derivation reallocates cost between resource categories, it does not change it</t>
        </is>
      </c>
    </row>
    <row r="37">
      <c r="B37" s="5" t="inlineStr">
        <is>
          <t>Items where derived ≠ published (&gt;1p)</t>
        </is>
      </c>
      <c r="C37" s="53">
        <f>COUNTIF('Derived Rates'!V5:V3797,"&gt;0.01")+COUNTIF('Derived Rates'!V5:V3797,"&lt;-0.01")</f>
        <v/>
      </c>
      <c r="D37" s="45" t="n"/>
      <c r="E37" s="36" t="inlineStr">
        <is>
          <t>0 — every item should reconcile</t>
        </is>
      </c>
    </row>
    <row r="38">
      <c r="B38" s="5" t="inlineStr">
        <is>
          <t>Control total — IRISH cost (€)</t>
        </is>
      </c>
      <c r="C38" s="55">
        <f>ROUND(SUM('Derived Rates'!R5:R3797),2)</f>
        <v/>
      </c>
      <c r="D38" s="45" t="n"/>
      <c r="E38" s="36" t="inlineStr">
        <is>
          <t>The same control total after the Irish factors and GBP→EUR conversion on the 'Irish Basis' sheet.</t>
        </is>
      </c>
    </row>
    <row r="39">
      <c r="B39" s="5" t="inlineStr">
        <is>
          <t>Total Labour (£)</t>
        </is>
      </c>
      <c r="C39" s="54">
        <f>ROUND(SUM('Derived Rates'!I5:I3797),2)</f>
        <v/>
      </c>
      <c r="D39" s="45" t="n"/>
      <c r="E39" s="36" t="inlineStr"/>
    </row>
    <row r="40">
      <c r="B40" s="5" t="inlineStr">
        <is>
          <t>Total Plant (£)</t>
        </is>
      </c>
      <c r="C40" s="54">
        <f>ROUND(SUM('Derived Rates'!J5:J3797),2)</f>
        <v/>
      </c>
      <c r="D40" s="45" t="n"/>
      <c r="E40" s="36" t="inlineStr"/>
    </row>
    <row r="41">
      <c r="B41" s="5" t="inlineStr">
        <is>
          <t>Total Material (£)</t>
        </is>
      </c>
      <c r="C41" s="54">
        <f>ROUND(SUM('Derived Rates'!K5:K3797),2)</f>
        <v/>
      </c>
      <c r="D41" s="45" t="n"/>
      <c r="E41" s="36" t="inlineStr"/>
    </row>
    <row r="42">
      <c r="B42" s="5" t="inlineStr">
        <is>
          <t>Total Sub-contract, unsplit specialist (£)</t>
        </is>
      </c>
      <c r="C42" s="54">
        <f>ROUND(SUM('Derived Rates'!L5:L3797),2)</f>
        <v/>
      </c>
      <c r="D42" s="45" t="n"/>
      <c r="E42" s="36" t="inlineStr"/>
    </row>
    <row r="43">
      <c r="B43" s="5" t="inlineStr">
        <is>
          <t>Items flagged for review</t>
        </is>
      </c>
      <c r="C43" s="53">
        <f>COUNTIF('Derived Rates'!W5:W3797,"?*")</f>
        <v/>
      </c>
      <c r="D43" s="45" t="n"/>
      <c r="E43" s="36" t="inlineStr">
        <is>
          <t>Listed on the 'Review Queue' sheet</t>
        </is>
      </c>
    </row>
    <row r="45">
      <c r="B45" s="19" t="inlineStr">
        <is>
          <t>Cost mix where the source publishes a real build-up</t>
        </is>
      </c>
      <c r="C45" s="20" t="n"/>
      <c r="D45" s="20" t="n"/>
      <c r="E45" s="20" t="n"/>
    </row>
    <row r="46">
      <c r="B46" s="46" t="inlineStr">
        <is>
          <t>Resource</t>
        </is>
      </c>
      <c r="C46" s="47" t="inlineStr">
        <is>
          <t>Share</t>
        </is>
      </c>
      <c r="D46" s="47" t="inlineStr"/>
      <c r="E46" s="48" t="inlineStr">
        <is>
          <t>Basis</t>
        </is>
      </c>
    </row>
    <row r="47">
      <c r="B47" s="5" t="inlineStr">
        <is>
          <t>Labour</t>
        </is>
      </c>
      <c r="C47" s="56" t="n">
        <v>0.2137</v>
      </c>
      <c r="D47" s="45" t="n"/>
      <c r="E47" s="36" t="inlineStr">
        <is>
          <t>Measured across the 2,881 items the source builds up in full, excluding a handful of very large rail-track lump sums that would otherwise dominate. This is the meaningful cost mix for this book.</t>
        </is>
      </c>
    </row>
    <row r="48">
      <c r="B48" s="5" t="inlineStr">
        <is>
          <t>Plant</t>
        </is>
      </c>
      <c r="C48" s="56" t="n">
        <v>0.1074</v>
      </c>
      <c r="D48" s="45" t="n"/>
      <c r="E48" s="36" t="n"/>
    </row>
    <row r="49">
      <c r="B49" s="5" t="inlineStr">
        <is>
          <t>Material</t>
        </is>
      </c>
      <c r="C49" s="56" t="n">
        <v>0.6788999999999999</v>
      </c>
      <c r="D49" s="45" t="n"/>
      <c r="E49" s="36" t="n"/>
    </row>
    <row r="50">
      <c r="B50" s="5" t="inlineStr">
        <is>
          <t>Note on the whole-file mix</t>
        </is>
      </c>
      <c r="C50" s="45" t="n"/>
      <c r="D50" s="45" t="n"/>
      <c r="E50" s="36" t="inlineStr">
        <is>
          <t>Across all 3,793 items, sub-contract is ~94% of the control total. That figure is an artefact of a few very large specialist lump sums (tunnel shafts, viaduct piers) and is not a useful mix — use the shares above instead.</t>
        </is>
      </c>
    </row>
    <row r="52">
      <c r="B52" s="19" t="inlineStr">
        <is>
          <t>Caveats</t>
        </is>
      </c>
      <c r="C52" s="20" t="n"/>
      <c r="D52" s="20" t="n"/>
      <c r="E52" s="20" t="n"/>
    </row>
    <row r="53">
      <c r="B53" s="5" t="inlineStr">
        <is>
          <t>•</t>
        </is>
      </c>
      <c r="C53" s="45" t="n"/>
      <c r="D53" s="45" t="n"/>
      <c r="E53" s="36" t="inlineStr">
        <is>
          <t>Source is an OCR extraction of Spon's Civil Engineering and Highway Works Price Book, so some figures are mis-read. 2 rows are an order of magnitude out of line with their class and are flagged 'Probable source error'; 6 more sit far from comparable items; 8 are very large unit rates worth checking. Scanning error may remain elsewhere.</t>
        </is>
      </c>
    </row>
    <row r="54">
      <c r="B54" s="5" t="inlineStr">
        <is>
          <t>•</t>
        </is>
      </c>
      <c r="C54" s="45" t="n"/>
      <c r="D54" s="45" t="n"/>
      <c r="E54" s="36" t="inlineStr">
        <is>
          <t>Rates are net cost — the source's published rate already excludes oncosts and profit, which Spon's adds separately. Nothing here carries overhead, profit, or preliminaries.</t>
        </is>
      </c>
    </row>
    <row r="55">
      <c r="B55" s="5" t="inlineStr">
        <is>
          <t>•</t>
        </is>
      </c>
      <c r="C55" s="45" t="n"/>
      <c r="D55" s="45" t="n"/>
      <c r="E55" s="36" t="inlineStr">
        <is>
          <t>Apportioned splits are statistical, not quoted. They preserve the correct total cost but the labour/plant/material shares are estimates from comparable items.</t>
        </is>
      </c>
    </row>
    <row r="56">
      <c r="B56" s="5" t="inlineStr">
        <is>
          <t>•</t>
        </is>
      </c>
      <c r="C56" s="45" t="n"/>
      <c r="D56" s="45" t="n"/>
      <c r="E56" s="36" t="inlineStr">
        <is>
          <t>Sub-contract rows are correct in total. They are not zero-labour items — the labour simply sits inside a specialist's price.</t>
        </is>
      </c>
    </row>
    <row r="57">
      <c r="B57" s="5" t="inlineStr">
        <is>
          <t>•</t>
        </is>
      </c>
      <c r="C57" s="45" t="n"/>
      <c r="D57" s="45" t="n"/>
      <c r="E57" s="36" t="inlineStr">
        <is>
          <t>Gang hours are carried through unchanged from the source as supporting information.</t>
        </is>
      </c>
    </row>
    <row r="58">
      <c r="B58" s="5" t="inlineStr">
        <is>
          <t>•</t>
        </is>
      </c>
      <c r="C58" s="45" t="n"/>
      <c r="D58" s="45" t="n"/>
      <c r="E58" s="36" t="inlineStr">
        <is>
          <t>The Irish conversion is a factor applied to UK build-ups, not Irish quoted rates. The labour factor is well grounded in statutory rates both sides; the plant and material factors are parity assumptions because no published Ireland-vs-UK price-level comparison exists. Treat the euro figures as a defensible starting point to be tested against Irish supplier and hire-desk quotes, not as tender-ready rates.</t>
        </is>
      </c>
    </row>
    <row r="59">
      <c r="B59" s="5" t="inlineStr">
        <is>
          <t>•</t>
        </is>
      </c>
      <c r="C59" s="45" t="n"/>
      <c r="D59" s="45" t="n"/>
      <c r="E59" s="36" t="inlineStr">
        <is>
          <t>Irish rates exclude VAT and the sub-contractor's own margin, on the same basis as the UK figures.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2026-08-25T20:15:08Z</dcterms:created>
  <dcterms:modified xsi:type="dcterms:W3CDTF">2026-08-25T20:15:15Z</dcterms:modified>
</cp:coreProperties>
</file>